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2/122 - Paper 1 (Spare - Mark)/"/>
    </mc:Choice>
  </mc:AlternateContent>
  <xr:revisionPtr revIDLastSave="1" documentId="13_ncr:1_{95B42FE9-5D0B-4F16-91F7-518153A1290F}" xr6:coauthVersionLast="46" xr6:coauthVersionMax="46" xr10:uidLastSave="{28862F44-227F-4900-B2BA-C127CE9C4BC9}"/>
  <bookViews>
    <workbookView xWindow="-110" yWindow="-110" windowWidth="19420" windowHeight="10420" xr2:uid="{00000000-000D-0000-FFFF-FFFF00000000}"/>
  </bookViews>
  <sheets>
    <sheet name="Rawdata" sheetId="1" r:id="rId1"/>
    <sheet name="Parameters" sheetId="3" r:id="rId2"/>
    <sheet name="Fixed rate projection" sheetId="10" r:id="rId3"/>
    <sheet name="Interest rate projection" sheetId="4" r:id="rId4"/>
    <sheet name="Variable rate projection" sheetId="14" r:id="rId5"/>
    <sheet name="Fixed rate projection Alt" sheetId="18" r:id="rId6"/>
    <sheet name="Variable rate projection Alt" sheetId="16" r:id="rId7"/>
  </sheets>
  <definedNames>
    <definedName name="Base_int_rate">Parameters!$B$19</definedName>
    <definedName name="Claims_data">Rawdata!$A$4:$L$85</definedName>
    <definedName name="Dep_term">Parameters!$B$7</definedName>
    <definedName name="Dep_term_alt">Parameters!$B$39</definedName>
    <definedName name="Deposit_mon">Parameters!$B$5</definedName>
    <definedName name="Deposit_mon_alt">Parameters!$B$37</definedName>
    <definedName name="Fixed_freq">Parameters!$B$13</definedName>
    <definedName name="Fixed_int">Parameters!$B$11</definedName>
    <definedName name="House_price">Parameters!$B$3</definedName>
    <definedName name="Int_check_tolerance">Parameters!$B$32</definedName>
    <definedName name="Int_rate_movements">Parameters!$B$25:$C$29</definedName>
    <definedName name="Mort_term">Parameters!$B$1</definedName>
    <definedName name="Product_term">Parameters!$B$15</definedName>
    <definedName name="Product_term_alt">Parameters!$B$41</definedName>
    <definedName name="Var_freq">Parameters!$B$21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30" i="1" l="1"/>
  <c r="AD30" i="1"/>
  <c r="C3" i="18" l="1"/>
  <c r="C4" i="18" l="1"/>
  <c r="C5" i="18" s="1"/>
  <c r="AG29" i="1" l="1"/>
  <c r="C10" i="18" l="1"/>
  <c r="D9" i="18"/>
  <c r="E9" i="18" s="1"/>
  <c r="F9" i="18" s="1"/>
  <c r="G9" i="18" s="1"/>
  <c r="H9" i="18" s="1"/>
  <c r="I9" i="18" s="1"/>
  <c r="J9" i="18" s="1"/>
  <c r="K9" i="18" s="1"/>
  <c r="L9" i="18" s="1"/>
  <c r="M9" i="18" s="1"/>
  <c r="N9" i="18" s="1"/>
  <c r="O9" i="18" s="1"/>
  <c r="D10" i="18" l="1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10" i="18" s="1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C21" i="16" s="1"/>
  <c r="B22" i="16"/>
  <c r="B23" i="16"/>
  <c r="B24" i="16"/>
  <c r="B25" i="16"/>
  <c r="B26" i="16"/>
  <c r="B27" i="16"/>
  <c r="B28" i="16"/>
  <c r="B29" i="16"/>
  <c r="C29" i="16" s="1"/>
  <c r="B30" i="16"/>
  <c r="B31" i="16"/>
  <c r="B32" i="16"/>
  <c r="B33" i="16"/>
  <c r="B34" i="16"/>
  <c r="B35" i="16"/>
  <c r="B36" i="16"/>
  <c r="B37" i="16"/>
  <c r="C37" i="16" s="1"/>
  <c r="B38" i="16"/>
  <c r="B39" i="16"/>
  <c r="B40" i="16"/>
  <c r="B41" i="16"/>
  <c r="B42" i="16"/>
  <c r="B43" i="16"/>
  <c r="B44" i="16"/>
  <c r="B45" i="16"/>
  <c r="C45" i="16" s="1"/>
  <c r="B46" i="16"/>
  <c r="B47" i="16"/>
  <c r="B48" i="16"/>
  <c r="B49" i="16"/>
  <c r="B50" i="16"/>
  <c r="B51" i="16"/>
  <c r="B52" i="16"/>
  <c r="B53" i="16"/>
  <c r="C53" i="16" s="1"/>
  <c r="B54" i="16"/>
  <c r="B55" i="16"/>
  <c r="B56" i="16"/>
  <c r="B57" i="16"/>
  <c r="B58" i="16"/>
  <c r="B59" i="16"/>
  <c r="B60" i="16"/>
  <c r="B61" i="16"/>
  <c r="C61" i="16" s="1"/>
  <c r="B62" i="16"/>
  <c r="B63" i="16"/>
  <c r="B64" i="16"/>
  <c r="B65" i="16"/>
  <c r="B66" i="16"/>
  <c r="B67" i="16"/>
  <c r="B68" i="16"/>
  <c r="B69" i="16"/>
  <c r="C69" i="16" s="1"/>
  <c r="B70" i="16"/>
  <c r="B71" i="16"/>
  <c r="B72" i="16"/>
  <c r="B73" i="16"/>
  <c r="B74" i="16"/>
  <c r="B75" i="16"/>
  <c r="B76" i="16"/>
  <c r="B77" i="16"/>
  <c r="C77" i="16" s="1"/>
  <c r="B78" i="16"/>
  <c r="B79" i="16"/>
  <c r="B80" i="16"/>
  <c r="B81" i="16"/>
  <c r="B82" i="16"/>
  <c r="B83" i="16"/>
  <c r="B84" i="16"/>
  <c r="B85" i="16"/>
  <c r="C85" i="16" s="1"/>
  <c r="B86" i="16"/>
  <c r="B87" i="16"/>
  <c r="B88" i="16"/>
  <c r="B89" i="16"/>
  <c r="B90" i="16"/>
  <c r="B91" i="16"/>
  <c r="B92" i="16"/>
  <c r="B93" i="16"/>
  <c r="C93" i="16" s="1"/>
  <c r="B94" i="16"/>
  <c r="B95" i="16"/>
  <c r="B96" i="16"/>
  <c r="B97" i="16"/>
  <c r="B98" i="16"/>
  <c r="B99" i="16"/>
  <c r="B100" i="16"/>
  <c r="B101" i="16"/>
  <c r="C101" i="16" s="1"/>
  <c r="B102" i="16"/>
  <c r="B103" i="16"/>
  <c r="B104" i="16"/>
  <c r="B105" i="16"/>
  <c r="B106" i="16"/>
  <c r="B107" i="16"/>
  <c r="B108" i="16"/>
  <c r="B109" i="16"/>
  <c r="C109" i="16" s="1"/>
  <c r="B110" i="16"/>
  <c r="B111" i="16"/>
  <c r="B112" i="16"/>
  <c r="B113" i="16"/>
  <c r="B114" i="16"/>
  <c r="B115" i="16"/>
  <c r="B116" i="16"/>
  <c r="B117" i="16"/>
  <c r="C117" i="16" s="1"/>
  <c r="B118" i="16"/>
  <c r="B119" i="16"/>
  <c r="B120" i="16"/>
  <c r="B121" i="16"/>
  <c r="B122" i="16"/>
  <c r="B123" i="16"/>
  <c r="B124" i="16"/>
  <c r="B125" i="16"/>
  <c r="C125" i="16" s="1"/>
  <c r="B126" i="16"/>
  <c r="B127" i="16"/>
  <c r="B128" i="16"/>
  <c r="B129" i="16"/>
  <c r="B130" i="16"/>
  <c r="B131" i="16"/>
  <c r="B132" i="16"/>
  <c r="B133" i="16"/>
  <c r="C133" i="16" s="1"/>
  <c r="B134" i="16"/>
  <c r="B135" i="16"/>
  <c r="B136" i="16"/>
  <c r="B137" i="16"/>
  <c r="B138" i="16"/>
  <c r="B139" i="16"/>
  <c r="B140" i="16"/>
  <c r="B141" i="16"/>
  <c r="C141" i="16" s="1"/>
  <c r="B142" i="16"/>
  <c r="B143" i="16"/>
  <c r="B144" i="16"/>
  <c r="B145" i="16"/>
  <c r="B146" i="16"/>
  <c r="B147" i="16"/>
  <c r="B148" i="16"/>
  <c r="B149" i="16"/>
  <c r="C149" i="16" s="1"/>
  <c r="B150" i="16"/>
  <c r="B151" i="16"/>
  <c r="B152" i="16"/>
  <c r="B153" i="16"/>
  <c r="B154" i="16"/>
  <c r="B155" i="16"/>
  <c r="B156" i="16"/>
  <c r="B157" i="16"/>
  <c r="C157" i="16" s="1"/>
  <c r="B158" i="16"/>
  <c r="B159" i="16"/>
  <c r="B160" i="16"/>
  <c r="B161" i="16"/>
  <c r="B162" i="16"/>
  <c r="B163" i="16"/>
  <c r="B164" i="16"/>
  <c r="B165" i="16"/>
  <c r="C165" i="16" s="1"/>
  <c r="B166" i="16"/>
  <c r="B167" i="16"/>
  <c r="B168" i="16"/>
  <c r="B169" i="16"/>
  <c r="B170" i="16"/>
  <c r="B171" i="16"/>
  <c r="B172" i="16"/>
  <c r="B173" i="16"/>
  <c r="C173" i="16" s="1"/>
  <c r="B174" i="16"/>
  <c r="B175" i="16"/>
  <c r="B176" i="16"/>
  <c r="B177" i="16"/>
  <c r="B178" i="16"/>
  <c r="B179" i="16"/>
  <c r="B180" i="16"/>
  <c r="B181" i="16"/>
  <c r="C181" i="16" s="1"/>
  <c r="B182" i="16"/>
  <c r="B183" i="16"/>
  <c r="B184" i="16"/>
  <c r="B185" i="16"/>
  <c r="B186" i="16"/>
  <c r="B187" i="16"/>
  <c r="B188" i="16"/>
  <c r="B189" i="16"/>
  <c r="C189" i="16" s="1"/>
  <c r="B190" i="16"/>
  <c r="B191" i="16"/>
  <c r="B192" i="16"/>
  <c r="B193" i="16"/>
  <c r="B194" i="16"/>
  <c r="B195" i="16"/>
  <c r="B196" i="16"/>
  <c r="B197" i="16"/>
  <c r="C197" i="16" s="1"/>
  <c r="B198" i="16"/>
  <c r="B199" i="16"/>
  <c r="B200" i="16"/>
  <c r="B201" i="16"/>
  <c r="B202" i="16"/>
  <c r="B203" i="16"/>
  <c r="B204" i="16"/>
  <c r="B205" i="16"/>
  <c r="C205" i="16" s="1"/>
  <c r="C5" i="16"/>
  <c r="C5" i="14"/>
  <c r="D5" i="14" s="1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B6" i="16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B7" i="14"/>
  <c r="B8" i="14"/>
  <c r="B9" i="14"/>
  <c r="B10" i="14"/>
  <c r="C10" i="14" s="1"/>
  <c r="B11" i="14"/>
  <c r="B12" i="14"/>
  <c r="B13" i="14"/>
  <c r="B14" i="14"/>
  <c r="B15" i="14"/>
  <c r="B16" i="14"/>
  <c r="B17" i="14"/>
  <c r="B18" i="14"/>
  <c r="C18" i="14" s="1"/>
  <c r="B19" i="14"/>
  <c r="B20" i="14"/>
  <c r="B21" i="14"/>
  <c r="B22" i="14"/>
  <c r="B23" i="14"/>
  <c r="B24" i="14"/>
  <c r="B25" i="14"/>
  <c r="B26" i="14"/>
  <c r="C26" i="14" s="1"/>
  <c r="B27" i="14"/>
  <c r="B28" i="14"/>
  <c r="B29" i="14"/>
  <c r="B30" i="14"/>
  <c r="B31" i="14"/>
  <c r="B32" i="14"/>
  <c r="B33" i="14"/>
  <c r="B34" i="14"/>
  <c r="C34" i="14" s="1"/>
  <c r="B35" i="14"/>
  <c r="B36" i="14"/>
  <c r="B37" i="14"/>
  <c r="B38" i="14"/>
  <c r="B39" i="14"/>
  <c r="B40" i="14"/>
  <c r="B41" i="14"/>
  <c r="B42" i="14"/>
  <c r="C42" i="14" s="1"/>
  <c r="B43" i="14"/>
  <c r="B44" i="14"/>
  <c r="B45" i="14"/>
  <c r="B46" i="14"/>
  <c r="B47" i="14"/>
  <c r="B48" i="14"/>
  <c r="B49" i="14"/>
  <c r="B50" i="14"/>
  <c r="C50" i="14" s="1"/>
  <c r="B51" i="14"/>
  <c r="B52" i="14"/>
  <c r="B53" i="14"/>
  <c r="B54" i="14"/>
  <c r="B55" i="14"/>
  <c r="B56" i="14"/>
  <c r="B57" i="14"/>
  <c r="B58" i="14"/>
  <c r="C58" i="14" s="1"/>
  <c r="B59" i="14"/>
  <c r="B60" i="14"/>
  <c r="B61" i="14"/>
  <c r="B62" i="14"/>
  <c r="B63" i="14"/>
  <c r="B64" i="14"/>
  <c r="B65" i="14"/>
  <c r="B66" i="14"/>
  <c r="C66" i="14" s="1"/>
  <c r="B67" i="14"/>
  <c r="B68" i="14"/>
  <c r="B69" i="14"/>
  <c r="B70" i="14"/>
  <c r="B71" i="14"/>
  <c r="B72" i="14"/>
  <c r="B73" i="14"/>
  <c r="B74" i="14"/>
  <c r="C74" i="14" s="1"/>
  <c r="B75" i="14"/>
  <c r="B76" i="14"/>
  <c r="B77" i="14"/>
  <c r="B78" i="14"/>
  <c r="B79" i="14"/>
  <c r="B80" i="14"/>
  <c r="B81" i="14"/>
  <c r="B82" i="14"/>
  <c r="C82" i="14" s="1"/>
  <c r="B83" i="14"/>
  <c r="B84" i="14"/>
  <c r="B85" i="14"/>
  <c r="B86" i="14"/>
  <c r="B87" i="14"/>
  <c r="B88" i="14"/>
  <c r="B89" i="14"/>
  <c r="B90" i="14"/>
  <c r="C90" i="14" s="1"/>
  <c r="B91" i="14"/>
  <c r="B92" i="14"/>
  <c r="B93" i="14"/>
  <c r="B94" i="14"/>
  <c r="B95" i="14"/>
  <c r="B96" i="14"/>
  <c r="B97" i="14"/>
  <c r="B98" i="14"/>
  <c r="C98" i="14" s="1"/>
  <c r="B99" i="14"/>
  <c r="B100" i="14"/>
  <c r="B101" i="14"/>
  <c r="B102" i="14"/>
  <c r="B103" i="14"/>
  <c r="B104" i="14"/>
  <c r="B105" i="14"/>
  <c r="B106" i="14"/>
  <c r="C106" i="14" s="1"/>
  <c r="B107" i="14"/>
  <c r="B108" i="14"/>
  <c r="B109" i="14"/>
  <c r="B110" i="14"/>
  <c r="B111" i="14"/>
  <c r="B112" i="14"/>
  <c r="B113" i="14"/>
  <c r="B114" i="14"/>
  <c r="C114" i="14" s="1"/>
  <c r="B115" i="14"/>
  <c r="B116" i="14"/>
  <c r="B117" i="14"/>
  <c r="B118" i="14"/>
  <c r="B119" i="14"/>
  <c r="B120" i="14"/>
  <c r="B121" i="14"/>
  <c r="B122" i="14"/>
  <c r="C122" i="14" s="1"/>
  <c r="B123" i="14"/>
  <c r="B124" i="14"/>
  <c r="B125" i="14"/>
  <c r="B126" i="14"/>
  <c r="B127" i="14"/>
  <c r="B128" i="14"/>
  <c r="B129" i="14"/>
  <c r="B130" i="14"/>
  <c r="C130" i="14" s="1"/>
  <c r="B131" i="14"/>
  <c r="B132" i="14"/>
  <c r="B133" i="14"/>
  <c r="B134" i="14"/>
  <c r="B135" i="14"/>
  <c r="B136" i="14"/>
  <c r="B137" i="14"/>
  <c r="B138" i="14"/>
  <c r="C138" i="14" s="1"/>
  <c r="B139" i="14"/>
  <c r="B140" i="14"/>
  <c r="B141" i="14"/>
  <c r="B142" i="14"/>
  <c r="B143" i="14"/>
  <c r="B144" i="14"/>
  <c r="B145" i="14"/>
  <c r="B146" i="14"/>
  <c r="C146" i="14" s="1"/>
  <c r="B147" i="14"/>
  <c r="B148" i="14"/>
  <c r="B149" i="14"/>
  <c r="B150" i="14"/>
  <c r="B151" i="14"/>
  <c r="B152" i="14"/>
  <c r="B153" i="14"/>
  <c r="B154" i="14"/>
  <c r="C154" i="14" s="1"/>
  <c r="B155" i="14"/>
  <c r="B156" i="14"/>
  <c r="B157" i="14"/>
  <c r="B158" i="14"/>
  <c r="B159" i="14"/>
  <c r="B160" i="14"/>
  <c r="B161" i="14"/>
  <c r="B162" i="14"/>
  <c r="C162" i="14" s="1"/>
  <c r="B163" i="14"/>
  <c r="B164" i="14"/>
  <c r="B165" i="14"/>
  <c r="B166" i="14"/>
  <c r="B167" i="14"/>
  <c r="B168" i="14"/>
  <c r="B169" i="14"/>
  <c r="B170" i="14"/>
  <c r="C170" i="14" s="1"/>
  <c r="B171" i="14"/>
  <c r="B172" i="14"/>
  <c r="B173" i="14"/>
  <c r="B174" i="14"/>
  <c r="B175" i="14"/>
  <c r="B176" i="14"/>
  <c r="B177" i="14"/>
  <c r="B178" i="14"/>
  <c r="C178" i="14" s="1"/>
  <c r="B179" i="14"/>
  <c r="B180" i="14"/>
  <c r="B181" i="14"/>
  <c r="B182" i="14"/>
  <c r="B183" i="14"/>
  <c r="B184" i="14"/>
  <c r="B185" i="14"/>
  <c r="B186" i="14"/>
  <c r="C186" i="14" s="1"/>
  <c r="B187" i="14"/>
  <c r="B188" i="14"/>
  <c r="B189" i="14"/>
  <c r="B190" i="14"/>
  <c r="B191" i="14"/>
  <c r="B192" i="14"/>
  <c r="B193" i="14"/>
  <c r="B194" i="14"/>
  <c r="C194" i="14" s="1"/>
  <c r="B195" i="14"/>
  <c r="B196" i="14"/>
  <c r="B197" i="14"/>
  <c r="B198" i="14"/>
  <c r="B199" i="14"/>
  <c r="B200" i="14"/>
  <c r="B201" i="14"/>
  <c r="B202" i="14"/>
  <c r="C202" i="14" s="1"/>
  <c r="B203" i="14"/>
  <c r="B204" i="14"/>
  <c r="B205" i="14"/>
  <c r="B9" i="4"/>
  <c r="AB9" i="4" s="1"/>
  <c r="B10" i="4"/>
  <c r="AB10" i="4" s="1"/>
  <c r="B11" i="4"/>
  <c r="AB11" i="4" s="1"/>
  <c r="B12" i="4"/>
  <c r="AB12" i="4" s="1"/>
  <c r="B13" i="4"/>
  <c r="AB13" i="4" s="1"/>
  <c r="B14" i="4"/>
  <c r="AB14" i="4" s="1"/>
  <c r="B15" i="4"/>
  <c r="AB15" i="4" s="1"/>
  <c r="B16" i="4"/>
  <c r="AB16" i="4" s="1"/>
  <c r="B17" i="4"/>
  <c r="AB17" i="4" s="1"/>
  <c r="B18" i="4"/>
  <c r="AB18" i="4" s="1"/>
  <c r="B19" i="4"/>
  <c r="AB19" i="4" s="1"/>
  <c r="B20" i="4"/>
  <c r="AB20" i="4" s="1"/>
  <c r="B21" i="4"/>
  <c r="AB21" i="4" s="1"/>
  <c r="B22" i="4"/>
  <c r="AB22" i="4" s="1"/>
  <c r="B23" i="4"/>
  <c r="AB23" i="4" s="1"/>
  <c r="B24" i="4"/>
  <c r="AB24" i="4" s="1"/>
  <c r="B25" i="4"/>
  <c r="AB25" i="4" s="1"/>
  <c r="B26" i="4"/>
  <c r="AB26" i="4" s="1"/>
  <c r="B27" i="4"/>
  <c r="AB27" i="4" s="1"/>
  <c r="B28" i="4"/>
  <c r="AB28" i="4" s="1"/>
  <c r="B29" i="4"/>
  <c r="AB29" i="4" s="1"/>
  <c r="B30" i="4"/>
  <c r="AB30" i="4" s="1"/>
  <c r="B31" i="4"/>
  <c r="AB31" i="4" s="1"/>
  <c r="B32" i="4"/>
  <c r="AB32" i="4" s="1"/>
  <c r="B33" i="4"/>
  <c r="AB33" i="4" s="1"/>
  <c r="B34" i="4"/>
  <c r="AB34" i="4" s="1"/>
  <c r="B35" i="4"/>
  <c r="AB35" i="4" s="1"/>
  <c r="B36" i="4"/>
  <c r="AB36" i="4" s="1"/>
  <c r="B37" i="4"/>
  <c r="AB37" i="4" s="1"/>
  <c r="B38" i="4"/>
  <c r="AB38" i="4" s="1"/>
  <c r="B39" i="4"/>
  <c r="AB39" i="4" s="1"/>
  <c r="B40" i="4"/>
  <c r="AB40" i="4" s="1"/>
  <c r="B41" i="4"/>
  <c r="AB41" i="4" s="1"/>
  <c r="B42" i="4"/>
  <c r="AB42" i="4" s="1"/>
  <c r="B43" i="4"/>
  <c r="AB43" i="4" s="1"/>
  <c r="B44" i="4"/>
  <c r="AB44" i="4" s="1"/>
  <c r="B45" i="4"/>
  <c r="AB45" i="4" s="1"/>
  <c r="B46" i="4"/>
  <c r="AB46" i="4" s="1"/>
  <c r="B47" i="4"/>
  <c r="AB47" i="4" s="1"/>
  <c r="B48" i="4"/>
  <c r="AB48" i="4" s="1"/>
  <c r="B49" i="4"/>
  <c r="AB49" i="4" s="1"/>
  <c r="B50" i="4"/>
  <c r="AB50" i="4" s="1"/>
  <c r="B51" i="4"/>
  <c r="AB51" i="4" s="1"/>
  <c r="B52" i="4"/>
  <c r="AB52" i="4" s="1"/>
  <c r="B53" i="4"/>
  <c r="AB53" i="4" s="1"/>
  <c r="B54" i="4"/>
  <c r="AB54" i="4" s="1"/>
  <c r="B55" i="4"/>
  <c r="AB55" i="4" s="1"/>
  <c r="B56" i="4"/>
  <c r="AB56" i="4" s="1"/>
  <c r="B57" i="4"/>
  <c r="AB57" i="4" s="1"/>
  <c r="B58" i="4"/>
  <c r="AB58" i="4" s="1"/>
  <c r="B59" i="4"/>
  <c r="AB59" i="4" s="1"/>
  <c r="B60" i="4"/>
  <c r="AB60" i="4" s="1"/>
  <c r="B61" i="4"/>
  <c r="AB61" i="4" s="1"/>
  <c r="B62" i="4"/>
  <c r="AB62" i="4" s="1"/>
  <c r="B63" i="4"/>
  <c r="AB63" i="4" s="1"/>
  <c r="B64" i="4"/>
  <c r="AB64" i="4" s="1"/>
  <c r="B65" i="4"/>
  <c r="AB65" i="4" s="1"/>
  <c r="B66" i="4"/>
  <c r="AB66" i="4" s="1"/>
  <c r="B67" i="4"/>
  <c r="AB67" i="4" s="1"/>
  <c r="B68" i="4"/>
  <c r="AB68" i="4" s="1"/>
  <c r="B69" i="4"/>
  <c r="AB69" i="4" s="1"/>
  <c r="B70" i="4"/>
  <c r="AB70" i="4" s="1"/>
  <c r="B71" i="4"/>
  <c r="AB71" i="4" s="1"/>
  <c r="B72" i="4"/>
  <c r="AB72" i="4" s="1"/>
  <c r="B73" i="4"/>
  <c r="AB73" i="4" s="1"/>
  <c r="B74" i="4"/>
  <c r="AB74" i="4" s="1"/>
  <c r="B75" i="4"/>
  <c r="AB75" i="4" s="1"/>
  <c r="B76" i="4"/>
  <c r="AB76" i="4" s="1"/>
  <c r="B77" i="4"/>
  <c r="AB77" i="4" s="1"/>
  <c r="B78" i="4"/>
  <c r="AB78" i="4" s="1"/>
  <c r="B79" i="4"/>
  <c r="AB79" i="4" s="1"/>
  <c r="B80" i="4"/>
  <c r="AB80" i="4" s="1"/>
  <c r="B81" i="4"/>
  <c r="AB81" i="4" s="1"/>
  <c r="B82" i="4"/>
  <c r="AB82" i="4" s="1"/>
  <c r="B83" i="4"/>
  <c r="AB83" i="4" s="1"/>
  <c r="B84" i="4"/>
  <c r="AB84" i="4" s="1"/>
  <c r="B85" i="4"/>
  <c r="AB85" i="4" s="1"/>
  <c r="B86" i="4"/>
  <c r="AB86" i="4" s="1"/>
  <c r="B87" i="4"/>
  <c r="AB87" i="4" s="1"/>
  <c r="B88" i="4"/>
  <c r="AB88" i="4" s="1"/>
  <c r="B89" i="4"/>
  <c r="AB89" i="4" s="1"/>
  <c r="B90" i="4"/>
  <c r="AB90" i="4" s="1"/>
  <c r="B91" i="4"/>
  <c r="AB91" i="4" s="1"/>
  <c r="B92" i="4"/>
  <c r="AB92" i="4" s="1"/>
  <c r="B93" i="4"/>
  <c r="AB93" i="4" s="1"/>
  <c r="B94" i="4"/>
  <c r="AB94" i="4" s="1"/>
  <c r="B95" i="4"/>
  <c r="AB95" i="4" s="1"/>
  <c r="B96" i="4"/>
  <c r="AB96" i="4" s="1"/>
  <c r="B97" i="4"/>
  <c r="AB97" i="4" s="1"/>
  <c r="B98" i="4"/>
  <c r="AB98" i="4" s="1"/>
  <c r="B99" i="4"/>
  <c r="AB99" i="4" s="1"/>
  <c r="B100" i="4"/>
  <c r="AB100" i="4" s="1"/>
  <c r="B101" i="4"/>
  <c r="AB101" i="4" s="1"/>
  <c r="B102" i="4"/>
  <c r="AB102" i="4" s="1"/>
  <c r="B103" i="4"/>
  <c r="AB103" i="4" s="1"/>
  <c r="B104" i="4"/>
  <c r="AB104" i="4" s="1"/>
  <c r="B105" i="4"/>
  <c r="AB105" i="4" s="1"/>
  <c r="B106" i="4"/>
  <c r="AB106" i="4" s="1"/>
  <c r="B107" i="4"/>
  <c r="AB107" i="4" s="1"/>
  <c r="B108" i="4"/>
  <c r="AB108" i="4" s="1"/>
  <c r="B109" i="4"/>
  <c r="AB109" i="4" s="1"/>
  <c r="B110" i="4"/>
  <c r="AB110" i="4" s="1"/>
  <c r="B111" i="4"/>
  <c r="AB111" i="4" s="1"/>
  <c r="B112" i="4"/>
  <c r="AB112" i="4" s="1"/>
  <c r="B113" i="4"/>
  <c r="AB113" i="4" s="1"/>
  <c r="B114" i="4"/>
  <c r="AB114" i="4" s="1"/>
  <c r="B115" i="4"/>
  <c r="AB115" i="4" s="1"/>
  <c r="B116" i="4"/>
  <c r="AB116" i="4" s="1"/>
  <c r="B117" i="4"/>
  <c r="AB117" i="4" s="1"/>
  <c r="B118" i="4"/>
  <c r="AB118" i="4" s="1"/>
  <c r="B119" i="4"/>
  <c r="AB119" i="4" s="1"/>
  <c r="B120" i="4"/>
  <c r="AB120" i="4" s="1"/>
  <c r="B121" i="4"/>
  <c r="AB121" i="4" s="1"/>
  <c r="B122" i="4"/>
  <c r="AB122" i="4" s="1"/>
  <c r="B123" i="4"/>
  <c r="AB123" i="4" s="1"/>
  <c r="B124" i="4"/>
  <c r="AB124" i="4" s="1"/>
  <c r="B125" i="4"/>
  <c r="AB125" i="4" s="1"/>
  <c r="B126" i="4"/>
  <c r="AB126" i="4" s="1"/>
  <c r="B127" i="4"/>
  <c r="AB127" i="4" s="1"/>
  <c r="B128" i="4"/>
  <c r="AB128" i="4" s="1"/>
  <c r="B129" i="4"/>
  <c r="AB129" i="4" s="1"/>
  <c r="B130" i="4"/>
  <c r="AB130" i="4" s="1"/>
  <c r="B131" i="4"/>
  <c r="AB131" i="4" s="1"/>
  <c r="B132" i="4"/>
  <c r="AB132" i="4" s="1"/>
  <c r="B133" i="4"/>
  <c r="AB133" i="4" s="1"/>
  <c r="B134" i="4"/>
  <c r="AB134" i="4" s="1"/>
  <c r="B135" i="4"/>
  <c r="AB135" i="4" s="1"/>
  <c r="B136" i="4"/>
  <c r="AB136" i="4" s="1"/>
  <c r="B137" i="4"/>
  <c r="AB137" i="4" s="1"/>
  <c r="B138" i="4"/>
  <c r="AB138" i="4" s="1"/>
  <c r="B139" i="4"/>
  <c r="AB139" i="4" s="1"/>
  <c r="B140" i="4"/>
  <c r="AB140" i="4" s="1"/>
  <c r="B141" i="4"/>
  <c r="AB141" i="4" s="1"/>
  <c r="B142" i="4"/>
  <c r="AB142" i="4" s="1"/>
  <c r="B143" i="4"/>
  <c r="AB143" i="4" s="1"/>
  <c r="B144" i="4"/>
  <c r="AB144" i="4" s="1"/>
  <c r="B145" i="4"/>
  <c r="AB145" i="4" s="1"/>
  <c r="B146" i="4"/>
  <c r="AB146" i="4" s="1"/>
  <c r="B147" i="4"/>
  <c r="AB147" i="4" s="1"/>
  <c r="B148" i="4"/>
  <c r="AB148" i="4" s="1"/>
  <c r="B149" i="4"/>
  <c r="AB149" i="4" s="1"/>
  <c r="B150" i="4"/>
  <c r="AB150" i="4" s="1"/>
  <c r="B151" i="4"/>
  <c r="AB151" i="4" s="1"/>
  <c r="B152" i="4"/>
  <c r="AB152" i="4" s="1"/>
  <c r="B153" i="4"/>
  <c r="AB153" i="4" s="1"/>
  <c r="B154" i="4"/>
  <c r="AB154" i="4" s="1"/>
  <c r="B155" i="4"/>
  <c r="AB155" i="4" s="1"/>
  <c r="B156" i="4"/>
  <c r="AB156" i="4" s="1"/>
  <c r="B157" i="4"/>
  <c r="AB157" i="4" s="1"/>
  <c r="B158" i="4"/>
  <c r="AB158" i="4" s="1"/>
  <c r="B159" i="4"/>
  <c r="AB159" i="4" s="1"/>
  <c r="B160" i="4"/>
  <c r="AB160" i="4" s="1"/>
  <c r="B161" i="4"/>
  <c r="AB161" i="4" s="1"/>
  <c r="B162" i="4"/>
  <c r="AB162" i="4" s="1"/>
  <c r="B163" i="4"/>
  <c r="AB163" i="4" s="1"/>
  <c r="B164" i="4"/>
  <c r="AB164" i="4" s="1"/>
  <c r="B165" i="4"/>
  <c r="AB165" i="4" s="1"/>
  <c r="B166" i="4"/>
  <c r="AB166" i="4" s="1"/>
  <c r="B167" i="4"/>
  <c r="AB167" i="4" s="1"/>
  <c r="B168" i="4"/>
  <c r="AB168" i="4" s="1"/>
  <c r="B169" i="4"/>
  <c r="AB169" i="4" s="1"/>
  <c r="B170" i="4"/>
  <c r="AB170" i="4" s="1"/>
  <c r="B171" i="4"/>
  <c r="AB171" i="4" s="1"/>
  <c r="B172" i="4"/>
  <c r="AB172" i="4" s="1"/>
  <c r="B173" i="4"/>
  <c r="AB173" i="4" s="1"/>
  <c r="B174" i="4"/>
  <c r="AB174" i="4" s="1"/>
  <c r="B175" i="4"/>
  <c r="AB175" i="4" s="1"/>
  <c r="B176" i="4"/>
  <c r="AB176" i="4" s="1"/>
  <c r="B177" i="4"/>
  <c r="AB177" i="4" s="1"/>
  <c r="B178" i="4"/>
  <c r="AB178" i="4" s="1"/>
  <c r="B179" i="4"/>
  <c r="AB179" i="4" s="1"/>
  <c r="B180" i="4"/>
  <c r="AB180" i="4" s="1"/>
  <c r="B181" i="4"/>
  <c r="AB181" i="4" s="1"/>
  <c r="B182" i="4"/>
  <c r="AB182" i="4" s="1"/>
  <c r="B183" i="4"/>
  <c r="AB183" i="4" s="1"/>
  <c r="B184" i="4"/>
  <c r="AB184" i="4" s="1"/>
  <c r="B185" i="4"/>
  <c r="AB185" i="4" s="1"/>
  <c r="B186" i="4"/>
  <c r="AB186" i="4" s="1"/>
  <c r="B187" i="4"/>
  <c r="AB187" i="4" s="1"/>
  <c r="B188" i="4"/>
  <c r="AB188" i="4" s="1"/>
  <c r="B189" i="4"/>
  <c r="AB189" i="4" s="1"/>
  <c r="B190" i="4"/>
  <c r="AB190" i="4" s="1"/>
  <c r="B191" i="4"/>
  <c r="AB191" i="4" s="1"/>
  <c r="B192" i="4"/>
  <c r="AB192" i="4" s="1"/>
  <c r="B193" i="4"/>
  <c r="AB193" i="4" s="1"/>
  <c r="B194" i="4"/>
  <c r="AB194" i="4" s="1"/>
  <c r="B195" i="4"/>
  <c r="AB195" i="4" s="1"/>
  <c r="B196" i="4"/>
  <c r="AB196" i="4" s="1"/>
  <c r="B197" i="4"/>
  <c r="AB197" i="4" s="1"/>
  <c r="B198" i="4"/>
  <c r="AB198" i="4" s="1"/>
  <c r="B199" i="4"/>
  <c r="AB199" i="4" s="1"/>
  <c r="B200" i="4"/>
  <c r="AB200" i="4" s="1"/>
  <c r="B201" i="4"/>
  <c r="AB201" i="4" s="1"/>
  <c r="B202" i="4"/>
  <c r="AB202" i="4" s="1"/>
  <c r="B203" i="4"/>
  <c r="AB203" i="4" s="1"/>
  <c r="B204" i="4"/>
  <c r="AB204" i="4" s="1"/>
  <c r="B205" i="4"/>
  <c r="AB205" i="4" s="1"/>
  <c r="B206" i="4"/>
  <c r="AB206" i="4" s="1"/>
  <c r="B207" i="4"/>
  <c r="AB207" i="4" s="1"/>
  <c r="B8" i="4"/>
  <c r="AB8" i="4" s="1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AB7" i="4"/>
  <c r="B6" i="14"/>
  <c r="C10" i="10"/>
  <c r="C13" i="16" l="1"/>
  <c r="C201" i="14"/>
  <c r="C193" i="14"/>
  <c r="C185" i="14"/>
  <c r="C177" i="14"/>
  <c r="C169" i="14"/>
  <c r="C161" i="14"/>
  <c r="C153" i="14"/>
  <c r="C145" i="14"/>
  <c r="C137" i="14"/>
  <c r="C129" i="14"/>
  <c r="C121" i="14"/>
  <c r="C113" i="14"/>
  <c r="C105" i="14"/>
  <c r="C97" i="14"/>
  <c r="C89" i="14"/>
  <c r="C81" i="14"/>
  <c r="C73" i="14"/>
  <c r="C65" i="14"/>
  <c r="C57" i="14"/>
  <c r="C49" i="14"/>
  <c r="C41" i="14"/>
  <c r="C33" i="14"/>
  <c r="C25" i="14"/>
  <c r="C17" i="14"/>
  <c r="C9" i="14"/>
  <c r="C204" i="16"/>
  <c r="C196" i="16"/>
  <c r="C188" i="16"/>
  <c r="C180" i="16"/>
  <c r="C172" i="16"/>
  <c r="C164" i="16"/>
  <c r="C156" i="16"/>
  <c r="C148" i="16"/>
  <c r="C140" i="16"/>
  <c r="C132" i="16"/>
  <c r="C124" i="16"/>
  <c r="C116" i="16"/>
  <c r="C108" i="16"/>
  <c r="C100" i="16"/>
  <c r="C92" i="16"/>
  <c r="C84" i="16"/>
  <c r="C76" i="16"/>
  <c r="C68" i="16"/>
  <c r="C60" i="16"/>
  <c r="C52" i="16"/>
  <c r="C44" i="16"/>
  <c r="C36" i="16"/>
  <c r="C28" i="16"/>
  <c r="C20" i="16"/>
  <c r="C12" i="16"/>
  <c r="C203" i="16"/>
  <c r="C195" i="16"/>
  <c r="C187" i="16"/>
  <c r="C179" i="16"/>
  <c r="C171" i="16"/>
  <c r="C163" i="16"/>
  <c r="C155" i="16"/>
  <c r="C147" i="16"/>
  <c r="C139" i="16"/>
  <c r="C131" i="16"/>
  <c r="C123" i="16"/>
  <c r="C115" i="16"/>
  <c r="C107" i="16"/>
  <c r="C99" i="16"/>
  <c r="C91" i="16"/>
  <c r="C83" i="16"/>
  <c r="C75" i="16"/>
  <c r="C67" i="16"/>
  <c r="C59" i="16"/>
  <c r="C51" i="16"/>
  <c r="C43" i="16"/>
  <c r="C35" i="16"/>
  <c r="C27" i="16"/>
  <c r="C19" i="16"/>
  <c r="C11" i="16"/>
  <c r="C202" i="16"/>
  <c r="C194" i="16"/>
  <c r="C186" i="16"/>
  <c r="C178" i="16"/>
  <c r="C170" i="16"/>
  <c r="C162" i="16"/>
  <c r="C154" i="16"/>
  <c r="C146" i="16"/>
  <c r="C138" i="16"/>
  <c r="C130" i="16"/>
  <c r="C122" i="16"/>
  <c r="C114" i="16"/>
  <c r="C106" i="16"/>
  <c r="C98" i="16"/>
  <c r="C90" i="16"/>
  <c r="C82" i="16"/>
  <c r="C74" i="16"/>
  <c r="C66" i="16"/>
  <c r="C58" i="16"/>
  <c r="C50" i="16"/>
  <c r="C42" i="16"/>
  <c r="C34" i="16"/>
  <c r="C26" i="16"/>
  <c r="C18" i="16"/>
  <c r="C10" i="16"/>
  <c r="C198" i="14"/>
  <c r="C190" i="14"/>
  <c r="C182" i="14"/>
  <c r="C174" i="14"/>
  <c r="C166" i="14"/>
  <c r="C158" i="14"/>
  <c r="C150" i="14"/>
  <c r="C142" i="14"/>
  <c r="C134" i="14"/>
  <c r="C126" i="14"/>
  <c r="C118" i="14"/>
  <c r="C110" i="14"/>
  <c r="C102" i="14"/>
  <c r="C94" i="14"/>
  <c r="C86" i="14"/>
  <c r="C78" i="14"/>
  <c r="C70" i="14"/>
  <c r="C62" i="14"/>
  <c r="C54" i="14"/>
  <c r="C46" i="14"/>
  <c r="C38" i="14"/>
  <c r="C30" i="14"/>
  <c r="C22" i="14"/>
  <c r="C14" i="14"/>
  <c r="C201" i="16"/>
  <c r="C193" i="16"/>
  <c r="C185" i="16"/>
  <c r="C177" i="16"/>
  <c r="C169" i="16"/>
  <c r="C161" i="16"/>
  <c r="C153" i="16"/>
  <c r="C145" i="16"/>
  <c r="C137" i="16"/>
  <c r="C129" i="16"/>
  <c r="C121" i="16"/>
  <c r="C113" i="16"/>
  <c r="C105" i="16"/>
  <c r="C97" i="16"/>
  <c r="C89" i="16"/>
  <c r="C81" i="16"/>
  <c r="C73" i="16"/>
  <c r="C65" i="16"/>
  <c r="C57" i="16"/>
  <c r="C49" i="16"/>
  <c r="C41" i="16"/>
  <c r="C33" i="16"/>
  <c r="C25" i="16"/>
  <c r="C17" i="16"/>
  <c r="C9" i="16"/>
  <c r="C205" i="14"/>
  <c r="C197" i="14"/>
  <c r="C189" i="14"/>
  <c r="C181" i="14"/>
  <c r="C173" i="14"/>
  <c r="C165" i="14"/>
  <c r="C157" i="14"/>
  <c r="C149" i="14"/>
  <c r="C141" i="14"/>
  <c r="C133" i="14"/>
  <c r="C125" i="14"/>
  <c r="C117" i="14"/>
  <c r="C109" i="14"/>
  <c r="C101" i="14"/>
  <c r="C93" i="14"/>
  <c r="C85" i="14"/>
  <c r="C77" i="14"/>
  <c r="C69" i="14"/>
  <c r="C61" i="14"/>
  <c r="C53" i="14"/>
  <c r="C45" i="14"/>
  <c r="C37" i="14"/>
  <c r="C29" i="14"/>
  <c r="C21" i="14"/>
  <c r="C13" i="14"/>
  <c r="C6" i="16"/>
  <c r="C200" i="16"/>
  <c r="C192" i="16"/>
  <c r="C184" i="16"/>
  <c r="C176" i="16"/>
  <c r="C168" i="16"/>
  <c r="C160" i="16"/>
  <c r="C152" i="16"/>
  <c r="C144" i="16"/>
  <c r="C136" i="16"/>
  <c r="C128" i="16"/>
  <c r="C120" i="16"/>
  <c r="C112" i="16"/>
  <c r="C104" i="16"/>
  <c r="C96" i="16"/>
  <c r="C88" i="16"/>
  <c r="C80" i="16"/>
  <c r="C72" i="16"/>
  <c r="C64" i="16"/>
  <c r="C56" i="16"/>
  <c r="C48" i="16"/>
  <c r="C40" i="16"/>
  <c r="C32" i="16"/>
  <c r="C24" i="16"/>
  <c r="C16" i="16"/>
  <c r="C8" i="16"/>
  <c r="C199" i="16"/>
  <c r="C191" i="16"/>
  <c r="C183" i="16"/>
  <c r="C175" i="16"/>
  <c r="C167" i="16"/>
  <c r="C159" i="16"/>
  <c r="C151" i="16"/>
  <c r="C143" i="16"/>
  <c r="C135" i="16"/>
  <c r="C127" i="16"/>
  <c r="C119" i="16"/>
  <c r="C111" i="16"/>
  <c r="C103" i="16"/>
  <c r="C95" i="16"/>
  <c r="C87" i="16"/>
  <c r="C79" i="16"/>
  <c r="C71" i="16"/>
  <c r="C63" i="16"/>
  <c r="C55" i="16"/>
  <c r="C47" i="16"/>
  <c r="C39" i="16"/>
  <c r="C31" i="16"/>
  <c r="C23" i="16"/>
  <c r="C15" i="16"/>
  <c r="C7" i="16"/>
  <c r="C198" i="16"/>
  <c r="C190" i="16"/>
  <c r="C182" i="16"/>
  <c r="C174" i="16"/>
  <c r="C166" i="16"/>
  <c r="C158" i="16"/>
  <c r="C150" i="16"/>
  <c r="C142" i="16"/>
  <c r="C134" i="16"/>
  <c r="C126" i="16"/>
  <c r="C118" i="16"/>
  <c r="C110" i="16"/>
  <c r="C102" i="16"/>
  <c r="C94" i="16"/>
  <c r="C86" i="16"/>
  <c r="C78" i="16"/>
  <c r="C70" i="16"/>
  <c r="C62" i="16"/>
  <c r="C54" i="16"/>
  <c r="C46" i="16"/>
  <c r="C38" i="16"/>
  <c r="C30" i="16"/>
  <c r="C22" i="16"/>
  <c r="C14" i="16"/>
  <c r="C204" i="14"/>
  <c r="C200" i="14"/>
  <c r="C196" i="14"/>
  <c r="C192" i="14"/>
  <c r="C188" i="14"/>
  <c r="C184" i="14"/>
  <c r="C180" i="14"/>
  <c r="C176" i="14"/>
  <c r="C172" i="14"/>
  <c r="C168" i="14"/>
  <c r="C164" i="14"/>
  <c r="C160" i="14"/>
  <c r="C156" i="14"/>
  <c r="C152" i="14"/>
  <c r="C148" i="14"/>
  <c r="C144" i="14"/>
  <c r="C140" i="14"/>
  <c r="C136" i="14"/>
  <c r="C132" i="14"/>
  <c r="C128" i="14"/>
  <c r="C124" i="14"/>
  <c r="C120" i="14"/>
  <c r="C116" i="14"/>
  <c r="C112" i="14"/>
  <c r="C108" i="14"/>
  <c r="C104" i="14"/>
  <c r="C100" i="14"/>
  <c r="C96" i="14"/>
  <c r="C92" i="14"/>
  <c r="C88" i="14"/>
  <c r="C84" i="14"/>
  <c r="C80" i="14"/>
  <c r="C76" i="14"/>
  <c r="C72" i="14"/>
  <c r="C68" i="14"/>
  <c r="C64" i="14"/>
  <c r="C60" i="14"/>
  <c r="C56" i="14"/>
  <c r="C52" i="14"/>
  <c r="C48" i="14"/>
  <c r="C44" i="14"/>
  <c r="C40" i="14"/>
  <c r="C36" i="14"/>
  <c r="C32" i="14"/>
  <c r="C28" i="14"/>
  <c r="C24" i="14"/>
  <c r="C20" i="14"/>
  <c r="C16" i="14"/>
  <c r="C12" i="14"/>
  <c r="C8" i="14"/>
  <c r="C6" i="14"/>
  <c r="C203" i="14"/>
  <c r="C199" i="14"/>
  <c r="C195" i="14"/>
  <c r="C191" i="14"/>
  <c r="C187" i="14"/>
  <c r="C183" i="14"/>
  <c r="C179" i="14"/>
  <c r="C175" i="14"/>
  <c r="C171" i="14"/>
  <c r="C167" i="14"/>
  <c r="C163" i="14"/>
  <c r="C159" i="14"/>
  <c r="C155" i="14"/>
  <c r="C151" i="14"/>
  <c r="C147" i="14"/>
  <c r="C143" i="14"/>
  <c r="C139" i="14"/>
  <c r="C135" i="14"/>
  <c r="C131" i="14"/>
  <c r="C127" i="14"/>
  <c r="C123" i="14"/>
  <c r="C119" i="14"/>
  <c r="C115" i="14"/>
  <c r="C111" i="14"/>
  <c r="C107" i="14"/>
  <c r="C103" i="14"/>
  <c r="C99" i="14"/>
  <c r="C95" i="14"/>
  <c r="C91" i="14"/>
  <c r="C87" i="14"/>
  <c r="C83" i="14"/>
  <c r="C79" i="14"/>
  <c r="C75" i="14"/>
  <c r="C71" i="14"/>
  <c r="C67" i="14"/>
  <c r="C63" i="14"/>
  <c r="C59" i="14"/>
  <c r="C55" i="14"/>
  <c r="C51" i="14"/>
  <c r="C47" i="14"/>
  <c r="C43" i="14"/>
  <c r="C39" i="14"/>
  <c r="C35" i="14"/>
  <c r="C31" i="14"/>
  <c r="C27" i="14"/>
  <c r="C23" i="14"/>
  <c r="C19" i="14"/>
  <c r="C15" i="14"/>
  <c r="C11" i="14"/>
  <c r="C7" i="14"/>
  <c r="C8" i="4"/>
  <c r="AC8" i="4" s="1"/>
  <c r="R10" i="18"/>
  <c r="T10" i="18" s="1"/>
  <c r="D5" i="16"/>
  <c r="E5" i="16" s="1"/>
  <c r="F5" i="16" s="1"/>
  <c r="G5" i="16" s="1"/>
  <c r="H5" i="16" s="1"/>
  <c r="I5" i="16" s="1"/>
  <c r="J5" i="16" s="1"/>
  <c r="K5" i="16" s="1"/>
  <c r="L5" i="16" s="1"/>
  <c r="M5" i="16" s="1"/>
  <c r="N5" i="16" s="1"/>
  <c r="T3" i="18" l="1"/>
  <c r="D6" i="14"/>
  <c r="D6" i="16"/>
  <c r="AB3" i="4"/>
  <c r="AB4" i="4" s="1"/>
  <c r="AG14" i="1"/>
  <c r="AH14" i="1" s="1"/>
  <c r="C3" i="10" l="1"/>
  <c r="C4" i="10" l="1"/>
  <c r="D10" i="10" s="1"/>
  <c r="E10" i="10" s="1"/>
  <c r="F10" i="10" s="1"/>
  <c r="G10" i="10" s="1"/>
  <c r="H10" i="10" s="1"/>
  <c r="I10" i="10" s="1"/>
  <c r="J10" i="10" s="1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Y10" i="10" s="1"/>
  <c r="Z10" i="10" s="1"/>
  <c r="AA10" i="10" s="1"/>
  <c r="AA3" i="10"/>
  <c r="AC6" i="1"/>
  <c r="AC5" i="1"/>
  <c r="AA6" i="1"/>
  <c r="AE6" i="1" s="1"/>
  <c r="C9" i="4"/>
  <c r="AC9" i="4" s="1"/>
  <c r="D7" i="16" s="1"/>
  <c r="C10" i="4"/>
  <c r="AC10" i="4" s="1"/>
  <c r="D8" i="16" s="1"/>
  <c r="C11" i="4"/>
  <c r="AC11" i="4" s="1"/>
  <c r="D9" i="16" s="1"/>
  <c r="C12" i="4"/>
  <c r="AC12" i="4" s="1"/>
  <c r="D10" i="16" s="1"/>
  <c r="C13" i="4"/>
  <c r="AC13" i="4" s="1"/>
  <c r="D11" i="16" s="1"/>
  <c r="C14" i="4"/>
  <c r="AC14" i="4" s="1"/>
  <c r="D12" i="16" s="1"/>
  <c r="C15" i="4"/>
  <c r="AC15" i="4" s="1"/>
  <c r="D13" i="16" s="1"/>
  <c r="C16" i="4"/>
  <c r="AC16" i="4" s="1"/>
  <c r="D14" i="16" s="1"/>
  <c r="C17" i="4"/>
  <c r="AC17" i="4" s="1"/>
  <c r="D15" i="16" s="1"/>
  <c r="C18" i="4"/>
  <c r="AC18" i="4" s="1"/>
  <c r="D16" i="16" s="1"/>
  <c r="C19" i="4"/>
  <c r="AC19" i="4" s="1"/>
  <c r="D17" i="16" s="1"/>
  <c r="C20" i="4"/>
  <c r="AC20" i="4" s="1"/>
  <c r="D18" i="16" s="1"/>
  <c r="C21" i="4"/>
  <c r="AC21" i="4" s="1"/>
  <c r="D19" i="16" s="1"/>
  <c r="C22" i="4"/>
  <c r="AC22" i="4" s="1"/>
  <c r="D20" i="16" s="1"/>
  <c r="C23" i="4"/>
  <c r="AC23" i="4" s="1"/>
  <c r="D21" i="16" s="1"/>
  <c r="C24" i="4"/>
  <c r="AC24" i="4" s="1"/>
  <c r="D22" i="16" s="1"/>
  <c r="C25" i="4"/>
  <c r="AC25" i="4" s="1"/>
  <c r="D23" i="16" s="1"/>
  <c r="C26" i="4"/>
  <c r="AC26" i="4" s="1"/>
  <c r="D24" i="16" s="1"/>
  <c r="C27" i="4"/>
  <c r="AC27" i="4" s="1"/>
  <c r="D25" i="16" s="1"/>
  <c r="C28" i="4"/>
  <c r="AC28" i="4" s="1"/>
  <c r="D26" i="16" s="1"/>
  <c r="C29" i="4"/>
  <c r="AC29" i="4" s="1"/>
  <c r="D27" i="16" s="1"/>
  <c r="C30" i="4"/>
  <c r="AC30" i="4" s="1"/>
  <c r="D28" i="16" s="1"/>
  <c r="C31" i="4"/>
  <c r="AC31" i="4" s="1"/>
  <c r="D29" i="16" s="1"/>
  <c r="C32" i="4"/>
  <c r="AC32" i="4" s="1"/>
  <c r="D30" i="16" s="1"/>
  <c r="C33" i="4"/>
  <c r="AC33" i="4" s="1"/>
  <c r="D31" i="16" s="1"/>
  <c r="C34" i="4"/>
  <c r="AC34" i="4" s="1"/>
  <c r="D32" i="16" s="1"/>
  <c r="C35" i="4"/>
  <c r="AC35" i="4" s="1"/>
  <c r="D33" i="16" s="1"/>
  <c r="C36" i="4"/>
  <c r="AC36" i="4" s="1"/>
  <c r="D34" i="16" s="1"/>
  <c r="C37" i="4"/>
  <c r="AC37" i="4" s="1"/>
  <c r="D35" i="16" s="1"/>
  <c r="C38" i="4"/>
  <c r="AC38" i="4" s="1"/>
  <c r="D36" i="16" s="1"/>
  <c r="C39" i="4"/>
  <c r="AC39" i="4" s="1"/>
  <c r="D37" i="16" s="1"/>
  <c r="C40" i="4"/>
  <c r="AC40" i="4" s="1"/>
  <c r="D38" i="16" s="1"/>
  <c r="C41" i="4"/>
  <c r="AC41" i="4" s="1"/>
  <c r="D39" i="16" s="1"/>
  <c r="C42" i="4"/>
  <c r="AC42" i="4" s="1"/>
  <c r="D40" i="16" s="1"/>
  <c r="C43" i="4"/>
  <c r="AC43" i="4" s="1"/>
  <c r="D41" i="16" s="1"/>
  <c r="C44" i="4"/>
  <c r="AC44" i="4" s="1"/>
  <c r="D42" i="16" s="1"/>
  <c r="C45" i="4"/>
  <c r="AC45" i="4" s="1"/>
  <c r="D43" i="16" s="1"/>
  <c r="C46" i="4"/>
  <c r="AC46" i="4" s="1"/>
  <c r="D44" i="16" s="1"/>
  <c r="C47" i="4"/>
  <c r="AC47" i="4" s="1"/>
  <c r="D45" i="16" s="1"/>
  <c r="C48" i="4"/>
  <c r="AC48" i="4" s="1"/>
  <c r="D46" i="16" s="1"/>
  <c r="C49" i="4"/>
  <c r="AC49" i="4" s="1"/>
  <c r="D47" i="16" s="1"/>
  <c r="C50" i="4"/>
  <c r="AC50" i="4" s="1"/>
  <c r="D48" i="16" s="1"/>
  <c r="C51" i="4"/>
  <c r="AC51" i="4" s="1"/>
  <c r="D49" i="16" s="1"/>
  <c r="C52" i="4"/>
  <c r="AC52" i="4" s="1"/>
  <c r="D50" i="16" s="1"/>
  <c r="C53" i="4"/>
  <c r="AC53" i="4" s="1"/>
  <c r="D51" i="16" s="1"/>
  <c r="C54" i="4"/>
  <c r="AC54" i="4" s="1"/>
  <c r="D52" i="16" s="1"/>
  <c r="C55" i="4"/>
  <c r="AC55" i="4" s="1"/>
  <c r="D53" i="16" s="1"/>
  <c r="C56" i="4"/>
  <c r="AC56" i="4" s="1"/>
  <c r="D54" i="16" s="1"/>
  <c r="C57" i="4"/>
  <c r="AC57" i="4" s="1"/>
  <c r="D55" i="16" s="1"/>
  <c r="C58" i="4"/>
  <c r="AC58" i="4" s="1"/>
  <c r="D56" i="16" s="1"/>
  <c r="C59" i="4"/>
  <c r="AC59" i="4" s="1"/>
  <c r="D57" i="16" s="1"/>
  <c r="C60" i="4"/>
  <c r="AC60" i="4" s="1"/>
  <c r="D58" i="16" s="1"/>
  <c r="C61" i="4"/>
  <c r="AC61" i="4" s="1"/>
  <c r="D59" i="16" s="1"/>
  <c r="C62" i="4"/>
  <c r="AC62" i="4" s="1"/>
  <c r="D60" i="16" s="1"/>
  <c r="C63" i="4"/>
  <c r="AC63" i="4" s="1"/>
  <c r="D61" i="16" s="1"/>
  <c r="C64" i="4"/>
  <c r="AC64" i="4" s="1"/>
  <c r="D62" i="16" s="1"/>
  <c r="C65" i="4"/>
  <c r="AC65" i="4" s="1"/>
  <c r="D63" i="16" s="1"/>
  <c r="C66" i="4"/>
  <c r="AC66" i="4" s="1"/>
  <c r="D64" i="16" s="1"/>
  <c r="C67" i="4"/>
  <c r="AC67" i="4" s="1"/>
  <c r="D65" i="16" s="1"/>
  <c r="C68" i="4"/>
  <c r="AC68" i="4" s="1"/>
  <c r="D66" i="16" s="1"/>
  <c r="C69" i="4"/>
  <c r="AC69" i="4" s="1"/>
  <c r="D67" i="16" s="1"/>
  <c r="C70" i="4"/>
  <c r="AC70" i="4" s="1"/>
  <c r="D68" i="16" s="1"/>
  <c r="C71" i="4"/>
  <c r="AC71" i="4" s="1"/>
  <c r="D69" i="16" s="1"/>
  <c r="C72" i="4"/>
  <c r="AC72" i="4" s="1"/>
  <c r="D70" i="16" s="1"/>
  <c r="C73" i="4"/>
  <c r="AC73" i="4" s="1"/>
  <c r="D71" i="16" s="1"/>
  <c r="C74" i="4"/>
  <c r="AC74" i="4" s="1"/>
  <c r="D72" i="16" s="1"/>
  <c r="C75" i="4"/>
  <c r="AC75" i="4" s="1"/>
  <c r="D73" i="16" s="1"/>
  <c r="C76" i="4"/>
  <c r="AC76" i="4" s="1"/>
  <c r="D74" i="16" s="1"/>
  <c r="C77" i="4"/>
  <c r="AC77" i="4" s="1"/>
  <c r="D75" i="16" s="1"/>
  <c r="C78" i="4"/>
  <c r="AC78" i="4" s="1"/>
  <c r="D76" i="16" s="1"/>
  <c r="C79" i="4"/>
  <c r="AC79" i="4" s="1"/>
  <c r="D77" i="16" s="1"/>
  <c r="C80" i="4"/>
  <c r="AC80" i="4" s="1"/>
  <c r="D78" i="16" s="1"/>
  <c r="C81" i="4"/>
  <c r="AC81" i="4" s="1"/>
  <c r="D79" i="16" s="1"/>
  <c r="C82" i="4"/>
  <c r="AC82" i="4" s="1"/>
  <c r="D80" i="16" s="1"/>
  <c r="C83" i="4"/>
  <c r="AC83" i="4" s="1"/>
  <c r="D81" i="16" s="1"/>
  <c r="C84" i="4"/>
  <c r="AC84" i="4" s="1"/>
  <c r="D82" i="16" s="1"/>
  <c r="C85" i="4"/>
  <c r="AC85" i="4" s="1"/>
  <c r="D83" i="16" s="1"/>
  <c r="C86" i="4"/>
  <c r="AC86" i="4" s="1"/>
  <c r="D84" i="16" s="1"/>
  <c r="C87" i="4"/>
  <c r="AC87" i="4" s="1"/>
  <c r="D85" i="16" s="1"/>
  <c r="C88" i="4"/>
  <c r="AC88" i="4" s="1"/>
  <c r="D86" i="16" s="1"/>
  <c r="C89" i="4"/>
  <c r="AC89" i="4" s="1"/>
  <c r="D87" i="16" s="1"/>
  <c r="C90" i="4"/>
  <c r="AC90" i="4" s="1"/>
  <c r="D88" i="16" s="1"/>
  <c r="C91" i="4"/>
  <c r="AC91" i="4" s="1"/>
  <c r="D89" i="16" s="1"/>
  <c r="C92" i="4"/>
  <c r="AC92" i="4" s="1"/>
  <c r="D90" i="16" s="1"/>
  <c r="C93" i="4"/>
  <c r="AC93" i="4" s="1"/>
  <c r="D91" i="16" s="1"/>
  <c r="C94" i="4"/>
  <c r="AC94" i="4" s="1"/>
  <c r="D92" i="16" s="1"/>
  <c r="C95" i="4"/>
  <c r="AC95" i="4" s="1"/>
  <c r="D93" i="16" s="1"/>
  <c r="C96" i="4"/>
  <c r="AC96" i="4" s="1"/>
  <c r="D94" i="16" s="1"/>
  <c r="C97" i="4"/>
  <c r="AC97" i="4" s="1"/>
  <c r="D95" i="16" s="1"/>
  <c r="C98" i="4"/>
  <c r="AC98" i="4" s="1"/>
  <c r="D96" i="16" s="1"/>
  <c r="C99" i="4"/>
  <c r="AC99" i="4" s="1"/>
  <c r="D97" i="16" s="1"/>
  <c r="C100" i="4"/>
  <c r="AC100" i="4" s="1"/>
  <c r="D98" i="16" s="1"/>
  <c r="C101" i="4"/>
  <c r="AC101" i="4" s="1"/>
  <c r="D99" i="16" s="1"/>
  <c r="C102" i="4"/>
  <c r="AC102" i="4" s="1"/>
  <c r="D100" i="16" s="1"/>
  <c r="C103" i="4"/>
  <c r="AC103" i="4" s="1"/>
  <c r="D101" i="16" s="1"/>
  <c r="C104" i="4"/>
  <c r="AC104" i="4" s="1"/>
  <c r="D102" i="16" s="1"/>
  <c r="C105" i="4"/>
  <c r="AC105" i="4" s="1"/>
  <c r="D103" i="16" s="1"/>
  <c r="C106" i="4"/>
  <c r="AC106" i="4" s="1"/>
  <c r="D104" i="16" s="1"/>
  <c r="C107" i="4"/>
  <c r="AC107" i="4" s="1"/>
  <c r="D105" i="16" s="1"/>
  <c r="C108" i="4"/>
  <c r="AC108" i="4" s="1"/>
  <c r="D106" i="16" s="1"/>
  <c r="C109" i="4"/>
  <c r="AC109" i="4" s="1"/>
  <c r="D107" i="16" s="1"/>
  <c r="C110" i="4"/>
  <c r="AC110" i="4" s="1"/>
  <c r="D108" i="16" s="1"/>
  <c r="C111" i="4"/>
  <c r="AC111" i="4" s="1"/>
  <c r="D109" i="16" s="1"/>
  <c r="C112" i="4"/>
  <c r="AC112" i="4" s="1"/>
  <c r="D110" i="16" s="1"/>
  <c r="C113" i="4"/>
  <c r="AC113" i="4" s="1"/>
  <c r="D111" i="16" s="1"/>
  <c r="C114" i="4"/>
  <c r="AC114" i="4" s="1"/>
  <c r="D112" i="16" s="1"/>
  <c r="C115" i="4"/>
  <c r="AC115" i="4" s="1"/>
  <c r="D113" i="16" s="1"/>
  <c r="C116" i="4"/>
  <c r="AC116" i="4" s="1"/>
  <c r="D114" i="16" s="1"/>
  <c r="C117" i="4"/>
  <c r="AC117" i="4" s="1"/>
  <c r="D115" i="16" s="1"/>
  <c r="C118" i="4"/>
  <c r="AC118" i="4" s="1"/>
  <c r="D116" i="16" s="1"/>
  <c r="C119" i="4"/>
  <c r="AC119" i="4" s="1"/>
  <c r="D117" i="16" s="1"/>
  <c r="C120" i="4"/>
  <c r="AC120" i="4" s="1"/>
  <c r="D118" i="16" s="1"/>
  <c r="C121" i="4"/>
  <c r="AC121" i="4" s="1"/>
  <c r="D119" i="16" s="1"/>
  <c r="C122" i="4"/>
  <c r="AC122" i="4" s="1"/>
  <c r="D120" i="16" s="1"/>
  <c r="C123" i="4"/>
  <c r="AC123" i="4" s="1"/>
  <c r="D121" i="16" s="1"/>
  <c r="C124" i="4"/>
  <c r="AC124" i="4" s="1"/>
  <c r="D122" i="16" s="1"/>
  <c r="C125" i="4"/>
  <c r="AC125" i="4" s="1"/>
  <c r="D123" i="16" s="1"/>
  <c r="C126" i="4"/>
  <c r="AC126" i="4" s="1"/>
  <c r="D124" i="16" s="1"/>
  <c r="C127" i="4"/>
  <c r="AC127" i="4" s="1"/>
  <c r="D125" i="16" s="1"/>
  <c r="C128" i="4"/>
  <c r="AC128" i="4" s="1"/>
  <c r="D126" i="16" s="1"/>
  <c r="C129" i="4"/>
  <c r="AC129" i="4" s="1"/>
  <c r="D127" i="16" s="1"/>
  <c r="C130" i="4"/>
  <c r="AC130" i="4" s="1"/>
  <c r="D128" i="16" s="1"/>
  <c r="C131" i="4"/>
  <c r="AC131" i="4" s="1"/>
  <c r="D129" i="16" s="1"/>
  <c r="C132" i="4"/>
  <c r="AC132" i="4" s="1"/>
  <c r="D130" i="16" s="1"/>
  <c r="C133" i="4"/>
  <c r="AC133" i="4" s="1"/>
  <c r="D131" i="16" s="1"/>
  <c r="C134" i="4"/>
  <c r="AC134" i="4" s="1"/>
  <c r="D132" i="16" s="1"/>
  <c r="C135" i="4"/>
  <c r="AC135" i="4" s="1"/>
  <c r="D133" i="16" s="1"/>
  <c r="C136" i="4"/>
  <c r="AC136" i="4" s="1"/>
  <c r="D134" i="16" s="1"/>
  <c r="C137" i="4"/>
  <c r="AC137" i="4" s="1"/>
  <c r="D135" i="16" s="1"/>
  <c r="C138" i="4"/>
  <c r="AC138" i="4" s="1"/>
  <c r="D136" i="16" s="1"/>
  <c r="C139" i="4"/>
  <c r="AC139" i="4" s="1"/>
  <c r="D137" i="16" s="1"/>
  <c r="C140" i="4"/>
  <c r="AC140" i="4" s="1"/>
  <c r="D138" i="16" s="1"/>
  <c r="C141" i="4"/>
  <c r="AC141" i="4" s="1"/>
  <c r="D139" i="16" s="1"/>
  <c r="C142" i="4"/>
  <c r="AC142" i="4" s="1"/>
  <c r="D140" i="16" s="1"/>
  <c r="C143" i="4"/>
  <c r="AC143" i="4" s="1"/>
  <c r="D141" i="16" s="1"/>
  <c r="C144" i="4"/>
  <c r="AC144" i="4" s="1"/>
  <c r="D142" i="16" s="1"/>
  <c r="C145" i="4"/>
  <c r="AC145" i="4" s="1"/>
  <c r="D143" i="16" s="1"/>
  <c r="C146" i="4"/>
  <c r="AC146" i="4" s="1"/>
  <c r="D144" i="16" s="1"/>
  <c r="C147" i="4"/>
  <c r="AC147" i="4" s="1"/>
  <c r="D145" i="16" s="1"/>
  <c r="C148" i="4"/>
  <c r="AC148" i="4" s="1"/>
  <c r="D146" i="16" s="1"/>
  <c r="C149" i="4"/>
  <c r="AC149" i="4" s="1"/>
  <c r="D147" i="16" s="1"/>
  <c r="C150" i="4"/>
  <c r="AC150" i="4" s="1"/>
  <c r="D148" i="16" s="1"/>
  <c r="C151" i="4"/>
  <c r="AC151" i="4" s="1"/>
  <c r="D149" i="16" s="1"/>
  <c r="C152" i="4"/>
  <c r="AC152" i="4" s="1"/>
  <c r="D150" i="16" s="1"/>
  <c r="C153" i="4"/>
  <c r="AC153" i="4" s="1"/>
  <c r="D151" i="16" s="1"/>
  <c r="C154" i="4"/>
  <c r="AC154" i="4" s="1"/>
  <c r="D152" i="16" s="1"/>
  <c r="C155" i="4"/>
  <c r="AC155" i="4" s="1"/>
  <c r="D153" i="16" s="1"/>
  <c r="C156" i="4"/>
  <c r="AC156" i="4" s="1"/>
  <c r="D154" i="16" s="1"/>
  <c r="C157" i="4"/>
  <c r="AC157" i="4" s="1"/>
  <c r="D155" i="16" s="1"/>
  <c r="C158" i="4"/>
  <c r="AC158" i="4" s="1"/>
  <c r="D156" i="16" s="1"/>
  <c r="C159" i="4"/>
  <c r="AC159" i="4" s="1"/>
  <c r="D157" i="16" s="1"/>
  <c r="C160" i="4"/>
  <c r="AC160" i="4" s="1"/>
  <c r="D158" i="16" s="1"/>
  <c r="C161" i="4"/>
  <c r="AC161" i="4" s="1"/>
  <c r="D159" i="16" s="1"/>
  <c r="C162" i="4"/>
  <c r="AC162" i="4" s="1"/>
  <c r="D160" i="16" s="1"/>
  <c r="C163" i="4"/>
  <c r="AC163" i="4" s="1"/>
  <c r="D161" i="16" s="1"/>
  <c r="C164" i="4"/>
  <c r="AC164" i="4" s="1"/>
  <c r="D162" i="16" s="1"/>
  <c r="C165" i="4"/>
  <c r="AC165" i="4" s="1"/>
  <c r="D163" i="16" s="1"/>
  <c r="C166" i="4"/>
  <c r="AC166" i="4" s="1"/>
  <c r="D164" i="16" s="1"/>
  <c r="C167" i="4"/>
  <c r="AC167" i="4" s="1"/>
  <c r="D165" i="16" s="1"/>
  <c r="C168" i="4"/>
  <c r="AC168" i="4" s="1"/>
  <c r="D166" i="16" s="1"/>
  <c r="C169" i="4"/>
  <c r="AC169" i="4" s="1"/>
  <c r="D167" i="16" s="1"/>
  <c r="C170" i="4"/>
  <c r="AC170" i="4" s="1"/>
  <c r="D168" i="16" s="1"/>
  <c r="C171" i="4"/>
  <c r="AC171" i="4" s="1"/>
  <c r="D169" i="16" s="1"/>
  <c r="C172" i="4"/>
  <c r="AC172" i="4" s="1"/>
  <c r="D170" i="16" s="1"/>
  <c r="C173" i="4"/>
  <c r="AC173" i="4" s="1"/>
  <c r="D171" i="16" s="1"/>
  <c r="C174" i="4"/>
  <c r="AC174" i="4" s="1"/>
  <c r="D172" i="16" s="1"/>
  <c r="C175" i="4"/>
  <c r="AC175" i="4" s="1"/>
  <c r="D173" i="16" s="1"/>
  <c r="C176" i="4"/>
  <c r="AC176" i="4" s="1"/>
  <c r="D174" i="16" s="1"/>
  <c r="C177" i="4"/>
  <c r="AC177" i="4" s="1"/>
  <c r="D175" i="16" s="1"/>
  <c r="C178" i="4"/>
  <c r="AC178" i="4" s="1"/>
  <c r="D176" i="16" s="1"/>
  <c r="C179" i="4"/>
  <c r="AC179" i="4" s="1"/>
  <c r="D177" i="16" s="1"/>
  <c r="C180" i="4"/>
  <c r="AC180" i="4" s="1"/>
  <c r="D178" i="16" s="1"/>
  <c r="C181" i="4"/>
  <c r="AC181" i="4" s="1"/>
  <c r="D179" i="16" s="1"/>
  <c r="C182" i="4"/>
  <c r="AC182" i="4" s="1"/>
  <c r="D180" i="16" s="1"/>
  <c r="C183" i="4"/>
  <c r="AC183" i="4" s="1"/>
  <c r="D181" i="16" s="1"/>
  <c r="C184" i="4"/>
  <c r="AC184" i="4" s="1"/>
  <c r="D182" i="16" s="1"/>
  <c r="C185" i="4"/>
  <c r="AC185" i="4" s="1"/>
  <c r="D183" i="16" s="1"/>
  <c r="C186" i="4"/>
  <c r="AC186" i="4" s="1"/>
  <c r="D184" i="16" s="1"/>
  <c r="C187" i="4"/>
  <c r="AC187" i="4" s="1"/>
  <c r="D185" i="16" s="1"/>
  <c r="C188" i="4"/>
  <c r="AC188" i="4" s="1"/>
  <c r="D186" i="16" s="1"/>
  <c r="C189" i="4"/>
  <c r="AC189" i="4" s="1"/>
  <c r="D187" i="16" s="1"/>
  <c r="C190" i="4"/>
  <c r="AC190" i="4" s="1"/>
  <c r="D188" i="16" s="1"/>
  <c r="C191" i="4"/>
  <c r="AC191" i="4" s="1"/>
  <c r="D189" i="16" s="1"/>
  <c r="C192" i="4"/>
  <c r="AC192" i="4" s="1"/>
  <c r="D190" i="16" s="1"/>
  <c r="C193" i="4"/>
  <c r="AC193" i="4" s="1"/>
  <c r="D191" i="16" s="1"/>
  <c r="C194" i="4"/>
  <c r="AC194" i="4" s="1"/>
  <c r="D192" i="16" s="1"/>
  <c r="C195" i="4"/>
  <c r="AC195" i="4" s="1"/>
  <c r="D193" i="16" s="1"/>
  <c r="C196" i="4"/>
  <c r="AC196" i="4" s="1"/>
  <c r="D194" i="16" s="1"/>
  <c r="C197" i="4"/>
  <c r="AC197" i="4" s="1"/>
  <c r="D195" i="16" s="1"/>
  <c r="C198" i="4"/>
  <c r="AC198" i="4" s="1"/>
  <c r="D196" i="16" s="1"/>
  <c r="C199" i="4"/>
  <c r="AC199" i="4" s="1"/>
  <c r="D197" i="16" s="1"/>
  <c r="C200" i="4"/>
  <c r="AC200" i="4" s="1"/>
  <c r="D198" i="16" s="1"/>
  <c r="C201" i="4"/>
  <c r="AC201" i="4" s="1"/>
  <c r="D199" i="16" s="1"/>
  <c r="C202" i="4"/>
  <c r="AC202" i="4" s="1"/>
  <c r="D200" i="16" s="1"/>
  <c r="C203" i="4"/>
  <c r="AC203" i="4" s="1"/>
  <c r="D201" i="16" s="1"/>
  <c r="C204" i="4"/>
  <c r="AC204" i="4" s="1"/>
  <c r="D202" i="16" s="1"/>
  <c r="C205" i="4"/>
  <c r="AC205" i="4" s="1"/>
  <c r="D203" i="16" s="1"/>
  <c r="C206" i="4"/>
  <c r="AC206" i="4" s="1"/>
  <c r="D204" i="16" s="1"/>
  <c r="C207" i="4"/>
  <c r="AC207" i="4" s="1"/>
  <c r="D205" i="16" s="1"/>
  <c r="C5" i="10" l="1"/>
  <c r="D201" i="14"/>
  <c r="D197" i="14"/>
  <c r="D189" i="14"/>
  <c r="D181" i="14"/>
  <c r="D173" i="14"/>
  <c r="D165" i="14"/>
  <c r="D161" i="14"/>
  <c r="D153" i="14"/>
  <c r="D145" i="14"/>
  <c r="D141" i="14"/>
  <c r="D133" i="14"/>
  <c r="D125" i="14"/>
  <c r="D121" i="14"/>
  <c r="D113" i="14"/>
  <c r="D105" i="14"/>
  <c r="D97" i="14"/>
  <c r="D89" i="14"/>
  <c r="D81" i="14"/>
  <c r="D77" i="14"/>
  <c r="D69" i="14"/>
  <c r="D61" i="14"/>
  <c r="D53" i="14"/>
  <c r="D45" i="14"/>
  <c r="D37" i="14"/>
  <c r="D33" i="14"/>
  <c r="D25" i="14"/>
  <c r="D17" i="14"/>
  <c r="D9" i="14"/>
  <c r="D204" i="14"/>
  <c r="D196" i="14"/>
  <c r="D188" i="14"/>
  <c r="D184" i="14"/>
  <c r="D176" i="14"/>
  <c r="D168" i="14"/>
  <c r="D160" i="14"/>
  <c r="D152" i="14"/>
  <c r="D144" i="14"/>
  <c r="D140" i="14"/>
  <c r="D132" i="14"/>
  <c r="D128" i="14"/>
  <c r="D120" i="14"/>
  <c r="D112" i="14"/>
  <c r="D104" i="14"/>
  <c r="D96" i="14"/>
  <c r="D92" i="14"/>
  <c r="D84" i="14"/>
  <c r="D76" i="14"/>
  <c r="D72" i="14"/>
  <c r="D68" i="14"/>
  <c r="D64" i="14"/>
  <c r="D60" i="14"/>
  <c r="D56" i="14"/>
  <c r="D52" i="14"/>
  <c r="D48" i="14"/>
  <c r="D44" i="14"/>
  <c r="D40" i="14"/>
  <c r="D36" i="14"/>
  <c r="D32" i="14"/>
  <c r="D28" i="14"/>
  <c r="D24" i="14"/>
  <c r="D20" i="14"/>
  <c r="D16" i="14"/>
  <c r="D12" i="14"/>
  <c r="D8" i="14"/>
  <c r="D203" i="14"/>
  <c r="D199" i="14"/>
  <c r="D195" i="14"/>
  <c r="D191" i="14"/>
  <c r="D187" i="14"/>
  <c r="D183" i="14"/>
  <c r="D179" i="14"/>
  <c r="D175" i="14"/>
  <c r="D171" i="14"/>
  <c r="D167" i="14"/>
  <c r="D163" i="14"/>
  <c r="D159" i="14"/>
  <c r="D155" i="14"/>
  <c r="D151" i="14"/>
  <c r="D147" i="14"/>
  <c r="D143" i="14"/>
  <c r="D139" i="14"/>
  <c r="D135" i="14"/>
  <c r="D131" i="14"/>
  <c r="D127" i="14"/>
  <c r="D123" i="14"/>
  <c r="D119" i="14"/>
  <c r="D115" i="14"/>
  <c r="D111" i="14"/>
  <c r="D107" i="14"/>
  <c r="D103" i="14"/>
  <c r="D99" i="14"/>
  <c r="D95" i="14"/>
  <c r="D91" i="14"/>
  <c r="D87" i="14"/>
  <c r="D83" i="14"/>
  <c r="D79" i="14"/>
  <c r="D75" i="14"/>
  <c r="D71" i="14"/>
  <c r="D67" i="14"/>
  <c r="D63" i="14"/>
  <c r="D59" i="14"/>
  <c r="D55" i="14"/>
  <c r="D51" i="14"/>
  <c r="D47" i="14"/>
  <c r="D43" i="14"/>
  <c r="D39" i="14"/>
  <c r="D35" i="14"/>
  <c r="D31" i="14"/>
  <c r="D27" i="14"/>
  <c r="D23" i="14"/>
  <c r="D19" i="14"/>
  <c r="D15" i="14"/>
  <c r="D11" i="14"/>
  <c r="D7" i="14"/>
  <c r="D205" i="14"/>
  <c r="D193" i="14"/>
  <c r="D185" i="14"/>
  <c r="D177" i="14"/>
  <c r="D169" i="14"/>
  <c r="D157" i="14"/>
  <c r="D149" i="14"/>
  <c r="D137" i="14"/>
  <c r="D129" i="14"/>
  <c r="D117" i="14"/>
  <c r="D109" i="14"/>
  <c r="D101" i="14"/>
  <c r="D93" i="14"/>
  <c r="D85" i="14"/>
  <c r="D73" i="14"/>
  <c r="D65" i="14"/>
  <c r="D57" i="14"/>
  <c r="D49" i="14"/>
  <c r="D41" i="14"/>
  <c r="D29" i="14"/>
  <c r="D21" i="14"/>
  <c r="D13" i="14"/>
  <c r="D200" i="14"/>
  <c r="D192" i="14"/>
  <c r="D180" i="14"/>
  <c r="D172" i="14"/>
  <c r="D164" i="14"/>
  <c r="D156" i="14"/>
  <c r="D148" i="14"/>
  <c r="D136" i="14"/>
  <c r="D124" i="14"/>
  <c r="D116" i="14"/>
  <c r="D108" i="14"/>
  <c r="D100" i="14"/>
  <c r="D88" i="14"/>
  <c r="D80" i="14"/>
  <c r="D202" i="14"/>
  <c r="D198" i="14"/>
  <c r="D194" i="14"/>
  <c r="D190" i="14"/>
  <c r="D186" i="14"/>
  <c r="D182" i="14"/>
  <c r="D178" i="14"/>
  <c r="D174" i="14"/>
  <c r="D170" i="14"/>
  <c r="D166" i="14"/>
  <c r="D162" i="14"/>
  <c r="D158" i="14"/>
  <c r="D154" i="14"/>
  <c r="D150" i="14"/>
  <c r="D146" i="14"/>
  <c r="D142" i="14"/>
  <c r="D138" i="14"/>
  <c r="D134" i="14"/>
  <c r="D130" i="14"/>
  <c r="D126" i="14"/>
  <c r="D122" i="14"/>
  <c r="D118" i="14"/>
  <c r="D114" i="14"/>
  <c r="D110" i="14"/>
  <c r="D106" i="14"/>
  <c r="D102" i="14"/>
  <c r="D98" i="14"/>
  <c r="D94" i="14"/>
  <c r="D90" i="14"/>
  <c r="D86" i="14"/>
  <c r="D82" i="14"/>
  <c r="D78" i="14"/>
  <c r="D74" i="14"/>
  <c r="D70" i="14"/>
  <c r="D66" i="14"/>
  <c r="D62" i="14"/>
  <c r="D58" i="14"/>
  <c r="D54" i="14"/>
  <c r="D50" i="14"/>
  <c r="D46" i="14"/>
  <c r="D42" i="14"/>
  <c r="D38" i="14"/>
  <c r="D34" i="14"/>
  <c r="D30" i="14"/>
  <c r="D26" i="14"/>
  <c r="D22" i="14"/>
  <c r="D18" i="14"/>
  <c r="D14" i="14"/>
  <c r="D10" i="14"/>
  <c r="AC3" i="4"/>
  <c r="AC4" i="4" s="1"/>
  <c r="D203" i="4"/>
  <c r="AD203" i="4" s="1"/>
  <c r="D191" i="4"/>
  <c r="AD191" i="4" s="1"/>
  <c r="D179" i="4"/>
  <c r="AD179" i="4" s="1"/>
  <c r="E177" i="14" s="1"/>
  <c r="D171" i="4"/>
  <c r="AD171" i="4" s="1"/>
  <c r="D163" i="4"/>
  <c r="AD163" i="4" s="1"/>
  <c r="D155" i="4"/>
  <c r="AD155" i="4" s="1"/>
  <c r="D147" i="4"/>
  <c r="AD147" i="4" s="1"/>
  <c r="D143" i="4"/>
  <c r="AD143" i="4" s="1"/>
  <c r="E141" i="16" s="1"/>
  <c r="D135" i="4"/>
  <c r="AD135" i="4" s="1"/>
  <c r="D127" i="4"/>
  <c r="AD127" i="4" s="1"/>
  <c r="D123" i="4"/>
  <c r="AD123" i="4" s="1"/>
  <c r="E121" i="16" s="1"/>
  <c r="D115" i="4"/>
  <c r="AD115" i="4" s="1"/>
  <c r="E113" i="16" s="1"/>
  <c r="D107" i="4"/>
  <c r="AD107" i="4" s="1"/>
  <c r="D99" i="4"/>
  <c r="AD99" i="4" s="1"/>
  <c r="D91" i="4"/>
  <c r="AD91" i="4" s="1"/>
  <c r="E89" i="16" s="1"/>
  <c r="D83" i="4"/>
  <c r="AD83" i="4" s="1"/>
  <c r="E81" i="16" s="1"/>
  <c r="D71" i="4"/>
  <c r="AD71" i="4" s="1"/>
  <c r="E69" i="16" s="1"/>
  <c r="D63" i="4"/>
  <c r="AD63" i="4" s="1"/>
  <c r="D55" i="4"/>
  <c r="AD55" i="4" s="1"/>
  <c r="E53" i="14" s="1"/>
  <c r="D47" i="4"/>
  <c r="AD47" i="4" s="1"/>
  <c r="D39" i="4"/>
  <c r="AD39" i="4" s="1"/>
  <c r="E37" i="16" s="1"/>
  <c r="D31" i="4"/>
  <c r="AD31" i="4" s="1"/>
  <c r="E29" i="14" s="1"/>
  <c r="D23" i="4"/>
  <c r="AD23" i="4" s="1"/>
  <c r="D15" i="4"/>
  <c r="AD15" i="4" s="1"/>
  <c r="E13" i="16" s="1"/>
  <c r="D206" i="4"/>
  <c r="AD206" i="4" s="1"/>
  <c r="E204" i="16" s="1"/>
  <c r="D198" i="4"/>
  <c r="AD198" i="4" s="1"/>
  <c r="E196" i="14" s="1"/>
  <c r="D190" i="4"/>
  <c r="AD190" i="4" s="1"/>
  <c r="D174" i="4"/>
  <c r="AD174" i="4" s="1"/>
  <c r="E172" i="16" s="1"/>
  <c r="D158" i="4"/>
  <c r="AD158" i="4" s="1"/>
  <c r="E156" i="16" s="1"/>
  <c r="D142" i="4"/>
  <c r="AD142" i="4" s="1"/>
  <c r="E140" i="14" s="1"/>
  <c r="D126" i="4"/>
  <c r="AD126" i="4" s="1"/>
  <c r="D110" i="4"/>
  <c r="AD110" i="4" s="1"/>
  <c r="D102" i="4"/>
  <c r="AD102" i="4" s="1"/>
  <c r="D66" i="4"/>
  <c r="AD66" i="4" s="1"/>
  <c r="E64" i="14" s="1"/>
  <c r="D58" i="4"/>
  <c r="AD58" i="4" s="1"/>
  <c r="D50" i="4"/>
  <c r="AD50" i="4" s="1"/>
  <c r="E48" i="16" s="1"/>
  <c r="D46" i="4"/>
  <c r="AD46" i="4" s="1"/>
  <c r="D30" i="4"/>
  <c r="AD30" i="4" s="1"/>
  <c r="D14" i="4"/>
  <c r="AD14" i="4" s="1"/>
  <c r="D205" i="4"/>
  <c r="AD205" i="4" s="1"/>
  <c r="D201" i="4"/>
  <c r="AD201" i="4" s="1"/>
  <c r="E199" i="16" s="1"/>
  <c r="D197" i="4"/>
  <c r="AD197" i="4" s="1"/>
  <c r="D193" i="4"/>
  <c r="AD193" i="4" s="1"/>
  <c r="D189" i="4"/>
  <c r="AD189" i="4" s="1"/>
  <c r="E187" i="16" s="1"/>
  <c r="D185" i="4"/>
  <c r="AD185" i="4" s="1"/>
  <c r="E183" i="16" s="1"/>
  <c r="D181" i="4"/>
  <c r="AD181" i="4" s="1"/>
  <c r="D177" i="4"/>
  <c r="AD177" i="4" s="1"/>
  <c r="E175" i="14" s="1"/>
  <c r="D173" i="4"/>
  <c r="AD173" i="4" s="1"/>
  <c r="D169" i="4"/>
  <c r="AD169" i="4" s="1"/>
  <c r="E167" i="16" s="1"/>
  <c r="D165" i="4"/>
  <c r="AD165" i="4" s="1"/>
  <c r="E163" i="16" s="1"/>
  <c r="D161" i="4"/>
  <c r="AD161" i="4" s="1"/>
  <c r="D157" i="4"/>
  <c r="AD157" i="4" s="1"/>
  <c r="E155" i="16" s="1"/>
  <c r="D153" i="4"/>
  <c r="AD153" i="4" s="1"/>
  <c r="E151" i="16" s="1"/>
  <c r="D149" i="4"/>
  <c r="AD149" i="4" s="1"/>
  <c r="D145" i="4"/>
  <c r="AD145" i="4" s="1"/>
  <c r="E143" i="14" s="1"/>
  <c r="D141" i="4"/>
  <c r="AD141" i="4" s="1"/>
  <c r="D137" i="4"/>
  <c r="AD137" i="4" s="1"/>
  <c r="E135" i="16" s="1"/>
  <c r="D133" i="4"/>
  <c r="AD133" i="4" s="1"/>
  <c r="D129" i="4"/>
  <c r="AD129" i="4" s="1"/>
  <c r="D125" i="4"/>
  <c r="AD125" i="4" s="1"/>
  <c r="E123" i="16" s="1"/>
  <c r="D121" i="4"/>
  <c r="AD121" i="4" s="1"/>
  <c r="E119" i="16" s="1"/>
  <c r="D117" i="4"/>
  <c r="AD117" i="4" s="1"/>
  <c r="D113" i="4"/>
  <c r="AD113" i="4" s="1"/>
  <c r="E111" i="14" s="1"/>
  <c r="D109" i="4"/>
  <c r="AD109" i="4" s="1"/>
  <c r="D105" i="4"/>
  <c r="AD105" i="4" s="1"/>
  <c r="E103" i="16" s="1"/>
  <c r="D101" i="4"/>
  <c r="AD101" i="4" s="1"/>
  <c r="D97" i="4"/>
  <c r="AD97" i="4" s="1"/>
  <c r="D93" i="4"/>
  <c r="AD93" i="4" s="1"/>
  <c r="E91" i="16" s="1"/>
  <c r="D89" i="4"/>
  <c r="AD89" i="4" s="1"/>
  <c r="E87" i="16" s="1"/>
  <c r="D85" i="4"/>
  <c r="AD85" i="4" s="1"/>
  <c r="D81" i="4"/>
  <c r="AD81" i="4" s="1"/>
  <c r="E79" i="14" s="1"/>
  <c r="D77" i="4"/>
  <c r="AD77" i="4" s="1"/>
  <c r="D73" i="4"/>
  <c r="AD73" i="4" s="1"/>
  <c r="E71" i="16" s="1"/>
  <c r="D69" i="4"/>
  <c r="AD69" i="4" s="1"/>
  <c r="D65" i="4"/>
  <c r="AD65" i="4" s="1"/>
  <c r="D61" i="4"/>
  <c r="AD61" i="4" s="1"/>
  <c r="E59" i="16" s="1"/>
  <c r="D57" i="4"/>
  <c r="AD57" i="4" s="1"/>
  <c r="E55" i="16" s="1"/>
  <c r="D53" i="4"/>
  <c r="AD53" i="4" s="1"/>
  <c r="D49" i="4"/>
  <c r="AD49" i="4" s="1"/>
  <c r="E47" i="14" s="1"/>
  <c r="D45" i="4"/>
  <c r="AD45" i="4" s="1"/>
  <c r="D41" i="4"/>
  <c r="AD41" i="4" s="1"/>
  <c r="E39" i="16" s="1"/>
  <c r="D37" i="4"/>
  <c r="AD37" i="4" s="1"/>
  <c r="D33" i="4"/>
  <c r="AD33" i="4" s="1"/>
  <c r="D29" i="4"/>
  <c r="AD29" i="4" s="1"/>
  <c r="E27" i="16" s="1"/>
  <c r="D25" i="4"/>
  <c r="AD25" i="4" s="1"/>
  <c r="E23" i="16" s="1"/>
  <c r="D21" i="4"/>
  <c r="AD21" i="4" s="1"/>
  <c r="D17" i="4"/>
  <c r="AD17" i="4" s="1"/>
  <c r="E15" i="14" s="1"/>
  <c r="D13" i="4"/>
  <c r="AD13" i="4" s="1"/>
  <c r="D9" i="4"/>
  <c r="AD9" i="4" s="1"/>
  <c r="E7" i="16" s="1"/>
  <c r="D207" i="4"/>
  <c r="AD207" i="4" s="1"/>
  <c r="D199" i="4"/>
  <c r="AD199" i="4" s="1"/>
  <c r="E197" i="14" s="1"/>
  <c r="D195" i="4"/>
  <c r="AD195" i="4" s="1"/>
  <c r="E193" i="16" s="1"/>
  <c r="D187" i="4"/>
  <c r="AD187" i="4" s="1"/>
  <c r="D183" i="4"/>
  <c r="AD183" i="4" s="1"/>
  <c r="E181" i="16" s="1"/>
  <c r="D175" i="4"/>
  <c r="AD175" i="4" s="1"/>
  <c r="D167" i="4"/>
  <c r="AD167" i="4" s="1"/>
  <c r="E165" i="16" s="1"/>
  <c r="D159" i="4"/>
  <c r="AD159" i="4" s="1"/>
  <c r="E157" i="16" s="1"/>
  <c r="D151" i="4"/>
  <c r="AD151" i="4" s="1"/>
  <c r="D139" i="4"/>
  <c r="AD139" i="4" s="1"/>
  <c r="E137" i="14" s="1"/>
  <c r="D131" i="4"/>
  <c r="AD131" i="4" s="1"/>
  <c r="D119" i="4"/>
  <c r="AD119" i="4" s="1"/>
  <c r="E117" i="16" s="1"/>
  <c r="D111" i="4"/>
  <c r="AD111" i="4" s="1"/>
  <c r="D103" i="4"/>
  <c r="AD103" i="4" s="1"/>
  <c r="E101" i="14" s="1"/>
  <c r="D95" i="4"/>
  <c r="AD95" i="4" s="1"/>
  <c r="D87" i="4"/>
  <c r="AD87" i="4" s="1"/>
  <c r="E85" i="16" s="1"/>
  <c r="D79" i="4"/>
  <c r="AD79" i="4" s="1"/>
  <c r="D75" i="4"/>
  <c r="AD75" i="4" s="1"/>
  <c r="E73" i="16" s="1"/>
  <c r="D67" i="4"/>
  <c r="AD67" i="4" s="1"/>
  <c r="E65" i="16" s="1"/>
  <c r="D59" i="4"/>
  <c r="AD59" i="4" s="1"/>
  <c r="D51" i="4"/>
  <c r="AD51" i="4" s="1"/>
  <c r="D43" i="4"/>
  <c r="AD43" i="4" s="1"/>
  <c r="E41" i="16" s="1"/>
  <c r="D35" i="4"/>
  <c r="AD35" i="4" s="1"/>
  <c r="D27" i="4"/>
  <c r="AD27" i="4" s="1"/>
  <c r="E25" i="16" s="1"/>
  <c r="D19" i="4"/>
  <c r="AD19" i="4" s="1"/>
  <c r="D11" i="4"/>
  <c r="AD11" i="4" s="1"/>
  <c r="D202" i="4"/>
  <c r="AD202" i="4" s="1"/>
  <c r="D194" i="4"/>
  <c r="AD194" i="4" s="1"/>
  <c r="E192" i="16" s="1"/>
  <c r="D186" i="4"/>
  <c r="AD186" i="4" s="1"/>
  <c r="D182" i="4"/>
  <c r="AD182" i="4" s="1"/>
  <c r="D166" i="4"/>
  <c r="AD166" i="4" s="1"/>
  <c r="E164" i="16" s="1"/>
  <c r="D150" i="4"/>
  <c r="AD150" i="4" s="1"/>
  <c r="D134" i="4"/>
  <c r="AD134" i="4" s="1"/>
  <c r="D118" i="4"/>
  <c r="AD118" i="4" s="1"/>
  <c r="E116" i="14" s="1"/>
  <c r="D94" i="4"/>
  <c r="AD94" i="4" s="1"/>
  <c r="E92" i="16" s="1"/>
  <c r="D86" i="4"/>
  <c r="AD86" i="4" s="1"/>
  <c r="E84" i="16" s="1"/>
  <c r="D82" i="4"/>
  <c r="AD82" i="4" s="1"/>
  <c r="E80" i="14" s="1"/>
  <c r="D78" i="4"/>
  <c r="AD78" i="4" s="1"/>
  <c r="D70" i="4"/>
  <c r="AD70" i="4" s="1"/>
  <c r="E68" i="16" s="1"/>
  <c r="D62" i="4"/>
  <c r="AD62" i="4" s="1"/>
  <c r="D54" i="4"/>
  <c r="AD54" i="4" s="1"/>
  <c r="E52" i="14" s="1"/>
  <c r="D38" i="4"/>
  <c r="AD38" i="4" s="1"/>
  <c r="E36" i="16" s="1"/>
  <c r="D22" i="4"/>
  <c r="AD22" i="4" s="1"/>
  <c r="E20" i="16" s="1"/>
  <c r="D8" i="4"/>
  <c r="AD8" i="4" s="1"/>
  <c r="E6" i="16" s="1"/>
  <c r="D204" i="4"/>
  <c r="AD204" i="4" s="1"/>
  <c r="D200" i="4"/>
  <c r="AD200" i="4" s="1"/>
  <c r="E198" i="14" s="1"/>
  <c r="D196" i="4"/>
  <c r="AD196" i="4" s="1"/>
  <c r="E194" i="16" s="1"/>
  <c r="D192" i="4"/>
  <c r="AD192" i="4" s="1"/>
  <c r="E190" i="16" s="1"/>
  <c r="D188" i="4"/>
  <c r="AD188" i="4" s="1"/>
  <c r="D184" i="4"/>
  <c r="AD184" i="4" s="1"/>
  <c r="D180" i="4"/>
  <c r="AD180" i="4" s="1"/>
  <c r="D172" i="4"/>
  <c r="AD172" i="4" s="1"/>
  <c r="D164" i="4"/>
  <c r="AD164" i="4" s="1"/>
  <c r="D156" i="4"/>
  <c r="AD156" i="4" s="1"/>
  <c r="D148" i="4"/>
  <c r="AD148" i="4" s="1"/>
  <c r="D140" i="4"/>
  <c r="AD140" i="4" s="1"/>
  <c r="D132" i="4"/>
  <c r="AD132" i="4" s="1"/>
  <c r="D124" i="4"/>
  <c r="AD124" i="4" s="1"/>
  <c r="D116" i="4"/>
  <c r="AD116" i="4" s="1"/>
  <c r="D108" i="4"/>
  <c r="AD108" i="4" s="1"/>
  <c r="E106" i="16" s="1"/>
  <c r="D100" i="4"/>
  <c r="AD100" i="4" s="1"/>
  <c r="D92" i="4"/>
  <c r="AD92" i="4" s="1"/>
  <c r="D84" i="4"/>
  <c r="AD84" i="4" s="1"/>
  <c r="D76" i="4"/>
  <c r="AD76" i="4" s="1"/>
  <c r="D68" i="4"/>
  <c r="AD68" i="4" s="1"/>
  <c r="D60" i="4"/>
  <c r="AD60" i="4" s="1"/>
  <c r="D52" i="4"/>
  <c r="AD52" i="4" s="1"/>
  <c r="D44" i="4"/>
  <c r="AD44" i="4" s="1"/>
  <c r="D36" i="4"/>
  <c r="AD36" i="4" s="1"/>
  <c r="E34" i="16" s="1"/>
  <c r="D28" i="4"/>
  <c r="AD28" i="4" s="1"/>
  <c r="D20" i="4"/>
  <c r="AD20" i="4" s="1"/>
  <c r="D12" i="4"/>
  <c r="AD12" i="4" s="1"/>
  <c r="D170" i="4"/>
  <c r="AD170" i="4" s="1"/>
  <c r="E168" i="14" s="1"/>
  <c r="D162" i="4"/>
  <c r="AD162" i="4" s="1"/>
  <c r="D146" i="4"/>
  <c r="AD146" i="4" s="1"/>
  <c r="D130" i="4"/>
  <c r="AD130" i="4" s="1"/>
  <c r="E128" i="16" s="1"/>
  <c r="D122" i="4"/>
  <c r="AD122" i="4" s="1"/>
  <c r="D106" i="4"/>
  <c r="AD106" i="4" s="1"/>
  <c r="D98" i="4"/>
  <c r="AD98" i="4" s="1"/>
  <c r="E96" i="16" s="1"/>
  <c r="D42" i="4"/>
  <c r="AD42" i="4" s="1"/>
  <c r="E40" i="16" s="1"/>
  <c r="D26" i="4"/>
  <c r="AD26" i="4" s="1"/>
  <c r="D178" i="4"/>
  <c r="AD178" i="4" s="1"/>
  <c r="E176" i="16" s="1"/>
  <c r="D154" i="4"/>
  <c r="AD154" i="4" s="1"/>
  <c r="D138" i="4"/>
  <c r="AD138" i="4" s="1"/>
  <c r="E136" i="16" s="1"/>
  <c r="D114" i="4"/>
  <c r="AD114" i="4" s="1"/>
  <c r="E112" i="14" s="1"/>
  <c r="D90" i="4"/>
  <c r="AD90" i="4" s="1"/>
  <c r="E88" i="16" s="1"/>
  <c r="D74" i="4"/>
  <c r="AD74" i="4" s="1"/>
  <c r="E72" i="16" s="1"/>
  <c r="D34" i="4"/>
  <c r="AD34" i="4" s="1"/>
  <c r="E32" i="16" s="1"/>
  <c r="D18" i="4"/>
  <c r="AD18" i="4" s="1"/>
  <c r="E16" i="14" s="1"/>
  <c r="D10" i="4"/>
  <c r="AD10" i="4" s="1"/>
  <c r="D176" i="4"/>
  <c r="AD176" i="4" s="1"/>
  <c r="E174" i="16" s="1"/>
  <c r="D168" i="4"/>
  <c r="AD168" i="4" s="1"/>
  <c r="E166" i="16" s="1"/>
  <c r="D160" i="4"/>
  <c r="AD160" i="4" s="1"/>
  <c r="E158" i="14" s="1"/>
  <c r="D152" i="4"/>
  <c r="AD152" i="4" s="1"/>
  <c r="E150" i="14" s="1"/>
  <c r="D144" i="4"/>
  <c r="AD144" i="4" s="1"/>
  <c r="E142" i="16" s="1"/>
  <c r="D136" i="4"/>
  <c r="AD136" i="4" s="1"/>
  <c r="E134" i="16" s="1"/>
  <c r="D128" i="4"/>
  <c r="AD128" i="4" s="1"/>
  <c r="E126" i="14" s="1"/>
  <c r="D120" i="4"/>
  <c r="AD120" i="4" s="1"/>
  <c r="D112" i="4"/>
  <c r="AD112" i="4" s="1"/>
  <c r="E110" i="16" s="1"/>
  <c r="D104" i="4"/>
  <c r="AD104" i="4" s="1"/>
  <c r="E102" i="16" s="1"/>
  <c r="D96" i="4"/>
  <c r="AD96" i="4" s="1"/>
  <c r="E94" i="14" s="1"/>
  <c r="D88" i="4"/>
  <c r="AD88" i="4" s="1"/>
  <c r="E86" i="14" s="1"/>
  <c r="D80" i="4"/>
  <c r="AD80" i="4" s="1"/>
  <c r="E78" i="16" s="1"/>
  <c r="D72" i="4"/>
  <c r="AD72" i="4" s="1"/>
  <c r="E70" i="16" s="1"/>
  <c r="D64" i="4"/>
  <c r="AD64" i="4" s="1"/>
  <c r="E62" i="14" s="1"/>
  <c r="D56" i="4"/>
  <c r="AD56" i="4" s="1"/>
  <c r="D48" i="4"/>
  <c r="AD48" i="4" s="1"/>
  <c r="E46" i="16" s="1"/>
  <c r="D40" i="4"/>
  <c r="AD40" i="4" s="1"/>
  <c r="E38" i="16" s="1"/>
  <c r="D32" i="4"/>
  <c r="AD32" i="4" s="1"/>
  <c r="E30" i="14" s="1"/>
  <c r="D24" i="4"/>
  <c r="AD24" i="4" s="1"/>
  <c r="E22" i="14" s="1"/>
  <c r="D16" i="4"/>
  <c r="AD16" i="4" s="1"/>
  <c r="E14" i="16" s="1"/>
  <c r="C3" i="4"/>
  <c r="C4" i="4" s="1"/>
  <c r="Z15" i="1"/>
  <c r="E132" i="14" l="1"/>
  <c r="E17" i="14"/>
  <c r="E10" i="14"/>
  <c r="E60" i="14"/>
  <c r="E148" i="14"/>
  <c r="E57" i="14"/>
  <c r="E44" i="14"/>
  <c r="E105" i="14"/>
  <c r="E133" i="14"/>
  <c r="E161" i="14"/>
  <c r="E77" i="14"/>
  <c r="E42" i="14"/>
  <c r="E74" i="14"/>
  <c r="E138" i="14"/>
  <c r="E170" i="14"/>
  <c r="E93" i="14"/>
  <c r="E129" i="14"/>
  <c r="E108" i="14"/>
  <c r="E45" i="14"/>
  <c r="E169" i="14"/>
  <c r="E104" i="14"/>
  <c r="E160" i="14"/>
  <c r="E26" i="14"/>
  <c r="E58" i="14"/>
  <c r="E90" i="14"/>
  <c r="E122" i="14"/>
  <c r="E154" i="14"/>
  <c r="E76" i="14"/>
  <c r="E180" i="14"/>
  <c r="E12" i="14"/>
  <c r="E188" i="14"/>
  <c r="E21" i="14"/>
  <c r="E174" i="14"/>
  <c r="E66" i="14"/>
  <c r="E130" i="14"/>
  <c r="E186" i="14"/>
  <c r="E202" i="14"/>
  <c r="E149" i="14"/>
  <c r="E205" i="14"/>
  <c r="E19" i="14"/>
  <c r="E35" i="14"/>
  <c r="E51" i="14"/>
  <c r="E67" i="14"/>
  <c r="E83" i="14"/>
  <c r="E99" i="14"/>
  <c r="E115" i="14"/>
  <c r="E131" i="14"/>
  <c r="E147" i="14"/>
  <c r="E179" i="14"/>
  <c r="E195" i="14"/>
  <c r="E28" i="14"/>
  <c r="E61" i="14"/>
  <c r="E189" i="14"/>
  <c r="E184" i="14"/>
  <c r="E49" i="14"/>
  <c r="E97" i="14"/>
  <c r="E153" i="14"/>
  <c r="E152" i="14"/>
  <c r="E12" i="16"/>
  <c r="E54" i="14"/>
  <c r="E118" i="14"/>
  <c r="E8" i="14"/>
  <c r="E182" i="14"/>
  <c r="E9" i="14"/>
  <c r="E31" i="14"/>
  <c r="E63" i="14"/>
  <c r="E95" i="14"/>
  <c r="E127" i="14"/>
  <c r="E159" i="14"/>
  <c r="E191" i="14"/>
  <c r="E56" i="14"/>
  <c r="E76" i="16"/>
  <c r="AG15" i="1"/>
  <c r="AH15" i="1" s="1"/>
  <c r="E24" i="14"/>
  <c r="E125" i="14"/>
  <c r="E140" i="16"/>
  <c r="E100" i="14"/>
  <c r="E164" i="14"/>
  <c r="E68" i="14"/>
  <c r="E152" i="16"/>
  <c r="E153" i="16"/>
  <c r="E54" i="16"/>
  <c r="E125" i="16"/>
  <c r="E189" i="16"/>
  <c r="E204" i="14"/>
  <c r="E201" i="14"/>
  <c r="E163" i="14"/>
  <c r="E10" i="16"/>
  <c r="E74" i="16"/>
  <c r="E138" i="16"/>
  <c r="E202" i="16"/>
  <c r="E35" i="16"/>
  <c r="E99" i="16"/>
  <c r="E148" i="16"/>
  <c r="E30" i="16"/>
  <c r="E201" i="16"/>
  <c r="E133" i="16"/>
  <c r="E197" i="16"/>
  <c r="E47" i="16"/>
  <c r="E111" i="16"/>
  <c r="E175" i="16"/>
  <c r="E160" i="16"/>
  <c r="E18" i="14"/>
  <c r="E82" i="14"/>
  <c r="E146" i="14"/>
  <c r="E194" i="14"/>
  <c r="E33" i="14"/>
  <c r="E11" i="14"/>
  <c r="E43" i="14"/>
  <c r="E75" i="14"/>
  <c r="E107" i="14"/>
  <c r="E139" i="14"/>
  <c r="E171" i="14"/>
  <c r="E203" i="14"/>
  <c r="E85" i="14"/>
  <c r="E72" i="14"/>
  <c r="E69" i="14"/>
  <c r="E18" i="16"/>
  <c r="E82" i="16"/>
  <c r="E146" i="16"/>
  <c r="E43" i="16"/>
  <c r="E107" i="16"/>
  <c r="E171" i="16"/>
  <c r="E28" i="16"/>
  <c r="E77" i="16"/>
  <c r="E205" i="16"/>
  <c r="E198" i="16"/>
  <c r="E104" i="16"/>
  <c r="E168" i="16"/>
  <c r="E57" i="16"/>
  <c r="E130" i="16"/>
  <c r="E41" i="14"/>
  <c r="E173" i="14"/>
  <c r="E124" i="14"/>
  <c r="E89" i="14"/>
  <c r="E145" i="14"/>
  <c r="E106" i="14"/>
  <c r="E26" i="16"/>
  <c r="E90" i="16"/>
  <c r="E154" i="16"/>
  <c r="E51" i="16"/>
  <c r="E115" i="16"/>
  <c r="E179" i="16"/>
  <c r="E126" i="16"/>
  <c r="E100" i="16"/>
  <c r="E62" i="16"/>
  <c r="E21" i="16"/>
  <c r="E149" i="16"/>
  <c r="E177" i="16"/>
  <c r="E63" i="16"/>
  <c r="E127" i="16"/>
  <c r="E191" i="16"/>
  <c r="E105" i="16"/>
  <c r="E112" i="16"/>
  <c r="E66" i="16"/>
  <c r="E88" i="14"/>
  <c r="E120" i="14"/>
  <c r="E98" i="14"/>
  <c r="E162" i="14"/>
  <c r="E109" i="14"/>
  <c r="E37" i="14"/>
  <c r="E98" i="16"/>
  <c r="E162" i="16"/>
  <c r="E137" i="16"/>
  <c r="E158" i="16"/>
  <c r="E44" i="16"/>
  <c r="E108" i="16"/>
  <c r="E86" i="16"/>
  <c r="E29" i="16"/>
  <c r="E93" i="16"/>
  <c r="E56" i="16"/>
  <c r="E120" i="16"/>
  <c r="E184" i="16"/>
  <c r="E97" i="16"/>
  <c r="E24" i="16"/>
  <c r="E185" i="14"/>
  <c r="E117" i="14"/>
  <c r="E42" i="16"/>
  <c r="E170" i="16"/>
  <c r="E185" i="16"/>
  <c r="E67" i="16"/>
  <c r="E131" i="16"/>
  <c r="E195" i="16"/>
  <c r="E182" i="16"/>
  <c r="E52" i="16"/>
  <c r="E116" i="16"/>
  <c r="E180" i="16"/>
  <c r="E101" i="16"/>
  <c r="E15" i="16"/>
  <c r="E79" i="16"/>
  <c r="E143" i="16"/>
  <c r="E9" i="16"/>
  <c r="E161" i="16"/>
  <c r="E64" i="16"/>
  <c r="E61" i="16"/>
  <c r="E34" i="14"/>
  <c r="E144" i="14"/>
  <c r="E50" i="14"/>
  <c r="E114" i="14"/>
  <c r="E178" i="14"/>
  <c r="E20" i="14"/>
  <c r="E92" i="14"/>
  <c r="E200" i="14"/>
  <c r="E27" i="14"/>
  <c r="E59" i="14"/>
  <c r="E91" i="14"/>
  <c r="E123" i="14"/>
  <c r="E155" i="14"/>
  <c r="E187" i="14"/>
  <c r="E48" i="14"/>
  <c r="E165" i="14"/>
  <c r="E50" i="16"/>
  <c r="E114" i="16"/>
  <c r="E178" i="16"/>
  <c r="E11" i="16"/>
  <c r="E75" i="16"/>
  <c r="E139" i="16"/>
  <c r="E203" i="16"/>
  <c r="E145" i="16"/>
  <c r="E60" i="16"/>
  <c r="E124" i="16"/>
  <c r="E188" i="16"/>
  <c r="E150" i="16"/>
  <c r="E45" i="16"/>
  <c r="E109" i="16"/>
  <c r="E173" i="16"/>
  <c r="E94" i="16"/>
  <c r="E33" i="16"/>
  <c r="E8" i="16"/>
  <c r="E200" i="16"/>
  <c r="E129" i="16"/>
  <c r="E176" i="14"/>
  <c r="E36" i="14"/>
  <c r="E73" i="14"/>
  <c r="E121" i="14"/>
  <c r="E181" i="14"/>
  <c r="E58" i="16"/>
  <c r="E122" i="16"/>
  <c r="E186" i="16"/>
  <c r="E19" i="16"/>
  <c r="E83" i="16"/>
  <c r="E147" i="16"/>
  <c r="E22" i="16"/>
  <c r="E132" i="16"/>
  <c r="E196" i="16"/>
  <c r="E53" i="16"/>
  <c r="E118" i="16"/>
  <c r="E31" i="16"/>
  <c r="E95" i="16"/>
  <c r="E159" i="16"/>
  <c r="E49" i="16"/>
  <c r="E16" i="16"/>
  <c r="E80" i="16"/>
  <c r="E144" i="16"/>
  <c r="E17" i="16"/>
  <c r="E169" i="16"/>
  <c r="E38" i="14"/>
  <c r="E70" i="14"/>
  <c r="E102" i="14"/>
  <c r="E134" i="14"/>
  <c r="E166" i="14"/>
  <c r="E32" i="14"/>
  <c r="E136" i="14"/>
  <c r="E40" i="14"/>
  <c r="E128" i="14"/>
  <c r="E190" i="14"/>
  <c r="E6" i="14"/>
  <c r="E84" i="14"/>
  <c r="E192" i="14"/>
  <c r="E25" i="14"/>
  <c r="E157" i="14"/>
  <c r="E7" i="14"/>
  <c r="E23" i="14"/>
  <c r="E39" i="14"/>
  <c r="E55" i="14"/>
  <c r="E71" i="14"/>
  <c r="E87" i="14"/>
  <c r="E103" i="14"/>
  <c r="E119" i="14"/>
  <c r="E135" i="14"/>
  <c r="E151" i="14"/>
  <c r="E167" i="14"/>
  <c r="E183" i="14"/>
  <c r="E199" i="14"/>
  <c r="E156" i="14"/>
  <c r="E14" i="14"/>
  <c r="E46" i="14"/>
  <c r="E78" i="14"/>
  <c r="E110" i="14"/>
  <c r="E142" i="14"/>
  <c r="E96" i="14"/>
  <c r="E65" i="14"/>
  <c r="E193" i="14"/>
  <c r="E172" i="14"/>
  <c r="E13" i="14"/>
  <c r="E81" i="14"/>
  <c r="E113" i="14"/>
  <c r="E141" i="14"/>
  <c r="E200" i="4"/>
  <c r="AE200" i="4" s="1"/>
  <c r="F198" i="14" s="1"/>
  <c r="E103" i="4"/>
  <c r="AE103" i="4" s="1"/>
  <c r="F101" i="14" s="1"/>
  <c r="E175" i="4"/>
  <c r="AE175" i="4" s="1"/>
  <c r="F173" i="14" s="1"/>
  <c r="E33" i="4"/>
  <c r="AE33" i="4" s="1"/>
  <c r="F31" i="14" s="1"/>
  <c r="E81" i="4"/>
  <c r="AE81" i="4" s="1"/>
  <c r="F79" i="14" s="1"/>
  <c r="E97" i="4"/>
  <c r="AE97" i="4" s="1"/>
  <c r="E113" i="4"/>
  <c r="AE113" i="4" s="1"/>
  <c r="F111" i="14" s="1"/>
  <c r="E161" i="4"/>
  <c r="AE161" i="4" s="1"/>
  <c r="F159" i="14" s="1"/>
  <c r="E177" i="4"/>
  <c r="AE177" i="4" s="1"/>
  <c r="F175" i="14" s="1"/>
  <c r="E193" i="4"/>
  <c r="AE193" i="4" s="1"/>
  <c r="F191" i="14" s="1"/>
  <c r="E14" i="4"/>
  <c r="AE14" i="4" s="1"/>
  <c r="F12" i="14" s="1"/>
  <c r="E126" i="4"/>
  <c r="AE126" i="4" s="1"/>
  <c r="F124" i="14" s="1"/>
  <c r="E190" i="4"/>
  <c r="AE190" i="4" s="1"/>
  <c r="F188" i="14" s="1"/>
  <c r="E23" i="4"/>
  <c r="AE23" i="4" s="1"/>
  <c r="F21" i="14" s="1"/>
  <c r="E55" i="4"/>
  <c r="AE55" i="4" s="1"/>
  <c r="F53" i="14" s="1"/>
  <c r="E91" i="4"/>
  <c r="AE91" i="4" s="1"/>
  <c r="E123" i="4"/>
  <c r="AE123" i="4" s="1"/>
  <c r="F121" i="14" s="1"/>
  <c r="E147" i="4"/>
  <c r="AE147" i="4" s="1"/>
  <c r="E179" i="4"/>
  <c r="AE179" i="4" s="1"/>
  <c r="F177" i="14" s="1"/>
  <c r="E24" i="4"/>
  <c r="AE24" i="4" s="1"/>
  <c r="F22" i="14" s="1"/>
  <c r="E56" i="4"/>
  <c r="AE56" i="4" s="1"/>
  <c r="E88" i="4"/>
  <c r="AE88" i="4" s="1"/>
  <c r="F86" i="14" s="1"/>
  <c r="E120" i="4"/>
  <c r="AE120" i="4" s="1"/>
  <c r="F118" i="14" s="1"/>
  <c r="E152" i="4"/>
  <c r="AE152" i="4" s="1"/>
  <c r="F150" i="14" s="1"/>
  <c r="E10" i="4"/>
  <c r="AE10" i="4" s="1"/>
  <c r="F8" i="14" s="1"/>
  <c r="E90" i="4"/>
  <c r="AE90" i="4" s="1"/>
  <c r="E106" i="4"/>
  <c r="AE106" i="4" s="1"/>
  <c r="F104" i="14" s="1"/>
  <c r="E162" i="4"/>
  <c r="AE162" i="4" s="1"/>
  <c r="F160" i="14" s="1"/>
  <c r="E36" i="4"/>
  <c r="AE36" i="4" s="1"/>
  <c r="E68" i="4"/>
  <c r="AE68" i="4" s="1"/>
  <c r="F66" i="14" s="1"/>
  <c r="E100" i="4"/>
  <c r="AE100" i="4" s="1"/>
  <c r="F98" i="14" s="1"/>
  <c r="E132" i="4"/>
  <c r="AE132" i="4" s="1"/>
  <c r="E164" i="4"/>
  <c r="AE164" i="4" s="1"/>
  <c r="F162" i="14" s="1"/>
  <c r="E188" i="4"/>
  <c r="AE188" i="4" s="1"/>
  <c r="F186" i="14" s="1"/>
  <c r="E204" i="4"/>
  <c r="AE204" i="4" s="1"/>
  <c r="F202" i="14" s="1"/>
  <c r="E134" i="4"/>
  <c r="AE134" i="4" s="1"/>
  <c r="F132" i="14" s="1"/>
  <c r="E30" i="4"/>
  <c r="AE30" i="4" s="1"/>
  <c r="F28" i="14" s="1"/>
  <c r="E66" i="4"/>
  <c r="AE66" i="4" s="1"/>
  <c r="F64" i="14" s="1"/>
  <c r="E142" i="4"/>
  <c r="AE142" i="4" s="1"/>
  <c r="F140" i="14" s="1"/>
  <c r="E198" i="4"/>
  <c r="AE198" i="4" s="1"/>
  <c r="F196" i="14" s="1"/>
  <c r="E31" i="4"/>
  <c r="AE31" i="4" s="1"/>
  <c r="F29" i="14" s="1"/>
  <c r="E63" i="4"/>
  <c r="AE63" i="4" s="1"/>
  <c r="F61" i="14" s="1"/>
  <c r="E99" i="4"/>
  <c r="AE99" i="4" s="1"/>
  <c r="E127" i="4"/>
  <c r="AE127" i="4" s="1"/>
  <c r="E155" i="4"/>
  <c r="AE155" i="4" s="1"/>
  <c r="F153" i="14" s="1"/>
  <c r="E191" i="4"/>
  <c r="AE191" i="4" s="1"/>
  <c r="F189" i="14" s="1"/>
  <c r="E199" i="4"/>
  <c r="AE199" i="4" s="1"/>
  <c r="F197" i="14" s="1"/>
  <c r="E65" i="4"/>
  <c r="AE65" i="4" s="1"/>
  <c r="F63" i="14" s="1"/>
  <c r="E145" i="4"/>
  <c r="AE145" i="4" s="1"/>
  <c r="F143" i="14" s="1"/>
  <c r="E170" i="4"/>
  <c r="AE170" i="4" s="1"/>
  <c r="F168" i="14" s="1"/>
  <c r="E192" i="4"/>
  <c r="AE192" i="4" s="1"/>
  <c r="F190" i="16" s="1"/>
  <c r="E87" i="4"/>
  <c r="AE87" i="4" s="1"/>
  <c r="E119" i="4"/>
  <c r="AE119" i="4" s="1"/>
  <c r="F117" i="14" s="1"/>
  <c r="E159" i="4"/>
  <c r="AE159" i="4" s="1"/>
  <c r="E187" i="4"/>
  <c r="AE187" i="4" s="1"/>
  <c r="E9" i="4"/>
  <c r="AE9" i="4" s="1"/>
  <c r="E25" i="4"/>
  <c r="AE25" i="4" s="1"/>
  <c r="F23" i="14" s="1"/>
  <c r="E41" i="4"/>
  <c r="AE41" i="4" s="1"/>
  <c r="F39" i="14" s="1"/>
  <c r="E57" i="4"/>
  <c r="AE57" i="4" s="1"/>
  <c r="E73" i="4"/>
  <c r="AE73" i="4" s="1"/>
  <c r="E89" i="4"/>
  <c r="AE89" i="4" s="1"/>
  <c r="F87" i="16" s="1"/>
  <c r="E105" i="4"/>
  <c r="AE105" i="4" s="1"/>
  <c r="F103" i="14" s="1"/>
  <c r="E121" i="4"/>
  <c r="AE121" i="4" s="1"/>
  <c r="E137" i="4"/>
  <c r="AE137" i="4" s="1"/>
  <c r="E153" i="4"/>
  <c r="AE153" i="4" s="1"/>
  <c r="E169" i="4"/>
  <c r="AE169" i="4" s="1"/>
  <c r="F167" i="14" s="1"/>
  <c r="E185" i="4"/>
  <c r="AE185" i="4" s="1"/>
  <c r="E201" i="4"/>
  <c r="AE201" i="4" s="1"/>
  <c r="E102" i="4"/>
  <c r="AE102" i="4" s="1"/>
  <c r="F100" i="14" s="1"/>
  <c r="E158" i="4"/>
  <c r="AE158" i="4" s="1"/>
  <c r="E206" i="4"/>
  <c r="AE206" i="4" s="1"/>
  <c r="F204" i="14" s="1"/>
  <c r="E39" i="4"/>
  <c r="AE39" i="4" s="1"/>
  <c r="F37" i="14" s="1"/>
  <c r="E71" i="4"/>
  <c r="AE71" i="4" s="1"/>
  <c r="F69" i="14" s="1"/>
  <c r="E107" i="4"/>
  <c r="AE107" i="4" s="1"/>
  <c r="F105" i="14" s="1"/>
  <c r="E135" i="4"/>
  <c r="AE135" i="4" s="1"/>
  <c r="F133" i="14" s="1"/>
  <c r="E163" i="4"/>
  <c r="AE163" i="4" s="1"/>
  <c r="F161" i="14" s="1"/>
  <c r="E203" i="4"/>
  <c r="AE203" i="4" s="1"/>
  <c r="F201" i="14" s="1"/>
  <c r="E184" i="4"/>
  <c r="AE184" i="4" s="1"/>
  <c r="E38" i="4"/>
  <c r="AE38" i="4" s="1"/>
  <c r="F36" i="14" s="1"/>
  <c r="E139" i="4"/>
  <c r="AE139" i="4" s="1"/>
  <c r="F137" i="14" s="1"/>
  <c r="E17" i="4"/>
  <c r="AE17" i="4" s="1"/>
  <c r="F15" i="14" s="1"/>
  <c r="E49" i="4"/>
  <c r="AE49" i="4" s="1"/>
  <c r="F47" i="14" s="1"/>
  <c r="E129" i="4"/>
  <c r="AE129" i="4" s="1"/>
  <c r="E40" i="4"/>
  <c r="AE40" i="4" s="1"/>
  <c r="F38" i="14" s="1"/>
  <c r="E72" i="4"/>
  <c r="AE72" i="4" s="1"/>
  <c r="E104" i="4"/>
  <c r="AE104" i="4" s="1"/>
  <c r="F102" i="14" s="1"/>
  <c r="E136" i="4"/>
  <c r="AE136" i="4" s="1"/>
  <c r="E168" i="4"/>
  <c r="AE168" i="4" s="1"/>
  <c r="F166" i="14" s="1"/>
  <c r="E34" i="4"/>
  <c r="AE34" i="4" s="1"/>
  <c r="F32" i="16" s="1"/>
  <c r="E138" i="4"/>
  <c r="AE138" i="4" s="1"/>
  <c r="F136" i="14" s="1"/>
  <c r="E42" i="4"/>
  <c r="AE42" i="4" s="1"/>
  <c r="E130" i="4"/>
  <c r="AE130" i="4" s="1"/>
  <c r="F128" i="14" s="1"/>
  <c r="E20" i="4"/>
  <c r="AE20" i="4" s="1"/>
  <c r="F18" i="14" s="1"/>
  <c r="E52" i="4"/>
  <c r="AE52" i="4" s="1"/>
  <c r="F50" i="14" s="1"/>
  <c r="E84" i="4"/>
  <c r="AE84" i="4" s="1"/>
  <c r="E116" i="4"/>
  <c r="AE116" i="4" s="1"/>
  <c r="E148" i="4"/>
  <c r="AE148" i="4" s="1"/>
  <c r="F146" i="14" s="1"/>
  <c r="E180" i="4"/>
  <c r="AE180" i="4" s="1"/>
  <c r="E196" i="4"/>
  <c r="AE196" i="4" s="1"/>
  <c r="F194" i="14" s="1"/>
  <c r="E166" i="4"/>
  <c r="AE166" i="4" s="1"/>
  <c r="F164" i="14" s="1"/>
  <c r="E50" i="4"/>
  <c r="AE50" i="4" s="1"/>
  <c r="F48" i="14" s="1"/>
  <c r="E15" i="4"/>
  <c r="AE15" i="4" s="1"/>
  <c r="E47" i="4"/>
  <c r="AE47" i="4" s="1"/>
  <c r="E83" i="4"/>
  <c r="AE83" i="4" s="1"/>
  <c r="E115" i="4"/>
  <c r="AE115" i="4" s="1"/>
  <c r="F113" i="14" s="1"/>
  <c r="E143" i="4"/>
  <c r="AE143" i="4" s="1"/>
  <c r="F141" i="14" s="1"/>
  <c r="E171" i="4"/>
  <c r="AE171" i="4" s="1"/>
  <c r="E8" i="4"/>
  <c r="AE8" i="4" s="1"/>
  <c r="AC10" i="10"/>
  <c r="AE10" i="10" s="1"/>
  <c r="AA4" i="10"/>
  <c r="E64" i="4"/>
  <c r="AE64" i="4" s="1"/>
  <c r="F62" i="14" s="1"/>
  <c r="E128" i="4"/>
  <c r="AE128" i="4" s="1"/>
  <c r="F126" i="14" s="1"/>
  <c r="E157" i="4"/>
  <c r="AE157" i="4" s="1"/>
  <c r="E146" i="4"/>
  <c r="AE146" i="4" s="1"/>
  <c r="F144" i="14" s="1"/>
  <c r="E78" i="4"/>
  <c r="AE78" i="4" s="1"/>
  <c r="E202" i="4"/>
  <c r="AE202" i="4" s="1"/>
  <c r="E35" i="4"/>
  <c r="AE35" i="4" s="1"/>
  <c r="F33" i="14" s="1"/>
  <c r="E67" i="4"/>
  <c r="AE67" i="4" s="1"/>
  <c r="F65" i="16" s="1"/>
  <c r="E95" i="4"/>
  <c r="AE95" i="4" s="1"/>
  <c r="E131" i="4"/>
  <c r="AE131" i="4" s="1"/>
  <c r="F129" i="14" s="1"/>
  <c r="E167" i="4"/>
  <c r="AE167" i="4" s="1"/>
  <c r="F165" i="14" s="1"/>
  <c r="E195" i="4"/>
  <c r="AE195" i="4" s="1"/>
  <c r="F193" i="14" s="1"/>
  <c r="E13" i="4"/>
  <c r="AE13" i="4" s="1"/>
  <c r="E29" i="4"/>
  <c r="AE29" i="4" s="1"/>
  <c r="E45" i="4"/>
  <c r="AE45" i="4" s="1"/>
  <c r="F43" i="14" s="1"/>
  <c r="E61" i="4"/>
  <c r="AE61" i="4" s="1"/>
  <c r="F59" i="14" s="1"/>
  <c r="E77" i="4"/>
  <c r="AE77" i="4" s="1"/>
  <c r="F75" i="14" s="1"/>
  <c r="E93" i="4"/>
  <c r="AE93" i="4" s="1"/>
  <c r="F91" i="14" s="1"/>
  <c r="E109" i="4"/>
  <c r="AE109" i="4" s="1"/>
  <c r="F107" i="14" s="1"/>
  <c r="E125" i="4"/>
  <c r="AE125" i="4" s="1"/>
  <c r="F123" i="14" s="1"/>
  <c r="E149" i="4"/>
  <c r="AE149" i="4" s="1"/>
  <c r="E181" i="4"/>
  <c r="AE181" i="4" s="1"/>
  <c r="F179" i="14" s="1"/>
  <c r="E32" i="4"/>
  <c r="AE32" i="4" s="1"/>
  <c r="F30" i="14" s="1"/>
  <c r="E96" i="4"/>
  <c r="AE96" i="4" s="1"/>
  <c r="E160" i="4"/>
  <c r="AE160" i="4" s="1"/>
  <c r="F158" i="14" s="1"/>
  <c r="E18" i="4"/>
  <c r="AE18" i="4" s="1"/>
  <c r="F16" i="14" s="1"/>
  <c r="E114" i="4"/>
  <c r="AE114" i="4" s="1"/>
  <c r="F112" i="14" s="1"/>
  <c r="E12" i="4"/>
  <c r="AE12" i="4" s="1"/>
  <c r="F10" i="14" s="1"/>
  <c r="E28" i="4"/>
  <c r="AE28" i="4" s="1"/>
  <c r="E44" i="4"/>
  <c r="AE44" i="4" s="1"/>
  <c r="E60" i="4"/>
  <c r="AE60" i="4" s="1"/>
  <c r="E76" i="4"/>
  <c r="AE76" i="4" s="1"/>
  <c r="F74" i="14" s="1"/>
  <c r="E92" i="4"/>
  <c r="AE92" i="4" s="1"/>
  <c r="F90" i="14" s="1"/>
  <c r="E108" i="4"/>
  <c r="AE108" i="4" s="1"/>
  <c r="F106" i="14" s="1"/>
  <c r="E124" i="4"/>
  <c r="AE124" i="4" s="1"/>
  <c r="F122" i="14" s="1"/>
  <c r="E140" i="4"/>
  <c r="AE140" i="4" s="1"/>
  <c r="F138" i="14" s="1"/>
  <c r="E156" i="4"/>
  <c r="AE156" i="4" s="1"/>
  <c r="E172" i="4"/>
  <c r="AE172" i="4" s="1"/>
  <c r="E70" i="4"/>
  <c r="AE70" i="4" s="1"/>
  <c r="F68" i="14" s="1"/>
  <c r="E94" i="4"/>
  <c r="AE94" i="4" s="1"/>
  <c r="F92" i="14" s="1"/>
  <c r="E194" i="4"/>
  <c r="AE194" i="4" s="1"/>
  <c r="E27" i="4"/>
  <c r="AE27" i="4" s="1"/>
  <c r="F25" i="14" s="1"/>
  <c r="E59" i="4"/>
  <c r="AE59" i="4" s="1"/>
  <c r="F57" i="14" s="1"/>
  <c r="E189" i="4"/>
  <c r="AE189" i="4" s="1"/>
  <c r="F187" i="14" s="1"/>
  <c r="E110" i="4"/>
  <c r="AE110" i="4" s="1"/>
  <c r="F108" i="14" s="1"/>
  <c r="E98" i="4"/>
  <c r="AE98" i="4" s="1"/>
  <c r="Z16" i="1"/>
  <c r="E16" i="4"/>
  <c r="AE16" i="4" s="1"/>
  <c r="F14" i="14" s="1"/>
  <c r="E48" i="4"/>
  <c r="AE48" i="4" s="1"/>
  <c r="E80" i="4"/>
  <c r="AE80" i="4" s="1"/>
  <c r="F78" i="16" s="1"/>
  <c r="E112" i="4"/>
  <c r="AE112" i="4" s="1"/>
  <c r="F110" i="14" s="1"/>
  <c r="E144" i="4"/>
  <c r="AE144" i="4" s="1"/>
  <c r="F142" i="14" s="1"/>
  <c r="E176" i="4"/>
  <c r="AE176" i="4" s="1"/>
  <c r="F174" i="14" s="1"/>
  <c r="E74" i="4"/>
  <c r="AE74" i="4" s="1"/>
  <c r="E154" i="4"/>
  <c r="AE154" i="4" s="1"/>
  <c r="F152" i="14" s="1"/>
  <c r="E22" i="4"/>
  <c r="AE22" i="4" s="1"/>
  <c r="F20" i="14" s="1"/>
  <c r="E54" i="4"/>
  <c r="AE54" i="4" s="1"/>
  <c r="F52" i="14" s="1"/>
  <c r="E82" i="4"/>
  <c r="AE82" i="4" s="1"/>
  <c r="F80" i="14" s="1"/>
  <c r="E118" i="4"/>
  <c r="AE118" i="4" s="1"/>
  <c r="F116" i="14" s="1"/>
  <c r="E150" i="4"/>
  <c r="AE150" i="4" s="1"/>
  <c r="F148" i="14" s="1"/>
  <c r="E182" i="4"/>
  <c r="AE182" i="4" s="1"/>
  <c r="F180" i="14" s="1"/>
  <c r="E11" i="4"/>
  <c r="AE11" i="4" s="1"/>
  <c r="E43" i="4"/>
  <c r="AE43" i="4" s="1"/>
  <c r="E75" i="4"/>
  <c r="AE75" i="4" s="1"/>
  <c r="F73" i="14" s="1"/>
  <c r="E141" i="4"/>
  <c r="AE141" i="4" s="1"/>
  <c r="E173" i="4"/>
  <c r="AE173" i="4" s="1"/>
  <c r="F171" i="14" s="1"/>
  <c r="E205" i="4"/>
  <c r="AE205" i="4" s="1"/>
  <c r="F203" i="14" s="1"/>
  <c r="E58" i="4"/>
  <c r="AE58" i="4" s="1"/>
  <c r="E178" i="4"/>
  <c r="AE178" i="4" s="1"/>
  <c r="E26" i="4"/>
  <c r="AE26" i="4" s="1"/>
  <c r="F24" i="14" s="1"/>
  <c r="E122" i="4"/>
  <c r="AE122" i="4" s="1"/>
  <c r="F120" i="14" s="1"/>
  <c r="E62" i="4"/>
  <c r="AE62" i="4" s="1"/>
  <c r="F60" i="14" s="1"/>
  <c r="E86" i="4"/>
  <c r="AE86" i="4" s="1"/>
  <c r="E186" i="4"/>
  <c r="AE186" i="4" s="1"/>
  <c r="E19" i="4"/>
  <c r="AE19" i="4" s="1"/>
  <c r="F17" i="14" s="1"/>
  <c r="E51" i="4"/>
  <c r="AE51" i="4" s="1"/>
  <c r="E79" i="4"/>
  <c r="AE79" i="4" s="1"/>
  <c r="E111" i="4"/>
  <c r="AE111" i="4" s="1"/>
  <c r="E151" i="4"/>
  <c r="AE151" i="4" s="1"/>
  <c r="F149" i="14" s="1"/>
  <c r="E183" i="4"/>
  <c r="AE183" i="4" s="1"/>
  <c r="E207" i="4"/>
  <c r="AE207" i="4" s="1"/>
  <c r="E21" i="4"/>
  <c r="AE21" i="4" s="1"/>
  <c r="E37" i="4"/>
  <c r="AE37" i="4" s="1"/>
  <c r="F35" i="14" s="1"/>
  <c r="E53" i="4"/>
  <c r="AE53" i="4" s="1"/>
  <c r="F51" i="14" s="1"/>
  <c r="E69" i="4"/>
  <c r="AE69" i="4" s="1"/>
  <c r="E85" i="4"/>
  <c r="AE85" i="4" s="1"/>
  <c r="E101" i="4"/>
  <c r="AE101" i="4" s="1"/>
  <c r="F99" i="14" s="1"/>
  <c r="E117" i="4"/>
  <c r="AE117" i="4" s="1"/>
  <c r="F115" i="14" s="1"/>
  <c r="E133" i="4"/>
  <c r="AE133" i="4" s="1"/>
  <c r="E165" i="4"/>
  <c r="AE165" i="4" s="1"/>
  <c r="E197" i="4"/>
  <c r="AE197" i="4" s="1"/>
  <c r="F195" i="14" s="1"/>
  <c r="E46" i="4"/>
  <c r="AE46" i="4" s="1"/>
  <c r="F44" i="14" s="1"/>
  <c r="E174" i="4"/>
  <c r="AE174" i="4" s="1"/>
  <c r="F172" i="14" s="1"/>
  <c r="D3" i="4"/>
  <c r="D4" i="4" s="1"/>
  <c r="AA9" i="1"/>
  <c r="AA8" i="1"/>
  <c r="AE8" i="1" s="1"/>
  <c r="AA5" i="1"/>
  <c r="AE5" i="1" s="1"/>
  <c r="AA14" i="1"/>
  <c r="AC14" i="1" s="1"/>
  <c r="AA4" i="1"/>
  <c r="F83" i="14" l="1"/>
  <c r="F9" i="14"/>
  <c r="F42" i="14"/>
  <c r="F199" i="14"/>
  <c r="F135" i="14"/>
  <c r="F71" i="14"/>
  <c r="F7" i="14"/>
  <c r="F85" i="14"/>
  <c r="F89" i="14"/>
  <c r="F41" i="14"/>
  <c r="F58" i="14"/>
  <c r="F155" i="14"/>
  <c r="F34" i="14"/>
  <c r="F54" i="14"/>
  <c r="F19" i="14"/>
  <c r="F170" i="14"/>
  <c r="F200" i="14"/>
  <c r="F6" i="14"/>
  <c r="F114" i="14"/>
  <c r="F77" i="14"/>
  <c r="F84" i="14"/>
  <c r="F147" i="14"/>
  <c r="F93" i="14"/>
  <c r="F76" i="14"/>
  <c r="F169" i="14"/>
  <c r="F127" i="14"/>
  <c r="F97" i="14"/>
  <c r="F163" i="14"/>
  <c r="F109" i="14"/>
  <c r="F72" i="14"/>
  <c r="F96" i="14"/>
  <c r="F27" i="14"/>
  <c r="F125" i="14"/>
  <c r="F130" i="14"/>
  <c r="F131" i="14"/>
  <c r="F205" i="14"/>
  <c r="F176" i="14"/>
  <c r="F139" i="14"/>
  <c r="F46" i="14"/>
  <c r="F154" i="14"/>
  <c r="F26" i="14"/>
  <c r="F11" i="14"/>
  <c r="F45" i="14"/>
  <c r="F82" i="14"/>
  <c r="F40" i="14"/>
  <c r="F134" i="14"/>
  <c r="F183" i="14"/>
  <c r="F119" i="14"/>
  <c r="F55" i="14"/>
  <c r="F185" i="14"/>
  <c r="F67" i="14"/>
  <c r="F181" i="14"/>
  <c r="F49" i="14"/>
  <c r="F56" i="14"/>
  <c r="F13" i="14"/>
  <c r="F178" i="14"/>
  <c r="F182" i="14"/>
  <c r="F157" i="14"/>
  <c r="F88" i="14"/>
  <c r="F145" i="14"/>
  <c r="F95" i="14"/>
  <c r="AF14" i="1"/>
  <c r="AI14" i="1" s="1"/>
  <c r="F16" i="16"/>
  <c r="F132" i="16"/>
  <c r="F33" i="16"/>
  <c r="F60" i="16"/>
  <c r="F50" i="16"/>
  <c r="F143" i="16"/>
  <c r="F195" i="16"/>
  <c r="F140" i="16"/>
  <c r="F86" i="16"/>
  <c r="F105" i="16"/>
  <c r="F100" i="16"/>
  <c r="F12" i="16"/>
  <c r="F28" i="16"/>
  <c r="F91" i="16"/>
  <c r="F30" i="16"/>
  <c r="F125" i="16"/>
  <c r="F96" i="16"/>
  <c r="F7" i="16"/>
  <c r="F166" i="16"/>
  <c r="F84" i="16"/>
  <c r="F136" i="16"/>
  <c r="F23" i="16"/>
  <c r="F156" i="14"/>
  <c r="F87" i="14"/>
  <c r="F49" i="16"/>
  <c r="F22" i="16"/>
  <c r="F94" i="16"/>
  <c r="F145" i="16"/>
  <c r="F79" i="16"/>
  <c r="F131" i="16"/>
  <c r="F27" i="16"/>
  <c r="F108" i="16"/>
  <c r="F191" i="16"/>
  <c r="F126" i="16"/>
  <c r="F130" i="16"/>
  <c r="F171" i="16"/>
  <c r="F160" i="16"/>
  <c r="F148" i="16"/>
  <c r="F153" i="16"/>
  <c r="F14" i="16"/>
  <c r="F157" i="16"/>
  <c r="F121" i="16"/>
  <c r="F38" i="16"/>
  <c r="F37" i="16"/>
  <c r="F117" i="16"/>
  <c r="F159" i="16"/>
  <c r="F147" i="16"/>
  <c r="F173" i="16"/>
  <c r="F203" i="16"/>
  <c r="F61" i="16"/>
  <c r="F15" i="16"/>
  <c r="F67" i="16"/>
  <c r="F97" i="16"/>
  <c r="F44" i="16"/>
  <c r="F127" i="16"/>
  <c r="F179" i="16"/>
  <c r="F57" i="16"/>
  <c r="F107" i="16"/>
  <c r="F175" i="16"/>
  <c r="F99" i="16"/>
  <c r="F54" i="16"/>
  <c r="F134" i="16"/>
  <c r="F40" i="16"/>
  <c r="F73" i="16"/>
  <c r="F113" i="16"/>
  <c r="F156" i="16"/>
  <c r="F192" i="16"/>
  <c r="F95" i="16"/>
  <c r="F83" i="16"/>
  <c r="F109" i="16"/>
  <c r="F139" i="16"/>
  <c r="F76" i="16"/>
  <c r="F101" i="16"/>
  <c r="F185" i="16"/>
  <c r="F184" i="16"/>
  <c r="F158" i="16"/>
  <c r="F63" i="16"/>
  <c r="F115" i="16"/>
  <c r="F168" i="16"/>
  <c r="F43" i="16"/>
  <c r="F111" i="16"/>
  <c r="F35" i="16"/>
  <c r="F155" i="16"/>
  <c r="F128" i="16"/>
  <c r="F102" i="16"/>
  <c r="F70" i="16"/>
  <c r="F36" i="16"/>
  <c r="F172" i="16"/>
  <c r="F183" i="16"/>
  <c r="F181" i="16"/>
  <c r="F169" i="16"/>
  <c r="F31" i="16"/>
  <c r="F19" i="16"/>
  <c r="F45" i="16"/>
  <c r="F75" i="16"/>
  <c r="F194" i="16"/>
  <c r="F180" i="16"/>
  <c r="F170" i="16"/>
  <c r="F6" i="16"/>
  <c r="F120" i="16"/>
  <c r="F137" i="16"/>
  <c r="F177" i="16"/>
  <c r="F51" i="16"/>
  <c r="F104" i="16"/>
  <c r="F146" i="16"/>
  <c r="F47" i="16"/>
  <c r="F202" i="16"/>
  <c r="F89" i="16"/>
  <c r="F141" i="16"/>
  <c r="F69" i="16"/>
  <c r="F163" i="16"/>
  <c r="F176" i="16"/>
  <c r="F187" i="16"/>
  <c r="F151" i="16"/>
  <c r="F34" i="16"/>
  <c r="F70" i="14"/>
  <c r="F17" i="16"/>
  <c r="F118" i="16"/>
  <c r="F186" i="16"/>
  <c r="F129" i="16"/>
  <c r="F150" i="16"/>
  <c r="F11" i="16"/>
  <c r="F64" i="16"/>
  <c r="F116" i="16"/>
  <c r="F42" i="16"/>
  <c r="F24" i="16"/>
  <c r="F56" i="16"/>
  <c r="F162" i="16"/>
  <c r="F167" i="16"/>
  <c r="F149" i="16"/>
  <c r="F154" i="16"/>
  <c r="F198" i="16"/>
  <c r="F82" i="16"/>
  <c r="F197" i="16"/>
  <c r="F138" i="16"/>
  <c r="F41" i="16"/>
  <c r="F81" i="16"/>
  <c r="F199" i="16"/>
  <c r="F48" i="16"/>
  <c r="F123" i="16"/>
  <c r="F59" i="16"/>
  <c r="F119" i="16"/>
  <c r="F72" i="16"/>
  <c r="F144" i="16"/>
  <c r="F53" i="16"/>
  <c r="F122" i="16"/>
  <c r="F200" i="16"/>
  <c r="F188" i="16"/>
  <c r="F178" i="16"/>
  <c r="F161" i="16"/>
  <c r="F52" i="16"/>
  <c r="F103" i="16"/>
  <c r="F93" i="16"/>
  <c r="F98" i="16"/>
  <c r="F66" i="16"/>
  <c r="F21" i="16"/>
  <c r="F90" i="16"/>
  <c r="F152" i="16"/>
  <c r="F205" i="16"/>
  <c r="F18" i="16"/>
  <c r="F25" i="16"/>
  <c r="F133" i="16"/>
  <c r="F74" i="16"/>
  <c r="F88" i="16"/>
  <c r="F165" i="16"/>
  <c r="F13" i="16"/>
  <c r="F135" i="16"/>
  <c r="F193" i="16"/>
  <c r="F92" i="16"/>
  <c r="F20" i="16"/>
  <c r="F85" i="16"/>
  <c r="F81" i="14"/>
  <c r="F78" i="14"/>
  <c r="F80" i="16"/>
  <c r="F196" i="16"/>
  <c r="F58" i="16"/>
  <c r="F8" i="16"/>
  <c r="F124" i="16"/>
  <c r="F114" i="16"/>
  <c r="F9" i="16"/>
  <c r="F182" i="16"/>
  <c r="F39" i="16"/>
  <c r="F29" i="16"/>
  <c r="F112" i="16"/>
  <c r="F62" i="16"/>
  <c r="F26" i="16"/>
  <c r="F142" i="16"/>
  <c r="F77" i="16"/>
  <c r="F204" i="16"/>
  <c r="F201" i="16"/>
  <c r="F10" i="16"/>
  <c r="F189" i="16"/>
  <c r="F68" i="16"/>
  <c r="F164" i="16"/>
  <c r="F71" i="16"/>
  <c r="F46" i="16"/>
  <c r="F174" i="16"/>
  <c r="F110" i="16"/>
  <c r="F55" i="16"/>
  <c r="F106" i="16"/>
  <c r="F32" i="14"/>
  <c r="F151" i="14"/>
  <c r="F94" i="14"/>
  <c r="F192" i="14"/>
  <c r="F190" i="14"/>
  <c r="F65" i="14"/>
  <c r="F184" i="14"/>
  <c r="AE3" i="10"/>
  <c r="F8" i="4"/>
  <c r="AF8" i="4" s="1"/>
  <c r="G6" i="14" s="1"/>
  <c r="AD3" i="4"/>
  <c r="AD4" i="4" s="1"/>
  <c r="F37" i="4"/>
  <c r="AF37" i="4" s="1"/>
  <c r="G35" i="14" s="1"/>
  <c r="F19" i="4"/>
  <c r="AF19" i="4" s="1"/>
  <c r="G17" i="14" s="1"/>
  <c r="F43" i="4"/>
  <c r="AF43" i="4" s="1"/>
  <c r="G41" i="14" s="1"/>
  <c r="F112" i="4"/>
  <c r="AF112" i="4" s="1"/>
  <c r="G110" i="14" s="1"/>
  <c r="F70" i="4"/>
  <c r="AF70" i="4" s="1"/>
  <c r="G68" i="14" s="1"/>
  <c r="F60" i="4"/>
  <c r="AF60" i="4" s="1"/>
  <c r="F114" i="4"/>
  <c r="AF114" i="4" s="1"/>
  <c r="G112" i="14" s="1"/>
  <c r="F109" i="4"/>
  <c r="AF109" i="4" s="1"/>
  <c r="G107" i="14" s="1"/>
  <c r="F167" i="4"/>
  <c r="AF167" i="4" s="1"/>
  <c r="G165" i="14" s="1"/>
  <c r="F157" i="4"/>
  <c r="AF157" i="4" s="1"/>
  <c r="F165" i="4"/>
  <c r="AF165" i="4" s="1"/>
  <c r="F21" i="4"/>
  <c r="AF21" i="4" s="1"/>
  <c r="G19" i="14" s="1"/>
  <c r="F186" i="4"/>
  <c r="AF186" i="4" s="1"/>
  <c r="G184" i="14" s="1"/>
  <c r="F26" i="4"/>
  <c r="AF26" i="4" s="1"/>
  <c r="G24" i="14" s="1"/>
  <c r="F173" i="4"/>
  <c r="AF173" i="4" s="1"/>
  <c r="G171" i="14" s="1"/>
  <c r="F11" i="4"/>
  <c r="AF11" i="4" s="1"/>
  <c r="G9" i="14" s="1"/>
  <c r="F82" i="4"/>
  <c r="AF82" i="4" s="1"/>
  <c r="G80" i="14" s="1"/>
  <c r="F74" i="4"/>
  <c r="AF74" i="4" s="1"/>
  <c r="F80" i="4"/>
  <c r="AF80" i="4" s="1"/>
  <c r="F98" i="4"/>
  <c r="AF98" i="4" s="1"/>
  <c r="F27" i="4"/>
  <c r="AF27" i="4" s="1"/>
  <c r="G25" i="14" s="1"/>
  <c r="F172" i="4"/>
  <c r="AF172" i="4" s="1"/>
  <c r="F108" i="4"/>
  <c r="AF108" i="4" s="1"/>
  <c r="G106" i="14" s="1"/>
  <c r="F44" i="4"/>
  <c r="AF44" i="4" s="1"/>
  <c r="G42" i="14" s="1"/>
  <c r="F18" i="4"/>
  <c r="AF18" i="4" s="1"/>
  <c r="G16" i="14" s="1"/>
  <c r="F181" i="4"/>
  <c r="AF181" i="4" s="1"/>
  <c r="G179" i="14" s="1"/>
  <c r="F93" i="4"/>
  <c r="AF93" i="4" s="1"/>
  <c r="G91" i="14" s="1"/>
  <c r="F29" i="4"/>
  <c r="AF29" i="4" s="1"/>
  <c r="G27" i="14" s="1"/>
  <c r="F131" i="4"/>
  <c r="AF131" i="4" s="1"/>
  <c r="G129" i="14" s="1"/>
  <c r="F202" i="4"/>
  <c r="AF202" i="4" s="1"/>
  <c r="G200" i="14" s="1"/>
  <c r="F128" i="4"/>
  <c r="AF128" i="4" s="1"/>
  <c r="G126" i="14" s="1"/>
  <c r="F143" i="4"/>
  <c r="AF143" i="4" s="1"/>
  <c r="G141" i="14" s="1"/>
  <c r="F83" i="4"/>
  <c r="AF83" i="4" s="1"/>
  <c r="F15" i="4"/>
  <c r="AF15" i="4" s="1"/>
  <c r="F166" i="4"/>
  <c r="AF166" i="4" s="1"/>
  <c r="G164" i="14" s="1"/>
  <c r="F180" i="4"/>
  <c r="AF180" i="4" s="1"/>
  <c r="G178" i="14" s="1"/>
  <c r="F116" i="4"/>
  <c r="AF116" i="4" s="1"/>
  <c r="F52" i="4"/>
  <c r="AF52" i="4" s="1"/>
  <c r="G50" i="14" s="1"/>
  <c r="F130" i="4"/>
  <c r="AF130" i="4" s="1"/>
  <c r="G128" i="14" s="1"/>
  <c r="F138" i="4"/>
  <c r="AF138" i="4" s="1"/>
  <c r="G136" i="14" s="1"/>
  <c r="F168" i="4"/>
  <c r="AF168" i="4" s="1"/>
  <c r="G166" i="14" s="1"/>
  <c r="F104" i="4"/>
  <c r="AF104" i="4" s="1"/>
  <c r="G102" i="14" s="1"/>
  <c r="F40" i="4"/>
  <c r="AF40" i="4" s="1"/>
  <c r="G38" i="14" s="1"/>
  <c r="F49" i="4"/>
  <c r="AF49" i="4" s="1"/>
  <c r="G47" i="14" s="1"/>
  <c r="F139" i="4"/>
  <c r="AF139" i="4" s="1"/>
  <c r="G137" i="14" s="1"/>
  <c r="F184" i="4"/>
  <c r="AF184" i="4" s="1"/>
  <c r="G182" i="14" s="1"/>
  <c r="F163" i="4"/>
  <c r="AF163" i="4" s="1"/>
  <c r="G161" i="14" s="1"/>
  <c r="F107" i="4"/>
  <c r="AF107" i="4" s="1"/>
  <c r="G105" i="14" s="1"/>
  <c r="F39" i="4"/>
  <c r="AF39" i="4" s="1"/>
  <c r="G37" i="14" s="1"/>
  <c r="F158" i="4"/>
  <c r="AF158" i="4" s="1"/>
  <c r="F201" i="4"/>
  <c r="AF201" i="4" s="1"/>
  <c r="F169" i="4"/>
  <c r="AF169" i="4" s="1"/>
  <c r="G167" i="14" s="1"/>
  <c r="F137" i="4"/>
  <c r="AF137" i="4" s="1"/>
  <c r="G135" i="14" s="1"/>
  <c r="F105" i="4"/>
  <c r="AF105" i="4" s="1"/>
  <c r="G103" i="14" s="1"/>
  <c r="F73" i="4"/>
  <c r="AF73" i="4" s="1"/>
  <c r="G71" i="14" s="1"/>
  <c r="F41" i="4"/>
  <c r="AF41" i="4" s="1"/>
  <c r="G39" i="14" s="1"/>
  <c r="F9" i="4"/>
  <c r="AF9" i="4" s="1"/>
  <c r="F159" i="4"/>
  <c r="AF159" i="4" s="1"/>
  <c r="F87" i="4"/>
  <c r="AF87" i="4" s="1"/>
  <c r="F170" i="4"/>
  <c r="AF170" i="4" s="1"/>
  <c r="G168" i="14" s="1"/>
  <c r="F65" i="4"/>
  <c r="AF65" i="4" s="1"/>
  <c r="G63" i="14" s="1"/>
  <c r="F191" i="4"/>
  <c r="AF191" i="4" s="1"/>
  <c r="G189" i="14" s="1"/>
  <c r="F127" i="4"/>
  <c r="AF127" i="4" s="1"/>
  <c r="G125" i="14" s="1"/>
  <c r="F63" i="4"/>
  <c r="AF63" i="4" s="1"/>
  <c r="G61" i="14" s="1"/>
  <c r="F198" i="4"/>
  <c r="AF198" i="4" s="1"/>
  <c r="G196" i="14" s="1"/>
  <c r="F66" i="4"/>
  <c r="AF66" i="4" s="1"/>
  <c r="G64" i="14" s="1"/>
  <c r="F134" i="4"/>
  <c r="AF134" i="4" s="1"/>
  <c r="G132" i="14" s="1"/>
  <c r="F188" i="4"/>
  <c r="AF188" i="4" s="1"/>
  <c r="G186" i="14" s="1"/>
  <c r="F132" i="4"/>
  <c r="AF132" i="4" s="1"/>
  <c r="G130" i="14" s="1"/>
  <c r="F68" i="4"/>
  <c r="AF68" i="4" s="1"/>
  <c r="G66" i="14" s="1"/>
  <c r="F162" i="4"/>
  <c r="AF162" i="4" s="1"/>
  <c r="G160" i="14" s="1"/>
  <c r="F90" i="4"/>
  <c r="AF90" i="4" s="1"/>
  <c r="G88" i="14" s="1"/>
  <c r="F152" i="4"/>
  <c r="AF152" i="4" s="1"/>
  <c r="G150" i="14" s="1"/>
  <c r="F88" i="4"/>
  <c r="AF88" i="4" s="1"/>
  <c r="G86" i="14" s="1"/>
  <c r="F24" i="4"/>
  <c r="AF24" i="4" s="1"/>
  <c r="G22" i="14" s="1"/>
  <c r="F147" i="4"/>
  <c r="AF147" i="4" s="1"/>
  <c r="G145" i="14" s="1"/>
  <c r="F91" i="4"/>
  <c r="AF91" i="4" s="1"/>
  <c r="G89" i="14" s="1"/>
  <c r="F23" i="4"/>
  <c r="AF23" i="4" s="1"/>
  <c r="G21" i="14" s="1"/>
  <c r="F126" i="4"/>
  <c r="AF126" i="4" s="1"/>
  <c r="G124" i="14" s="1"/>
  <c r="F193" i="4"/>
  <c r="AF193" i="4" s="1"/>
  <c r="G191" i="14" s="1"/>
  <c r="F161" i="4"/>
  <c r="AF161" i="4" s="1"/>
  <c r="G159" i="14" s="1"/>
  <c r="F97" i="4"/>
  <c r="AF97" i="4" s="1"/>
  <c r="G95" i="14" s="1"/>
  <c r="F33" i="4"/>
  <c r="AF33" i="4" s="1"/>
  <c r="G31" i="14" s="1"/>
  <c r="F103" i="4"/>
  <c r="AF103" i="4" s="1"/>
  <c r="G101" i="14" s="1"/>
  <c r="F101" i="4"/>
  <c r="AF101" i="4" s="1"/>
  <c r="G99" i="14" s="1"/>
  <c r="F122" i="4"/>
  <c r="AF122" i="4" s="1"/>
  <c r="G120" i="14" s="1"/>
  <c r="F118" i="4"/>
  <c r="AF118" i="4" s="1"/>
  <c r="G116" i="14" s="1"/>
  <c r="F59" i="4"/>
  <c r="AF59" i="4" s="1"/>
  <c r="G57" i="14" s="1"/>
  <c r="F124" i="4"/>
  <c r="AF124" i="4" s="1"/>
  <c r="G122" i="14" s="1"/>
  <c r="F32" i="4"/>
  <c r="AF32" i="4" s="1"/>
  <c r="G30" i="14" s="1"/>
  <c r="F45" i="4"/>
  <c r="AF45" i="4" s="1"/>
  <c r="G43" i="14" s="1"/>
  <c r="F35" i="4"/>
  <c r="AF35" i="4" s="1"/>
  <c r="G33" i="14" s="1"/>
  <c r="F85" i="4"/>
  <c r="AF85" i="4" s="1"/>
  <c r="G83" i="14" s="1"/>
  <c r="F111" i="4"/>
  <c r="AF111" i="4" s="1"/>
  <c r="G109" i="14" s="1"/>
  <c r="F174" i="4"/>
  <c r="AF174" i="4" s="1"/>
  <c r="G172" i="14" s="1"/>
  <c r="F133" i="4"/>
  <c r="AF133" i="4" s="1"/>
  <c r="F69" i="4"/>
  <c r="AF69" i="4" s="1"/>
  <c r="F207" i="4"/>
  <c r="AF207" i="4" s="1"/>
  <c r="F79" i="4"/>
  <c r="AF79" i="4" s="1"/>
  <c r="F86" i="4"/>
  <c r="AF86" i="4" s="1"/>
  <c r="G84" i="14" s="1"/>
  <c r="F178" i="4"/>
  <c r="AF178" i="4" s="1"/>
  <c r="G176" i="14" s="1"/>
  <c r="F141" i="4"/>
  <c r="AF141" i="4" s="1"/>
  <c r="G139" i="14" s="1"/>
  <c r="F182" i="4"/>
  <c r="AF182" i="4" s="1"/>
  <c r="G180" i="14" s="1"/>
  <c r="F54" i="4"/>
  <c r="AF54" i="4" s="1"/>
  <c r="G52" i="14" s="1"/>
  <c r="F176" i="4"/>
  <c r="AF176" i="4" s="1"/>
  <c r="G174" i="14" s="1"/>
  <c r="F48" i="4"/>
  <c r="AF48" i="4" s="1"/>
  <c r="F110" i="4"/>
  <c r="AF110" i="4" s="1"/>
  <c r="G108" i="14" s="1"/>
  <c r="F194" i="4"/>
  <c r="AF194" i="4" s="1"/>
  <c r="F156" i="4"/>
  <c r="AF156" i="4" s="1"/>
  <c r="F92" i="4"/>
  <c r="AF92" i="4" s="1"/>
  <c r="G90" i="14" s="1"/>
  <c r="F28" i="4"/>
  <c r="AF28" i="4" s="1"/>
  <c r="G26" i="14" s="1"/>
  <c r="F160" i="4"/>
  <c r="AF160" i="4" s="1"/>
  <c r="G158" i="14" s="1"/>
  <c r="F149" i="4"/>
  <c r="AF149" i="4" s="1"/>
  <c r="G147" i="14" s="1"/>
  <c r="F77" i="4"/>
  <c r="AF77" i="4" s="1"/>
  <c r="G75" i="14" s="1"/>
  <c r="F13" i="4"/>
  <c r="AF13" i="4" s="1"/>
  <c r="F95" i="4"/>
  <c r="AF95" i="4" s="1"/>
  <c r="G93" i="14" s="1"/>
  <c r="F78" i="4"/>
  <c r="AF78" i="4" s="1"/>
  <c r="F64" i="4"/>
  <c r="AF64" i="4" s="1"/>
  <c r="G62" i="14" s="1"/>
  <c r="F197" i="4"/>
  <c r="AF197" i="4" s="1"/>
  <c r="G195" i="14" s="1"/>
  <c r="F151" i="4"/>
  <c r="AF151" i="4" s="1"/>
  <c r="G149" i="14" s="1"/>
  <c r="F205" i="4"/>
  <c r="AF205" i="4" s="1"/>
  <c r="G203" i="14" s="1"/>
  <c r="F154" i="4"/>
  <c r="AF154" i="4" s="1"/>
  <c r="G152" i="14" s="1"/>
  <c r="F46" i="4"/>
  <c r="AF46" i="4" s="1"/>
  <c r="G44" i="14" s="1"/>
  <c r="F117" i="4"/>
  <c r="AF117" i="4" s="1"/>
  <c r="G115" i="14" s="1"/>
  <c r="F53" i="4"/>
  <c r="AF53" i="4" s="1"/>
  <c r="G51" i="14" s="1"/>
  <c r="F183" i="4"/>
  <c r="AF183" i="4" s="1"/>
  <c r="F51" i="4"/>
  <c r="AF51" i="4" s="1"/>
  <c r="G49" i="14" s="1"/>
  <c r="F62" i="4"/>
  <c r="AF62" i="4" s="1"/>
  <c r="G60" i="14" s="1"/>
  <c r="F58" i="4"/>
  <c r="AF58" i="4" s="1"/>
  <c r="G56" i="14" s="1"/>
  <c r="F75" i="4"/>
  <c r="AF75" i="4" s="1"/>
  <c r="G73" i="14" s="1"/>
  <c r="F150" i="4"/>
  <c r="AF150" i="4" s="1"/>
  <c r="G148" i="14" s="1"/>
  <c r="F22" i="4"/>
  <c r="AF22" i="4" s="1"/>
  <c r="G20" i="14" s="1"/>
  <c r="F144" i="4"/>
  <c r="AF144" i="4" s="1"/>
  <c r="G142" i="14" s="1"/>
  <c r="F16" i="4"/>
  <c r="AF16" i="4" s="1"/>
  <c r="G14" i="14" s="1"/>
  <c r="F189" i="4"/>
  <c r="AF189" i="4" s="1"/>
  <c r="G187" i="14" s="1"/>
  <c r="F94" i="4"/>
  <c r="AF94" i="4" s="1"/>
  <c r="G92" i="14" s="1"/>
  <c r="F140" i="4"/>
  <c r="AF140" i="4" s="1"/>
  <c r="G138" i="14" s="1"/>
  <c r="F76" i="4"/>
  <c r="AF76" i="4" s="1"/>
  <c r="G74" i="14" s="1"/>
  <c r="F12" i="4"/>
  <c r="AF12" i="4" s="1"/>
  <c r="G10" i="14" s="1"/>
  <c r="F96" i="4"/>
  <c r="AF96" i="4" s="1"/>
  <c r="G94" i="14" s="1"/>
  <c r="F125" i="4"/>
  <c r="AF125" i="4" s="1"/>
  <c r="G123" i="14" s="1"/>
  <c r="F61" i="4"/>
  <c r="AF61" i="4" s="1"/>
  <c r="G59" i="14" s="1"/>
  <c r="F195" i="4"/>
  <c r="AF195" i="4" s="1"/>
  <c r="G193" i="14" s="1"/>
  <c r="F67" i="4"/>
  <c r="AF67" i="4" s="1"/>
  <c r="G65" i="14" s="1"/>
  <c r="F146" i="4"/>
  <c r="AF146" i="4" s="1"/>
  <c r="G144" i="14" s="1"/>
  <c r="F171" i="4"/>
  <c r="AF171" i="4" s="1"/>
  <c r="G169" i="14" s="1"/>
  <c r="F115" i="4"/>
  <c r="AF115" i="4" s="1"/>
  <c r="G113" i="14" s="1"/>
  <c r="F47" i="4"/>
  <c r="AF47" i="4" s="1"/>
  <c r="G45" i="14" s="1"/>
  <c r="F50" i="4"/>
  <c r="AF50" i="4" s="1"/>
  <c r="G48" i="14" s="1"/>
  <c r="F196" i="4"/>
  <c r="AF196" i="4" s="1"/>
  <c r="G194" i="14" s="1"/>
  <c r="F148" i="4"/>
  <c r="AF148" i="4" s="1"/>
  <c r="G146" i="14" s="1"/>
  <c r="F84" i="4"/>
  <c r="AF84" i="4" s="1"/>
  <c r="G82" i="14" s="1"/>
  <c r="F20" i="4"/>
  <c r="AF20" i="4" s="1"/>
  <c r="G18" i="14" s="1"/>
  <c r="F42" i="4"/>
  <c r="AF42" i="4" s="1"/>
  <c r="G40" i="14" s="1"/>
  <c r="F34" i="4"/>
  <c r="AF34" i="4" s="1"/>
  <c r="G32" i="16" s="1"/>
  <c r="F136" i="4"/>
  <c r="AF136" i="4" s="1"/>
  <c r="F72" i="4"/>
  <c r="AF72" i="4" s="1"/>
  <c r="G70" i="14" s="1"/>
  <c r="F129" i="4"/>
  <c r="AF129" i="4" s="1"/>
  <c r="G127" i="14" s="1"/>
  <c r="F17" i="4"/>
  <c r="AF17" i="4" s="1"/>
  <c r="G15" i="14" s="1"/>
  <c r="F38" i="4"/>
  <c r="AF38" i="4" s="1"/>
  <c r="F203" i="4"/>
  <c r="AF203" i="4" s="1"/>
  <c r="G201" i="14" s="1"/>
  <c r="F135" i="4"/>
  <c r="AF135" i="4" s="1"/>
  <c r="G133" i="14" s="1"/>
  <c r="F71" i="4"/>
  <c r="AF71" i="4" s="1"/>
  <c r="G69" i="14" s="1"/>
  <c r="F206" i="4"/>
  <c r="AF206" i="4" s="1"/>
  <c r="G204" i="14" s="1"/>
  <c r="F102" i="4"/>
  <c r="AF102" i="4" s="1"/>
  <c r="G100" i="14" s="1"/>
  <c r="F185" i="4"/>
  <c r="AF185" i="4" s="1"/>
  <c r="F153" i="4"/>
  <c r="AF153" i="4" s="1"/>
  <c r="F121" i="4"/>
  <c r="AF121" i="4" s="1"/>
  <c r="G119" i="14" s="1"/>
  <c r="F89" i="4"/>
  <c r="AF89" i="4" s="1"/>
  <c r="G87" i="14" s="1"/>
  <c r="F57" i="4"/>
  <c r="AF57" i="4" s="1"/>
  <c r="G55" i="14" s="1"/>
  <c r="F25" i="4"/>
  <c r="AF25" i="4" s="1"/>
  <c r="G23" i="14" s="1"/>
  <c r="F187" i="4"/>
  <c r="AF187" i="4" s="1"/>
  <c r="F119" i="4"/>
  <c r="AF119" i="4" s="1"/>
  <c r="G117" i="14" s="1"/>
  <c r="F192" i="4"/>
  <c r="AF192" i="4" s="1"/>
  <c r="F145" i="4"/>
  <c r="AF145" i="4" s="1"/>
  <c r="G143" i="14" s="1"/>
  <c r="F199" i="4"/>
  <c r="AF199" i="4" s="1"/>
  <c r="G197" i="14" s="1"/>
  <c r="F155" i="4"/>
  <c r="AF155" i="4" s="1"/>
  <c r="G153" i="14" s="1"/>
  <c r="F99" i="4"/>
  <c r="AF99" i="4" s="1"/>
  <c r="F31" i="4"/>
  <c r="AF31" i="4" s="1"/>
  <c r="G29" i="14" s="1"/>
  <c r="F142" i="4"/>
  <c r="AF142" i="4" s="1"/>
  <c r="G140" i="14" s="1"/>
  <c r="F30" i="4"/>
  <c r="AF30" i="4" s="1"/>
  <c r="G28" i="14" s="1"/>
  <c r="F204" i="4"/>
  <c r="AF204" i="4" s="1"/>
  <c r="G202" i="14" s="1"/>
  <c r="F164" i="4"/>
  <c r="AF164" i="4" s="1"/>
  <c r="G162" i="14" s="1"/>
  <c r="F100" i="4"/>
  <c r="AF100" i="4" s="1"/>
  <c r="F36" i="4"/>
  <c r="AF36" i="4" s="1"/>
  <c r="G34" i="14" s="1"/>
  <c r="F106" i="4"/>
  <c r="AF106" i="4" s="1"/>
  <c r="G104" i="14" s="1"/>
  <c r="F10" i="4"/>
  <c r="AF10" i="4" s="1"/>
  <c r="G8" i="14" s="1"/>
  <c r="F120" i="4"/>
  <c r="AF120" i="4" s="1"/>
  <c r="G118" i="14" s="1"/>
  <c r="F56" i="4"/>
  <c r="AF56" i="4" s="1"/>
  <c r="G54" i="14" s="1"/>
  <c r="F179" i="4"/>
  <c r="AF179" i="4" s="1"/>
  <c r="G177" i="14" s="1"/>
  <c r="F123" i="4"/>
  <c r="AF123" i="4" s="1"/>
  <c r="G121" i="14" s="1"/>
  <c r="F55" i="4"/>
  <c r="AF55" i="4" s="1"/>
  <c r="G53" i="14" s="1"/>
  <c r="F190" i="4"/>
  <c r="AF190" i="4" s="1"/>
  <c r="G188" i="14" s="1"/>
  <c r="F14" i="4"/>
  <c r="AF14" i="4" s="1"/>
  <c r="G12" i="14" s="1"/>
  <c r="F177" i="4"/>
  <c r="AF177" i="4" s="1"/>
  <c r="G175" i="14" s="1"/>
  <c r="F113" i="4"/>
  <c r="AF113" i="4" s="1"/>
  <c r="G111" i="14" s="1"/>
  <c r="F81" i="4"/>
  <c r="AF81" i="4" s="1"/>
  <c r="G79" i="14" s="1"/>
  <c r="F175" i="4"/>
  <c r="AF175" i="4" s="1"/>
  <c r="G173" i="14" s="1"/>
  <c r="F200" i="4"/>
  <c r="AF200" i="4" s="1"/>
  <c r="G198" i="14" s="1"/>
  <c r="AE4" i="1"/>
  <c r="AA29" i="1"/>
  <c r="AG16" i="1"/>
  <c r="AH16" i="1" s="1"/>
  <c r="Z17" i="1"/>
  <c r="E3" i="4"/>
  <c r="E4" i="4" s="1"/>
  <c r="AA15" i="1"/>
  <c r="AC15" i="1" s="1"/>
  <c r="AF15" i="1" s="1"/>
  <c r="AI15" i="1" s="1"/>
  <c r="AE9" i="1"/>
  <c r="AA16" i="1"/>
  <c r="G77" i="14" l="1"/>
  <c r="G85" i="14"/>
  <c r="G199" i="14"/>
  <c r="G163" i="14"/>
  <c r="G97" i="14"/>
  <c r="G181" i="14"/>
  <c r="G205" i="14"/>
  <c r="G13" i="14"/>
  <c r="G170" i="14"/>
  <c r="G155" i="14"/>
  <c r="G58" i="14"/>
  <c r="G190" i="14"/>
  <c r="G183" i="14"/>
  <c r="G8" i="4"/>
  <c r="AG8" i="4" s="1"/>
  <c r="G76" i="14"/>
  <c r="G154" i="14"/>
  <c r="G67" i="14"/>
  <c r="G7" i="14"/>
  <c r="G114" i="14"/>
  <c r="G81" i="14"/>
  <c r="G185" i="14"/>
  <c r="G134" i="14"/>
  <c r="G131" i="14"/>
  <c r="G96" i="14"/>
  <c r="G11" i="14"/>
  <c r="G78" i="14"/>
  <c r="G151" i="14"/>
  <c r="G46" i="14"/>
  <c r="G157" i="14"/>
  <c r="G156" i="14"/>
  <c r="G36" i="14"/>
  <c r="G164" i="16"/>
  <c r="G26" i="16"/>
  <c r="G124" i="16"/>
  <c r="G88" i="16"/>
  <c r="G21" i="16"/>
  <c r="G188" i="16"/>
  <c r="G123" i="16"/>
  <c r="G198" i="16"/>
  <c r="G116" i="16"/>
  <c r="G187" i="16"/>
  <c r="G146" i="16"/>
  <c r="G180" i="16"/>
  <c r="G155" i="16"/>
  <c r="G184" i="16"/>
  <c r="G134" i="16"/>
  <c r="G44" i="16"/>
  <c r="G159" i="16"/>
  <c r="G157" i="16"/>
  <c r="G191" i="16"/>
  <c r="G49" i="16"/>
  <c r="G30" i="16"/>
  <c r="G195" i="16"/>
  <c r="G68" i="16"/>
  <c r="G62" i="16"/>
  <c r="G8" i="16"/>
  <c r="G85" i="16"/>
  <c r="G74" i="16"/>
  <c r="G66" i="16"/>
  <c r="G200" i="16"/>
  <c r="G48" i="16"/>
  <c r="G154" i="16"/>
  <c r="G64" i="16"/>
  <c r="G176" i="16"/>
  <c r="G104" i="16"/>
  <c r="G194" i="16"/>
  <c r="G181" i="16"/>
  <c r="G35" i="16"/>
  <c r="G185" i="16"/>
  <c r="G54" i="16"/>
  <c r="G97" i="16"/>
  <c r="G14" i="16"/>
  <c r="G108" i="16"/>
  <c r="G23" i="16"/>
  <c r="G91" i="16"/>
  <c r="G143" i="16"/>
  <c r="G106" i="16"/>
  <c r="G189" i="16"/>
  <c r="G112" i="16"/>
  <c r="G58" i="16"/>
  <c r="G20" i="16"/>
  <c r="G133" i="16"/>
  <c r="G98" i="16"/>
  <c r="G122" i="16"/>
  <c r="G199" i="16"/>
  <c r="G149" i="16"/>
  <c r="G11" i="16"/>
  <c r="G163" i="16"/>
  <c r="G51" i="16"/>
  <c r="G75" i="16"/>
  <c r="G183" i="16"/>
  <c r="G111" i="16"/>
  <c r="G101" i="16"/>
  <c r="G99" i="16"/>
  <c r="G67" i="16"/>
  <c r="G153" i="16"/>
  <c r="G27" i="16"/>
  <c r="G136" i="16"/>
  <c r="G28" i="16"/>
  <c r="G50" i="16"/>
  <c r="G55" i="16"/>
  <c r="G10" i="16"/>
  <c r="G29" i="16"/>
  <c r="G196" i="16"/>
  <c r="G92" i="16"/>
  <c r="G25" i="16"/>
  <c r="G93" i="16"/>
  <c r="G53" i="16"/>
  <c r="G81" i="16"/>
  <c r="G167" i="16"/>
  <c r="G150" i="16"/>
  <c r="G69" i="16"/>
  <c r="G177" i="16"/>
  <c r="G45" i="16"/>
  <c r="G172" i="16"/>
  <c r="G43" i="16"/>
  <c r="G76" i="16"/>
  <c r="G192" i="16"/>
  <c r="G175" i="16"/>
  <c r="G15" i="16"/>
  <c r="G148" i="16"/>
  <c r="G131" i="16"/>
  <c r="G84" i="16"/>
  <c r="G12" i="16"/>
  <c r="G60" i="16"/>
  <c r="G78" i="16"/>
  <c r="G110" i="16"/>
  <c r="G201" i="16"/>
  <c r="G39" i="16"/>
  <c r="G80" i="16"/>
  <c r="G193" i="16"/>
  <c r="G18" i="16"/>
  <c r="G103" i="16"/>
  <c r="G144" i="16"/>
  <c r="G41" i="16"/>
  <c r="G162" i="16"/>
  <c r="G129" i="16"/>
  <c r="G141" i="16"/>
  <c r="G137" i="16"/>
  <c r="G19" i="16"/>
  <c r="G36" i="16"/>
  <c r="G168" i="16"/>
  <c r="G139" i="16"/>
  <c r="G156" i="16"/>
  <c r="G107" i="16"/>
  <c r="G61" i="16"/>
  <c r="G117" i="16"/>
  <c r="G160" i="16"/>
  <c r="G79" i="16"/>
  <c r="G166" i="16"/>
  <c r="G100" i="16"/>
  <c r="G33" i="16"/>
  <c r="G174" i="16"/>
  <c r="G204" i="16"/>
  <c r="G182" i="16"/>
  <c r="G135" i="16"/>
  <c r="G205" i="16"/>
  <c r="G52" i="16"/>
  <c r="G72" i="16"/>
  <c r="G138" i="16"/>
  <c r="G56" i="16"/>
  <c r="G186" i="16"/>
  <c r="G89" i="16"/>
  <c r="G120" i="16"/>
  <c r="G31" i="16"/>
  <c r="G70" i="16"/>
  <c r="G115" i="16"/>
  <c r="G109" i="16"/>
  <c r="G113" i="16"/>
  <c r="G57" i="16"/>
  <c r="G203" i="16"/>
  <c r="G37" i="16"/>
  <c r="G171" i="16"/>
  <c r="G145" i="16"/>
  <c r="G7" i="16"/>
  <c r="G105" i="16"/>
  <c r="G132" i="16"/>
  <c r="G190" i="16"/>
  <c r="H6" i="14"/>
  <c r="G46" i="16"/>
  <c r="G77" i="16"/>
  <c r="G9" i="16"/>
  <c r="G13" i="16"/>
  <c r="G152" i="16"/>
  <c r="G161" i="16"/>
  <c r="G119" i="16"/>
  <c r="G197" i="16"/>
  <c r="G24" i="16"/>
  <c r="G118" i="16"/>
  <c r="G34" i="16"/>
  <c r="G202" i="16"/>
  <c r="G6" i="16"/>
  <c r="H6" i="16" s="1"/>
  <c r="G169" i="16"/>
  <c r="G102" i="16"/>
  <c r="G63" i="16"/>
  <c r="G83" i="16"/>
  <c r="G73" i="16"/>
  <c r="G179" i="16"/>
  <c r="G173" i="16"/>
  <c r="G38" i="16"/>
  <c r="G130" i="16"/>
  <c r="G94" i="16"/>
  <c r="G96" i="16"/>
  <c r="G86" i="16"/>
  <c r="G16" i="16"/>
  <c r="G87" i="16"/>
  <c r="G71" i="16"/>
  <c r="G142" i="16"/>
  <c r="G114" i="16"/>
  <c r="G165" i="16"/>
  <c r="G90" i="16"/>
  <c r="G178" i="16"/>
  <c r="G59" i="16"/>
  <c r="G82" i="16"/>
  <c r="G42" i="16"/>
  <c r="G17" i="16"/>
  <c r="G151" i="16"/>
  <c r="G47" i="16"/>
  <c r="G170" i="16"/>
  <c r="G128" i="16"/>
  <c r="G158" i="16"/>
  <c r="G95" i="16"/>
  <c r="G40" i="16"/>
  <c r="G127" i="16"/>
  <c r="G147" i="16"/>
  <c r="G121" i="16"/>
  <c r="G126" i="16"/>
  <c r="G22" i="16"/>
  <c r="G125" i="16"/>
  <c r="G140" i="16"/>
  <c r="G65" i="16"/>
  <c r="G192" i="14"/>
  <c r="G72" i="14"/>
  <c r="G98" i="14"/>
  <c r="G32" i="14"/>
  <c r="AE3" i="4"/>
  <c r="AE4" i="4" s="1"/>
  <c r="G111" i="4"/>
  <c r="AG111" i="4" s="1"/>
  <c r="H109" i="14" s="1"/>
  <c r="G32" i="4"/>
  <c r="AG32" i="4" s="1"/>
  <c r="H30" i="14" s="1"/>
  <c r="G103" i="4"/>
  <c r="AG103" i="4" s="1"/>
  <c r="H101" i="14" s="1"/>
  <c r="G147" i="4"/>
  <c r="AG147" i="4" s="1"/>
  <c r="H145" i="14" s="1"/>
  <c r="G68" i="4"/>
  <c r="AG68" i="4" s="1"/>
  <c r="G66" i="4"/>
  <c r="AG66" i="4" s="1"/>
  <c r="H64" i="14" s="1"/>
  <c r="G170" i="4"/>
  <c r="AG170" i="4" s="1"/>
  <c r="H168" i="14" s="1"/>
  <c r="G41" i="4"/>
  <c r="AG41" i="4" s="1"/>
  <c r="H39" i="14" s="1"/>
  <c r="G169" i="4"/>
  <c r="AG169" i="4" s="1"/>
  <c r="H167" i="14" s="1"/>
  <c r="G107" i="4"/>
  <c r="AG107" i="4" s="1"/>
  <c r="H105" i="14" s="1"/>
  <c r="G49" i="4"/>
  <c r="AG49" i="4" s="1"/>
  <c r="H47" i="14" s="1"/>
  <c r="G138" i="4"/>
  <c r="AG138" i="4" s="1"/>
  <c r="H136" i="14" s="1"/>
  <c r="G52" i="4"/>
  <c r="AG52" i="4" s="1"/>
  <c r="H50" i="14" s="1"/>
  <c r="G15" i="4"/>
  <c r="AG15" i="4" s="1"/>
  <c r="G143" i="4"/>
  <c r="AG143" i="4" s="1"/>
  <c r="H141" i="14" s="1"/>
  <c r="G200" i="4"/>
  <c r="AG200" i="4" s="1"/>
  <c r="H198" i="14" s="1"/>
  <c r="G81" i="4"/>
  <c r="AG81" i="4" s="1"/>
  <c r="H79" i="14" s="1"/>
  <c r="G177" i="4"/>
  <c r="AG177" i="4" s="1"/>
  <c r="H175" i="14" s="1"/>
  <c r="G190" i="4"/>
  <c r="AG190" i="4" s="1"/>
  <c r="H188" i="14" s="1"/>
  <c r="G123" i="4"/>
  <c r="AG123" i="4" s="1"/>
  <c r="H121" i="14" s="1"/>
  <c r="G56" i="4"/>
  <c r="AG56" i="4" s="1"/>
  <c r="H54" i="14" s="1"/>
  <c r="G10" i="4"/>
  <c r="AG10" i="4" s="1"/>
  <c r="H8" i="14" s="1"/>
  <c r="G36" i="4"/>
  <c r="AG36" i="4" s="1"/>
  <c r="H34" i="14" s="1"/>
  <c r="G164" i="4"/>
  <c r="AG164" i="4" s="1"/>
  <c r="H162" i="14" s="1"/>
  <c r="G30" i="4"/>
  <c r="AG30" i="4" s="1"/>
  <c r="H28" i="14" s="1"/>
  <c r="G31" i="4"/>
  <c r="AG31" i="4" s="1"/>
  <c r="G155" i="4"/>
  <c r="AG155" i="4" s="1"/>
  <c r="H153" i="14" s="1"/>
  <c r="G145" i="4"/>
  <c r="AG145" i="4" s="1"/>
  <c r="H143" i="14" s="1"/>
  <c r="G119" i="4"/>
  <c r="AG119" i="4" s="1"/>
  <c r="H117" i="14" s="1"/>
  <c r="G25" i="4"/>
  <c r="AG25" i="4" s="1"/>
  <c r="H23" i="14" s="1"/>
  <c r="G89" i="4"/>
  <c r="AG89" i="4" s="1"/>
  <c r="H87" i="14" s="1"/>
  <c r="G153" i="4"/>
  <c r="AG153" i="4" s="1"/>
  <c r="G102" i="4"/>
  <c r="AG102" i="4" s="1"/>
  <c r="H100" i="14" s="1"/>
  <c r="G71" i="4"/>
  <c r="AG71" i="4" s="1"/>
  <c r="H69" i="14" s="1"/>
  <c r="G203" i="4"/>
  <c r="AG203" i="4" s="1"/>
  <c r="H201" i="14" s="1"/>
  <c r="G17" i="4"/>
  <c r="AG17" i="4" s="1"/>
  <c r="H15" i="14" s="1"/>
  <c r="G72" i="4"/>
  <c r="AG72" i="4" s="1"/>
  <c r="H70" i="14" s="1"/>
  <c r="G34" i="4"/>
  <c r="AG34" i="4" s="1"/>
  <c r="H32" i="16" s="1"/>
  <c r="G20" i="4"/>
  <c r="AG20" i="4" s="1"/>
  <c r="H18" i="14" s="1"/>
  <c r="G148" i="4"/>
  <c r="AG148" i="4" s="1"/>
  <c r="H146" i="14" s="1"/>
  <c r="G50" i="4"/>
  <c r="AG50" i="4" s="1"/>
  <c r="H48" i="14" s="1"/>
  <c r="G115" i="4"/>
  <c r="AG115" i="4" s="1"/>
  <c r="H113" i="14" s="1"/>
  <c r="G146" i="4"/>
  <c r="AG146" i="4" s="1"/>
  <c r="H144" i="14" s="1"/>
  <c r="G195" i="4"/>
  <c r="AG195" i="4" s="1"/>
  <c r="H193" i="14" s="1"/>
  <c r="G125" i="4"/>
  <c r="AG125" i="4" s="1"/>
  <c r="H123" i="14" s="1"/>
  <c r="G12" i="4"/>
  <c r="AG12" i="4" s="1"/>
  <c r="H10" i="14" s="1"/>
  <c r="G140" i="4"/>
  <c r="AG140" i="4" s="1"/>
  <c r="H138" i="14" s="1"/>
  <c r="G189" i="4"/>
  <c r="AG189" i="4" s="1"/>
  <c r="H187" i="14" s="1"/>
  <c r="G144" i="4"/>
  <c r="AG144" i="4" s="1"/>
  <c r="H142" i="14" s="1"/>
  <c r="G150" i="4"/>
  <c r="AG150" i="4" s="1"/>
  <c r="H148" i="14" s="1"/>
  <c r="G58" i="4"/>
  <c r="AG58" i="4" s="1"/>
  <c r="H56" i="14" s="1"/>
  <c r="G51" i="4"/>
  <c r="AG51" i="4" s="1"/>
  <c r="H49" i="14" s="1"/>
  <c r="G53" i="4"/>
  <c r="AG53" i="4" s="1"/>
  <c r="H51" i="14" s="1"/>
  <c r="G46" i="4"/>
  <c r="AG46" i="4" s="1"/>
  <c r="H44" i="14" s="1"/>
  <c r="G205" i="4"/>
  <c r="AG205" i="4" s="1"/>
  <c r="H203" i="14" s="1"/>
  <c r="G197" i="4"/>
  <c r="AG197" i="4" s="1"/>
  <c r="H195" i="14" s="1"/>
  <c r="G78" i="4"/>
  <c r="AG78" i="4" s="1"/>
  <c r="G13" i="4"/>
  <c r="AG13" i="4" s="1"/>
  <c r="G149" i="4"/>
  <c r="AG149" i="4" s="1"/>
  <c r="H147" i="14" s="1"/>
  <c r="G28" i="4"/>
  <c r="AG28" i="4" s="1"/>
  <c r="H26" i="14" s="1"/>
  <c r="G156" i="4"/>
  <c r="AG156" i="4" s="1"/>
  <c r="G110" i="4"/>
  <c r="AG110" i="4" s="1"/>
  <c r="H108" i="14" s="1"/>
  <c r="G176" i="4"/>
  <c r="AG176" i="4" s="1"/>
  <c r="H174" i="14" s="1"/>
  <c r="G182" i="4"/>
  <c r="AG182" i="4" s="1"/>
  <c r="H180" i="14" s="1"/>
  <c r="G178" i="4"/>
  <c r="AG178" i="4" s="1"/>
  <c r="H176" i="14" s="1"/>
  <c r="G79" i="4"/>
  <c r="AG79" i="4" s="1"/>
  <c r="H77" i="14" s="1"/>
  <c r="G69" i="4"/>
  <c r="AG69" i="4" s="1"/>
  <c r="H67" i="14" s="1"/>
  <c r="G174" i="4"/>
  <c r="AG174" i="4" s="1"/>
  <c r="H172" i="14" s="1"/>
  <c r="G202" i="4"/>
  <c r="AG202" i="4" s="1"/>
  <c r="H200" i="14" s="1"/>
  <c r="G29" i="4"/>
  <c r="AG29" i="4" s="1"/>
  <c r="H27" i="14" s="1"/>
  <c r="G181" i="4"/>
  <c r="AG181" i="4" s="1"/>
  <c r="H179" i="14" s="1"/>
  <c r="G44" i="4"/>
  <c r="AG44" i="4" s="1"/>
  <c r="H42" i="14" s="1"/>
  <c r="G172" i="4"/>
  <c r="AG172" i="4" s="1"/>
  <c r="H170" i="14" s="1"/>
  <c r="G98" i="4"/>
  <c r="AG98" i="4" s="1"/>
  <c r="G74" i="4"/>
  <c r="AG74" i="4" s="1"/>
  <c r="G11" i="4"/>
  <c r="AG11" i="4" s="1"/>
  <c r="H9" i="14" s="1"/>
  <c r="G26" i="4"/>
  <c r="AG26" i="4" s="1"/>
  <c r="G21" i="4"/>
  <c r="AG21" i="4" s="1"/>
  <c r="H19" i="14" s="1"/>
  <c r="G157" i="4"/>
  <c r="AG157" i="4" s="1"/>
  <c r="H155" i="14" s="1"/>
  <c r="G109" i="4"/>
  <c r="AG109" i="4" s="1"/>
  <c r="H107" i="14" s="1"/>
  <c r="G60" i="4"/>
  <c r="AG60" i="4" s="1"/>
  <c r="G112" i="4"/>
  <c r="AG112" i="4" s="1"/>
  <c r="H110" i="14" s="1"/>
  <c r="G19" i="4"/>
  <c r="AG19" i="4" s="1"/>
  <c r="H17" i="14" s="1"/>
  <c r="G59" i="4"/>
  <c r="AG59" i="4" s="1"/>
  <c r="H57" i="14" s="1"/>
  <c r="G193" i="4"/>
  <c r="AG193" i="4" s="1"/>
  <c r="H191" i="14" s="1"/>
  <c r="G88" i="4"/>
  <c r="AG88" i="4" s="1"/>
  <c r="H86" i="14" s="1"/>
  <c r="G188" i="4"/>
  <c r="AG188" i="4" s="1"/>
  <c r="H186" i="14" s="1"/>
  <c r="G191" i="4"/>
  <c r="AG191" i="4" s="1"/>
  <c r="H189" i="14" s="1"/>
  <c r="G159" i="4"/>
  <c r="AG159" i="4" s="1"/>
  <c r="H157" i="14" s="1"/>
  <c r="G105" i="4"/>
  <c r="AG105" i="4" s="1"/>
  <c r="H103" i="14" s="1"/>
  <c r="G158" i="4"/>
  <c r="AG158" i="4" s="1"/>
  <c r="H156" i="14" s="1"/>
  <c r="G184" i="4"/>
  <c r="AG184" i="4" s="1"/>
  <c r="H182" i="14" s="1"/>
  <c r="G104" i="4"/>
  <c r="AG104" i="4" s="1"/>
  <c r="H102" i="14" s="1"/>
  <c r="G180" i="4"/>
  <c r="AG180" i="4" s="1"/>
  <c r="H178" i="14" s="1"/>
  <c r="F3" i="4"/>
  <c r="F4" i="4" s="1"/>
  <c r="G85" i="4"/>
  <c r="AG85" i="4" s="1"/>
  <c r="H83" i="14" s="1"/>
  <c r="G45" i="4"/>
  <c r="AG45" i="4" s="1"/>
  <c r="H43" i="14" s="1"/>
  <c r="G124" i="4"/>
  <c r="AG124" i="4" s="1"/>
  <c r="H122" i="14" s="1"/>
  <c r="G118" i="4"/>
  <c r="AG118" i="4" s="1"/>
  <c r="H116" i="14" s="1"/>
  <c r="G101" i="4"/>
  <c r="AG101" i="4" s="1"/>
  <c r="H99" i="14" s="1"/>
  <c r="G33" i="4"/>
  <c r="AG33" i="4" s="1"/>
  <c r="H31" i="14" s="1"/>
  <c r="G161" i="4"/>
  <c r="AG161" i="4" s="1"/>
  <c r="H159" i="14" s="1"/>
  <c r="G126" i="4"/>
  <c r="AG126" i="4" s="1"/>
  <c r="H124" i="14" s="1"/>
  <c r="G91" i="4"/>
  <c r="AG91" i="4" s="1"/>
  <c r="H89" i="14" s="1"/>
  <c r="G24" i="4"/>
  <c r="AG24" i="4" s="1"/>
  <c r="H22" i="14" s="1"/>
  <c r="G152" i="4"/>
  <c r="AG152" i="4" s="1"/>
  <c r="H150" i="14" s="1"/>
  <c r="G162" i="4"/>
  <c r="AG162" i="4" s="1"/>
  <c r="H160" i="14" s="1"/>
  <c r="G132" i="4"/>
  <c r="AG132" i="4" s="1"/>
  <c r="H130" i="14" s="1"/>
  <c r="G134" i="4"/>
  <c r="AG134" i="4" s="1"/>
  <c r="H132" i="14" s="1"/>
  <c r="G198" i="4"/>
  <c r="AG198" i="4" s="1"/>
  <c r="H196" i="14" s="1"/>
  <c r="G127" i="4"/>
  <c r="AG127" i="4" s="1"/>
  <c r="H125" i="14" s="1"/>
  <c r="G65" i="4"/>
  <c r="AG65" i="4" s="1"/>
  <c r="H63" i="14" s="1"/>
  <c r="G87" i="4"/>
  <c r="AG87" i="4" s="1"/>
  <c r="H85" i="14" s="1"/>
  <c r="G9" i="4"/>
  <c r="AG9" i="4" s="1"/>
  <c r="H7" i="14" s="1"/>
  <c r="G73" i="4"/>
  <c r="AG73" i="4" s="1"/>
  <c r="H71" i="14" s="1"/>
  <c r="G137" i="4"/>
  <c r="AG137" i="4" s="1"/>
  <c r="H135" i="14" s="1"/>
  <c r="G201" i="4"/>
  <c r="AG201" i="4" s="1"/>
  <c r="G39" i="4"/>
  <c r="AG39" i="4" s="1"/>
  <c r="H37" i="14" s="1"/>
  <c r="G163" i="4"/>
  <c r="AG163" i="4" s="1"/>
  <c r="H161" i="14" s="1"/>
  <c r="G139" i="4"/>
  <c r="AG139" i="4" s="1"/>
  <c r="H137" i="14" s="1"/>
  <c r="G40" i="4"/>
  <c r="AG40" i="4" s="1"/>
  <c r="H38" i="14" s="1"/>
  <c r="G168" i="4"/>
  <c r="AG168" i="4" s="1"/>
  <c r="H166" i="14" s="1"/>
  <c r="G130" i="4"/>
  <c r="AG130" i="4" s="1"/>
  <c r="H128" i="14" s="1"/>
  <c r="G116" i="4"/>
  <c r="AG116" i="4" s="1"/>
  <c r="H114" i="14" s="1"/>
  <c r="G166" i="4"/>
  <c r="AG166" i="4" s="1"/>
  <c r="H164" i="14" s="1"/>
  <c r="G83" i="4"/>
  <c r="AG83" i="4" s="1"/>
  <c r="G35" i="4"/>
  <c r="AG35" i="4" s="1"/>
  <c r="H33" i="14" s="1"/>
  <c r="G122" i="4"/>
  <c r="AG122" i="4" s="1"/>
  <c r="H120" i="14" s="1"/>
  <c r="G97" i="4"/>
  <c r="AG97" i="4" s="1"/>
  <c r="H95" i="14" s="1"/>
  <c r="G23" i="4"/>
  <c r="AG23" i="4" s="1"/>
  <c r="H21" i="14" s="1"/>
  <c r="G90" i="4"/>
  <c r="AG90" i="4" s="1"/>
  <c r="H88" i="14" s="1"/>
  <c r="G63" i="4"/>
  <c r="AG63" i="4" s="1"/>
  <c r="H61" i="14" s="1"/>
  <c r="G175" i="4"/>
  <c r="AG175" i="4" s="1"/>
  <c r="H173" i="14" s="1"/>
  <c r="G113" i="4"/>
  <c r="AG113" i="4" s="1"/>
  <c r="H111" i="14" s="1"/>
  <c r="G14" i="4"/>
  <c r="AG14" i="4" s="1"/>
  <c r="H12" i="14" s="1"/>
  <c r="G55" i="4"/>
  <c r="AG55" i="4" s="1"/>
  <c r="H53" i="14" s="1"/>
  <c r="G179" i="4"/>
  <c r="AG179" i="4" s="1"/>
  <c r="H177" i="14" s="1"/>
  <c r="G120" i="4"/>
  <c r="AG120" i="4" s="1"/>
  <c r="H118" i="14" s="1"/>
  <c r="G106" i="4"/>
  <c r="AG106" i="4" s="1"/>
  <c r="H104" i="14" s="1"/>
  <c r="G100" i="4"/>
  <c r="AG100" i="4" s="1"/>
  <c r="H98" i="14" s="1"/>
  <c r="G204" i="4"/>
  <c r="AG204" i="4" s="1"/>
  <c r="H202" i="14" s="1"/>
  <c r="G142" i="4"/>
  <c r="AG142" i="4" s="1"/>
  <c r="H140" i="14" s="1"/>
  <c r="G99" i="4"/>
  <c r="AG99" i="4" s="1"/>
  <c r="H97" i="14" s="1"/>
  <c r="G199" i="4"/>
  <c r="AG199" i="4" s="1"/>
  <c r="H197" i="14" s="1"/>
  <c r="G192" i="4"/>
  <c r="AG192" i="4" s="1"/>
  <c r="G187" i="4"/>
  <c r="AG187" i="4" s="1"/>
  <c r="H185" i="14" s="1"/>
  <c r="G57" i="4"/>
  <c r="AG57" i="4" s="1"/>
  <c r="H55" i="14" s="1"/>
  <c r="G121" i="4"/>
  <c r="AG121" i="4" s="1"/>
  <c r="H119" i="14" s="1"/>
  <c r="G185" i="4"/>
  <c r="AG185" i="4" s="1"/>
  <c r="H183" i="14" s="1"/>
  <c r="G206" i="4"/>
  <c r="AG206" i="4" s="1"/>
  <c r="H204" i="14" s="1"/>
  <c r="G135" i="4"/>
  <c r="AG135" i="4" s="1"/>
  <c r="H133" i="14" s="1"/>
  <c r="G38" i="4"/>
  <c r="AG38" i="4" s="1"/>
  <c r="G129" i="4"/>
  <c r="AG129" i="4" s="1"/>
  <c r="H127" i="14" s="1"/>
  <c r="G136" i="4"/>
  <c r="AG136" i="4" s="1"/>
  <c r="H134" i="14" s="1"/>
  <c r="G42" i="4"/>
  <c r="AG42" i="4" s="1"/>
  <c r="H40" i="14" s="1"/>
  <c r="G84" i="4"/>
  <c r="AG84" i="4" s="1"/>
  <c r="H82" i="14" s="1"/>
  <c r="G196" i="4"/>
  <c r="AG196" i="4" s="1"/>
  <c r="H194" i="14" s="1"/>
  <c r="G47" i="4"/>
  <c r="AG47" i="4" s="1"/>
  <c r="H45" i="14" s="1"/>
  <c r="G171" i="4"/>
  <c r="AG171" i="4" s="1"/>
  <c r="H169" i="14" s="1"/>
  <c r="G67" i="4"/>
  <c r="AG67" i="4" s="1"/>
  <c r="H65" i="14" s="1"/>
  <c r="G61" i="4"/>
  <c r="AG61" i="4" s="1"/>
  <c r="H59" i="14" s="1"/>
  <c r="G96" i="4"/>
  <c r="AG96" i="4" s="1"/>
  <c r="H94" i="14" s="1"/>
  <c r="G76" i="4"/>
  <c r="AG76" i="4" s="1"/>
  <c r="H74" i="14" s="1"/>
  <c r="G94" i="4"/>
  <c r="AG94" i="4" s="1"/>
  <c r="H92" i="14" s="1"/>
  <c r="G16" i="4"/>
  <c r="AG16" i="4" s="1"/>
  <c r="H14" i="14" s="1"/>
  <c r="G22" i="4"/>
  <c r="AG22" i="4" s="1"/>
  <c r="H20" i="14" s="1"/>
  <c r="G75" i="4"/>
  <c r="AG75" i="4" s="1"/>
  <c r="H73" i="14" s="1"/>
  <c r="G62" i="4"/>
  <c r="AG62" i="4" s="1"/>
  <c r="H60" i="14" s="1"/>
  <c r="G183" i="4"/>
  <c r="AG183" i="4" s="1"/>
  <c r="H181" i="14" s="1"/>
  <c r="G117" i="4"/>
  <c r="AG117" i="4" s="1"/>
  <c r="H115" i="14" s="1"/>
  <c r="G154" i="4"/>
  <c r="AG154" i="4" s="1"/>
  <c r="H152" i="14" s="1"/>
  <c r="G151" i="4"/>
  <c r="AG151" i="4" s="1"/>
  <c r="H149" i="14" s="1"/>
  <c r="G64" i="4"/>
  <c r="AG64" i="4" s="1"/>
  <c r="H62" i="14" s="1"/>
  <c r="G95" i="4"/>
  <c r="AG95" i="4" s="1"/>
  <c r="H93" i="14" s="1"/>
  <c r="G77" i="4"/>
  <c r="AG77" i="4" s="1"/>
  <c r="H75" i="14" s="1"/>
  <c r="G160" i="4"/>
  <c r="AG160" i="4" s="1"/>
  <c r="H158" i="14" s="1"/>
  <c r="G92" i="4"/>
  <c r="AG92" i="4" s="1"/>
  <c r="H90" i="14" s="1"/>
  <c r="G194" i="4"/>
  <c r="AG194" i="4" s="1"/>
  <c r="G48" i="4"/>
  <c r="AG48" i="4" s="1"/>
  <c r="G54" i="4"/>
  <c r="AG54" i="4" s="1"/>
  <c r="H52" i="14" s="1"/>
  <c r="G141" i="4"/>
  <c r="AG141" i="4" s="1"/>
  <c r="H139" i="14" s="1"/>
  <c r="G86" i="4"/>
  <c r="AG86" i="4" s="1"/>
  <c r="H84" i="14" s="1"/>
  <c r="G207" i="4"/>
  <c r="AG207" i="4" s="1"/>
  <c r="H205" i="14" s="1"/>
  <c r="G133" i="4"/>
  <c r="AG133" i="4" s="1"/>
  <c r="G128" i="4"/>
  <c r="AG128" i="4" s="1"/>
  <c r="H126" i="14" s="1"/>
  <c r="G131" i="4"/>
  <c r="AG131" i="4" s="1"/>
  <c r="H129" i="14" s="1"/>
  <c r="G93" i="4"/>
  <c r="AG93" i="4" s="1"/>
  <c r="H91" i="14" s="1"/>
  <c r="G18" i="4"/>
  <c r="AG18" i="4" s="1"/>
  <c r="H16" i="14" s="1"/>
  <c r="G108" i="4"/>
  <c r="AG108" i="4" s="1"/>
  <c r="H106" i="14" s="1"/>
  <c r="G27" i="4"/>
  <c r="AG27" i="4" s="1"/>
  <c r="H25" i="14" s="1"/>
  <c r="G80" i="4"/>
  <c r="AG80" i="4" s="1"/>
  <c r="H78" i="14" s="1"/>
  <c r="G82" i="4"/>
  <c r="AG82" i="4" s="1"/>
  <c r="H80" i="14" s="1"/>
  <c r="G173" i="4"/>
  <c r="AG173" i="4" s="1"/>
  <c r="H171" i="14" s="1"/>
  <c r="G186" i="4"/>
  <c r="AG186" i="4" s="1"/>
  <c r="H184" i="14" s="1"/>
  <c r="G165" i="4"/>
  <c r="AG165" i="4" s="1"/>
  <c r="G167" i="4"/>
  <c r="AG167" i="4" s="1"/>
  <c r="H165" i="14" s="1"/>
  <c r="G114" i="4"/>
  <c r="AG114" i="4" s="1"/>
  <c r="H112" i="14" s="1"/>
  <c r="G70" i="4"/>
  <c r="AG70" i="4" s="1"/>
  <c r="H68" i="14" s="1"/>
  <c r="G43" i="4"/>
  <c r="AG43" i="4" s="1"/>
  <c r="H41" i="14" s="1"/>
  <c r="G37" i="4"/>
  <c r="AG37" i="4" s="1"/>
  <c r="H35" i="14" s="1"/>
  <c r="Z18" i="1"/>
  <c r="AG17" i="1"/>
  <c r="AH17" i="1" s="1"/>
  <c r="H8" i="4"/>
  <c r="AH8" i="4" s="1"/>
  <c r="I6" i="14" s="1"/>
  <c r="AA17" i="1"/>
  <c r="AC16" i="1"/>
  <c r="AF16" i="1" s="1"/>
  <c r="AI16" i="1" s="1"/>
  <c r="H163" i="14" l="1"/>
  <c r="H46" i="14"/>
  <c r="H192" i="14"/>
  <c r="H81" i="14"/>
  <c r="H96" i="14"/>
  <c r="H13" i="14"/>
  <c r="H190" i="14"/>
  <c r="H199" i="14"/>
  <c r="H58" i="14"/>
  <c r="H154" i="14"/>
  <c r="H76" i="14"/>
  <c r="H131" i="14"/>
  <c r="H36" i="14"/>
  <c r="H32" i="14"/>
  <c r="H127" i="16"/>
  <c r="H17" i="16"/>
  <c r="H142" i="16"/>
  <c r="H130" i="16"/>
  <c r="H169" i="16"/>
  <c r="H161" i="16"/>
  <c r="H203" i="16"/>
  <c r="H89" i="16"/>
  <c r="H182" i="16"/>
  <c r="H117" i="16"/>
  <c r="H137" i="16"/>
  <c r="H193" i="16"/>
  <c r="H84" i="16"/>
  <c r="H172" i="16"/>
  <c r="H93" i="16"/>
  <c r="H50" i="16"/>
  <c r="H111" i="16"/>
  <c r="H122" i="16"/>
  <c r="H54" i="16"/>
  <c r="H154" i="16"/>
  <c r="H68" i="16"/>
  <c r="H44" i="16"/>
  <c r="H198" i="16"/>
  <c r="H151" i="14"/>
  <c r="H65" i="16"/>
  <c r="H40" i="16"/>
  <c r="H42" i="16"/>
  <c r="H71" i="16"/>
  <c r="H38" i="16"/>
  <c r="I6" i="16"/>
  <c r="H152" i="16"/>
  <c r="H190" i="16"/>
  <c r="H57" i="16"/>
  <c r="H186" i="16"/>
  <c r="H204" i="16"/>
  <c r="H61" i="16"/>
  <c r="H141" i="16"/>
  <c r="H80" i="16"/>
  <c r="H131" i="16"/>
  <c r="H45" i="16"/>
  <c r="H25" i="16"/>
  <c r="H28" i="16"/>
  <c r="H183" i="16"/>
  <c r="H98" i="16"/>
  <c r="H185" i="16"/>
  <c r="H48" i="16"/>
  <c r="H134" i="16"/>
  <c r="H123" i="16"/>
  <c r="H140" i="16"/>
  <c r="H95" i="16"/>
  <c r="H82" i="16"/>
  <c r="H173" i="16"/>
  <c r="H202" i="16"/>
  <c r="H13" i="16"/>
  <c r="H132" i="16"/>
  <c r="H113" i="16"/>
  <c r="H56" i="16"/>
  <c r="H174" i="16"/>
  <c r="H107" i="16"/>
  <c r="H129" i="16"/>
  <c r="H39" i="16"/>
  <c r="H148" i="16"/>
  <c r="H177" i="16"/>
  <c r="H92" i="16"/>
  <c r="H136" i="16"/>
  <c r="H75" i="16"/>
  <c r="H133" i="16"/>
  <c r="H143" i="16"/>
  <c r="H35" i="16"/>
  <c r="H200" i="16"/>
  <c r="H195" i="16"/>
  <c r="H184" i="16"/>
  <c r="H188" i="16"/>
  <c r="H125" i="16"/>
  <c r="H158" i="16"/>
  <c r="H59" i="16"/>
  <c r="H87" i="16"/>
  <c r="H179" i="16"/>
  <c r="H34" i="16"/>
  <c r="H9" i="16"/>
  <c r="H105" i="16"/>
  <c r="H109" i="16"/>
  <c r="H138" i="16"/>
  <c r="H33" i="16"/>
  <c r="H156" i="16"/>
  <c r="H162" i="16"/>
  <c r="H201" i="16"/>
  <c r="H15" i="16"/>
  <c r="H69" i="16"/>
  <c r="H196" i="16"/>
  <c r="H27" i="16"/>
  <c r="H51" i="16"/>
  <c r="H20" i="16"/>
  <c r="H91" i="16"/>
  <c r="H181" i="16"/>
  <c r="H66" i="16"/>
  <c r="H30" i="16"/>
  <c r="H155" i="16"/>
  <c r="H21" i="16"/>
  <c r="H22" i="16"/>
  <c r="H128" i="16"/>
  <c r="H178" i="16"/>
  <c r="H16" i="16"/>
  <c r="H73" i="16"/>
  <c r="H118" i="16"/>
  <c r="H77" i="16"/>
  <c r="H7" i="16"/>
  <c r="H115" i="16"/>
  <c r="H72" i="16"/>
  <c r="H100" i="16"/>
  <c r="H139" i="16"/>
  <c r="H41" i="16"/>
  <c r="H110" i="16"/>
  <c r="H175" i="16"/>
  <c r="H150" i="16"/>
  <c r="H29" i="16"/>
  <c r="H153" i="16"/>
  <c r="H163" i="16"/>
  <c r="H58" i="16"/>
  <c r="H23" i="16"/>
  <c r="H194" i="16"/>
  <c r="H74" i="16"/>
  <c r="H49" i="16"/>
  <c r="H180" i="16"/>
  <c r="H88" i="16"/>
  <c r="H126" i="16"/>
  <c r="H170" i="16"/>
  <c r="H90" i="16"/>
  <c r="H86" i="16"/>
  <c r="H83" i="16"/>
  <c r="H24" i="16"/>
  <c r="H46" i="16"/>
  <c r="H145" i="16"/>
  <c r="H70" i="16"/>
  <c r="H52" i="16"/>
  <c r="H166" i="16"/>
  <c r="H168" i="16"/>
  <c r="H144" i="16"/>
  <c r="H78" i="16"/>
  <c r="H192" i="16"/>
  <c r="H167" i="16"/>
  <c r="H10" i="16"/>
  <c r="H67" i="16"/>
  <c r="H11" i="16"/>
  <c r="H112" i="16"/>
  <c r="H108" i="16"/>
  <c r="H104" i="16"/>
  <c r="H85" i="16"/>
  <c r="H191" i="16"/>
  <c r="H146" i="16"/>
  <c r="H124" i="16"/>
  <c r="H121" i="16"/>
  <c r="H47" i="16"/>
  <c r="H165" i="16"/>
  <c r="H96" i="16"/>
  <c r="H63" i="16"/>
  <c r="H197" i="16"/>
  <c r="H171" i="16"/>
  <c r="H31" i="16"/>
  <c r="H205" i="16"/>
  <c r="H79" i="16"/>
  <c r="H36" i="16"/>
  <c r="H103" i="16"/>
  <c r="H60" i="16"/>
  <c r="H76" i="16"/>
  <c r="H81" i="16"/>
  <c r="H55" i="16"/>
  <c r="H99" i="16"/>
  <c r="H149" i="16"/>
  <c r="H189" i="16"/>
  <c r="H14" i="16"/>
  <c r="H176" i="16"/>
  <c r="H8" i="16"/>
  <c r="H157" i="16"/>
  <c r="H187" i="16"/>
  <c r="H26" i="16"/>
  <c r="H147" i="16"/>
  <c r="H151" i="16"/>
  <c r="H114" i="16"/>
  <c r="H94" i="16"/>
  <c r="H102" i="16"/>
  <c r="H119" i="16"/>
  <c r="H37" i="16"/>
  <c r="H120" i="16"/>
  <c r="H135" i="16"/>
  <c r="H160" i="16"/>
  <c r="H19" i="16"/>
  <c r="H18" i="16"/>
  <c r="H12" i="16"/>
  <c r="H43" i="16"/>
  <c r="H53" i="16"/>
  <c r="H101" i="16"/>
  <c r="H199" i="16"/>
  <c r="H106" i="16"/>
  <c r="H97" i="16"/>
  <c r="H64" i="16"/>
  <c r="H62" i="16"/>
  <c r="H159" i="16"/>
  <c r="H116" i="16"/>
  <c r="H164" i="16"/>
  <c r="H29" i="14"/>
  <c r="H24" i="14"/>
  <c r="H66" i="14"/>
  <c r="H72" i="14"/>
  <c r="H11" i="14"/>
  <c r="H35" i="4"/>
  <c r="AH35" i="4" s="1"/>
  <c r="I33" i="14" s="1"/>
  <c r="H40" i="4"/>
  <c r="AH40" i="4" s="1"/>
  <c r="I38" i="14" s="1"/>
  <c r="H73" i="4"/>
  <c r="AH73" i="4" s="1"/>
  <c r="I71" i="14" s="1"/>
  <c r="H134" i="4"/>
  <c r="AH134" i="4" s="1"/>
  <c r="I132" i="14" s="1"/>
  <c r="H126" i="4"/>
  <c r="AH126" i="4" s="1"/>
  <c r="I124" i="14" s="1"/>
  <c r="H118" i="4"/>
  <c r="AH118" i="4" s="1"/>
  <c r="I116" i="14" s="1"/>
  <c r="H37" i="4"/>
  <c r="AH37" i="4" s="1"/>
  <c r="I35" i="14" s="1"/>
  <c r="H167" i="4"/>
  <c r="AH167" i="4" s="1"/>
  <c r="I165" i="14" s="1"/>
  <c r="H82" i="4"/>
  <c r="AH82" i="4" s="1"/>
  <c r="I80" i="14" s="1"/>
  <c r="H18" i="4"/>
  <c r="AH18" i="4" s="1"/>
  <c r="I16" i="14" s="1"/>
  <c r="H133" i="4"/>
  <c r="AH133" i="4" s="1"/>
  <c r="H86" i="4"/>
  <c r="AH86" i="4" s="1"/>
  <c r="I84" i="14" s="1"/>
  <c r="H194" i="4"/>
  <c r="AH194" i="4" s="1"/>
  <c r="I192" i="14" s="1"/>
  <c r="H160" i="4"/>
  <c r="AH160" i="4" s="1"/>
  <c r="I158" i="14" s="1"/>
  <c r="H95" i="4"/>
  <c r="AH95" i="4" s="1"/>
  <c r="I93" i="14" s="1"/>
  <c r="H151" i="4"/>
  <c r="AH151" i="4" s="1"/>
  <c r="I149" i="14" s="1"/>
  <c r="H117" i="4"/>
  <c r="AH117" i="4" s="1"/>
  <c r="I115" i="14" s="1"/>
  <c r="H62" i="4"/>
  <c r="AH62" i="4" s="1"/>
  <c r="I60" i="14" s="1"/>
  <c r="H22" i="4"/>
  <c r="AH22" i="4" s="1"/>
  <c r="I20" i="14" s="1"/>
  <c r="H94" i="4"/>
  <c r="AH94" i="4" s="1"/>
  <c r="I92" i="14" s="1"/>
  <c r="H96" i="4"/>
  <c r="AH96" i="4" s="1"/>
  <c r="I94" i="14" s="1"/>
  <c r="H67" i="4"/>
  <c r="AH67" i="4" s="1"/>
  <c r="I65" i="14" s="1"/>
  <c r="H47" i="4"/>
  <c r="AH47" i="4" s="1"/>
  <c r="I45" i="14" s="1"/>
  <c r="H84" i="4"/>
  <c r="AH84" i="4" s="1"/>
  <c r="I82" i="14" s="1"/>
  <c r="H136" i="4"/>
  <c r="AH136" i="4" s="1"/>
  <c r="I134" i="14" s="1"/>
  <c r="H38" i="4"/>
  <c r="AH38" i="4" s="1"/>
  <c r="I36" i="14" s="1"/>
  <c r="H206" i="4"/>
  <c r="AH206" i="4" s="1"/>
  <c r="I204" i="14" s="1"/>
  <c r="H121" i="4"/>
  <c r="AH121" i="4" s="1"/>
  <c r="I119" i="14" s="1"/>
  <c r="H187" i="4"/>
  <c r="AH187" i="4" s="1"/>
  <c r="I185" i="14" s="1"/>
  <c r="H199" i="4"/>
  <c r="AH199" i="4" s="1"/>
  <c r="I197" i="14" s="1"/>
  <c r="H142" i="4"/>
  <c r="AH142" i="4" s="1"/>
  <c r="I140" i="14" s="1"/>
  <c r="H100" i="4"/>
  <c r="AH100" i="4" s="1"/>
  <c r="I98" i="14" s="1"/>
  <c r="H120" i="4"/>
  <c r="AH120" i="4" s="1"/>
  <c r="I118" i="14" s="1"/>
  <c r="H55" i="4"/>
  <c r="AH55" i="4" s="1"/>
  <c r="I53" i="14" s="1"/>
  <c r="H113" i="4"/>
  <c r="AH113" i="4" s="1"/>
  <c r="I111" i="14" s="1"/>
  <c r="AF3" i="4"/>
  <c r="AF4" i="4" s="1"/>
  <c r="H180" i="4"/>
  <c r="AH180" i="4" s="1"/>
  <c r="I178" i="14" s="1"/>
  <c r="H184" i="4"/>
  <c r="AH184" i="4" s="1"/>
  <c r="I182" i="14" s="1"/>
  <c r="H105" i="4"/>
  <c r="AH105" i="4" s="1"/>
  <c r="I103" i="14" s="1"/>
  <c r="H191" i="4"/>
  <c r="AH191" i="4" s="1"/>
  <c r="I189" i="14" s="1"/>
  <c r="H88" i="4"/>
  <c r="AH88" i="4" s="1"/>
  <c r="I86" i="14" s="1"/>
  <c r="H59" i="4"/>
  <c r="AH59" i="4" s="1"/>
  <c r="I57" i="14" s="1"/>
  <c r="H112" i="4"/>
  <c r="AH112" i="4" s="1"/>
  <c r="I110" i="14" s="1"/>
  <c r="H109" i="4"/>
  <c r="AH109" i="4" s="1"/>
  <c r="I107" i="14" s="1"/>
  <c r="H21" i="4"/>
  <c r="AH21" i="4" s="1"/>
  <c r="I19" i="14" s="1"/>
  <c r="H11" i="4"/>
  <c r="AH11" i="4" s="1"/>
  <c r="I9" i="14" s="1"/>
  <c r="H98" i="4"/>
  <c r="AH98" i="4" s="1"/>
  <c r="I96" i="14" s="1"/>
  <c r="H44" i="4"/>
  <c r="AH44" i="4" s="1"/>
  <c r="I42" i="14" s="1"/>
  <c r="H29" i="4"/>
  <c r="AH29" i="4" s="1"/>
  <c r="I27" i="14" s="1"/>
  <c r="H174" i="4"/>
  <c r="AH174" i="4" s="1"/>
  <c r="I172" i="14" s="1"/>
  <c r="H79" i="4"/>
  <c r="AH79" i="4" s="1"/>
  <c r="I77" i="14" s="1"/>
  <c r="H182" i="4"/>
  <c r="AH182" i="4" s="1"/>
  <c r="I180" i="14" s="1"/>
  <c r="H110" i="4"/>
  <c r="AH110" i="4" s="1"/>
  <c r="I108" i="14" s="1"/>
  <c r="H28" i="4"/>
  <c r="AH28" i="4" s="1"/>
  <c r="I26" i="14" s="1"/>
  <c r="H13" i="4"/>
  <c r="AH13" i="4" s="1"/>
  <c r="H197" i="4"/>
  <c r="AH197" i="4" s="1"/>
  <c r="I195" i="14" s="1"/>
  <c r="H46" i="4"/>
  <c r="AH46" i="4" s="1"/>
  <c r="I44" i="14" s="1"/>
  <c r="H51" i="4"/>
  <c r="AH51" i="4" s="1"/>
  <c r="I49" i="14" s="1"/>
  <c r="H150" i="4"/>
  <c r="AH150" i="4" s="1"/>
  <c r="I148" i="14" s="1"/>
  <c r="H189" i="4"/>
  <c r="AH189" i="4" s="1"/>
  <c r="I187" i="14" s="1"/>
  <c r="H12" i="4"/>
  <c r="AH12" i="4" s="1"/>
  <c r="I10" i="14" s="1"/>
  <c r="H195" i="4"/>
  <c r="AH195" i="4" s="1"/>
  <c r="I193" i="14" s="1"/>
  <c r="H115" i="4"/>
  <c r="AH115" i="4" s="1"/>
  <c r="I113" i="14" s="1"/>
  <c r="H148" i="4"/>
  <c r="AH148" i="4" s="1"/>
  <c r="I146" i="14" s="1"/>
  <c r="H34" i="4"/>
  <c r="AH34" i="4" s="1"/>
  <c r="H17" i="4"/>
  <c r="AH17" i="4" s="1"/>
  <c r="I15" i="14" s="1"/>
  <c r="H71" i="4"/>
  <c r="AH71" i="4" s="1"/>
  <c r="I69" i="14" s="1"/>
  <c r="H153" i="4"/>
  <c r="AH153" i="4" s="1"/>
  <c r="I151" i="14" s="1"/>
  <c r="H25" i="4"/>
  <c r="AH25" i="4" s="1"/>
  <c r="I23" i="14" s="1"/>
  <c r="H145" i="4"/>
  <c r="AH145" i="4" s="1"/>
  <c r="I143" i="14" s="1"/>
  <c r="H31" i="4"/>
  <c r="AH31" i="4" s="1"/>
  <c r="H164" i="4"/>
  <c r="AH164" i="4" s="1"/>
  <c r="I162" i="14" s="1"/>
  <c r="H10" i="4"/>
  <c r="AH10" i="4" s="1"/>
  <c r="I8" i="14" s="1"/>
  <c r="H123" i="4"/>
  <c r="AH123" i="4" s="1"/>
  <c r="I121" i="14" s="1"/>
  <c r="H177" i="4"/>
  <c r="AH177" i="4" s="1"/>
  <c r="I175" i="14" s="1"/>
  <c r="H200" i="4"/>
  <c r="AH200" i="4" s="1"/>
  <c r="I198" i="14" s="1"/>
  <c r="H15" i="4"/>
  <c r="AH15" i="4" s="1"/>
  <c r="I13" i="14" s="1"/>
  <c r="H138" i="4"/>
  <c r="AH138" i="4" s="1"/>
  <c r="I136" i="14" s="1"/>
  <c r="H107" i="4"/>
  <c r="AH107" i="4" s="1"/>
  <c r="I105" i="14" s="1"/>
  <c r="H41" i="4"/>
  <c r="AH41" i="4" s="1"/>
  <c r="I39" i="14" s="1"/>
  <c r="H66" i="4"/>
  <c r="AH66" i="4" s="1"/>
  <c r="I64" i="14" s="1"/>
  <c r="H147" i="4"/>
  <c r="AH147" i="4" s="1"/>
  <c r="I145" i="14" s="1"/>
  <c r="H32" i="4"/>
  <c r="AH32" i="4" s="1"/>
  <c r="I30" i="14" s="1"/>
  <c r="H166" i="4"/>
  <c r="AH166" i="4" s="1"/>
  <c r="I164" i="14" s="1"/>
  <c r="H163" i="4"/>
  <c r="AH163" i="4" s="1"/>
  <c r="I161" i="14" s="1"/>
  <c r="H87" i="4"/>
  <c r="AH87" i="4" s="1"/>
  <c r="I85" i="14" s="1"/>
  <c r="H162" i="4"/>
  <c r="AH162" i="4" s="1"/>
  <c r="I160" i="14" s="1"/>
  <c r="H45" i="4"/>
  <c r="AH45" i="4" s="1"/>
  <c r="I43" i="14" s="1"/>
  <c r="H70" i="4"/>
  <c r="AH70" i="4" s="1"/>
  <c r="I68" i="14" s="1"/>
  <c r="H186" i="4"/>
  <c r="AH186" i="4" s="1"/>
  <c r="I184" i="14" s="1"/>
  <c r="H27" i="4"/>
  <c r="AH27" i="4" s="1"/>
  <c r="I25" i="14" s="1"/>
  <c r="H131" i="4"/>
  <c r="AH131" i="4" s="1"/>
  <c r="I129" i="14" s="1"/>
  <c r="H54" i="4"/>
  <c r="AH54" i="4" s="1"/>
  <c r="I52" i="14" s="1"/>
  <c r="H63" i="4"/>
  <c r="AH63" i="4" s="1"/>
  <c r="I61" i="14" s="1"/>
  <c r="H23" i="4"/>
  <c r="AH23" i="4" s="1"/>
  <c r="I21" i="14" s="1"/>
  <c r="H122" i="4"/>
  <c r="AH122" i="4" s="1"/>
  <c r="I120" i="14" s="1"/>
  <c r="H83" i="4"/>
  <c r="AH83" i="4" s="1"/>
  <c r="I81" i="14" s="1"/>
  <c r="H116" i="4"/>
  <c r="AH116" i="4" s="1"/>
  <c r="I114" i="14" s="1"/>
  <c r="H168" i="4"/>
  <c r="AH168" i="4" s="1"/>
  <c r="I166" i="14" s="1"/>
  <c r="H139" i="4"/>
  <c r="AH139" i="4" s="1"/>
  <c r="I137" i="14" s="1"/>
  <c r="H39" i="4"/>
  <c r="AH39" i="4" s="1"/>
  <c r="I37" i="14" s="1"/>
  <c r="H137" i="4"/>
  <c r="AH137" i="4" s="1"/>
  <c r="I135" i="14" s="1"/>
  <c r="H9" i="4"/>
  <c r="AH9" i="4" s="1"/>
  <c r="I7" i="14" s="1"/>
  <c r="H65" i="4"/>
  <c r="AH65" i="4" s="1"/>
  <c r="I63" i="14" s="1"/>
  <c r="H198" i="4"/>
  <c r="AH198" i="4" s="1"/>
  <c r="I196" i="14" s="1"/>
  <c r="H132" i="4"/>
  <c r="AH132" i="4" s="1"/>
  <c r="I130" i="14" s="1"/>
  <c r="H152" i="4"/>
  <c r="AH152" i="4" s="1"/>
  <c r="I150" i="14" s="1"/>
  <c r="H91" i="4"/>
  <c r="AH91" i="4" s="1"/>
  <c r="H161" i="4"/>
  <c r="AH161" i="4" s="1"/>
  <c r="I159" i="14" s="1"/>
  <c r="H101" i="4"/>
  <c r="AH101" i="4" s="1"/>
  <c r="I99" i="14" s="1"/>
  <c r="H124" i="4"/>
  <c r="AH124" i="4" s="1"/>
  <c r="H85" i="4"/>
  <c r="AH85" i="4" s="1"/>
  <c r="I83" i="14" s="1"/>
  <c r="H90" i="4"/>
  <c r="AH90" i="4" s="1"/>
  <c r="I88" i="14" s="1"/>
  <c r="H97" i="4"/>
  <c r="AH97" i="4" s="1"/>
  <c r="I95" i="14" s="1"/>
  <c r="H130" i="4"/>
  <c r="AH130" i="4" s="1"/>
  <c r="I128" i="14" s="1"/>
  <c r="H201" i="4"/>
  <c r="AH201" i="4" s="1"/>
  <c r="H127" i="4"/>
  <c r="AH127" i="4" s="1"/>
  <c r="I125" i="14" s="1"/>
  <c r="H24" i="4"/>
  <c r="AH24" i="4" s="1"/>
  <c r="I22" i="14" s="1"/>
  <c r="H33" i="4"/>
  <c r="AH33" i="4" s="1"/>
  <c r="I31" i="14" s="1"/>
  <c r="G3" i="4"/>
  <c r="G4" i="4" s="1"/>
  <c r="H43" i="4"/>
  <c r="AH43" i="4" s="1"/>
  <c r="I41" i="14" s="1"/>
  <c r="H114" i="4"/>
  <c r="AH114" i="4" s="1"/>
  <c r="I112" i="14" s="1"/>
  <c r="H165" i="4"/>
  <c r="AH165" i="4" s="1"/>
  <c r="I163" i="14" s="1"/>
  <c r="H173" i="4"/>
  <c r="AH173" i="4" s="1"/>
  <c r="I171" i="14" s="1"/>
  <c r="H80" i="4"/>
  <c r="AH80" i="4" s="1"/>
  <c r="I78" i="14" s="1"/>
  <c r="H108" i="4"/>
  <c r="AH108" i="4" s="1"/>
  <c r="I106" i="14" s="1"/>
  <c r="H93" i="4"/>
  <c r="AH93" i="4" s="1"/>
  <c r="I91" i="14" s="1"/>
  <c r="H128" i="4"/>
  <c r="AH128" i="4" s="1"/>
  <c r="I126" i="14" s="1"/>
  <c r="H207" i="4"/>
  <c r="AH207" i="4" s="1"/>
  <c r="I205" i="14" s="1"/>
  <c r="H141" i="4"/>
  <c r="AH141" i="4" s="1"/>
  <c r="I139" i="14" s="1"/>
  <c r="H48" i="4"/>
  <c r="AH48" i="4" s="1"/>
  <c r="I46" i="14" s="1"/>
  <c r="H92" i="4"/>
  <c r="AH92" i="4" s="1"/>
  <c r="I90" i="14" s="1"/>
  <c r="H77" i="4"/>
  <c r="AH77" i="4" s="1"/>
  <c r="I75" i="14" s="1"/>
  <c r="H64" i="4"/>
  <c r="AH64" i="4" s="1"/>
  <c r="I62" i="14" s="1"/>
  <c r="H154" i="4"/>
  <c r="AH154" i="4" s="1"/>
  <c r="I152" i="14" s="1"/>
  <c r="H183" i="4"/>
  <c r="AH183" i="4" s="1"/>
  <c r="I181" i="14" s="1"/>
  <c r="H75" i="4"/>
  <c r="AH75" i="4" s="1"/>
  <c r="I73" i="14" s="1"/>
  <c r="H16" i="4"/>
  <c r="AH16" i="4" s="1"/>
  <c r="I14" i="14" s="1"/>
  <c r="H76" i="4"/>
  <c r="AH76" i="4" s="1"/>
  <c r="I74" i="14" s="1"/>
  <c r="H61" i="4"/>
  <c r="AH61" i="4" s="1"/>
  <c r="I59" i="14" s="1"/>
  <c r="H171" i="4"/>
  <c r="AH171" i="4" s="1"/>
  <c r="I169" i="14" s="1"/>
  <c r="H196" i="4"/>
  <c r="AH196" i="4" s="1"/>
  <c r="I194" i="14" s="1"/>
  <c r="H42" i="4"/>
  <c r="AH42" i="4" s="1"/>
  <c r="I40" i="14" s="1"/>
  <c r="H129" i="4"/>
  <c r="AH129" i="4" s="1"/>
  <c r="I127" i="14" s="1"/>
  <c r="H135" i="4"/>
  <c r="AH135" i="4" s="1"/>
  <c r="I133" i="14" s="1"/>
  <c r="H185" i="4"/>
  <c r="AH185" i="4" s="1"/>
  <c r="I183" i="14" s="1"/>
  <c r="H57" i="4"/>
  <c r="AH57" i="4" s="1"/>
  <c r="I55" i="14" s="1"/>
  <c r="H192" i="4"/>
  <c r="AH192" i="4" s="1"/>
  <c r="I190" i="14" s="1"/>
  <c r="H99" i="4"/>
  <c r="AH99" i="4" s="1"/>
  <c r="I97" i="14" s="1"/>
  <c r="H204" i="4"/>
  <c r="AH204" i="4" s="1"/>
  <c r="I202" i="14" s="1"/>
  <c r="H106" i="4"/>
  <c r="AH106" i="4" s="1"/>
  <c r="I104" i="14" s="1"/>
  <c r="H179" i="4"/>
  <c r="AH179" i="4" s="1"/>
  <c r="I177" i="14" s="1"/>
  <c r="H14" i="4"/>
  <c r="AH14" i="4" s="1"/>
  <c r="I12" i="14" s="1"/>
  <c r="H175" i="4"/>
  <c r="AH175" i="4" s="1"/>
  <c r="I173" i="14" s="1"/>
  <c r="H104" i="4"/>
  <c r="AH104" i="4" s="1"/>
  <c r="I102" i="14" s="1"/>
  <c r="H158" i="4"/>
  <c r="AH158" i="4" s="1"/>
  <c r="I156" i="14" s="1"/>
  <c r="H159" i="4"/>
  <c r="AH159" i="4" s="1"/>
  <c r="I157" i="14" s="1"/>
  <c r="H188" i="4"/>
  <c r="AH188" i="4" s="1"/>
  <c r="I186" i="14" s="1"/>
  <c r="H193" i="4"/>
  <c r="AH193" i="4" s="1"/>
  <c r="I191" i="14" s="1"/>
  <c r="H19" i="4"/>
  <c r="AH19" i="4" s="1"/>
  <c r="I17" i="14" s="1"/>
  <c r="H60" i="4"/>
  <c r="AH60" i="4" s="1"/>
  <c r="I58" i="14" s="1"/>
  <c r="H157" i="4"/>
  <c r="AH157" i="4" s="1"/>
  <c r="I155" i="14" s="1"/>
  <c r="H26" i="4"/>
  <c r="AH26" i="4" s="1"/>
  <c r="H74" i="4"/>
  <c r="AH74" i="4" s="1"/>
  <c r="I72" i="14" s="1"/>
  <c r="H172" i="4"/>
  <c r="AH172" i="4" s="1"/>
  <c r="I170" i="14" s="1"/>
  <c r="H181" i="4"/>
  <c r="AH181" i="4" s="1"/>
  <c r="I179" i="14" s="1"/>
  <c r="H202" i="4"/>
  <c r="AH202" i="4" s="1"/>
  <c r="I200" i="14" s="1"/>
  <c r="H69" i="4"/>
  <c r="AH69" i="4" s="1"/>
  <c r="I67" i="14" s="1"/>
  <c r="H178" i="4"/>
  <c r="AH178" i="4" s="1"/>
  <c r="I176" i="14" s="1"/>
  <c r="H176" i="4"/>
  <c r="AH176" i="4" s="1"/>
  <c r="I174" i="14" s="1"/>
  <c r="H156" i="4"/>
  <c r="AH156" i="4" s="1"/>
  <c r="I154" i="14" s="1"/>
  <c r="H149" i="4"/>
  <c r="AH149" i="4" s="1"/>
  <c r="I147" i="14" s="1"/>
  <c r="H78" i="4"/>
  <c r="AH78" i="4" s="1"/>
  <c r="I76" i="14" s="1"/>
  <c r="H205" i="4"/>
  <c r="AH205" i="4" s="1"/>
  <c r="I203" i="14" s="1"/>
  <c r="H53" i="4"/>
  <c r="AH53" i="4" s="1"/>
  <c r="I51" i="14" s="1"/>
  <c r="H58" i="4"/>
  <c r="AH58" i="4" s="1"/>
  <c r="I56" i="14" s="1"/>
  <c r="H144" i="4"/>
  <c r="AH144" i="4" s="1"/>
  <c r="I142" i="14" s="1"/>
  <c r="H140" i="4"/>
  <c r="AH140" i="4" s="1"/>
  <c r="I138" i="14" s="1"/>
  <c r="H125" i="4"/>
  <c r="AH125" i="4" s="1"/>
  <c r="H146" i="4"/>
  <c r="AH146" i="4" s="1"/>
  <c r="I144" i="14" s="1"/>
  <c r="H50" i="4"/>
  <c r="AH50" i="4" s="1"/>
  <c r="I48" i="14" s="1"/>
  <c r="H20" i="4"/>
  <c r="AH20" i="4" s="1"/>
  <c r="I18" i="14" s="1"/>
  <c r="H72" i="4"/>
  <c r="AH72" i="4" s="1"/>
  <c r="I70" i="14" s="1"/>
  <c r="H203" i="4"/>
  <c r="AH203" i="4" s="1"/>
  <c r="I201" i="14" s="1"/>
  <c r="H102" i="4"/>
  <c r="AH102" i="4" s="1"/>
  <c r="I100" i="14" s="1"/>
  <c r="H89" i="4"/>
  <c r="AH89" i="4" s="1"/>
  <c r="I87" i="14" s="1"/>
  <c r="H119" i="4"/>
  <c r="AH119" i="4" s="1"/>
  <c r="I117" i="14" s="1"/>
  <c r="H155" i="4"/>
  <c r="AH155" i="4" s="1"/>
  <c r="I153" i="14" s="1"/>
  <c r="H30" i="4"/>
  <c r="AH30" i="4" s="1"/>
  <c r="I28" i="14" s="1"/>
  <c r="H36" i="4"/>
  <c r="AH36" i="4" s="1"/>
  <c r="I34" i="14" s="1"/>
  <c r="H56" i="4"/>
  <c r="AH56" i="4" s="1"/>
  <c r="I54" i="14" s="1"/>
  <c r="H190" i="4"/>
  <c r="AH190" i="4" s="1"/>
  <c r="I188" i="14" s="1"/>
  <c r="H81" i="4"/>
  <c r="AH81" i="4" s="1"/>
  <c r="I79" i="14" s="1"/>
  <c r="H143" i="4"/>
  <c r="AH143" i="4" s="1"/>
  <c r="I141" i="14" s="1"/>
  <c r="H52" i="4"/>
  <c r="AH52" i="4" s="1"/>
  <c r="I50" i="14" s="1"/>
  <c r="H49" i="4"/>
  <c r="AH49" i="4" s="1"/>
  <c r="I47" i="14" s="1"/>
  <c r="H169" i="4"/>
  <c r="AH169" i="4" s="1"/>
  <c r="I167" i="14" s="1"/>
  <c r="H170" i="4"/>
  <c r="AH170" i="4" s="1"/>
  <c r="I168" i="14" s="1"/>
  <c r="H68" i="4"/>
  <c r="AH68" i="4" s="1"/>
  <c r="H103" i="4"/>
  <c r="AH103" i="4" s="1"/>
  <c r="I101" i="14" s="1"/>
  <c r="H111" i="4"/>
  <c r="AH111" i="4" s="1"/>
  <c r="I109" i="14" s="1"/>
  <c r="Z19" i="1"/>
  <c r="AG18" i="1"/>
  <c r="AH18" i="1" s="1"/>
  <c r="I8" i="4"/>
  <c r="AI8" i="4" s="1"/>
  <c r="J6" i="14" s="1"/>
  <c r="AA18" i="1"/>
  <c r="I199" i="14" l="1"/>
  <c r="I29" i="14"/>
  <c r="I131" i="14"/>
  <c r="I24" i="14"/>
  <c r="I66" i="14"/>
  <c r="I32" i="14"/>
  <c r="I62" i="16"/>
  <c r="I12" i="16"/>
  <c r="I102" i="16"/>
  <c r="I8" i="16"/>
  <c r="I76" i="16"/>
  <c r="I197" i="16"/>
  <c r="I124" i="16"/>
  <c r="I67" i="16"/>
  <c r="I52" i="16"/>
  <c r="I170" i="16"/>
  <c r="I23" i="16"/>
  <c r="I41" i="16"/>
  <c r="I73" i="16"/>
  <c r="I91" i="16"/>
  <c r="I162" i="16"/>
  <c r="I179" i="16"/>
  <c r="I195" i="16"/>
  <c r="I177" i="16"/>
  <c r="I132" i="16"/>
  <c r="I25" i="16"/>
  <c r="I57" i="16"/>
  <c r="I65" i="16"/>
  <c r="I122" i="16"/>
  <c r="I117" i="16"/>
  <c r="I17" i="16"/>
  <c r="I64" i="16"/>
  <c r="I18" i="16"/>
  <c r="I94" i="16"/>
  <c r="I176" i="16"/>
  <c r="I60" i="16"/>
  <c r="I63" i="16"/>
  <c r="I146" i="16"/>
  <c r="I10" i="16"/>
  <c r="I70" i="16"/>
  <c r="I126" i="16"/>
  <c r="I58" i="16"/>
  <c r="I139" i="16"/>
  <c r="I16" i="16"/>
  <c r="I20" i="16"/>
  <c r="I156" i="16"/>
  <c r="I87" i="16"/>
  <c r="I200" i="16"/>
  <c r="I148" i="16"/>
  <c r="I13" i="16"/>
  <c r="I123" i="16"/>
  <c r="I45" i="16"/>
  <c r="I190" i="16"/>
  <c r="I111" i="16"/>
  <c r="I182" i="16"/>
  <c r="I127" i="16"/>
  <c r="I97" i="16"/>
  <c r="I19" i="16"/>
  <c r="I114" i="16"/>
  <c r="I14" i="16"/>
  <c r="I103" i="16"/>
  <c r="I96" i="16"/>
  <c r="I191" i="16"/>
  <c r="I167" i="16"/>
  <c r="I145" i="16"/>
  <c r="I163" i="16"/>
  <c r="I100" i="16"/>
  <c r="I178" i="16"/>
  <c r="I51" i="16"/>
  <c r="I33" i="16"/>
  <c r="I59" i="16"/>
  <c r="I35" i="16"/>
  <c r="I39" i="16"/>
  <c r="I202" i="16"/>
  <c r="I134" i="16"/>
  <c r="I131" i="16"/>
  <c r="I152" i="16"/>
  <c r="I50" i="16"/>
  <c r="I89" i="16"/>
  <c r="I106" i="16"/>
  <c r="I160" i="16"/>
  <c r="I151" i="16"/>
  <c r="I189" i="16"/>
  <c r="I36" i="16"/>
  <c r="I165" i="16"/>
  <c r="I85" i="16"/>
  <c r="I192" i="16"/>
  <c r="I46" i="16"/>
  <c r="I88" i="16"/>
  <c r="I153" i="16"/>
  <c r="I72" i="16"/>
  <c r="I128" i="16"/>
  <c r="I21" i="16"/>
  <c r="I27" i="16"/>
  <c r="I138" i="16"/>
  <c r="I158" i="16"/>
  <c r="I143" i="16"/>
  <c r="I129" i="16"/>
  <c r="I173" i="16"/>
  <c r="I48" i="16"/>
  <c r="I80" i="16"/>
  <c r="J6" i="16"/>
  <c r="I198" i="16"/>
  <c r="I93" i="16"/>
  <c r="I203" i="16"/>
  <c r="I199" i="16"/>
  <c r="I135" i="16"/>
  <c r="I147" i="16"/>
  <c r="I149" i="16"/>
  <c r="I79" i="16"/>
  <c r="I47" i="16"/>
  <c r="I104" i="16"/>
  <c r="I78" i="16"/>
  <c r="I24" i="16"/>
  <c r="I180" i="16"/>
  <c r="I29" i="16"/>
  <c r="I115" i="16"/>
  <c r="I22" i="16"/>
  <c r="I155" i="16"/>
  <c r="I196" i="16"/>
  <c r="I109" i="16"/>
  <c r="I125" i="16"/>
  <c r="I133" i="16"/>
  <c r="I107" i="16"/>
  <c r="I82" i="16"/>
  <c r="I185" i="16"/>
  <c r="I141" i="16"/>
  <c r="I38" i="16"/>
  <c r="I44" i="16"/>
  <c r="I172" i="16"/>
  <c r="I161" i="16"/>
  <c r="I89" i="14"/>
  <c r="I164" i="16"/>
  <c r="I101" i="16"/>
  <c r="I120" i="16"/>
  <c r="I26" i="16"/>
  <c r="I99" i="16"/>
  <c r="I205" i="16"/>
  <c r="I121" i="16"/>
  <c r="I108" i="16"/>
  <c r="I144" i="16"/>
  <c r="I83" i="16"/>
  <c r="I49" i="16"/>
  <c r="I150" i="16"/>
  <c r="I7" i="16"/>
  <c r="I30" i="16"/>
  <c r="I69" i="16"/>
  <c r="I105" i="16"/>
  <c r="I75" i="16"/>
  <c r="I174" i="16"/>
  <c r="I95" i="16"/>
  <c r="I98" i="16"/>
  <c r="I61" i="16"/>
  <c r="I71" i="16"/>
  <c r="I68" i="16"/>
  <c r="I84" i="16"/>
  <c r="I169" i="16"/>
  <c r="I116" i="16"/>
  <c r="I53" i="16"/>
  <c r="I37" i="16"/>
  <c r="I187" i="16"/>
  <c r="I55" i="16"/>
  <c r="I31" i="16"/>
  <c r="I112" i="16"/>
  <c r="I168" i="16"/>
  <c r="I86" i="16"/>
  <c r="I74" i="16"/>
  <c r="I175" i="16"/>
  <c r="I77" i="16"/>
  <c r="I66" i="16"/>
  <c r="I15" i="16"/>
  <c r="I9" i="16"/>
  <c r="I188" i="16"/>
  <c r="I136" i="16"/>
  <c r="I56" i="16"/>
  <c r="I140" i="16"/>
  <c r="I183" i="16"/>
  <c r="I204" i="16"/>
  <c r="I42" i="16"/>
  <c r="I154" i="16"/>
  <c r="I193" i="16"/>
  <c r="I130" i="16"/>
  <c r="I159" i="16"/>
  <c r="I43" i="16"/>
  <c r="I119" i="16"/>
  <c r="I157" i="16"/>
  <c r="I81" i="16"/>
  <c r="I171" i="16"/>
  <c r="I11" i="16"/>
  <c r="I166" i="16"/>
  <c r="I90" i="16"/>
  <c r="I194" i="16"/>
  <c r="I110" i="16"/>
  <c r="I118" i="16"/>
  <c r="I181" i="16"/>
  <c r="I201" i="16"/>
  <c r="I34" i="16"/>
  <c r="I184" i="16"/>
  <c r="I92" i="16"/>
  <c r="I113" i="16"/>
  <c r="I28" i="16"/>
  <c r="I186" i="16"/>
  <c r="I40" i="16"/>
  <c r="I54" i="16"/>
  <c r="I137" i="16"/>
  <c r="I142" i="16"/>
  <c r="I32" i="16"/>
  <c r="I123" i="14"/>
  <c r="I122" i="14"/>
  <c r="I11" i="14"/>
  <c r="H3" i="4"/>
  <c r="H4" i="4" s="1"/>
  <c r="I68" i="4"/>
  <c r="AI68" i="4" s="1"/>
  <c r="J66" i="14" s="1"/>
  <c r="I52" i="4"/>
  <c r="AI52" i="4" s="1"/>
  <c r="J50" i="14" s="1"/>
  <c r="I56" i="4"/>
  <c r="AI56" i="4" s="1"/>
  <c r="J54" i="14" s="1"/>
  <c r="I119" i="4"/>
  <c r="AI119" i="4" s="1"/>
  <c r="J117" i="14" s="1"/>
  <c r="I72" i="4"/>
  <c r="AI72" i="4" s="1"/>
  <c r="J70" i="14" s="1"/>
  <c r="I125" i="4"/>
  <c r="AI125" i="4" s="1"/>
  <c r="I144" i="4"/>
  <c r="AI144" i="4" s="1"/>
  <c r="J142" i="14" s="1"/>
  <c r="I78" i="4"/>
  <c r="AI78" i="4" s="1"/>
  <c r="J76" i="14" s="1"/>
  <c r="I178" i="4"/>
  <c r="AI178" i="4" s="1"/>
  <c r="J176" i="14" s="1"/>
  <c r="I172" i="4"/>
  <c r="AI172" i="4" s="1"/>
  <c r="J170" i="14" s="1"/>
  <c r="I60" i="4"/>
  <c r="AI60" i="4" s="1"/>
  <c r="J58" i="14" s="1"/>
  <c r="I193" i="4"/>
  <c r="AI193" i="4" s="1"/>
  <c r="J191" i="14" s="1"/>
  <c r="I104" i="4"/>
  <c r="AI104" i="4" s="1"/>
  <c r="J102" i="14" s="1"/>
  <c r="I106" i="4"/>
  <c r="AI106" i="4" s="1"/>
  <c r="J104" i="14" s="1"/>
  <c r="I57" i="4"/>
  <c r="AI57" i="4" s="1"/>
  <c r="J55" i="14" s="1"/>
  <c r="I42" i="4"/>
  <c r="AI42" i="4" s="1"/>
  <c r="J40" i="14" s="1"/>
  <c r="I75" i="4"/>
  <c r="AI75" i="4" s="1"/>
  <c r="J73" i="14" s="1"/>
  <c r="I77" i="4"/>
  <c r="AI77" i="4" s="1"/>
  <c r="J75" i="14" s="1"/>
  <c r="I207" i="4"/>
  <c r="AI207" i="4" s="1"/>
  <c r="J205" i="14" s="1"/>
  <c r="I165" i="4"/>
  <c r="AI165" i="4" s="1"/>
  <c r="J163" i="14" s="1"/>
  <c r="I100" i="4"/>
  <c r="AI100" i="4" s="1"/>
  <c r="J98" i="14" s="1"/>
  <c r="I38" i="4"/>
  <c r="AI38" i="4" s="1"/>
  <c r="J36" i="14" s="1"/>
  <c r="I67" i="4"/>
  <c r="AI67" i="4" s="1"/>
  <c r="J65" i="14" s="1"/>
  <c r="I62" i="4"/>
  <c r="AI62" i="4" s="1"/>
  <c r="J60" i="14" s="1"/>
  <c r="I151" i="4"/>
  <c r="AI151" i="4" s="1"/>
  <c r="J149" i="14" s="1"/>
  <c r="I160" i="4"/>
  <c r="AI160" i="4" s="1"/>
  <c r="J158" i="14" s="1"/>
  <c r="I86" i="4"/>
  <c r="AI86" i="4" s="1"/>
  <c r="J84" i="14" s="1"/>
  <c r="I118" i="4"/>
  <c r="AI118" i="4" s="1"/>
  <c r="J116" i="14" s="1"/>
  <c r="I134" i="4"/>
  <c r="AI134" i="4" s="1"/>
  <c r="J132" i="14" s="1"/>
  <c r="I40" i="4"/>
  <c r="AI40" i="4" s="1"/>
  <c r="J38" i="14" s="1"/>
  <c r="I24" i="4"/>
  <c r="AI24" i="4" s="1"/>
  <c r="J22" i="14" s="1"/>
  <c r="I201" i="4"/>
  <c r="AI201" i="4" s="1"/>
  <c r="J199" i="14" s="1"/>
  <c r="I97" i="4"/>
  <c r="AI97" i="4" s="1"/>
  <c r="J95" i="14" s="1"/>
  <c r="I85" i="4"/>
  <c r="AI85" i="4" s="1"/>
  <c r="J83" i="14" s="1"/>
  <c r="I101" i="4"/>
  <c r="AI101" i="4" s="1"/>
  <c r="J99" i="14" s="1"/>
  <c r="I91" i="4"/>
  <c r="AI91" i="4" s="1"/>
  <c r="I132" i="4"/>
  <c r="AI132" i="4" s="1"/>
  <c r="J130" i="14" s="1"/>
  <c r="I65" i="4"/>
  <c r="AI65" i="4" s="1"/>
  <c r="J63" i="14" s="1"/>
  <c r="I137" i="4"/>
  <c r="AI137" i="4" s="1"/>
  <c r="J135" i="14" s="1"/>
  <c r="I139" i="4"/>
  <c r="AI139" i="4" s="1"/>
  <c r="J137" i="14" s="1"/>
  <c r="I116" i="4"/>
  <c r="AI116" i="4" s="1"/>
  <c r="J114" i="14" s="1"/>
  <c r="I122" i="4"/>
  <c r="AI122" i="4" s="1"/>
  <c r="J120" i="14" s="1"/>
  <c r="I63" i="4"/>
  <c r="AI63" i="4" s="1"/>
  <c r="J61" i="14" s="1"/>
  <c r="I131" i="4"/>
  <c r="AI131" i="4" s="1"/>
  <c r="J129" i="14" s="1"/>
  <c r="I186" i="4"/>
  <c r="AI186" i="4" s="1"/>
  <c r="J184" i="14" s="1"/>
  <c r="I45" i="4"/>
  <c r="AI45" i="4" s="1"/>
  <c r="J43" i="14" s="1"/>
  <c r="I87" i="4"/>
  <c r="AI87" i="4" s="1"/>
  <c r="J85" i="14" s="1"/>
  <c r="I166" i="4"/>
  <c r="AI166" i="4" s="1"/>
  <c r="J164" i="14" s="1"/>
  <c r="I147" i="4"/>
  <c r="AI147" i="4" s="1"/>
  <c r="J145" i="14" s="1"/>
  <c r="I41" i="4"/>
  <c r="AI41" i="4" s="1"/>
  <c r="J39" i="14" s="1"/>
  <c r="I138" i="4"/>
  <c r="AI138" i="4" s="1"/>
  <c r="J136" i="14" s="1"/>
  <c r="I200" i="4"/>
  <c r="AI200" i="4" s="1"/>
  <c r="J198" i="14" s="1"/>
  <c r="I123" i="4"/>
  <c r="AI123" i="4" s="1"/>
  <c r="J121" i="14" s="1"/>
  <c r="I164" i="4"/>
  <c r="AI164" i="4" s="1"/>
  <c r="J162" i="14" s="1"/>
  <c r="I145" i="4"/>
  <c r="AI145" i="4" s="1"/>
  <c r="I153" i="4"/>
  <c r="AI153" i="4" s="1"/>
  <c r="J151" i="14" s="1"/>
  <c r="I17" i="4"/>
  <c r="AI17" i="4" s="1"/>
  <c r="J15" i="14" s="1"/>
  <c r="I148" i="4"/>
  <c r="AI148" i="4" s="1"/>
  <c r="J146" i="14" s="1"/>
  <c r="I195" i="4"/>
  <c r="AI195" i="4" s="1"/>
  <c r="J193" i="14" s="1"/>
  <c r="I189" i="4"/>
  <c r="AI189" i="4" s="1"/>
  <c r="J187" i="14" s="1"/>
  <c r="I51" i="4"/>
  <c r="AI51" i="4" s="1"/>
  <c r="J49" i="14" s="1"/>
  <c r="I197" i="4"/>
  <c r="AI197" i="4" s="1"/>
  <c r="J195" i="14" s="1"/>
  <c r="I28" i="4"/>
  <c r="AI28" i="4" s="1"/>
  <c r="J26" i="14" s="1"/>
  <c r="I182" i="4"/>
  <c r="AI182" i="4" s="1"/>
  <c r="J180" i="14" s="1"/>
  <c r="I174" i="4"/>
  <c r="AI174" i="4" s="1"/>
  <c r="J172" i="14" s="1"/>
  <c r="I44" i="4"/>
  <c r="AI44" i="4" s="1"/>
  <c r="J42" i="14" s="1"/>
  <c r="I11" i="4"/>
  <c r="AI11" i="4" s="1"/>
  <c r="J9" i="14" s="1"/>
  <c r="I109" i="4"/>
  <c r="AI109" i="4" s="1"/>
  <c r="J107" i="14" s="1"/>
  <c r="I59" i="4"/>
  <c r="AI59" i="4" s="1"/>
  <c r="J57" i="14" s="1"/>
  <c r="I191" i="4"/>
  <c r="AI191" i="4" s="1"/>
  <c r="I184" i="4"/>
  <c r="AI184" i="4" s="1"/>
  <c r="J182" i="14" s="1"/>
  <c r="I111" i="4"/>
  <c r="AI111" i="4" s="1"/>
  <c r="J109" i="14" s="1"/>
  <c r="I169" i="4"/>
  <c r="AI169" i="4" s="1"/>
  <c r="J167" i="14" s="1"/>
  <c r="I81" i="4"/>
  <c r="AI81" i="4" s="1"/>
  <c r="J79" i="14" s="1"/>
  <c r="I30" i="4"/>
  <c r="AI30" i="4" s="1"/>
  <c r="J28" i="14" s="1"/>
  <c r="I102" i="4"/>
  <c r="AI102" i="4" s="1"/>
  <c r="J100" i="14" s="1"/>
  <c r="I50" i="4"/>
  <c r="AI50" i="4" s="1"/>
  <c r="J48" i="14" s="1"/>
  <c r="I53" i="4"/>
  <c r="AI53" i="4" s="1"/>
  <c r="J51" i="14" s="1"/>
  <c r="I156" i="4"/>
  <c r="AI156" i="4" s="1"/>
  <c r="J154" i="14" s="1"/>
  <c r="I202" i="4"/>
  <c r="AI202" i="4" s="1"/>
  <c r="J200" i="14" s="1"/>
  <c r="I26" i="4"/>
  <c r="AI26" i="4" s="1"/>
  <c r="J24" i="14" s="1"/>
  <c r="I159" i="4"/>
  <c r="AI159" i="4" s="1"/>
  <c r="J157" i="14" s="1"/>
  <c r="I14" i="4"/>
  <c r="AI14" i="4" s="1"/>
  <c r="J12" i="14" s="1"/>
  <c r="I99" i="4"/>
  <c r="AI99" i="4" s="1"/>
  <c r="J97" i="14" s="1"/>
  <c r="I135" i="4"/>
  <c r="AI135" i="4" s="1"/>
  <c r="J133" i="14" s="1"/>
  <c r="I171" i="4"/>
  <c r="AI171" i="4" s="1"/>
  <c r="J169" i="14" s="1"/>
  <c r="I76" i="4"/>
  <c r="AI76" i="4" s="1"/>
  <c r="J74" i="14" s="1"/>
  <c r="I154" i="4"/>
  <c r="AI154" i="4" s="1"/>
  <c r="J152" i="14" s="1"/>
  <c r="I48" i="4"/>
  <c r="AI48" i="4" s="1"/>
  <c r="J46" i="14" s="1"/>
  <c r="I93" i="4"/>
  <c r="AI93" i="4" s="1"/>
  <c r="J91" i="14" s="1"/>
  <c r="I80" i="4"/>
  <c r="AI80" i="4" s="1"/>
  <c r="J78" i="14" s="1"/>
  <c r="I43" i="4"/>
  <c r="AI43" i="4" s="1"/>
  <c r="J41" i="14" s="1"/>
  <c r="I55" i="4"/>
  <c r="AI55" i="4" s="1"/>
  <c r="J53" i="14" s="1"/>
  <c r="I199" i="4"/>
  <c r="AI199" i="4" s="1"/>
  <c r="J197" i="14" s="1"/>
  <c r="I167" i="4"/>
  <c r="AI167" i="4" s="1"/>
  <c r="J165" i="14" s="1"/>
  <c r="I170" i="4"/>
  <c r="AI170" i="4" s="1"/>
  <c r="J168" i="14" s="1"/>
  <c r="I143" i="4"/>
  <c r="AI143" i="4" s="1"/>
  <c r="J141" i="14" s="1"/>
  <c r="I155" i="4"/>
  <c r="AI155" i="4" s="1"/>
  <c r="J153" i="14" s="1"/>
  <c r="I203" i="4"/>
  <c r="AI203" i="4" s="1"/>
  <c r="J201" i="14" s="1"/>
  <c r="I146" i="4"/>
  <c r="AI146" i="4" s="1"/>
  <c r="J144" i="14" s="1"/>
  <c r="I58" i="4"/>
  <c r="AI58" i="4" s="1"/>
  <c r="J56" i="14" s="1"/>
  <c r="I176" i="4"/>
  <c r="AI176" i="4" s="1"/>
  <c r="I74" i="4"/>
  <c r="AI74" i="4" s="1"/>
  <c r="J72" i="14" s="1"/>
  <c r="I19" i="4"/>
  <c r="AI19" i="4" s="1"/>
  <c r="J17" i="14" s="1"/>
  <c r="I158" i="4"/>
  <c r="AI158" i="4" s="1"/>
  <c r="J156" i="14" s="1"/>
  <c r="I204" i="4"/>
  <c r="AI204" i="4" s="1"/>
  <c r="J202" i="14" s="1"/>
  <c r="I192" i="4"/>
  <c r="AI192" i="4" s="1"/>
  <c r="J190" i="14" s="1"/>
  <c r="I129" i="4"/>
  <c r="AI129" i="4" s="1"/>
  <c r="J127" i="14" s="1"/>
  <c r="I196" i="4"/>
  <c r="AI196" i="4" s="1"/>
  <c r="J194" i="14" s="1"/>
  <c r="I61" i="4"/>
  <c r="AI61" i="4" s="1"/>
  <c r="J59" i="14" s="1"/>
  <c r="I16" i="4"/>
  <c r="AI16" i="4" s="1"/>
  <c r="J14" i="14" s="1"/>
  <c r="I183" i="4"/>
  <c r="AI183" i="4" s="1"/>
  <c r="J181" i="14" s="1"/>
  <c r="I64" i="4"/>
  <c r="AI64" i="4" s="1"/>
  <c r="J62" i="14" s="1"/>
  <c r="I92" i="4"/>
  <c r="AI92" i="4" s="1"/>
  <c r="J90" i="14" s="1"/>
  <c r="I141" i="4"/>
  <c r="AI141" i="4" s="1"/>
  <c r="J139" i="14" s="1"/>
  <c r="I128" i="4"/>
  <c r="AI128" i="4" s="1"/>
  <c r="J126" i="14" s="1"/>
  <c r="I108" i="4"/>
  <c r="AI108" i="4" s="1"/>
  <c r="J106" i="14" s="1"/>
  <c r="I173" i="4"/>
  <c r="AI173" i="4" s="1"/>
  <c r="J171" i="14" s="1"/>
  <c r="I114" i="4"/>
  <c r="AI114" i="4" s="1"/>
  <c r="J112" i="14" s="1"/>
  <c r="AG3" i="4"/>
  <c r="AG4" i="4" s="1"/>
  <c r="I113" i="4"/>
  <c r="AI113" i="4" s="1"/>
  <c r="J111" i="14" s="1"/>
  <c r="I120" i="4"/>
  <c r="AI120" i="4" s="1"/>
  <c r="J118" i="14" s="1"/>
  <c r="I142" i="4"/>
  <c r="AI142" i="4" s="1"/>
  <c r="J140" i="14" s="1"/>
  <c r="I187" i="4"/>
  <c r="AI187" i="4" s="1"/>
  <c r="J185" i="14" s="1"/>
  <c r="I206" i="4"/>
  <c r="AI206" i="4" s="1"/>
  <c r="J204" i="14" s="1"/>
  <c r="I136" i="4"/>
  <c r="AI136" i="4" s="1"/>
  <c r="J134" i="14" s="1"/>
  <c r="I47" i="4"/>
  <c r="AI47" i="4" s="1"/>
  <c r="J45" i="14" s="1"/>
  <c r="I96" i="4"/>
  <c r="AI96" i="4" s="1"/>
  <c r="J94" i="14" s="1"/>
  <c r="I22" i="4"/>
  <c r="AI22" i="4" s="1"/>
  <c r="J20" i="14" s="1"/>
  <c r="I117" i="4"/>
  <c r="AI117" i="4" s="1"/>
  <c r="J115" i="14" s="1"/>
  <c r="I95" i="4"/>
  <c r="AI95" i="4" s="1"/>
  <c r="J93" i="14" s="1"/>
  <c r="I194" i="4"/>
  <c r="AI194" i="4" s="1"/>
  <c r="J192" i="14" s="1"/>
  <c r="I133" i="4"/>
  <c r="AI133" i="4" s="1"/>
  <c r="J131" i="14" s="1"/>
  <c r="I82" i="4"/>
  <c r="AI82" i="4" s="1"/>
  <c r="J80" i="14" s="1"/>
  <c r="I37" i="4"/>
  <c r="AI37" i="4" s="1"/>
  <c r="J35" i="14" s="1"/>
  <c r="I126" i="4"/>
  <c r="AI126" i="4" s="1"/>
  <c r="J124" i="14" s="1"/>
  <c r="I73" i="4"/>
  <c r="AI73" i="4" s="1"/>
  <c r="J71" i="14" s="1"/>
  <c r="I35" i="4"/>
  <c r="AI35" i="4" s="1"/>
  <c r="J33" i="14" s="1"/>
  <c r="I121" i="4"/>
  <c r="AI121" i="4" s="1"/>
  <c r="J119" i="14" s="1"/>
  <c r="I84" i="4"/>
  <c r="AI84" i="4" s="1"/>
  <c r="J82" i="14" s="1"/>
  <c r="I94" i="4"/>
  <c r="AI94" i="4" s="1"/>
  <c r="J92" i="14" s="1"/>
  <c r="I18" i="4"/>
  <c r="AI18" i="4" s="1"/>
  <c r="J16" i="14" s="1"/>
  <c r="I103" i="4"/>
  <c r="AI103" i="4" s="1"/>
  <c r="J101" i="14" s="1"/>
  <c r="I49" i="4"/>
  <c r="AI49" i="4" s="1"/>
  <c r="J47" i="14" s="1"/>
  <c r="I190" i="4"/>
  <c r="AI190" i="4" s="1"/>
  <c r="J188" i="14" s="1"/>
  <c r="I36" i="4"/>
  <c r="AI36" i="4" s="1"/>
  <c r="J34" i="14" s="1"/>
  <c r="I89" i="4"/>
  <c r="AI89" i="4" s="1"/>
  <c r="J87" i="14" s="1"/>
  <c r="I20" i="4"/>
  <c r="AI20" i="4" s="1"/>
  <c r="J18" i="14" s="1"/>
  <c r="I140" i="4"/>
  <c r="AI140" i="4" s="1"/>
  <c r="J138" i="14" s="1"/>
  <c r="I205" i="4"/>
  <c r="AI205" i="4" s="1"/>
  <c r="J203" i="14" s="1"/>
  <c r="I149" i="4"/>
  <c r="AI149" i="4" s="1"/>
  <c r="J147" i="14" s="1"/>
  <c r="I69" i="4"/>
  <c r="AI69" i="4" s="1"/>
  <c r="J67" i="14" s="1"/>
  <c r="I181" i="4"/>
  <c r="AI181" i="4" s="1"/>
  <c r="J179" i="14" s="1"/>
  <c r="I157" i="4"/>
  <c r="AI157" i="4" s="1"/>
  <c r="J155" i="14" s="1"/>
  <c r="I188" i="4"/>
  <c r="AI188" i="4" s="1"/>
  <c r="J186" i="14" s="1"/>
  <c r="I175" i="4"/>
  <c r="AI175" i="4" s="1"/>
  <c r="J173" i="14" s="1"/>
  <c r="I179" i="4"/>
  <c r="AI179" i="4" s="1"/>
  <c r="J177" i="14" s="1"/>
  <c r="I185" i="4"/>
  <c r="AI185" i="4" s="1"/>
  <c r="J183" i="14" s="1"/>
  <c r="I33" i="4"/>
  <c r="AI33" i="4" s="1"/>
  <c r="J31" i="14" s="1"/>
  <c r="I127" i="4"/>
  <c r="AI127" i="4" s="1"/>
  <c r="I130" i="4"/>
  <c r="AI130" i="4" s="1"/>
  <c r="J128" i="14" s="1"/>
  <c r="I90" i="4"/>
  <c r="AI90" i="4" s="1"/>
  <c r="J88" i="14" s="1"/>
  <c r="I124" i="4"/>
  <c r="AI124" i="4" s="1"/>
  <c r="J122" i="14" s="1"/>
  <c r="I161" i="4"/>
  <c r="AI161" i="4" s="1"/>
  <c r="J159" i="14" s="1"/>
  <c r="I152" i="4"/>
  <c r="AI152" i="4" s="1"/>
  <c r="J150" i="14" s="1"/>
  <c r="I198" i="4"/>
  <c r="AI198" i="4" s="1"/>
  <c r="J196" i="14" s="1"/>
  <c r="I9" i="4"/>
  <c r="AI9" i="4" s="1"/>
  <c r="J7" i="14" s="1"/>
  <c r="I39" i="4"/>
  <c r="AI39" i="4" s="1"/>
  <c r="J37" i="14" s="1"/>
  <c r="I168" i="4"/>
  <c r="AI168" i="4" s="1"/>
  <c r="J166" i="14" s="1"/>
  <c r="I83" i="4"/>
  <c r="AI83" i="4" s="1"/>
  <c r="J81" i="14" s="1"/>
  <c r="I23" i="4"/>
  <c r="AI23" i="4" s="1"/>
  <c r="J21" i="14" s="1"/>
  <c r="I54" i="4"/>
  <c r="AI54" i="4" s="1"/>
  <c r="J52" i="14" s="1"/>
  <c r="I27" i="4"/>
  <c r="AI27" i="4" s="1"/>
  <c r="J25" i="14" s="1"/>
  <c r="I70" i="4"/>
  <c r="AI70" i="4" s="1"/>
  <c r="J68" i="14" s="1"/>
  <c r="I162" i="4"/>
  <c r="AI162" i="4" s="1"/>
  <c r="J160" i="14" s="1"/>
  <c r="I163" i="4"/>
  <c r="AI163" i="4" s="1"/>
  <c r="J161" i="14" s="1"/>
  <c r="I32" i="4"/>
  <c r="AI32" i="4" s="1"/>
  <c r="J30" i="14" s="1"/>
  <c r="I66" i="4"/>
  <c r="AI66" i="4" s="1"/>
  <c r="J64" i="14" s="1"/>
  <c r="I107" i="4"/>
  <c r="AI107" i="4" s="1"/>
  <c r="J105" i="14" s="1"/>
  <c r="I15" i="4"/>
  <c r="AI15" i="4" s="1"/>
  <c r="J13" i="14" s="1"/>
  <c r="I177" i="4"/>
  <c r="AI177" i="4" s="1"/>
  <c r="J175" i="14" s="1"/>
  <c r="I10" i="4"/>
  <c r="AI10" i="4" s="1"/>
  <c r="J8" i="14" s="1"/>
  <c r="I31" i="4"/>
  <c r="AI31" i="4" s="1"/>
  <c r="J29" i="14" s="1"/>
  <c r="I25" i="4"/>
  <c r="AI25" i="4" s="1"/>
  <c r="J23" i="14" s="1"/>
  <c r="I71" i="4"/>
  <c r="AI71" i="4" s="1"/>
  <c r="J69" i="14" s="1"/>
  <c r="I34" i="4"/>
  <c r="AI34" i="4" s="1"/>
  <c r="J32" i="14" s="1"/>
  <c r="I115" i="4"/>
  <c r="AI115" i="4" s="1"/>
  <c r="J113" i="14" s="1"/>
  <c r="I12" i="4"/>
  <c r="AI12" i="4" s="1"/>
  <c r="J10" i="14" s="1"/>
  <c r="I150" i="4"/>
  <c r="AI150" i="4" s="1"/>
  <c r="J148" i="14" s="1"/>
  <c r="I46" i="4"/>
  <c r="AI46" i="4" s="1"/>
  <c r="J44" i="14" s="1"/>
  <c r="I13" i="4"/>
  <c r="AI13" i="4" s="1"/>
  <c r="J11" i="14" s="1"/>
  <c r="I110" i="4"/>
  <c r="AI110" i="4" s="1"/>
  <c r="J108" i="14" s="1"/>
  <c r="I79" i="4"/>
  <c r="AI79" i="4" s="1"/>
  <c r="J77" i="14" s="1"/>
  <c r="I29" i="4"/>
  <c r="AI29" i="4" s="1"/>
  <c r="J27" i="14" s="1"/>
  <c r="I98" i="4"/>
  <c r="AI98" i="4" s="1"/>
  <c r="J96" i="14" s="1"/>
  <c r="I21" i="4"/>
  <c r="AI21" i="4" s="1"/>
  <c r="J19" i="14" s="1"/>
  <c r="I112" i="4"/>
  <c r="AI112" i="4" s="1"/>
  <c r="J110" i="14" s="1"/>
  <c r="I88" i="4"/>
  <c r="AI88" i="4" s="1"/>
  <c r="J86" i="14" s="1"/>
  <c r="I105" i="4"/>
  <c r="AI105" i="4" s="1"/>
  <c r="J103" i="14" s="1"/>
  <c r="I180" i="4"/>
  <c r="AI180" i="4" s="1"/>
  <c r="J178" i="14" s="1"/>
  <c r="Z20" i="1"/>
  <c r="AG19" i="1"/>
  <c r="AH19" i="1" s="1"/>
  <c r="J8" i="4"/>
  <c r="AJ8" i="4" s="1"/>
  <c r="K6" i="14" s="1"/>
  <c r="AC18" i="1"/>
  <c r="AF18" i="1" s="1"/>
  <c r="AI18" i="1" s="1"/>
  <c r="AA19" i="1"/>
  <c r="AC17" i="1"/>
  <c r="J89" i="14" l="1"/>
  <c r="AF17" i="1"/>
  <c r="AI17" i="1" s="1"/>
  <c r="J174" i="14"/>
  <c r="J137" i="16"/>
  <c r="J34" i="16"/>
  <c r="J11" i="16"/>
  <c r="J130" i="16"/>
  <c r="J136" i="16"/>
  <c r="J86" i="16"/>
  <c r="J116" i="16"/>
  <c r="J174" i="16"/>
  <c r="J83" i="16"/>
  <c r="J101" i="16"/>
  <c r="J141" i="16"/>
  <c r="J155" i="16"/>
  <c r="J47" i="16"/>
  <c r="J48" i="16"/>
  <c r="J128" i="16"/>
  <c r="J36" i="16"/>
  <c r="J35" i="16"/>
  <c r="J167" i="16"/>
  <c r="J13" i="16"/>
  <c r="J58" i="16"/>
  <c r="J94" i="16"/>
  <c r="J25" i="16"/>
  <c r="J41" i="16"/>
  <c r="J8" i="16"/>
  <c r="J189" i="14"/>
  <c r="J54" i="16"/>
  <c r="J201" i="16"/>
  <c r="J171" i="16"/>
  <c r="J193" i="16"/>
  <c r="J188" i="16"/>
  <c r="J168" i="16"/>
  <c r="J169" i="16"/>
  <c r="J75" i="16"/>
  <c r="J144" i="16"/>
  <c r="J164" i="16"/>
  <c r="J185" i="16"/>
  <c r="J22" i="16"/>
  <c r="J79" i="16"/>
  <c r="J173" i="16"/>
  <c r="J72" i="16"/>
  <c r="J189" i="16"/>
  <c r="J89" i="16"/>
  <c r="J59" i="16"/>
  <c r="J191" i="16"/>
  <c r="J148" i="16"/>
  <c r="J126" i="16"/>
  <c r="J18" i="16"/>
  <c r="J132" i="16"/>
  <c r="J23" i="16"/>
  <c r="J102" i="16"/>
  <c r="J125" i="14"/>
  <c r="J123" i="14"/>
  <c r="J40" i="16"/>
  <c r="J181" i="16"/>
  <c r="J81" i="16"/>
  <c r="J154" i="16"/>
  <c r="J9" i="16"/>
  <c r="J112" i="16"/>
  <c r="J84" i="16"/>
  <c r="J105" i="16"/>
  <c r="J108" i="16"/>
  <c r="J82" i="16"/>
  <c r="J115" i="16"/>
  <c r="J149" i="16"/>
  <c r="J129" i="16"/>
  <c r="J153" i="16"/>
  <c r="J151" i="16"/>
  <c r="J50" i="16"/>
  <c r="J33" i="16"/>
  <c r="J96" i="16"/>
  <c r="J127" i="16"/>
  <c r="J200" i="16"/>
  <c r="J70" i="16"/>
  <c r="J64" i="16"/>
  <c r="J177" i="16"/>
  <c r="J170" i="16"/>
  <c r="J12" i="16"/>
  <c r="J186" i="16"/>
  <c r="J118" i="16"/>
  <c r="J157" i="16"/>
  <c r="J42" i="16"/>
  <c r="J15" i="16"/>
  <c r="J31" i="16"/>
  <c r="J68" i="16"/>
  <c r="J69" i="16"/>
  <c r="J121" i="16"/>
  <c r="J107" i="16"/>
  <c r="J29" i="16"/>
  <c r="J147" i="16"/>
  <c r="J203" i="16"/>
  <c r="J143" i="16"/>
  <c r="J88" i="16"/>
  <c r="J160" i="16"/>
  <c r="J152" i="16"/>
  <c r="J51" i="16"/>
  <c r="J103" i="16"/>
  <c r="J182" i="16"/>
  <c r="J87" i="16"/>
  <c r="J10" i="16"/>
  <c r="J17" i="16"/>
  <c r="J195" i="16"/>
  <c r="J52" i="16"/>
  <c r="J62" i="16"/>
  <c r="J28" i="16"/>
  <c r="J110" i="16"/>
  <c r="J119" i="16"/>
  <c r="J204" i="16"/>
  <c r="J66" i="16"/>
  <c r="J55" i="16"/>
  <c r="J71" i="16"/>
  <c r="J30" i="16"/>
  <c r="J205" i="16"/>
  <c r="J161" i="16"/>
  <c r="J133" i="16"/>
  <c r="J180" i="16"/>
  <c r="J135" i="16"/>
  <c r="J93" i="16"/>
  <c r="J158" i="16"/>
  <c r="J46" i="16"/>
  <c r="J106" i="16"/>
  <c r="J131" i="16"/>
  <c r="J178" i="16"/>
  <c r="J14" i="16"/>
  <c r="J111" i="16"/>
  <c r="J156" i="16"/>
  <c r="J146" i="16"/>
  <c r="J117" i="16"/>
  <c r="J179" i="16"/>
  <c r="J67" i="16"/>
  <c r="J113" i="16"/>
  <c r="J194" i="16"/>
  <c r="J43" i="16"/>
  <c r="J183" i="16"/>
  <c r="J77" i="16"/>
  <c r="J187" i="16"/>
  <c r="J61" i="16"/>
  <c r="J7" i="16"/>
  <c r="J99" i="16"/>
  <c r="J172" i="16"/>
  <c r="J125" i="16"/>
  <c r="J24" i="16"/>
  <c r="J199" i="16"/>
  <c r="J198" i="16"/>
  <c r="J138" i="16"/>
  <c r="J192" i="16"/>
  <c r="J134" i="16"/>
  <c r="J100" i="16"/>
  <c r="J114" i="16"/>
  <c r="J190" i="16"/>
  <c r="J20" i="16"/>
  <c r="J63" i="16"/>
  <c r="J122" i="16"/>
  <c r="J162" i="16"/>
  <c r="J124" i="16"/>
  <c r="J32" i="16"/>
  <c r="J92" i="16"/>
  <c r="J90" i="16"/>
  <c r="J159" i="16"/>
  <c r="J140" i="16"/>
  <c r="J175" i="16"/>
  <c r="J37" i="16"/>
  <c r="J98" i="16"/>
  <c r="J150" i="16"/>
  <c r="J26" i="16"/>
  <c r="J44" i="16"/>
  <c r="J109" i="16"/>
  <c r="J78" i="16"/>
  <c r="K6" i="16"/>
  <c r="J27" i="16"/>
  <c r="J85" i="16"/>
  <c r="J202" i="16"/>
  <c r="J163" i="16"/>
  <c r="J19" i="16"/>
  <c r="J45" i="16"/>
  <c r="J16" i="16"/>
  <c r="J60" i="16"/>
  <c r="J65" i="16"/>
  <c r="J91" i="16"/>
  <c r="J197" i="16"/>
  <c r="J142" i="16"/>
  <c r="J184" i="16"/>
  <c r="J166" i="16"/>
  <c r="J56" i="16"/>
  <c r="J74" i="16"/>
  <c r="J53" i="16"/>
  <c r="J95" i="16"/>
  <c r="J49" i="16"/>
  <c r="J120" i="16"/>
  <c r="J38" i="16"/>
  <c r="J196" i="16"/>
  <c r="J104" i="16"/>
  <c r="J80" i="16"/>
  <c r="J21" i="16"/>
  <c r="J165" i="16"/>
  <c r="J39" i="16"/>
  <c r="J145" i="16"/>
  <c r="J97" i="16"/>
  <c r="J123" i="16"/>
  <c r="J139" i="16"/>
  <c r="J176" i="16"/>
  <c r="J57" i="16"/>
  <c r="J73" i="16"/>
  <c r="J76" i="16"/>
  <c r="J143" i="14"/>
  <c r="I3" i="4"/>
  <c r="I4" i="4" s="1"/>
  <c r="J94" i="4"/>
  <c r="AJ94" i="4" s="1"/>
  <c r="K92" i="14" s="1"/>
  <c r="J37" i="4"/>
  <c r="AJ37" i="4" s="1"/>
  <c r="K35" i="14" s="1"/>
  <c r="J95" i="4"/>
  <c r="AJ95" i="4" s="1"/>
  <c r="K93" i="14" s="1"/>
  <c r="J206" i="4"/>
  <c r="AJ206" i="4" s="1"/>
  <c r="K204" i="14" s="1"/>
  <c r="J180" i="4"/>
  <c r="AJ180" i="4" s="1"/>
  <c r="K178" i="14" s="1"/>
  <c r="J21" i="4"/>
  <c r="AJ21" i="4" s="1"/>
  <c r="K19" i="14" s="1"/>
  <c r="J110" i="4"/>
  <c r="AJ110" i="4" s="1"/>
  <c r="K108" i="14" s="1"/>
  <c r="J12" i="4"/>
  <c r="AJ12" i="4" s="1"/>
  <c r="K10" i="14" s="1"/>
  <c r="J10" i="4"/>
  <c r="AJ10" i="4" s="1"/>
  <c r="K8" i="14" s="1"/>
  <c r="J66" i="4"/>
  <c r="AJ66" i="4" s="1"/>
  <c r="K64" i="14" s="1"/>
  <c r="J70" i="4"/>
  <c r="AJ70" i="4" s="1"/>
  <c r="K68" i="14" s="1"/>
  <c r="J83" i="4"/>
  <c r="AJ83" i="4" s="1"/>
  <c r="K81" i="14" s="1"/>
  <c r="J198" i="4"/>
  <c r="AJ198" i="4" s="1"/>
  <c r="K196" i="14" s="1"/>
  <c r="J90" i="4"/>
  <c r="AJ90" i="4" s="1"/>
  <c r="K88" i="14" s="1"/>
  <c r="J185" i="4"/>
  <c r="AJ185" i="4" s="1"/>
  <c r="K183" i="14" s="1"/>
  <c r="J175" i="4"/>
  <c r="AJ175" i="4" s="1"/>
  <c r="K173" i="14" s="1"/>
  <c r="J69" i="4"/>
  <c r="AJ69" i="4" s="1"/>
  <c r="K67" i="14" s="1"/>
  <c r="J20" i="4"/>
  <c r="AJ20" i="4" s="1"/>
  <c r="K18" i="14" s="1"/>
  <c r="J49" i="4"/>
  <c r="AJ49" i="4" s="1"/>
  <c r="K47" i="14" s="1"/>
  <c r="J173" i="4"/>
  <c r="AJ173" i="4" s="1"/>
  <c r="K171" i="14" s="1"/>
  <c r="J128" i="4"/>
  <c r="AJ128" i="4" s="1"/>
  <c r="K126" i="14" s="1"/>
  <c r="J92" i="4"/>
  <c r="AJ92" i="4" s="1"/>
  <c r="K90" i="14" s="1"/>
  <c r="J183" i="4"/>
  <c r="AJ183" i="4" s="1"/>
  <c r="K181" i="14" s="1"/>
  <c r="J61" i="4"/>
  <c r="AJ61" i="4" s="1"/>
  <c r="K59" i="14" s="1"/>
  <c r="J129" i="4"/>
  <c r="AJ129" i="4" s="1"/>
  <c r="K127" i="14" s="1"/>
  <c r="J204" i="4"/>
  <c r="AJ204" i="4" s="1"/>
  <c r="K202" i="14" s="1"/>
  <c r="J19" i="4"/>
  <c r="AJ19" i="4" s="1"/>
  <c r="K17" i="14" s="1"/>
  <c r="J176" i="4"/>
  <c r="AJ176" i="4" s="1"/>
  <c r="K174" i="14" s="1"/>
  <c r="J146" i="4"/>
  <c r="AJ146" i="4" s="1"/>
  <c r="K144" i="14" s="1"/>
  <c r="J155" i="4"/>
  <c r="AJ155" i="4" s="1"/>
  <c r="K153" i="14" s="1"/>
  <c r="J170" i="4"/>
  <c r="AJ170" i="4" s="1"/>
  <c r="K168" i="14" s="1"/>
  <c r="J199" i="4"/>
  <c r="AJ199" i="4" s="1"/>
  <c r="K197" i="14" s="1"/>
  <c r="J43" i="4"/>
  <c r="AJ43" i="4" s="1"/>
  <c r="K41" i="14" s="1"/>
  <c r="J93" i="4"/>
  <c r="AJ93" i="4" s="1"/>
  <c r="K91" i="14" s="1"/>
  <c r="J154" i="4"/>
  <c r="AJ154" i="4" s="1"/>
  <c r="K152" i="14" s="1"/>
  <c r="J171" i="4"/>
  <c r="AJ171" i="4" s="1"/>
  <c r="K169" i="14" s="1"/>
  <c r="J99" i="4"/>
  <c r="AJ99" i="4" s="1"/>
  <c r="K97" i="14" s="1"/>
  <c r="J159" i="4"/>
  <c r="AJ159" i="4" s="1"/>
  <c r="K157" i="14" s="1"/>
  <c r="J202" i="4"/>
  <c r="AJ202" i="4" s="1"/>
  <c r="K200" i="14" s="1"/>
  <c r="J53" i="4"/>
  <c r="AJ53" i="4" s="1"/>
  <c r="K51" i="14" s="1"/>
  <c r="J102" i="4"/>
  <c r="AJ102" i="4" s="1"/>
  <c r="K100" i="14" s="1"/>
  <c r="J81" i="4"/>
  <c r="AJ81" i="4" s="1"/>
  <c r="K79" i="14" s="1"/>
  <c r="J111" i="4"/>
  <c r="AJ111" i="4" s="1"/>
  <c r="K109" i="14" s="1"/>
  <c r="J191" i="4"/>
  <c r="AJ191" i="4" s="1"/>
  <c r="K189" i="14" s="1"/>
  <c r="J109" i="4"/>
  <c r="AJ109" i="4" s="1"/>
  <c r="K107" i="14" s="1"/>
  <c r="J44" i="4"/>
  <c r="AJ44" i="4" s="1"/>
  <c r="K42" i="14" s="1"/>
  <c r="J182" i="4"/>
  <c r="AJ182" i="4" s="1"/>
  <c r="K180" i="14" s="1"/>
  <c r="J197" i="4"/>
  <c r="AJ197" i="4" s="1"/>
  <c r="K195" i="14" s="1"/>
  <c r="J189" i="4"/>
  <c r="AJ189" i="4" s="1"/>
  <c r="K187" i="14" s="1"/>
  <c r="J148" i="4"/>
  <c r="AJ148" i="4" s="1"/>
  <c r="K146" i="14" s="1"/>
  <c r="J153" i="4"/>
  <c r="AJ153" i="4" s="1"/>
  <c r="K151" i="14" s="1"/>
  <c r="J164" i="4"/>
  <c r="AJ164" i="4" s="1"/>
  <c r="K162" i="14" s="1"/>
  <c r="J200" i="4"/>
  <c r="AJ200" i="4" s="1"/>
  <c r="K198" i="14" s="1"/>
  <c r="J41" i="4"/>
  <c r="AJ41" i="4" s="1"/>
  <c r="K39" i="14" s="1"/>
  <c r="J166" i="4"/>
  <c r="AJ166" i="4" s="1"/>
  <c r="K164" i="14" s="1"/>
  <c r="J45" i="4"/>
  <c r="AJ45" i="4" s="1"/>
  <c r="K43" i="14" s="1"/>
  <c r="J131" i="4"/>
  <c r="AJ131" i="4" s="1"/>
  <c r="K129" i="14" s="1"/>
  <c r="J122" i="4"/>
  <c r="AJ122" i="4" s="1"/>
  <c r="K120" i="14" s="1"/>
  <c r="J139" i="4"/>
  <c r="AJ139" i="4" s="1"/>
  <c r="K137" i="14" s="1"/>
  <c r="J65" i="4"/>
  <c r="AJ65" i="4" s="1"/>
  <c r="K63" i="14" s="1"/>
  <c r="J91" i="4"/>
  <c r="AJ91" i="4" s="1"/>
  <c r="K89" i="14" s="1"/>
  <c r="J85" i="4"/>
  <c r="AJ85" i="4" s="1"/>
  <c r="K83" i="14" s="1"/>
  <c r="J201" i="4"/>
  <c r="AJ201" i="4" s="1"/>
  <c r="K199" i="14" s="1"/>
  <c r="J40" i="4"/>
  <c r="AJ40" i="4" s="1"/>
  <c r="K38" i="14" s="1"/>
  <c r="J118" i="4"/>
  <c r="AJ118" i="4" s="1"/>
  <c r="J160" i="4"/>
  <c r="AJ160" i="4" s="1"/>
  <c r="K158" i="14" s="1"/>
  <c r="J62" i="4"/>
  <c r="AJ62" i="4" s="1"/>
  <c r="K60" i="14" s="1"/>
  <c r="J38" i="4"/>
  <c r="AJ38" i="4" s="1"/>
  <c r="K36" i="14" s="1"/>
  <c r="J165" i="4"/>
  <c r="AJ165" i="4" s="1"/>
  <c r="K163" i="14" s="1"/>
  <c r="J77" i="4"/>
  <c r="AJ77" i="4" s="1"/>
  <c r="K75" i="14" s="1"/>
  <c r="J42" i="4"/>
  <c r="AJ42" i="4" s="1"/>
  <c r="K40" i="14" s="1"/>
  <c r="J106" i="4"/>
  <c r="AJ106" i="4" s="1"/>
  <c r="K104" i="14" s="1"/>
  <c r="J193" i="4"/>
  <c r="AJ193" i="4" s="1"/>
  <c r="K191" i="14" s="1"/>
  <c r="J172" i="4"/>
  <c r="AJ172" i="4" s="1"/>
  <c r="K170" i="14" s="1"/>
  <c r="J78" i="4"/>
  <c r="AJ78" i="4" s="1"/>
  <c r="K76" i="14" s="1"/>
  <c r="J125" i="4"/>
  <c r="AJ125" i="4" s="1"/>
  <c r="K123" i="14" s="1"/>
  <c r="J119" i="4"/>
  <c r="AJ119" i="4" s="1"/>
  <c r="K117" i="14" s="1"/>
  <c r="J52" i="4"/>
  <c r="AJ52" i="4" s="1"/>
  <c r="K50" i="14" s="1"/>
  <c r="J73" i="4"/>
  <c r="AJ73" i="4" s="1"/>
  <c r="K71" i="14" s="1"/>
  <c r="J22" i="4"/>
  <c r="AJ22" i="4" s="1"/>
  <c r="K20" i="14" s="1"/>
  <c r="J113" i="4"/>
  <c r="AJ113" i="4" s="1"/>
  <c r="K111" i="14" s="1"/>
  <c r="J88" i="4"/>
  <c r="AJ88" i="4" s="1"/>
  <c r="K86" i="14" s="1"/>
  <c r="J29" i="4"/>
  <c r="AJ29" i="4" s="1"/>
  <c r="K27" i="14" s="1"/>
  <c r="J46" i="4"/>
  <c r="AJ46" i="4" s="1"/>
  <c r="K44" i="14" s="1"/>
  <c r="J34" i="4"/>
  <c r="AJ34" i="4" s="1"/>
  <c r="K32" i="14" s="1"/>
  <c r="J25" i="4"/>
  <c r="AJ25" i="4" s="1"/>
  <c r="K23" i="14" s="1"/>
  <c r="J15" i="4"/>
  <c r="AJ15" i="4" s="1"/>
  <c r="K13" i="14" s="1"/>
  <c r="J163" i="4"/>
  <c r="AJ163" i="4" s="1"/>
  <c r="K161" i="14" s="1"/>
  <c r="J54" i="4"/>
  <c r="AJ54" i="4" s="1"/>
  <c r="K52" i="14" s="1"/>
  <c r="J39" i="4"/>
  <c r="AJ39" i="4" s="1"/>
  <c r="K37" i="14" s="1"/>
  <c r="J161" i="4"/>
  <c r="AJ161" i="4" s="1"/>
  <c r="K159" i="14" s="1"/>
  <c r="J127" i="4"/>
  <c r="AJ127" i="4" s="1"/>
  <c r="J157" i="4"/>
  <c r="AJ157" i="4" s="1"/>
  <c r="K155" i="14" s="1"/>
  <c r="J205" i="4"/>
  <c r="AJ205" i="4" s="1"/>
  <c r="K203" i="14" s="1"/>
  <c r="J36" i="4"/>
  <c r="AJ36" i="4" s="1"/>
  <c r="K34" i="14" s="1"/>
  <c r="AH3" i="4"/>
  <c r="AH4" i="4" s="1"/>
  <c r="J18" i="4"/>
  <c r="AJ18" i="4" s="1"/>
  <c r="K16" i="14" s="1"/>
  <c r="J84" i="4"/>
  <c r="AJ84" i="4" s="1"/>
  <c r="K82" i="14" s="1"/>
  <c r="J35" i="4"/>
  <c r="AJ35" i="4" s="1"/>
  <c r="K33" i="14" s="1"/>
  <c r="J126" i="4"/>
  <c r="AJ126" i="4" s="1"/>
  <c r="K124" i="14" s="1"/>
  <c r="J82" i="4"/>
  <c r="AJ82" i="4" s="1"/>
  <c r="K80" i="14" s="1"/>
  <c r="J194" i="4"/>
  <c r="AJ194" i="4" s="1"/>
  <c r="K192" i="14" s="1"/>
  <c r="J117" i="4"/>
  <c r="AJ117" i="4" s="1"/>
  <c r="K115" i="14" s="1"/>
  <c r="J96" i="4"/>
  <c r="AJ96" i="4" s="1"/>
  <c r="K94" i="14" s="1"/>
  <c r="J136" i="4"/>
  <c r="AJ136" i="4" s="1"/>
  <c r="K134" i="14" s="1"/>
  <c r="J187" i="4"/>
  <c r="AJ187" i="4" s="1"/>
  <c r="K185" i="14" s="1"/>
  <c r="J120" i="4"/>
  <c r="AJ120" i="4" s="1"/>
  <c r="K118" i="14" s="1"/>
  <c r="J121" i="4"/>
  <c r="AJ121" i="4" s="1"/>
  <c r="K119" i="14" s="1"/>
  <c r="J133" i="4"/>
  <c r="AJ133" i="4" s="1"/>
  <c r="K131" i="14" s="1"/>
  <c r="J47" i="4"/>
  <c r="AJ47" i="4" s="1"/>
  <c r="K45" i="14" s="1"/>
  <c r="J142" i="4"/>
  <c r="AJ142" i="4" s="1"/>
  <c r="K140" i="14" s="1"/>
  <c r="J105" i="4"/>
  <c r="AJ105" i="4" s="1"/>
  <c r="K103" i="14" s="1"/>
  <c r="J112" i="4"/>
  <c r="AJ112" i="4" s="1"/>
  <c r="K110" i="14" s="1"/>
  <c r="J98" i="4"/>
  <c r="AJ98" i="4" s="1"/>
  <c r="K96" i="14" s="1"/>
  <c r="J79" i="4"/>
  <c r="AJ79" i="4" s="1"/>
  <c r="K77" i="14" s="1"/>
  <c r="J13" i="4"/>
  <c r="AJ13" i="4" s="1"/>
  <c r="K11" i="14" s="1"/>
  <c r="J150" i="4"/>
  <c r="AJ150" i="4" s="1"/>
  <c r="K148" i="14" s="1"/>
  <c r="J115" i="4"/>
  <c r="AJ115" i="4" s="1"/>
  <c r="K113" i="14" s="1"/>
  <c r="J71" i="4"/>
  <c r="AJ71" i="4" s="1"/>
  <c r="K69" i="14" s="1"/>
  <c r="J31" i="4"/>
  <c r="AJ31" i="4" s="1"/>
  <c r="K29" i="14" s="1"/>
  <c r="J177" i="4"/>
  <c r="AJ177" i="4" s="1"/>
  <c r="K175" i="14" s="1"/>
  <c r="J107" i="4"/>
  <c r="AJ107" i="4" s="1"/>
  <c r="K105" i="14" s="1"/>
  <c r="J32" i="4"/>
  <c r="AJ32" i="4" s="1"/>
  <c r="K30" i="14" s="1"/>
  <c r="J162" i="4"/>
  <c r="AJ162" i="4" s="1"/>
  <c r="K160" i="14" s="1"/>
  <c r="J27" i="4"/>
  <c r="AJ27" i="4" s="1"/>
  <c r="K25" i="14" s="1"/>
  <c r="J23" i="4"/>
  <c r="AJ23" i="4" s="1"/>
  <c r="K21" i="14" s="1"/>
  <c r="J168" i="4"/>
  <c r="AJ168" i="4" s="1"/>
  <c r="K166" i="14" s="1"/>
  <c r="J9" i="4"/>
  <c r="AJ9" i="4" s="1"/>
  <c r="K7" i="14" s="1"/>
  <c r="J152" i="4"/>
  <c r="AJ152" i="4" s="1"/>
  <c r="K150" i="14" s="1"/>
  <c r="J124" i="4"/>
  <c r="AJ124" i="4" s="1"/>
  <c r="K122" i="14" s="1"/>
  <c r="J130" i="4"/>
  <c r="AJ130" i="4" s="1"/>
  <c r="K128" i="14" s="1"/>
  <c r="J33" i="4"/>
  <c r="AJ33" i="4" s="1"/>
  <c r="J179" i="4"/>
  <c r="AJ179" i="4" s="1"/>
  <c r="K177" i="14" s="1"/>
  <c r="J188" i="4"/>
  <c r="AJ188" i="4" s="1"/>
  <c r="K186" i="14" s="1"/>
  <c r="J181" i="4"/>
  <c r="AJ181" i="4" s="1"/>
  <c r="K179" i="14" s="1"/>
  <c r="J149" i="4"/>
  <c r="AJ149" i="4" s="1"/>
  <c r="K147" i="14" s="1"/>
  <c r="J140" i="4"/>
  <c r="AJ140" i="4" s="1"/>
  <c r="K138" i="14" s="1"/>
  <c r="J89" i="4"/>
  <c r="AJ89" i="4" s="1"/>
  <c r="K87" i="14" s="1"/>
  <c r="J190" i="4"/>
  <c r="AJ190" i="4" s="1"/>
  <c r="K188" i="14" s="1"/>
  <c r="J103" i="4"/>
  <c r="AJ103" i="4" s="1"/>
  <c r="K101" i="14" s="1"/>
  <c r="J114" i="4"/>
  <c r="AJ114" i="4" s="1"/>
  <c r="K112" i="14" s="1"/>
  <c r="J108" i="4"/>
  <c r="AJ108" i="4" s="1"/>
  <c r="K106" i="14" s="1"/>
  <c r="J141" i="4"/>
  <c r="AJ141" i="4" s="1"/>
  <c r="K139" i="14" s="1"/>
  <c r="J64" i="4"/>
  <c r="AJ64" i="4" s="1"/>
  <c r="K62" i="14" s="1"/>
  <c r="J16" i="4"/>
  <c r="AJ16" i="4" s="1"/>
  <c r="K14" i="14" s="1"/>
  <c r="J196" i="4"/>
  <c r="AJ196" i="4" s="1"/>
  <c r="K194" i="14" s="1"/>
  <c r="J192" i="4"/>
  <c r="AJ192" i="4" s="1"/>
  <c r="K190" i="14" s="1"/>
  <c r="J158" i="4"/>
  <c r="AJ158" i="4" s="1"/>
  <c r="K156" i="14" s="1"/>
  <c r="J74" i="4"/>
  <c r="AJ74" i="4" s="1"/>
  <c r="K72" i="14" s="1"/>
  <c r="J58" i="4"/>
  <c r="AJ58" i="4" s="1"/>
  <c r="K56" i="14" s="1"/>
  <c r="J203" i="4"/>
  <c r="AJ203" i="4" s="1"/>
  <c r="K201" i="14" s="1"/>
  <c r="J143" i="4"/>
  <c r="AJ143" i="4" s="1"/>
  <c r="K141" i="14" s="1"/>
  <c r="J167" i="4"/>
  <c r="AJ167" i="4" s="1"/>
  <c r="K165" i="14" s="1"/>
  <c r="J55" i="4"/>
  <c r="AJ55" i="4" s="1"/>
  <c r="K53" i="14" s="1"/>
  <c r="J80" i="4"/>
  <c r="AJ80" i="4" s="1"/>
  <c r="K78" i="14" s="1"/>
  <c r="J48" i="4"/>
  <c r="AJ48" i="4" s="1"/>
  <c r="K46" i="14" s="1"/>
  <c r="J76" i="4"/>
  <c r="AJ76" i="4" s="1"/>
  <c r="K74" i="14" s="1"/>
  <c r="J135" i="4"/>
  <c r="AJ135" i="4" s="1"/>
  <c r="K133" i="14" s="1"/>
  <c r="J14" i="4"/>
  <c r="AJ14" i="4" s="1"/>
  <c r="K12" i="14" s="1"/>
  <c r="J26" i="4"/>
  <c r="AJ26" i="4" s="1"/>
  <c r="K24" i="14" s="1"/>
  <c r="J156" i="4"/>
  <c r="AJ156" i="4" s="1"/>
  <c r="K154" i="14" s="1"/>
  <c r="J50" i="4"/>
  <c r="AJ50" i="4" s="1"/>
  <c r="K48" i="14" s="1"/>
  <c r="J30" i="4"/>
  <c r="AJ30" i="4" s="1"/>
  <c r="K28" i="14" s="1"/>
  <c r="J169" i="4"/>
  <c r="AJ169" i="4" s="1"/>
  <c r="K167" i="14" s="1"/>
  <c r="J184" i="4"/>
  <c r="AJ184" i="4" s="1"/>
  <c r="K182" i="14" s="1"/>
  <c r="J59" i="4"/>
  <c r="AJ59" i="4" s="1"/>
  <c r="K57" i="14" s="1"/>
  <c r="J11" i="4"/>
  <c r="AJ11" i="4" s="1"/>
  <c r="K9" i="14" s="1"/>
  <c r="J174" i="4"/>
  <c r="AJ174" i="4" s="1"/>
  <c r="K172" i="14" s="1"/>
  <c r="J28" i="4"/>
  <c r="AJ28" i="4" s="1"/>
  <c r="K26" i="14" s="1"/>
  <c r="J51" i="4"/>
  <c r="AJ51" i="4" s="1"/>
  <c r="K49" i="14" s="1"/>
  <c r="J195" i="4"/>
  <c r="AJ195" i="4" s="1"/>
  <c r="K193" i="14" s="1"/>
  <c r="J17" i="4"/>
  <c r="AJ17" i="4" s="1"/>
  <c r="K15" i="14" s="1"/>
  <c r="J145" i="4"/>
  <c r="AJ145" i="4" s="1"/>
  <c r="J123" i="4"/>
  <c r="AJ123" i="4" s="1"/>
  <c r="K121" i="14" s="1"/>
  <c r="J138" i="4"/>
  <c r="AJ138" i="4" s="1"/>
  <c r="K136" i="14" s="1"/>
  <c r="J147" i="4"/>
  <c r="AJ147" i="4" s="1"/>
  <c r="K145" i="14" s="1"/>
  <c r="J87" i="4"/>
  <c r="AJ87" i="4" s="1"/>
  <c r="K85" i="14" s="1"/>
  <c r="J186" i="4"/>
  <c r="AJ186" i="4" s="1"/>
  <c r="K184" i="14" s="1"/>
  <c r="J63" i="4"/>
  <c r="AJ63" i="4" s="1"/>
  <c r="K61" i="14" s="1"/>
  <c r="J116" i="4"/>
  <c r="AJ116" i="4" s="1"/>
  <c r="K114" i="14" s="1"/>
  <c r="J137" i="4"/>
  <c r="AJ137" i="4" s="1"/>
  <c r="K135" i="14" s="1"/>
  <c r="J132" i="4"/>
  <c r="AJ132" i="4" s="1"/>
  <c r="K130" i="14" s="1"/>
  <c r="J101" i="4"/>
  <c r="AJ101" i="4" s="1"/>
  <c r="K99" i="14" s="1"/>
  <c r="J97" i="4"/>
  <c r="AJ97" i="4" s="1"/>
  <c r="K95" i="14" s="1"/>
  <c r="J24" i="4"/>
  <c r="AJ24" i="4" s="1"/>
  <c r="K22" i="14" s="1"/>
  <c r="J134" i="4"/>
  <c r="AJ134" i="4" s="1"/>
  <c r="K132" i="14" s="1"/>
  <c r="J86" i="4"/>
  <c r="AJ86" i="4" s="1"/>
  <c r="K84" i="14" s="1"/>
  <c r="J151" i="4"/>
  <c r="AJ151" i="4" s="1"/>
  <c r="K149" i="14" s="1"/>
  <c r="J67" i="4"/>
  <c r="AJ67" i="4" s="1"/>
  <c r="K65" i="14" s="1"/>
  <c r="J100" i="4"/>
  <c r="AJ100" i="4" s="1"/>
  <c r="J207" i="4"/>
  <c r="AJ207" i="4" s="1"/>
  <c r="K205" i="14" s="1"/>
  <c r="J75" i="4"/>
  <c r="AJ75" i="4" s="1"/>
  <c r="K73" i="14" s="1"/>
  <c r="J57" i="4"/>
  <c r="AJ57" i="4" s="1"/>
  <c r="K55" i="14" s="1"/>
  <c r="J104" i="4"/>
  <c r="AJ104" i="4" s="1"/>
  <c r="K102" i="14" s="1"/>
  <c r="J60" i="4"/>
  <c r="AJ60" i="4" s="1"/>
  <c r="K58" i="14" s="1"/>
  <c r="J178" i="4"/>
  <c r="AJ178" i="4" s="1"/>
  <c r="K176" i="14" s="1"/>
  <c r="J144" i="4"/>
  <c r="AJ144" i="4" s="1"/>
  <c r="K142" i="14" s="1"/>
  <c r="J72" i="4"/>
  <c r="AJ72" i="4" s="1"/>
  <c r="K70" i="14" s="1"/>
  <c r="J56" i="4"/>
  <c r="AJ56" i="4" s="1"/>
  <c r="K54" i="14" s="1"/>
  <c r="J68" i="4"/>
  <c r="AJ68" i="4" s="1"/>
  <c r="K66" i="14" s="1"/>
  <c r="Z21" i="1"/>
  <c r="AG20" i="1"/>
  <c r="AH20" i="1" s="1"/>
  <c r="K8" i="4"/>
  <c r="AK8" i="4" s="1"/>
  <c r="L6" i="14" s="1"/>
  <c r="AC19" i="1"/>
  <c r="AF19" i="1" s="1"/>
  <c r="AI19" i="1" s="1"/>
  <c r="AA20" i="1"/>
  <c r="K143" i="14" l="1"/>
  <c r="K123" i="16"/>
  <c r="K196" i="16"/>
  <c r="K166" i="16"/>
  <c r="K163" i="16"/>
  <c r="K26" i="16"/>
  <c r="K92" i="16"/>
  <c r="K122" i="16"/>
  <c r="K138" i="16"/>
  <c r="K61" i="16"/>
  <c r="K117" i="16"/>
  <c r="K46" i="16"/>
  <c r="K30" i="16"/>
  <c r="K62" i="16"/>
  <c r="K51" i="16"/>
  <c r="K107" i="16"/>
  <c r="K118" i="16"/>
  <c r="K12" i="16"/>
  <c r="K33" i="16"/>
  <c r="K108" i="16"/>
  <c r="K40" i="16"/>
  <c r="K102" i="16"/>
  <c r="K89" i="16"/>
  <c r="K144" i="16"/>
  <c r="K54" i="16"/>
  <c r="K25" i="16"/>
  <c r="K48" i="16"/>
  <c r="K86" i="16"/>
  <c r="K97" i="16"/>
  <c r="K38" i="16"/>
  <c r="K184" i="16"/>
  <c r="K197" i="16"/>
  <c r="K202" i="16"/>
  <c r="K150" i="16"/>
  <c r="K32" i="16"/>
  <c r="K63" i="16"/>
  <c r="K198" i="16"/>
  <c r="K187" i="16"/>
  <c r="K146" i="16"/>
  <c r="K158" i="16"/>
  <c r="K71" i="16"/>
  <c r="K52" i="16"/>
  <c r="K152" i="16"/>
  <c r="K121" i="16"/>
  <c r="K186" i="16"/>
  <c r="K170" i="16"/>
  <c r="K50" i="16"/>
  <c r="K105" i="16"/>
  <c r="K23" i="16"/>
  <c r="K189" i="16"/>
  <c r="K75" i="16"/>
  <c r="K94" i="16"/>
  <c r="K47" i="16"/>
  <c r="K136" i="16"/>
  <c r="K145" i="16"/>
  <c r="K120" i="16"/>
  <c r="K142" i="16"/>
  <c r="K91" i="16"/>
  <c r="K85" i="16"/>
  <c r="K98" i="16"/>
  <c r="K20" i="16"/>
  <c r="K199" i="16"/>
  <c r="K77" i="16"/>
  <c r="K156" i="16"/>
  <c r="K93" i="16"/>
  <c r="K55" i="16"/>
  <c r="K195" i="16"/>
  <c r="K160" i="16"/>
  <c r="K69" i="16"/>
  <c r="K177" i="16"/>
  <c r="K151" i="16"/>
  <c r="K84" i="16"/>
  <c r="K132" i="16"/>
  <c r="K72" i="16"/>
  <c r="K169" i="16"/>
  <c r="K58" i="16"/>
  <c r="K155" i="16"/>
  <c r="K130" i="16"/>
  <c r="K76" i="16"/>
  <c r="K39" i="16"/>
  <c r="K49" i="16"/>
  <c r="K65" i="16"/>
  <c r="K27" i="16"/>
  <c r="K37" i="16"/>
  <c r="K190" i="16"/>
  <c r="K24" i="16"/>
  <c r="K183" i="16"/>
  <c r="K111" i="16"/>
  <c r="K135" i="16"/>
  <c r="K66" i="16"/>
  <c r="K17" i="16"/>
  <c r="K88" i="16"/>
  <c r="K68" i="16"/>
  <c r="K64" i="16"/>
  <c r="K153" i="16"/>
  <c r="K112" i="16"/>
  <c r="K18" i="16"/>
  <c r="K173" i="16"/>
  <c r="K168" i="16"/>
  <c r="K13" i="16"/>
  <c r="K141" i="16"/>
  <c r="K11" i="16"/>
  <c r="K73" i="16"/>
  <c r="K165" i="16"/>
  <c r="K95" i="16"/>
  <c r="K60" i="16"/>
  <c r="L6" i="16"/>
  <c r="K175" i="16"/>
  <c r="K114" i="16"/>
  <c r="K125" i="16"/>
  <c r="K43" i="16"/>
  <c r="K14" i="16"/>
  <c r="K180" i="16"/>
  <c r="K204" i="16"/>
  <c r="K10" i="16"/>
  <c r="K143" i="16"/>
  <c r="K31" i="16"/>
  <c r="K70" i="16"/>
  <c r="K129" i="16"/>
  <c r="K9" i="16"/>
  <c r="K126" i="16"/>
  <c r="K79" i="16"/>
  <c r="K188" i="16"/>
  <c r="K167" i="16"/>
  <c r="K101" i="16"/>
  <c r="K34" i="16"/>
  <c r="K57" i="16"/>
  <c r="K21" i="16"/>
  <c r="K53" i="16"/>
  <c r="K16" i="16"/>
  <c r="K78" i="16"/>
  <c r="K140" i="16"/>
  <c r="K100" i="16"/>
  <c r="K172" i="16"/>
  <c r="K194" i="16"/>
  <c r="K178" i="16"/>
  <c r="K133" i="16"/>
  <c r="K119" i="16"/>
  <c r="K87" i="16"/>
  <c r="K203" i="16"/>
  <c r="K15" i="16"/>
  <c r="K200" i="16"/>
  <c r="K149" i="16"/>
  <c r="K154" i="16"/>
  <c r="K148" i="16"/>
  <c r="K22" i="16"/>
  <c r="K193" i="16"/>
  <c r="K35" i="16"/>
  <c r="K83" i="16"/>
  <c r="K137" i="16"/>
  <c r="K176" i="16"/>
  <c r="K80" i="16"/>
  <c r="K74" i="16"/>
  <c r="K45" i="16"/>
  <c r="K109" i="16"/>
  <c r="K159" i="16"/>
  <c r="K124" i="16"/>
  <c r="K134" i="16"/>
  <c r="K99" i="16"/>
  <c r="K113" i="16"/>
  <c r="K67" i="16"/>
  <c r="K131" i="16"/>
  <c r="K161" i="16"/>
  <c r="K110" i="16"/>
  <c r="K182" i="16"/>
  <c r="K147" i="16"/>
  <c r="K42" i="16"/>
  <c r="K127" i="16"/>
  <c r="K115" i="16"/>
  <c r="K81" i="16"/>
  <c r="K191" i="16"/>
  <c r="K185" i="16"/>
  <c r="K171" i="16"/>
  <c r="K8" i="16"/>
  <c r="K36" i="16"/>
  <c r="K174" i="16"/>
  <c r="K139" i="16"/>
  <c r="K104" i="16"/>
  <c r="K56" i="16"/>
  <c r="K19" i="16"/>
  <c r="K44" i="16"/>
  <c r="K90" i="16"/>
  <c r="K162" i="16"/>
  <c r="K192" i="16"/>
  <c r="K7" i="16"/>
  <c r="K179" i="16"/>
  <c r="K106" i="16"/>
  <c r="K205" i="16"/>
  <c r="K28" i="16"/>
  <c r="K103" i="16"/>
  <c r="K29" i="16"/>
  <c r="K157" i="16"/>
  <c r="K96" i="16"/>
  <c r="K82" i="16"/>
  <c r="K181" i="16"/>
  <c r="K59" i="16"/>
  <c r="K164" i="16"/>
  <c r="K201" i="16"/>
  <c r="K41" i="16"/>
  <c r="K128" i="16"/>
  <c r="K116" i="16"/>
  <c r="K125" i="14"/>
  <c r="K31" i="14"/>
  <c r="K98" i="14"/>
  <c r="K116" i="14"/>
  <c r="J3" i="4"/>
  <c r="J4" i="4" s="1"/>
  <c r="K178" i="4"/>
  <c r="AK178" i="4" s="1"/>
  <c r="L176" i="14" s="1"/>
  <c r="K134" i="4"/>
  <c r="AK134" i="4" s="1"/>
  <c r="L132" i="14" s="1"/>
  <c r="K186" i="4"/>
  <c r="AK186" i="4" s="1"/>
  <c r="L184" i="14" s="1"/>
  <c r="K51" i="4"/>
  <c r="AK51" i="4" s="1"/>
  <c r="L49" i="14" s="1"/>
  <c r="K26" i="4"/>
  <c r="AK26" i="4" s="1"/>
  <c r="L24" i="14" s="1"/>
  <c r="K55" i="4"/>
  <c r="AK55" i="4" s="1"/>
  <c r="L53" i="14" s="1"/>
  <c r="K158" i="4"/>
  <c r="AK158" i="4" s="1"/>
  <c r="L156" i="14" s="1"/>
  <c r="K64" i="4"/>
  <c r="AK64" i="4" s="1"/>
  <c r="L62" i="14" s="1"/>
  <c r="K89" i="4"/>
  <c r="AK89" i="4" s="1"/>
  <c r="L87" i="14" s="1"/>
  <c r="K188" i="4"/>
  <c r="AK188" i="4" s="1"/>
  <c r="L186" i="14" s="1"/>
  <c r="K124" i="4"/>
  <c r="AK124" i="4" s="1"/>
  <c r="L122" i="14" s="1"/>
  <c r="K162" i="4"/>
  <c r="AK162" i="4" s="1"/>
  <c r="L160" i="14" s="1"/>
  <c r="K31" i="4"/>
  <c r="AK31" i="4" s="1"/>
  <c r="L29" i="14" s="1"/>
  <c r="K13" i="4"/>
  <c r="AK13" i="4" s="1"/>
  <c r="L11" i="14" s="1"/>
  <c r="K47" i="4"/>
  <c r="AK47" i="4" s="1"/>
  <c r="L45" i="14" s="1"/>
  <c r="K187" i="4"/>
  <c r="AK187" i="4" s="1"/>
  <c r="L185" i="14" s="1"/>
  <c r="K126" i="4"/>
  <c r="AK126" i="4" s="1"/>
  <c r="L124" i="14" s="1"/>
  <c r="K127" i="4"/>
  <c r="AK127" i="4" s="1"/>
  <c r="K163" i="4"/>
  <c r="AK163" i="4" s="1"/>
  <c r="L161" i="14" s="1"/>
  <c r="K88" i="4"/>
  <c r="AK88" i="4" s="1"/>
  <c r="L86" i="14" s="1"/>
  <c r="K52" i="4"/>
  <c r="AK52" i="4" s="1"/>
  <c r="L50" i="14" s="1"/>
  <c r="K172" i="4"/>
  <c r="AK172" i="4" s="1"/>
  <c r="L170" i="14" s="1"/>
  <c r="K77" i="4"/>
  <c r="AK77" i="4" s="1"/>
  <c r="K40" i="4"/>
  <c r="AK40" i="4" s="1"/>
  <c r="L38" i="14" s="1"/>
  <c r="K65" i="4"/>
  <c r="AK65" i="4" s="1"/>
  <c r="L63" i="14" s="1"/>
  <c r="K45" i="4"/>
  <c r="AK45" i="4" s="1"/>
  <c r="L43" i="14" s="1"/>
  <c r="K164" i="4"/>
  <c r="AK164" i="4" s="1"/>
  <c r="L162" i="14" s="1"/>
  <c r="K44" i="4"/>
  <c r="AK44" i="4" s="1"/>
  <c r="L42" i="14" s="1"/>
  <c r="K81" i="4"/>
  <c r="AK81" i="4" s="1"/>
  <c r="L79" i="14" s="1"/>
  <c r="K159" i="4"/>
  <c r="AK159" i="4" s="1"/>
  <c r="L157" i="14" s="1"/>
  <c r="K171" i="4"/>
  <c r="AK171" i="4" s="1"/>
  <c r="L169" i="14" s="1"/>
  <c r="K93" i="4"/>
  <c r="AK93" i="4" s="1"/>
  <c r="L91" i="14" s="1"/>
  <c r="K199" i="4"/>
  <c r="AK199" i="4" s="1"/>
  <c r="L197" i="14" s="1"/>
  <c r="K155" i="4"/>
  <c r="AK155" i="4" s="1"/>
  <c r="L153" i="14" s="1"/>
  <c r="K204" i="4"/>
  <c r="AK204" i="4" s="1"/>
  <c r="L202" i="14" s="1"/>
  <c r="K61" i="4"/>
  <c r="AK61" i="4" s="1"/>
  <c r="L59" i="14" s="1"/>
  <c r="K92" i="4"/>
  <c r="AK92" i="4" s="1"/>
  <c r="L90" i="14" s="1"/>
  <c r="K173" i="4"/>
  <c r="AK173" i="4" s="1"/>
  <c r="L171" i="14" s="1"/>
  <c r="K20" i="4"/>
  <c r="AK20" i="4" s="1"/>
  <c r="L18" i="14" s="1"/>
  <c r="K175" i="4"/>
  <c r="AK175" i="4" s="1"/>
  <c r="L173" i="14" s="1"/>
  <c r="K90" i="4"/>
  <c r="AK90" i="4" s="1"/>
  <c r="L88" i="14" s="1"/>
  <c r="K83" i="4"/>
  <c r="AK83" i="4" s="1"/>
  <c r="L81" i="14" s="1"/>
  <c r="K66" i="4"/>
  <c r="AK66" i="4" s="1"/>
  <c r="L64" i="14" s="1"/>
  <c r="K12" i="4"/>
  <c r="AK12" i="4" s="1"/>
  <c r="L10" i="14" s="1"/>
  <c r="K21" i="4"/>
  <c r="AK21" i="4" s="1"/>
  <c r="L19" i="14" s="1"/>
  <c r="K206" i="4"/>
  <c r="AK206" i="4" s="1"/>
  <c r="L204" i="14" s="1"/>
  <c r="K37" i="4"/>
  <c r="AK37" i="4" s="1"/>
  <c r="L35" i="14" s="1"/>
  <c r="AI3" i="4"/>
  <c r="AI4" i="4" s="1"/>
  <c r="K72" i="4"/>
  <c r="AK72" i="4" s="1"/>
  <c r="L70" i="14" s="1"/>
  <c r="K75" i="4"/>
  <c r="AK75" i="4" s="1"/>
  <c r="L73" i="14" s="1"/>
  <c r="K151" i="4"/>
  <c r="AK151" i="4" s="1"/>
  <c r="L149" i="14" s="1"/>
  <c r="K132" i="4"/>
  <c r="AK132" i="4" s="1"/>
  <c r="L130" i="14" s="1"/>
  <c r="K147" i="4"/>
  <c r="AK147" i="4" s="1"/>
  <c r="L145" i="14" s="1"/>
  <c r="K17" i="4"/>
  <c r="AK17" i="4" s="1"/>
  <c r="L15" i="14" s="1"/>
  <c r="K174" i="4"/>
  <c r="AK174" i="4" s="1"/>
  <c r="L172" i="14" s="1"/>
  <c r="K169" i="4"/>
  <c r="AK169" i="4" s="1"/>
  <c r="L167" i="14" s="1"/>
  <c r="K135" i="4"/>
  <c r="AK135" i="4" s="1"/>
  <c r="L133" i="14" s="1"/>
  <c r="K143" i="4"/>
  <c r="AK143" i="4" s="1"/>
  <c r="L141" i="14" s="1"/>
  <c r="K196" i="4"/>
  <c r="AK196" i="4" s="1"/>
  <c r="L194" i="14" s="1"/>
  <c r="K108" i="4"/>
  <c r="AK108" i="4" s="1"/>
  <c r="L106" i="14" s="1"/>
  <c r="K103" i="4"/>
  <c r="AK103" i="4" s="1"/>
  <c r="K149" i="4"/>
  <c r="AK149" i="4" s="1"/>
  <c r="L147" i="14" s="1"/>
  <c r="K33" i="4"/>
  <c r="AK33" i="4" s="1"/>
  <c r="K9" i="4"/>
  <c r="AK9" i="4" s="1"/>
  <c r="L7" i="14" s="1"/>
  <c r="K23" i="4"/>
  <c r="AK23" i="4" s="1"/>
  <c r="L21" i="14" s="1"/>
  <c r="K107" i="4"/>
  <c r="AK107" i="4" s="1"/>
  <c r="L105" i="14" s="1"/>
  <c r="K115" i="4"/>
  <c r="AK115" i="4" s="1"/>
  <c r="L113" i="14" s="1"/>
  <c r="K98" i="4"/>
  <c r="AK98" i="4" s="1"/>
  <c r="L96" i="14" s="1"/>
  <c r="K105" i="4"/>
  <c r="AK105" i="4" s="1"/>
  <c r="L103" i="14" s="1"/>
  <c r="K121" i="4"/>
  <c r="AK121" i="4" s="1"/>
  <c r="L119" i="14" s="1"/>
  <c r="K96" i="4"/>
  <c r="AK96" i="4" s="1"/>
  <c r="L94" i="14" s="1"/>
  <c r="K194" i="4"/>
  <c r="AK194" i="4" s="1"/>
  <c r="L192" i="14" s="1"/>
  <c r="K84" i="4"/>
  <c r="AK84" i="4" s="1"/>
  <c r="L82" i="14" s="1"/>
  <c r="K205" i="4"/>
  <c r="AK205" i="4" s="1"/>
  <c r="L203" i="14" s="1"/>
  <c r="K39" i="4"/>
  <c r="AK39" i="4" s="1"/>
  <c r="L37" i="14" s="1"/>
  <c r="K25" i="4"/>
  <c r="AK25" i="4" s="1"/>
  <c r="L23" i="14" s="1"/>
  <c r="K46" i="4"/>
  <c r="AK46" i="4" s="1"/>
  <c r="L44" i="14" s="1"/>
  <c r="K22" i="4"/>
  <c r="AK22" i="4" s="1"/>
  <c r="L20" i="14" s="1"/>
  <c r="K125" i="4"/>
  <c r="AK125" i="4" s="1"/>
  <c r="L123" i="14" s="1"/>
  <c r="K106" i="4"/>
  <c r="AK106" i="4" s="1"/>
  <c r="L104" i="14" s="1"/>
  <c r="K38" i="4"/>
  <c r="AK38" i="4" s="1"/>
  <c r="L36" i="14" s="1"/>
  <c r="K160" i="4"/>
  <c r="AK160" i="4" s="1"/>
  <c r="L158" i="14" s="1"/>
  <c r="K85" i="4"/>
  <c r="AK85" i="4" s="1"/>
  <c r="L83" i="14" s="1"/>
  <c r="K122" i="4"/>
  <c r="AK122" i="4" s="1"/>
  <c r="L120" i="14" s="1"/>
  <c r="K41" i="4"/>
  <c r="AK41" i="4" s="1"/>
  <c r="L39" i="14" s="1"/>
  <c r="K148" i="4"/>
  <c r="AK148" i="4" s="1"/>
  <c r="L146" i="14" s="1"/>
  <c r="K197" i="4"/>
  <c r="AK197" i="4" s="1"/>
  <c r="L195" i="14" s="1"/>
  <c r="K191" i="4"/>
  <c r="AK191" i="4" s="1"/>
  <c r="L189" i="14" s="1"/>
  <c r="K53" i="4"/>
  <c r="AK53" i="4" s="1"/>
  <c r="L51" i="14" s="1"/>
  <c r="K176" i="4"/>
  <c r="AK176" i="4" s="1"/>
  <c r="L174" i="14" s="1"/>
  <c r="K68" i="4"/>
  <c r="AK68" i="4" s="1"/>
  <c r="L66" i="14" s="1"/>
  <c r="K104" i="4"/>
  <c r="AK104" i="4" s="1"/>
  <c r="L102" i="14" s="1"/>
  <c r="K100" i="4"/>
  <c r="AK100" i="4" s="1"/>
  <c r="K97" i="4"/>
  <c r="AK97" i="4" s="1"/>
  <c r="L95" i="14" s="1"/>
  <c r="K116" i="4"/>
  <c r="AK116" i="4" s="1"/>
  <c r="L114" i="14" s="1"/>
  <c r="K123" i="4"/>
  <c r="AK123" i="4" s="1"/>
  <c r="L121" i="14" s="1"/>
  <c r="K59" i="4"/>
  <c r="AK59" i="4" s="1"/>
  <c r="L57" i="14" s="1"/>
  <c r="K50" i="4"/>
  <c r="AK50" i="4" s="1"/>
  <c r="L48" i="14" s="1"/>
  <c r="K48" i="4"/>
  <c r="AK48" i="4" s="1"/>
  <c r="L46" i="14" s="1"/>
  <c r="K58" i="4"/>
  <c r="AK58" i="4" s="1"/>
  <c r="L56" i="14" s="1"/>
  <c r="K56" i="4"/>
  <c r="AK56" i="4" s="1"/>
  <c r="L54" i="14" s="1"/>
  <c r="K144" i="4"/>
  <c r="AK144" i="4" s="1"/>
  <c r="L142" i="14" s="1"/>
  <c r="K60" i="4"/>
  <c r="AK60" i="4" s="1"/>
  <c r="L58" i="14" s="1"/>
  <c r="K57" i="4"/>
  <c r="AK57" i="4" s="1"/>
  <c r="L55" i="14" s="1"/>
  <c r="K207" i="4"/>
  <c r="AK207" i="4" s="1"/>
  <c r="L205" i="14" s="1"/>
  <c r="K67" i="4"/>
  <c r="AK67" i="4" s="1"/>
  <c r="L65" i="14" s="1"/>
  <c r="K86" i="4"/>
  <c r="AK86" i="4" s="1"/>
  <c r="L84" i="14" s="1"/>
  <c r="K24" i="4"/>
  <c r="AK24" i="4" s="1"/>
  <c r="L22" i="14" s="1"/>
  <c r="K101" i="4"/>
  <c r="AK101" i="4" s="1"/>
  <c r="L99" i="14" s="1"/>
  <c r="K137" i="4"/>
  <c r="AK137" i="4" s="1"/>
  <c r="L135" i="14" s="1"/>
  <c r="K63" i="4"/>
  <c r="AK63" i="4" s="1"/>
  <c r="L61" i="14" s="1"/>
  <c r="K87" i="4"/>
  <c r="AK87" i="4" s="1"/>
  <c r="L85" i="14" s="1"/>
  <c r="K138" i="4"/>
  <c r="AK138" i="4" s="1"/>
  <c r="L136" i="14" s="1"/>
  <c r="K145" i="4"/>
  <c r="AK145" i="4" s="1"/>
  <c r="L143" i="14" s="1"/>
  <c r="K195" i="4"/>
  <c r="AK195" i="4" s="1"/>
  <c r="L193" i="14" s="1"/>
  <c r="K28" i="4"/>
  <c r="AK28" i="4" s="1"/>
  <c r="L26" i="14" s="1"/>
  <c r="K11" i="4"/>
  <c r="AK11" i="4" s="1"/>
  <c r="L9" i="14" s="1"/>
  <c r="K184" i="4"/>
  <c r="AK184" i="4" s="1"/>
  <c r="L182" i="14" s="1"/>
  <c r="K30" i="4"/>
  <c r="AK30" i="4" s="1"/>
  <c r="L28" i="14" s="1"/>
  <c r="K156" i="4"/>
  <c r="AK156" i="4" s="1"/>
  <c r="L154" i="14" s="1"/>
  <c r="K14" i="4"/>
  <c r="AK14" i="4" s="1"/>
  <c r="L12" i="14" s="1"/>
  <c r="K76" i="4"/>
  <c r="AK76" i="4" s="1"/>
  <c r="L74" i="14" s="1"/>
  <c r="K80" i="4"/>
  <c r="AK80" i="4" s="1"/>
  <c r="L78" i="14" s="1"/>
  <c r="K167" i="4"/>
  <c r="AK167" i="4" s="1"/>
  <c r="L165" i="14" s="1"/>
  <c r="K203" i="4"/>
  <c r="AK203" i="4" s="1"/>
  <c r="L201" i="14" s="1"/>
  <c r="K74" i="4"/>
  <c r="AK74" i="4" s="1"/>
  <c r="L72" i="14" s="1"/>
  <c r="K192" i="4"/>
  <c r="AK192" i="4" s="1"/>
  <c r="L190" i="14" s="1"/>
  <c r="K16" i="4"/>
  <c r="AK16" i="4" s="1"/>
  <c r="L14" i="14" s="1"/>
  <c r="K141" i="4"/>
  <c r="AK141" i="4" s="1"/>
  <c r="L139" i="14" s="1"/>
  <c r="K114" i="4"/>
  <c r="AK114" i="4" s="1"/>
  <c r="L112" i="14" s="1"/>
  <c r="K190" i="4"/>
  <c r="AK190" i="4" s="1"/>
  <c r="L188" i="14" s="1"/>
  <c r="K140" i="4"/>
  <c r="AK140" i="4" s="1"/>
  <c r="L138" i="14" s="1"/>
  <c r="K181" i="4"/>
  <c r="AK181" i="4" s="1"/>
  <c r="L179" i="14" s="1"/>
  <c r="K179" i="4"/>
  <c r="AK179" i="4" s="1"/>
  <c r="L177" i="14" s="1"/>
  <c r="K130" i="4"/>
  <c r="AK130" i="4" s="1"/>
  <c r="L128" i="14" s="1"/>
  <c r="K152" i="4"/>
  <c r="AK152" i="4" s="1"/>
  <c r="L150" i="14" s="1"/>
  <c r="K168" i="4"/>
  <c r="AK168" i="4" s="1"/>
  <c r="L166" i="14" s="1"/>
  <c r="K27" i="4"/>
  <c r="AK27" i="4" s="1"/>
  <c r="L25" i="14" s="1"/>
  <c r="K32" i="4"/>
  <c r="AK32" i="4" s="1"/>
  <c r="L30" i="14" s="1"/>
  <c r="K177" i="4"/>
  <c r="AK177" i="4" s="1"/>
  <c r="L175" i="14" s="1"/>
  <c r="K71" i="4"/>
  <c r="AK71" i="4" s="1"/>
  <c r="L69" i="14" s="1"/>
  <c r="K150" i="4"/>
  <c r="AK150" i="4" s="1"/>
  <c r="L148" i="14" s="1"/>
  <c r="K79" i="4"/>
  <c r="AK79" i="4" s="1"/>
  <c r="L77" i="14" s="1"/>
  <c r="K112" i="4"/>
  <c r="AK112" i="4" s="1"/>
  <c r="L110" i="14" s="1"/>
  <c r="K142" i="4"/>
  <c r="AK142" i="4" s="1"/>
  <c r="L140" i="14" s="1"/>
  <c r="K133" i="4"/>
  <c r="AK133" i="4" s="1"/>
  <c r="L131" i="14" s="1"/>
  <c r="K120" i="4"/>
  <c r="AK120" i="4" s="1"/>
  <c r="L118" i="14" s="1"/>
  <c r="K136" i="4"/>
  <c r="AK136" i="4" s="1"/>
  <c r="L134" i="14" s="1"/>
  <c r="K117" i="4"/>
  <c r="AK117" i="4" s="1"/>
  <c r="K82" i="4"/>
  <c r="AK82" i="4" s="1"/>
  <c r="L80" i="14" s="1"/>
  <c r="K35" i="4"/>
  <c r="AK35" i="4" s="1"/>
  <c r="L33" i="14" s="1"/>
  <c r="K18" i="4"/>
  <c r="AK18" i="4" s="1"/>
  <c r="L16" i="14" s="1"/>
  <c r="K36" i="4"/>
  <c r="AK36" i="4" s="1"/>
  <c r="L34" i="14" s="1"/>
  <c r="K157" i="4"/>
  <c r="AK157" i="4" s="1"/>
  <c r="L155" i="14" s="1"/>
  <c r="K161" i="4"/>
  <c r="AK161" i="4" s="1"/>
  <c r="L159" i="14" s="1"/>
  <c r="K54" i="4"/>
  <c r="AK54" i="4" s="1"/>
  <c r="L52" i="14" s="1"/>
  <c r="K15" i="4"/>
  <c r="AK15" i="4" s="1"/>
  <c r="L13" i="14" s="1"/>
  <c r="K34" i="4"/>
  <c r="AK34" i="4" s="1"/>
  <c r="L32" i="14" s="1"/>
  <c r="K29" i="4"/>
  <c r="AK29" i="4" s="1"/>
  <c r="L27" i="14" s="1"/>
  <c r="K113" i="4"/>
  <c r="AK113" i="4" s="1"/>
  <c r="L111" i="14" s="1"/>
  <c r="K73" i="4"/>
  <c r="AK73" i="4" s="1"/>
  <c r="L71" i="14" s="1"/>
  <c r="K119" i="4"/>
  <c r="AK119" i="4" s="1"/>
  <c r="L117" i="14" s="1"/>
  <c r="K78" i="4"/>
  <c r="AK78" i="4" s="1"/>
  <c r="L76" i="14" s="1"/>
  <c r="K193" i="4"/>
  <c r="AK193" i="4" s="1"/>
  <c r="L191" i="14" s="1"/>
  <c r="K42" i="4"/>
  <c r="AK42" i="4" s="1"/>
  <c r="L40" i="14" s="1"/>
  <c r="K165" i="4"/>
  <c r="AK165" i="4" s="1"/>
  <c r="L163" i="14" s="1"/>
  <c r="K62" i="4"/>
  <c r="AK62" i="4" s="1"/>
  <c r="L60" i="14" s="1"/>
  <c r="K118" i="4"/>
  <c r="AK118" i="4" s="1"/>
  <c r="L116" i="14" s="1"/>
  <c r="K201" i="4"/>
  <c r="AK201" i="4" s="1"/>
  <c r="L199" i="14" s="1"/>
  <c r="K91" i="4"/>
  <c r="AK91" i="4" s="1"/>
  <c r="L89" i="14" s="1"/>
  <c r="K139" i="4"/>
  <c r="AK139" i="4" s="1"/>
  <c r="L137" i="14" s="1"/>
  <c r="K131" i="4"/>
  <c r="AK131" i="4" s="1"/>
  <c r="L129" i="14" s="1"/>
  <c r="K166" i="4"/>
  <c r="AK166" i="4" s="1"/>
  <c r="L164" i="14" s="1"/>
  <c r="K200" i="4"/>
  <c r="AK200" i="4" s="1"/>
  <c r="L198" i="14" s="1"/>
  <c r="K153" i="4"/>
  <c r="AK153" i="4" s="1"/>
  <c r="L151" i="14" s="1"/>
  <c r="K189" i="4"/>
  <c r="AK189" i="4" s="1"/>
  <c r="L187" i="14" s="1"/>
  <c r="K182" i="4"/>
  <c r="AK182" i="4" s="1"/>
  <c r="L180" i="14" s="1"/>
  <c r="K109" i="4"/>
  <c r="AK109" i="4" s="1"/>
  <c r="L107" i="14" s="1"/>
  <c r="K111" i="4"/>
  <c r="AK111" i="4" s="1"/>
  <c r="L109" i="14" s="1"/>
  <c r="K102" i="4"/>
  <c r="AK102" i="4" s="1"/>
  <c r="L100" i="14" s="1"/>
  <c r="K202" i="4"/>
  <c r="AK202" i="4" s="1"/>
  <c r="L200" i="14" s="1"/>
  <c r="K99" i="4"/>
  <c r="AK99" i="4" s="1"/>
  <c r="L97" i="14" s="1"/>
  <c r="K154" i="4"/>
  <c r="AK154" i="4" s="1"/>
  <c r="L152" i="14" s="1"/>
  <c r="K43" i="4"/>
  <c r="AK43" i="4" s="1"/>
  <c r="L41" i="14" s="1"/>
  <c r="K170" i="4"/>
  <c r="AK170" i="4" s="1"/>
  <c r="L168" i="14" s="1"/>
  <c r="K146" i="4"/>
  <c r="AK146" i="4" s="1"/>
  <c r="L144" i="14" s="1"/>
  <c r="K19" i="4"/>
  <c r="AK19" i="4" s="1"/>
  <c r="L17" i="14" s="1"/>
  <c r="K129" i="4"/>
  <c r="AK129" i="4" s="1"/>
  <c r="L127" i="14" s="1"/>
  <c r="K183" i="4"/>
  <c r="AK183" i="4" s="1"/>
  <c r="L181" i="14" s="1"/>
  <c r="K128" i="4"/>
  <c r="AK128" i="4" s="1"/>
  <c r="L126" i="14" s="1"/>
  <c r="K49" i="4"/>
  <c r="AK49" i="4" s="1"/>
  <c r="L47" i="14" s="1"/>
  <c r="K69" i="4"/>
  <c r="AK69" i="4" s="1"/>
  <c r="L67" i="14" s="1"/>
  <c r="K185" i="4"/>
  <c r="AK185" i="4" s="1"/>
  <c r="L183" i="14" s="1"/>
  <c r="K198" i="4"/>
  <c r="AK198" i="4" s="1"/>
  <c r="L196" i="14" s="1"/>
  <c r="K70" i="4"/>
  <c r="AK70" i="4" s="1"/>
  <c r="L68" i="14" s="1"/>
  <c r="K10" i="4"/>
  <c r="AK10" i="4" s="1"/>
  <c r="L8" i="14" s="1"/>
  <c r="K110" i="4"/>
  <c r="AK110" i="4" s="1"/>
  <c r="L108" i="14" s="1"/>
  <c r="K180" i="4"/>
  <c r="AK180" i="4" s="1"/>
  <c r="L178" i="14" s="1"/>
  <c r="K95" i="4"/>
  <c r="AK95" i="4" s="1"/>
  <c r="L93" i="14" s="1"/>
  <c r="K94" i="4"/>
  <c r="AK94" i="4" s="1"/>
  <c r="L92" i="14" s="1"/>
  <c r="Z22" i="1"/>
  <c r="AG21" i="1"/>
  <c r="AH21" i="1" s="1"/>
  <c r="L8" i="4"/>
  <c r="AL8" i="4" s="1"/>
  <c r="M6" i="14" s="1"/>
  <c r="AA21" i="1"/>
  <c r="AC20" i="1"/>
  <c r="AF20" i="1" s="1"/>
  <c r="AI20" i="1" s="1"/>
  <c r="L98" i="14" l="1"/>
  <c r="L31" i="14"/>
  <c r="L82" i="16"/>
  <c r="L179" i="16"/>
  <c r="L104" i="16"/>
  <c r="L36" i="16"/>
  <c r="L42" i="16"/>
  <c r="L99" i="16"/>
  <c r="L176" i="16"/>
  <c r="L149" i="16"/>
  <c r="L194" i="16"/>
  <c r="L57" i="16"/>
  <c r="L101" i="16"/>
  <c r="L31" i="16"/>
  <c r="L114" i="16"/>
  <c r="L153" i="16"/>
  <c r="L183" i="16"/>
  <c r="L76" i="16"/>
  <c r="L58" i="16"/>
  <c r="L160" i="16"/>
  <c r="L98" i="16"/>
  <c r="L189" i="16"/>
  <c r="L52" i="16"/>
  <c r="L150" i="16"/>
  <c r="L144" i="16"/>
  <c r="L107" i="16"/>
  <c r="L122" i="16"/>
  <c r="L125" i="14"/>
  <c r="L116" i="16"/>
  <c r="L96" i="16"/>
  <c r="L7" i="16"/>
  <c r="L139" i="16"/>
  <c r="L8" i="16"/>
  <c r="L147" i="16"/>
  <c r="L134" i="16"/>
  <c r="L137" i="16"/>
  <c r="L200" i="16"/>
  <c r="L172" i="16"/>
  <c r="L167" i="16"/>
  <c r="L143" i="16"/>
  <c r="L175" i="16"/>
  <c r="L11" i="16"/>
  <c r="L64" i="16"/>
  <c r="L24" i="16"/>
  <c r="L169" i="16"/>
  <c r="L195" i="16"/>
  <c r="L85" i="16"/>
  <c r="L23" i="16"/>
  <c r="L71" i="16"/>
  <c r="L202" i="16"/>
  <c r="L89" i="16"/>
  <c r="L51" i="16"/>
  <c r="L92" i="16"/>
  <c r="L128" i="16"/>
  <c r="L157" i="16"/>
  <c r="L192" i="16"/>
  <c r="L171" i="16"/>
  <c r="L182" i="16"/>
  <c r="L124" i="16"/>
  <c r="L83" i="16"/>
  <c r="L15" i="16"/>
  <c r="L100" i="16"/>
  <c r="L188" i="16"/>
  <c r="L10" i="16"/>
  <c r="M6" i="16"/>
  <c r="L141" i="16"/>
  <c r="L68" i="16"/>
  <c r="L190" i="16"/>
  <c r="L72" i="16"/>
  <c r="L55" i="16"/>
  <c r="L91" i="16"/>
  <c r="L105" i="16"/>
  <c r="L158" i="16"/>
  <c r="L197" i="16"/>
  <c r="L102" i="16"/>
  <c r="L62" i="16"/>
  <c r="L26" i="16"/>
  <c r="L41" i="16"/>
  <c r="L29" i="16"/>
  <c r="L162" i="16"/>
  <c r="L185" i="16"/>
  <c r="L110" i="16"/>
  <c r="L159" i="16"/>
  <c r="L35" i="16"/>
  <c r="L203" i="16"/>
  <c r="L140" i="16"/>
  <c r="L79" i="16"/>
  <c r="L204" i="16"/>
  <c r="L60" i="16"/>
  <c r="L13" i="16"/>
  <c r="L88" i="16"/>
  <c r="L37" i="16"/>
  <c r="L132" i="16"/>
  <c r="L93" i="16"/>
  <c r="L142" i="16"/>
  <c r="L50" i="16"/>
  <c r="L146" i="16"/>
  <c r="L184" i="16"/>
  <c r="L40" i="16"/>
  <c r="L30" i="16"/>
  <c r="L163" i="16"/>
  <c r="L201" i="16"/>
  <c r="L103" i="16"/>
  <c r="L90" i="16"/>
  <c r="L191" i="16"/>
  <c r="L161" i="16"/>
  <c r="L109" i="16"/>
  <c r="L193" i="16"/>
  <c r="L87" i="16"/>
  <c r="L78" i="16"/>
  <c r="L126" i="16"/>
  <c r="L180" i="16"/>
  <c r="L95" i="16"/>
  <c r="L168" i="16"/>
  <c r="L17" i="16"/>
  <c r="L27" i="16"/>
  <c r="L84" i="16"/>
  <c r="L156" i="16"/>
  <c r="L120" i="16"/>
  <c r="L136" i="16"/>
  <c r="L170" i="16"/>
  <c r="L187" i="16"/>
  <c r="L38" i="16"/>
  <c r="L86" i="16"/>
  <c r="L108" i="16"/>
  <c r="L46" i="16"/>
  <c r="L166" i="16"/>
  <c r="L164" i="16"/>
  <c r="L28" i="16"/>
  <c r="L44" i="16"/>
  <c r="L81" i="16"/>
  <c r="L131" i="16"/>
  <c r="L45" i="16"/>
  <c r="L22" i="16"/>
  <c r="L119" i="16"/>
  <c r="L16" i="16"/>
  <c r="L9" i="16"/>
  <c r="L14" i="16"/>
  <c r="L165" i="16"/>
  <c r="L173" i="16"/>
  <c r="L66" i="16"/>
  <c r="L65" i="16"/>
  <c r="L151" i="16"/>
  <c r="L77" i="16"/>
  <c r="L145" i="16"/>
  <c r="L47" i="16"/>
  <c r="L186" i="16"/>
  <c r="L198" i="16"/>
  <c r="L97" i="16"/>
  <c r="L48" i="16"/>
  <c r="L33" i="16"/>
  <c r="L117" i="16"/>
  <c r="L196" i="16"/>
  <c r="L101" i="14"/>
  <c r="L59" i="16"/>
  <c r="L205" i="16"/>
  <c r="L19" i="16"/>
  <c r="L115" i="16"/>
  <c r="L67" i="16"/>
  <c r="L74" i="16"/>
  <c r="L148" i="16"/>
  <c r="L133" i="16"/>
  <c r="L53" i="16"/>
  <c r="L129" i="16"/>
  <c r="L43" i="16"/>
  <c r="L73" i="16"/>
  <c r="L18" i="16"/>
  <c r="L135" i="16"/>
  <c r="L49" i="16"/>
  <c r="L130" i="16"/>
  <c r="L177" i="16"/>
  <c r="L199" i="16"/>
  <c r="L94" i="16"/>
  <c r="L121" i="16"/>
  <c r="L63" i="16"/>
  <c r="L25" i="16"/>
  <c r="L12" i="16"/>
  <c r="L61" i="16"/>
  <c r="L123" i="16"/>
  <c r="L181" i="16"/>
  <c r="L106" i="16"/>
  <c r="L56" i="16"/>
  <c r="L174" i="16"/>
  <c r="L127" i="16"/>
  <c r="L113" i="16"/>
  <c r="L80" i="16"/>
  <c r="L154" i="16"/>
  <c r="L178" i="16"/>
  <c r="L21" i="16"/>
  <c r="L34" i="16"/>
  <c r="L70" i="16"/>
  <c r="L125" i="16"/>
  <c r="L112" i="16"/>
  <c r="L111" i="16"/>
  <c r="L39" i="16"/>
  <c r="L155" i="16"/>
  <c r="L69" i="16"/>
  <c r="L20" i="16"/>
  <c r="L75" i="16"/>
  <c r="L152" i="16"/>
  <c r="L32" i="16"/>
  <c r="L54" i="16"/>
  <c r="L118" i="16"/>
  <c r="L138" i="16"/>
  <c r="L75" i="14"/>
  <c r="L115" i="14"/>
  <c r="K3" i="4"/>
  <c r="K4" i="4" s="1"/>
  <c r="L41" i="4"/>
  <c r="AL41" i="4" s="1"/>
  <c r="M39" i="14" s="1"/>
  <c r="L125" i="4"/>
  <c r="AL125" i="4" s="1"/>
  <c r="M123" i="14" s="1"/>
  <c r="L39" i="4"/>
  <c r="AL39" i="4" s="1"/>
  <c r="M37" i="14" s="1"/>
  <c r="L105" i="4"/>
  <c r="AL105" i="4" s="1"/>
  <c r="M103" i="14" s="1"/>
  <c r="L33" i="4"/>
  <c r="AL33" i="4" s="1"/>
  <c r="M31" i="14" s="1"/>
  <c r="L135" i="4"/>
  <c r="AL135" i="4" s="1"/>
  <c r="M133" i="14" s="1"/>
  <c r="L151" i="4"/>
  <c r="AL151" i="4" s="1"/>
  <c r="M149" i="14" s="1"/>
  <c r="L180" i="4"/>
  <c r="AL180" i="4" s="1"/>
  <c r="M178" i="14" s="1"/>
  <c r="L69" i="4"/>
  <c r="AL69" i="4" s="1"/>
  <c r="M67" i="14" s="1"/>
  <c r="L129" i="4"/>
  <c r="AL129" i="4" s="1"/>
  <c r="M127" i="14" s="1"/>
  <c r="L43" i="4"/>
  <c r="AL43" i="4" s="1"/>
  <c r="M41" i="14" s="1"/>
  <c r="L102" i="4"/>
  <c r="AL102" i="4" s="1"/>
  <c r="M100" i="14" s="1"/>
  <c r="L189" i="4"/>
  <c r="AL189" i="4" s="1"/>
  <c r="M187" i="14" s="1"/>
  <c r="L131" i="4"/>
  <c r="AL131" i="4" s="1"/>
  <c r="M129" i="14" s="1"/>
  <c r="L118" i="4"/>
  <c r="AL118" i="4" s="1"/>
  <c r="M116" i="14" s="1"/>
  <c r="L165" i="4"/>
  <c r="AL165" i="4" s="1"/>
  <c r="M163" i="14" s="1"/>
  <c r="L119" i="4"/>
  <c r="AL119" i="4" s="1"/>
  <c r="M117" i="14" s="1"/>
  <c r="L34" i="4"/>
  <c r="AL34" i="4" s="1"/>
  <c r="M32" i="14" s="1"/>
  <c r="L54" i="4"/>
  <c r="AL54" i="4" s="1"/>
  <c r="M52" i="14" s="1"/>
  <c r="L18" i="4"/>
  <c r="AL18" i="4" s="1"/>
  <c r="L82" i="4"/>
  <c r="AL82" i="4" s="1"/>
  <c r="M80" i="14" s="1"/>
  <c r="L136" i="4"/>
  <c r="AL136" i="4" s="1"/>
  <c r="M134" i="14" s="1"/>
  <c r="L133" i="4"/>
  <c r="AL133" i="4" s="1"/>
  <c r="M131" i="14" s="1"/>
  <c r="L112" i="4"/>
  <c r="AL112" i="4" s="1"/>
  <c r="M110" i="14" s="1"/>
  <c r="L150" i="4"/>
  <c r="AL150" i="4" s="1"/>
  <c r="M148" i="14" s="1"/>
  <c r="L177" i="4"/>
  <c r="AL177" i="4" s="1"/>
  <c r="M175" i="14" s="1"/>
  <c r="L27" i="4"/>
  <c r="AL27" i="4" s="1"/>
  <c r="M25" i="14" s="1"/>
  <c r="L152" i="4"/>
  <c r="AL152" i="4" s="1"/>
  <c r="M150" i="14" s="1"/>
  <c r="L179" i="4"/>
  <c r="AL179" i="4" s="1"/>
  <c r="M177" i="14" s="1"/>
  <c r="L140" i="4"/>
  <c r="AL140" i="4" s="1"/>
  <c r="M138" i="14" s="1"/>
  <c r="L114" i="4"/>
  <c r="AL114" i="4" s="1"/>
  <c r="M112" i="14" s="1"/>
  <c r="L16" i="4"/>
  <c r="AL16" i="4" s="1"/>
  <c r="M14" i="14" s="1"/>
  <c r="L74" i="4"/>
  <c r="AL74" i="4" s="1"/>
  <c r="M72" i="14" s="1"/>
  <c r="L167" i="4"/>
  <c r="AL167" i="4" s="1"/>
  <c r="M165" i="14" s="1"/>
  <c r="L76" i="4"/>
  <c r="AL76" i="4" s="1"/>
  <c r="M74" i="14" s="1"/>
  <c r="L156" i="4"/>
  <c r="AL156" i="4" s="1"/>
  <c r="M154" i="14" s="1"/>
  <c r="L184" i="4"/>
  <c r="AL184" i="4" s="1"/>
  <c r="M182" i="14" s="1"/>
  <c r="L28" i="4"/>
  <c r="AL28" i="4" s="1"/>
  <c r="M26" i="14" s="1"/>
  <c r="L145" i="4"/>
  <c r="AL145" i="4" s="1"/>
  <c r="M143" i="14" s="1"/>
  <c r="L87" i="4"/>
  <c r="AL87" i="4" s="1"/>
  <c r="M85" i="14" s="1"/>
  <c r="L137" i="4"/>
  <c r="AL137" i="4" s="1"/>
  <c r="M135" i="14" s="1"/>
  <c r="L24" i="4"/>
  <c r="AL24" i="4" s="1"/>
  <c r="M22" i="14" s="1"/>
  <c r="L67" i="4"/>
  <c r="AL67" i="4" s="1"/>
  <c r="M65" i="14" s="1"/>
  <c r="L57" i="4"/>
  <c r="AL57" i="4" s="1"/>
  <c r="M55" i="14" s="1"/>
  <c r="L144" i="4"/>
  <c r="AL144" i="4" s="1"/>
  <c r="M142" i="14" s="1"/>
  <c r="L58" i="4"/>
  <c r="AL58" i="4" s="1"/>
  <c r="M56" i="14" s="1"/>
  <c r="L50" i="4"/>
  <c r="AL50" i="4" s="1"/>
  <c r="M48" i="14" s="1"/>
  <c r="L123" i="4"/>
  <c r="AL123" i="4" s="1"/>
  <c r="M121" i="14" s="1"/>
  <c r="L97" i="4"/>
  <c r="AL97" i="4" s="1"/>
  <c r="M95" i="14" s="1"/>
  <c r="L104" i="4"/>
  <c r="AL104" i="4" s="1"/>
  <c r="M102" i="14" s="1"/>
  <c r="AJ3" i="4"/>
  <c r="AJ4" i="4" s="1"/>
  <c r="L206" i="4"/>
  <c r="AL206" i="4" s="1"/>
  <c r="M204" i="14" s="1"/>
  <c r="L12" i="4"/>
  <c r="AL12" i="4" s="1"/>
  <c r="M10" i="14" s="1"/>
  <c r="L83" i="4"/>
  <c r="AL83" i="4" s="1"/>
  <c r="M81" i="14" s="1"/>
  <c r="L175" i="4"/>
  <c r="AL175" i="4" s="1"/>
  <c r="M173" i="14" s="1"/>
  <c r="L173" i="4"/>
  <c r="AL173" i="4" s="1"/>
  <c r="M171" i="14" s="1"/>
  <c r="L61" i="4"/>
  <c r="AL61" i="4" s="1"/>
  <c r="M59" i="14" s="1"/>
  <c r="L155" i="4"/>
  <c r="AL155" i="4" s="1"/>
  <c r="M153" i="14" s="1"/>
  <c r="L93" i="4"/>
  <c r="AL93" i="4" s="1"/>
  <c r="M91" i="14" s="1"/>
  <c r="L159" i="4"/>
  <c r="AL159" i="4" s="1"/>
  <c r="M157" i="14" s="1"/>
  <c r="L44" i="4"/>
  <c r="AL44" i="4" s="1"/>
  <c r="M42" i="14" s="1"/>
  <c r="L45" i="4"/>
  <c r="AL45" i="4" s="1"/>
  <c r="M43" i="14" s="1"/>
  <c r="L40" i="4"/>
  <c r="AL40" i="4" s="1"/>
  <c r="M38" i="14" s="1"/>
  <c r="L172" i="4"/>
  <c r="AL172" i="4" s="1"/>
  <c r="M170" i="14" s="1"/>
  <c r="L88" i="4"/>
  <c r="AL88" i="4" s="1"/>
  <c r="M86" i="14" s="1"/>
  <c r="L127" i="4"/>
  <c r="AL127" i="4" s="1"/>
  <c r="L187" i="4"/>
  <c r="AL187" i="4" s="1"/>
  <c r="M185" i="14" s="1"/>
  <c r="L13" i="4"/>
  <c r="AL13" i="4" s="1"/>
  <c r="M11" i="14" s="1"/>
  <c r="L162" i="4"/>
  <c r="AL162" i="4" s="1"/>
  <c r="M160" i="14" s="1"/>
  <c r="L188" i="4"/>
  <c r="AL188" i="4" s="1"/>
  <c r="M186" i="14" s="1"/>
  <c r="L64" i="4"/>
  <c r="AL64" i="4" s="1"/>
  <c r="M62" i="14" s="1"/>
  <c r="L55" i="4"/>
  <c r="AL55" i="4" s="1"/>
  <c r="M53" i="14" s="1"/>
  <c r="L51" i="4"/>
  <c r="AL51" i="4" s="1"/>
  <c r="M49" i="14" s="1"/>
  <c r="L134" i="4"/>
  <c r="AL134" i="4" s="1"/>
  <c r="M132" i="14" s="1"/>
  <c r="L197" i="4"/>
  <c r="AL197" i="4" s="1"/>
  <c r="M195" i="14" s="1"/>
  <c r="L38" i="4"/>
  <c r="AL38" i="4" s="1"/>
  <c r="M36" i="14" s="1"/>
  <c r="L84" i="4"/>
  <c r="AL84" i="4" s="1"/>
  <c r="M82" i="14" s="1"/>
  <c r="L23" i="4"/>
  <c r="AL23" i="4" s="1"/>
  <c r="M21" i="14" s="1"/>
  <c r="L196" i="4"/>
  <c r="AL196" i="4" s="1"/>
  <c r="M194" i="14" s="1"/>
  <c r="L147" i="4"/>
  <c r="AL147" i="4" s="1"/>
  <c r="L94" i="4"/>
  <c r="AL94" i="4" s="1"/>
  <c r="M92" i="14" s="1"/>
  <c r="L10" i="4"/>
  <c r="AL10" i="4" s="1"/>
  <c r="M8" i="14" s="1"/>
  <c r="L198" i="4"/>
  <c r="AL198" i="4" s="1"/>
  <c r="M196" i="14" s="1"/>
  <c r="L128" i="4"/>
  <c r="AL128" i="4" s="1"/>
  <c r="M126" i="14" s="1"/>
  <c r="L146" i="4"/>
  <c r="AL146" i="4" s="1"/>
  <c r="M144" i="14" s="1"/>
  <c r="L99" i="4"/>
  <c r="AL99" i="4" s="1"/>
  <c r="M97" i="14" s="1"/>
  <c r="L109" i="4"/>
  <c r="AL109" i="4" s="1"/>
  <c r="L200" i="4"/>
  <c r="AL200" i="4" s="1"/>
  <c r="M198" i="14" s="1"/>
  <c r="L91" i="4"/>
  <c r="AL91" i="4" s="1"/>
  <c r="M89" i="14" s="1"/>
  <c r="L193" i="4"/>
  <c r="AL193" i="4" s="1"/>
  <c r="M191" i="14" s="1"/>
  <c r="L113" i="4"/>
  <c r="AL113" i="4" s="1"/>
  <c r="M111" i="14" s="1"/>
  <c r="L157" i="4"/>
  <c r="AL157" i="4" s="1"/>
  <c r="M155" i="14" s="1"/>
  <c r="L176" i="4"/>
  <c r="AL176" i="4" s="1"/>
  <c r="M174" i="14" s="1"/>
  <c r="L191" i="4"/>
  <c r="AL191" i="4" s="1"/>
  <c r="M189" i="14" s="1"/>
  <c r="L148" i="4"/>
  <c r="AL148" i="4" s="1"/>
  <c r="M146" i="14" s="1"/>
  <c r="L122" i="4"/>
  <c r="AL122" i="4" s="1"/>
  <c r="M120" i="14" s="1"/>
  <c r="L160" i="4"/>
  <c r="AL160" i="4" s="1"/>
  <c r="M158" i="14" s="1"/>
  <c r="L106" i="4"/>
  <c r="AL106" i="4" s="1"/>
  <c r="M104" i="14" s="1"/>
  <c r="L22" i="4"/>
  <c r="AL22" i="4" s="1"/>
  <c r="M20" i="14" s="1"/>
  <c r="L25" i="4"/>
  <c r="AL25" i="4" s="1"/>
  <c r="M23" i="14" s="1"/>
  <c r="L205" i="4"/>
  <c r="AL205" i="4" s="1"/>
  <c r="M203" i="14" s="1"/>
  <c r="L194" i="4"/>
  <c r="AL194" i="4" s="1"/>
  <c r="M192" i="14" s="1"/>
  <c r="L121" i="4"/>
  <c r="AL121" i="4" s="1"/>
  <c r="M119" i="14" s="1"/>
  <c r="L98" i="4"/>
  <c r="AL98" i="4" s="1"/>
  <c r="M96" i="14" s="1"/>
  <c r="L107" i="4"/>
  <c r="AL107" i="4" s="1"/>
  <c r="M105" i="14" s="1"/>
  <c r="L9" i="4"/>
  <c r="AL9" i="4" s="1"/>
  <c r="M7" i="14" s="1"/>
  <c r="L149" i="4"/>
  <c r="AL149" i="4" s="1"/>
  <c r="M147" i="14" s="1"/>
  <c r="L108" i="4"/>
  <c r="AL108" i="4" s="1"/>
  <c r="M106" i="14" s="1"/>
  <c r="L143" i="4"/>
  <c r="AL143" i="4" s="1"/>
  <c r="M141" i="14" s="1"/>
  <c r="L169" i="4"/>
  <c r="AL169" i="4" s="1"/>
  <c r="M167" i="14" s="1"/>
  <c r="L17" i="4"/>
  <c r="AL17" i="4" s="1"/>
  <c r="M15" i="14" s="1"/>
  <c r="L132" i="4"/>
  <c r="AL132" i="4" s="1"/>
  <c r="M130" i="14" s="1"/>
  <c r="L75" i="4"/>
  <c r="AL75" i="4" s="1"/>
  <c r="M73" i="14" s="1"/>
  <c r="L53" i="4"/>
  <c r="AL53" i="4" s="1"/>
  <c r="M51" i="14" s="1"/>
  <c r="L85" i="4"/>
  <c r="AL85" i="4" s="1"/>
  <c r="M83" i="14" s="1"/>
  <c r="L46" i="4"/>
  <c r="AL46" i="4" s="1"/>
  <c r="M44" i="14" s="1"/>
  <c r="L96" i="4"/>
  <c r="AL96" i="4" s="1"/>
  <c r="M94" i="14" s="1"/>
  <c r="L115" i="4"/>
  <c r="AL115" i="4" s="1"/>
  <c r="M113" i="14" s="1"/>
  <c r="L103" i="4"/>
  <c r="AL103" i="4" s="1"/>
  <c r="M101" i="14" s="1"/>
  <c r="L174" i="4"/>
  <c r="AL174" i="4" s="1"/>
  <c r="M172" i="14" s="1"/>
  <c r="L72" i="4"/>
  <c r="AL72" i="4" s="1"/>
  <c r="M70" i="14" s="1"/>
  <c r="L95" i="4"/>
  <c r="AL95" i="4" s="1"/>
  <c r="M93" i="14" s="1"/>
  <c r="L110" i="4"/>
  <c r="AL110" i="4" s="1"/>
  <c r="M108" i="14" s="1"/>
  <c r="L70" i="4"/>
  <c r="AL70" i="4" s="1"/>
  <c r="M68" i="14" s="1"/>
  <c r="L185" i="4"/>
  <c r="AL185" i="4" s="1"/>
  <c r="M183" i="14" s="1"/>
  <c r="L49" i="4"/>
  <c r="AL49" i="4" s="1"/>
  <c r="M47" i="14" s="1"/>
  <c r="L183" i="4"/>
  <c r="AL183" i="4" s="1"/>
  <c r="M181" i="14" s="1"/>
  <c r="L19" i="4"/>
  <c r="AL19" i="4" s="1"/>
  <c r="M17" i="14" s="1"/>
  <c r="L170" i="4"/>
  <c r="AL170" i="4" s="1"/>
  <c r="M168" i="14" s="1"/>
  <c r="L154" i="4"/>
  <c r="AL154" i="4" s="1"/>
  <c r="M152" i="14" s="1"/>
  <c r="L202" i="4"/>
  <c r="AL202" i="4" s="1"/>
  <c r="M200" i="14" s="1"/>
  <c r="L111" i="4"/>
  <c r="AL111" i="4" s="1"/>
  <c r="M109" i="14" s="1"/>
  <c r="L182" i="4"/>
  <c r="AL182" i="4" s="1"/>
  <c r="M180" i="14" s="1"/>
  <c r="L153" i="4"/>
  <c r="AL153" i="4" s="1"/>
  <c r="M151" i="14" s="1"/>
  <c r="L166" i="4"/>
  <c r="AL166" i="4" s="1"/>
  <c r="M164" i="14" s="1"/>
  <c r="L139" i="4"/>
  <c r="AL139" i="4" s="1"/>
  <c r="M137" i="14" s="1"/>
  <c r="L201" i="4"/>
  <c r="AL201" i="4" s="1"/>
  <c r="M199" i="14" s="1"/>
  <c r="L62" i="4"/>
  <c r="AL62" i="4" s="1"/>
  <c r="M60" i="14" s="1"/>
  <c r="L42" i="4"/>
  <c r="AL42" i="4" s="1"/>
  <c r="M40" i="14" s="1"/>
  <c r="L78" i="4"/>
  <c r="AL78" i="4" s="1"/>
  <c r="M76" i="14" s="1"/>
  <c r="L73" i="4"/>
  <c r="AL73" i="4" s="1"/>
  <c r="M71" i="14" s="1"/>
  <c r="L29" i="4"/>
  <c r="AL29" i="4" s="1"/>
  <c r="M27" i="14" s="1"/>
  <c r="L15" i="4"/>
  <c r="AL15" i="4" s="1"/>
  <c r="M13" i="14" s="1"/>
  <c r="L161" i="4"/>
  <c r="AL161" i="4" s="1"/>
  <c r="M159" i="14" s="1"/>
  <c r="L36" i="4"/>
  <c r="AL36" i="4" s="1"/>
  <c r="M34" i="14" s="1"/>
  <c r="L35" i="4"/>
  <c r="AL35" i="4" s="1"/>
  <c r="M33" i="14" s="1"/>
  <c r="L117" i="4"/>
  <c r="AL117" i="4" s="1"/>
  <c r="L120" i="4"/>
  <c r="AL120" i="4" s="1"/>
  <c r="M118" i="14" s="1"/>
  <c r="L142" i="4"/>
  <c r="AL142" i="4" s="1"/>
  <c r="M140" i="14" s="1"/>
  <c r="L79" i="4"/>
  <c r="AL79" i="4" s="1"/>
  <c r="M77" i="14" s="1"/>
  <c r="L71" i="4"/>
  <c r="AL71" i="4" s="1"/>
  <c r="M69" i="14" s="1"/>
  <c r="L32" i="4"/>
  <c r="AL32" i="4" s="1"/>
  <c r="M30" i="14" s="1"/>
  <c r="L168" i="4"/>
  <c r="AL168" i="4" s="1"/>
  <c r="M166" i="14" s="1"/>
  <c r="L130" i="4"/>
  <c r="AL130" i="4" s="1"/>
  <c r="M128" i="14" s="1"/>
  <c r="L181" i="4"/>
  <c r="AL181" i="4" s="1"/>
  <c r="M179" i="14" s="1"/>
  <c r="L190" i="4"/>
  <c r="AL190" i="4" s="1"/>
  <c r="M188" i="14" s="1"/>
  <c r="L141" i="4"/>
  <c r="AL141" i="4" s="1"/>
  <c r="M139" i="14" s="1"/>
  <c r="L192" i="4"/>
  <c r="AL192" i="4" s="1"/>
  <c r="M190" i="14" s="1"/>
  <c r="L203" i="4"/>
  <c r="AL203" i="4" s="1"/>
  <c r="M201" i="14" s="1"/>
  <c r="L80" i="4"/>
  <c r="AL80" i="4" s="1"/>
  <c r="M78" i="14" s="1"/>
  <c r="L14" i="4"/>
  <c r="AL14" i="4" s="1"/>
  <c r="M12" i="14" s="1"/>
  <c r="L30" i="4"/>
  <c r="AL30" i="4" s="1"/>
  <c r="M28" i="14" s="1"/>
  <c r="L11" i="4"/>
  <c r="AL11" i="4" s="1"/>
  <c r="M9" i="14" s="1"/>
  <c r="L195" i="4"/>
  <c r="AL195" i="4" s="1"/>
  <c r="M193" i="14" s="1"/>
  <c r="L138" i="4"/>
  <c r="AL138" i="4" s="1"/>
  <c r="M136" i="14" s="1"/>
  <c r="L63" i="4"/>
  <c r="AL63" i="4" s="1"/>
  <c r="M61" i="14" s="1"/>
  <c r="L101" i="4"/>
  <c r="AL101" i="4" s="1"/>
  <c r="M99" i="14" s="1"/>
  <c r="L86" i="4"/>
  <c r="AL86" i="4" s="1"/>
  <c r="M84" i="14" s="1"/>
  <c r="L207" i="4"/>
  <c r="AL207" i="4" s="1"/>
  <c r="M205" i="14" s="1"/>
  <c r="L60" i="4"/>
  <c r="AL60" i="4" s="1"/>
  <c r="M58" i="14" s="1"/>
  <c r="L56" i="4"/>
  <c r="AL56" i="4" s="1"/>
  <c r="M54" i="14" s="1"/>
  <c r="L48" i="4"/>
  <c r="AL48" i="4" s="1"/>
  <c r="M46" i="14" s="1"/>
  <c r="L59" i="4"/>
  <c r="AL59" i="4" s="1"/>
  <c r="M57" i="14" s="1"/>
  <c r="L116" i="4"/>
  <c r="AL116" i="4" s="1"/>
  <c r="M114" i="14" s="1"/>
  <c r="L100" i="4"/>
  <c r="AL100" i="4" s="1"/>
  <c r="M98" i="14" s="1"/>
  <c r="L68" i="4"/>
  <c r="AL68" i="4" s="1"/>
  <c r="M66" i="14" s="1"/>
  <c r="L37" i="4"/>
  <c r="AL37" i="4" s="1"/>
  <c r="M35" i="14" s="1"/>
  <c r="L21" i="4"/>
  <c r="AL21" i="4" s="1"/>
  <c r="M19" i="14" s="1"/>
  <c r="L66" i="4"/>
  <c r="AL66" i="4" s="1"/>
  <c r="M64" i="14" s="1"/>
  <c r="L90" i="4"/>
  <c r="AL90" i="4" s="1"/>
  <c r="M88" i="14" s="1"/>
  <c r="L20" i="4"/>
  <c r="AL20" i="4" s="1"/>
  <c r="M18" i="14" s="1"/>
  <c r="L92" i="4"/>
  <c r="AL92" i="4" s="1"/>
  <c r="M90" i="14" s="1"/>
  <c r="L204" i="4"/>
  <c r="AL204" i="4" s="1"/>
  <c r="M202" i="14" s="1"/>
  <c r="L199" i="4"/>
  <c r="AL199" i="4" s="1"/>
  <c r="M197" i="14" s="1"/>
  <c r="L171" i="4"/>
  <c r="AL171" i="4" s="1"/>
  <c r="M169" i="14" s="1"/>
  <c r="L81" i="4"/>
  <c r="AL81" i="4" s="1"/>
  <c r="M79" i="14" s="1"/>
  <c r="L164" i="4"/>
  <c r="AL164" i="4" s="1"/>
  <c r="M162" i="14" s="1"/>
  <c r="L65" i="4"/>
  <c r="AL65" i="4" s="1"/>
  <c r="M63" i="14" s="1"/>
  <c r="L77" i="4"/>
  <c r="AL77" i="4" s="1"/>
  <c r="L52" i="4"/>
  <c r="AL52" i="4" s="1"/>
  <c r="M50" i="14" s="1"/>
  <c r="L163" i="4"/>
  <c r="AL163" i="4" s="1"/>
  <c r="M161" i="14" s="1"/>
  <c r="L126" i="4"/>
  <c r="AL126" i="4" s="1"/>
  <c r="M124" i="14" s="1"/>
  <c r="L47" i="4"/>
  <c r="AL47" i="4" s="1"/>
  <c r="M45" i="14" s="1"/>
  <c r="L31" i="4"/>
  <c r="AL31" i="4" s="1"/>
  <c r="M29" i="14" s="1"/>
  <c r="L124" i="4"/>
  <c r="AL124" i="4" s="1"/>
  <c r="M122" i="14" s="1"/>
  <c r="L89" i="4"/>
  <c r="AL89" i="4" s="1"/>
  <c r="M87" i="14" s="1"/>
  <c r="L158" i="4"/>
  <c r="AL158" i="4" s="1"/>
  <c r="M156" i="14" s="1"/>
  <c r="L26" i="4"/>
  <c r="AL26" i="4" s="1"/>
  <c r="M24" i="14" s="1"/>
  <c r="L186" i="4"/>
  <c r="AL186" i="4" s="1"/>
  <c r="M184" i="14" s="1"/>
  <c r="L178" i="4"/>
  <c r="AL178" i="4" s="1"/>
  <c r="M176" i="14" s="1"/>
  <c r="Z23" i="1"/>
  <c r="AG22" i="1"/>
  <c r="AH22" i="1" s="1"/>
  <c r="M8" i="4"/>
  <c r="AM8" i="4" s="1"/>
  <c r="N6" i="14" s="1"/>
  <c r="AA22" i="1"/>
  <c r="AC21" i="1"/>
  <c r="AF21" i="1" s="1"/>
  <c r="AI21" i="1" s="1"/>
  <c r="M125" i="14" l="1"/>
  <c r="M75" i="14"/>
  <c r="M54" i="16"/>
  <c r="M111" i="16"/>
  <c r="M80" i="16"/>
  <c r="M25" i="16"/>
  <c r="M135" i="16"/>
  <c r="M74" i="16"/>
  <c r="M117" i="16"/>
  <c r="M77" i="16"/>
  <c r="M16" i="16"/>
  <c r="M164" i="16"/>
  <c r="M136" i="16"/>
  <c r="M180" i="16"/>
  <c r="M90" i="16"/>
  <c r="M146" i="16"/>
  <c r="M60" i="16"/>
  <c r="M185" i="16"/>
  <c r="M91" i="16"/>
  <c r="M188" i="16"/>
  <c r="M157" i="16"/>
  <c r="M195" i="16"/>
  <c r="M172" i="16"/>
  <c r="M96" i="16"/>
  <c r="M144" i="16"/>
  <c r="M183" i="16"/>
  <c r="M176" i="16"/>
  <c r="M32" i="16"/>
  <c r="M112" i="16"/>
  <c r="M113" i="16"/>
  <c r="M63" i="16"/>
  <c r="M18" i="16"/>
  <c r="M67" i="16"/>
  <c r="M33" i="16"/>
  <c r="M151" i="16"/>
  <c r="M119" i="16"/>
  <c r="M166" i="16"/>
  <c r="M120" i="16"/>
  <c r="M126" i="16"/>
  <c r="M103" i="16"/>
  <c r="M50" i="16"/>
  <c r="M204" i="16"/>
  <c r="M162" i="16"/>
  <c r="M55" i="16"/>
  <c r="M100" i="16"/>
  <c r="M128" i="16"/>
  <c r="M92" i="16"/>
  <c r="M169" i="16"/>
  <c r="M200" i="16"/>
  <c r="M116" i="16"/>
  <c r="M150" i="16"/>
  <c r="M153" i="16"/>
  <c r="M99" i="16"/>
  <c r="M152" i="16"/>
  <c r="M125" i="16"/>
  <c r="M127" i="16"/>
  <c r="M121" i="16"/>
  <c r="M73" i="16"/>
  <c r="M115" i="16"/>
  <c r="M48" i="16"/>
  <c r="M65" i="16"/>
  <c r="M22" i="16"/>
  <c r="M46" i="16"/>
  <c r="M156" i="16"/>
  <c r="M78" i="16"/>
  <c r="M201" i="16"/>
  <c r="M142" i="16"/>
  <c r="M79" i="16"/>
  <c r="M29" i="16"/>
  <c r="M26" i="16"/>
  <c r="M72" i="16"/>
  <c r="M15" i="16"/>
  <c r="M51" i="16"/>
  <c r="M24" i="16"/>
  <c r="M137" i="16"/>
  <c r="M52" i="16"/>
  <c r="M114" i="16"/>
  <c r="M42" i="16"/>
  <c r="M75" i="16"/>
  <c r="M70" i="16"/>
  <c r="M174" i="16"/>
  <c r="M94" i="16"/>
  <c r="M43" i="16"/>
  <c r="M19" i="16"/>
  <c r="M97" i="16"/>
  <c r="M66" i="16"/>
  <c r="M45" i="16"/>
  <c r="M108" i="16"/>
  <c r="M84" i="16"/>
  <c r="M87" i="16"/>
  <c r="M93" i="16"/>
  <c r="M140" i="16"/>
  <c r="M41" i="16"/>
  <c r="M62" i="16"/>
  <c r="M190" i="16"/>
  <c r="M83" i="16"/>
  <c r="M89" i="16"/>
  <c r="M64" i="16"/>
  <c r="M134" i="16"/>
  <c r="M189" i="16"/>
  <c r="M31" i="16"/>
  <c r="M36" i="16"/>
  <c r="M20" i="16"/>
  <c r="M34" i="16"/>
  <c r="M56" i="16"/>
  <c r="M199" i="16"/>
  <c r="M129" i="16"/>
  <c r="M205" i="16"/>
  <c r="M198" i="16"/>
  <c r="M173" i="16"/>
  <c r="M131" i="16"/>
  <c r="M86" i="16"/>
  <c r="M27" i="16"/>
  <c r="M193" i="16"/>
  <c r="M163" i="16"/>
  <c r="M132" i="16"/>
  <c r="M203" i="16"/>
  <c r="M102" i="16"/>
  <c r="M68" i="16"/>
  <c r="M124" i="16"/>
  <c r="M202" i="16"/>
  <c r="M11" i="16"/>
  <c r="M147" i="16"/>
  <c r="M98" i="16"/>
  <c r="M101" i="16"/>
  <c r="M104" i="16"/>
  <c r="M69" i="16"/>
  <c r="M21" i="16"/>
  <c r="M106" i="16"/>
  <c r="M123" i="16"/>
  <c r="M177" i="16"/>
  <c r="M53" i="16"/>
  <c r="M59" i="16"/>
  <c r="M186" i="16"/>
  <c r="M165" i="16"/>
  <c r="M81" i="16"/>
  <c r="M38" i="16"/>
  <c r="M17" i="16"/>
  <c r="M109" i="16"/>
  <c r="M30" i="16"/>
  <c r="M37" i="16"/>
  <c r="M35" i="16"/>
  <c r="M197" i="16"/>
  <c r="M141" i="16"/>
  <c r="M182" i="16"/>
  <c r="M71" i="16"/>
  <c r="M175" i="16"/>
  <c r="M8" i="16"/>
  <c r="M160" i="16"/>
  <c r="M57" i="16"/>
  <c r="M179" i="16"/>
  <c r="M138" i="16"/>
  <c r="M155" i="16"/>
  <c r="M178" i="16"/>
  <c r="M181" i="16"/>
  <c r="M61" i="16"/>
  <c r="M130" i="16"/>
  <c r="M133" i="16"/>
  <c r="M47" i="16"/>
  <c r="M14" i="16"/>
  <c r="M44" i="16"/>
  <c r="M187" i="16"/>
  <c r="M168" i="16"/>
  <c r="M161" i="16"/>
  <c r="M40" i="16"/>
  <c r="M88" i="16"/>
  <c r="M159" i="16"/>
  <c r="M158" i="16"/>
  <c r="N6" i="16"/>
  <c r="M171" i="16"/>
  <c r="M23" i="16"/>
  <c r="M143" i="16"/>
  <c r="M139" i="16"/>
  <c r="M122" i="16"/>
  <c r="M58" i="16"/>
  <c r="M194" i="16"/>
  <c r="M82" i="16"/>
  <c r="M118" i="16"/>
  <c r="M39" i="16"/>
  <c r="M154" i="16"/>
  <c r="M12" i="16"/>
  <c r="M49" i="16"/>
  <c r="M148" i="16"/>
  <c r="M196" i="16"/>
  <c r="M145" i="16"/>
  <c r="M9" i="16"/>
  <c r="M28" i="16"/>
  <c r="M170" i="16"/>
  <c r="M95" i="16"/>
  <c r="M191" i="16"/>
  <c r="M184" i="16"/>
  <c r="M13" i="16"/>
  <c r="M110" i="16"/>
  <c r="M105" i="16"/>
  <c r="M10" i="16"/>
  <c r="M192" i="16"/>
  <c r="M85" i="16"/>
  <c r="M167" i="16"/>
  <c r="M7" i="16"/>
  <c r="M107" i="16"/>
  <c r="M76" i="16"/>
  <c r="M149" i="16"/>
  <c r="M107" i="14"/>
  <c r="M16" i="14"/>
  <c r="M115" i="14"/>
  <c r="M145" i="14"/>
  <c r="U6" i="16"/>
  <c r="L3" i="4"/>
  <c r="L4" i="4" s="1"/>
  <c r="M91" i="4"/>
  <c r="AM91" i="4" s="1"/>
  <c r="N89" i="14" s="1"/>
  <c r="M198" i="4"/>
  <c r="AM198" i="4" s="1"/>
  <c r="N196" i="14" s="1"/>
  <c r="M84" i="4"/>
  <c r="AM84" i="4" s="1"/>
  <c r="N82" i="14" s="1"/>
  <c r="M64" i="4"/>
  <c r="AM64" i="4" s="1"/>
  <c r="N62" i="14" s="1"/>
  <c r="M88" i="4"/>
  <c r="AM88" i="4" s="1"/>
  <c r="N86" i="14" s="1"/>
  <c r="M61" i="4"/>
  <c r="AM61" i="4" s="1"/>
  <c r="N59" i="14" s="1"/>
  <c r="M26" i="4"/>
  <c r="AM26" i="4" s="1"/>
  <c r="N24" i="14" s="1"/>
  <c r="M31" i="4"/>
  <c r="AM31" i="4" s="1"/>
  <c r="N29" i="14" s="1"/>
  <c r="M52" i="4"/>
  <c r="AM52" i="4" s="1"/>
  <c r="N50" i="14" s="1"/>
  <c r="M81" i="4"/>
  <c r="AM81" i="4" s="1"/>
  <c r="N79" i="14" s="1"/>
  <c r="M92" i="4"/>
  <c r="AM92" i="4" s="1"/>
  <c r="N90" i="14" s="1"/>
  <c r="M21" i="4"/>
  <c r="AM21" i="4" s="1"/>
  <c r="N19" i="14" s="1"/>
  <c r="M116" i="4"/>
  <c r="AM116" i="4" s="1"/>
  <c r="N114" i="14" s="1"/>
  <c r="M60" i="4"/>
  <c r="AM60" i="4" s="1"/>
  <c r="N58" i="14" s="1"/>
  <c r="M63" i="4"/>
  <c r="AM63" i="4" s="1"/>
  <c r="N61" i="14" s="1"/>
  <c r="M195" i="4"/>
  <c r="AM195" i="4" s="1"/>
  <c r="N193" i="14" s="1"/>
  <c r="M80" i="4"/>
  <c r="AM80" i="4" s="1"/>
  <c r="N78" i="14" s="1"/>
  <c r="M192" i="4"/>
  <c r="AM192" i="4" s="1"/>
  <c r="N190" i="14" s="1"/>
  <c r="M190" i="4"/>
  <c r="AM190" i="4" s="1"/>
  <c r="N188" i="14" s="1"/>
  <c r="M130" i="4"/>
  <c r="AM130" i="4" s="1"/>
  <c r="N128" i="14" s="1"/>
  <c r="M32" i="4"/>
  <c r="AM32" i="4" s="1"/>
  <c r="N30" i="14" s="1"/>
  <c r="M79" i="4"/>
  <c r="AM79" i="4" s="1"/>
  <c r="N77" i="14" s="1"/>
  <c r="M120" i="4"/>
  <c r="AM120" i="4" s="1"/>
  <c r="M35" i="4"/>
  <c r="AM35" i="4" s="1"/>
  <c r="N33" i="14" s="1"/>
  <c r="M161" i="4"/>
  <c r="AM161" i="4" s="1"/>
  <c r="N159" i="14" s="1"/>
  <c r="M29" i="4"/>
  <c r="AM29" i="4" s="1"/>
  <c r="N27" i="14" s="1"/>
  <c r="M78" i="4"/>
  <c r="AM78" i="4" s="1"/>
  <c r="N76" i="14" s="1"/>
  <c r="M62" i="4"/>
  <c r="AM62" i="4" s="1"/>
  <c r="N60" i="14" s="1"/>
  <c r="M139" i="4"/>
  <c r="AM139" i="4" s="1"/>
  <c r="N137" i="14" s="1"/>
  <c r="M153" i="4"/>
  <c r="AM153" i="4" s="1"/>
  <c r="N151" i="14" s="1"/>
  <c r="M111" i="4"/>
  <c r="AM111" i="4" s="1"/>
  <c r="N109" i="14" s="1"/>
  <c r="M154" i="4"/>
  <c r="AM154" i="4" s="1"/>
  <c r="N152" i="14" s="1"/>
  <c r="M19" i="4"/>
  <c r="AM19" i="4" s="1"/>
  <c r="N17" i="14" s="1"/>
  <c r="M49" i="4"/>
  <c r="AM49" i="4" s="1"/>
  <c r="N47" i="14" s="1"/>
  <c r="M70" i="4"/>
  <c r="AM70" i="4" s="1"/>
  <c r="N68" i="14" s="1"/>
  <c r="M95" i="4"/>
  <c r="AM95" i="4" s="1"/>
  <c r="N93" i="14" s="1"/>
  <c r="M174" i="4"/>
  <c r="AM174" i="4" s="1"/>
  <c r="N172" i="14" s="1"/>
  <c r="M115" i="4"/>
  <c r="AM115" i="4" s="1"/>
  <c r="N113" i="14" s="1"/>
  <c r="M46" i="4"/>
  <c r="AM46" i="4" s="1"/>
  <c r="N44" i="14" s="1"/>
  <c r="M53" i="4"/>
  <c r="AM53" i="4" s="1"/>
  <c r="N51" i="14" s="1"/>
  <c r="M132" i="4"/>
  <c r="AM132" i="4" s="1"/>
  <c r="N130" i="14" s="1"/>
  <c r="M169" i="4"/>
  <c r="AM169" i="4" s="1"/>
  <c r="N167" i="14" s="1"/>
  <c r="M108" i="4"/>
  <c r="AM108" i="4" s="1"/>
  <c r="N106" i="14" s="1"/>
  <c r="M9" i="4"/>
  <c r="AM9" i="4" s="1"/>
  <c r="N7" i="14" s="1"/>
  <c r="M98" i="4"/>
  <c r="AM98" i="4" s="1"/>
  <c r="N96" i="14" s="1"/>
  <c r="M194" i="4"/>
  <c r="AM194" i="4" s="1"/>
  <c r="N192" i="14" s="1"/>
  <c r="M25" i="4"/>
  <c r="AM25" i="4" s="1"/>
  <c r="N23" i="14" s="1"/>
  <c r="M106" i="4"/>
  <c r="AM106" i="4" s="1"/>
  <c r="N104" i="14" s="1"/>
  <c r="M122" i="4"/>
  <c r="AM122" i="4" s="1"/>
  <c r="N120" i="14" s="1"/>
  <c r="M191" i="4"/>
  <c r="AM191" i="4" s="1"/>
  <c r="N189" i="14" s="1"/>
  <c r="M104" i="4"/>
  <c r="AM104" i="4" s="1"/>
  <c r="N102" i="14" s="1"/>
  <c r="M123" i="4"/>
  <c r="AM123" i="4" s="1"/>
  <c r="N121" i="14" s="1"/>
  <c r="M58" i="4"/>
  <c r="AM58" i="4" s="1"/>
  <c r="N56" i="14" s="1"/>
  <c r="M57" i="4"/>
  <c r="AM57" i="4" s="1"/>
  <c r="N55" i="14" s="1"/>
  <c r="M24" i="4"/>
  <c r="AM24" i="4" s="1"/>
  <c r="N22" i="14" s="1"/>
  <c r="M87" i="4"/>
  <c r="AM87" i="4" s="1"/>
  <c r="N85" i="14" s="1"/>
  <c r="M28" i="4"/>
  <c r="AM28" i="4" s="1"/>
  <c r="N26" i="14" s="1"/>
  <c r="M156" i="4"/>
  <c r="AM156" i="4" s="1"/>
  <c r="N154" i="14" s="1"/>
  <c r="M167" i="4"/>
  <c r="AM167" i="4" s="1"/>
  <c r="N165" i="14" s="1"/>
  <c r="M16" i="4"/>
  <c r="AM16" i="4" s="1"/>
  <c r="N14" i="14" s="1"/>
  <c r="M140" i="4"/>
  <c r="AM140" i="4" s="1"/>
  <c r="N138" i="14" s="1"/>
  <c r="M152" i="4"/>
  <c r="AM152" i="4" s="1"/>
  <c r="M177" i="4"/>
  <c r="AM177" i="4" s="1"/>
  <c r="N175" i="14" s="1"/>
  <c r="M112" i="4"/>
  <c r="AM112" i="4" s="1"/>
  <c r="M136" i="4"/>
  <c r="AM136" i="4" s="1"/>
  <c r="N134" i="14" s="1"/>
  <c r="M18" i="4"/>
  <c r="AM18" i="4" s="1"/>
  <c r="M34" i="4"/>
  <c r="AM34" i="4" s="1"/>
  <c r="N32" i="14" s="1"/>
  <c r="M165" i="4"/>
  <c r="AM165" i="4" s="1"/>
  <c r="N163" i="14" s="1"/>
  <c r="M131" i="4"/>
  <c r="AM131" i="4" s="1"/>
  <c r="N129" i="14" s="1"/>
  <c r="M102" i="4"/>
  <c r="AM102" i="4" s="1"/>
  <c r="N100" i="14" s="1"/>
  <c r="M129" i="4"/>
  <c r="AM129" i="4" s="1"/>
  <c r="N127" i="14" s="1"/>
  <c r="M180" i="4"/>
  <c r="AM180" i="4" s="1"/>
  <c r="N178" i="14" s="1"/>
  <c r="M135" i="4"/>
  <c r="AM135" i="4" s="1"/>
  <c r="N133" i="14" s="1"/>
  <c r="M105" i="4"/>
  <c r="AM105" i="4" s="1"/>
  <c r="N103" i="14" s="1"/>
  <c r="M125" i="4"/>
  <c r="AM125" i="4" s="1"/>
  <c r="N123" i="14" s="1"/>
  <c r="AK3" i="4"/>
  <c r="AK4" i="4" s="1"/>
  <c r="M113" i="4"/>
  <c r="AM113" i="4" s="1"/>
  <c r="N111" i="14" s="1"/>
  <c r="M146" i="4"/>
  <c r="AM146" i="4" s="1"/>
  <c r="N144" i="14" s="1"/>
  <c r="M196" i="4"/>
  <c r="AM196" i="4" s="1"/>
  <c r="N194" i="14" s="1"/>
  <c r="M51" i="4"/>
  <c r="AM51" i="4" s="1"/>
  <c r="N49" i="14" s="1"/>
  <c r="M187" i="4"/>
  <c r="AM187" i="4" s="1"/>
  <c r="N185" i="14" s="1"/>
  <c r="M44" i="4"/>
  <c r="AM44" i="4" s="1"/>
  <c r="N42" i="14" s="1"/>
  <c r="M175" i="4"/>
  <c r="AM175" i="4" s="1"/>
  <c r="N173" i="14" s="1"/>
  <c r="M178" i="4"/>
  <c r="AM178" i="4" s="1"/>
  <c r="N176" i="14" s="1"/>
  <c r="M89" i="4"/>
  <c r="AM89" i="4" s="1"/>
  <c r="N87" i="14" s="1"/>
  <c r="M126" i="4"/>
  <c r="AM126" i="4" s="1"/>
  <c r="N124" i="14" s="1"/>
  <c r="M65" i="4"/>
  <c r="AM65" i="4" s="1"/>
  <c r="N63" i="14" s="1"/>
  <c r="M199" i="4"/>
  <c r="AM199" i="4" s="1"/>
  <c r="N197" i="14" s="1"/>
  <c r="M90" i="4"/>
  <c r="AM90" i="4" s="1"/>
  <c r="N88" i="14" s="1"/>
  <c r="M68" i="4"/>
  <c r="AM68" i="4" s="1"/>
  <c r="N66" i="14" s="1"/>
  <c r="M48" i="4"/>
  <c r="AM48" i="4" s="1"/>
  <c r="N46" i="14" s="1"/>
  <c r="M86" i="4"/>
  <c r="AM86" i="4" s="1"/>
  <c r="N84" i="14" s="1"/>
  <c r="M30" i="4"/>
  <c r="AM30" i="4" s="1"/>
  <c r="N28" i="14" s="1"/>
  <c r="M157" i="4"/>
  <c r="AM157" i="4" s="1"/>
  <c r="N155" i="14" s="1"/>
  <c r="M193" i="4"/>
  <c r="AM193" i="4" s="1"/>
  <c r="N191" i="14" s="1"/>
  <c r="M200" i="4"/>
  <c r="AM200" i="4" s="1"/>
  <c r="N198" i="14" s="1"/>
  <c r="M99" i="4"/>
  <c r="AM99" i="4" s="1"/>
  <c r="N97" i="14" s="1"/>
  <c r="M128" i="4"/>
  <c r="AM128" i="4" s="1"/>
  <c r="N126" i="14" s="1"/>
  <c r="M10" i="4"/>
  <c r="AM10" i="4" s="1"/>
  <c r="N8" i="14" s="1"/>
  <c r="M147" i="4"/>
  <c r="AM147" i="4" s="1"/>
  <c r="M23" i="4"/>
  <c r="AM23" i="4" s="1"/>
  <c r="N21" i="14" s="1"/>
  <c r="M38" i="4"/>
  <c r="AM38" i="4" s="1"/>
  <c r="N36" i="14" s="1"/>
  <c r="M134" i="4"/>
  <c r="AM134" i="4" s="1"/>
  <c r="N132" i="14" s="1"/>
  <c r="M55" i="4"/>
  <c r="AM55" i="4" s="1"/>
  <c r="N53" i="14" s="1"/>
  <c r="M188" i="4"/>
  <c r="AM188" i="4" s="1"/>
  <c r="N186" i="14" s="1"/>
  <c r="M13" i="4"/>
  <c r="AM13" i="4" s="1"/>
  <c r="N11" i="14" s="1"/>
  <c r="M127" i="4"/>
  <c r="AM127" i="4" s="1"/>
  <c r="N125" i="14" s="1"/>
  <c r="M172" i="4"/>
  <c r="AM172" i="4" s="1"/>
  <c r="N170" i="14" s="1"/>
  <c r="M45" i="4"/>
  <c r="AM45" i="4" s="1"/>
  <c r="M159" i="4"/>
  <c r="AM159" i="4" s="1"/>
  <c r="N157" i="14" s="1"/>
  <c r="M155" i="4"/>
  <c r="AM155" i="4" s="1"/>
  <c r="N153" i="14" s="1"/>
  <c r="M173" i="4"/>
  <c r="AM173" i="4" s="1"/>
  <c r="N171" i="14" s="1"/>
  <c r="M83" i="4"/>
  <c r="AM83" i="4" s="1"/>
  <c r="N81" i="14" s="1"/>
  <c r="M206" i="4"/>
  <c r="AM206" i="4" s="1"/>
  <c r="N204" i="14" s="1"/>
  <c r="M109" i="4"/>
  <c r="AM109" i="4" s="1"/>
  <c r="M94" i="4"/>
  <c r="AM94" i="4" s="1"/>
  <c r="N92" i="14" s="1"/>
  <c r="M197" i="4"/>
  <c r="AM197" i="4" s="1"/>
  <c r="N195" i="14" s="1"/>
  <c r="M162" i="4"/>
  <c r="AM162" i="4" s="1"/>
  <c r="N160" i="14" s="1"/>
  <c r="M40" i="4"/>
  <c r="AM40" i="4" s="1"/>
  <c r="N38" i="14" s="1"/>
  <c r="M93" i="4"/>
  <c r="AM93" i="4" s="1"/>
  <c r="N91" i="14" s="1"/>
  <c r="M12" i="4"/>
  <c r="AM12" i="4" s="1"/>
  <c r="N10" i="14" s="1"/>
  <c r="M186" i="4"/>
  <c r="AM186" i="4" s="1"/>
  <c r="N184" i="14" s="1"/>
  <c r="M158" i="4"/>
  <c r="AM158" i="4" s="1"/>
  <c r="N156" i="14" s="1"/>
  <c r="M124" i="4"/>
  <c r="AM124" i="4" s="1"/>
  <c r="N122" i="14" s="1"/>
  <c r="M47" i="4"/>
  <c r="AM47" i="4" s="1"/>
  <c r="N45" i="14" s="1"/>
  <c r="M163" i="4"/>
  <c r="AM163" i="4" s="1"/>
  <c r="N161" i="14" s="1"/>
  <c r="M77" i="4"/>
  <c r="AM77" i="4" s="1"/>
  <c r="N75" i="14" s="1"/>
  <c r="M164" i="4"/>
  <c r="AM164" i="4" s="1"/>
  <c r="N162" i="14" s="1"/>
  <c r="M171" i="4"/>
  <c r="AM171" i="4" s="1"/>
  <c r="N169" i="14" s="1"/>
  <c r="M204" i="4"/>
  <c r="AM204" i="4" s="1"/>
  <c r="N202" i="14" s="1"/>
  <c r="M20" i="4"/>
  <c r="AM20" i="4" s="1"/>
  <c r="N18" i="14" s="1"/>
  <c r="M66" i="4"/>
  <c r="AM66" i="4" s="1"/>
  <c r="N64" i="14" s="1"/>
  <c r="M37" i="4"/>
  <c r="AM37" i="4" s="1"/>
  <c r="N35" i="14" s="1"/>
  <c r="M100" i="4"/>
  <c r="AM100" i="4" s="1"/>
  <c r="N98" i="14" s="1"/>
  <c r="M59" i="4"/>
  <c r="AM59" i="4" s="1"/>
  <c r="N57" i="14" s="1"/>
  <c r="M56" i="4"/>
  <c r="AM56" i="4" s="1"/>
  <c r="N54" i="14" s="1"/>
  <c r="M207" i="4"/>
  <c r="AM207" i="4" s="1"/>
  <c r="N205" i="14" s="1"/>
  <c r="M101" i="4"/>
  <c r="AM101" i="4" s="1"/>
  <c r="N99" i="14" s="1"/>
  <c r="M138" i="4"/>
  <c r="AM138" i="4" s="1"/>
  <c r="N136" i="14" s="1"/>
  <c r="M11" i="4"/>
  <c r="AM11" i="4" s="1"/>
  <c r="N9" i="14" s="1"/>
  <c r="M14" i="4"/>
  <c r="AM14" i="4" s="1"/>
  <c r="N12" i="14" s="1"/>
  <c r="M203" i="4"/>
  <c r="AM203" i="4" s="1"/>
  <c r="N201" i="14" s="1"/>
  <c r="M141" i="4"/>
  <c r="AM141" i="4" s="1"/>
  <c r="N139" i="14" s="1"/>
  <c r="M181" i="4"/>
  <c r="AM181" i="4" s="1"/>
  <c r="N179" i="14" s="1"/>
  <c r="M168" i="4"/>
  <c r="AM168" i="4" s="1"/>
  <c r="N166" i="14" s="1"/>
  <c r="M71" i="4"/>
  <c r="AM71" i="4" s="1"/>
  <c r="N69" i="14" s="1"/>
  <c r="M142" i="4"/>
  <c r="AM142" i="4" s="1"/>
  <c r="N140" i="14" s="1"/>
  <c r="M117" i="4"/>
  <c r="AM117" i="4" s="1"/>
  <c r="N115" i="14" s="1"/>
  <c r="M36" i="4"/>
  <c r="AM36" i="4" s="1"/>
  <c r="N34" i="14" s="1"/>
  <c r="M15" i="4"/>
  <c r="AM15" i="4" s="1"/>
  <c r="N13" i="14" s="1"/>
  <c r="M73" i="4"/>
  <c r="AM73" i="4" s="1"/>
  <c r="N71" i="14" s="1"/>
  <c r="M42" i="4"/>
  <c r="AM42" i="4" s="1"/>
  <c r="N40" i="14" s="1"/>
  <c r="M201" i="4"/>
  <c r="AM201" i="4" s="1"/>
  <c r="N199" i="14" s="1"/>
  <c r="M166" i="4"/>
  <c r="AM166" i="4" s="1"/>
  <c r="N164" i="14" s="1"/>
  <c r="M182" i="4"/>
  <c r="AM182" i="4" s="1"/>
  <c r="N180" i="14" s="1"/>
  <c r="M202" i="4"/>
  <c r="AM202" i="4" s="1"/>
  <c r="N200" i="14" s="1"/>
  <c r="M170" i="4"/>
  <c r="AM170" i="4" s="1"/>
  <c r="N168" i="14" s="1"/>
  <c r="M183" i="4"/>
  <c r="AM183" i="4" s="1"/>
  <c r="N181" i="14" s="1"/>
  <c r="M185" i="4"/>
  <c r="AM185" i="4" s="1"/>
  <c r="M110" i="4"/>
  <c r="AM110" i="4" s="1"/>
  <c r="N108" i="14" s="1"/>
  <c r="M72" i="4"/>
  <c r="AM72" i="4" s="1"/>
  <c r="N70" i="14" s="1"/>
  <c r="M103" i="4"/>
  <c r="AM103" i="4" s="1"/>
  <c r="N101" i="14" s="1"/>
  <c r="M96" i="4"/>
  <c r="AM96" i="4" s="1"/>
  <c r="N94" i="14" s="1"/>
  <c r="M85" i="4"/>
  <c r="AM85" i="4" s="1"/>
  <c r="N83" i="14" s="1"/>
  <c r="M75" i="4"/>
  <c r="AM75" i="4" s="1"/>
  <c r="M17" i="4"/>
  <c r="AM17" i="4" s="1"/>
  <c r="N15" i="14" s="1"/>
  <c r="M143" i="4"/>
  <c r="AM143" i="4" s="1"/>
  <c r="N141" i="14" s="1"/>
  <c r="M149" i="4"/>
  <c r="AM149" i="4" s="1"/>
  <c r="N147" i="14" s="1"/>
  <c r="M107" i="4"/>
  <c r="AM107" i="4" s="1"/>
  <c r="N105" i="14" s="1"/>
  <c r="M121" i="4"/>
  <c r="AM121" i="4" s="1"/>
  <c r="N119" i="14" s="1"/>
  <c r="M205" i="4"/>
  <c r="AM205" i="4" s="1"/>
  <c r="N203" i="14" s="1"/>
  <c r="M22" i="4"/>
  <c r="AM22" i="4" s="1"/>
  <c r="N20" i="14" s="1"/>
  <c r="M160" i="4"/>
  <c r="AM160" i="4" s="1"/>
  <c r="N158" i="14" s="1"/>
  <c r="M148" i="4"/>
  <c r="AM148" i="4" s="1"/>
  <c r="N146" i="14" s="1"/>
  <c r="M176" i="4"/>
  <c r="AM176" i="4" s="1"/>
  <c r="N174" i="14" s="1"/>
  <c r="M97" i="4"/>
  <c r="AM97" i="4" s="1"/>
  <c r="N95" i="14" s="1"/>
  <c r="M50" i="4"/>
  <c r="AM50" i="4" s="1"/>
  <c r="N48" i="14" s="1"/>
  <c r="M144" i="4"/>
  <c r="AM144" i="4" s="1"/>
  <c r="N142" i="14" s="1"/>
  <c r="M67" i="4"/>
  <c r="AM67" i="4" s="1"/>
  <c r="N65" i="14" s="1"/>
  <c r="M137" i="4"/>
  <c r="AM137" i="4" s="1"/>
  <c r="N135" i="14" s="1"/>
  <c r="M145" i="4"/>
  <c r="AM145" i="4" s="1"/>
  <c r="N143" i="14" s="1"/>
  <c r="M184" i="4"/>
  <c r="AM184" i="4" s="1"/>
  <c r="N182" i="14" s="1"/>
  <c r="M76" i="4"/>
  <c r="AM76" i="4" s="1"/>
  <c r="N74" i="14" s="1"/>
  <c r="M74" i="4"/>
  <c r="AM74" i="4" s="1"/>
  <c r="N72" i="14" s="1"/>
  <c r="M114" i="4"/>
  <c r="AM114" i="4" s="1"/>
  <c r="N112" i="14" s="1"/>
  <c r="M179" i="4"/>
  <c r="AM179" i="4" s="1"/>
  <c r="N177" i="14" s="1"/>
  <c r="M27" i="4"/>
  <c r="AM27" i="4" s="1"/>
  <c r="N25" i="14" s="1"/>
  <c r="M150" i="4"/>
  <c r="AM150" i="4" s="1"/>
  <c r="N148" i="14" s="1"/>
  <c r="M133" i="4"/>
  <c r="AM133" i="4" s="1"/>
  <c r="N131" i="14" s="1"/>
  <c r="M82" i="4"/>
  <c r="AM82" i="4" s="1"/>
  <c r="N80" i="14" s="1"/>
  <c r="M54" i="4"/>
  <c r="AM54" i="4" s="1"/>
  <c r="N52" i="14" s="1"/>
  <c r="M119" i="4"/>
  <c r="AM119" i="4" s="1"/>
  <c r="N117" i="14" s="1"/>
  <c r="M118" i="4"/>
  <c r="AM118" i="4" s="1"/>
  <c r="N116" i="14" s="1"/>
  <c r="M189" i="4"/>
  <c r="AM189" i="4" s="1"/>
  <c r="N187" i="14" s="1"/>
  <c r="M43" i="4"/>
  <c r="AM43" i="4" s="1"/>
  <c r="N41" i="14" s="1"/>
  <c r="M69" i="4"/>
  <c r="AM69" i="4" s="1"/>
  <c r="N67" i="14" s="1"/>
  <c r="M151" i="4"/>
  <c r="AM151" i="4" s="1"/>
  <c r="N149" i="14" s="1"/>
  <c r="M33" i="4"/>
  <c r="AM33" i="4" s="1"/>
  <c r="N31" i="14" s="1"/>
  <c r="M39" i="4"/>
  <c r="AM39" i="4" s="1"/>
  <c r="N37" i="14" s="1"/>
  <c r="M41" i="4"/>
  <c r="AM41" i="4" s="1"/>
  <c r="N39" i="14" s="1"/>
  <c r="Z24" i="1"/>
  <c r="AG23" i="1"/>
  <c r="AH23" i="1" s="1"/>
  <c r="N8" i="4"/>
  <c r="AN8" i="4" s="1"/>
  <c r="O6" i="14" s="1"/>
  <c r="AC22" i="1"/>
  <c r="AF22" i="1" s="1"/>
  <c r="AI22" i="1" s="1"/>
  <c r="AA23" i="1"/>
  <c r="N16" i="14" l="1"/>
  <c r="N145" i="14"/>
  <c r="N73" i="14"/>
  <c r="N85" i="16"/>
  <c r="N95" i="16"/>
  <c r="N12" i="16"/>
  <c r="N23" i="16"/>
  <c r="N168" i="16"/>
  <c r="N181" i="16"/>
  <c r="N179" i="16"/>
  <c r="N197" i="16"/>
  <c r="N165" i="16"/>
  <c r="N69" i="16"/>
  <c r="N104" i="16"/>
  <c r="N102" i="16"/>
  <c r="N173" i="16"/>
  <c r="N89" i="16"/>
  <c r="N84" i="16"/>
  <c r="N174" i="16"/>
  <c r="N72" i="16"/>
  <c r="N46" i="16"/>
  <c r="N125" i="16"/>
  <c r="N153" i="16"/>
  <c r="N55" i="16"/>
  <c r="N119" i="16"/>
  <c r="N32" i="16"/>
  <c r="N96" i="16"/>
  <c r="N146" i="16"/>
  <c r="N74" i="16"/>
  <c r="N43" i="14"/>
  <c r="N192" i="16"/>
  <c r="N170" i="16"/>
  <c r="N154" i="16"/>
  <c r="N171" i="16"/>
  <c r="N187" i="16"/>
  <c r="N178" i="16"/>
  <c r="N57" i="16"/>
  <c r="N35" i="16"/>
  <c r="N186" i="16"/>
  <c r="N101" i="16"/>
  <c r="N203" i="16"/>
  <c r="N198" i="16"/>
  <c r="N83" i="16"/>
  <c r="N108" i="16"/>
  <c r="N70" i="16"/>
  <c r="N42" i="16"/>
  <c r="N26" i="16"/>
  <c r="N22" i="16"/>
  <c r="N152" i="16"/>
  <c r="N150" i="16"/>
  <c r="N162" i="16"/>
  <c r="N151" i="16"/>
  <c r="N172" i="16"/>
  <c r="N90" i="16"/>
  <c r="N135" i="16"/>
  <c r="N10" i="16"/>
  <c r="N28" i="16"/>
  <c r="N39" i="16"/>
  <c r="N82" i="16"/>
  <c r="N44" i="16"/>
  <c r="N155" i="16"/>
  <c r="N160" i="16"/>
  <c r="N37" i="16"/>
  <c r="N59" i="16"/>
  <c r="N98" i="16"/>
  <c r="N132" i="16"/>
  <c r="N205" i="16"/>
  <c r="N190" i="16"/>
  <c r="N45" i="16"/>
  <c r="N75" i="16"/>
  <c r="N114" i="16"/>
  <c r="N29" i="16"/>
  <c r="N65" i="16"/>
  <c r="N116" i="16"/>
  <c r="N204" i="16"/>
  <c r="N33" i="16"/>
  <c r="N195" i="16"/>
  <c r="N180" i="16"/>
  <c r="N25" i="16"/>
  <c r="N149" i="16"/>
  <c r="N105" i="16"/>
  <c r="N9" i="16"/>
  <c r="N118" i="16"/>
  <c r="N194" i="16"/>
  <c r="N158" i="16"/>
  <c r="N14" i="16"/>
  <c r="N138" i="16"/>
  <c r="N8" i="16"/>
  <c r="N30" i="16"/>
  <c r="N53" i="16"/>
  <c r="N147" i="16"/>
  <c r="N163" i="16"/>
  <c r="N129" i="16"/>
  <c r="N36" i="16"/>
  <c r="N62" i="16"/>
  <c r="N66" i="16"/>
  <c r="N52" i="16"/>
  <c r="N79" i="16"/>
  <c r="N48" i="16"/>
  <c r="N200" i="16"/>
  <c r="N50" i="16"/>
  <c r="N67" i="16"/>
  <c r="N157" i="16"/>
  <c r="N136" i="16"/>
  <c r="N80" i="16"/>
  <c r="N76" i="16"/>
  <c r="N110" i="16"/>
  <c r="N145" i="16"/>
  <c r="N58" i="16"/>
  <c r="N159" i="16"/>
  <c r="N47" i="16"/>
  <c r="N175" i="16"/>
  <c r="N109" i="16"/>
  <c r="N177" i="16"/>
  <c r="N11" i="16"/>
  <c r="N193" i="16"/>
  <c r="N199" i="16"/>
  <c r="N31" i="16"/>
  <c r="N41" i="16"/>
  <c r="N97" i="16"/>
  <c r="N137" i="16"/>
  <c r="N142" i="16"/>
  <c r="N115" i="16"/>
  <c r="N169" i="16"/>
  <c r="N103" i="16"/>
  <c r="N18" i="16"/>
  <c r="N188" i="16"/>
  <c r="N164" i="16"/>
  <c r="N111" i="16"/>
  <c r="N107" i="16"/>
  <c r="N13" i="16"/>
  <c r="N196" i="16"/>
  <c r="N122" i="16"/>
  <c r="N88" i="16"/>
  <c r="N133" i="16"/>
  <c r="N71" i="16"/>
  <c r="N17" i="16"/>
  <c r="N123" i="16"/>
  <c r="N202" i="16"/>
  <c r="N27" i="16"/>
  <c r="N56" i="16"/>
  <c r="N189" i="16"/>
  <c r="N140" i="16"/>
  <c r="N19" i="16"/>
  <c r="N24" i="16"/>
  <c r="N201" i="16"/>
  <c r="N73" i="16"/>
  <c r="N92" i="16"/>
  <c r="N126" i="16"/>
  <c r="N63" i="16"/>
  <c r="N176" i="16"/>
  <c r="N91" i="16"/>
  <c r="N16" i="16"/>
  <c r="N54" i="16"/>
  <c r="N150" i="14"/>
  <c r="N7" i="16"/>
  <c r="N184" i="16"/>
  <c r="N148" i="16"/>
  <c r="N139" i="16"/>
  <c r="N40" i="16"/>
  <c r="N130" i="16"/>
  <c r="N182" i="16"/>
  <c r="N38" i="16"/>
  <c r="N106" i="16"/>
  <c r="N124" i="16"/>
  <c r="N86" i="16"/>
  <c r="N34" i="16"/>
  <c r="N134" i="16"/>
  <c r="N93" i="16"/>
  <c r="N43" i="16"/>
  <c r="N51" i="16"/>
  <c r="N78" i="16"/>
  <c r="N121" i="16"/>
  <c r="N128" i="16"/>
  <c r="N120" i="16"/>
  <c r="N113" i="16"/>
  <c r="N183" i="16"/>
  <c r="N185" i="16"/>
  <c r="N77" i="16"/>
  <c r="N167" i="16"/>
  <c r="N191" i="16"/>
  <c r="N49" i="16"/>
  <c r="N143" i="16"/>
  <c r="N161" i="16"/>
  <c r="N61" i="16"/>
  <c r="N141" i="16"/>
  <c r="N81" i="16"/>
  <c r="N21" i="16"/>
  <c r="N68" i="16"/>
  <c r="N131" i="16"/>
  <c r="N20" i="16"/>
  <c r="N64" i="16"/>
  <c r="N87" i="16"/>
  <c r="N94" i="16"/>
  <c r="N15" i="16"/>
  <c r="N156" i="16"/>
  <c r="N127" i="16"/>
  <c r="N99" i="16"/>
  <c r="N100" i="16"/>
  <c r="N166" i="16"/>
  <c r="N112" i="16"/>
  <c r="N144" i="16"/>
  <c r="N60" i="16"/>
  <c r="N117" i="16"/>
  <c r="N183" i="14"/>
  <c r="N110" i="14"/>
  <c r="N107" i="14"/>
  <c r="N118" i="14"/>
  <c r="P6" i="16"/>
  <c r="M3" i="4"/>
  <c r="M4" i="4" s="1"/>
  <c r="N90" i="4"/>
  <c r="N175" i="4"/>
  <c r="N113" i="4"/>
  <c r="N33" i="4"/>
  <c r="N189" i="4"/>
  <c r="N82" i="4"/>
  <c r="N74" i="4"/>
  <c r="N137" i="4"/>
  <c r="N97" i="4"/>
  <c r="N22" i="4"/>
  <c r="N149" i="4"/>
  <c r="N85" i="4"/>
  <c r="N110" i="4"/>
  <c r="N202" i="4"/>
  <c r="N42" i="4"/>
  <c r="N117" i="4"/>
  <c r="N181" i="4"/>
  <c r="N11" i="4"/>
  <c r="N56" i="4"/>
  <c r="N66" i="4"/>
  <c r="N204" i="4"/>
  <c r="N164" i="4"/>
  <c r="N124" i="4"/>
  <c r="N186" i="4"/>
  <c r="N93" i="4"/>
  <c r="N162" i="4"/>
  <c r="N94" i="4"/>
  <c r="N206" i="4"/>
  <c r="N173" i="4"/>
  <c r="N159" i="4"/>
  <c r="N172" i="4"/>
  <c r="N13" i="4"/>
  <c r="N55" i="4"/>
  <c r="N38" i="4"/>
  <c r="N147" i="4"/>
  <c r="N128" i="4"/>
  <c r="N200" i="4"/>
  <c r="N157" i="4"/>
  <c r="N105" i="4"/>
  <c r="N180" i="4"/>
  <c r="N102" i="4"/>
  <c r="N165" i="4"/>
  <c r="N18" i="4"/>
  <c r="N112" i="4"/>
  <c r="N152" i="4"/>
  <c r="N16" i="4"/>
  <c r="N156" i="4"/>
  <c r="N87" i="4"/>
  <c r="N57" i="4"/>
  <c r="N123" i="4"/>
  <c r="N191" i="4"/>
  <c r="N106" i="4"/>
  <c r="N194" i="4"/>
  <c r="N9" i="4"/>
  <c r="N169" i="4"/>
  <c r="N53" i="4"/>
  <c r="N115" i="4"/>
  <c r="N95" i="4"/>
  <c r="N49" i="4"/>
  <c r="N154" i="4"/>
  <c r="N153" i="4"/>
  <c r="N62" i="4"/>
  <c r="N29" i="4"/>
  <c r="N35" i="4"/>
  <c r="N79" i="4"/>
  <c r="N130" i="4"/>
  <c r="N192" i="4"/>
  <c r="N195" i="4"/>
  <c r="N60" i="4"/>
  <c r="N21" i="4"/>
  <c r="N81" i="4"/>
  <c r="N31" i="4"/>
  <c r="N61" i="4"/>
  <c r="N64" i="4"/>
  <c r="N198" i="4"/>
  <c r="N30" i="4"/>
  <c r="N65" i="4"/>
  <c r="N196" i="4"/>
  <c r="AL3" i="4"/>
  <c r="AL4" i="4" s="1"/>
  <c r="N41" i="4"/>
  <c r="N69" i="4"/>
  <c r="N119" i="4"/>
  <c r="N150" i="4"/>
  <c r="N179" i="4"/>
  <c r="N184" i="4"/>
  <c r="N144" i="4"/>
  <c r="N148" i="4"/>
  <c r="N121" i="4"/>
  <c r="N17" i="4"/>
  <c r="N103" i="4"/>
  <c r="N183" i="4"/>
  <c r="N166" i="4"/>
  <c r="N15" i="4"/>
  <c r="N71" i="4"/>
  <c r="N203" i="4"/>
  <c r="N101" i="4"/>
  <c r="N100" i="4"/>
  <c r="N163" i="4"/>
  <c r="N86" i="4"/>
  <c r="N68" i="4"/>
  <c r="N199" i="4"/>
  <c r="N126" i="4"/>
  <c r="N178" i="4"/>
  <c r="N44" i="4"/>
  <c r="N51" i="4"/>
  <c r="N146" i="4"/>
  <c r="N48" i="4"/>
  <c r="N89" i="4"/>
  <c r="N187" i="4"/>
  <c r="N39" i="4"/>
  <c r="N151" i="4"/>
  <c r="N43" i="4"/>
  <c r="N118" i="4"/>
  <c r="N54" i="4"/>
  <c r="N133" i="4"/>
  <c r="N27" i="4"/>
  <c r="N114" i="4"/>
  <c r="N76" i="4"/>
  <c r="N145" i="4"/>
  <c r="N67" i="4"/>
  <c r="N50" i="4"/>
  <c r="N176" i="4"/>
  <c r="N160" i="4"/>
  <c r="N205" i="4"/>
  <c r="N107" i="4"/>
  <c r="N143" i="4"/>
  <c r="N75" i="4"/>
  <c r="N96" i="4"/>
  <c r="N72" i="4"/>
  <c r="N185" i="4"/>
  <c r="N170" i="4"/>
  <c r="N182" i="4"/>
  <c r="N201" i="4"/>
  <c r="N73" i="4"/>
  <c r="N36" i="4"/>
  <c r="N142" i="4"/>
  <c r="N168" i="4"/>
  <c r="N141" i="4"/>
  <c r="N14" i="4"/>
  <c r="N138" i="4"/>
  <c r="N207" i="4"/>
  <c r="N59" i="4"/>
  <c r="N37" i="4"/>
  <c r="N20" i="4"/>
  <c r="N171" i="4"/>
  <c r="N77" i="4"/>
  <c r="N47" i="4"/>
  <c r="N158" i="4"/>
  <c r="N12" i="4"/>
  <c r="N40" i="4"/>
  <c r="N197" i="4"/>
  <c r="N109" i="4"/>
  <c r="N83" i="4"/>
  <c r="N155" i="4"/>
  <c r="N45" i="4"/>
  <c r="N127" i="4"/>
  <c r="N188" i="4"/>
  <c r="N134" i="4"/>
  <c r="N23" i="4"/>
  <c r="N10" i="4"/>
  <c r="N99" i="4"/>
  <c r="N193" i="4"/>
  <c r="N125" i="4"/>
  <c r="N135" i="4"/>
  <c r="N129" i="4"/>
  <c r="N131" i="4"/>
  <c r="N34" i="4"/>
  <c r="N136" i="4"/>
  <c r="N177" i="4"/>
  <c r="N140" i="4"/>
  <c r="N167" i="4"/>
  <c r="N28" i="4"/>
  <c r="N24" i="4"/>
  <c r="N58" i="4"/>
  <c r="N104" i="4"/>
  <c r="N122" i="4"/>
  <c r="N25" i="4"/>
  <c r="N98" i="4"/>
  <c r="N108" i="4"/>
  <c r="N132" i="4"/>
  <c r="N46" i="4"/>
  <c r="N174" i="4"/>
  <c r="N70" i="4"/>
  <c r="N19" i="4"/>
  <c r="N111" i="4"/>
  <c r="N139" i="4"/>
  <c r="N78" i="4"/>
  <c r="N161" i="4"/>
  <c r="N120" i="4"/>
  <c r="N32" i="4"/>
  <c r="N190" i="4"/>
  <c r="N80" i="4"/>
  <c r="N63" i="4"/>
  <c r="N116" i="4"/>
  <c r="N92" i="4"/>
  <c r="N52" i="4"/>
  <c r="N26" i="4"/>
  <c r="N88" i="4"/>
  <c r="N84" i="4"/>
  <c r="N91" i="4"/>
  <c r="AG24" i="1"/>
  <c r="AH24" i="1" s="1"/>
  <c r="Z25" i="1"/>
  <c r="O8" i="4"/>
  <c r="AO8" i="4" s="1"/>
  <c r="P6" i="14" s="1"/>
  <c r="AA24" i="1"/>
  <c r="AC23" i="1"/>
  <c r="AF23" i="1" s="1"/>
  <c r="AI23" i="1" s="1"/>
  <c r="P50" i="16" l="1"/>
  <c r="AN52" i="4"/>
  <c r="P137" i="16"/>
  <c r="AN139" i="4"/>
  <c r="O137" i="14" s="1"/>
  <c r="P130" i="16"/>
  <c r="AN132" i="4"/>
  <c r="O130" i="14" s="1"/>
  <c r="P165" i="16"/>
  <c r="AN167" i="4"/>
  <c r="O165" i="14" s="1"/>
  <c r="P134" i="16"/>
  <c r="AN136" i="4"/>
  <c r="O134" i="14" s="1"/>
  <c r="P191" i="16"/>
  <c r="AN193" i="4"/>
  <c r="O191" i="14" s="1"/>
  <c r="P107" i="16"/>
  <c r="AN109" i="4"/>
  <c r="O107" i="14" s="1"/>
  <c r="P57" i="16"/>
  <c r="AN59" i="4"/>
  <c r="O57" i="14" s="1"/>
  <c r="P94" i="16"/>
  <c r="AN96" i="4"/>
  <c r="O94" i="14" s="1"/>
  <c r="P105" i="16"/>
  <c r="AN107" i="4"/>
  <c r="O105" i="14" s="1"/>
  <c r="P74" i="16"/>
  <c r="AN76" i="4"/>
  <c r="O74" i="14" s="1"/>
  <c r="P41" i="16"/>
  <c r="AN43" i="4"/>
  <c r="O41" i="14" s="1"/>
  <c r="P144" i="16"/>
  <c r="AN146" i="4"/>
  <c r="O144" i="14" s="1"/>
  <c r="P197" i="16"/>
  <c r="AN199" i="4"/>
  <c r="O197" i="14" s="1"/>
  <c r="P69" i="16"/>
  <c r="AN71" i="4"/>
  <c r="O69" i="14" s="1"/>
  <c r="P146" i="16"/>
  <c r="AN148" i="4"/>
  <c r="O146" i="14" s="1"/>
  <c r="P29" i="16"/>
  <c r="AN31" i="4"/>
  <c r="P60" i="16"/>
  <c r="AN62" i="4"/>
  <c r="Q60" i="16" s="1"/>
  <c r="P167" i="16"/>
  <c r="AN169" i="4"/>
  <c r="P100" i="16"/>
  <c r="AN102" i="4"/>
  <c r="O100" i="14" s="1"/>
  <c r="P11" i="16"/>
  <c r="AN13" i="4"/>
  <c r="P160" i="16"/>
  <c r="AN162" i="4"/>
  <c r="Q160" i="16" s="1"/>
  <c r="P200" i="16"/>
  <c r="AN202" i="4"/>
  <c r="P80" i="16"/>
  <c r="AN82" i="4"/>
  <c r="O80" i="14" s="1"/>
  <c r="P82" i="16"/>
  <c r="AN84" i="4"/>
  <c r="O82" i="14" s="1"/>
  <c r="P159" i="16"/>
  <c r="AN161" i="4"/>
  <c r="O159" i="14" s="1"/>
  <c r="P97" i="16"/>
  <c r="AN99" i="4"/>
  <c r="O97" i="14" s="1"/>
  <c r="P43" i="16"/>
  <c r="AN45" i="4"/>
  <c r="Q43" i="16" s="1"/>
  <c r="P166" i="16"/>
  <c r="AN168" i="4"/>
  <c r="O166" i="14" s="1"/>
  <c r="P73" i="16"/>
  <c r="AN75" i="4"/>
  <c r="Q73" i="16" s="1"/>
  <c r="P185" i="16"/>
  <c r="AN187" i="4"/>
  <c r="O185" i="14" s="1"/>
  <c r="P176" i="16"/>
  <c r="AN178" i="4"/>
  <c r="O176" i="14" s="1"/>
  <c r="P66" i="16"/>
  <c r="AN68" i="4"/>
  <c r="P13" i="16"/>
  <c r="AN15" i="4"/>
  <c r="Q13" i="16" s="1"/>
  <c r="P177" i="16"/>
  <c r="AN179" i="4"/>
  <c r="P196" i="16"/>
  <c r="AN198" i="4"/>
  <c r="O196" i="14" s="1"/>
  <c r="P79" i="16"/>
  <c r="AN81" i="4"/>
  <c r="O79" i="14" s="1"/>
  <c r="P33" i="16"/>
  <c r="AN35" i="4"/>
  <c r="Q33" i="16" s="1"/>
  <c r="P151" i="16"/>
  <c r="AN153" i="4"/>
  <c r="O151" i="14" s="1"/>
  <c r="P93" i="16"/>
  <c r="AN95" i="4"/>
  <c r="O93" i="14" s="1"/>
  <c r="P104" i="16"/>
  <c r="AN106" i="4"/>
  <c r="O104" i="14" s="1"/>
  <c r="P55" i="16"/>
  <c r="AN57" i="4"/>
  <c r="O55" i="14" s="1"/>
  <c r="P14" i="16"/>
  <c r="AN16" i="4"/>
  <c r="O14" i="14" s="1"/>
  <c r="P16" i="16"/>
  <c r="AN18" i="4"/>
  <c r="O16" i="14" s="1"/>
  <c r="P178" i="16"/>
  <c r="AN180" i="4"/>
  <c r="O178" i="14" s="1"/>
  <c r="P198" i="16"/>
  <c r="AN200" i="4"/>
  <c r="O198" i="14" s="1"/>
  <c r="P171" i="16"/>
  <c r="AN173" i="4"/>
  <c r="O171" i="14" s="1"/>
  <c r="P91" i="16"/>
  <c r="AN93" i="4"/>
  <c r="O91" i="14" s="1"/>
  <c r="P54" i="16"/>
  <c r="AN56" i="4"/>
  <c r="O54" i="14" s="1"/>
  <c r="P179" i="16"/>
  <c r="AN181" i="4"/>
  <c r="O179" i="14" s="1"/>
  <c r="P147" i="16"/>
  <c r="AN149" i="4"/>
  <c r="P135" i="16"/>
  <c r="AN137" i="4"/>
  <c r="O135" i="14" s="1"/>
  <c r="P111" i="16"/>
  <c r="AN113" i="4"/>
  <c r="O111" i="14" s="1"/>
  <c r="P61" i="16"/>
  <c r="AN63" i="4"/>
  <c r="O61" i="14" s="1"/>
  <c r="P23" i="16"/>
  <c r="AN25" i="4"/>
  <c r="P125" i="16"/>
  <c r="AN127" i="4"/>
  <c r="O125" i="14" s="1"/>
  <c r="P193" i="16"/>
  <c r="AN195" i="4"/>
  <c r="O193" i="14" s="1"/>
  <c r="P36" i="16"/>
  <c r="AN38" i="4"/>
  <c r="O36" i="14" s="1"/>
  <c r="P162" i="16"/>
  <c r="AN164" i="4"/>
  <c r="O162" i="14" s="1"/>
  <c r="P83" i="16"/>
  <c r="AN85" i="4"/>
  <c r="O83" i="14" s="1"/>
  <c r="P31" i="16"/>
  <c r="AN33" i="4"/>
  <c r="P120" i="16"/>
  <c r="AN122" i="4"/>
  <c r="O120" i="14" s="1"/>
  <c r="P133" i="16"/>
  <c r="AN135" i="4"/>
  <c r="P169" i="16"/>
  <c r="AN171" i="4"/>
  <c r="O169" i="14" s="1"/>
  <c r="P168" i="16"/>
  <c r="AN170" i="4"/>
  <c r="P48" i="16"/>
  <c r="AN50" i="4"/>
  <c r="Q48" i="16" s="1"/>
  <c r="P131" i="16"/>
  <c r="AN133" i="4"/>
  <c r="O131" i="14" s="1"/>
  <c r="P15" i="16"/>
  <c r="AN17" i="4"/>
  <c r="Q15" i="16" s="1"/>
  <c r="P117" i="16"/>
  <c r="AN119" i="4"/>
  <c r="P86" i="16"/>
  <c r="AN88" i="4"/>
  <c r="O86" i="14" s="1"/>
  <c r="P90" i="16"/>
  <c r="AN92" i="4"/>
  <c r="P188" i="16"/>
  <c r="AN190" i="4"/>
  <c r="O188" i="14" s="1"/>
  <c r="P76" i="16"/>
  <c r="AN78" i="4"/>
  <c r="P109" i="16"/>
  <c r="AN111" i="4"/>
  <c r="O109" i="14" s="1"/>
  <c r="P172" i="16"/>
  <c r="AN174" i="4"/>
  <c r="O172" i="14" s="1"/>
  <c r="P106" i="16"/>
  <c r="AN108" i="4"/>
  <c r="O106" i="14" s="1"/>
  <c r="P22" i="16"/>
  <c r="AN24" i="4"/>
  <c r="O22" i="14" s="1"/>
  <c r="P138" i="16"/>
  <c r="AN140" i="4"/>
  <c r="O138" i="14" s="1"/>
  <c r="P129" i="16"/>
  <c r="AN131" i="4"/>
  <c r="O129" i="14" s="1"/>
  <c r="P186" i="16"/>
  <c r="AN188" i="4"/>
  <c r="O186" i="14" s="1"/>
  <c r="P153" i="16"/>
  <c r="AN155" i="4"/>
  <c r="O153" i="14" s="1"/>
  <c r="P195" i="16"/>
  <c r="AN197" i="4"/>
  <c r="O195" i="14" s="1"/>
  <c r="P156" i="16"/>
  <c r="AN158" i="4"/>
  <c r="O156" i="14" s="1"/>
  <c r="P18" i="16"/>
  <c r="AN20" i="4"/>
  <c r="O18" i="14" s="1"/>
  <c r="P136" i="16"/>
  <c r="AN138" i="4"/>
  <c r="P140" i="16"/>
  <c r="AN142" i="4"/>
  <c r="O140" i="14" s="1"/>
  <c r="P199" i="16"/>
  <c r="AN201" i="4"/>
  <c r="O199" i="14" s="1"/>
  <c r="P183" i="16"/>
  <c r="AN185" i="4"/>
  <c r="P158" i="16"/>
  <c r="AN160" i="4"/>
  <c r="O158" i="14" s="1"/>
  <c r="P65" i="16"/>
  <c r="AN67" i="4"/>
  <c r="Q65" i="16" s="1"/>
  <c r="P112" i="16"/>
  <c r="AN114" i="4"/>
  <c r="O112" i="14" s="1"/>
  <c r="P52" i="16"/>
  <c r="AN54" i="4"/>
  <c r="O52" i="14" s="1"/>
  <c r="P87" i="16"/>
  <c r="AN89" i="4"/>
  <c r="O87" i="14" s="1"/>
  <c r="P49" i="16"/>
  <c r="AN51" i="4"/>
  <c r="O49" i="14" s="1"/>
  <c r="P84" i="16"/>
  <c r="AN86" i="4"/>
  <c r="O84" i="14" s="1"/>
  <c r="P99" i="16"/>
  <c r="AN101" i="4"/>
  <c r="Q99" i="16" s="1"/>
  <c r="P164" i="16"/>
  <c r="AN166" i="4"/>
  <c r="P142" i="16"/>
  <c r="AN144" i="4"/>
  <c r="O142" i="14" s="1"/>
  <c r="P67" i="16"/>
  <c r="AN69" i="4"/>
  <c r="O67" i="14" s="1"/>
  <c r="P194" i="16"/>
  <c r="AN196" i="4"/>
  <c r="P62" i="16"/>
  <c r="AN64" i="4"/>
  <c r="O62" i="14" s="1"/>
  <c r="P19" i="16"/>
  <c r="AN21" i="4"/>
  <c r="P190" i="16"/>
  <c r="AN192" i="4"/>
  <c r="P152" i="16"/>
  <c r="AN154" i="4"/>
  <c r="O152" i="14" s="1"/>
  <c r="P113" i="16"/>
  <c r="AN115" i="4"/>
  <c r="O113" i="14" s="1"/>
  <c r="P7" i="16"/>
  <c r="AN9" i="4"/>
  <c r="O7" i="14" s="1"/>
  <c r="P189" i="16"/>
  <c r="AN191" i="4"/>
  <c r="O189" i="14" s="1"/>
  <c r="P85" i="16"/>
  <c r="AN87" i="4"/>
  <c r="O85" i="14" s="1"/>
  <c r="P150" i="16"/>
  <c r="AN152" i="4"/>
  <c r="P103" i="16"/>
  <c r="AN105" i="4"/>
  <c r="O103" i="14" s="1"/>
  <c r="P126" i="16"/>
  <c r="AN128" i="4"/>
  <c r="O126" i="14" s="1"/>
  <c r="P53" i="16"/>
  <c r="AN55" i="4"/>
  <c r="O53" i="14" s="1"/>
  <c r="P170" i="16"/>
  <c r="AN172" i="4"/>
  <c r="P204" i="16"/>
  <c r="AN206" i="4"/>
  <c r="O204" i="14" s="1"/>
  <c r="P184" i="16"/>
  <c r="AN186" i="4"/>
  <c r="Q184" i="16" s="1"/>
  <c r="P202" i="16"/>
  <c r="AN204" i="4"/>
  <c r="O202" i="14" s="1"/>
  <c r="P115" i="16"/>
  <c r="AN117" i="4"/>
  <c r="Q115" i="16" s="1"/>
  <c r="P108" i="16"/>
  <c r="AN110" i="4"/>
  <c r="Q108" i="16" s="1"/>
  <c r="P20" i="16"/>
  <c r="AN22" i="4"/>
  <c r="O20" i="14" s="1"/>
  <c r="P72" i="16"/>
  <c r="AN74" i="4"/>
  <c r="O72" i="14" s="1"/>
  <c r="P187" i="16"/>
  <c r="AN189" i="4"/>
  <c r="P173" i="16"/>
  <c r="AN175" i="4"/>
  <c r="O173" i="14" s="1"/>
  <c r="P118" i="16"/>
  <c r="AN120" i="4"/>
  <c r="P68" i="16"/>
  <c r="AN70" i="4"/>
  <c r="O68" i="14" s="1"/>
  <c r="P56" i="16"/>
  <c r="AN58" i="4"/>
  <c r="P21" i="16"/>
  <c r="AN23" i="4"/>
  <c r="O21" i="14" s="1"/>
  <c r="P10" i="16"/>
  <c r="AN12" i="4"/>
  <c r="O10" i="14" s="1"/>
  <c r="P75" i="16"/>
  <c r="AN77" i="4"/>
  <c r="O75" i="14" s="1"/>
  <c r="P139" i="16"/>
  <c r="AN141" i="4"/>
  <c r="O139" i="14" s="1"/>
  <c r="P180" i="16"/>
  <c r="AN182" i="4"/>
  <c r="O180" i="14" s="1"/>
  <c r="P174" i="16"/>
  <c r="AN176" i="4"/>
  <c r="P42" i="16"/>
  <c r="AN44" i="4"/>
  <c r="O42" i="14" s="1"/>
  <c r="P98" i="16"/>
  <c r="AN100" i="4"/>
  <c r="O98" i="14" s="1"/>
  <c r="P101" i="16"/>
  <c r="AN103" i="4"/>
  <c r="O101" i="14" s="1"/>
  <c r="P28" i="16"/>
  <c r="AN30" i="4"/>
  <c r="Q28" i="16" s="1"/>
  <c r="P77" i="16"/>
  <c r="AN79" i="4"/>
  <c r="O77" i="14" s="1"/>
  <c r="P121" i="16"/>
  <c r="AN123" i="4"/>
  <c r="O121" i="14" s="1"/>
  <c r="P78" i="16"/>
  <c r="AN80" i="4"/>
  <c r="O78" i="14" s="1"/>
  <c r="P32" i="16"/>
  <c r="AN34" i="4"/>
  <c r="O32" i="14" s="1"/>
  <c r="P132" i="16"/>
  <c r="AN134" i="4"/>
  <c r="Q132" i="16" s="1"/>
  <c r="P205" i="16"/>
  <c r="AN207" i="4"/>
  <c r="O205" i="14" s="1"/>
  <c r="P71" i="16"/>
  <c r="AN73" i="4"/>
  <c r="O71" i="14" s="1"/>
  <c r="P203" i="16"/>
  <c r="AN205" i="4"/>
  <c r="Q203" i="16" s="1"/>
  <c r="P149" i="16"/>
  <c r="AN151" i="4"/>
  <c r="Q149" i="16" s="1"/>
  <c r="P89" i="16"/>
  <c r="AN91" i="4"/>
  <c r="O89" i="14" s="1"/>
  <c r="P24" i="16"/>
  <c r="AN26" i="4"/>
  <c r="O24" i="14" s="1"/>
  <c r="P114" i="16"/>
  <c r="AN116" i="4"/>
  <c r="O114" i="14" s="1"/>
  <c r="P30" i="16"/>
  <c r="AN32" i="4"/>
  <c r="Q30" i="16" s="1"/>
  <c r="P17" i="16"/>
  <c r="AN19" i="4"/>
  <c r="O17" i="14" s="1"/>
  <c r="P44" i="16"/>
  <c r="AN46" i="4"/>
  <c r="Q44" i="16" s="1"/>
  <c r="P96" i="16"/>
  <c r="AN98" i="4"/>
  <c r="P102" i="16"/>
  <c r="AN104" i="4"/>
  <c r="O102" i="14" s="1"/>
  <c r="P26" i="16"/>
  <c r="AN28" i="4"/>
  <c r="O26" i="14" s="1"/>
  <c r="P175" i="16"/>
  <c r="AN177" i="4"/>
  <c r="Q175" i="16" s="1"/>
  <c r="P127" i="16"/>
  <c r="AN129" i="4"/>
  <c r="O127" i="14" s="1"/>
  <c r="P123" i="16"/>
  <c r="AN125" i="4"/>
  <c r="O123" i="14" s="1"/>
  <c r="P8" i="16"/>
  <c r="AN10" i="4"/>
  <c r="O8" i="14" s="1"/>
  <c r="P81" i="16"/>
  <c r="AN83" i="4"/>
  <c r="O81" i="14" s="1"/>
  <c r="P38" i="16"/>
  <c r="AN40" i="4"/>
  <c r="O38" i="14" s="1"/>
  <c r="P45" i="16"/>
  <c r="AN47" i="4"/>
  <c r="O45" i="14" s="1"/>
  <c r="P35" i="16"/>
  <c r="AN37" i="4"/>
  <c r="O35" i="14" s="1"/>
  <c r="P12" i="16"/>
  <c r="AN14" i="4"/>
  <c r="O12" i="14" s="1"/>
  <c r="P34" i="16"/>
  <c r="AN36" i="4"/>
  <c r="O34" i="14" s="1"/>
  <c r="P70" i="16"/>
  <c r="AN72" i="4"/>
  <c r="O70" i="14" s="1"/>
  <c r="P141" i="16"/>
  <c r="AN143" i="4"/>
  <c r="O141" i="14" s="1"/>
  <c r="P143" i="16"/>
  <c r="AN145" i="4"/>
  <c r="O143" i="14" s="1"/>
  <c r="P25" i="16"/>
  <c r="AN27" i="4"/>
  <c r="O25" i="14" s="1"/>
  <c r="P116" i="16"/>
  <c r="AN118" i="4"/>
  <c r="O116" i="14" s="1"/>
  <c r="P37" i="16"/>
  <c r="AN39" i="4"/>
  <c r="O37" i="14" s="1"/>
  <c r="P46" i="16"/>
  <c r="AN48" i="4"/>
  <c r="Q46" i="16" s="1"/>
  <c r="P124" i="16"/>
  <c r="AN126" i="4"/>
  <c r="P161" i="16"/>
  <c r="AN163" i="4"/>
  <c r="O161" i="14" s="1"/>
  <c r="P201" i="16"/>
  <c r="AN203" i="4"/>
  <c r="O201" i="14" s="1"/>
  <c r="P181" i="16"/>
  <c r="AN183" i="4"/>
  <c r="Q181" i="16" s="1"/>
  <c r="P119" i="16"/>
  <c r="AN121" i="4"/>
  <c r="O119" i="14" s="1"/>
  <c r="P182" i="16"/>
  <c r="AN184" i="4"/>
  <c r="Q182" i="16" s="1"/>
  <c r="P148" i="16"/>
  <c r="AN150" i="4"/>
  <c r="O148" i="14" s="1"/>
  <c r="P39" i="16"/>
  <c r="AN41" i="4"/>
  <c r="Q39" i="16" s="1"/>
  <c r="P63" i="16"/>
  <c r="AN65" i="4"/>
  <c r="O63" i="14" s="1"/>
  <c r="P59" i="16"/>
  <c r="AN61" i="4"/>
  <c r="O59" i="14" s="1"/>
  <c r="P58" i="16"/>
  <c r="AN60" i="4"/>
  <c r="O58" i="14" s="1"/>
  <c r="P128" i="16"/>
  <c r="AN130" i="4"/>
  <c r="O128" i="14" s="1"/>
  <c r="P27" i="16"/>
  <c r="AN29" i="4"/>
  <c r="O27" i="14" s="1"/>
  <c r="P47" i="16"/>
  <c r="AN49" i="4"/>
  <c r="O47" i="14" s="1"/>
  <c r="P51" i="16"/>
  <c r="AN53" i="4"/>
  <c r="O51" i="14" s="1"/>
  <c r="P192" i="16"/>
  <c r="AN194" i="4"/>
  <c r="O192" i="14" s="1"/>
  <c r="P154" i="16"/>
  <c r="AN156" i="4"/>
  <c r="O154" i="14" s="1"/>
  <c r="P110" i="16"/>
  <c r="AN112" i="4"/>
  <c r="Q110" i="16" s="1"/>
  <c r="P163" i="16"/>
  <c r="AN165" i="4"/>
  <c r="O163" i="14" s="1"/>
  <c r="P155" i="16"/>
  <c r="AN157" i="4"/>
  <c r="O155" i="14" s="1"/>
  <c r="P145" i="16"/>
  <c r="AN147" i="4"/>
  <c r="O145" i="14" s="1"/>
  <c r="P157" i="16"/>
  <c r="AN159" i="4"/>
  <c r="O157" i="14" s="1"/>
  <c r="P92" i="16"/>
  <c r="AN94" i="4"/>
  <c r="O92" i="14" s="1"/>
  <c r="P122" i="16"/>
  <c r="AN124" i="4"/>
  <c r="O122" i="14" s="1"/>
  <c r="P64" i="16"/>
  <c r="AN66" i="4"/>
  <c r="Q64" i="16" s="1"/>
  <c r="P9" i="16"/>
  <c r="AN11" i="4"/>
  <c r="O9" i="14" s="1"/>
  <c r="P40" i="16"/>
  <c r="AN42" i="4"/>
  <c r="O40" i="14" s="1"/>
  <c r="P95" i="16"/>
  <c r="AN97" i="4"/>
  <c r="O95" i="14" s="1"/>
  <c r="P88" i="16"/>
  <c r="AN90" i="4"/>
  <c r="O88" i="14" s="1"/>
  <c r="Q6" i="16"/>
  <c r="R6" i="16" s="1"/>
  <c r="U7" i="16"/>
  <c r="O15" i="4"/>
  <c r="AO15" i="4" s="1"/>
  <c r="O148" i="4"/>
  <c r="AO148" i="4" s="1"/>
  <c r="O69" i="4"/>
  <c r="AO69" i="4" s="1"/>
  <c r="O91" i="4"/>
  <c r="AO91" i="4" s="1"/>
  <c r="O52" i="4"/>
  <c r="AO52" i="4" s="1"/>
  <c r="Q50" i="16"/>
  <c r="O80" i="4"/>
  <c r="AO80" i="4" s="1"/>
  <c r="O161" i="4"/>
  <c r="AO161" i="4" s="1"/>
  <c r="O19" i="4"/>
  <c r="AO19" i="4" s="1"/>
  <c r="O98" i="4"/>
  <c r="AO98" i="4" s="1"/>
  <c r="O58" i="4"/>
  <c r="AO58" i="4" s="1"/>
  <c r="O136" i="4"/>
  <c r="AO136" i="4" s="1"/>
  <c r="Q134" i="16"/>
  <c r="O127" i="4"/>
  <c r="AO127" i="4" s="1"/>
  <c r="O109" i="4"/>
  <c r="AO109" i="4" s="1"/>
  <c r="Q107" i="16"/>
  <c r="O158" i="4"/>
  <c r="AO158" i="4" s="1"/>
  <c r="O20" i="4"/>
  <c r="AO20" i="4" s="1"/>
  <c r="O59" i="4"/>
  <c r="AO59" i="4" s="1"/>
  <c r="O141" i="4"/>
  <c r="AO141" i="4" s="1"/>
  <c r="O142" i="4"/>
  <c r="AO142" i="4" s="1"/>
  <c r="O73" i="4"/>
  <c r="AO73" i="4" s="1"/>
  <c r="O182" i="4"/>
  <c r="AO182" i="4" s="1"/>
  <c r="O185" i="4"/>
  <c r="AO185" i="4" s="1"/>
  <c r="O96" i="4"/>
  <c r="AO96" i="4" s="1"/>
  <c r="Q94" i="16"/>
  <c r="O143" i="4"/>
  <c r="AO143" i="4" s="1"/>
  <c r="O205" i="4"/>
  <c r="AO205" i="4" s="1"/>
  <c r="O176" i="4"/>
  <c r="AO176" i="4" s="1"/>
  <c r="O67" i="4"/>
  <c r="AO67" i="4" s="1"/>
  <c r="O76" i="4"/>
  <c r="AO76" i="4" s="1"/>
  <c r="Q74" i="16"/>
  <c r="O27" i="4"/>
  <c r="AO27" i="4" s="1"/>
  <c r="Q25" i="16"/>
  <c r="O54" i="4"/>
  <c r="AO54" i="4" s="1"/>
  <c r="O43" i="4"/>
  <c r="AO43" i="4" s="1"/>
  <c r="O39" i="4"/>
  <c r="AO39" i="4" s="1"/>
  <c r="O89" i="4"/>
  <c r="AO89" i="4" s="1"/>
  <c r="O146" i="4"/>
  <c r="AO146" i="4" s="1"/>
  <c r="Q144" i="16"/>
  <c r="O44" i="4"/>
  <c r="AO44" i="4" s="1"/>
  <c r="O126" i="4"/>
  <c r="AO126" i="4" s="1"/>
  <c r="O68" i="4"/>
  <c r="AO68" i="4" s="1"/>
  <c r="Q66" i="16"/>
  <c r="O196" i="4"/>
  <c r="AO196" i="4" s="1"/>
  <c r="O30" i="4"/>
  <c r="AO30" i="4" s="1"/>
  <c r="O64" i="4"/>
  <c r="AO64" i="4" s="1"/>
  <c r="O31" i="4"/>
  <c r="AO31" i="4" s="1"/>
  <c r="Q29" i="16"/>
  <c r="O21" i="4"/>
  <c r="AO21" i="4" s="1"/>
  <c r="O195" i="4"/>
  <c r="AO195" i="4" s="1"/>
  <c r="O130" i="4"/>
  <c r="AO130" i="4" s="1"/>
  <c r="O35" i="4"/>
  <c r="AO35" i="4" s="1"/>
  <c r="O62" i="4"/>
  <c r="AO62" i="4" s="1"/>
  <c r="O154" i="4"/>
  <c r="AO154" i="4" s="1"/>
  <c r="O95" i="4"/>
  <c r="AO95" i="4" s="1"/>
  <c r="O53" i="4"/>
  <c r="AO53" i="4" s="1"/>
  <c r="O9" i="4"/>
  <c r="AO9" i="4" s="1"/>
  <c r="O106" i="4"/>
  <c r="AO106" i="4" s="1"/>
  <c r="Q104" i="16"/>
  <c r="O123" i="4"/>
  <c r="AO123" i="4" s="1"/>
  <c r="O87" i="4"/>
  <c r="AO87" i="4" s="1"/>
  <c r="O16" i="4"/>
  <c r="AO16" i="4" s="1"/>
  <c r="Q14" i="16"/>
  <c r="O112" i="4"/>
  <c r="AO112" i="4" s="1"/>
  <c r="O165" i="4"/>
  <c r="AO165" i="4" s="1"/>
  <c r="O180" i="4"/>
  <c r="AO180" i="4" s="1"/>
  <c r="Q178" i="16"/>
  <c r="O157" i="4"/>
  <c r="AO157" i="4" s="1"/>
  <c r="O128" i="4"/>
  <c r="AO128" i="4" s="1"/>
  <c r="O38" i="4"/>
  <c r="AO38" i="4" s="1"/>
  <c r="O13" i="4"/>
  <c r="AO13" i="4" s="1"/>
  <c r="Q11" i="16"/>
  <c r="O159" i="4"/>
  <c r="AO159" i="4" s="1"/>
  <c r="O206" i="4"/>
  <c r="AO206" i="4" s="1"/>
  <c r="O162" i="4"/>
  <c r="AO162" i="4" s="1"/>
  <c r="O186" i="4"/>
  <c r="AO186" i="4" s="1"/>
  <c r="O164" i="4"/>
  <c r="AO164" i="4" s="1"/>
  <c r="Q162" i="16"/>
  <c r="O66" i="4"/>
  <c r="AO66" i="4" s="1"/>
  <c r="O11" i="4"/>
  <c r="AO11" i="4" s="1"/>
  <c r="O117" i="4"/>
  <c r="AO117" i="4" s="1"/>
  <c r="O202" i="4"/>
  <c r="AO202" i="4" s="1"/>
  <c r="Q200" i="16"/>
  <c r="O85" i="4"/>
  <c r="AO85" i="4" s="1"/>
  <c r="O22" i="4"/>
  <c r="AO22" i="4" s="1"/>
  <c r="O137" i="4"/>
  <c r="AO137" i="4" s="1"/>
  <c r="O82" i="4"/>
  <c r="AO82" i="4" s="1"/>
  <c r="O33" i="4"/>
  <c r="AO33" i="4" s="1"/>
  <c r="Q31" i="16"/>
  <c r="O175" i="4"/>
  <c r="AO175" i="4" s="1"/>
  <c r="O100" i="4"/>
  <c r="AO100" i="4" s="1"/>
  <c r="O183" i="4"/>
  <c r="AO183" i="4" s="1"/>
  <c r="O150" i="4"/>
  <c r="AO150" i="4" s="1"/>
  <c r="Q148" i="16"/>
  <c r="AM3" i="4"/>
  <c r="AM4" i="4" s="1"/>
  <c r="N3" i="4"/>
  <c r="N4" i="4" s="1"/>
  <c r="O88" i="4"/>
  <c r="AO88" i="4" s="1"/>
  <c r="O116" i="4"/>
  <c r="AO116" i="4" s="1"/>
  <c r="O32" i="4"/>
  <c r="AO32" i="4" s="1"/>
  <c r="O139" i="4"/>
  <c r="AO139" i="4" s="1"/>
  <c r="O174" i="4"/>
  <c r="AO174" i="4" s="1"/>
  <c r="Q172" i="16"/>
  <c r="O132" i="4"/>
  <c r="AO132" i="4" s="1"/>
  <c r="Q130" i="16"/>
  <c r="O122" i="4"/>
  <c r="AO122" i="4" s="1"/>
  <c r="O28" i="4"/>
  <c r="AO28" i="4" s="1"/>
  <c r="O140" i="4"/>
  <c r="AO140" i="4" s="1"/>
  <c r="O131" i="4"/>
  <c r="AO131" i="4" s="1"/>
  <c r="Q129" i="16"/>
  <c r="O135" i="4"/>
  <c r="AO135" i="4" s="1"/>
  <c r="Q133" i="16"/>
  <c r="O193" i="4"/>
  <c r="AO193" i="4" s="1"/>
  <c r="O10" i="4"/>
  <c r="AO10" i="4" s="1"/>
  <c r="O134" i="4"/>
  <c r="AO134" i="4" s="1"/>
  <c r="O155" i="4"/>
  <c r="AO155" i="4" s="1"/>
  <c r="Q153" i="16"/>
  <c r="O40" i="4"/>
  <c r="AO40" i="4" s="1"/>
  <c r="O77" i="4"/>
  <c r="AO77" i="4" s="1"/>
  <c r="O138" i="4"/>
  <c r="AO138" i="4" s="1"/>
  <c r="Q136" i="16"/>
  <c r="O163" i="4"/>
  <c r="AO163" i="4" s="1"/>
  <c r="O101" i="4"/>
  <c r="AO101" i="4" s="1"/>
  <c r="O71" i="4"/>
  <c r="AO71" i="4" s="1"/>
  <c r="Q69" i="16"/>
  <c r="O166" i="4"/>
  <c r="AO166" i="4" s="1"/>
  <c r="Q164" i="16"/>
  <c r="O103" i="4"/>
  <c r="AO103" i="4" s="1"/>
  <c r="O121" i="4"/>
  <c r="AO121" i="4" s="1"/>
  <c r="O144" i="4"/>
  <c r="AO144" i="4" s="1"/>
  <c r="O179" i="4"/>
  <c r="AO179" i="4" s="1"/>
  <c r="Q177" i="16"/>
  <c r="O119" i="4"/>
  <c r="AO119" i="4" s="1"/>
  <c r="Q117" i="16"/>
  <c r="O41" i="4"/>
  <c r="AO41" i="4" s="1"/>
  <c r="O203" i="4"/>
  <c r="AO203" i="4" s="1"/>
  <c r="Q201" i="16"/>
  <c r="O17" i="4"/>
  <c r="AO17" i="4" s="1"/>
  <c r="O184" i="4"/>
  <c r="AO184" i="4" s="1"/>
  <c r="O84" i="4"/>
  <c r="AO84" i="4" s="1"/>
  <c r="Q82" i="16"/>
  <c r="O26" i="4"/>
  <c r="AO26" i="4" s="1"/>
  <c r="O92" i="4"/>
  <c r="AO92" i="4" s="1"/>
  <c r="Q90" i="16"/>
  <c r="O63" i="4"/>
  <c r="AO63" i="4" s="1"/>
  <c r="O190" i="4"/>
  <c r="AO190" i="4" s="1"/>
  <c r="O120" i="4"/>
  <c r="AO120" i="4" s="1"/>
  <c r="Q118" i="16"/>
  <c r="O78" i="4"/>
  <c r="AO78" i="4" s="1"/>
  <c r="Q76" i="16"/>
  <c r="O111" i="4"/>
  <c r="AO111" i="4" s="1"/>
  <c r="Q109" i="16"/>
  <c r="O70" i="4"/>
  <c r="AO70" i="4" s="1"/>
  <c r="O46" i="4"/>
  <c r="AO46" i="4" s="1"/>
  <c r="O108" i="4"/>
  <c r="AO108" i="4" s="1"/>
  <c r="O25" i="4"/>
  <c r="AO25" i="4" s="1"/>
  <c r="Q23" i="16"/>
  <c r="O104" i="4"/>
  <c r="AO104" i="4" s="1"/>
  <c r="O24" i="4"/>
  <c r="AO24" i="4" s="1"/>
  <c r="Q22" i="16"/>
  <c r="O167" i="4"/>
  <c r="AO167" i="4" s="1"/>
  <c r="O177" i="4"/>
  <c r="AO177" i="4" s="1"/>
  <c r="O34" i="4"/>
  <c r="AO34" i="4" s="1"/>
  <c r="O129" i="4"/>
  <c r="AO129" i="4" s="1"/>
  <c r="O125" i="4"/>
  <c r="AO125" i="4" s="1"/>
  <c r="O99" i="4"/>
  <c r="AO99" i="4" s="1"/>
  <c r="Q97" i="16"/>
  <c r="O23" i="4"/>
  <c r="AO23" i="4" s="1"/>
  <c r="O188" i="4"/>
  <c r="AO188" i="4" s="1"/>
  <c r="O45" i="4"/>
  <c r="AO45" i="4" s="1"/>
  <c r="O83" i="4"/>
  <c r="AO83" i="4" s="1"/>
  <c r="O197" i="4"/>
  <c r="AO197" i="4" s="1"/>
  <c r="O12" i="4"/>
  <c r="AO12" i="4" s="1"/>
  <c r="O47" i="4"/>
  <c r="AO47" i="4" s="1"/>
  <c r="O171" i="4"/>
  <c r="AO171" i="4" s="1"/>
  <c r="O37" i="4"/>
  <c r="AO37" i="4" s="1"/>
  <c r="O207" i="4"/>
  <c r="AO207" i="4" s="1"/>
  <c r="O14" i="4"/>
  <c r="AO14" i="4" s="1"/>
  <c r="O168" i="4"/>
  <c r="AO168" i="4" s="1"/>
  <c r="Q166" i="16"/>
  <c r="O36" i="4"/>
  <c r="AO36" i="4" s="1"/>
  <c r="O201" i="4"/>
  <c r="AO201" i="4" s="1"/>
  <c r="Q199" i="16"/>
  <c r="O170" i="4"/>
  <c r="AO170" i="4" s="1"/>
  <c r="Q168" i="16"/>
  <c r="O72" i="4"/>
  <c r="AO72" i="4" s="1"/>
  <c r="O75" i="4"/>
  <c r="AO75" i="4" s="1"/>
  <c r="O107" i="4"/>
  <c r="AO107" i="4" s="1"/>
  <c r="O160" i="4"/>
  <c r="AO160" i="4" s="1"/>
  <c r="Q158" i="16"/>
  <c r="O50" i="4"/>
  <c r="AO50" i="4" s="1"/>
  <c r="O145" i="4"/>
  <c r="AO145" i="4" s="1"/>
  <c r="O114" i="4"/>
  <c r="AO114" i="4" s="1"/>
  <c r="Q112" i="16"/>
  <c r="O133" i="4"/>
  <c r="AO133" i="4" s="1"/>
  <c r="Q131" i="16"/>
  <c r="O118" i="4"/>
  <c r="AO118" i="4" s="1"/>
  <c r="O151" i="4"/>
  <c r="AO151" i="4" s="1"/>
  <c r="O187" i="4"/>
  <c r="AO187" i="4" s="1"/>
  <c r="Q185" i="16"/>
  <c r="O48" i="4"/>
  <c r="AO48" i="4" s="1"/>
  <c r="O51" i="4"/>
  <c r="AO51" i="4" s="1"/>
  <c r="O178" i="4"/>
  <c r="AO178" i="4" s="1"/>
  <c r="O199" i="4"/>
  <c r="AO199" i="4" s="1"/>
  <c r="O86" i="4"/>
  <c r="AO86" i="4" s="1"/>
  <c r="Q84" i="16"/>
  <c r="O65" i="4"/>
  <c r="AO65" i="4" s="1"/>
  <c r="O198" i="4"/>
  <c r="AO198" i="4" s="1"/>
  <c r="Q196" i="16"/>
  <c r="O61" i="4"/>
  <c r="AO61" i="4" s="1"/>
  <c r="O81" i="4"/>
  <c r="AO81" i="4" s="1"/>
  <c r="Q79" i="16"/>
  <c r="O60" i="4"/>
  <c r="AO60" i="4" s="1"/>
  <c r="O192" i="4"/>
  <c r="AO192" i="4" s="1"/>
  <c r="Q190" i="16"/>
  <c r="O79" i="4"/>
  <c r="AO79" i="4" s="1"/>
  <c r="O29" i="4"/>
  <c r="AO29" i="4" s="1"/>
  <c r="O153" i="4"/>
  <c r="AO153" i="4" s="1"/>
  <c r="Q151" i="16"/>
  <c r="O49" i="4"/>
  <c r="AO49" i="4" s="1"/>
  <c r="O115" i="4"/>
  <c r="AO115" i="4" s="1"/>
  <c r="O169" i="4"/>
  <c r="AO169" i="4" s="1"/>
  <c r="Q167" i="16"/>
  <c r="O194" i="4"/>
  <c r="AO194" i="4" s="1"/>
  <c r="O191" i="4"/>
  <c r="AO191" i="4" s="1"/>
  <c r="Q189" i="16"/>
  <c r="O57" i="4"/>
  <c r="AO57" i="4" s="1"/>
  <c r="Q55" i="16"/>
  <c r="O156" i="4"/>
  <c r="AO156" i="4" s="1"/>
  <c r="O152" i="4"/>
  <c r="AO152" i="4" s="1"/>
  <c r="Q150" i="16"/>
  <c r="O18" i="4"/>
  <c r="AO18" i="4" s="1"/>
  <c r="O102" i="4"/>
  <c r="AO102" i="4" s="1"/>
  <c r="O105" i="4"/>
  <c r="AO105" i="4" s="1"/>
  <c r="O200" i="4"/>
  <c r="AO200" i="4" s="1"/>
  <c r="O147" i="4"/>
  <c r="AO147" i="4" s="1"/>
  <c r="O55" i="4"/>
  <c r="AO55" i="4" s="1"/>
  <c r="O172" i="4"/>
  <c r="AO172" i="4" s="1"/>
  <c r="Q170" i="16"/>
  <c r="O173" i="4"/>
  <c r="AO173" i="4" s="1"/>
  <c r="Q171" i="16"/>
  <c r="O94" i="4"/>
  <c r="AO94" i="4" s="1"/>
  <c r="O93" i="4"/>
  <c r="AO93" i="4" s="1"/>
  <c r="O124" i="4"/>
  <c r="AO124" i="4" s="1"/>
  <c r="O204" i="4"/>
  <c r="AO204" i="4" s="1"/>
  <c r="O56" i="4"/>
  <c r="AO56" i="4" s="1"/>
  <c r="Q54" i="16"/>
  <c r="O181" i="4"/>
  <c r="AO181" i="4" s="1"/>
  <c r="O42" i="4"/>
  <c r="AO42" i="4" s="1"/>
  <c r="O110" i="4"/>
  <c r="AO110" i="4" s="1"/>
  <c r="O149" i="4"/>
  <c r="AO149" i="4" s="1"/>
  <c r="Q147" i="16"/>
  <c r="O97" i="4"/>
  <c r="AO97" i="4" s="1"/>
  <c r="O74" i="4"/>
  <c r="AO74" i="4" s="1"/>
  <c r="O189" i="4"/>
  <c r="AO189" i="4" s="1"/>
  <c r="Q187" i="16"/>
  <c r="O113" i="4"/>
  <c r="AO113" i="4" s="1"/>
  <c r="Q111" i="16"/>
  <c r="O90" i="4"/>
  <c r="AO90" i="4" s="1"/>
  <c r="Q88" i="16"/>
  <c r="AG25" i="1"/>
  <c r="AH25" i="1" s="1"/>
  <c r="Z26" i="1"/>
  <c r="AA25" i="1"/>
  <c r="AC25" i="1" s="1"/>
  <c r="AF25" i="1" s="1"/>
  <c r="P8" i="4"/>
  <c r="AP8" i="4" s="1"/>
  <c r="Q6" i="14" s="1"/>
  <c r="AC24" i="1"/>
  <c r="AF24" i="1" s="1"/>
  <c r="AI24" i="1" s="1"/>
  <c r="Q146" i="16" l="1"/>
  <c r="Q179" i="16"/>
  <c r="Q202" i="16"/>
  <c r="S202" i="16" s="1"/>
  <c r="Q169" i="16"/>
  <c r="S169" i="16" s="1"/>
  <c r="Q195" i="16"/>
  <c r="Q191" i="16"/>
  <c r="Q120" i="16"/>
  <c r="S120" i="16" s="1"/>
  <c r="Q113" i="16"/>
  <c r="S113" i="16" s="1"/>
  <c r="Q61" i="16"/>
  <c r="Q24" i="16"/>
  <c r="Q193" i="16"/>
  <c r="S193" i="16" s="1"/>
  <c r="Q198" i="16"/>
  <c r="R198" i="16" s="1"/>
  <c r="Q100" i="16"/>
  <c r="Q105" i="16"/>
  <c r="R105" i="16" s="1"/>
  <c r="Q186" i="16"/>
  <c r="S186" i="16" s="1"/>
  <c r="Q80" i="16"/>
  <c r="S80" i="16" s="1"/>
  <c r="Q36" i="16"/>
  <c r="Q53" i="16"/>
  <c r="Q106" i="16"/>
  <c r="S106" i="16" s="1"/>
  <c r="Q188" i="16"/>
  <c r="S188" i="16" s="1"/>
  <c r="Q41" i="16"/>
  <c r="Q57" i="16"/>
  <c r="S57" i="16" s="1"/>
  <c r="Q95" i="16"/>
  <c r="S95" i="16" s="1"/>
  <c r="Q197" i="16"/>
  <c r="S197" i="16" s="1"/>
  <c r="Q49" i="16"/>
  <c r="Q93" i="16"/>
  <c r="S93" i="16" s="1"/>
  <c r="Q68" i="16"/>
  <c r="S68" i="16" s="1"/>
  <c r="Q137" i="16"/>
  <c r="S137" i="16" s="1"/>
  <c r="Q86" i="16"/>
  <c r="Q72" i="16"/>
  <c r="Q91" i="16"/>
  <c r="S91" i="16" s="1"/>
  <c r="Q103" i="16"/>
  <c r="S103" i="16" s="1"/>
  <c r="Q16" i="16"/>
  <c r="Q176" i="16"/>
  <c r="S176" i="16" s="1"/>
  <c r="Q21" i="16"/>
  <c r="R21" i="16" s="1"/>
  <c r="Q165" i="16"/>
  <c r="S165" i="16" s="1"/>
  <c r="Q135" i="16"/>
  <c r="Q140" i="16"/>
  <c r="S140" i="16" s="1"/>
  <c r="Q116" i="16"/>
  <c r="S116" i="16" s="1"/>
  <c r="Q101" i="16"/>
  <c r="S101" i="16" s="1"/>
  <c r="Q161" i="16"/>
  <c r="Q127" i="16"/>
  <c r="S127" i="16" s="1"/>
  <c r="Q8" i="16"/>
  <c r="S8" i="16" s="1"/>
  <c r="Q138" i="16"/>
  <c r="S138" i="16" s="1"/>
  <c r="Q159" i="16"/>
  <c r="Q75" i="16"/>
  <c r="S75" i="16" s="1"/>
  <c r="Q204" i="16"/>
  <c r="S204" i="16" s="1"/>
  <c r="Q58" i="16"/>
  <c r="S58" i="16" s="1"/>
  <c r="Q63" i="16"/>
  <c r="Q205" i="16"/>
  <c r="S205" i="16" s="1"/>
  <c r="Q152" i="16"/>
  <c r="S152" i="16" s="1"/>
  <c r="Q180" i="16"/>
  <c r="S180" i="16" s="1"/>
  <c r="S148" i="16"/>
  <c r="R148" i="16"/>
  <c r="S201" i="16"/>
  <c r="R201" i="16"/>
  <c r="S187" i="16"/>
  <c r="R187" i="16"/>
  <c r="S115" i="16"/>
  <c r="R115" i="16"/>
  <c r="S170" i="16"/>
  <c r="R170" i="16"/>
  <c r="R150" i="16"/>
  <c r="S150" i="16"/>
  <c r="S164" i="16"/>
  <c r="R164" i="16"/>
  <c r="R158" i="16"/>
  <c r="S158" i="16"/>
  <c r="S136" i="16"/>
  <c r="R136" i="16"/>
  <c r="S153" i="16"/>
  <c r="R153" i="16"/>
  <c r="R22" i="16"/>
  <c r="S22" i="16"/>
  <c r="S76" i="16"/>
  <c r="R76" i="16"/>
  <c r="S117" i="16"/>
  <c r="R117" i="16"/>
  <c r="S168" i="16"/>
  <c r="R168" i="16"/>
  <c r="S31" i="16"/>
  <c r="R31" i="16"/>
  <c r="S111" i="16"/>
  <c r="R111" i="16"/>
  <c r="S54" i="16"/>
  <c r="R54" i="16"/>
  <c r="S178" i="16"/>
  <c r="R178" i="16"/>
  <c r="S104" i="16"/>
  <c r="R104" i="16"/>
  <c r="S79" i="16"/>
  <c r="R79" i="16"/>
  <c r="S66" i="16"/>
  <c r="R66" i="16"/>
  <c r="R166" i="16"/>
  <c r="S166" i="16"/>
  <c r="S82" i="16"/>
  <c r="R82" i="16"/>
  <c r="S11" i="16"/>
  <c r="R11" i="16"/>
  <c r="S29" i="16"/>
  <c r="R29" i="16"/>
  <c r="S144" i="16"/>
  <c r="R144" i="16"/>
  <c r="R94" i="16"/>
  <c r="S94" i="16"/>
  <c r="R134" i="16"/>
  <c r="S134" i="16"/>
  <c r="S50" i="16"/>
  <c r="R50" i="16"/>
  <c r="Q192" i="16"/>
  <c r="R192" i="16" s="1"/>
  <c r="Q81" i="16"/>
  <c r="S81" i="16" s="1"/>
  <c r="Q142" i="16"/>
  <c r="R142" i="16" s="1"/>
  <c r="Q17" i="16"/>
  <c r="S17" i="16" s="1"/>
  <c r="Q89" i="16"/>
  <c r="S89" i="16" s="1"/>
  <c r="R110" i="16"/>
  <c r="S110" i="16"/>
  <c r="R182" i="16"/>
  <c r="S182" i="16"/>
  <c r="S161" i="16"/>
  <c r="R161" i="16"/>
  <c r="R30" i="16"/>
  <c r="S30" i="16"/>
  <c r="S149" i="16"/>
  <c r="R149" i="16"/>
  <c r="S132" i="16"/>
  <c r="R132" i="16"/>
  <c r="S72" i="16"/>
  <c r="R72" i="16"/>
  <c r="R202" i="16"/>
  <c r="R53" i="16"/>
  <c r="S53" i="16"/>
  <c r="S99" i="16"/>
  <c r="R99" i="16"/>
  <c r="R106" i="16"/>
  <c r="S15" i="16"/>
  <c r="R15" i="16"/>
  <c r="S135" i="16"/>
  <c r="R135" i="16"/>
  <c r="S16" i="16"/>
  <c r="R16" i="16"/>
  <c r="S196" i="16"/>
  <c r="R196" i="16"/>
  <c r="S43" i="16"/>
  <c r="R43" i="16"/>
  <c r="R80" i="16"/>
  <c r="S100" i="16"/>
  <c r="R100" i="16"/>
  <c r="S146" i="16"/>
  <c r="R146" i="16"/>
  <c r="S41" i="16"/>
  <c r="R41" i="16"/>
  <c r="R165" i="16"/>
  <c r="Q77" i="16"/>
  <c r="S77" i="16" s="1"/>
  <c r="Q59" i="16"/>
  <c r="S59" i="16" s="1"/>
  <c r="Q98" i="16"/>
  <c r="S98" i="16" s="1"/>
  <c r="Q126" i="16"/>
  <c r="R126" i="16" s="1"/>
  <c r="Q51" i="16"/>
  <c r="R51" i="16" s="1"/>
  <c r="Q125" i="16"/>
  <c r="S125" i="16" s="1"/>
  <c r="S88" i="16"/>
  <c r="R88" i="16"/>
  <c r="S64" i="16"/>
  <c r="R64" i="16"/>
  <c r="S63" i="16"/>
  <c r="R63" i="16"/>
  <c r="S25" i="16"/>
  <c r="R25" i="16"/>
  <c r="S203" i="16"/>
  <c r="R203" i="16"/>
  <c r="S28" i="16"/>
  <c r="R28" i="16"/>
  <c r="R118" i="16"/>
  <c r="S118" i="16"/>
  <c r="S184" i="16"/>
  <c r="R184" i="16"/>
  <c r="S189" i="16"/>
  <c r="R189" i="16"/>
  <c r="R190" i="16"/>
  <c r="S190" i="16"/>
  <c r="S84" i="16"/>
  <c r="R84" i="16"/>
  <c r="S112" i="16"/>
  <c r="R112" i="16"/>
  <c r="S199" i="16"/>
  <c r="R199" i="16"/>
  <c r="S129" i="16"/>
  <c r="R129" i="16"/>
  <c r="S172" i="16"/>
  <c r="R172" i="16"/>
  <c r="S90" i="16"/>
  <c r="R90" i="16"/>
  <c r="S131" i="16"/>
  <c r="R131" i="16"/>
  <c r="S133" i="16"/>
  <c r="R133" i="16"/>
  <c r="S162" i="16"/>
  <c r="R162" i="16"/>
  <c r="S23" i="16"/>
  <c r="R23" i="16"/>
  <c r="S147" i="16"/>
  <c r="R147" i="16"/>
  <c r="S171" i="16"/>
  <c r="R171" i="16"/>
  <c r="S14" i="16"/>
  <c r="R14" i="16"/>
  <c r="S151" i="16"/>
  <c r="R151" i="16"/>
  <c r="S177" i="16"/>
  <c r="R177" i="16"/>
  <c r="S185" i="16"/>
  <c r="R185" i="16"/>
  <c r="S97" i="16"/>
  <c r="R97" i="16"/>
  <c r="S200" i="16"/>
  <c r="R200" i="16"/>
  <c r="S167" i="16"/>
  <c r="R167" i="16"/>
  <c r="S69" i="16"/>
  <c r="R69" i="16"/>
  <c r="S74" i="16"/>
  <c r="R74" i="16"/>
  <c r="S107" i="16"/>
  <c r="R107" i="16"/>
  <c r="S130" i="16"/>
  <c r="R130" i="16"/>
  <c r="S6" i="16"/>
  <c r="Q70" i="16"/>
  <c r="R70" i="16" s="1"/>
  <c r="Q10" i="16"/>
  <c r="S10" i="16" s="1"/>
  <c r="Q83" i="16"/>
  <c r="R83" i="16" s="1"/>
  <c r="Q85" i="16"/>
  <c r="R85" i="16" s="1"/>
  <c r="Q78" i="16"/>
  <c r="S78" i="16" s="1"/>
  <c r="R95" i="16"/>
  <c r="S192" i="16"/>
  <c r="S39" i="16"/>
  <c r="R39" i="16"/>
  <c r="S181" i="16"/>
  <c r="R181" i="16"/>
  <c r="S46" i="16"/>
  <c r="R46" i="16"/>
  <c r="S175" i="16"/>
  <c r="R175" i="16"/>
  <c r="S44" i="16"/>
  <c r="R44" i="16"/>
  <c r="S24" i="16"/>
  <c r="R24" i="16"/>
  <c r="R78" i="16"/>
  <c r="R101" i="16"/>
  <c r="S108" i="16"/>
  <c r="R108" i="16"/>
  <c r="S49" i="16"/>
  <c r="R49" i="16"/>
  <c r="S65" i="16"/>
  <c r="R65" i="16"/>
  <c r="R140" i="16"/>
  <c r="S195" i="16"/>
  <c r="R195" i="16"/>
  <c r="S109" i="16"/>
  <c r="R109" i="16"/>
  <c r="R86" i="16"/>
  <c r="S86" i="16"/>
  <c r="S48" i="16"/>
  <c r="R48" i="16"/>
  <c r="R120" i="16"/>
  <c r="S36" i="16"/>
  <c r="R36" i="16"/>
  <c r="S61" i="16"/>
  <c r="R61" i="16"/>
  <c r="S179" i="16"/>
  <c r="R179" i="16"/>
  <c r="S55" i="16"/>
  <c r="R55" i="16"/>
  <c r="S33" i="16"/>
  <c r="R33" i="16"/>
  <c r="S13" i="16"/>
  <c r="R13" i="16"/>
  <c r="S73" i="16"/>
  <c r="R73" i="16"/>
  <c r="S159" i="16"/>
  <c r="R159" i="16"/>
  <c r="S160" i="16"/>
  <c r="R160" i="16"/>
  <c r="S60" i="16"/>
  <c r="R60" i="16"/>
  <c r="S105" i="16"/>
  <c r="S191" i="16"/>
  <c r="R191" i="16"/>
  <c r="R137" i="16"/>
  <c r="P88" i="14"/>
  <c r="O64" i="14"/>
  <c r="P64" i="14" s="1"/>
  <c r="P63" i="14"/>
  <c r="O124" i="14"/>
  <c r="P8" i="14"/>
  <c r="P127" i="14"/>
  <c r="O96" i="14"/>
  <c r="P96" i="14" s="1"/>
  <c r="O203" i="14"/>
  <c r="P203" i="14" s="1"/>
  <c r="P205" i="14"/>
  <c r="O28" i="14"/>
  <c r="P28" i="14" s="1"/>
  <c r="P98" i="14"/>
  <c r="O174" i="14"/>
  <c r="P10" i="14"/>
  <c r="O56" i="14"/>
  <c r="P56" i="14" s="1"/>
  <c r="O118" i="14"/>
  <c r="P118" i="14" s="1"/>
  <c r="O187" i="14"/>
  <c r="P187" i="14" s="1"/>
  <c r="O115" i="14"/>
  <c r="P115" i="14" s="1"/>
  <c r="O184" i="14"/>
  <c r="P184" i="14" s="1"/>
  <c r="O170" i="14"/>
  <c r="P170" i="14" s="1"/>
  <c r="P126" i="14"/>
  <c r="O150" i="14"/>
  <c r="O190" i="14"/>
  <c r="O164" i="14"/>
  <c r="P164" i="14" s="1"/>
  <c r="O136" i="14"/>
  <c r="P136" i="14" s="1"/>
  <c r="O76" i="14"/>
  <c r="O90" i="14"/>
  <c r="O117" i="14"/>
  <c r="P117" i="14" s="1"/>
  <c r="O168" i="14"/>
  <c r="P168" i="14" s="1"/>
  <c r="O133" i="14"/>
  <c r="O31" i="14"/>
  <c r="P31" i="14" s="1"/>
  <c r="O23" i="14"/>
  <c r="O147" i="14"/>
  <c r="P147" i="14" s="1"/>
  <c r="O177" i="14"/>
  <c r="O66" i="14"/>
  <c r="O200" i="14"/>
  <c r="O11" i="14"/>
  <c r="O167" i="14"/>
  <c r="O29" i="14"/>
  <c r="O50" i="14"/>
  <c r="P50" i="14" s="1"/>
  <c r="P58" i="14"/>
  <c r="P148" i="14"/>
  <c r="P201" i="14"/>
  <c r="Q40" i="16"/>
  <c r="S40" i="16" s="1"/>
  <c r="Q122" i="16"/>
  <c r="S122" i="16" s="1"/>
  <c r="Q92" i="16"/>
  <c r="S92" i="16" s="1"/>
  <c r="Q145" i="16"/>
  <c r="S145" i="16" s="1"/>
  <c r="Q154" i="16"/>
  <c r="S154" i="16" s="1"/>
  <c r="Q47" i="16"/>
  <c r="S47" i="16" s="1"/>
  <c r="Q27" i="16"/>
  <c r="S27" i="16" s="1"/>
  <c r="Q143" i="16"/>
  <c r="R143" i="16" s="1"/>
  <c r="Q34" i="16"/>
  <c r="S34" i="16" s="1"/>
  <c r="Q12" i="16"/>
  <c r="S12" i="16" s="1"/>
  <c r="Q35" i="16"/>
  <c r="S35" i="16" s="1"/>
  <c r="Q45" i="16"/>
  <c r="S45" i="16" s="1"/>
  <c r="Q123" i="16"/>
  <c r="R123" i="16" s="1"/>
  <c r="Q32" i="16"/>
  <c r="S32" i="16" s="1"/>
  <c r="Q102" i="16"/>
  <c r="R102" i="16" s="1"/>
  <c r="Q119" i="16"/>
  <c r="S119" i="16" s="1"/>
  <c r="Q38" i="16"/>
  <c r="R38" i="16" s="1"/>
  <c r="Q26" i="16"/>
  <c r="R26" i="16" s="1"/>
  <c r="Q114" i="16"/>
  <c r="S114" i="16" s="1"/>
  <c r="Q173" i="16"/>
  <c r="S173" i="16" s="1"/>
  <c r="Q20" i="16"/>
  <c r="S20" i="16" s="1"/>
  <c r="Q9" i="16"/>
  <c r="S9" i="16" s="1"/>
  <c r="Q157" i="16"/>
  <c r="S157" i="16" s="1"/>
  <c r="Q155" i="16"/>
  <c r="S155" i="16" s="1"/>
  <c r="Q163" i="16"/>
  <c r="S163" i="16" s="1"/>
  <c r="Q121" i="16"/>
  <c r="R121" i="16" s="1"/>
  <c r="Q42" i="16"/>
  <c r="S42" i="16" s="1"/>
  <c r="Q87" i="16"/>
  <c r="S87" i="16" s="1"/>
  <c r="Q156" i="16"/>
  <c r="S156" i="16" s="1"/>
  <c r="Q56" i="16"/>
  <c r="S56" i="16" s="1"/>
  <c r="P95" i="14"/>
  <c r="O110" i="14"/>
  <c r="P110" i="14" s="1"/>
  <c r="P192" i="14"/>
  <c r="P59" i="14"/>
  <c r="O39" i="14"/>
  <c r="P39" i="14" s="1"/>
  <c r="O182" i="14"/>
  <c r="P182" i="14" s="1"/>
  <c r="O181" i="14"/>
  <c r="P181" i="14" s="1"/>
  <c r="P161" i="14"/>
  <c r="O46" i="14"/>
  <c r="P46" i="14" s="1"/>
  <c r="P116" i="14"/>
  <c r="P70" i="14"/>
  <c r="P81" i="14"/>
  <c r="O175" i="14"/>
  <c r="P175" i="14" s="1"/>
  <c r="O44" i="14"/>
  <c r="P44" i="14" s="1"/>
  <c r="O30" i="14"/>
  <c r="P30" i="14" s="1"/>
  <c r="P24" i="14"/>
  <c r="O149" i="14"/>
  <c r="O132" i="14"/>
  <c r="P132" i="14" s="1"/>
  <c r="P77" i="14"/>
  <c r="P101" i="14"/>
  <c r="P75" i="14"/>
  <c r="O108" i="14"/>
  <c r="P108" i="14" s="1"/>
  <c r="P204" i="14"/>
  <c r="P85" i="14"/>
  <c r="O19" i="14"/>
  <c r="P19" i="14" s="1"/>
  <c r="O194" i="14"/>
  <c r="P194" i="14" s="1"/>
  <c r="O99" i="14"/>
  <c r="P99" i="14" s="1"/>
  <c r="O65" i="14"/>
  <c r="P65" i="14" s="1"/>
  <c r="O183" i="14"/>
  <c r="P183" i="14" s="1"/>
  <c r="O15" i="14"/>
  <c r="P15" i="14" s="1"/>
  <c r="O48" i="14"/>
  <c r="O33" i="14"/>
  <c r="P33" i="14" s="1"/>
  <c r="O13" i="14"/>
  <c r="O73" i="14"/>
  <c r="P73" i="14" s="1"/>
  <c r="O43" i="14"/>
  <c r="P43" i="14" s="1"/>
  <c r="O160" i="14"/>
  <c r="P160" i="14" s="1"/>
  <c r="O60" i="14"/>
  <c r="P40" i="14"/>
  <c r="P92" i="14"/>
  <c r="P163" i="14"/>
  <c r="P51" i="14"/>
  <c r="P27" i="14"/>
  <c r="P119" i="14"/>
  <c r="P124" i="14"/>
  <c r="P25" i="14"/>
  <c r="P141" i="14"/>
  <c r="P34" i="14"/>
  <c r="P38" i="14"/>
  <c r="P26" i="14"/>
  <c r="P17" i="14"/>
  <c r="P114" i="14"/>
  <c r="P89" i="14"/>
  <c r="P32" i="14"/>
  <c r="P121" i="14"/>
  <c r="P174" i="14"/>
  <c r="P139" i="14"/>
  <c r="P20" i="14"/>
  <c r="P150" i="14"/>
  <c r="P189" i="14"/>
  <c r="P113" i="14"/>
  <c r="P190" i="14"/>
  <c r="P62" i="14"/>
  <c r="P67" i="14"/>
  <c r="P84" i="14"/>
  <c r="P87" i="14"/>
  <c r="P112" i="14"/>
  <c r="P158" i="14"/>
  <c r="P199" i="14"/>
  <c r="P156" i="14"/>
  <c r="P153" i="14"/>
  <c r="P129" i="14"/>
  <c r="P22" i="14"/>
  <c r="P172" i="14"/>
  <c r="P76" i="14"/>
  <c r="P90" i="14"/>
  <c r="P131" i="14"/>
  <c r="P133" i="14"/>
  <c r="P162" i="14"/>
  <c r="P193" i="14"/>
  <c r="P23" i="14"/>
  <c r="P111" i="14"/>
  <c r="P54" i="14"/>
  <c r="P171" i="14"/>
  <c r="P178" i="14"/>
  <c r="P14" i="14"/>
  <c r="P104" i="14"/>
  <c r="P151" i="14"/>
  <c r="P79" i="14"/>
  <c r="P177" i="14"/>
  <c r="P66" i="14"/>
  <c r="P185" i="14"/>
  <c r="P166" i="14"/>
  <c r="P97" i="14"/>
  <c r="P82" i="14"/>
  <c r="P200" i="14"/>
  <c r="P11" i="14"/>
  <c r="P167" i="14"/>
  <c r="P29" i="14"/>
  <c r="P69" i="14"/>
  <c r="P144" i="14"/>
  <c r="P74" i="14"/>
  <c r="P94" i="14"/>
  <c r="P107" i="14"/>
  <c r="P134" i="14"/>
  <c r="P130" i="14"/>
  <c r="P145" i="14"/>
  <c r="P154" i="14"/>
  <c r="P37" i="14"/>
  <c r="P35" i="14"/>
  <c r="Q128" i="16"/>
  <c r="R128" i="16" s="1"/>
  <c r="Q19" i="16"/>
  <c r="R19" i="16" s="1"/>
  <c r="Q62" i="16"/>
  <c r="S62" i="16" s="1"/>
  <c r="Q194" i="16"/>
  <c r="S194" i="16" s="1"/>
  <c r="Q124" i="16"/>
  <c r="S124" i="16" s="1"/>
  <c r="Q37" i="16"/>
  <c r="R37" i="16" s="1"/>
  <c r="Q52" i="16"/>
  <c r="R52" i="16" s="1"/>
  <c r="Q174" i="16"/>
  <c r="R174" i="16" s="1"/>
  <c r="Q141" i="16"/>
  <c r="S141" i="16" s="1"/>
  <c r="Q183" i="16"/>
  <c r="S183" i="16" s="1"/>
  <c r="Q71" i="16"/>
  <c r="S71" i="16" s="1"/>
  <c r="Q139" i="16"/>
  <c r="S139" i="16" s="1"/>
  <c r="Q18" i="16"/>
  <c r="S18" i="16" s="1"/>
  <c r="Q96" i="16"/>
  <c r="S96" i="16" s="1"/>
  <c r="Q67" i="16"/>
  <c r="S67" i="16" s="1"/>
  <c r="P9" i="14"/>
  <c r="P122" i="14"/>
  <c r="P157" i="14"/>
  <c r="P155" i="14"/>
  <c r="P47" i="14"/>
  <c r="P128" i="14"/>
  <c r="P143" i="14"/>
  <c r="P12" i="14"/>
  <c r="P45" i="14"/>
  <c r="P123" i="14"/>
  <c r="P102" i="14"/>
  <c r="P149" i="14"/>
  <c r="P71" i="14"/>
  <c r="P78" i="14"/>
  <c r="P42" i="14"/>
  <c r="P180" i="14"/>
  <c r="P21" i="14"/>
  <c r="P68" i="14"/>
  <c r="P173" i="14"/>
  <c r="P72" i="14"/>
  <c r="P202" i="14"/>
  <c r="P53" i="14"/>
  <c r="P103" i="14"/>
  <c r="P7" i="14"/>
  <c r="P152" i="14"/>
  <c r="P142" i="14"/>
  <c r="P49" i="14"/>
  <c r="P52" i="14"/>
  <c r="P140" i="14"/>
  <c r="P18" i="14"/>
  <c r="P195" i="14"/>
  <c r="P186" i="14"/>
  <c r="P138" i="14"/>
  <c r="P106" i="14"/>
  <c r="P109" i="14"/>
  <c r="P188" i="14"/>
  <c r="P86" i="14"/>
  <c r="P48" i="14"/>
  <c r="P169" i="14"/>
  <c r="P120" i="14"/>
  <c r="P83" i="14"/>
  <c r="P36" i="14"/>
  <c r="P125" i="14"/>
  <c r="P61" i="14"/>
  <c r="P135" i="14"/>
  <c r="P179" i="14"/>
  <c r="P91" i="14"/>
  <c r="P198" i="14"/>
  <c r="P16" i="14"/>
  <c r="P55" i="14"/>
  <c r="P93" i="14"/>
  <c r="P196" i="14"/>
  <c r="P13" i="14"/>
  <c r="P176" i="14"/>
  <c r="P159" i="14"/>
  <c r="P80" i="14"/>
  <c r="P100" i="14"/>
  <c r="P60" i="14"/>
  <c r="P146" i="14"/>
  <c r="P197" i="14"/>
  <c r="P41" i="14"/>
  <c r="P105" i="14"/>
  <c r="P57" i="14"/>
  <c r="P191" i="14"/>
  <c r="P165" i="14"/>
  <c r="P137" i="14"/>
  <c r="Q7" i="16"/>
  <c r="S7" i="16" s="1"/>
  <c r="U8" i="16"/>
  <c r="P189" i="4"/>
  <c r="AP189" i="4" s="1"/>
  <c r="P181" i="4"/>
  <c r="AP181" i="4" s="1"/>
  <c r="P173" i="4"/>
  <c r="AP173" i="4" s="1"/>
  <c r="P102" i="4"/>
  <c r="AP102" i="4" s="1"/>
  <c r="P194" i="4"/>
  <c r="AP194" i="4" s="1"/>
  <c r="P79" i="4"/>
  <c r="AP79" i="4" s="1"/>
  <c r="P65" i="4"/>
  <c r="AP65" i="4" s="1"/>
  <c r="P187" i="4"/>
  <c r="AP187" i="4" s="1"/>
  <c r="P50" i="4"/>
  <c r="AP50" i="4" s="1"/>
  <c r="P201" i="4"/>
  <c r="AP201" i="4" s="1"/>
  <c r="P171" i="4"/>
  <c r="AP171" i="4" s="1"/>
  <c r="P188" i="4"/>
  <c r="AP188" i="4" s="1"/>
  <c r="P177" i="4"/>
  <c r="AP177" i="4" s="1"/>
  <c r="P46" i="4"/>
  <c r="AP46" i="4" s="1"/>
  <c r="Q44" i="14" s="1"/>
  <c r="P26" i="4"/>
  <c r="AP26" i="4" s="1"/>
  <c r="P203" i="4"/>
  <c r="AP203" i="4" s="1"/>
  <c r="P103" i="4"/>
  <c r="AP103" i="4" s="1"/>
  <c r="P163" i="4"/>
  <c r="AP163" i="4" s="1"/>
  <c r="P77" i="4"/>
  <c r="AP77" i="4" s="1"/>
  <c r="Q75" i="14" s="1"/>
  <c r="P155" i="4"/>
  <c r="AP155" i="4" s="1"/>
  <c r="P10" i="4"/>
  <c r="AP10" i="4" s="1"/>
  <c r="Q8" i="14" s="1"/>
  <c r="P135" i="4"/>
  <c r="AP135" i="4" s="1"/>
  <c r="P140" i="4"/>
  <c r="AP140" i="4" s="1"/>
  <c r="P122" i="4"/>
  <c r="AP122" i="4" s="1"/>
  <c r="P174" i="4"/>
  <c r="AP174" i="4" s="1"/>
  <c r="P32" i="4"/>
  <c r="AP32" i="4" s="1"/>
  <c r="P88" i="4"/>
  <c r="AP88" i="4" s="1"/>
  <c r="P150" i="4"/>
  <c r="AP150" i="4" s="1"/>
  <c r="Q148" i="14" s="1"/>
  <c r="P100" i="4"/>
  <c r="AP100" i="4" s="1"/>
  <c r="P33" i="4"/>
  <c r="AP33" i="4" s="1"/>
  <c r="P137" i="4"/>
  <c r="AP137" i="4" s="1"/>
  <c r="P85" i="4"/>
  <c r="AP85" i="4" s="1"/>
  <c r="P117" i="4"/>
  <c r="AP117" i="4" s="1"/>
  <c r="P66" i="4"/>
  <c r="AP66" i="4" s="1"/>
  <c r="Q64" i="14" s="1"/>
  <c r="P186" i="4"/>
  <c r="AP186" i="4" s="1"/>
  <c r="Q184" i="14" s="1"/>
  <c r="P206" i="4"/>
  <c r="AP206" i="4" s="1"/>
  <c r="P13" i="4"/>
  <c r="AP13" i="4" s="1"/>
  <c r="P128" i="4"/>
  <c r="AP128" i="4" s="1"/>
  <c r="P180" i="4"/>
  <c r="AP180" i="4" s="1"/>
  <c r="P112" i="4"/>
  <c r="AP112" i="4" s="1"/>
  <c r="P87" i="4"/>
  <c r="AP87" i="4" s="1"/>
  <c r="Q85" i="14" s="1"/>
  <c r="P106" i="4"/>
  <c r="AP106" i="4" s="1"/>
  <c r="P53" i="4"/>
  <c r="AP53" i="4" s="1"/>
  <c r="P154" i="4"/>
  <c r="AP154" i="4" s="1"/>
  <c r="P35" i="4"/>
  <c r="AP35" i="4" s="1"/>
  <c r="P195" i="4"/>
  <c r="AP195" i="4" s="1"/>
  <c r="P31" i="4"/>
  <c r="AP31" i="4" s="1"/>
  <c r="P30" i="4"/>
  <c r="AP30" i="4" s="1"/>
  <c r="P68" i="4"/>
  <c r="AP68" i="4" s="1"/>
  <c r="P44" i="4"/>
  <c r="AP44" i="4" s="1"/>
  <c r="P89" i="4"/>
  <c r="AP89" i="4" s="1"/>
  <c r="P43" i="4"/>
  <c r="AP43" i="4" s="1"/>
  <c r="P27" i="4"/>
  <c r="AP27" i="4" s="1"/>
  <c r="P67" i="4"/>
  <c r="AP67" i="4" s="1"/>
  <c r="P205" i="4"/>
  <c r="AP205" i="4" s="1"/>
  <c r="P96" i="4"/>
  <c r="AP96" i="4" s="1"/>
  <c r="P182" i="4"/>
  <c r="AP182" i="4" s="1"/>
  <c r="P142" i="4"/>
  <c r="AP142" i="4" s="1"/>
  <c r="P59" i="4"/>
  <c r="AP59" i="4" s="1"/>
  <c r="P158" i="4"/>
  <c r="AP158" i="4" s="1"/>
  <c r="P127" i="4"/>
  <c r="AP127" i="4" s="1"/>
  <c r="P58" i="4"/>
  <c r="AP58" i="4" s="1"/>
  <c r="P19" i="4"/>
  <c r="AP19" i="4" s="1"/>
  <c r="P80" i="4"/>
  <c r="AP80" i="4" s="1"/>
  <c r="P91" i="4"/>
  <c r="AP91" i="4" s="1"/>
  <c r="P148" i="4"/>
  <c r="AP148" i="4" s="1"/>
  <c r="P90" i="4"/>
  <c r="AP90" i="4" s="1"/>
  <c r="Q88" i="14" s="1"/>
  <c r="P110" i="4"/>
  <c r="AP110" i="4" s="1"/>
  <c r="P93" i="4"/>
  <c r="AP93" i="4" s="1"/>
  <c r="P200" i="4"/>
  <c r="AP200" i="4" s="1"/>
  <c r="P57" i="4"/>
  <c r="AP57" i="4" s="1"/>
  <c r="P115" i="4"/>
  <c r="AP115" i="4" s="1"/>
  <c r="P60" i="4"/>
  <c r="AP60" i="4" s="1"/>
  <c r="P199" i="4"/>
  <c r="AP199" i="4" s="1"/>
  <c r="P118" i="4"/>
  <c r="AP118" i="4" s="1"/>
  <c r="Q116" i="14" s="1"/>
  <c r="P107" i="4"/>
  <c r="AP107" i="4" s="1"/>
  <c r="P168" i="4"/>
  <c r="AP168" i="4" s="1"/>
  <c r="P12" i="4"/>
  <c r="AP12" i="4" s="1"/>
  <c r="Q10" i="14" s="1"/>
  <c r="P99" i="4"/>
  <c r="AP99" i="4" s="1"/>
  <c r="P24" i="4"/>
  <c r="AP24" i="4" s="1"/>
  <c r="P111" i="4"/>
  <c r="AP111" i="4" s="1"/>
  <c r="P63" i="4"/>
  <c r="AP63" i="4" s="1"/>
  <c r="P184" i="4"/>
  <c r="AP184" i="4" s="1"/>
  <c r="P144" i="4"/>
  <c r="AP144" i="4" s="1"/>
  <c r="P71" i="4"/>
  <c r="AP71" i="4" s="1"/>
  <c r="O3" i="4"/>
  <c r="O4" i="4" s="1"/>
  <c r="P113" i="4"/>
  <c r="AP113" i="4" s="1"/>
  <c r="P74" i="4"/>
  <c r="AP74" i="4" s="1"/>
  <c r="P149" i="4"/>
  <c r="AP149" i="4" s="1"/>
  <c r="P42" i="4"/>
  <c r="AP42" i="4" s="1"/>
  <c r="P56" i="4"/>
  <c r="AP56" i="4" s="1"/>
  <c r="P124" i="4"/>
  <c r="AP124" i="4" s="1"/>
  <c r="P94" i="4"/>
  <c r="AP94" i="4" s="1"/>
  <c r="P172" i="4"/>
  <c r="AP172" i="4" s="1"/>
  <c r="P147" i="4"/>
  <c r="AP147" i="4" s="1"/>
  <c r="P105" i="4"/>
  <c r="AP105" i="4" s="1"/>
  <c r="P18" i="4"/>
  <c r="AP18" i="4" s="1"/>
  <c r="P156" i="4"/>
  <c r="AP156" i="4" s="1"/>
  <c r="P191" i="4"/>
  <c r="AP191" i="4" s="1"/>
  <c r="P169" i="4"/>
  <c r="AP169" i="4" s="1"/>
  <c r="P49" i="4"/>
  <c r="AP49" i="4" s="1"/>
  <c r="P29" i="4"/>
  <c r="AP29" i="4" s="1"/>
  <c r="P192" i="4"/>
  <c r="AP192" i="4" s="1"/>
  <c r="P81" i="4"/>
  <c r="AP81" i="4" s="1"/>
  <c r="P198" i="4"/>
  <c r="AP198" i="4" s="1"/>
  <c r="P86" i="4"/>
  <c r="AP86" i="4" s="1"/>
  <c r="P178" i="4"/>
  <c r="AP178" i="4" s="1"/>
  <c r="P48" i="4"/>
  <c r="AP48" i="4" s="1"/>
  <c r="P151" i="4"/>
  <c r="AP151" i="4" s="1"/>
  <c r="P133" i="4"/>
  <c r="AP133" i="4" s="1"/>
  <c r="P145" i="4"/>
  <c r="AP145" i="4" s="1"/>
  <c r="P160" i="4"/>
  <c r="AP160" i="4" s="1"/>
  <c r="P75" i="4"/>
  <c r="AP75" i="4" s="1"/>
  <c r="P170" i="4"/>
  <c r="AP170" i="4" s="1"/>
  <c r="P36" i="4"/>
  <c r="AP36" i="4" s="1"/>
  <c r="P14" i="4"/>
  <c r="AP14" i="4" s="1"/>
  <c r="P37" i="4"/>
  <c r="AP37" i="4" s="1"/>
  <c r="P47" i="4"/>
  <c r="AP47" i="4" s="1"/>
  <c r="P197" i="4"/>
  <c r="AP197" i="4" s="1"/>
  <c r="P45" i="4"/>
  <c r="AP45" i="4" s="1"/>
  <c r="P23" i="4"/>
  <c r="AP23" i="4" s="1"/>
  <c r="P125" i="4"/>
  <c r="AP125" i="4" s="1"/>
  <c r="P34" i="4"/>
  <c r="AP34" i="4" s="1"/>
  <c r="P167" i="4"/>
  <c r="AP167" i="4" s="1"/>
  <c r="P104" i="4"/>
  <c r="AP104" i="4" s="1"/>
  <c r="P108" i="4"/>
  <c r="AP108" i="4" s="1"/>
  <c r="P70" i="4"/>
  <c r="AP70" i="4" s="1"/>
  <c r="P78" i="4"/>
  <c r="AP78" i="4" s="1"/>
  <c r="P190" i="4"/>
  <c r="AP190" i="4" s="1"/>
  <c r="P92" i="4"/>
  <c r="AP92" i="4" s="1"/>
  <c r="P84" i="4"/>
  <c r="AP84" i="4" s="1"/>
  <c r="P17" i="4"/>
  <c r="AP17" i="4" s="1"/>
  <c r="P41" i="4"/>
  <c r="AP41" i="4" s="1"/>
  <c r="P179" i="4"/>
  <c r="AP179" i="4" s="1"/>
  <c r="P121" i="4"/>
  <c r="AP121" i="4" s="1"/>
  <c r="P166" i="4"/>
  <c r="AP166" i="4" s="1"/>
  <c r="P101" i="4"/>
  <c r="AP101" i="4" s="1"/>
  <c r="AN3" i="4"/>
  <c r="AN4" i="4" s="1"/>
  <c r="P97" i="4"/>
  <c r="AP97" i="4" s="1"/>
  <c r="Q95" i="14" s="1"/>
  <c r="P204" i="4"/>
  <c r="AP204" i="4" s="1"/>
  <c r="P55" i="4"/>
  <c r="AP55" i="4" s="1"/>
  <c r="P152" i="4"/>
  <c r="AP152" i="4" s="1"/>
  <c r="P153" i="4"/>
  <c r="AP153" i="4" s="1"/>
  <c r="P61" i="4"/>
  <c r="AP61" i="4" s="1"/>
  <c r="P51" i="4"/>
  <c r="AP51" i="4" s="1"/>
  <c r="P114" i="4"/>
  <c r="AP114" i="4" s="1"/>
  <c r="P72" i="4"/>
  <c r="AP72" i="4" s="1"/>
  <c r="P207" i="4"/>
  <c r="AP207" i="4" s="1"/>
  <c r="P83" i="4"/>
  <c r="AP83" i="4" s="1"/>
  <c r="P129" i="4"/>
  <c r="AP129" i="4" s="1"/>
  <c r="P25" i="4"/>
  <c r="AP25" i="4" s="1"/>
  <c r="P120" i="4"/>
  <c r="AP120" i="4" s="1"/>
  <c r="P119" i="4"/>
  <c r="AP119" i="4" s="1"/>
  <c r="P138" i="4"/>
  <c r="AP138" i="4" s="1"/>
  <c r="P40" i="4"/>
  <c r="AP40" i="4" s="1"/>
  <c r="P134" i="4"/>
  <c r="AP134" i="4" s="1"/>
  <c r="P193" i="4"/>
  <c r="AP193" i="4" s="1"/>
  <c r="P131" i="4"/>
  <c r="AP131" i="4" s="1"/>
  <c r="P28" i="4"/>
  <c r="AP28" i="4" s="1"/>
  <c r="P132" i="4"/>
  <c r="AP132" i="4" s="1"/>
  <c r="P139" i="4"/>
  <c r="AP139" i="4" s="1"/>
  <c r="P116" i="4"/>
  <c r="AP116" i="4" s="1"/>
  <c r="P183" i="4"/>
  <c r="AP183" i="4" s="1"/>
  <c r="P175" i="4"/>
  <c r="AP175" i="4" s="1"/>
  <c r="P82" i="4"/>
  <c r="AP82" i="4" s="1"/>
  <c r="P22" i="4"/>
  <c r="AP22" i="4" s="1"/>
  <c r="P202" i="4"/>
  <c r="AP202" i="4" s="1"/>
  <c r="P11" i="4"/>
  <c r="AP11" i="4" s="1"/>
  <c r="P164" i="4"/>
  <c r="AP164" i="4" s="1"/>
  <c r="P162" i="4"/>
  <c r="AP162" i="4" s="1"/>
  <c r="P159" i="4"/>
  <c r="AP159" i="4" s="1"/>
  <c r="P38" i="4"/>
  <c r="AP38" i="4" s="1"/>
  <c r="P157" i="4"/>
  <c r="AP157" i="4" s="1"/>
  <c r="P165" i="4"/>
  <c r="AP165" i="4" s="1"/>
  <c r="P16" i="4"/>
  <c r="AP16" i="4" s="1"/>
  <c r="P123" i="4"/>
  <c r="AP123" i="4" s="1"/>
  <c r="P9" i="4"/>
  <c r="AP9" i="4" s="1"/>
  <c r="P95" i="4"/>
  <c r="AP95" i="4" s="1"/>
  <c r="P62" i="4"/>
  <c r="AP62" i="4" s="1"/>
  <c r="P130" i="4"/>
  <c r="AP130" i="4" s="1"/>
  <c r="P21" i="4"/>
  <c r="AP21" i="4" s="1"/>
  <c r="P64" i="4"/>
  <c r="AP64" i="4" s="1"/>
  <c r="P196" i="4"/>
  <c r="AP196" i="4" s="1"/>
  <c r="P126" i="4"/>
  <c r="AP126" i="4" s="1"/>
  <c r="P146" i="4"/>
  <c r="AP146" i="4" s="1"/>
  <c r="P39" i="4"/>
  <c r="AP39" i="4" s="1"/>
  <c r="P54" i="4"/>
  <c r="AP54" i="4" s="1"/>
  <c r="P76" i="4"/>
  <c r="AP76" i="4" s="1"/>
  <c r="P176" i="4"/>
  <c r="AP176" i="4" s="1"/>
  <c r="P143" i="4"/>
  <c r="AP143" i="4" s="1"/>
  <c r="P185" i="4"/>
  <c r="AP185" i="4" s="1"/>
  <c r="P73" i="4"/>
  <c r="AP73" i="4" s="1"/>
  <c r="P141" i="4"/>
  <c r="AP141" i="4" s="1"/>
  <c r="P20" i="4"/>
  <c r="AP20" i="4" s="1"/>
  <c r="P109" i="4"/>
  <c r="AP109" i="4" s="1"/>
  <c r="P136" i="4"/>
  <c r="AP136" i="4" s="1"/>
  <c r="P98" i="4"/>
  <c r="AP98" i="4" s="1"/>
  <c r="P161" i="4"/>
  <c r="AP161" i="4" s="1"/>
  <c r="P52" i="4"/>
  <c r="AP52" i="4" s="1"/>
  <c r="P69" i="4"/>
  <c r="AP69" i="4" s="1"/>
  <c r="P15" i="4"/>
  <c r="AP15" i="4" s="1"/>
  <c r="AG26" i="1"/>
  <c r="AH26" i="1" s="1"/>
  <c r="AA26" i="1"/>
  <c r="AC26" i="1" s="1"/>
  <c r="AF26" i="1" s="1"/>
  <c r="Z27" i="1"/>
  <c r="AI25" i="1"/>
  <c r="Q8" i="4"/>
  <c r="AQ8" i="4" s="1"/>
  <c r="R6" i="14" s="1"/>
  <c r="R197" i="16" l="1"/>
  <c r="S198" i="16"/>
  <c r="R138" i="16"/>
  <c r="Q63" i="14"/>
  <c r="R103" i="16"/>
  <c r="R180" i="16"/>
  <c r="R169" i="16"/>
  <c r="R188" i="16"/>
  <c r="R193" i="16"/>
  <c r="R113" i="16"/>
  <c r="Q161" i="14"/>
  <c r="R204" i="16"/>
  <c r="S21" i="16"/>
  <c r="R8" i="16"/>
  <c r="R81" i="16"/>
  <c r="R57" i="16"/>
  <c r="R176" i="16"/>
  <c r="R93" i="16"/>
  <c r="R91" i="16"/>
  <c r="R186" i="16"/>
  <c r="R152" i="16"/>
  <c r="R68" i="16"/>
  <c r="R116" i="16"/>
  <c r="Q30" i="14"/>
  <c r="Q77" i="14"/>
  <c r="Q110" i="14"/>
  <c r="Q204" i="14"/>
  <c r="Q58" i="14"/>
  <c r="Q115" i="14"/>
  <c r="Q101" i="14"/>
  <c r="Q175" i="14"/>
  <c r="Q192" i="14"/>
  <c r="R127" i="16"/>
  <c r="Q118" i="14"/>
  <c r="S142" i="16"/>
  <c r="R75" i="16"/>
  <c r="R205" i="16"/>
  <c r="Q70" i="14"/>
  <c r="Q182" i="14"/>
  <c r="Q24" i="14"/>
  <c r="S126" i="16"/>
  <c r="R58" i="16"/>
  <c r="Q186" i="14"/>
  <c r="R125" i="16"/>
  <c r="S19" i="16"/>
  <c r="S143" i="16"/>
  <c r="S128" i="16"/>
  <c r="R156" i="16"/>
  <c r="R67" i="16"/>
  <c r="S174" i="16"/>
  <c r="R114" i="16"/>
  <c r="R34" i="16"/>
  <c r="S83" i="16"/>
  <c r="S52" i="16"/>
  <c r="S85" i="16"/>
  <c r="S123" i="16"/>
  <c r="S121" i="16"/>
  <c r="S26" i="16"/>
  <c r="S37" i="16"/>
  <c r="S51" i="16"/>
  <c r="R7" i="16"/>
  <c r="R173" i="16"/>
  <c r="R45" i="16"/>
  <c r="R157" i="16"/>
  <c r="R87" i="16"/>
  <c r="R56" i="16"/>
  <c r="R163" i="16"/>
  <c r="Q154" i="14"/>
  <c r="R20" i="16"/>
  <c r="R96" i="16"/>
  <c r="R27" i="16"/>
  <c r="Q80" i="14"/>
  <c r="Q93" i="14"/>
  <c r="Q125" i="14"/>
  <c r="Q188" i="14"/>
  <c r="Q152" i="14"/>
  <c r="Q149" i="14"/>
  <c r="Q40" i="14"/>
  <c r="Q98" i="14"/>
  <c r="R71" i="16"/>
  <c r="R155" i="16"/>
  <c r="R18" i="16"/>
  <c r="R194" i="16"/>
  <c r="R42" i="16"/>
  <c r="S70" i="16"/>
  <c r="R59" i="16"/>
  <c r="R9" i="16"/>
  <c r="R139" i="16"/>
  <c r="R89" i="16"/>
  <c r="R35" i="16"/>
  <c r="R92" i="16"/>
  <c r="R32" i="16"/>
  <c r="R124" i="16"/>
  <c r="R154" i="16"/>
  <c r="R12" i="16"/>
  <c r="R122" i="16"/>
  <c r="R183" i="16"/>
  <c r="R77" i="16"/>
  <c r="S102" i="16"/>
  <c r="R47" i="16"/>
  <c r="R62" i="16"/>
  <c r="R98" i="16"/>
  <c r="R17" i="16"/>
  <c r="R141" i="16"/>
  <c r="R40" i="16"/>
  <c r="R10" i="16"/>
  <c r="S38" i="16"/>
  <c r="R119" i="16"/>
  <c r="R145" i="16"/>
  <c r="Q146" i="14"/>
  <c r="Q91" i="14"/>
  <c r="Q27" i="14"/>
  <c r="Q56" i="14"/>
  <c r="Q127" i="14"/>
  <c r="Q126" i="14"/>
  <c r="Q102" i="14"/>
  <c r="Q25" i="14"/>
  <c r="Q81" i="14"/>
  <c r="Q100" i="14"/>
  <c r="Q72" i="14"/>
  <c r="Q47" i="14"/>
  <c r="Q134" i="14"/>
  <c r="Q144" i="14"/>
  <c r="Q11" i="14"/>
  <c r="Q166" i="14"/>
  <c r="Q79" i="14"/>
  <c r="Q31" i="14"/>
  <c r="Q117" i="14"/>
  <c r="Q22" i="14"/>
  <c r="Q136" i="14"/>
  <c r="Q62" i="14"/>
  <c r="Q150" i="14"/>
  <c r="Q205" i="14"/>
  <c r="Q59" i="14"/>
  <c r="Q201" i="14"/>
  <c r="Q53" i="14"/>
  <c r="Q45" i="14"/>
  <c r="Q37" i="14"/>
  <c r="Q176" i="14"/>
  <c r="Q183" i="14"/>
  <c r="Q99" i="14"/>
  <c r="Q157" i="14"/>
  <c r="Q17" i="14"/>
  <c r="Q137" i="14"/>
  <c r="Q105" i="14"/>
  <c r="Q60" i="14"/>
  <c r="Q159" i="14"/>
  <c r="Q13" i="14"/>
  <c r="Q55" i="14"/>
  <c r="Q179" i="14"/>
  <c r="Q36" i="14"/>
  <c r="Q48" i="14"/>
  <c r="Q109" i="14"/>
  <c r="Q195" i="14"/>
  <c r="Q65" i="14"/>
  <c r="Q142" i="14"/>
  <c r="Q7" i="14"/>
  <c r="Q173" i="14"/>
  <c r="Q180" i="14"/>
  <c r="Q78" i="14"/>
  <c r="Q12" i="14"/>
  <c r="Q46" i="14"/>
  <c r="Q39" i="14"/>
  <c r="Q122" i="14"/>
  <c r="Q145" i="14"/>
  <c r="Q107" i="14"/>
  <c r="Q69" i="14"/>
  <c r="Q200" i="14"/>
  <c r="Q185" i="14"/>
  <c r="Q151" i="14"/>
  <c r="Q171" i="14"/>
  <c r="Q23" i="14"/>
  <c r="Q133" i="14"/>
  <c r="Q90" i="14"/>
  <c r="Q129" i="14"/>
  <c r="Q199" i="14"/>
  <c r="Q84" i="14"/>
  <c r="Q190" i="14"/>
  <c r="Q20" i="14"/>
  <c r="Q28" i="14"/>
  <c r="Q203" i="14"/>
  <c r="Q96" i="14"/>
  <c r="Q38" i="14"/>
  <c r="Q124" i="14"/>
  <c r="Q51" i="14"/>
  <c r="Q169" i="14"/>
  <c r="Q178" i="14"/>
  <c r="Q111" i="14"/>
  <c r="Q87" i="14"/>
  <c r="Q165" i="14"/>
  <c r="Q41" i="14"/>
  <c r="Q43" i="14"/>
  <c r="Q196" i="14"/>
  <c r="Q16" i="14"/>
  <c r="Q135" i="14"/>
  <c r="Q83" i="14"/>
  <c r="Q15" i="14"/>
  <c r="Q106" i="14"/>
  <c r="Q18" i="14"/>
  <c r="Q52" i="14"/>
  <c r="Q194" i="14"/>
  <c r="Q202" i="14"/>
  <c r="Q68" i="14"/>
  <c r="Q42" i="14"/>
  <c r="Q132" i="14"/>
  <c r="Q123" i="14"/>
  <c r="Q9" i="14"/>
  <c r="Q50" i="14"/>
  <c r="Q94" i="14"/>
  <c r="Q29" i="14"/>
  <c r="Q82" i="14"/>
  <c r="Q66" i="14"/>
  <c r="Q104" i="14"/>
  <c r="Q54" i="14"/>
  <c r="Q193" i="14"/>
  <c r="Q168" i="14"/>
  <c r="Q76" i="14"/>
  <c r="Q153" i="14"/>
  <c r="Q158" i="14"/>
  <c r="Q164" i="14"/>
  <c r="Q113" i="14"/>
  <c r="Q170" i="14"/>
  <c r="Q187" i="14"/>
  <c r="Q139" i="14"/>
  <c r="Q121" i="14"/>
  <c r="Q89" i="14"/>
  <c r="Q26" i="14"/>
  <c r="Q34" i="14"/>
  <c r="Q119" i="14"/>
  <c r="Q163" i="14"/>
  <c r="Q57" i="14"/>
  <c r="Q191" i="14"/>
  <c r="Q197" i="14"/>
  <c r="Q160" i="14"/>
  <c r="Q73" i="14"/>
  <c r="Q33" i="14"/>
  <c r="Q198" i="14"/>
  <c r="Q61" i="14"/>
  <c r="Q120" i="14"/>
  <c r="Q86" i="14"/>
  <c r="Q138" i="14"/>
  <c r="Q140" i="14"/>
  <c r="Q49" i="14"/>
  <c r="Q19" i="14"/>
  <c r="Q103" i="14"/>
  <c r="Q108" i="14"/>
  <c r="Q21" i="14"/>
  <c r="Q71" i="14"/>
  <c r="Q143" i="14"/>
  <c r="Q181" i="14"/>
  <c r="Q128" i="14"/>
  <c r="Q155" i="14"/>
  <c r="Q35" i="14"/>
  <c r="Q130" i="14"/>
  <c r="Q74" i="14"/>
  <c r="Q167" i="14"/>
  <c r="Q97" i="14"/>
  <c r="Q177" i="14"/>
  <c r="Q14" i="14"/>
  <c r="Q147" i="14"/>
  <c r="Q162" i="14"/>
  <c r="Q131" i="14"/>
  <c r="Q172" i="14"/>
  <c r="Q156" i="14"/>
  <c r="Q112" i="14"/>
  <c r="Q67" i="14"/>
  <c r="Q189" i="14"/>
  <c r="Q174" i="14"/>
  <c r="Q32" i="14"/>
  <c r="Q114" i="14"/>
  <c r="Q141" i="14"/>
  <c r="Q92" i="14"/>
  <c r="P3" i="4"/>
  <c r="P4" i="4" s="1"/>
  <c r="Q52" i="4"/>
  <c r="AQ52" i="4" s="1"/>
  <c r="Q141" i="4"/>
  <c r="AQ141" i="4" s="1"/>
  <c r="Q54" i="4"/>
  <c r="AQ54" i="4" s="1"/>
  <c r="Q21" i="4"/>
  <c r="AQ21" i="4" s="1"/>
  <c r="Q16" i="4"/>
  <c r="AQ16" i="4" s="1"/>
  <c r="Q159" i="4"/>
  <c r="AQ159" i="4" s="1"/>
  <c r="Q82" i="4"/>
  <c r="AQ82" i="4" s="1"/>
  <c r="R80" i="14" s="1"/>
  <c r="Q28" i="4"/>
  <c r="AQ28" i="4" s="1"/>
  <c r="Q121" i="4"/>
  <c r="AQ121" i="4" s="1"/>
  <c r="Q190" i="4"/>
  <c r="AQ190" i="4" s="1"/>
  <c r="R188" i="14" s="1"/>
  <c r="Q34" i="4"/>
  <c r="AQ34" i="4" s="1"/>
  <c r="Q37" i="4"/>
  <c r="AQ37" i="4" s="1"/>
  <c r="Q145" i="4"/>
  <c r="AQ145" i="4" s="1"/>
  <c r="Q198" i="4"/>
  <c r="AQ198" i="4" s="1"/>
  <c r="Q191" i="4"/>
  <c r="AQ191" i="4" s="1"/>
  <c r="Q94" i="4"/>
  <c r="AQ94" i="4" s="1"/>
  <c r="Q113" i="4"/>
  <c r="AQ113" i="4" s="1"/>
  <c r="Q119" i="4"/>
  <c r="AQ119" i="4" s="1"/>
  <c r="Q25" i="4"/>
  <c r="AQ25" i="4" s="1"/>
  <c r="Q83" i="4"/>
  <c r="AQ83" i="4" s="1"/>
  <c r="Q72" i="4"/>
  <c r="AQ72" i="4" s="1"/>
  <c r="Q51" i="4"/>
  <c r="AQ51" i="4" s="1"/>
  <c r="Q153" i="4"/>
  <c r="AQ153" i="4" s="1"/>
  <c r="Q55" i="4"/>
  <c r="AQ55" i="4" s="1"/>
  <c r="Q97" i="4"/>
  <c r="AQ97" i="4" s="1"/>
  <c r="R95" i="14" s="1"/>
  <c r="Q144" i="4"/>
  <c r="AQ144" i="4" s="1"/>
  <c r="Q63" i="4"/>
  <c r="AQ63" i="4" s="1"/>
  <c r="Q24" i="4"/>
  <c r="AQ24" i="4" s="1"/>
  <c r="R22" i="14" s="1"/>
  <c r="Q12" i="4"/>
  <c r="AQ12" i="4" s="1"/>
  <c r="R10" i="14" s="1"/>
  <c r="Q107" i="4"/>
  <c r="AQ107" i="4" s="1"/>
  <c r="Q199" i="4"/>
  <c r="AQ199" i="4" s="1"/>
  <c r="Q115" i="4"/>
  <c r="AQ115" i="4" s="1"/>
  <c r="Q200" i="4"/>
  <c r="AQ200" i="4" s="1"/>
  <c r="Q110" i="4"/>
  <c r="AQ110" i="4" s="1"/>
  <c r="Q148" i="4"/>
  <c r="AQ148" i="4" s="1"/>
  <c r="Q80" i="4"/>
  <c r="AQ80" i="4" s="1"/>
  <c r="Q58" i="4"/>
  <c r="AQ58" i="4" s="1"/>
  <c r="R56" i="14" s="1"/>
  <c r="Q158" i="4"/>
  <c r="AQ158" i="4" s="1"/>
  <c r="Q142" i="4"/>
  <c r="AQ142" i="4" s="1"/>
  <c r="Q96" i="4"/>
  <c r="AQ96" i="4" s="1"/>
  <c r="Q67" i="4"/>
  <c r="AQ67" i="4" s="1"/>
  <c r="Q43" i="4"/>
  <c r="AQ43" i="4" s="1"/>
  <c r="Q44" i="4"/>
  <c r="AQ44" i="4" s="1"/>
  <c r="Q30" i="4"/>
  <c r="AQ30" i="4" s="1"/>
  <c r="Q195" i="4"/>
  <c r="AQ195" i="4" s="1"/>
  <c r="Q154" i="4"/>
  <c r="AQ154" i="4" s="1"/>
  <c r="Q106" i="4"/>
  <c r="AQ106" i="4" s="1"/>
  <c r="Q112" i="4"/>
  <c r="AQ112" i="4" s="1"/>
  <c r="Q128" i="4"/>
  <c r="AQ128" i="4" s="1"/>
  <c r="Q206" i="4"/>
  <c r="AQ206" i="4" s="1"/>
  <c r="R204" i="14" s="1"/>
  <c r="Q66" i="4"/>
  <c r="AQ66" i="4" s="1"/>
  <c r="R64" i="14" s="1"/>
  <c r="Q85" i="4"/>
  <c r="AQ85" i="4" s="1"/>
  <c r="Q33" i="4"/>
  <c r="AQ33" i="4" s="1"/>
  <c r="Q150" i="4"/>
  <c r="AQ150" i="4" s="1"/>
  <c r="R148" i="14" s="1"/>
  <c r="Q32" i="4"/>
  <c r="AQ32" i="4" s="1"/>
  <c r="R30" i="14" s="1"/>
  <c r="Q122" i="4"/>
  <c r="AQ122" i="4" s="1"/>
  <c r="Q135" i="4"/>
  <c r="AQ135" i="4" s="1"/>
  <c r="Q155" i="4"/>
  <c r="AQ155" i="4" s="1"/>
  <c r="Q163" i="4"/>
  <c r="AQ163" i="4" s="1"/>
  <c r="R161" i="14" s="1"/>
  <c r="Q203" i="4"/>
  <c r="AQ203" i="4" s="1"/>
  <c r="Q46" i="4"/>
  <c r="AQ46" i="4" s="1"/>
  <c r="R44" i="14" s="1"/>
  <c r="Q188" i="4"/>
  <c r="AQ188" i="4" s="1"/>
  <c r="R186" i="14" s="1"/>
  <c r="Q201" i="4"/>
  <c r="AQ201" i="4" s="1"/>
  <c r="Q187" i="4"/>
  <c r="AQ187" i="4" s="1"/>
  <c r="Q79" i="4"/>
  <c r="AQ79" i="4" s="1"/>
  <c r="R77" i="14" s="1"/>
  <c r="Q102" i="4"/>
  <c r="AQ102" i="4" s="1"/>
  <c r="Q181" i="4"/>
  <c r="AQ181" i="4" s="1"/>
  <c r="Q15" i="4"/>
  <c r="AQ15" i="4" s="1"/>
  <c r="Q109" i="4"/>
  <c r="AQ109" i="4" s="1"/>
  <c r="Q176" i="4"/>
  <c r="AQ176" i="4" s="1"/>
  <c r="Q146" i="4"/>
  <c r="AQ146" i="4" s="1"/>
  <c r="Q62" i="4"/>
  <c r="AQ62" i="4" s="1"/>
  <c r="Q157" i="4"/>
  <c r="AQ157" i="4" s="1"/>
  <c r="Q202" i="4"/>
  <c r="AQ202" i="4" s="1"/>
  <c r="Q139" i="4"/>
  <c r="AQ139" i="4" s="1"/>
  <c r="Q40" i="4"/>
  <c r="AQ40" i="4" s="1"/>
  <c r="Q101" i="4"/>
  <c r="AQ101" i="4" s="1"/>
  <c r="Q84" i="4"/>
  <c r="AQ84" i="4" s="1"/>
  <c r="Q104" i="4"/>
  <c r="AQ104" i="4" s="1"/>
  <c r="Q197" i="4"/>
  <c r="AQ197" i="4" s="1"/>
  <c r="Q75" i="4"/>
  <c r="AQ75" i="4" s="1"/>
  <c r="Q178" i="4"/>
  <c r="AQ178" i="4" s="1"/>
  <c r="Q49" i="4"/>
  <c r="AQ49" i="4" s="1"/>
  <c r="R47" i="14" s="1"/>
  <c r="Q147" i="4"/>
  <c r="AQ147" i="4" s="1"/>
  <c r="Q56" i="4"/>
  <c r="AQ56" i="4" s="1"/>
  <c r="Q69" i="4"/>
  <c r="AQ69" i="4" s="1"/>
  <c r="Q161" i="4"/>
  <c r="AQ161" i="4" s="1"/>
  <c r="Q136" i="4"/>
  <c r="AQ136" i="4" s="1"/>
  <c r="Q20" i="4"/>
  <c r="AQ20" i="4" s="1"/>
  <c r="Q73" i="4"/>
  <c r="AQ73" i="4" s="1"/>
  <c r="Q143" i="4"/>
  <c r="AQ143" i="4" s="1"/>
  <c r="Q76" i="4"/>
  <c r="AQ76" i="4" s="1"/>
  <c r="Q39" i="4"/>
  <c r="AQ39" i="4" s="1"/>
  <c r="Q126" i="4"/>
  <c r="AQ126" i="4" s="1"/>
  <c r="Q64" i="4"/>
  <c r="AQ64" i="4" s="1"/>
  <c r="Q130" i="4"/>
  <c r="AQ130" i="4" s="1"/>
  <c r="Q95" i="4"/>
  <c r="AQ95" i="4" s="1"/>
  <c r="Q123" i="4"/>
  <c r="AQ123" i="4" s="1"/>
  <c r="Q165" i="4"/>
  <c r="AQ165" i="4" s="1"/>
  <c r="Q38" i="4"/>
  <c r="AQ38" i="4" s="1"/>
  <c r="Q162" i="4"/>
  <c r="AQ162" i="4" s="1"/>
  <c r="Q11" i="4"/>
  <c r="AQ11" i="4" s="1"/>
  <c r="Q22" i="4"/>
  <c r="AQ22" i="4" s="1"/>
  <c r="Q175" i="4"/>
  <c r="AQ175" i="4" s="1"/>
  <c r="Q116" i="4"/>
  <c r="AQ116" i="4" s="1"/>
  <c r="Q132" i="4"/>
  <c r="AQ132" i="4" s="1"/>
  <c r="Q131" i="4"/>
  <c r="AQ131" i="4" s="1"/>
  <c r="Q134" i="4"/>
  <c r="AQ134" i="4" s="1"/>
  <c r="Q138" i="4"/>
  <c r="AQ138" i="4" s="1"/>
  <c r="Q166" i="4"/>
  <c r="AQ166" i="4" s="1"/>
  <c r="Q179" i="4"/>
  <c r="AQ179" i="4" s="1"/>
  <c r="Q17" i="4"/>
  <c r="AQ17" i="4" s="1"/>
  <c r="Q92" i="4"/>
  <c r="AQ92" i="4" s="1"/>
  <c r="Q78" i="4"/>
  <c r="AQ78" i="4" s="1"/>
  <c r="Q108" i="4"/>
  <c r="AQ108" i="4" s="1"/>
  <c r="Q167" i="4"/>
  <c r="AQ167" i="4" s="1"/>
  <c r="Q125" i="4"/>
  <c r="AQ125" i="4" s="1"/>
  <c r="Q45" i="4"/>
  <c r="AQ45" i="4" s="1"/>
  <c r="Q47" i="4"/>
  <c r="AQ47" i="4" s="1"/>
  <c r="Q14" i="4"/>
  <c r="AQ14" i="4" s="1"/>
  <c r="Q170" i="4"/>
  <c r="AQ170" i="4" s="1"/>
  <c r="Q160" i="4"/>
  <c r="AQ160" i="4" s="1"/>
  <c r="Q133" i="4"/>
  <c r="AQ133" i="4" s="1"/>
  <c r="Q48" i="4"/>
  <c r="AQ48" i="4" s="1"/>
  <c r="Q86" i="4"/>
  <c r="AQ86" i="4" s="1"/>
  <c r="Q81" i="4"/>
  <c r="AQ81" i="4" s="1"/>
  <c r="R79" i="14" s="1"/>
  <c r="Q29" i="4"/>
  <c r="AQ29" i="4" s="1"/>
  <c r="R27" i="14" s="1"/>
  <c r="Q169" i="4"/>
  <c r="AQ169" i="4" s="1"/>
  <c r="Q156" i="4"/>
  <c r="AQ156" i="4" s="1"/>
  <c r="Q105" i="4"/>
  <c r="AQ105" i="4" s="1"/>
  <c r="Q172" i="4"/>
  <c r="AQ172" i="4" s="1"/>
  <c r="Q124" i="4"/>
  <c r="AQ124" i="4" s="1"/>
  <c r="Q42" i="4"/>
  <c r="AQ42" i="4" s="1"/>
  <c r="Q74" i="4"/>
  <c r="AQ74" i="4" s="1"/>
  <c r="Q98" i="4"/>
  <c r="AQ98" i="4" s="1"/>
  <c r="Q185" i="4"/>
  <c r="AQ185" i="4" s="1"/>
  <c r="Q196" i="4"/>
  <c r="AQ196" i="4" s="1"/>
  <c r="Q9" i="4"/>
  <c r="AQ9" i="4" s="1"/>
  <c r="Q164" i="4"/>
  <c r="AQ164" i="4" s="1"/>
  <c r="Q183" i="4"/>
  <c r="AQ183" i="4" s="1"/>
  <c r="Q193" i="4"/>
  <c r="AQ193" i="4" s="1"/>
  <c r="Q41" i="4"/>
  <c r="AQ41" i="4" s="1"/>
  <c r="Q70" i="4"/>
  <c r="AQ70" i="4" s="1"/>
  <c r="Q23" i="4"/>
  <c r="AQ23" i="4" s="1"/>
  <c r="Q36" i="4"/>
  <c r="AQ36" i="4" s="1"/>
  <c r="Q151" i="4"/>
  <c r="AQ151" i="4" s="1"/>
  <c r="Q192" i="4"/>
  <c r="AQ192" i="4" s="1"/>
  <c r="Q18" i="4"/>
  <c r="AQ18" i="4" s="1"/>
  <c r="Q149" i="4"/>
  <c r="AQ149" i="4" s="1"/>
  <c r="AO3" i="4"/>
  <c r="AO4" i="4" s="1"/>
  <c r="Q120" i="4"/>
  <c r="AQ120" i="4" s="1"/>
  <c r="R118" i="14" s="1"/>
  <c r="Q129" i="4"/>
  <c r="AQ129" i="4" s="1"/>
  <c r="Q207" i="4"/>
  <c r="AQ207" i="4" s="1"/>
  <c r="R205" i="14" s="1"/>
  <c r="Q114" i="4"/>
  <c r="AQ114" i="4" s="1"/>
  <c r="Q61" i="4"/>
  <c r="AQ61" i="4" s="1"/>
  <c r="R59" i="14" s="1"/>
  <c r="Q152" i="4"/>
  <c r="AQ152" i="4" s="1"/>
  <c r="Q204" i="4"/>
  <c r="AQ204" i="4" s="1"/>
  <c r="Q71" i="4"/>
  <c r="AQ71" i="4" s="1"/>
  <c r="Q184" i="4"/>
  <c r="AQ184" i="4" s="1"/>
  <c r="Q111" i="4"/>
  <c r="AQ111" i="4" s="1"/>
  <c r="Q99" i="4"/>
  <c r="AQ99" i="4" s="1"/>
  <c r="Q168" i="4"/>
  <c r="AQ168" i="4" s="1"/>
  <c r="R166" i="14" s="1"/>
  <c r="Q118" i="4"/>
  <c r="AQ118" i="4" s="1"/>
  <c r="R116" i="14" s="1"/>
  <c r="Q60" i="4"/>
  <c r="AQ60" i="4" s="1"/>
  <c r="Q57" i="4"/>
  <c r="AQ57" i="4" s="1"/>
  <c r="Q93" i="4"/>
  <c r="AQ93" i="4" s="1"/>
  <c r="R91" i="14" s="1"/>
  <c r="Q90" i="4"/>
  <c r="AQ90" i="4" s="1"/>
  <c r="R88" i="14" s="1"/>
  <c r="Q91" i="4"/>
  <c r="AQ91" i="4" s="1"/>
  <c r="Q19" i="4"/>
  <c r="AQ19" i="4" s="1"/>
  <c r="Q127" i="4"/>
  <c r="AQ127" i="4" s="1"/>
  <c r="Q59" i="4"/>
  <c r="AQ59" i="4" s="1"/>
  <c r="Q182" i="4"/>
  <c r="AQ182" i="4" s="1"/>
  <c r="Q205" i="4"/>
  <c r="AQ205" i="4" s="1"/>
  <c r="Q27" i="4"/>
  <c r="AQ27" i="4" s="1"/>
  <c r="Q89" i="4"/>
  <c r="AQ89" i="4" s="1"/>
  <c r="Q68" i="4"/>
  <c r="AQ68" i="4" s="1"/>
  <c r="Q31" i="4"/>
  <c r="AQ31" i="4" s="1"/>
  <c r="Q35" i="4"/>
  <c r="AQ35" i="4" s="1"/>
  <c r="Q53" i="4"/>
  <c r="AQ53" i="4" s="1"/>
  <c r="Q87" i="4"/>
  <c r="AQ87" i="4" s="1"/>
  <c r="R85" i="14" s="1"/>
  <c r="Q180" i="4"/>
  <c r="AQ180" i="4" s="1"/>
  <c r="Q13" i="4"/>
  <c r="AQ13" i="4" s="1"/>
  <c r="Q186" i="4"/>
  <c r="AQ186" i="4" s="1"/>
  <c r="R184" i="14" s="1"/>
  <c r="Q117" i="4"/>
  <c r="AQ117" i="4" s="1"/>
  <c r="R115" i="14" s="1"/>
  <c r="Q137" i="4"/>
  <c r="AQ137" i="4" s="1"/>
  <c r="Q100" i="4"/>
  <c r="AQ100" i="4" s="1"/>
  <c r="R98" i="14" s="1"/>
  <c r="Q88" i="4"/>
  <c r="AQ88" i="4" s="1"/>
  <c r="Q174" i="4"/>
  <c r="AQ174" i="4" s="1"/>
  <c r="Q140" i="4"/>
  <c r="AQ140" i="4" s="1"/>
  <c r="Q10" i="4"/>
  <c r="AQ10" i="4" s="1"/>
  <c r="R8" i="14" s="1"/>
  <c r="Q77" i="4"/>
  <c r="AQ77" i="4" s="1"/>
  <c r="R75" i="14" s="1"/>
  <c r="Q103" i="4"/>
  <c r="AQ103" i="4" s="1"/>
  <c r="Q26" i="4"/>
  <c r="AQ26" i="4" s="1"/>
  <c r="Q177" i="4"/>
  <c r="AQ177" i="4" s="1"/>
  <c r="R175" i="14" s="1"/>
  <c r="Q171" i="4"/>
  <c r="AQ171" i="4" s="1"/>
  <c r="Q50" i="4"/>
  <c r="AQ50" i="4" s="1"/>
  <c r="Q65" i="4"/>
  <c r="AQ65" i="4" s="1"/>
  <c r="Q194" i="4"/>
  <c r="AQ194" i="4" s="1"/>
  <c r="Q173" i="4"/>
  <c r="AQ173" i="4" s="1"/>
  <c r="Q189" i="4"/>
  <c r="AQ189" i="4" s="1"/>
  <c r="AA27" i="1"/>
  <c r="AC27" i="1" s="1"/>
  <c r="AF27" i="1" s="1"/>
  <c r="AG27" i="1"/>
  <c r="AH27" i="1" s="1"/>
  <c r="Z28" i="1"/>
  <c r="AI31" i="1" s="1"/>
  <c r="AI26" i="1"/>
  <c r="R8" i="4"/>
  <c r="AR8" i="4" s="1"/>
  <c r="S6" i="14" s="1"/>
  <c r="R152" i="14" l="1"/>
  <c r="R63" i="14"/>
  <c r="R24" i="14"/>
  <c r="R58" i="14"/>
  <c r="R126" i="14"/>
  <c r="R101" i="14"/>
  <c r="R127" i="14"/>
  <c r="R110" i="14"/>
  <c r="R182" i="14"/>
  <c r="R62" i="14"/>
  <c r="R144" i="14"/>
  <c r="R146" i="14"/>
  <c r="R1" i="16"/>
  <c r="R192" i="14"/>
  <c r="R25" i="14"/>
  <c r="R100" i="14"/>
  <c r="R136" i="14"/>
  <c r="R93" i="14"/>
  <c r="R70" i="14"/>
  <c r="R149" i="14"/>
  <c r="R134" i="14"/>
  <c r="R201" i="14"/>
  <c r="R53" i="14"/>
  <c r="R81" i="14"/>
  <c r="R38" i="14"/>
  <c r="R180" i="14"/>
  <c r="R36" i="14"/>
  <c r="R150" i="14"/>
  <c r="R72" i="14"/>
  <c r="R178" i="14"/>
  <c r="R40" i="14"/>
  <c r="R154" i="14"/>
  <c r="R37" i="14"/>
  <c r="R31" i="14"/>
  <c r="R45" i="14"/>
  <c r="R102" i="14"/>
  <c r="R92" i="14"/>
  <c r="R174" i="14"/>
  <c r="R156" i="14"/>
  <c r="R147" i="14"/>
  <c r="R167" i="14"/>
  <c r="R155" i="14"/>
  <c r="R71" i="14"/>
  <c r="R19" i="14"/>
  <c r="R33" i="14"/>
  <c r="R191" i="14"/>
  <c r="R34" i="14"/>
  <c r="R139" i="14"/>
  <c r="R164" i="14"/>
  <c r="R168" i="14"/>
  <c r="R66" i="14"/>
  <c r="R50" i="14"/>
  <c r="R83" i="14"/>
  <c r="R43" i="14"/>
  <c r="R125" i="14"/>
  <c r="R65" i="14"/>
  <c r="R99" i="14"/>
  <c r="R11" i="14"/>
  <c r="R117" i="14"/>
  <c r="R172" i="14"/>
  <c r="R14" i="14"/>
  <c r="R74" i="14"/>
  <c r="R128" i="14"/>
  <c r="R21" i="14"/>
  <c r="R120" i="14"/>
  <c r="R73" i="14"/>
  <c r="R26" i="14"/>
  <c r="R187" i="14"/>
  <c r="R193" i="14"/>
  <c r="R18" i="14"/>
  <c r="R135" i="14"/>
  <c r="R111" i="14"/>
  <c r="R124" i="14"/>
  <c r="R28" i="14"/>
  <c r="R200" i="14"/>
  <c r="R122" i="14"/>
  <c r="R78" i="14"/>
  <c r="R142" i="14"/>
  <c r="R48" i="14"/>
  <c r="R13" i="14"/>
  <c r="R199" i="14"/>
  <c r="R23" i="14"/>
  <c r="R141" i="14"/>
  <c r="R189" i="14"/>
  <c r="R9" i="14"/>
  <c r="R87" i="14"/>
  <c r="R129" i="14"/>
  <c r="R69" i="14"/>
  <c r="R39" i="14"/>
  <c r="R114" i="14"/>
  <c r="R67" i="14"/>
  <c r="R131" i="14"/>
  <c r="R177" i="14"/>
  <c r="R130" i="14"/>
  <c r="R181" i="14"/>
  <c r="R108" i="14"/>
  <c r="R140" i="14"/>
  <c r="R61" i="14"/>
  <c r="R160" i="14"/>
  <c r="R163" i="14"/>
  <c r="R89" i="14"/>
  <c r="R170" i="14"/>
  <c r="R153" i="14"/>
  <c r="R54" i="14"/>
  <c r="R29" i="14"/>
  <c r="R123" i="14"/>
  <c r="R202" i="14"/>
  <c r="R106" i="14"/>
  <c r="R16" i="14"/>
  <c r="R41" i="14"/>
  <c r="R96" i="14"/>
  <c r="R190" i="14"/>
  <c r="R90" i="14"/>
  <c r="R151" i="14"/>
  <c r="R107" i="14"/>
  <c r="R46" i="14"/>
  <c r="R173" i="14"/>
  <c r="R195" i="14"/>
  <c r="R179" i="14"/>
  <c r="R60" i="14"/>
  <c r="R183" i="14"/>
  <c r="R86" i="14"/>
  <c r="R42" i="14"/>
  <c r="R52" i="14"/>
  <c r="R137" i="14"/>
  <c r="R49" i="14"/>
  <c r="R57" i="14"/>
  <c r="R158" i="14"/>
  <c r="R82" i="14"/>
  <c r="R68" i="14"/>
  <c r="R20" i="14"/>
  <c r="R171" i="14"/>
  <c r="R159" i="14"/>
  <c r="R157" i="14"/>
  <c r="R176" i="14"/>
  <c r="R32" i="14"/>
  <c r="R112" i="14"/>
  <c r="R162" i="14"/>
  <c r="R97" i="14"/>
  <c r="R35" i="14"/>
  <c r="R143" i="14"/>
  <c r="R103" i="14"/>
  <c r="R138" i="14"/>
  <c r="R198" i="14"/>
  <c r="R197" i="14"/>
  <c r="R119" i="14"/>
  <c r="R121" i="14"/>
  <c r="R113" i="14"/>
  <c r="R76" i="14"/>
  <c r="R104" i="14"/>
  <c r="R94" i="14"/>
  <c r="R132" i="14"/>
  <c r="R194" i="14"/>
  <c r="R15" i="14"/>
  <c r="R196" i="14"/>
  <c r="R165" i="14"/>
  <c r="R169" i="14"/>
  <c r="R51" i="14"/>
  <c r="R203" i="14"/>
  <c r="R84" i="14"/>
  <c r="R133" i="14"/>
  <c r="R185" i="14"/>
  <c r="R145" i="14"/>
  <c r="R12" i="14"/>
  <c r="R7" i="14"/>
  <c r="R109" i="14"/>
  <c r="R55" i="14"/>
  <c r="R105" i="14"/>
  <c r="R17" i="14"/>
  <c r="U9" i="16"/>
  <c r="Q3" i="4"/>
  <c r="Q4" i="4" s="1"/>
  <c r="AP3" i="4"/>
  <c r="AP4" i="4" s="1"/>
  <c r="R189" i="4"/>
  <c r="AR189" i="4" s="1"/>
  <c r="R177" i="4"/>
  <c r="AR177" i="4" s="1"/>
  <c r="S175" i="14" s="1"/>
  <c r="R10" i="4"/>
  <c r="AR10" i="4" s="1"/>
  <c r="S8" i="14" s="1"/>
  <c r="R100" i="4"/>
  <c r="AR100" i="4" s="1"/>
  <c r="S98" i="14" s="1"/>
  <c r="R117" i="4"/>
  <c r="AR117" i="4" s="1"/>
  <c r="S115" i="14" s="1"/>
  <c r="R87" i="4"/>
  <c r="AR87" i="4" s="1"/>
  <c r="S85" i="14" s="1"/>
  <c r="R68" i="4"/>
  <c r="AR68" i="4" s="1"/>
  <c r="S66" i="14" s="1"/>
  <c r="R182" i="4"/>
  <c r="AR182" i="4" s="1"/>
  <c r="S180" i="14" s="1"/>
  <c r="R91" i="4"/>
  <c r="AR91" i="4" s="1"/>
  <c r="R60" i="4"/>
  <c r="AR60" i="4" s="1"/>
  <c r="R111" i="4"/>
  <c r="AR111" i="4" s="1"/>
  <c r="R152" i="4"/>
  <c r="AR152" i="4" s="1"/>
  <c r="S150" i="14" s="1"/>
  <c r="R129" i="4"/>
  <c r="AR129" i="4" s="1"/>
  <c r="R18" i="4"/>
  <c r="AR18" i="4" s="1"/>
  <c r="R23" i="4"/>
  <c r="AR23" i="4" s="1"/>
  <c r="R183" i="4"/>
  <c r="AR183" i="4" s="1"/>
  <c r="R185" i="4"/>
  <c r="AR185" i="4" s="1"/>
  <c r="R124" i="4"/>
  <c r="AR124" i="4" s="1"/>
  <c r="R169" i="4"/>
  <c r="AR169" i="4" s="1"/>
  <c r="R48" i="4"/>
  <c r="AR48" i="4" s="1"/>
  <c r="R14" i="4"/>
  <c r="AR14" i="4" s="1"/>
  <c r="R45" i="4"/>
  <c r="AR45" i="4" s="1"/>
  <c r="S43" i="14" s="1"/>
  <c r="R167" i="4"/>
  <c r="AR167" i="4" s="1"/>
  <c r="R78" i="4"/>
  <c r="AR78" i="4" s="1"/>
  <c r="R166" i="4"/>
  <c r="AR166" i="4" s="1"/>
  <c r="R134" i="4"/>
  <c r="AR134" i="4" s="1"/>
  <c r="R132" i="4"/>
  <c r="AR132" i="4" s="1"/>
  <c r="R175" i="4"/>
  <c r="AR175" i="4" s="1"/>
  <c r="R11" i="4"/>
  <c r="AR11" i="4" s="1"/>
  <c r="R38" i="4"/>
  <c r="AR38" i="4" s="1"/>
  <c r="R123" i="4"/>
  <c r="AR123" i="4" s="1"/>
  <c r="R130" i="4"/>
  <c r="AR130" i="4" s="1"/>
  <c r="S128" i="14" s="1"/>
  <c r="R126" i="4"/>
  <c r="AR126" i="4" s="1"/>
  <c r="S124" i="14" s="1"/>
  <c r="R76" i="4"/>
  <c r="AR76" i="4" s="1"/>
  <c r="S74" i="14" s="1"/>
  <c r="R73" i="4"/>
  <c r="AR73" i="4" s="1"/>
  <c r="S71" i="14" s="1"/>
  <c r="R136" i="4"/>
  <c r="AR136" i="4" s="1"/>
  <c r="S134" i="14" s="1"/>
  <c r="R69" i="4"/>
  <c r="AR69" i="4" s="1"/>
  <c r="R147" i="4"/>
  <c r="AR147" i="4" s="1"/>
  <c r="R178" i="4"/>
  <c r="AR178" i="4" s="1"/>
  <c r="R197" i="4"/>
  <c r="AR197" i="4" s="1"/>
  <c r="R84" i="4"/>
  <c r="AR84" i="4" s="1"/>
  <c r="R40" i="4"/>
  <c r="AR40" i="4" s="1"/>
  <c r="R202" i="4"/>
  <c r="AR202" i="4" s="1"/>
  <c r="R62" i="4"/>
  <c r="AR62" i="4" s="1"/>
  <c r="R176" i="4"/>
  <c r="AR176" i="4" s="1"/>
  <c r="S174" i="14" s="1"/>
  <c r="R15" i="4"/>
  <c r="AR15" i="4" s="1"/>
  <c r="R102" i="4"/>
  <c r="AR102" i="4" s="1"/>
  <c r="R187" i="4"/>
  <c r="AR187" i="4" s="1"/>
  <c r="R188" i="4"/>
  <c r="AR188" i="4" s="1"/>
  <c r="S186" i="14" s="1"/>
  <c r="R203" i="4"/>
  <c r="AR203" i="4" s="1"/>
  <c r="R155" i="4"/>
  <c r="AR155" i="4" s="1"/>
  <c r="R122" i="4"/>
  <c r="AR122" i="4" s="1"/>
  <c r="S120" i="14" s="1"/>
  <c r="R150" i="4"/>
  <c r="AR150" i="4" s="1"/>
  <c r="S148" i="14" s="1"/>
  <c r="R85" i="4"/>
  <c r="AR85" i="4" s="1"/>
  <c r="R206" i="4"/>
  <c r="AR206" i="4" s="1"/>
  <c r="S204" i="14" s="1"/>
  <c r="R112" i="4"/>
  <c r="AR112" i="4" s="1"/>
  <c r="S110" i="14" s="1"/>
  <c r="R154" i="4"/>
  <c r="AR154" i="4" s="1"/>
  <c r="S152" i="14" s="1"/>
  <c r="R30" i="4"/>
  <c r="AR30" i="4" s="1"/>
  <c r="S28" i="14" s="1"/>
  <c r="R43" i="4"/>
  <c r="AR43" i="4" s="1"/>
  <c r="R96" i="4"/>
  <c r="AR96" i="4" s="1"/>
  <c r="R158" i="4"/>
  <c r="AR158" i="4" s="1"/>
  <c r="R80" i="4"/>
  <c r="AR80" i="4" s="1"/>
  <c r="R110" i="4"/>
  <c r="AR110" i="4" s="1"/>
  <c r="R115" i="4"/>
  <c r="AR115" i="4" s="1"/>
  <c r="R107" i="4"/>
  <c r="AR107" i="4" s="1"/>
  <c r="R24" i="4"/>
  <c r="AR24" i="4" s="1"/>
  <c r="S22" i="14" s="1"/>
  <c r="R144" i="4"/>
  <c r="AR144" i="4" s="1"/>
  <c r="S142" i="14" s="1"/>
  <c r="R55" i="4"/>
  <c r="AR55" i="4" s="1"/>
  <c r="S53" i="14" s="1"/>
  <c r="R51" i="4"/>
  <c r="AR51" i="4" s="1"/>
  <c r="R83" i="4"/>
  <c r="AR83" i="4" s="1"/>
  <c r="R119" i="4"/>
  <c r="AR119" i="4" s="1"/>
  <c r="R94" i="4"/>
  <c r="AR94" i="4" s="1"/>
  <c r="S92" i="14" s="1"/>
  <c r="R198" i="4"/>
  <c r="AR198" i="4" s="1"/>
  <c r="R37" i="4"/>
  <c r="AR37" i="4" s="1"/>
  <c r="R190" i="4"/>
  <c r="AR190" i="4" s="1"/>
  <c r="S188" i="14" s="1"/>
  <c r="R28" i="4"/>
  <c r="AR28" i="4" s="1"/>
  <c r="S26" i="14" s="1"/>
  <c r="R159" i="4"/>
  <c r="AR159" i="4" s="1"/>
  <c r="R21" i="4"/>
  <c r="AR21" i="4" s="1"/>
  <c r="R141" i="4"/>
  <c r="AR141" i="4" s="1"/>
  <c r="R194" i="4"/>
  <c r="AR194" i="4" s="1"/>
  <c r="S192" i="14" s="1"/>
  <c r="R50" i="4"/>
  <c r="AR50" i="4" s="1"/>
  <c r="R103" i="4"/>
  <c r="AR103" i="4" s="1"/>
  <c r="S101" i="14" s="1"/>
  <c r="R174" i="4"/>
  <c r="AR174" i="4" s="1"/>
  <c r="R13" i="4"/>
  <c r="AR13" i="4" s="1"/>
  <c r="S11" i="14" s="1"/>
  <c r="R35" i="4"/>
  <c r="AR35" i="4" s="1"/>
  <c r="R27" i="4"/>
  <c r="AR27" i="4" s="1"/>
  <c r="R127" i="4"/>
  <c r="AR127" i="4" s="1"/>
  <c r="S125" i="14" s="1"/>
  <c r="R93" i="4"/>
  <c r="AR93" i="4" s="1"/>
  <c r="S91" i="14" s="1"/>
  <c r="R168" i="4"/>
  <c r="AR168" i="4" s="1"/>
  <c r="S166" i="14" s="1"/>
  <c r="R71" i="4"/>
  <c r="AR71" i="4" s="1"/>
  <c r="R114" i="4"/>
  <c r="AR114" i="4" s="1"/>
  <c r="R151" i="4"/>
  <c r="AR151" i="4" s="1"/>
  <c r="S149" i="14" s="1"/>
  <c r="R41" i="4"/>
  <c r="AR41" i="4" s="1"/>
  <c r="R9" i="4"/>
  <c r="AR9" i="4" s="1"/>
  <c r="R74" i="4"/>
  <c r="AR74" i="4" s="1"/>
  <c r="R105" i="4"/>
  <c r="AR105" i="4" s="1"/>
  <c r="R81" i="4"/>
  <c r="AR81" i="4" s="1"/>
  <c r="S79" i="14" s="1"/>
  <c r="R160" i="4"/>
  <c r="AR160" i="4" s="1"/>
  <c r="R17" i="4"/>
  <c r="AR17" i="4" s="1"/>
  <c r="R173" i="4"/>
  <c r="AR173" i="4" s="1"/>
  <c r="R65" i="4"/>
  <c r="AR65" i="4" s="1"/>
  <c r="S63" i="14" s="1"/>
  <c r="R171" i="4"/>
  <c r="AR171" i="4" s="1"/>
  <c r="R26" i="4"/>
  <c r="AR26" i="4" s="1"/>
  <c r="S24" i="14" s="1"/>
  <c r="R77" i="4"/>
  <c r="AR77" i="4" s="1"/>
  <c r="S75" i="14" s="1"/>
  <c r="R140" i="4"/>
  <c r="AR140" i="4" s="1"/>
  <c r="R88" i="4"/>
  <c r="AR88" i="4" s="1"/>
  <c r="R137" i="4"/>
  <c r="AR137" i="4" s="1"/>
  <c r="R186" i="4"/>
  <c r="AR186" i="4" s="1"/>
  <c r="S184" i="14" s="1"/>
  <c r="R180" i="4"/>
  <c r="AR180" i="4" s="1"/>
  <c r="S178" i="14" s="1"/>
  <c r="R53" i="4"/>
  <c r="AR53" i="4" s="1"/>
  <c r="R31" i="4"/>
  <c r="AR31" i="4" s="1"/>
  <c r="R89" i="4"/>
  <c r="AR89" i="4" s="1"/>
  <c r="R205" i="4"/>
  <c r="AR205" i="4" s="1"/>
  <c r="R59" i="4"/>
  <c r="AR59" i="4" s="1"/>
  <c r="R19" i="4"/>
  <c r="AR19" i="4" s="1"/>
  <c r="R90" i="4"/>
  <c r="AR90" i="4" s="1"/>
  <c r="S88" i="14" s="1"/>
  <c r="R57" i="4"/>
  <c r="AR57" i="4" s="1"/>
  <c r="R118" i="4"/>
  <c r="AR118" i="4" s="1"/>
  <c r="S116" i="14" s="1"/>
  <c r="R99" i="4"/>
  <c r="AR99" i="4" s="1"/>
  <c r="R184" i="4"/>
  <c r="AR184" i="4" s="1"/>
  <c r="S182" i="14" s="1"/>
  <c r="R204" i="4"/>
  <c r="AR204" i="4" s="1"/>
  <c r="R61" i="4"/>
  <c r="AR61" i="4" s="1"/>
  <c r="S59" i="14" s="1"/>
  <c r="R207" i="4"/>
  <c r="AR207" i="4" s="1"/>
  <c r="S205" i="14" s="1"/>
  <c r="R120" i="4"/>
  <c r="AR120" i="4" s="1"/>
  <c r="S118" i="14" s="1"/>
  <c r="R149" i="4"/>
  <c r="AR149" i="4" s="1"/>
  <c r="R192" i="4"/>
  <c r="AR192" i="4" s="1"/>
  <c r="R36" i="4"/>
  <c r="AR36" i="4" s="1"/>
  <c r="S34" i="14" s="1"/>
  <c r="R70" i="4"/>
  <c r="AR70" i="4" s="1"/>
  <c r="R193" i="4"/>
  <c r="AR193" i="4" s="1"/>
  <c r="S191" i="14" s="1"/>
  <c r="R164" i="4"/>
  <c r="AR164" i="4" s="1"/>
  <c r="R196" i="4"/>
  <c r="AR196" i="4" s="1"/>
  <c r="R98" i="4"/>
  <c r="AR98" i="4" s="1"/>
  <c r="R42" i="4"/>
  <c r="AR42" i="4" s="1"/>
  <c r="R172" i="4"/>
  <c r="AR172" i="4" s="1"/>
  <c r="R156" i="4"/>
  <c r="AR156" i="4" s="1"/>
  <c r="R29" i="4"/>
  <c r="AR29" i="4" s="1"/>
  <c r="S27" i="14" s="1"/>
  <c r="R86" i="4"/>
  <c r="AR86" i="4" s="1"/>
  <c r="R133" i="4"/>
  <c r="AR133" i="4" s="1"/>
  <c r="R170" i="4"/>
  <c r="AR170" i="4" s="1"/>
  <c r="S168" i="14" s="1"/>
  <c r="R47" i="4"/>
  <c r="AR47" i="4" s="1"/>
  <c r="S45" i="14" s="1"/>
  <c r="R125" i="4"/>
  <c r="AR125" i="4" s="1"/>
  <c r="R108" i="4"/>
  <c r="AR108" i="4" s="1"/>
  <c r="R92" i="4"/>
  <c r="AR92" i="4" s="1"/>
  <c r="R179" i="4"/>
  <c r="AR179" i="4" s="1"/>
  <c r="R138" i="4"/>
  <c r="AR138" i="4" s="1"/>
  <c r="S136" i="14" s="1"/>
  <c r="R131" i="4"/>
  <c r="AR131" i="4" s="1"/>
  <c r="R116" i="4"/>
  <c r="AR116" i="4" s="1"/>
  <c r="R22" i="4"/>
  <c r="AR22" i="4" s="1"/>
  <c r="R162" i="4"/>
  <c r="AR162" i="4" s="1"/>
  <c r="R165" i="4"/>
  <c r="AR165" i="4" s="1"/>
  <c r="R95" i="4"/>
  <c r="AR95" i="4" s="1"/>
  <c r="R64" i="4"/>
  <c r="AR64" i="4" s="1"/>
  <c r="S62" i="14" s="1"/>
  <c r="R39" i="4"/>
  <c r="AR39" i="4" s="1"/>
  <c r="R143" i="4"/>
  <c r="AR143" i="4" s="1"/>
  <c r="R20" i="4"/>
  <c r="AR20" i="4" s="1"/>
  <c r="S18" i="14" s="1"/>
  <c r="R161" i="4"/>
  <c r="AR161" i="4" s="1"/>
  <c r="R56" i="4"/>
  <c r="AR56" i="4" s="1"/>
  <c r="R49" i="4"/>
  <c r="AR49" i="4" s="1"/>
  <c r="S47" i="14" s="1"/>
  <c r="R75" i="4"/>
  <c r="AR75" i="4" s="1"/>
  <c r="S73" i="14" s="1"/>
  <c r="R104" i="4"/>
  <c r="AR104" i="4" s="1"/>
  <c r="S102" i="14" s="1"/>
  <c r="R101" i="4"/>
  <c r="AR101" i="4" s="1"/>
  <c r="R139" i="4"/>
  <c r="AR139" i="4" s="1"/>
  <c r="R157" i="4"/>
  <c r="AR157" i="4" s="1"/>
  <c r="S155" i="14" s="1"/>
  <c r="R146" i="4"/>
  <c r="AR146" i="4" s="1"/>
  <c r="S144" i="14" s="1"/>
  <c r="R109" i="4"/>
  <c r="AR109" i="4" s="1"/>
  <c r="R181" i="4"/>
  <c r="AR181" i="4" s="1"/>
  <c r="R79" i="4"/>
  <c r="AR79" i="4" s="1"/>
  <c r="S77" i="14" s="1"/>
  <c r="R201" i="4"/>
  <c r="AR201" i="4" s="1"/>
  <c r="R46" i="4"/>
  <c r="AR46" i="4" s="1"/>
  <c r="S44" i="14" s="1"/>
  <c r="R163" i="4"/>
  <c r="AR163" i="4" s="1"/>
  <c r="S161" i="14" s="1"/>
  <c r="R135" i="4"/>
  <c r="AR135" i="4" s="1"/>
  <c r="R32" i="4"/>
  <c r="AR32" i="4" s="1"/>
  <c r="S30" i="14" s="1"/>
  <c r="R33" i="4"/>
  <c r="AR33" i="4" s="1"/>
  <c r="S31" i="14" s="1"/>
  <c r="R66" i="4"/>
  <c r="AR66" i="4" s="1"/>
  <c r="S64" i="14" s="1"/>
  <c r="R128" i="4"/>
  <c r="AR128" i="4" s="1"/>
  <c r="S126" i="14" s="1"/>
  <c r="R106" i="4"/>
  <c r="AR106" i="4" s="1"/>
  <c r="R195" i="4"/>
  <c r="AR195" i="4" s="1"/>
  <c r="S193" i="14" s="1"/>
  <c r="R44" i="4"/>
  <c r="AR44" i="4" s="1"/>
  <c r="R67" i="4"/>
  <c r="AR67" i="4" s="1"/>
  <c r="R142" i="4"/>
  <c r="AR142" i="4" s="1"/>
  <c r="R58" i="4"/>
  <c r="AR58" i="4" s="1"/>
  <c r="S56" i="14" s="1"/>
  <c r="R148" i="4"/>
  <c r="AR148" i="4" s="1"/>
  <c r="R200" i="4"/>
  <c r="AR200" i="4" s="1"/>
  <c r="R199" i="4"/>
  <c r="AR199" i="4" s="1"/>
  <c r="R12" i="4"/>
  <c r="AR12" i="4" s="1"/>
  <c r="S10" i="14" s="1"/>
  <c r="R63" i="4"/>
  <c r="AR63" i="4" s="1"/>
  <c r="R97" i="4"/>
  <c r="AR97" i="4" s="1"/>
  <c r="S95" i="14" s="1"/>
  <c r="R153" i="4"/>
  <c r="AR153" i="4" s="1"/>
  <c r="R72" i="4"/>
  <c r="AR72" i="4" s="1"/>
  <c r="R25" i="4"/>
  <c r="AR25" i="4" s="1"/>
  <c r="R113" i="4"/>
  <c r="AR113" i="4" s="1"/>
  <c r="R191" i="4"/>
  <c r="AR191" i="4" s="1"/>
  <c r="R145" i="4"/>
  <c r="AR145" i="4" s="1"/>
  <c r="R34" i="4"/>
  <c r="AR34" i="4" s="1"/>
  <c r="R121" i="4"/>
  <c r="AR121" i="4" s="1"/>
  <c r="R82" i="4"/>
  <c r="AR82" i="4" s="1"/>
  <c r="S80" i="14" s="1"/>
  <c r="R16" i="4"/>
  <c r="AR16" i="4" s="1"/>
  <c r="S14" i="14" s="1"/>
  <c r="R54" i="4"/>
  <c r="AR54" i="4" s="1"/>
  <c r="R52" i="4"/>
  <c r="AR52" i="4" s="1"/>
  <c r="AG28" i="1"/>
  <c r="AH29" i="1" s="1"/>
  <c r="AA28" i="1"/>
  <c r="AI27" i="1"/>
  <c r="S8" i="4"/>
  <c r="AS8" i="4" s="1"/>
  <c r="T6" i="14" s="1"/>
  <c r="S58" i="14" l="1"/>
  <c r="S70" i="14"/>
  <c r="S156" i="14"/>
  <c r="S127" i="14"/>
  <c r="S50" i="14"/>
  <c r="S111" i="14"/>
  <c r="S65" i="14"/>
  <c r="S154" i="14"/>
  <c r="S100" i="14"/>
  <c r="S146" i="14"/>
  <c r="S25" i="14"/>
  <c r="S81" i="14"/>
  <c r="S78" i="14"/>
  <c r="S36" i="14"/>
  <c r="S93" i="14"/>
  <c r="S72" i="14"/>
  <c r="S117" i="14"/>
  <c r="S200" i="14"/>
  <c r="S167" i="14"/>
  <c r="S135" i="14"/>
  <c r="S83" i="14"/>
  <c r="S201" i="14"/>
  <c r="S38" i="14"/>
  <c r="S37" i="14"/>
  <c r="S40" i="14"/>
  <c r="S33" i="14"/>
  <c r="S48" i="14"/>
  <c r="S164" i="14"/>
  <c r="S41" i="14"/>
  <c r="S170" i="14"/>
  <c r="S130" i="14"/>
  <c r="S172" i="14"/>
  <c r="S61" i="14"/>
  <c r="S114" i="14"/>
  <c r="S151" i="14"/>
  <c r="S139" i="14"/>
  <c r="S21" i="14"/>
  <c r="S176" i="14"/>
  <c r="S19" i="14"/>
  <c r="S13" i="14"/>
  <c r="S122" i="14"/>
  <c r="S195" i="14"/>
  <c r="S99" i="14"/>
  <c r="S147" i="14"/>
  <c r="S187" i="14"/>
  <c r="S17" i="14"/>
  <c r="S7" i="14"/>
  <c r="S133" i="14"/>
  <c r="S169" i="14"/>
  <c r="S194" i="14"/>
  <c r="S76" i="14"/>
  <c r="S197" i="14"/>
  <c r="S112" i="14"/>
  <c r="S137" i="14"/>
  <c r="S23" i="14"/>
  <c r="S82" i="14"/>
  <c r="S105" i="14"/>
  <c r="S12" i="14"/>
  <c r="S84" i="14"/>
  <c r="S165" i="14"/>
  <c r="S132" i="14"/>
  <c r="S113" i="14"/>
  <c r="S198" i="14"/>
  <c r="S35" i="14"/>
  <c r="S32" i="14"/>
  <c r="S157" i="14"/>
  <c r="S158" i="14"/>
  <c r="S49" i="14"/>
  <c r="S52" i="14"/>
  <c r="S86" i="14"/>
  <c r="S183" i="14"/>
  <c r="S173" i="14"/>
  <c r="S90" i="14"/>
  <c r="S16" i="14"/>
  <c r="S29" i="14"/>
  <c r="S89" i="14"/>
  <c r="S140" i="14"/>
  <c r="S177" i="14"/>
  <c r="S39" i="14"/>
  <c r="S87" i="14"/>
  <c r="S189" i="14"/>
  <c r="S143" i="14"/>
  <c r="S55" i="14"/>
  <c r="S145" i="14"/>
  <c r="S203" i="14"/>
  <c r="S196" i="14"/>
  <c r="S94" i="14"/>
  <c r="S121" i="14"/>
  <c r="S138" i="14"/>
  <c r="S97" i="14"/>
  <c r="S171" i="14"/>
  <c r="S42" i="14"/>
  <c r="S60" i="14"/>
  <c r="S46" i="14"/>
  <c r="S190" i="14"/>
  <c r="S106" i="14"/>
  <c r="S54" i="14"/>
  <c r="S163" i="14"/>
  <c r="S108" i="14"/>
  <c r="S131" i="14"/>
  <c r="S69" i="14"/>
  <c r="S141" i="14"/>
  <c r="S123" i="14"/>
  <c r="S109" i="14"/>
  <c r="S185" i="14"/>
  <c r="S51" i="14"/>
  <c r="S15" i="14"/>
  <c r="S104" i="14"/>
  <c r="S119" i="14"/>
  <c r="S103" i="14"/>
  <c r="S162" i="14"/>
  <c r="S159" i="14"/>
  <c r="S20" i="14"/>
  <c r="S68" i="14"/>
  <c r="S57" i="14"/>
  <c r="S179" i="14"/>
  <c r="S107" i="14"/>
  <c r="S96" i="14"/>
  <c r="S202" i="14"/>
  <c r="S153" i="14"/>
  <c r="S160" i="14"/>
  <c r="S181" i="14"/>
  <c r="S67" i="14"/>
  <c r="S129" i="14"/>
  <c r="S9" i="14"/>
  <c r="S199" i="14"/>
  <c r="U10" i="16"/>
  <c r="R3" i="4"/>
  <c r="R4" i="4" s="1"/>
  <c r="S21" i="4"/>
  <c r="AS21" i="4" s="1"/>
  <c r="S94" i="4"/>
  <c r="AS94" i="4" s="1"/>
  <c r="T92" i="14" s="1"/>
  <c r="S83" i="4"/>
  <c r="AS83" i="4" s="1"/>
  <c r="S24" i="4"/>
  <c r="AS24" i="4" s="1"/>
  <c r="T22" i="14" s="1"/>
  <c r="S80" i="4"/>
  <c r="AS80" i="4" s="1"/>
  <c r="T78" i="14" s="1"/>
  <c r="S30" i="4"/>
  <c r="AS30" i="4" s="1"/>
  <c r="T28" i="14" s="1"/>
  <c r="S203" i="4"/>
  <c r="AS203" i="4" s="1"/>
  <c r="T201" i="14" s="1"/>
  <c r="S15" i="4"/>
  <c r="AS15" i="4" s="1"/>
  <c r="S40" i="4"/>
  <c r="AS40" i="4" s="1"/>
  <c r="S147" i="4"/>
  <c r="AS147" i="4" s="1"/>
  <c r="S76" i="4"/>
  <c r="AS76" i="4" s="1"/>
  <c r="T74" i="14" s="1"/>
  <c r="S38" i="4"/>
  <c r="AS38" i="4" s="1"/>
  <c r="T36" i="14" s="1"/>
  <c r="S134" i="4"/>
  <c r="AS134" i="4" s="1"/>
  <c r="S45" i="4"/>
  <c r="AS45" i="4" s="1"/>
  <c r="T43" i="14" s="1"/>
  <c r="S124" i="4"/>
  <c r="AS124" i="4" s="1"/>
  <c r="T122" i="14" s="1"/>
  <c r="S183" i="4"/>
  <c r="AS183" i="4" s="1"/>
  <c r="S152" i="4"/>
  <c r="AS152" i="4" s="1"/>
  <c r="T150" i="14" s="1"/>
  <c r="S182" i="4"/>
  <c r="AS182" i="4" s="1"/>
  <c r="T180" i="14" s="1"/>
  <c r="S177" i="4"/>
  <c r="AS177" i="4" s="1"/>
  <c r="T175" i="14" s="1"/>
  <c r="S16" i="4"/>
  <c r="AS16" i="4" s="1"/>
  <c r="T14" i="14" s="1"/>
  <c r="S145" i="4"/>
  <c r="AS145" i="4" s="1"/>
  <c r="S72" i="4"/>
  <c r="AS72" i="4" s="1"/>
  <c r="T70" i="14" s="1"/>
  <c r="S12" i="4"/>
  <c r="AS12" i="4" s="1"/>
  <c r="T10" i="14" s="1"/>
  <c r="S58" i="4"/>
  <c r="AS58" i="4" s="1"/>
  <c r="T56" i="14" s="1"/>
  <c r="S195" i="4"/>
  <c r="AS195" i="4" s="1"/>
  <c r="T193" i="14" s="1"/>
  <c r="S128" i="4"/>
  <c r="AS128" i="4" s="1"/>
  <c r="T126" i="14" s="1"/>
  <c r="S33" i="4"/>
  <c r="AS33" i="4" s="1"/>
  <c r="T31" i="14" s="1"/>
  <c r="S135" i="4"/>
  <c r="AS135" i="4" s="1"/>
  <c r="T133" i="14" s="1"/>
  <c r="S46" i="4"/>
  <c r="AS46" i="4" s="1"/>
  <c r="T44" i="14" s="1"/>
  <c r="S79" i="4"/>
  <c r="AS79" i="4" s="1"/>
  <c r="T77" i="14" s="1"/>
  <c r="S109" i="4"/>
  <c r="AS109" i="4" s="1"/>
  <c r="S157" i="4"/>
  <c r="AS157" i="4" s="1"/>
  <c r="T155" i="14" s="1"/>
  <c r="S101" i="4"/>
  <c r="AS101" i="4" s="1"/>
  <c r="S75" i="4"/>
  <c r="AS75" i="4" s="1"/>
  <c r="T73" i="14" s="1"/>
  <c r="S56" i="4"/>
  <c r="AS56" i="4" s="1"/>
  <c r="S20" i="4"/>
  <c r="AS20" i="4" s="1"/>
  <c r="T18" i="14" s="1"/>
  <c r="S39" i="4"/>
  <c r="AS39" i="4" s="1"/>
  <c r="S95" i="4"/>
  <c r="AS95" i="4" s="1"/>
  <c r="S162" i="4"/>
  <c r="AS162" i="4" s="1"/>
  <c r="S116" i="4"/>
  <c r="AS116" i="4" s="1"/>
  <c r="T114" i="14" s="1"/>
  <c r="S138" i="4"/>
  <c r="AS138" i="4" s="1"/>
  <c r="T136" i="14" s="1"/>
  <c r="S92" i="4"/>
  <c r="AS92" i="4" s="1"/>
  <c r="S125" i="4"/>
  <c r="AS125" i="4" s="1"/>
  <c r="S170" i="4"/>
  <c r="AS170" i="4" s="1"/>
  <c r="T168" i="14" s="1"/>
  <c r="S86" i="4"/>
  <c r="AS86" i="4" s="1"/>
  <c r="S156" i="4"/>
  <c r="AS156" i="4" s="1"/>
  <c r="S42" i="4"/>
  <c r="AS42" i="4" s="1"/>
  <c r="T40" i="14" s="1"/>
  <c r="S196" i="4"/>
  <c r="AS196" i="4" s="1"/>
  <c r="S193" i="4"/>
  <c r="AS193" i="4" s="1"/>
  <c r="T191" i="14" s="1"/>
  <c r="S36" i="4"/>
  <c r="AS36" i="4" s="1"/>
  <c r="T34" i="14" s="1"/>
  <c r="S149" i="4"/>
  <c r="AS149" i="4" s="1"/>
  <c r="S207" i="4"/>
  <c r="AS207" i="4" s="1"/>
  <c r="T205" i="14" s="1"/>
  <c r="S204" i="4"/>
  <c r="AS204" i="4" s="1"/>
  <c r="S99" i="4"/>
  <c r="AS99" i="4" s="1"/>
  <c r="S57" i="4"/>
  <c r="AS57" i="4" s="1"/>
  <c r="S19" i="4"/>
  <c r="AS19" i="4" s="1"/>
  <c r="S205" i="4"/>
  <c r="AS205" i="4" s="1"/>
  <c r="S31" i="4"/>
  <c r="AS31" i="4" s="1"/>
  <c r="S180" i="4"/>
  <c r="AS180" i="4" s="1"/>
  <c r="T178" i="14" s="1"/>
  <c r="S137" i="4"/>
  <c r="AS137" i="4" s="1"/>
  <c r="T135" i="14" s="1"/>
  <c r="S140" i="4"/>
  <c r="AS140" i="4" s="1"/>
  <c r="S26" i="4"/>
  <c r="AS26" i="4" s="1"/>
  <c r="T24" i="14" s="1"/>
  <c r="S65" i="4"/>
  <c r="AS65" i="4" s="1"/>
  <c r="T63" i="14" s="1"/>
  <c r="S17" i="4"/>
  <c r="AS17" i="4" s="1"/>
  <c r="S81" i="4"/>
  <c r="AS81" i="4" s="1"/>
  <c r="T79" i="14" s="1"/>
  <c r="S74" i="4"/>
  <c r="AS74" i="4" s="1"/>
  <c r="S41" i="4"/>
  <c r="AS41" i="4" s="1"/>
  <c r="S114" i="4"/>
  <c r="AS114" i="4" s="1"/>
  <c r="T112" i="14" s="1"/>
  <c r="S168" i="4"/>
  <c r="AS168" i="4" s="1"/>
  <c r="T166" i="14" s="1"/>
  <c r="S127" i="4"/>
  <c r="AS127" i="4" s="1"/>
  <c r="T125" i="14" s="1"/>
  <c r="S35" i="4"/>
  <c r="AS35" i="4" s="1"/>
  <c r="T33" i="14" s="1"/>
  <c r="S174" i="4"/>
  <c r="AS174" i="4" s="1"/>
  <c r="T172" i="14" s="1"/>
  <c r="S50" i="4"/>
  <c r="AS50" i="4" s="1"/>
  <c r="S28" i="4"/>
  <c r="AS28" i="4" s="1"/>
  <c r="T26" i="14" s="1"/>
  <c r="S55" i="4"/>
  <c r="AS55" i="4" s="1"/>
  <c r="T53" i="14" s="1"/>
  <c r="S115" i="4"/>
  <c r="AS115" i="4" s="1"/>
  <c r="S96" i="4"/>
  <c r="AS96" i="4" s="1"/>
  <c r="S112" i="4"/>
  <c r="AS112" i="4" s="1"/>
  <c r="T110" i="14" s="1"/>
  <c r="S122" i="4"/>
  <c r="AS122" i="4" s="1"/>
  <c r="T120" i="14" s="1"/>
  <c r="S187" i="4"/>
  <c r="AS187" i="4" s="1"/>
  <c r="S62" i="4"/>
  <c r="AS62" i="4" s="1"/>
  <c r="S197" i="4"/>
  <c r="AS197" i="4" s="1"/>
  <c r="T195" i="14" s="1"/>
  <c r="S136" i="4"/>
  <c r="AS136" i="4" s="1"/>
  <c r="T134" i="14" s="1"/>
  <c r="S130" i="4"/>
  <c r="AS130" i="4" s="1"/>
  <c r="T128" i="14" s="1"/>
  <c r="S175" i="4"/>
  <c r="AS175" i="4" s="1"/>
  <c r="S78" i="4"/>
  <c r="AS78" i="4" s="1"/>
  <c r="S48" i="4"/>
  <c r="AS48" i="4" s="1"/>
  <c r="S18" i="4"/>
  <c r="AS18" i="4" s="1"/>
  <c r="S60" i="4"/>
  <c r="AS60" i="4" s="1"/>
  <c r="T58" i="14" s="1"/>
  <c r="S87" i="4"/>
  <c r="AS87" i="4" s="1"/>
  <c r="T85" i="14" s="1"/>
  <c r="S100" i="4"/>
  <c r="AS100" i="4" s="1"/>
  <c r="T98" i="14" s="1"/>
  <c r="S52" i="4"/>
  <c r="AS52" i="4" s="1"/>
  <c r="T50" i="14" s="1"/>
  <c r="S121" i="4"/>
  <c r="AS121" i="4" s="1"/>
  <c r="S113" i="4"/>
  <c r="AS113" i="4" s="1"/>
  <c r="T111" i="14" s="1"/>
  <c r="S97" i="4"/>
  <c r="AS97" i="4" s="1"/>
  <c r="T95" i="14" s="1"/>
  <c r="S200" i="4"/>
  <c r="AS200" i="4" s="1"/>
  <c r="S67" i="4"/>
  <c r="AS67" i="4" s="1"/>
  <c r="AQ3" i="4"/>
  <c r="AQ4" i="4" s="1"/>
  <c r="S141" i="4"/>
  <c r="AS141" i="4" s="1"/>
  <c r="S159" i="4"/>
  <c r="AS159" i="4" s="1"/>
  <c r="S190" i="4"/>
  <c r="AS190" i="4" s="1"/>
  <c r="T188" i="14" s="1"/>
  <c r="S198" i="4"/>
  <c r="AS198" i="4" s="1"/>
  <c r="S119" i="4"/>
  <c r="AS119" i="4" s="1"/>
  <c r="T117" i="14" s="1"/>
  <c r="S51" i="4"/>
  <c r="AS51" i="4" s="1"/>
  <c r="S144" i="4"/>
  <c r="AS144" i="4" s="1"/>
  <c r="T142" i="14" s="1"/>
  <c r="S107" i="4"/>
  <c r="AS107" i="4" s="1"/>
  <c r="S110" i="4"/>
  <c r="AS110" i="4" s="1"/>
  <c r="S158" i="4"/>
  <c r="AS158" i="4" s="1"/>
  <c r="T156" i="14" s="1"/>
  <c r="S43" i="4"/>
  <c r="AS43" i="4" s="1"/>
  <c r="T41" i="14" s="1"/>
  <c r="S154" i="4"/>
  <c r="AS154" i="4" s="1"/>
  <c r="T152" i="14" s="1"/>
  <c r="S206" i="4"/>
  <c r="AS206" i="4" s="1"/>
  <c r="T204" i="14" s="1"/>
  <c r="S150" i="4"/>
  <c r="AS150" i="4" s="1"/>
  <c r="T148" i="14" s="1"/>
  <c r="S155" i="4"/>
  <c r="AS155" i="4" s="1"/>
  <c r="S188" i="4"/>
  <c r="AS188" i="4" s="1"/>
  <c r="T186" i="14" s="1"/>
  <c r="S102" i="4"/>
  <c r="AS102" i="4" s="1"/>
  <c r="T100" i="14" s="1"/>
  <c r="S176" i="4"/>
  <c r="AS176" i="4" s="1"/>
  <c r="S202" i="4"/>
  <c r="AS202" i="4" s="1"/>
  <c r="T200" i="14" s="1"/>
  <c r="S84" i="4"/>
  <c r="AS84" i="4" s="1"/>
  <c r="S178" i="4"/>
  <c r="AS178" i="4" s="1"/>
  <c r="T176" i="14" s="1"/>
  <c r="S69" i="4"/>
  <c r="AS69" i="4" s="1"/>
  <c r="S73" i="4"/>
  <c r="AS73" i="4" s="1"/>
  <c r="T71" i="14" s="1"/>
  <c r="S126" i="4"/>
  <c r="AS126" i="4" s="1"/>
  <c r="T124" i="14" s="1"/>
  <c r="S123" i="4"/>
  <c r="AS123" i="4" s="1"/>
  <c r="S11" i="4"/>
  <c r="AS11" i="4" s="1"/>
  <c r="S132" i="4"/>
  <c r="AS132" i="4" s="1"/>
  <c r="S166" i="4"/>
  <c r="AS166" i="4" s="1"/>
  <c r="S167" i="4"/>
  <c r="AS167" i="4" s="1"/>
  <c r="S14" i="4"/>
  <c r="AS14" i="4" s="1"/>
  <c r="S169" i="4"/>
  <c r="AS169" i="4" s="1"/>
  <c r="S185" i="4"/>
  <c r="AS185" i="4" s="1"/>
  <c r="S23" i="4"/>
  <c r="AS23" i="4" s="1"/>
  <c r="S129" i="4"/>
  <c r="AS129" i="4" s="1"/>
  <c r="T127" i="14" s="1"/>
  <c r="S111" i="4"/>
  <c r="AS111" i="4" s="1"/>
  <c r="S91" i="4"/>
  <c r="AS91" i="4" s="1"/>
  <c r="S68" i="4"/>
  <c r="AS68" i="4" s="1"/>
  <c r="T66" i="14" s="1"/>
  <c r="S117" i="4"/>
  <c r="AS117" i="4" s="1"/>
  <c r="T115" i="14" s="1"/>
  <c r="S10" i="4"/>
  <c r="AS10" i="4" s="1"/>
  <c r="T8" i="14" s="1"/>
  <c r="S189" i="4"/>
  <c r="AS189" i="4" s="1"/>
  <c r="T187" i="14" s="1"/>
  <c r="S37" i="4"/>
  <c r="AS37" i="4" s="1"/>
  <c r="S85" i="4"/>
  <c r="AS85" i="4" s="1"/>
  <c r="S54" i="4"/>
  <c r="AS54" i="4" s="1"/>
  <c r="S82" i="4"/>
  <c r="AS82" i="4" s="1"/>
  <c r="T80" i="14" s="1"/>
  <c r="S34" i="4"/>
  <c r="AS34" i="4" s="1"/>
  <c r="S191" i="4"/>
  <c r="AS191" i="4" s="1"/>
  <c r="S25" i="4"/>
  <c r="AS25" i="4" s="1"/>
  <c r="S153" i="4"/>
  <c r="AS153" i="4" s="1"/>
  <c r="S63" i="4"/>
  <c r="AS63" i="4" s="1"/>
  <c r="T61" i="14" s="1"/>
  <c r="S199" i="4"/>
  <c r="AS199" i="4" s="1"/>
  <c r="T197" i="14" s="1"/>
  <c r="S148" i="4"/>
  <c r="AS148" i="4" s="1"/>
  <c r="T146" i="14" s="1"/>
  <c r="S142" i="4"/>
  <c r="AS142" i="4" s="1"/>
  <c r="S44" i="4"/>
  <c r="AS44" i="4" s="1"/>
  <c r="S106" i="4"/>
  <c r="AS106" i="4" s="1"/>
  <c r="S66" i="4"/>
  <c r="AS66" i="4" s="1"/>
  <c r="T64" i="14" s="1"/>
  <c r="S32" i="4"/>
  <c r="AS32" i="4" s="1"/>
  <c r="T30" i="14" s="1"/>
  <c r="S163" i="4"/>
  <c r="AS163" i="4" s="1"/>
  <c r="T161" i="14" s="1"/>
  <c r="S201" i="4"/>
  <c r="AS201" i="4" s="1"/>
  <c r="S181" i="4"/>
  <c r="AS181" i="4" s="1"/>
  <c r="S146" i="4"/>
  <c r="AS146" i="4" s="1"/>
  <c r="T144" i="14" s="1"/>
  <c r="S139" i="4"/>
  <c r="AS139" i="4" s="1"/>
  <c r="S104" i="4"/>
  <c r="AS104" i="4" s="1"/>
  <c r="T102" i="14" s="1"/>
  <c r="S49" i="4"/>
  <c r="AS49" i="4" s="1"/>
  <c r="T47" i="14" s="1"/>
  <c r="S161" i="4"/>
  <c r="AS161" i="4" s="1"/>
  <c r="S143" i="4"/>
  <c r="AS143" i="4" s="1"/>
  <c r="S64" i="4"/>
  <c r="AS64" i="4" s="1"/>
  <c r="T62" i="14" s="1"/>
  <c r="S165" i="4"/>
  <c r="AS165" i="4" s="1"/>
  <c r="S22" i="4"/>
  <c r="AS22" i="4" s="1"/>
  <c r="S131" i="4"/>
  <c r="AS131" i="4" s="1"/>
  <c r="S179" i="4"/>
  <c r="AS179" i="4" s="1"/>
  <c r="S108" i="4"/>
  <c r="AS108" i="4" s="1"/>
  <c r="S47" i="4"/>
  <c r="AS47" i="4" s="1"/>
  <c r="T45" i="14" s="1"/>
  <c r="S133" i="4"/>
  <c r="AS133" i="4" s="1"/>
  <c r="S29" i="4"/>
  <c r="AS29" i="4" s="1"/>
  <c r="T27" i="14" s="1"/>
  <c r="S172" i="4"/>
  <c r="AS172" i="4" s="1"/>
  <c r="T170" i="14" s="1"/>
  <c r="S98" i="4"/>
  <c r="AS98" i="4" s="1"/>
  <c r="S164" i="4"/>
  <c r="AS164" i="4" s="1"/>
  <c r="S70" i="4"/>
  <c r="AS70" i="4" s="1"/>
  <c r="S192" i="4"/>
  <c r="AS192" i="4" s="1"/>
  <c r="S120" i="4"/>
  <c r="AS120" i="4" s="1"/>
  <c r="T118" i="14" s="1"/>
  <c r="S61" i="4"/>
  <c r="AS61" i="4" s="1"/>
  <c r="T59" i="14" s="1"/>
  <c r="S184" i="4"/>
  <c r="AS184" i="4" s="1"/>
  <c r="T182" i="14" s="1"/>
  <c r="S118" i="4"/>
  <c r="AS118" i="4" s="1"/>
  <c r="T116" i="14" s="1"/>
  <c r="S90" i="4"/>
  <c r="AS90" i="4" s="1"/>
  <c r="T88" i="14" s="1"/>
  <c r="S59" i="4"/>
  <c r="AS59" i="4" s="1"/>
  <c r="S89" i="4"/>
  <c r="AS89" i="4" s="1"/>
  <c r="S53" i="4"/>
  <c r="AS53" i="4" s="1"/>
  <c r="S186" i="4"/>
  <c r="AS186" i="4" s="1"/>
  <c r="T184" i="14" s="1"/>
  <c r="S88" i="4"/>
  <c r="AS88" i="4" s="1"/>
  <c r="S77" i="4"/>
  <c r="AS77" i="4" s="1"/>
  <c r="T75" i="14" s="1"/>
  <c r="S171" i="4"/>
  <c r="AS171" i="4" s="1"/>
  <c r="T169" i="14" s="1"/>
  <c r="S173" i="4"/>
  <c r="AS173" i="4" s="1"/>
  <c r="S160" i="4"/>
  <c r="AS160" i="4" s="1"/>
  <c r="S105" i="4"/>
  <c r="AS105" i="4" s="1"/>
  <c r="S9" i="4"/>
  <c r="AS9" i="4" s="1"/>
  <c r="S151" i="4"/>
  <c r="AS151" i="4" s="1"/>
  <c r="T149" i="14" s="1"/>
  <c r="S71" i="4"/>
  <c r="AS71" i="4" s="1"/>
  <c r="S93" i="4"/>
  <c r="AS93" i="4" s="1"/>
  <c r="T91" i="14" s="1"/>
  <c r="S27" i="4"/>
  <c r="AS27" i="4" s="1"/>
  <c r="S13" i="4"/>
  <c r="AS13" i="4" s="1"/>
  <c r="T11" i="14" s="1"/>
  <c r="S103" i="4"/>
  <c r="AS103" i="4" s="1"/>
  <c r="T101" i="14" s="1"/>
  <c r="S194" i="4"/>
  <c r="AS194" i="4" s="1"/>
  <c r="T192" i="14" s="1"/>
  <c r="AC28" i="1"/>
  <c r="AF28" i="1" s="1"/>
  <c r="AC29" i="1"/>
  <c r="AH28" i="1"/>
  <c r="T8" i="4"/>
  <c r="AT8" i="4" s="1"/>
  <c r="U6" i="14" s="1"/>
  <c r="T147" i="14" l="1"/>
  <c r="T72" i="14"/>
  <c r="T154" i="14"/>
  <c r="T93" i="14"/>
  <c r="T139" i="14"/>
  <c r="T81" i="14"/>
  <c r="T25" i="14"/>
  <c r="T167" i="14"/>
  <c r="T65" i="14"/>
  <c r="T48" i="14"/>
  <c r="T37" i="14"/>
  <c r="T38" i="14"/>
  <c r="T19" i="14"/>
  <c r="T164" i="14"/>
  <c r="T76" i="14"/>
  <c r="T23" i="14"/>
  <c r="T130" i="14"/>
  <c r="T99" i="14"/>
  <c r="T83" i="14"/>
  <c r="AF29" i="1"/>
  <c r="AI29" i="1" s="1"/>
  <c r="T174" i="14"/>
  <c r="T137" i="14"/>
  <c r="T21" i="14"/>
  <c r="T17" i="14"/>
  <c r="T194" i="14"/>
  <c r="T13" i="14"/>
  <c r="T7" i="14"/>
  <c r="T177" i="14"/>
  <c r="T16" i="14"/>
  <c r="T86" i="14"/>
  <c r="T157" i="14"/>
  <c r="T113" i="14"/>
  <c r="T12" i="14"/>
  <c r="T151" i="14"/>
  <c r="T199" i="14"/>
  <c r="T181" i="14"/>
  <c r="T68" i="14"/>
  <c r="T103" i="14"/>
  <c r="T51" i="14"/>
  <c r="T69" i="14"/>
  <c r="T54" i="14"/>
  <c r="T60" i="14"/>
  <c r="T138" i="14"/>
  <c r="T203" i="14"/>
  <c r="T9" i="14"/>
  <c r="T160" i="14"/>
  <c r="T107" i="14"/>
  <c r="T20" i="14"/>
  <c r="T119" i="14"/>
  <c r="T185" i="14"/>
  <c r="T131" i="14"/>
  <c r="T106" i="14"/>
  <c r="T42" i="14"/>
  <c r="T121" i="14"/>
  <c r="T145" i="14"/>
  <c r="T189" i="14"/>
  <c r="T140" i="14"/>
  <c r="T90" i="14"/>
  <c r="T52" i="14"/>
  <c r="T32" i="14"/>
  <c r="T132" i="14"/>
  <c r="T105" i="14"/>
  <c r="T96" i="14"/>
  <c r="T129" i="14"/>
  <c r="T153" i="14"/>
  <c r="T179" i="14"/>
  <c r="T159" i="14"/>
  <c r="T104" i="14"/>
  <c r="T109" i="14"/>
  <c r="T123" i="14"/>
  <c r="T108" i="14"/>
  <c r="T190" i="14"/>
  <c r="T171" i="14"/>
  <c r="T94" i="14"/>
  <c r="T55" i="14"/>
  <c r="T143" i="14"/>
  <c r="T87" i="14"/>
  <c r="T89" i="14"/>
  <c r="T173" i="14"/>
  <c r="T49" i="14"/>
  <c r="T35" i="14"/>
  <c r="T165" i="14"/>
  <c r="T82" i="14"/>
  <c r="T67" i="14"/>
  <c r="T202" i="14"/>
  <c r="T57" i="14"/>
  <c r="T162" i="14"/>
  <c r="T15" i="14"/>
  <c r="T141" i="14"/>
  <c r="T163" i="14"/>
  <c r="T46" i="14"/>
  <c r="T97" i="14"/>
  <c r="T196" i="14"/>
  <c r="T39" i="14"/>
  <c r="T29" i="14"/>
  <c r="T183" i="14"/>
  <c r="T158" i="14"/>
  <c r="T198" i="14"/>
  <c r="T84" i="14"/>
  <c r="AI28" i="1"/>
  <c r="U11" i="16"/>
  <c r="S3" i="4"/>
  <c r="S4" i="4" s="1"/>
  <c r="T200" i="4"/>
  <c r="AT200" i="4" s="1"/>
  <c r="T87" i="4"/>
  <c r="AT87" i="4" s="1"/>
  <c r="U85" i="14" s="1"/>
  <c r="T130" i="4"/>
  <c r="AT130" i="4" s="1"/>
  <c r="U128" i="14" s="1"/>
  <c r="T112" i="4"/>
  <c r="AT112" i="4" s="1"/>
  <c r="U110" i="14" s="1"/>
  <c r="T174" i="4"/>
  <c r="AT174" i="4" s="1"/>
  <c r="U172" i="14" s="1"/>
  <c r="T74" i="4"/>
  <c r="AT74" i="4" s="1"/>
  <c r="U72" i="14" s="1"/>
  <c r="T137" i="4"/>
  <c r="AT137" i="4" s="1"/>
  <c r="U135" i="14" s="1"/>
  <c r="T99" i="4"/>
  <c r="AT99" i="4" s="1"/>
  <c r="T36" i="4"/>
  <c r="AT36" i="4" s="1"/>
  <c r="U34" i="14" s="1"/>
  <c r="T156" i="4"/>
  <c r="AT156" i="4" s="1"/>
  <c r="T116" i="4"/>
  <c r="AT116" i="4" s="1"/>
  <c r="U114" i="14" s="1"/>
  <c r="T75" i="4"/>
  <c r="AT75" i="4" s="1"/>
  <c r="U73" i="14" s="1"/>
  <c r="T128" i="4"/>
  <c r="AT128" i="4" s="1"/>
  <c r="U126" i="14" s="1"/>
  <c r="T194" i="4"/>
  <c r="AT194" i="4" s="1"/>
  <c r="U192" i="14" s="1"/>
  <c r="T13" i="4"/>
  <c r="AT13" i="4" s="1"/>
  <c r="U11" i="14" s="1"/>
  <c r="T93" i="4"/>
  <c r="AT93" i="4" s="1"/>
  <c r="U91" i="14" s="1"/>
  <c r="T151" i="4"/>
  <c r="AT151" i="4" s="1"/>
  <c r="U149" i="14" s="1"/>
  <c r="T105" i="4"/>
  <c r="AT105" i="4" s="1"/>
  <c r="T173" i="4"/>
  <c r="AT173" i="4" s="1"/>
  <c r="T77" i="4"/>
  <c r="AT77" i="4" s="1"/>
  <c r="U75" i="14" s="1"/>
  <c r="T186" i="4"/>
  <c r="AT186" i="4" s="1"/>
  <c r="U184" i="14" s="1"/>
  <c r="T89" i="4"/>
  <c r="AT89" i="4" s="1"/>
  <c r="T90" i="4"/>
  <c r="AT90" i="4" s="1"/>
  <c r="U88" i="14" s="1"/>
  <c r="T184" i="4"/>
  <c r="AT184" i="4" s="1"/>
  <c r="U182" i="14" s="1"/>
  <c r="T120" i="4"/>
  <c r="AT120" i="4" s="1"/>
  <c r="U118" i="14" s="1"/>
  <c r="T70" i="4"/>
  <c r="AT70" i="4" s="1"/>
  <c r="U68" i="14" s="1"/>
  <c r="T98" i="4"/>
  <c r="AT98" i="4" s="1"/>
  <c r="T29" i="4"/>
  <c r="AT29" i="4" s="1"/>
  <c r="U27" i="14" s="1"/>
  <c r="T47" i="4"/>
  <c r="AT47" i="4" s="1"/>
  <c r="U45" i="14" s="1"/>
  <c r="T179" i="4"/>
  <c r="AT179" i="4" s="1"/>
  <c r="U177" i="14" s="1"/>
  <c r="T22" i="4"/>
  <c r="AT22" i="4" s="1"/>
  <c r="T64" i="4"/>
  <c r="AT64" i="4" s="1"/>
  <c r="U62" i="14" s="1"/>
  <c r="T161" i="4"/>
  <c r="AT161" i="4" s="1"/>
  <c r="T104" i="4"/>
  <c r="AT104" i="4" s="1"/>
  <c r="U102" i="14" s="1"/>
  <c r="T146" i="4"/>
  <c r="AT146" i="4" s="1"/>
  <c r="U144" i="14" s="1"/>
  <c r="T201" i="4"/>
  <c r="AT201" i="4" s="1"/>
  <c r="T32" i="4"/>
  <c r="AT32" i="4" s="1"/>
  <c r="U30" i="14" s="1"/>
  <c r="T106" i="4"/>
  <c r="AT106" i="4" s="1"/>
  <c r="T142" i="4"/>
  <c r="AT142" i="4" s="1"/>
  <c r="T199" i="4"/>
  <c r="AT199" i="4" s="1"/>
  <c r="U197" i="14" s="1"/>
  <c r="T153" i="4"/>
  <c r="AT153" i="4" s="1"/>
  <c r="T191" i="4"/>
  <c r="AT191" i="4" s="1"/>
  <c r="T82" i="4"/>
  <c r="AT82" i="4" s="1"/>
  <c r="U80" i="14" s="1"/>
  <c r="T85" i="4"/>
  <c r="AT85" i="4" s="1"/>
  <c r="U83" i="14" s="1"/>
  <c r="T189" i="4"/>
  <c r="AT189" i="4" s="1"/>
  <c r="U187" i="14" s="1"/>
  <c r="T117" i="4"/>
  <c r="AT117" i="4" s="1"/>
  <c r="U115" i="14" s="1"/>
  <c r="T91" i="4"/>
  <c r="AT91" i="4" s="1"/>
  <c r="T129" i="4"/>
  <c r="AT129" i="4" s="1"/>
  <c r="U127" i="14" s="1"/>
  <c r="T185" i="4"/>
  <c r="AT185" i="4" s="1"/>
  <c r="T14" i="4"/>
  <c r="AT14" i="4" s="1"/>
  <c r="U12" i="14" s="1"/>
  <c r="T166" i="4"/>
  <c r="AT166" i="4" s="1"/>
  <c r="U164" i="14" s="1"/>
  <c r="T11" i="4"/>
  <c r="AT11" i="4" s="1"/>
  <c r="T126" i="4"/>
  <c r="AT126" i="4" s="1"/>
  <c r="U124" i="14" s="1"/>
  <c r="T69" i="4"/>
  <c r="AT69" i="4" s="1"/>
  <c r="T84" i="4"/>
  <c r="AT84" i="4" s="1"/>
  <c r="T176" i="4"/>
  <c r="AT176" i="4" s="1"/>
  <c r="T188" i="4"/>
  <c r="AT188" i="4" s="1"/>
  <c r="U186" i="14" s="1"/>
  <c r="T150" i="4"/>
  <c r="AT150" i="4" s="1"/>
  <c r="U148" i="14" s="1"/>
  <c r="T154" i="4"/>
  <c r="AT154" i="4" s="1"/>
  <c r="U152" i="14" s="1"/>
  <c r="T158" i="4"/>
  <c r="AT158" i="4" s="1"/>
  <c r="U156" i="14" s="1"/>
  <c r="T107" i="4"/>
  <c r="AT107" i="4" s="1"/>
  <c r="T51" i="4"/>
  <c r="AT51" i="4" s="1"/>
  <c r="T198" i="4"/>
  <c r="AT198" i="4" s="1"/>
  <c r="T159" i="4"/>
  <c r="AT159" i="4" s="1"/>
  <c r="T182" i="4"/>
  <c r="AT182" i="4" s="1"/>
  <c r="U180" i="14" s="1"/>
  <c r="T183" i="4"/>
  <c r="AT183" i="4" s="1"/>
  <c r="U181" i="14" s="1"/>
  <c r="T45" i="4"/>
  <c r="AT45" i="4" s="1"/>
  <c r="U43" i="14" s="1"/>
  <c r="T38" i="4"/>
  <c r="AT38" i="4" s="1"/>
  <c r="U36" i="14" s="1"/>
  <c r="T147" i="4"/>
  <c r="AT147" i="4" s="1"/>
  <c r="T15" i="4"/>
  <c r="AT15" i="4" s="1"/>
  <c r="T30" i="4"/>
  <c r="AT30" i="4" s="1"/>
  <c r="U28" i="14" s="1"/>
  <c r="T24" i="4"/>
  <c r="AT24" i="4" s="1"/>
  <c r="T94" i="4"/>
  <c r="AT94" i="4" s="1"/>
  <c r="U92" i="14" s="1"/>
  <c r="T113" i="4"/>
  <c r="AT113" i="4" s="1"/>
  <c r="U111" i="14" s="1"/>
  <c r="T18" i="4"/>
  <c r="AT18" i="4" s="1"/>
  <c r="U16" i="14" s="1"/>
  <c r="T197" i="4"/>
  <c r="AT197" i="4" s="1"/>
  <c r="U195" i="14" s="1"/>
  <c r="T115" i="4"/>
  <c r="AT115" i="4" s="1"/>
  <c r="T127" i="4"/>
  <c r="AT127" i="4" s="1"/>
  <c r="U125" i="14" s="1"/>
  <c r="T17" i="4"/>
  <c r="AT17" i="4" s="1"/>
  <c r="T31" i="4"/>
  <c r="AT31" i="4" s="1"/>
  <c r="T207" i="4"/>
  <c r="AT207" i="4" s="1"/>
  <c r="U205" i="14" s="1"/>
  <c r="T170" i="4"/>
  <c r="AT170" i="4" s="1"/>
  <c r="U168" i="14" s="1"/>
  <c r="T95" i="4"/>
  <c r="AT95" i="4" s="1"/>
  <c r="T157" i="4"/>
  <c r="AT157" i="4" s="1"/>
  <c r="U155" i="14" s="1"/>
  <c r="T135" i="4"/>
  <c r="AT135" i="4" s="1"/>
  <c r="U133" i="14" s="1"/>
  <c r="T72" i="4"/>
  <c r="AT72" i="4" s="1"/>
  <c r="U70" i="14" s="1"/>
  <c r="T16" i="4"/>
  <c r="AT16" i="4" s="1"/>
  <c r="U14" i="14" s="1"/>
  <c r="AR3" i="4"/>
  <c r="AR4" i="4" s="1"/>
  <c r="T67" i="4"/>
  <c r="AT67" i="4" s="1"/>
  <c r="U65" i="14" s="1"/>
  <c r="T97" i="4"/>
  <c r="AT97" i="4" s="1"/>
  <c r="U95" i="14" s="1"/>
  <c r="T121" i="4"/>
  <c r="AT121" i="4" s="1"/>
  <c r="T100" i="4"/>
  <c r="AT100" i="4" s="1"/>
  <c r="U98" i="14" s="1"/>
  <c r="T60" i="4"/>
  <c r="AT60" i="4" s="1"/>
  <c r="U58" i="14" s="1"/>
  <c r="T48" i="4"/>
  <c r="AT48" i="4" s="1"/>
  <c r="T175" i="4"/>
  <c r="AT175" i="4" s="1"/>
  <c r="T136" i="4"/>
  <c r="AT136" i="4" s="1"/>
  <c r="U134" i="14" s="1"/>
  <c r="T62" i="4"/>
  <c r="AT62" i="4" s="1"/>
  <c r="T122" i="4"/>
  <c r="AT122" i="4" s="1"/>
  <c r="U120" i="14" s="1"/>
  <c r="T96" i="4"/>
  <c r="AT96" i="4" s="1"/>
  <c r="T55" i="4"/>
  <c r="AT55" i="4" s="1"/>
  <c r="U53" i="14" s="1"/>
  <c r="T50" i="4"/>
  <c r="AT50" i="4" s="1"/>
  <c r="U48" i="14" s="1"/>
  <c r="T35" i="4"/>
  <c r="AT35" i="4" s="1"/>
  <c r="U33" i="14" s="1"/>
  <c r="T168" i="4"/>
  <c r="AT168" i="4" s="1"/>
  <c r="U166" i="14" s="1"/>
  <c r="T41" i="4"/>
  <c r="AT41" i="4" s="1"/>
  <c r="T81" i="4"/>
  <c r="AT81" i="4" s="1"/>
  <c r="U79" i="14" s="1"/>
  <c r="T65" i="4"/>
  <c r="AT65" i="4" s="1"/>
  <c r="U63" i="14" s="1"/>
  <c r="T140" i="4"/>
  <c r="AT140" i="4" s="1"/>
  <c r="T180" i="4"/>
  <c r="AT180" i="4" s="1"/>
  <c r="U178" i="14" s="1"/>
  <c r="T205" i="4"/>
  <c r="AT205" i="4" s="1"/>
  <c r="U203" i="14" s="1"/>
  <c r="T57" i="4"/>
  <c r="AT57" i="4" s="1"/>
  <c r="T204" i="4"/>
  <c r="AT204" i="4" s="1"/>
  <c r="T149" i="4"/>
  <c r="AT149" i="4" s="1"/>
  <c r="U147" i="14" s="1"/>
  <c r="T193" i="4"/>
  <c r="AT193" i="4" s="1"/>
  <c r="U191" i="14" s="1"/>
  <c r="T42" i="4"/>
  <c r="AT42" i="4" s="1"/>
  <c r="U40" i="14" s="1"/>
  <c r="T86" i="4"/>
  <c r="AT86" i="4" s="1"/>
  <c r="T125" i="4"/>
  <c r="AT125" i="4" s="1"/>
  <c r="T138" i="4"/>
  <c r="AT138" i="4" s="1"/>
  <c r="U136" i="14" s="1"/>
  <c r="T162" i="4"/>
  <c r="AT162" i="4" s="1"/>
  <c r="T39" i="4"/>
  <c r="AT39" i="4" s="1"/>
  <c r="T56" i="4"/>
  <c r="AT56" i="4" s="1"/>
  <c r="U54" i="14" s="1"/>
  <c r="T101" i="4"/>
  <c r="AT101" i="4" s="1"/>
  <c r="U99" i="14" s="1"/>
  <c r="T109" i="4"/>
  <c r="AT109" i="4" s="1"/>
  <c r="T46" i="4"/>
  <c r="AT46" i="4" s="1"/>
  <c r="U44" i="14" s="1"/>
  <c r="T33" i="4"/>
  <c r="AT33" i="4" s="1"/>
  <c r="T195" i="4"/>
  <c r="AT195" i="4" s="1"/>
  <c r="U193" i="14" s="1"/>
  <c r="T12" i="4"/>
  <c r="AT12" i="4" s="1"/>
  <c r="U10" i="14" s="1"/>
  <c r="T145" i="4"/>
  <c r="AT145" i="4" s="1"/>
  <c r="T52" i="4"/>
  <c r="AT52" i="4" s="1"/>
  <c r="U50" i="14" s="1"/>
  <c r="T78" i="4"/>
  <c r="AT78" i="4" s="1"/>
  <c r="U76" i="14" s="1"/>
  <c r="T187" i="4"/>
  <c r="AT187" i="4" s="1"/>
  <c r="T28" i="4"/>
  <c r="AT28" i="4" s="1"/>
  <c r="U26" i="14" s="1"/>
  <c r="T114" i="4"/>
  <c r="AT114" i="4" s="1"/>
  <c r="U112" i="14" s="1"/>
  <c r="T26" i="4"/>
  <c r="AT26" i="4" s="1"/>
  <c r="U24" i="14" s="1"/>
  <c r="T19" i="4"/>
  <c r="AT19" i="4" s="1"/>
  <c r="U17" i="14" s="1"/>
  <c r="T196" i="4"/>
  <c r="AT196" i="4" s="1"/>
  <c r="U194" i="14" s="1"/>
  <c r="T92" i="4"/>
  <c r="AT92" i="4" s="1"/>
  <c r="T20" i="4"/>
  <c r="AT20" i="4" s="1"/>
  <c r="U18" i="14" s="1"/>
  <c r="T79" i="4"/>
  <c r="AT79" i="4" s="1"/>
  <c r="U77" i="14" s="1"/>
  <c r="T58" i="4"/>
  <c r="AT58" i="4" s="1"/>
  <c r="U56" i="14" s="1"/>
  <c r="T103" i="4"/>
  <c r="AT103" i="4" s="1"/>
  <c r="U101" i="14" s="1"/>
  <c r="T27" i="4"/>
  <c r="AT27" i="4" s="1"/>
  <c r="U25" i="14" s="1"/>
  <c r="T71" i="4"/>
  <c r="AT71" i="4" s="1"/>
  <c r="U69" i="14" s="1"/>
  <c r="T9" i="4"/>
  <c r="AT9" i="4" s="1"/>
  <c r="T160" i="4"/>
  <c r="AT160" i="4" s="1"/>
  <c r="T171" i="4"/>
  <c r="AT171" i="4" s="1"/>
  <c r="U169" i="14" s="1"/>
  <c r="T88" i="4"/>
  <c r="AT88" i="4" s="1"/>
  <c r="T53" i="4"/>
  <c r="AT53" i="4" s="1"/>
  <c r="T59" i="4"/>
  <c r="AT59" i="4" s="1"/>
  <c r="T118" i="4"/>
  <c r="AT118" i="4" s="1"/>
  <c r="U116" i="14" s="1"/>
  <c r="T61" i="4"/>
  <c r="AT61" i="4" s="1"/>
  <c r="U59" i="14" s="1"/>
  <c r="T192" i="4"/>
  <c r="AT192" i="4" s="1"/>
  <c r="T164" i="4"/>
  <c r="AT164" i="4" s="1"/>
  <c r="T172" i="4"/>
  <c r="AT172" i="4" s="1"/>
  <c r="U170" i="14" s="1"/>
  <c r="T133" i="4"/>
  <c r="AT133" i="4" s="1"/>
  <c r="T108" i="4"/>
  <c r="AT108" i="4" s="1"/>
  <c r="T131" i="4"/>
  <c r="AT131" i="4" s="1"/>
  <c r="T165" i="4"/>
  <c r="AT165" i="4" s="1"/>
  <c r="T143" i="4"/>
  <c r="AT143" i="4" s="1"/>
  <c r="T49" i="4"/>
  <c r="AT49" i="4" s="1"/>
  <c r="U47" i="14" s="1"/>
  <c r="T139" i="4"/>
  <c r="AT139" i="4" s="1"/>
  <c r="U137" i="14" s="1"/>
  <c r="T181" i="4"/>
  <c r="AT181" i="4" s="1"/>
  <c r="T163" i="4"/>
  <c r="AT163" i="4" s="1"/>
  <c r="U161" i="14" s="1"/>
  <c r="T66" i="4"/>
  <c r="AT66" i="4" s="1"/>
  <c r="U64" i="14" s="1"/>
  <c r="T44" i="4"/>
  <c r="AT44" i="4" s="1"/>
  <c r="T148" i="4"/>
  <c r="AT148" i="4" s="1"/>
  <c r="U146" i="14" s="1"/>
  <c r="T63" i="4"/>
  <c r="AT63" i="4" s="1"/>
  <c r="U61" i="14" s="1"/>
  <c r="T25" i="4"/>
  <c r="AT25" i="4" s="1"/>
  <c r="T34" i="4"/>
  <c r="AT34" i="4" s="1"/>
  <c r="T54" i="4"/>
  <c r="AT54" i="4" s="1"/>
  <c r="T37" i="4"/>
  <c r="AT37" i="4" s="1"/>
  <c r="T10" i="4"/>
  <c r="AT10" i="4" s="1"/>
  <c r="U8" i="14" s="1"/>
  <c r="T68" i="4"/>
  <c r="AT68" i="4" s="1"/>
  <c r="U66" i="14" s="1"/>
  <c r="T111" i="4"/>
  <c r="AT111" i="4" s="1"/>
  <c r="T23" i="4"/>
  <c r="AT23" i="4" s="1"/>
  <c r="T169" i="4"/>
  <c r="AT169" i="4" s="1"/>
  <c r="T167" i="4"/>
  <c r="AT167" i="4" s="1"/>
  <c r="T132" i="4"/>
  <c r="AT132" i="4" s="1"/>
  <c r="U130" i="14" s="1"/>
  <c r="T123" i="4"/>
  <c r="AT123" i="4" s="1"/>
  <c r="T73" i="4"/>
  <c r="AT73" i="4" s="1"/>
  <c r="U71" i="14" s="1"/>
  <c r="T178" i="4"/>
  <c r="AT178" i="4" s="1"/>
  <c r="U176" i="14" s="1"/>
  <c r="T202" i="4"/>
  <c r="AT202" i="4" s="1"/>
  <c r="U200" i="14" s="1"/>
  <c r="T102" i="4"/>
  <c r="AT102" i="4" s="1"/>
  <c r="U100" i="14" s="1"/>
  <c r="T155" i="4"/>
  <c r="AT155" i="4" s="1"/>
  <c r="T206" i="4"/>
  <c r="AT206" i="4" s="1"/>
  <c r="U204" i="14" s="1"/>
  <c r="T43" i="4"/>
  <c r="AT43" i="4" s="1"/>
  <c r="U41" i="14" s="1"/>
  <c r="T110" i="4"/>
  <c r="AT110" i="4" s="1"/>
  <c r="T144" i="4"/>
  <c r="AT144" i="4" s="1"/>
  <c r="U142" i="14" s="1"/>
  <c r="T119" i="4"/>
  <c r="AT119" i="4" s="1"/>
  <c r="U117" i="14" s="1"/>
  <c r="T190" i="4"/>
  <c r="AT190" i="4" s="1"/>
  <c r="U188" i="14" s="1"/>
  <c r="T141" i="4"/>
  <c r="AT141" i="4" s="1"/>
  <c r="U139" i="14" s="1"/>
  <c r="T177" i="4"/>
  <c r="AT177" i="4" s="1"/>
  <c r="U175" i="14" s="1"/>
  <c r="T152" i="4"/>
  <c r="AT152" i="4" s="1"/>
  <c r="U150" i="14" s="1"/>
  <c r="T124" i="4"/>
  <c r="AT124" i="4" s="1"/>
  <c r="U122" i="14" s="1"/>
  <c r="T134" i="4"/>
  <c r="AT134" i="4" s="1"/>
  <c r="T76" i="4"/>
  <c r="AT76" i="4" s="1"/>
  <c r="U74" i="14" s="1"/>
  <c r="T40" i="4"/>
  <c r="AT40" i="4" s="1"/>
  <c r="T203" i="4"/>
  <c r="AT203" i="4" s="1"/>
  <c r="U201" i="14" s="1"/>
  <c r="T80" i="4"/>
  <c r="AT80" i="4" s="1"/>
  <c r="U78" i="14" s="1"/>
  <c r="T83" i="4"/>
  <c r="AT83" i="4" s="1"/>
  <c r="U81" i="14" s="1"/>
  <c r="T21" i="4"/>
  <c r="AT21" i="4" s="1"/>
  <c r="U19" i="14" s="1"/>
  <c r="AI30" i="1"/>
  <c r="AI33" i="1"/>
  <c r="U8" i="4"/>
  <c r="AU8" i="4" s="1"/>
  <c r="V6" i="14" s="1"/>
  <c r="U86" i="14" l="1"/>
  <c r="U167" i="14"/>
  <c r="U23" i="14"/>
  <c r="U7" i="14"/>
  <c r="U37" i="14"/>
  <c r="U93" i="14"/>
  <c r="U38" i="14"/>
  <c r="U21" i="14"/>
  <c r="U13" i="14"/>
  <c r="U154" i="14"/>
  <c r="U113" i="14"/>
  <c r="U174" i="14"/>
  <c r="U199" i="14"/>
  <c r="U51" i="14"/>
  <c r="U138" i="14"/>
  <c r="U22" i="14"/>
  <c r="U108" i="14"/>
  <c r="U55" i="14"/>
  <c r="U31" i="14"/>
  <c r="U103" i="14"/>
  <c r="U96" i="14"/>
  <c r="U131" i="14"/>
  <c r="U107" i="14"/>
  <c r="U82" i="14"/>
  <c r="U60" i="14"/>
  <c r="U151" i="14"/>
  <c r="U84" i="14"/>
  <c r="U29" i="14"/>
  <c r="U46" i="14"/>
  <c r="U162" i="14"/>
  <c r="U173" i="14"/>
  <c r="U157" i="14"/>
  <c r="U52" i="14"/>
  <c r="U145" i="14"/>
  <c r="U198" i="14"/>
  <c r="U39" i="14"/>
  <c r="U163" i="14"/>
  <c r="U57" i="14"/>
  <c r="U165" i="14"/>
  <c r="U89" i="14"/>
  <c r="U94" i="14"/>
  <c r="U123" i="14"/>
  <c r="U179" i="14"/>
  <c r="U105" i="14"/>
  <c r="U90" i="14"/>
  <c r="U121" i="14"/>
  <c r="U185" i="14"/>
  <c r="U160" i="14"/>
  <c r="U158" i="14"/>
  <c r="U196" i="14"/>
  <c r="U141" i="14"/>
  <c r="U202" i="14"/>
  <c r="U35" i="14"/>
  <c r="U87" i="14"/>
  <c r="U171" i="14"/>
  <c r="U109" i="14"/>
  <c r="U153" i="14"/>
  <c r="U132" i="14"/>
  <c r="U140" i="14"/>
  <c r="U42" i="14"/>
  <c r="U119" i="14"/>
  <c r="U9" i="14"/>
  <c r="U159" i="14"/>
  <c r="U183" i="14"/>
  <c r="U97" i="14"/>
  <c r="U15" i="14"/>
  <c r="U67" i="14"/>
  <c r="U49" i="14"/>
  <c r="U143" i="14"/>
  <c r="U190" i="14"/>
  <c r="U104" i="14"/>
  <c r="U129" i="14"/>
  <c r="U32" i="14"/>
  <c r="U189" i="14"/>
  <c r="U106" i="14"/>
  <c r="U20" i="14"/>
  <c r="AI35" i="1"/>
  <c r="U12" i="16"/>
  <c r="T3" i="4"/>
  <c r="T4" i="4" s="1"/>
  <c r="U80" i="4"/>
  <c r="AU80" i="4" s="1"/>
  <c r="V78" i="14" s="1"/>
  <c r="U134" i="4"/>
  <c r="AU134" i="4" s="1"/>
  <c r="U141" i="4"/>
  <c r="AU141" i="4" s="1"/>
  <c r="V139" i="14" s="1"/>
  <c r="U110" i="4"/>
  <c r="AU110" i="4" s="1"/>
  <c r="U178" i="4"/>
  <c r="AU178" i="4" s="1"/>
  <c r="V176" i="14" s="1"/>
  <c r="U167" i="4"/>
  <c r="AU167" i="4" s="1"/>
  <c r="U68" i="4"/>
  <c r="AU68" i="4" s="1"/>
  <c r="V66" i="14" s="1"/>
  <c r="U34" i="4"/>
  <c r="AU34" i="4" s="1"/>
  <c r="U44" i="4"/>
  <c r="AU44" i="4" s="1"/>
  <c r="U139" i="4"/>
  <c r="AU139" i="4" s="1"/>
  <c r="V137" i="14" s="1"/>
  <c r="U131" i="4"/>
  <c r="AU131" i="4" s="1"/>
  <c r="U164" i="4"/>
  <c r="AU164" i="4" s="1"/>
  <c r="U59" i="4"/>
  <c r="AU59" i="4" s="1"/>
  <c r="U160" i="4"/>
  <c r="AU160" i="4" s="1"/>
  <c r="U103" i="4"/>
  <c r="AU103" i="4" s="1"/>
  <c r="V101" i="14" s="1"/>
  <c r="U92" i="4"/>
  <c r="AU92" i="4" s="1"/>
  <c r="U114" i="4"/>
  <c r="AU114" i="4" s="1"/>
  <c r="V112" i="14" s="1"/>
  <c r="U52" i="4"/>
  <c r="AU52" i="4" s="1"/>
  <c r="V50" i="14" s="1"/>
  <c r="U33" i="4"/>
  <c r="AU33" i="4" s="1"/>
  <c r="U109" i="4"/>
  <c r="AU109" i="4" s="1"/>
  <c r="V107" i="14" s="1"/>
  <c r="U56" i="4"/>
  <c r="AU56" i="4" s="1"/>
  <c r="V54" i="14" s="1"/>
  <c r="U162" i="4"/>
  <c r="AU162" i="4" s="1"/>
  <c r="U125" i="4"/>
  <c r="AU125" i="4" s="1"/>
  <c r="U149" i="4"/>
  <c r="AU149" i="4" s="1"/>
  <c r="V147" i="14" s="1"/>
  <c r="U57" i="4"/>
  <c r="AU57" i="4" s="1"/>
  <c r="V55" i="14" s="1"/>
  <c r="U180" i="4"/>
  <c r="AU180" i="4" s="1"/>
  <c r="V178" i="14" s="1"/>
  <c r="U65" i="4"/>
  <c r="AU65" i="4" s="1"/>
  <c r="V63" i="14" s="1"/>
  <c r="U41" i="4"/>
  <c r="AU41" i="4" s="1"/>
  <c r="U35" i="4"/>
  <c r="AU35" i="4" s="1"/>
  <c r="V33" i="14" s="1"/>
  <c r="U55" i="4"/>
  <c r="AU55" i="4" s="1"/>
  <c r="V53" i="14" s="1"/>
  <c r="U122" i="4"/>
  <c r="AU122" i="4" s="1"/>
  <c r="V120" i="14" s="1"/>
  <c r="U136" i="4"/>
  <c r="AU136" i="4" s="1"/>
  <c r="V134" i="14" s="1"/>
  <c r="U48" i="4"/>
  <c r="AU48" i="4" s="1"/>
  <c r="U100" i="4"/>
  <c r="AU100" i="4" s="1"/>
  <c r="V98" i="14" s="1"/>
  <c r="U97" i="4"/>
  <c r="AU97" i="4" s="1"/>
  <c r="V95" i="14" s="1"/>
  <c r="U72" i="4"/>
  <c r="AU72" i="4" s="1"/>
  <c r="V70" i="14" s="1"/>
  <c r="U157" i="4"/>
  <c r="AU157" i="4" s="1"/>
  <c r="V155" i="14" s="1"/>
  <c r="U170" i="4"/>
  <c r="AU170" i="4" s="1"/>
  <c r="V168" i="14" s="1"/>
  <c r="U31" i="4"/>
  <c r="AU31" i="4" s="1"/>
  <c r="U127" i="4"/>
  <c r="AU127" i="4" s="1"/>
  <c r="V125" i="14" s="1"/>
  <c r="U197" i="4"/>
  <c r="AU197" i="4" s="1"/>
  <c r="V195" i="14" s="1"/>
  <c r="U113" i="4"/>
  <c r="AU113" i="4" s="1"/>
  <c r="V111" i="14" s="1"/>
  <c r="U24" i="4"/>
  <c r="AU24" i="4" s="1"/>
  <c r="U15" i="4"/>
  <c r="AU15" i="4" s="1"/>
  <c r="U38" i="4"/>
  <c r="AU38" i="4" s="1"/>
  <c r="V36" i="14" s="1"/>
  <c r="U183" i="4"/>
  <c r="AU183" i="4" s="1"/>
  <c r="V181" i="14" s="1"/>
  <c r="U159" i="4"/>
  <c r="AU159" i="4" s="1"/>
  <c r="U51" i="4"/>
  <c r="AU51" i="4" s="1"/>
  <c r="U158" i="4"/>
  <c r="AU158" i="4" s="1"/>
  <c r="V156" i="14" s="1"/>
  <c r="U150" i="4"/>
  <c r="AU150" i="4" s="1"/>
  <c r="V148" i="14" s="1"/>
  <c r="U176" i="4"/>
  <c r="AU176" i="4" s="1"/>
  <c r="U69" i="4"/>
  <c r="AU69" i="4" s="1"/>
  <c r="U11" i="4"/>
  <c r="AU11" i="4" s="1"/>
  <c r="U14" i="4"/>
  <c r="AU14" i="4" s="1"/>
  <c r="V12" i="14" s="1"/>
  <c r="U129" i="4"/>
  <c r="AU129" i="4" s="1"/>
  <c r="U117" i="4"/>
  <c r="AU117" i="4" s="1"/>
  <c r="V115" i="14" s="1"/>
  <c r="U85" i="4"/>
  <c r="AU85" i="4" s="1"/>
  <c r="V83" i="14" s="1"/>
  <c r="U191" i="4"/>
  <c r="AU191" i="4" s="1"/>
  <c r="U199" i="4"/>
  <c r="AU199" i="4" s="1"/>
  <c r="V197" i="14" s="1"/>
  <c r="U106" i="4"/>
  <c r="AU106" i="4" s="1"/>
  <c r="U201" i="4"/>
  <c r="AU201" i="4" s="1"/>
  <c r="U104" i="4"/>
  <c r="AU104" i="4" s="1"/>
  <c r="V102" i="14" s="1"/>
  <c r="U64" i="4"/>
  <c r="AU64" i="4" s="1"/>
  <c r="V62" i="14" s="1"/>
  <c r="U179" i="4"/>
  <c r="AU179" i="4" s="1"/>
  <c r="V177" i="14" s="1"/>
  <c r="U29" i="4"/>
  <c r="AU29" i="4" s="1"/>
  <c r="V27" i="14" s="1"/>
  <c r="U70" i="4"/>
  <c r="AU70" i="4" s="1"/>
  <c r="V68" i="14" s="1"/>
  <c r="U184" i="4"/>
  <c r="AU184" i="4" s="1"/>
  <c r="V182" i="14" s="1"/>
  <c r="U89" i="4"/>
  <c r="AU89" i="4" s="1"/>
  <c r="U77" i="4"/>
  <c r="AU77" i="4" s="1"/>
  <c r="V75" i="14" s="1"/>
  <c r="U105" i="4"/>
  <c r="AU105" i="4" s="1"/>
  <c r="U93" i="4"/>
  <c r="AU93" i="4" s="1"/>
  <c r="V91" i="14" s="1"/>
  <c r="U194" i="4"/>
  <c r="AU194" i="4" s="1"/>
  <c r="V192" i="14" s="1"/>
  <c r="U75" i="4"/>
  <c r="AU75" i="4" s="1"/>
  <c r="V73" i="14" s="1"/>
  <c r="U156" i="4"/>
  <c r="AU156" i="4" s="1"/>
  <c r="V154" i="14" s="1"/>
  <c r="U99" i="4"/>
  <c r="AU99" i="4" s="1"/>
  <c r="U74" i="4"/>
  <c r="AU74" i="4" s="1"/>
  <c r="V72" i="14" s="1"/>
  <c r="U112" i="4"/>
  <c r="AU112" i="4" s="1"/>
  <c r="V110" i="14" s="1"/>
  <c r="U87" i="4"/>
  <c r="AU87" i="4" s="1"/>
  <c r="V85" i="14" s="1"/>
  <c r="U21" i="4"/>
  <c r="AU21" i="4" s="1"/>
  <c r="V19" i="14" s="1"/>
  <c r="U40" i="4"/>
  <c r="AU40" i="4" s="1"/>
  <c r="V38" i="14" s="1"/>
  <c r="U152" i="4"/>
  <c r="AU152" i="4" s="1"/>
  <c r="V150" i="14" s="1"/>
  <c r="U119" i="4"/>
  <c r="AU119" i="4" s="1"/>
  <c r="V117" i="14" s="1"/>
  <c r="U206" i="4"/>
  <c r="AU206" i="4" s="1"/>
  <c r="V204" i="14" s="1"/>
  <c r="U102" i="4"/>
  <c r="AU102" i="4" s="1"/>
  <c r="V100" i="14" s="1"/>
  <c r="U123" i="4"/>
  <c r="AU123" i="4" s="1"/>
  <c r="U23" i="4"/>
  <c r="AU23" i="4" s="1"/>
  <c r="U37" i="4"/>
  <c r="AU37" i="4" s="1"/>
  <c r="U63" i="4"/>
  <c r="AU63" i="4" s="1"/>
  <c r="V61" i="14" s="1"/>
  <c r="U163" i="4"/>
  <c r="AU163" i="4" s="1"/>
  <c r="V161" i="14" s="1"/>
  <c r="U143" i="4"/>
  <c r="AU143" i="4" s="1"/>
  <c r="U133" i="4"/>
  <c r="AU133" i="4" s="1"/>
  <c r="U61" i="4"/>
  <c r="AU61" i="4" s="1"/>
  <c r="V59" i="14" s="1"/>
  <c r="U88" i="4"/>
  <c r="AU88" i="4" s="1"/>
  <c r="V86" i="14" s="1"/>
  <c r="U71" i="4"/>
  <c r="AU71" i="4" s="1"/>
  <c r="V69" i="14" s="1"/>
  <c r="U79" i="4"/>
  <c r="AU79" i="4" s="1"/>
  <c r="V77" i="14" s="1"/>
  <c r="U19" i="4"/>
  <c r="AU19" i="4" s="1"/>
  <c r="V17" i="14" s="1"/>
  <c r="U187" i="4"/>
  <c r="AU187" i="4" s="1"/>
  <c r="U12" i="4"/>
  <c r="AU12" i="4" s="1"/>
  <c r="V10" i="14" s="1"/>
  <c r="U42" i="4"/>
  <c r="AU42" i="4" s="1"/>
  <c r="V40" i="14" s="1"/>
  <c r="AS3" i="4"/>
  <c r="AS4" i="4" s="1"/>
  <c r="U83" i="4"/>
  <c r="AU83" i="4" s="1"/>
  <c r="V81" i="14" s="1"/>
  <c r="U203" i="4"/>
  <c r="AU203" i="4" s="1"/>
  <c r="V201" i="14" s="1"/>
  <c r="U76" i="4"/>
  <c r="AU76" i="4" s="1"/>
  <c r="V74" i="14" s="1"/>
  <c r="U124" i="4"/>
  <c r="AU124" i="4" s="1"/>
  <c r="V122" i="14" s="1"/>
  <c r="U177" i="4"/>
  <c r="AU177" i="4" s="1"/>
  <c r="V175" i="14" s="1"/>
  <c r="U190" i="4"/>
  <c r="AU190" i="4" s="1"/>
  <c r="V188" i="14" s="1"/>
  <c r="U144" i="4"/>
  <c r="AU144" i="4" s="1"/>
  <c r="V142" i="14" s="1"/>
  <c r="U43" i="4"/>
  <c r="AU43" i="4" s="1"/>
  <c r="V41" i="14" s="1"/>
  <c r="U155" i="4"/>
  <c r="AU155" i="4" s="1"/>
  <c r="U202" i="4"/>
  <c r="AU202" i="4" s="1"/>
  <c r="V200" i="14" s="1"/>
  <c r="U73" i="4"/>
  <c r="AU73" i="4" s="1"/>
  <c r="V71" i="14" s="1"/>
  <c r="U132" i="4"/>
  <c r="AU132" i="4" s="1"/>
  <c r="V130" i="14" s="1"/>
  <c r="U169" i="4"/>
  <c r="AU169" i="4" s="1"/>
  <c r="V167" i="14" s="1"/>
  <c r="U111" i="4"/>
  <c r="AU111" i="4" s="1"/>
  <c r="U10" i="4"/>
  <c r="AU10" i="4" s="1"/>
  <c r="V8" i="14" s="1"/>
  <c r="U54" i="4"/>
  <c r="AU54" i="4" s="1"/>
  <c r="U25" i="4"/>
  <c r="AU25" i="4" s="1"/>
  <c r="V23" i="14" s="1"/>
  <c r="U148" i="4"/>
  <c r="AU148" i="4" s="1"/>
  <c r="V146" i="14" s="1"/>
  <c r="U66" i="4"/>
  <c r="AU66" i="4" s="1"/>
  <c r="V64" i="14" s="1"/>
  <c r="U181" i="4"/>
  <c r="AU181" i="4" s="1"/>
  <c r="U49" i="4"/>
  <c r="AU49" i="4" s="1"/>
  <c r="V47" i="14" s="1"/>
  <c r="U165" i="4"/>
  <c r="AU165" i="4" s="1"/>
  <c r="U108" i="4"/>
  <c r="AU108" i="4" s="1"/>
  <c r="U172" i="4"/>
  <c r="AU172" i="4" s="1"/>
  <c r="V170" i="14" s="1"/>
  <c r="U192" i="4"/>
  <c r="AU192" i="4" s="1"/>
  <c r="U118" i="4"/>
  <c r="AU118" i="4" s="1"/>
  <c r="V116" i="14" s="1"/>
  <c r="U53" i="4"/>
  <c r="AU53" i="4" s="1"/>
  <c r="U171" i="4"/>
  <c r="AU171" i="4" s="1"/>
  <c r="U9" i="4"/>
  <c r="AU9" i="4" s="1"/>
  <c r="V7" i="14" s="1"/>
  <c r="U27" i="4"/>
  <c r="AU27" i="4" s="1"/>
  <c r="V25" i="14" s="1"/>
  <c r="U58" i="4"/>
  <c r="AU58" i="4" s="1"/>
  <c r="V56" i="14" s="1"/>
  <c r="U20" i="4"/>
  <c r="AU20" i="4" s="1"/>
  <c r="V18" i="14" s="1"/>
  <c r="U196" i="4"/>
  <c r="AU196" i="4" s="1"/>
  <c r="V194" i="14" s="1"/>
  <c r="U26" i="4"/>
  <c r="AU26" i="4" s="1"/>
  <c r="V24" i="14" s="1"/>
  <c r="U28" i="4"/>
  <c r="AU28" i="4" s="1"/>
  <c r="V26" i="14" s="1"/>
  <c r="U78" i="4"/>
  <c r="AU78" i="4" s="1"/>
  <c r="V76" i="14" s="1"/>
  <c r="U145" i="4"/>
  <c r="AU145" i="4" s="1"/>
  <c r="U195" i="4"/>
  <c r="AU195" i="4" s="1"/>
  <c r="V193" i="14" s="1"/>
  <c r="U46" i="4"/>
  <c r="AU46" i="4" s="1"/>
  <c r="V44" i="14" s="1"/>
  <c r="U101" i="4"/>
  <c r="AU101" i="4" s="1"/>
  <c r="V99" i="14" s="1"/>
  <c r="U39" i="4"/>
  <c r="AU39" i="4" s="1"/>
  <c r="U138" i="4"/>
  <c r="AU138" i="4" s="1"/>
  <c r="V136" i="14" s="1"/>
  <c r="U86" i="4"/>
  <c r="AU86" i="4" s="1"/>
  <c r="U193" i="4"/>
  <c r="AU193" i="4" s="1"/>
  <c r="V191" i="14" s="1"/>
  <c r="U204" i="4"/>
  <c r="AU204" i="4" s="1"/>
  <c r="U205" i="4"/>
  <c r="AU205" i="4" s="1"/>
  <c r="V203" i="14" s="1"/>
  <c r="U140" i="4"/>
  <c r="AU140" i="4" s="1"/>
  <c r="U81" i="4"/>
  <c r="AU81" i="4" s="1"/>
  <c r="V79" i="14" s="1"/>
  <c r="U168" i="4"/>
  <c r="AU168" i="4" s="1"/>
  <c r="V166" i="14" s="1"/>
  <c r="U50" i="4"/>
  <c r="AU50" i="4" s="1"/>
  <c r="V48" i="14" s="1"/>
  <c r="U96" i="4"/>
  <c r="AU96" i="4" s="1"/>
  <c r="U62" i="4"/>
  <c r="AU62" i="4" s="1"/>
  <c r="U175" i="4"/>
  <c r="AU175" i="4" s="1"/>
  <c r="U60" i="4"/>
  <c r="AU60" i="4" s="1"/>
  <c r="V58" i="14" s="1"/>
  <c r="U121" i="4"/>
  <c r="AU121" i="4" s="1"/>
  <c r="U67" i="4"/>
  <c r="AU67" i="4" s="1"/>
  <c r="V65" i="14" s="1"/>
  <c r="U16" i="4"/>
  <c r="AU16" i="4" s="1"/>
  <c r="V14" i="14" s="1"/>
  <c r="U135" i="4"/>
  <c r="AU135" i="4" s="1"/>
  <c r="V133" i="14" s="1"/>
  <c r="U95" i="4"/>
  <c r="AU95" i="4" s="1"/>
  <c r="V93" i="14" s="1"/>
  <c r="U207" i="4"/>
  <c r="AU207" i="4" s="1"/>
  <c r="V205" i="14" s="1"/>
  <c r="U17" i="4"/>
  <c r="AU17" i="4" s="1"/>
  <c r="U115" i="4"/>
  <c r="AU115" i="4" s="1"/>
  <c r="U18" i="4"/>
  <c r="AU18" i="4" s="1"/>
  <c r="V16" i="14" s="1"/>
  <c r="U94" i="4"/>
  <c r="AU94" i="4" s="1"/>
  <c r="V92" i="14" s="1"/>
  <c r="U30" i="4"/>
  <c r="AU30" i="4" s="1"/>
  <c r="V28" i="14" s="1"/>
  <c r="U147" i="4"/>
  <c r="AU147" i="4" s="1"/>
  <c r="U45" i="4"/>
  <c r="AU45" i="4" s="1"/>
  <c r="V43" i="14" s="1"/>
  <c r="U182" i="4"/>
  <c r="AU182" i="4" s="1"/>
  <c r="V180" i="14" s="1"/>
  <c r="U198" i="4"/>
  <c r="AU198" i="4" s="1"/>
  <c r="U107" i="4"/>
  <c r="AU107" i="4" s="1"/>
  <c r="U154" i="4"/>
  <c r="AU154" i="4" s="1"/>
  <c r="V152" i="14" s="1"/>
  <c r="U188" i="4"/>
  <c r="AU188" i="4" s="1"/>
  <c r="V186" i="14" s="1"/>
  <c r="U84" i="4"/>
  <c r="AU84" i="4" s="1"/>
  <c r="V82" i="14" s="1"/>
  <c r="U126" i="4"/>
  <c r="AU126" i="4" s="1"/>
  <c r="V124" i="14" s="1"/>
  <c r="U166" i="4"/>
  <c r="AU166" i="4" s="1"/>
  <c r="V164" i="14" s="1"/>
  <c r="U185" i="4"/>
  <c r="AU185" i="4" s="1"/>
  <c r="U91" i="4"/>
  <c r="AU91" i="4" s="1"/>
  <c r="U189" i="4"/>
  <c r="AU189" i="4" s="1"/>
  <c r="V187" i="14" s="1"/>
  <c r="U82" i="4"/>
  <c r="AU82" i="4" s="1"/>
  <c r="V80" i="14" s="1"/>
  <c r="U153" i="4"/>
  <c r="AU153" i="4" s="1"/>
  <c r="U142" i="4"/>
  <c r="AU142" i="4" s="1"/>
  <c r="U32" i="4"/>
  <c r="AU32" i="4" s="1"/>
  <c r="V30" i="14" s="1"/>
  <c r="U146" i="4"/>
  <c r="AU146" i="4" s="1"/>
  <c r="V144" i="14" s="1"/>
  <c r="U161" i="4"/>
  <c r="AU161" i="4" s="1"/>
  <c r="U22" i="4"/>
  <c r="AU22" i="4" s="1"/>
  <c r="U47" i="4"/>
  <c r="AU47" i="4" s="1"/>
  <c r="V45" i="14" s="1"/>
  <c r="U98" i="4"/>
  <c r="AU98" i="4" s="1"/>
  <c r="U120" i="4"/>
  <c r="AU120" i="4" s="1"/>
  <c r="V118" i="14" s="1"/>
  <c r="U90" i="4"/>
  <c r="AU90" i="4" s="1"/>
  <c r="V88" i="14" s="1"/>
  <c r="U186" i="4"/>
  <c r="AU186" i="4" s="1"/>
  <c r="V184" i="14" s="1"/>
  <c r="U173" i="4"/>
  <c r="AU173" i="4" s="1"/>
  <c r="U151" i="4"/>
  <c r="AU151" i="4" s="1"/>
  <c r="V149" i="14" s="1"/>
  <c r="U13" i="4"/>
  <c r="AU13" i="4" s="1"/>
  <c r="V11" i="14" s="1"/>
  <c r="U128" i="4"/>
  <c r="AU128" i="4" s="1"/>
  <c r="V126" i="14" s="1"/>
  <c r="U116" i="4"/>
  <c r="AU116" i="4" s="1"/>
  <c r="V114" i="14" s="1"/>
  <c r="U36" i="4"/>
  <c r="AU36" i="4" s="1"/>
  <c r="V34" i="14" s="1"/>
  <c r="U137" i="4"/>
  <c r="AU137" i="4" s="1"/>
  <c r="V135" i="14" s="1"/>
  <c r="U174" i="4"/>
  <c r="AU174" i="4" s="1"/>
  <c r="V172" i="14" s="1"/>
  <c r="U130" i="4"/>
  <c r="AU130" i="4" s="1"/>
  <c r="V128" i="14" s="1"/>
  <c r="U200" i="4"/>
  <c r="AU200" i="4" s="1"/>
  <c r="V8" i="4"/>
  <c r="AV8" i="4" s="1"/>
  <c r="W6" i="14" s="1"/>
  <c r="V138" i="14" l="1"/>
  <c r="V113" i="14"/>
  <c r="V21" i="14"/>
  <c r="V46" i="14"/>
  <c r="V37" i="14"/>
  <c r="V199" i="14"/>
  <c r="V13" i="14"/>
  <c r="V108" i="14"/>
  <c r="V96" i="14"/>
  <c r="V174" i="14"/>
  <c r="V22" i="14"/>
  <c r="V29" i="14"/>
  <c r="V84" i="14"/>
  <c r="V51" i="14"/>
  <c r="V31" i="14"/>
  <c r="V103" i="14"/>
  <c r="V173" i="14"/>
  <c r="V169" i="14"/>
  <c r="V157" i="14"/>
  <c r="V171" i="14"/>
  <c r="V141" i="14"/>
  <c r="V60" i="14"/>
  <c r="V127" i="14"/>
  <c r="V131" i="14"/>
  <c r="V129" i="14"/>
  <c r="V49" i="14"/>
  <c r="V183" i="14"/>
  <c r="V179" i="14"/>
  <c r="V165" i="14"/>
  <c r="V198" i="14"/>
  <c r="V151" i="14"/>
  <c r="V162" i="14"/>
  <c r="V185" i="14"/>
  <c r="V106" i="14"/>
  <c r="V104" i="14"/>
  <c r="V67" i="14"/>
  <c r="V159" i="14"/>
  <c r="V9" i="14"/>
  <c r="V132" i="14"/>
  <c r="V87" i="14"/>
  <c r="V196" i="14"/>
  <c r="V121" i="14"/>
  <c r="V123" i="14"/>
  <c r="V57" i="14"/>
  <c r="V20" i="14"/>
  <c r="V189" i="14"/>
  <c r="V190" i="14"/>
  <c r="V15" i="14"/>
  <c r="V119" i="14"/>
  <c r="V153" i="14"/>
  <c r="V35" i="14"/>
  <c r="V158" i="14"/>
  <c r="V90" i="14"/>
  <c r="V94" i="14"/>
  <c r="V163" i="14"/>
  <c r="V145" i="14"/>
  <c r="V140" i="14"/>
  <c r="V32" i="14"/>
  <c r="V143" i="14"/>
  <c r="V97" i="14"/>
  <c r="V42" i="14"/>
  <c r="V109" i="14"/>
  <c r="V202" i="14"/>
  <c r="V160" i="14"/>
  <c r="V105" i="14"/>
  <c r="V89" i="14"/>
  <c r="V39" i="14"/>
  <c r="V52" i="14"/>
  <c r="U13" i="16"/>
  <c r="V71" i="4"/>
  <c r="AV71" i="4" s="1"/>
  <c r="V63" i="4"/>
  <c r="AV63" i="4" s="1"/>
  <c r="W61" i="14" s="1"/>
  <c r="V102" i="4"/>
  <c r="AV102" i="4" s="1"/>
  <c r="W100" i="14" s="1"/>
  <c r="V87" i="4"/>
  <c r="AV87" i="4" s="1"/>
  <c r="W85" i="14" s="1"/>
  <c r="V156" i="4"/>
  <c r="AV156" i="4" s="1"/>
  <c r="W154" i="14" s="1"/>
  <c r="V89" i="4"/>
  <c r="AV89" i="4" s="1"/>
  <c r="V179" i="4"/>
  <c r="AV179" i="4" s="1"/>
  <c r="W177" i="14" s="1"/>
  <c r="V106" i="4"/>
  <c r="AV106" i="4" s="1"/>
  <c r="V117" i="4"/>
  <c r="AV117" i="4" s="1"/>
  <c r="W115" i="14" s="1"/>
  <c r="V69" i="4"/>
  <c r="AV69" i="4" s="1"/>
  <c r="V51" i="4"/>
  <c r="AV51" i="4" s="1"/>
  <c r="V15" i="4"/>
  <c r="AV15" i="4" s="1"/>
  <c r="V127" i="4"/>
  <c r="AV127" i="4" s="1"/>
  <c r="W125" i="14" s="1"/>
  <c r="V72" i="4"/>
  <c r="AV72" i="4" s="1"/>
  <c r="W70" i="14" s="1"/>
  <c r="V136" i="4"/>
  <c r="AV136" i="4" s="1"/>
  <c r="W134" i="14" s="1"/>
  <c r="V180" i="4"/>
  <c r="AV180" i="4" s="1"/>
  <c r="W178" i="14" s="1"/>
  <c r="V162" i="4"/>
  <c r="AV162" i="4" s="1"/>
  <c r="V52" i="4"/>
  <c r="AV52" i="4" s="1"/>
  <c r="V160" i="4"/>
  <c r="AV160" i="4" s="1"/>
  <c r="V139" i="4"/>
  <c r="AV139" i="4" s="1"/>
  <c r="W137" i="14" s="1"/>
  <c r="V167" i="4"/>
  <c r="AV167" i="4" s="1"/>
  <c r="W165" i="14" s="1"/>
  <c r="V134" i="4"/>
  <c r="AV134" i="4" s="1"/>
  <c r="V200" i="4"/>
  <c r="AV200" i="4" s="1"/>
  <c r="W198" i="14" s="1"/>
  <c r="V174" i="4"/>
  <c r="AV174" i="4" s="1"/>
  <c r="W172" i="14" s="1"/>
  <c r="V36" i="4"/>
  <c r="AV36" i="4" s="1"/>
  <c r="W34" i="14" s="1"/>
  <c r="V128" i="4"/>
  <c r="AV128" i="4" s="1"/>
  <c r="W126" i="14" s="1"/>
  <c r="V151" i="4"/>
  <c r="AV151" i="4" s="1"/>
  <c r="W149" i="14" s="1"/>
  <c r="V186" i="4"/>
  <c r="AV186" i="4" s="1"/>
  <c r="W184" i="14" s="1"/>
  <c r="V120" i="4"/>
  <c r="AV120" i="4" s="1"/>
  <c r="W118" i="14" s="1"/>
  <c r="V47" i="4"/>
  <c r="AV47" i="4" s="1"/>
  <c r="W45" i="14" s="1"/>
  <c r="V161" i="4"/>
  <c r="AV161" i="4" s="1"/>
  <c r="V32" i="4"/>
  <c r="AV32" i="4" s="1"/>
  <c r="W30" i="14" s="1"/>
  <c r="V153" i="4"/>
  <c r="AV153" i="4" s="1"/>
  <c r="V189" i="4"/>
  <c r="AV189" i="4" s="1"/>
  <c r="W187" i="14" s="1"/>
  <c r="V185" i="4"/>
  <c r="AV185" i="4" s="1"/>
  <c r="V126" i="4"/>
  <c r="AV126" i="4" s="1"/>
  <c r="V188" i="4"/>
  <c r="AV188" i="4" s="1"/>
  <c r="W186" i="14" s="1"/>
  <c r="V107" i="4"/>
  <c r="AV107" i="4" s="1"/>
  <c r="V182" i="4"/>
  <c r="AV182" i="4" s="1"/>
  <c r="W180" i="14" s="1"/>
  <c r="V147" i="4"/>
  <c r="AV147" i="4" s="1"/>
  <c r="V94" i="4"/>
  <c r="AV94" i="4" s="1"/>
  <c r="W92" i="14" s="1"/>
  <c r="V115" i="4"/>
  <c r="AV115" i="4" s="1"/>
  <c r="W113" i="14" s="1"/>
  <c r="V207" i="4"/>
  <c r="AV207" i="4" s="1"/>
  <c r="W205" i="14" s="1"/>
  <c r="V135" i="4"/>
  <c r="AV135" i="4" s="1"/>
  <c r="W133" i="14" s="1"/>
  <c r="V67" i="4"/>
  <c r="AV67" i="4" s="1"/>
  <c r="W65" i="14" s="1"/>
  <c r="V60" i="4"/>
  <c r="AV60" i="4" s="1"/>
  <c r="W58" i="14" s="1"/>
  <c r="V62" i="4"/>
  <c r="AV62" i="4" s="1"/>
  <c r="W60" i="14" s="1"/>
  <c r="V50" i="4"/>
  <c r="AV50" i="4" s="1"/>
  <c r="W48" i="14" s="1"/>
  <c r="V81" i="4"/>
  <c r="AV81" i="4" s="1"/>
  <c r="W79" i="14" s="1"/>
  <c r="V205" i="4"/>
  <c r="AV205" i="4" s="1"/>
  <c r="W203" i="14" s="1"/>
  <c r="V193" i="4"/>
  <c r="AV193" i="4" s="1"/>
  <c r="W191" i="14" s="1"/>
  <c r="V138" i="4"/>
  <c r="AV138" i="4" s="1"/>
  <c r="W136" i="14" s="1"/>
  <c r="V101" i="4"/>
  <c r="AV101" i="4" s="1"/>
  <c r="W99" i="14" s="1"/>
  <c r="V195" i="4"/>
  <c r="AV195" i="4" s="1"/>
  <c r="W193" i="14" s="1"/>
  <c r="V78" i="4"/>
  <c r="AV78" i="4" s="1"/>
  <c r="W76" i="14" s="1"/>
  <c r="V26" i="4"/>
  <c r="AV26" i="4" s="1"/>
  <c r="V20" i="4"/>
  <c r="AV20" i="4" s="1"/>
  <c r="W18" i="14" s="1"/>
  <c r="V27" i="4"/>
  <c r="AV27" i="4" s="1"/>
  <c r="W25" i="14" s="1"/>
  <c r="V171" i="4"/>
  <c r="AV171" i="4" s="1"/>
  <c r="W169" i="14" s="1"/>
  <c r="V118" i="4"/>
  <c r="AV118" i="4" s="1"/>
  <c r="W116" i="14" s="1"/>
  <c r="V172" i="4"/>
  <c r="AV172" i="4" s="1"/>
  <c r="W170" i="14" s="1"/>
  <c r="V165" i="4"/>
  <c r="AV165" i="4" s="1"/>
  <c r="V181" i="4"/>
  <c r="AV181" i="4" s="1"/>
  <c r="V148" i="4"/>
  <c r="AV148" i="4" s="1"/>
  <c r="W146" i="14" s="1"/>
  <c r="V54" i="4"/>
  <c r="AV54" i="4" s="1"/>
  <c r="V111" i="4"/>
  <c r="AV111" i="4" s="1"/>
  <c r="V132" i="4"/>
  <c r="AV132" i="4" s="1"/>
  <c r="W130" i="14" s="1"/>
  <c r="V202" i="4"/>
  <c r="AV202" i="4" s="1"/>
  <c r="W200" i="14" s="1"/>
  <c r="V43" i="4"/>
  <c r="AV43" i="4" s="1"/>
  <c r="W41" i="14" s="1"/>
  <c r="V190" i="4"/>
  <c r="AV190" i="4" s="1"/>
  <c r="W188" i="14" s="1"/>
  <c r="V124" i="4"/>
  <c r="AV124" i="4" s="1"/>
  <c r="W122" i="14" s="1"/>
  <c r="V203" i="4"/>
  <c r="AV203" i="4" s="1"/>
  <c r="W201" i="14" s="1"/>
  <c r="V12" i="4"/>
  <c r="AV12" i="4" s="1"/>
  <c r="W10" i="14" s="1"/>
  <c r="V61" i="4"/>
  <c r="AV61" i="4" s="1"/>
  <c r="W59" i="14" s="1"/>
  <c r="V23" i="4"/>
  <c r="AV23" i="4" s="1"/>
  <c r="W21" i="14" s="1"/>
  <c r="V40" i="4"/>
  <c r="AV40" i="4" s="1"/>
  <c r="W38" i="14" s="1"/>
  <c r="V74" i="4"/>
  <c r="AV74" i="4" s="1"/>
  <c r="W72" i="14" s="1"/>
  <c r="V105" i="4"/>
  <c r="AV105" i="4" s="1"/>
  <c r="V70" i="4"/>
  <c r="AV70" i="4" s="1"/>
  <c r="W68" i="14" s="1"/>
  <c r="V104" i="4"/>
  <c r="AV104" i="4" s="1"/>
  <c r="W102" i="14" s="1"/>
  <c r="V191" i="4"/>
  <c r="AV191" i="4" s="1"/>
  <c r="V14" i="4"/>
  <c r="AV14" i="4" s="1"/>
  <c r="W12" i="14" s="1"/>
  <c r="V150" i="4"/>
  <c r="AV150" i="4" s="1"/>
  <c r="W148" i="14" s="1"/>
  <c r="V183" i="4"/>
  <c r="AV183" i="4" s="1"/>
  <c r="W181" i="14" s="1"/>
  <c r="V113" i="4"/>
  <c r="AV113" i="4" s="1"/>
  <c r="W111" i="14" s="1"/>
  <c r="V170" i="4"/>
  <c r="AV170" i="4" s="1"/>
  <c r="W168" i="14" s="1"/>
  <c r="V100" i="4"/>
  <c r="AV100" i="4" s="1"/>
  <c r="W98" i="14" s="1"/>
  <c r="V41" i="4"/>
  <c r="AV41" i="4" s="1"/>
  <c r="V149" i="4"/>
  <c r="AV149" i="4" s="1"/>
  <c r="W147" i="14" s="1"/>
  <c r="V109" i="4"/>
  <c r="AV109" i="4" s="1"/>
  <c r="W107" i="14" s="1"/>
  <c r="V92" i="4"/>
  <c r="AV92" i="4" s="1"/>
  <c r="V164" i="4"/>
  <c r="AV164" i="4" s="1"/>
  <c r="V34" i="4"/>
  <c r="AV34" i="4" s="1"/>
  <c r="V110" i="4"/>
  <c r="AV110" i="4" s="1"/>
  <c r="U3" i="4"/>
  <c r="U4" i="4" s="1"/>
  <c r="AT3" i="4"/>
  <c r="AT4" i="4" s="1"/>
  <c r="V42" i="4"/>
  <c r="AV42" i="4" s="1"/>
  <c r="W40" i="14" s="1"/>
  <c r="V187" i="4"/>
  <c r="AV187" i="4" s="1"/>
  <c r="V79" i="4"/>
  <c r="AV79" i="4" s="1"/>
  <c r="W77" i="14" s="1"/>
  <c r="V88" i="4"/>
  <c r="AV88" i="4" s="1"/>
  <c r="W86" i="14" s="1"/>
  <c r="V133" i="4"/>
  <c r="AV133" i="4" s="1"/>
  <c r="V163" i="4"/>
  <c r="AV163" i="4" s="1"/>
  <c r="W161" i="14" s="1"/>
  <c r="V37" i="4"/>
  <c r="AV37" i="4" s="1"/>
  <c r="V123" i="4"/>
  <c r="AV123" i="4" s="1"/>
  <c r="V206" i="4"/>
  <c r="AV206" i="4" s="1"/>
  <c r="W204" i="14" s="1"/>
  <c r="V152" i="4"/>
  <c r="AV152" i="4" s="1"/>
  <c r="W150" i="14" s="1"/>
  <c r="V21" i="4"/>
  <c r="AV21" i="4" s="1"/>
  <c r="W19" i="14" s="1"/>
  <c r="V112" i="4"/>
  <c r="AV112" i="4" s="1"/>
  <c r="W110" i="14" s="1"/>
  <c r="V99" i="4"/>
  <c r="AV99" i="4" s="1"/>
  <c r="V75" i="4"/>
  <c r="AV75" i="4" s="1"/>
  <c r="W73" i="14" s="1"/>
  <c r="V93" i="4"/>
  <c r="AV93" i="4" s="1"/>
  <c r="W91" i="14" s="1"/>
  <c r="V77" i="4"/>
  <c r="AV77" i="4" s="1"/>
  <c r="W75" i="14" s="1"/>
  <c r="V184" i="4"/>
  <c r="AV184" i="4" s="1"/>
  <c r="W182" i="14" s="1"/>
  <c r="V29" i="4"/>
  <c r="AV29" i="4" s="1"/>
  <c r="W27" i="14" s="1"/>
  <c r="V64" i="4"/>
  <c r="AV64" i="4" s="1"/>
  <c r="W62" i="14" s="1"/>
  <c r="V201" i="4"/>
  <c r="AV201" i="4" s="1"/>
  <c r="W199" i="14" s="1"/>
  <c r="V199" i="4"/>
  <c r="AV199" i="4" s="1"/>
  <c r="W197" i="14" s="1"/>
  <c r="V85" i="4"/>
  <c r="AV85" i="4" s="1"/>
  <c r="V129" i="4"/>
  <c r="AV129" i="4" s="1"/>
  <c r="V11" i="4"/>
  <c r="AV11" i="4" s="1"/>
  <c r="V176" i="4"/>
  <c r="AV176" i="4" s="1"/>
  <c r="W174" i="14" s="1"/>
  <c r="V158" i="4"/>
  <c r="AV158" i="4" s="1"/>
  <c r="W156" i="14" s="1"/>
  <c r="V159" i="4"/>
  <c r="AV159" i="4" s="1"/>
  <c r="V38" i="4"/>
  <c r="AV38" i="4" s="1"/>
  <c r="W36" i="14" s="1"/>
  <c r="V24" i="4"/>
  <c r="AV24" i="4" s="1"/>
  <c r="V197" i="4"/>
  <c r="AV197" i="4" s="1"/>
  <c r="W195" i="14" s="1"/>
  <c r="V31" i="4"/>
  <c r="AV31" i="4" s="1"/>
  <c r="W29" i="14" s="1"/>
  <c r="V157" i="4"/>
  <c r="AV157" i="4" s="1"/>
  <c r="W155" i="14" s="1"/>
  <c r="V97" i="4"/>
  <c r="AV97" i="4" s="1"/>
  <c r="W95" i="14" s="1"/>
  <c r="V48" i="4"/>
  <c r="AV48" i="4" s="1"/>
  <c r="V122" i="4"/>
  <c r="AV122" i="4" s="1"/>
  <c r="W120" i="14" s="1"/>
  <c r="V35" i="4"/>
  <c r="AV35" i="4" s="1"/>
  <c r="W33" i="14" s="1"/>
  <c r="V65" i="4"/>
  <c r="AV65" i="4" s="1"/>
  <c r="W63" i="14" s="1"/>
  <c r="V57" i="4"/>
  <c r="AV57" i="4" s="1"/>
  <c r="W55" i="14" s="1"/>
  <c r="V125" i="4"/>
  <c r="AV125" i="4" s="1"/>
  <c r="V56" i="4"/>
  <c r="AV56" i="4" s="1"/>
  <c r="W54" i="14" s="1"/>
  <c r="V33" i="4"/>
  <c r="AV33" i="4" s="1"/>
  <c r="V114" i="4"/>
  <c r="AV114" i="4" s="1"/>
  <c r="W112" i="14" s="1"/>
  <c r="V103" i="4"/>
  <c r="AV103" i="4" s="1"/>
  <c r="W101" i="14" s="1"/>
  <c r="V59" i="4"/>
  <c r="AV59" i="4" s="1"/>
  <c r="V131" i="4"/>
  <c r="AV131" i="4" s="1"/>
  <c r="W129" i="14" s="1"/>
  <c r="V44" i="4"/>
  <c r="AV44" i="4" s="1"/>
  <c r="V68" i="4"/>
  <c r="AV68" i="4" s="1"/>
  <c r="W66" i="14" s="1"/>
  <c r="V178" i="4"/>
  <c r="AV178" i="4" s="1"/>
  <c r="W176" i="14" s="1"/>
  <c r="V141" i="4"/>
  <c r="AV141" i="4" s="1"/>
  <c r="W139" i="14" s="1"/>
  <c r="V80" i="4"/>
  <c r="AV80" i="4" s="1"/>
  <c r="W78" i="14" s="1"/>
  <c r="V19" i="4"/>
  <c r="AV19" i="4" s="1"/>
  <c r="W17" i="14" s="1"/>
  <c r="V143" i="4"/>
  <c r="AV143" i="4" s="1"/>
  <c r="W141" i="14" s="1"/>
  <c r="V119" i="4"/>
  <c r="AV119" i="4" s="1"/>
  <c r="W117" i="14" s="1"/>
  <c r="V194" i="4"/>
  <c r="AV194" i="4" s="1"/>
  <c r="W192" i="14" s="1"/>
  <c r="V55" i="4"/>
  <c r="AV55" i="4" s="1"/>
  <c r="W53" i="14" s="1"/>
  <c r="V130" i="4"/>
  <c r="AV130" i="4" s="1"/>
  <c r="W128" i="14" s="1"/>
  <c r="V137" i="4"/>
  <c r="AV137" i="4" s="1"/>
  <c r="W135" i="14" s="1"/>
  <c r="V116" i="4"/>
  <c r="AV116" i="4" s="1"/>
  <c r="W114" i="14" s="1"/>
  <c r="V13" i="4"/>
  <c r="AV13" i="4" s="1"/>
  <c r="W11" i="14" s="1"/>
  <c r="V173" i="4"/>
  <c r="AV173" i="4" s="1"/>
  <c r="V90" i="4"/>
  <c r="AV90" i="4" s="1"/>
  <c r="W88" i="14" s="1"/>
  <c r="V98" i="4"/>
  <c r="AV98" i="4" s="1"/>
  <c r="W96" i="14" s="1"/>
  <c r="V22" i="4"/>
  <c r="AV22" i="4" s="1"/>
  <c r="V146" i="4"/>
  <c r="AV146" i="4" s="1"/>
  <c r="W144" i="14" s="1"/>
  <c r="V142" i="4"/>
  <c r="AV142" i="4" s="1"/>
  <c r="V82" i="4"/>
  <c r="AV82" i="4" s="1"/>
  <c r="W80" i="14" s="1"/>
  <c r="V91" i="4"/>
  <c r="AV91" i="4" s="1"/>
  <c r="V166" i="4"/>
  <c r="AV166" i="4" s="1"/>
  <c r="W164" i="14" s="1"/>
  <c r="V84" i="4"/>
  <c r="AV84" i="4" s="1"/>
  <c r="W82" i="14" s="1"/>
  <c r="V154" i="4"/>
  <c r="AV154" i="4" s="1"/>
  <c r="W152" i="14" s="1"/>
  <c r="V198" i="4"/>
  <c r="AV198" i="4" s="1"/>
  <c r="V45" i="4"/>
  <c r="AV45" i="4" s="1"/>
  <c r="W43" i="14" s="1"/>
  <c r="V30" i="4"/>
  <c r="AV30" i="4" s="1"/>
  <c r="V18" i="4"/>
  <c r="AV18" i="4" s="1"/>
  <c r="W16" i="14" s="1"/>
  <c r="V17" i="4"/>
  <c r="AV17" i="4" s="1"/>
  <c r="V95" i="4"/>
  <c r="AV95" i="4" s="1"/>
  <c r="W93" i="14" s="1"/>
  <c r="V16" i="4"/>
  <c r="AV16" i="4" s="1"/>
  <c r="W14" i="14" s="1"/>
  <c r="V121" i="4"/>
  <c r="AV121" i="4" s="1"/>
  <c r="V175" i="4"/>
  <c r="AV175" i="4" s="1"/>
  <c r="W173" i="14" s="1"/>
  <c r="V96" i="4"/>
  <c r="AV96" i="4" s="1"/>
  <c r="V168" i="4"/>
  <c r="AV168" i="4" s="1"/>
  <c r="W166" i="14" s="1"/>
  <c r="V140" i="4"/>
  <c r="AV140" i="4" s="1"/>
  <c r="W138" i="14" s="1"/>
  <c r="V204" i="4"/>
  <c r="AV204" i="4" s="1"/>
  <c r="V86" i="4"/>
  <c r="AV86" i="4" s="1"/>
  <c r="W84" i="14" s="1"/>
  <c r="V39" i="4"/>
  <c r="AV39" i="4" s="1"/>
  <c r="W37" i="14" s="1"/>
  <c r="V46" i="4"/>
  <c r="AV46" i="4" s="1"/>
  <c r="W44" i="14" s="1"/>
  <c r="V145" i="4"/>
  <c r="AV145" i="4" s="1"/>
  <c r="V28" i="4"/>
  <c r="AV28" i="4" s="1"/>
  <c r="W26" i="14" s="1"/>
  <c r="V196" i="4"/>
  <c r="AV196" i="4" s="1"/>
  <c r="W194" i="14" s="1"/>
  <c r="V58" i="4"/>
  <c r="AV58" i="4" s="1"/>
  <c r="W56" i="14" s="1"/>
  <c r="V9" i="4"/>
  <c r="AV9" i="4" s="1"/>
  <c r="W7" i="14" s="1"/>
  <c r="V53" i="4"/>
  <c r="AV53" i="4" s="1"/>
  <c r="W51" i="14" s="1"/>
  <c r="V192" i="4"/>
  <c r="AV192" i="4" s="1"/>
  <c r="V108" i="4"/>
  <c r="AV108" i="4" s="1"/>
  <c r="V49" i="4"/>
  <c r="AV49" i="4" s="1"/>
  <c r="W47" i="14" s="1"/>
  <c r="V66" i="4"/>
  <c r="AV66" i="4" s="1"/>
  <c r="W64" i="14" s="1"/>
  <c r="V25" i="4"/>
  <c r="AV25" i="4" s="1"/>
  <c r="W23" i="14" s="1"/>
  <c r="V10" i="4"/>
  <c r="AV10" i="4" s="1"/>
  <c r="W8" i="14" s="1"/>
  <c r="V169" i="4"/>
  <c r="AV169" i="4" s="1"/>
  <c r="W167" i="14" s="1"/>
  <c r="V73" i="4"/>
  <c r="AV73" i="4" s="1"/>
  <c r="W71" i="14" s="1"/>
  <c r="V155" i="4"/>
  <c r="AV155" i="4" s="1"/>
  <c r="V144" i="4"/>
  <c r="AV144" i="4" s="1"/>
  <c r="W142" i="14" s="1"/>
  <c r="V177" i="4"/>
  <c r="AV177" i="4" s="1"/>
  <c r="W175" i="14" s="1"/>
  <c r="V76" i="4"/>
  <c r="AV76" i="4" s="1"/>
  <c r="W74" i="14" s="1"/>
  <c r="V83" i="4"/>
  <c r="AV83" i="4" s="1"/>
  <c r="W81" i="14" s="1"/>
  <c r="W8" i="4"/>
  <c r="AW8" i="4" s="1"/>
  <c r="X6" i="14" s="1"/>
  <c r="W46" i="14" l="1"/>
  <c r="W108" i="14"/>
  <c r="W103" i="14"/>
  <c r="W22" i="14"/>
  <c r="W13" i="14"/>
  <c r="W157" i="14"/>
  <c r="W127" i="14"/>
  <c r="W183" i="14"/>
  <c r="W31" i="14"/>
  <c r="W131" i="14"/>
  <c r="W162" i="14"/>
  <c r="W49" i="14"/>
  <c r="W151" i="14"/>
  <c r="W50" i="14"/>
  <c r="W24" i="14"/>
  <c r="W171" i="14"/>
  <c r="W83" i="14"/>
  <c r="W28" i="14"/>
  <c r="W179" i="14"/>
  <c r="W52" i="14"/>
  <c r="W160" i="14"/>
  <c r="W97" i="14"/>
  <c r="W132" i="14"/>
  <c r="W104" i="14"/>
  <c r="W69" i="14"/>
  <c r="W124" i="14"/>
  <c r="W145" i="14"/>
  <c r="W158" i="14"/>
  <c r="W39" i="14"/>
  <c r="W202" i="14"/>
  <c r="W143" i="14"/>
  <c r="W140" i="14"/>
  <c r="W163" i="14"/>
  <c r="W35" i="14"/>
  <c r="W190" i="14"/>
  <c r="W121" i="14"/>
  <c r="W9" i="14"/>
  <c r="W106" i="14"/>
  <c r="W185" i="14"/>
  <c r="W15" i="14"/>
  <c r="W89" i="14"/>
  <c r="W109" i="14"/>
  <c r="W32" i="14"/>
  <c r="W94" i="14"/>
  <c r="W153" i="14"/>
  <c r="W189" i="14"/>
  <c r="W20" i="14"/>
  <c r="W196" i="14"/>
  <c r="W159" i="14"/>
  <c r="W123" i="14"/>
  <c r="W105" i="14"/>
  <c r="W42" i="14"/>
  <c r="W90" i="14"/>
  <c r="W119" i="14"/>
  <c r="W57" i="14"/>
  <c r="W87" i="14"/>
  <c r="W67" i="14"/>
  <c r="U14" i="16"/>
  <c r="V3" i="4"/>
  <c r="V4" i="4" s="1"/>
  <c r="W83" i="4"/>
  <c r="AW83" i="4" s="1"/>
  <c r="X81" i="14" s="1"/>
  <c r="W155" i="4"/>
  <c r="AW155" i="4" s="1"/>
  <c r="W25" i="4"/>
  <c r="AW25" i="4" s="1"/>
  <c r="X23" i="14" s="1"/>
  <c r="W192" i="4"/>
  <c r="AW192" i="4" s="1"/>
  <c r="W196" i="4"/>
  <c r="AW196" i="4" s="1"/>
  <c r="X194" i="14" s="1"/>
  <c r="W39" i="4"/>
  <c r="AW39" i="4" s="1"/>
  <c r="X37" i="14" s="1"/>
  <c r="W168" i="4"/>
  <c r="AW168" i="4" s="1"/>
  <c r="X166" i="14" s="1"/>
  <c r="W175" i="4"/>
  <c r="AW175" i="4" s="1"/>
  <c r="X173" i="14" s="1"/>
  <c r="W17" i="4"/>
  <c r="AW17" i="4" s="1"/>
  <c r="W198" i="4"/>
  <c r="AW198" i="4" s="1"/>
  <c r="W91" i="4"/>
  <c r="AW91" i="4" s="1"/>
  <c r="W22" i="4"/>
  <c r="AW22" i="4" s="1"/>
  <c r="W13" i="4"/>
  <c r="AW13" i="4" s="1"/>
  <c r="X11" i="14" s="1"/>
  <c r="W55" i="4"/>
  <c r="AW55" i="4" s="1"/>
  <c r="X53" i="14" s="1"/>
  <c r="W119" i="4"/>
  <c r="AW119" i="4" s="1"/>
  <c r="X117" i="14" s="1"/>
  <c r="W19" i="4"/>
  <c r="AW19" i="4" s="1"/>
  <c r="X17" i="14" s="1"/>
  <c r="W141" i="4"/>
  <c r="AW141" i="4" s="1"/>
  <c r="X139" i="14" s="1"/>
  <c r="W68" i="4"/>
  <c r="AW68" i="4" s="1"/>
  <c r="X66" i="14" s="1"/>
  <c r="W131" i="4"/>
  <c r="AW131" i="4" s="1"/>
  <c r="X129" i="14" s="1"/>
  <c r="W103" i="4"/>
  <c r="AW103" i="4" s="1"/>
  <c r="X101" i="14" s="1"/>
  <c r="W33" i="4"/>
  <c r="AW33" i="4" s="1"/>
  <c r="X31" i="14" s="1"/>
  <c r="W125" i="4"/>
  <c r="AW125" i="4" s="1"/>
  <c r="W65" i="4"/>
  <c r="AW65" i="4" s="1"/>
  <c r="X63" i="14" s="1"/>
  <c r="W122" i="4"/>
  <c r="AW122" i="4" s="1"/>
  <c r="X120" i="14" s="1"/>
  <c r="W97" i="4"/>
  <c r="AW97" i="4" s="1"/>
  <c r="X95" i="14" s="1"/>
  <c r="W31" i="4"/>
  <c r="AW31" i="4" s="1"/>
  <c r="X29" i="14" s="1"/>
  <c r="W24" i="4"/>
  <c r="AW24" i="4" s="1"/>
  <c r="W159" i="4"/>
  <c r="AW159" i="4" s="1"/>
  <c r="X157" i="14" s="1"/>
  <c r="W176" i="4"/>
  <c r="AW176" i="4" s="1"/>
  <c r="X174" i="14" s="1"/>
  <c r="W129" i="4"/>
  <c r="AW129" i="4" s="1"/>
  <c r="W199" i="4"/>
  <c r="AW199" i="4" s="1"/>
  <c r="X197" i="14" s="1"/>
  <c r="W64" i="4"/>
  <c r="AW64" i="4" s="1"/>
  <c r="X62" i="14" s="1"/>
  <c r="W184" i="4"/>
  <c r="AW184" i="4" s="1"/>
  <c r="X182" i="14" s="1"/>
  <c r="W93" i="4"/>
  <c r="AW93" i="4" s="1"/>
  <c r="X91" i="14" s="1"/>
  <c r="W99" i="4"/>
  <c r="AW99" i="4" s="1"/>
  <c r="W21" i="4"/>
  <c r="AW21" i="4" s="1"/>
  <c r="X19" i="14" s="1"/>
  <c r="W206" i="4"/>
  <c r="AW206" i="4" s="1"/>
  <c r="X204" i="14" s="1"/>
  <c r="W37" i="4"/>
  <c r="AW37" i="4" s="1"/>
  <c r="W133" i="4"/>
  <c r="AW133" i="4" s="1"/>
  <c r="X131" i="14" s="1"/>
  <c r="W79" i="4"/>
  <c r="AW79" i="4" s="1"/>
  <c r="X77" i="14" s="1"/>
  <c r="W42" i="4"/>
  <c r="AW42" i="4" s="1"/>
  <c r="X40" i="14" s="1"/>
  <c r="W110" i="4"/>
  <c r="AW110" i="4" s="1"/>
  <c r="X108" i="14" s="1"/>
  <c r="W164" i="4"/>
  <c r="AW164" i="4" s="1"/>
  <c r="W109" i="4"/>
  <c r="AW109" i="4" s="1"/>
  <c r="X107" i="14" s="1"/>
  <c r="W41" i="4"/>
  <c r="AW41" i="4" s="1"/>
  <c r="W170" i="4"/>
  <c r="AW170" i="4" s="1"/>
  <c r="X168" i="14" s="1"/>
  <c r="W183" i="4"/>
  <c r="AW183" i="4" s="1"/>
  <c r="X181" i="14" s="1"/>
  <c r="W14" i="4"/>
  <c r="AW14" i="4" s="1"/>
  <c r="X12" i="14" s="1"/>
  <c r="W104" i="4"/>
  <c r="AW104" i="4" s="1"/>
  <c r="X102" i="14" s="1"/>
  <c r="W105" i="4"/>
  <c r="AW105" i="4" s="1"/>
  <c r="W40" i="4"/>
  <c r="AW40" i="4" s="1"/>
  <c r="X38" i="14" s="1"/>
  <c r="W61" i="4"/>
  <c r="AW61" i="4" s="1"/>
  <c r="X59" i="14" s="1"/>
  <c r="W203" i="4"/>
  <c r="AW203" i="4" s="1"/>
  <c r="X201" i="14" s="1"/>
  <c r="W190" i="4"/>
  <c r="AW190" i="4" s="1"/>
  <c r="X188" i="14" s="1"/>
  <c r="W202" i="4"/>
  <c r="AW202" i="4" s="1"/>
  <c r="X200" i="14" s="1"/>
  <c r="W111" i="4"/>
  <c r="AW111" i="4" s="1"/>
  <c r="W148" i="4"/>
  <c r="AW148" i="4" s="1"/>
  <c r="X146" i="14" s="1"/>
  <c r="W165" i="4"/>
  <c r="AW165" i="4" s="1"/>
  <c r="W118" i="4"/>
  <c r="AW118" i="4" s="1"/>
  <c r="X116" i="14" s="1"/>
  <c r="W27" i="4"/>
  <c r="AW27" i="4" s="1"/>
  <c r="X25" i="14" s="1"/>
  <c r="W26" i="4"/>
  <c r="AW26" i="4" s="1"/>
  <c r="W195" i="4"/>
  <c r="AW195" i="4" s="1"/>
  <c r="X193" i="14" s="1"/>
  <c r="W138" i="4"/>
  <c r="AW138" i="4" s="1"/>
  <c r="X136" i="14" s="1"/>
  <c r="W205" i="4"/>
  <c r="AW205" i="4" s="1"/>
  <c r="X203" i="14" s="1"/>
  <c r="W50" i="4"/>
  <c r="AW50" i="4" s="1"/>
  <c r="X48" i="14" s="1"/>
  <c r="W60" i="4"/>
  <c r="AW60" i="4" s="1"/>
  <c r="X58" i="14" s="1"/>
  <c r="W135" i="4"/>
  <c r="AW135" i="4" s="1"/>
  <c r="X133" i="14" s="1"/>
  <c r="W115" i="4"/>
  <c r="AW115" i="4" s="1"/>
  <c r="X113" i="14" s="1"/>
  <c r="W147" i="4"/>
  <c r="AW147" i="4" s="1"/>
  <c r="W107" i="4"/>
  <c r="AW107" i="4" s="1"/>
  <c r="W126" i="4"/>
  <c r="AW126" i="4" s="1"/>
  <c r="W189" i="4"/>
  <c r="AW189" i="4" s="1"/>
  <c r="X187" i="14" s="1"/>
  <c r="W32" i="4"/>
  <c r="AW32" i="4" s="1"/>
  <c r="X30" i="14" s="1"/>
  <c r="W47" i="4"/>
  <c r="AW47" i="4" s="1"/>
  <c r="X45" i="14" s="1"/>
  <c r="W186" i="4"/>
  <c r="AW186" i="4" s="1"/>
  <c r="X184" i="14" s="1"/>
  <c r="W128" i="4"/>
  <c r="AW128" i="4" s="1"/>
  <c r="X126" i="14" s="1"/>
  <c r="W174" i="4"/>
  <c r="AW174" i="4" s="1"/>
  <c r="X172" i="14" s="1"/>
  <c r="W134" i="4"/>
  <c r="AW134" i="4" s="1"/>
  <c r="W139" i="4"/>
  <c r="AW139" i="4" s="1"/>
  <c r="X137" i="14" s="1"/>
  <c r="W52" i="4"/>
  <c r="AW52" i="4" s="1"/>
  <c r="X50" i="14" s="1"/>
  <c r="W180" i="4"/>
  <c r="AW180" i="4" s="1"/>
  <c r="X178" i="14" s="1"/>
  <c r="W72" i="4"/>
  <c r="AW72" i="4" s="1"/>
  <c r="X70" i="14" s="1"/>
  <c r="W15" i="4"/>
  <c r="AW15" i="4" s="1"/>
  <c r="X13" i="14" s="1"/>
  <c r="W69" i="4"/>
  <c r="AW69" i="4" s="1"/>
  <c r="W106" i="4"/>
  <c r="AW106" i="4" s="1"/>
  <c r="W89" i="4"/>
  <c r="AW89" i="4" s="1"/>
  <c r="W87" i="4"/>
  <c r="AW87" i="4" s="1"/>
  <c r="X85" i="14" s="1"/>
  <c r="W63" i="4"/>
  <c r="AW63" i="4" s="1"/>
  <c r="X61" i="14" s="1"/>
  <c r="W76" i="4"/>
  <c r="AW76" i="4" s="1"/>
  <c r="X74" i="14" s="1"/>
  <c r="W144" i="4"/>
  <c r="AW144" i="4" s="1"/>
  <c r="X142" i="14" s="1"/>
  <c r="W73" i="4"/>
  <c r="AW73" i="4" s="1"/>
  <c r="W10" i="4"/>
  <c r="AW10" i="4" s="1"/>
  <c r="X8" i="14" s="1"/>
  <c r="W66" i="4"/>
  <c r="AW66" i="4" s="1"/>
  <c r="X64" i="14" s="1"/>
  <c r="W108" i="4"/>
  <c r="AW108" i="4" s="1"/>
  <c r="W53" i="4"/>
  <c r="AW53" i="4" s="1"/>
  <c r="X51" i="14" s="1"/>
  <c r="W58" i="4"/>
  <c r="AW58" i="4" s="1"/>
  <c r="X56" i="14" s="1"/>
  <c r="W28" i="4"/>
  <c r="AW28" i="4" s="1"/>
  <c r="X26" i="14" s="1"/>
  <c r="W46" i="4"/>
  <c r="AW46" i="4" s="1"/>
  <c r="X44" i="14" s="1"/>
  <c r="W86" i="4"/>
  <c r="AW86" i="4" s="1"/>
  <c r="X84" i="14" s="1"/>
  <c r="W140" i="4"/>
  <c r="AW140" i="4" s="1"/>
  <c r="X138" i="14" s="1"/>
  <c r="W96" i="4"/>
  <c r="AW96" i="4" s="1"/>
  <c r="W121" i="4"/>
  <c r="AW121" i="4" s="1"/>
  <c r="W95" i="4"/>
  <c r="AW95" i="4" s="1"/>
  <c r="X93" i="14" s="1"/>
  <c r="W18" i="4"/>
  <c r="AW18" i="4" s="1"/>
  <c r="X16" i="14" s="1"/>
  <c r="W45" i="4"/>
  <c r="AW45" i="4" s="1"/>
  <c r="X43" i="14" s="1"/>
  <c r="W154" i="4"/>
  <c r="AW154" i="4" s="1"/>
  <c r="X152" i="14" s="1"/>
  <c r="W166" i="4"/>
  <c r="AW166" i="4" s="1"/>
  <c r="X164" i="14" s="1"/>
  <c r="W82" i="4"/>
  <c r="AW82" i="4" s="1"/>
  <c r="X80" i="14" s="1"/>
  <c r="W146" i="4"/>
  <c r="AW146" i="4" s="1"/>
  <c r="X144" i="14" s="1"/>
  <c r="W98" i="4"/>
  <c r="AW98" i="4" s="1"/>
  <c r="X96" i="14" s="1"/>
  <c r="W173" i="4"/>
  <c r="AW173" i="4" s="1"/>
  <c r="W116" i="4"/>
  <c r="AW116" i="4" s="1"/>
  <c r="X114" i="14" s="1"/>
  <c r="W130" i="4"/>
  <c r="AW130" i="4" s="1"/>
  <c r="X128" i="14" s="1"/>
  <c r="W177" i="4"/>
  <c r="AW177" i="4" s="1"/>
  <c r="X175" i="14" s="1"/>
  <c r="W169" i="4"/>
  <c r="AW169" i="4" s="1"/>
  <c r="X167" i="14" s="1"/>
  <c r="W49" i="4"/>
  <c r="AW49" i="4" s="1"/>
  <c r="X47" i="14" s="1"/>
  <c r="W9" i="4"/>
  <c r="AW9" i="4" s="1"/>
  <c r="X7" i="14" s="1"/>
  <c r="W145" i="4"/>
  <c r="AW145" i="4" s="1"/>
  <c r="W204" i="4"/>
  <c r="AW204" i="4" s="1"/>
  <c r="W16" i="4"/>
  <c r="AW16" i="4" s="1"/>
  <c r="X14" i="14" s="1"/>
  <c r="W30" i="4"/>
  <c r="AW30" i="4" s="1"/>
  <c r="X28" i="14" s="1"/>
  <c r="W84" i="4"/>
  <c r="AW84" i="4" s="1"/>
  <c r="X82" i="14" s="1"/>
  <c r="W142" i="4"/>
  <c r="AW142" i="4" s="1"/>
  <c r="W90" i="4"/>
  <c r="AW90" i="4" s="1"/>
  <c r="X88" i="14" s="1"/>
  <c r="W137" i="4"/>
  <c r="AW137" i="4" s="1"/>
  <c r="X135" i="14" s="1"/>
  <c r="AU3" i="4"/>
  <c r="AU4" i="4" s="1"/>
  <c r="W194" i="4"/>
  <c r="AW194" i="4" s="1"/>
  <c r="X192" i="14" s="1"/>
  <c r="W143" i="4"/>
  <c r="AW143" i="4" s="1"/>
  <c r="X141" i="14" s="1"/>
  <c r="W80" i="4"/>
  <c r="AW80" i="4" s="1"/>
  <c r="X78" i="14" s="1"/>
  <c r="W178" i="4"/>
  <c r="AW178" i="4" s="1"/>
  <c r="X176" i="14" s="1"/>
  <c r="W44" i="4"/>
  <c r="AW44" i="4" s="1"/>
  <c r="W59" i="4"/>
  <c r="AW59" i="4" s="1"/>
  <c r="W114" i="4"/>
  <c r="AW114" i="4" s="1"/>
  <c r="X112" i="14" s="1"/>
  <c r="W56" i="4"/>
  <c r="AW56" i="4" s="1"/>
  <c r="X54" i="14" s="1"/>
  <c r="W57" i="4"/>
  <c r="AW57" i="4" s="1"/>
  <c r="X55" i="14" s="1"/>
  <c r="W35" i="4"/>
  <c r="AW35" i="4" s="1"/>
  <c r="X33" i="14" s="1"/>
  <c r="W48" i="4"/>
  <c r="AW48" i="4" s="1"/>
  <c r="X46" i="14" s="1"/>
  <c r="W157" i="4"/>
  <c r="AW157" i="4" s="1"/>
  <c r="X155" i="14" s="1"/>
  <c r="W197" i="4"/>
  <c r="AW197" i="4" s="1"/>
  <c r="X195" i="14" s="1"/>
  <c r="W38" i="4"/>
  <c r="AW38" i="4" s="1"/>
  <c r="X36" i="14" s="1"/>
  <c r="W158" i="4"/>
  <c r="AW158" i="4" s="1"/>
  <c r="X156" i="14" s="1"/>
  <c r="W11" i="4"/>
  <c r="AW11" i="4" s="1"/>
  <c r="W85" i="4"/>
  <c r="AW85" i="4" s="1"/>
  <c r="X83" i="14" s="1"/>
  <c r="W201" i="4"/>
  <c r="AW201" i="4" s="1"/>
  <c r="X199" i="14" s="1"/>
  <c r="W29" i="4"/>
  <c r="AW29" i="4" s="1"/>
  <c r="X27" i="14" s="1"/>
  <c r="W77" i="4"/>
  <c r="AW77" i="4" s="1"/>
  <c r="X75" i="14" s="1"/>
  <c r="W75" i="4"/>
  <c r="AW75" i="4" s="1"/>
  <c r="X73" i="14" s="1"/>
  <c r="W112" i="4"/>
  <c r="AW112" i="4" s="1"/>
  <c r="X110" i="14" s="1"/>
  <c r="W152" i="4"/>
  <c r="AW152" i="4" s="1"/>
  <c r="X150" i="14" s="1"/>
  <c r="W123" i="4"/>
  <c r="AW123" i="4" s="1"/>
  <c r="W163" i="4"/>
  <c r="AW163" i="4" s="1"/>
  <c r="X161" i="14" s="1"/>
  <c r="W88" i="4"/>
  <c r="AW88" i="4" s="1"/>
  <c r="X86" i="14" s="1"/>
  <c r="W187" i="4"/>
  <c r="AW187" i="4" s="1"/>
  <c r="W34" i="4"/>
  <c r="AW34" i="4" s="1"/>
  <c r="W92" i="4"/>
  <c r="AW92" i="4" s="1"/>
  <c r="W149" i="4"/>
  <c r="AW149" i="4" s="1"/>
  <c r="X147" i="14" s="1"/>
  <c r="W100" i="4"/>
  <c r="AW100" i="4" s="1"/>
  <c r="X98" i="14" s="1"/>
  <c r="W113" i="4"/>
  <c r="AW113" i="4" s="1"/>
  <c r="X111" i="14" s="1"/>
  <c r="W150" i="4"/>
  <c r="AW150" i="4" s="1"/>
  <c r="X148" i="14" s="1"/>
  <c r="W191" i="4"/>
  <c r="AW191" i="4" s="1"/>
  <c r="W70" i="4"/>
  <c r="AW70" i="4" s="1"/>
  <c r="X68" i="14" s="1"/>
  <c r="W74" i="4"/>
  <c r="AW74" i="4" s="1"/>
  <c r="X72" i="14" s="1"/>
  <c r="W23" i="4"/>
  <c r="AW23" i="4" s="1"/>
  <c r="X21" i="14" s="1"/>
  <c r="W12" i="4"/>
  <c r="AW12" i="4" s="1"/>
  <c r="X10" i="14" s="1"/>
  <c r="W124" i="4"/>
  <c r="AW124" i="4" s="1"/>
  <c r="X122" i="14" s="1"/>
  <c r="W43" i="4"/>
  <c r="AW43" i="4" s="1"/>
  <c r="X41" i="14" s="1"/>
  <c r="W132" i="4"/>
  <c r="AW132" i="4" s="1"/>
  <c r="X130" i="14" s="1"/>
  <c r="W54" i="4"/>
  <c r="AW54" i="4" s="1"/>
  <c r="W181" i="4"/>
  <c r="AW181" i="4" s="1"/>
  <c r="W172" i="4"/>
  <c r="AW172" i="4" s="1"/>
  <c r="X170" i="14" s="1"/>
  <c r="W171" i="4"/>
  <c r="AW171" i="4" s="1"/>
  <c r="X169" i="14" s="1"/>
  <c r="W20" i="4"/>
  <c r="AW20" i="4" s="1"/>
  <c r="X18" i="14" s="1"/>
  <c r="W78" i="4"/>
  <c r="AW78" i="4" s="1"/>
  <c r="X76" i="14" s="1"/>
  <c r="W101" i="4"/>
  <c r="AW101" i="4" s="1"/>
  <c r="X99" i="14" s="1"/>
  <c r="W193" i="4"/>
  <c r="AW193" i="4" s="1"/>
  <c r="X191" i="14" s="1"/>
  <c r="W81" i="4"/>
  <c r="AW81" i="4" s="1"/>
  <c r="X79" i="14" s="1"/>
  <c r="W62" i="4"/>
  <c r="AW62" i="4" s="1"/>
  <c r="X60" i="14" s="1"/>
  <c r="W67" i="4"/>
  <c r="AW67" i="4" s="1"/>
  <c r="X65" i="14" s="1"/>
  <c r="W207" i="4"/>
  <c r="AW207" i="4" s="1"/>
  <c r="X205" i="14" s="1"/>
  <c r="W94" i="4"/>
  <c r="AW94" i="4" s="1"/>
  <c r="X92" i="14" s="1"/>
  <c r="W182" i="4"/>
  <c r="AW182" i="4" s="1"/>
  <c r="X180" i="14" s="1"/>
  <c r="W188" i="4"/>
  <c r="AW188" i="4" s="1"/>
  <c r="X186" i="14" s="1"/>
  <c r="W185" i="4"/>
  <c r="AW185" i="4" s="1"/>
  <c r="W153" i="4"/>
  <c r="AW153" i="4" s="1"/>
  <c r="X151" i="14" s="1"/>
  <c r="W161" i="4"/>
  <c r="AW161" i="4" s="1"/>
  <c r="W120" i="4"/>
  <c r="AW120" i="4" s="1"/>
  <c r="X118" i="14" s="1"/>
  <c r="W151" i="4"/>
  <c r="AW151" i="4" s="1"/>
  <c r="X149" i="14" s="1"/>
  <c r="W36" i="4"/>
  <c r="AW36" i="4" s="1"/>
  <c r="X34" i="14" s="1"/>
  <c r="W200" i="4"/>
  <c r="AW200" i="4" s="1"/>
  <c r="X198" i="14" s="1"/>
  <c r="W167" i="4"/>
  <c r="AW167" i="4" s="1"/>
  <c r="X165" i="14" s="1"/>
  <c r="W160" i="4"/>
  <c r="AW160" i="4" s="1"/>
  <c r="W162" i="4"/>
  <c r="AW162" i="4" s="1"/>
  <c r="W136" i="4"/>
  <c r="AW136" i="4" s="1"/>
  <c r="X134" i="14" s="1"/>
  <c r="W127" i="4"/>
  <c r="AW127" i="4" s="1"/>
  <c r="X125" i="14" s="1"/>
  <c r="W51" i="4"/>
  <c r="AW51" i="4" s="1"/>
  <c r="W117" i="4"/>
  <c r="AW117" i="4" s="1"/>
  <c r="X115" i="14" s="1"/>
  <c r="W179" i="4"/>
  <c r="AW179" i="4" s="1"/>
  <c r="X177" i="14" s="1"/>
  <c r="W156" i="4"/>
  <c r="AW156" i="4" s="1"/>
  <c r="X154" i="14" s="1"/>
  <c r="W102" i="4"/>
  <c r="AW102" i="4" s="1"/>
  <c r="X100" i="14" s="1"/>
  <c r="W71" i="4"/>
  <c r="AW71" i="4" s="1"/>
  <c r="X8" i="4"/>
  <c r="AX8" i="4" s="1"/>
  <c r="Y6" i="14" s="1"/>
  <c r="X49" i="14" l="1"/>
  <c r="X183" i="14"/>
  <c r="X171" i="14"/>
  <c r="X22" i="14"/>
  <c r="X103" i="14"/>
  <c r="X162" i="14"/>
  <c r="X132" i="14"/>
  <c r="X127" i="14"/>
  <c r="X179" i="14"/>
  <c r="X145" i="14"/>
  <c r="X160" i="14"/>
  <c r="X24" i="14"/>
  <c r="X52" i="14"/>
  <c r="X124" i="14"/>
  <c r="X97" i="14"/>
  <c r="X69" i="14"/>
  <c r="X202" i="14"/>
  <c r="X104" i="14"/>
  <c r="X71" i="14"/>
  <c r="X109" i="14"/>
  <c r="X67" i="14"/>
  <c r="X90" i="14"/>
  <c r="X189" i="14"/>
  <c r="X35" i="14"/>
  <c r="X87" i="14"/>
  <c r="X42" i="14"/>
  <c r="X123" i="14"/>
  <c r="X159" i="14"/>
  <c r="X153" i="14"/>
  <c r="X89" i="14"/>
  <c r="X15" i="14"/>
  <c r="X9" i="14"/>
  <c r="X163" i="14"/>
  <c r="X39" i="14"/>
  <c r="X106" i="14"/>
  <c r="X57" i="14"/>
  <c r="X105" i="14"/>
  <c r="X196" i="14"/>
  <c r="X94" i="14"/>
  <c r="X121" i="14"/>
  <c r="X140" i="14"/>
  <c r="X158" i="14"/>
  <c r="X119" i="14"/>
  <c r="X20" i="14"/>
  <c r="X32" i="14"/>
  <c r="X185" i="14"/>
  <c r="X190" i="14"/>
  <c r="X143" i="14"/>
  <c r="U15" i="16"/>
  <c r="V6" i="16"/>
  <c r="W6" i="16" s="1"/>
  <c r="Y6" i="16" s="1"/>
  <c r="W3" i="4"/>
  <c r="W4" i="4" s="1"/>
  <c r="X71" i="4"/>
  <c r="AX71" i="4" s="1"/>
  <c r="Y69" i="14" s="1"/>
  <c r="X127" i="4"/>
  <c r="AX127" i="4" s="1"/>
  <c r="Y125" i="14" s="1"/>
  <c r="X36" i="4"/>
  <c r="AX36" i="4" s="1"/>
  <c r="Y34" i="14" s="1"/>
  <c r="X188" i="4"/>
  <c r="AX188" i="4" s="1"/>
  <c r="Y186" i="14" s="1"/>
  <c r="X81" i="4"/>
  <c r="AX81" i="4" s="1"/>
  <c r="Y79" i="14" s="1"/>
  <c r="X172" i="4"/>
  <c r="AX172" i="4" s="1"/>
  <c r="Y170" i="14" s="1"/>
  <c r="X12" i="4"/>
  <c r="AX12" i="4" s="1"/>
  <c r="Y10" i="14" s="1"/>
  <c r="X149" i="4"/>
  <c r="AX149" i="4" s="1"/>
  <c r="Y147" i="14" s="1"/>
  <c r="X123" i="4"/>
  <c r="AX123" i="4" s="1"/>
  <c r="X112" i="4"/>
  <c r="AX112" i="4" s="1"/>
  <c r="Y110" i="14" s="1"/>
  <c r="X11" i="4"/>
  <c r="AX11" i="4" s="1"/>
  <c r="X35" i="4"/>
  <c r="AX35" i="4" s="1"/>
  <c r="Y33" i="14" s="1"/>
  <c r="X143" i="4"/>
  <c r="AX143" i="4" s="1"/>
  <c r="Y141" i="14" s="1"/>
  <c r="X90" i="4"/>
  <c r="AX90" i="4" s="1"/>
  <c r="Y88" i="14" s="1"/>
  <c r="X145" i="4"/>
  <c r="AX145" i="4" s="1"/>
  <c r="X116" i="4"/>
  <c r="AX116" i="4" s="1"/>
  <c r="Y114" i="14" s="1"/>
  <c r="X154" i="4"/>
  <c r="AX154" i="4" s="1"/>
  <c r="Y152" i="14" s="1"/>
  <c r="X140" i="4"/>
  <c r="AX140" i="4" s="1"/>
  <c r="Y138" i="14" s="1"/>
  <c r="X58" i="4"/>
  <c r="AX58" i="4" s="1"/>
  <c r="Y56" i="14" s="1"/>
  <c r="X144" i="4"/>
  <c r="AX144" i="4" s="1"/>
  <c r="X69" i="4"/>
  <c r="AX69" i="4" s="1"/>
  <c r="X52" i="4"/>
  <c r="AX52" i="4" s="1"/>
  <c r="Y50" i="14" s="1"/>
  <c r="X134" i="4"/>
  <c r="AX134" i="4" s="1"/>
  <c r="X128" i="4"/>
  <c r="AX128" i="4" s="1"/>
  <c r="Y126" i="14" s="1"/>
  <c r="X47" i="4"/>
  <c r="AX47" i="4" s="1"/>
  <c r="Y45" i="14" s="1"/>
  <c r="X115" i="4"/>
  <c r="AX115" i="4" s="1"/>
  <c r="Y113" i="14" s="1"/>
  <c r="X60" i="4"/>
  <c r="AX60" i="4" s="1"/>
  <c r="Y58" i="14" s="1"/>
  <c r="X205" i="4"/>
  <c r="AX205" i="4" s="1"/>
  <c r="Y203" i="14" s="1"/>
  <c r="X195" i="4"/>
  <c r="AX195" i="4" s="1"/>
  <c r="Y193" i="14" s="1"/>
  <c r="X27" i="4"/>
  <c r="AX27" i="4" s="1"/>
  <c r="Y25" i="14" s="1"/>
  <c r="X165" i="4"/>
  <c r="AX165" i="4" s="1"/>
  <c r="X111" i="4"/>
  <c r="AX111" i="4" s="1"/>
  <c r="X190" i="4"/>
  <c r="AX190" i="4" s="1"/>
  <c r="Y188" i="14" s="1"/>
  <c r="X61" i="4"/>
  <c r="AX61" i="4" s="1"/>
  <c r="Y59" i="14" s="1"/>
  <c r="X105" i="4"/>
  <c r="AX105" i="4" s="1"/>
  <c r="Y103" i="14" s="1"/>
  <c r="X14" i="4"/>
  <c r="AX14" i="4" s="1"/>
  <c r="Y12" i="14" s="1"/>
  <c r="X170" i="4"/>
  <c r="AX170" i="4" s="1"/>
  <c r="Y168" i="14" s="1"/>
  <c r="X109" i="4"/>
  <c r="AX109" i="4" s="1"/>
  <c r="Y107" i="14" s="1"/>
  <c r="X110" i="4"/>
  <c r="AX110" i="4" s="1"/>
  <c r="Y108" i="14" s="1"/>
  <c r="X79" i="4"/>
  <c r="AX79" i="4" s="1"/>
  <c r="Y77" i="14" s="1"/>
  <c r="X37" i="4"/>
  <c r="AX37" i="4" s="1"/>
  <c r="X21" i="4"/>
  <c r="AX21" i="4" s="1"/>
  <c r="Y19" i="14" s="1"/>
  <c r="X93" i="4"/>
  <c r="AX93" i="4" s="1"/>
  <c r="Y91" i="14" s="1"/>
  <c r="X64" i="4"/>
  <c r="AX64" i="4" s="1"/>
  <c r="Y62" i="14" s="1"/>
  <c r="X129" i="4"/>
  <c r="AX129" i="4" s="1"/>
  <c r="Y127" i="14" s="1"/>
  <c r="X159" i="4"/>
  <c r="AX159" i="4" s="1"/>
  <c r="Y157" i="14" s="1"/>
  <c r="X31" i="4"/>
  <c r="AX31" i="4" s="1"/>
  <c r="Y29" i="14" s="1"/>
  <c r="X122" i="4"/>
  <c r="AX122" i="4" s="1"/>
  <c r="Y120" i="14" s="1"/>
  <c r="X125" i="4"/>
  <c r="AX125" i="4" s="1"/>
  <c r="X103" i="4"/>
  <c r="AX103" i="4" s="1"/>
  <c r="Y101" i="14" s="1"/>
  <c r="X68" i="4"/>
  <c r="AX68" i="4" s="1"/>
  <c r="Y66" i="14" s="1"/>
  <c r="X19" i="4"/>
  <c r="AX19" i="4" s="1"/>
  <c r="Y17" i="14" s="1"/>
  <c r="X55" i="4"/>
  <c r="AX55" i="4" s="1"/>
  <c r="Y53" i="14" s="1"/>
  <c r="X22" i="4"/>
  <c r="AX22" i="4" s="1"/>
  <c r="X198" i="4"/>
  <c r="AX198" i="4" s="1"/>
  <c r="X175" i="4"/>
  <c r="AX175" i="4" s="1"/>
  <c r="Y173" i="14" s="1"/>
  <c r="X39" i="4"/>
  <c r="AX39" i="4" s="1"/>
  <c r="Y37" i="14" s="1"/>
  <c r="X192" i="4"/>
  <c r="AX192" i="4" s="1"/>
  <c r="X155" i="4"/>
  <c r="AX155" i="4" s="1"/>
  <c r="X156" i="4"/>
  <c r="AX156" i="4" s="1"/>
  <c r="Y154" i="14" s="1"/>
  <c r="X162" i="4"/>
  <c r="AX162" i="4" s="1"/>
  <c r="Y160" i="14" s="1"/>
  <c r="X153" i="4"/>
  <c r="AX153" i="4" s="1"/>
  <c r="Y151" i="14" s="1"/>
  <c r="X67" i="4"/>
  <c r="AX67" i="4" s="1"/>
  <c r="Y65" i="14" s="1"/>
  <c r="X101" i="4"/>
  <c r="AX101" i="4" s="1"/>
  <c r="Y99" i="14" s="1"/>
  <c r="X54" i="4"/>
  <c r="AX54" i="4" s="1"/>
  <c r="X74" i="4"/>
  <c r="AX74" i="4" s="1"/>
  <c r="Y72" i="14" s="1"/>
  <c r="X113" i="4"/>
  <c r="AX113" i="4" s="1"/>
  <c r="Y111" i="14" s="1"/>
  <c r="X88" i="4"/>
  <c r="AX88" i="4" s="1"/>
  <c r="Y86" i="14" s="1"/>
  <c r="X77" i="4"/>
  <c r="AX77" i="4" s="1"/>
  <c r="Y75" i="14" s="1"/>
  <c r="X38" i="4"/>
  <c r="AX38" i="4" s="1"/>
  <c r="Y36" i="14" s="1"/>
  <c r="X56" i="4"/>
  <c r="AX56" i="4" s="1"/>
  <c r="Y54" i="14" s="1"/>
  <c r="X178" i="4"/>
  <c r="AX178" i="4" s="1"/>
  <c r="Y176" i="14" s="1"/>
  <c r="X84" i="4"/>
  <c r="AX84" i="4" s="1"/>
  <c r="Y82" i="14" s="1"/>
  <c r="X49" i="4"/>
  <c r="AX49" i="4" s="1"/>
  <c r="Y47" i="14" s="1"/>
  <c r="X98" i="4"/>
  <c r="AX98" i="4" s="1"/>
  <c r="Y96" i="14" s="1"/>
  <c r="X18" i="4"/>
  <c r="AX18" i="4" s="1"/>
  <c r="Y16" i="14" s="1"/>
  <c r="X46" i="4"/>
  <c r="AX46" i="4" s="1"/>
  <c r="Y44" i="14" s="1"/>
  <c r="X10" i="4"/>
  <c r="AX10" i="4" s="1"/>
  <c r="Y8" i="14" s="1"/>
  <c r="X89" i="4"/>
  <c r="AX89" i="4" s="1"/>
  <c r="X72" i="4"/>
  <c r="AX72" i="4" s="1"/>
  <c r="Y70" i="14" s="1"/>
  <c r="X189" i="4"/>
  <c r="AX189" i="4" s="1"/>
  <c r="Y187" i="14" s="1"/>
  <c r="AV3" i="4"/>
  <c r="AV4" i="4" s="1"/>
  <c r="X117" i="4"/>
  <c r="AX117" i="4" s="1"/>
  <c r="Y115" i="14" s="1"/>
  <c r="X167" i="4"/>
  <c r="AX167" i="4" s="1"/>
  <c r="Y165" i="14" s="1"/>
  <c r="X120" i="4"/>
  <c r="AX120" i="4" s="1"/>
  <c r="Y118" i="14" s="1"/>
  <c r="X94" i="4"/>
  <c r="AX94" i="4" s="1"/>
  <c r="Y92" i="14" s="1"/>
  <c r="X20" i="4"/>
  <c r="AX20" i="4" s="1"/>
  <c r="Y18" i="14" s="1"/>
  <c r="X43" i="4"/>
  <c r="AX43" i="4" s="1"/>
  <c r="Y41" i="14" s="1"/>
  <c r="X191" i="4"/>
  <c r="AX191" i="4" s="1"/>
  <c r="Y189" i="14" s="1"/>
  <c r="X34" i="4"/>
  <c r="AX34" i="4" s="1"/>
  <c r="X201" i="4"/>
  <c r="AX201" i="4" s="1"/>
  <c r="Y199" i="14" s="1"/>
  <c r="X157" i="4"/>
  <c r="AX157" i="4" s="1"/>
  <c r="Y155" i="14" s="1"/>
  <c r="X59" i="4"/>
  <c r="AX59" i="4" s="1"/>
  <c r="X16" i="4"/>
  <c r="AX16" i="4" s="1"/>
  <c r="Y14" i="14" s="1"/>
  <c r="X177" i="4"/>
  <c r="AX177" i="4" s="1"/>
  <c r="Y175" i="14" s="1"/>
  <c r="X82" i="4"/>
  <c r="AX82" i="4" s="1"/>
  <c r="Y80" i="14" s="1"/>
  <c r="X121" i="4"/>
  <c r="AX121" i="4" s="1"/>
  <c r="X108" i="4"/>
  <c r="AX108" i="4" s="1"/>
  <c r="X63" i="4"/>
  <c r="AX63" i="4" s="1"/>
  <c r="Y61" i="14" s="1"/>
  <c r="X107" i="4"/>
  <c r="AX107" i="4" s="1"/>
  <c r="X102" i="4"/>
  <c r="AX102" i="4" s="1"/>
  <c r="Y100" i="14" s="1"/>
  <c r="X179" i="4"/>
  <c r="AX179" i="4" s="1"/>
  <c r="Y177" i="14" s="1"/>
  <c r="X51" i="4"/>
  <c r="AX51" i="4" s="1"/>
  <c r="Y49" i="14" s="1"/>
  <c r="X136" i="4"/>
  <c r="AX136" i="4" s="1"/>
  <c r="Y134" i="14" s="1"/>
  <c r="X160" i="4"/>
  <c r="AX160" i="4" s="1"/>
  <c r="X200" i="4"/>
  <c r="AX200" i="4" s="1"/>
  <c r="Y198" i="14" s="1"/>
  <c r="X151" i="4"/>
  <c r="AX151" i="4" s="1"/>
  <c r="Y149" i="14" s="1"/>
  <c r="X161" i="4"/>
  <c r="AX161" i="4" s="1"/>
  <c r="X185" i="4"/>
  <c r="AX185" i="4" s="1"/>
  <c r="Y183" i="14" s="1"/>
  <c r="X182" i="4"/>
  <c r="AX182" i="4" s="1"/>
  <c r="X207" i="4"/>
  <c r="AX207" i="4" s="1"/>
  <c r="Y205" i="14" s="1"/>
  <c r="X62" i="4"/>
  <c r="AX62" i="4" s="1"/>
  <c r="Y60" i="14" s="1"/>
  <c r="X193" i="4"/>
  <c r="AX193" i="4" s="1"/>
  <c r="Y191" i="14" s="1"/>
  <c r="X78" i="4"/>
  <c r="AX78" i="4" s="1"/>
  <c r="Y76" i="14" s="1"/>
  <c r="X171" i="4"/>
  <c r="AX171" i="4" s="1"/>
  <c r="Y169" i="14" s="1"/>
  <c r="X181" i="4"/>
  <c r="AX181" i="4" s="1"/>
  <c r="X132" i="4"/>
  <c r="AX132" i="4" s="1"/>
  <c r="Y130" i="14" s="1"/>
  <c r="X124" i="4"/>
  <c r="AX124" i="4" s="1"/>
  <c r="Y122" i="14" s="1"/>
  <c r="X23" i="4"/>
  <c r="AX23" i="4" s="1"/>
  <c r="Y21" i="14" s="1"/>
  <c r="X70" i="4"/>
  <c r="AX70" i="4" s="1"/>
  <c r="Y68" i="14" s="1"/>
  <c r="X150" i="4"/>
  <c r="AX150" i="4" s="1"/>
  <c r="Y148" i="14" s="1"/>
  <c r="X100" i="4"/>
  <c r="AX100" i="4" s="1"/>
  <c r="Y98" i="14" s="1"/>
  <c r="X92" i="4"/>
  <c r="AX92" i="4" s="1"/>
  <c r="X187" i="4"/>
  <c r="AX187" i="4" s="1"/>
  <c r="X163" i="4"/>
  <c r="AX163" i="4" s="1"/>
  <c r="Y161" i="14" s="1"/>
  <c r="X152" i="4"/>
  <c r="AX152" i="4" s="1"/>
  <c r="Y150" i="14" s="1"/>
  <c r="X75" i="4"/>
  <c r="AX75" i="4" s="1"/>
  <c r="Y73" i="14" s="1"/>
  <c r="X29" i="4"/>
  <c r="AX29" i="4" s="1"/>
  <c r="Y27" i="14" s="1"/>
  <c r="X85" i="4"/>
  <c r="AX85" i="4" s="1"/>
  <c r="Y83" i="14" s="1"/>
  <c r="X158" i="4"/>
  <c r="AX158" i="4" s="1"/>
  <c r="Y156" i="14" s="1"/>
  <c r="X197" i="4"/>
  <c r="AX197" i="4" s="1"/>
  <c r="Y195" i="14" s="1"/>
  <c r="X48" i="4"/>
  <c r="AX48" i="4" s="1"/>
  <c r="Y46" i="14" s="1"/>
  <c r="X57" i="4"/>
  <c r="AX57" i="4" s="1"/>
  <c r="Y55" i="14" s="1"/>
  <c r="X114" i="4"/>
  <c r="AX114" i="4" s="1"/>
  <c r="Y112" i="14" s="1"/>
  <c r="X44" i="4"/>
  <c r="AX44" i="4" s="1"/>
  <c r="X80" i="4"/>
  <c r="AX80" i="4" s="1"/>
  <c r="Y78" i="14" s="1"/>
  <c r="X194" i="4"/>
  <c r="AX194" i="4" s="1"/>
  <c r="Y192" i="14" s="1"/>
  <c r="X137" i="4"/>
  <c r="AX137" i="4" s="1"/>
  <c r="Y135" i="14" s="1"/>
  <c r="X142" i="4"/>
  <c r="AX142" i="4" s="1"/>
  <c r="X30" i="4"/>
  <c r="AX30" i="4" s="1"/>
  <c r="Y28" i="14" s="1"/>
  <c r="X204" i="4"/>
  <c r="AX204" i="4" s="1"/>
  <c r="X9" i="4"/>
  <c r="AX9" i="4" s="1"/>
  <c r="Y7" i="14" s="1"/>
  <c r="X169" i="4"/>
  <c r="AX169" i="4" s="1"/>
  <c r="Y167" i="14" s="1"/>
  <c r="X130" i="4"/>
  <c r="AX130" i="4" s="1"/>
  <c r="Y128" i="14" s="1"/>
  <c r="X173" i="4"/>
  <c r="AX173" i="4" s="1"/>
  <c r="Y171" i="14" s="1"/>
  <c r="X146" i="4"/>
  <c r="AX146" i="4" s="1"/>
  <c r="Y144" i="14" s="1"/>
  <c r="X166" i="4"/>
  <c r="AX166" i="4" s="1"/>
  <c r="Y164" i="14" s="1"/>
  <c r="X45" i="4"/>
  <c r="AX45" i="4" s="1"/>
  <c r="Y43" i="14" s="1"/>
  <c r="X95" i="4"/>
  <c r="AX95" i="4" s="1"/>
  <c r="Y93" i="14" s="1"/>
  <c r="X96" i="4"/>
  <c r="AX96" i="4" s="1"/>
  <c r="X86" i="4"/>
  <c r="AX86" i="4" s="1"/>
  <c r="Y84" i="14" s="1"/>
  <c r="X28" i="4"/>
  <c r="AX28" i="4" s="1"/>
  <c r="Y26" i="14" s="1"/>
  <c r="X53" i="4"/>
  <c r="AX53" i="4" s="1"/>
  <c r="Y51" i="14" s="1"/>
  <c r="X66" i="4"/>
  <c r="AX66" i="4" s="1"/>
  <c r="Y64" i="14" s="1"/>
  <c r="X73" i="4"/>
  <c r="AX73" i="4" s="1"/>
  <c r="X76" i="4"/>
  <c r="AX76" i="4" s="1"/>
  <c r="Y74" i="14" s="1"/>
  <c r="X87" i="4"/>
  <c r="AX87" i="4" s="1"/>
  <c r="Y85" i="14" s="1"/>
  <c r="X106" i="4"/>
  <c r="AX106" i="4" s="1"/>
  <c r="Y104" i="14" s="1"/>
  <c r="X15" i="4"/>
  <c r="AX15" i="4" s="1"/>
  <c r="Y13" i="14" s="1"/>
  <c r="X180" i="4"/>
  <c r="AX180" i="4" s="1"/>
  <c r="Y178" i="14" s="1"/>
  <c r="X139" i="4"/>
  <c r="AX139" i="4" s="1"/>
  <c r="Y137" i="14" s="1"/>
  <c r="X174" i="4"/>
  <c r="AX174" i="4" s="1"/>
  <c r="Y172" i="14" s="1"/>
  <c r="X186" i="4"/>
  <c r="AX186" i="4" s="1"/>
  <c r="Y184" i="14" s="1"/>
  <c r="X32" i="4"/>
  <c r="AX32" i="4" s="1"/>
  <c r="Y30" i="14" s="1"/>
  <c r="X126" i="4"/>
  <c r="AX126" i="4" s="1"/>
  <c r="Y124" i="14" s="1"/>
  <c r="X147" i="4"/>
  <c r="AX147" i="4" s="1"/>
  <c r="Y145" i="14" s="1"/>
  <c r="X135" i="4"/>
  <c r="AX135" i="4" s="1"/>
  <c r="X50" i="4"/>
  <c r="AX50" i="4" s="1"/>
  <c r="Y48" i="14" s="1"/>
  <c r="X138" i="4"/>
  <c r="AX138" i="4" s="1"/>
  <c r="Y136" i="14" s="1"/>
  <c r="X26" i="4"/>
  <c r="AX26" i="4" s="1"/>
  <c r="X118" i="4"/>
  <c r="AX118" i="4" s="1"/>
  <c r="Y116" i="14" s="1"/>
  <c r="X148" i="4"/>
  <c r="AX148" i="4" s="1"/>
  <c r="Y146" i="14" s="1"/>
  <c r="X202" i="4"/>
  <c r="AX202" i="4" s="1"/>
  <c r="Y200" i="14" s="1"/>
  <c r="X203" i="4"/>
  <c r="AX203" i="4" s="1"/>
  <c r="Y201" i="14" s="1"/>
  <c r="X40" i="4"/>
  <c r="AX40" i="4" s="1"/>
  <c r="Y38" i="14" s="1"/>
  <c r="X104" i="4"/>
  <c r="AX104" i="4" s="1"/>
  <c r="Y102" i="14" s="1"/>
  <c r="X183" i="4"/>
  <c r="AX183" i="4" s="1"/>
  <c r="Y181" i="14" s="1"/>
  <c r="X41" i="4"/>
  <c r="AX41" i="4" s="1"/>
  <c r="X164" i="4"/>
  <c r="AX164" i="4" s="1"/>
  <c r="Y162" i="14" s="1"/>
  <c r="X42" i="4"/>
  <c r="AX42" i="4" s="1"/>
  <c r="Y40" i="14" s="1"/>
  <c r="X133" i="4"/>
  <c r="AX133" i="4" s="1"/>
  <c r="Y131" i="14" s="1"/>
  <c r="X206" i="4"/>
  <c r="AX206" i="4" s="1"/>
  <c r="Y204" i="14" s="1"/>
  <c r="X99" i="4"/>
  <c r="AX99" i="4" s="1"/>
  <c r="X184" i="4"/>
  <c r="AX184" i="4" s="1"/>
  <c r="Y182" i="14" s="1"/>
  <c r="X199" i="4"/>
  <c r="AX199" i="4" s="1"/>
  <c r="Y197" i="14" s="1"/>
  <c r="X176" i="4"/>
  <c r="AX176" i="4" s="1"/>
  <c r="Y174" i="14" s="1"/>
  <c r="X24" i="4"/>
  <c r="AX24" i="4" s="1"/>
  <c r="X97" i="4"/>
  <c r="AX97" i="4" s="1"/>
  <c r="Y95" i="14" s="1"/>
  <c r="X65" i="4"/>
  <c r="AX65" i="4" s="1"/>
  <c r="Y63" i="14" s="1"/>
  <c r="X33" i="4"/>
  <c r="AX33" i="4" s="1"/>
  <c r="Y31" i="14" s="1"/>
  <c r="X131" i="4"/>
  <c r="AX131" i="4" s="1"/>
  <c r="Y129" i="14" s="1"/>
  <c r="X141" i="4"/>
  <c r="AX141" i="4" s="1"/>
  <c r="Y139" i="14" s="1"/>
  <c r="X119" i="4"/>
  <c r="AX119" i="4" s="1"/>
  <c r="Y117" i="14" s="1"/>
  <c r="X13" i="4"/>
  <c r="AX13" i="4" s="1"/>
  <c r="Y11" i="14" s="1"/>
  <c r="X91" i="4"/>
  <c r="AX91" i="4" s="1"/>
  <c r="X17" i="4"/>
  <c r="AX17" i="4" s="1"/>
  <c r="X168" i="4"/>
  <c r="AX168" i="4" s="1"/>
  <c r="Y166" i="14" s="1"/>
  <c r="X196" i="4"/>
  <c r="AX196" i="4" s="1"/>
  <c r="Y194" i="14" s="1"/>
  <c r="X25" i="4"/>
  <c r="AX25" i="4" s="1"/>
  <c r="Y23" i="14" s="1"/>
  <c r="X83" i="4"/>
  <c r="AX83" i="4" s="1"/>
  <c r="Y81" i="14" s="1"/>
  <c r="Y8" i="4"/>
  <c r="AY8" i="4" s="1"/>
  <c r="Z6" i="14" s="1"/>
  <c r="Y22" i="14" l="1"/>
  <c r="Y97" i="14"/>
  <c r="Y71" i="14"/>
  <c r="Y109" i="14"/>
  <c r="Y179" i="14"/>
  <c r="Y202" i="14"/>
  <c r="Y52" i="14"/>
  <c r="Y67" i="14"/>
  <c r="Y143" i="14"/>
  <c r="Y132" i="14"/>
  <c r="Y180" i="14"/>
  <c r="Y133" i="14"/>
  <c r="Y20" i="14"/>
  <c r="Y90" i="14"/>
  <c r="Y94" i="14"/>
  <c r="Y24" i="14"/>
  <c r="Y163" i="14"/>
  <c r="Y153" i="14"/>
  <c r="Y87" i="14"/>
  <c r="Y142" i="14"/>
  <c r="Y190" i="14"/>
  <c r="Y119" i="14"/>
  <c r="Y158" i="14"/>
  <c r="Y196" i="14"/>
  <c r="Y9" i="14"/>
  <c r="Y159" i="14"/>
  <c r="Y35" i="14"/>
  <c r="Y185" i="14"/>
  <c r="Y140" i="14"/>
  <c r="Y105" i="14"/>
  <c r="Y15" i="14"/>
  <c r="Y123" i="14"/>
  <c r="Y32" i="14"/>
  <c r="Y121" i="14"/>
  <c r="Y57" i="14"/>
  <c r="Y106" i="14"/>
  <c r="Y39" i="14"/>
  <c r="Y89" i="14"/>
  <c r="Y42" i="14"/>
  <c r="AG6" i="14"/>
  <c r="AH6" i="14" s="1"/>
  <c r="U16" i="16"/>
  <c r="AW3" i="4"/>
  <c r="AW4" i="4" s="1"/>
  <c r="Y72" i="4"/>
  <c r="AY72" i="4" s="1"/>
  <c r="Z70" i="14" s="1"/>
  <c r="Y49" i="4"/>
  <c r="AY49" i="4" s="1"/>
  <c r="Z47" i="14" s="1"/>
  <c r="Y88" i="4"/>
  <c r="AY88" i="4" s="1"/>
  <c r="Z86" i="14" s="1"/>
  <c r="Y156" i="4"/>
  <c r="AY156" i="4" s="1"/>
  <c r="Z154" i="14" s="1"/>
  <c r="Y196" i="4"/>
  <c r="AY196" i="4" s="1"/>
  <c r="Z194" i="14" s="1"/>
  <c r="Y13" i="4"/>
  <c r="AY13" i="4" s="1"/>
  <c r="Z11" i="14" s="1"/>
  <c r="Y33" i="4"/>
  <c r="AY33" i="4" s="1"/>
  <c r="Z31" i="14" s="1"/>
  <c r="Y176" i="4"/>
  <c r="AY176" i="4" s="1"/>
  <c r="Z174" i="14" s="1"/>
  <c r="Y206" i="4"/>
  <c r="AY206" i="4" s="1"/>
  <c r="Z204" i="14" s="1"/>
  <c r="Y42" i="4"/>
  <c r="AY42" i="4" s="1"/>
  <c r="Z40" i="14" s="1"/>
  <c r="Y104" i="4"/>
  <c r="AY104" i="4" s="1"/>
  <c r="Z102" i="14" s="1"/>
  <c r="Y203" i="4"/>
  <c r="AY203" i="4" s="1"/>
  <c r="Z201" i="14" s="1"/>
  <c r="Y148" i="4"/>
  <c r="AY148" i="4" s="1"/>
  <c r="Z146" i="14" s="1"/>
  <c r="Y50" i="4"/>
  <c r="AY50" i="4" s="1"/>
  <c r="Z48" i="14" s="1"/>
  <c r="Y147" i="4"/>
  <c r="AY147" i="4" s="1"/>
  <c r="Z145" i="14" s="1"/>
  <c r="Y32" i="4"/>
  <c r="AY32" i="4" s="1"/>
  <c r="Z30" i="14" s="1"/>
  <c r="Y174" i="4"/>
  <c r="AY174" i="4" s="1"/>
  <c r="Z172" i="14" s="1"/>
  <c r="Y180" i="4"/>
  <c r="AY180" i="4" s="1"/>
  <c r="Z178" i="14" s="1"/>
  <c r="Y106" i="4"/>
  <c r="AY106" i="4" s="1"/>
  <c r="Z104" i="14" s="1"/>
  <c r="Y76" i="4"/>
  <c r="AY76" i="4" s="1"/>
  <c r="Z74" i="14" s="1"/>
  <c r="Y66" i="4"/>
  <c r="AY66" i="4" s="1"/>
  <c r="Z64" i="14" s="1"/>
  <c r="Y28" i="4"/>
  <c r="AY28" i="4" s="1"/>
  <c r="Z26" i="14" s="1"/>
  <c r="Y96" i="4"/>
  <c r="AY96" i="4" s="1"/>
  <c r="Y45" i="4"/>
  <c r="AY45" i="4" s="1"/>
  <c r="Z43" i="14" s="1"/>
  <c r="Y146" i="4"/>
  <c r="AY146" i="4" s="1"/>
  <c r="Z144" i="14" s="1"/>
  <c r="Y130" i="4"/>
  <c r="AY130" i="4" s="1"/>
  <c r="Z128" i="14" s="1"/>
  <c r="Y9" i="4"/>
  <c r="AY9" i="4" s="1"/>
  <c r="Z7" i="14" s="1"/>
  <c r="Y30" i="4"/>
  <c r="AY30" i="4" s="1"/>
  <c r="Z28" i="14" s="1"/>
  <c r="Y137" i="4"/>
  <c r="AY137" i="4" s="1"/>
  <c r="Z135" i="14" s="1"/>
  <c r="Y80" i="4"/>
  <c r="AY80" i="4" s="1"/>
  <c r="Z78" i="14" s="1"/>
  <c r="Y114" i="4"/>
  <c r="AY114" i="4" s="1"/>
  <c r="Z112" i="14" s="1"/>
  <c r="Y48" i="4"/>
  <c r="AY48" i="4" s="1"/>
  <c r="Z46" i="14" s="1"/>
  <c r="Y158" i="4"/>
  <c r="AY158" i="4" s="1"/>
  <c r="Z156" i="14" s="1"/>
  <c r="Y29" i="4"/>
  <c r="AY29" i="4" s="1"/>
  <c r="Z27" i="14" s="1"/>
  <c r="Y152" i="4"/>
  <c r="AY152" i="4" s="1"/>
  <c r="Z150" i="14" s="1"/>
  <c r="Y187" i="4"/>
  <c r="AY187" i="4" s="1"/>
  <c r="Y100" i="4"/>
  <c r="AY100" i="4" s="1"/>
  <c r="Z98" i="14" s="1"/>
  <c r="Y70" i="4"/>
  <c r="AY70" i="4" s="1"/>
  <c r="Z68" i="14" s="1"/>
  <c r="Y124" i="4"/>
  <c r="AY124" i="4" s="1"/>
  <c r="Z122" i="14" s="1"/>
  <c r="Y181" i="4"/>
  <c r="AY181" i="4" s="1"/>
  <c r="Z179" i="14" s="1"/>
  <c r="Y78" i="4"/>
  <c r="AY78" i="4" s="1"/>
  <c r="Z76" i="14" s="1"/>
  <c r="Y62" i="4"/>
  <c r="AY62" i="4" s="1"/>
  <c r="Z60" i="14" s="1"/>
  <c r="Y182" i="4"/>
  <c r="AY182" i="4" s="1"/>
  <c r="Y161" i="4"/>
  <c r="AY161" i="4" s="1"/>
  <c r="Y200" i="4"/>
  <c r="AY200" i="4" s="1"/>
  <c r="Z198" i="14" s="1"/>
  <c r="Y136" i="4"/>
  <c r="AY136" i="4" s="1"/>
  <c r="Z134" i="14" s="1"/>
  <c r="Y179" i="4"/>
  <c r="AY179" i="4" s="1"/>
  <c r="Z177" i="14" s="1"/>
  <c r="Y107" i="4"/>
  <c r="AY107" i="4" s="1"/>
  <c r="Y108" i="4"/>
  <c r="AY108" i="4" s="1"/>
  <c r="Y82" i="4"/>
  <c r="AY82" i="4" s="1"/>
  <c r="Z80" i="14" s="1"/>
  <c r="Y16" i="4"/>
  <c r="AY16" i="4" s="1"/>
  <c r="Z14" i="14" s="1"/>
  <c r="Y157" i="4"/>
  <c r="AY157" i="4" s="1"/>
  <c r="Z155" i="14" s="1"/>
  <c r="Y34" i="4"/>
  <c r="AY34" i="4" s="1"/>
  <c r="Y43" i="4"/>
  <c r="AY43" i="4" s="1"/>
  <c r="Z41" i="14" s="1"/>
  <c r="Y94" i="4"/>
  <c r="AY94" i="4" s="1"/>
  <c r="Z92" i="14" s="1"/>
  <c r="Y167" i="4"/>
  <c r="AY167" i="4" s="1"/>
  <c r="Z165" i="14" s="1"/>
  <c r="Y192" i="4"/>
  <c r="AY192" i="4" s="1"/>
  <c r="Y175" i="4"/>
  <c r="AY175" i="4" s="1"/>
  <c r="Z173" i="14" s="1"/>
  <c r="Y22" i="4"/>
  <c r="AY22" i="4" s="1"/>
  <c r="Z20" i="14" s="1"/>
  <c r="Y19" i="4"/>
  <c r="AY19" i="4" s="1"/>
  <c r="Z17" i="14" s="1"/>
  <c r="Y103" i="4"/>
  <c r="AY103" i="4" s="1"/>
  <c r="Z101" i="14" s="1"/>
  <c r="Y122" i="4"/>
  <c r="AY122" i="4" s="1"/>
  <c r="Z120" i="14" s="1"/>
  <c r="Y159" i="4"/>
  <c r="AY159" i="4" s="1"/>
  <c r="Z157" i="14" s="1"/>
  <c r="Y64" i="4"/>
  <c r="AY64" i="4" s="1"/>
  <c r="Z62" i="14" s="1"/>
  <c r="Y21" i="4"/>
  <c r="AY21" i="4" s="1"/>
  <c r="Z19" i="14" s="1"/>
  <c r="Y79" i="4"/>
  <c r="AY79" i="4" s="1"/>
  <c r="Z77" i="14" s="1"/>
  <c r="Y109" i="4"/>
  <c r="AY109" i="4" s="1"/>
  <c r="Z107" i="14" s="1"/>
  <c r="Y14" i="4"/>
  <c r="AY14" i="4" s="1"/>
  <c r="Z12" i="14" s="1"/>
  <c r="Y61" i="4"/>
  <c r="AY61" i="4" s="1"/>
  <c r="Z59" i="14" s="1"/>
  <c r="Y111" i="4"/>
  <c r="AY111" i="4" s="1"/>
  <c r="Z109" i="14" s="1"/>
  <c r="Y27" i="4"/>
  <c r="AY27" i="4" s="1"/>
  <c r="Z25" i="14" s="1"/>
  <c r="Y205" i="4"/>
  <c r="AY205" i="4" s="1"/>
  <c r="Z203" i="14" s="1"/>
  <c r="Y115" i="4"/>
  <c r="AY115" i="4" s="1"/>
  <c r="Z113" i="14" s="1"/>
  <c r="Y128" i="4"/>
  <c r="AY128" i="4" s="1"/>
  <c r="Z126" i="14" s="1"/>
  <c r="Y52" i="4"/>
  <c r="AY52" i="4" s="1"/>
  <c r="Z50" i="14" s="1"/>
  <c r="Y144" i="4"/>
  <c r="AY144" i="4" s="1"/>
  <c r="Y140" i="4"/>
  <c r="AY140" i="4" s="1"/>
  <c r="Z138" i="14" s="1"/>
  <c r="Y116" i="4"/>
  <c r="AY116" i="4" s="1"/>
  <c r="Z114" i="14" s="1"/>
  <c r="Y90" i="4"/>
  <c r="AY90" i="4" s="1"/>
  <c r="Z88" i="14" s="1"/>
  <c r="Y35" i="4"/>
  <c r="AY35" i="4" s="1"/>
  <c r="Z33" i="14" s="1"/>
  <c r="Y112" i="4"/>
  <c r="AY112" i="4" s="1"/>
  <c r="Z110" i="14" s="1"/>
  <c r="Y149" i="4"/>
  <c r="AY149" i="4" s="1"/>
  <c r="Z147" i="14" s="1"/>
  <c r="Y172" i="4"/>
  <c r="AY172" i="4" s="1"/>
  <c r="Z170" i="14" s="1"/>
  <c r="Y188" i="4"/>
  <c r="AY188" i="4" s="1"/>
  <c r="Z186" i="14" s="1"/>
  <c r="Y127" i="4"/>
  <c r="AY127" i="4" s="1"/>
  <c r="Z125" i="14" s="1"/>
  <c r="Y18" i="4"/>
  <c r="AY18" i="4" s="1"/>
  <c r="Z16" i="14" s="1"/>
  <c r="Y38" i="4"/>
  <c r="AY38" i="4" s="1"/>
  <c r="Z36" i="14" s="1"/>
  <c r="Y153" i="4"/>
  <c r="AY153" i="4" s="1"/>
  <c r="Z151" i="14" s="1"/>
  <c r="Y83" i="4"/>
  <c r="AY83" i="4" s="1"/>
  <c r="Z81" i="14" s="1"/>
  <c r="Y17" i="4"/>
  <c r="AY17" i="4" s="1"/>
  <c r="Y141" i="4"/>
  <c r="AY141" i="4" s="1"/>
  <c r="Z139" i="14" s="1"/>
  <c r="Y97" i="4"/>
  <c r="AY97" i="4" s="1"/>
  <c r="Z95" i="14" s="1"/>
  <c r="Y184" i="4"/>
  <c r="AY184" i="4" s="1"/>
  <c r="Z182" i="14" s="1"/>
  <c r="Y41" i="4"/>
  <c r="AY41" i="4" s="1"/>
  <c r="Y26" i="4"/>
  <c r="AY26" i="4" s="1"/>
  <c r="Y189" i="4"/>
  <c r="AY189" i="4" s="1"/>
  <c r="Z187" i="14" s="1"/>
  <c r="Y89" i="4"/>
  <c r="AY89" i="4" s="1"/>
  <c r="Y46" i="4"/>
  <c r="AY46" i="4" s="1"/>
  <c r="Z44" i="14" s="1"/>
  <c r="Y98" i="4"/>
  <c r="AY98" i="4" s="1"/>
  <c r="Z96" i="14" s="1"/>
  <c r="Y84" i="4"/>
  <c r="AY84" i="4" s="1"/>
  <c r="Z82" i="14" s="1"/>
  <c r="Y56" i="4"/>
  <c r="AY56" i="4" s="1"/>
  <c r="Z54" i="14" s="1"/>
  <c r="Y77" i="4"/>
  <c r="AY77" i="4" s="1"/>
  <c r="Z75" i="14" s="1"/>
  <c r="Y113" i="4"/>
  <c r="AY113" i="4" s="1"/>
  <c r="Z111" i="14" s="1"/>
  <c r="Y54" i="4"/>
  <c r="AY54" i="4" s="1"/>
  <c r="Y67" i="4"/>
  <c r="AY67" i="4" s="1"/>
  <c r="Z65" i="14" s="1"/>
  <c r="Y162" i="4"/>
  <c r="AY162" i="4" s="1"/>
  <c r="Z160" i="14" s="1"/>
  <c r="Y10" i="4"/>
  <c r="AY10" i="4" s="1"/>
  <c r="Z8" i="14" s="1"/>
  <c r="Y178" i="4"/>
  <c r="AY178" i="4" s="1"/>
  <c r="Z176" i="14" s="1"/>
  <c r="Y74" i="4"/>
  <c r="AY74" i="4" s="1"/>
  <c r="Z72" i="14" s="1"/>
  <c r="Y101" i="4"/>
  <c r="AY101" i="4" s="1"/>
  <c r="Z99" i="14" s="1"/>
  <c r="X3" i="4"/>
  <c r="X4" i="4" s="1"/>
  <c r="Y25" i="4"/>
  <c r="AY25" i="4" s="1"/>
  <c r="Z23" i="14" s="1"/>
  <c r="Y168" i="4"/>
  <c r="AY168" i="4" s="1"/>
  <c r="Z166" i="14" s="1"/>
  <c r="Y91" i="4"/>
  <c r="AY91" i="4" s="1"/>
  <c r="Y119" i="4"/>
  <c r="AY119" i="4" s="1"/>
  <c r="Z117" i="14" s="1"/>
  <c r="Y131" i="4"/>
  <c r="AY131" i="4" s="1"/>
  <c r="Z129" i="14" s="1"/>
  <c r="Y65" i="4"/>
  <c r="AY65" i="4" s="1"/>
  <c r="Z63" i="14" s="1"/>
  <c r="Y24" i="4"/>
  <c r="AY24" i="4" s="1"/>
  <c r="Z22" i="14" s="1"/>
  <c r="Y199" i="4"/>
  <c r="AY199" i="4" s="1"/>
  <c r="Z197" i="14" s="1"/>
  <c r="Y99" i="4"/>
  <c r="AY99" i="4" s="1"/>
  <c r="Z97" i="14" s="1"/>
  <c r="Y133" i="4"/>
  <c r="AY133" i="4" s="1"/>
  <c r="Z131" i="14" s="1"/>
  <c r="Y164" i="4"/>
  <c r="AY164" i="4" s="1"/>
  <c r="Z162" i="14" s="1"/>
  <c r="Y183" i="4"/>
  <c r="AY183" i="4" s="1"/>
  <c r="Z181" i="14" s="1"/>
  <c r="Y40" i="4"/>
  <c r="AY40" i="4" s="1"/>
  <c r="Z38" i="14" s="1"/>
  <c r="Y202" i="4"/>
  <c r="AY202" i="4" s="1"/>
  <c r="Z200" i="14" s="1"/>
  <c r="Y118" i="4"/>
  <c r="AY118" i="4" s="1"/>
  <c r="Z116" i="14" s="1"/>
  <c r="Y138" i="4"/>
  <c r="AY138" i="4" s="1"/>
  <c r="Z136" i="14" s="1"/>
  <c r="Y135" i="4"/>
  <c r="AY135" i="4" s="1"/>
  <c r="Y126" i="4"/>
  <c r="AY126" i="4" s="1"/>
  <c r="Z124" i="14" s="1"/>
  <c r="Y186" i="4"/>
  <c r="AY186" i="4" s="1"/>
  <c r="Z184" i="14" s="1"/>
  <c r="Y139" i="4"/>
  <c r="AY139" i="4" s="1"/>
  <c r="Z137" i="14" s="1"/>
  <c r="Y15" i="4"/>
  <c r="AY15" i="4" s="1"/>
  <c r="Z13" i="14" s="1"/>
  <c r="Y87" i="4"/>
  <c r="AY87" i="4" s="1"/>
  <c r="Z85" i="14" s="1"/>
  <c r="Y73" i="4"/>
  <c r="AY73" i="4" s="1"/>
  <c r="Z71" i="14" s="1"/>
  <c r="Y53" i="4"/>
  <c r="AY53" i="4" s="1"/>
  <c r="Z51" i="14" s="1"/>
  <c r="Y86" i="4"/>
  <c r="AY86" i="4" s="1"/>
  <c r="Z84" i="14" s="1"/>
  <c r="Y95" i="4"/>
  <c r="AY95" i="4" s="1"/>
  <c r="Z93" i="14" s="1"/>
  <c r="Y166" i="4"/>
  <c r="AY166" i="4" s="1"/>
  <c r="Z164" i="14" s="1"/>
  <c r="Y173" i="4"/>
  <c r="AY173" i="4" s="1"/>
  <c r="Z171" i="14" s="1"/>
  <c r="Y169" i="4"/>
  <c r="AY169" i="4" s="1"/>
  <c r="Z167" i="14" s="1"/>
  <c r="Y204" i="4"/>
  <c r="AY204" i="4" s="1"/>
  <c r="Z202" i="14" s="1"/>
  <c r="Y142" i="4"/>
  <c r="AY142" i="4" s="1"/>
  <c r="Y194" i="4"/>
  <c r="AY194" i="4" s="1"/>
  <c r="Z192" i="14" s="1"/>
  <c r="Y44" i="4"/>
  <c r="AY44" i="4" s="1"/>
  <c r="Y57" i="4"/>
  <c r="AY57" i="4" s="1"/>
  <c r="Z55" i="14" s="1"/>
  <c r="Y197" i="4"/>
  <c r="AY197" i="4" s="1"/>
  <c r="Z195" i="14" s="1"/>
  <c r="Y85" i="4"/>
  <c r="AY85" i="4" s="1"/>
  <c r="Z83" i="14" s="1"/>
  <c r="Y75" i="4"/>
  <c r="AY75" i="4" s="1"/>
  <c r="Z73" i="14" s="1"/>
  <c r="Y163" i="4"/>
  <c r="AY163" i="4" s="1"/>
  <c r="Z161" i="14" s="1"/>
  <c r="Y92" i="4"/>
  <c r="AY92" i="4" s="1"/>
  <c r="Y150" i="4"/>
  <c r="AY150" i="4" s="1"/>
  <c r="Z148" i="14" s="1"/>
  <c r="Y23" i="4"/>
  <c r="AY23" i="4" s="1"/>
  <c r="Z21" i="14" s="1"/>
  <c r="Y132" i="4"/>
  <c r="AY132" i="4" s="1"/>
  <c r="Z130" i="14" s="1"/>
  <c r="Y171" i="4"/>
  <c r="AY171" i="4" s="1"/>
  <c r="Z169" i="14" s="1"/>
  <c r="Y193" i="4"/>
  <c r="AY193" i="4" s="1"/>
  <c r="Z191" i="14" s="1"/>
  <c r="Y207" i="4"/>
  <c r="AY207" i="4" s="1"/>
  <c r="Z205" i="14" s="1"/>
  <c r="Y185" i="4"/>
  <c r="AY185" i="4" s="1"/>
  <c r="Z183" i="14" s="1"/>
  <c r="Y151" i="4"/>
  <c r="AY151" i="4" s="1"/>
  <c r="Z149" i="14" s="1"/>
  <c r="Y160" i="4"/>
  <c r="AY160" i="4" s="1"/>
  <c r="Y51" i="4"/>
  <c r="AY51" i="4" s="1"/>
  <c r="Z49" i="14" s="1"/>
  <c r="Y102" i="4"/>
  <c r="AY102" i="4" s="1"/>
  <c r="Z100" i="14" s="1"/>
  <c r="Y63" i="4"/>
  <c r="AY63" i="4" s="1"/>
  <c r="Z61" i="14" s="1"/>
  <c r="Y121" i="4"/>
  <c r="AY121" i="4" s="1"/>
  <c r="Y177" i="4"/>
  <c r="AY177" i="4" s="1"/>
  <c r="Z175" i="14" s="1"/>
  <c r="Y59" i="4"/>
  <c r="AY59" i="4" s="1"/>
  <c r="Y201" i="4"/>
  <c r="AY201" i="4" s="1"/>
  <c r="Z199" i="14" s="1"/>
  <c r="Y191" i="4"/>
  <c r="AY191" i="4" s="1"/>
  <c r="Z189" i="14" s="1"/>
  <c r="Y20" i="4"/>
  <c r="AY20" i="4" s="1"/>
  <c r="Z18" i="14" s="1"/>
  <c r="Y120" i="4"/>
  <c r="AY120" i="4" s="1"/>
  <c r="Z118" i="14" s="1"/>
  <c r="Y117" i="4"/>
  <c r="AY117" i="4" s="1"/>
  <c r="Z115" i="14" s="1"/>
  <c r="Y155" i="4"/>
  <c r="AY155" i="4" s="1"/>
  <c r="Z153" i="14" s="1"/>
  <c r="Y39" i="4"/>
  <c r="AY39" i="4" s="1"/>
  <c r="Z37" i="14" s="1"/>
  <c r="Y198" i="4"/>
  <c r="AY198" i="4" s="1"/>
  <c r="Y55" i="4"/>
  <c r="AY55" i="4" s="1"/>
  <c r="Z53" i="14" s="1"/>
  <c r="Y68" i="4"/>
  <c r="AY68" i="4" s="1"/>
  <c r="Z66" i="14" s="1"/>
  <c r="Y125" i="4"/>
  <c r="AY125" i="4" s="1"/>
  <c r="Y31" i="4"/>
  <c r="AY31" i="4" s="1"/>
  <c r="Z29" i="14" s="1"/>
  <c r="Y129" i="4"/>
  <c r="AY129" i="4" s="1"/>
  <c r="Z127" i="14" s="1"/>
  <c r="Y93" i="4"/>
  <c r="AY93" i="4" s="1"/>
  <c r="Z91" i="14" s="1"/>
  <c r="Y37" i="4"/>
  <c r="AY37" i="4" s="1"/>
  <c r="Y110" i="4"/>
  <c r="AY110" i="4" s="1"/>
  <c r="Z108" i="14" s="1"/>
  <c r="Y170" i="4"/>
  <c r="AY170" i="4" s="1"/>
  <c r="Z168" i="14" s="1"/>
  <c r="Y105" i="4"/>
  <c r="AY105" i="4" s="1"/>
  <c r="Z103" i="14" s="1"/>
  <c r="Y190" i="4"/>
  <c r="AY190" i="4" s="1"/>
  <c r="Z188" i="14" s="1"/>
  <c r="Y165" i="4"/>
  <c r="AY165" i="4" s="1"/>
  <c r="Z163" i="14" s="1"/>
  <c r="Y195" i="4"/>
  <c r="AY195" i="4" s="1"/>
  <c r="Z193" i="14" s="1"/>
  <c r="Y60" i="4"/>
  <c r="AY60" i="4" s="1"/>
  <c r="Z58" i="14" s="1"/>
  <c r="Y47" i="4"/>
  <c r="AY47" i="4" s="1"/>
  <c r="Z45" i="14" s="1"/>
  <c r="Y134" i="4"/>
  <c r="AY134" i="4" s="1"/>
  <c r="Z132" i="14" s="1"/>
  <c r="Y69" i="4"/>
  <c r="AY69" i="4" s="1"/>
  <c r="Z67" i="14" s="1"/>
  <c r="Y58" i="4"/>
  <c r="AY58" i="4" s="1"/>
  <c r="Z56" i="14" s="1"/>
  <c r="Y154" i="4"/>
  <c r="AY154" i="4" s="1"/>
  <c r="Z152" i="14" s="1"/>
  <c r="Y145" i="4"/>
  <c r="AY145" i="4" s="1"/>
  <c r="Z143" i="14" s="1"/>
  <c r="Y143" i="4"/>
  <c r="AY143" i="4" s="1"/>
  <c r="Z141" i="14" s="1"/>
  <c r="Y11" i="4"/>
  <c r="AY11" i="4" s="1"/>
  <c r="Y123" i="4"/>
  <c r="AY123" i="4" s="1"/>
  <c r="Y12" i="4"/>
  <c r="AY12" i="4" s="1"/>
  <c r="Z10" i="14" s="1"/>
  <c r="Y81" i="4"/>
  <c r="AY81" i="4" s="1"/>
  <c r="Z79" i="14" s="1"/>
  <c r="Y36" i="4"/>
  <c r="AY36" i="4" s="1"/>
  <c r="Z34" i="14" s="1"/>
  <c r="Y71" i="4"/>
  <c r="AY71" i="4" s="1"/>
  <c r="Z69" i="14" s="1"/>
  <c r="Z8" i="4"/>
  <c r="Z52" i="14" l="1"/>
  <c r="Z94" i="14"/>
  <c r="Z24" i="14"/>
  <c r="Z90" i="14"/>
  <c r="Z142" i="14"/>
  <c r="Z180" i="14"/>
  <c r="Z133" i="14"/>
  <c r="Z87" i="14"/>
  <c r="Z159" i="14"/>
  <c r="Z119" i="14"/>
  <c r="Z106" i="14"/>
  <c r="AZ8" i="4"/>
  <c r="Z15" i="14"/>
  <c r="Z42" i="14"/>
  <c r="Z57" i="14"/>
  <c r="Z105" i="14"/>
  <c r="Z9" i="14"/>
  <c r="Z190" i="14"/>
  <c r="Z89" i="14"/>
  <c r="Z121" i="14"/>
  <c r="Z140" i="14"/>
  <c r="Z196" i="14"/>
  <c r="Z39" i="14"/>
  <c r="Z32" i="14"/>
  <c r="Z123" i="14"/>
  <c r="Z185" i="14"/>
  <c r="Z35" i="14"/>
  <c r="Z158" i="14"/>
  <c r="U17" i="16"/>
  <c r="AB6" i="14"/>
  <c r="Y3" i="4"/>
  <c r="Y4" i="4" s="1"/>
  <c r="Z81" i="4"/>
  <c r="Z143" i="4"/>
  <c r="Z47" i="4"/>
  <c r="Z170" i="4"/>
  <c r="Z125" i="4"/>
  <c r="Z39" i="4"/>
  <c r="Z201" i="4"/>
  <c r="Z51" i="4"/>
  <c r="Z207" i="4"/>
  <c r="Z92" i="4"/>
  <c r="Z44" i="4"/>
  <c r="Z166" i="4"/>
  <c r="Z15" i="4"/>
  <c r="Z135" i="4"/>
  <c r="Z99" i="4"/>
  <c r="Z91" i="4"/>
  <c r="Z97" i="4"/>
  <c r="Z18" i="4"/>
  <c r="Z35" i="4"/>
  <c r="Z128" i="4"/>
  <c r="Z14" i="4"/>
  <c r="Z122" i="4"/>
  <c r="Z167" i="4"/>
  <c r="Z82" i="4"/>
  <c r="Z136" i="4"/>
  <c r="Z181" i="4"/>
  <c r="Z187" i="4"/>
  <c r="Z29" i="4"/>
  <c r="Z48" i="4"/>
  <c r="Z80" i="4"/>
  <c r="Z45" i="4"/>
  <c r="Z28" i="4"/>
  <c r="Z76" i="4"/>
  <c r="Z180" i="4"/>
  <c r="Z32" i="4"/>
  <c r="Z50" i="4"/>
  <c r="Z203" i="4"/>
  <c r="Z42" i="4"/>
  <c r="Z176" i="4"/>
  <c r="Z13" i="4"/>
  <c r="Z156" i="4"/>
  <c r="Z49" i="4"/>
  <c r="Z74" i="4"/>
  <c r="Z10" i="4"/>
  <c r="Z67" i="4"/>
  <c r="Z113" i="4"/>
  <c r="Z56" i="4"/>
  <c r="Z98" i="4"/>
  <c r="Z89" i="4"/>
  <c r="AX3" i="4"/>
  <c r="AX4" i="4" s="1"/>
  <c r="Z71" i="4"/>
  <c r="Z154" i="4"/>
  <c r="Z195" i="4"/>
  <c r="Z129" i="4"/>
  <c r="Z117" i="4"/>
  <c r="Z177" i="4"/>
  <c r="Z151" i="4"/>
  <c r="Z23" i="4"/>
  <c r="Z197" i="4"/>
  <c r="Z169" i="4"/>
  <c r="Z73" i="4"/>
  <c r="Z40" i="4"/>
  <c r="Z24" i="4"/>
  <c r="Z25" i="4"/>
  <c r="Z17" i="4"/>
  <c r="Z149" i="4"/>
  <c r="Z144" i="4"/>
  <c r="Z111" i="4"/>
  <c r="Z64" i="4"/>
  <c r="Z175" i="4"/>
  <c r="Z157" i="4"/>
  <c r="Z161" i="4"/>
  <c r="Z30" i="4"/>
  <c r="Z12" i="4"/>
  <c r="Z145" i="4"/>
  <c r="Z60" i="4"/>
  <c r="Z105" i="4"/>
  <c r="Z93" i="4"/>
  <c r="Z198" i="4"/>
  <c r="Z120" i="4"/>
  <c r="Z59" i="4"/>
  <c r="Z160" i="4"/>
  <c r="Z193" i="4"/>
  <c r="Z150" i="4"/>
  <c r="Z85" i="4"/>
  <c r="Z194" i="4"/>
  <c r="Z173" i="4"/>
  <c r="Z87" i="4"/>
  <c r="Z126" i="4"/>
  <c r="Z202" i="4"/>
  <c r="Z133" i="4"/>
  <c r="Z65" i="4"/>
  <c r="Z168" i="4"/>
  <c r="Z26" i="4"/>
  <c r="Z184" i="4"/>
  <c r="Z141" i="4"/>
  <c r="Z83" i="4"/>
  <c r="Z38" i="4"/>
  <c r="Z127" i="4"/>
  <c r="Z172" i="4"/>
  <c r="Z112" i="4"/>
  <c r="Z90" i="4"/>
  <c r="Z140" i="4"/>
  <c r="Z52" i="4"/>
  <c r="Z115" i="4"/>
  <c r="Z27" i="4"/>
  <c r="Z61" i="4"/>
  <c r="Z109" i="4"/>
  <c r="Z21" i="4"/>
  <c r="Z159" i="4"/>
  <c r="Z103" i="4"/>
  <c r="Z22" i="4"/>
  <c r="Z192" i="4"/>
  <c r="Z94" i="4"/>
  <c r="Z34" i="4"/>
  <c r="Z16" i="4"/>
  <c r="Z108" i="4"/>
  <c r="Z179" i="4"/>
  <c r="Z200" i="4"/>
  <c r="Z182" i="4"/>
  <c r="Z78" i="4"/>
  <c r="Z124" i="4"/>
  <c r="Z100" i="4"/>
  <c r="Z152" i="4"/>
  <c r="Z158" i="4"/>
  <c r="Z114" i="4"/>
  <c r="Z137" i="4"/>
  <c r="Z9" i="4"/>
  <c r="Z146" i="4"/>
  <c r="Z96" i="4"/>
  <c r="Z66" i="4"/>
  <c r="Z106" i="4"/>
  <c r="Z174" i="4"/>
  <c r="Z147" i="4"/>
  <c r="Z148" i="4"/>
  <c r="Z104" i="4"/>
  <c r="Z206" i="4"/>
  <c r="Z33" i="4"/>
  <c r="Z196" i="4"/>
  <c r="Z88" i="4"/>
  <c r="Z72" i="4"/>
  <c r="Z123" i="4"/>
  <c r="Z69" i="4"/>
  <c r="Z190" i="4"/>
  <c r="Z37" i="4"/>
  <c r="Z55" i="4"/>
  <c r="Z20" i="4"/>
  <c r="Z63" i="4"/>
  <c r="Z171" i="4"/>
  <c r="Z75" i="4"/>
  <c r="Z142" i="4"/>
  <c r="Z86" i="4"/>
  <c r="Z186" i="4"/>
  <c r="Z118" i="4"/>
  <c r="Z164" i="4"/>
  <c r="Z131" i="4"/>
  <c r="Z41" i="4"/>
  <c r="Z153" i="4"/>
  <c r="Z188" i="4"/>
  <c r="Z116" i="4"/>
  <c r="Z205" i="4"/>
  <c r="Z79" i="4"/>
  <c r="Z19" i="4"/>
  <c r="Z43" i="4"/>
  <c r="Z107" i="4"/>
  <c r="Z62" i="4"/>
  <c r="Z70" i="4"/>
  <c r="Z130" i="4"/>
  <c r="Z36" i="4"/>
  <c r="Z11" i="4"/>
  <c r="Z58" i="4"/>
  <c r="Z134" i="4"/>
  <c r="Z165" i="4"/>
  <c r="Z110" i="4"/>
  <c r="Z31" i="4"/>
  <c r="Z68" i="4"/>
  <c r="Z155" i="4"/>
  <c r="Z191" i="4"/>
  <c r="Z121" i="4"/>
  <c r="Z102" i="4"/>
  <c r="Z185" i="4"/>
  <c r="Z132" i="4"/>
  <c r="Z163" i="4"/>
  <c r="Z57" i="4"/>
  <c r="Z204" i="4"/>
  <c r="Z95" i="4"/>
  <c r="Z53" i="4"/>
  <c r="Z139" i="4"/>
  <c r="Z138" i="4"/>
  <c r="Z183" i="4"/>
  <c r="Z199" i="4"/>
  <c r="Z119" i="4"/>
  <c r="Z101" i="4"/>
  <c r="Z178" i="4"/>
  <c r="Z162" i="4"/>
  <c r="Z54" i="4"/>
  <c r="Z77" i="4"/>
  <c r="Z84" i="4"/>
  <c r="Z46" i="4"/>
  <c r="Z189" i="4"/>
  <c r="AZ62" i="4" l="1"/>
  <c r="AZ80" i="4"/>
  <c r="AZ92" i="4"/>
  <c r="AZ101" i="4"/>
  <c r="AZ36" i="4"/>
  <c r="AZ171" i="4"/>
  <c r="AZ158" i="4"/>
  <c r="AZ112" i="4"/>
  <c r="AZ105" i="4"/>
  <c r="AZ151" i="4"/>
  <c r="AZ203" i="4"/>
  <c r="AZ136" i="4"/>
  <c r="AZ15" i="4"/>
  <c r="AZ207" i="4"/>
  <c r="AZ125" i="4"/>
  <c r="AZ81" i="4"/>
  <c r="AZ84" i="4"/>
  <c r="AZ183" i="4"/>
  <c r="AZ132" i="4"/>
  <c r="AZ110" i="4"/>
  <c r="AZ79" i="4"/>
  <c r="AZ118" i="4"/>
  <c r="AZ55" i="4"/>
  <c r="AZ33" i="4"/>
  <c r="AZ96" i="4"/>
  <c r="AZ124" i="4"/>
  <c r="AZ94" i="4"/>
  <c r="AZ27" i="4"/>
  <c r="AZ38" i="4"/>
  <c r="AZ202" i="4"/>
  <c r="AZ160" i="4"/>
  <c r="AZ12" i="4"/>
  <c r="AZ149" i="4"/>
  <c r="AZ23" i="4"/>
  <c r="AZ113" i="4"/>
  <c r="AZ42" i="4"/>
  <c r="AZ181" i="4"/>
  <c r="AZ18" i="4"/>
  <c r="AZ39" i="4"/>
  <c r="AZ77" i="4"/>
  <c r="AZ204" i="4"/>
  <c r="AZ155" i="4"/>
  <c r="AZ107" i="4"/>
  <c r="AZ41" i="4"/>
  <c r="AZ37" i="4"/>
  <c r="AZ206" i="4"/>
  <c r="AZ146" i="4"/>
  <c r="AZ108" i="4"/>
  <c r="AZ21" i="4"/>
  <c r="AZ83" i="4"/>
  <c r="AZ126" i="4"/>
  <c r="AZ59" i="4"/>
  <c r="AZ64" i="4"/>
  <c r="AZ73" i="4"/>
  <c r="AZ89" i="4"/>
  <c r="AZ156" i="4"/>
  <c r="AZ48" i="4"/>
  <c r="AZ14" i="4"/>
  <c r="AZ54" i="4"/>
  <c r="AZ139" i="4"/>
  <c r="AZ102" i="4"/>
  <c r="AZ68" i="4"/>
  <c r="AZ134" i="4"/>
  <c r="AZ130" i="4"/>
  <c r="AZ43" i="4"/>
  <c r="AZ116" i="4"/>
  <c r="AZ131" i="4"/>
  <c r="AZ86" i="4"/>
  <c r="AZ63" i="4"/>
  <c r="AZ190" i="4"/>
  <c r="AZ88" i="4"/>
  <c r="AZ104" i="4"/>
  <c r="AZ106" i="4"/>
  <c r="AZ9" i="4"/>
  <c r="AZ152" i="4"/>
  <c r="AZ182" i="4"/>
  <c r="AZ16" i="4"/>
  <c r="AZ22" i="4"/>
  <c r="AZ109" i="4"/>
  <c r="AZ52" i="4"/>
  <c r="AZ172" i="4"/>
  <c r="AZ141" i="4"/>
  <c r="AZ65" i="4"/>
  <c r="AZ87" i="4"/>
  <c r="AZ150" i="4"/>
  <c r="AZ120" i="4"/>
  <c r="AZ60" i="4"/>
  <c r="AZ161" i="4"/>
  <c r="AZ111" i="4"/>
  <c r="AZ25" i="4"/>
  <c r="AZ169" i="4"/>
  <c r="AZ177" i="4"/>
  <c r="AZ154" i="4"/>
  <c r="AZ98" i="4"/>
  <c r="AZ10" i="4"/>
  <c r="AZ13" i="4"/>
  <c r="AZ50" i="4"/>
  <c r="AZ28" i="4"/>
  <c r="AZ29" i="4"/>
  <c r="AZ82" i="4"/>
  <c r="AZ128" i="4"/>
  <c r="AZ91" i="4"/>
  <c r="AZ166" i="4"/>
  <c r="AZ51" i="4"/>
  <c r="AZ170" i="4"/>
  <c r="AZ178" i="4"/>
  <c r="AZ95" i="4"/>
  <c r="AZ191" i="4"/>
  <c r="AZ11" i="4"/>
  <c r="AZ153" i="4"/>
  <c r="AZ75" i="4"/>
  <c r="AZ123" i="4"/>
  <c r="AZ147" i="4"/>
  <c r="AZ114" i="4"/>
  <c r="AZ179" i="4"/>
  <c r="AZ159" i="4"/>
  <c r="AZ90" i="4"/>
  <c r="AZ26" i="4"/>
  <c r="AZ194" i="4"/>
  <c r="AZ93" i="4"/>
  <c r="AZ175" i="4"/>
  <c r="AZ40" i="4"/>
  <c r="AZ129" i="4"/>
  <c r="AZ49" i="4"/>
  <c r="AZ180" i="4"/>
  <c r="AZ122" i="4"/>
  <c r="AZ135" i="4"/>
  <c r="AZ143" i="4"/>
  <c r="AZ138" i="4"/>
  <c r="AZ185" i="4"/>
  <c r="AZ165" i="4"/>
  <c r="AZ205" i="4"/>
  <c r="AZ186" i="4"/>
  <c r="AZ72" i="4"/>
  <c r="AZ174" i="4"/>
  <c r="AZ78" i="4"/>
  <c r="AZ192" i="4"/>
  <c r="AZ115" i="4"/>
  <c r="AZ168" i="4"/>
  <c r="AZ85" i="4"/>
  <c r="AZ30" i="4"/>
  <c r="AZ17" i="4"/>
  <c r="AZ195" i="4"/>
  <c r="AZ67" i="4"/>
  <c r="AZ76" i="4"/>
  <c r="AZ97" i="4"/>
  <c r="AZ189" i="4"/>
  <c r="AZ119" i="4"/>
  <c r="AZ57" i="4"/>
  <c r="AZ46" i="4"/>
  <c r="AZ162" i="4"/>
  <c r="AZ199" i="4"/>
  <c r="AZ53" i="4"/>
  <c r="AZ163" i="4"/>
  <c r="AZ121" i="4"/>
  <c r="AZ31" i="4"/>
  <c r="AZ58" i="4"/>
  <c r="AZ70" i="4"/>
  <c r="AZ19" i="4"/>
  <c r="AZ188" i="4"/>
  <c r="AZ164" i="4"/>
  <c r="AZ142" i="4"/>
  <c r="AZ20" i="4"/>
  <c r="AZ69" i="4"/>
  <c r="AZ196" i="4"/>
  <c r="AZ148" i="4"/>
  <c r="AZ66" i="4"/>
  <c r="AZ137" i="4"/>
  <c r="AZ100" i="4"/>
  <c r="AZ200" i="4"/>
  <c r="AZ34" i="4"/>
  <c r="AZ103" i="4"/>
  <c r="AZ61" i="4"/>
  <c r="AZ140" i="4"/>
  <c r="AZ127" i="4"/>
  <c r="AZ184" i="4"/>
  <c r="AZ133" i="4"/>
  <c r="AZ173" i="4"/>
  <c r="AZ193" i="4"/>
  <c r="AZ198" i="4"/>
  <c r="AZ145" i="4"/>
  <c r="AZ157" i="4"/>
  <c r="AZ144" i="4"/>
  <c r="AZ24" i="4"/>
  <c r="AZ197" i="4"/>
  <c r="AZ117" i="4"/>
  <c r="AZ71" i="4"/>
  <c r="AZ56" i="4"/>
  <c r="AZ74" i="4"/>
  <c r="AZ176" i="4"/>
  <c r="AZ32" i="4"/>
  <c r="AZ45" i="4"/>
  <c r="AZ187" i="4"/>
  <c r="AZ167" i="4"/>
  <c r="AZ35" i="4"/>
  <c r="AZ99" i="4"/>
  <c r="AZ44" i="4"/>
  <c r="AZ201" i="4"/>
  <c r="AZ47" i="4"/>
  <c r="U18" i="16"/>
  <c r="V7" i="16"/>
  <c r="W7" i="16" s="1"/>
  <c r="Y7" i="16" s="1"/>
  <c r="AG7" i="14"/>
  <c r="AH7" i="14" s="1"/>
  <c r="AB54" i="14"/>
  <c r="AB174" i="14"/>
  <c r="AB201" i="14"/>
  <c r="AB43" i="14"/>
  <c r="AB134" i="14"/>
  <c r="AB33" i="14"/>
  <c r="AB13" i="14"/>
  <c r="AB123" i="14"/>
  <c r="AB44" i="14"/>
  <c r="AB75" i="14"/>
  <c r="AB160" i="14"/>
  <c r="AB99" i="14"/>
  <c r="AB197" i="14"/>
  <c r="AB136" i="14"/>
  <c r="AB51" i="14"/>
  <c r="AB202" i="14"/>
  <c r="AB161" i="14"/>
  <c r="AB183" i="14"/>
  <c r="AB119" i="14"/>
  <c r="AB153" i="14"/>
  <c r="AB29" i="14"/>
  <c r="AB163" i="14"/>
  <c r="AB56" i="14"/>
  <c r="AB34" i="14"/>
  <c r="AB68" i="14"/>
  <c r="AB105" i="14"/>
  <c r="AB17" i="14"/>
  <c r="AB203" i="14"/>
  <c r="AB186" i="14"/>
  <c r="AB39" i="14"/>
  <c r="AB162" i="14"/>
  <c r="AB184" i="14"/>
  <c r="AB140" i="14"/>
  <c r="AB169" i="14"/>
  <c r="AB18" i="14"/>
  <c r="AB35" i="14"/>
  <c r="AB67" i="14"/>
  <c r="AB70" i="14"/>
  <c r="AB194" i="14"/>
  <c r="AB204" i="14"/>
  <c r="AB146" i="14"/>
  <c r="AB172" i="14"/>
  <c r="AB64" i="14"/>
  <c r="AB144" i="14"/>
  <c r="AB135" i="14"/>
  <c r="AB156" i="14"/>
  <c r="AB98" i="14"/>
  <c r="AB76" i="14"/>
  <c r="AB198" i="14"/>
  <c r="AB106" i="14"/>
  <c r="AB32" i="14"/>
  <c r="AB190" i="14"/>
  <c r="AB101" i="14"/>
  <c r="AB19" i="14"/>
  <c r="AB59" i="14"/>
  <c r="AB113" i="14"/>
  <c r="AB138" i="14"/>
  <c r="AB110" i="14"/>
  <c r="AB125" i="14"/>
  <c r="AB81" i="14"/>
  <c r="AB182" i="14"/>
  <c r="AB166" i="14"/>
  <c r="AB131" i="14"/>
  <c r="AB124" i="14"/>
  <c r="AB171" i="14"/>
  <c r="AB83" i="14"/>
  <c r="AB191" i="14"/>
  <c r="AB57" i="14"/>
  <c r="AB196" i="14"/>
  <c r="AB103" i="14"/>
  <c r="AB143" i="14"/>
  <c r="AB28" i="14"/>
  <c r="AB155" i="14"/>
  <c r="AB62" i="14"/>
  <c r="AB142" i="14"/>
  <c r="AB15" i="14"/>
  <c r="AB22" i="14"/>
  <c r="AB71" i="14"/>
  <c r="AB195" i="14"/>
  <c r="AB149" i="14"/>
  <c r="AB115" i="14"/>
  <c r="AB193" i="14"/>
  <c r="AB69" i="14"/>
  <c r="AB87" i="14"/>
  <c r="AB72" i="14"/>
  <c r="AB74" i="14"/>
  <c r="AB185" i="14"/>
  <c r="AB12" i="14"/>
  <c r="AB97" i="14"/>
  <c r="AB205" i="14"/>
  <c r="AB45" i="14"/>
  <c r="Z3" i="4"/>
  <c r="Z4" i="4" s="1"/>
  <c r="AB96" i="14"/>
  <c r="AB111" i="14"/>
  <c r="AB8" i="14"/>
  <c r="AB47" i="14"/>
  <c r="AB11" i="14"/>
  <c r="AB40" i="14"/>
  <c r="AB48" i="14"/>
  <c r="AB178" i="14"/>
  <c r="AB26" i="14"/>
  <c r="AB78" i="14"/>
  <c r="AB27" i="14"/>
  <c r="AB179" i="14"/>
  <c r="AB80" i="14"/>
  <c r="AB120" i="14"/>
  <c r="AB126" i="14"/>
  <c r="AB16" i="14"/>
  <c r="AB89" i="14"/>
  <c r="AB133" i="14"/>
  <c r="AB164" i="14"/>
  <c r="AB90" i="14"/>
  <c r="AB49" i="14"/>
  <c r="AB37" i="14"/>
  <c r="AB168" i="14"/>
  <c r="AB141" i="14"/>
  <c r="AC6" i="14"/>
  <c r="AE6" i="14" s="1"/>
  <c r="AI6" i="14" s="1"/>
  <c r="AK6" i="14" s="1"/>
  <c r="AB65" i="14"/>
  <c r="AB154" i="14"/>
  <c r="AB30" i="14"/>
  <c r="AB46" i="14"/>
  <c r="AB165" i="14"/>
  <c r="AB95" i="14"/>
  <c r="AB42" i="14"/>
  <c r="AB199" i="14"/>
  <c r="AB79" i="14"/>
  <c r="AB187" i="14"/>
  <c r="AB82" i="14"/>
  <c r="AB52" i="14"/>
  <c r="AB176" i="14"/>
  <c r="AB117" i="14"/>
  <c r="AB181" i="14"/>
  <c r="AB137" i="14"/>
  <c r="AB93" i="14"/>
  <c r="AB55" i="14"/>
  <c r="AB130" i="14"/>
  <c r="AB100" i="14"/>
  <c r="AB189" i="14"/>
  <c r="AB66" i="14"/>
  <c r="AB108" i="14"/>
  <c r="AB132" i="14"/>
  <c r="AB9" i="14"/>
  <c r="AB128" i="14"/>
  <c r="AB60" i="14"/>
  <c r="AB41" i="14"/>
  <c r="AB77" i="14"/>
  <c r="AB114" i="14"/>
  <c r="AB151" i="14"/>
  <c r="AB129" i="14"/>
  <c r="AB116" i="14"/>
  <c r="AB84" i="14"/>
  <c r="AB73" i="14"/>
  <c r="AB61" i="14"/>
  <c r="AB53" i="14"/>
  <c r="AB188" i="14"/>
  <c r="AB121" i="14"/>
  <c r="AB86" i="14"/>
  <c r="AB31" i="14"/>
  <c r="AB102" i="14"/>
  <c r="AB145" i="14"/>
  <c r="AB104" i="14"/>
  <c r="AB94" i="14"/>
  <c r="AB7" i="14"/>
  <c r="AB112" i="14"/>
  <c r="AB150" i="14"/>
  <c r="AB122" i="14"/>
  <c r="AB180" i="14"/>
  <c r="AB177" i="14"/>
  <c r="AB14" i="14"/>
  <c r="AB92" i="14"/>
  <c r="AB20" i="14"/>
  <c r="AB157" i="14"/>
  <c r="AB107" i="14"/>
  <c r="AB25" i="14"/>
  <c r="AB50" i="14"/>
  <c r="AB88" i="14"/>
  <c r="AB170" i="14"/>
  <c r="AB36" i="14"/>
  <c r="AB139" i="14"/>
  <c r="AB24" i="14"/>
  <c r="AB63" i="14"/>
  <c r="AB200" i="14"/>
  <c r="AB85" i="14"/>
  <c r="AB192" i="14"/>
  <c r="AB148" i="14"/>
  <c r="AB158" i="14"/>
  <c r="AB118" i="14"/>
  <c r="AB91" i="14"/>
  <c r="AB58" i="14"/>
  <c r="AB10" i="14"/>
  <c r="AB159" i="14"/>
  <c r="AB173" i="14"/>
  <c r="AB109" i="14"/>
  <c r="AB147" i="14"/>
  <c r="AB23" i="14"/>
  <c r="AB38" i="14"/>
  <c r="AB167" i="14"/>
  <c r="AB21" i="14"/>
  <c r="AB175" i="14"/>
  <c r="AB127" i="14"/>
  <c r="AB152" i="14"/>
  <c r="AY3" i="4"/>
  <c r="AY4" i="4" s="1"/>
  <c r="AD6" i="14" l="1"/>
  <c r="U19" i="16"/>
  <c r="V8" i="16"/>
  <c r="W8" i="16" s="1"/>
  <c r="Y8" i="16" s="1"/>
  <c r="AC152" i="14"/>
  <c r="AE152" i="14" s="1"/>
  <c r="AC109" i="14"/>
  <c r="AE109" i="14" s="1"/>
  <c r="AC63" i="14"/>
  <c r="AD63" i="14" s="1"/>
  <c r="AC16" i="14"/>
  <c r="AD16" i="14" s="1"/>
  <c r="AC178" i="14"/>
  <c r="AE178" i="14" s="1"/>
  <c r="AC205" i="14"/>
  <c r="AE205" i="14" s="1"/>
  <c r="AC74" i="14"/>
  <c r="AE74" i="14" s="1"/>
  <c r="AC28" i="14"/>
  <c r="AD28" i="14" s="1"/>
  <c r="AC204" i="14"/>
  <c r="AD204" i="14" s="1"/>
  <c r="AC35" i="14"/>
  <c r="AD35" i="14" s="1"/>
  <c r="AC203" i="14"/>
  <c r="AD203" i="14" s="1"/>
  <c r="AC34" i="14"/>
  <c r="AD34" i="14" s="1"/>
  <c r="AC153" i="14"/>
  <c r="AD153" i="14" s="1"/>
  <c r="AC202" i="14"/>
  <c r="AD202" i="14" s="1"/>
  <c r="AC99" i="14"/>
  <c r="AD99" i="14" s="1"/>
  <c r="AC123" i="14"/>
  <c r="AD123" i="14" s="1"/>
  <c r="AC43" i="14"/>
  <c r="AD43" i="14" s="1"/>
  <c r="AC21" i="14"/>
  <c r="AE21" i="14" s="1"/>
  <c r="AC147" i="14"/>
  <c r="AE147" i="14" s="1"/>
  <c r="AC10" i="14"/>
  <c r="AE10" i="14" s="1"/>
  <c r="AC158" i="14"/>
  <c r="AD158" i="14" s="1"/>
  <c r="AC200" i="14"/>
  <c r="AE200" i="14" s="1"/>
  <c r="AC36" i="14"/>
  <c r="AE36" i="14" s="1"/>
  <c r="AC25" i="14"/>
  <c r="AE25" i="14" s="1"/>
  <c r="AC92" i="14"/>
  <c r="AD92" i="14" s="1"/>
  <c r="AC122" i="14"/>
  <c r="AE122" i="14" s="1"/>
  <c r="AC94" i="14"/>
  <c r="AE94" i="14" s="1"/>
  <c r="AC31" i="14"/>
  <c r="AD31" i="14" s="1"/>
  <c r="AC53" i="14"/>
  <c r="AD53" i="14" s="1"/>
  <c r="AC116" i="14"/>
  <c r="AE116" i="14" s="1"/>
  <c r="AC77" i="14"/>
  <c r="AE77" i="14" s="1"/>
  <c r="AC9" i="14"/>
  <c r="AE9" i="14" s="1"/>
  <c r="AC189" i="14"/>
  <c r="AD189" i="14" s="1"/>
  <c r="AC93" i="14"/>
  <c r="AE93" i="14" s="1"/>
  <c r="AC176" i="14"/>
  <c r="AD176" i="14" s="1"/>
  <c r="AC199" i="14"/>
  <c r="AE199" i="14" s="1"/>
  <c r="AC46" i="14"/>
  <c r="AE46" i="14" s="1"/>
  <c r="AC49" i="14"/>
  <c r="AE49" i="14" s="1"/>
  <c r="AC89" i="14"/>
  <c r="AE89" i="14" s="1"/>
  <c r="AC80" i="14"/>
  <c r="AD80" i="14" s="1"/>
  <c r="AC26" i="14"/>
  <c r="AE26" i="14" s="1"/>
  <c r="AC11" i="14"/>
  <c r="AE11" i="14" s="1"/>
  <c r="AC96" i="14"/>
  <c r="AD96" i="14" s="1"/>
  <c r="AC45" i="14"/>
  <c r="AE45" i="14" s="1"/>
  <c r="AC185" i="14"/>
  <c r="AE185" i="14" s="1"/>
  <c r="AC115" i="14"/>
  <c r="AE115" i="14" s="1"/>
  <c r="AC22" i="14"/>
  <c r="AE22" i="14" s="1"/>
  <c r="AC155" i="14"/>
  <c r="AE155" i="14" s="1"/>
  <c r="AC196" i="14"/>
  <c r="AE196" i="14" s="1"/>
  <c r="AC171" i="14"/>
  <c r="AE171" i="14" s="1"/>
  <c r="AC182" i="14"/>
  <c r="AE182" i="14" s="1"/>
  <c r="AC138" i="14"/>
  <c r="AE138" i="14" s="1"/>
  <c r="AC101" i="14"/>
  <c r="AD101" i="14" s="1"/>
  <c r="AC198" i="14"/>
  <c r="AE198" i="14" s="1"/>
  <c r="AC135" i="14"/>
  <c r="AE135" i="14" s="1"/>
  <c r="AC146" i="14"/>
  <c r="AE146" i="14" s="1"/>
  <c r="AC67" i="14"/>
  <c r="AE67" i="14" s="1"/>
  <c r="AC140" i="14"/>
  <c r="AE140" i="14" s="1"/>
  <c r="AC186" i="14"/>
  <c r="AE186" i="14" s="1"/>
  <c r="AC68" i="14"/>
  <c r="AE68" i="14" s="1"/>
  <c r="AC29" i="14"/>
  <c r="AD29" i="14" s="1"/>
  <c r="AC161" i="14"/>
  <c r="AE161" i="14" s="1"/>
  <c r="AC197" i="14"/>
  <c r="AE197" i="14" s="1"/>
  <c r="AC44" i="14"/>
  <c r="AE44" i="14" s="1"/>
  <c r="AC134" i="14"/>
  <c r="AE134" i="14" s="1"/>
  <c r="AC54" i="14"/>
  <c r="AE54" i="14" s="1"/>
  <c r="AC167" i="14"/>
  <c r="AE167" i="14" s="1"/>
  <c r="AC58" i="14"/>
  <c r="AE58" i="14" s="1"/>
  <c r="AC148" i="14"/>
  <c r="AE148" i="14" s="1"/>
  <c r="AC170" i="14"/>
  <c r="AE170" i="14" s="1"/>
  <c r="AC107" i="14"/>
  <c r="AE107" i="14" s="1"/>
  <c r="AC150" i="14"/>
  <c r="AE150" i="14" s="1"/>
  <c r="AC86" i="14"/>
  <c r="AE86" i="14" s="1"/>
  <c r="AC61" i="14"/>
  <c r="AE61" i="14" s="1"/>
  <c r="AC129" i="14"/>
  <c r="AE129" i="14" s="1"/>
  <c r="AC132" i="14"/>
  <c r="AE132" i="14" s="1"/>
  <c r="AC52" i="14"/>
  <c r="AE52" i="14" s="1"/>
  <c r="AC42" i="14"/>
  <c r="AE42" i="14" s="1"/>
  <c r="AC30" i="14"/>
  <c r="AE30" i="14" s="1"/>
  <c r="AC141" i="14"/>
  <c r="AD141" i="14" s="1"/>
  <c r="AC47" i="14"/>
  <c r="AD47" i="14" s="1"/>
  <c r="AC149" i="14"/>
  <c r="AD149" i="14" s="1"/>
  <c r="AC15" i="14"/>
  <c r="AE15" i="14" s="1"/>
  <c r="AC57" i="14"/>
  <c r="AD57" i="14" s="1"/>
  <c r="AC113" i="14"/>
  <c r="AD113" i="14" s="1"/>
  <c r="AC190" i="14"/>
  <c r="AD190" i="14" s="1"/>
  <c r="AC118" i="14"/>
  <c r="AD118" i="14" s="1"/>
  <c r="AC50" i="14"/>
  <c r="AD50" i="14" s="1"/>
  <c r="AC20" i="14"/>
  <c r="AD20" i="14" s="1"/>
  <c r="AC180" i="14"/>
  <c r="AD180" i="14" s="1"/>
  <c r="AC7" i="14"/>
  <c r="AD7" i="14" s="1"/>
  <c r="AC102" i="14"/>
  <c r="AD102" i="14" s="1"/>
  <c r="AC188" i="14"/>
  <c r="AD188" i="14" s="1"/>
  <c r="AC84" i="14"/>
  <c r="AD84" i="14" s="1"/>
  <c r="AC114" i="14"/>
  <c r="AD114" i="14" s="1"/>
  <c r="AC128" i="14"/>
  <c r="AE128" i="14" s="1"/>
  <c r="AC66" i="14"/>
  <c r="AD66" i="14" s="1"/>
  <c r="AC55" i="14"/>
  <c r="AD55" i="14" s="1"/>
  <c r="AC117" i="14"/>
  <c r="AD117" i="14" s="1"/>
  <c r="AC187" i="14"/>
  <c r="AD187" i="14" s="1"/>
  <c r="AC79" i="14"/>
  <c r="AE79" i="14" s="1"/>
  <c r="AC165" i="14"/>
  <c r="AE165" i="14" s="1"/>
  <c r="AC65" i="14"/>
  <c r="AE65" i="14" s="1"/>
  <c r="AC37" i="14"/>
  <c r="AE37" i="14" s="1"/>
  <c r="AC133" i="14"/>
  <c r="AE133" i="14" s="1"/>
  <c r="AC120" i="14"/>
  <c r="AE120" i="14" s="1"/>
  <c r="AC78" i="14"/>
  <c r="AE78" i="14" s="1"/>
  <c r="AC40" i="14"/>
  <c r="AE40" i="14" s="1"/>
  <c r="AC111" i="14"/>
  <c r="AD111" i="14" s="1"/>
  <c r="AC12" i="14"/>
  <c r="AD12" i="14" s="1"/>
  <c r="AC87" i="14"/>
  <c r="AD87" i="14" s="1"/>
  <c r="AC193" i="14"/>
  <c r="AE193" i="14" s="1"/>
  <c r="AC71" i="14"/>
  <c r="AE71" i="14" s="1"/>
  <c r="AC62" i="14"/>
  <c r="AE62" i="14" s="1"/>
  <c r="AC103" i="14"/>
  <c r="AE103" i="14" s="1"/>
  <c r="AC83" i="14"/>
  <c r="AE83" i="14" s="1"/>
  <c r="AC166" i="14"/>
  <c r="AE166" i="14" s="1"/>
  <c r="AC110" i="14"/>
  <c r="AE110" i="14" s="1"/>
  <c r="AC19" i="14"/>
  <c r="AE19" i="14" s="1"/>
  <c r="AC106" i="14"/>
  <c r="AE106" i="14" s="1"/>
  <c r="AC156" i="14"/>
  <c r="AE156" i="14" s="1"/>
  <c r="AC172" i="14"/>
  <c r="AE172" i="14" s="1"/>
  <c r="AC70" i="14"/>
  <c r="AE70" i="14" s="1"/>
  <c r="AC169" i="14"/>
  <c r="AE169" i="14" s="1"/>
  <c r="AC39" i="14"/>
  <c r="AE39" i="14" s="1"/>
  <c r="AC105" i="14"/>
  <c r="AE105" i="14" s="1"/>
  <c r="AC163" i="14"/>
  <c r="AE163" i="14" s="1"/>
  <c r="AC183" i="14"/>
  <c r="AE183" i="14" s="1"/>
  <c r="AC136" i="14"/>
  <c r="AE136" i="14" s="1"/>
  <c r="AC75" i="14"/>
  <c r="AE75" i="14" s="1"/>
  <c r="AC33" i="14"/>
  <c r="AE33" i="14" s="1"/>
  <c r="AC174" i="14"/>
  <c r="AE174" i="14" s="1"/>
  <c r="AC14" i="14"/>
  <c r="AE14" i="14" s="1"/>
  <c r="AC104" i="14"/>
  <c r="AE104" i="14" s="1"/>
  <c r="AC41" i="14"/>
  <c r="AE41" i="14" s="1"/>
  <c r="AC100" i="14"/>
  <c r="AE100" i="14" s="1"/>
  <c r="AC137" i="14"/>
  <c r="AE137" i="14" s="1"/>
  <c r="AC90" i="14"/>
  <c r="AE90" i="14" s="1"/>
  <c r="AC179" i="14"/>
  <c r="AE179" i="14" s="1"/>
  <c r="AC124" i="14"/>
  <c r="AD124" i="14" s="1"/>
  <c r="AC81" i="14"/>
  <c r="AD81" i="14" s="1"/>
  <c r="AC76" i="14"/>
  <c r="AD76" i="14" s="1"/>
  <c r="AC144" i="14"/>
  <c r="AE144" i="14" s="1"/>
  <c r="AC184" i="14"/>
  <c r="AD184" i="14" s="1"/>
  <c r="AZ3" i="4"/>
  <c r="AZ4" i="4" s="1"/>
  <c r="AC175" i="14"/>
  <c r="AE175" i="14" s="1"/>
  <c r="AC23" i="14"/>
  <c r="AD23" i="14" s="1"/>
  <c r="AC159" i="14"/>
  <c r="AE159" i="14" s="1"/>
  <c r="AC85" i="14"/>
  <c r="AD85" i="14" s="1"/>
  <c r="AC139" i="14"/>
  <c r="AD139" i="14" s="1"/>
  <c r="AC127" i="14"/>
  <c r="AD127" i="14" s="1"/>
  <c r="AC38" i="14"/>
  <c r="AE38" i="14" s="1"/>
  <c r="AC173" i="14"/>
  <c r="AE173" i="14" s="1"/>
  <c r="AC91" i="14"/>
  <c r="AE91" i="14" s="1"/>
  <c r="AC192" i="14"/>
  <c r="AD192" i="14" s="1"/>
  <c r="AC24" i="14"/>
  <c r="AE24" i="14" s="1"/>
  <c r="AC88" i="14"/>
  <c r="AE88" i="14" s="1"/>
  <c r="AC157" i="14"/>
  <c r="AE157" i="14" s="1"/>
  <c r="AC177" i="14"/>
  <c r="AE177" i="14" s="1"/>
  <c r="AC112" i="14"/>
  <c r="AD112" i="14" s="1"/>
  <c r="AC145" i="14"/>
  <c r="AE145" i="14" s="1"/>
  <c r="AC121" i="14"/>
  <c r="AE121" i="14" s="1"/>
  <c r="AC73" i="14"/>
  <c r="AE73" i="14" s="1"/>
  <c r="AC151" i="14"/>
  <c r="AE151" i="14" s="1"/>
  <c r="AC60" i="14"/>
  <c r="AE60" i="14" s="1"/>
  <c r="AC108" i="14"/>
  <c r="AE108" i="14" s="1"/>
  <c r="AC130" i="14"/>
  <c r="AE130" i="14" s="1"/>
  <c r="AC181" i="14"/>
  <c r="AE181" i="14" s="1"/>
  <c r="AC82" i="14"/>
  <c r="AE82" i="14" s="1"/>
  <c r="AC95" i="14"/>
  <c r="AE95" i="14" s="1"/>
  <c r="AC154" i="14"/>
  <c r="AD154" i="14" s="1"/>
  <c r="AC168" i="14"/>
  <c r="AD168" i="14" s="1"/>
  <c r="AC164" i="14"/>
  <c r="AD164" i="14" s="1"/>
  <c r="AC126" i="14"/>
  <c r="AE126" i="14" s="1"/>
  <c r="AC27" i="14"/>
  <c r="AE27" i="14" s="1"/>
  <c r="AC48" i="14"/>
  <c r="AD48" i="14" s="1"/>
  <c r="AC8" i="14"/>
  <c r="AE8" i="14" s="1"/>
  <c r="AC97" i="14"/>
  <c r="AE97" i="14" s="1"/>
  <c r="AC72" i="14"/>
  <c r="AE72" i="14" s="1"/>
  <c r="AC69" i="14"/>
  <c r="AE69" i="14" s="1"/>
  <c r="AC195" i="14"/>
  <c r="AE195" i="14" s="1"/>
  <c r="AC142" i="14"/>
  <c r="AE142" i="14" s="1"/>
  <c r="AC143" i="14"/>
  <c r="AD143" i="14" s="1"/>
  <c r="AC191" i="14"/>
  <c r="AD191" i="14" s="1"/>
  <c r="AC131" i="14"/>
  <c r="AE131" i="14" s="1"/>
  <c r="AC125" i="14"/>
  <c r="AE125" i="14" s="1"/>
  <c r="AC59" i="14"/>
  <c r="AE59" i="14" s="1"/>
  <c r="AC32" i="14"/>
  <c r="AD32" i="14" s="1"/>
  <c r="AC98" i="14"/>
  <c r="AE98" i="14" s="1"/>
  <c r="AC64" i="14"/>
  <c r="AD64" i="14" s="1"/>
  <c r="AC194" i="14"/>
  <c r="AE194" i="14" s="1"/>
  <c r="AC18" i="14"/>
  <c r="AE18" i="14" s="1"/>
  <c r="AC162" i="14"/>
  <c r="AE162" i="14" s="1"/>
  <c r="AC17" i="14"/>
  <c r="AE17" i="14" s="1"/>
  <c r="AC56" i="14"/>
  <c r="AE56" i="14" s="1"/>
  <c r="AC119" i="14"/>
  <c r="AE119" i="14" s="1"/>
  <c r="AC51" i="14"/>
  <c r="AE51" i="14" s="1"/>
  <c r="AC160" i="14"/>
  <c r="AD160" i="14" s="1"/>
  <c r="AC13" i="14"/>
  <c r="AE13" i="14" s="1"/>
  <c r="AC201" i="14"/>
  <c r="AE201" i="14" s="1"/>
  <c r="AD72" i="14" l="1"/>
  <c r="AE203" i="14"/>
  <c r="AD21" i="14"/>
  <c r="AD171" i="14"/>
  <c r="AD93" i="14"/>
  <c r="AE55" i="14"/>
  <c r="AE139" i="14"/>
  <c r="AD198" i="14"/>
  <c r="AE84" i="14"/>
  <c r="AD120" i="14"/>
  <c r="AE23" i="14"/>
  <c r="AD97" i="14"/>
  <c r="AE76" i="14"/>
  <c r="AD175" i="14"/>
  <c r="AE176" i="14"/>
  <c r="AE190" i="14"/>
  <c r="AE12" i="14"/>
  <c r="AD54" i="14"/>
  <c r="AD116" i="14"/>
  <c r="AE117" i="14"/>
  <c r="AD135" i="14"/>
  <c r="AD147" i="14"/>
  <c r="AE50" i="14"/>
  <c r="AE154" i="14"/>
  <c r="AD155" i="14"/>
  <c r="AE31" i="14"/>
  <c r="AD36" i="14"/>
  <c r="AE123" i="14"/>
  <c r="AE28" i="14"/>
  <c r="AE99" i="14"/>
  <c r="AD15" i="14"/>
  <c r="AD44" i="14"/>
  <c r="AD186" i="14"/>
  <c r="AE202" i="14"/>
  <c r="AE35" i="14"/>
  <c r="AE124" i="14"/>
  <c r="AE149" i="14"/>
  <c r="AD95" i="14"/>
  <c r="AD128" i="14"/>
  <c r="AE7" i="14"/>
  <c r="AI7" i="14" s="1"/>
  <c r="AK7" i="14" s="1"/>
  <c r="AE118" i="14"/>
  <c r="AE168" i="14"/>
  <c r="AD27" i="14"/>
  <c r="AD197" i="14"/>
  <c r="AD140" i="14"/>
  <c r="AD138" i="14"/>
  <c r="AD22" i="14"/>
  <c r="AD65" i="14"/>
  <c r="AD9" i="14"/>
  <c r="AD94" i="14"/>
  <c r="AD200" i="14"/>
  <c r="AD40" i="14"/>
  <c r="AD68" i="14"/>
  <c r="AD25" i="14"/>
  <c r="AE184" i="14"/>
  <c r="AE102" i="14"/>
  <c r="AE48" i="14"/>
  <c r="AE34" i="14"/>
  <c r="AD144" i="14"/>
  <c r="AE57" i="14"/>
  <c r="AE87" i="14"/>
  <c r="AE187" i="14"/>
  <c r="AE114" i="14"/>
  <c r="AE180" i="14"/>
  <c r="AD159" i="14"/>
  <c r="AE141" i="14"/>
  <c r="AD126" i="14"/>
  <c r="AD161" i="14"/>
  <c r="AD146" i="14"/>
  <c r="AD182" i="14"/>
  <c r="AD115" i="14"/>
  <c r="AD165" i="14"/>
  <c r="AD77" i="14"/>
  <c r="AD122" i="14"/>
  <c r="AD10" i="14"/>
  <c r="AD78" i="14"/>
  <c r="AE153" i="14"/>
  <c r="AE20" i="14"/>
  <c r="AD8" i="14"/>
  <c r="AD134" i="14"/>
  <c r="AD67" i="14"/>
  <c r="AD196" i="14"/>
  <c r="AE111" i="14"/>
  <c r="AD133" i="14"/>
  <c r="AD174" i="14"/>
  <c r="AD33" i="14"/>
  <c r="AD75" i="14"/>
  <c r="AD136" i="14"/>
  <c r="AD183" i="14"/>
  <c r="AD163" i="14"/>
  <c r="AD105" i="14"/>
  <c r="AD39" i="14"/>
  <c r="AD169" i="14"/>
  <c r="AD70" i="14"/>
  <c r="AD172" i="14"/>
  <c r="AD156" i="14"/>
  <c r="AD106" i="14"/>
  <c r="AD19" i="14"/>
  <c r="AD110" i="14"/>
  <c r="AD166" i="14"/>
  <c r="AD83" i="14"/>
  <c r="AD103" i="14"/>
  <c r="AD62" i="14"/>
  <c r="AD71" i="14"/>
  <c r="AD193" i="14"/>
  <c r="AD74" i="14"/>
  <c r="AD205" i="14"/>
  <c r="AD46" i="14"/>
  <c r="AD199" i="14"/>
  <c r="AD52" i="14"/>
  <c r="AD137" i="14"/>
  <c r="AD100" i="14"/>
  <c r="AD132" i="14"/>
  <c r="AD41" i="14"/>
  <c r="AD129" i="14"/>
  <c r="AD61" i="14"/>
  <c r="AD86" i="14"/>
  <c r="AD104" i="14"/>
  <c r="AD150" i="14"/>
  <c r="AD14" i="14"/>
  <c r="AD107" i="14"/>
  <c r="AD170" i="14"/>
  <c r="AE63" i="14"/>
  <c r="AD148" i="14"/>
  <c r="AD58" i="14"/>
  <c r="AD109" i="14"/>
  <c r="AD167" i="14"/>
  <c r="AD152" i="14"/>
  <c r="AD90" i="14"/>
  <c r="AE164" i="14"/>
  <c r="AE29" i="14"/>
  <c r="AE101" i="14"/>
  <c r="AD79" i="14"/>
  <c r="AE189" i="14"/>
  <c r="AE53" i="14"/>
  <c r="AE92" i="14"/>
  <c r="AE158" i="14"/>
  <c r="AE113" i="14"/>
  <c r="AE66" i="14"/>
  <c r="AE96" i="14"/>
  <c r="AD11" i="14"/>
  <c r="AD26" i="14"/>
  <c r="AE80" i="14"/>
  <c r="AD89" i="14"/>
  <c r="AD49" i="14"/>
  <c r="AD201" i="14"/>
  <c r="AD13" i="14"/>
  <c r="AE160" i="14"/>
  <c r="AD51" i="14"/>
  <c r="AD119" i="14"/>
  <c r="AD56" i="14"/>
  <c r="AD17" i="14"/>
  <c r="AD162" i="14"/>
  <c r="AD18" i="14"/>
  <c r="AD194" i="14"/>
  <c r="AE64" i="14"/>
  <c r="AD98" i="14"/>
  <c r="AE32" i="14"/>
  <c r="AD59" i="14"/>
  <c r="AD125" i="14"/>
  <c r="AD131" i="14"/>
  <c r="AE191" i="14"/>
  <c r="AE143" i="14"/>
  <c r="AD142" i="14"/>
  <c r="AD195" i="14"/>
  <c r="AD69" i="14"/>
  <c r="AD185" i="14"/>
  <c r="AD45" i="14"/>
  <c r="AD30" i="14"/>
  <c r="AD42" i="14"/>
  <c r="AD82" i="14"/>
  <c r="AD181" i="14"/>
  <c r="AD130" i="14"/>
  <c r="AD108" i="14"/>
  <c r="AD60" i="14"/>
  <c r="AD151" i="14"/>
  <c r="AD73" i="14"/>
  <c r="AD121" i="14"/>
  <c r="AD145" i="14"/>
  <c r="AE112" i="14"/>
  <c r="AD177" i="14"/>
  <c r="AD157" i="14"/>
  <c r="AD88" i="14"/>
  <c r="AD24" i="14"/>
  <c r="AE192" i="14"/>
  <c r="AD91" i="14"/>
  <c r="AD173" i="14"/>
  <c r="AD38" i="14"/>
  <c r="AE127" i="14"/>
  <c r="AE47" i="14"/>
  <c r="AD178" i="14"/>
  <c r="AD179" i="14"/>
  <c r="AE16" i="14"/>
  <c r="AD37" i="14"/>
  <c r="AE43" i="14"/>
  <c r="AE204" i="14"/>
  <c r="AE81" i="14"/>
  <c r="AE188" i="14"/>
  <c r="AE85" i="14"/>
  <c r="U20" i="16"/>
  <c r="V9" i="16"/>
  <c r="W9" i="16" s="1"/>
  <c r="Y9" i="16" s="1"/>
  <c r="AG8" i="14"/>
  <c r="AH8" i="14" s="1"/>
  <c r="AI8" i="14" s="1"/>
  <c r="AK8" i="14" s="1"/>
  <c r="V10" i="16"/>
  <c r="W10" i="16" s="1"/>
  <c r="Y10" i="16" s="1"/>
  <c r="AD1" i="14" l="1"/>
  <c r="U21" i="16"/>
  <c r="V11" i="16"/>
  <c r="W11" i="16" s="1"/>
  <c r="Y11" i="16" s="1"/>
  <c r="AG9" i="14"/>
  <c r="AH9" i="14" s="1"/>
  <c r="AI9" i="14" s="1"/>
  <c r="AK9" i="14" s="1"/>
  <c r="U22" i="16" l="1"/>
  <c r="AG10" i="14"/>
  <c r="AH10" i="14" s="1"/>
  <c r="AI10" i="14" s="1"/>
  <c r="AK10" i="14" s="1"/>
  <c r="V12" i="16"/>
  <c r="W12" i="16" s="1"/>
  <c r="Y12" i="16" s="1"/>
  <c r="U23" i="16" l="1"/>
  <c r="V13" i="16"/>
  <c r="W13" i="16" s="1"/>
  <c r="Y13" i="16" s="1"/>
  <c r="AG11" i="14"/>
  <c r="AH11" i="14" s="1"/>
  <c r="AI11" i="14" s="1"/>
  <c r="AK11" i="14" s="1"/>
  <c r="U24" i="16" l="1"/>
  <c r="V14" i="16"/>
  <c r="W14" i="16" s="1"/>
  <c r="Y14" i="16" s="1"/>
  <c r="V15" i="16"/>
  <c r="W15" i="16" s="1"/>
  <c r="Y15" i="16" s="1"/>
  <c r="AG12" i="14"/>
  <c r="AH12" i="14" s="1"/>
  <c r="AI12" i="14" s="1"/>
  <c r="AK12" i="14" s="1"/>
  <c r="U25" i="16" l="1"/>
  <c r="V16" i="16"/>
  <c r="W16" i="16" s="1"/>
  <c r="Y16" i="16" s="1"/>
  <c r="AG13" i="14"/>
  <c r="AH13" i="14" s="1"/>
  <c r="AI13" i="14" s="1"/>
  <c r="AK13" i="14" s="1"/>
  <c r="U26" i="16" l="1"/>
  <c r="AG14" i="14"/>
  <c r="AH14" i="14" s="1"/>
  <c r="AI14" i="14" s="1"/>
  <c r="AK14" i="14" s="1"/>
  <c r="V17" i="16"/>
  <c r="W17" i="16" s="1"/>
  <c r="Y17" i="16" s="1"/>
  <c r="U27" i="16" l="1"/>
  <c r="AG15" i="14"/>
  <c r="AH15" i="14" s="1"/>
  <c r="AI15" i="14" s="1"/>
  <c r="AK15" i="14" s="1"/>
  <c r="V18" i="16"/>
  <c r="W18" i="16" s="1"/>
  <c r="Y18" i="16" s="1"/>
  <c r="U28" i="16" l="1"/>
  <c r="V19" i="16"/>
  <c r="W19" i="16" s="1"/>
  <c r="Y19" i="16" s="1"/>
  <c r="AG16" i="14"/>
  <c r="AH16" i="14" s="1"/>
  <c r="AI16" i="14" s="1"/>
  <c r="AK16" i="14" s="1"/>
  <c r="U29" i="16" l="1"/>
  <c r="AG17" i="14"/>
  <c r="AH17" i="14" s="1"/>
  <c r="AI17" i="14" s="1"/>
  <c r="AK17" i="14" s="1"/>
  <c r="V20" i="16"/>
  <c r="W20" i="16" s="1"/>
  <c r="Y20" i="16" s="1"/>
  <c r="U30" i="16" l="1"/>
  <c r="V21" i="16"/>
  <c r="W21" i="16" s="1"/>
  <c r="Y21" i="16" s="1"/>
  <c r="AG18" i="14"/>
  <c r="AH18" i="14" s="1"/>
  <c r="AI18" i="14" s="1"/>
  <c r="AK18" i="14" s="1"/>
  <c r="U31" i="16" l="1"/>
  <c r="AG19" i="14"/>
  <c r="AH19" i="14" s="1"/>
  <c r="AI19" i="14" s="1"/>
  <c r="AK19" i="14" s="1"/>
  <c r="V22" i="16"/>
  <c r="W22" i="16" s="1"/>
  <c r="Y22" i="16" s="1"/>
  <c r="U32" i="16" l="1"/>
  <c r="AG20" i="14"/>
  <c r="AH20" i="14" s="1"/>
  <c r="AI20" i="14" s="1"/>
  <c r="AK20" i="14" s="1"/>
  <c r="V23" i="16"/>
  <c r="W23" i="16" s="1"/>
  <c r="Y23" i="16" s="1"/>
  <c r="U33" i="16" l="1"/>
  <c r="V24" i="16"/>
  <c r="W24" i="16" s="1"/>
  <c r="Y24" i="16" s="1"/>
  <c r="AG21" i="14"/>
  <c r="AH21" i="14" s="1"/>
  <c r="AI21" i="14" s="1"/>
  <c r="AK21" i="14" s="1"/>
  <c r="U34" i="16" l="1"/>
  <c r="AG22" i="14"/>
  <c r="AH22" i="14" s="1"/>
  <c r="AI22" i="14" s="1"/>
  <c r="AK22" i="14" s="1"/>
  <c r="V25" i="16"/>
  <c r="W25" i="16" s="1"/>
  <c r="Y25" i="16" s="1"/>
  <c r="U35" i="16" l="1"/>
  <c r="AG23" i="14"/>
  <c r="AH23" i="14" s="1"/>
  <c r="AI23" i="14" s="1"/>
  <c r="AK23" i="14" s="1"/>
  <c r="V26" i="16"/>
  <c r="W26" i="16" s="1"/>
  <c r="Y26" i="16" s="1"/>
  <c r="U36" i="16" l="1"/>
  <c r="V27" i="16"/>
  <c r="W27" i="16" s="1"/>
  <c r="Y27" i="16" s="1"/>
  <c r="AG24" i="14"/>
  <c r="AH24" i="14" s="1"/>
  <c r="AI24" i="14" s="1"/>
  <c r="AK24" i="14" s="1"/>
  <c r="U37" i="16" l="1"/>
  <c r="AG25" i="14"/>
  <c r="AH25" i="14" s="1"/>
  <c r="AI25" i="14" s="1"/>
  <c r="AK25" i="14" s="1"/>
  <c r="V28" i="16"/>
  <c r="W28" i="16" s="1"/>
  <c r="Y28" i="16" s="1"/>
  <c r="U38" i="16" l="1"/>
  <c r="AG26" i="14"/>
  <c r="AH26" i="14" s="1"/>
  <c r="AI26" i="14" s="1"/>
  <c r="AK26" i="14" s="1"/>
  <c r="V29" i="16"/>
  <c r="W29" i="16" s="1"/>
  <c r="Y29" i="16" s="1"/>
  <c r="U39" i="16" l="1"/>
  <c r="V30" i="16"/>
  <c r="W30" i="16" s="1"/>
  <c r="Y30" i="16" s="1"/>
  <c r="AG27" i="14"/>
  <c r="AH27" i="14" s="1"/>
  <c r="AI27" i="14" s="1"/>
  <c r="AK27" i="14" s="1"/>
  <c r="U40" i="16" l="1"/>
  <c r="AG28" i="14"/>
  <c r="AH28" i="14" s="1"/>
  <c r="AI28" i="14" s="1"/>
  <c r="AK28" i="14" s="1"/>
  <c r="V31" i="16"/>
  <c r="W31" i="16" s="1"/>
  <c r="Y31" i="16" s="1"/>
  <c r="U41" i="16" l="1"/>
  <c r="V32" i="16"/>
  <c r="W32" i="16" s="1"/>
  <c r="Y32" i="16" s="1"/>
  <c r="AG29" i="14"/>
  <c r="AH29" i="14" s="1"/>
  <c r="AI29" i="14" s="1"/>
  <c r="AK29" i="14" s="1"/>
  <c r="U42" i="16" l="1"/>
  <c r="V33" i="16"/>
  <c r="W33" i="16" s="1"/>
  <c r="Y33" i="16" s="1"/>
  <c r="AG30" i="14"/>
  <c r="AH30" i="14" s="1"/>
  <c r="AI30" i="14" s="1"/>
  <c r="AK30" i="14" s="1"/>
  <c r="U43" i="16" l="1"/>
  <c r="AG31" i="14"/>
  <c r="AH31" i="14" s="1"/>
  <c r="AI31" i="14" s="1"/>
  <c r="AK31" i="14" s="1"/>
  <c r="V34" i="16"/>
  <c r="W34" i="16" s="1"/>
  <c r="Y34" i="16" s="1"/>
  <c r="U44" i="16" l="1"/>
  <c r="V35" i="16"/>
  <c r="W35" i="16" s="1"/>
  <c r="Y35" i="16" s="1"/>
  <c r="AG32" i="14"/>
  <c r="AH32" i="14" s="1"/>
  <c r="AI32" i="14" s="1"/>
  <c r="AK32" i="14" s="1"/>
  <c r="U45" i="16" l="1"/>
  <c r="V36" i="16"/>
  <c r="W36" i="16" s="1"/>
  <c r="Y36" i="16" s="1"/>
  <c r="AG33" i="14"/>
  <c r="AH33" i="14" s="1"/>
  <c r="AI33" i="14" s="1"/>
  <c r="AK33" i="14" s="1"/>
  <c r="U46" i="16" l="1"/>
  <c r="V37" i="16"/>
  <c r="W37" i="16" s="1"/>
  <c r="Y37" i="16" s="1"/>
  <c r="AG34" i="14"/>
  <c r="AH34" i="14" s="1"/>
  <c r="AI34" i="14" s="1"/>
  <c r="AK34" i="14" s="1"/>
  <c r="U47" i="16" l="1"/>
  <c r="AG35" i="14"/>
  <c r="AH35" i="14" s="1"/>
  <c r="AI35" i="14" s="1"/>
  <c r="AK35" i="14" s="1"/>
  <c r="V38" i="16"/>
  <c r="W38" i="16" s="1"/>
  <c r="Y38" i="16" s="1"/>
  <c r="U48" i="16" l="1"/>
  <c r="V39" i="16"/>
  <c r="W39" i="16" s="1"/>
  <c r="Y39" i="16" s="1"/>
  <c r="AG36" i="14"/>
  <c r="AH36" i="14" s="1"/>
  <c r="AI36" i="14" s="1"/>
  <c r="AK36" i="14" s="1"/>
  <c r="U49" i="16" l="1"/>
  <c r="V40" i="16"/>
  <c r="W40" i="16" s="1"/>
  <c r="Y40" i="16" s="1"/>
  <c r="AG37" i="14"/>
  <c r="AH37" i="14" s="1"/>
  <c r="AI37" i="14" s="1"/>
  <c r="AK37" i="14" s="1"/>
  <c r="U50" i="16" l="1"/>
  <c r="AG38" i="14"/>
  <c r="AH38" i="14" s="1"/>
  <c r="AI38" i="14" s="1"/>
  <c r="AK38" i="14" s="1"/>
  <c r="V41" i="16"/>
  <c r="W41" i="16" s="1"/>
  <c r="Y41" i="16" s="1"/>
  <c r="U51" i="16" l="1"/>
  <c r="V42" i="16"/>
  <c r="W42" i="16" s="1"/>
  <c r="Y42" i="16" s="1"/>
  <c r="AG39" i="14"/>
  <c r="AH39" i="14" s="1"/>
  <c r="AI39" i="14" s="1"/>
  <c r="AK39" i="14" s="1"/>
  <c r="U52" i="16" l="1"/>
  <c r="V43" i="16"/>
  <c r="W43" i="16" s="1"/>
  <c r="Y43" i="16" s="1"/>
  <c r="AG40" i="14"/>
  <c r="AH40" i="14" s="1"/>
  <c r="AI40" i="14" s="1"/>
  <c r="AK40" i="14" s="1"/>
  <c r="U53" i="16" l="1"/>
  <c r="AG41" i="14"/>
  <c r="AH41" i="14" s="1"/>
  <c r="AI41" i="14" s="1"/>
  <c r="AK41" i="14" s="1"/>
  <c r="V44" i="16"/>
  <c r="W44" i="16" s="1"/>
  <c r="Y44" i="16" s="1"/>
  <c r="U54" i="16" l="1"/>
  <c r="V45" i="16"/>
  <c r="W45" i="16" s="1"/>
  <c r="Y45" i="16" s="1"/>
  <c r="AG42" i="14"/>
  <c r="AH42" i="14" s="1"/>
  <c r="AI42" i="14" s="1"/>
  <c r="AK42" i="14" s="1"/>
  <c r="U55" i="16" l="1"/>
  <c r="AG43" i="14"/>
  <c r="AH43" i="14" s="1"/>
  <c r="AI43" i="14" s="1"/>
  <c r="AK43" i="14" s="1"/>
  <c r="V46" i="16"/>
  <c r="W46" i="16" s="1"/>
  <c r="Y46" i="16" s="1"/>
  <c r="U56" i="16" l="1"/>
  <c r="V47" i="16"/>
  <c r="W47" i="16" s="1"/>
  <c r="Y47" i="16" s="1"/>
  <c r="AG44" i="14"/>
  <c r="AH44" i="14" s="1"/>
  <c r="AI44" i="14" s="1"/>
  <c r="AK44" i="14" s="1"/>
  <c r="U57" i="16" l="1"/>
  <c r="V48" i="16"/>
  <c r="W48" i="16" s="1"/>
  <c r="Y48" i="16" s="1"/>
  <c r="AG45" i="14"/>
  <c r="AH45" i="14" s="1"/>
  <c r="AI45" i="14" s="1"/>
  <c r="AK45" i="14" s="1"/>
  <c r="U58" i="16" l="1"/>
  <c r="V49" i="16"/>
  <c r="W49" i="16" s="1"/>
  <c r="Y49" i="16" s="1"/>
  <c r="AG46" i="14"/>
  <c r="AH46" i="14" s="1"/>
  <c r="AI46" i="14" s="1"/>
  <c r="AK46" i="14" s="1"/>
  <c r="U59" i="16" l="1"/>
  <c r="AG47" i="14"/>
  <c r="AH47" i="14" s="1"/>
  <c r="AI47" i="14" s="1"/>
  <c r="AK47" i="14" s="1"/>
  <c r="V50" i="16"/>
  <c r="W50" i="16" s="1"/>
  <c r="Y50" i="16" s="1"/>
  <c r="U60" i="16" l="1"/>
  <c r="AG48" i="14"/>
  <c r="AH48" i="14" s="1"/>
  <c r="AI48" i="14" s="1"/>
  <c r="AK48" i="14" s="1"/>
  <c r="V51" i="16"/>
  <c r="W51" i="16" s="1"/>
  <c r="Y51" i="16" s="1"/>
  <c r="U61" i="16" l="1"/>
  <c r="V52" i="16"/>
  <c r="W52" i="16" s="1"/>
  <c r="Y52" i="16" s="1"/>
  <c r="AG49" i="14"/>
  <c r="AH49" i="14" s="1"/>
  <c r="AI49" i="14" s="1"/>
  <c r="AK49" i="14" s="1"/>
  <c r="U62" i="16" l="1"/>
  <c r="AG50" i="14"/>
  <c r="AH50" i="14" s="1"/>
  <c r="AI50" i="14" s="1"/>
  <c r="AK50" i="14" s="1"/>
  <c r="V53" i="16"/>
  <c r="W53" i="16" s="1"/>
  <c r="Y53" i="16" s="1"/>
  <c r="U63" i="16" l="1"/>
  <c r="AG51" i="14"/>
  <c r="AH51" i="14" s="1"/>
  <c r="AI51" i="14" s="1"/>
  <c r="AK51" i="14" s="1"/>
  <c r="V54" i="16"/>
  <c r="W54" i="16" s="1"/>
  <c r="Y54" i="16" s="1"/>
  <c r="U64" i="16" l="1"/>
  <c r="AG52" i="14"/>
  <c r="AH52" i="14" s="1"/>
  <c r="AI52" i="14" s="1"/>
  <c r="AK52" i="14" s="1"/>
  <c r="V55" i="16"/>
  <c r="W55" i="16" s="1"/>
  <c r="Y55" i="16" s="1"/>
  <c r="U65" i="16" l="1"/>
  <c r="V56" i="16"/>
  <c r="W56" i="16" s="1"/>
  <c r="Y56" i="16" s="1"/>
  <c r="AG53" i="14"/>
  <c r="AH53" i="14" s="1"/>
  <c r="AI53" i="14" s="1"/>
  <c r="AK53" i="14" s="1"/>
  <c r="U66" i="16" l="1"/>
  <c r="V57" i="16"/>
  <c r="W57" i="16" s="1"/>
  <c r="Y57" i="16" s="1"/>
  <c r="AG54" i="14"/>
  <c r="AH54" i="14" s="1"/>
  <c r="AI54" i="14" s="1"/>
  <c r="AK54" i="14" s="1"/>
  <c r="U67" i="16" l="1"/>
  <c r="V58" i="16"/>
  <c r="W58" i="16" s="1"/>
  <c r="Y58" i="16" s="1"/>
  <c r="AG55" i="14"/>
  <c r="AH55" i="14" s="1"/>
  <c r="AI55" i="14" s="1"/>
  <c r="AK55" i="14" s="1"/>
  <c r="U68" i="16" l="1"/>
  <c r="AG56" i="14"/>
  <c r="AH56" i="14" s="1"/>
  <c r="AI56" i="14" s="1"/>
  <c r="AK56" i="14" s="1"/>
  <c r="V59" i="16"/>
  <c r="W59" i="16" s="1"/>
  <c r="Y59" i="16" s="1"/>
  <c r="U69" i="16" l="1"/>
  <c r="V60" i="16"/>
  <c r="W60" i="16" s="1"/>
  <c r="Y60" i="16" s="1"/>
  <c r="AG57" i="14"/>
  <c r="AH57" i="14" s="1"/>
  <c r="AI57" i="14" s="1"/>
  <c r="AK57" i="14" s="1"/>
  <c r="U70" i="16" l="1"/>
  <c r="AG58" i="14"/>
  <c r="AH58" i="14" s="1"/>
  <c r="AI58" i="14" s="1"/>
  <c r="AK58" i="14" s="1"/>
  <c r="V61" i="16"/>
  <c r="W61" i="16" s="1"/>
  <c r="Y61" i="16" s="1"/>
  <c r="U71" i="16" l="1"/>
  <c r="AG59" i="14"/>
  <c r="AH59" i="14" s="1"/>
  <c r="AI59" i="14" s="1"/>
  <c r="AK59" i="14" s="1"/>
  <c r="V62" i="16"/>
  <c r="W62" i="16" s="1"/>
  <c r="Y62" i="16" s="1"/>
  <c r="U72" i="16" l="1"/>
  <c r="V63" i="16"/>
  <c r="W63" i="16" s="1"/>
  <c r="Y63" i="16" s="1"/>
  <c r="AG60" i="14"/>
  <c r="AH60" i="14" s="1"/>
  <c r="AI60" i="14" s="1"/>
  <c r="AK60" i="14" s="1"/>
  <c r="U73" i="16" l="1"/>
  <c r="AG61" i="14"/>
  <c r="AH61" i="14" s="1"/>
  <c r="AI61" i="14" s="1"/>
  <c r="AK61" i="14" s="1"/>
  <c r="V64" i="16"/>
  <c r="W64" i="16" s="1"/>
  <c r="Y64" i="16" s="1"/>
  <c r="U74" i="16" l="1"/>
  <c r="AG62" i="14"/>
  <c r="AH62" i="14" s="1"/>
  <c r="AI62" i="14" s="1"/>
  <c r="AK62" i="14" s="1"/>
  <c r="V65" i="16"/>
  <c r="W65" i="16" s="1"/>
  <c r="Y65" i="16" s="1"/>
  <c r="U75" i="16" l="1"/>
  <c r="V66" i="16"/>
  <c r="W66" i="16" s="1"/>
  <c r="Y66" i="16" s="1"/>
  <c r="AG63" i="14"/>
  <c r="AH63" i="14" s="1"/>
  <c r="AI63" i="14" s="1"/>
  <c r="AK63" i="14" s="1"/>
  <c r="U76" i="16" l="1"/>
  <c r="V67" i="16"/>
  <c r="W67" i="16" s="1"/>
  <c r="Y67" i="16" s="1"/>
  <c r="AG64" i="14"/>
  <c r="AH64" i="14" s="1"/>
  <c r="AI64" i="14" s="1"/>
  <c r="AK64" i="14" s="1"/>
  <c r="U77" i="16" l="1"/>
  <c r="AG65" i="14"/>
  <c r="AH65" i="14" s="1"/>
  <c r="AI65" i="14" s="1"/>
  <c r="AK65" i="14" s="1"/>
  <c r="V68" i="16"/>
  <c r="W68" i="16" s="1"/>
  <c r="Y68" i="16" s="1"/>
  <c r="U78" i="16" l="1"/>
  <c r="AG66" i="14"/>
  <c r="AH66" i="14" s="1"/>
  <c r="AI66" i="14" s="1"/>
  <c r="AK66" i="14" s="1"/>
  <c r="V69" i="16"/>
  <c r="W69" i="16" s="1"/>
  <c r="Y69" i="16" s="1"/>
  <c r="U79" i="16" l="1"/>
  <c r="AG67" i="14"/>
  <c r="AH67" i="14" s="1"/>
  <c r="AI67" i="14" s="1"/>
  <c r="AK67" i="14" s="1"/>
  <c r="V70" i="16"/>
  <c r="W70" i="16" s="1"/>
  <c r="Y70" i="16" s="1"/>
  <c r="U80" i="16" l="1"/>
  <c r="AG68" i="14"/>
  <c r="AH68" i="14" s="1"/>
  <c r="AI68" i="14" s="1"/>
  <c r="AK68" i="14" s="1"/>
  <c r="V71" i="16"/>
  <c r="W71" i="16" s="1"/>
  <c r="Y71" i="16" s="1"/>
  <c r="U81" i="16" l="1"/>
  <c r="AG69" i="14"/>
  <c r="AH69" i="14" s="1"/>
  <c r="AI69" i="14" s="1"/>
  <c r="AK69" i="14" s="1"/>
  <c r="V72" i="16"/>
  <c r="W72" i="16" s="1"/>
  <c r="Y72" i="16" s="1"/>
  <c r="U82" i="16" l="1"/>
  <c r="AG70" i="14"/>
  <c r="AH70" i="14" s="1"/>
  <c r="AI70" i="14" s="1"/>
  <c r="AK70" i="14" s="1"/>
  <c r="V73" i="16"/>
  <c r="W73" i="16" s="1"/>
  <c r="Y73" i="16" s="1"/>
  <c r="U83" i="16" l="1"/>
  <c r="V74" i="16"/>
  <c r="W74" i="16" s="1"/>
  <c r="Y74" i="16" s="1"/>
  <c r="AG71" i="14"/>
  <c r="AH71" i="14" s="1"/>
  <c r="AI71" i="14" s="1"/>
  <c r="AK71" i="14" s="1"/>
  <c r="U84" i="16" l="1"/>
  <c r="V75" i="16"/>
  <c r="W75" i="16" s="1"/>
  <c r="Y75" i="16" s="1"/>
  <c r="AG72" i="14"/>
  <c r="AH72" i="14" s="1"/>
  <c r="AI72" i="14" s="1"/>
  <c r="AK72" i="14" s="1"/>
  <c r="U85" i="16" l="1"/>
  <c r="AG73" i="14"/>
  <c r="AH73" i="14" s="1"/>
  <c r="AI73" i="14" s="1"/>
  <c r="AK73" i="14" s="1"/>
  <c r="V76" i="16"/>
  <c r="W76" i="16" s="1"/>
  <c r="Y76" i="16" s="1"/>
  <c r="U86" i="16" l="1"/>
  <c r="V77" i="16"/>
  <c r="W77" i="16" s="1"/>
  <c r="Y77" i="16" s="1"/>
  <c r="AG74" i="14"/>
  <c r="AH74" i="14" s="1"/>
  <c r="AI74" i="14" s="1"/>
  <c r="AK74" i="14" s="1"/>
  <c r="U87" i="16" l="1"/>
  <c r="AG75" i="14"/>
  <c r="AH75" i="14" s="1"/>
  <c r="AI75" i="14" s="1"/>
  <c r="AK75" i="14" s="1"/>
  <c r="V78" i="16"/>
  <c r="W78" i="16" s="1"/>
  <c r="Y78" i="16" s="1"/>
  <c r="U88" i="16" l="1"/>
  <c r="V79" i="16"/>
  <c r="W79" i="16" s="1"/>
  <c r="Y79" i="16" s="1"/>
  <c r="AG76" i="14"/>
  <c r="AH76" i="14" s="1"/>
  <c r="AI76" i="14" s="1"/>
  <c r="AK76" i="14" s="1"/>
  <c r="U89" i="16" l="1"/>
  <c r="V80" i="16"/>
  <c r="W80" i="16" s="1"/>
  <c r="Y80" i="16" s="1"/>
  <c r="AG77" i="14"/>
  <c r="AH77" i="14" s="1"/>
  <c r="AI77" i="14" s="1"/>
  <c r="AK77" i="14" s="1"/>
  <c r="U90" i="16" l="1"/>
  <c r="AG78" i="14"/>
  <c r="AH78" i="14" s="1"/>
  <c r="AI78" i="14" s="1"/>
  <c r="AK78" i="14" s="1"/>
  <c r="V81" i="16"/>
  <c r="W81" i="16" s="1"/>
  <c r="Y81" i="16" s="1"/>
  <c r="U91" i="16" l="1"/>
  <c r="V82" i="16"/>
  <c r="W82" i="16" s="1"/>
  <c r="Y82" i="16" s="1"/>
  <c r="AG79" i="14"/>
  <c r="AH79" i="14" s="1"/>
  <c r="AI79" i="14" s="1"/>
  <c r="AK79" i="14" s="1"/>
  <c r="U92" i="16" l="1"/>
  <c r="AG80" i="14"/>
  <c r="AH80" i="14" s="1"/>
  <c r="AI80" i="14" s="1"/>
  <c r="AK80" i="14" s="1"/>
  <c r="V83" i="16"/>
  <c r="W83" i="16" s="1"/>
  <c r="Y83" i="16" s="1"/>
  <c r="U93" i="16" l="1"/>
  <c r="V84" i="16"/>
  <c r="W84" i="16" s="1"/>
  <c r="Y84" i="16" s="1"/>
  <c r="AG81" i="14"/>
  <c r="AH81" i="14" s="1"/>
  <c r="AI81" i="14" s="1"/>
  <c r="AK81" i="14" s="1"/>
  <c r="U94" i="16" l="1"/>
  <c r="AG82" i="14"/>
  <c r="AH82" i="14" s="1"/>
  <c r="AI82" i="14" s="1"/>
  <c r="AK82" i="14" s="1"/>
  <c r="V85" i="16"/>
  <c r="W85" i="16" s="1"/>
  <c r="Y85" i="16" s="1"/>
  <c r="U95" i="16" l="1"/>
  <c r="V86" i="16"/>
  <c r="W86" i="16" s="1"/>
  <c r="Y86" i="16" s="1"/>
  <c r="AG83" i="14"/>
  <c r="AH83" i="14" s="1"/>
  <c r="AI83" i="14" s="1"/>
  <c r="AK83" i="14" s="1"/>
  <c r="U96" i="16" l="1"/>
  <c r="V87" i="16"/>
  <c r="W87" i="16" s="1"/>
  <c r="Y87" i="16" s="1"/>
  <c r="AG84" i="14"/>
  <c r="AH84" i="14" s="1"/>
  <c r="AI84" i="14" s="1"/>
  <c r="AK84" i="14" s="1"/>
  <c r="U97" i="16" l="1"/>
  <c r="V88" i="16"/>
  <c r="W88" i="16" s="1"/>
  <c r="Y88" i="16" s="1"/>
  <c r="AG85" i="14"/>
  <c r="AH85" i="14" s="1"/>
  <c r="AI85" i="14" s="1"/>
  <c r="AK85" i="14" s="1"/>
  <c r="U98" i="16" l="1"/>
  <c r="AG86" i="14"/>
  <c r="AH86" i="14" s="1"/>
  <c r="AI86" i="14" s="1"/>
  <c r="AK86" i="14" s="1"/>
  <c r="V89" i="16"/>
  <c r="W89" i="16" s="1"/>
  <c r="Y89" i="16" s="1"/>
  <c r="U99" i="16" l="1"/>
  <c r="V90" i="16"/>
  <c r="W90" i="16" s="1"/>
  <c r="Y90" i="16" s="1"/>
  <c r="AG87" i="14"/>
  <c r="AH87" i="14" s="1"/>
  <c r="AI87" i="14" s="1"/>
  <c r="AK87" i="14" s="1"/>
  <c r="U100" i="16" l="1"/>
  <c r="V91" i="16"/>
  <c r="W91" i="16" s="1"/>
  <c r="Y91" i="16" s="1"/>
  <c r="AG88" i="14"/>
  <c r="AH88" i="14" s="1"/>
  <c r="AI88" i="14" s="1"/>
  <c r="AK88" i="14" s="1"/>
  <c r="U101" i="16" l="1"/>
  <c r="AG89" i="14"/>
  <c r="AH89" i="14" s="1"/>
  <c r="AI89" i="14" s="1"/>
  <c r="AK89" i="14" s="1"/>
  <c r="V92" i="16"/>
  <c r="W92" i="16" s="1"/>
  <c r="Y92" i="16" s="1"/>
  <c r="U102" i="16" l="1"/>
  <c r="V93" i="16"/>
  <c r="W93" i="16" s="1"/>
  <c r="Y93" i="16" s="1"/>
  <c r="AG90" i="14"/>
  <c r="AH90" i="14" s="1"/>
  <c r="AI90" i="14" s="1"/>
  <c r="AK90" i="14" s="1"/>
  <c r="U103" i="16" l="1"/>
  <c r="AG91" i="14"/>
  <c r="AH91" i="14" s="1"/>
  <c r="AI91" i="14" s="1"/>
  <c r="AK91" i="14" s="1"/>
  <c r="V94" i="16"/>
  <c r="W94" i="16" s="1"/>
  <c r="Y94" i="16" s="1"/>
  <c r="U104" i="16" l="1"/>
  <c r="V95" i="16"/>
  <c r="W95" i="16" s="1"/>
  <c r="Y95" i="16" s="1"/>
  <c r="AG92" i="14"/>
  <c r="AH92" i="14" s="1"/>
  <c r="AI92" i="14" s="1"/>
  <c r="AK92" i="14" s="1"/>
  <c r="U105" i="16" l="1"/>
  <c r="AG93" i="14"/>
  <c r="AH93" i="14" s="1"/>
  <c r="AI93" i="14" s="1"/>
  <c r="AK93" i="14" s="1"/>
  <c r="V96" i="16"/>
  <c r="W96" i="16" s="1"/>
  <c r="Y96" i="16" s="1"/>
  <c r="U106" i="16" l="1"/>
  <c r="V97" i="16"/>
  <c r="W97" i="16" s="1"/>
  <c r="Y97" i="16" s="1"/>
  <c r="AG94" i="14"/>
  <c r="AH94" i="14" s="1"/>
  <c r="AI94" i="14" s="1"/>
  <c r="AK94" i="14" s="1"/>
  <c r="U107" i="16" l="1"/>
  <c r="AG95" i="14"/>
  <c r="AH95" i="14" s="1"/>
  <c r="AI95" i="14" s="1"/>
  <c r="AK95" i="14" s="1"/>
  <c r="V98" i="16"/>
  <c r="W98" i="16" s="1"/>
  <c r="Y98" i="16" s="1"/>
  <c r="U108" i="16" l="1"/>
  <c r="V99" i="16"/>
  <c r="W99" i="16" s="1"/>
  <c r="Y99" i="16" s="1"/>
  <c r="AG96" i="14"/>
  <c r="AH96" i="14" s="1"/>
  <c r="AI96" i="14" s="1"/>
  <c r="AK96" i="14" s="1"/>
  <c r="U109" i="16" l="1"/>
  <c r="AG97" i="14"/>
  <c r="AH97" i="14" s="1"/>
  <c r="AI97" i="14" s="1"/>
  <c r="AK97" i="14" s="1"/>
  <c r="V100" i="16"/>
  <c r="W100" i="16" s="1"/>
  <c r="Y100" i="16" s="1"/>
  <c r="U110" i="16" l="1"/>
  <c r="AG98" i="14"/>
  <c r="AH98" i="14" s="1"/>
  <c r="AI98" i="14" s="1"/>
  <c r="AK98" i="14" s="1"/>
  <c r="V101" i="16"/>
  <c r="W101" i="16" s="1"/>
  <c r="Y101" i="16" s="1"/>
  <c r="U111" i="16" l="1"/>
  <c r="AG99" i="14"/>
  <c r="AH99" i="14" s="1"/>
  <c r="AI99" i="14" s="1"/>
  <c r="AK99" i="14" s="1"/>
  <c r="V102" i="16"/>
  <c r="W102" i="16" s="1"/>
  <c r="Y102" i="16" s="1"/>
  <c r="U112" i="16" l="1"/>
  <c r="AG100" i="14"/>
  <c r="AH100" i="14" s="1"/>
  <c r="AI100" i="14" s="1"/>
  <c r="AK100" i="14" s="1"/>
  <c r="V103" i="16"/>
  <c r="W103" i="16" s="1"/>
  <c r="Y103" i="16" s="1"/>
  <c r="U113" i="16" l="1"/>
  <c r="AG101" i="14"/>
  <c r="AH101" i="14" s="1"/>
  <c r="AI101" i="14" s="1"/>
  <c r="AK101" i="14" s="1"/>
  <c r="V104" i="16"/>
  <c r="W104" i="16" s="1"/>
  <c r="Y104" i="16" s="1"/>
  <c r="U114" i="16" l="1"/>
  <c r="V105" i="16"/>
  <c r="W105" i="16" s="1"/>
  <c r="Y105" i="16" s="1"/>
  <c r="AG102" i="14"/>
  <c r="AH102" i="14" s="1"/>
  <c r="AI102" i="14" s="1"/>
  <c r="AK102" i="14" s="1"/>
  <c r="U115" i="16" l="1"/>
  <c r="AG103" i="14"/>
  <c r="AH103" i="14" s="1"/>
  <c r="AI103" i="14" s="1"/>
  <c r="AK103" i="14" s="1"/>
  <c r="V106" i="16"/>
  <c r="W106" i="16" s="1"/>
  <c r="Y106" i="16" s="1"/>
  <c r="U116" i="16" l="1"/>
  <c r="V107" i="16"/>
  <c r="W107" i="16" s="1"/>
  <c r="Y107" i="16" s="1"/>
  <c r="AG104" i="14"/>
  <c r="AH104" i="14" s="1"/>
  <c r="AI104" i="14" s="1"/>
  <c r="AK104" i="14" s="1"/>
  <c r="U117" i="16" l="1"/>
  <c r="AG105" i="14"/>
  <c r="AH105" i="14" s="1"/>
  <c r="AI105" i="14" s="1"/>
  <c r="AK105" i="14" s="1"/>
  <c r="V108" i="16"/>
  <c r="W108" i="16" s="1"/>
  <c r="Y108" i="16" s="1"/>
  <c r="U118" i="16" l="1"/>
  <c r="AG106" i="14"/>
  <c r="AH106" i="14" s="1"/>
  <c r="AI106" i="14" s="1"/>
  <c r="AK106" i="14" s="1"/>
  <c r="V109" i="16"/>
  <c r="W109" i="16" s="1"/>
  <c r="Y109" i="16" s="1"/>
  <c r="U119" i="16" l="1"/>
  <c r="AG107" i="14"/>
  <c r="AH107" i="14" s="1"/>
  <c r="AI107" i="14" s="1"/>
  <c r="AK107" i="14" s="1"/>
  <c r="V110" i="16"/>
  <c r="W110" i="16" s="1"/>
  <c r="Y110" i="16" s="1"/>
  <c r="U120" i="16" l="1"/>
  <c r="AG108" i="14"/>
  <c r="AH108" i="14" s="1"/>
  <c r="AI108" i="14" s="1"/>
  <c r="AK108" i="14" s="1"/>
  <c r="V111" i="16"/>
  <c r="W111" i="16" s="1"/>
  <c r="Y111" i="16" s="1"/>
  <c r="U121" i="16" l="1"/>
  <c r="AG109" i="14"/>
  <c r="AH109" i="14" s="1"/>
  <c r="AI109" i="14" s="1"/>
  <c r="AK109" i="14" s="1"/>
  <c r="V112" i="16"/>
  <c r="W112" i="16" s="1"/>
  <c r="Y112" i="16" s="1"/>
  <c r="U122" i="16" l="1"/>
  <c r="AG110" i="14"/>
  <c r="AH110" i="14" s="1"/>
  <c r="AI110" i="14" s="1"/>
  <c r="AK110" i="14" s="1"/>
  <c r="V113" i="16"/>
  <c r="W113" i="16" s="1"/>
  <c r="Y113" i="16" s="1"/>
  <c r="U123" i="16" l="1"/>
  <c r="AG111" i="14"/>
  <c r="AH111" i="14" s="1"/>
  <c r="AI111" i="14" s="1"/>
  <c r="AK111" i="14" s="1"/>
  <c r="V114" i="16"/>
  <c r="W114" i="16" s="1"/>
  <c r="Y114" i="16" s="1"/>
  <c r="U124" i="16" l="1"/>
  <c r="V115" i="16"/>
  <c r="W115" i="16" s="1"/>
  <c r="Y115" i="16" s="1"/>
  <c r="AG112" i="14"/>
  <c r="AH112" i="14" s="1"/>
  <c r="AI112" i="14" s="1"/>
  <c r="AK112" i="14" s="1"/>
  <c r="U125" i="16" l="1"/>
  <c r="V116" i="16"/>
  <c r="W116" i="16" s="1"/>
  <c r="Y116" i="16" s="1"/>
  <c r="AG113" i="14"/>
  <c r="AH113" i="14" s="1"/>
  <c r="AI113" i="14" s="1"/>
  <c r="AK113" i="14" s="1"/>
  <c r="U126" i="16" l="1"/>
  <c r="AG114" i="14"/>
  <c r="AH114" i="14" s="1"/>
  <c r="AI114" i="14" s="1"/>
  <c r="AK114" i="14" s="1"/>
  <c r="V117" i="16"/>
  <c r="W117" i="16" s="1"/>
  <c r="Y117" i="16" s="1"/>
  <c r="U127" i="16" l="1"/>
  <c r="V118" i="16"/>
  <c r="W118" i="16" s="1"/>
  <c r="Y118" i="16" s="1"/>
  <c r="AG115" i="14"/>
  <c r="AH115" i="14" s="1"/>
  <c r="AI115" i="14" s="1"/>
  <c r="AK115" i="14" s="1"/>
  <c r="U128" i="16" l="1"/>
  <c r="AG116" i="14"/>
  <c r="AH116" i="14" s="1"/>
  <c r="AI116" i="14" s="1"/>
  <c r="AK116" i="14" s="1"/>
  <c r="V119" i="16"/>
  <c r="W119" i="16" s="1"/>
  <c r="Y119" i="16" s="1"/>
  <c r="U129" i="16" l="1"/>
  <c r="V120" i="16"/>
  <c r="W120" i="16" s="1"/>
  <c r="Y120" i="16" s="1"/>
  <c r="AG117" i="14"/>
  <c r="AH117" i="14" s="1"/>
  <c r="AI117" i="14" s="1"/>
  <c r="AK117" i="14" s="1"/>
  <c r="U130" i="16" l="1"/>
  <c r="AG118" i="14"/>
  <c r="AH118" i="14" s="1"/>
  <c r="AI118" i="14" s="1"/>
  <c r="AK118" i="14" s="1"/>
  <c r="V121" i="16"/>
  <c r="W121" i="16" s="1"/>
  <c r="Y121" i="16" s="1"/>
  <c r="U131" i="16" l="1"/>
  <c r="V122" i="16"/>
  <c r="W122" i="16" s="1"/>
  <c r="Y122" i="16" s="1"/>
  <c r="AG119" i="14"/>
  <c r="AH119" i="14" s="1"/>
  <c r="AI119" i="14" s="1"/>
  <c r="AK119" i="14" s="1"/>
  <c r="U132" i="16" l="1"/>
  <c r="V123" i="16"/>
  <c r="W123" i="16" s="1"/>
  <c r="Y123" i="16" s="1"/>
  <c r="AG120" i="14"/>
  <c r="AH120" i="14" s="1"/>
  <c r="AI120" i="14" s="1"/>
  <c r="AK120" i="14" s="1"/>
  <c r="U133" i="16" l="1"/>
  <c r="V124" i="16"/>
  <c r="W124" i="16" s="1"/>
  <c r="Y124" i="16" s="1"/>
  <c r="AG121" i="14"/>
  <c r="AH121" i="14" s="1"/>
  <c r="AI121" i="14" s="1"/>
  <c r="AK121" i="14" s="1"/>
  <c r="U134" i="16" l="1"/>
  <c r="AG122" i="14"/>
  <c r="AH122" i="14" s="1"/>
  <c r="AI122" i="14" s="1"/>
  <c r="AK122" i="14" s="1"/>
  <c r="V125" i="16"/>
  <c r="W125" i="16" s="1"/>
  <c r="Y125" i="16" s="1"/>
  <c r="U135" i="16" l="1"/>
  <c r="V126" i="16"/>
  <c r="W126" i="16" s="1"/>
  <c r="Y126" i="16" s="1"/>
  <c r="AG123" i="14"/>
  <c r="AH123" i="14" s="1"/>
  <c r="AI123" i="14" s="1"/>
  <c r="AK123" i="14" s="1"/>
  <c r="U136" i="16" l="1"/>
  <c r="AG124" i="14"/>
  <c r="AH124" i="14" s="1"/>
  <c r="AI124" i="14" s="1"/>
  <c r="AK124" i="14" s="1"/>
  <c r="V127" i="16"/>
  <c r="W127" i="16" s="1"/>
  <c r="Y127" i="16" s="1"/>
  <c r="U137" i="16" l="1"/>
  <c r="V128" i="16"/>
  <c r="W128" i="16" s="1"/>
  <c r="Y128" i="16" s="1"/>
  <c r="AG125" i="14"/>
  <c r="AH125" i="14" s="1"/>
  <c r="AI125" i="14" s="1"/>
  <c r="AK125" i="14" s="1"/>
  <c r="U138" i="16" l="1"/>
  <c r="V129" i="16"/>
  <c r="W129" i="16" s="1"/>
  <c r="Y129" i="16" s="1"/>
  <c r="AG126" i="14"/>
  <c r="AH126" i="14" s="1"/>
  <c r="AI126" i="14" s="1"/>
  <c r="AK126" i="14" s="1"/>
  <c r="U139" i="16" l="1"/>
  <c r="AG127" i="14"/>
  <c r="AH127" i="14" s="1"/>
  <c r="AI127" i="14" s="1"/>
  <c r="AK127" i="14" s="1"/>
  <c r="V130" i="16"/>
  <c r="W130" i="16" s="1"/>
  <c r="Y130" i="16" s="1"/>
  <c r="U140" i="16" l="1"/>
  <c r="AG128" i="14"/>
  <c r="AH128" i="14" s="1"/>
  <c r="AI128" i="14" s="1"/>
  <c r="AK128" i="14" s="1"/>
  <c r="V131" i="16"/>
  <c r="W131" i="16" s="1"/>
  <c r="Y131" i="16" s="1"/>
  <c r="U141" i="16" l="1"/>
  <c r="V132" i="16"/>
  <c r="W132" i="16" s="1"/>
  <c r="Y132" i="16" s="1"/>
  <c r="AG129" i="14"/>
  <c r="AH129" i="14" s="1"/>
  <c r="AI129" i="14" s="1"/>
  <c r="AK129" i="14" s="1"/>
  <c r="U142" i="16" l="1"/>
  <c r="AG130" i="14"/>
  <c r="AH130" i="14" s="1"/>
  <c r="AI130" i="14" s="1"/>
  <c r="AK130" i="14" s="1"/>
  <c r="V133" i="16"/>
  <c r="W133" i="16" s="1"/>
  <c r="Y133" i="16" s="1"/>
  <c r="U143" i="16" l="1"/>
  <c r="V134" i="16"/>
  <c r="W134" i="16" s="1"/>
  <c r="Y134" i="16" s="1"/>
  <c r="AG131" i="14"/>
  <c r="AH131" i="14" s="1"/>
  <c r="AI131" i="14" s="1"/>
  <c r="AK131" i="14" s="1"/>
  <c r="U144" i="16" l="1"/>
  <c r="AG132" i="14"/>
  <c r="AH132" i="14" s="1"/>
  <c r="AI132" i="14" s="1"/>
  <c r="AK132" i="14" s="1"/>
  <c r="V135" i="16"/>
  <c r="W135" i="16" s="1"/>
  <c r="Y135" i="16" s="1"/>
  <c r="U145" i="16" l="1"/>
  <c r="V136" i="16"/>
  <c r="W136" i="16" s="1"/>
  <c r="Y136" i="16" s="1"/>
  <c r="AG133" i="14"/>
  <c r="AH133" i="14" s="1"/>
  <c r="AI133" i="14" s="1"/>
  <c r="AK133" i="14" s="1"/>
  <c r="U146" i="16" l="1"/>
  <c r="V137" i="16"/>
  <c r="W137" i="16" s="1"/>
  <c r="Y137" i="16" s="1"/>
  <c r="AG134" i="14"/>
  <c r="AH134" i="14" s="1"/>
  <c r="AI134" i="14" s="1"/>
  <c r="AK134" i="14" s="1"/>
  <c r="U147" i="16" l="1"/>
  <c r="V138" i="16"/>
  <c r="W138" i="16" s="1"/>
  <c r="Y138" i="16" s="1"/>
  <c r="AG135" i="14"/>
  <c r="AH135" i="14" s="1"/>
  <c r="AI135" i="14" s="1"/>
  <c r="AK135" i="14" s="1"/>
  <c r="U148" i="16" l="1"/>
  <c r="V139" i="16"/>
  <c r="W139" i="16" s="1"/>
  <c r="Y139" i="16" s="1"/>
  <c r="AG136" i="14"/>
  <c r="AH136" i="14" s="1"/>
  <c r="AI136" i="14" s="1"/>
  <c r="AK136" i="14" s="1"/>
  <c r="U149" i="16" l="1"/>
  <c r="AG137" i="14"/>
  <c r="AH137" i="14" s="1"/>
  <c r="AI137" i="14" s="1"/>
  <c r="AK137" i="14" s="1"/>
  <c r="V140" i="16"/>
  <c r="W140" i="16" s="1"/>
  <c r="Y140" i="16" s="1"/>
  <c r="U150" i="16" l="1"/>
  <c r="V141" i="16"/>
  <c r="W141" i="16" s="1"/>
  <c r="Y141" i="16" s="1"/>
  <c r="AG138" i="14"/>
  <c r="AH138" i="14" s="1"/>
  <c r="AI138" i="14" s="1"/>
  <c r="AK138" i="14" s="1"/>
  <c r="U151" i="16" l="1"/>
  <c r="V142" i="16"/>
  <c r="W142" i="16" s="1"/>
  <c r="Y142" i="16" s="1"/>
  <c r="AG139" i="14"/>
  <c r="AH139" i="14" s="1"/>
  <c r="AI139" i="14" s="1"/>
  <c r="AK139" i="14" s="1"/>
  <c r="U152" i="16" l="1"/>
  <c r="AG140" i="14"/>
  <c r="AH140" i="14" s="1"/>
  <c r="AI140" i="14" s="1"/>
  <c r="AK140" i="14" s="1"/>
  <c r="V143" i="16"/>
  <c r="W143" i="16" s="1"/>
  <c r="Y143" i="16" s="1"/>
  <c r="U153" i="16" l="1"/>
  <c r="V144" i="16"/>
  <c r="W144" i="16" s="1"/>
  <c r="Y144" i="16" s="1"/>
  <c r="AG141" i="14"/>
  <c r="AH141" i="14" s="1"/>
  <c r="AI141" i="14" s="1"/>
  <c r="AK141" i="14" s="1"/>
  <c r="U154" i="16" l="1"/>
  <c r="AG142" i="14"/>
  <c r="AH142" i="14" s="1"/>
  <c r="AI142" i="14" s="1"/>
  <c r="AK142" i="14" s="1"/>
  <c r="V145" i="16"/>
  <c r="W145" i="16" s="1"/>
  <c r="Y145" i="16" s="1"/>
  <c r="U155" i="16" l="1"/>
  <c r="AG143" i="14"/>
  <c r="AH143" i="14" s="1"/>
  <c r="AI143" i="14" s="1"/>
  <c r="AK143" i="14" s="1"/>
  <c r="V146" i="16"/>
  <c r="W146" i="16" s="1"/>
  <c r="Y146" i="16" s="1"/>
  <c r="U156" i="16" l="1"/>
  <c r="V147" i="16"/>
  <c r="W147" i="16" s="1"/>
  <c r="Y147" i="16" s="1"/>
  <c r="AG144" i="14"/>
  <c r="AH144" i="14" s="1"/>
  <c r="AI144" i="14" s="1"/>
  <c r="AK144" i="14" s="1"/>
  <c r="U157" i="16" l="1"/>
  <c r="V148" i="16"/>
  <c r="W148" i="16" s="1"/>
  <c r="Y148" i="16" s="1"/>
  <c r="AG145" i="14"/>
  <c r="AH145" i="14" s="1"/>
  <c r="AI145" i="14" s="1"/>
  <c r="AK145" i="14" s="1"/>
  <c r="U158" i="16" l="1"/>
  <c r="AG146" i="14"/>
  <c r="AH146" i="14" s="1"/>
  <c r="AI146" i="14" s="1"/>
  <c r="AK146" i="14" s="1"/>
  <c r="V149" i="16"/>
  <c r="W149" i="16" s="1"/>
  <c r="Y149" i="16" s="1"/>
  <c r="U159" i="16" l="1"/>
  <c r="V150" i="16"/>
  <c r="W150" i="16" s="1"/>
  <c r="Y150" i="16" s="1"/>
  <c r="AG147" i="14"/>
  <c r="AH147" i="14" s="1"/>
  <c r="AI147" i="14" s="1"/>
  <c r="AK147" i="14" s="1"/>
  <c r="U160" i="16" l="1"/>
  <c r="AG148" i="14"/>
  <c r="AH148" i="14" s="1"/>
  <c r="AI148" i="14" s="1"/>
  <c r="AK148" i="14" s="1"/>
  <c r="V151" i="16"/>
  <c r="W151" i="16" s="1"/>
  <c r="Y151" i="16" s="1"/>
  <c r="U161" i="16" l="1"/>
  <c r="V152" i="16"/>
  <c r="W152" i="16" s="1"/>
  <c r="Y152" i="16" s="1"/>
  <c r="AG149" i="14"/>
  <c r="AH149" i="14" s="1"/>
  <c r="AI149" i="14" s="1"/>
  <c r="AK149" i="14" s="1"/>
  <c r="U162" i="16" l="1"/>
  <c r="V153" i="16"/>
  <c r="W153" i="16" s="1"/>
  <c r="Y153" i="16" s="1"/>
  <c r="AG150" i="14"/>
  <c r="AH150" i="14" s="1"/>
  <c r="AI150" i="14" s="1"/>
  <c r="AK150" i="14" s="1"/>
  <c r="U163" i="16" l="1"/>
  <c r="AG151" i="14"/>
  <c r="AH151" i="14" s="1"/>
  <c r="AI151" i="14" s="1"/>
  <c r="AK151" i="14" s="1"/>
  <c r="V154" i="16"/>
  <c r="W154" i="16" s="1"/>
  <c r="Y154" i="16" s="1"/>
  <c r="U164" i="16" l="1"/>
  <c r="V155" i="16"/>
  <c r="W155" i="16" s="1"/>
  <c r="Y155" i="16" s="1"/>
  <c r="AG152" i="14"/>
  <c r="AH152" i="14" s="1"/>
  <c r="AI152" i="14" s="1"/>
  <c r="AK152" i="14" s="1"/>
  <c r="U165" i="16" l="1"/>
  <c r="AG153" i="14"/>
  <c r="AH153" i="14" s="1"/>
  <c r="AI153" i="14" s="1"/>
  <c r="AK153" i="14" s="1"/>
  <c r="V156" i="16"/>
  <c r="W156" i="16" s="1"/>
  <c r="Y156" i="16" s="1"/>
  <c r="U166" i="16" l="1"/>
  <c r="V157" i="16"/>
  <c r="W157" i="16" s="1"/>
  <c r="Y157" i="16" s="1"/>
  <c r="AG154" i="14"/>
  <c r="AH154" i="14" s="1"/>
  <c r="AI154" i="14" s="1"/>
  <c r="AK154" i="14" s="1"/>
  <c r="U167" i="16" l="1"/>
  <c r="V158" i="16"/>
  <c r="W158" i="16" s="1"/>
  <c r="Y158" i="16" s="1"/>
  <c r="AG155" i="14"/>
  <c r="AH155" i="14" s="1"/>
  <c r="AI155" i="14" s="1"/>
  <c r="AK155" i="14" s="1"/>
  <c r="U168" i="16" l="1"/>
  <c r="AG156" i="14"/>
  <c r="AH156" i="14" s="1"/>
  <c r="AI156" i="14" s="1"/>
  <c r="AK156" i="14" s="1"/>
  <c r="V159" i="16"/>
  <c r="W159" i="16" s="1"/>
  <c r="Y159" i="16" s="1"/>
  <c r="U169" i="16" l="1"/>
  <c r="AG157" i="14"/>
  <c r="AH157" i="14" s="1"/>
  <c r="AI157" i="14" s="1"/>
  <c r="AK157" i="14" s="1"/>
  <c r="V160" i="16"/>
  <c r="W160" i="16" s="1"/>
  <c r="Y160" i="16" s="1"/>
  <c r="U170" i="16" l="1"/>
  <c r="AG158" i="14"/>
  <c r="AH158" i="14" s="1"/>
  <c r="AI158" i="14" s="1"/>
  <c r="AK158" i="14" s="1"/>
  <c r="V161" i="16"/>
  <c r="W161" i="16" s="1"/>
  <c r="Y161" i="16" s="1"/>
  <c r="U171" i="16" l="1"/>
  <c r="V162" i="16"/>
  <c r="W162" i="16" s="1"/>
  <c r="Y162" i="16" s="1"/>
  <c r="AG159" i="14"/>
  <c r="AH159" i="14" s="1"/>
  <c r="AI159" i="14" s="1"/>
  <c r="AK159" i="14" s="1"/>
  <c r="U172" i="16" l="1"/>
  <c r="AG160" i="14"/>
  <c r="AH160" i="14" s="1"/>
  <c r="AI160" i="14" s="1"/>
  <c r="AK160" i="14" s="1"/>
  <c r="V163" i="16"/>
  <c r="W163" i="16" s="1"/>
  <c r="Y163" i="16" s="1"/>
  <c r="U173" i="16" l="1"/>
  <c r="AG161" i="14"/>
  <c r="AH161" i="14" s="1"/>
  <c r="AI161" i="14" s="1"/>
  <c r="AK161" i="14" s="1"/>
  <c r="V164" i="16"/>
  <c r="W164" i="16" s="1"/>
  <c r="Y164" i="16" s="1"/>
  <c r="U174" i="16" l="1"/>
  <c r="AG162" i="14"/>
  <c r="AH162" i="14" s="1"/>
  <c r="AI162" i="14" s="1"/>
  <c r="AK162" i="14" s="1"/>
  <c r="V165" i="16"/>
  <c r="W165" i="16" s="1"/>
  <c r="Y165" i="16" s="1"/>
  <c r="U175" i="16" l="1"/>
  <c r="V166" i="16"/>
  <c r="W166" i="16" s="1"/>
  <c r="Y166" i="16" s="1"/>
  <c r="AG163" i="14"/>
  <c r="AH163" i="14" s="1"/>
  <c r="AI163" i="14" s="1"/>
  <c r="AK163" i="14" s="1"/>
  <c r="U176" i="16" l="1"/>
  <c r="V167" i="16"/>
  <c r="W167" i="16" s="1"/>
  <c r="Y167" i="16" s="1"/>
  <c r="AG164" i="14"/>
  <c r="AH164" i="14" s="1"/>
  <c r="AI164" i="14" s="1"/>
  <c r="AK164" i="14" s="1"/>
  <c r="U177" i="16" l="1"/>
  <c r="V168" i="16"/>
  <c r="W168" i="16" s="1"/>
  <c r="Y168" i="16" s="1"/>
  <c r="AG165" i="14"/>
  <c r="AH165" i="14" s="1"/>
  <c r="AI165" i="14" s="1"/>
  <c r="AK165" i="14" s="1"/>
  <c r="U178" i="16" l="1"/>
  <c r="AG166" i="14"/>
  <c r="AH166" i="14" s="1"/>
  <c r="AI166" i="14" s="1"/>
  <c r="AK166" i="14" s="1"/>
  <c r="V169" i="16"/>
  <c r="W169" i="16" s="1"/>
  <c r="Y169" i="16" s="1"/>
  <c r="U179" i="16" l="1"/>
  <c r="V170" i="16"/>
  <c r="W170" i="16" s="1"/>
  <c r="Y170" i="16" s="1"/>
  <c r="AG167" i="14"/>
  <c r="AH167" i="14" s="1"/>
  <c r="AI167" i="14" s="1"/>
  <c r="AK167" i="14" s="1"/>
  <c r="U180" i="16" l="1"/>
  <c r="AG168" i="14"/>
  <c r="AH168" i="14" s="1"/>
  <c r="AI168" i="14" s="1"/>
  <c r="AK168" i="14" s="1"/>
  <c r="V171" i="16"/>
  <c r="W171" i="16" s="1"/>
  <c r="Y171" i="16" s="1"/>
  <c r="U181" i="16" l="1"/>
  <c r="AG169" i="14"/>
  <c r="AH169" i="14" s="1"/>
  <c r="AI169" i="14" s="1"/>
  <c r="AK169" i="14" s="1"/>
  <c r="V172" i="16"/>
  <c r="W172" i="16" s="1"/>
  <c r="Y172" i="16" s="1"/>
  <c r="U182" i="16" l="1"/>
  <c r="AG170" i="14"/>
  <c r="AH170" i="14" s="1"/>
  <c r="AI170" i="14" s="1"/>
  <c r="AK170" i="14" s="1"/>
  <c r="V173" i="16"/>
  <c r="W173" i="16" s="1"/>
  <c r="Y173" i="16" s="1"/>
  <c r="U183" i="16" l="1"/>
  <c r="V174" i="16"/>
  <c r="W174" i="16" s="1"/>
  <c r="Y174" i="16" s="1"/>
  <c r="AG171" i="14"/>
  <c r="AH171" i="14" s="1"/>
  <c r="AI171" i="14" s="1"/>
  <c r="AK171" i="14" s="1"/>
  <c r="U184" i="16" l="1"/>
  <c r="V175" i="16"/>
  <c r="W175" i="16" s="1"/>
  <c r="Y175" i="16" s="1"/>
  <c r="AG172" i="14"/>
  <c r="AH172" i="14" s="1"/>
  <c r="AI172" i="14" s="1"/>
  <c r="AK172" i="14" s="1"/>
  <c r="U185" i="16" l="1"/>
  <c r="AG173" i="14"/>
  <c r="AH173" i="14" s="1"/>
  <c r="AI173" i="14" s="1"/>
  <c r="AK173" i="14" s="1"/>
  <c r="V176" i="16"/>
  <c r="W176" i="16" s="1"/>
  <c r="Y176" i="16" s="1"/>
  <c r="U186" i="16" l="1"/>
  <c r="V177" i="16"/>
  <c r="W177" i="16" s="1"/>
  <c r="Y177" i="16" s="1"/>
  <c r="AG174" i="14"/>
  <c r="AH174" i="14" s="1"/>
  <c r="AI174" i="14" s="1"/>
  <c r="AK174" i="14" s="1"/>
  <c r="U187" i="16" l="1"/>
  <c r="AG175" i="14"/>
  <c r="AH175" i="14" s="1"/>
  <c r="AI175" i="14" s="1"/>
  <c r="AK175" i="14" s="1"/>
  <c r="V178" i="16"/>
  <c r="W178" i="16" s="1"/>
  <c r="Y178" i="16" s="1"/>
  <c r="U188" i="16" l="1"/>
  <c r="AG176" i="14"/>
  <c r="AH176" i="14" s="1"/>
  <c r="AI176" i="14" s="1"/>
  <c r="AK176" i="14" s="1"/>
  <c r="V179" i="16"/>
  <c r="W179" i="16" s="1"/>
  <c r="Y179" i="16" s="1"/>
  <c r="U189" i="16" l="1"/>
  <c r="V180" i="16"/>
  <c r="W180" i="16" s="1"/>
  <c r="Y180" i="16" s="1"/>
  <c r="AG177" i="14"/>
  <c r="AH177" i="14" s="1"/>
  <c r="AI177" i="14" s="1"/>
  <c r="AK177" i="14" s="1"/>
  <c r="U190" i="16" l="1"/>
  <c r="AG178" i="14"/>
  <c r="AH178" i="14" s="1"/>
  <c r="AI178" i="14" s="1"/>
  <c r="AK178" i="14" s="1"/>
  <c r="V181" i="16"/>
  <c r="W181" i="16" s="1"/>
  <c r="Y181" i="16" s="1"/>
  <c r="U191" i="16" l="1"/>
  <c r="V182" i="16"/>
  <c r="W182" i="16" s="1"/>
  <c r="Y182" i="16" s="1"/>
  <c r="AG179" i="14"/>
  <c r="AH179" i="14" s="1"/>
  <c r="AI179" i="14" s="1"/>
  <c r="AK179" i="14" s="1"/>
  <c r="U192" i="16" l="1"/>
  <c r="V183" i="16"/>
  <c r="W183" i="16" s="1"/>
  <c r="Y183" i="16" s="1"/>
  <c r="AG180" i="14"/>
  <c r="AH180" i="14" s="1"/>
  <c r="AI180" i="14" s="1"/>
  <c r="AK180" i="14" s="1"/>
  <c r="U193" i="16" l="1"/>
  <c r="AG181" i="14"/>
  <c r="AH181" i="14" s="1"/>
  <c r="AI181" i="14" s="1"/>
  <c r="AK181" i="14" s="1"/>
  <c r="V184" i="16"/>
  <c r="W184" i="16" s="1"/>
  <c r="Y184" i="16" s="1"/>
  <c r="U194" i="16" l="1"/>
  <c r="V185" i="16"/>
  <c r="W185" i="16" s="1"/>
  <c r="Y185" i="16" s="1"/>
  <c r="AG182" i="14"/>
  <c r="AH182" i="14" s="1"/>
  <c r="AI182" i="14" s="1"/>
  <c r="AK182" i="14" s="1"/>
  <c r="U195" i="16" l="1"/>
  <c r="AG183" i="14"/>
  <c r="AH183" i="14" s="1"/>
  <c r="AI183" i="14" s="1"/>
  <c r="AK183" i="14" s="1"/>
  <c r="V186" i="16"/>
  <c r="W186" i="16" s="1"/>
  <c r="Y186" i="16" s="1"/>
  <c r="U196" i="16" l="1"/>
  <c r="AG184" i="14"/>
  <c r="AH184" i="14" s="1"/>
  <c r="AI184" i="14" s="1"/>
  <c r="AK184" i="14" s="1"/>
  <c r="V187" i="16"/>
  <c r="W187" i="16" s="1"/>
  <c r="Y187" i="16" s="1"/>
  <c r="U197" i="16" l="1"/>
  <c r="V188" i="16"/>
  <c r="W188" i="16" s="1"/>
  <c r="Y188" i="16" s="1"/>
  <c r="AG185" i="14"/>
  <c r="AH185" i="14" s="1"/>
  <c r="AI185" i="14" s="1"/>
  <c r="AK185" i="14" s="1"/>
  <c r="U198" i="16" l="1"/>
  <c r="V189" i="16"/>
  <c r="W189" i="16" s="1"/>
  <c r="Y189" i="16" s="1"/>
  <c r="AG186" i="14"/>
  <c r="AH186" i="14" s="1"/>
  <c r="AI186" i="14" s="1"/>
  <c r="AK186" i="14" s="1"/>
  <c r="U199" i="16" l="1"/>
  <c r="V190" i="16"/>
  <c r="W190" i="16" s="1"/>
  <c r="Y190" i="16" s="1"/>
  <c r="AG187" i="14"/>
  <c r="AH187" i="14" s="1"/>
  <c r="AI187" i="14" s="1"/>
  <c r="AK187" i="14" s="1"/>
  <c r="U200" i="16" l="1"/>
  <c r="V191" i="16"/>
  <c r="W191" i="16" s="1"/>
  <c r="Y191" i="16" s="1"/>
  <c r="AG188" i="14"/>
  <c r="AH188" i="14" s="1"/>
  <c r="AI188" i="14" s="1"/>
  <c r="AK188" i="14" s="1"/>
  <c r="U201" i="16" l="1"/>
  <c r="AG189" i="14"/>
  <c r="AH189" i="14" s="1"/>
  <c r="AI189" i="14" s="1"/>
  <c r="AK189" i="14" s="1"/>
  <c r="V192" i="16"/>
  <c r="W192" i="16" s="1"/>
  <c r="Y192" i="16" s="1"/>
  <c r="U202" i="16" l="1"/>
  <c r="V193" i="16"/>
  <c r="W193" i="16" s="1"/>
  <c r="Y193" i="16" s="1"/>
  <c r="AG190" i="14"/>
  <c r="AH190" i="14" s="1"/>
  <c r="AI190" i="14" s="1"/>
  <c r="AK190" i="14" s="1"/>
  <c r="U203" i="16" l="1"/>
  <c r="AG191" i="14"/>
  <c r="AH191" i="14" s="1"/>
  <c r="AI191" i="14" s="1"/>
  <c r="AK191" i="14" s="1"/>
  <c r="V194" i="16"/>
  <c r="W194" i="16" s="1"/>
  <c r="Y194" i="16" s="1"/>
  <c r="U204" i="16" l="1"/>
  <c r="U205" i="16"/>
  <c r="V195" i="16"/>
  <c r="W195" i="16" s="1"/>
  <c r="Y195" i="16" s="1"/>
  <c r="AG192" i="14"/>
  <c r="AH192" i="14" s="1"/>
  <c r="AI192" i="14" s="1"/>
  <c r="AK192" i="14" s="1"/>
  <c r="AG193" i="14" l="1"/>
  <c r="AH193" i="14" s="1"/>
  <c r="AI193" i="14" s="1"/>
  <c r="AK193" i="14" s="1"/>
  <c r="V196" i="16"/>
  <c r="W196" i="16" s="1"/>
  <c r="Y196" i="16" s="1"/>
  <c r="AG194" i="14" l="1"/>
  <c r="AH194" i="14" s="1"/>
  <c r="AI194" i="14" s="1"/>
  <c r="AK194" i="14" s="1"/>
  <c r="V197" i="16"/>
  <c r="W197" i="16" s="1"/>
  <c r="Y197" i="16" s="1"/>
  <c r="V198" i="16" l="1"/>
  <c r="W198" i="16" s="1"/>
  <c r="Y198" i="16" s="1"/>
  <c r="AG195" i="14"/>
  <c r="AH195" i="14" s="1"/>
  <c r="AI195" i="14" s="1"/>
  <c r="AK195" i="14" s="1"/>
  <c r="V199" i="16" l="1"/>
  <c r="W199" i="16" s="1"/>
  <c r="Y199" i="16" s="1"/>
  <c r="AG196" i="14"/>
  <c r="AH196" i="14" s="1"/>
  <c r="AI196" i="14" s="1"/>
  <c r="AK196" i="14" s="1"/>
  <c r="V200" i="16" l="1"/>
  <c r="W200" i="16" s="1"/>
  <c r="Y200" i="16" s="1"/>
  <c r="AG197" i="14"/>
  <c r="AH197" i="14" s="1"/>
  <c r="AI197" i="14" s="1"/>
  <c r="AK197" i="14" s="1"/>
  <c r="V201" i="16" l="1"/>
  <c r="W201" i="16" s="1"/>
  <c r="Y201" i="16" s="1"/>
  <c r="AG198" i="14"/>
  <c r="AH198" i="14" s="1"/>
  <c r="AI198" i="14" s="1"/>
  <c r="AK198" i="14" s="1"/>
  <c r="V202" i="16" l="1"/>
  <c r="W202" i="16" s="1"/>
  <c r="Y202" i="16" s="1"/>
  <c r="AG199" i="14"/>
  <c r="AH199" i="14" s="1"/>
  <c r="AI199" i="14" s="1"/>
  <c r="AK199" i="14" s="1"/>
  <c r="AG200" i="14" l="1"/>
  <c r="AH200" i="14" s="1"/>
  <c r="AI200" i="14" s="1"/>
  <c r="AK200" i="14" s="1"/>
  <c r="V203" i="16"/>
  <c r="W203" i="16" s="1"/>
  <c r="Y203" i="16" s="1"/>
  <c r="V204" i="16" l="1"/>
  <c r="W204" i="16" s="1"/>
  <c r="Y204" i="16" s="1"/>
  <c r="V205" i="16"/>
  <c r="AG201" i="14"/>
  <c r="AH201" i="14" s="1"/>
  <c r="AI201" i="14" s="1"/>
  <c r="AK201" i="14" s="1"/>
  <c r="W205" i="16" l="1"/>
  <c r="AG202" i="14"/>
  <c r="AH202" i="14" s="1"/>
  <c r="AI202" i="14" s="1"/>
  <c r="AK202" i="14" s="1"/>
  <c r="AB11" i="16" l="1"/>
  <c r="Y205" i="16"/>
  <c r="AB7" i="16"/>
  <c r="AB8" i="16"/>
  <c r="AB9" i="16"/>
  <c r="AG203" i="14"/>
  <c r="AH203" i="14" s="1"/>
  <c r="AI203" i="14" s="1"/>
  <c r="AK203" i="14" s="1"/>
  <c r="AG204" i="14" l="1"/>
  <c r="AH204" i="14" s="1"/>
  <c r="AI204" i="14" s="1"/>
  <c r="AK204" i="14" s="1"/>
  <c r="AG205" i="14"/>
  <c r="AH205" i="14" s="1"/>
  <c r="AI1" i="14" l="1"/>
  <c r="AI205" i="14"/>
  <c r="AK205" i="14" s="1"/>
  <c r="AI3" i="14"/>
  <c r="AI2" i="14"/>
  <c r="AN11" i="14" l="1"/>
  <c r="AN9" i="14"/>
  <c r="AN7" i="14"/>
  <c r="AN8" i="14"/>
</calcChain>
</file>

<file path=xl/sharedStrings.xml><?xml version="1.0" encoding="utf-8"?>
<sst xmlns="http://schemas.openxmlformats.org/spreadsheetml/2006/main" count="150" uniqueCount="98">
  <si>
    <t>Mean</t>
  </si>
  <si>
    <t>St Dev</t>
  </si>
  <si>
    <t>Expected</t>
  </si>
  <si>
    <t>Tolerance</t>
  </si>
  <si>
    <t>Check</t>
  </si>
  <si>
    <t>Cumulative frequency</t>
  </si>
  <si>
    <t>Less than</t>
  </si>
  <si>
    <t>Frequency</t>
  </si>
  <si>
    <t>Count</t>
  </si>
  <si>
    <t>Total</t>
  </si>
  <si>
    <t>&lt;0</t>
  </si>
  <si>
    <t>Greater than</t>
  </si>
  <si>
    <t>Interest rate movements</t>
  </si>
  <si>
    <t>1.5 to 2.0</t>
  </si>
  <si>
    <t>&gt;=2.0</t>
  </si>
  <si>
    <t>Simulation</t>
  </si>
  <si>
    <t>Month</t>
  </si>
  <si>
    <t>Average</t>
  </si>
  <si>
    <t>&lt;-2.0</t>
  </si>
  <si>
    <t>Int_rate_movements</t>
  </si>
  <si>
    <t>Average interest tolerance</t>
  </si>
  <si>
    <t>Int_check_tolerance</t>
  </si>
  <si>
    <t>Base interest rate</t>
  </si>
  <si>
    <t>Base_int_rate</t>
  </si>
  <si>
    <t>Check average close to starting position</t>
  </si>
  <si>
    <t>&gt;0</t>
  </si>
  <si>
    <t>Mortgage annuity</t>
  </si>
  <si>
    <t>Annuity rate</t>
  </si>
  <si>
    <t>Mortgage Term</t>
  </si>
  <si>
    <t>years</t>
  </si>
  <si>
    <t>Mort_term</t>
  </si>
  <si>
    <t>House price</t>
  </si>
  <si>
    <t>House_price</t>
  </si>
  <si>
    <t>Financial projection</t>
  </si>
  <si>
    <t>Deposit with interest</t>
  </si>
  <si>
    <t>Mortgage amount</t>
  </si>
  <si>
    <t>Fixed projection</t>
  </si>
  <si>
    <t>Simulations</t>
  </si>
  <si>
    <t>Fixed interest rate</t>
  </si>
  <si>
    <t>Fixed_int</t>
  </si>
  <si>
    <t>Deposit investment term</t>
  </si>
  <si>
    <t>Dep_term</t>
  </si>
  <si>
    <t>Chi squared test</t>
  </si>
  <si>
    <t>Observed</t>
  </si>
  <si>
    <t>Cumulative</t>
  </si>
  <si>
    <t>(O-E)^2/E</t>
  </si>
  <si>
    <t>Degrees of freedom</t>
  </si>
  <si>
    <t>Result of Chi-squared test</t>
  </si>
  <si>
    <t>Alternative scenario</t>
  </si>
  <si>
    <t>Dep_term_alt</t>
  </si>
  <si>
    <t>year</t>
  </si>
  <si>
    <t>Fixed term for mortgage</t>
  </si>
  <si>
    <t>Product_term_alt</t>
  </si>
  <si>
    <t>Product_term</t>
  </si>
  <si>
    <t>Monthly Deposit Saving</t>
  </si>
  <si>
    <t>Deposit_mon</t>
  </si>
  <si>
    <t>Projection</t>
  </si>
  <si>
    <t>Start</t>
  </si>
  <si>
    <t>Check on accumulation</t>
  </si>
  <si>
    <t>Expected accumulation</t>
  </si>
  <si>
    <t>Mortgage required</t>
  </si>
  <si>
    <t>Month - start of</t>
  </si>
  <si>
    <t>Annual int rate</t>
  </si>
  <si>
    <t xml:space="preserve">Monthly Deposit Saving </t>
  </si>
  <si>
    <t>Deposit_mon_alt</t>
  </si>
  <si>
    <t>Count of Errors</t>
  </si>
  <si>
    <t>Analysis of difference in total mortgage repayments between fixed rate option and variable rate option</t>
  </si>
  <si>
    <t>Maximum</t>
  </si>
  <si>
    <t>Minimum</t>
  </si>
  <si>
    <t>Total repayments under fixed option less total repayments under variable option</t>
  </si>
  <si>
    <t>Probability Fixed &lt; Variable</t>
  </si>
  <si>
    <t>Min</t>
  </si>
  <si>
    <t>Max</t>
  </si>
  <si>
    <t>Test Statistic (85% confidence)</t>
  </si>
  <si>
    <t>Variable interest rate convertible monthly</t>
  </si>
  <si>
    <t>Period of payments</t>
  </si>
  <si>
    <t>months</t>
  </si>
  <si>
    <t>Fixed_freq</t>
  </si>
  <si>
    <t>Var_freq</t>
  </si>
  <si>
    <t>Rate of interest</t>
  </si>
  <si>
    <t>i</t>
  </si>
  <si>
    <t>Rate of interest convertible monthly</t>
  </si>
  <si>
    <r>
      <t>i</t>
    </r>
    <r>
      <rPr>
        <i/>
        <vertAlign val="superscript"/>
        <sz val="11"/>
        <color theme="1"/>
        <rFont val="Calibri"/>
        <family val="2"/>
        <scheme val="minor"/>
      </rPr>
      <t>(12)</t>
    </r>
  </si>
  <si>
    <t>Interest rate convertible monthly</t>
  </si>
  <si>
    <t>$</t>
  </si>
  <si>
    <t xml:space="preserve"> -2.0 to -1.5</t>
  </si>
  <si>
    <t>-1.5 to 1.5</t>
  </si>
  <si>
    <t>Monthly repayment</t>
  </si>
  <si>
    <t>Total monthly repayments</t>
  </si>
  <si>
    <t>Check annual equiv to monthly</t>
  </si>
  <si>
    <t>Fixed rate projection</t>
  </si>
  <si>
    <t>Projection of variable interest rate</t>
  </si>
  <si>
    <t>Scenario 2 - Alternative product</t>
  </si>
  <si>
    <t>Deposit accumulation ($)</t>
  </si>
  <si>
    <t>All amounts in $</t>
  </si>
  <si>
    <t>Cashflow projection and mortgage calculation using projection of variable interest rates</t>
  </si>
  <si>
    <t>Scenario 2 - Alternative product - Cashflow projection and mortgage calculation using projection of variable interest rates</t>
  </si>
  <si>
    <t>Rawdata and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</si>
</sst>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"/>
    <numFmt numFmtId="165" formatCode="0.0%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0.000%"/>
    <numFmt numFmtId="170" formatCode="0.0000"/>
    <numFmt numFmtId="171" formatCode="#,##0.000"/>
    <numFmt numFmtId="172" formatCode="0.0"/>
    <numFmt numFmtId="173" formatCode="[$$-409]#,##0"/>
    <numFmt numFmtId="174" formatCode="[$$-409]#,##0.00"/>
    <numFmt numFmtId="175" formatCode="[$$-409]#,##0_ ;\-[$$-409]#,##0\ "/>
    <numFmt numFmtId="176" formatCode="[$$-409]#,##0.00_ ;\-[$$-409]#,##0.0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2" applyNumberFormat="1" applyFont="1"/>
    <xf numFmtId="0" fontId="2" fillId="0" borderId="0" xfId="0" applyFont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2" fontId="0" fillId="0" borderId="0" xfId="0" applyNumberFormat="1"/>
    <xf numFmtId="166" fontId="0" fillId="2" borderId="0" xfId="0" applyNumberFormat="1" applyFill="1"/>
    <xf numFmtId="10" fontId="0" fillId="0" borderId="0" xfId="0" applyNumberFormat="1"/>
    <xf numFmtId="0" fontId="0" fillId="0" borderId="0" xfId="0" quotePrefix="1" applyAlignment="1">
      <alignment horizontal="center"/>
    </xf>
    <xf numFmtId="17" fontId="0" fillId="0" borderId="0" xfId="0" applyNumberFormat="1" applyAlignment="1">
      <alignment horizontal="right"/>
    </xf>
    <xf numFmtId="0" fontId="0" fillId="0" borderId="0" xfId="0" applyFont="1" applyAlignment="1">
      <alignment horizontal="left"/>
    </xf>
    <xf numFmtId="10" fontId="1" fillId="0" borderId="0" xfId="1" applyNumberFormat="1" applyFont="1" applyAlignment="1">
      <alignment horizontal="right" wrapText="1"/>
    </xf>
    <xf numFmtId="10" fontId="0" fillId="0" borderId="0" xfId="0" applyNumberFormat="1" applyAlignment="1">
      <alignment horizontal="right"/>
    </xf>
    <xf numFmtId="0" fontId="4" fillId="0" borderId="0" xfId="0" applyFont="1"/>
    <xf numFmtId="0" fontId="0" fillId="0" borderId="1" xfId="0" applyBorder="1"/>
    <xf numFmtId="10" fontId="0" fillId="0" borderId="4" xfId="0" applyNumberFormat="1" applyBorder="1"/>
    <xf numFmtId="166" fontId="0" fillId="0" borderId="0" xfId="0" applyNumberFormat="1" applyAlignment="1">
      <alignment horizontal="center"/>
    </xf>
    <xf numFmtId="0" fontId="0" fillId="2" borderId="0" xfId="0" applyFill="1"/>
    <xf numFmtId="10" fontId="1" fillId="2" borderId="0" xfId="1" applyNumberFormat="1" applyFont="1" applyFill="1" applyAlignment="1">
      <alignment horizontal="right" wrapText="1"/>
    </xf>
    <xf numFmtId="10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right"/>
    </xf>
    <xf numFmtId="169" fontId="0" fillId="0" borderId="0" xfId="1" applyNumberFormat="1" applyFont="1" applyAlignment="1">
      <alignment horizontal="right" wrapText="1"/>
    </xf>
    <xf numFmtId="170" fontId="0" fillId="0" borderId="0" xfId="0" applyNumberFormat="1" applyAlignment="1">
      <alignment horizontal="right" wrapText="1"/>
    </xf>
    <xf numFmtId="1" fontId="0" fillId="0" borderId="0" xfId="0" applyNumberFormat="1"/>
    <xf numFmtId="0" fontId="5" fillId="0" borderId="0" xfId="0" applyFont="1"/>
    <xf numFmtId="3" fontId="0" fillId="0" borderId="0" xfId="0" applyNumberFormat="1"/>
    <xf numFmtId="166" fontId="0" fillId="0" borderId="0" xfId="0" applyNumberFormat="1" applyAlignment="1">
      <alignment horizontal="right"/>
    </xf>
    <xf numFmtId="0" fontId="6" fillId="0" borderId="0" xfId="0" applyFont="1"/>
    <xf numFmtId="0" fontId="0" fillId="0" borderId="0" xfId="0" applyFont="1"/>
    <xf numFmtId="10" fontId="0" fillId="0" borderId="0" xfId="1" applyNumberFormat="1" applyFont="1"/>
    <xf numFmtId="43" fontId="0" fillId="0" borderId="0" xfId="0" applyNumberFormat="1"/>
    <xf numFmtId="17" fontId="0" fillId="0" borderId="0" xfId="0" applyNumberFormat="1" applyAlignment="1">
      <alignment horizontal="left"/>
    </xf>
    <xf numFmtId="43" fontId="0" fillId="0" borderId="0" xfId="2" quotePrefix="1" applyFont="1"/>
    <xf numFmtId="4" fontId="0" fillId="0" borderId="0" xfId="0" applyNumberFormat="1" applyAlignment="1">
      <alignment horizontal="left"/>
    </xf>
    <xf numFmtId="166" fontId="0" fillId="0" borderId="0" xfId="0" applyNumberFormat="1"/>
    <xf numFmtId="171" fontId="0" fillId="2" borderId="0" xfId="0" applyNumberFormat="1" applyFill="1"/>
    <xf numFmtId="0" fontId="2" fillId="0" borderId="0" xfId="0" applyFont="1" applyAlignment="1">
      <alignment horizontal="right" wrapText="1"/>
    </xf>
    <xf numFmtId="43" fontId="0" fillId="0" borderId="0" xfId="2" applyFont="1"/>
    <xf numFmtId="10" fontId="0" fillId="0" borderId="0" xfId="1" applyNumberFormat="1" applyFont="1" applyAlignment="1">
      <alignment horizontal="right" wrapText="1"/>
    </xf>
    <xf numFmtId="10" fontId="0" fillId="2" borderId="0" xfId="1" applyNumberFormat="1" applyFont="1" applyFill="1" applyAlignment="1">
      <alignment horizontal="right" wrapText="1"/>
    </xf>
    <xf numFmtId="166" fontId="0" fillId="2" borderId="0" xfId="2" applyNumberFormat="1" applyFont="1" applyFill="1"/>
    <xf numFmtId="0" fontId="0" fillId="2" borderId="0" xfId="0" applyFill="1" applyAlignment="1">
      <alignment horizontal="right"/>
    </xf>
    <xf numFmtId="10" fontId="2" fillId="0" borderId="0" xfId="1" applyNumberFormat="1" applyFont="1" applyAlignment="1">
      <alignment horizontal="right" wrapText="1"/>
    </xf>
    <xf numFmtId="165" fontId="0" fillId="0" borderId="0" xfId="1" applyNumberFormat="1" applyFont="1"/>
    <xf numFmtId="166" fontId="0" fillId="0" borderId="0" xfId="2" applyNumberFormat="1" applyFont="1" applyAlignment="1">
      <alignment horizontal="right"/>
    </xf>
    <xf numFmtId="166" fontId="0" fillId="2" borderId="0" xfId="2" applyNumberFormat="1" applyFont="1" applyFill="1" applyAlignment="1">
      <alignment horizontal="right"/>
    </xf>
    <xf numFmtId="10" fontId="0" fillId="2" borderId="0" xfId="0" applyNumberFormat="1" applyFont="1" applyFill="1" applyAlignment="1">
      <alignment horizontal="right" wrapText="1"/>
    </xf>
    <xf numFmtId="0" fontId="7" fillId="0" borderId="0" xfId="0" applyFont="1"/>
    <xf numFmtId="0" fontId="0" fillId="0" borderId="7" xfId="0" applyBorder="1" applyAlignment="1">
      <alignment horizontal="center"/>
    </xf>
    <xf numFmtId="10" fontId="0" fillId="0" borderId="2" xfId="1" applyNumberFormat="1" applyFont="1" applyBorder="1"/>
    <xf numFmtId="10" fontId="0" fillId="0" borderId="6" xfId="0" applyNumberFormat="1" applyBorder="1"/>
    <xf numFmtId="172" fontId="0" fillId="0" borderId="3" xfId="0" applyNumberFormat="1" applyBorder="1"/>
    <xf numFmtId="172" fontId="0" fillId="0" borderId="5" xfId="0" applyNumberFormat="1" applyBorder="1"/>
    <xf numFmtId="0" fontId="0" fillId="0" borderId="0" xfId="0" applyAlignment="1">
      <alignment horizontal="center"/>
    </xf>
    <xf numFmtId="173" fontId="0" fillId="0" borderId="0" xfId="0" applyNumberFormat="1"/>
    <xf numFmtId="174" fontId="0" fillId="0" borderId="0" xfId="0" applyNumberFormat="1"/>
    <xf numFmtId="175" fontId="0" fillId="0" borderId="0" xfId="2" applyNumberFormat="1" applyFont="1" applyAlignment="1">
      <alignment horizontal="right" wrapText="1"/>
    </xf>
    <xf numFmtId="176" fontId="0" fillId="0" borderId="0" xfId="2" applyNumberFormat="1" applyFont="1" applyAlignment="1">
      <alignment horizontal="right" wrapText="1"/>
    </xf>
    <xf numFmtId="164" fontId="3" fillId="0" borderId="0" xfId="0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 wrapText="1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</a:t>
            </a:r>
            <a:r>
              <a:rPr lang="en-GB" baseline="0"/>
              <a:t> of random numbers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Rawdata!$Z$14:$Z$29</c:f>
              <c:numCache>
                <c:formatCode>0.000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 formatCode="General">
                  <c:v>3.5</c:v>
                </c:pt>
              </c:numCache>
            </c:numRef>
          </c:cat>
          <c:val>
            <c:numRef>
              <c:f>Rawdata!$Z$14:$Z$29</c:f>
              <c:numCache>
                <c:formatCode>0.000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 formatCode="General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1FA-4575-8769-07126772422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Rawdata!$Z$14:$Z$29</c:f>
              <c:numCache>
                <c:formatCode>0.000</c:formatCode>
                <c:ptCount val="16"/>
                <c:pt idx="0">
                  <c:v>-3.5</c:v>
                </c:pt>
                <c:pt idx="1">
                  <c:v>-3</c:v>
                </c:pt>
                <c:pt idx="2">
                  <c:v>-2.5</c:v>
                </c:pt>
                <c:pt idx="3">
                  <c:v>-2</c:v>
                </c:pt>
                <c:pt idx="4">
                  <c:v>-1.5</c:v>
                </c:pt>
                <c:pt idx="5">
                  <c:v>-1</c:v>
                </c:pt>
                <c:pt idx="6">
                  <c:v>-0.5</c:v>
                </c:pt>
                <c:pt idx="7">
                  <c:v>0</c:v>
                </c:pt>
                <c:pt idx="8">
                  <c:v>0.5</c:v>
                </c:pt>
                <c:pt idx="9">
                  <c:v>1</c:v>
                </c:pt>
                <c:pt idx="10">
                  <c:v>1.5</c:v>
                </c:pt>
                <c:pt idx="11">
                  <c:v>2</c:v>
                </c:pt>
                <c:pt idx="12">
                  <c:v>2.5</c:v>
                </c:pt>
                <c:pt idx="13">
                  <c:v>3</c:v>
                </c:pt>
                <c:pt idx="14">
                  <c:v>3.5</c:v>
                </c:pt>
                <c:pt idx="15" formatCode="General">
                  <c:v>3.5</c:v>
                </c:pt>
              </c:numCache>
            </c:numRef>
          </c:cat>
          <c:val>
            <c:numRef>
              <c:f>Rawdata!$AC$14:$AC$29</c:f>
              <c:numCache>
                <c:formatCode>General</c:formatCode>
                <c:ptCount val="16"/>
                <c:pt idx="0">
                  <c:v>0</c:v>
                </c:pt>
                <c:pt idx="1">
                  <c:v>6</c:v>
                </c:pt>
                <c:pt idx="2">
                  <c:v>19</c:v>
                </c:pt>
                <c:pt idx="3">
                  <c:v>74</c:v>
                </c:pt>
                <c:pt idx="4">
                  <c:v>209</c:v>
                </c:pt>
                <c:pt idx="5">
                  <c:v>448</c:v>
                </c:pt>
                <c:pt idx="6">
                  <c:v>759</c:v>
                </c:pt>
                <c:pt idx="7">
                  <c:v>916</c:v>
                </c:pt>
                <c:pt idx="8">
                  <c:v>875</c:v>
                </c:pt>
                <c:pt idx="9">
                  <c:v>724</c:v>
                </c:pt>
                <c:pt idx="10">
                  <c:v>452</c:v>
                </c:pt>
                <c:pt idx="11">
                  <c:v>215</c:v>
                </c:pt>
                <c:pt idx="12">
                  <c:v>71</c:v>
                </c:pt>
                <c:pt idx="13">
                  <c:v>25</c:v>
                </c:pt>
                <c:pt idx="14">
                  <c:v>5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4-49EB-B300-AC3F8787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653792"/>
        <c:axId val="699650840"/>
      </c:barChart>
      <c:catAx>
        <c:axId val="699653792"/>
        <c:scaling>
          <c:orientation val="minMax"/>
        </c:scaling>
        <c:delete val="0"/>
        <c:axPos val="b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650840"/>
        <c:crosses val="autoZero"/>
        <c:auto val="1"/>
        <c:lblAlgn val="ctr"/>
        <c:lblOffset val="100"/>
        <c:noMultiLvlLbl val="0"/>
      </c:catAx>
      <c:valAx>
        <c:axId val="699650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6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1031082</xdr:colOff>
      <xdr:row>30</xdr:row>
      <xdr:rowOff>142082</xdr:rowOff>
    </xdr:from>
    <xdr:to>
      <xdr:col>30</xdr:col>
      <xdr:colOff>729457</xdr:colOff>
      <xdr:row>45</xdr:row>
      <xdr:rowOff>146844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202"/>
  <sheetViews>
    <sheetView tabSelected="1" zoomScale="70" zoomScaleNormal="70" workbookViewId="0"/>
  </sheetViews>
  <sheetFormatPr defaultRowHeight="14.5" x14ac:dyDescent="0.35"/>
  <cols>
    <col min="1" max="24" width="6.6328125" style="1" customWidth="1"/>
    <col min="25" max="25" width="14.7265625" customWidth="1"/>
    <col min="26" max="26" width="11.26953125" bestFit="1" customWidth="1"/>
    <col min="27" max="27" width="13.7265625" bestFit="1" customWidth="1"/>
    <col min="28" max="28" width="5.81640625" customWidth="1"/>
    <col min="29" max="29" width="11.7265625" style="2" customWidth="1"/>
    <col min="30" max="30" width="12.453125" style="2" customWidth="1"/>
    <col min="31" max="31" width="11.1796875" customWidth="1"/>
    <col min="32" max="32" width="12" customWidth="1"/>
    <col min="33" max="33" width="12.453125" customWidth="1"/>
    <col min="34" max="34" width="10.90625" customWidth="1"/>
  </cols>
  <sheetData>
    <row r="1" spans="1:37" x14ac:dyDescent="0.35">
      <c r="A1" s="75" t="s">
        <v>97</v>
      </c>
      <c r="AC1" s="70"/>
      <c r="AD1" s="70"/>
    </row>
    <row r="2" spans="1:37" x14ac:dyDescent="0.35">
      <c r="AC2" s="70"/>
      <c r="AD2" s="70"/>
    </row>
    <row r="3" spans="1:37" x14ac:dyDescent="0.35">
      <c r="A3" s="22">
        <v>-0.92172447975364946</v>
      </c>
      <c r="B3" s="22">
        <v>0.32750995776800251</v>
      </c>
      <c r="C3" s="22">
        <v>-1.3244953705814067</v>
      </c>
      <c r="D3" s="22">
        <v>-1.9981274073212132</v>
      </c>
      <c r="E3" s="22">
        <v>0.59329848550325837</v>
      </c>
      <c r="F3" s="22">
        <v>0.55677075537613396</v>
      </c>
      <c r="G3" s="22">
        <v>-0.17643931600138849</v>
      </c>
      <c r="H3" s="22">
        <v>1.1308615618106834</v>
      </c>
      <c r="I3" s="22">
        <v>-0.26877028333426134</v>
      </c>
      <c r="J3" s="22">
        <v>0.11361491603107954</v>
      </c>
      <c r="K3" s="22">
        <v>-1.170502668378514</v>
      </c>
      <c r="L3" s="22">
        <v>-0.55666960632777096</v>
      </c>
      <c r="M3" s="22">
        <v>-0.29364409109926781</v>
      </c>
      <c r="N3" s="22">
        <v>0.4625711033230413</v>
      </c>
      <c r="O3" s="22">
        <v>8.9100724624708652E-2</v>
      </c>
      <c r="P3" s="22">
        <v>0.99981378447297575</v>
      </c>
      <c r="Q3" s="22">
        <v>-0.14966167892722942</v>
      </c>
      <c r="R3" s="22">
        <v>0.52797862504582005</v>
      </c>
      <c r="S3" s="22">
        <v>0.11506666999812282</v>
      </c>
      <c r="T3" s="22">
        <v>-0.51843960336970019</v>
      </c>
      <c r="U3" s="22">
        <v>1.0409057262109735</v>
      </c>
      <c r="V3" s="22">
        <v>-1.4812069653009043</v>
      </c>
      <c r="W3" s="22">
        <v>-1.1185462644085129</v>
      </c>
      <c r="X3" s="22">
        <v>0.67663554000142656</v>
      </c>
      <c r="Z3" t="s">
        <v>8</v>
      </c>
      <c r="AC3" s="2" t="s">
        <v>2</v>
      </c>
      <c r="AE3" s="6" t="s">
        <v>4</v>
      </c>
    </row>
    <row r="4" spans="1:37" x14ac:dyDescent="0.35">
      <c r="A4" s="22">
        <v>-1.4058168531367412</v>
      </c>
      <c r="B4" s="22">
        <v>-0.9326772416190432</v>
      </c>
      <c r="C4" s="22">
        <v>0.12684171306070674</v>
      </c>
      <c r="D4" s="22">
        <v>-3.689054713896199E-2</v>
      </c>
      <c r="E4" s="22">
        <v>0.46815802524759059</v>
      </c>
      <c r="F4" s="22">
        <v>0.26356883933565389</v>
      </c>
      <c r="G4" s="22">
        <v>-1.7869319863245201</v>
      </c>
      <c r="H4" s="22">
        <v>0.11208808560544289</v>
      </c>
      <c r="I4" s="22">
        <v>-1.8453835373398526</v>
      </c>
      <c r="J4" s="22">
        <v>0.33464743583685563</v>
      </c>
      <c r="K4" s="22">
        <v>-1.7934744578253468</v>
      </c>
      <c r="L4" s="22">
        <v>0.51226807959759091</v>
      </c>
      <c r="M4" s="22">
        <v>-0.61662905227670328</v>
      </c>
      <c r="N4" s="22">
        <v>1.0169380378266049</v>
      </c>
      <c r="O4" s="22">
        <v>-2.7101609587800966E-2</v>
      </c>
      <c r="P4" s="22">
        <v>0.717360130589206</v>
      </c>
      <c r="Q4" s="22">
        <v>0.61304695582645607</v>
      </c>
      <c r="R4" s="22">
        <v>-0.67584411822004131</v>
      </c>
      <c r="S4" s="22">
        <v>-0.39346176373386482</v>
      </c>
      <c r="T4" s="22">
        <v>-0.50163835853787664</v>
      </c>
      <c r="U4" s="22">
        <v>0.58001462635442325</v>
      </c>
      <c r="V4" s="22">
        <v>-0.25511877749058798</v>
      </c>
      <c r="W4" s="22">
        <v>0.85955655349093707</v>
      </c>
      <c r="X4" s="22">
        <v>1.2809475627767313</v>
      </c>
      <c r="Z4" t="s">
        <v>9</v>
      </c>
      <c r="AA4" s="16">
        <f>COUNT(A3:X202)</f>
        <v>4800</v>
      </c>
      <c r="AC4" s="16">
        <v>4800</v>
      </c>
      <c r="AE4" s="3" t="str">
        <f>IF(AA4=AC4,"OK","CHECKDATA")</f>
        <v>OK</v>
      </c>
    </row>
    <row r="5" spans="1:37" x14ac:dyDescent="0.35">
      <c r="A5" s="22">
        <v>1.2579028966934942</v>
      </c>
      <c r="B5" s="22">
        <v>-0.50074128763711645</v>
      </c>
      <c r="C5" s="22">
        <v>-0.37879919236665299</v>
      </c>
      <c r="D5" s="22">
        <v>0.62485291137879084</v>
      </c>
      <c r="E5" s="22">
        <v>0.60425439276065374</v>
      </c>
      <c r="F5" s="22">
        <v>-0.66320047408552707</v>
      </c>
      <c r="G5" s="22">
        <v>0.36349056899964571</v>
      </c>
      <c r="H5" s="22">
        <v>5.3056984244355579E-2</v>
      </c>
      <c r="I5" s="22">
        <v>0.2605649553554007</v>
      </c>
      <c r="J5" s="22">
        <v>0.1228015306670853</v>
      </c>
      <c r="K5" s="22">
        <v>-0.28400233359221727</v>
      </c>
      <c r="L5" s="22">
        <v>-1.4224253906388711</v>
      </c>
      <c r="M5" s="22">
        <v>-1.9392792206614826</v>
      </c>
      <c r="N5" s="22">
        <v>1.8778182882037431</v>
      </c>
      <c r="O5" s="22">
        <v>-0.96808353389772772</v>
      </c>
      <c r="P5" s="22">
        <v>1.2326872028761089</v>
      </c>
      <c r="Q5" s="22">
        <v>-2.0617262814867754</v>
      </c>
      <c r="R5" s="22">
        <v>0.85358780117598854</v>
      </c>
      <c r="S5" s="22">
        <v>0.95717132290855078</v>
      </c>
      <c r="T5" s="22">
        <v>-0.37226512720411831</v>
      </c>
      <c r="U5" s="22">
        <v>-0.76641896676943733</v>
      </c>
      <c r="V5" s="22">
        <v>1.2759865045921233</v>
      </c>
      <c r="W5" s="22">
        <v>-0.90415048756513849</v>
      </c>
      <c r="X5" s="22">
        <v>-1.3331657960583474</v>
      </c>
      <c r="Z5" t="s">
        <v>10</v>
      </c>
      <c r="AA5" s="16">
        <f>COUNTIF(A3:X202,"&lt;0")</f>
        <v>2431</v>
      </c>
      <c r="AC5" s="33">
        <f>AC4/2</f>
        <v>2400</v>
      </c>
      <c r="AD5" s="6"/>
      <c r="AE5" s="3" t="str">
        <f>IF(ABS(AA5/AC5-1)&lt;2%,"OK","CHECKDATA")</f>
        <v>OK</v>
      </c>
    </row>
    <row r="6" spans="1:37" x14ac:dyDescent="0.35">
      <c r="A6" s="22">
        <v>-1.2930748030660075</v>
      </c>
      <c r="B6" s="22">
        <v>-1.401552512906546</v>
      </c>
      <c r="C6" s="22">
        <v>-0.57922256809333539</v>
      </c>
      <c r="D6" s="22">
        <v>-1.0144911412176267</v>
      </c>
      <c r="E6" s="22">
        <v>2.3442312699462096E-2</v>
      </c>
      <c r="F6" s="22">
        <v>0.87732029347727536</v>
      </c>
      <c r="G6" s="22">
        <v>-0.61337153092503971</v>
      </c>
      <c r="H6" s="22">
        <v>2.0609019293574855</v>
      </c>
      <c r="I6" s="22">
        <v>1.8403029855665647</v>
      </c>
      <c r="J6" s="22">
        <v>2.9457489468412139E-2</v>
      </c>
      <c r="K6" s="22">
        <v>1.3132139796079647</v>
      </c>
      <c r="L6" s="22">
        <v>-0.82139679127392173</v>
      </c>
      <c r="M6" s="22">
        <v>-8.5162639835309681E-2</v>
      </c>
      <c r="N6" s="22">
        <v>0.40688615165430386</v>
      </c>
      <c r="O6" s="22">
        <v>1.2226787244678259</v>
      </c>
      <c r="P6" s="22">
        <v>1.4116945294138976</v>
      </c>
      <c r="Q6" s="22">
        <v>-1.8497057814779283</v>
      </c>
      <c r="R6" s="22">
        <v>-0.58362509558125331</v>
      </c>
      <c r="S6" s="22">
        <v>0.14973599211962452</v>
      </c>
      <c r="T6" s="22">
        <v>-2.2772537293024864</v>
      </c>
      <c r="U6" s="22">
        <v>1.2328949109776786</v>
      </c>
      <c r="V6" s="22">
        <v>0.47288466043029043</v>
      </c>
      <c r="W6" s="22">
        <v>1.0319211178529724</v>
      </c>
      <c r="X6" s="22">
        <v>-2.4647719379660677</v>
      </c>
      <c r="Z6" t="s">
        <v>25</v>
      </c>
      <c r="AA6" s="16">
        <f>COUNTIF(A3:X202,"&gt;0")</f>
        <v>2369</v>
      </c>
      <c r="AC6" s="33">
        <f>AC4/2</f>
        <v>2400</v>
      </c>
      <c r="AE6" s="3" t="str">
        <f>IF(ABS(AA6/AC6-1)&lt;2%,"OK","CHECKDATA")</f>
        <v>OK</v>
      </c>
    </row>
    <row r="7" spans="1:37" x14ac:dyDescent="0.35">
      <c r="A7" s="22">
        <v>0.97645432551849265</v>
      </c>
      <c r="B7" s="22">
        <v>-1.0185433141192546</v>
      </c>
      <c r="C7" s="22">
        <v>-1.6425806748394747</v>
      </c>
      <c r="D7" s="22">
        <v>-0.17814920798569231</v>
      </c>
      <c r="E7" s="22">
        <v>-0.15292036243212845</v>
      </c>
      <c r="F7" s="22">
        <v>0.8826348132399553</v>
      </c>
      <c r="G7" s="22">
        <v>1.1508421502662833</v>
      </c>
      <c r="H7" s="22">
        <v>0.48022093807468874</v>
      </c>
      <c r="I7" s="22">
        <v>1.4860550297147492</v>
      </c>
      <c r="J7" s="22">
        <v>-1.0283794851887143E-2</v>
      </c>
      <c r="K7" s="22">
        <v>0.25446360507695698</v>
      </c>
      <c r="L7" s="22">
        <v>-2.3512972613688654</v>
      </c>
      <c r="M7" s="22">
        <v>-0.52950226049950788</v>
      </c>
      <c r="N7" s="22">
        <v>0.90016167269338132</v>
      </c>
      <c r="O7" s="22">
        <v>0.68200178475964957</v>
      </c>
      <c r="P7" s="22">
        <v>0.57076690733736746</v>
      </c>
      <c r="Q7" s="22">
        <v>0.51778464132335944</v>
      </c>
      <c r="R7" s="22">
        <v>-0.69469038467293576</v>
      </c>
      <c r="S7" s="22">
        <v>1.0487795683429109</v>
      </c>
      <c r="T7" s="22">
        <v>0.57999912566633749</v>
      </c>
      <c r="U7" s="22">
        <v>-1.8627086655410774</v>
      </c>
      <c r="V7" s="22">
        <v>0.7329611585775917</v>
      </c>
      <c r="W7" s="22">
        <v>-0.17657887454306984</v>
      </c>
      <c r="X7" s="22">
        <v>0.7363380984590715</v>
      </c>
      <c r="AC7" s="2" t="s">
        <v>2</v>
      </c>
      <c r="AD7" s="2" t="s">
        <v>3</v>
      </c>
      <c r="AE7" s="2" t="s">
        <v>4</v>
      </c>
    </row>
    <row r="8" spans="1:37" x14ac:dyDescent="0.35">
      <c r="A8" s="22">
        <v>-0.89793304914648886</v>
      </c>
      <c r="B8" s="22">
        <v>0.57866967195396324</v>
      </c>
      <c r="C8" s="22">
        <v>0.44446827934279531</v>
      </c>
      <c r="D8" s="22">
        <v>-7.9801854176935638E-2</v>
      </c>
      <c r="E8" s="22">
        <v>1.1959355197213519</v>
      </c>
      <c r="F8" s="22">
        <v>-0.17686667731475722</v>
      </c>
      <c r="G8" s="22">
        <v>-0.21831738748490351</v>
      </c>
      <c r="H8" s="22">
        <v>0.48039794556742726</v>
      </c>
      <c r="I8" s="22">
        <v>0.62761287668443777</v>
      </c>
      <c r="J8" s="22">
        <v>-1.5816897066702569</v>
      </c>
      <c r="K8" s="22">
        <v>-0.40265933990416758</v>
      </c>
      <c r="L8" s="22">
        <v>0.66805509241576089</v>
      </c>
      <c r="M8" s="22">
        <v>-0.45937813806330874</v>
      </c>
      <c r="N8" s="22">
        <v>0.23799758119929415</v>
      </c>
      <c r="O8" s="22">
        <v>-0.69853612565689116</v>
      </c>
      <c r="P8" s="22">
        <v>-0.39542170683518635</v>
      </c>
      <c r="Q8" s="22">
        <v>-0.28027178848532647</v>
      </c>
      <c r="R8" s="22">
        <v>-0.24458638429021476</v>
      </c>
      <c r="S8" s="22">
        <v>1.6673754308563031</v>
      </c>
      <c r="T8" s="22">
        <v>0.93199236679874453</v>
      </c>
      <c r="U8" s="22">
        <v>0.25480723372502356</v>
      </c>
      <c r="V8" s="22">
        <v>-1.2585138003241201</v>
      </c>
      <c r="W8" s="22">
        <v>0.87496671956845895</v>
      </c>
      <c r="X8" s="22">
        <v>0.50649196099023985</v>
      </c>
      <c r="Z8" t="s">
        <v>0</v>
      </c>
      <c r="AA8" s="1">
        <f>AVERAGE(A3:X202)</f>
        <v>-2.1149777639613478E-3</v>
      </c>
      <c r="AC8" s="15">
        <v>0</v>
      </c>
      <c r="AD8" s="2">
        <v>0.01</v>
      </c>
      <c r="AE8" s="3" t="str">
        <f>IF(ABS(AA8-AC8)&lt;AD8,"OK","CHECKDATA")</f>
        <v>OK</v>
      </c>
    </row>
    <row r="9" spans="1:37" x14ac:dyDescent="0.35">
      <c r="A9" s="22">
        <v>-0.28262546678862194</v>
      </c>
      <c r="B9" s="22">
        <v>9.2131873487407076E-2</v>
      </c>
      <c r="C9" s="22">
        <v>1.4346316819997627</v>
      </c>
      <c r="D9" s="22">
        <v>0.28768372543246717</v>
      </c>
      <c r="E9" s="22">
        <v>-0.44805699265401544</v>
      </c>
      <c r="F9" s="22">
        <v>0.33504424439307767</v>
      </c>
      <c r="G9" s="22">
        <v>1.1038574034104425</v>
      </c>
      <c r="H9" s="22">
        <v>1.6417550429009253</v>
      </c>
      <c r="I9" s="22">
        <v>-1.0560149488777921</v>
      </c>
      <c r="J9" s="22">
        <v>1.2528972050480356</v>
      </c>
      <c r="K9" s="22">
        <v>1.1673230924098539</v>
      </c>
      <c r="L9" s="22">
        <v>-0.42298838973155461</v>
      </c>
      <c r="M9" s="22">
        <v>-0.42381572630731584</v>
      </c>
      <c r="N9" s="22">
        <v>-0.30959528301956085</v>
      </c>
      <c r="O9" s="22">
        <v>0.23475941474681364</v>
      </c>
      <c r="P9" s="22">
        <v>0.1732685773799732</v>
      </c>
      <c r="Q9" s="22">
        <v>0.94135991634663996</v>
      </c>
      <c r="R9" s="22">
        <v>0.51714367313780019</v>
      </c>
      <c r="S9" s="22">
        <v>1.0231535268818996</v>
      </c>
      <c r="T9" s="22">
        <v>-0.45127995701270229</v>
      </c>
      <c r="U9" s="22">
        <v>1.2453767280648904</v>
      </c>
      <c r="V9" s="22">
        <v>-0.45441396431656772</v>
      </c>
      <c r="W9" s="22">
        <v>0.59183306023774407</v>
      </c>
      <c r="X9" s="22">
        <v>-0.68961071132988527</v>
      </c>
      <c r="Z9" t="s">
        <v>1</v>
      </c>
      <c r="AA9" s="1">
        <f>STDEVA(A3:X202)</f>
        <v>0.99322894163317044</v>
      </c>
      <c r="AC9" s="15">
        <v>1</v>
      </c>
      <c r="AD9" s="2">
        <v>0.01</v>
      </c>
      <c r="AE9" s="3" t="str">
        <f>IF(ABS(AA9-AC9)&lt;AD9,"OK","CHECKDATA")</f>
        <v>OK</v>
      </c>
    </row>
    <row r="10" spans="1:37" x14ac:dyDescent="0.35">
      <c r="A10" s="22">
        <v>0.90337071426938531</v>
      </c>
      <c r="B10" s="22">
        <v>0.20097556704254085</v>
      </c>
      <c r="C10" s="22">
        <v>-0.17961625842800966</v>
      </c>
      <c r="D10" s="22">
        <v>4.5265380917687203E-3</v>
      </c>
      <c r="E10" s="22">
        <v>-0.51567710250631327</v>
      </c>
      <c r="F10" s="22">
        <v>-0.11468550294810952</v>
      </c>
      <c r="G10" s="22">
        <v>0.15290374835293499</v>
      </c>
      <c r="H10" s="22">
        <v>0.29527161543631747</v>
      </c>
      <c r="I10" s="22">
        <v>0.66278178376081631</v>
      </c>
      <c r="J10" s="22">
        <v>-0.27007420449300523</v>
      </c>
      <c r="K10" s="22">
        <v>1.2567103185803006</v>
      </c>
      <c r="L10" s="22">
        <v>1.0045953721745449</v>
      </c>
      <c r="M10" s="22">
        <v>0.57127316527867866</v>
      </c>
      <c r="N10" s="22">
        <v>1.6894520054113502</v>
      </c>
      <c r="O10" s="22">
        <v>-0.76394124093270788</v>
      </c>
      <c r="P10" s="22">
        <v>-0.42895700376197754</v>
      </c>
      <c r="Q10" s="22">
        <v>0.11828813919139902</v>
      </c>
      <c r="R10" s="22">
        <v>-3.6902563328525338E-2</v>
      </c>
      <c r="S10" s="22">
        <v>-1.2478016935389289</v>
      </c>
      <c r="T10" s="22">
        <v>1.3921829864412252</v>
      </c>
      <c r="U10" s="22">
        <v>0.82882088200808901</v>
      </c>
      <c r="V10" s="22">
        <v>-1.1175509403031492</v>
      </c>
      <c r="W10" s="22">
        <v>-0.9945972824538224</v>
      </c>
      <c r="X10" s="22">
        <v>1.479302601296113</v>
      </c>
    </row>
    <row r="11" spans="1:37" x14ac:dyDescent="0.35">
      <c r="A11" s="22">
        <v>1.1144524610151239</v>
      </c>
      <c r="B11" s="22">
        <v>0.63320791475885618</v>
      </c>
      <c r="C11" s="22">
        <v>-0.33650724458132364</v>
      </c>
      <c r="D11" s="22">
        <v>0.93129750701387182</v>
      </c>
      <c r="E11" s="22">
        <v>-1.5634075829757619</v>
      </c>
      <c r="F11" s="22">
        <v>-1.8792414678949765</v>
      </c>
      <c r="G11" s="22">
        <v>-0.68946732365602004</v>
      </c>
      <c r="H11" s="22">
        <v>-1.3919243360850344</v>
      </c>
      <c r="I11" s="22">
        <v>0.79634022602304966</v>
      </c>
      <c r="J11" s="22">
        <v>2.0406250098208418</v>
      </c>
      <c r="K11" s="22">
        <v>-4.8257590038662236E-2</v>
      </c>
      <c r="L11" s="22">
        <v>0.29400640878084244</v>
      </c>
      <c r="M11" s="22">
        <v>0.29036139721917137</v>
      </c>
      <c r="N11" s="22">
        <v>1.1216287426580858</v>
      </c>
      <c r="O11" s="22">
        <v>0.91389304995844478</v>
      </c>
      <c r="P11" s="22">
        <v>-0.56443755065279799</v>
      </c>
      <c r="Q11" s="22">
        <v>0.97659422148394892</v>
      </c>
      <c r="R11" s="22">
        <v>1.3319002038835885</v>
      </c>
      <c r="S11" s="22">
        <v>-0.33520941620560363</v>
      </c>
      <c r="T11" s="22">
        <v>2.1087631316969353</v>
      </c>
      <c r="U11" s="22">
        <v>-0.89867308934978551</v>
      </c>
      <c r="V11" s="22">
        <v>0.68305666695094991</v>
      </c>
      <c r="W11" s="22">
        <v>-1.0570373267837894</v>
      </c>
      <c r="X11" s="22">
        <v>-0.48237980721797424</v>
      </c>
      <c r="AF11" s="20" t="s">
        <v>42</v>
      </c>
    </row>
    <row r="12" spans="1:37" x14ac:dyDescent="0.35">
      <c r="A12" s="22">
        <v>-1.0388333411737753</v>
      </c>
      <c r="B12" s="22">
        <v>-1.0343194921767509</v>
      </c>
      <c r="C12" s="22">
        <v>0.18127505748767936</v>
      </c>
      <c r="D12" s="22">
        <v>-0.56337446248969747</v>
      </c>
      <c r="E12" s="22">
        <v>-1.5398039859440795</v>
      </c>
      <c r="F12" s="22">
        <v>0.49717132460792435</v>
      </c>
      <c r="G12" s="22">
        <v>-2.4042095412056704E-2</v>
      </c>
      <c r="H12" s="22">
        <v>0.42455778226435675</v>
      </c>
      <c r="I12" s="22">
        <v>-0.93023362605208648</v>
      </c>
      <c r="J12" s="22">
        <v>-0.40444205480976692</v>
      </c>
      <c r="K12" s="22">
        <v>-1.4412950983543258</v>
      </c>
      <c r="L12" s="22">
        <v>0.52855254466934398</v>
      </c>
      <c r="M12" s="22">
        <v>-0.49289391202167165</v>
      </c>
      <c r="N12" s="22">
        <v>-0.14667294890319657</v>
      </c>
      <c r="O12" s="22">
        <v>-0.86809932815165947</v>
      </c>
      <c r="P12" s="22">
        <v>1.1966964951030996</v>
      </c>
      <c r="Q12" s="22">
        <v>-0.1894231054706563</v>
      </c>
      <c r="R12" s="22">
        <v>-8.3567678146088564E-2</v>
      </c>
      <c r="S12" s="22">
        <v>2.1344692866788035</v>
      </c>
      <c r="T12" s="22">
        <v>-0.62744440236384258</v>
      </c>
      <c r="U12" s="22">
        <v>-1.1937021477912717</v>
      </c>
      <c r="V12" s="22">
        <v>2.432812873146347</v>
      </c>
      <c r="W12" s="22">
        <v>0.31838041223402735</v>
      </c>
      <c r="X12" s="22">
        <v>0.40142764551111321</v>
      </c>
      <c r="Z12" t="s">
        <v>5</v>
      </c>
      <c r="AF12" t="s">
        <v>43</v>
      </c>
      <c r="AG12" s="76" t="s">
        <v>2</v>
      </c>
      <c r="AH12" s="76"/>
      <c r="AI12" s="6"/>
      <c r="AJ12" s="6"/>
    </row>
    <row r="13" spans="1:37" x14ac:dyDescent="0.35">
      <c r="A13" s="22">
        <v>-0.51425267899545546</v>
      </c>
      <c r="B13" s="22">
        <v>-1.7896973300772336</v>
      </c>
      <c r="C13" s="22">
        <v>-8.2282112870090823E-2</v>
      </c>
      <c r="D13" s="22">
        <v>0.4292177595470994</v>
      </c>
      <c r="E13" s="22">
        <v>0.92688709122061286</v>
      </c>
      <c r="F13" s="22">
        <v>-1.3398257096703932</v>
      </c>
      <c r="G13" s="22">
        <v>1.8196508164881733</v>
      </c>
      <c r="H13" s="22">
        <v>1.4371505500832706</v>
      </c>
      <c r="I13" s="22">
        <v>-2.4504708108016322</v>
      </c>
      <c r="J13" s="22">
        <v>0.20057385095865043</v>
      </c>
      <c r="K13" s="22">
        <v>0.752519316516996</v>
      </c>
      <c r="L13" s="22">
        <v>-0.3470293165115369</v>
      </c>
      <c r="M13" s="22">
        <v>2.7284142697795982E-3</v>
      </c>
      <c r="N13" s="22">
        <v>0.81591700933969413</v>
      </c>
      <c r="O13" s="22">
        <v>0.92390941878803923</v>
      </c>
      <c r="P13" s="22">
        <v>0.69013291035826929</v>
      </c>
      <c r="Q13" s="22">
        <v>1.227055383878936</v>
      </c>
      <c r="R13" s="22">
        <v>0.67557972091233787</v>
      </c>
      <c r="S13" s="22">
        <v>-0.33896995692301146</v>
      </c>
      <c r="T13" s="22">
        <v>-1.0822110745253342</v>
      </c>
      <c r="U13" s="22">
        <v>-0.19721317542329928</v>
      </c>
      <c r="V13" s="22">
        <v>-0.15486836771454765</v>
      </c>
      <c r="W13" s="22">
        <v>0.89451647668976619</v>
      </c>
      <c r="X13" s="22">
        <v>0.14417841299729497</v>
      </c>
      <c r="Z13" t="s">
        <v>6</v>
      </c>
      <c r="AC13" s="2" t="s">
        <v>7</v>
      </c>
      <c r="AF13" s="10" t="s">
        <v>7</v>
      </c>
      <c r="AG13" s="10" t="s">
        <v>44</v>
      </c>
      <c r="AH13" s="10" t="s">
        <v>7</v>
      </c>
      <c r="AI13" s="10" t="s">
        <v>45</v>
      </c>
      <c r="AJ13" s="10"/>
    </row>
    <row r="14" spans="1:37" x14ac:dyDescent="0.35">
      <c r="A14" s="22">
        <v>0.69298320975758632</v>
      </c>
      <c r="B14" s="22">
        <v>2.3164552429725074</v>
      </c>
      <c r="C14" s="22">
        <v>-0.38152920307874466</v>
      </c>
      <c r="D14" s="22">
        <v>-0.73239988883126927</v>
      </c>
      <c r="E14" s="22">
        <v>2.6704296063312589</v>
      </c>
      <c r="F14" s="22">
        <v>-0.17996439166957526</v>
      </c>
      <c r="G14" s="22">
        <v>-0.48227997976000103</v>
      </c>
      <c r="H14" s="22">
        <v>0.68429159432173914</v>
      </c>
      <c r="I14" s="22">
        <v>-4.8781595129853882E-2</v>
      </c>
      <c r="J14" s="22">
        <v>0.3014361683668717</v>
      </c>
      <c r="K14" s="22">
        <v>-0.79492688460043803</v>
      </c>
      <c r="L14" s="22">
        <v>0.53175170300857499</v>
      </c>
      <c r="M14" s="22">
        <v>-0.78131750726350035</v>
      </c>
      <c r="N14" s="22">
        <v>-0.14256958799851982</v>
      </c>
      <c r="O14" s="22">
        <v>-0.6997229830213636</v>
      </c>
      <c r="P14" s="22">
        <v>2.2871523119070236</v>
      </c>
      <c r="Q14" s="22">
        <v>0.60536539426184655</v>
      </c>
      <c r="R14" s="22">
        <v>1.9944174335015643</v>
      </c>
      <c r="S14" s="22">
        <v>-1.0690808800717033</v>
      </c>
      <c r="T14" s="22">
        <v>-0.54274652984418459</v>
      </c>
      <c r="U14" s="22">
        <v>-1.6847495109169626</v>
      </c>
      <c r="V14" s="22">
        <v>1.6567353974202041</v>
      </c>
      <c r="W14" s="22">
        <v>-1.2776803792909783</v>
      </c>
      <c r="X14" s="22">
        <v>0.28709107416774221</v>
      </c>
      <c r="Z14" s="4">
        <v>-3.5</v>
      </c>
      <c r="AA14">
        <f>COUNTIF($A$3:$X$202,"&lt;"&amp;Z14)</f>
        <v>0</v>
      </c>
      <c r="AC14" s="2">
        <f>AA14</f>
        <v>0</v>
      </c>
      <c r="AF14" s="21">
        <f>AC14</f>
        <v>0</v>
      </c>
      <c r="AG14" s="43">
        <f>_xlfn.NORM.DIST(Z14,$AC$8,$AC$9,TRUE)*$AC$4</f>
        <v>1.1166195793705203</v>
      </c>
      <c r="AH14" s="51">
        <f>AG14</f>
        <v>1.1166195793705203</v>
      </c>
      <c r="AI14" s="22">
        <f>IF(AH14=0,0,((AF14-AH14)^2)/AH14)</f>
        <v>1.1166195793705203</v>
      </c>
      <c r="AJ14" s="40"/>
    </row>
    <row r="15" spans="1:37" x14ac:dyDescent="0.35">
      <c r="A15" s="22">
        <v>1.2161366402367744</v>
      </c>
      <c r="B15" s="22">
        <v>-1.3828136107506193</v>
      </c>
      <c r="C15" s="22">
        <v>-0.93431672172728986</v>
      </c>
      <c r="D15" s="22">
        <v>0.32365382751174349</v>
      </c>
      <c r="E15" s="22">
        <v>0.8458257473677584</v>
      </c>
      <c r="F15" s="22">
        <v>0.33073894973407769</v>
      </c>
      <c r="G15" s="22">
        <v>-0.4316298217459052</v>
      </c>
      <c r="H15" s="22">
        <v>0.44581213691850113</v>
      </c>
      <c r="I15" s="22">
        <v>0.89458482943306272</v>
      </c>
      <c r="J15" s="22">
        <v>0.84549195183800196</v>
      </c>
      <c r="K15" s="22">
        <v>0.98111449784284166</v>
      </c>
      <c r="L15" s="22">
        <v>-0.58523934225192409</v>
      </c>
      <c r="M15" s="22">
        <v>-9.5366827772566026E-2</v>
      </c>
      <c r="N15" s="22">
        <v>0.69082485005670469</v>
      </c>
      <c r="O15" s="22">
        <v>0.57444060306698053</v>
      </c>
      <c r="P15" s="22">
        <v>-9.853606499844636E-2</v>
      </c>
      <c r="Q15" s="22">
        <v>1.3315907157293942</v>
      </c>
      <c r="R15" s="22">
        <v>1.7801374497600364</v>
      </c>
      <c r="S15" s="22">
        <v>-0.25204468395966934</v>
      </c>
      <c r="T15" s="22">
        <v>-0.74581942502170151</v>
      </c>
      <c r="U15" s="22">
        <v>-1.8849188162377948</v>
      </c>
      <c r="V15" s="22">
        <v>0.83726380371792641</v>
      </c>
      <c r="W15" s="22">
        <v>0.72954101277891681</v>
      </c>
      <c r="X15" s="22">
        <v>-0.83145346008746923</v>
      </c>
      <c r="Y15" s="10"/>
      <c r="Z15" s="4">
        <f>Z14+0.5</f>
        <v>-3</v>
      </c>
      <c r="AA15">
        <f t="shared" ref="AA15:AA28" si="0">COUNTIF($A$3:$X$202,"&lt;"&amp;Z15)</f>
        <v>6</v>
      </c>
      <c r="AC15" s="2">
        <f>AA15-AA14</f>
        <v>6</v>
      </c>
      <c r="AF15" s="21">
        <f t="shared" ref="AF15:AF29" si="1">AC15</f>
        <v>6</v>
      </c>
      <c r="AG15" s="43">
        <f t="shared" ref="AG15:AG28" si="2">_xlfn.NORM.DIST(Z15,$AC$8,$AC$9,TRUE)*$AC$4</f>
        <v>6.4795105518244478</v>
      </c>
      <c r="AH15" s="51">
        <f>AG15-AG14</f>
        <v>5.3628909724539273</v>
      </c>
      <c r="AI15" s="22">
        <f t="shared" ref="AI15:AI29" si="3">IF(AH15=0,0,((AF15-AH15)^2)/AH15)</f>
        <v>7.5688264979768716E-2</v>
      </c>
      <c r="AJ15" s="40"/>
      <c r="AK15" s="22"/>
    </row>
    <row r="16" spans="1:37" x14ac:dyDescent="0.35">
      <c r="A16" s="22">
        <v>0.75236480763335523</v>
      </c>
      <c r="B16" s="22">
        <v>8.0884748166413917E-2</v>
      </c>
      <c r="C16" s="22">
        <v>-1.4232575793658584</v>
      </c>
      <c r="D16" s="22">
        <v>0.76359050893389879</v>
      </c>
      <c r="E16" s="22">
        <v>0.92085098472871418</v>
      </c>
      <c r="F16" s="22">
        <v>-1.3999599446039821</v>
      </c>
      <c r="G16" s="22">
        <v>-0.54455168526676512</v>
      </c>
      <c r="H16" s="22">
        <v>5.8251538460757611E-2</v>
      </c>
      <c r="I16" s="22">
        <v>0.14944889252358146</v>
      </c>
      <c r="J16" s="22">
        <v>0.49583876234747154</v>
      </c>
      <c r="K16" s="22">
        <v>0.85573219843949511</v>
      </c>
      <c r="L16" s="22">
        <v>0.40764743629887146</v>
      </c>
      <c r="M16" s="22">
        <v>-0.73386808013793714</v>
      </c>
      <c r="N16" s="22">
        <v>1.1258467497603073</v>
      </c>
      <c r="O16" s="22">
        <v>-0.33105202041812387</v>
      </c>
      <c r="P16" s="22">
        <v>-0.69591804841091875</v>
      </c>
      <c r="Q16" s="22">
        <v>-6.7873776374546202E-3</v>
      </c>
      <c r="R16" s="22">
        <v>0.93388982604926785</v>
      </c>
      <c r="S16" s="22">
        <v>-1.0883985737253463</v>
      </c>
      <c r="T16" s="22">
        <v>0.36422622403983168</v>
      </c>
      <c r="U16" s="22">
        <v>-0.58400454888708897</v>
      </c>
      <c r="V16" s="22">
        <v>1.7972833438566442</v>
      </c>
      <c r="W16" s="22">
        <v>-1.4103036042139663</v>
      </c>
      <c r="X16" s="22">
        <v>6.4535533469456785E-2</v>
      </c>
      <c r="Y16" s="10"/>
      <c r="Z16" s="4">
        <f t="shared" ref="Z16:Z24" si="4">Z15+0.5</f>
        <v>-2.5</v>
      </c>
      <c r="AA16">
        <f t="shared" si="0"/>
        <v>25</v>
      </c>
      <c r="AC16" s="2">
        <f t="shared" ref="AC16:AC24" si="5">AA16-AA15</f>
        <v>19</v>
      </c>
      <c r="AF16" s="21">
        <f t="shared" si="1"/>
        <v>19</v>
      </c>
      <c r="AG16" s="43">
        <f t="shared" si="2"/>
        <v>29.80639356372544</v>
      </c>
      <c r="AH16" s="51">
        <f t="shared" ref="AH16:AH29" si="6">AG16-AG15</f>
        <v>23.326883011900993</v>
      </c>
      <c r="AI16" s="22">
        <f t="shared" si="3"/>
        <v>0.80258972401609729</v>
      </c>
      <c r="AJ16" s="40"/>
      <c r="AK16" s="22"/>
    </row>
    <row r="17" spans="1:37" x14ac:dyDescent="0.35">
      <c r="A17" s="22">
        <v>0.83641238072934898</v>
      </c>
      <c r="B17" s="22">
        <v>0.20698768698993036</v>
      </c>
      <c r="C17" s="22">
        <v>-0.45687292147018027</v>
      </c>
      <c r="D17" s="22">
        <v>0.39690873543071742</v>
      </c>
      <c r="E17" s="22">
        <v>-0.44398273665946736</v>
      </c>
      <c r="F17" s="22">
        <v>-0.87970068435504567</v>
      </c>
      <c r="G17" s="22">
        <v>-0.29678257947133496</v>
      </c>
      <c r="H17" s="22">
        <v>-1.8867864273660615</v>
      </c>
      <c r="I17" s="22">
        <v>2.1313088612542703</v>
      </c>
      <c r="J17" s="22">
        <v>-0.63910491059634422</v>
      </c>
      <c r="K17" s="22">
        <v>1.108750324406083</v>
      </c>
      <c r="L17" s="22">
        <v>0.51551824269102786</v>
      </c>
      <c r="M17" s="22">
        <v>-0.70849687600308575</v>
      </c>
      <c r="N17" s="22">
        <v>0.11832166916857648</v>
      </c>
      <c r="O17" s="22">
        <v>0.548056351864322</v>
      </c>
      <c r="P17" s="22">
        <v>-0.92992906699100153</v>
      </c>
      <c r="Q17" s="22">
        <v>-1.0871727751966154</v>
      </c>
      <c r="R17" s="22">
        <v>1.2389688215714265</v>
      </c>
      <c r="S17" s="22">
        <v>-5.4527571409600212E-2</v>
      </c>
      <c r="T17" s="22">
        <v>2.2377698898470793</v>
      </c>
      <c r="U17" s="22">
        <v>-0.24237180715587883</v>
      </c>
      <c r="V17" s="22">
        <v>1.3752369535617772</v>
      </c>
      <c r="W17" s="22">
        <v>-0.70587402295174462</v>
      </c>
      <c r="X17" s="22">
        <v>0.15247908890840151</v>
      </c>
      <c r="Y17" s="10"/>
      <c r="Z17" s="4">
        <f t="shared" si="4"/>
        <v>-2</v>
      </c>
      <c r="AA17">
        <f t="shared" si="0"/>
        <v>99</v>
      </c>
      <c r="AC17" s="2">
        <f t="shared" si="5"/>
        <v>74</v>
      </c>
      <c r="AF17" s="21">
        <f t="shared" si="1"/>
        <v>74</v>
      </c>
      <c r="AG17" s="43">
        <f t="shared" si="2"/>
        <v>109.20063335126012</v>
      </c>
      <c r="AH17" s="51">
        <f t="shared" si="6"/>
        <v>79.394239787534687</v>
      </c>
      <c r="AI17" s="22">
        <f t="shared" si="3"/>
        <v>0.36649790920966507</v>
      </c>
      <c r="AJ17" s="40"/>
      <c r="AK17" s="22"/>
    </row>
    <row r="18" spans="1:37" x14ac:dyDescent="0.35">
      <c r="A18" s="22">
        <v>1.8493337154446956</v>
      </c>
      <c r="B18" s="22">
        <v>1.587434000790904</v>
      </c>
      <c r="C18" s="22">
        <v>-0.85836188459077978</v>
      </c>
      <c r="D18" s="22">
        <v>-0.19801793362435249</v>
      </c>
      <c r="E18" s="22">
        <v>6.7847971974820981E-2</v>
      </c>
      <c r="F18" s="22">
        <v>-1.3071658219671747</v>
      </c>
      <c r="G18" s="22">
        <v>-6.750060647967732E-3</v>
      </c>
      <c r="H18" s="22">
        <v>0.61840985869410758</v>
      </c>
      <c r="I18" s="22">
        <v>0.2989998562328175</v>
      </c>
      <c r="J18" s="22">
        <v>-0.92612886536173544</v>
      </c>
      <c r="K18" s="22">
        <v>-3.8211928050304232E-2</v>
      </c>
      <c r="L18" s="22">
        <v>-2.600958035508814</v>
      </c>
      <c r="M18" s="22">
        <v>0.16327292619655961</v>
      </c>
      <c r="N18" s="22">
        <v>0.91317615762528126</v>
      </c>
      <c r="O18" s="22">
        <v>-1.9666592843097974</v>
      </c>
      <c r="P18" s="22">
        <v>2.5279147153497963E-2</v>
      </c>
      <c r="Q18" s="22">
        <v>-0.10402992412894926</v>
      </c>
      <c r="R18" s="22">
        <v>2.1230426569861276</v>
      </c>
      <c r="S18" s="22">
        <v>0.66208941104442165</v>
      </c>
      <c r="T18" s="22">
        <v>-0.50497020793884484</v>
      </c>
      <c r="U18" s="22">
        <v>0.71106752776859672</v>
      </c>
      <c r="V18" s="22">
        <v>-1.0466231910965247</v>
      </c>
      <c r="W18" s="22">
        <v>-0.5137443742096971</v>
      </c>
      <c r="X18" s="22">
        <v>-0.50878319215727619</v>
      </c>
      <c r="Y18" s="10"/>
      <c r="Z18" s="4">
        <f t="shared" si="4"/>
        <v>-1.5</v>
      </c>
      <c r="AA18">
        <f t="shared" si="0"/>
        <v>308</v>
      </c>
      <c r="AC18" s="2">
        <f t="shared" si="5"/>
        <v>209</v>
      </c>
      <c r="AF18" s="21">
        <f t="shared" si="1"/>
        <v>209</v>
      </c>
      <c r="AG18" s="43">
        <f t="shared" si="2"/>
        <v>320.67456609051868</v>
      </c>
      <c r="AH18" s="51">
        <f t="shared" si="6"/>
        <v>211.47393273925854</v>
      </c>
      <c r="AI18" s="22">
        <f t="shared" si="3"/>
        <v>2.8941359907093109E-2</v>
      </c>
      <c r="AJ18" s="40"/>
      <c r="AK18" s="22"/>
    </row>
    <row r="19" spans="1:37" x14ac:dyDescent="0.35">
      <c r="A19" s="22">
        <v>-0.50421011381243952</v>
      </c>
      <c r="B19" s="22">
        <v>0.74856530167261093</v>
      </c>
      <c r="C19" s="22">
        <v>-1.2621450805701502</v>
      </c>
      <c r="D19" s="22">
        <v>-0.90801786278463381</v>
      </c>
      <c r="E19" s="22">
        <v>-0.84747088719227093</v>
      </c>
      <c r="F19" s="22">
        <v>-0.33410795687035821</v>
      </c>
      <c r="G19" s="22">
        <v>-1.3556097776964442</v>
      </c>
      <c r="H19" s="22">
        <v>0.98648164192257015</v>
      </c>
      <c r="I19" s="22">
        <v>-0.90587220041734773</v>
      </c>
      <c r="J19" s="22">
        <v>0.48853467564775638</v>
      </c>
      <c r="K19" s="22">
        <v>-1.7415017426910162</v>
      </c>
      <c r="L19" s="22">
        <v>0.30742549793043356</v>
      </c>
      <c r="M19" s="22">
        <v>-1.3852498046597919</v>
      </c>
      <c r="N19" s="22">
        <v>-2.2866829353740514</v>
      </c>
      <c r="O19" s="22">
        <v>9.7081482485522258E-2</v>
      </c>
      <c r="P19" s="22">
        <v>-1.3408217881031084</v>
      </c>
      <c r="Q19" s="22">
        <v>-1.0285667609318649</v>
      </c>
      <c r="R19" s="22">
        <v>1.6007877268849375</v>
      </c>
      <c r="S19" s="22">
        <v>-0.64466581998006545</v>
      </c>
      <c r="T19" s="22">
        <v>0.86520557442390378</v>
      </c>
      <c r="U19" s="22">
        <v>-0.45623713283039552</v>
      </c>
      <c r="V19" s="22">
        <v>0.46938802149129777</v>
      </c>
      <c r="W19" s="22">
        <v>0.63802469954471186</v>
      </c>
      <c r="X19" s="22">
        <v>1.4141734607520522</v>
      </c>
      <c r="Y19" s="10"/>
      <c r="Z19" s="4">
        <f t="shared" si="4"/>
        <v>-1</v>
      </c>
      <c r="AA19">
        <f t="shared" si="0"/>
        <v>756</v>
      </c>
      <c r="AC19" s="2">
        <f t="shared" si="5"/>
        <v>448</v>
      </c>
      <c r="AF19" s="21">
        <f t="shared" si="1"/>
        <v>448</v>
      </c>
      <c r="AG19" s="43">
        <f t="shared" si="2"/>
        <v>761.54521887099361</v>
      </c>
      <c r="AH19" s="51">
        <f t="shared" si="6"/>
        <v>440.87065278047493</v>
      </c>
      <c r="AI19" s="22">
        <f t="shared" si="3"/>
        <v>0.11528912495307039</v>
      </c>
      <c r="AJ19" s="40"/>
      <c r="AK19" s="22"/>
    </row>
    <row r="20" spans="1:37" x14ac:dyDescent="0.35">
      <c r="A20" s="22">
        <v>2.6831161636791001E-2</v>
      </c>
      <c r="B20" s="22">
        <v>9.4072322739381264E-2</v>
      </c>
      <c r="C20" s="22">
        <v>0.2617687431630813</v>
      </c>
      <c r="D20" s="22">
        <v>-1.1461350641251906</v>
      </c>
      <c r="E20" s="22">
        <v>-1.2507428862833658</v>
      </c>
      <c r="F20" s="22">
        <v>-0.81350572730799198</v>
      </c>
      <c r="G20" s="22">
        <v>0.21217187349143821</v>
      </c>
      <c r="H20" s="22">
        <v>0.6662796738023764</v>
      </c>
      <c r="I20" s="22">
        <v>0.66078202320975699</v>
      </c>
      <c r="J20" s="22">
        <v>-0.27620687856518789</v>
      </c>
      <c r="K20" s="22">
        <v>0.57478277354824014</v>
      </c>
      <c r="L20" s="22">
        <v>1.9315833341582931</v>
      </c>
      <c r="M20" s="22">
        <v>0.26073808684191346</v>
      </c>
      <c r="N20" s="22">
        <v>-0.57776599103694559</v>
      </c>
      <c r="O20" s="22">
        <v>0.63271440195880291</v>
      </c>
      <c r="P20" s="22">
        <v>0.44881139587903768</v>
      </c>
      <c r="Q20" s="22">
        <v>0.98131873016760096</v>
      </c>
      <c r="R20" s="22">
        <v>0.11570795242818681</v>
      </c>
      <c r="S20" s="22">
        <v>0.34187796330405262</v>
      </c>
      <c r="T20" s="22">
        <v>-0.56117808795308477</v>
      </c>
      <c r="U20" s="22">
        <v>-0.83248349138104438</v>
      </c>
      <c r="V20" s="22">
        <v>0.4506003165744138</v>
      </c>
      <c r="W20" s="22">
        <v>1.2856427300615101</v>
      </c>
      <c r="X20" s="22">
        <v>0.42780210653828088</v>
      </c>
      <c r="Y20" s="10"/>
      <c r="Z20" s="4">
        <f t="shared" si="4"/>
        <v>-0.5</v>
      </c>
      <c r="AA20">
        <f t="shared" si="0"/>
        <v>1515</v>
      </c>
      <c r="AC20" s="2">
        <f t="shared" si="5"/>
        <v>759</v>
      </c>
      <c r="AF20" s="21">
        <f t="shared" si="1"/>
        <v>759</v>
      </c>
      <c r="AG20" s="43">
        <f t="shared" si="2"/>
        <v>1480.980185884737</v>
      </c>
      <c r="AH20" s="51">
        <f t="shared" si="6"/>
        <v>719.4349670137434</v>
      </c>
      <c r="AI20" s="22">
        <f t="shared" si="3"/>
        <v>2.1758628743071209</v>
      </c>
      <c r="AJ20" s="40"/>
      <c r="AK20" s="22"/>
    </row>
    <row r="21" spans="1:37" x14ac:dyDescent="0.35">
      <c r="A21" s="22">
        <v>-0.47908031143663149</v>
      </c>
      <c r="B21" s="22">
        <v>-0.20984074430439562</v>
      </c>
      <c r="C21" s="22">
        <v>3.5326788337685913</v>
      </c>
      <c r="D21" s="22">
        <v>0.32705944775018331</v>
      </c>
      <c r="E21" s="22">
        <v>-0.48729842980434551</v>
      </c>
      <c r="F21" s="22">
        <v>2.5198122191062855</v>
      </c>
      <c r="G21" s="22">
        <v>1.5079536533463631</v>
      </c>
      <c r="H21" s="22">
        <v>-0.83429389737186754</v>
      </c>
      <c r="I21" s="22">
        <v>0.33539125172518447</v>
      </c>
      <c r="J21" s="22">
        <v>1.4820509070673278</v>
      </c>
      <c r="K21" s="22">
        <v>-0.37965249419886304</v>
      </c>
      <c r="L21" s="22">
        <v>-0.11797461417108226</v>
      </c>
      <c r="M21" s="22">
        <v>0.32605593815679335</v>
      </c>
      <c r="N21" s="22">
        <v>-0.77666857902249442</v>
      </c>
      <c r="O21" s="22">
        <v>1.4225897385710804</v>
      </c>
      <c r="P21" s="22">
        <v>1.1096281493631688</v>
      </c>
      <c r="Q21" s="22">
        <v>0.44643029955398789</v>
      </c>
      <c r="R21" s="22">
        <v>0.1168959556720285</v>
      </c>
      <c r="S21" s="22">
        <v>0.58727187009951753</v>
      </c>
      <c r="T21" s="22">
        <v>-0.1229990716525888</v>
      </c>
      <c r="U21" s="22">
        <v>-0.29758587114129426</v>
      </c>
      <c r="V21" s="22">
        <v>-1.1772214336850633</v>
      </c>
      <c r="W21" s="22">
        <v>-0.3656991125994824</v>
      </c>
      <c r="X21" s="22">
        <v>-0.61653357331191749</v>
      </c>
      <c r="Y21" s="10"/>
      <c r="Z21" s="4">
        <f t="shared" si="4"/>
        <v>0</v>
      </c>
      <c r="AA21">
        <f t="shared" si="0"/>
        <v>2431</v>
      </c>
      <c r="AC21" s="2">
        <f t="shared" si="5"/>
        <v>916</v>
      </c>
      <c r="AF21" s="21">
        <f t="shared" si="1"/>
        <v>916</v>
      </c>
      <c r="AG21" s="43">
        <f t="shared" si="2"/>
        <v>2400</v>
      </c>
      <c r="AH21" s="51">
        <f t="shared" si="6"/>
        <v>919.01981411526299</v>
      </c>
      <c r="AI21" s="22">
        <f t="shared" si="3"/>
        <v>9.9228299005943432E-3</v>
      </c>
      <c r="AJ21" s="40"/>
      <c r="AK21" s="22"/>
    </row>
    <row r="22" spans="1:37" x14ac:dyDescent="0.35">
      <c r="A22" s="22">
        <v>0.50371426579490197</v>
      </c>
      <c r="B22" s="22">
        <v>-0.99231714166597362</v>
      </c>
      <c r="C22" s="22">
        <v>-0.2909497379112595</v>
      </c>
      <c r="D22" s="22">
        <v>1.053658289710643</v>
      </c>
      <c r="E22" s="22">
        <v>-0.77454800963324377</v>
      </c>
      <c r="F22" s="22">
        <v>0.12979083104403041</v>
      </c>
      <c r="G22" s="22">
        <v>-0.76158118380917494</v>
      </c>
      <c r="H22" s="22">
        <v>-0.94449558432912417</v>
      </c>
      <c r="I22" s="22">
        <v>0.45446070241182235</v>
      </c>
      <c r="J22" s="22">
        <v>0.97057722790650069</v>
      </c>
      <c r="K22" s="22">
        <v>1.3040868277483109</v>
      </c>
      <c r="L22" s="22">
        <v>2.0048173562930871</v>
      </c>
      <c r="M22" s="22">
        <v>-3.2978061137200282E-2</v>
      </c>
      <c r="N22" s="22">
        <v>0.1330654833286147</v>
      </c>
      <c r="O22" s="22">
        <v>8.369510694333758E-2</v>
      </c>
      <c r="P22" s="22">
        <v>-1.5692632200793468</v>
      </c>
      <c r="Q22" s="22">
        <v>-7.0445403374968449E-2</v>
      </c>
      <c r="R22" s="22">
        <v>-1.2174079575840295</v>
      </c>
      <c r="S22" s="22">
        <v>-0.23584082148253585</v>
      </c>
      <c r="T22" s="22">
        <v>-1.3055378253925252</v>
      </c>
      <c r="U22" s="22">
        <v>-5.2253420187207715E-3</v>
      </c>
      <c r="V22" s="22">
        <v>7.51309552870809E-2</v>
      </c>
      <c r="W22" s="22">
        <v>-0.34259802039786602</v>
      </c>
      <c r="X22" s="22">
        <v>-0.92772454266962801</v>
      </c>
      <c r="Y22" s="10"/>
      <c r="Z22" s="4">
        <f t="shared" si="4"/>
        <v>0.5</v>
      </c>
      <c r="AA22">
        <f t="shared" si="0"/>
        <v>3306</v>
      </c>
      <c r="AC22" s="2">
        <f t="shared" si="5"/>
        <v>875</v>
      </c>
      <c r="AF22" s="21">
        <f t="shared" si="1"/>
        <v>875</v>
      </c>
      <c r="AG22" s="43">
        <f t="shared" si="2"/>
        <v>3319.0198141152628</v>
      </c>
      <c r="AH22" s="51">
        <f t="shared" si="6"/>
        <v>919.01981411526276</v>
      </c>
      <c r="AI22" s="22">
        <f t="shared" si="3"/>
        <v>2.1084899421975427</v>
      </c>
      <c r="AJ22" s="40"/>
      <c r="AK22" s="22"/>
    </row>
    <row r="23" spans="1:37" x14ac:dyDescent="0.35">
      <c r="A23" s="22">
        <v>0.35576581992688988</v>
      </c>
      <c r="B23" s="22">
        <v>0.96115003494064333</v>
      </c>
      <c r="C23" s="22">
        <v>0.55115594216856878</v>
      </c>
      <c r="D23" s="22">
        <v>1.2247621619282569</v>
      </c>
      <c r="E23" s="22">
        <v>1.2354767718522142</v>
      </c>
      <c r="F23" s="22">
        <v>2.6294128534427608</v>
      </c>
      <c r="G23" s="22">
        <v>0.36432211549807858</v>
      </c>
      <c r="H23" s="22">
        <v>1.5755908767529871</v>
      </c>
      <c r="I23" s="22">
        <v>0.60010048858949916</v>
      </c>
      <c r="J23" s="22">
        <v>0.83518244775229744</v>
      </c>
      <c r="K23" s="22">
        <v>-0.72844905600170784</v>
      </c>
      <c r="L23" s="22">
        <v>-0.88990184529866601</v>
      </c>
      <c r="M23" s="22">
        <v>0.29865665464293867</v>
      </c>
      <c r="N23" s="22">
        <v>1.0393409442289674</v>
      </c>
      <c r="O23" s="22">
        <v>0.59124429186477079</v>
      </c>
      <c r="P23" s="22">
        <v>8.1945179682955099E-3</v>
      </c>
      <c r="Q23" s="22">
        <v>-0.85626386230109552</v>
      </c>
      <c r="R23" s="22">
        <v>0.62373566103299127</v>
      </c>
      <c r="S23" s="22">
        <v>0.31963095157423632</v>
      </c>
      <c r="T23" s="22">
        <v>0.26924287804933705</v>
      </c>
      <c r="U23" s="22">
        <v>0.88520748760765144</v>
      </c>
      <c r="V23" s="22">
        <v>0.48660523277107787</v>
      </c>
      <c r="W23" s="22">
        <v>-6.833941749164342E-2</v>
      </c>
      <c r="X23" s="22">
        <v>-6.1251136305610188E-2</v>
      </c>
      <c r="Y23" s="10"/>
      <c r="Z23" s="4">
        <f t="shared" si="4"/>
        <v>1</v>
      </c>
      <c r="AA23">
        <f t="shared" si="0"/>
        <v>4030</v>
      </c>
      <c r="AC23" s="2">
        <f t="shared" si="5"/>
        <v>724</v>
      </c>
      <c r="AF23" s="21">
        <f t="shared" si="1"/>
        <v>724</v>
      </c>
      <c r="AG23" s="43">
        <f t="shared" si="2"/>
        <v>4038.4547811290067</v>
      </c>
      <c r="AH23" s="51">
        <f t="shared" si="6"/>
        <v>719.43496701374397</v>
      </c>
      <c r="AI23" s="22">
        <f t="shared" si="3"/>
        <v>2.8966518338838981E-2</v>
      </c>
      <c r="AJ23" s="40"/>
      <c r="AK23" s="22"/>
    </row>
    <row r="24" spans="1:37" x14ac:dyDescent="0.35">
      <c r="A24" s="22">
        <v>9.3213964319066617E-2</v>
      </c>
      <c r="B24" s="22">
        <v>0.60535638813872072</v>
      </c>
      <c r="C24" s="22">
        <v>-1.4001201135408627</v>
      </c>
      <c r="D24" s="22">
        <v>1.0113554939576226</v>
      </c>
      <c r="E24" s="22">
        <v>1.1990871158668699</v>
      </c>
      <c r="F24" s="22">
        <v>0.77996102118589916</v>
      </c>
      <c r="G24" s="22">
        <v>-0.59270283477646357</v>
      </c>
      <c r="H24" s="22">
        <v>-1.0152444024532945</v>
      </c>
      <c r="I24" s="22">
        <v>-0.20751414866438</v>
      </c>
      <c r="J24" s="22">
        <v>-0.18589043683730253</v>
      </c>
      <c r="K24" s="22">
        <v>-0.53230913003516733</v>
      </c>
      <c r="L24" s="22">
        <v>-0.55644430045768656</v>
      </c>
      <c r="M24" s="22">
        <v>-0.43595856896106722</v>
      </c>
      <c r="N24" s="22">
        <v>0.65868891639591143</v>
      </c>
      <c r="O24" s="22">
        <v>0.49112837492029221</v>
      </c>
      <c r="P24" s="22">
        <v>0.16558835222161924</v>
      </c>
      <c r="Q24" s="22">
        <v>0.13820024330603906</v>
      </c>
      <c r="R24" s="22">
        <v>0.53871372822681907</v>
      </c>
      <c r="S24" s="22">
        <v>-0.10339617298818884</v>
      </c>
      <c r="T24" s="22">
        <v>-0.52497740203155763</v>
      </c>
      <c r="U24" s="22">
        <v>-0.1259453454155417</v>
      </c>
      <c r="V24" s="22">
        <v>-0.61277811650071512</v>
      </c>
      <c r="W24" s="22">
        <v>0.76560224112091713</v>
      </c>
      <c r="X24" s="22">
        <v>0.68891087561276176</v>
      </c>
      <c r="Y24" s="10"/>
      <c r="Z24" s="4">
        <f t="shared" si="4"/>
        <v>1.5</v>
      </c>
      <c r="AA24">
        <f t="shared" si="0"/>
        <v>4482</v>
      </c>
      <c r="AC24" s="2">
        <f t="shared" si="5"/>
        <v>452</v>
      </c>
      <c r="AF24" s="21">
        <f t="shared" si="1"/>
        <v>452</v>
      </c>
      <c r="AG24" s="43">
        <f t="shared" si="2"/>
        <v>4479.325433909481</v>
      </c>
      <c r="AH24" s="51">
        <f t="shared" si="6"/>
        <v>440.8706527804743</v>
      </c>
      <c r="AI24" s="22">
        <f t="shared" si="3"/>
        <v>0.28094945479267364</v>
      </c>
      <c r="AJ24" s="40"/>
      <c r="AK24" s="1"/>
    </row>
    <row r="25" spans="1:37" x14ac:dyDescent="0.35">
      <c r="A25" s="22">
        <v>-0.18876041580937084</v>
      </c>
      <c r="B25" s="22">
        <v>1.1038918653501243E-2</v>
      </c>
      <c r="C25" s="22">
        <v>-0.71879608369650716</v>
      </c>
      <c r="D25" s="22">
        <v>0.24455367104027803</v>
      </c>
      <c r="E25" s="22">
        <v>0.48973834200121374</v>
      </c>
      <c r="F25" s="22">
        <v>0.36144805086512549</v>
      </c>
      <c r="G25" s="22">
        <v>-1.791900099798027</v>
      </c>
      <c r="H25" s="22">
        <v>0.82168526380886642</v>
      </c>
      <c r="I25" s="22">
        <v>0.2108367135466428</v>
      </c>
      <c r="J25" s="22">
        <v>0.15881337576748716</v>
      </c>
      <c r="K25" s="22">
        <v>0.32201162785373633</v>
      </c>
      <c r="L25" s="22">
        <v>3.0606566678695945E-2</v>
      </c>
      <c r="M25" s="22">
        <v>-1.7241888399254031</v>
      </c>
      <c r="N25" s="22">
        <v>-0.72068296944874499</v>
      </c>
      <c r="O25" s="22">
        <v>0.4004284395435907</v>
      </c>
      <c r="P25" s="22">
        <v>0.91025220406337504</v>
      </c>
      <c r="Q25" s="22">
        <v>1.7372556167305206</v>
      </c>
      <c r="R25" s="22">
        <v>-0.25917282767367722</v>
      </c>
      <c r="S25" s="22">
        <v>0.12436435560144317</v>
      </c>
      <c r="T25" s="22">
        <v>-0.95152844058794828</v>
      </c>
      <c r="U25" s="22">
        <v>1.0887334505090127</v>
      </c>
      <c r="V25" s="22">
        <v>-1.8218776442246791</v>
      </c>
      <c r="W25" s="22">
        <v>0.62284551511603892</v>
      </c>
      <c r="X25" s="22">
        <v>-3.3702850952083585E-2</v>
      </c>
      <c r="Z25" s="4">
        <f>Z24+0.5</f>
        <v>2</v>
      </c>
      <c r="AA25">
        <f t="shared" si="0"/>
        <v>4697</v>
      </c>
      <c r="AC25" s="6">
        <f>AA25-AA24</f>
        <v>215</v>
      </c>
      <c r="AF25" s="21">
        <f t="shared" si="1"/>
        <v>215</v>
      </c>
      <c r="AG25" s="43">
        <f t="shared" si="2"/>
        <v>4690.79936664874</v>
      </c>
      <c r="AH25" s="51">
        <f t="shared" si="6"/>
        <v>211.473932739259</v>
      </c>
      <c r="AI25" s="22">
        <f t="shared" si="3"/>
        <v>5.879282692774835E-2</v>
      </c>
    </row>
    <row r="26" spans="1:37" x14ac:dyDescent="0.35">
      <c r="A26" s="22">
        <v>1.1204550165780589</v>
      </c>
      <c r="B26" s="22">
        <v>-0.23273266591379782</v>
      </c>
      <c r="C26" s="22">
        <v>-0.48985248685817001</v>
      </c>
      <c r="D26" s="22">
        <v>-1.5463445372123594</v>
      </c>
      <c r="E26" s="22">
        <v>-0.40701285693799877</v>
      </c>
      <c r="F26" s="22">
        <v>1.8743615809023892</v>
      </c>
      <c r="G26" s="22">
        <v>0.33606749801486469</v>
      </c>
      <c r="H26" s="22">
        <v>1.6115294215648961</v>
      </c>
      <c r="I26" s="22">
        <v>1.3876081816825534</v>
      </c>
      <c r="J26" s="22">
        <v>-1.1189132147314582</v>
      </c>
      <c r="K26" s="22">
        <v>1.3024950419171071</v>
      </c>
      <c r="L26" s="22">
        <v>-0.6069140947554782</v>
      </c>
      <c r="M26" s="22">
        <v>0.82913869107184235</v>
      </c>
      <c r="N26" s="22">
        <v>-0.20855014684578876</v>
      </c>
      <c r="O26" s="22">
        <v>-1.4296083330031228</v>
      </c>
      <c r="P26" s="22">
        <v>4.1970175177276194E-3</v>
      </c>
      <c r="Q26" s="22">
        <v>-1.1994723412006127</v>
      </c>
      <c r="R26" s="22">
        <v>0.83211127308754718</v>
      </c>
      <c r="S26" s="22">
        <v>-1.7882664723378834</v>
      </c>
      <c r="T26" s="22">
        <v>-1.2114134389322229</v>
      </c>
      <c r="U26" s="22">
        <v>-0.20372205827450957</v>
      </c>
      <c r="V26" s="22">
        <v>2.098666450069135</v>
      </c>
      <c r="W26" s="22">
        <v>-1.101840333133931</v>
      </c>
      <c r="X26" s="22">
        <v>1.551944436482217</v>
      </c>
      <c r="Z26" s="4">
        <f>Z25+0.5</f>
        <v>2.5</v>
      </c>
      <c r="AA26">
        <f t="shared" si="0"/>
        <v>4768</v>
      </c>
      <c r="AC26" s="6">
        <f>AA26-AA25</f>
        <v>71</v>
      </c>
      <c r="AF26" s="21">
        <f t="shared" si="1"/>
        <v>71</v>
      </c>
      <c r="AG26" s="43">
        <f t="shared" si="2"/>
        <v>4770.1936064362744</v>
      </c>
      <c r="AH26" s="51">
        <f t="shared" si="6"/>
        <v>79.394239787534389</v>
      </c>
      <c r="AI26" s="22">
        <f t="shared" si="3"/>
        <v>0.8875110058260014</v>
      </c>
    </row>
    <row r="27" spans="1:37" x14ac:dyDescent="0.35">
      <c r="A27" s="22">
        <v>0.59669889447490632</v>
      </c>
      <c r="B27" s="22">
        <v>0.72050096683903053</v>
      </c>
      <c r="C27" s="22">
        <v>-0.94725336362685308</v>
      </c>
      <c r="D27" s="22">
        <v>1.1195521496918319</v>
      </c>
      <c r="E27" s="22">
        <v>0.225863936410134</v>
      </c>
      <c r="F27" s="22">
        <v>-0.97691237789336804</v>
      </c>
      <c r="G27" s="22">
        <v>0.63754355119689288</v>
      </c>
      <c r="H27" s="22">
        <v>0.23087653995808041</v>
      </c>
      <c r="I27" s="22">
        <v>0.50596713377468205</v>
      </c>
      <c r="J27" s="22">
        <v>-2.0356513565669747</v>
      </c>
      <c r="K27" s="22">
        <v>-0.31379188016879123</v>
      </c>
      <c r="L27" s="22">
        <v>0.38767317820717312</v>
      </c>
      <c r="M27" s="22">
        <v>-2.7965899002783892</v>
      </c>
      <c r="N27" s="22">
        <v>4.8369762267390273E-2</v>
      </c>
      <c r="O27" s="22">
        <v>9.4182262801429009E-2</v>
      </c>
      <c r="P27" s="22">
        <v>-0.5068028289354698</v>
      </c>
      <c r="Q27" s="22">
        <v>0.10242498965317649</v>
      </c>
      <c r="R27" s="22">
        <v>9.9133558011362616E-2</v>
      </c>
      <c r="S27" s="22">
        <v>0.31338232171168734</v>
      </c>
      <c r="T27" s="22">
        <v>-0.79379757302748077</v>
      </c>
      <c r="U27" s="22">
        <v>-2.6020685205190186</v>
      </c>
      <c r="V27" s="22">
        <v>-1.9052756103350748</v>
      </c>
      <c r="W27" s="22">
        <v>-3.4329341188871094</v>
      </c>
      <c r="X27" s="22">
        <v>0.52239147185803014</v>
      </c>
      <c r="Z27" s="4">
        <f>Z26+0.5</f>
        <v>3</v>
      </c>
      <c r="AA27">
        <f t="shared" si="0"/>
        <v>4793</v>
      </c>
      <c r="AC27" s="6">
        <f>AA27-AA26</f>
        <v>25</v>
      </c>
      <c r="AF27" s="21">
        <f t="shared" si="1"/>
        <v>25</v>
      </c>
      <c r="AG27" s="43">
        <f t="shared" si="2"/>
        <v>4793.5204894481758</v>
      </c>
      <c r="AH27" s="51">
        <f t="shared" si="6"/>
        <v>23.326883011901373</v>
      </c>
      <c r="AI27" s="22">
        <f t="shared" si="3"/>
        <v>0.12000405088138046</v>
      </c>
    </row>
    <row r="28" spans="1:37" x14ac:dyDescent="0.35">
      <c r="A28" s="22">
        <v>0.59436605024889066</v>
      </c>
      <c r="B28" s="22">
        <v>0.97332290977410163</v>
      </c>
      <c r="C28" s="22">
        <v>-0.19254159377278915</v>
      </c>
      <c r="D28" s="22">
        <v>0.3444430422446127</v>
      </c>
      <c r="E28" s="22">
        <v>0.23290895306761702</v>
      </c>
      <c r="F28" s="22">
        <v>-0.6564099507954293</v>
      </c>
      <c r="G28" s="22">
        <v>0.33035283785538194</v>
      </c>
      <c r="H28" s="22">
        <v>0.26850251419639337</v>
      </c>
      <c r="I28" s="22">
        <v>0.8523766980665225</v>
      </c>
      <c r="J28" s="22">
        <v>-0.40077818909549728</v>
      </c>
      <c r="K28" s="22">
        <v>-0.33718509127176022</v>
      </c>
      <c r="L28" s="22">
        <v>-1.6099334368237661</v>
      </c>
      <c r="M28" s="22">
        <v>-1.5964487733710038</v>
      </c>
      <c r="N28" s="22">
        <v>1.6099291591151605</v>
      </c>
      <c r="O28" s="22">
        <v>9.8813419489898711E-3</v>
      </c>
      <c r="P28" s="22">
        <v>0.90410234127990274</v>
      </c>
      <c r="Q28" s="22">
        <v>-0.23086086775018741</v>
      </c>
      <c r="R28" s="22">
        <v>0.447355946825788</v>
      </c>
      <c r="S28" s="22">
        <v>0.94914709998622115</v>
      </c>
      <c r="T28" s="22">
        <v>0.36412889493728162</v>
      </c>
      <c r="U28" s="22">
        <v>-0.2810192107577032</v>
      </c>
      <c r="V28" s="22">
        <v>-0.15576053038111409</v>
      </c>
      <c r="W28" s="22">
        <v>1.1442133039745787E-2</v>
      </c>
      <c r="X28" s="22">
        <v>0.4853886287119058</v>
      </c>
      <c r="Z28" s="4">
        <f>Z27+0.5</f>
        <v>3.5</v>
      </c>
      <c r="AA28">
        <f t="shared" si="0"/>
        <v>4798</v>
      </c>
      <c r="AC28" s="6">
        <f>AA28-AA27</f>
        <v>5</v>
      </c>
      <c r="AF28" s="21">
        <f t="shared" si="1"/>
        <v>5</v>
      </c>
      <c r="AG28" s="43">
        <f t="shared" si="2"/>
        <v>4798.8833804206297</v>
      </c>
      <c r="AH28" s="51">
        <f t="shared" si="6"/>
        <v>5.3628909724538971</v>
      </c>
      <c r="AI28" s="22">
        <f t="shared" si="3"/>
        <v>2.4555758930202121E-2</v>
      </c>
    </row>
    <row r="29" spans="1:37" x14ac:dyDescent="0.35">
      <c r="A29" s="22">
        <v>1.0784271764973981</v>
      </c>
      <c r="B29" s="22">
        <v>-9.2208201643312754E-2</v>
      </c>
      <c r="C29" s="22">
        <v>0.17517449824589196</v>
      </c>
      <c r="D29" s="22">
        <v>-1.8658773027343909</v>
      </c>
      <c r="E29" s="22">
        <v>0.78240721600413499</v>
      </c>
      <c r="F29" s="22">
        <v>-0.70762295868535463</v>
      </c>
      <c r="G29" s="22">
        <v>-1.8297237998305544</v>
      </c>
      <c r="H29" s="22">
        <v>0.51158255909206063</v>
      </c>
      <c r="I29" s="22">
        <v>-0.33668990712985886</v>
      </c>
      <c r="J29" s="22">
        <v>-0.89997897521657055</v>
      </c>
      <c r="K29" s="22">
        <v>-0.22143300774679278</v>
      </c>
      <c r="L29" s="22">
        <v>-0.98747830394940739</v>
      </c>
      <c r="M29" s="22">
        <v>0.17559429237665927</v>
      </c>
      <c r="N29" s="22">
        <v>0.21563051068367589</v>
      </c>
      <c r="O29" s="22">
        <v>-0.74683169824605766</v>
      </c>
      <c r="P29" s="22">
        <v>-1.1534674096119288</v>
      </c>
      <c r="Q29" s="22">
        <v>-1.4022242119777497</v>
      </c>
      <c r="R29" s="22">
        <v>-0.51756686242611649</v>
      </c>
      <c r="S29" s="22">
        <v>0.52519657875375558</v>
      </c>
      <c r="T29" s="22">
        <v>-0.22104584492292603</v>
      </c>
      <c r="U29" s="22">
        <v>-0.22619864614181776</v>
      </c>
      <c r="V29" s="22">
        <v>-0.10463054013578302</v>
      </c>
      <c r="W29" s="22">
        <v>-0.61452357903751953</v>
      </c>
      <c r="X29" s="22">
        <v>0.26184272657962576</v>
      </c>
      <c r="Y29" s="10" t="s">
        <v>11</v>
      </c>
      <c r="Z29" s="5">
        <v>3.5</v>
      </c>
      <c r="AA29" s="23">
        <f>AA4</f>
        <v>4800</v>
      </c>
      <c r="AC29" s="65">
        <f>AA29-AA28</f>
        <v>2</v>
      </c>
      <c r="AF29" s="21">
        <f t="shared" si="1"/>
        <v>2</v>
      </c>
      <c r="AG29" s="43">
        <f>AC4</f>
        <v>4800</v>
      </c>
      <c r="AH29" s="51">
        <f t="shared" si="6"/>
        <v>1.1166195793703082</v>
      </c>
      <c r="AI29" s="22">
        <f t="shared" si="3"/>
        <v>0.69886018655696303</v>
      </c>
    </row>
    <row r="30" spans="1:37" x14ac:dyDescent="0.35">
      <c r="A30" s="22">
        <v>-1.133385087902097</v>
      </c>
      <c r="B30" s="22">
        <v>-0.44304624710100887</v>
      </c>
      <c r="C30" s="22">
        <v>1.1668325372305244</v>
      </c>
      <c r="D30" s="22">
        <v>-0.99970367681103522</v>
      </c>
      <c r="E30" s="22">
        <v>-0.92196426387046726</v>
      </c>
      <c r="F30" s="22">
        <v>-1.8399915546811039</v>
      </c>
      <c r="G30" s="22">
        <v>-0.46958362841897483</v>
      </c>
      <c r="H30" s="22">
        <v>-1.3509214846553215</v>
      </c>
      <c r="I30" s="22">
        <v>-0.40269320661419422</v>
      </c>
      <c r="J30" s="22">
        <v>0.82484533624675471</v>
      </c>
      <c r="K30" s="22">
        <v>0.36496221675942553</v>
      </c>
      <c r="L30" s="22">
        <v>-2.7741842883141108E-2</v>
      </c>
      <c r="M30" s="22">
        <v>0.90899555146876365</v>
      </c>
      <c r="N30" s="22">
        <v>-0.38012911333319854</v>
      </c>
      <c r="O30" s="22">
        <v>-1.0083167677708154</v>
      </c>
      <c r="P30" s="22">
        <v>2.0635238174885333</v>
      </c>
      <c r="Q30" s="22">
        <v>-2.2049343228397795</v>
      </c>
      <c r="R30" s="22">
        <v>-0.73026680924662357</v>
      </c>
      <c r="S30" s="22">
        <v>-1.0672471949815507</v>
      </c>
      <c r="T30" s="22">
        <v>0.27790116829027661</v>
      </c>
      <c r="U30" s="22">
        <v>-0.82859196164378357</v>
      </c>
      <c r="V30" s="22">
        <v>-0.67339837186694551</v>
      </c>
      <c r="W30" s="22">
        <v>-0.18967076546593373</v>
      </c>
      <c r="X30" s="22">
        <v>7.3221936939171187E-2</v>
      </c>
      <c r="AC30" s="2">
        <f>SUM(AC14:AC29)</f>
        <v>4800</v>
      </c>
      <c r="AD30" s="3" t="str">
        <f>IF(AA29=AC30,"OK","Check frequencies")</f>
        <v>OK</v>
      </c>
      <c r="AF30" t="s">
        <v>9</v>
      </c>
      <c r="AG30" s="51"/>
      <c r="AI30" s="22">
        <f>SUM(AI14:AI29)</f>
        <v>8.8995414110952797</v>
      </c>
    </row>
    <row r="31" spans="1:37" x14ac:dyDescent="0.35">
      <c r="A31" s="22">
        <v>-1.3346009624300206</v>
      </c>
      <c r="B31" s="22">
        <v>0.35838841938905741</v>
      </c>
      <c r="C31" s="22">
        <v>-0.30475605009091405</v>
      </c>
      <c r="D31" s="22">
        <v>3.6562012916167568</v>
      </c>
      <c r="E31" s="22">
        <v>-0.52235415541836294</v>
      </c>
      <c r="F31" s="22">
        <v>-1.7855205339049165</v>
      </c>
      <c r="G31" s="22">
        <v>-0.41381908568002046</v>
      </c>
      <c r="H31" s="22">
        <v>-1.0986997875328841</v>
      </c>
      <c r="I31" s="22">
        <v>-0.32538824229881069</v>
      </c>
      <c r="J31" s="22">
        <v>-1.5476361993257497</v>
      </c>
      <c r="K31" s="22">
        <v>-0.78169223153091483</v>
      </c>
      <c r="L31" s="22">
        <v>1.1692844074462982</v>
      </c>
      <c r="M31" s="22">
        <v>-0.4138642483604279</v>
      </c>
      <c r="N31" s="22">
        <v>0.27247018438160575</v>
      </c>
      <c r="O31" s="22">
        <v>0.60273428733647905</v>
      </c>
      <c r="P31" s="22">
        <v>1.9326450094959948</v>
      </c>
      <c r="Q31" s="22">
        <v>-0.72394634864246066</v>
      </c>
      <c r="R31" s="22">
        <v>0.6715086775146718</v>
      </c>
      <c r="S31" s="22">
        <v>1.0997312280068425</v>
      </c>
      <c r="T31" s="22">
        <v>2.1057818382898805</v>
      </c>
      <c r="U31" s="22">
        <v>-1.7343361873978982</v>
      </c>
      <c r="V31" s="22">
        <v>1.7642520125203085</v>
      </c>
      <c r="W31" s="22">
        <v>0.4239169670938624</v>
      </c>
      <c r="X31" s="22">
        <v>-3.1327499923600448</v>
      </c>
      <c r="AH31" s="10" t="s">
        <v>46</v>
      </c>
      <c r="AI31" s="40">
        <f>COUNT(Z14:Z29)-1</f>
        <v>15</v>
      </c>
    </row>
    <row r="32" spans="1:37" x14ac:dyDescent="0.35">
      <c r="A32" s="22">
        <v>1.5347621414190535</v>
      </c>
      <c r="B32" s="22">
        <v>-2.6646504212295685</v>
      </c>
      <c r="C32" s="22">
        <v>-1.8206572514264863</v>
      </c>
      <c r="D32" s="22">
        <v>-0.82012155589689539</v>
      </c>
      <c r="E32" s="22">
        <v>-0.83979579398209536</v>
      </c>
      <c r="F32" s="22">
        <v>-0.9216244976346275</v>
      </c>
      <c r="G32" s="22">
        <v>0.72721278046016502</v>
      </c>
      <c r="H32" s="22">
        <v>0.94963448373798587</v>
      </c>
      <c r="I32" s="22">
        <v>-2.0702039274850788</v>
      </c>
      <c r="J32" s="22">
        <v>1.1848320987624548</v>
      </c>
      <c r="K32" s="22">
        <v>-0.93005224001141462</v>
      </c>
      <c r="L32" s="22">
        <v>1.0376494483192509</v>
      </c>
      <c r="M32" s="22">
        <v>-1.1213700032917691</v>
      </c>
      <c r="N32" s="22">
        <v>1.7034728730829127</v>
      </c>
      <c r="O32" s="22">
        <v>1.1046463749274609</v>
      </c>
      <c r="P32" s="22">
        <v>-0.36884796567776168</v>
      </c>
      <c r="Q32" s="22">
        <v>-0.43262843821213509</v>
      </c>
      <c r="R32" s="22">
        <v>0.38880101587127536</v>
      </c>
      <c r="S32" s="22">
        <v>0.72190333504598458</v>
      </c>
      <c r="T32" s="22">
        <v>-0.6699514876575825</v>
      </c>
      <c r="U32" s="22">
        <v>-0.93118051545638414</v>
      </c>
      <c r="V32" s="22">
        <v>-0.49815577511885256</v>
      </c>
      <c r="W32" s="22">
        <v>-1.5711578902736547</v>
      </c>
      <c r="X32" s="22">
        <v>-2.3274945804262741E-2</v>
      </c>
    </row>
    <row r="33" spans="1:35" x14ac:dyDescent="0.35">
      <c r="A33" s="22">
        <v>1.6123526508982489</v>
      </c>
      <c r="B33" s="22">
        <v>0.48680411422753134</v>
      </c>
      <c r="C33" s="22">
        <v>-0.91517093757319024</v>
      </c>
      <c r="D33" s="22">
        <v>-1.0382023391355051</v>
      </c>
      <c r="E33" s="22">
        <v>-0.27523825970472349</v>
      </c>
      <c r="F33" s="22">
        <v>-1.1581127601972321</v>
      </c>
      <c r="G33" s="22">
        <v>6.4994811456994275E-2</v>
      </c>
      <c r="H33" s="22">
        <v>-1.6225365228220356</v>
      </c>
      <c r="I33" s="22">
        <v>-1.6429457577854585</v>
      </c>
      <c r="J33" s="22">
        <v>-0.57021798003172131</v>
      </c>
      <c r="K33" s="22">
        <v>-0.52746344767025755</v>
      </c>
      <c r="L33" s="22">
        <v>1.3745646901131134</v>
      </c>
      <c r="M33" s="22">
        <v>0.56434418410485732</v>
      </c>
      <c r="N33" s="22">
        <v>-0.51903863817653206</v>
      </c>
      <c r="O33" s="22">
        <v>-0.75046446662316302</v>
      </c>
      <c r="P33" s="22">
        <v>0.86588123601524092</v>
      </c>
      <c r="Q33" s="22">
        <v>-0.5562301685913793</v>
      </c>
      <c r="R33" s="22">
        <v>0.1116461020568003</v>
      </c>
      <c r="S33" s="22">
        <v>0.47430942477436883</v>
      </c>
      <c r="T33" s="22">
        <v>-0.96434763927603995</v>
      </c>
      <c r="U33" s="22">
        <v>-0.10988615319679805</v>
      </c>
      <c r="V33" s="22">
        <v>-0.78713789279250201</v>
      </c>
      <c r="W33" s="22">
        <v>-0.57971717112221732</v>
      </c>
      <c r="X33" s="22">
        <v>-1.7786930953340214</v>
      </c>
      <c r="AH33" s="10" t="s">
        <v>73</v>
      </c>
      <c r="AI33" s="52">
        <f>CHIINV(85%,AI31)</f>
        <v>9.4992815965487125</v>
      </c>
    </row>
    <row r="34" spans="1:35" x14ac:dyDescent="0.35">
      <c r="A34" s="22">
        <v>0.94736078711208638</v>
      </c>
      <c r="B34" s="22">
        <v>-0.51632123455021772</v>
      </c>
      <c r="C34" s="22">
        <v>-0.18834586571693621</v>
      </c>
      <c r="D34" s="22">
        <v>1.8417488320740101</v>
      </c>
      <c r="E34" s="22">
        <v>-0.18224577894924232</v>
      </c>
      <c r="F34" s="22">
        <v>0.15201406023522407</v>
      </c>
      <c r="G34" s="22">
        <v>0.27629418966723029</v>
      </c>
      <c r="H34" s="22">
        <v>1.3736237201873218</v>
      </c>
      <c r="I34" s="22">
        <v>-0.33745026527137512</v>
      </c>
      <c r="J34" s="22">
        <v>-3.105817703225521</v>
      </c>
      <c r="K34" s="22">
        <v>1.7863363603979185</v>
      </c>
      <c r="L34" s="22">
        <v>-0.83233111769251078</v>
      </c>
      <c r="M34" s="22">
        <v>-0.17010866869297189</v>
      </c>
      <c r="N34" s="22">
        <v>-1.1419058988728525</v>
      </c>
      <c r="O34" s="22">
        <v>-0.56158463732143349</v>
      </c>
      <c r="P34" s="22">
        <v>-0.46675583791773423</v>
      </c>
      <c r="Q34" s="22">
        <v>0.10612564012569389</v>
      </c>
      <c r="R34" s="22">
        <v>-1.5378738753601031</v>
      </c>
      <c r="S34" s="22">
        <v>-0.53377145379571034</v>
      </c>
      <c r="T34" s="22">
        <v>0.19214950780150075</v>
      </c>
      <c r="U34" s="22">
        <v>1.6367637420654653</v>
      </c>
      <c r="V34" s="22">
        <v>-1.4001157063800274</v>
      </c>
      <c r="W34" s="22">
        <v>0.80184420512313703</v>
      </c>
      <c r="X34" s="22">
        <v>-0.11549875394889753</v>
      </c>
    </row>
    <row r="35" spans="1:35" x14ac:dyDescent="0.35">
      <c r="A35" s="22">
        <v>-0.36970786870947775</v>
      </c>
      <c r="B35" s="22">
        <v>-2.7897288693078105E-2</v>
      </c>
      <c r="C35" s="22">
        <v>-0.48474717285936891</v>
      </c>
      <c r="D35" s="22">
        <v>-0.78331261333065227</v>
      </c>
      <c r="E35" s="22">
        <v>1.0350076283185801</v>
      </c>
      <c r="F35" s="22">
        <v>0.48860186130374966</v>
      </c>
      <c r="G35" s="22">
        <v>-0.82168781788486966</v>
      </c>
      <c r="H35" s="22">
        <v>-0.75222777502213611</v>
      </c>
      <c r="I35" s="22">
        <v>-0.17490693548700112</v>
      </c>
      <c r="J35" s="22">
        <v>-2.1692992519785403</v>
      </c>
      <c r="K35" s="22">
        <v>-5.2874059237021299E-2</v>
      </c>
      <c r="L35" s="22">
        <v>0.91388771153972093</v>
      </c>
      <c r="M35" s="22">
        <v>0.62904693213988438</v>
      </c>
      <c r="N35" s="22">
        <v>0.93591205277938772</v>
      </c>
      <c r="O35" s="22">
        <v>-0.49423596089895039</v>
      </c>
      <c r="P35" s="22">
        <v>1.2814736187638638</v>
      </c>
      <c r="Q35" s="22">
        <v>0.54793547304435219</v>
      </c>
      <c r="R35" s="22">
        <v>1.5856526810141859E-2</v>
      </c>
      <c r="S35" s="22">
        <v>-2.9247159823654743</v>
      </c>
      <c r="T35" s="22">
        <v>0.41950129724340474</v>
      </c>
      <c r="U35" s="22">
        <v>0.40584677093958749</v>
      </c>
      <c r="V35" s="22">
        <v>-0.8737632305675358</v>
      </c>
      <c r="W35" s="22">
        <v>1.3783939877841158</v>
      </c>
      <c r="X35" s="22">
        <v>1.7215832942157834</v>
      </c>
      <c r="AH35" s="10" t="s">
        <v>47</v>
      </c>
      <c r="AI35" s="17" t="str">
        <f>IF(AI33&gt;AI30,"Accept Hypothesis", "Reject Hypothesis")</f>
        <v>Accept Hypothesis</v>
      </c>
    </row>
    <row r="36" spans="1:35" x14ac:dyDescent="0.35">
      <c r="A36" s="22">
        <v>1.2080411982870121</v>
      </c>
      <c r="B36" s="22">
        <v>7.726030321182807E-3</v>
      </c>
      <c r="C36" s="22">
        <v>-0.3915790324952152</v>
      </c>
      <c r="D36" s="22">
        <v>0.19480899838798499</v>
      </c>
      <c r="E36" s="22">
        <v>2.0360602135465617</v>
      </c>
      <c r="F36" s="22">
        <v>0.4121811031750704</v>
      </c>
      <c r="G36" s="22">
        <v>0.91631982220153063</v>
      </c>
      <c r="H36" s="22">
        <v>0.18179785605342333</v>
      </c>
      <c r="I36" s="22">
        <v>0.63343192577556717</v>
      </c>
      <c r="J36" s="22">
        <v>1.0082217560555597</v>
      </c>
      <c r="K36" s="22">
        <v>0.8901029914655586</v>
      </c>
      <c r="L36" s="22">
        <v>1.9982863703596765</v>
      </c>
      <c r="M36" s="22">
        <v>0.15625159815458758</v>
      </c>
      <c r="N36" s="22">
        <v>0.51374072065629783</v>
      </c>
      <c r="O36" s="22">
        <v>-0.10322577240028673</v>
      </c>
      <c r="P36" s="22">
        <v>-0.45319955877085455</v>
      </c>
      <c r="Q36" s="22">
        <v>2.2882493192358271</v>
      </c>
      <c r="R36" s="22">
        <v>-0.63155019448819549</v>
      </c>
      <c r="S36" s="22">
        <v>0.23676281388484946</v>
      </c>
      <c r="T36" s="22">
        <v>0.73840675973985803</v>
      </c>
      <c r="U36" s="22">
        <v>1.6782175650404438</v>
      </c>
      <c r="V36" s="22">
        <v>-0.73727932351342151</v>
      </c>
      <c r="W36" s="22">
        <v>-0.16436651693513046</v>
      </c>
      <c r="X36" s="22">
        <v>1.0985271169516517</v>
      </c>
    </row>
    <row r="37" spans="1:35" x14ac:dyDescent="0.35">
      <c r="A37" s="22">
        <v>-0.23102430696288201</v>
      </c>
      <c r="B37" s="22">
        <v>-0.93078006067935548</v>
      </c>
      <c r="C37" s="22">
        <v>-0.16046686037852559</v>
      </c>
      <c r="D37" s="22">
        <v>-1.4816431431244639</v>
      </c>
      <c r="E37" s="22">
        <v>-1.1990797051208635</v>
      </c>
      <c r="F37" s="22">
        <v>-0.52605464744932207</v>
      </c>
      <c r="G37" s="22">
        <v>0.65318147943100657</v>
      </c>
      <c r="H37" s="22">
        <v>0.73762308898539353</v>
      </c>
      <c r="I37" s="22">
        <v>0.12026044464389034</v>
      </c>
      <c r="J37" s="22">
        <v>-0.57641389819505284</v>
      </c>
      <c r="K37" s="22">
        <v>0.39554023443019393</v>
      </c>
      <c r="L37" s="22">
        <v>-1.673372554296862</v>
      </c>
      <c r="M37" s="22">
        <v>-0.89288296252753374</v>
      </c>
      <c r="N37" s="22">
        <v>0.40870710740723404</v>
      </c>
      <c r="O37" s="22">
        <v>1.6432464633907213</v>
      </c>
      <c r="P37" s="22">
        <v>1.1668519934699497</v>
      </c>
      <c r="Q37" s="22">
        <v>-1.7311157938824828</v>
      </c>
      <c r="R37" s="22">
        <v>-0.36214287024201042</v>
      </c>
      <c r="S37" s="22">
        <v>0.23430697691697572</v>
      </c>
      <c r="T37" s="22">
        <v>0.23036617297511738</v>
      </c>
      <c r="U37" s="22">
        <v>1.7535141504540457</v>
      </c>
      <c r="V37" s="22">
        <v>0.21297668644525358</v>
      </c>
      <c r="W37" s="22">
        <v>0.66233061442646057</v>
      </c>
      <c r="X37" s="22">
        <v>0.98329528207588479</v>
      </c>
    </row>
    <row r="38" spans="1:35" x14ac:dyDescent="0.35">
      <c r="A38" s="22">
        <v>1.171946028929014</v>
      </c>
      <c r="B38" s="22">
        <v>0.2664240314424825</v>
      </c>
      <c r="C38" s="22">
        <v>-0.45181825359536604</v>
      </c>
      <c r="D38" s="22">
        <v>-2.953069438242106E-2</v>
      </c>
      <c r="E38" s="22">
        <v>-0.45574618897211222</v>
      </c>
      <c r="F38" s="22">
        <v>0.5541188124217129</v>
      </c>
      <c r="G38" s="22">
        <v>-1.1877385185326144</v>
      </c>
      <c r="H38" s="22">
        <v>7.9891615250646267E-2</v>
      </c>
      <c r="I38" s="22">
        <v>1.0021608554041537</v>
      </c>
      <c r="J38" s="22">
        <v>-0.85970691166254676</v>
      </c>
      <c r="K38" s="22">
        <v>-2.3407316895392896</v>
      </c>
      <c r="L38" s="22">
        <v>-0.50482652624530411</v>
      </c>
      <c r="M38" s="22">
        <v>1.188235587409147</v>
      </c>
      <c r="N38" s="22">
        <v>-1.1083552811642865</v>
      </c>
      <c r="O38" s="22">
        <v>0.84702545733194412</v>
      </c>
      <c r="P38" s="22">
        <v>-0.4627353396043043</v>
      </c>
      <c r="Q38" s="22">
        <v>1.3518905587897745</v>
      </c>
      <c r="R38" s="22">
        <v>-4.1885585217144125E-2</v>
      </c>
      <c r="S38" s="22">
        <v>-1.2256424070558745</v>
      </c>
      <c r="T38" s="22">
        <v>1.1218255607137362</v>
      </c>
      <c r="U38" s="22">
        <v>-0.2924409760895636</v>
      </c>
      <c r="V38" s="22">
        <v>-0.60885197553863046</v>
      </c>
      <c r="W38" s="22">
        <v>-8.308809892325951E-2</v>
      </c>
      <c r="X38" s="22">
        <v>-1.0502244600206647E-2</v>
      </c>
    </row>
    <row r="39" spans="1:35" x14ac:dyDescent="0.35">
      <c r="A39" s="22">
        <v>-1.4718157636243245</v>
      </c>
      <c r="B39" s="22">
        <v>-0.17414590927444967</v>
      </c>
      <c r="C39" s="22">
        <v>-0.11506884973303633</v>
      </c>
      <c r="D39" s="22">
        <v>-1.3746392380753663</v>
      </c>
      <c r="E39" s="22">
        <v>-1.2022078481930052</v>
      </c>
      <c r="F39" s="22">
        <v>-0.516452412940962</v>
      </c>
      <c r="G39" s="22">
        <v>-0.65535810177844467</v>
      </c>
      <c r="H39" s="22">
        <v>0.46036908091456191</v>
      </c>
      <c r="I39" s="22">
        <v>-1.8412925586706745</v>
      </c>
      <c r="J39" s="22">
        <v>0.46169838511880673</v>
      </c>
      <c r="K39" s="22">
        <v>0.42148891869127253</v>
      </c>
      <c r="L39" s="22">
        <v>-1.4557863297191471</v>
      </c>
      <c r="M39" s="22">
        <v>-0.96371867470201245</v>
      </c>
      <c r="N39" s="22">
        <v>-0.41658814315566139</v>
      </c>
      <c r="O39" s="22">
        <v>-0.10244952783696951</v>
      </c>
      <c r="P39" s="22">
        <v>4.1082565203272269E-2</v>
      </c>
      <c r="Q39" s="22">
        <v>-0.50654451889829755</v>
      </c>
      <c r="R39" s="22">
        <v>0.99600721346864918</v>
      </c>
      <c r="S39" s="22">
        <v>0.98637553365550446</v>
      </c>
      <c r="T39" s="22">
        <v>-0.26083371665769745</v>
      </c>
      <c r="U39" s="22">
        <v>-0.36744006050698425</v>
      </c>
      <c r="V39" s="22">
        <v>0.32680799650011727</v>
      </c>
      <c r="W39" s="22">
        <v>-1.2812904121006228</v>
      </c>
      <c r="X39" s="22">
        <v>-0.70943075547145773</v>
      </c>
    </row>
    <row r="40" spans="1:35" x14ac:dyDescent="0.35">
      <c r="A40" s="22">
        <v>-1.3131976189570778</v>
      </c>
      <c r="B40" s="22">
        <v>3.0824734536284404</v>
      </c>
      <c r="C40" s="22">
        <v>0.77726622447149207</v>
      </c>
      <c r="D40" s="22">
        <v>-0.22808361444656258</v>
      </c>
      <c r="E40" s="22">
        <v>1.5735455447730671</v>
      </c>
      <c r="F40" s="22">
        <v>-0.65934215791461703</v>
      </c>
      <c r="G40" s="22">
        <v>0.96625715599773543</v>
      </c>
      <c r="H40" s="22">
        <v>-0.13577944760609489</v>
      </c>
      <c r="I40" s="22">
        <v>2.6414689309241273</v>
      </c>
      <c r="J40" s="22">
        <v>-0.70180910024058452</v>
      </c>
      <c r="K40" s="22">
        <v>-0.44319226692675046</v>
      </c>
      <c r="L40" s="22">
        <v>-0.90319682458153294</v>
      </c>
      <c r="M40" s="22">
        <v>0.12491882810137951</v>
      </c>
      <c r="N40" s="22">
        <v>-1.0325722682395455</v>
      </c>
      <c r="O40" s="22">
        <v>-0.4859728124613214</v>
      </c>
      <c r="P40" s="22">
        <v>0.38209795340322183</v>
      </c>
      <c r="Q40" s="22">
        <v>-0.70408117356361499</v>
      </c>
      <c r="R40" s="22">
        <v>-0.67213232585781146</v>
      </c>
      <c r="S40" s="22">
        <v>-0.8720708485745382</v>
      </c>
      <c r="T40" s="22">
        <v>-2.9731386015715913E-2</v>
      </c>
      <c r="U40" s="22">
        <v>1.5456126104582655</v>
      </c>
      <c r="V40" s="22">
        <v>0.29195230898545788</v>
      </c>
      <c r="W40" s="22">
        <v>1.321561196759389</v>
      </c>
      <c r="X40" s="22">
        <v>-0.17843990295317544</v>
      </c>
    </row>
    <row r="41" spans="1:35" x14ac:dyDescent="0.35">
      <c r="A41" s="22">
        <v>-1.2926706203616829</v>
      </c>
      <c r="B41" s="22">
        <v>-0.43526529632107674</v>
      </c>
      <c r="C41" s="22">
        <v>-1.7578547869468306</v>
      </c>
      <c r="D41" s="22">
        <v>-0.66988133119891913</v>
      </c>
      <c r="E41" s="22">
        <v>-0.9152840514593954</v>
      </c>
      <c r="F41" s="22">
        <v>-1.1157636783679157</v>
      </c>
      <c r="G41" s="22">
        <v>-0.28325205452804464</v>
      </c>
      <c r="H41" s="22">
        <v>-0.92768269038618667</v>
      </c>
      <c r="I41" s="22">
        <v>-0.24244994430939468</v>
      </c>
      <c r="J41" s="22">
        <v>-0.73191076085069207</v>
      </c>
      <c r="K41" s="22">
        <v>-1.0763893395250608</v>
      </c>
      <c r="L41" s="22">
        <v>0.20150693148780813</v>
      </c>
      <c r="M41" s="22">
        <v>-0.84594036776045645</v>
      </c>
      <c r="N41" s="22">
        <v>-0.976241309414562</v>
      </c>
      <c r="O41" s="22">
        <v>-1.6560208851758813</v>
      </c>
      <c r="P41" s="22">
        <v>0.7175584024032815</v>
      </c>
      <c r="Q41" s="22">
        <v>0.13957441922027067</v>
      </c>
      <c r="R41" s="22">
        <v>0.36379972756298457</v>
      </c>
      <c r="S41" s="22">
        <v>-9.1527199754082883E-2</v>
      </c>
      <c r="T41" s="22">
        <v>1.9123599770266353</v>
      </c>
      <c r="U41" s="22">
        <v>-1.2824826443906452</v>
      </c>
      <c r="V41" s="22">
        <v>-0.41548185869083315</v>
      </c>
      <c r="W41" s="22">
        <v>0.83297024438682898</v>
      </c>
      <c r="X41" s="22">
        <v>0.83954312513883633</v>
      </c>
    </row>
    <row r="42" spans="1:35" x14ac:dyDescent="0.35">
      <c r="A42" s="22">
        <v>-0.22185660405932695</v>
      </c>
      <c r="B42" s="22">
        <v>0.5274421770550306</v>
      </c>
      <c r="C42" s="22">
        <v>-0.18869780071877412</v>
      </c>
      <c r="D42" s="22">
        <v>-1.4983136943576036</v>
      </c>
      <c r="E42" s="22">
        <v>0.14973062047509178</v>
      </c>
      <c r="F42" s="22">
        <v>-0.34649649855828557</v>
      </c>
      <c r="G42" s="22">
        <v>0.277419267954367</v>
      </c>
      <c r="H42" s="22">
        <v>-1.8159724359906162</v>
      </c>
      <c r="I42" s="22">
        <v>0.76509596170478777</v>
      </c>
      <c r="J42" s="22">
        <v>2.1057502883558205E-2</v>
      </c>
      <c r="K42" s="22">
        <v>-0.607440245764167</v>
      </c>
      <c r="L42" s="22">
        <v>-1.0148628315029604</v>
      </c>
      <c r="M42" s="22">
        <v>1.1309534170061233</v>
      </c>
      <c r="N42" s="22">
        <v>3.6650444666784528E-2</v>
      </c>
      <c r="O42" s="22">
        <v>-0.73699902211907586</v>
      </c>
      <c r="P42" s="22">
        <v>0.1588039495934227</v>
      </c>
      <c r="Q42" s="22">
        <v>-1.2340052656838045</v>
      </c>
      <c r="R42" s="22">
        <v>0.54083301057476363</v>
      </c>
      <c r="S42" s="22">
        <v>-0.1458580857841961</v>
      </c>
      <c r="T42" s="22">
        <v>1.3618533336119927</v>
      </c>
      <c r="U42" s="22">
        <v>1.2727093895438804</v>
      </c>
      <c r="V42" s="22">
        <v>0.33290600911479934</v>
      </c>
      <c r="W42" s="22">
        <v>0.19477091649599335</v>
      </c>
      <c r="X42" s="22">
        <v>6.3836821715866715E-2</v>
      </c>
    </row>
    <row r="43" spans="1:35" x14ac:dyDescent="0.35">
      <c r="A43" s="22">
        <v>0.30463678356008994</v>
      </c>
      <c r="B43" s="22">
        <v>1.5865851130852109</v>
      </c>
      <c r="C43" s="22">
        <v>-0.23887887586058271</v>
      </c>
      <c r="D43" s="22">
        <v>0.55304839678536721</v>
      </c>
      <c r="E43" s="22">
        <v>5.7167995057409313E-2</v>
      </c>
      <c r="F43" s="22">
        <v>1.171761382614936</v>
      </c>
      <c r="G43" s="22">
        <v>-0.48697054948668378</v>
      </c>
      <c r="H43" s="22">
        <v>-1.1968364216794347</v>
      </c>
      <c r="I43" s="22">
        <v>0.55788097984257601</v>
      </c>
      <c r="J43" s="22">
        <v>-1.6351275898007709</v>
      </c>
      <c r="K43" s="22">
        <v>-1.3520555050342853</v>
      </c>
      <c r="L43" s="22">
        <v>-1.3392233551370611</v>
      </c>
      <c r="M43" s="22">
        <v>-0.59822535400370092</v>
      </c>
      <c r="N43" s="22">
        <v>-0.32424366512835195</v>
      </c>
      <c r="O43" s="22">
        <v>0.13623858344077552</v>
      </c>
      <c r="P43" s="22">
        <v>-0.11627216715923597</v>
      </c>
      <c r="Q43" s="22">
        <v>0.99201628945329401</v>
      </c>
      <c r="R43" s="22">
        <v>-1.6260663305637017E-2</v>
      </c>
      <c r="S43" s="22">
        <v>-1.6379569646408996</v>
      </c>
      <c r="T43" s="22">
        <v>-0.72331553622933975</v>
      </c>
      <c r="U43" s="22">
        <v>-1.3002669904543507</v>
      </c>
      <c r="V43" s="22">
        <v>-1.5410614758066752</v>
      </c>
      <c r="W43" s="22">
        <v>0.85151464389663289</v>
      </c>
      <c r="X43" s="22">
        <v>-1.5645496251800886</v>
      </c>
    </row>
    <row r="44" spans="1:35" x14ac:dyDescent="0.35">
      <c r="A44" s="22">
        <v>-0.28600425236210159</v>
      </c>
      <c r="B44" s="22">
        <v>8.6453434450623791E-3</v>
      </c>
      <c r="C44" s="22">
        <v>-0.74223503136489932</v>
      </c>
      <c r="D44" s="22">
        <v>1.3221614843957623</v>
      </c>
      <c r="E44" s="22">
        <v>0.19436971023738961</v>
      </c>
      <c r="F44" s="22">
        <v>0.70402014086140141</v>
      </c>
      <c r="G44" s="22">
        <v>-3.0251963022809088E-2</v>
      </c>
      <c r="H44" s="22">
        <v>-3.8752929948277136E-2</v>
      </c>
      <c r="I44" s="22">
        <v>1.0241238031809092</v>
      </c>
      <c r="J44" s="22">
        <v>0.14018485627419669</v>
      </c>
      <c r="K44" s="22">
        <v>0.27634789644989544</v>
      </c>
      <c r="L44" s="22">
        <v>-0.15488666068209442</v>
      </c>
      <c r="M44" s="22">
        <v>-0.52272284370594735</v>
      </c>
      <c r="N44" s="22">
        <v>0.23772643293581197</v>
      </c>
      <c r="O44" s="22">
        <v>-7.6181796154037133E-3</v>
      </c>
      <c r="P44" s="22">
        <v>-0.82134883737114961</v>
      </c>
      <c r="Q44" s="22">
        <v>0.42144582860446761</v>
      </c>
      <c r="R44" s="22">
        <v>1.4683849587010196</v>
      </c>
      <c r="S44" s="22">
        <v>-1.3336301376532352E-2</v>
      </c>
      <c r="T44" s="22">
        <v>1.2147433368454668</v>
      </c>
      <c r="U44" s="22">
        <v>0.74340433839017095</v>
      </c>
      <c r="V44" s="22">
        <v>-1.3504775957622541</v>
      </c>
      <c r="W44" s="22">
        <v>0.33981742816264277</v>
      </c>
      <c r="X44" s="22">
        <v>0.995502899404903</v>
      </c>
    </row>
    <row r="45" spans="1:35" x14ac:dyDescent="0.35">
      <c r="A45" s="22">
        <v>-1.5804897465156202</v>
      </c>
      <c r="B45" s="22">
        <v>-0.58398015360608213</v>
      </c>
      <c r="C45" s="22">
        <v>-0.69279339177986687</v>
      </c>
      <c r="D45" s="22">
        <v>0.45484886044360406</v>
      </c>
      <c r="E45" s="22">
        <v>0.84197764710672462</v>
      </c>
      <c r="F45" s="22">
        <v>-0.84221940116908656</v>
      </c>
      <c r="G45" s="22">
        <v>1.1297325509159439</v>
      </c>
      <c r="H45" s="22">
        <v>2.4324061710927301</v>
      </c>
      <c r="I45" s="22">
        <v>-0.73504100589186006</v>
      </c>
      <c r="J45" s="22">
        <v>-0.56572886739547412</v>
      </c>
      <c r="K45" s="22">
        <v>-0.26619827832446247</v>
      </c>
      <c r="L45" s="22">
        <v>-0.57718684129449438</v>
      </c>
      <c r="M45" s="22">
        <v>-0.69909688637964329</v>
      </c>
      <c r="N45" s="22">
        <v>0.42771984983585948</v>
      </c>
      <c r="O45" s="22">
        <v>-7.9260702535359995E-2</v>
      </c>
      <c r="P45" s="22">
        <v>0.34675789551703001</v>
      </c>
      <c r="Q45" s="22">
        <v>-0.11180236871569091</v>
      </c>
      <c r="R45" s="22">
        <v>-0.70840658005692836</v>
      </c>
      <c r="S45" s="22">
        <v>-0.76647936520319448</v>
      </c>
      <c r="T45" s="22">
        <v>-1.2577462825747558</v>
      </c>
      <c r="U45" s="22">
        <v>-0.34167920897752296</v>
      </c>
      <c r="V45" s="22">
        <v>-7.273783574437713E-2</v>
      </c>
      <c r="W45" s="22">
        <v>-1.3310152042798633</v>
      </c>
      <c r="X45" s="22">
        <v>1.1752536556367401</v>
      </c>
    </row>
    <row r="46" spans="1:35" x14ac:dyDescent="0.35">
      <c r="A46" s="22">
        <v>-1.7146014255931372</v>
      </c>
      <c r="B46" s="22">
        <v>0.61265295741445303</v>
      </c>
      <c r="C46" s="22">
        <v>1.0057740529990467</v>
      </c>
      <c r="D46" s="22">
        <v>0.91946236966698536</v>
      </c>
      <c r="E46" s="22">
        <v>1.8535672710674129</v>
      </c>
      <c r="F46" s="22">
        <v>-1.1003162000894595</v>
      </c>
      <c r="G46" s="22">
        <v>1.0403808034344213</v>
      </c>
      <c r="H46" s="22">
        <v>0.80264266418040298</v>
      </c>
      <c r="I46" s="22">
        <v>-0.8820205761459462</v>
      </c>
      <c r="J46" s="22">
        <v>0.33697692111514982</v>
      </c>
      <c r="K46" s="22">
        <v>-0.57897417570431597</v>
      </c>
      <c r="L46" s="22">
        <v>-0.4241184096267766</v>
      </c>
      <c r="M46" s="22">
        <v>1.5138018775949662</v>
      </c>
      <c r="N46" s="22">
        <v>-1.8007487238525154E-2</v>
      </c>
      <c r="O46" s="22">
        <v>-1.2832524031683537</v>
      </c>
      <c r="P46" s="22">
        <v>1.4143174906837326</v>
      </c>
      <c r="Q46" s="22">
        <v>0.62726673595640126</v>
      </c>
      <c r="R46" s="22">
        <v>-0.92254349846125716</v>
      </c>
      <c r="S46" s="22">
        <v>-1.0065369754806968</v>
      </c>
      <c r="T46" s="22">
        <v>-5.6114089403083628E-2</v>
      </c>
      <c r="U46" s="22">
        <v>-0.2709961278367149</v>
      </c>
      <c r="V46" s="22">
        <v>-4.876583428804681E-2</v>
      </c>
      <c r="W46" s="22">
        <v>0.25606703761971272</v>
      </c>
      <c r="X46" s="22">
        <v>0.28402288729012365</v>
      </c>
    </row>
    <row r="47" spans="1:35" x14ac:dyDescent="0.35">
      <c r="A47" s="22">
        <v>-0.71078331004630824</v>
      </c>
      <c r="B47" s="22">
        <v>-0.60287416420486228</v>
      </c>
      <c r="C47" s="22">
        <v>1.0159630394725399</v>
      </c>
      <c r="D47" s="22">
        <v>-1.5049065991028259</v>
      </c>
      <c r="E47" s="22">
        <v>-0.75166076499024947</v>
      </c>
      <c r="F47" s="22">
        <v>-1.2032200203442855</v>
      </c>
      <c r="G47" s="22">
        <v>0.13649327712245421</v>
      </c>
      <c r="H47" s="22">
        <v>-1.1951041945409995</v>
      </c>
      <c r="I47" s="22">
        <v>0.88019564881533396</v>
      </c>
      <c r="J47" s="22">
        <v>0.95226714535403445</v>
      </c>
      <c r="K47" s="22">
        <v>0.63055325264823436</v>
      </c>
      <c r="L47" s="22">
        <v>-1.6869832963056044</v>
      </c>
      <c r="M47" s="22">
        <v>-0.27099242218355357</v>
      </c>
      <c r="N47" s="22">
        <v>2.1255432314399911</v>
      </c>
      <c r="O47" s="22">
        <v>0.81913395199905359</v>
      </c>
      <c r="P47" s="22">
        <v>-1.5276665231959952</v>
      </c>
      <c r="Q47" s="22">
        <v>0.9164925710965951</v>
      </c>
      <c r="R47" s="22">
        <v>-1.3772965382290792</v>
      </c>
      <c r="S47" s="22">
        <v>0.59386136351546948</v>
      </c>
      <c r="T47" s="22">
        <v>1.2285223669480314</v>
      </c>
      <c r="U47" s="22">
        <v>0.37777254254943893</v>
      </c>
      <c r="V47" s="22">
        <v>0.38026342676953534</v>
      </c>
      <c r="W47" s="22">
        <v>0.8569556809525527</v>
      </c>
      <c r="X47" s="22">
        <v>-0.23512631917439186</v>
      </c>
    </row>
    <row r="48" spans="1:35" x14ac:dyDescent="0.35">
      <c r="A48" s="22">
        <v>1.0932729085543589</v>
      </c>
      <c r="B48" s="22">
        <v>-0.95115291111686751</v>
      </c>
      <c r="C48" s="22">
        <v>-0.37444855486881545</v>
      </c>
      <c r="D48" s="22">
        <v>0.13252873022790013</v>
      </c>
      <c r="E48" s="22">
        <v>-0.72490102278751323</v>
      </c>
      <c r="F48" s="22">
        <v>-0.33963990690319895</v>
      </c>
      <c r="G48" s="22">
        <v>-0.27386693586238781</v>
      </c>
      <c r="H48" s="22">
        <v>-0.20263897034157577</v>
      </c>
      <c r="I48" s="22">
        <v>1.5499478931407182</v>
      </c>
      <c r="J48" s="22">
        <v>1.1969408968091706</v>
      </c>
      <c r="K48" s="22">
        <v>0.57218531133192596</v>
      </c>
      <c r="L48" s="22">
        <v>0.29237102357528333</v>
      </c>
      <c r="M48" s="22">
        <v>-2.1875380585540585</v>
      </c>
      <c r="N48" s="22">
        <v>0.60880345693041338</v>
      </c>
      <c r="O48" s="22">
        <v>0.46377049266805859</v>
      </c>
      <c r="P48" s="22">
        <v>-1.3192477118257819</v>
      </c>
      <c r="Q48" s="22">
        <v>8.7260681782775337E-2</v>
      </c>
      <c r="R48" s="22">
        <v>0.20259581576003693</v>
      </c>
      <c r="S48" s="22">
        <v>-1.0143053576419303</v>
      </c>
      <c r="T48" s="22">
        <v>0.7870643338035358</v>
      </c>
      <c r="U48" s="22">
        <v>8.2829780149395127E-2</v>
      </c>
      <c r="V48" s="22">
        <v>0.75076826089630888</v>
      </c>
      <c r="W48" s="22">
        <v>6.5802343067146774E-2</v>
      </c>
      <c r="X48" s="22">
        <v>-5.7121725013721605E-2</v>
      </c>
    </row>
    <row r="49" spans="1:24" x14ac:dyDescent="0.35">
      <c r="A49" s="22">
        <v>-0.83783197766155248</v>
      </c>
      <c r="B49" s="22">
        <v>-0.16498527127716542</v>
      </c>
      <c r="C49" s="22">
        <v>-0.17700527132893157</v>
      </c>
      <c r="D49" s="22">
        <v>1.9952017758291367</v>
      </c>
      <c r="E49" s="22">
        <v>-0.99614330824170605</v>
      </c>
      <c r="F49" s="22">
        <v>0.26843660314025564</v>
      </c>
      <c r="G49" s="22">
        <v>-0.42104476831479409</v>
      </c>
      <c r="H49" s="22">
        <v>1.3171444974564031</v>
      </c>
      <c r="I49" s="22">
        <v>1.268016355758173</v>
      </c>
      <c r="J49" s="22">
        <v>1.2243161661462851</v>
      </c>
      <c r="K49" s="22">
        <v>1.1833688298368332</v>
      </c>
      <c r="L49" s="22">
        <v>-0.72580014285105765</v>
      </c>
      <c r="M49" s="22">
        <v>-2.4393993626875474</v>
      </c>
      <c r="N49" s="22">
        <v>-1.2589460854040957</v>
      </c>
      <c r="O49" s="22">
        <v>0.55393428195568017</v>
      </c>
      <c r="P49" s="22">
        <v>0.43617687198522737</v>
      </c>
      <c r="Q49" s="22">
        <v>-0.44969020609404831</v>
      </c>
      <c r="R49" s="22">
        <v>-0.31102266254420191</v>
      </c>
      <c r="S49" s="22">
        <v>-0.70935617932515294</v>
      </c>
      <c r="T49" s="22">
        <v>-1.1302252978283531</v>
      </c>
      <c r="U49" s="22">
        <v>0.10942283270958413</v>
      </c>
      <c r="V49" s="22">
        <v>1.1693470969427808</v>
      </c>
      <c r="W49" s="22">
        <v>0.47435814914337504</v>
      </c>
      <c r="X49" s="22">
        <v>-0.23411318056262431</v>
      </c>
    </row>
    <row r="50" spans="1:24" x14ac:dyDescent="0.35">
      <c r="A50" s="22">
        <v>1.1028759000907953</v>
      </c>
      <c r="B50" s="22">
        <v>-0.66484422128628651</v>
      </c>
      <c r="C50" s="22">
        <v>0.36151824854085501</v>
      </c>
      <c r="D50" s="22">
        <v>0.53227597105051172</v>
      </c>
      <c r="E50" s="22">
        <v>0.40388257401019056</v>
      </c>
      <c r="F50" s="22">
        <v>1.593696758055021</v>
      </c>
      <c r="G50" s="22">
        <v>-1.6910879877112639</v>
      </c>
      <c r="H50" s="22">
        <v>-1.2769221681608756</v>
      </c>
      <c r="I50" s="22">
        <v>-5.8520837552021532E-2</v>
      </c>
      <c r="J50" s="22">
        <v>3.5030700006135215E-2</v>
      </c>
      <c r="K50" s="22">
        <v>0.92462924970699478</v>
      </c>
      <c r="L50" s="22">
        <v>-1.162326844306516</v>
      </c>
      <c r="M50" s="22">
        <v>1.3490956496582298</v>
      </c>
      <c r="N50" s="22">
        <v>0.99739641646032529</v>
      </c>
      <c r="O50" s="22">
        <v>0.44277266066308374</v>
      </c>
      <c r="P50" s="22">
        <v>0.53548832073749619</v>
      </c>
      <c r="Q50" s="22">
        <v>-0.53576949878715641</v>
      </c>
      <c r="R50" s="22">
        <v>8.8220443876648305E-2</v>
      </c>
      <c r="S50" s="22">
        <v>-1.1751480737342046</v>
      </c>
      <c r="T50" s="22">
        <v>-0.9403026716640337</v>
      </c>
      <c r="U50" s="22">
        <v>0.31056453919754706</v>
      </c>
      <c r="V50" s="22">
        <v>-0.24574793038209683</v>
      </c>
      <c r="W50" s="22">
        <v>0.70524502250187726</v>
      </c>
      <c r="X50" s="22">
        <v>-3.7630415733469327E-2</v>
      </c>
    </row>
    <row r="51" spans="1:24" x14ac:dyDescent="0.35">
      <c r="A51" s="22">
        <v>0.72702252835126568</v>
      </c>
      <c r="B51" s="22">
        <v>1.3778358576182843</v>
      </c>
      <c r="C51" s="22">
        <v>0.49383563760930882</v>
      </c>
      <c r="D51" s="22">
        <v>0.36551766047341772</v>
      </c>
      <c r="E51" s="22">
        <v>-0.56430697121153683</v>
      </c>
      <c r="F51" s="22">
        <v>-0.19548791372677082</v>
      </c>
      <c r="G51" s="22">
        <v>0.30817649340184144</v>
      </c>
      <c r="H51" s="22">
        <v>1.5282535440900278</v>
      </c>
      <c r="I51" s="22">
        <v>-0.70919540113429913</v>
      </c>
      <c r="J51" s="22">
        <v>0.18081981758261864</v>
      </c>
      <c r="K51" s="22">
        <v>0.73880298251532994</v>
      </c>
      <c r="L51" s="22">
        <v>-1.1059908531978846</v>
      </c>
      <c r="M51" s="22">
        <v>-0.20256642937708877</v>
      </c>
      <c r="N51" s="22">
        <v>1.0194716842003082</v>
      </c>
      <c r="O51" s="22">
        <v>0.30748961862257806</v>
      </c>
      <c r="P51" s="22">
        <v>-0.93143835369090744</v>
      </c>
      <c r="Q51" s="22">
        <v>-6.078799260408644E-2</v>
      </c>
      <c r="R51" s="22">
        <v>-4.5114248247707534E-3</v>
      </c>
      <c r="S51" s="22">
        <v>-0.12056220729454982</v>
      </c>
      <c r="T51" s="22">
        <v>0.15998806888038619</v>
      </c>
      <c r="U51" s="22">
        <v>0.52602459199271723</v>
      </c>
      <c r="V51" s="22">
        <v>-1.8793198789923262</v>
      </c>
      <c r="W51" s="22">
        <v>-1.78606905753919</v>
      </c>
      <c r="X51" s="22">
        <v>-1.6031981856067499E-2</v>
      </c>
    </row>
    <row r="52" spans="1:24" x14ac:dyDescent="0.35">
      <c r="A52" s="22">
        <v>-0.73052076558513301</v>
      </c>
      <c r="B52" s="22">
        <v>-1.517362382185657</v>
      </c>
      <c r="C52" s="22">
        <v>0.95940360604887021</v>
      </c>
      <c r="D52" s="22">
        <v>-1.3582436050376059</v>
      </c>
      <c r="E52" s="22">
        <v>0.67266387968161845</v>
      </c>
      <c r="F52" s="22">
        <v>1.0361602246149374E-2</v>
      </c>
      <c r="G52" s="22">
        <v>-3.1032607475396849</v>
      </c>
      <c r="H52" s="22">
        <v>-1.1707893400843852</v>
      </c>
      <c r="I52" s="22">
        <v>2.8595917055430333</v>
      </c>
      <c r="J52" s="22">
        <v>-0.84557367949774764</v>
      </c>
      <c r="K52" s="22">
        <v>1.5905995949589475</v>
      </c>
      <c r="L52" s="22">
        <v>1.3513022680703144</v>
      </c>
      <c r="M52" s="22">
        <v>0.49674557031678718</v>
      </c>
      <c r="N52" s="22">
        <v>1.1196595095056883</v>
      </c>
      <c r="O52" s="22">
        <v>-0.36005459453246541</v>
      </c>
      <c r="P52" s="22">
        <v>-0.48092104310878953</v>
      </c>
      <c r="Q52" s="22">
        <v>0.78233542353109986</v>
      </c>
      <c r="R52" s="22">
        <v>-0.22882068711760978</v>
      </c>
      <c r="S52" s="22">
        <v>-0.71679250460675936</v>
      </c>
      <c r="T52" s="22">
        <v>-0.96484111306331233</v>
      </c>
      <c r="U52" s="22">
        <v>1.3731592447106447</v>
      </c>
      <c r="V52" s="22">
        <v>-0.21777063579154626</v>
      </c>
      <c r="W52" s="22">
        <v>2.0481601899821777</v>
      </c>
      <c r="X52" s="22">
        <v>-1.1258096853214341</v>
      </c>
    </row>
    <row r="53" spans="1:24" x14ac:dyDescent="0.35">
      <c r="A53" s="22">
        <v>-0.72600970705123924</v>
      </c>
      <c r="B53" s="22">
        <v>-1.0266362000305043</v>
      </c>
      <c r="C53" s="22">
        <v>-0.97055901982297577</v>
      </c>
      <c r="D53" s="22">
        <v>-0.89707034805484809</v>
      </c>
      <c r="E53" s="22">
        <v>0.22345151378645317</v>
      </c>
      <c r="F53" s="22">
        <v>1.2171819390367595</v>
      </c>
      <c r="G53" s="22">
        <v>0.5781728807523886</v>
      </c>
      <c r="H53" s="22">
        <v>-1.2482767367776919</v>
      </c>
      <c r="I53" s="22">
        <v>1.390994110668248</v>
      </c>
      <c r="J53" s="22">
        <v>0.27231304356645897</v>
      </c>
      <c r="K53" s="22">
        <v>-0.45676262081584668</v>
      </c>
      <c r="L53" s="22">
        <v>-0.18822301236909847</v>
      </c>
      <c r="M53" s="22">
        <v>-0.43973341758640461</v>
      </c>
      <c r="N53" s="22">
        <v>0.17386524311229828</v>
      </c>
      <c r="O53" s="22">
        <v>-1.6148122228761808</v>
      </c>
      <c r="P53" s="22">
        <v>-0.54302408534759039</v>
      </c>
      <c r="Q53" s="22">
        <v>-1.1633373235718933</v>
      </c>
      <c r="R53" s="22">
        <v>0.91776816192892197</v>
      </c>
      <c r="S53" s="22">
        <v>-0.77851730848058731</v>
      </c>
      <c r="T53" s="22">
        <v>1.103296879852062E-2</v>
      </c>
      <c r="U53" s="22">
        <v>-0.8358860582621177</v>
      </c>
      <c r="V53" s="22">
        <v>-1.6013295552733322</v>
      </c>
      <c r="W53" s="22">
        <v>1.0747577626301632</v>
      </c>
      <c r="X53" s="22">
        <v>0.10085896100105049</v>
      </c>
    </row>
    <row r="54" spans="1:24" x14ac:dyDescent="0.35">
      <c r="A54" s="22">
        <v>0.39414920530779246</v>
      </c>
      <c r="B54" s="22">
        <v>0.6379279206520817</v>
      </c>
      <c r="C54" s="22">
        <v>-0.25007325695148225</v>
      </c>
      <c r="D54" s="22">
        <v>-0.56693276778100965</v>
      </c>
      <c r="E54" s="22">
        <v>0.39440178001999293</v>
      </c>
      <c r="F54" s="22">
        <v>-0.13999317700069586</v>
      </c>
      <c r="G54" s="22">
        <v>-1.0783873787415905</v>
      </c>
      <c r="H54" s="22">
        <v>0.56828016674931514</v>
      </c>
      <c r="I54" s="22">
        <v>-1.6953494491757111</v>
      </c>
      <c r="J54" s="22">
        <v>1.730232121530545</v>
      </c>
      <c r="K54" s="22">
        <v>-1.2362242489964395</v>
      </c>
      <c r="L54" s="22">
        <v>0.43570835821014636</v>
      </c>
      <c r="M54" s="22">
        <v>0.6178393102929981</v>
      </c>
      <c r="N54" s="22">
        <v>-0.37048276006130948</v>
      </c>
      <c r="O54" s="22">
        <v>-2.5498384968117169E-2</v>
      </c>
      <c r="P54" s="22">
        <v>1.5429255495001903</v>
      </c>
      <c r="Q54" s="22">
        <v>-1.2093194687966802</v>
      </c>
      <c r="R54" s="22">
        <v>2.1338698232093276</v>
      </c>
      <c r="S54" s="22">
        <v>4.8117224636760825E-2</v>
      </c>
      <c r="T54" s="22">
        <v>-0.64357069510572174</v>
      </c>
      <c r="U54" s="22">
        <v>1.5471064668624275</v>
      </c>
      <c r="V54" s="22">
        <v>-1.5823468492105359</v>
      </c>
      <c r="W54" s="22">
        <v>-0.92910133916267945</v>
      </c>
      <c r="X54" s="22">
        <v>-2.0991878934070972E-2</v>
      </c>
    </row>
    <row r="55" spans="1:24" x14ac:dyDescent="0.35">
      <c r="A55" s="22">
        <v>-0.56023806046719415</v>
      </c>
      <c r="B55" s="22">
        <v>1.982892175390669</v>
      </c>
      <c r="C55" s="22">
        <v>0.99426826855961126</v>
      </c>
      <c r="D55" s="22">
        <v>0.86398441971015227</v>
      </c>
      <c r="E55" s="22">
        <v>-5.8762448738676212E-2</v>
      </c>
      <c r="F55" s="22">
        <v>1.1573822595431584</v>
      </c>
      <c r="G55" s="22">
        <v>-1.628064602116545</v>
      </c>
      <c r="H55" s="22">
        <v>0.6220088947027157</v>
      </c>
      <c r="I55" s="22">
        <v>-0.46324260980591475</v>
      </c>
      <c r="J55" s="22">
        <v>-0.80777497798014575</v>
      </c>
      <c r="K55" s="22">
        <v>5.5289587610963815E-2</v>
      </c>
      <c r="L55" s="22">
        <v>-0.76187168718368325</v>
      </c>
      <c r="M55" s="22">
        <v>-1.1202863265987351</v>
      </c>
      <c r="N55" s="22">
        <v>-0.1284517524155955</v>
      </c>
      <c r="O55" s="22">
        <v>0.94584877791014288</v>
      </c>
      <c r="P55" s="22">
        <v>-0.16779363423722002</v>
      </c>
      <c r="Q55" s="22">
        <v>-0.36424512325684755</v>
      </c>
      <c r="R55" s="22">
        <v>-1.2604918486066339</v>
      </c>
      <c r="S55" s="22">
        <v>-1.270261040810053</v>
      </c>
      <c r="T55" s="22">
        <v>0.58457303065510913</v>
      </c>
      <c r="U55" s="22">
        <v>-0.52634832052146752</v>
      </c>
      <c r="V55" s="22">
        <v>1.9283791045401455</v>
      </c>
      <c r="W55" s="22">
        <v>0.95675885980160169</v>
      </c>
      <c r="X55" s="22">
        <v>1.017744399376199</v>
      </c>
    </row>
    <row r="56" spans="1:24" x14ac:dyDescent="0.35">
      <c r="A56" s="22">
        <v>1.6827255360011455</v>
      </c>
      <c r="B56" s="22">
        <v>1.5036018532076105</v>
      </c>
      <c r="C56" s="22">
        <v>2.1799977717971375</v>
      </c>
      <c r="D56" s="22">
        <v>-2.5557317685019832E-2</v>
      </c>
      <c r="E56" s="22">
        <v>-2.1095813067396967</v>
      </c>
      <c r="F56" s="22">
        <v>0.41344670063349909</v>
      </c>
      <c r="G56" s="22">
        <v>-0.59942707804938378</v>
      </c>
      <c r="H56" s="22">
        <v>-0.89477659689710776</v>
      </c>
      <c r="I56" s="22">
        <v>-0.65270292693495457</v>
      </c>
      <c r="J56" s="22">
        <v>-2.171002751279417</v>
      </c>
      <c r="K56" s="22">
        <v>-0.73363553366045153</v>
      </c>
      <c r="L56" s="22">
        <v>1.5041936042177673</v>
      </c>
      <c r="M56" s="22">
        <v>0.51858846169577266</v>
      </c>
      <c r="N56" s="22">
        <v>0.53756261940245309</v>
      </c>
      <c r="O56" s="22">
        <v>-0.18551060033047106</v>
      </c>
      <c r="P56" s="22">
        <v>-0.28300374515067728</v>
      </c>
      <c r="Q56" s="22">
        <v>-0.31025796423632396</v>
      </c>
      <c r="R56" s="22">
        <v>-1.0376834947106679</v>
      </c>
      <c r="S56" s="22">
        <v>-6.9688687952287248E-2</v>
      </c>
      <c r="T56" s="22">
        <v>1.7370755704822931</v>
      </c>
      <c r="U56" s="22">
        <v>-1.8033100178202709E-2</v>
      </c>
      <c r="V56" s="22">
        <v>0.11066303790744107</v>
      </c>
      <c r="W56" s="22">
        <v>2.9993625507942913E-2</v>
      </c>
      <c r="X56" s="22">
        <v>-0.57284808514648633</v>
      </c>
    </row>
    <row r="57" spans="1:24" x14ac:dyDescent="0.35">
      <c r="A57" s="22">
        <v>-1.0809590188114513</v>
      </c>
      <c r="B57" s="22">
        <v>-1.713412705821787E-2</v>
      </c>
      <c r="C57" s="22">
        <v>-0.77942764737335601</v>
      </c>
      <c r="D57" s="22">
        <v>-1.2566660915217767</v>
      </c>
      <c r="E57" s="22">
        <v>1.7145947888144528</v>
      </c>
      <c r="F57" s="22">
        <v>0.59311522386584703</v>
      </c>
      <c r="G57" s="22">
        <v>-0.57202165106160974</v>
      </c>
      <c r="H57" s="22">
        <v>0.72491158356760887</v>
      </c>
      <c r="I57" s="22">
        <v>-1.0845423596588484</v>
      </c>
      <c r="J57" s="22">
        <v>-0.36352352534292737</v>
      </c>
      <c r="K57" s="22">
        <v>-6.8621554386221029E-2</v>
      </c>
      <c r="L57" s="22">
        <v>-0.92254170106133826</v>
      </c>
      <c r="M57" s="22">
        <v>0.90840797107581694</v>
      </c>
      <c r="N57" s="22">
        <v>0.22342182226592439</v>
      </c>
      <c r="O57" s="22">
        <v>-1.3241061507532188</v>
      </c>
      <c r="P57" s="22">
        <v>-0.26529854800283453</v>
      </c>
      <c r="Q57" s="22">
        <v>6.9409778436366629E-2</v>
      </c>
      <c r="R57" s="22">
        <v>-1.071654029424322</v>
      </c>
      <c r="S57" s="22">
        <v>0.5760358024740182</v>
      </c>
      <c r="T57" s="22">
        <v>-3.9549099068573047E-2</v>
      </c>
      <c r="U57" s="22">
        <v>-0.55556489618896698</v>
      </c>
      <c r="V57" s="22">
        <v>-1.1197220266418311</v>
      </c>
      <c r="W57" s="22">
        <v>1.0045871690789301</v>
      </c>
      <c r="X57" s="22">
        <v>-1.3124285546658434</v>
      </c>
    </row>
    <row r="58" spans="1:24" x14ac:dyDescent="0.35">
      <c r="A58" s="22">
        <v>-0.45238167486881442</v>
      </c>
      <c r="B58" s="22">
        <v>1.5773336837313037</v>
      </c>
      <c r="C58" s="22">
        <v>-0.14641002702514155</v>
      </c>
      <c r="D58" s="22">
        <v>1.313533783721631</v>
      </c>
      <c r="E58" s="22">
        <v>-1.4008436790360321</v>
      </c>
      <c r="F58" s="22">
        <v>-0.42947053697881066</v>
      </c>
      <c r="G58" s="22">
        <v>0.7092649157012384</v>
      </c>
      <c r="H58" s="22">
        <v>1.7672852119044202</v>
      </c>
      <c r="I58" s="22">
        <v>-0.33716899213676887</v>
      </c>
      <c r="J58" s="22">
        <v>1.580636300833449</v>
      </c>
      <c r="K58" s="22">
        <v>0.6137494678396137</v>
      </c>
      <c r="L58" s="22">
        <v>0.46729444846975621</v>
      </c>
      <c r="M58" s="22">
        <v>2.5766658478496054</v>
      </c>
      <c r="N58" s="22">
        <v>-0.66539139619135845</v>
      </c>
      <c r="O58" s="22">
        <v>-2.7588686723384517</v>
      </c>
      <c r="P58" s="22">
        <v>0.9196498553571768</v>
      </c>
      <c r="Q58" s="22">
        <v>0.10145481559398309</v>
      </c>
      <c r="R58" s="22">
        <v>-0.97874332674421705</v>
      </c>
      <c r="S58" s="22">
        <v>2.0077725892343027E-2</v>
      </c>
      <c r="T58" s="22">
        <v>-7.856074528418272E-2</v>
      </c>
      <c r="U58" s="22">
        <v>2.0857689382787481E-2</v>
      </c>
      <c r="V58" s="22">
        <v>-1.1170501135039639E-2</v>
      </c>
      <c r="W58" s="22">
        <v>0.91345186275418422</v>
      </c>
      <c r="X58" s="22">
        <v>-0.54414409536993835</v>
      </c>
    </row>
    <row r="59" spans="1:24" x14ac:dyDescent="0.35">
      <c r="A59" s="22">
        <v>-0.10679126480282236</v>
      </c>
      <c r="B59" s="22">
        <v>-0.55628276146631295</v>
      </c>
      <c r="C59" s="22">
        <v>-0.84760120767852909</v>
      </c>
      <c r="D59" s="22">
        <v>-0.93439373582421903</v>
      </c>
      <c r="E59" s="22">
        <v>-0.5646112422624302</v>
      </c>
      <c r="F59" s="22">
        <v>0.30145608423630499</v>
      </c>
      <c r="G59" s="22">
        <v>-0.69184649942100473</v>
      </c>
      <c r="H59" s="22">
        <v>-0.22165507160391953</v>
      </c>
      <c r="I59" s="22">
        <v>7.7313388725213247E-2</v>
      </c>
      <c r="J59" s="22">
        <v>1.3027918874539695</v>
      </c>
      <c r="K59" s="22">
        <v>-0.33292404251326191</v>
      </c>
      <c r="L59" s="22">
        <v>0.19883702398044459</v>
      </c>
      <c r="M59" s="22">
        <v>-0.75841039784341491</v>
      </c>
      <c r="N59" s="22">
        <v>-0.41523617067295054</v>
      </c>
      <c r="O59" s="22">
        <v>-0.6669704311770086</v>
      </c>
      <c r="P59" s="22">
        <v>-3.7359190696340687E-2</v>
      </c>
      <c r="Q59" s="22">
        <v>0.70391947779775332</v>
      </c>
      <c r="R59" s="22">
        <v>-0.23786141712867129</v>
      </c>
      <c r="S59" s="22">
        <v>0.21135015115012837</v>
      </c>
      <c r="T59" s="22">
        <v>0.87234963457193648</v>
      </c>
      <c r="U59" s="22">
        <v>0.29871090186662291</v>
      </c>
      <c r="V59" s="22">
        <v>-1.6808428144697511</v>
      </c>
      <c r="W59" s="22">
        <v>-1.8006757431436258</v>
      </c>
      <c r="X59" s="22">
        <v>0.62993288215815169</v>
      </c>
    </row>
    <row r="60" spans="1:24" x14ac:dyDescent="0.35">
      <c r="A60" s="22">
        <v>6.0742353877341518E-2</v>
      </c>
      <c r="B60" s="22">
        <v>-2.3622500467303627</v>
      </c>
      <c r="C60" s="22">
        <v>-0.10704354222087205</v>
      </c>
      <c r="D60" s="22">
        <v>-1.4465821610340699</v>
      </c>
      <c r="E60" s="22">
        <v>1.1580039707284415</v>
      </c>
      <c r="F60" s="22">
        <v>-0.82061784179313646</v>
      </c>
      <c r="G60" s="22">
        <v>1.1677031655072132</v>
      </c>
      <c r="H60" s="22">
        <v>-0.83370684836110565</v>
      </c>
      <c r="I60" s="22">
        <v>-0.25451818439835289</v>
      </c>
      <c r="J60" s="22">
        <v>-0.554350062158255</v>
      </c>
      <c r="K60" s="22">
        <v>1.1873083659441666</v>
      </c>
      <c r="L60" s="22">
        <v>0.33139522732375803</v>
      </c>
      <c r="M60" s="22">
        <v>-1.2496349226089647</v>
      </c>
      <c r="N60" s="22">
        <v>0.23578603640416493</v>
      </c>
      <c r="O60" s="22">
        <v>0.61366370125099534</v>
      </c>
      <c r="P60" s="22">
        <v>0.56139441482365771</v>
      </c>
      <c r="Q60" s="22">
        <v>0.40800211373488043</v>
      </c>
      <c r="R60" s="22">
        <v>0.44950734385980273</v>
      </c>
      <c r="S60" s="22">
        <v>0.23726755505631691</v>
      </c>
      <c r="T60" s="22">
        <v>-0.33453232255632914</v>
      </c>
      <c r="U60" s="22">
        <v>1.0121480997387937</v>
      </c>
      <c r="V60" s="22">
        <v>-2.239198704422348</v>
      </c>
      <c r="W60" s="22">
        <v>0.1458001310199768</v>
      </c>
      <c r="X60" s="22">
        <v>-0.7267963526704776</v>
      </c>
    </row>
    <row r="61" spans="1:24" x14ac:dyDescent="0.35">
      <c r="A61" s="22">
        <v>-1.4480499454941289</v>
      </c>
      <c r="B61" s="22">
        <v>-1.7546269075378884</v>
      </c>
      <c r="C61" s="22">
        <v>-0.7271057350654978</v>
      </c>
      <c r="D61" s="22">
        <v>-0.25931171835354</v>
      </c>
      <c r="E61" s="22">
        <v>0.12851580298722393</v>
      </c>
      <c r="F61" s="22">
        <v>-1.9788405929761699</v>
      </c>
      <c r="G61" s="22">
        <v>3.4651601215317407</v>
      </c>
      <c r="H61" s="22">
        <v>0.83450010118860629</v>
      </c>
      <c r="I61" s="22">
        <v>2.2510334981999756</v>
      </c>
      <c r="J61" s="22">
        <v>-1.2755480206539218</v>
      </c>
      <c r="K61" s="22">
        <v>-1.369128654303623</v>
      </c>
      <c r="L61" s="22">
        <v>-1.0634216967590875</v>
      </c>
      <c r="M61" s="22">
        <v>-1.0918525499166025</v>
      </c>
      <c r="N61" s="22">
        <v>-0.7414591833754528</v>
      </c>
      <c r="O61" s="22">
        <v>-0.94189247095508977</v>
      </c>
      <c r="P61" s="22">
        <v>0.40634289246248634</v>
      </c>
      <c r="Q61" s="22">
        <v>0.69251329430646869</v>
      </c>
      <c r="R61" s="22">
        <v>0.85510191315720951</v>
      </c>
      <c r="S61" s="22">
        <v>3.2685304695721298E-3</v>
      </c>
      <c r="T61" s="22">
        <v>0.11238771895504419</v>
      </c>
      <c r="U61" s="22">
        <v>-1.7677330826526312</v>
      </c>
      <c r="V61" s="22">
        <v>-0.28665506213719794</v>
      </c>
      <c r="W61" s="22">
        <v>-1.9829041600174664</v>
      </c>
      <c r="X61" s="22">
        <v>-0.78562911667253876</v>
      </c>
    </row>
    <row r="62" spans="1:24" x14ac:dyDescent="0.35">
      <c r="A62" s="22">
        <v>-1.3409506890571916</v>
      </c>
      <c r="B62" s="22">
        <v>1.0224228124527337</v>
      </c>
      <c r="C62" s="22">
        <v>2.164287144125828</v>
      </c>
      <c r="D62" s="22">
        <v>0.21694898345879188</v>
      </c>
      <c r="E62" s="22">
        <v>-0.56912711292297891</v>
      </c>
      <c r="F62" s="22">
        <v>0.42056493879590551</v>
      </c>
      <c r="G62" s="22">
        <v>0.78889157296162049</v>
      </c>
      <c r="H62" s="22">
        <v>-0.66169916036081899</v>
      </c>
      <c r="I62" s="22">
        <v>0.20554049874229738</v>
      </c>
      <c r="J62" s="22">
        <v>-1.4045060520603192</v>
      </c>
      <c r="K62" s="22">
        <v>-0.24398441372286514</v>
      </c>
      <c r="L62" s="22">
        <v>-0.50146192588637184</v>
      </c>
      <c r="M62" s="22">
        <v>-0.29703027006480731</v>
      </c>
      <c r="N62" s="22">
        <v>0.12030443178586747</v>
      </c>
      <c r="O62" s="22">
        <v>-0.32898372069582388</v>
      </c>
      <c r="P62" s="22">
        <v>-0.87838404908341827</v>
      </c>
      <c r="Q62" s="22">
        <v>-0.46909692058582342</v>
      </c>
      <c r="R62" s="22">
        <v>-7.0058454055873159E-2</v>
      </c>
      <c r="S62" s="22">
        <v>-0.62875347038356499</v>
      </c>
      <c r="T62" s="22">
        <v>-0.41417725234317915</v>
      </c>
      <c r="U62" s="22">
        <v>-0.72725962126526911</v>
      </c>
      <c r="V62" s="22">
        <v>-0.46968937598947891</v>
      </c>
      <c r="W62" s="22">
        <v>0.34194705450716528</v>
      </c>
      <c r="X62" s="22">
        <v>-0.22410021677569181</v>
      </c>
    </row>
    <row r="63" spans="1:24" x14ac:dyDescent="0.35">
      <c r="A63" s="22">
        <v>-0.61341616263764298</v>
      </c>
      <c r="B63" s="22">
        <v>2.0008275928440761E-2</v>
      </c>
      <c r="C63" s="22">
        <v>-0.74399907180629665</v>
      </c>
      <c r="D63" s="22">
        <v>1.5257456714561837</v>
      </c>
      <c r="E63" s="22">
        <v>1.2596124199531313</v>
      </c>
      <c r="F63" s="22">
        <v>-0.4043689824834088</v>
      </c>
      <c r="G63" s="22">
        <v>1.6278370708401186</v>
      </c>
      <c r="H63" s="22">
        <v>-1.7798519038198218E-2</v>
      </c>
      <c r="I63" s="22">
        <v>-0.67201641983093618</v>
      </c>
      <c r="J63" s="22">
        <v>0.70436459038206778</v>
      </c>
      <c r="K63" s="22">
        <v>0.25303443165731304</v>
      </c>
      <c r="L63" s="22">
        <v>0.45026758342731066</v>
      </c>
      <c r="M63" s="22">
        <v>0.80139814707881807</v>
      </c>
      <c r="N63" s="22">
        <v>1.2029909117340987</v>
      </c>
      <c r="O63" s="22">
        <v>-1.0095669223804382</v>
      </c>
      <c r="P63" s="22">
        <v>0.84803279049900393</v>
      </c>
      <c r="Q63" s="22">
        <v>0.21408339311430485</v>
      </c>
      <c r="R63" s="22">
        <v>-0.44399108451552888</v>
      </c>
      <c r="S63" s="22">
        <v>2.2671407573119242</v>
      </c>
      <c r="T63" s="22">
        <v>-0.42448476071290048</v>
      </c>
      <c r="U63" s="22">
        <v>-0.16987237407278888</v>
      </c>
      <c r="V63" s="22">
        <v>-0.22575403024047622</v>
      </c>
      <c r="W63" s="22">
        <v>-0.73948192983916949</v>
      </c>
      <c r="X63" s="22">
        <v>1.0641369334065331</v>
      </c>
    </row>
    <row r="64" spans="1:24" x14ac:dyDescent="0.35">
      <c r="A64" s="22">
        <v>1.2819453384699764</v>
      </c>
      <c r="B64" s="22">
        <v>1.0929524787456104</v>
      </c>
      <c r="C64" s="22">
        <v>-2.1697903454081731</v>
      </c>
      <c r="D64" s="22">
        <v>-0.21361053682332609</v>
      </c>
      <c r="E64" s="22">
        <v>0.74811908831485907</v>
      </c>
      <c r="F64" s="22">
        <v>-1.8351773137840099E-2</v>
      </c>
      <c r="G64" s="22">
        <v>-0.40334433766243621</v>
      </c>
      <c r="H64" s="22">
        <v>-0.34160020636559624</v>
      </c>
      <c r="I64" s="22">
        <v>0.73956825894561395</v>
      </c>
      <c r="J64" s="22">
        <v>0.65289603700082555</v>
      </c>
      <c r="K64" s="22">
        <v>-0.43817759697690573</v>
      </c>
      <c r="L64" s="22">
        <v>-1.7978121403434209</v>
      </c>
      <c r="M64" s="22">
        <v>0.41163736516007848</v>
      </c>
      <c r="N64" s="22">
        <v>-0.44150503934780205</v>
      </c>
      <c r="O64" s="22">
        <v>-1.6968430851680805</v>
      </c>
      <c r="P64" s="22">
        <v>0.18572167347167362</v>
      </c>
      <c r="Q64" s="22">
        <v>0.14695976983854639</v>
      </c>
      <c r="R64" s="22">
        <v>-8.0640872019736576E-2</v>
      </c>
      <c r="S64" s="22">
        <v>-0.47049374724823101</v>
      </c>
      <c r="T64" s="22">
        <v>-4.317946507445972E-3</v>
      </c>
      <c r="U64" s="22">
        <v>1.2163747126610192</v>
      </c>
      <c r="V64" s="22">
        <v>-0.75410311964906962</v>
      </c>
      <c r="W64" s="22">
        <v>2.3496050546849507</v>
      </c>
      <c r="X64" s="22">
        <v>0.7835832202083346</v>
      </c>
    </row>
    <row r="65" spans="1:24" x14ac:dyDescent="0.35">
      <c r="A65" s="22">
        <v>0.16072116494000671</v>
      </c>
      <c r="B65" s="22">
        <v>-2.0313778028300038</v>
      </c>
      <c r="C65" s="22">
        <v>-0.30565124434521196</v>
      </c>
      <c r="D65" s="22">
        <v>-1.1242386652208904</v>
      </c>
      <c r="E65" s="22">
        <v>-0.86681784151069108</v>
      </c>
      <c r="F65" s="22">
        <v>-0.91987012780015598</v>
      </c>
      <c r="G65" s="22">
        <v>-0.62224294017539439</v>
      </c>
      <c r="H65" s="22">
        <v>2.3309929642427405</v>
      </c>
      <c r="I65" s="22">
        <v>-1.092415916881972</v>
      </c>
      <c r="J65" s="22">
        <v>-0.17382295165322256</v>
      </c>
      <c r="K65" s="22">
        <v>-1.294819975570644</v>
      </c>
      <c r="L65" s="22">
        <v>0.16775850247052976</v>
      </c>
      <c r="M65" s="22">
        <v>-1.0183049652672314</v>
      </c>
      <c r="N65" s="22">
        <v>0.70909643210602713</v>
      </c>
      <c r="O65" s="22">
        <v>-2.2736324680168861E-2</v>
      </c>
      <c r="P65" s="22">
        <v>0.41178714344298656</v>
      </c>
      <c r="Q65" s="22">
        <v>-1.6725664917930989</v>
      </c>
      <c r="R65" s="22">
        <v>1.6623496606367765</v>
      </c>
      <c r="S65" s="22">
        <v>0.37053881195276367</v>
      </c>
      <c r="T65" s="22">
        <v>0.79824538202745132</v>
      </c>
      <c r="U65" s="22">
        <v>0.50648107567059941</v>
      </c>
      <c r="V65" s="22">
        <v>-1.9905965254208218</v>
      </c>
      <c r="W65" s="22">
        <v>-0.50389231292510006</v>
      </c>
      <c r="X65" s="22">
        <v>-0.21244052261335264</v>
      </c>
    </row>
    <row r="66" spans="1:24" x14ac:dyDescent="0.35">
      <c r="A66" s="22">
        <v>-4.9105371933922115E-2</v>
      </c>
      <c r="B66" s="22">
        <v>0.28976499970756719</v>
      </c>
      <c r="C66" s="22">
        <v>-2.8493271365933834</v>
      </c>
      <c r="D66" s="22">
        <v>-0.84407300823804199</v>
      </c>
      <c r="E66" s="22">
        <v>-1.7101241083895975</v>
      </c>
      <c r="F66" s="22">
        <v>1.2436191809181438</v>
      </c>
      <c r="G66" s="22">
        <v>-2.5568628401343463</v>
      </c>
      <c r="H66" s="22">
        <v>0.37793062111601827</v>
      </c>
      <c r="I66" s="22">
        <v>-0.53310226746241152</v>
      </c>
      <c r="J66" s="22">
        <v>2.2013983907227122</v>
      </c>
      <c r="K66" s="22">
        <v>0.36951432677044688</v>
      </c>
      <c r="L66" s="22">
        <v>0.90697532038528039</v>
      </c>
      <c r="M66" s="22">
        <v>0.64633480558626599</v>
      </c>
      <c r="N66" s="22">
        <v>0.75323200060783957</v>
      </c>
      <c r="O66" s="22">
        <v>0.38056533297306117</v>
      </c>
      <c r="P66" s="22">
        <v>0.79473268755828341</v>
      </c>
      <c r="Q66" s="22">
        <v>-1.7311318486521854</v>
      </c>
      <c r="R66" s="22">
        <v>-0.27380939039493452</v>
      </c>
      <c r="S66" s="22">
        <v>1.3618892788010637</v>
      </c>
      <c r="T66" s="22">
        <v>1.3137315996058256</v>
      </c>
      <c r="U66" s="22">
        <v>0.62578354768987632</v>
      </c>
      <c r="V66" s="22">
        <v>0.38179583595753458</v>
      </c>
      <c r="W66" s="22">
        <v>-0.70171918158327196</v>
      </c>
      <c r="X66" s="22">
        <v>0.37261098951542854</v>
      </c>
    </row>
    <row r="67" spans="1:24" x14ac:dyDescent="0.35">
      <c r="A67" s="22">
        <v>0.97853779631258753</v>
      </c>
      <c r="B67" s="22">
        <v>1.0836997589860895</v>
      </c>
      <c r="C67" s="22">
        <v>-0.60527822357211924</v>
      </c>
      <c r="D67" s="22">
        <v>-1.3721281575607958</v>
      </c>
      <c r="E67" s="22">
        <v>-0.2837751435664656</v>
      </c>
      <c r="F67" s="22">
        <v>0.56997333235384517</v>
      </c>
      <c r="G67" s="22">
        <v>0.38361152274093685</v>
      </c>
      <c r="H67" s="22">
        <v>-6.279045713262256E-2</v>
      </c>
      <c r="I67" s="22">
        <v>1.1689377543140473</v>
      </c>
      <c r="J67" s="22">
        <v>-0.45499698733496402</v>
      </c>
      <c r="K67" s="22">
        <v>-0.9707078047682135</v>
      </c>
      <c r="L67" s="22">
        <v>-0.16269485160237543</v>
      </c>
      <c r="M67" s="22">
        <v>0.13729755334544649</v>
      </c>
      <c r="N67" s="22">
        <v>-0.44114407681952045</v>
      </c>
      <c r="O67" s="22">
        <v>-0.1158559730078063</v>
      </c>
      <c r="P67" s="22">
        <v>-7.0646016294794403E-2</v>
      </c>
      <c r="Q67" s="22">
        <v>2.6444328864187954</v>
      </c>
      <c r="R67" s="22">
        <v>6.8047020215858386E-2</v>
      </c>
      <c r="S67" s="22">
        <v>0.46793356209925369</v>
      </c>
      <c r="T67" s="22">
        <v>-0.88568406376705588</v>
      </c>
      <c r="U67" s="22">
        <v>-3.2183606169086598</v>
      </c>
      <c r="V67" s="22">
        <v>-0.72756616095050708</v>
      </c>
      <c r="W67" s="22">
        <v>-0.43319831135828307</v>
      </c>
      <c r="X67" s="22">
        <v>-0.2565650664496989</v>
      </c>
    </row>
    <row r="68" spans="1:24" x14ac:dyDescent="0.35">
      <c r="A68" s="22">
        <v>0.58740865066635217</v>
      </c>
      <c r="B68" s="22">
        <v>-0.72667719297715527</v>
      </c>
      <c r="C68" s="22">
        <v>1.0004031835613558</v>
      </c>
      <c r="D68" s="22">
        <v>0.84128748408061804</v>
      </c>
      <c r="E68" s="22">
        <v>-0.46195706899892613</v>
      </c>
      <c r="F68" s="22">
        <v>-0.90547639171115213</v>
      </c>
      <c r="G68" s="22">
        <v>0.57223156594223268</v>
      </c>
      <c r="H68" s="22">
        <v>0.17323178924154931</v>
      </c>
      <c r="I68" s="22">
        <v>0.12443493001558528</v>
      </c>
      <c r="J68" s="22">
        <v>0.32167842445852163</v>
      </c>
      <c r="K68" s="22">
        <v>1.3771278870080226</v>
      </c>
      <c r="L68" s="22">
        <v>-0.90810847025878283</v>
      </c>
      <c r="M68" s="22">
        <v>-2.3397114670097161</v>
      </c>
      <c r="N68" s="22">
        <v>0.55324455609538226</v>
      </c>
      <c r="O68" s="22">
        <v>-0.47934037876199848</v>
      </c>
      <c r="P68" s="22">
        <v>1.7963339094565502</v>
      </c>
      <c r="Q68" s="22">
        <v>-1.1448153544448445</v>
      </c>
      <c r="R68" s="22">
        <v>-1.9745230433162054E-2</v>
      </c>
      <c r="S68" s="22">
        <v>1.2496797654727829</v>
      </c>
      <c r="T68" s="22">
        <v>1.1647188726122066</v>
      </c>
      <c r="U68" s="22">
        <v>-0.51940123503884661</v>
      </c>
      <c r="V68" s="22">
        <v>1.0985941101019583</v>
      </c>
      <c r="W68" s="22">
        <v>0.87749039168651655</v>
      </c>
      <c r="X68" s="22">
        <v>-0.16252255305410085</v>
      </c>
    </row>
    <row r="69" spans="1:24" x14ac:dyDescent="0.35">
      <c r="A69" s="22">
        <v>-1.0750291078897127</v>
      </c>
      <c r="B69" s="22">
        <v>7.5019642387530686E-2</v>
      </c>
      <c r="C69" s="22">
        <v>-0.54580438291047462</v>
      </c>
      <c r="D69" s="22">
        <v>-0.34574245012190502</v>
      </c>
      <c r="E69" s="22">
        <v>0.38673414492239927</v>
      </c>
      <c r="F69" s="22">
        <v>1.3124153382585897</v>
      </c>
      <c r="G69" s="22">
        <v>-0.16731989311167131</v>
      </c>
      <c r="H69" s="22">
        <v>-0.63136894513377151</v>
      </c>
      <c r="I69" s="22">
        <v>1.3877754997254739</v>
      </c>
      <c r="J69" s="22">
        <v>0.44453786409744878</v>
      </c>
      <c r="K69" s="22">
        <v>9.2103146218408885E-2</v>
      </c>
      <c r="L69" s="22">
        <v>2.0515831917714861E-2</v>
      </c>
      <c r="M69" s="22">
        <v>1.5423036328977231</v>
      </c>
      <c r="N69" s="22">
        <v>-1.162062224205652</v>
      </c>
      <c r="O69" s="22">
        <v>-1.6587018223086734</v>
      </c>
      <c r="P69" s="22">
        <v>-1.6005567239259262</v>
      </c>
      <c r="Q69" s="22">
        <v>-0.8543920630092926</v>
      </c>
      <c r="R69" s="22">
        <v>-1.0134278706760158</v>
      </c>
      <c r="S69" s="22">
        <v>-0.57204140790709457</v>
      </c>
      <c r="T69" s="22">
        <v>-0.43035011710011378</v>
      </c>
      <c r="U69" s="22">
        <v>-2.6067618369297971E-2</v>
      </c>
      <c r="V69" s="22">
        <v>-8.8883070287700205E-2</v>
      </c>
      <c r="W69" s="22">
        <v>-0.40090557638682361</v>
      </c>
      <c r="X69" s="22">
        <v>7.4671931726602137E-2</v>
      </c>
    </row>
    <row r="70" spans="1:24" x14ac:dyDescent="0.35">
      <c r="A70" s="22">
        <v>-0.42622200835479668</v>
      </c>
      <c r="B70" s="22">
        <v>-0.90046146315168307</v>
      </c>
      <c r="C70" s="22">
        <v>0.73260219117029568</v>
      </c>
      <c r="D70" s="22">
        <v>0.19376675609895039</v>
      </c>
      <c r="E70" s="22">
        <v>0.97611538314650415</v>
      </c>
      <c r="F70" s="22">
        <v>0.70945478402083118</v>
      </c>
      <c r="G70" s="22">
        <v>-1.0275555905625999</v>
      </c>
      <c r="H70" s="22">
        <v>-0.82909267547458021</v>
      </c>
      <c r="I70" s="22">
        <v>-2.8392033528446641E-2</v>
      </c>
      <c r="J70" s="22">
        <v>-0.26077345445951144</v>
      </c>
      <c r="K70" s="22">
        <v>1.0090826404178259</v>
      </c>
      <c r="L70" s="22">
        <v>-0.58489566068277266</v>
      </c>
      <c r="M70" s="22">
        <v>2.1833454265030756</v>
      </c>
      <c r="N70" s="22">
        <v>-0.12133702011863258</v>
      </c>
      <c r="O70" s="22">
        <v>-0.72312643388822195</v>
      </c>
      <c r="P70" s="22">
        <v>-3.5684981444555765E-2</v>
      </c>
      <c r="Q70" s="22">
        <v>0.45189999807207942</v>
      </c>
      <c r="R70" s="22">
        <v>1.6696748326208133</v>
      </c>
      <c r="S70" s="22">
        <v>-0.21025882431083934</v>
      </c>
      <c r="T70" s="22">
        <v>8.5113071412404734E-2</v>
      </c>
      <c r="U70" s="22">
        <v>0.73993151151158809</v>
      </c>
      <c r="V70" s="22">
        <v>-0.17747997839074742</v>
      </c>
      <c r="W70" s="22">
        <v>-0.22339517443216322</v>
      </c>
      <c r="X70" s="22">
        <v>-0.13954992837563707</v>
      </c>
    </row>
    <row r="71" spans="1:24" x14ac:dyDescent="0.35">
      <c r="A71" s="22">
        <v>-0.34318502177577165</v>
      </c>
      <c r="B71" s="22">
        <v>0.29085166370574589</v>
      </c>
      <c r="C71" s="22">
        <v>-0.90273086895999533</v>
      </c>
      <c r="D71" s="22">
        <v>1.5584883516044956</v>
      </c>
      <c r="E71" s="22">
        <v>-2.7371563469096638</v>
      </c>
      <c r="F71" s="22">
        <v>-0.73083870117944361</v>
      </c>
      <c r="G71" s="22">
        <v>0.20714176255291269</v>
      </c>
      <c r="H71" s="22">
        <v>1.4242385037668601</v>
      </c>
      <c r="I71" s="22">
        <v>0.69742592363859168</v>
      </c>
      <c r="J71" s="22">
        <v>-0.46448481907186467</v>
      </c>
      <c r="K71" s="22">
        <v>0.51370193838682288</v>
      </c>
      <c r="L71" s="22">
        <v>0.66791499861936465</v>
      </c>
      <c r="M71" s="22">
        <v>0.46436330273504317</v>
      </c>
      <c r="N71" s="22">
        <v>-0.68853080428009916</v>
      </c>
      <c r="O71" s="22">
        <v>-0.71402457775913541</v>
      </c>
      <c r="P71" s="22">
        <v>-7.4888200808929231E-2</v>
      </c>
      <c r="Q71" s="22">
        <v>-0.36450810518005627</v>
      </c>
      <c r="R71" s="22">
        <v>0.2386819244719795</v>
      </c>
      <c r="S71" s="22">
        <v>-0.9081051428940804</v>
      </c>
      <c r="T71" s="22">
        <v>-1.5691039281798931</v>
      </c>
      <c r="U71" s="22">
        <v>0.97573796507352883</v>
      </c>
      <c r="V71" s="22">
        <v>-1.2401872928838773</v>
      </c>
      <c r="W71" s="22">
        <v>1.5171131961907305</v>
      </c>
      <c r="X71" s="22">
        <v>-1.5300554518109541</v>
      </c>
    </row>
    <row r="72" spans="1:24" x14ac:dyDescent="0.35">
      <c r="A72" s="22">
        <v>-0.93898127692042832</v>
      </c>
      <c r="B72" s="22">
        <v>2.6643488711074537</v>
      </c>
      <c r="C72" s="22">
        <v>-0.19067281175418946</v>
      </c>
      <c r="D72" s="22">
        <v>3.7714729750211465E-2</v>
      </c>
      <c r="E72" s="22">
        <v>0.56072227570101063</v>
      </c>
      <c r="F72" s="22">
        <v>0.16098724514422608</v>
      </c>
      <c r="G72" s="22">
        <v>0.46684102774056713</v>
      </c>
      <c r="H72" s="22">
        <v>-1.3546051416359572</v>
      </c>
      <c r="I72" s="22">
        <v>1.3602162941073472</v>
      </c>
      <c r="J72" s="22">
        <v>1.1004757285090483</v>
      </c>
      <c r="K72" s="22">
        <v>-1.697407329348871</v>
      </c>
      <c r="L72" s="22">
        <v>2.8326736384800349E-2</v>
      </c>
      <c r="M72" s="22">
        <v>0.22841881007789</v>
      </c>
      <c r="N72" s="22">
        <v>0.90966327679972736</v>
      </c>
      <c r="O72" s="22">
        <v>-0.80109596224088897</v>
      </c>
      <c r="P72" s="22">
        <v>-1.4823943873837642</v>
      </c>
      <c r="Q72" s="22">
        <v>-0.33515840804450381</v>
      </c>
      <c r="R72" s="22">
        <v>1.3097154303971048</v>
      </c>
      <c r="S72" s="22">
        <v>0.30220582586052908</v>
      </c>
      <c r="T72" s="22">
        <v>-2.6205875830240872</v>
      </c>
      <c r="U72" s="22">
        <v>-0.66613658347796367</v>
      </c>
      <c r="V72" s="22">
        <v>0.40419020088465646</v>
      </c>
      <c r="W72" s="22">
        <v>1.0715879491926301</v>
      </c>
      <c r="X72" s="22">
        <v>0.35086618966338529</v>
      </c>
    </row>
    <row r="73" spans="1:24" x14ac:dyDescent="0.35">
      <c r="A73" s="22">
        <v>-1.1270848227960406</v>
      </c>
      <c r="B73" s="22">
        <v>0.99374117425977959</v>
      </c>
      <c r="C73" s="22">
        <v>-0.2575274703349093</v>
      </c>
      <c r="D73" s="22">
        <v>-0.22656038120299277</v>
      </c>
      <c r="E73" s="22">
        <v>-0.37518582688523694</v>
      </c>
      <c r="F73" s="22">
        <v>0.36187462449686497</v>
      </c>
      <c r="G73" s="22">
        <v>1.8755651942173008</v>
      </c>
      <c r="H73" s="22">
        <v>6.2016647054877992E-2</v>
      </c>
      <c r="I73" s="22">
        <v>1.1072001786371504</v>
      </c>
      <c r="J73" s="22">
        <v>-1.1078463876396005</v>
      </c>
      <c r="K73" s="22">
        <v>2.2850493423164373</v>
      </c>
      <c r="L73" s="22">
        <v>0.9717913597959803</v>
      </c>
      <c r="M73" s="22">
        <v>1.3298748431011684</v>
      </c>
      <c r="N73" s="22">
        <v>0.45498186743252633</v>
      </c>
      <c r="O73" s="22">
        <v>-0.50961443543923035</v>
      </c>
      <c r="P73" s="22">
        <v>0.57047971567291378</v>
      </c>
      <c r="Q73" s="22">
        <v>-0.69664748572454505</v>
      </c>
      <c r="R73" s="22">
        <v>0.99202178185319057</v>
      </c>
      <c r="S73" s="22">
        <v>-0.4061472262802987</v>
      </c>
      <c r="T73" s="22">
        <v>-1.1149832110677265</v>
      </c>
      <c r="U73" s="22">
        <v>0.13008210316823959</v>
      </c>
      <c r="V73" s="22">
        <v>-0.48033367559026335</v>
      </c>
      <c r="W73" s="22">
        <v>8.4462707928918607E-2</v>
      </c>
      <c r="X73" s="22">
        <v>0.50484266969536717</v>
      </c>
    </row>
    <row r="74" spans="1:24" x14ac:dyDescent="0.35">
      <c r="A74" s="22">
        <v>0.65186010942761896</v>
      </c>
      <c r="B74" s="22">
        <v>-0.91101173695277748</v>
      </c>
      <c r="C74" s="22">
        <v>1.1094389466806782</v>
      </c>
      <c r="D74" s="22">
        <v>1.2520093729608628</v>
      </c>
      <c r="E74" s="22">
        <v>0.35598701846853187</v>
      </c>
      <c r="F74" s="22">
        <v>-0.54085929915204756</v>
      </c>
      <c r="G74" s="22">
        <v>0.65608963022959954</v>
      </c>
      <c r="H74" s="22">
        <v>0.60050041790098729</v>
      </c>
      <c r="I74" s="22">
        <v>0.42190557431508724</v>
      </c>
      <c r="J74" s="22">
        <v>2.734898561508166</v>
      </c>
      <c r="K74" s="22">
        <v>6.9195752695091275E-2</v>
      </c>
      <c r="L74" s="22">
        <v>-0.59913002973766827</v>
      </c>
      <c r="M74" s="22">
        <v>-1.1565153921107061</v>
      </c>
      <c r="N74" s="22">
        <v>8.1466698529354328E-3</v>
      </c>
      <c r="O74" s="22">
        <v>0.85049282511593516</v>
      </c>
      <c r="P74" s="22">
        <v>1.8229365974803624</v>
      </c>
      <c r="Q74" s="22">
        <v>-1.4014764841722542</v>
      </c>
      <c r="R74" s="22">
        <v>-6.7755776743900889E-2</v>
      </c>
      <c r="S74" s="22">
        <v>-0.17577367729602791</v>
      </c>
      <c r="T74" s="22">
        <v>9.599981790715726E-3</v>
      </c>
      <c r="U74" s="22">
        <v>-2.1042286221852153</v>
      </c>
      <c r="V74" s="22">
        <v>-0.9680431392673251</v>
      </c>
      <c r="W74" s="22">
        <v>-0.2969348583715698</v>
      </c>
      <c r="X74" s="22">
        <v>-0.95306069379166414</v>
      </c>
    </row>
    <row r="75" spans="1:24" x14ac:dyDescent="0.35">
      <c r="A75" s="22">
        <v>0.71049817741800347</v>
      </c>
      <c r="B75" s="22">
        <v>0.90237736974618366</v>
      </c>
      <c r="C75" s="22">
        <v>0.55057216343195636</v>
      </c>
      <c r="D75" s="22">
        <v>1.6733231161129656</v>
      </c>
      <c r="E75" s="22">
        <v>0.31473693228885175</v>
      </c>
      <c r="F75" s="22">
        <v>1.2875162924489407</v>
      </c>
      <c r="G75" s="22">
        <v>-0.35767218327327827</v>
      </c>
      <c r="H75" s="22">
        <v>1.3749619667947888</v>
      </c>
      <c r="I75" s="22">
        <v>0.35245691505763554</v>
      </c>
      <c r="J75" s="22">
        <v>0.43703567043405445</v>
      </c>
      <c r="K75" s="22">
        <v>-3.0288722036283709E-2</v>
      </c>
      <c r="L75" s="22">
        <v>-0.4512117379221075</v>
      </c>
      <c r="M75" s="22">
        <v>1.7813162246733152</v>
      </c>
      <c r="N75" s="22">
        <v>0.70300307140414531</v>
      </c>
      <c r="O75" s="22">
        <v>-7.4073520133720566E-2</v>
      </c>
      <c r="P75" s="22">
        <v>-0.52881331427003164</v>
      </c>
      <c r="Q75" s="22">
        <v>0.58669783236799411</v>
      </c>
      <c r="R75" s="22">
        <v>0.13991438322924657</v>
      </c>
      <c r="S75" s="22">
        <v>3.6096328721574082E-2</v>
      </c>
      <c r="T75" s="22">
        <v>-0.65341374102184058</v>
      </c>
      <c r="U75" s="22">
        <v>-0.54828901891059234</v>
      </c>
      <c r="V75" s="22">
        <v>-0.71835264065896065</v>
      </c>
      <c r="W75" s="22">
        <v>-0.46178988268646515</v>
      </c>
      <c r="X75" s="22">
        <v>1.7263139657486697</v>
      </c>
    </row>
    <row r="76" spans="1:24" x14ac:dyDescent="0.35">
      <c r="A76" s="22">
        <v>5.8317602671570261E-2</v>
      </c>
      <c r="B76" s="22">
        <v>-0.40237798641217348</v>
      </c>
      <c r="C76" s="22">
        <v>0.96035495881616351</v>
      </c>
      <c r="D76" s="22">
        <v>0.85693253925366364</v>
      </c>
      <c r="E76" s="22">
        <v>1.1142454590753159</v>
      </c>
      <c r="F76" s="22">
        <v>0.49902262082321003</v>
      </c>
      <c r="G76" s="22">
        <v>-0.94746141992986821</v>
      </c>
      <c r="H76" s="22">
        <v>0.40356456574256122</v>
      </c>
      <c r="I76" s="22">
        <v>0.31924525890472744</v>
      </c>
      <c r="J76" s="22">
        <v>-8.4733651298133969E-2</v>
      </c>
      <c r="K76" s="22">
        <v>-7.6136843273365479E-2</v>
      </c>
      <c r="L76" s="22">
        <v>0.98546638468864145</v>
      </c>
      <c r="M76" s="22">
        <v>0.88029855486711206</v>
      </c>
      <c r="N76" s="22">
        <v>0.58493290847218538</v>
      </c>
      <c r="O76" s="22">
        <v>8.6197665910710444E-2</v>
      </c>
      <c r="P76" s="22">
        <v>0.14145362480130225</v>
      </c>
      <c r="Q76" s="22">
        <v>1.7993144273303412</v>
      </c>
      <c r="R76" s="22">
        <v>1.1208262928523638</v>
      </c>
      <c r="S76" s="22">
        <v>0.53109194542439842</v>
      </c>
      <c r="T76" s="22">
        <v>-1.264337836160484</v>
      </c>
      <c r="U76" s="22">
        <v>-1.518517439222892</v>
      </c>
      <c r="V76" s="22">
        <v>-1.3614573241214123</v>
      </c>
      <c r="W76" s="22">
        <v>-0.85970942942070605</v>
      </c>
      <c r="X76" s="22">
        <v>0.32950945344688909</v>
      </c>
    </row>
    <row r="77" spans="1:24" x14ac:dyDescent="0.35">
      <c r="A77" s="22">
        <v>1.5815497336105424</v>
      </c>
      <c r="B77" s="22">
        <v>1.333787039507057</v>
      </c>
      <c r="C77" s="22">
        <v>1.1404757048533463</v>
      </c>
      <c r="D77" s="22">
        <v>1.024466192151114</v>
      </c>
      <c r="E77" s="22">
        <v>1.4284408546591305</v>
      </c>
      <c r="F77" s="22">
        <v>0.99521646819239029</v>
      </c>
      <c r="G77" s="22">
        <v>0.20116697647290877</v>
      </c>
      <c r="H77" s="22">
        <v>2.1682817161612612E-2</v>
      </c>
      <c r="I77" s="22">
        <v>-0.36394028491206576</v>
      </c>
      <c r="J77" s="22">
        <v>-5.0998764180625954E-2</v>
      </c>
      <c r="K77" s="22">
        <v>0.1800627182135856</v>
      </c>
      <c r="L77" s="22">
        <v>0.2059307400700392</v>
      </c>
      <c r="M77" s="22">
        <v>0.54059298978469694</v>
      </c>
      <c r="N77" s="22">
        <v>1.7298803904647424</v>
      </c>
      <c r="O77" s="22">
        <v>9.0341196752124639E-2</v>
      </c>
      <c r="P77" s="22">
        <v>-9.0595228308581154E-3</v>
      </c>
      <c r="Q77" s="22">
        <v>-1.2337376398976718</v>
      </c>
      <c r="R77" s="22">
        <v>-6.1579933689603204E-2</v>
      </c>
      <c r="S77" s="22">
        <v>-0.95542156090466823</v>
      </c>
      <c r="T77" s="22">
        <v>1.4278281706330684</v>
      </c>
      <c r="U77" s="22">
        <v>-0.87209706302294521</v>
      </c>
      <c r="V77" s="22">
        <v>0.13528800627265575</v>
      </c>
      <c r="W77" s="22">
        <v>0.2662321623096337</v>
      </c>
      <c r="X77" s="22">
        <v>-1.1231423182689599</v>
      </c>
    </row>
    <row r="78" spans="1:24" x14ac:dyDescent="0.35">
      <c r="A78" s="22">
        <v>0.85804857979048199</v>
      </c>
      <c r="B78" s="22">
        <v>-4.5332766860478975E-3</v>
      </c>
      <c r="C78" s="22">
        <v>0.70021245124921527</v>
      </c>
      <c r="D78" s="22">
        <v>-0.71961014373383858</v>
      </c>
      <c r="E78" s="22">
        <v>1.5453298320836844E-2</v>
      </c>
      <c r="F78" s="22">
        <v>0.39028033211404323</v>
      </c>
      <c r="G78" s="22">
        <v>1.27775364625545</v>
      </c>
      <c r="H78" s="22">
        <v>-0.74231365981018049</v>
      </c>
      <c r="I78" s="22">
        <v>-0.48682436584056132</v>
      </c>
      <c r="J78" s="22">
        <v>-0.18649716932839555</v>
      </c>
      <c r="K78" s="22">
        <v>-1.1854545698763173</v>
      </c>
      <c r="L78" s="22">
        <v>1.5434410142434245</v>
      </c>
      <c r="M78" s="22">
        <v>2.0814557047022562</v>
      </c>
      <c r="N78" s="22">
        <v>0.72129715776967729</v>
      </c>
      <c r="O78" s="22">
        <v>-0.38518487863466899</v>
      </c>
      <c r="P78" s="22">
        <v>-1.3560937161884941</v>
      </c>
      <c r="Q78" s="22">
        <v>1.8516527808235861</v>
      </c>
      <c r="R78" s="22">
        <v>-0.69332894345928431</v>
      </c>
      <c r="S78" s="22">
        <v>-1.0629363598758643</v>
      </c>
      <c r="T78" s="22">
        <v>0.66986360216084595</v>
      </c>
      <c r="U78" s="22">
        <v>-1.2619754753865373</v>
      </c>
      <c r="V78" s="22">
        <v>-0.50949527691279095</v>
      </c>
      <c r="W78" s="22">
        <v>-0.72764894243743705</v>
      </c>
      <c r="X78" s="22">
        <v>-0.33893170439274645</v>
      </c>
    </row>
    <row r="79" spans="1:24" x14ac:dyDescent="0.35">
      <c r="A79" s="22">
        <v>-1.2660075947429656</v>
      </c>
      <c r="B79" s="22">
        <v>-0.82744403097202601</v>
      </c>
      <c r="C79" s="22">
        <v>-0.38529744991013448</v>
      </c>
      <c r="D79" s="22">
        <v>-1.7594224099902154</v>
      </c>
      <c r="E79" s="22">
        <v>-0.20898007742207886</v>
      </c>
      <c r="F79" s="22">
        <v>0.1938285276243174</v>
      </c>
      <c r="G79" s="22">
        <v>-0.91810355808772726</v>
      </c>
      <c r="H79" s="22">
        <v>0.27620954230245282</v>
      </c>
      <c r="I79" s="22">
        <v>1.3534996872528879</v>
      </c>
      <c r="J79" s="22">
        <v>-0.14088834952177492</v>
      </c>
      <c r="K79" s="22">
        <v>1.5826646736998715</v>
      </c>
      <c r="L79" s="22">
        <v>-0.67516645581594292</v>
      </c>
      <c r="M79" s="22">
        <v>1.40471381327378</v>
      </c>
      <c r="N79" s="22">
        <v>-0.14505216597441706</v>
      </c>
      <c r="O79" s="22">
        <v>0.12443344734925195</v>
      </c>
      <c r="P79" s="22">
        <v>2.0116837082470544</v>
      </c>
      <c r="Q79" s="22">
        <v>0.51449082045893735</v>
      </c>
      <c r="R79" s="22">
        <v>0.72641976625277049</v>
      </c>
      <c r="S79" s="22">
        <v>-0.76691226749652874</v>
      </c>
      <c r="T79" s="22">
        <v>1.4146242516071079</v>
      </c>
      <c r="U79" s="22">
        <v>-0.95961094695312488</v>
      </c>
      <c r="V79" s="22">
        <v>-0.37847686086880311</v>
      </c>
      <c r="W79" s="22">
        <v>1.9973140601489916</v>
      </c>
      <c r="X79" s="22">
        <v>7.5556023090969732E-2</v>
      </c>
    </row>
    <row r="80" spans="1:24" x14ac:dyDescent="0.35">
      <c r="A80" s="22">
        <v>-0.87666278544939369</v>
      </c>
      <c r="B80" s="22">
        <v>-0.66985229465026297</v>
      </c>
      <c r="C80" s="22">
        <v>1.1175953214900167</v>
      </c>
      <c r="D80" s="22">
        <v>0.73754172153028597</v>
      </c>
      <c r="E80" s="22">
        <v>-0.4331626429940747</v>
      </c>
      <c r="F80" s="22">
        <v>0.76007521696729163</v>
      </c>
      <c r="G80" s="22">
        <v>-1.26984162768779</v>
      </c>
      <c r="H80" s="22">
        <v>-0.82546075323507861</v>
      </c>
      <c r="I80" s="22">
        <v>8.8727977523275339E-2</v>
      </c>
      <c r="J80" s="22">
        <v>0.99678441734258483</v>
      </c>
      <c r="K80" s="22">
        <v>-1.0194779721052243</v>
      </c>
      <c r="L80" s="22">
        <v>-0.28758844558298874</v>
      </c>
      <c r="M80" s="22">
        <v>0.20010477398175489</v>
      </c>
      <c r="N80" s="22">
        <v>-1.6464088139335702</v>
      </c>
      <c r="O80" s="22">
        <v>0.11539283709506029</v>
      </c>
      <c r="P80" s="22">
        <v>0.4350687767950272</v>
      </c>
      <c r="Q80" s="22">
        <v>-0.51977583914376246</v>
      </c>
      <c r="R80" s="22">
        <v>1.1507204575306296</v>
      </c>
      <c r="S80" s="22">
        <v>-6.3995411076837941E-2</v>
      </c>
      <c r="T80" s="22">
        <v>-0.94803761152532429</v>
      </c>
      <c r="U80" s="22">
        <v>1.8095040582675346</v>
      </c>
      <c r="V80" s="22">
        <v>1.2362797922291682</v>
      </c>
      <c r="W80" s="22">
        <v>-0.39777577162161687</v>
      </c>
      <c r="X80" s="22">
        <v>0.13760946585184491</v>
      </c>
    </row>
    <row r="81" spans="1:24" x14ac:dyDescent="0.35">
      <c r="A81" s="22">
        <v>-0.99885018373556267</v>
      </c>
      <c r="B81" s="22">
        <v>0.95566885488313058</v>
      </c>
      <c r="C81" s="22">
        <v>0.80707290729056158</v>
      </c>
      <c r="D81" s="22">
        <v>0.34139872414625327</v>
      </c>
      <c r="E81" s="22">
        <v>-9.8678032404030114E-2</v>
      </c>
      <c r="F81" s="22">
        <v>0.75652279720451598</v>
      </c>
      <c r="G81" s="22">
        <v>-0.67696571358673341</v>
      </c>
      <c r="H81" s="22">
        <v>1.2843378595013351</v>
      </c>
      <c r="I81" s="22">
        <v>-0.11259183045486634</v>
      </c>
      <c r="J81" s="22">
        <v>0.24355326648697689</v>
      </c>
      <c r="K81" s="22">
        <v>0.50956951735273226</v>
      </c>
      <c r="L81" s="22">
        <v>0.79854159298224248</v>
      </c>
      <c r="M81" s="22">
        <v>-1.1254402607207989</v>
      </c>
      <c r="N81" s="22">
        <v>-1.9905091605793537E-2</v>
      </c>
      <c r="O81" s="22">
        <v>-0.30438796685650871</v>
      </c>
      <c r="P81" s="22">
        <v>0.40831744601472303</v>
      </c>
      <c r="Q81" s="22">
        <v>2.2246309830509872</v>
      </c>
      <c r="R81" s="22">
        <v>2.5210474117045476</v>
      </c>
      <c r="S81" s="22">
        <v>4.0531136400484669E-2</v>
      </c>
      <c r="T81" s="22">
        <v>-0.47581397158301852</v>
      </c>
      <c r="U81" s="22">
        <v>1.1571194950427737</v>
      </c>
      <c r="V81" s="22">
        <v>-1.0940790250728969</v>
      </c>
      <c r="W81" s="22">
        <v>0.1860643618874363</v>
      </c>
      <c r="X81" s="22">
        <v>0.57915059400803937</v>
      </c>
    </row>
    <row r="82" spans="1:24" x14ac:dyDescent="0.35">
      <c r="A82" s="22">
        <v>-1.4678193099104095</v>
      </c>
      <c r="B82" s="22">
        <v>-0.35134432055993381</v>
      </c>
      <c r="C82" s="22">
        <v>-0.18595448935819678</v>
      </c>
      <c r="D82" s="22">
        <v>0.85445998887830765</v>
      </c>
      <c r="E82" s="22">
        <v>0.27560384541895699</v>
      </c>
      <c r="F82" s="22">
        <v>0.41492119240748804</v>
      </c>
      <c r="G82" s="22">
        <v>0.48828992708704588</v>
      </c>
      <c r="H82" s="22">
        <v>-1.232492376805788</v>
      </c>
      <c r="I82" s="22">
        <v>2.7141967957471187</v>
      </c>
      <c r="J82" s="22">
        <v>-1.2632977078492964</v>
      </c>
      <c r="K82" s="22">
        <v>2.8227036196297434E-2</v>
      </c>
      <c r="L82" s="22">
        <v>-1.9442653847172231</v>
      </c>
      <c r="M82" s="22">
        <v>-0.48612200655780669</v>
      </c>
      <c r="N82" s="22">
        <v>-0.27096387258147264</v>
      </c>
      <c r="O82" s="22">
        <v>0.6974540826811878</v>
      </c>
      <c r="P82" s="22">
        <v>1.9624169679082564</v>
      </c>
      <c r="Q82" s="22">
        <v>0.37833382817964217</v>
      </c>
      <c r="R82" s="22">
        <v>0.7752228576668676</v>
      </c>
      <c r="S82" s="22">
        <v>3.4253211157158472E-2</v>
      </c>
      <c r="T82" s="22">
        <v>-0.48948326129238173</v>
      </c>
      <c r="U82" s="22">
        <v>0.10154733356949637</v>
      </c>
      <c r="V82" s="22">
        <v>0.19323018042770046</v>
      </c>
      <c r="W82" s="22">
        <v>0.28810282115772923</v>
      </c>
      <c r="X82" s="22">
        <v>-0.34309710235587743</v>
      </c>
    </row>
    <row r="83" spans="1:24" x14ac:dyDescent="0.35">
      <c r="A83" s="22">
        <v>-0.27701599163635848</v>
      </c>
      <c r="B83" s="22">
        <v>-1.5862214972376369</v>
      </c>
      <c r="C83" s="22">
        <v>-0.10127610169916657</v>
      </c>
      <c r="D83" s="22">
        <v>-1.1404023165889623</v>
      </c>
      <c r="E83" s="22">
        <v>-0.19563752597657869</v>
      </c>
      <c r="F83" s="22">
        <v>-0.28006540426494186</v>
      </c>
      <c r="G83" s="22">
        <v>-0.24619920851527885</v>
      </c>
      <c r="H83" s="22">
        <v>-0.81007705579301603</v>
      </c>
      <c r="I83" s="22">
        <v>2.1423758892950495</v>
      </c>
      <c r="J83" s="22">
        <v>9.725257888505702E-2</v>
      </c>
      <c r="K83" s="22">
        <v>1.2326915061234827</v>
      </c>
      <c r="L83" s="22">
        <v>-4.3363403911954583E-2</v>
      </c>
      <c r="M83" s="22">
        <v>0.14309539814768929</v>
      </c>
      <c r="N83" s="22">
        <v>-0.5522312426854562</v>
      </c>
      <c r="O83" s="22">
        <v>-0.24384579804589845</v>
      </c>
      <c r="P83" s="22">
        <v>-1.0983511458116129</v>
      </c>
      <c r="Q83" s="22">
        <v>1.3020996844739128</v>
      </c>
      <c r="R83" s="22">
        <v>0.88244039052515544</v>
      </c>
      <c r="S83" s="22">
        <v>-0.63218927132965752</v>
      </c>
      <c r="T83" s="22">
        <v>1.7434216492410017</v>
      </c>
      <c r="U83" s="22">
        <v>0.55008432972941823</v>
      </c>
      <c r="V83" s="22">
        <v>0.91402580951328161</v>
      </c>
      <c r="W83" s="22">
        <v>0.71455530555508595</v>
      </c>
      <c r="X83" s="22">
        <v>0.74367198208751184</v>
      </c>
    </row>
    <row r="84" spans="1:24" x14ac:dyDescent="0.35">
      <c r="A84" s="22">
        <v>0.66569065717954035</v>
      </c>
      <c r="B84" s="22">
        <v>-5.5583940381355543E-2</v>
      </c>
      <c r="C84" s="22">
        <v>-0.55128507423643813</v>
      </c>
      <c r="D84" s="22">
        <v>-1.1781672684394282</v>
      </c>
      <c r="E84" s="22">
        <v>-2.1146215587117263</v>
      </c>
      <c r="F84" s="22">
        <v>-0.18687381346824819</v>
      </c>
      <c r="G84" s="22">
        <v>1.7893834077752824</v>
      </c>
      <c r="H84" s="22">
        <v>-0.63329854044504108</v>
      </c>
      <c r="I84" s="22">
        <v>1.2212268442315821</v>
      </c>
      <c r="J84" s="22">
        <v>-0.86513257008802813</v>
      </c>
      <c r="K84" s="22">
        <v>0.36209715555126026</v>
      </c>
      <c r="L84" s="22">
        <v>-2.6344823898913212</v>
      </c>
      <c r="M84" s="22">
        <v>-0.59144951343092622</v>
      </c>
      <c r="N84" s="22">
        <v>1.779973550504919</v>
      </c>
      <c r="O84" s="22">
        <v>9.096526182421355E-2</v>
      </c>
      <c r="P84" s="22">
        <v>0.13512935843077803</v>
      </c>
      <c r="Q84" s="22">
        <v>-0.65315642797912055</v>
      </c>
      <c r="R84" s="22">
        <v>-0.63274766170067298</v>
      </c>
      <c r="S84" s="22">
        <v>0.50423455994998601</v>
      </c>
      <c r="T84" s="22">
        <v>-0.78815296663333201</v>
      </c>
      <c r="U84" s="22">
        <v>-2.3211632801463482</v>
      </c>
      <c r="V84" s="22">
        <v>2.9444883620557218E-2</v>
      </c>
      <c r="W84" s="22">
        <v>-0.94598398381226856</v>
      </c>
      <c r="X84" s="22">
        <v>1.2375788234286271</v>
      </c>
    </row>
    <row r="85" spans="1:24" x14ac:dyDescent="0.35">
      <c r="A85" s="22">
        <v>0.19960030758687924</v>
      </c>
      <c r="B85" s="22">
        <v>-2.1915225726626</v>
      </c>
      <c r="C85" s="22">
        <v>0.76719400232433543</v>
      </c>
      <c r="D85" s="22">
        <v>0.32311383094276513</v>
      </c>
      <c r="E85" s="22">
        <v>1.0063480261347961</v>
      </c>
      <c r="F85" s="22">
        <v>1.2454473713861185</v>
      </c>
      <c r="G85" s="22">
        <v>-1.0789455189189945</v>
      </c>
      <c r="H85" s="22">
        <v>1.5428111366860746</v>
      </c>
      <c r="I85" s="22">
        <v>0.84520670945378007</v>
      </c>
      <c r="J85" s="22">
        <v>1.8384231855625146</v>
      </c>
      <c r="K85" s="22">
        <v>-0.41453630774587186</v>
      </c>
      <c r="L85" s="22">
        <v>1.3778817675607096</v>
      </c>
      <c r="M85" s="22">
        <v>-0.81875335675095862</v>
      </c>
      <c r="N85" s="22">
        <v>-1.1256848816282807</v>
      </c>
      <c r="O85" s="22">
        <v>0.52521985029567897</v>
      </c>
      <c r="P85" s="22">
        <v>-0.87609475778104251</v>
      </c>
      <c r="Q85" s="22">
        <v>0.60064459048269792</v>
      </c>
      <c r="R85" s="22">
        <v>0.64264871241442378</v>
      </c>
      <c r="S85" s="22">
        <v>0.63919882720939336</v>
      </c>
      <c r="T85" s="22">
        <v>1.1178530207341351</v>
      </c>
      <c r="U85" s="22">
        <v>-0.77445207323879373</v>
      </c>
      <c r="V85" s="22">
        <v>-0.34937889364569491</v>
      </c>
      <c r="W85" s="22">
        <v>-0.37690685624411319</v>
      </c>
      <c r="X85" s="22">
        <v>-1.1006048306981722</v>
      </c>
    </row>
    <row r="86" spans="1:24" x14ac:dyDescent="0.35">
      <c r="A86" s="22">
        <v>1.04674330472403</v>
      </c>
      <c r="B86" s="22">
        <v>0.13916666031422248</v>
      </c>
      <c r="C86" s="22">
        <v>0.35774636879688898</v>
      </c>
      <c r="D86" s="22">
        <v>4.5079610393031495E-2</v>
      </c>
      <c r="E86" s="22">
        <v>-0.63440778028150935</v>
      </c>
      <c r="F86" s="22">
        <v>-0.70504925790889783</v>
      </c>
      <c r="G86" s="22">
        <v>1.4381418318705939</v>
      </c>
      <c r="H86" s="22">
        <v>-0.86649373333395685</v>
      </c>
      <c r="I86" s="22">
        <v>-0.489254360707293</v>
      </c>
      <c r="J86" s="22">
        <v>0.80286533591782305</v>
      </c>
      <c r="K86" s="22">
        <v>1.3457229049294424</v>
      </c>
      <c r="L86" s="22">
        <v>9.546728792573432E-2</v>
      </c>
      <c r="M86" s="22">
        <v>-5.1183746248099633E-2</v>
      </c>
      <c r="N86" s="22">
        <v>1.5259183986261773</v>
      </c>
      <c r="O86" s="22">
        <v>-1.0847278101133648</v>
      </c>
      <c r="P86" s="22">
        <v>-9.8213477850704278E-2</v>
      </c>
      <c r="Q86" s="22">
        <v>-0.33883639523855053</v>
      </c>
      <c r="R86" s="22">
        <v>0.65725686000057038</v>
      </c>
      <c r="S86" s="22">
        <v>0.30243824617075715</v>
      </c>
      <c r="T86" s="22">
        <v>0.69764449174062537</v>
      </c>
      <c r="U86" s="22">
        <v>0.90982059537939175</v>
      </c>
      <c r="V86" s="22">
        <v>-0.84460652786336954</v>
      </c>
      <c r="W86" s="22">
        <v>1.042062986858536</v>
      </c>
      <c r="X86" s="22">
        <v>-6.0255983807443896E-2</v>
      </c>
    </row>
    <row r="87" spans="1:24" x14ac:dyDescent="0.35">
      <c r="A87" s="22">
        <v>1.2692591571999574</v>
      </c>
      <c r="B87" s="22">
        <v>1.2959911490765865</v>
      </c>
      <c r="C87" s="22">
        <v>0.51950246783464193</v>
      </c>
      <c r="D87" s="22">
        <v>1.8716907264759162</v>
      </c>
      <c r="E87" s="22">
        <v>-8.3397201982228317E-2</v>
      </c>
      <c r="F87" s="22">
        <v>0.74307277320588272</v>
      </c>
      <c r="G87" s="22">
        <v>-0.19356579110816013</v>
      </c>
      <c r="H87" s="22">
        <v>-0.16298367214069132</v>
      </c>
      <c r="I87" s="22">
        <v>-0.23903711592194135</v>
      </c>
      <c r="J87" s="22">
        <v>0.67334959573796838</v>
      </c>
      <c r="K87" s="22">
        <v>-1.1453168408172139</v>
      </c>
      <c r="L87" s="22">
        <v>-0.21842339591046497</v>
      </c>
      <c r="M87" s="22">
        <v>1.0639224053392689E-2</v>
      </c>
      <c r="N87" s="22">
        <v>-0.50377895318067878</v>
      </c>
      <c r="O87" s="22">
        <v>-0.71937097486105472</v>
      </c>
      <c r="P87" s="22">
        <v>-0.13481525582339118</v>
      </c>
      <c r="Q87" s="22">
        <v>-0.70565755382047923</v>
      </c>
      <c r="R87" s="22">
        <v>-0.35321985454408367</v>
      </c>
      <c r="S87" s="22">
        <v>0.2384396052643725</v>
      </c>
      <c r="T87" s="22">
        <v>8.1544320091116229E-2</v>
      </c>
      <c r="U87" s="22">
        <v>0.11724114390283086</v>
      </c>
      <c r="V87" s="22">
        <v>1.1053326777086478</v>
      </c>
      <c r="W87" s="22">
        <v>-0.78894364283436302</v>
      </c>
      <c r="X87" s="22">
        <v>0.53130210057638994</v>
      </c>
    </row>
    <row r="88" spans="1:24" x14ac:dyDescent="0.35">
      <c r="A88" s="22">
        <v>-1.2041703637653445</v>
      </c>
      <c r="B88" s="22">
        <v>2.5392150509035032</v>
      </c>
      <c r="C88" s="22">
        <v>0.50798159067154813</v>
      </c>
      <c r="D88" s="22">
        <v>-2.1974050367836027</v>
      </c>
      <c r="E88" s="22">
        <v>-1.1774110213855162</v>
      </c>
      <c r="F88" s="22">
        <v>0.15275579604888034</v>
      </c>
      <c r="G88" s="22">
        <v>0.29046166007188251</v>
      </c>
      <c r="H88" s="22">
        <v>0.25317285519265664</v>
      </c>
      <c r="I88" s="22">
        <v>0.56183110571041306</v>
      </c>
      <c r="J88" s="22">
        <v>1.3678295401030978</v>
      </c>
      <c r="K88" s="22">
        <v>0.80434329456266429</v>
      </c>
      <c r="L88" s="22">
        <v>0.6081240750206145</v>
      </c>
      <c r="M88" s="22">
        <v>1.1952989253751332</v>
      </c>
      <c r="N88" s="22">
        <v>-9.8632912252869187E-2</v>
      </c>
      <c r="O88" s="22">
        <v>-0.8284526027249105</v>
      </c>
      <c r="P88" s="22">
        <v>0.62417092591357681</v>
      </c>
      <c r="Q88" s="22">
        <v>-0.58272563714982639</v>
      </c>
      <c r="R88" s="22">
        <v>-1.4197911805485741</v>
      </c>
      <c r="S88" s="22">
        <v>-1.3689162257707255</v>
      </c>
      <c r="T88" s="22">
        <v>0.1419335640008135</v>
      </c>
      <c r="U88" s="22">
        <v>-0.44560271142119234</v>
      </c>
      <c r="V88" s="22">
        <v>0.20618543936968473</v>
      </c>
      <c r="W88" s="22">
        <v>-0.99331640471391136</v>
      </c>
      <c r="X88" s="22">
        <v>0.19461941638871114</v>
      </c>
    </row>
    <row r="89" spans="1:24" x14ac:dyDescent="0.35">
      <c r="A89" s="22">
        <v>0.42316655616560606</v>
      </c>
      <c r="B89" s="22">
        <v>-0.8605321730954687</v>
      </c>
      <c r="C89" s="22">
        <v>-1.3373488784415022</v>
      </c>
      <c r="D89" s="22">
        <v>0.56284702187569113</v>
      </c>
      <c r="E89" s="22">
        <v>1.099779164358248</v>
      </c>
      <c r="F89" s="22">
        <v>-0.11489392794674717</v>
      </c>
      <c r="G89" s="22">
        <v>0.13493306580267123</v>
      </c>
      <c r="H89" s="22">
        <v>0.80725083580030998</v>
      </c>
      <c r="I89" s="22">
        <v>1.3886469972997284</v>
      </c>
      <c r="J89" s="22">
        <v>-1.6503519030602434</v>
      </c>
      <c r="K89" s="22">
        <v>0.83008121673262059</v>
      </c>
      <c r="L89" s="22">
        <v>2.5324401662698497</v>
      </c>
      <c r="M89" s="22">
        <v>0.64444977252236768</v>
      </c>
      <c r="N89" s="22">
        <v>-0.37688493395359729</v>
      </c>
      <c r="O89" s="22">
        <v>1.5104314513062496</v>
      </c>
      <c r="P89" s="22">
        <v>-2.8809979766170467E-2</v>
      </c>
      <c r="Q89" s="22">
        <v>-0.89375062574742459</v>
      </c>
      <c r="R89" s="22">
        <v>-0.10457119527759835</v>
      </c>
      <c r="S89" s="22">
        <v>-0.87628745395328222</v>
      </c>
      <c r="T89" s="22">
        <v>-2.6524528159335032</v>
      </c>
      <c r="U89" s="22">
        <v>0.44724577465771809</v>
      </c>
      <c r="V89" s="22">
        <v>0.99268788920938567</v>
      </c>
      <c r="W89" s="22">
        <v>1.42520955139726</v>
      </c>
      <c r="X89" s="22">
        <v>-0.6060786673120091</v>
      </c>
    </row>
    <row r="90" spans="1:24" x14ac:dyDescent="0.35">
      <c r="A90" s="22">
        <v>-0.59251372647331424</v>
      </c>
      <c r="B90" s="22">
        <v>-0.75055301768686566</v>
      </c>
      <c r="C90" s="22">
        <v>-1.6520175563995951</v>
      </c>
      <c r="D90" s="22">
        <v>-1.3393827445233815</v>
      </c>
      <c r="E90" s="22">
        <v>-1.8121272235090655</v>
      </c>
      <c r="F90" s="22">
        <v>-1.065290717272614</v>
      </c>
      <c r="G90" s="22">
        <v>0.40298412956727159</v>
      </c>
      <c r="H90" s="22">
        <v>-0.87171505145161521</v>
      </c>
      <c r="I90" s="22">
        <v>7.6824877335116462E-2</v>
      </c>
      <c r="J90" s="22">
        <v>-1.0982890265884897</v>
      </c>
      <c r="K90" s="22">
        <v>-0.75170164871921319</v>
      </c>
      <c r="L90" s="22">
        <v>4.6925406184110431E-2</v>
      </c>
      <c r="M90" s="22">
        <v>-1.3963830414500362</v>
      </c>
      <c r="N90" s="22">
        <v>0.73887339920251038</v>
      </c>
      <c r="O90" s="22">
        <v>-0.33810850122221642</v>
      </c>
      <c r="P90" s="22">
        <v>2.2304810487891973</v>
      </c>
      <c r="Q90" s="22">
        <v>-1.123874333289657</v>
      </c>
      <c r="R90" s="22">
        <v>0.723147089093365</v>
      </c>
      <c r="S90" s="22">
        <v>-0.61242689765545755</v>
      </c>
      <c r="T90" s="22">
        <v>1.6257651575486469</v>
      </c>
      <c r="U90" s="22">
        <v>0.19148410962972034</v>
      </c>
      <c r="V90" s="22">
        <v>-0.68125324375535312</v>
      </c>
      <c r="W90" s="22">
        <v>-1.4042050652862872</v>
      </c>
      <c r="X90" s="22">
        <v>-0.44059654234057283</v>
      </c>
    </row>
    <row r="91" spans="1:24" x14ac:dyDescent="0.35">
      <c r="A91" s="22">
        <v>0.19988451147290909</v>
      </c>
      <c r="B91" s="22">
        <v>-0.86673695328864919</v>
      </c>
      <c r="C91" s="22">
        <v>5.9696070207531912E-2</v>
      </c>
      <c r="D91" s="22">
        <v>-0.5202185491582435</v>
      </c>
      <c r="E91" s="22">
        <v>-0.66001686735069753</v>
      </c>
      <c r="F91" s="22">
        <v>-0.31187328421970578</v>
      </c>
      <c r="G91" s="22">
        <v>-1.633663017499112</v>
      </c>
      <c r="H91" s="22">
        <v>1.3352389335639108</v>
      </c>
      <c r="I91" s="22">
        <v>-0.54677794108248312</v>
      </c>
      <c r="J91" s="22">
        <v>-0.86557587783609291</v>
      </c>
      <c r="K91" s="22">
        <v>0.4003402422184536</v>
      </c>
      <c r="L91" s="22">
        <v>7.7431712310249687E-2</v>
      </c>
      <c r="M91" s="22">
        <v>0.92556637265043418</v>
      </c>
      <c r="N91" s="22">
        <v>1.5220606478000989</v>
      </c>
      <c r="O91" s="22">
        <v>-0.69703800666740756</v>
      </c>
      <c r="P91" s="22">
        <v>-0.32881086311012775</v>
      </c>
      <c r="Q91" s="22">
        <v>-2.180002733801905</v>
      </c>
      <c r="R91" s="22">
        <v>-0.71039162557325519</v>
      </c>
      <c r="S91" s="22">
        <v>-0.93089716293596247</v>
      </c>
      <c r="T91" s="22">
        <v>0.20259944761535911</v>
      </c>
      <c r="U91" s="22">
        <v>1.7207514621224056</v>
      </c>
      <c r="V91" s="22">
        <v>-1.118242808297256</v>
      </c>
      <c r="W91" s="22">
        <v>0.15057195735899992</v>
      </c>
      <c r="X91" s="22">
        <v>-0.31263753166199681</v>
      </c>
    </row>
    <row r="92" spans="1:24" x14ac:dyDescent="0.35">
      <c r="A92" s="22">
        <v>0.40964823798656447</v>
      </c>
      <c r="B92" s="22">
        <v>0.44745444019765074</v>
      </c>
      <c r="C92" s="22">
        <v>0.34707738265633226</v>
      </c>
      <c r="D92" s="22">
        <v>0.46984116913949603</v>
      </c>
      <c r="E92" s="22">
        <v>1.1508555293749723</v>
      </c>
      <c r="F92" s="22">
        <v>0.93809449868813621</v>
      </c>
      <c r="G92" s="22">
        <v>-0.94782214849926039</v>
      </c>
      <c r="H92" s="22">
        <v>-0.38093895537675249</v>
      </c>
      <c r="I92" s="22">
        <v>-0.96088907346599628</v>
      </c>
      <c r="J92" s="22">
        <v>-7.4036315416656506E-3</v>
      </c>
      <c r="K92" s="22">
        <v>-0.78293279551488626</v>
      </c>
      <c r="L92" s="22">
        <v>0.14320517766606336</v>
      </c>
      <c r="M92" s="22">
        <v>0.42166894141637029</v>
      </c>
      <c r="N92" s="22">
        <v>-1.1445738639887175</v>
      </c>
      <c r="O92" s="22">
        <v>0.13241030349142094</v>
      </c>
      <c r="P92" s="22">
        <v>-0.2111255952582681</v>
      </c>
      <c r="Q92" s="22">
        <v>-0.66776251611146331</v>
      </c>
      <c r="R92" s="22">
        <v>-0.98027654888347215</v>
      </c>
      <c r="S92" s="22">
        <v>0.51812289994067373</v>
      </c>
      <c r="T92" s="22">
        <v>1.3295857249534975</v>
      </c>
      <c r="U92" s="22">
        <v>-8.174044279746509E-2</v>
      </c>
      <c r="V92" s="22">
        <v>1.529480617403552</v>
      </c>
      <c r="W92" s="22">
        <v>-0.30104772740420077</v>
      </c>
      <c r="X92" s="22">
        <v>1.6064971322979809</v>
      </c>
    </row>
    <row r="93" spans="1:24" x14ac:dyDescent="0.35">
      <c r="A93" s="22">
        <v>-1.2915823192515794</v>
      </c>
      <c r="B93" s="22">
        <v>-1.5884667881771775</v>
      </c>
      <c r="C93" s="22">
        <v>5.3874329078084038E-2</v>
      </c>
      <c r="D93" s="22">
        <v>1.0987991805318642</v>
      </c>
      <c r="E93" s="22">
        <v>-0.32720604850657325</v>
      </c>
      <c r="F93" s="22">
        <v>-0.30872829724383849</v>
      </c>
      <c r="G93" s="22">
        <v>1.1881971426724585</v>
      </c>
      <c r="H93" s="22">
        <v>-0.43312434353869939</v>
      </c>
      <c r="I93" s="22">
        <v>-0.30235021031133147</v>
      </c>
      <c r="J93" s="22">
        <v>0.55250502068930463</v>
      </c>
      <c r="K93" s="22">
        <v>-2.8983083520866312E-2</v>
      </c>
      <c r="L93" s="22">
        <v>-1.239820782153279</v>
      </c>
      <c r="M93" s="22">
        <v>0.1004906668712518</v>
      </c>
      <c r="N93" s="22">
        <v>1.1321935454226799</v>
      </c>
      <c r="O93" s="22">
        <v>0.13396433921232101</v>
      </c>
      <c r="P93" s="22">
        <v>0.91173096198017711</v>
      </c>
      <c r="Q93" s="22">
        <v>-0.1018610483633398</v>
      </c>
      <c r="R93" s="22">
        <v>0.20680472912442355</v>
      </c>
      <c r="S93" s="22">
        <v>8.8243277341725518E-2</v>
      </c>
      <c r="T93" s="22">
        <v>-1.044578890728594</v>
      </c>
      <c r="U93" s="22">
        <v>0.61280624505948811</v>
      </c>
      <c r="V93" s="22">
        <v>4.0904107752124996E-2</v>
      </c>
      <c r="W93" s="22">
        <v>2.7181103516887611E-2</v>
      </c>
      <c r="X93" s="22">
        <v>-1.3889651681109092E-2</v>
      </c>
    </row>
    <row r="94" spans="1:24" x14ac:dyDescent="0.35">
      <c r="A94" s="22">
        <v>-0.76268576275292777</v>
      </c>
      <c r="B94" s="22">
        <v>1.5036627807839089</v>
      </c>
      <c r="C94" s="22">
        <v>-2.2624273170454945</v>
      </c>
      <c r="D94" s="22">
        <v>0.48353508673817158</v>
      </c>
      <c r="E94" s="22">
        <v>-1.4895471808281158</v>
      </c>
      <c r="F94" s="22">
        <v>-1.6543662934149925</v>
      </c>
      <c r="G94" s="22">
        <v>-0.42667283312350734</v>
      </c>
      <c r="H94" s="22">
        <v>0.28106210216194688</v>
      </c>
      <c r="I94" s="22">
        <v>5.0131728792637935E-3</v>
      </c>
      <c r="J94" s="22">
        <v>-0.69907923993090748</v>
      </c>
      <c r="K94" s="22">
        <v>1.6103300091605761</v>
      </c>
      <c r="L94" s="22">
        <v>1.2960470376295048</v>
      </c>
      <c r="M94" s="22">
        <v>0.52185549852624891</v>
      </c>
      <c r="N94" s="22">
        <v>-0.43009990746094484</v>
      </c>
      <c r="O94" s="22">
        <v>1.5024617581214852</v>
      </c>
      <c r="P94" s="22">
        <v>-2.0390995696536174</v>
      </c>
      <c r="Q94" s="22">
        <v>-0.73215899793563655</v>
      </c>
      <c r="R94" s="22">
        <v>0.70404873538949375</v>
      </c>
      <c r="S94" s="22">
        <v>-0.85811016964841647</v>
      </c>
      <c r="T94" s="22">
        <v>0.36361969372669872</v>
      </c>
      <c r="U94" s="22">
        <v>-1.1045766814288713</v>
      </c>
      <c r="V94" s="22">
        <v>0.2326852593435968</v>
      </c>
      <c r="W94" s="22">
        <v>-0.41132087102820675</v>
      </c>
      <c r="X94" s="22">
        <v>0.47117191161038735</v>
      </c>
    </row>
    <row r="95" spans="1:24" x14ac:dyDescent="0.35">
      <c r="A95" s="22">
        <v>1.4059714894790412</v>
      </c>
      <c r="B95" s="22">
        <v>-1.0974724225995176</v>
      </c>
      <c r="C95" s="22">
        <v>1.1005361777761484</v>
      </c>
      <c r="D95" s="22">
        <v>0.44809914185646649</v>
      </c>
      <c r="E95" s="22">
        <v>0.7424396499148519</v>
      </c>
      <c r="F95" s="22">
        <v>1.3196171333769833</v>
      </c>
      <c r="G95" s="22">
        <v>1.537098529453979</v>
      </c>
      <c r="H95" s="22">
        <v>-0.13741909706575542</v>
      </c>
      <c r="I95" s="22">
        <v>0.53884383866340324</v>
      </c>
      <c r="J95" s="22">
        <v>0.72782186618621114</v>
      </c>
      <c r="K95" s="22">
        <v>1.0236832001795741</v>
      </c>
      <c r="L95" s="22">
        <v>-0.46625596260376873</v>
      </c>
      <c r="M95" s="22">
        <v>-0.10771852598499419</v>
      </c>
      <c r="N95" s="22">
        <v>-0.29096955358030219</v>
      </c>
      <c r="O95" s="22">
        <v>-0.32579163662581878</v>
      </c>
      <c r="P95" s="22">
        <v>0.63347456654048406</v>
      </c>
      <c r="Q95" s="22">
        <v>-0.33690679599531997</v>
      </c>
      <c r="R95" s="22">
        <v>-0.15273178487522487</v>
      </c>
      <c r="S95" s="22">
        <v>0.15394445404622786</v>
      </c>
      <c r="T95" s="22">
        <v>1.3725670611929084</v>
      </c>
      <c r="U95" s="22">
        <v>-6.8833492509434352E-2</v>
      </c>
      <c r="V95" s="22">
        <v>-1.8608646543725558</v>
      </c>
      <c r="W95" s="22">
        <v>-0.50223002366254033</v>
      </c>
      <c r="X95" s="22">
        <v>0.56345781563848563</v>
      </c>
    </row>
    <row r="96" spans="1:24" x14ac:dyDescent="0.35">
      <c r="A96" s="22">
        <v>1.8177718970116616</v>
      </c>
      <c r="B96" s="22">
        <v>-1.1525864343277246</v>
      </c>
      <c r="C96" s="22">
        <v>0.64762130867412482</v>
      </c>
      <c r="D96" s="22">
        <v>1.1373284084214341</v>
      </c>
      <c r="E96" s="22">
        <v>1.8231435294490796</v>
      </c>
      <c r="F96" s="22">
        <v>2.0255840171581925</v>
      </c>
      <c r="G96" s="22">
        <v>1.377816454890213</v>
      </c>
      <c r="H96" s="22">
        <v>0.4195311996420043</v>
      </c>
      <c r="I96" s="22">
        <v>-0.85594713187410909</v>
      </c>
      <c r="J96" s="22">
        <v>0.16703589278043685</v>
      </c>
      <c r="K96" s="22">
        <v>1.567307533143536</v>
      </c>
      <c r="L96" s="22">
        <v>-0.46188733605985999</v>
      </c>
      <c r="M96" s="22">
        <v>0.940415445250805</v>
      </c>
      <c r="N96" s="22">
        <v>0.75095017007171649</v>
      </c>
      <c r="O96" s="22">
        <v>-0.81016227406138863</v>
      </c>
      <c r="P96" s="22">
        <v>-0.30168576819695059</v>
      </c>
      <c r="Q96" s="22">
        <v>1.5255971932434944</v>
      </c>
      <c r="R96" s="22">
        <v>2.1061721069674782E-2</v>
      </c>
      <c r="S96" s="22">
        <v>0.4659640481649901</v>
      </c>
      <c r="T96" s="22">
        <v>0.37423373541104699</v>
      </c>
      <c r="U96" s="22">
        <v>0.62752190629447702</v>
      </c>
      <c r="V96" s="22">
        <v>-0.91967940040422824</v>
      </c>
      <c r="W96" s="22">
        <v>0.95306833830862936</v>
      </c>
      <c r="X96" s="22">
        <v>-1.2247543346401526</v>
      </c>
    </row>
    <row r="97" spans="1:24" x14ac:dyDescent="0.35">
      <c r="A97" s="22">
        <v>1.8471034687230008</v>
      </c>
      <c r="B97" s="22">
        <v>-1.8201026514036662</v>
      </c>
      <c r="C97" s="22">
        <v>1.6105690881482668</v>
      </c>
      <c r="D97" s="22">
        <v>0.95917386161118257</v>
      </c>
      <c r="E97" s="22">
        <v>-0.19734437324356152</v>
      </c>
      <c r="F97" s="22">
        <v>-0.20464699962166435</v>
      </c>
      <c r="G97" s="22">
        <v>-0.66045713510095272</v>
      </c>
      <c r="H97" s="22">
        <v>-1.0326804509400311</v>
      </c>
      <c r="I97" s="22">
        <v>-0.61056789043055193</v>
      </c>
      <c r="J97" s="22">
        <v>-0.53857036919934209</v>
      </c>
      <c r="K97" s="22">
        <v>1.454092251503484</v>
      </c>
      <c r="L97" s="22">
        <v>-0.38480550591035478</v>
      </c>
      <c r="M97" s="22">
        <v>-0.2148163832469199</v>
      </c>
      <c r="N97" s="22">
        <v>-1.9361514094395216</v>
      </c>
      <c r="O97" s="22">
        <v>-1.2636550354688094</v>
      </c>
      <c r="P97" s="22">
        <v>-0.16399893054105061</v>
      </c>
      <c r="Q97" s="22">
        <v>-1.083025757815951</v>
      </c>
      <c r="R97" s="22">
        <v>0.37875980079781391</v>
      </c>
      <c r="S97" s="22">
        <v>-0.21477872147866117</v>
      </c>
      <c r="T97" s="22">
        <v>0.96148357695980802</v>
      </c>
      <c r="U97" s="22">
        <v>6.0198950746747732E-3</v>
      </c>
      <c r="V97" s="22">
        <v>-0.30226152392675015</v>
      </c>
      <c r="W97" s="22">
        <v>1.2385913850585817</v>
      </c>
      <c r="X97" s="22">
        <v>1.1418569230575566</v>
      </c>
    </row>
    <row r="98" spans="1:24" x14ac:dyDescent="0.35">
      <c r="A98" s="22">
        <v>-1.6988941364345607</v>
      </c>
      <c r="B98" s="22">
        <v>0.27234365591856025</v>
      </c>
      <c r="C98" s="22">
        <v>0.93753032171686135</v>
      </c>
      <c r="D98" s="22">
        <v>-0.27258699400392711</v>
      </c>
      <c r="E98" s="22">
        <v>-2.8585266877355222</v>
      </c>
      <c r="F98" s="22">
        <v>-1.4868260221324261</v>
      </c>
      <c r="G98" s="22">
        <v>-0.33069459640579385</v>
      </c>
      <c r="H98" s="22">
        <v>0.73142516563482385</v>
      </c>
      <c r="I98" s="22">
        <v>-1.2839797652346945</v>
      </c>
      <c r="J98" s="22">
        <v>0.86927214227696703</v>
      </c>
      <c r="K98" s="22">
        <v>-1.3713118651002487</v>
      </c>
      <c r="L98" s="22">
        <v>1.2742881486322828</v>
      </c>
      <c r="M98" s="22">
        <v>0.24281401527640187</v>
      </c>
      <c r="N98" s="22">
        <v>0.15505944853290676</v>
      </c>
      <c r="O98" s="22">
        <v>-1.0635605104607655</v>
      </c>
      <c r="P98" s="22">
        <v>-1.4377267559516071</v>
      </c>
      <c r="Q98" s="22">
        <v>-0.46700453665537345</v>
      </c>
      <c r="R98" s="22">
        <v>-1.328670853592381</v>
      </c>
      <c r="S98" s="22">
        <v>1.2627084894815621</v>
      </c>
      <c r="T98" s="22">
        <v>1.5302420296388883</v>
      </c>
      <c r="U98" s="22">
        <v>1.8757365601388694</v>
      </c>
      <c r="V98" s="22">
        <v>1.2432331310141118</v>
      </c>
      <c r="W98" s="22">
        <v>-0.39093807289528354</v>
      </c>
      <c r="X98" s="22">
        <v>-0.19192880956655287</v>
      </c>
    </row>
    <row r="99" spans="1:24" x14ac:dyDescent="0.35">
      <c r="A99" s="22">
        <v>-0.67155920547717529</v>
      </c>
      <c r="B99" s="22">
        <v>-0.29171048596964777</v>
      </c>
      <c r="C99" s="22">
        <v>-1.7797683258306753E-2</v>
      </c>
      <c r="D99" s="22">
        <v>0.76639819691186584</v>
      </c>
      <c r="E99" s="22">
        <v>-5.5881677391882746E-2</v>
      </c>
      <c r="F99" s="22">
        <v>0.63653952851205964</v>
      </c>
      <c r="G99" s="22">
        <v>1.2160996156951192</v>
      </c>
      <c r="H99" s="22">
        <v>1.3849328107925549</v>
      </c>
      <c r="I99" s="22">
        <v>-0.35585391721456594</v>
      </c>
      <c r="J99" s="22">
        <v>-0.57141086291414656</v>
      </c>
      <c r="K99" s="22">
        <v>1.6859919533931653</v>
      </c>
      <c r="L99" s="22">
        <v>-0.43357792125811756</v>
      </c>
      <c r="M99" s="22">
        <v>-3.2809108679781891E-3</v>
      </c>
      <c r="N99" s="22">
        <v>0.35611931195954299</v>
      </c>
      <c r="O99" s="22">
        <v>-0.64725062587201576</v>
      </c>
      <c r="P99" s="22">
        <v>-1.6115687271088808</v>
      </c>
      <c r="Q99" s="22">
        <v>-6.7348448276081344E-2</v>
      </c>
      <c r="R99" s="22">
        <v>-1.1633932566122489</v>
      </c>
      <c r="S99" s="22">
        <v>1.0809721730419886</v>
      </c>
      <c r="T99" s="22">
        <v>-0.73078677147662663</v>
      </c>
      <c r="U99" s="22">
        <v>-2.7794977304130817</v>
      </c>
      <c r="V99" s="22">
        <v>0.55271558851593938</v>
      </c>
      <c r="W99" s="22">
        <v>-0.70330330688104625</v>
      </c>
      <c r="X99" s="22">
        <v>-0.87942756873438577</v>
      </c>
    </row>
    <row r="100" spans="1:24" x14ac:dyDescent="0.35">
      <c r="A100" s="22">
        <v>-1.0403070500674361</v>
      </c>
      <c r="B100" s="22">
        <v>1.1252219650095054</v>
      </c>
      <c r="C100" s="22">
        <v>-0.48504817955631713</v>
      </c>
      <c r="D100" s="22">
        <v>-2.4760188642944183E-2</v>
      </c>
      <c r="E100" s="22">
        <v>0.19424640136955382</v>
      </c>
      <c r="F100" s="22">
        <v>-0.15404354095107203</v>
      </c>
      <c r="G100" s="22">
        <v>0.13516666485915205</v>
      </c>
      <c r="H100" s="22">
        <v>-1.51690737980872</v>
      </c>
      <c r="I100" s="22">
        <v>-1.0236983840169327</v>
      </c>
      <c r="J100" s="22">
        <v>-2.3920441325933011</v>
      </c>
      <c r="K100" s="22">
        <v>-1.0925297972407773E-2</v>
      </c>
      <c r="L100" s="22">
        <v>0.68141247496484425</v>
      </c>
      <c r="M100" s="22">
        <v>0.48965141696647096</v>
      </c>
      <c r="N100" s="22">
        <v>0.49245899235949708</v>
      </c>
      <c r="O100" s="22">
        <v>-1.672465752786114</v>
      </c>
      <c r="P100" s="22">
        <v>1.9017312988688393</v>
      </c>
      <c r="Q100" s="22">
        <v>2.3434571454991674E-2</v>
      </c>
      <c r="R100" s="22">
        <v>-0.17648608569277038</v>
      </c>
      <c r="S100" s="22">
        <v>-0.83901007220194679</v>
      </c>
      <c r="T100" s="22">
        <v>1.1255741222341116</v>
      </c>
      <c r="U100" s="22">
        <v>-0.57686521108136246</v>
      </c>
      <c r="V100" s="22">
        <v>0.26663693271223704</v>
      </c>
      <c r="W100" s="22">
        <v>0.32736240401729277</v>
      </c>
      <c r="X100" s="22">
        <v>9.5785081704103936E-2</v>
      </c>
    </row>
    <row r="101" spans="1:24" x14ac:dyDescent="0.35">
      <c r="A101" s="22">
        <v>1.2433020614780383</v>
      </c>
      <c r="B101" s="22">
        <v>-2.0855187756463125</v>
      </c>
      <c r="C101" s="22">
        <v>0.296851542472575</v>
      </c>
      <c r="D101" s="22">
        <v>0.54167559742896876</v>
      </c>
      <c r="E101" s="22">
        <v>0.57518944990276422</v>
      </c>
      <c r="F101" s="22">
        <v>-2.2862160476590718</v>
      </c>
      <c r="G101" s="22">
        <v>-0.52120088163249478</v>
      </c>
      <c r="H101" s="22">
        <v>-1.0665253699009218</v>
      </c>
      <c r="I101" s="22">
        <v>-0.3092975475779024</v>
      </c>
      <c r="J101" s="22">
        <v>-7.1937528007928991E-2</v>
      </c>
      <c r="K101" s="22">
        <v>1.0186406021856571</v>
      </c>
      <c r="L101" s="22">
        <v>0.36660733806257562</v>
      </c>
      <c r="M101" s="22">
        <v>1.2285840125093854</v>
      </c>
      <c r="N101" s="22">
        <v>-0.56771087726027647</v>
      </c>
      <c r="O101" s="22">
        <v>-0.38802976623959118</v>
      </c>
      <c r="P101" s="22">
        <v>-0.15191416897344093</v>
      </c>
      <c r="Q101" s="22">
        <v>0.44248189724300691</v>
      </c>
      <c r="R101" s="22">
        <v>-0.6185887218439915</v>
      </c>
      <c r="S101" s="22">
        <v>-0.96609237115631541</v>
      </c>
      <c r="T101" s="22">
        <v>0.94018239939847681</v>
      </c>
      <c r="U101" s="22">
        <v>1.4359494375754416</v>
      </c>
      <c r="V101" s="22">
        <v>-2.1842205844187843</v>
      </c>
      <c r="W101" s="22">
        <v>0.56536397206136957</v>
      </c>
      <c r="X101" s="22">
        <v>0.22242490855728234</v>
      </c>
    </row>
    <row r="102" spans="1:24" x14ac:dyDescent="0.35">
      <c r="A102" s="22">
        <v>-0.8575229036512042</v>
      </c>
      <c r="B102" s="22">
        <v>3.1420607393640072</v>
      </c>
      <c r="C102" s="22">
        <v>1.0591053888972355</v>
      </c>
      <c r="D102" s="22">
        <v>-1.4008588842322049</v>
      </c>
      <c r="E102" s="22">
        <v>1.3210582506639523</v>
      </c>
      <c r="F102" s="22">
        <v>-0.22411998372825609</v>
      </c>
      <c r="G102" s="22">
        <v>1.3902551980948428</v>
      </c>
      <c r="H102" s="22">
        <v>0.44712180138491808</v>
      </c>
      <c r="I102" s="22">
        <v>0.56223407415595439</v>
      </c>
      <c r="J102" s="22">
        <v>-1.9473161379903885</v>
      </c>
      <c r="K102" s="22">
        <v>-0.56683202667723598</v>
      </c>
      <c r="L102" s="22">
        <v>-0.84452678435369888</v>
      </c>
      <c r="M102" s="22">
        <v>-0.3168958797307298</v>
      </c>
      <c r="N102" s="22">
        <v>-1.2522797762948719</v>
      </c>
      <c r="O102" s="22">
        <v>0.27956086056881752</v>
      </c>
      <c r="P102" s="22">
        <v>0.56020280288345414</v>
      </c>
      <c r="Q102" s="22">
        <v>-0.98310581669997088</v>
      </c>
      <c r="R102" s="22">
        <v>-0.31418927091868798</v>
      </c>
      <c r="S102" s="22">
        <v>-1.6287731007428854</v>
      </c>
      <c r="T102" s="22">
        <v>-2.0072091184959253E-2</v>
      </c>
      <c r="U102" s="22">
        <v>-0.65348344441728889</v>
      </c>
      <c r="V102" s="22">
        <v>0.26812886629872901</v>
      </c>
      <c r="W102" s="22">
        <v>-0.5027330634952577</v>
      </c>
      <c r="X102" s="22">
        <v>-0.86148749144320313</v>
      </c>
    </row>
    <row r="103" spans="1:24" x14ac:dyDescent="0.35">
      <c r="A103" s="22">
        <v>0.14053898235661214</v>
      </c>
      <c r="B103" s="22">
        <v>-0.16755531017379061</v>
      </c>
      <c r="C103" s="22">
        <v>-1.3009850122935245</v>
      </c>
      <c r="D103" s="22">
        <v>-0.55065673994571229</v>
      </c>
      <c r="E103" s="22">
        <v>-1.9041882414738387</v>
      </c>
      <c r="F103" s="22">
        <v>0.55125127546280139</v>
      </c>
      <c r="G103" s="22">
        <v>-1.8321793067476362</v>
      </c>
      <c r="H103" s="22">
        <v>0.19529393401963616</v>
      </c>
      <c r="I103" s="22">
        <v>-1.722883632232872</v>
      </c>
      <c r="J103" s="22">
        <v>3.4117786675803626E-2</v>
      </c>
      <c r="K103" s="22">
        <v>1.0861330665644859</v>
      </c>
      <c r="L103" s="22">
        <v>-1.0446799260719173</v>
      </c>
      <c r="M103" s="22">
        <v>0.46311807407327371</v>
      </c>
      <c r="N103" s="22">
        <v>0.84860093930545966</v>
      </c>
      <c r="O103" s="22">
        <v>-0.49684886350906565</v>
      </c>
      <c r="P103" s="22">
        <v>-0.18076071205119865</v>
      </c>
      <c r="Q103" s="22">
        <v>-1.3910258262674404</v>
      </c>
      <c r="R103" s="22">
        <v>0.11186841354613794</v>
      </c>
      <c r="S103" s="22">
        <v>1.0516482712772681</v>
      </c>
      <c r="T103" s="22">
        <v>-0.85466933126318689</v>
      </c>
      <c r="U103" s="22">
        <v>1.9837626838638871</v>
      </c>
      <c r="V103" s="22">
        <v>0.60945132565697757</v>
      </c>
      <c r="W103" s="22">
        <v>-1.3313114148598018</v>
      </c>
      <c r="X103" s="22">
        <v>-2.369915333776035</v>
      </c>
    </row>
    <row r="104" spans="1:24" x14ac:dyDescent="0.35">
      <c r="A104" s="22">
        <v>0.13441157966193365</v>
      </c>
      <c r="B104" s="22">
        <v>1.1413645520432614</v>
      </c>
      <c r="C104" s="22">
        <v>-1.0362495230381761</v>
      </c>
      <c r="D104" s="22">
        <v>0.51013891126494992</v>
      </c>
      <c r="E104" s="22">
        <v>1.1268845209639464</v>
      </c>
      <c r="F104" s="22">
        <v>-0.62480379754249649</v>
      </c>
      <c r="G104" s="22">
        <v>-0.33997303527415546</v>
      </c>
      <c r="H104" s="22">
        <v>1.1814915473403216</v>
      </c>
      <c r="I104" s="22">
        <v>0.17788540160950672</v>
      </c>
      <c r="J104" s="22">
        <v>0.62421219854466425</v>
      </c>
      <c r="K104" s="22">
        <v>-0.63341672264483606</v>
      </c>
      <c r="L104" s="22">
        <v>-0.92832956757906737</v>
      </c>
      <c r="M104" s="22">
        <v>1.4666363780895015</v>
      </c>
      <c r="N104" s="22">
        <v>-1.230610821001062</v>
      </c>
      <c r="O104" s="22">
        <v>-0.60119656222914875</v>
      </c>
      <c r="P104" s="22">
        <v>0.48627017556129654</v>
      </c>
      <c r="Q104" s="22">
        <v>-0.38886143236912035</v>
      </c>
      <c r="R104" s="22">
        <v>-1.0356324220382565</v>
      </c>
      <c r="S104" s="22">
        <v>-2.1933204379113316</v>
      </c>
      <c r="T104" s="22">
        <v>-8.8869634645987444E-3</v>
      </c>
      <c r="U104" s="22">
        <v>0.16245505174401931</v>
      </c>
      <c r="V104" s="22">
        <v>2.3497953743767359E-2</v>
      </c>
      <c r="W104" s="22">
        <v>2.3001611619204119</v>
      </c>
      <c r="X104" s="22">
        <v>0.44107596637447094</v>
      </c>
    </row>
    <row r="105" spans="1:24" x14ac:dyDescent="0.35">
      <c r="A105" s="22">
        <v>0.27809531192760834</v>
      </c>
      <c r="B105" s="22">
        <v>-8.790268773933399E-2</v>
      </c>
      <c r="C105" s="22">
        <v>-0.50465080458073064</v>
      </c>
      <c r="D105" s="22">
        <v>-1.2453255196178921</v>
      </c>
      <c r="E105" s="22">
        <v>0.31811417733568398</v>
      </c>
      <c r="F105" s="22">
        <v>1.8986433552475779</v>
      </c>
      <c r="G105" s="22">
        <v>1.4757253930071983</v>
      </c>
      <c r="H105" s="22">
        <v>1.1349826435626316</v>
      </c>
      <c r="I105" s="22">
        <v>-0.39940342927132527</v>
      </c>
      <c r="J105" s="22">
        <v>1.7345474252527051</v>
      </c>
      <c r="K105" s="22">
        <v>1.1970451218972102</v>
      </c>
      <c r="L105" s="22">
        <v>0.99811553479765591</v>
      </c>
      <c r="M105" s="22">
        <v>0.18011206441045477</v>
      </c>
      <c r="N105" s="22">
        <v>0.84174705688090168</v>
      </c>
      <c r="O105" s="22">
        <v>0.87564308426159321</v>
      </c>
      <c r="P105" s="22">
        <v>0.10912125816872427</v>
      </c>
      <c r="Q105" s="22">
        <v>-0.60517626934709512</v>
      </c>
      <c r="R105" s="22">
        <v>-1.1446582424678613</v>
      </c>
      <c r="S105" s="22">
        <v>0.44427922056891911</v>
      </c>
      <c r="T105" s="22">
        <v>-1.794329916525035</v>
      </c>
      <c r="U105" s="22">
        <v>0.20365441763768347</v>
      </c>
      <c r="V105" s="22">
        <v>0.68292738280419674</v>
      </c>
      <c r="W105" s="22">
        <v>2.0132897344858791</v>
      </c>
      <c r="X105" s="22">
        <v>-7.5787886844561184E-2</v>
      </c>
    </row>
    <row r="106" spans="1:24" x14ac:dyDescent="0.35">
      <c r="A106" s="22">
        <v>1.5122778623052788</v>
      </c>
      <c r="B106" s="22">
        <v>0.50779319683782764</v>
      </c>
      <c r="C106" s="22">
        <v>-0.26692096651949287</v>
      </c>
      <c r="D106" s="22">
        <v>-1.2250179409074489</v>
      </c>
      <c r="E106" s="22">
        <v>-5.1024697909920834E-2</v>
      </c>
      <c r="F106" s="22">
        <v>-0.88960460865070712</v>
      </c>
      <c r="G106" s="22">
        <v>-2.4446798473040041</v>
      </c>
      <c r="H106" s="22">
        <v>-0.56488861388320188</v>
      </c>
      <c r="I106" s="22">
        <v>-0.63609732027145205</v>
      </c>
      <c r="J106" s="22">
        <v>-0.78134322662719924</v>
      </c>
      <c r="K106" s="22">
        <v>-0.65667780581692103</v>
      </c>
      <c r="L106" s="22">
        <v>0.45459715895036618</v>
      </c>
      <c r="M106" s="22">
        <v>-0.77764989206136537</v>
      </c>
      <c r="N106" s="22">
        <v>-2.1313369277691203</v>
      </c>
      <c r="O106" s="22">
        <v>2.6785830376420852</v>
      </c>
      <c r="P106" s="22">
        <v>-6.5963361748804947E-2</v>
      </c>
      <c r="Q106" s="22">
        <v>-0.5238047346738125</v>
      </c>
      <c r="R106" s="22">
        <v>-0.19706155360469926</v>
      </c>
      <c r="S106" s="22">
        <v>0.57153887512788915</v>
      </c>
      <c r="T106" s="22">
        <v>0.46927655787485939</v>
      </c>
      <c r="U106" s="22">
        <v>0.86232202728974372</v>
      </c>
      <c r="V106" s="22">
        <v>1.6428696946267956</v>
      </c>
      <c r="W106" s="22">
        <v>-0.5362196543687785</v>
      </c>
      <c r="X106" s="22">
        <v>-0.63275926646242064</v>
      </c>
    </row>
    <row r="107" spans="1:24" x14ac:dyDescent="0.35">
      <c r="A107" s="22">
        <v>0.16405152206155318</v>
      </c>
      <c r="B107" s="22">
        <v>-0.27313599643863479</v>
      </c>
      <c r="C107" s="22">
        <v>2.0637509196230943</v>
      </c>
      <c r="D107" s="22">
        <v>-0.6895065404774573</v>
      </c>
      <c r="E107" s="22">
        <v>0.92661195644942151</v>
      </c>
      <c r="F107" s="22">
        <v>1.5076883490657946</v>
      </c>
      <c r="G107" s="22">
        <v>5.4239821540976986E-2</v>
      </c>
      <c r="H107" s="22">
        <v>2.0398476869359561</v>
      </c>
      <c r="I107" s="22">
        <v>0.39183268517675024</v>
      </c>
      <c r="J107" s="22">
        <v>-0.29689507468367482</v>
      </c>
      <c r="K107" s="22">
        <v>0.38866613690055352</v>
      </c>
      <c r="L107" s="22">
        <v>-0.64187202374269636</v>
      </c>
      <c r="M107" s="22">
        <v>0.87889632673408502</v>
      </c>
      <c r="N107" s="22">
        <v>-0.96140842043666019</v>
      </c>
      <c r="O107" s="22">
        <v>0.74082761104123829</v>
      </c>
      <c r="P107" s="22">
        <v>-0.9581306068725387</v>
      </c>
      <c r="Q107" s="22">
        <v>-0.43720787852969184</v>
      </c>
      <c r="R107" s="22">
        <v>-1.0094941458643696</v>
      </c>
      <c r="S107" s="22">
        <v>1.0164894905095847</v>
      </c>
      <c r="T107" s="22">
        <v>0.6484091925057649</v>
      </c>
      <c r="U107" s="22">
        <v>-0.57822656597604838</v>
      </c>
      <c r="V107" s="22">
        <v>0.14230152700413165</v>
      </c>
      <c r="W107" s="22">
        <v>-1.9451439786259068</v>
      </c>
      <c r="X107" s="22">
        <v>-1.4406203358632306</v>
      </c>
    </row>
    <row r="108" spans="1:24" x14ac:dyDescent="0.35">
      <c r="A108" s="22">
        <v>-1.308132611519546</v>
      </c>
      <c r="B108" s="22">
        <v>1.3385705365370699</v>
      </c>
      <c r="C108" s="22">
        <v>-0.96885408790883709</v>
      </c>
      <c r="D108" s="22">
        <v>-0.96570549976396203</v>
      </c>
      <c r="E108" s="22">
        <v>0.55739662814625335</v>
      </c>
      <c r="F108" s="22">
        <v>1.0440876255667755</v>
      </c>
      <c r="G108" s="22">
        <v>2.3366284131156996</v>
      </c>
      <c r="H108" s="22">
        <v>0.85486180461124561</v>
      </c>
      <c r="I108" s="22">
        <v>-0.42567719665198445</v>
      </c>
      <c r="J108" s="22">
        <v>4.0831838088541059E-3</v>
      </c>
      <c r="K108" s="22">
        <v>0.82780086191680646</v>
      </c>
      <c r="L108" s="22">
        <v>-1.9347373469155749</v>
      </c>
      <c r="M108" s="22">
        <v>-1.5414869120252668</v>
      </c>
      <c r="N108" s="22">
        <v>0.28461412386602247</v>
      </c>
      <c r="O108" s="22">
        <v>-0.61590418279426407</v>
      </c>
      <c r="P108" s="22">
        <v>-1.1745268640365278</v>
      </c>
      <c r="Q108" s="22">
        <v>-0.56745083079015368</v>
      </c>
      <c r="R108" s="22">
        <v>-0.28339818763448532</v>
      </c>
      <c r="S108" s="22">
        <v>-0.81202200508411981</v>
      </c>
      <c r="T108" s="22">
        <v>0.45254885074523737</v>
      </c>
      <c r="U108" s="22">
        <v>-0.35399693446932062</v>
      </c>
      <c r="V108" s="22">
        <v>9.521324696438448E-3</v>
      </c>
      <c r="W108" s="22">
        <v>-0.8325158118896594</v>
      </c>
      <c r="X108" s="22">
        <v>0.882017436957243</v>
      </c>
    </row>
    <row r="109" spans="1:24" x14ac:dyDescent="0.35">
      <c r="A109" s="22">
        <v>0.8475277090633192</v>
      </c>
      <c r="B109" s="22">
        <v>0.67928353286296628</v>
      </c>
      <c r="C109" s="22">
        <v>-2.9729743621344307</v>
      </c>
      <c r="D109" s="22">
        <v>0.87455630237744231</v>
      </c>
      <c r="E109" s="22">
        <v>0.78883678355146036</v>
      </c>
      <c r="F109" s="22">
        <v>0.84630705245387883</v>
      </c>
      <c r="G109" s="22">
        <v>3.4513753485931144E-2</v>
      </c>
      <c r="H109" s="22">
        <v>-9.5936378104530151E-2</v>
      </c>
      <c r="I109" s="22">
        <v>-1.0969266732061993</v>
      </c>
      <c r="J109" s="22">
        <v>0.80553214938892992</v>
      </c>
      <c r="K109" s="22">
        <v>-1.2138342763827761</v>
      </c>
      <c r="L109" s="22">
        <v>3.8979010468641766E-2</v>
      </c>
      <c r="M109" s="22">
        <v>1.7244930946879791</v>
      </c>
      <c r="N109" s="22">
        <v>1.5812838740202031</v>
      </c>
      <c r="O109" s="22">
        <v>-0.54091200975475229</v>
      </c>
      <c r="P109" s="22">
        <v>1.1012538548486419</v>
      </c>
      <c r="Q109" s="22">
        <v>0.70888837252695591</v>
      </c>
      <c r="R109" s="22">
        <v>-1.3326701042083766</v>
      </c>
      <c r="S109" s="22">
        <v>-0.54588836273630059</v>
      </c>
      <c r="T109" s="22">
        <v>0.58705068669532423</v>
      </c>
      <c r="U109" s="22">
        <v>-2.6881578588116118E-2</v>
      </c>
      <c r="V109" s="22">
        <v>-0.69486610975544327</v>
      </c>
      <c r="W109" s="22">
        <v>1.3339834378500981</v>
      </c>
      <c r="X109" s="22">
        <v>-0.83027399670416857</v>
      </c>
    </row>
    <row r="110" spans="1:24" x14ac:dyDescent="0.35">
      <c r="A110" s="22">
        <v>-6.3043213895363256E-2</v>
      </c>
      <c r="B110" s="22">
        <v>2.2248254852796943</v>
      </c>
      <c r="C110" s="22">
        <v>1.1342523124443151</v>
      </c>
      <c r="D110" s="22">
        <v>0.4286672777081757</v>
      </c>
      <c r="E110" s="22">
        <v>1.0661753490409993</v>
      </c>
      <c r="F110" s="22">
        <v>-0.83843271285122167</v>
      </c>
      <c r="G110" s="22">
        <v>-0.62840728605384633</v>
      </c>
      <c r="H110" s="22">
        <v>-0.16761459293114869</v>
      </c>
      <c r="I110" s="22">
        <v>-1.2097529882058553</v>
      </c>
      <c r="J110" s="22">
        <v>-0.80221391123218078</v>
      </c>
      <c r="K110" s="22">
        <v>1.4034433220898082</v>
      </c>
      <c r="L110" s="22">
        <v>-0.69686963037356986</v>
      </c>
      <c r="M110" s="22">
        <v>1.3538263460242896</v>
      </c>
      <c r="N110" s="22">
        <v>1.9212727559900953</v>
      </c>
      <c r="O110" s="22">
        <v>0.15972926094300843</v>
      </c>
      <c r="P110" s="22">
        <v>-0.73859362371637582</v>
      </c>
      <c r="Q110" s="22">
        <v>-8.890543516657903E-3</v>
      </c>
      <c r="R110" s="22">
        <v>-0.30910655992710423</v>
      </c>
      <c r="S110" s="22">
        <v>1.2713626600984482</v>
      </c>
      <c r="T110" s="22">
        <v>0.58497911905765176</v>
      </c>
      <c r="U110" s="22">
        <v>0.74011541291223326</v>
      </c>
      <c r="V110" s="22">
        <v>-1.5480850100924852</v>
      </c>
      <c r="W110" s="22">
        <v>5.0779618303564061E-2</v>
      </c>
      <c r="X110" s="22">
        <v>-0.78062903912723691</v>
      </c>
    </row>
    <row r="111" spans="1:24" x14ac:dyDescent="0.35">
      <c r="A111" s="22">
        <v>-2.011345275925891</v>
      </c>
      <c r="B111" s="22">
        <v>-0.78890983842424278</v>
      </c>
      <c r="C111" s="22">
        <v>-0.83411328495392489</v>
      </c>
      <c r="D111" s="22">
        <v>0.72250798336962718</v>
      </c>
      <c r="E111" s="22">
        <v>0.50287982409245846</v>
      </c>
      <c r="F111" s="22">
        <v>0.95610034056880444</v>
      </c>
      <c r="G111" s="22">
        <v>-0.44282744172361294</v>
      </c>
      <c r="H111" s="22">
        <v>-0.36279096886054601</v>
      </c>
      <c r="I111" s="22">
        <v>0.11448251456365283</v>
      </c>
      <c r="J111" s="22">
        <v>0.52816924758266681</v>
      </c>
      <c r="K111" s="22">
        <v>2.0408347844531671</v>
      </c>
      <c r="L111" s="22">
        <v>9.9806526123751141E-2</v>
      </c>
      <c r="M111" s="22">
        <v>-1.1664963941552411</v>
      </c>
      <c r="N111" s="22">
        <v>0.62505925163326459</v>
      </c>
      <c r="O111" s="22">
        <v>-0.17590751680186045</v>
      </c>
      <c r="P111" s="22">
        <v>0.52946682784905441</v>
      </c>
      <c r="Q111" s="22">
        <v>-0.66063675662367893</v>
      </c>
      <c r="R111" s="22">
        <v>1.3567236334224002</v>
      </c>
      <c r="S111" s="22">
        <v>-0.69515095224416013</v>
      </c>
      <c r="T111" s="22">
        <v>-2.0867319394214463</v>
      </c>
      <c r="U111" s="22">
        <v>1.1741865361708039</v>
      </c>
      <c r="V111" s="22">
        <v>1.3126428574330047</v>
      </c>
      <c r="W111" s="22">
        <v>-0.55739166851922517</v>
      </c>
      <c r="X111" s="22">
        <v>0.45945252430872868</v>
      </c>
    </row>
    <row r="112" spans="1:24" x14ac:dyDescent="0.35">
      <c r="A112" s="22">
        <v>-2.5797725865978182E-2</v>
      </c>
      <c r="B112" s="22">
        <v>0.54941006327359221</v>
      </c>
      <c r="C112" s="22">
        <v>-1.3119116802271504</v>
      </c>
      <c r="D112" s="22">
        <v>1.7556767820882617</v>
      </c>
      <c r="E112" s="22">
        <v>0.79052251857978983</v>
      </c>
      <c r="F112" s="22">
        <v>-0.67657943551323385</v>
      </c>
      <c r="G112" s="22">
        <v>-1.1083689729636703</v>
      </c>
      <c r="H112" s="22">
        <v>-7.4586125328159794E-2</v>
      </c>
      <c r="I112" s="22">
        <v>0.37809419790631627</v>
      </c>
      <c r="J112" s="22">
        <v>-0.73001358127599203</v>
      </c>
      <c r="K112" s="22">
        <v>-2.785842669763809</v>
      </c>
      <c r="L112" s="22">
        <v>-0.1807493195689803</v>
      </c>
      <c r="M112" s="22">
        <v>0.89439477575988857</v>
      </c>
      <c r="N112" s="22">
        <v>1.6215279959937137</v>
      </c>
      <c r="O112" s="22">
        <v>1.2987987772881311</v>
      </c>
      <c r="P112" s="22">
        <v>-2.0452985120355129</v>
      </c>
      <c r="Q112" s="22">
        <v>-9.6632248445514074E-2</v>
      </c>
      <c r="R112" s="22">
        <v>-2.1686560380678541</v>
      </c>
      <c r="S112" s="22">
        <v>-0.81482731081771831</v>
      </c>
      <c r="T112" s="22">
        <v>0.12883120640780132</v>
      </c>
      <c r="U112" s="22">
        <v>-1.49460877660897</v>
      </c>
      <c r="V112" s="22">
        <v>-1.1608815648048401</v>
      </c>
      <c r="W112" s="22">
        <v>-0.64498848657229291</v>
      </c>
      <c r="X112" s="22">
        <v>0.91139982963582988</v>
      </c>
    </row>
    <row r="113" spans="1:24" x14ac:dyDescent="0.35">
      <c r="A113" s="22">
        <v>1.347755957346827</v>
      </c>
      <c r="B113" s="22">
        <v>1.1209910170935748</v>
      </c>
      <c r="C113" s="22">
        <v>0.72627914776623448</v>
      </c>
      <c r="D113" s="22">
        <v>-2.6452971484534134E-2</v>
      </c>
      <c r="E113" s="22">
        <v>-8.6221957541878613E-2</v>
      </c>
      <c r="F113" s="22">
        <v>-0.12125169461991644</v>
      </c>
      <c r="G113" s="22">
        <v>1.0452448837270019</v>
      </c>
      <c r="H113" s="22">
        <v>-1.7742539381999332</v>
      </c>
      <c r="I113" s="22">
        <v>0.75276351397980057</v>
      </c>
      <c r="J113" s="22">
        <v>-1.980704128166779</v>
      </c>
      <c r="K113" s="22">
        <v>-0.29763175436853273</v>
      </c>
      <c r="L113" s="22">
        <v>0.1582216143282317</v>
      </c>
      <c r="M113" s="22">
        <v>0.15821422856328399</v>
      </c>
      <c r="N113" s="22">
        <v>-0.73371477007172237</v>
      </c>
      <c r="O113" s="22">
        <v>-0.34651643454172576</v>
      </c>
      <c r="P113" s="22">
        <v>-2.0849307019675991</v>
      </c>
      <c r="Q113" s="22">
        <v>-0.57055899458808712</v>
      </c>
      <c r="R113" s="22">
        <v>-0.75569115320585056</v>
      </c>
      <c r="S113" s="22">
        <v>-1.0366206332752226</v>
      </c>
      <c r="T113" s="22">
        <v>0.43823183358583279</v>
      </c>
      <c r="U113" s="22">
        <v>-1.0844445559936478</v>
      </c>
      <c r="V113" s="22">
        <v>-1.6914310853676053</v>
      </c>
      <c r="W113" s="22">
        <v>0.9337376923827434</v>
      </c>
      <c r="X113" s="22">
        <v>-0.78656584222668158</v>
      </c>
    </row>
    <row r="114" spans="1:24" x14ac:dyDescent="0.35">
      <c r="A114" s="22">
        <v>0.95898410713307192</v>
      </c>
      <c r="B114" s="22">
        <v>-1.123151494096269</v>
      </c>
      <c r="C114" s="22">
        <v>0.96685262317252241</v>
      </c>
      <c r="D114" s="22">
        <v>0.83900597665634358</v>
      </c>
      <c r="E114" s="22">
        <v>0.29632192768333321</v>
      </c>
      <c r="F114" s="22">
        <v>-0.14613952008824857</v>
      </c>
      <c r="G114" s="22">
        <v>1.19045688179593</v>
      </c>
      <c r="H114" s="22">
        <v>4.6444059098873183E-2</v>
      </c>
      <c r="I114" s="22">
        <v>-0.64666431763115029</v>
      </c>
      <c r="J114" s="22">
        <v>-1.1697003088312437</v>
      </c>
      <c r="K114" s="22">
        <v>-0.15449438013398292</v>
      </c>
      <c r="L114" s="22">
        <v>1.2679173917675</v>
      </c>
      <c r="M114" s="22">
        <v>1.5745445189178986</v>
      </c>
      <c r="N114" s="22">
        <v>1.4128013905179306</v>
      </c>
      <c r="O114" s="22">
        <v>-0.58608133729880429</v>
      </c>
      <c r="P114" s="22">
        <v>-0.15603161383695749</v>
      </c>
      <c r="Q114" s="22">
        <v>0.42664679102075004</v>
      </c>
      <c r="R114" s="22">
        <v>2.5685549031874322</v>
      </c>
      <c r="S114" s="22">
        <v>0.4826131833959949</v>
      </c>
      <c r="T114" s="22">
        <v>-0.38699494275411156</v>
      </c>
      <c r="U114" s="22">
        <v>-0.14168134672688418</v>
      </c>
      <c r="V114" s="22">
        <v>-0.59172840538179772</v>
      </c>
      <c r="W114" s="22">
        <v>-1.0354960365578021</v>
      </c>
      <c r="X114" s="22">
        <v>0.41770753592534138</v>
      </c>
    </row>
    <row r="115" spans="1:24" x14ac:dyDescent="0.35">
      <c r="A115" s="22">
        <v>-0.60847984494779284</v>
      </c>
      <c r="B115" s="22">
        <v>-0.22823433905455473</v>
      </c>
      <c r="C115" s="22">
        <v>-0.20866541054598015</v>
      </c>
      <c r="D115" s="22">
        <v>-1.3517246252046022</v>
      </c>
      <c r="E115" s="22">
        <v>-0.52487172759594913</v>
      </c>
      <c r="F115" s="22">
        <v>-2.5729964876318068E-2</v>
      </c>
      <c r="G115" s="22">
        <v>1.486909986315591</v>
      </c>
      <c r="H115" s="22">
        <v>-1.0957885749583891</v>
      </c>
      <c r="I115" s="22">
        <v>-4.7129946981044737E-2</v>
      </c>
      <c r="J115" s="22">
        <v>0.82993938280494106</v>
      </c>
      <c r="K115" s="22">
        <v>1.2723660342840104</v>
      </c>
      <c r="L115" s="22">
        <v>0.30841875526771445</v>
      </c>
      <c r="M115" s="22">
        <v>1.1712158162999786</v>
      </c>
      <c r="N115" s="22">
        <v>-1.251673215192499</v>
      </c>
      <c r="O115" s="22">
        <v>0.10074741321037574</v>
      </c>
      <c r="P115" s="22">
        <v>0.47484180832666339</v>
      </c>
      <c r="Q115" s="22">
        <v>0.23914423306103699</v>
      </c>
      <c r="R115" s="22">
        <v>-1.0198735112228212</v>
      </c>
      <c r="S115" s="22">
        <v>-1.6281006788016212E-2</v>
      </c>
      <c r="T115" s="22">
        <v>-1.1509478929770047</v>
      </c>
      <c r="U115" s="22">
        <v>1.3559386862118428</v>
      </c>
      <c r="V115" s="22">
        <v>0.49643356134353822</v>
      </c>
      <c r="W115" s="22">
        <v>-1.4997702989999142</v>
      </c>
      <c r="X115" s="22">
        <v>-0.22840028316296768</v>
      </c>
    </row>
    <row r="116" spans="1:24" x14ac:dyDescent="0.35">
      <c r="A116" s="22">
        <v>0.34180078292689192</v>
      </c>
      <c r="B116" s="22">
        <v>-0.39107242573442202</v>
      </c>
      <c r="C116" s="22">
        <v>0.29819911856401632</v>
      </c>
      <c r="D116" s="22">
        <v>-1.1488187159378564</v>
      </c>
      <c r="E116" s="22">
        <v>1.1714664921013287</v>
      </c>
      <c r="F116" s="22">
        <v>0.64386200422272777</v>
      </c>
      <c r="G116" s="22">
        <v>1.5071621828457884</v>
      </c>
      <c r="H116" s="22">
        <v>0.67092856523133393</v>
      </c>
      <c r="I116" s="22">
        <v>0.13844549521454544</v>
      </c>
      <c r="J116" s="22">
        <v>1.933719387972674</v>
      </c>
      <c r="K116" s="22">
        <v>0.81920989614631601</v>
      </c>
      <c r="L116" s="22">
        <v>-0.17678428069637134</v>
      </c>
      <c r="M116" s="22">
        <v>0.75317256795050447</v>
      </c>
      <c r="N116" s="22">
        <v>-0.42096804311135838</v>
      </c>
      <c r="O116" s="22">
        <v>0.89290095215136878</v>
      </c>
      <c r="P116" s="22">
        <v>-0.58606688378986527</v>
      </c>
      <c r="Q116" s="22">
        <v>-1.0241471908376696</v>
      </c>
      <c r="R116" s="22">
        <v>-0.91494580371001255</v>
      </c>
      <c r="S116" s="22">
        <v>-0.16148996481061695</v>
      </c>
      <c r="T116" s="22">
        <v>1.5987137801509888</v>
      </c>
      <c r="U116" s="22">
        <v>-0.33916155388100583</v>
      </c>
      <c r="V116" s="22">
        <v>1.1132529657012293</v>
      </c>
      <c r="W116" s="22">
        <v>0.17554701496118599</v>
      </c>
      <c r="X116" s="22">
        <v>0.43837241761236501</v>
      </c>
    </row>
    <row r="117" spans="1:24" x14ac:dyDescent="0.35">
      <c r="A117" s="22">
        <v>-0.22061708986802894</v>
      </c>
      <c r="B117" s="22">
        <v>1.4517023069944925</v>
      </c>
      <c r="C117" s="22">
        <v>-6.9324301691549281E-2</v>
      </c>
      <c r="D117" s="22">
        <v>0.68697307008851938</v>
      </c>
      <c r="E117" s="22">
        <v>-1.903611462954405</v>
      </c>
      <c r="F117" s="22">
        <v>-0.65070240648404298</v>
      </c>
      <c r="G117" s="22">
        <v>-0.3939859784865708</v>
      </c>
      <c r="H117" s="22">
        <v>-1.4873802643388319</v>
      </c>
      <c r="I117" s="22">
        <v>-1.2773065181327474</v>
      </c>
      <c r="J117" s="22">
        <v>5.7151745140290242E-2</v>
      </c>
      <c r="K117" s="22">
        <v>0.98008191717422544</v>
      </c>
      <c r="L117" s="22">
        <v>0.5646313694160644</v>
      </c>
      <c r="M117" s="22">
        <v>0.36996050676183767</v>
      </c>
      <c r="N117" s="22">
        <v>0.21665540065936781</v>
      </c>
      <c r="O117" s="22">
        <v>-1.6350453670165146</v>
      </c>
      <c r="P117" s="22">
        <v>1.9403481824520021</v>
      </c>
      <c r="Q117" s="22">
        <v>0.4792815861986619</v>
      </c>
      <c r="R117" s="22">
        <v>0.52524770359725959</v>
      </c>
      <c r="S117" s="22">
        <v>-0.31679703981412</v>
      </c>
      <c r="T117" s="22">
        <v>0.68654002959483573</v>
      </c>
      <c r="U117" s="22">
        <v>0.19689117978148907</v>
      </c>
      <c r="V117" s="22">
        <v>-0.32216940012824397</v>
      </c>
      <c r="W117" s="22">
        <v>1.229592156260759</v>
      </c>
      <c r="X117" s="22">
        <v>0.54771843321167468</v>
      </c>
    </row>
    <row r="118" spans="1:24" x14ac:dyDescent="0.35">
      <c r="A118" s="22">
        <v>-0.64739576515694441</v>
      </c>
      <c r="B118" s="22">
        <v>0.62547984424249348</v>
      </c>
      <c r="C118" s="22">
        <v>0.22620144728120256</v>
      </c>
      <c r="D118" s="22">
        <v>0.90130765067270369</v>
      </c>
      <c r="E118" s="22">
        <v>0.1263424821990789</v>
      </c>
      <c r="F118" s="22">
        <v>1.1262653564620486</v>
      </c>
      <c r="G118" s="22">
        <v>1.5403816272042916</v>
      </c>
      <c r="H118" s="22">
        <v>1.5811920688145282</v>
      </c>
      <c r="I118" s="22">
        <v>-0.2717626542322481</v>
      </c>
      <c r="J118" s="22">
        <v>-1.0864609132493015</v>
      </c>
      <c r="K118" s="22">
        <v>1.119579403328872</v>
      </c>
      <c r="L118" s="22">
        <v>-1.9041393818694148</v>
      </c>
      <c r="M118" s="22">
        <v>-0.4107203335488544</v>
      </c>
      <c r="N118" s="22">
        <v>1.1016970040943831E-2</v>
      </c>
      <c r="O118" s="22">
        <v>0.43290508234574132</v>
      </c>
      <c r="P118" s="22">
        <v>-0.18054997598545808</v>
      </c>
      <c r="Q118" s="22">
        <v>-0.27009940826939427</v>
      </c>
      <c r="R118" s="22">
        <v>-6.9797013264455643E-2</v>
      </c>
      <c r="S118" s="22">
        <v>-0.56901753608834094</v>
      </c>
      <c r="T118" s="22">
        <v>0.1748210978686614</v>
      </c>
      <c r="U118" s="22">
        <v>-0.13999449146624915</v>
      </c>
      <c r="V118" s="22">
        <v>0.5607005827922299</v>
      </c>
      <c r="W118" s="22">
        <v>0.4337508566743723</v>
      </c>
      <c r="X118" s="22">
        <v>2.4017467103364161</v>
      </c>
    </row>
    <row r="119" spans="1:24" x14ac:dyDescent="0.35">
      <c r="A119" s="22">
        <v>-0.63764254014166932</v>
      </c>
      <c r="B119" s="22">
        <v>1.3388818770404467</v>
      </c>
      <c r="C119" s="22">
        <v>1.6374189792495151</v>
      </c>
      <c r="D119" s="22">
        <v>1.9452114506560432</v>
      </c>
      <c r="E119" s="22">
        <v>-0.19147468911746873</v>
      </c>
      <c r="F119" s="22">
        <v>0.15262140456453979</v>
      </c>
      <c r="G119" s="22">
        <v>-0.21595428813205281</v>
      </c>
      <c r="H119" s="22">
        <v>-1.7296561820553491</v>
      </c>
      <c r="I119" s="22">
        <v>0.99391756149865207</v>
      </c>
      <c r="J119" s="22">
        <v>-0.49730011120638701</v>
      </c>
      <c r="K119" s="22">
        <v>-0.45501701664899291</v>
      </c>
      <c r="L119" s="22">
        <v>-1.7814754622388189</v>
      </c>
      <c r="M119" s="22">
        <v>0.90444733359724461</v>
      </c>
      <c r="N119" s="22">
        <v>-1.832953341666663</v>
      </c>
      <c r="O119" s="22">
        <v>0.21477371276801896</v>
      </c>
      <c r="P119" s="22">
        <v>0.29132052422860527</v>
      </c>
      <c r="Q119" s="22">
        <v>-1.6774793866308668</v>
      </c>
      <c r="R119" s="22">
        <v>-0.29910708745962167</v>
      </c>
      <c r="S119" s="22">
        <v>-0.55711674244240372</v>
      </c>
      <c r="T119" s="22">
        <v>-0.14022349836162548</v>
      </c>
      <c r="U119" s="22">
        <v>1.6798647005028327</v>
      </c>
      <c r="V119" s="22">
        <v>1.5147279933401454</v>
      </c>
      <c r="W119" s="22">
        <v>0.76969098676618586</v>
      </c>
      <c r="X119" s="22">
        <v>4.036600202515403E-2</v>
      </c>
    </row>
    <row r="120" spans="1:24" x14ac:dyDescent="0.35">
      <c r="A120" s="22">
        <v>0.61115959143095011</v>
      </c>
      <c r="B120" s="22">
        <v>0.34122325835588241</v>
      </c>
      <c r="C120" s="22">
        <v>0.19498415951302284</v>
      </c>
      <c r="D120" s="22">
        <v>0.24909165054096302</v>
      </c>
      <c r="E120" s="22">
        <v>2.4879531146721887</v>
      </c>
      <c r="F120" s="22">
        <v>0.10702594581719803</v>
      </c>
      <c r="G120" s="22">
        <v>-1.3095128446920963</v>
      </c>
      <c r="H120" s="22">
        <v>-2.1564499836066289</v>
      </c>
      <c r="I120" s="22">
        <v>-0.65143001060008221</v>
      </c>
      <c r="J120" s="22">
        <v>-9.0346507172198304E-2</v>
      </c>
      <c r="K120" s="22">
        <v>-0.40158064104981306</v>
      </c>
      <c r="L120" s="22">
        <v>0.7263289555655722</v>
      </c>
      <c r="M120" s="22">
        <v>-0.98788720360590321</v>
      </c>
      <c r="N120" s="22">
        <v>0.40453879588981467</v>
      </c>
      <c r="O120" s="22">
        <v>0.10494702086613557</v>
      </c>
      <c r="P120" s="22">
        <v>-0.18250309737992243</v>
      </c>
      <c r="Q120" s="22">
        <v>-1.0229419023349573</v>
      </c>
      <c r="R120" s="22">
        <v>-0.1689076017478961</v>
      </c>
      <c r="S120" s="22">
        <v>6.1367499687612556E-2</v>
      </c>
      <c r="T120" s="22">
        <v>-1.6964285100690226</v>
      </c>
      <c r="U120" s="22">
        <v>5.8519119034556068E-2</v>
      </c>
      <c r="V120" s="22">
        <v>-7.674654604629183E-2</v>
      </c>
      <c r="W120" s="22">
        <v>-1.3626559838334016</v>
      </c>
      <c r="X120" s="22">
        <v>0.47896113123817002</v>
      </c>
    </row>
    <row r="121" spans="1:24" x14ac:dyDescent="0.35">
      <c r="A121" s="22">
        <v>0.45190464398728075</v>
      </c>
      <c r="B121" s="22">
        <v>-0.86814686826050236</v>
      </c>
      <c r="C121" s="22">
        <v>2.6509813516849778</v>
      </c>
      <c r="D121" s="22">
        <v>-0.22239638532532724</v>
      </c>
      <c r="E121" s="22">
        <v>-1.1213027981033392</v>
      </c>
      <c r="F121" s="22">
        <v>-0.2863428259375993</v>
      </c>
      <c r="G121" s="22">
        <v>-0.6606648444045522</v>
      </c>
      <c r="H121" s="22">
        <v>-0.76046756601986576</v>
      </c>
      <c r="I121" s="22">
        <v>1.0051424997122016</v>
      </c>
      <c r="J121" s="22">
        <v>-0.49636073697680166</v>
      </c>
      <c r="K121" s="22">
        <v>4.9364881824829815E-2</v>
      </c>
      <c r="L121" s="22">
        <v>-0.43675600079924187</v>
      </c>
      <c r="M121" s="22">
        <v>1.7400722202322767</v>
      </c>
      <c r="N121" s="22">
        <v>-0.11467681272994541</v>
      </c>
      <c r="O121" s="22">
        <v>-1.5105064310674616</v>
      </c>
      <c r="P121" s="22">
        <v>0.74619110563859559</v>
      </c>
      <c r="Q121" s="22">
        <v>-0.43459370667367225</v>
      </c>
      <c r="R121" s="22">
        <v>0.23151120567138553</v>
      </c>
      <c r="S121" s="22">
        <v>-1.5919082293914946</v>
      </c>
      <c r="T121" s="22">
        <v>2.6325462178681254</v>
      </c>
      <c r="U121" s="22">
        <v>-1.4622335826711075</v>
      </c>
      <c r="V121" s="22">
        <v>1.0357233042564862</v>
      </c>
      <c r="W121" s="22">
        <v>-1.2706880968512404</v>
      </c>
      <c r="X121" s="22">
        <v>0.12577135069996229</v>
      </c>
    </row>
    <row r="122" spans="1:24" x14ac:dyDescent="0.35">
      <c r="A122" s="22">
        <v>1.2103887284351118</v>
      </c>
      <c r="B122" s="22">
        <v>-0.45999902707828627</v>
      </c>
      <c r="C122" s="22">
        <v>3.5370856977311473E-3</v>
      </c>
      <c r="D122" s="22">
        <v>-3.4487900507166998E-2</v>
      </c>
      <c r="E122" s="22">
        <v>-0.56396819951452981</v>
      </c>
      <c r="F122" s="22">
        <v>-1.0649701747326439</v>
      </c>
      <c r="G122" s="22">
        <v>-0.62536186861867815</v>
      </c>
      <c r="H122" s="22">
        <v>0.64763000763356227</v>
      </c>
      <c r="I122" s="22">
        <v>-1.7683587311696711</v>
      </c>
      <c r="J122" s="22">
        <v>1.181270182222786</v>
      </c>
      <c r="K122" s="22">
        <v>-1.0223386577272495</v>
      </c>
      <c r="L122" s="22">
        <v>-0.72613226633584171</v>
      </c>
      <c r="M122" s="22">
        <v>-1.8434962980238159</v>
      </c>
      <c r="N122" s="22">
        <v>-0.72976164884492978</v>
      </c>
      <c r="O122" s="22">
        <v>-0.17608163955639364</v>
      </c>
      <c r="P122" s="22">
        <v>-1.2740273353587965</v>
      </c>
      <c r="Q122" s="22">
        <v>-0.88004994681411064</v>
      </c>
      <c r="R122" s="22">
        <v>-3.1655486009151475E-2</v>
      </c>
      <c r="S122" s="22">
        <v>1.399719691454915</v>
      </c>
      <c r="T122" s="22">
        <v>-0.67431309222410774</v>
      </c>
      <c r="U122" s="22">
        <v>-0.48630044521906035</v>
      </c>
      <c r="V122" s="22">
        <v>0.15349890695276291</v>
      </c>
      <c r="W122" s="22">
        <v>-0.51734776172518349</v>
      </c>
      <c r="X122" s="22">
        <v>0.44305351603988485</v>
      </c>
    </row>
    <row r="123" spans="1:24" x14ac:dyDescent="0.35">
      <c r="A123" s="22">
        <v>-0.26789935312561775</v>
      </c>
      <c r="B123" s="22">
        <v>0.11878596876289586</v>
      </c>
      <c r="C123" s="22">
        <v>0.85051915815908874</v>
      </c>
      <c r="D123" s="22">
        <v>-1.7863825259245956</v>
      </c>
      <c r="E123" s="22">
        <v>0.96149968963226706</v>
      </c>
      <c r="F123" s="22">
        <v>0.65637173120031522</v>
      </c>
      <c r="G123" s="22">
        <v>-1.3528827861869819</v>
      </c>
      <c r="H123" s="22">
        <v>1.1931035536447527</v>
      </c>
      <c r="I123" s="22">
        <v>0.86454016558684843</v>
      </c>
      <c r="J123" s="22">
        <v>1.6065669475052187</v>
      </c>
      <c r="K123" s="22">
        <v>-0.10805968082122439</v>
      </c>
      <c r="L123" s="22">
        <v>0.81481370798173725</v>
      </c>
      <c r="M123" s="22">
        <v>-0.64944899936224509</v>
      </c>
      <c r="N123" s="22">
        <v>-0.36826955596746375</v>
      </c>
      <c r="O123" s="22">
        <v>-0.80450919361786255</v>
      </c>
      <c r="P123" s="22">
        <v>1.2817462381696454</v>
      </c>
      <c r="Q123" s="22">
        <v>1.2938401463674722</v>
      </c>
      <c r="R123" s="22">
        <v>-0.17746856429166766</v>
      </c>
      <c r="S123" s="22">
        <v>-0.74825960581622974</v>
      </c>
      <c r="T123" s="22">
        <v>0.26457447145745677</v>
      </c>
      <c r="U123" s="22">
        <v>-0.82567332311185293</v>
      </c>
      <c r="V123" s="22">
        <v>0.48673903341160202</v>
      </c>
      <c r="W123" s="22">
        <v>1.6092728488289556</v>
      </c>
      <c r="X123" s="22">
        <v>0.30990295164649811</v>
      </c>
    </row>
    <row r="124" spans="1:24" x14ac:dyDescent="0.35">
      <c r="A124" s="22">
        <v>1.6823886701343189</v>
      </c>
      <c r="B124" s="22">
        <v>-0.24764012968039423</v>
      </c>
      <c r="C124" s="22">
        <v>-2.1784306832418103</v>
      </c>
      <c r="D124" s="22">
        <v>-0.45767050017176186</v>
      </c>
      <c r="E124" s="22">
        <v>0.10430632264317705</v>
      </c>
      <c r="F124" s="22">
        <v>1.4014542542365935</v>
      </c>
      <c r="G124" s="22">
        <v>0.86712863630904469</v>
      </c>
      <c r="H124" s="22">
        <v>-0.10720884328620676</v>
      </c>
      <c r="I124" s="22">
        <v>0.92493300052040051</v>
      </c>
      <c r="J124" s="22">
        <v>4.33992372478526E-2</v>
      </c>
      <c r="K124" s="22">
        <v>-0.47678649367209452</v>
      </c>
      <c r="L124" s="22">
        <v>-0.13765380977106292</v>
      </c>
      <c r="M124" s="22">
        <v>-0.710581665873802</v>
      </c>
      <c r="N124" s="22">
        <v>0.3709692184376972</v>
      </c>
      <c r="O124" s="22">
        <v>1.8781379400307052</v>
      </c>
      <c r="P124" s="22">
        <v>-0.87784853612518388</v>
      </c>
      <c r="Q124" s="22">
        <v>3.146134263191767</v>
      </c>
      <c r="R124" s="22">
        <v>-2.1368603057349462</v>
      </c>
      <c r="S124" s="22">
        <v>0.66871680413296364</v>
      </c>
      <c r="T124" s="22">
        <v>-1.3800465542272375</v>
      </c>
      <c r="U124" s="22">
        <v>-0.41236268055353803</v>
      </c>
      <c r="V124" s="22">
        <v>0.89390500095725545</v>
      </c>
      <c r="W124" s="22">
        <v>-0.40794920103801763</v>
      </c>
      <c r="X124" s="22">
        <v>1.8751796004928893</v>
      </c>
    </row>
    <row r="125" spans="1:24" x14ac:dyDescent="0.35">
      <c r="A125" s="22">
        <v>1.2141307470856793</v>
      </c>
      <c r="B125" s="22">
        <v>-1.1029920931285522</v>
      </c>
      <c r="C125" s="22">
        <v>0.69416010148933349</v>
      </c>
      <c r="D125" s="22">
        <v>0.11904312375604731</v>
      </c>
      <c r="E125" s="22">
        <v>-1.18168231443822</v>
      </c>
      <c r="F125" s="22">
        <v>1.5052329455636004</v>
      </c>
      <c r="G125" s="22">
        <v>-1.5880299762035435</v>
      </c>
      <c r="H125" s="22">
        <v>0.8095894851162595</v>
      </c>
      <c r="I125" s="22">
        <v>-0.23329491903997146</v>
      </c>
      <c r="J125" s="22">
        <v>0.30330526776450289</v>
      </c>
      <c r="K125" s="22">
        <v>0.91464592130824973</v>
      </c>
      <c r="L125" s="22">
        <v>1.6690377971835857</v>
      </c>
      <c r="M125" s="22">
        <v>-1.0742190806753462</v>
      </c>
      <c r="N125" s="22">
        <v>0.80358901080584755</v>
      </c>
      <c r="O125" s="22">
        <v>-0.18800977296061941</v>
      </c>
      <c r="P125" s="22">
        <v>-0.56198683798949689</v>
      </c>
      <c r="Q125" s="22">
        <v>-1.288073664062382</v>
      </c>
      <c r="R125" s="22">
        <v>0.83982403124701965</v>
      </c>
      <c r="S125" s="22">
        <v>0.2699919578278755</v>
      </c>
      <c r="T125" s="22">
        <v>-0.17221933566822764</v>
      </c>
      <c r="U125" s="22">
        <v>0.97697523312238166</v>
      </c>
      <c r="V125" s="22">
        <v>1.9271129744109228</v>
      </c>
      <c r="W125" s="22">
        <v>-0.92590411476163881</v>
      </c>
      <c r="X125" s="22">
        <v>-2.6598065387457587E-2</v>
      </c>
    </row>
    <row r="126" spans="1:24" x14ac:dyDescent="0.35">
      <c r="A126" s="22">
        <v>0.86601195725477242</v>
      </c>
      <c r="B126" s="22">
        <v>0.39137247766385336</v>
      </c>
      <c r="C126" s="22">
        <v>0.38278014723416343</v>
      </c>
      <c r="D126" s="22">
        <v>0.60147752760825557</v>
      </c>
      <c r="E126" s="22">
        <v>0.62518150768537473</v>
      </c>
      <c r="F126" s="22">
        <v>1.14120883017171</v>
      </c>
      <c r="G126" s="22">
        <v>1.1327989809249794</v>
      </c>
      <c r="H126" s="22">
        <v>-0.32974392416847365</v>
      </c>
      <c r="I126" s="22">
        <v>0.61226649724489646</v>
      </c>
      <c r="J126" s="22">
        <v>0.16559973850211532</v>
      </c>
      <c r="K126" s="22">
        <v>0.46213253383690611</v>
      </c>
      <c r="L126" s="22">
        <v>-0.47429733203330804</v>
      </c>
      <c r="M126" s="22">
        <v>-1.2083499707397602</v>
      </c>
      <c r="N126" s="22">
        <v>-1.1832164910118539</v>
      </c>
      <c r="O126" s="22">
        <v>0.68933335078612268</v>
      </c>
      <c r="P126" s="22">
        <v>0.950107781030191</v>
      </c>
      <c r="Q126" s="22">
        <v>0.33550787875622556</v>
      </c>
      <c r="R126" s="22">
        <v>-1.9200554240563885</v>
      </c>
      <c r="S126" s="22">
        <v>-0.76000480149726657</v>
      </c>
      <c r="T126" s="22">
        <v>-1.1554991323865793</v>
      </c>
      <c r="U126" s="22">
        <v>0.8269653727289441</v>
      </c>
      <c r="V126" s="22">
        <v>-0.28156664036490986</v>
      </c>
      <c r="W126" s="22">
        <v>-0.51763137829136929</v>
      </c>
      <c r="X126" s="22">
        <v>1.1958297169613576</v>
      </c>
    </row>
    <row r="127" spans="1:24" x14ac:dyDescent="0.35">
      <c r="A127" s="22">
        <v>0.24677295603309812</v>
      </c>
      <c r="B127" s="22">
        <v>1.5790310544521162</v>
      </c>
      <c r="C127" s="22">
        <v>-0.49183789310747877</v>
      </c>
      <c r="D127" s="22">
        <v>0.84298140513741004</v>
      </c>
      <c r="E127" s="22">
        <v>-0.42837058142958401</v>
      </c>
      <c r="F127" s="22">
        <v>-1.2064273790331999</v>
      </c>
      <c r="G127" s="22">
        <v>-1.0174110479953202</v>
      </c>
      <c r="H127" s="22">
        <v>-0.34766364388260768</v>
      </c>
      <c r="I127" s="22">
        <v>0.22398797040723586</v>
      </c>
      <c r="J127" s="22">
        <v>1.3016955587545664</v>
      </c>
      <c r="K127" s="22">
        <v>1.1730414633770354</v>
      </c>
      <c r="L127" s="22">
        <v>0.36211286002137016</v>
      </c>
      <c r="M127" s="22">
        <v>-0.34112919860508861</v>
      </c>
      <c r="N127" s="22">
        <v>0.13099449996960744</v>
      </c>
      <c r="O127" s="22">
        <v>2.4320456203008183</v>
      </c>
      <c r="P127" s="22">
        <v>-0.74911449718540901</v>
      </c>
      <c r="Q127" s="22">
        <v>1.5181721840772548</v>
      </c>
      <c r="R127" s="22">
        <v>-0.1119566346916805</v>
      </c>
      <c r="S127" s="22">
        <v>-1.594832484157376</v>
      </c>
      <c r="T127" s="22">
        <v>1.1350761077307057</v>
      </c>
      <c r="U127" s="22">
        <v>-0.86880577074679355</v>
      </c>
      <c r="V127" s="22">
        <v>-0.84161771469857072</v>
      </c>
      <c r="W127" s="22">
        <v>-0.12345805174431521</v>
      </c>
      <c r="X127" s="22">
        <v>0.23809245376937596</v>
      </c>
    </row>
    <row r="128" spans="1:24" x14ac:dyDescent="0.35">
      <c r="A128" s="22">
        <v>-0.61533043722002978</v>
      </c>
      <c r="B128" s="22">
        <v>0.72830458311005453</v>
      </c>
      <c r="C128" s="22">
        <v>-0.60998406617751288</v>
      </c>
      <c r="D128" s="22">
        <v>-2.3700200035818339E-2</v>
      </c>
      <c r="E128" s="22">
        <v>-0.57923546087363498</v>
      </c>
      <c r="F128" s="22">
        <v>-0.35206075408169141</v>
      </c>
      <c r="G128" s="22">
        <v>-1.7221040061461417</v>
      </c>
      <c r="H128" s="22">
        <v>1.1624571756086572</v>
      </c>
      <c r="I128" s="22">
        <v>-0.69366772397331022</v>
      </c>
      <c r="J128" s="22">
        <v>0.90568642534237709</v>
      </c>
      <c r="K128" s="22">
        <v>1.4741316759556766</v>
      </c>
      <c r="L128" s="22">
        <v>-1.6325881793946788</v>
      </c>
      <c r="M128" s="22">
        <v>0.54169379082049862</v>
      </c>
      <c r="N128" s="22">
        <v>-0.26113833320918833</v>
      </c>
      <c r="O128" s="22">
        <v>-0.93556275915858789</v>
      </c>
      <c r="P128" s="22">
        <v>2.1195770537064163E-2</v>
      </c>
      <c r="Q128" s="22">
        <v>1.1291201719999531</v>
      </c>
      <c r="R128" s="22">
        <v>0.76871974944256949</v>
      </c>
      <c r="S128" s="22">
        <v>6.1266963219213655E-2</v>
      </c>
      <c r="T128" s="22">
        <v>-0.47939579410893401</v>
      </c>
      <c r="U128" s="22">
        <v>0.66445268997645479</v>
      </c>
      <c r="V128" s="22">
        <v>1.0518324374875947</v>
      </c>
      <c r="W128" s="22">
        <v>0.42887335522655062</v>
      </c>
      <c r="X128" s="22">
        <v>-0.20175823556062436</v>
      </c>
    </row>
    <row r="129" spans="1:24" x14ac:dyDescent="0.35">
      <c r="A129" s="22">
        <v>0.58373020607899018</v>
      </c>
      <c r="B129" s="22">
        <v>-0.25464447742913721</v>
      </c>
      <c r="C129" s="22">
        <v>0.749125009672444</v>
      </c>
      <c r="D129" s="22">
        <v>1.1091115556637039</v>
      </c>
      <c r="E129" s="22">
        <v>1.9724815052455822</v>
      </c>
      <c r="F129" s="22">
        <v>-0.29537928456268192</v>
      </c>
      <c r="G129" s="22">
        <v>-0.99713286313930993</v>
      </c>
      <c r="H129" s="22">
        <v>0.60453303154778359</v>
      </c>
      <c r="I129" s="22">
        <v>0.71736725253967659</v>
      </c>
      <c r="J129" s="22">
        <v>0.20362256425210856</v>
      </c>
      <c r="K129" s="22">
        <v>-1.5446289531991215</v>
      </c>
      <c r="L129" s="22">
        <v>-1.7957098351064675</v>
      </c>
      <c r="M129" s="22">
        <v>2.0573406069707874</v>
      </c>
      <c r="N129" s="22">
        <v>-0.3844736529452627</v>
      </c>
      <c r="O129" s="22">
        <v>0.62590041725339596</v>
      </c>
      <c r="P129" s="22">
        <v>2.3966916680310302</v>
      </c>
      <c r="Q129" s="22">
        <v>-1.2024866863258585</v>
      </c>
      <c r="R129" s="22">
        <v>-5.3081370160889686E-2</v>
      </c>
      <c r="S129" s="22">
        <v>-0.44035065705615978</v>
      </c>
      <c r="T129" s="22">
        <v>-0.50659377420484053</v>
      </c>
      <c r="U129" s="22">
        <v>1.2608489424042573</v>
      </c>
      <c r="V129" s="22">
        <v>1.0872219526243663</v>
      </c>
      <c r="W129" s="22">
        <v>0.32494766364045358</v>
      </c>
      <c r="X129" s="22">
        <v>1.5212689894919345</v>
      </c>
    </row>
    <row r="130" spans="1:24" x14ac:dyDescent="0.35">
      <c r="A130" s="22">
        <v>-0.24649096787962285</v>
      </c>
      <c r="B130" s="22">
        <v>0.6264881371989276</v>
      </c>
      <c r="C130" s="22">
        <v>-0.75988393238058438</v>
      </c>
      <c r="D130" s="22">
        <v>1.6383165686973329</v>
      </c>
      <c r="E130" s="22">
        <v>7.0221629875844738E-2</v>
      </c>
      <c r="F130" s="22">
        <v>-0.70255312571255812</v>
      </c>
      <c r="G130" s="22">
        <v>1.2574451999198633</v>
      </c>
      <c r="H130" s="22">
        <v>-0.34956961130074532</v>
      </c>
      <c r="I130" s="22">
        <v>-5.9040930715410868E-2</v>
      </c>
      <c r="J130" s="22">
        <v>4.4080742405882167E-2</v>
      </c>
      <c r="K130" s="22">
        <v>1.0305255443627039</v>
      </c>
      <c r="L130" s="22">
        <v>-0.45955531048308718</v>
      </c>
      <c r="M130" s="22">
        <v>0.20704269658227048</v>
      </c>
      <c r="N130" s="22">
        <v>-0.21272816305386336</v>
      </c>
      <c r="O130" s="22">
        <v>-0.54092259213102001</v>
      </c>
      <c r="P130" s="22">
        <v>-9.2619929302207138E-2</v>
      </c>
      <c r="Q130" s="22">
        <v>-0.61356369275438993</v>
      </c>
      <c r="R130" s="22">
        <v>-1.0284664413665945</v>
      </c>
      <c r="S130" s="22">
        <v>0.9697110869763752</v>
      </c>
      <c r="T130" s="22">
        <v>1.1932958845293005</v>
      </c>
      <c r="U130" s="22">
        <v>-0.65768997631936221</v>
      </c>
      <c r="V130" s="22">
        <v>1.8499013866111822</v>
      </c>
      <c r="W130" s="22">
        <v>0.68616339538604165</v>
      </c>
      <c r="X130" s="22">
        <v>-0.39859941877300975</v>
      </c>
    </row>
    <row r="131" spans="1:24" x14ac:dyDescent="0.35">
      <c r="A131" s="22">
        <v>-0.80590764825699657</v>
      </c>
      <c r="B131" s="22">
        <v>0.65118650586676352</v>
      </c>
      <c r="C131" s="22">
        <v>-0.40938479361122498</v>
      </c>
      <c r="D131" s="22">
        <v>0.42078973496821254</v>
      </c>
      <c r="E131" s="22">
        <v>1.3793175807379423</v>
      </c>
      <c r="F131" s="22">
        <v>0.52854481237432649</v>
      </c>
      <c r="G131" s="22">
        <v>1.2000663317455356</v>
      </c>
      <c r="H131" s="22">
        <v>1.69391560671784</v>
      </c>
      <c r="I131" s="22">
        <v>0.11929507206160166</v>
      </c>
      <c r="J131" s="22">
        <v>-0.53778627099317133</v>
      </c>
      <c r="K131" s="22">
        <v>-1.9230766907690162</v>
      </c>
      <c r="L131" s="22">
        <v>0.16601693920445559</v>
      </c>
      <c r="M131" s="22">
        <v>-1.3387831084154351</v>
      </c>
      <c r="N131" s="22">
        <v>-2.285636818058034</v>
      </c>
      <c r="O131" s="22">
        <v>0.95839170866713452</v>
      </c>
      <c r="P131" s="22">
        <v>1.0056964658645642</v>
      </c>
      <c r="Q131" s="22">
        <v>1.1916335798674784</v>
      </c>
      <c r="R131" s="22">
        <v>-0.68009290492675467</v>
      </c>
      <c r="S131" s="22">
        <v>-0.25147807645920972</v>
      </c>
      <c r="T131" s="22">
        <v>-3.9391714185054619E-2</v>
      </c>
      <c r="U131" s="22">
        <v>-1.3724096822025622</v>
      </c>
      <c r="V131" s="22">
        <v>-0.74870781854222379</v>
      </c>
      <c r="W131" s="22">
        <v>-1.2085054867708729</v>
      </c>
      <c r="X131" s="22">
        <v>-8.5842892409635371E-2</v>
      </c>
    </row>
    <row r="132" spans="1:24" x14ac:dyDescent="0.35">
      <c r="A132" s="22">
        <v>-0.21579045524286136</v>
      </c>
      <c r="B132" s="22">
        <v>0.64183568443409811</v>
      </c>
      <c r="C132" s="22">
        <v>-1.6103627030927026</v>
      </c>
      <c r="D132" s="22">
        <v>-1.2623846682079163</v>
      </c>
      <c r="E132" s="22">
        <v>-1.2842234779663475</v>
      </c>
      <c r="F132" s="22">
        <v>0.34922568692801514</v>
      </c>
      <c r="G132" s="22">
        <v>-1.2607801822673446</v>
      </c>
      <c r="H132" s="22">
        <v>-0.53905128698581173</v>
      </c>
      <c r="I132" s="22">
        <v>-0.70143857145537192</v>
      </c>
      <c r="J132" s="22">
        <v>-1.0145490227445413</v>
      </c>
      <c r="K132" s="22">
        <v>-1.4819742667556646</v>
      </c>
      <c r="L132" s="22">
        <v>0.68512356197821389</v>
      </c>
      <c r="M132" s="22">
        <v>0.51752970503649842</v>
      </c>
      <c r="N132" s="22">
        <v>0.59632027239173058</v>
      </c>
      <c r="O132" s="22">
        <v>0.93770540420547033</v>
      </c>
      <c r="P132" s="22">
        <v>-1.3744264591534927</v>
      </c>
      <c r="Q132" s="22">
        <v>0.30799514099490222</v>
      </c>
      <c r="R132" s="22">
        <v>-0.6656969133156998</v>
      </c>
      <c r="S132" s="22">
        <v>1.0076728660879919</v>
      </c>
      <c r="T132" s="22">
        <v>0.72867617767002868</v>
      </c>
      <c r="U132" s="22">
        <v>-0.69856895097440286</v>
      </c>
      <c r="V132" s="22">
        <v>-0.3867263877807634</v>
      </c>
      <c r="W132" s="22">
        <v>1.1696761361574408</v>
      </c>
      <c r="X132" s="22">
        <v>1.3679027329636144</v>
      </c>
    </row>
    <row r="133" spans="1:24" x14ac:dyDescent="0.35">
      <c r="A133" s="22">
        <v>0.59624946202914719</v>
      </c>
      <c r="B133" s="22">
        <v>-0.3969158081828858</v>
      </c>
      <c r="C133" s="22">
        <v>-1.3230407456417166</v>
      </c>
      <c r="D133" s="22">
        <v>-0.69135319819127616</v>
      </c>
      <c r="E133" s="22">
        <v>7.2373826791243837E-2</v>
      </c>
      <c r="F133" s="22">
        <v>-0.70353199453275117</v>
      </c>
      <c r="G133" s="22">
        <v>-0.50929930819090596</v>
      </c>
      <c r="H133" s="22">
        <v>-4.3835948358068547E-2</v>
      </c>
      <c r="I133" s="22">
        <v>1.3451148675149549</v>
      </c>
      <c r="J133" s="22">
        <v>-1.5030633312247506</v>
      </c>
      <c r="K133" s="22">
        <v>3.7007271884096075E-2</v>
      </c>
      <c r="L133" s="22">
        <v>2.0058689249669097</v>
      </c>
      <c r="M133" s="22">
        <v>1.5064471160868378</v>
      </c>
      <c r="N133" s="22">
        <v>-0.36049199896300554</v>
      </c>
      <c r="O133" s="22">
        <v>3.0109402753085462E-2</v>
      </c>
      <c r="P133" s="22">
        <v>1.3344164951182551</v>
      </c>
      <c r="Q133" s="22">
        <v>0.16091652914619675</v>
      </c>
      <c r="R133" s="22">
        <v>3.3543954398483969E-2</v>
      </c>
      <c r="S133" s="22">
        <v>-1.4018871593448252</v>
      </c>
      <c r="T133" s="22">
        <v>1.0768810739500772</v>
      </c>
      <c r="U133" s="22">
        <v>-0.51249884133980939</v>
      </c>
      <c r="V133" s="22">
        <v>-0.419846795280366</v>
      </c>
      <c r="W133" s="22">
        <v>0.67051011207351285</v>
      </c>
      <c r="X133" s="22">
        <v>-0.31648964141449348</v>
      </c>
    </row>
    <row r="134" spans="1:24" x14ac:dyDescent="0.35">
      <c r="A134" s="22">
        <v>-0.28760738544270403</v>
      </c>
      <c r="B134" s="22">
        <v>2.4511654358248438</v>
      </c>
      <c r="C134" s="22">
        <v>2.1506373490484241</v>
      </c>
      <c r="D134" s="22">
        <v>1.073582145929407</v>
      </c>
      <c r="E134" s="22">
        <v>-0.23069275418674201</v>
      </c>
      <c r="F134" s="22">
        <v>1.9282281949789828</v>
      </c>
      <c r="G134" s="22">
        <v>-1.1170004453495073</v>
      </c>
      <c r="H134" s="22">
        <v>-1.1145726019948536</v>
      </c>
      <c r="I134" s="22">
        <v>-0.90042046600504078</v>
      </c>
      <c r="J134" s="22">
        <v>-0.98092828622550654</v>
      </c>
      <c r="K134" s="22">
        <v>-0.88131130928702495</v>
      </c>
      <c r="L134" s="22">
        <v>-0.55672810745959544</v>
      </c>
      <c r="M134" s="22">
        <v>-9.0941805119159363E-2</v>
      </c>
      <c r="N134" s="22">
        <v>0.31088032490201567</v>
      </c>
      <c r="O134" s="22">
        <v>-0.4209338957689886</v>
      </c>
      <c r="P134" s="22">
        <v>-6.4168307107689407E-2</v>
      </c>
      <c r="Q134" s="22">
        <v>1.7053314839225149</v>
      </c>
      <c r="R134" s="22">
        <v>1.1951683062435021</v>
      </c>
      <c r="S134" s="22">
        <v>0.33006057873227057</v>
      </c>
      <c r="T134" s="22">
        <v>7.5771318124300199E-2</v>
      </c>
      <c r="U134" s="22">
        <v>1.5128070546600376</v>
      </c>
      <c r="V134" s="22">
        <v>1.270438223898098</v>
      </c>
      <c r="W134" s="22">
        <v>0.87316957440876208</v>
      </c>
      <c r="X134" s="22">
        <v>-0.3085167324819732</v>
      </c>
    </row>
    <row r="135" spans="1:24" x14ac:dyDescent="0.35">
      <c r="A135" s="22">
        <v>0.52744490936448851</v>
      </c>
      <c r="B135" s="22">
        <v>-0.25326408399477296</v>
      </c>
      <c r="C135" s="22">
        <v>0.82815721188212332</v>
      </c>
      <c r="D135" s="22">
        <v>0.74071040237994301</v>
      </c>
      <c r="E135" s="22">
        <v>0.19145724419903948</v>
      </c>
      <c r="F135" s="22">
        <v>-1.6984230768174384</v>
      </c>
      <c r="G135" s="22">
        <v>-0.56452661423833173</v>
      </c>
      <c r="H135" s="22">
        <v>-0.70245295697606258</v>
      </c>
      <c r="I135" s="22">
        <v>1.7145934817168476</v>
      </c>
      <c r="J135" s="22">
        <v>1.1590866658151828</v>
      </c>
      <c r="K135" s="22">
        <v>-1.1997873232086909</v>
      </c>
      <c r="L135" s="22">
        <v>-0.64975953044893864</v>
      </c>
      <c r="M135" s="22">
        <v>3.4150569983568101E-2</v>
      </c>
      <c r="N135" s="22">
        <v>0.91033046489213432</v>
      </c>
      <c r="O135" s="22">
        <v>-0.1611718963609966</v>
      </c>
      <c r="P135" s="22">
        <v>0.44075416971073894</v>
      </c>
      <c r="Q135" s="22">
        <v>0.16675531204650099</v>
      </c>
      <c r="R135" s="22">
        <v>0.6381487758165646</v>
      </c>
      <c r="S135" s="22">
        <v>0.60144573031574977</v>
      </c>
      <c r="T135" s="22">
        <v>0.25425538500206807</v>
      </c>
      <c r="U135" s="22">
        <v>-0.80938003560904781</v>
      </c>
      <c r="V135" s="22">
        <v>0.94386448549595225</v>
      </c>
      <c r="W135" s="22">
        <v>0.74982722663244372</v>
      </c>
      <c r="X135" s="22">
        <v>0.97234645415372023</v>
      </c>
    </row>
    <row r="136" spans="1:24" x14ac:dyDescent="0.35">
      <c r="A136" s="22">
        <v>-0.76795635529491568</v>
      </c>
      <c r="B136" s="22">
        <v>4.7455847544784789E-2</v>
      </c>
      <c r="C136" s="22">
        <v>-0.39389259739619509</v>
      </c>
      <c r="D136" s="22">
        <v>-1.6123016692738878</v>
      </c>
      <c r="E136" s="22">
        <v>0.8597348038128475</v>
      </c>
      <c r="F136" s="22">
        <v>-7.0159263685947659E-2</v>
      </c>
      <c r="G136" s="22">
        <v>0.70528305668771163</v>
      </c>
      <c r="H136" s="22">
        <v>-6.8296390765904408E-2</v>
      </c>
      <c r="I136" s="22">
        <v>-0.84215938281210101</v>
      </c>
      <c r="J136" s="22">
        <v>0.82720911933080998</v>
      </c>
      <c r="K136" s="22">
        <v>-0.21859311081050001</v>
      </c>
      <c r="L136" s="22">
        <v>4.2697570470247574E-2</v>
      </c>
      <c r="M136" s="22">
        <v>-0.91701716700599822</v>
      </c>
      <c r="N136" s="22">
        <v>0.88567051386882267</v>
      </c>
      <c r="O136" s="22">
        <v>0.97049815452192523</v>
      </c>
      <c r="P136" s="22">
        <v>1.0927576370827834</v>
      </c>
      <c r="Q136" s="22">
        <v>-0.82959149421054579</v>
      </c>
      <c r="R136" s="22">
        <v>0.27143638681114624</v>
      </c>
      <c r="S136" s="22">
        <v>-0.64874469101310583</v>
      </c>
      <c r="T136" s="22">
        <v>-0.38314368166386437</v>
      </c>
      <c r="U136" s="22">
        <v>0.64110834081106971</v>
      </c>
      <c r="V136" s="22">
        <v>-0.44278503304290256</v>
      </c>
      <c r="W136" s="22">
        <v>0.10200066008811139</v>
      </c>
      <c r="X136" s="22">
        <v>-0.50057992718026456</v>
      </c>
    </row>
    <row r="137" spans="1:24" x14ac:dyDescent="0.35">
      <c r="A137" s="22">
        <v>1.0032198116249513</v>
      </c>
      <c r="B137" s="22">
        <v>1.8037928582123577</v>
      </c>
      <c r="C137" s="22">
        <v>-0.7232122364923621</v>
      </c>
      <c r="D137" s="22">
        <v>0.24411285671274469</v>
      </c>
      <c r="E137" s="22">
        <v>-2.0188255917213924</v>
      </c>
      <c r="F137" s="22">
        <v>-0.10468388875239509</v>
      </c>
      <c r="G137" s="22">
        <v>0.33480515867439392</v>
      </c>
      <c r="H137" s="22">
        <v>2.1236451378097498E-2</v>
      </c>
      <c r="I137" s="22">
        <v>-0.17574520640848598</v>
      </c>
      <c r="J137" s="22">
        <v>-1.3718193546301416</v>
      </c>
      <c r="K137" s="22">
        <v>1.3890977197662171</v>
      </c>
      <c r="L137" s="22">
        <v>-1.1099670948986924</v>
      </c>
      <c r="M137" s="22">
        <v>-1.0368900483445698</v>
      </c>
      <c r="N137" s="22">
        <v>0.78018143751056701</v>
      </c>
      <c r="O137" s="22">
        <v>-4.3948220907765366E-2</v>
      </c>
      <c r="P137" s="22">
        <v>-0.30293142358149838</v>
      </c>
      <c r="Q137" s="22">
        <v>2.5308370087716079</v>
      </c>
      <c r="R137" s="22">
        <v>-0.36022978574082282</v>
      </c>
      <c r="S137" s="22">
        <v>1.9953620386665432</v>
      </c>
      <c r="T137" s="22">
        <v>-6.6694274161125416E-2</v>
      </c>
      <c r="U137" s="22">
        <v>0.59145667684096193</v>
      </c>
      <c r="V137" s="22">
        <v>0.17276401901565572</v>
      </c>
      <c r="W137" s="22">
        <v>-0.74327167443540654</v>
      </c>
      <c r="X137" s="22">
        <v>-0.12551051656011281</v>
      </c>
    </row>
    <row r="138" spans="1:24" x14ac:dyDescent="0.35">
      <c r="A138" s="22">
        <v>0.93956545741081499</v>
      </c>
      <c r="B138" s="22">
        <v>0.79086971253527782</v>
      </c>
      <c r="C138" s="22">
        <v>0.19671707516757059</v>
      </c>
      <c r="D138" s="22">
        <v>1.35080581902488</v>
      </c>
      <c r="E138" s="22">
        <v>0.48235401721365634</v>
      </c>
      <c r="F138" s="22">
        <v>-0.24934402723636667</v>
      </c>
      <c r="G138" s="22">
        <v>-0.38285465068939734</v>
      </c>
      <c r="H138" s="22">
        <v>-0.62884270243224261</v>
      </c>
      <c r="I138" s="22">
        <v>0.10888837837147308</v>
      </c>
      <c r="J138" s="22">
        <v>1.2296279692308587</v>
      </c>
      <c r="K138" s="22">
        <v>0.70496608244195536</v>
      </c>
      <c r="L138" s="22">
        <v>0.54921464889255023</v>
      </c>
      <c r="M138" s="22">
        <v>0.77289758322116087</v>
      </c>
      <c r="N138" s="22">
        <v>-0.47931010886020187</v>
      </c>
      <c r="O138" s="22">
        <v>-0.66113260347493419</v>
      </c>
      <c r="P138" s="22">
        <v>0.804358132425535</v>
      </c>
      <c r="Q138" s="22">
        <v>0.99942794595928042</v>
      </c>
      <c r="R138" s="22">
        <v>-1.2416906645833672</v>
      </c>
      <c r="S138" s="22">
        <v>0.75372583790960956</v>
      </c>
      <c r="T138" s="22">
        <v>-2.0170812310635586</v>
      </c>
      <c r="U138" s="22">
        <v>-1.2827568891011465</v>
      </c>
      <c r="V138" s="22">
        <v>0.52364975757574428</v>
      </c>
      <c r="W138" s="22">
        <v>0.42510705141420763</v>
      </c>
      <c r="X138" s="22">
        <v>-0.9522335484725315</v>
      </c>
    </row>
    <row r="139" spans="1:24" x14ac:dyDescent="0.35">
      <c r="A139" s="22">
        <v>-0.79942933475293121</v>
      </c>
      <c r="B139" s="22">
        <v>1.2947742550325583</v>
      </c>
      <c r="C139" s="22">
        <v>-6.8558359081235767E-2</v>
      </c>
      <c r="D139" s="22">
        <v>-0.48537916103551698</v>
      </c>
      <c r="E139" s="22">
        <v>0.34860293085656013</v>
      </c>
      <c r="F139" s="22">
        <v>-0.43629383720328435</v>
      </c>
      <c r="G139" s="22">
        <v>-1.4598647649192358</v>
      </c>
      <c r="H139" s="22">
        <v>-1.4414659733758015</v>
      </c>
      <c r="I139" s="22">
        <v>0.59959334504770245</v>
      </c>
      <c r="J139" s="22">
        <v>-0.46475879120406077</v>
      </c>
      <c r="K139" s="22">
        <v>-1.3123792457596097</v>
      </c>
      <c r="L139" s="22">
        <v>-0.72199893553971017</v>
      </c>
      <c r="M139" s="22">
        <v>-1.3878789606741539</v>
      </c>
      <c r="N139" s="22">
        <v>0.78737538823186159</v>
      </c>
      <c r="O139" s="22">
        <v>-0.96211681586721343</v>
      </c>
      <c r="P139" s="22">
        <v>-2.8828465647320691E-2</v>
      </c>
      <c r="Q139" s="22">
        <v>-2.3276554271377239</v>
      </c>
      <c r="R139" s="22">
        <v>1.4738982925785675</v>
      </c>
      <c r="S139" s="22">
        <v>-0.88637800175331272</v>
      </c>
      <c r="T139" s="22">
        <v>-0.25340170323897948</v>
      </c>
      <c r="U139" s="22">
        <v>-0.8198320010200304</v>
      </c>
      <c r="V139" s="22">
        <v>-9.8735354464824523E-2</v>
      </c>
      <c r="W139" s="22">
        <v>-0.40892517860647554</v>
      </c>
      <c r="X139" s="22">
        <v>2.1805276510279854</v>
      </c>
    </row>
    <row r="140" spans="1:24" x14ac:dyDescent="0.35">
      <c r="A140" s="22">
        <v>1.1151100796635205</v>
      </c>
      <c r="B140" s="22">
        <v>0.96409954612068161</v>
      </c>
      <c r="C140" s="22">
        <v>6.0375811865641713E-2</v>
      </c>
      <c r="D140" s="22">
        <v>-1.4090551468198804</v>
      </c>
      <c r="E140" s="22">
        <v>-0.60504057476797446</v>
      </c>
      <c r="F140" s="22">
        <v>0.9278058158134932</v>
      </c>
      <c r="G140" s="22">
        <v>0.83863510810608621</v>
      </c>
      <c r="H140" s="22">
        <v>0.35804962935608703</v>
      </c>
      <c r="I140" s="22">
        <v>5.6714055736359376E-2</v>
      </c>
      <c r="J140" s="22">
        <v>-0.20403970050829406</v>
      </c>
      <c r="K140" s="22">
        <v>-0.46150771270929369</v>
      </c>
      <c r="L140" s="22">
        <v>-0.30633436501628325</v>
      </c>
      <c r="M140" s="22">
        <v>-2.5597567977066387</v>
      </c>
      <c r="N140" s="22">
        <v>5.916463973186694E-2</v>
      </c>
      <c r="O140" s="22">
        <v>1.5652319842736404</v>
      </c>
      <c r="P140" s="22">
        <v>0.34990544622583708</v>
      </c>
      <c r="Q140" s="22">
        <v>0.17829079922404803</v>
      </c>
      <c r="R140" s="22">
        <v>5.3033434257054153E-2</v>
      </c>
      <c r="S140" s="22">
        <v>0.52211032004057123</v>
      </c>
      <c r="T140" s="22">
        <v>-1.8776487585122514</v>
      </c>
      <c r="U140" s="22">
        <v>-0.84520874190763662</v>
      </c>
      <c r="V140" s="22">
        <v>2.6093416601846946</v>
      </c>
      <c r="W140" s="22">
        <v>0.84715345907939277</v>
      </c>
      <c r="X140" s="22">
        <v>-0.49345432531636274</v>
      </c>
    </row>
    <row r="141" spans="1:24" x14ac:dyDescent="0.35">
      <c r="A141" s="22">
        <v>-0.82999204761814094</v>
      </c>
      <c r="B141" s="22">
        <v>0.27629447423941322</v>
      </c>
      <c r="C141" s="22">
        <v>-0.19169521693479943</v>
      </c>
      <c r="D141" s="22">
        <v>-1.0183042646317113</v>
      </c>
      <c r="E141" s="22">
        <v>-1.1629765435292023</v>
      </c>
      <c r="F141" s="22">
        <v>-0.84345939582489926</v>
      </c>
      <c r="G141" s="22">
        <v>0.76633278888924294</v>
      </c>
      <c r="H141" s="22">
        <v>-0.16706011787119526</v>
      </c>
      <c r="I141" s="22">
        <v>-0.15220665359684649</v>
      </c>
      <c r="J141" s="22">
        <v>0.39227061651423162</v>
      </c>
      <c r="K141" s="22">
        <v>0.57632088395966641</v>
      </c>
      <c r="L141" s="22">
        <v>1.4274890046100142</v>
      </c>
      <c r="M141" s="22">
        <v>1.1347996661273327</v>
      </c>
      <c r="N141" s="22">
        <v>1.4459428443422935</v>
      </c>
      <c r="O141" s="22">
        <v>-0.494210998706272</v>
      </c>
      <c r="P141" s="22">
        <v>-0.47035554359143777</v>
      </c>
      <c r="Q141" s="22">
        <v>1.2450798056161703</v>
      </c>
      <c r="R141" s="22">
        <v>0.80214273678854442</v>
      </c>
      <c r="S141" s="22">
        <v>7.2838018199006802E-2</v>
      </c>
      <c r="T141" s="22">
        <v>0.2773622489251929</v>
      </c>
      <c r="U141" s="22">
        <v>1.7279489274750814</v>
      </c>
      <c r="V141" s="22">
        <v>0.27044722736194615</v>
      </c>
      <c r="W141" s="22">
        <v>-0.33580943460368878</v>
      </c>
      <c r="X141" s="22">
        <v>-0.85532725361856754</v>
      </c>
    </row>
    <row r="142" spans="1:24" x14ac:dyDescent="0.35">
      <c r="A142" s="22">
        <v>0.47526601170032412</v>
      </c>
      <c r="B142" s="22">
        <v>-0.62384586204724135</v>
      </c>
      <c r="C142" s="22">
        <v>0.3920368215699977</v>
      </c>
      <c r="D142" s="22">
        <v>-4.5048787411784134E-2</v>
      </c>
      <c r="E142" s="22">
        <v>-1.138724566830992</v>
      </c>
      <c r="F142" s="22">
        <v>-0.48024935651563949</v>
      </c>
      <c r="G142" s="22">
        <v>0.46365163876659343</v>
      </c>
      <c r="H142" s="22">
        <v>1.4222067596562691</v>
      </c>
      <c r="I142" s="22">
        <v>0.21795575776137316</v>
      </c>
      <c r="J142" s="22">
        <v>-0.30209803300639626</v>
      </c>
      <c r="K142" s="22">
        <v>-0.4470393115361096</v>
      </c>
      <c r="L142" s="22">
        <v>-0.54027000476381137</v>
      </c>
      <c r="M142" s="22">
        <v>-1.7418831495327451</v>
      </c>
      <c r="N142" s="22">
        <v>1.1600625124547139</v>
      </c>
      <c r="O142" s="22">
        <v>-0.35898407361866991</v>
      </c>
      <c r="P142" s="22">
        <v>0.43136118627906839</v>
      </c>
      <c r="Q142" s="22">
        <v>-1.3032895599275836</v>
      </c>
      <c r="R142" s="22">
        <v>0.18646868713361575</v>
      </c>
      <c r="S142" s="22">
        <v>-0.24176992972573066</v>
      </c>
      <c r="T142" s="22">
        <v>-0.42394494680339229</v>
      </c>
      <c r="U142" s="22">
        <v>-0.24478130213910609</v>
      </c>
      <c r="V142" s="22">
        <v>-0.97858262108154515</v>
      </c>
      <c r="W142" s="22">
        <v>-0.84582819596931791</v>
      </c>
      <c r="X142" s="22">
        <v>-1.287628522611115</v>
      </c>
    </row>
    <row r="143" spans="1:24" x14ac:dyDescent="0.35">
      <c r="A143" s="22">
        <v>1.0800749497327498</v>
      </c>
      <c r="B143" s="22">
        <v>0.56710846276757321</v>
      </c>
      <c r="C143" s="22">
        <v>0.38024545232050272</v>
      </c>
      <c r="D143" s="22">
        <v>-1.2444499013117134</v>
      </c>
      <c r="E143" s="22">
        <v>0.67996903112210316</v>
      </c>
      <c r="F143" s="22">
        <v>-1.142760312786151</v>
      </c>
      <c r="G143" s="22">
        <v>-0.25351537641241251</v>
      </c>
      <c r="H143" s="22">
        <v>-1.2757852944960355</v>
      </c>
      <c r="I143" s="22">
        <v>-0.89612171852922862</v>
      </c>
      <c r="J143" s="22">
        <v>1.2028143754383898</v>
      </c>
      <c r="K143" s="22">
        <v>1.2509808544756835</v>
      </c>
      <c r="L143" s="22">
        <v>1.1837611214391215</v>
      </c>
      <c r="M143" s="22">
        <v>7.2241066406741397E-2</v>
      </c>
      <c r="N143" s="22">
        <v>7.8508683462943322E-3</v>
      </c>
      <c r="O143" s="22">
        <v>-0.2540111367189119</v>
      </c>
      <c r="P143" s="22">
        <v>0.74150801792397791</v>
      </c>
      <c r="Q143" s="22">
        <v>-1.2270286599569686</v>
      </c>
      <c r="R143" s="22">
        <v>-2.0568560389271866</v>
      </c>
      <c r="S143" s="22">
        <v>0.86283516022791729</v>
      </c>
      <c r="T143" s="22">
        <v>-1.0682968109797941</v>
      </c>
      <c r="U143" s="22">
        <v>2.571133072825619</v>
      </c>
      <c r="V143" s="22">
        <v>-1.0458875184017156</v>
      </c>
      <c r="W143" s="22">
        <v>-0.91654961476771657</v>
      </c>
      <c r="X143" s="22">
        <v>0.19705701253373889</v>
      </c>
    </row>
    <row r="144" spans="1:24" x14ac:dyDescent="0.35">
      <c r="A144" s="22">
        <v>-1.4963117258154854</v>
      </c>
      <c r="B144" s="22">
        <v>-0.5170917934535616</v>
      </c>
      <c r="C144" s="22">
        <v>-1.1791573989716477</v>
      </c>
      <c r="D144" s="22">
        <v>-3.5351176253201076E-2</v>
      </c>
      <c r="E144" s="22">
        <v>-0.30951214065850502</v>
      </c>
      <c r="F144" s="22">
        <v>0.17760777331497229</v>
      </c>
      <c r="G144" s="22">
        <v>0.71030379672587163</v>
      </c>
      <c r="H144" s="22">
        <v>-1.1065713858624986</v>
      </c>
      <c r="I144" s="22">
        <v>5.1011676794618779E-2</v>
      </c>
      <c r="J144" s="22">
        <v>0.79502087632458074</v>
      </c>
      <c r="K144" s="22">
        <v>0.3466923293034051</v>
      </c>
      <c r="L144" s="22">
        <v>0.33434983773988847</v>
      </c>
      <c r="M144" s="22">
        <v>4.2093566092678519E-4</v>
      </c>
      <c r="N144" s="22">
        <v>-0.19835403065068677</v>
      </c>
      <c r="O144" s="22">
        <v>1.2862351774241396</v>
      </c>
      <c r="P144" s="22">
        <v>-0.60140614119856084</v>
      </c>
      <c r="Q144" s="22">
        <v>0.601082183511643</v>
      </c>
      <c r="R144" s="22">
        <v>0.48947862148308441</v>
      </c>
      <c r="S144" s="22">
        <v>1.6904716170905105</v>
      </c>
      <c r="T144" s="22">
        <v>-1.0525677989919566</v>
      </c>
      <c r="U144" s="22">
        <v>1.6797071178709797</v>
      </c>
      <c r="V144" s="22">
        <v>0.31343460471467444</v>
      </c>
      <c r="W144" s="22">
        <v>-1.5900843564275908</v>
      </c>
      <c r="X144" s="22">
        <v>-0.66464795168372637</v>
      </c>
    </row>
    <row r="145" spans="1:24" x14ac:dyDescent="0.35">
      <c r="A145" s="22">
        <v>-2.8032027476716445E-2</v>
      </c>
      <c r="B145" s="22">
        <v>-0.13644871910326464</v>
      </c>
      <c r="C145" s="22">
        <v>-1.1064685952124078</v>
      </c>
      <c r="D145" s="22">
        <v>-0.38982180533878585</v>
      </c>
      <c r="E145" s="22">
        <v>-6.8474421448250722E-2</v>
      </c>
      <c r="F145" s="22">
        <v>0.72047755015354031</v>
      </c>
      <c r="G145" s="22">
        <v>0.34101249058005323</v>
      </c>
      <c r="H145" s="22">
        <v>0.58462198682096456</v>
      </c>
      <c r="I145" s="22">
        <v>-0.37009318511183181</v>
      </c>
      <c r="J145" s="22">
        <v>0.39093224210876731</v>
      </c>
      <c r="K145" s="22">
        <v>7.6514889164227662E-2</v>
      </c>
      <c r="L145" s="22">
        <v>-0.27878812408408782</v>
      </c>
      <c r="M145" s="22">
        <v>0.44603031759123846</v>
      </c>
      <c r="N145" s="22">
        <v>0.56471210703761276</v>
      </c>
      <c r="O145" s="22">
        <v>0.32158566131234767</v>
      </c>
      <c r="P145" s="22">
        <v>0.4520990357846198</v>
      </c>
      <c r="Q145" s="22">
        <v>-0.71849358411401687</v>
      </c>
      <c r="R145" s="22">
        <v>0.82552403379674189</v>
      </c>
      <c r="S145" s="22">
        <v>-0.58670307465993676</v>
      </c>
      <c r="T145" s="22">
        <v>1.5848768465411329</v>
      </c>
      <c r="U145" s="22">
        <v>-0.18328235548742575</v>
      </c>
      <c r="V145" s="22">
        <v>-0.76069140075173414</v>
      </c>
      <c r="W145" s="22">
        <v>1.0040832825698138</v>
      </c>
      <c r="X145" s="22">
        <v>0.80290005264685516</v>
      </c>
    </row>
    <row r="146" spans="1:24" x14ac:dyDescent="0.35">
      <c r="A146" s="22">
        <v>9.9724897420412295E-2</v>
      </c>
      <c r="B146" s="22">
        <v>-0.1415358181662528</v>
      </c>
      <c r="C146" s="22">
        <v>-1.3195158858931859</v>
      </c>
      <c r="D146" s="22">
        <v>0.83577344878404669</v>
      </c>
      <c r="E146" s="22">
        <v>1.6967939373154299</v>
      </c>
      <c r="F146" s="22">
        <v>-1.1337329256158943</v>
      </c>
      <c r="G146" s="22">
        <v>0.87845299320508097</v>
      </c>
      <c r="H146" s="22">
        <v>-0.61199495548156646</v>
      </c>
      <c r="I146" s="22">
        <v>-1.7286321363668646</v>
      </c>
      <c r="J146" s="22">
        <v>0.82086020800009651</v>
      </c>
      <c r="K146" s="22">
        <v>-0.55490548735200906</v>
      </c>
      <c r="L146" s="22">
        <v>1.0222291302019886</v>
      </c>
      <c r="M146" s="22">
        <v>-0.14202204724825984</v>
      </c>
      <c r="N146" s="22">
        <v>-0.7724401929408522</v>
      </c>
      <c r="O146" s="22">
        <v>0.21049776795900854</v>
      </c>
      <c r="P146" s="22">
        <v>-0.96309483831792642</v>
      </c>
      <c r="Q146" s="22">
        <v>-0.33563723909699489</v>
      </c>
      <c r="R146" s="22">
        <v>0.24693079975912208</v>
      </c>
      <c r="S146" s="22">
        <v>1.8234268635279003</v>
      </c>
      <c r="T146" s="22">
        <v>-0.84690435407077092</v>
      </c>
      <c r="U146" s="22">
        <v>1.0178347091410598</v>
      </c>
      <c r="V146" s="22">
        <v>0.67050901725926915</v>
      </c>
      <c r="W146" s="22">
        <v>-1.863562783464829</v>
      </c>
      <c r="X146" s="22">
        <v>1.194749950283382</v>
      </c>
    </row>
    <row r="147" spans="1:24" x14ac:dyDescent="0.35">
      <c r="A147" s="22">
        <v>1.4407308399025808E-2</v>
      </c>
      <c r="B147" s="22">
        <v>-0.97524200903230052</v>
      </c>
      <c r="C147" s="22">
        <v>8.3286693581544849E-2</v>
      </c>
      <c r="D147" s="22">
        <v>1.6237530878926463</v>
      </c>
      <c r="E147" s="22">
        <v>-1.1930745561809679</v>
      </c>
      <c r="F147" s="22">
        <v>-0.19166354947866565</v>
      </c>
      <c r="G147" s="22">
        <v>0.57858672610255202</v>
      </c>
      <c r="H147" s="22">
        <v>2.653077595041561</v>
      </c>
      <c r="I147" s="22">
        <v>1.9232582083615732</v>
      </c>
      <c r="J147" s="22">
        <v>-0.12920294049399514</v>
      </c>
      <c r="K147" s="22">
        <v>1.2586437550437002</v>
      </c>
      <c r="L147" s="22">
        <v>0.78420426162569457</v>
      </c>
      <c r="M147" s="22">
        <v>-0.13395564380472827</v>
      </c>
      <c r="N147" s="22">
        <v>-0.39918693029768831</v>
      </c>
      <c r="O147" s="22">
        <v>-1.8581510539814863</v>
      </c>
      <c r="P147" s="22">
        <v>3.3616626028238943E-2</v>
      </c>
      <c r="Q147" s="22">
        <v>0.6273611709495448</v>
      </c>
      <c r="R147" s="22">
        <v>-0.66278827468173707</v>
      </c>
      <c r="S147" s="22">
        <v>1.0680955457357624</v>
      </c>
      <c r="T147" s="22">
        <v>-0.77415194514492436</v>
      </c>
      <c r="U147" s="22">
        <v>1.1000530910481372</v>
      </c>
      <c r="V147" s="22">
        <v>-1.1847775680625616</v>
      </c>
      <c r="W147" s="22">
        <v>1.2682218313138915</v>
      </c>
      <c r="X147" s="22">
        <v>7.8001827798875004E-2</v>
      </c>
    </row>
    <row r="148" spans="1:24" x14ac:dyDescent="0.35">
      <c r="A148" s="22">
        <v>-0.79581504407706516</v>
      </c>
      <c r="B148" s="22">
        <v>-0.63695001057179745</v>
      </c>
      <c r="C148" s="22">
        <v>0.93107155568637445</v>
      </c>
      <c r="D148" s="22">
        <v>-0.50793353643709893</v>
      </c>
      <c r="E148" s="22">
        <v>1.0863235338461308</v>
      </c>
      <c r="F148" s="22">
        <v>-0.3012222840134442</v>
      </c>
      <c r="G148" s="22">
        <v>-2.2131207171258107</v>
      </c>
      <c r="H148" s="22">
        <v>-1.4469651572182358</v>
      </c>
      <c r="I148" s="22">
        <v>0.71202126319282222</v>
      </c>
      <c r="J148" s="22">
        <v>1.3480018684214781</v>
      </c>
      <c r="K148" s="22">
        <v>-1.3045487186196831</v>
      </c>
      <c r="L148" s="22">
        <v>-1.6257262562088335</v>
      </c>
      <c r="M148" s="22">
        <v>0.5212146274182039</v>
      </c>
      <c r="N148" s="22">
        <v>-1.4035253585312866</v>
      </c>
      <c r="O148" s="22">
        <v>-0.63911009632187055</v>
      </c>
      <c r="P148" s="22">
        <v>-0.7628557425788931</v>
      </c>
      <c r="Q148" s="22">
        <v>-1.1104656906915606</v>
      </c>
      <c r="R148" s="22">
        <v>0.74101481140983794</v>
      </c>
      <c r="S148" s="22">
        <v>-0.69064327764669542</v>
      </c>
      <c r="T148" s="22">
        <v>4.1556951713890306E-3</v>
      </c>
      <c r="U148" s="22">
        <v>0.76548425363230133</v>
      </c>
      <c r="V148" s="22">
        <v>-0.98876290791822152</v>
      </c>
      <c r="W148" s="22">
        <v>1.4498469188636212</v>
      </c>
      <c r="X148" s="22">
        <v>-0.81736605570608645</v>
      </c>
    </row>
    <row r="149" spans="1:24" x14ac:dyDescent="0.35">
      <c r="A149" s="22">
        <v>1.946152052846597</v>
      </c>
      <c r="B149" s="22">
        <v>1.0998501003617529</v>
      </c>
      <c r="C149" s="22">
        <v>1.0140401357827429</v>
      </c>
      <c r="D149" s="22">
        <v>0.44753335157333385</v>
      </c>
      <c r="E149" s="22">
        <v>-0.33473389291958305</v>
      </c>
      <c r="F149" s="22">
        <v>0.94053199879720661</v>
      </c>
      <c r="G149" s="22">
        <v>0.84881413570946673</v>
      </c>
      <c r="H149" s="22">
        <v>0.7884423685050671</v>
      </c>
      <c r="I149" s="22">
        <v>-3.740594925291512E-2</v>
      </c>
      <c r="J149" s="22">
        <v>0.41081861855515711</v>
      </c>
      <c r="K149" s="22">
        <v>0.56521239280807667</v>
      </c>
      <c r="L149" s="22">
        <v>-1.3770889232719614</v>
      </c>
      <c r="M149" s="22">
        <v>-2.278443220052373</v>
      </c>
      <c r="N149" s="22">
        <v>-0.45211458820554429</v>
      </c>
      <c r="O149" s="22">
        <v>-0.64716480631675211</v>
      </c>
      <c r="P149" s="22">
        <v>-1.110482490618929</v>
      </c>
      <c r="Q149" s="22">
        <v>5.1067335022402072E-2</v>
      </c>
      <c r="R149" s="22">
        <v>0.34507942076239934</v>
      </c>
      <c r="S149" s="22">
        <v>1.0979087390313345</v>
      </c>
      <c r="T149" s="22">
        <v>1.792439052161501</v>
      </c>
      <c r="U149" s="22">
        <v>0.60334758354740414</v>
      </c>
      <c r="V149" s="22">
        <v>0.9819094763996522</v>
      </c>
      <c r="W149" s="22">
        <v>0.42620482490890255</v>
      </c>
      <c r="X149" s="22">
        <v>-0.614338550937091</v>
      </c>
    </row>
    <row r="150" spans="1:24" x14ac:dyDescent="0.35">
      <c r="A150" s="22">
        <v>-8.759283920708889E-3</v>
      </c>
      <c r="B150" s="22">
        <v>-0.78309350778552145</v>
      </c>
      <c r="C150" s="22">
        <v>-1.9738188614509631</v>
      </c>
      <c r="D150" s="22">
        <v>-0.49112185149310639</v>
      </c>
      <c r="E150" s="22">
        <v>-0.66227948778650947</v>
      </c>
      <c r="F150" s="22">
        <v>-0.89452270490708574</v>
      </c>
      <c r="G150" s="22">
        <v>1.3869048863809206</v>
      </c>
      <c r="H150" s="22">
        <v>0.36494164638524734</v>
      </c>
      <c r="I150" s="22">
        <v>0.82874829249816362</v>
      </c>
      <c r="J150" s="22">
        <v>-2.3681315500363995</v>
      </c>
      <c r="K150" s="22">
        <v>0.20229259433521357</v>
      </c>
      <c r="L150" s="22">
        <v>1.5187108554833144</v>
      </c>
      <c r="M150" s="22">
        <v>1.3932840720273121</v>
      </c>
      <c r="N150" s="22">
        <v>-0.58606946106284874</v>
      </c>
      <c r="O150" s="22">
        <v>9.2453687937337256E-2</v>
      </c>
      <c r="P150" s="22">
        <v>0.65829320163540517</v>
      </c>
      <c r="Q150" s="22">
        <v>0.18944515238231938</v>
      </c>
      <c r="R150" s="22">
        <v>-0.94444066007586247</v>
      </c>
      <c r="S150" s="22">
        <v>1.2871049158477073</v>
      </c>
      <c r="T150" s="22">
        <v>-0.49725989077203298</v>
      </c>
      <c r="U150" s="22">
        <v>-0.53469756831469983</v>
      </c>
      <c r="V150" s="22">
        <v>-1.598233503087948</v>
      </c>
      <c r="W150" s="22">
        <v>-1.8033654487863087</v>
      </c>
      <c r="X150" s="22">
        <v>-0.65268580876155435</v>
      </c>
    </row>
    <row r="151" spans="1:24" x14ac:dyDescent="0.35">
      <c r="A151" s="22">
        <v>0.22951628909323618</v>
      </c>
      <c r="B151" s="22">
        <v>1.3148583896872184</v>
      </c>
      <c r="C151" s="22">
        <v>-0.26935122334315059</v>
      </c>
      <c r="D151" s="22">
        <v>-0.72303976136216608</v>
      </c>
      <c r="E151" s="22">
        <v>1.5398349197331795</v>
      </c>
      <c r="F151" s="22">
        <v>-0.95255042224097619</v>
      </c>
      <c r="G151" s="22">
        <v>0.24171064835215397</v>
      </c>
      <c r="H151" s="22">
        <v>1.0744714426618032</v>
      </c>
      <c r="I151" s="22">
        <v>1.1260855744039933</v>
      </c>
      <c r="J151" s="22">
        <v>-0.82278220100732258</v>
      </c>
      <c r="K151" s="22">
        <v>2.741948055785802</v>
      </c>
      <c r="L151" s="22">
        <v>0.10723329866909304</v>
      </c>
      <c r="M151" s="22">
        <v>-2.1993694384622842</v>
      </c>
      <c r="N151" s="22">
        <v>0.35337210551357878</v>
      </c>
      <c r="O151" s="22">
        <v>0.16435430700745635</v>
      </c>
      <c r="P151" s="22">
        <v>-1.2141856699149915</v>
      </c>
      <c r="Q151" s="22">
        <v>0.8366152694700113</v>
      </c>
      <c r="R151" s="22">
        <v>0.94572276135919109</v>
      </c>
      <c r="S151" s="22">
        <v>-0.36709665164695948</v>
      </c>
      <c r="T151" s="22">
        <v>-0.8222441125127502</v>
      </c>
      <c r="U151" s="22">
        <v>-0.55003212753262543</v>
      </c>
      <c r="V151" s="22">
        <v>-1.3023688696341453</v>
      </c>
      <c r="W151" s="22">
        <v>1.1340509122856868</v>
      </c>
      <c r="X151" s="22">
        <v>0.68391545023261269</v>
      </c>
    </row>
    <row r="152" spans="1:24" x14ac:dyDescent="0.35">
      <c r="A152" s="22">
        <v>0.31856083851212802</v>
      </c>
      <c r="B152" s="22">
        <v>-1.9652836568159635</v>
      </c>
      <c r="C152" s="22">
        <v>0.23323150648656193</v>
      </c>
      <c r="D152" s="22">
        <v>-0.83605182094200381</v>
      </c>
      <c r="E152" s="22">
        <v>-1.3780344262436541</v>
      </c>
      <c r="F152" s="22">
        <v>1.6794088912047411</v>
      </c>
      <c r="G152" s="22">
        <v>-1.4503262024506181</v>
      </c>
      <c r="H152" s="22">
        <v>1.1733579338851394</v>
      </c>
      <c r="I152" s="22">
        <v>0.42564826352073398</v>
      </c>
      <c r="J152" s="22">
        <v>0.17931115002876502</v>
      </c>
      <c r="K152" s="22">
        <v>-0.95945313787981534</v>
      </c>
      <c r="L152" s="22">
        <v>1.2427474246843087</v>
      </c>
      <c r="M152" s="22">
        <v>-0.27980946346893598</v>
      </c>
      <c r="N152" s="22">
        <v>2.1269534096235794</v>
      </c>
      <c r="O152" s="22">
        <v>-2.1252240603830716E-3</v>
      </c>
      <c r="P152" s="22">
        <v>0.71786014417195365</v>
      </c>
      <c r="Q152" s="22">
        <v>-0.94771665147980011</v>
      </c>
      <c r="R152" s="22">
        <v>0.21989200943280382</v>
      </c>
      <c r="S152" s="22">
        <v>-0.40086946046553529</v>
      </c>
      <c r="T152" s="22">
        <v>-0.8559467743304765</v>
      </c>
      <c r="U152" s="22">
        <v>0.89000146539397773</v>
      </c>
      <c r="V152" s="22">
        <v>0.21161073696070151</v>
      </c>
      <c r="W152" s="22">
        <v>-0.33449165383011792</v>
      </c>
      <c r="X152" s="22">
        <v>-2.178607466210396</v>
      </c>
    </row>
    <row r="153" spans="1:24" x14ac:dyDescent="0.35">
      <c r="A153" s="22">
        <v>1.6513004649897509</v>
      </c>
      <c r="B153" s="22">
        <v>-1.0192040512973886</v>
      </c>
      <c r="C153" s="22">
        <v>0.17626462348730101</v>
      </c>
      <c r="D153" s="22">
        <v>1.9165745385368407</v>
      </c>
      <c r="E153" s="22">
        <v>0.77309324884296249</v>
      </c>
      <c r="F153" s="22">
        <v>-0.74102536129613261</v>
      </c>
      <c r="G153" s="22">
        <v>1.6538071563586227</v>
      </c>
      <c r="H153" s="22">
        <v>1.1706568693403445</v>
      </c>
      <c r="I153" s="22">
        <v>0.86608150330009503</v>
      </c>
      <c r="J153" s="22">
        <v>-1.1060166931955455</v>
      </c>
      <c r="K153" s="22">
        <v>-1.0428972834857666</v>
      </c>
      <c r="L153" s="22">
        <v>-1.3729658955156951</v>
      </c>
      <c r="M153" s="22">
        <v>0.15317318911904609</v>
      </c>
      <c r="N153" s="22">
        <v>-0.4979619458220616</v>
      </c>
      <c r="O153" s="22">
        <v>-1.3379002608007513</v>
      </c>
      <c r="P153" s="22">
        <v>0.24958262207607737</v>
      </c>
      <c r="Q153" s="22">
        <v>-1.9561177890843744</v>
      </c>
      <c r="R153" s="22">
        <v>1.0760331791433519</v>
      </c>
      <c r="S153" s="22">
        <v>0.16450712028237802</v>
      </c>
      <c r="T153" s="22">
        <v>0.75505923342921244</v>
      </c>
      <c r="U153" s="22">
        <v>0.45940840921894438</v>
      </c>
      <c r="V153" s="22">
        <v>-2.2286908325274086</v>
      </c>
      <c r="W153" s="22">
        <v>0.92764675417924436</v>
      </c>
      <c r="X153" s="22">
        <v>1.2179645962746084</v>
      </c>
    </row>
    <row r="154" spans="1:24" x14ac:dyDescent="0.35">
      <c r="A154" s="22">
        <v>0.2635449580578238</v>
      </c>
      <c r="B154" s="22">
        <v>1.2905245400718761</v>
      </c>
      <c r="C154" s="22">
        <v>-0.45427388267248675</v>
      </c>
      <c r="D154" s="22">
        <v>0.57619722481981173</v>
      </c>
      <c r="E154" s="22">
        <v>-0.50306563992712761</v>
      </c>
      <c r="F154" s="22">
        <v>-0.88821906332136857</v>
      </c>
      <c r="G154" s="22">
        <v>0.61629863174731137</v>
      </c>
      <c r="H154" s="22">
        <v>-0.59212608110275122</v>
      </c>
      <c r="I154" s="22">
        <v>-0.45468486054992002</v>
      </c>
      <c r="J154" s="22">
        <v>0.99573126423981906</v>
      </c>
      <c r="K154" s="22">
        <v>2.0462400782380601</v>
      </c>
      <c r="L154" s="22">
        <v>-0.39452044968158306</v>
      </c>
      <c r="M154" s="22">
        <v>-0.91558077474326283</v>
      </c>
      <c r="N154" s="22">
        <v>0.19097538791359808</v>
      </c>
      <c r="O154" s="22">
        <v>1.522426379674813</v>
      </c>
      <c r="P154" s="22">
        <v>-0.90250580251707835</v>
      </c>
      <c r="Q154" s="22">
        <v>-0.49084116039700554</v>
      </c>
      <c r="R154" s="22">
        <v>-0.86463997858446628</v>
      </c>
      <c r="S154" s="22">
        <v>-0.33815450969708205</v>
      </c>
      <c r="T154" s="22">
        <v>1.4250176331608448</v>
      </c>
      <c r="U154" s="22">
        <v>-1.5697645045435917</v>
      </c>
      <c r="V154" s="22">
        <v>0.47049783393154893</v>
      </c>
      <c r="W154" s="22">
        <v>-1.0275645335164325</v>
      </c>
      <c r="X154" s="22">
        <v>-0.47944009068954108</v>
      </c>
    </row>
    <row r="155" spans="1:24" x14ac:dyDescent="0.35">
      <c r="A155" s="22">
        <v>0.86770422230250943</v>
      </c>
      <c r="B155" s="22">
        <v>-0.7797976625219295</v>
      </c>
      <c r="C155" s="22">
        <v>1.5175636330219655</v>
      </c>
      <c r="D155" s="22">
        <v>-1.6434232189416378</v>
      </c>
      <c r="E155" s="22">
        <v>-1.4379527911704282</v>
      </c>
      <c r="F155" s="22">
        <v>1.5440492537575774</v>
      </c>
      <c r="G155" s="22">
        <v>-0.28308212827572582</v>
      </c>
      <c r="H155" s="22">
        <v>-2.0923383261589441</v>
      </c>
      <c r="I155" s="22">
        <v>5.8925391318774563E-2</v>
      </c>
      <c r="J155" s="22">
        <v>-0.57227610160520981</v>
      </c>
      <c r="K155" s="22">
        <v>3.0383137750135951E-2</v>
      </c>
      <c r="L155" s="22">
        <v>8.7343992171045173E-2</v>
      </c>
      <c r="M155" s="22">
        <v>0.55015177483748579</v>
      </c>
      <c r="N155" s="22">
        <v>-1.5809122121650352</v>
      </c>
      <c r="O155" s="22">
        <v>-1.3109096759775032</v>
      </c>
      <c r="P155" s="22">
        <v>-1.2719923426305437</v>
      </c>
      <c r="Q155" s="22">
        <v>1.4707713372919804</v>
      </c>
      <c r="R155" s="22">
        <v>-1.4175587079904985</v>
      </c>
      <c r="S155" s="22">
        <v>-0.51711658390470605</v>
      </c>
      <c r="T155" s="22">
        <v>0.60294312356800228</v>
      </c>
      <c r="U155" s="22">
        <v>-1.0904554320296533</v>
      </c>
      <c r="V155" s="22">
        <v>2.1714200212946365E-2</v>
      </c>
      <c r="W155" s="22">
        <v>0.10469969602178399</v>
      </c>
      <c r="X155" s="22">
        <v>9.9578546612039909E-2</v>
      </c>
    </row>
    <row r="156" spans="1:24" x14ac:dyDescent="0.35">
      <c r="A156" s="22">
        <v>1.4975069898055577</v>
      </c>
      <c r="B156" s="22">
        <v>0.77064435529724806</v>
      </c>
      <c r="C156" s="22">
        <v>-1.3112937352245349</v>
      </c>
      <c r="D156" s="22">
        <v>-0.73608420510929962</v>
      </c>
      <c r="E156" s="22">
        <v>0.95955519368767783</v>
      </c>
      <c r="F156" s="22">
        <v>0.47146152201108388</v>
      </c>
      <c r="G156" s="22">
        <v>-0.41312742467048463</v>
      </c>
      <c r="H156" s="22">
        <v>2.3584093099873495E-2</v>
      </c>
      <c r="I156" s="22">
        <v>-1.1509584370198371</v>
      </c>
      <c r="J156" s="22">
        <v>-8.6879730553639373E-2</v>
      </c>
      <c r="K156" s="22">
        <v>1.3862116210463999</v>
      </c>
      <c r="L156" s="22">
        <v>0.77310878128963101</v>
      </c>
      <c r="M156" s="22">
        <v>-0.79708806102262542</v>
      </c>
      <c r="N156" s="22">
        <v>-0.76833190330506185</v>
      </c>
      <c r="O156" s="22">
        <v>-0.63706164110563601</v>
      </c>
      <c r="P156" s="22">
        <v>-1.4359681864656959</v>
      </c>
      <c r="Q156" s="22">
        <v>1.3412218722843243</v>
      </c>
      <c r="R156" s="22">
        <v>-1.3364846604066771</v>
      </c>
      <c r="S156" s="22">
        <v>0.59441070498885817</v>
      </c>
      <c r="T156" s="22">
        <v>1.0139695906506179</v>
      </c>
      <c r="U156" s="22">
        <v>0.71002585221849701</v>
      </c>
      <c r="V156" s="22">
        <v>1.1803217803707553</v>
      </c>
      <c r="W156" s="22">
        <v>-0.13540227822353837</v>
      </c>
      <c r="X156" s="22">
        <v>0.46528500688140295</v>
      </c>
    </row>
    <row r="157" spans="1:24" x14ac:dyDescent="0.35">
      <c r="A157" s="22">
        <v>-0.57413535669524662</v>
      </c>
      <c r="B157" s="22">
        <v>1.4076041076246442</v>
      </c>
      <c r="C157" s="22">
        <v>1.4039398453547487</v>
      </c>
      <c r="D157" s="22">
        <v>0.18822716151108679</v>
      </c>
      <c r="E157" s="22">
        <v>2.0636698140573824</v>
      </c>
      <c r="F157" s="22">
        <v>-1.1300305515673936</v>
      </c>
      <c r="G157" s="22">
        <v>-0.1277642325773396</v>
      </c>
      <c r="H157" s="22">
        <v>-4.2834445836208435E-2</v>
      </c>
      <c r="I157" s="22">
        <v>-0.54005867313385869</v>
      </c>
      <c r="J157" s="22">
        <v>0.91223314781537357</v>
      </c>
      <c r="K157" s="22">
        <v>1.9433973302965235</v>
      </c>
      <c r="L157" s="22">
        <v>-1.2811082116317549</v>
      </c>
      <c r="M157" s="22">
        <v>-0.81588108841101714</v>
      </c>
      <c r="N157" s="22">
        <v>0.71176972180875997</v>
      </c>
      <c r="O157" s="22">
        <v>-0.68431242442653861</v>
      </c>
      <c r="P157" s="22">
        <v>-0.64212202326387458</v>
      </c>
      <c r="Q157" s="22">
        <v>1.2961656158899701</v>
      </c>
      <c r="R157" s="22">
        <v>-0.31392267424401127</v>
      </c>
      <c r="S157" s="22">
        <v>1.1325849550792757</v>
      </c>
      <c r="T157" s="22">
        <v>1.1748015530998899</v>
      </c>
      <c r="U157" s="22">
        <v>0.18099030233295033</v>
      </c>
      <c r="V157" s="22">
        <v>-0.87249802598094406</v>
      </c>
      <c r="W157" s="22">
        <v>2.0422606040719793</v>
      </c>
      <c r="X157" s="22">
        <v>-0.18568058249410052</v>
      </c>
    </row>
    <row r="158" spans="1:24" x14ac:dyDescent="0.35">
      <c r="A158" s="22">
        <v>-0.71005716952560383</v>
      </c>
      <c r="B158" s="22">
        <v>1.2114194666479492</v>
      </c>
      <c r="C158" s="22">
        <v>1.1005054239951328</v>
      </c>
      <c r="D158" s="22">
        <v>0.82228628396283343</v>
      </c>
      <c r="E158" s="22">
        <v>1.0757863727955908</v>
      </c>
      <c r="F158" s="22">
        <v>1.1429202015550293</v>
      </c>
      <c r="G158" s="22">
        <v>-0.31292883314309516</v>
      </c>
      <c r="H158" s="22">
        <v>1.1455024195357557</v>
      </c>
      <c r="I158" s="22">
        <v>-0.43775329079532183</v>
      </c>
      <c r="J158" s="22">
        <v>-1.1058091082092925</v>
      </c>
      <c r="K158" s="22">
        <v>1.0122139430396215</v>
      </c>
      <c r="L158" s="22">
        <v>0.93842237343989843</v>
      </c>
      <c r="M158" s="22">
        <v>0.70288781226023289</v>
      </c>
      <c r="N158" s="22">
        <v>-0.63042768325848986</v>
      </c>
      <c r="O158" s="22">
        <v>0.66110895992750685</v>
      </c>
      <c r="P158" s="22">
        <v>0.26374015972385706</v>
      </c>
      <c r="Q158" s="22">
        <v>-0.69732531942028975</v>
      </c>
      <c r="R158" s="22">
        <v>1.2612262169687658</v>
      </c>
      <c r="S158" s="22">
        <v>-4.6616189832705338E-2</v>
      </c>
      <c r="T158" s="22">
        <v>0.70057907266019537</v>
      </c>
      <c r="U158" s="22">
        <v>-0.13863440040581512</v>
      </c>
      <c r="V158" s="22">
        <v>0.83698739865576088</v>
      </c>
      <c r="W158" s="22">
        <v>-0.76331511919523476</v>
      </c>
      <c r="X158" s="22">
        <v>0.35928276479085197</v>
      </c>
    </row>
    <row r="159" spans="1:24" x14ac:dyDescent="0.35">
      <c r="A159" s="22">
        <v>9.2581144794691622E-2</v>
      </c>
      <c r="B159" s="22">
        <v>-0.72093169142387103</v>
      </c>
      <c r="C159" s="22">
        <v>4.3807055192353665E-2</v>
      </c>
      <c r="D159" s="22">
        <v>-7.4117113953610743E-3</v>
      </c>
      <c r="E159" s="22">
        <v>-0.55619982396305179</v>
      </c>
      <c r="F159" s="22">
        <v>-1.422505745426732</v>
      </c>
      <c r="G159" s="22">
        <v>-1.2028514056509865</v>
      </c>
      <c r="H159" s="22">
        <v>0.1958804934433048</v>
      </c>
      <c r="I159" s="22">
        <v>-1.6062757826513052</v>
      </c>
      <c r="J159" s="22">
        <v>-0.33675477998811792</v>
      </c>
      <c r="K159" s="22">
        <v>-0.29632717203615572</v>
      </c>
      <c r="L159" s="22">
        <v>1.5238742139779244</v>
      </c>
      <c r="M159" s="22">
        <v>-1.1420116603565049</v>
      </c>
      <c r="N159" s="22">
        <v>-1.4149171811222527</v>
      </c>
      <c r="O159" s="22">
        <v>-0.13286678803225629</v>
      </c>
      <c r="P159" s="22">
        <v>0.13310886657041648</v>
      </c>
      <c r="Q159" s="22">
        <v>-0.75423789702955368</v>
      </c>
      <c r="R159" s="22">
        <v>0.92964692151672834</v>
      </c>
      <c r="S159" s="22">
        <v>0.4280394672880859</v>
      </c>
      <c r="T159" s="22">
        <v>7.2340214966248609E-2</v>
      </c>
      <c r="U159" s="22">
        <v>0.26156500656833159</v>
      </c>
      <c r="V159" s="22">
        <v>0.39332012600452543</v>
      </c>
      <c r="W159" s="22">
        <v>-1.2678523938678481</v>
      </c>
      <c r="X159" s="22">
        <v>-0.63031241714028785</v>
      </c>
    </row>
    <row r="160" spans="1:24" x14ac:dyDescent="0.35">
      <c r="A160" s="22">
        <v>0.37512668425244411</v>
      </c>
      <c r="B160" s="22">
        <v>-0.35572593105023048</v>
      </c>
      <c r="C160" s="22">
        <v>-1.5360066110581616</v>
      </c>
      <c r="D160" s="22">
        <v>-0.63669115299528856</v>
      </c>
      <c r="E160" s="22">
        <v>1.2501815320705187</v>
      </c>
      <c r="F160" s="22">
        <v>-0.48896439837277506</v>
      </c>
      <c r="G160" s="22">
        <v>-0.56706196818303656</v>
      </c>
      <c r="H160" s="22">
        <v>-1.6337978979560792</v>
      </c>
      <c r="I160" s="22">
        <v>-0.21347619788685659</v>
      </c>
      <c r="J160" s="22">
        <v>-0.19667232657580863</v>
      </c>
      <c r="K160" s="22">
        <v>-1.7560069097518205</v>
      </c>
      <c r="L160" s="22">
        <v>-0.91401680559828913</v>
      </c>
      <c r="M160" s="22">
        <v>-1.3941576499380903</v>
      </c>
      <c r="N160" s="22">
        <v>-0.90632664023536635</v>
      </c>
      <c r="O160" s="22">
        <v>-0.82985811622642069</v>
      </c>
      <c r="P160" s="22">
        <v>-1.819169078297697</v>
      </c>
      <c r="Q160" s="22">
        <v>-0.90806519900341964</v>
      </c>
      <c r="R160" s="22">
        <v>1.4034427427886687</v>
      </c>
      <c r="S160" s="22">
        <v>-0.65358368850507631</v>
      </c>
      <c r="T160" s="22">
        <v>-0.32545487925681527</v>
      </c>
      <c r="U160" s="22">
        <v>-0.90345586779903786</v>
      </c>
      <c r="V160" s="22">
        <v>-0.34256506385460889</v>
      </c>
      <c r="W160" s="22">
        <v>1.304780768907116</v>
      </c>
      <c r="X160" s="22">
        <v>-1.0001094680672082</v>
      </c>
    </row>
    <row r="161" spans="1:24" x14ac:dyDescent="0.35">
      <c r="A161" s="22">
        <v>1.2960050533203837</v>
      </c>
      <c r="B161" s="22">
        <v>-1.1014084243843612</v>
      </c>
      <c r="C161" s="22">
        <v>1.8687899428636414</v>
      </c>
      <c r="D161" s="22">
        <v>-1.4151147301515754</v>
      </c>
      <c r="E161" s="22">
        <v>0.67931857172689103</v>
      </c>
      <c r="F161" s="22">
        <v>0.81124470914038727</v>
      </c>
      <c r="G161" s="22">
        <v>-0.95572159000468448</v>
      </c>
      <c r="H161" s="22">
        <v>-0.36563182595953636</v>
      </c>
      <c r="I161" s="22">
        <v>-4.2073696666477048E-2</v>
      </c>
      <c r="J161" s="22">
        <v>0.12021081856076886</v>
      </c>
      <c r="K161" s="22">
        <v>0.15173805622208641</v>
      </c>
      <c r="L161" s="22">
        <v>1.457230496766774</v>
      </c>
      <c r="M161" s="22">
        <v>-0.20446348645568291</v>
      </c>
      <c r="N161" s="22">
        <v>-5.006741670824108E-2</v>
      </c>
      <c r="O161" s="22">
        <v>-0.30764766592252657</v>
      </c>
      <c r="P161" s="22">
        <v>-0.49275613159931703</v>
      </c>
      <c r="Q161" s="22">
        <v>-0.41745291231914178</v>
      </c>
      <c r="R161" s="22">
        <v>0.30188881319902744</v>
      </c>
      <c r="S161" s="22">
        <v>-0.82026351012683996</v>
      </c>
      <c r="T161" s="22">
        <v>1.2747600271636685</v>
      </c>
      <c r="U161" s="22">
        <v>-1.3922528037378517</v>
      </c>
      <c r="V161" s="22">
        <v>1.5213605828780501</v>
      </c>
      <c r="W161" s="22">
        <v>0.23697305973109381</v>
      </c>
      <c r="X161" s="22">
        <v>-1.4686365982181291</v>
      </c>
    </row>
    <row r="162" spans="1:24" x14ac:dyDescent="0.35">
      <c r="A162" s="22">
        <v>-0.33038029201357061</v>
      </c>
      <c r="B162" s="22">
        <v>2.3632820762263114</v>
      </c>
      <c r="C162" s="22">
        <v>-0.6323263107057645</v>
      </c>
      <c r="D162" s="22">
        <v>0.55456096548546574</v>
      </c>
      <c r="E162" s="22">
        <v>-1.1654990562443781</v>
      </c>
      <c r="F162" s="22">
        <v>-0.89358833996132292</v>
      </c>
      <c r="G162" s="22">
        <v>-0.64271164575549966</v>
      </c>
      <c r="H162" s="22">
        <v>2.171610505512068</v>
      </c>
      <c r="I162" s="22">
        <v>0.5452376967355782</v>
      </c>
      <c r="J162" s="22">
        <v>-0.64139358764582111</v>
      </c>
      <c r="K162" s="22">
        <v>-1.0921346315679141</v>
      </c>
      <c r="L162" s="22">
        <v>0.41801765179225564</v>
      </c>
      <c r="M162" s="22">
        <v>-0.1126711438903653</v>
      </c>
      <c r="N162" s="22">
        <v>-0.4495013792324507</v>
      </c>
      <c r="O162" s="22">
        <v>-0.60929121756794935</v>
      </c>
      <c r="P162" s="22">
        <v>-0.59804147622332715</v>
      </c>
      <c r="Q162" s="22">
        <v>-0.86202005482984734</v>
      </c>
      <c r="R162" s="22">
        <v>0.40623843883735727</v>
      </c>
      <c r="S162" s="22">
        <v>-0.68369148743096142</v>
      </c>
      <c r="T162" s="22">
        <v>-0.46444990444887507</v>
      </c>
      <c r="U162" s="22">
        <v>0.3753580631159571</v>
      </c>
      <c r="V162" s="22">
        <v>-1.835343788938083</v>
      </c>
      <c r="W162" s="22">
        <v>0.19565055321493557</v>
      </c>
      <c r="X162" s="22">
        <v>-0.69115706004327704</v>
      </c>
    </row>
    <row r="163" spans="1:24" x14ac:dyDescent="0.35">
      <c r="A163" s="22">
        <v>2.7677300246137357</v>
      </c>
      <c r="B163" s="22">
        <v>-0.50010924162192827</v>
      </c>
      <c r="C163" s="22">
        <v>-0.29634057446232659</v>
      </c>
      <c r="D163" s="22">
        <v>0.46089088388751076</v>
      </c>
      <c r="E163" s="22">
        <v>0.5408082414132912</v>
      </c>
      <c r="F163" s="22">
        <v>-2.0595954602325712E-3</v>
      </c>
      <c r="G163" s="22">
        <v>2.535872170373239</v>
      </c>
      <c r="H163" s="22">
        <v>-5.3566504842175032E-2</v>
      </c>
      <c r="I163" s="22">
        <v>-0.86037064045866385</v>
      </c>
      <c r="J163" s="22">
        <v>0.25155050891478703</v>
      </c>
      <c r="K163" s="22">
        <v>0.20468134380473316</v>
      </c>
      <c r="L163" s="22">
        <v>-1.0295892150774832</v>
      </c>
      <c r="M163" s="22">
        <v>0.76487803212348571</v>
      </c>
      <c r="N163" s="22">
        <v>-0.18183859300030783</v>
      </c>
      <c r="O163" s="22">
        <v>0.54025991986725197</v>
      </c>
      <c r="P163" s="22">
        <v>0.71189546389904956</v>
      </c>
      <c r="Q163" s="22">
        <v>-0.40855297381103872</v>
      </c>
      <c r="R163" s="22">
        <v>0.43304871775167197</v>
      </c>
      <c r="S163" s="22">
        <v>-0.50243862195295252</v>
      </c>
      <c r="T163" s="22">
        <v>-0.60960646316736455</v>
      </c>
      <c r="U163" s="22">
        <v>-0.50374856750747521</v>
      </c>
      <c r="V163" s="22">
        <v>-1.2519120320302324</v>
      </c>
      <c r="W163" s="22">
        <v>-1.6532772316135127</v>
      </c>
      <c r="X163" s="22">
        <v>-1.1136857343336084</v>
      </c>
    </row>
    <row r="164" spans="1:24" x14ac:dyDescent="0.35">
      <c r="A164" s="22">
        <v>-2.1086418160666658</v>
      </c>
      <c r="B164" s="22">
        <v>-0.84717231458619868</v>
      </c>
      <c r="C164" s="22">
        <v>-6.2933135940946225E-3</v>
      </c>
      <c r="D164" s="22">
        <v>0.36834898699407781</v>
      </c>
      <c r="E164" s="22">
        <v>-1.1877829306219907</v>
      </c>
      <c r="F164" s="22">
        <v>-0.3220703438044154</v>
      </c>
      <c r="G164" s="22">
        <v>-0.70976934380417644</v>
      </c>
      <c r="H164" s="22">
        <v>0.39321415822828332</v>
      </c>
      <c r="I164" s="22">
        <v>-0.85137475788784833</v>
      </c>
      <c r="J164" s="22">
        <v>0.70814838309464578</v>
      </c>
      <c r="K164" s="22">
        <v>1.1753430896188568</v>
      </c>
      <c r="L164" s="22">
        <v>-0.91820203727447935</v>
      </c>
      <c r="M164" s="22">
        <v>-0.35983267958317305</v>
      </c>
      <c r="N164" s="22">
        <v>-0.953982752739304</v>
      </c>
      <c r="O164" s="22">
        <v>6.2872972895434448E-2</v>
      </c>
      <c r="P164" s="22">
        <v>-0.63465046631458499</v>
      </c>
      <c r="Q164" s="22">
        <v>-0.15507695110854855</v>
      </c>
      <c r="R164" s="22">
        <v>-0.32044812397756461</v>
      </c>
      <c r="S164" s="22">
        <v>-0.32901840422516582</v>
      </c>
      <c r="T164" s="22">
        <v>-0.50873957949975601</v>
      </c>
      <c r="U164" s="22">
        <v>-0.89874652742357464</v>
      </c>
      <c r="V164" s="22">
        <v>-0.60566443112878521</v>
      </c>
      <c r="W164" s="22">
        <v>1.08476282941304</v>
      </c>
      <c r="X164" s="22">
        <v>1.1460493973574095</v>
      </c>
    </row>
    <row r="165" spans="1:24" x14ac:dyDescent="0.35">
      <c r="A165" s="22">
        <v>0.54333705630601403</v>
      </c>
      <c r="B165" s="22">
        <v>-1.6645000923602018</v>
      </c>
      <c r="C165" s="22">
        <v>0.49311708341242488</v>
      </c>
      <c r="D165" s="22">
        <v>-0.5470675157068684</v>
      </c>
      <c r="E165" s="22">
        <v>-0.1829455800659758</v>
      </c>
      <c r="F165" s="22">
        <v>-2.6446556430284256E-2</v>
      </c>
      <c r="G165" s="22">
        <v>-8.1341128902135323E-2</v>
      </c>
      <c r="H165" s="22">
        <v>1.2081516619058426</v>
      </c>
      <c r="I165" s="22">
        <v>2.0623755336155249</v>
      </c>
      <c r="J165" s="22">
        <v>2.2511426736600448</v>
      </c>
      <c r="K165" s="22">
        <v>0.83445080781503445</v>
      </c>
      <c r="L165" s="22">
        <v>0.53600606294415698</v>
      </c>
      <c r="M165" s="22">
        <v>2.4604756279595459</v>
      </c>
      <c r="N165" s="22">
        <v>0.2106421934070444</v>
      </c>
      <c r="O165" s="22">
        <v>-0.40670123187657509</v>
      </c>
      <c r="P165" s="22">
        <v>-2.3802833485168717</v>
      </c>
      <c r="Q165" s="22">
        <v>-0.13286578590519249</v>
      </c>
      <c r="R165" s="22">
        <v>-0.3910391500322819</v>
      </c>
      <c r="S165" s="22">
        <v>-0.38384267862061799</v>
      </c>
      <c r="T165" s="22">
        <v>-0.19783772701733085</v>
      </c>
      <c r="U165" s="22">
        <v>0.16380642045564608</v>
      </c>
      <c r="V165" s="22">
        <v>-0.49474019497059335</v>
      </c>
      <c r="W165" s="22">
        <v>-1.3962339026952482</v>
      </c>
      <c r="X165" s="22">
        <v>0.51620083056682198</v>
      </c>
    </row>
    <row r="166" spans="1:24" x14ac:dyDescent="0.35">
      <c r="A166" s="22">
        <v>0.56797172687797193</v>
      </c>
      <c r="B166" s="22">
        <v>-1.8537964206626947</v>
      </c>
      <c r="C166" s="22">
        <v>1.7030768162526031</v>
      </c>
      <c r="D166" s="22">
        <v>0.33252997761567016</v>
      </c>
      <c r="E166" s="22">
        <v>-0.89435592224903038</v>
      </c>
      <c r="F166" s="22">
        <v>-0.36191595063990639</v>
      </c>
      <c r="G166" s="22">
        <v>1.2808972678202639</v>
      </c>
      <c r="H166" s="22">
        <v>0.64301006642672753</v>
      </c>
      <c r="I166" s="22">
        <v>-1.2337396701695045</v>
      </c>
      <c r="J166" s="22">
        <v>-0.30809886736619535</v>
      </c>
      <c r="K166" s="22">
        <v>1.3358843223583505</v>
      </c>
      <c r="L166" s="22">
        <v>1.2713254517907122</v>
      </c>
      <c r="M166" s="22">
        <v>-0.14785174865959899</v>
      </c>
      <c r="N166" s="22">
        <v>6.5283706990309831E-2</v>
      </c>
      <c r="O166" s="22">
        <v>-0.28299086424009379</v>
      </c>
      <c r="P166" s="22">
        <v>0.45310274503542436</v>
      </c>
      <c r="Q166" s="22">
        <v>-0.82517820547283127</v>
      </c>
      <c r="R166" s="22">
        <v>0.2570652164930482</v>
      </c>
      <c r="S166" s="22">
        <v>0.51680050988930559</v>
      </c>
      <c r="T166" s="22">
        <v>-1.0758048576321462</v>
      </c>
      <c r="U166" s="22">
        <v>0.45497012217766802</v>
      </c>
      <c r="V166" s="22">
        <v>1.1360253767193056</v>
      </c>
      <c r="W166" s="22">
        <v>-2.1961390288767277</v>
      </c>
      <c r="X166" s="22">
        <v>0.35338549326866148</v>
      </c>
    </row>
    <row r="167" spans="1:24" x14ac:dyDescent="0.35">
      <c r="A167" s="22">
        <v>1.5584907268725841</v>
      </c>
      <c r="B167" s="22">
        <v>2.8902270622385631</v>
      </c>
      <c r="C167" s="22">
        <v>0.94592099493921</v>
      </c>
      <c r="D167" s="22">
        <v>-1.2984697562293606</v>
      </c>
      <c r="E167" s="22">
        <v>-0.97780920931991888</v>
      </c>
      <c r="F167" s="22">
        <v>-1.276664749850869</v>
      </c>
      <c r="G167" s="22">
        <v>-0.47159507595391426</v>
      </c>
      <c r="H167" s="22">
        <v>-1.6446278455968546</v>
      </c>
      <c r="I167" s="22">
        <v>0.49169127686691799</v>
      </c>
      <c r="J167" s="22">
        <v>1.1000302638383708</v>
      </c>
      <c r="K167" s="22">
        <v>-0.10230516569504981</v>
      </c>
      <c r="L167" s="22">
        <v>0.49785528941969859</v>
      </c>
      <c r="M167" s="22">
        <v>-1.6483349163739196</v>
      </c>
      <c r="N167" s="22">
        <v>0.22585181017625208</v>
      </c>
      <c r="O167" s="22">
        <v>0.10122041932705772</v>
      </c>
      <c r="P167" s="22">
        <v>1.9376263661362552</v>
      </c>
      <c r="Q167" s="22">
        <v>-0.45582237986917251</v>
      </c>
      <c r="R167" s="22">
        <v>-1.0425411012887207</v>
      </c>
      <c r="S167" s="22">
        <v>-0.65988087413746022</v>
      </c>
      <c r="T167" s="22">
        <v>-1.0113024869109417</v>
      </c>
      <c r="U167" s="22">
        <v>0.11932528645395815</v>
      </c>
      <c r="V167" s="22">
        <v>-1.5934617027208526</v>
      </c>
      <c r="W167" s="22">
        <v>0.96958028103387084</v>
      </c>
      <c r="X167" s="22">
        <v>-0.10837033882067569</v>
      </c>
    </row>
    <row r="168" spans="1:24" x14ac:dyDescent="0.35">
      <c r="A168" s="22">
        <v>0.25398755046474092</v>
      </c>
      <c r="B168" s="22">
        <v>1.8627223650713758</v>
      </c>
      <c r="C168" s="22">
        <v>-1.8026120941147101</v>
      </c>
      <c r="D168" s="22">
        <v>1.1411077163057566</v>
      </c>
      <c r="E168" s="22">
        <v>-0.59411862865244836</v>
      </c>
      <c r="F168" s="22">
        <v>0.64119256282533299</v>
      </c>
      <c r="G168" s="22">
        <v>8.8687844047197151E-2</v>
      </c>
      <c r="H168" s="22">
        <v>1.8770001090739263</v>
      </c>
      <c r="I168" s="22">
        <v>-0.71332627030588203</v>
      </c>
      <c r="J168" s="22">
        <v>0.69297258544161611</v>
      </c>
      <c r="K168" s="22">
        <v>-0.25188679886851434</v>
      </c>
      <c r="L168" s="22">
        <v>0.14258865211581556</v>
      </c>
      <c r="M168" s="22">
        <v>-0.88259520855676188</v>
      </c>
      <c r="N168" s="22">
        <v>-0.49690330521561643</v>
      </c>
      <c r="O168" s="22">
        <v>-1.6408928554753903</v>
      </c>
      <c r="P168" s="22">
        <v>-0.15255426895458468</v>
      </c>
      <c r="Q168" s="22">
        <v>0.78718857638930895</v>
      </c>
      <c r="R168" s="22">
        <v>1.494971288341822</v>
      </c>
      <c r="S168" s="22">
        <v>1.4647117625741625E-2</v>
      </c>
      <c r="T168" s="22">
        <v>0.47786562351897144</v>
      </c>
      <c r="U168" s="22">
        <v>0.66634121466580509</v>
      </c>
      <c r="V168" s="22">
        <v>0.18535592579565521</v>
      </c>
      <c r="W168" s="22">
        <v>0.5910681790146326</v>
      </c>
      <c r="X168" s="22">
        <v>-0.30365571146645004</v>
      </c>
    </row>
    <row r="169" spans="1:24" x14ac:dyDescent="0.35">
      <c r="A169" s="22">
        <v>1.1919477783670012</v>
      </c>
      <c r="B169" s="22">
        <v>-0.58234900916276566</v>
      </c>
      <c r="C169" s="22">
        <v>0.424651873956995</v>
      </c>
      <c r="D169" s="22">
        <v>1.2705666282022794</v>
      </c>
      <c r="E169" s="22">
        <v>0.55836925109561908</v>
      </c>
      <c r="F169" s="22">
        <v>-1.6116423003692593</v>
      </c>
      <c r="G169" s="22">
        <v>0.98478916297853691</v>
      </c>
      <c r="H169" s="22">
        <v>0.68043660297455355</v>
      </c>
      <c r="I169" s="22">
        <v>-0.41205892068985639</v>
      </c>
      <c r="J169" s="22">
        <v>1.0074521713251889</v>
      </c>
      <c r="K169" s="22">
        <v>1.3471458555968083</v>
      </c>
      <c r="L169" s="22">
        <v>-0.20555152441695868</v>
      </c>
      <c r="M169" s="22">
        <v>-0.33089411677476666</v>
      </c>
      <c r="N169" s="22">
        <v>-0.33684150073233476</v>
      </c>
      <c r="O169" s="22">
        <v>-0.39235239758283735</v>
      </c>
      <c r="P169" s="22">
        <v>-2.3286353253716929</v>
      </c>
      <c r="Q169" s="22">
        <v>-1.338780686614063</v>
      </c>
      <c r="R169" s="22">
        <v>-0.26060275260800625</v>
      </c>
      <c r="S169" s="22">
        <v>-1.1218335297273399</v>
      </c>
      <c r="T169" s="22">
        <v>-0.54781759459692514</v>
      </c>
      <c r="U169" s="22">
        <v>-0.12396130606542578</v>
      </c>
      <c r="V169" s="22">
        <v>0.76500532917863417</v>
      </c>
      <c r="W169" s="22">
        <v>6.4497019722196763E-2</v>
      </c>
      <c r="X169" s="22">
        <v>-1.2251385516916211</v>
      </c>
    </row>
    <row r="170" spans="1:24" x14ac:dyDescent="0.35">
      <c r="A170" s="22">
        <v>0.77552259058118911</v>
      </c>
      <c r="B170" s="22">
        <v>-1.2482654606348627</v>
      </c>
      <c r="C170" s="22">
        <v>-0.52416233576570637</v>
      </c>
      <c r="D170" s="22">
        <v>1.5180543860798226</v>
      </c>
      <c r="E170" s="22">
        <v>-1.2877393344384371</v>
      </c>
      <c r="F170" s="22">
        <v>3.4235724450492985E-2</v>
      </c>
      <c r="G170" s="22">
        <v>0.1463036379743678</v>
      </c>
      <c r="H170" s="22">
        <v>1.075892046164459</v>
      </c>
      <c r="I170" s="22">
        <v>0.99128123412668323</v>
      </c>
      <c r="J170" s="22">
        <v>-0.32780292192780114</v>
      </c>
      <c r="K170" s="22">
        <v>1.0668386945033861</v>
      </c>
      <c r="L170" s="22">
        <v>0.34947505830382325</v>
      </c>
      <c r="M170" s="22">
        <v>1.3293409781928394</v>
      </c>
      <c r="N170" s="22">
        <v>0.28149016427377255</v>
      </c>
      <c r="O170" s="22">
        <v>0.25153131731752804</v>
      </c>
      <c r="P170" s="22">
        <v>0.12112804565155429</v>
      </c>
      <c r="Q170" s="22">
        <v>0.37863168009607417</v>
      </c>
      <c r="R170" s="22">
        <v>0.90728269602415346</v>
      </c>
      <c r="S170" s="22">
        <v>-1.4544375119838633</v>
      </c>
      <c r="T170" s="22">
        <v>0.69827175387298224</v>
      </c>
      <c r="U170" s="22">
        <v>-0.13395140794551674</v>
      </c>
      <c r="V170" s="22">
        <v>-1.5060134482512919</v>
      </c>
      <c r="W170" s="22">
        <v>-7.2977040738531451E-2</v>
      </c>
      <c r="X170" s="22">
        <v>-0.7612850008657408</v>
      </c>
    </row>
    <row r="171" spans="1:24" x14ac:dyDescent="0.35">
      <c r="A171" s="22">
        <v>1.2263521707507823</v>
      </c>
      <c r="B171" s="22">
        <v>1.465175666655806</v>
      </c>
      <c r="C171" s="22">
        <v>-0.2261754446842584</v>
      </c>
      <c r="D171" s="22">
        <v>0.49857727033876564</v>
      </c>
      <c r="E171" s="22">
        <v>-1.2670453651553277</v>
      </c>
      <c r="F171" s="22">
        <v>-0.88622878826254181</v>
      </c>
      <c r="G171" s="22">
        <v>-0.81927452123490985</v>
      </c>
      <c r="H171" s="22">
        <v>0.9242942992362958</v>
      </c>
      <c r="I171" s="22">
        <v>-1.2246742630834171</v>
      </c>
      <c r="J171" s="22">
        <v>-0.93741990643392514</v>
      </c>
      <c r="K171" s="22">
        <v>0.26748947766434406</v>
      </c>
      <c r="L171" s="22">
        <v>0.66816351814810693</v>
      </c>
      <c r="M171" s="22">
        <v>0.64374900951084157</v>
      </c>
      <c r="N171" s="22">
        <v>0.78222136105734108</v>
      </c>
      <c r="O171" s="22">
        <v>-1.2988396241845779</v>
      </c>
      <c r="P171" s="22">
        <v>-0.4556530551076205</v>
      </c>
      <c r="Q171" s="22">
        <v>-1.2854417082149496</v>
      </c>
      <c r="R171" s="22">
        <v>-0.67938965869738543</v>
      </c>
      <c r="S171" s="22">
        <v>0.48817223206166377</v>
      </c>
      <c r="T171" s="22">
        <v>-0.41780817575224166</v>
      </c>
      <c r="U171" s="22">
        <v>-1.4176599942498709</v>
      </c>
      <c r="V171" s="22">
        <v>0.34461645501309962</v>
      </c>
      <c r="W171" s="22">
        <v>4.8046122067972631E-2</v>
      </c>
      <c r="X171" s="22">
        <v>-1.512902913501736</v>
      </c>
    </row>
    <row r="172" spans="1:24" x14ac:dyDescent="0.35">
      <c r="A172" s="22">
        <v>-0.19614877713382239</v>
      </c>
      <c r="B172" s="22">
        <v>0.66560098084193919</v>
      </c>
      <c r="C172" s="22">
        <v>0.24230594990209942</v>
      </c>
      <c r="D172" s="22">
        <v>0.63357646194326567</v>
      </c>
      <c r="E172" s="22">
        <v>1.3130874196469344</v>
      </c>
      <c r="F172" s="22">
        <v>-0.9064870786948056</v>
      </c>
      <c r="G172" s="22">
        <v>0.91025161300070578</v>
      </c>
      <c r="H172" s="22">
        <v>0.64505603825810509</v>
      </c>
      <c r="I172" s="22">
        <v>0.99340364366487799</v>
      </c>
      <c r="J172" s="22">
        <v>-1.7561921590468847</v>
      </c>
      <c r="K172" s="22">
        <v>1.3074156539947095</v>
      </c>
      <c r="L172" s="22">
        <v>1.0257051294794652</v>
      </c>
      <c r="M172" s="22">
        <v>-0.77474238378042182</v>
      </c>
      <c r="N172" s="22">
        <v>1.1878734816750132</v>
      </c>
      <c r="O172" s="22">
        <v>0.14755172739876882</v>
      </c>
      <c r="P172" s="22">
        <v>1.7155902222080435</v>
      </c>
      <c r="Q172" s="22">
        <v>0.54757192527860221</v>
      </c>
      <c r="R172" s="22">
        <v>-1.6756727415423431</v>
      </c>
      <c r="S172" s="22">
        <v>-0.60002467246669389</v>
      </c>
      <c r="T172" s="22">
        <v>1.4631859302027592</v>
      </c>
      <c r="U172" s="22">
        <v>0.76378498667349515</v>
      </c>
      <c r="V172" s="22">
        <v>-1.8293244301129818</v>
      </c>
      <c r="W172" s="22">
        <v>1.2020891781220213</v>
      </c>
      <c r="X172" s="22">
        <v>-0.62850979748028024</v>
      </c>
    </row>
    <row r="173" spans="1:24" x14ac:dyDescent="0.35">
      <c r="A173" s="22">
        <v>-1.2607708984732486</v>
      </c>
      <c r="B173" s="22">
        <v>-0.83628033487392817</v>
      </c>
      <c r="C173" s="22">
        <v>0.47470225572784508</v>
      </c>
      <c r="D173" s="22">
        <v>1.9469617608896865</v>
      </c>
      <c r="E173" s="22">
        <v>-0.52121153275121612</v>
      </c>
      <c r="F173" s="22">
        <v>-4.0902052011820476E-2</v>
      </c>
      <c r="G173" s="22">
        <v>-0.69718936749626825</v>
      </c>
      <c r="H173" s="22">
        <v>-0.97249222169815996</v>
      </c>
      <c r="I173" s="22">
        <v>-0.43917450899012517</v>
      </c>
      <c r="J173" s="22">
        <v>1.5764385658793678</v>
      </c>
      <c r="K173" s="22">
        <v>-0.34630022886313366</v>
      </c>
      <c r="L173" s="22">
        <v>-1.4312972011663068</v>
      </c>
      <c r="M173" s="22">
        <v>0.21949108431338063</v>
      </c>
      <c r="N173" s="22">
        <v>1.0526373134217231</v>
      </c>
      <c r="O173" s="22">
        <v>0.4088506503409548</v>
      </c>
      <c r="P173" s="22">
        <v>0.42709151869259482</v>
      </c>
      <c r="Q173" s="22">
        <v>2.036835250350013E-2</v>
      </c>
      <c r="R173" s="22">
        <v>0.56307702755957323</v>
      </c>
      <c r="S173" s="22">
        <v>-0.79093256931080713</v>
      </c>
      <c r="T173" s="22">
        <v>0.925392059685617</v>
      </c>
      <c r="U173" s="22">
        <v>-1.2466685139985652</v>
      </c>
      <c r="V173" s="22">
        <v>-8.8010520708553905E-2</v>
      </c>
      <c r="W173" s="22">
        <v>0.72451462819481727</v>
      </c>
      <c r="X173" s="22">
        <v>0.33758245790247271</v>
      </c>
    </row>
    <row r="174" spans="1:24" x14ac:dyDescent="0.35">
      <c r="A174" s="22">
        <v>-0.74594196597363904</v>
      </c>
      <c r="B174" s="22">
        <v>-0.42053691058847964</v>
      </c>
      <c r="C174" s="22">
        <v>0.38277522924326579</v>
      </c>
      <c r="D174" s="22">
        <v>-1.0187053897756675</v>
      </c>
      <c r="E174" s="22">
        <v>-1.1641261552426014</v>
      </c>
      <c r="F174" s="22">
        <v>-1.1793333981482206</v>
      </c>
      <c r="G174" s="22">
        <v>0.52164734700596094</v>
      </c>
      <c r="H174" s="22">
        <v>0.21834147521330813</v>
      </c>
      <c r="I174" s="22">
        <v>-1.2153843639513675</v>
      </c>
      <c r="J174" s="22">
        <v>-0.63050489910860585</v>
      </c>
      <c r="K174" s="22">
        <v>-4.2354705148052195E-2</v>
      </c>
      <c r="L174" s="22">
        <v>-0.94531871790655597</v>
      </c>
      <c r="M174" s="22">
        <v>0.65845859963156217</v>
      </c>
      <c r="N174" s="22">
        <v>-1.0043489393549696</v>
      </c>
      <c r="O174" s="22">
        <v>-0.14871912946601784</v>
      </c>
      <c r="P174" s="22">
        <v>1.2091376601753208</v>
      </c>
      <c r="Q174" s="22">
        <v>-0.9561777897382383</v>
      </c>
      <c r="R174" s="22">
        <v>0.43349527075880634</v>
      </c>
      <c r="S174" s="22">
        <v>-6.9513757446988844E-2</v>
      </c>
      <c r="T174" s="22">
        <v>1.5065194298074854E-3</v>
      </c>
      <c r="U174" s="22">
        <v>-0.72710699570298276</v>
      </c>
      <c r="V174" s="22">
        <v>-0.88678186421153304</v>
      </c>
      <c r="W174" s="22">
        <v>-1.4144208462991601</v>
      </c>
      <c r="X174" s="22">
        <v>0.89929141493236886</v>
      </c>
    </row>
    <row r="175" spans="1:24" x14ac:dyDescent="0.35">
      <c r="A175" s="22">
        <v>1.5950761272719511</v>
      </c>
      <c r="B175" s="22">
        <v>0.94823736052287488</v>
      </c>
      <c r="C175" s="22">
        <v>-0.25388946725791128</v>
      </c>
      <c r="D175" s="22">
        <v>1.0836707494946674</v>
      </c>
      <c r="E175" s="22">
        <v>7.2149117727404982E-2</v>
      </c>
      <c r="F175" s="22">
        <v>0.61223868211257271</v>
      </c>
      <c r="G175" s="22">
        <v>-0.79494485316933383</v>
      </c>
      <c r="H175" s="22">
        <v>8.7826215877623293E-2</v>
      </c>
      <c r="I175" s="22">
        <v>0.2462884243038444</v>
      </c>
      <c r="J175" s="22">
        <v>0.6291949287704881</v>
      </c>
      <c r="K175" s="22">
        <v>0.80182598455630805</v>
      </c>
      <c r="L175" s="22">
        <v>-0.27160660747076071</v>
      </c>
      <c r="M175" s="22">
        <v>-0.27970870521680302</v>
      </c>
      <c r="N175" s="22">
        <v>-0.94910405488009908</v>
      </c>
      <c r="O175" s="22">
        <v>0.20528814064761569</v>
      </c>
      <c r="P175" s="22">
        <v>-1.0136973405618377</v>
      </c>
      <c r="Q175" s="22">
        <v>0.47119655557957202</v>
      </c>
      <c r="R175" s="22">
        <v>-0.44181027536725814</v>
      </c>
      <c r="S175" s="22">
        <v>-2.0225636002528047</v>
      </c>
      <c r="T175" s="22">
        <v>0.47021908059801054</v>
      </c>
      <c r="U175" s="22">
        <v>-0.55367432914714021</v>
      </c>
      <c r="V175" s="22">
        <v>1.6187039363659876</v>
      </c>
      <c r="W175" s="22">
        <v>-1.3329321096441322</v>
      </c>
      <c r="X175" s="22">
        <v>0.25436614497422871</v>
      </c>
    </row>
    <row r="176" spans="1:24" x14ac:dyDescent="0.35">
      <c r="A176" s="22">
        <v>0.67534253826883661</v>
      </c>
      <c r="B176" s="22">
        <v>-1.4261261281498572</v>
      </c>
      <c r="C176" s="22">
        <v>0.29459691883663269</v>
      </c>
      <c r="D176" s="22">
        <v>-0.7263854750887343</v>
      </c>
      <c r="E176" s="22">
        <v>0.71836690207542919</v>
      </c>
      <c r="F176" s="22">
        <v>7.4930108571496734E-2</v>
      </c>
      <c r="G176" s="22">
        <v>-0.37461765029052468</v>
      </c>
      <c r="H176" s="22">
        <v>0.33833936591919095</v>
      </c>
      <c r="I176" s="22">
        <v>1.2112271879070264</v>
      </c>
      <c r="J176" s="22">
        <v>-0.45100005872563631</v>
      </c>
      <c r="K176" s="22">
        <v>1.7079098313461247</v>
      </c>
      <c r="L176" s="22">
        <v>-0.78291817519523677</v>
      </c>
      <c r="M176" s="22">
        <v>-0.34951718423036987</v>
      </c>
      <c r="N176" s="22">
        <v>0.11339980314615</v>
      </c>
      <c r="O176" s="22">
        <v>-1.3874857473412554</v>
      </c>
      <c r="P176" s="22">
        <v>-0.24944396485373044</v>
      </c>
      <c r="Q176" s="22">
        <v>1.0774519328412671</v>
      </c>
      <c r="R176" s="22">
        <v>0.12536162193320763</v>
      </c>
      <c r="S176" s="22">
        <v>-1.9782047496499278</v>
      </c>
      <c r="T176" s="22">
        <v>-0.25757258274896622</v>
      </c>
      <c r="U176" s="22">
        <v>-0.61782502874783651</v>
      </c>
      <c r="V176" s="22">
        <v>-0.1390265672577011</v>
      </c>
      <c r="W176" s="22">
        <v>-1.1692473193393418</v>
      </c>
      <c r="X176" s="22">
        <v>-0.60529707217987516</v>
      </c>
    </row>
    <row r="177" spans="1:24" x14ac:dyDescent="0.35">
      <c r="A177" s="22">
        <v>-0.65055981153230369</v>
      </c>
      <c r="B177" s="22">
        <v>-0.35342472680544113</v>
      </c>
      <c r="C177" s="22">
        <v>0.78258096017735757</v>
      </c>
      <c r="D177" s="22">
        <v>1.3913488054420264</v>
      </c>
      <c r="E177" s="22">
        <v>1.0092594208977421</v>
      </c>
      <c r="F177" s="22">
        <v>0.99042064065776614</v>
      </c>
      <c r="G177" s="22">
        <v>0.55948269656387462</v>
      </c>
      <c r="H177" s="22">
        <v>-0.52442877906679819</v>
      </c>
      <c r="I177" s="22">
        <v>0.81525206023723495</v>
      </c>
      <c r="J177" s="22">
        <v>-0.76974746645038805</v>
      </c>
      <c r="K177" s="22">
        <v>-1.6418319010994646</v>
      </c>
      <c r="L177" s="22">
        <v>1.4365204973135905</v>
      </c>
      <c r="M177" s="22">
        <v>-0.51368634086761011</v>
      </c>
      <c r="N177" s="22">
        <v>-1.1553958630394885</v>
      </c>
      <c r="O177" s="22">
        <v>-1.5684781614016523E-3</v>
      </c>
      <c r="P177" s="22">
        <v>0.3773288375039075</v>
      </c>
      <c r="Q177" s="22">
        <v>-0.35655101234194492</v>
      </c>
      <c r="R177" s="22">
        <v>0.75810536880508983</v>
      </c>
      <c r="S177" s="22">
        <v>-0.49642302470008115</v>
      </c>
      <c r="T177" s="22">
        <v>-0.24600361709777566</v>
      </c>
      <c r="U177" s="22">
        <v>-0.4656243266181207</v>
      </c>
      <c r="V177" s="22">
        <v>0.67492460547719368</v>
      </c>
      <c r="W177" s="22">
        <v>-0.71714763295654582</v>
      </c>
      <c r="X177" s="22">
        <v>0.95981499741141041</v>
      </c>
    </row>
    <row r="178" spans="1:24" x14ac:dyDescent="0.35">
      <c r="A178" s="22">
        <v>1.7114302485816446</v>
      </c>
      <c r="B178" s="22">
        <v>-0.88110567286008967</v>
      </c>
      <c r="C178" s="22">
        <v>-0.15026561865681379</v>
      </c>
      <c r="D178" s="22">
        <v>-2.2102326947299158</v>
      </c>
      <c r="E178" s="22">
        <v>-1.4404594360564762</v>
      </c>
      <c r="F178" s="22">
        <v>0.55949901813812364</v>
      </c>
      <c r="G178" s="22">
        <v>-1.1210040856564851</v>
      </c>
      <c r="H178" s="22">
        <v>-2.5524985252999254E-3</v>
      </c>
      <c r="I178" s="22">
        <v>-1.6214462034190755</v>
      </c>
      <c r="J178" s="22">
        <v>-9.3378532782587356E-2</v>
      </c>
      <c r="K178" s="22">
        <v>0.65462184431367731</v>
      </c>
      <c r="L178" s="22">
        <v>0.97973157467136784</v>
      </c>
      <c r="M178" s="22">
        <v>-6.0244312344389712E-2</v>
      </c>
      <c r="N178" s="22">
        <v>0.16687603159323069</v>
      </c>
      <c r="O178" s="22">
        <v>-0.49342037328633376</v>
      </c>
      <c r="P178" s="22">
        <v>0.60444328646510059</v>
      </c>
      <c r="Q178" s="22">
        <v>0.83970020588915617</v>
      </c>
      <c r="R178" s="22">
        <v>-0.99895239466154884</v>
      </c>
      <c r="S178" s="22">
        <v>0.80599237175774352</v>
      </c>
      <c r="T178" s="22">
        <v>0.2575250852818548</v>
      </c>
      <c r="U178" s="22">
        <v>1.3441235702790211</v>
      </c>
      <c r="V178" s="22">
        <v>0.82339726570257199</v>
      </c>
      <c r="W178" s="22">
        <v>-0.17308396109935406</v>
      </c>
      <c r="X178" s="22">
        <v>1.9081243243217985</v>
      </c>
    </row>
    <row r="179" spans="1:24" x14ac:dyDescent="0.35">
      <c r="A179" s="22">
        <v>-0.59137065571005742</v>
      </c>
      <c r="B179" s="22">
        <v>-1.0897630346196647</v>
      </c>
      <c r="C179" s="22">
        <v>4.4407783480667666E-3</v>
      </c>
      <c r="D179" s="22">
        <v>0.70694452883978054</v>
      </c>
      <c r="E179" s="22">
        <v>1.7202556607543815</v>
      </c>
      <c r="F179" s="22">
        <v>-1.0706931278052459E-3</v>
      </c>
      <c r="G179" s="22">
        <v>-0.62199456860037261</v>
      </c>
      <c r="H179" s="22">
        <v>-1.8715689514376936</v>
      </c>
      <c r="I179" s="22">
        <v>0.21541626932976327</v>
      </c>
      <c r="J179" s="22">
        <v>0.20224921264623696</v>
      </c>
      <c r="K179" s="22">
        <v>-0.18793572260615343</v>
      </c>
      <c r="L179" s="22">
        <v>0.13356959934584578</v>
      </c>
      <c r="M179" s="22">
        <v>-0.41852618429837046</v>
      </c>
      <c r="N179" s="22">
        <v>-0.18611892261464527</v>
      </c>
      <c r="O179" s="22">
        <v>0.88397458942719453</v>
      </c>
      <c r="P179" s="22">
        <v>1.2878885877201418</v>
      </c>
      <c r="Q179" s="22">
        <v>-1.2175594437057311</v>
      </c>
      <c r="R179" s="22">
        <v>-0.14625986932537766</v>
      </c>
      <c r="S179" s="22">
        <v>-2.4178332066417001</v>
      </c>
      <c r="T179" s="22">
        <v>0.55257903156865629</v>
      </c>
      <c r="U179" s="22">
        <v>-1.6824387307947939</v>
      </c>
      <c r="V179" s="22">
        <v>0.59478002689479204</v>
      </c>
      <c r="W179" s="22">
        <v>-1.4495155688616082</v>
      </c>
      <c r="X179" s="22">
        <v>0.10713079004643299</v>
      </c>
    </row>
    <row r="180" spans="1:24" x14ac:dyDescent="0.35">
      <c r="A180" s="22">
        <v>-0.19686207891173535</v>
      </c>
      <c r="B180" s="22">
        <v>-2.0894946580118821</v>
      </c>
      <c r="C180" s="22">
        <v>2.7578965032833184E-3</v>
      </c>
      <c r="D180" s="22">
        <v>-0.4770174304110803</v>
      </c>
      <c r="E180" s="22">
        <v>-0.5450683604543427</v>
      </c>
      <c r="F180" s="22">
        <v>-2.19363783997089</v>
      </c>
      <c r="G180" s="22">
        <v>0.98272107982353807</v>
      </c>
      <c r="H180" s="22">
        <v>5.792829964573469E-2</v>
      </c>
      <c r="I180" s="22">
        <v>1.1561764288573688</v>
      </c>
      <c r="J180" s="22">
        <v>-8.7821817751589801E-2</v>
      </c>
      <c r="K180" s="22">
        <v>-0.38268384749535794</v>
      </c>
      <c r="L180" s="22">
        <v>-1.0557715953276008</v>
      </c>
      <c r="M180" s="22">
        <v>0.48559181704254067</v>
      </c>
      <c r="N180" s="22">
        <v>0.96239327451699674</v>
      </c>
      <c r="O180" s="22">
        <v>0.48534752333541009</v>
      </c>
      <c r="P180" s="22">
        <v>0.45631670727070489</v>
      </c>
      <c r="Q180" s="22">
        <v>-1.2286780714094836</v>
      </c>
      <c r="R180" s="22">
        <v>-0.69283650580967293</v>
      </c>
      <c r="S180" s="22">
        <v>-0.46978542680644569</v>
      </c>
      <c r="T180" s="22">
        <v>-1.2611523465682573</v>
      </c>
      <c r="U180" s="22">
        <v>0.17546036968555487</v>
      </c>
      <c r="V180" s="22">
        <v>-0.41632257466036188</v>
      </c>
      <c r="W180" s="22">
        <v>0.47883772777894085</v>
      </c>
      <c r="X180" s="22">
        <v>0.69345417130940845</v>
      </c>
    </row>
    <row r="181" spans="1:24" x14ac:dyDescent="0.35">
      <c r="A181" s="22">
        <v>-0.20850833802430974</v>
      </c>
      <c r="B181" s="22">
        <v>0.88840653809438974</v>
      </c>
      <c r="C181" s="22">
        <v>8.1518339635107351E-2</v>
      </c>
      <c r="D181" s="22">
        <v>1.0325653521832232</v>
      </c>
      <c r="E181" s="22">
        <v>-0.80095123267305013</v>
      </c>
      <c r="F181" s="22">
        <v>-0.30836005566215424</v>
      </c>
      <c r="G181" s="22">
        <v>0.12910425240054677</v>
      </c>
      <c r="H181" s="22">
        <v>4.1508749078240328E-2</v>
      </c>
      <c r="I181" s="22">
        <v>-7.1808360325548604E-2</v>
      </c>
      <c r="J181" s="22">
        <v>0.4004055687032716</v>
      </c>
      <c r="K181" s="22">
        <v>-1.0028821449786749</v>
      </c>
      <c r="L181" s="22">
        <v>-0.15081466001087976</v>
      </c>
      <c r="M181" s="22">
        <v>-0.12498810958344925</v>
      </c>
      <c r="N181" s="22">
        <v>-0.27647890155297294</v>
      </c>
      <c r="O181" s="22">
        <v>0.22694177259674608</v>
      </c>
      <c r="P181" s="22">
        <v>-1.5206481602434478</v>
      </c>
      <c r="Q181" s="22">
        <v>0.40811237280613294</v>
      </c>
      <c r="R181" s="22">
        <v>0.93837841884609585</v>
      </c>
      <c r="S181" s="22">
        <v>9.8988223696385658E-2</v>
      </c>
      <c r="T181" s="22">
        <v>0.21876824317461127</v>
      </c>
      <c r="U181" s="22">
        <v>-2.2513369840607051</v>
      </c>
      <c r="V181" s="22">
        <v>1.0986836579723074</v>
      </c>
      <c r="W181" s="22">
        <v>0.61437545424757201</v>
      </c>
      <c r="X181" s="22">
        <v>0.64718329443510392</v>
      </c>
    </row>
    <row r="182" spans="1:24" x14ac:dyDescent="0.35">
      <c r="A182" s="22">
        <v>-3.951652685938227E-2</v>
      </c>
      <c r="B182" s="22">
        <v>-0.1976343013467555</v>
      </c>
      <c r="C182" s="22">
        <v>-0.32894482357040389</v>
      </c>
      <c r="D182" s="22">
        <v>-0.53491636541015586</v>
      </c>
      <c r="E182" s="22">
        <v>0.51713445360192445</v>
      </c>
      <c r="F182" s="22">
        <v>-0.90810300174678782</v>
      </c>
      <c r="G182" s="22">
        <v>-0.75958526359163259</v>
      </c>
      <c r="H182" s="22">
        <v>0.88816212691762586</v>
      </c>
      <c r="I182" s="22">
        <v>1.6915295572856557</v>
      </c>
      <c r="J182" s="22">
        <v>-0.14628930000474372</v>
      </c>
      <c r="K182" s="22">
        <v>2.2108096240793844</v>
      </c>
      <c r="L182" s="22">
        <v>-0.2768573327635418</v>
      </c>
      <c r="M182" s="22">
        <v>-1.2559381798380693</v>
      </c>
      <c r="N182" s="22">
        <v>0.32307277322580924</v>
      </c>
      <c r="O182" s="22">
        <v>-1.3120048322655273</v>
      </c>
      <c r="P182" s="22">
        <v>0.52261138727891943</v>
      </c>
      <c r="Q182" s="22">
        <v>-1.6064491116784647</v>
      </c>
      <c r="R182" s="22">
        <v>-0.26795009719512963</v>
      </c>
      <c r="S182" s="22">
        <v>1.6789011524758859</v>
      </c>
      <c r="T182" s="22">
        <v>0.97442444954166185</v>
      </c>
      <c r="U182" s="22">
        <v>-0.29120847415194029</v>
      </c>
      <c r="V182" s="22">
        <v>0.34757401275137512</v>
      </c>
      <c r="W182" s="22">
        <v>0.32124022800486207</v>
      </c>
      <c r="X182" s="22">
        <v>-0.78531084609747559</v>
      </c>
    </row>
    <row r="183" spans="1:24" x14ac:dyDescent="0.35">
      <c r="A183" s="22">
        <v>-0.96381376583188316</v>
      </c>
      <c r="B183" s="22">
        <v>0.52612037420897606</v>
      </c>
      <c r="C183" s="22">
        <v>-0.44432661450298866</v>
      </c>
      <c r="D183" s="22">
        <v>0.48410562859538459</v>
      </c>
      <c r="E183" s="22">
        <v>-2.3153477956062075E-2</v>
      </c>
      <c r="F183" s="22">
        <v>-1.5022172069943629</v>
      </c>
      <c r="G183" s="22">
        <v>0.64260710907899632</v>
      </c>
      <c r="H183" s="22">
        <v>0.39863673278949602</v>
      </c>
      <c r="I183" s="22">
        <v>-1.0294743495946757</v>
      </c>
      <c r="J183" s="22">
        <v>1.181199425110752</v>
      </c>
      <c r="K183" s="22">
        <v>-0.96928564753093849</v>
      </c>
      <c r="L183" s="22">
        <v>-1.4080479191608644</v>
      </c>
      <c r="M183" s="22">
        <v>-0.12240076838555697</v>
      </c>
      <c r="N183" s="22">
        <v>0.9907472673602119</v>
      </c>
      <c r="O183" s="22">
        <v>0.57134420315778911</v>
      </c>
      <c r="P183" s="22">
        <v>-9.9151257419545766E-2</v>
      </c>
      <c r="Q183" s="22">
        <v>0.42646975982146329</v>
      </c>
      <c r="R183" s="22">
        <v>-0.46559510753035405</v>
      </c>
      <c r="S183" s="22">
        <v>-0.17347582540262482</v>
      </c>
      <c r="T183" s="22">
        <v>0.18792395489953914</v>
      </c>
      <c r="U183" s="22">
        <v>-1.343285756972598</v>
      </c>
      <c r="V183" s="22">
        <v>1.2746323111032283</v>
      </c>
      <c r="W183" s="22">
        <v>0.29582503514256098</v>
      </c>
      <c r="X183" s="22">
        <v>-0.68966626125750252</v>
      </c>
    </row>
    <row r="184" spans="1:24" x14ac:dyDescent="0.35">
      <c r="A184" s="22">
        <v>-2.1841669949768638</v>
      </c>
      <c r="B184" s="22">
        <v>-0.52919940719668268</v>
      </c>
      <c r="C184" s="22">
        <v>-0.69337615077924486</v>
      </c>
      <c r="D184" s="22">
        <v>-0.10214246643631159</v>
      </c>
      <c r="E184" s="22">
        <v>0.10967037081368274</v>
      </c>
      <c r="F184" s="22">
        <v>-0.24863103798277988</v>
      </c>
      <c r="G184" s="22">
        <v>1.9194468402247282</v>
      </c>
      <c r="H184" s="22">
        <v>-0.66566405529665362</v>
      </c>
      <c r="I184" s="22">
        <v>-0.68240473735397233</v>
      </c>
      <c r="J184" s="22">
        <v>0.38610522814719977</v>
      </c>
      <c r="K184" s="22">
        <v>-2.0249399130760302</v>
      </c>
      <c r="L184" s="22">
        <v>0.36098778580404084</v>
      </c>
      <c r="M184" s="22">
        <v>-1.5744911823827452</v>
      </c>
      <c r="N184" s="22">
        <v>2.5035055761439415E-2</v>
      </c>
      <c r="O184" s="22">
        <v>0.42862962568371754</v>
      </c>
      <c r="P184" s="22">
        <v>-1.9018706917450177</v>
      </c>
      <c r="Q184" s="22">
        <v>1.2133514701090058</v>
      </c>
      <c r="R184" s="22">
        <v>-0.23123004382245624</v>
      </c>
      <c r="S184" s="22">
        <v>0.43236107328062567</v>
      </c>
      <c r="T184" s="22">
        <v>0.24212309462584949</v>
      </c>
      <c r="U184" s="22">
        <v>-8.6478484618974949E-2</v>
      </c>
      <c r="V184" s="22">
        <v>2.1655631488508424</v>
      </c>
      <c r="W184" s="22">
        <v>-0.29033375700692499</v>
      </c>
      <c r="X184" s="22">
        <v>-0.66735408552386122</v>
      </c>
    </row>
    <row r="185" spans="1:24" x14ac:dyDescent="0.35">
      <c r="A185" s="22">
        <v>0.14618020968661188</v>
      </c>
      <c r="B185" s="22">
        <v>-0.71064950396472737</v>
      </c>
      <c r="C185" s="22">
        <v>-0.71956665176306456</v>
      </c>
      <c r="D185" s="22">
        <v>-0.13840666701395429</v>
      </c>
      <c r="E185" s="22">
        <v>0.46493718643721432</v>
      </c>
      <c r="F185" s="22">
        <v>-9.6991602700757282E-2</v>
      </c>
      <c r="G185" s="22">
        <v>-0.19373077110532394</v>
      </c>
      <c r="H185" s="22">
        <v>-0.42853811306073458</v>
      </c>
      <c r="I185" s="22">
        <v>1.2710149432489968</v>
      </c>
      <c r="J185" s="22">
        <v>0.60621298373424304</v>
      </c>
      <c r="K185" s="22">
        <v>-1.5512661603919387</v>
      </c>
      <c r="L185" s="22">
        <v>-1.031762570887208</v>
      </c>
      <c r="M185" s="22">
        <v>-0.49160015294507764</v>
      </c>
      <c r="N185" s="22">
        <v>2.032302888801333</v>
      </c>
      <c r="O185" s="22">
        <v>-1.2376105776882316</v>
      </c>
      <c r="P185" s="22">
        <v>0.61961142167948202</v>
      </c>
      <c r="Q185" s="22">
        <v>-0.20731824100243051</v>
      </c>
      <c r="R185" s="22">
        <v>-0.75888613171005359</v>
      </c>
      <c r="S185" s="22">
        <v>-0.7503271040108167</v>
      </c>
      <c r="T185" s="22">
        <v>0.6903079134620248</v>
      </c>
      <c r="U185" s="22">
        <v>1.3978358088988265</v>
      </c>
      <c r="V185" s="22">
        <v>-1.5117136975790659</v>
      </c>
      <c r="W185" s="22">
        <v>-0.97781627638970381</v>
      </c>
      <c r="X185" s="22">
        <v>-0.4295042410322103</v>
      </c>
    </row>
    <row r="186" spans="1:24" x14ac:dyDescent="0.35">
      <c r="A186" s="22">
        <v>-0.44795675497710835</v>
      </c>
      <c r="B186" s="22">
        <v>-9.8609948029487443E-2</v>
      </c>
      <c r="C186" s="22">
        <v>-0.20850034354290989</v>
      </c>
      <c r="D186" s="22">
        <v>0.86114172628154895</v>
      </c>
      <c r="E186" s="22">
        <v>-0.48998464419233467</v>
      </c>
      <c r="F186" s="22">
        <v>0.61122494705226404</v>
      </c>
      <c r="G186" s="22">
        <v>-0.61879417608658027</v>
      </c>
      <c r="H186" s="22">
        <v>1.6703928165828132</v>
      </c>
      <c r="I186" s="22">
        <v>-0.17486057874274552</v>
      </c>
      <c r="J186" s="22">
        <v>0.45189221321004147</v>
      </c>
      <c r="K186" s="22">
        <v>0.34214603311746461</v>
      </c>
      <c r="L186" s="22">
        <v>0.22301521471086094</v>
      </c>
      <c r="M186" s="22">
        <v>-1.6001970524815987</v>
      </c>
      <c r="N186" s="22">
        <v>0.83760440300729733</v>
      </c>
      <c r="O186" s="22">
        <v>-1.3042954404048932</v>
      </c>
      <c r="P186" s="22">
        <v>0.98495598016228425</v>
      </c>
      <c r="Q186" s="22">
        <v>0.16195084760893147</v>
      </c>
      <c r="R186" s="22">
        <v>0.2758238407388226</v>
      </c>
      <c r="S186" s="22">
        <v>-1.7687613930268251</v>
      </c>
      <c r="T186" s="22">
        <v>1.4328249057309104</v>
      </c>
      <c r="U186" s="22">
        <v>-0.54501887826413553</v>
      </c>
      <c r="V186" s="22">
        <v>1.8638994220678087</v>
      </c>
      <c r="W186" s="22">
        <v>0.86536045385748039</v>
      </c>
      <c r="X186" s="22">
        <v>-0.34250004339748574</v>
      </c>
    </row>
    <row r="187" spans="1:24" x14ac:dyDescent="0.35">
      <c r="A187" s="22">
        <v>0.25522540213905953</v>
      </c>
      <c r="B187" s="22">
        <v>0.93057875061958384</v>
      </c>
      <c r="C187" s="22">
        <v>-1.2429877658005692</v>
      </c>
      <c r="D187" s="22">
        <v>-0.27038137037153442</v>
      </c>
      <c r="E187" s="22">
        <v>-0.56836327050042856</v>
      </c>
      <c r="F187" s="22">
        <v>1.1272468978626438</v>
      </c>
      <c r="G187" s="22">
        <v>4.517415980147884E-2</v>
      </c>
      <c r="H187" s="22">
        <v>-0.61715669564082887</v>
      </c>
      <c r="I187" s="22">
        <v>0.96018877538958824</v>
      </c>
      <c r="J187" s="22">
        <v>-1.5625145721253342</v>
      </c>
      <c r="K187" s="22">
        <v>0.97045034804658215</v>
      </c>
      <c r="L187" s="22">
        <v>8.4261641078571328E-2</v>
      </c>
      <c r="M187" s="22">
        <v>-5.6138336359902702E-2</v>
      </c>
      <c r="N187" s="22">
        <v>1.2104330041446334</v>
      </c>
      <c r="O187" s="22">
        <v>-0.81290281153827171</v>
      </c>
      <c r="P187" s="22">
        <v>0.49570001322821394</v>
      </c>
      <c r="Q187" s="22">
        <v>0.93331886335774006</v>
      </c>
      <c r="R187" s="22">
        <v>-1.2222432065853073</v>
      </c>
      <c r="S187" s="22">
        <v>-0.86633259230207282</v>
      </c>
      <c r="T187" s="22">
        <v>1.3905478429884948</v>
      </c>
      <c r="U187" s="22">
        <v>-1.2743632095395085</v>
      </c>
      <c r="V187" s="22">
        <v>-1.2132781063830689</v>
      </c>
      <c r="W187" s="22">
        <v>2.9303761493557072E-3</v>
      </c>
      <c r="X187" s="22">
        <v>1.3198613026432875</v>
      </c>
    </row>
    <row r="188" spans="1:24" x14ac:dyDescent="0.35">
      <c r="A188" s="22">
        <v>-1.2945275322488246</v>
      </c>
      <c r="B188" s="22">
        <v>-0.60869274562389264</v>
      </c>
      <c r="C188" s="22">
        <v>2.3020191339970322</v>
      </c>
      <c r="D188" s="22">
        <v>1.5269669178832808</v>
      </c>
      <c r="E188" s="22">
        <v>0.69763960198640906</v>
      </c>
      <c r="F188" s="22">
        <v>-0.90815003104136194</v>
      </c>
      <c r="G188" s="22">
        <v>3.0598737207426217</v>
      </c>
      <c r="H188" s="22">
        <v>-0.13925976238389512</v>
      </c>
      <c r="I188" s="22">
        <v>-0.12074010655175282</v>
      </c>
      <c r="J188" s="22">
        <v>-0.37426289510328586</v>
      </c>
      <c r="K188" s="22">
        <v>0.18179976300495376</v>
      </c>
      <c r="L188" s="22">
        <v>1.3092252820322361</v>
      </c>
      <c r="M188" s="22">
        <v>-1.1383206712673359</v>
      </c>
      <c r="N188" s="22">
        <v>-0.25455476783295289</v>
      </c>
      <c r="O188" s="22">
        <v>-0.10602070918971492</v>
      </c>
      <c r="P188" s="22">
        <v>-1.6211638706006051</v>
      </c>
      <c r="Q188" s="22">
        <v>-0.48394761859694241</v>
      </c>
      <c r="R188" s="22">
        <v>0.68602385934302856</v>
      </c>
      <c r="S188" s="22">
        <v>0.49685165294143774</v>
      </c>
      <c r="T188" s="22">
        <v>-0.82861653571734317</v>
      </c>
      <c r="U188" s="22">
        <v>0.61495710096495837</v>
      </c>
      <c r="V188" s="22">
        <v>-2.061940481721801</v>
      </c>
      <c r="W188" s="22">
        <v>2.149092665584138</v>
      </c>
      <c r="X188" s="22">
        <v>2.1229731908541076</v>
      </c>
    </row>
    <row r="189" spans="1:24" x14ac:dyDescent="0.35">
      <c r="A189" s="22">
        <v>-1.638014190219663</v>
      </c>
      <c r="B189" s="22">
        <v>0.62769540990427641</v>
      </c>
      <c r="C189" s="22">
        <v>0.40659220552805286</v>
      </c>
      <c r="D189" s="22">
        <v>0.54714497382963689</v>
      </c>
      <c r="E189" s="22">
        <v>0.34570981753157692</v>
      </c>
      <c r="F189" s="22">
        <v>-1.7826177319391763</v>
      </c>
      <c r="G189" s="22">
        <v>-1.5694009460085518</v>
      </c>
      <c r="H189" s="22">
        <v>1.3752301429197102</v>
      </c>
      <c r="I189" s="22">
        <v>0.71234581315308854</v>
      </c>
      <c r="J189" s="22">
        <v>-1.4659832542928979</v>
      </c>
      <c r="K189" s="22">
        <v>1.0492074017907744</v>
      </c>
      <c r="L189" s="22">
        <v>1.5434930748664597</v>
      </c>
      <c r="M189" s="22">
        <v>1.3906507581996055</v>
      </c>
      <c r="N189" s="22">
        <v>1.278884904826596</v>
      </c>
      <c r="O189" s="22">
        <v>-0.42838345655817939</v>
      </c>
      <c r="P189" s="22">
        <v>1.2367349474098361</v>
      </c>
      <c r="Q189" s="22">
        <v>0.46374004363011989</v>
      </c>
      <c r="R189" s="22">
        <v>1.1833969471826238</v>
      </c>
      <c r="S189" s="22">
        <v>-0.34123657694084197</v>
      </c>
      <c r="T189" s="22">
        <v>-1.6123345207501218</v>
      </c>
      <c r="U189" s="22">
        <v>1.6909789678554341</v>
      </c>
      <c r="V189" s="22">
        <v>0.99005010131891014</v>
      </c>
      <c r="W189" s="22">
        <v>1.6760327115865441</v>
      </c>
      <c r="X189" s="22">
        <v>0.52047637025270066</v>
      </c>
    </row>
    <row r="190" spans="1:24" x14ac:dyDescent="0.35">
      <c r="A190" s="22">
        <v>-0.70462706617025606</v>
      </c>
      <c r="B190" s="22">
        <v>-0.19086634803699795</v>
      </c>
      <c r="C190" s="22">
        <v>0.36572772020573663</v>
      </c>
      <c r="D190" s="22">
        <v>-1.4984528377237072</v>
      </c>
      <c r="E190" s="22">
        <v>0.57682918345845535</v>
      </c>
      <c r="F190" s="22">
        <v>-0.90352124339953743</v>
      </c>
      <c r="G190" s="22">
        <v>-0.3469087117938896</v>
      </c>
      <c r="H190" s="22">
        <v>0.62722605556297972</v>
      </c>
      <c r="I190" s="22">
        <v>-2.7019072094106002E-2</v>
      </c>
      <c r="J190" s="22">
        <v>1.2032065705202386</v>
      </c>
      <c r="K190" s="22">
        <v>-1.4094859179388071</v>
      </c>
      <c r="L190" s="22">
        <v>0.8650799715555707</v>
      </c>
      <c r="M190" s="22">
        <v>0.59091236441759443</v>
      </c>
      <c r="N190" s="22">
        <v>-1.4302287207576676</v>
      </c>
      <c r="O190" s="22">
        <v>-1.6621866351169594</v>
      </c>
      <c r="P190" s="22">
        <v>0.58350608199826903</v>
      </c>
      <c r="Q190" s="22">
        <v>-0.77514152353278853</v>
      </c>
      <c r="R190" s="22">
        <v>-1.2781528185566657</v>
      </c>
      <c r="S190" s="22">
        <v>1.8184759790732601</v>
      </c>
      <c r="T190" s="22">
        <v>-1.692016802446427</v>
      </c>
      <c r="U190" s="22">
        <v>-1.4274350023672715E-2</v>
      </c>
      <c r="V190" s="22">
        <v>-1.7744827160860108</v>
      </c>
      <c r="W190" s="22">
        <v>-0.31798667421445992</v>
      </c>
      <c r="X190" s="22">
        <v>-2.7430627794913582</v>
      </c>
    </row>
    <row r="191" spans="1:24" x14ac:dyDescent="0.35">
      <c r="A191" s="22">
        <v>0.34587335488679871</v>
      </c>
      <c r="B191" s="22">
        <v>9.4986723570367471E-2</v>
      </c>
      <c r="C191" s="22">
        <v>1.5531646108447335</v>
      </c>
      <c r="D191" s="22">
        <v>-6.3424386617267042E-2</v>
      </c>
      <c r="E191" s="22">
        <v>-0.55989757200741386</v>
      </c>
      <c r="F191" s="22">
        <v>0.84850813165076222</v>
      </c>
      <c r="G191" s="22">
        <v>0.93189273374929271</v>
      </c>
      <c r="H191" s="22">
        <v>0.58314508651360231</v>
      </c>
      <c r="I191" s="22">
        <v>0.8293204617569625</v>
      </c>
      <c r="J191" s="22">
        <v>0.50962680063897625</v>
      </c>
      <c r="K191" s="22">
        <v>-0.56219780142043685</v>
      </c>
      <c r="L191" s="22">
        <v>-1.2326797769729432</v>
      </c>
      <c r="M191" s="22">
        <v>8.8019093368041909E-2</v>
      </c>
      <c r="N191" s="22">
        <v>1.0671522094123931</v>
      </c>
      <c r="O191" s="22">
        <v>-0.25801688389629007</v>
      </c>
      <c r="P191" s="22">
        <v>0.22822724140263667</v>
      </c>
      <c r="Q191" s="22">
        <v>1.4825113360244691</v>
      </c>
      <c r="R191" s="22">
        <v>-0.65120931695008288</v>
      </c>
      <c r="S191" s="22">
        <v>-1.0924180792095253</v>
      </c>
      <c r="T191" s="22">
        <v>-0.9341285690905613</v>
      </c>
      <c r="U191" s="22">
        <v>0.50531093655016024</v>
      </c>
      <c r="V191" s="22">
        <v>1.637913488527964</v>
      </c>
      <c r="W191" s="22">
        <v>0.11884901504455067</v>
      </c>
      <c r="X191" s="22">
        <v>-2.0032562911295888</v>
      </c>
    </row>
    <row r="192" spans="1:24" x14ac:dyDescent="0.35">
      <c r="A192" s="22">
        <v>1.3283355582715277</v>
      </c>
      <c r="B192" s="22">
        <v>-4.1520457313647084E-2</v>
      </c>
      <c r="C192" s="22">
        <v>-5.0347515206272613E-2</v>
      </c>
      <c r="D192" s="22">
        <v>1.3729267259793234</v>
      </c>
      <c r="E192" s="22">
        <v>-1.2045263282822276</v>
      </c>
      <c r="F192" s="22">
        <v>-1.4451967401388269E-2</v>
      </c>
      <c r="G192" s="22">
        <v>1.1454487202216241</v>
      </c>
      <c r="H192" s="22">
        <v>-0.54359562909027437</v>
      </c>
      <c r="I192" s="22">
        <v>-1.8677353125042344</v>
      </c>
      <c r="J192" s="22">
        <v>0.25702526079792265</v>
      </c>
      <c r="K192" s="22">
        <v>-2.894920492604303E-2</v>
      </c>
      <c r="L192" s="22">
        <v>2.4900602420983424</v>
      </c>
      <c r="M192" s="22">
        <v>0.52737918715769472</v>
      </c>
      <c r="N192" s="22">
        <v>-1.7166557207744071</v>
      </c>
      <c r="O192" s="22">
        <v>1.1165135982438874</v>
      </c>
      <c r="P192" s="22">
        <v>1.6338722968535295</v>
      </c>
      <c r="Q192" s="22">
        <v>1.9736575577996505</v>
      </c>
      <c r="R192" s="22">
        <v>-1.1573077584022382</v>
      </c>
      <c r="S192" s="22">
        <v>-0.4170624989641824</v>
      </c>
      <c r="T192" s="22">
        <v>0.87689203931775239</v>
      </c>
      <c r="U192" s="22">
        <v>0.10244657874302138</v>
      </c>
      <c r="V192" s="22">
        <v>-1.1227491365978802E-2</v>
      </c>
      <c r="W192" s="22">
        <v>-0.19033162480205615</v>
      </c>
      <c r="X192" s="22">
        <v>0.92809647932623596</v>
      </c>
    </row>
    <row r="193" spans="1:24" x14ac:dyDescent="0.35">
      <c r="A193" s="22">
        <v>0.45335682175142394</v>
      </c>
      <c r="B193" s="22">
        <v>1.7059327316887756</v>
      </c>
      <c r="C193" s="22">
        <v>-0.7546688881836312</v>
      </c>
      <c r="D193" s="22">
        <v>1.0453516061580945</v>
      </c>
      <c r="E193" s="22">
        <v>-0.38371575357101828</v>
      </c>
      <c r="F193" s="22">
        <v>-1.1386257950793435</v>
      </c>
      <c r="G193" s="22">
        <v>1.5333772345318641</v>
      </c>
      <c r="H193" s="22">
        <v>0.12332276272609448</v>
      </c>
      <c r="I193" s="22">
        <v>0.31309880530595646</v>
      </c>
      <c r="J193" s="22">
        <v>1.0956821036970372</v>
      </c>
      <c r="K193" s="22">
        <v>-0.61276932026977404</v>
      </c>
      <c r="L193" s="22">
        <v>-1.2493056013996048E-2</v>
      </c>
      <c r="M193" s="22">
        <v>0.28756265656430552</v>
      </c>
      <c r="N193" s="22">
        <v>-0.47315762757684421</v>
      </c>
      <c r="O193" s="22">
        <v>0.63181749126560061</v>
      </c>
      <c r="P193" s="22">
        <v>-0.94471696359172785</v>
      </c>
      <c r="Q193" s="22">
        <v>-0.74866515976741488</v>
      </c>
      <c r="R193" s="22">
        <v>-2.5079524346533693</v>
      </c>
      <c r="S193" s="22">
        <v>-0.67069978167613153</v>
      </c>
      <c r="T193" s="22">
        <v>1.0658143310422916</v>
      </c>
      <c r="U193" s="22">
        <v>-0.12384485700577974</v>
      </c>
      <c r="V193" s="22">
        <v>-1.8643846449474855</v>
      </c>
      <c r="W193" s="22">
        <v>-0.70652526028007312</v>
      </c>
      <c r="X193" s="22">
        <v>-1.0596100301731206</v>
      </c>
    </row>
    <row r="194" spans="1:24" x14ac:dyDescent="0.35">
      <c r="A194" s="22">
        <v>-1.7456712688565463</v>
      </c>
      <c r="B194" s="22">
        <v>-1.1020078874921788</v>
      </c>
      <c r="C194" s="22">
        <v>0.54020383459392063</v>
      </c>
      <c r="D194" s="22">
        <v>-0.77235787817455626</v>
      </c>
      <c r="E194" s="22">
        <v>6.9039380188920835E-2</v>
      </c>
      <c r="F194" s="22">
        <v>0.76795544122234694</v>
      </c>
      <c r="G194" s="22">
        <v>-0.93650221323308647</v>
      </c>
      <c r="H194" s="22">
        <v>-0.92341300486944644</v>
      </c>
      <c r="I194" s="22">
        <v>-0.35901002793616132</v>
      </c>
      <c r="J194" s="22">
        <v>-0.32055372937538501</v>
      </c>
      <c r="K194" s="22">
        <v>-2.0511381625362617</v>
      </c>
      <c r="L194" s="22">
        <v>-1.5969415478197619</v>
      </c>
      <c r="M194" s="22">
        <v>0.2425947465607797</v>
      </c>
      <c r="N194" s="22">
        <v>2.3175216463861652</v>
      </c>
      <c r="O194" s="22">
        <v>-0.19273768826350651</v>
      </c>
      <c r="P194" s="22">
        <v>1.1413273646927597</v>
      </c>
      <c r="Q194" s="22">
        <v>1.1587619968586149</v>
      </c>
      <c r="R194" s="22">
        <v>1.5037377432207519</v>
      </c>
      <c r="S194" s="22">
        <v>1.3218047751018238</v>
      </c>
      <c r="T194" s="22">
        <v>-1.5060635689560782</v>
      </c>
      <c r="U194" s="22">
        <v>-0.27815787681314585</v>
      </c>
      <c r="V194" s="22">
        <v>1.3630985686603307</v>
      </c>
      <c r="W194" s="22">
        <v>1.5760124014404713</v>
      </c>
      <c r="X194" s="22">
        <v>-0.80226163269523654</v>
      </c>
    </row>
    <row r="195" spans="1:24" x14ac:dyDescent="0.35">
      <c r="A195" s="22">
        <v>-0.68075434724498818</v>
      </c>
      <c r="B195" s="22">
        <v>-8.7809158104817209E-2</v>
      </c>
      <c r="C195" s="22">
        <v>-0.46482013431023655</v>
      </c>
      <c r="D195" s="22">
        <v>-0.40177068307396074</v>
      </c>
      <c r="E195" s="22">
        <v>-0.24770160458756518</v>
      </c>
      <c r="F195" s="22">
        <v>-1.0445600933302102</v>
      </c>
      <c r="G195" s="22">
        <v>0.18622251301721415</v>
      </c>
      <c r="H195" s="22">
        <v>0.58433634436925552</v>
      </c>
      <c r="I195" s="22">
        <v>-0.65335567063395406</v>
      </c>
      <c r="J195" s="22">
        <v>-0.2843903664992174</v>
      </c>
      <c r="K195" s="22">
        <v>-0.81836009364781037</v>
      </c>
      <c r="L195" s="22">
        <v>0.61986360203299262</v>
      </c>
      <c r="M195" s="22">
        <v>8.1520865208140988E-2</v>
      </c>
      <c r="N195" s="22">
        <v>0.26948557876701129</v>
      </c>
      <c r="O195" s="22">
        <v>-1.0944335098122155</v>
      </c>
      <c r="P195" s="22">
        <v>-2.6276865308518377E-2</v>
      </c>
      <c r="Q195" s="22">
        <v>0.77215618822731535</v>
      </c>
      <c r="R195" s="22">
        <v>0.40577369275785646</v>
      </c>
      <c r="S195" s="22">
        <v>1.3331467204097531</v>
      </c>
      <c r="T195" s="22">
        <v>0.19865522635361857</v>
      </c>
      <c r="U195" s="22">
        <v>1.3204179148389221</v>
      </c>
      <c r="V195" s="22">
        <v>0.10478386726893486</v>
      </c>
      <c r="W195" s="22">
        <v>0.18373701205291959</v>
      </c>
      <c r="X195" s="22">
        <v>0.65159171259384796</v>
      </c>
    </row>
    <row r="196" spans="1:24" x14ac:dyDescent="0.35">
      <c r="A196" s="22">
        <v>0.3024034489574231</v>
      </c>
      <c r="B196" s="22">
        <v>-2.1155095826440782</v>
      </c>
      <c r="C196" s="22">
        <v>-0.29861008998193544</v>
      </c>
      <c r="D196" s="22">
        <v>-1.761849264399264</v>
      </c>
      <c r="E196" s="22">
        <v>0.30892234830608833</v>
      </c>
      <c r="F196" s="22">
        <v>-0.66122408144947864</v>
      </c>
      <c r="G196" s="22">
        <v>-1.5144673695709674</v>
      </c>
      <c r="H196" s="22">
        <v>-1.1279192995249967</v>
      </c>
      <c r="I196" s="22">
        <v>-0.63764284171841867</v>
      </c>
      <c r="J196" s="22">
        <v>0.16624842145580707</v>
      </c>
      <c r="K196" s="22">
        <v>-1.7306055871601784</v>
      </c>
      <c r="L196" s="22">
        <v>-0.34044533802115889</v>
      </c>
      <c r="M196" s="22">
        <v>-1.2176142713233891</v>
      </c>
      <c r="N196" s="22">
        <v>-1.1682113311298596</v>
      </c>
      <c r="O196" s="22">
        <v>-5.6164477472952924E-2</v>
      </c>
      <c r="P196" s="22">
        <v>-1.0677417723871536</v>
      </c>
      <c r="Q196" s="22">
        <v>0.37421906973157276</v>
      </c>
      <c r="R196" s="22">
        <v>0.39086306455854031</v>
      </c>
      <c r="S196" s="22">
        <v>-0.80064483160758826</v>
      </c>
      <c r="T196" s="22">
        <v>-0.57283807403346554</v>
      </c>
      <c r="U196" s="22">
        <v>-1.1714557319224657</v>
      </c>
      <c r="V196" s="22">
        <v>-0.58446442589618797</v>
      </c>
      <c r="W196" s="22">
        <v>-1.2323366144633883</v>
      </c>
      <c r="X196" s="22">
        <v>-0.95012655231646292</v>
      </c>
    </row>
    <row r="197" spans="1:24" x14ac:dyDescent="0.35">
      <c r="A197" s="22">
        <v>-1.3144283616269243</v>
      </c>
      <c r="B197" s="22">
        <v>0.98919970173614769</v>
      </c>
      <c r="C197" s="22">
        <v>0.72882477314040628</v>
      </c>
      <c r="D197" s="22">
        <v>-2.1698791423819679</v>
      </c>
      <c r="E197" s="22">
        <v>-0.11694500308244141</v>
      </c>
      <c r="F197" s="22">
        <v>-1.5119004955577167</v>
      </c>
      <c r="G197" s="22">
        <v>-0.38206326273797803</v>
      </c>
      <c r="H197" s="22">
        <v>-0.38663734576193504</v>
      </c>
      <c r="I197" s="22">
        <v>-0.69854354581596101</v>
      </c>
      <c r="J197" s="22">
        <v>-0.70765847011192073</v>
      </c>
      <c r="K197" s="22">
        <v>0.14515406195085268</v>
      </c>
      <c r="L197" s="22">
        <v>0.3068206899555847</v>
      </c>
      <c r="M197" s="22">
        <v>4.851393672268349E-2</v>
      </c>
      <c r="N197" s="22">
        <v>-0.78891638483958992</v>
      </c>
      <c r="O197" s="22">
        <v>-1.6109181070654488</v>
      </c>
      <c r="P197" s="22">
        <v>0.46523997910431086</v>
      </c>
      <c r="Q197" s="22">
        <v>-0.69276257335326819</v>
      </c>
      <c r="R197" s="22">
        <v>-0.89961402093269704</v>
      </c>
      <c r="S197" s="22">
        <v>0.10406917995814557</v>
      </c>
      <c r="T197" s="22">
        <v>0.80457017232019523</v>
      </c>
      <c r="U197" s="22">
        <v>-0.83831855005501843</v>
      </c>
      <c r="V197" s="22">
        <v>8.1847183524880587E-2</v>
      </c>
      <c r="W197" s="22">
        <v>-0.76929511074809276</v>
      </c>
      <c r="X197" s="22">
        <v>0.10218287102764077</v>
      </c>
    </row>
    <row r="198" spans="1:24" x14ac:dyDescent="0.35">
      <c r="A198" s="22">
        <v>-3.3951506175106255E-2</v>
      </c>
      <c r="B198" s="22">
        <v>1.3236356891290311</v>
      </c>
      <c r="C198" s="22">
        <v>1.1458068921737211E-2</v>
      </c>
      <c r="D198" s="22">
        <v>0.8123948525867507</v>
      </c>
      <c r="E198" s="22">
        <v>1.1031843928635316</v>
      </c>
      <c r="F198" s="22">
        <v>0.2231647722892868</v>
      </c>
      <c r="G198" s="22">
        <v>0.80981155481278044</v>
      </c>
      <c r="H198" s="22">
        <v>1.4203560892406131</v>
      </c>
      <c r="I198" s="22">
        <v>-1.1760888144245847</v>
      </c>
      <c r="J198" s="22">
        <v>-0.87981344773894521</v>
      </c>
      <c r="K198" s="22">
        <v>0.68974514392777431</v>
      </c>
      <c r="L198" s="22">
        <v>0.7789841105201134</v>
      </c>
      <c r="M198" s="22">
        <v>0.29409107369891435</v>
      </c>
      <c r="N198" s="22">
        <v>-0.75873825319473409</v>
      </c>
      <c r="O198" s="22">
        <v>-1.8839758447954267</v>
      </c>
      <c r="P198" s="22">
        <v>1.5478902427488408</v>
      </c>
      <c r="Q198" s="22">
        <v>-1.0878865882790452</v>
      </c>
      <c r="R198" s="22">
        <v>1.7564458819808388</v>
      </c>
      <c r="S198" s="22">
        <v>0.95010296643494374</v>
      </c>
      <c r="T198" s="22">
        <v>0.58059820446871513</v>
      </c>
      <c r="U198" s="22">
        <v>1.3380712122881611</v>
      </c>
      <c r="V198" s="22">
        <v>-3.9533139390313263E-2</v>
      </c>
      <c r="W198" s="22">
        <v>0.14143829644153999</v>
      </c>
      <c r="X198" s="22">
        <v>0.20732479065600462</v>
      </c>
    </row>
    <row r="199" spans="1:24" x14ac:dyDescent="0.35">
      <c r="A199" s="22">
        <v>1.0918711918950186</v>
      </c>
      <c r="B199" s="22">
        <v>-0.44523160093151787</v>
      </c>
      <c r="C199" s="22">
        <v>-0.22721484227814243</v>
      </c>
      <c r="D199" s="22">
        <v>0.29528490356001924</v>
      </c>
      <c r="E199" s="22">
        <v>0.28828402416662186</v>
      </c>
      <c r="F199" s="22">
        <v>0.40032127827742126</v>
      </c>
      <c r="G199" s="22">
        <v>-2.2726398471668741E-2</v>
      </c>
      <c r="H199" s="22">
        <v>-0.17744864406897773</v>
      </c>
      <c r="I199" s="22">
        <v>1.9558029250624993</v>
      </c>
      <c r="J199" s="22">
        <v>0.75360531596943747</v>
      </c>
      <c r="K199" s="22">
        <v>-0.74933911694596211</v>
      </c>
      <c r="L199" s="22">
        <v>1.181428547093383</v>
      </c>
      <c r="M199" s="22">
        <v>0.81299610694499425</v>
      </c>
      <c r="N199" s="22">
        <v>-0.13377231424772285</v>
      </c>
      <c r="O199" s="22">
        <v>-0.20642663492609106</v>
      </c>
      <c r="P199" s="22">
        <v>0.74282123881878015</v>
      </c>
      <c r="Q199" s="22">
        <v>-1.2682120115988043</v>
      </c>
      <c r="R199" s="22">
        <v>0.48955883530501126</v>
      </c>
      <c r="S199" s="22">
        <v>-0.36492121303742042</v>
      </c>
      <c r="T199" s="22">
        <v>-0.51498125378436865</v>
      </c>
      <c r="U199" s="22">
        <v>8.6333157898390786E-2</v>
      </c>
      <c r="V199" s="22">
        <v>-0.71612255958106596</v>
      </c>
      <c r="W199" s="22">
        <v>-1.1774872117368413</v>
      </c>
      <c r="X199" s="22">
        <v>-0.96326001354348689</v>
      </c>
    </row>
    <row r="200" spans="1:24" x14ac:dyDescent="0.35">
      <c r="A200" s="22">
        <v>0.22779453011649758</v>
      </c>
      <c r="B200" s="22">
        <v>0.34305287040517618</v>
      </c>
      <c r="C200" s="22">
        <v>-1.4707907770502091</v>
      </c>
      <c r="D200" s="22">
        <v>0.26196158509115924</v>
      </c>
      <c r="E200" s="22">
        <v>0.74539566141111091</v>
      </c>
      <c r="F200" s="22">
        <v>0.99434713591709045</v>
      </c>
      <c r="G200" s="22">
        <v>0.21608034592132061</v>
      </c>
      <c r="H200" s="22">
        <v>-1.0749546166678887</v>
      </c>
      <c r="I200" s="22">
        <v>-0.75940760169887822</v>
      </c>
      <c r="J200" s="22">
        <v>0.25234346013966652</v>
      </c>
      <c r="K200" s="22">
        <v>0.90387677419693113</v>
      </c>
      <c r="L200" s="22">
        <v>-0.36765679496619474</v>
      </c>
      <c r="M200" s="22">
        <v>-0.51131122760922831</v>
      </c>
      <c r="N200" s="22">
        <v>-0.70989248227531054</v>
      </c>
      <c r="O200" s="22">
        <v>-0.50770572426425564</v>
      </c>
      <c r="P200" s="22">
        <v>-0.94795057713318098</v>
      </c>
      <c r="Q200" s="22">
        <v>1.4797898666828879</v>
      </c>
      <c r="R200" s="22">
        <v>0.79134976847542027</v>
      </c>
      <c r="S200" s="22">
        <v>-1.9767601699009345</v>
      </c>
      <c r="T200" s="22">
        <v>-0.48707091095846688</v>
      </c>
      <c r="U200" s="22">
        <v>-0.67801146848606353</v>
      </c>
      <c r="V200" s="22">
        <v>-0.20193646505142002</v>
      </c>
      <c r="W200" s="22">
        <v>0.96988238550136274</v>
      </c>
      <c r="X200" s="22">
        <v>6.7504899371792673E-2</v>
      </c>
    </row>
    <row r="201" spans="1:24" x14ac:dyDescent="0.35">
      <c r="A201" s="22">
        <v>-0.57358201683270527</v>
      </c>
      <c r="B201" s="22">
        <v>1.7968316218372991</v>
      </c>
      <c r="C201" s="22">
        <v>-0.78259589093966164</v>
      </c>
      <c r="D201" s="22">
        <v>-1.7533102881102545</v>
      </c>
      <c r="E201" s="22">
        <v>0.69386103141494548</v>
      </c>
      <c r="F201" s="22">
        <v>-1.8222156708701167</v>
      </c>
      <c r="G201" s="22">
        <v>1.7826382606290148</v>
      </c>
      <c r="H201" s="22">
        <v>0.39116667283425693</v>
      </c>
      <c r="I201" s="22">
        <v>-4.0506584230455556E-2</v>
      </c>
      <c r="J201" s="22">
        <v>0.63494879351491562</v>
      </c>
      <c r="K201" s="22">
        <v>1.1557116811870873</v>
      </c>
      <c r="L201" s="22">
        <v>-1.2511951499610574</v>
      </c>
      <c r="M201" s="22">
        <v>-0.72173180492802735</v>
      </c>
      <c r="N201" s="22">
        <v>0.829609771582692</v>
      </c>
      <c r="O201" s="22">
        <v>-1.3966921115014246</v>
      </c>
      <c r="P201" s="22">
        <v>-1.3951920880449844</v>
      </c>
      <c r="Q201" s="22">
        <v>-0.28809641210248732</v>
      </c>
      <c r="R201" s="22">
        <v>1.2087471267198804</v>
      </c>
      <c r="S201" s="22">
        <v>1.2093057700928385</v>
      </c>
      <c r="T201" s="22">
        <v>-0.26445890209661921</v>
      </c>
      <c r="U201" s="22">
        <v>2.4453226087303968</v>
      </c>
      <c r="V201" s="22">
        <v>0.20324521262647599</v>
      </c>
      <c r="W201" s="22">
        <v>2.1156212105673493</v>
      </c>
      <c r="X201" s="22">
        <v>0.83698732040132073</v>
      </c>
    </row>
    <row r="202" spans="1:24" x14ac:dyDescent="0.35">
      <c r="A202" s="22">
        <v>-0.25658939369643968</v>
      </c>
      <c r="B202" s="22">
        <v>-0.94176630201158218</v>
      </c>
      <c r="C202" s="22">
        <v>0.48283039809273165</v>
      </c>
      <c r="D202" s="22">
        <v>1.0275812096948655</v>
      </c>
      <c r="E202" s="22">
        <v>0.58672894406133635</v>
      </c>
      <c r="F202" s="22">
        <v>-0.85655301349029511</v>
      </c>
      <c r="G202" s="22">
        <v>0.55685490102739388</v>
      </c>
      <c r="H202" s="22">
        <v>-2.1275822380229723</v>
      </c>
      <c r="I202" s="22">
        <v>-0.28762155404510015</v>
      </c>
      <c r="J202" s="22">
        <v>1.0358353261901707</v>
      </c>
      <c r="K202" s="22">
        <v>1.5316532399754792</v>
      </c>
      <c r="L202" s="22">
        <v>-0.41555853376204588</v>
      </c>
      <c r="M202" s="22">
        <v>0.49672296504809288</v>
      </c>
      <c r="N202" s="22">
        <v>0.34087844847886412</v>
      </c>
      <c r="O202" s="22">
        <v>0.68420876367239281</v>
      </c>
      <c r="P202" s="22">
        <v>0.54293877195379303</v>
      </c>
      <c r="Q202" s="22">
        <v>2.0395807456475699</v>
      </c>
      <c r="R202" s="22">
        <v>-0.18211208387625841</v>
      </c>
      <c r="S202" s="22">
        <v>-3.0926302056018815</v>
      </c>
      <c r="T202" s="22">
        <v>8.3558310332113611E-2</v>
      </c>
      <c r="U202" s="22">
        <v>-0.53997734027820832</v>
      </c>
      <c r="V202" s="22">
        <v>0.64349590462847561</v>
      </c>
      <c r="W202" s="22">
        <v>-0.75029362138137923</v>
      </c>
      <c r="X202" s="22">
        <v>-0.19931848865695187</v>
      </c>
    </row>
  </sheetData>
  <mergeCells count="1">
    <mergeCell ref="AG12:A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56"/>
  <sheetViews>
    <sheetView zoomScale="80" zoomScaleNormal="80" workbookViewId="0"/>
  </sheetViews>
  <sheetFormatPr defaultRowHeight="14.5" x14ac:dyDescent="0.35"/>
  <cols>
    <col min="1" max="1" width="24.7265625" customWidth="1"/>
    <col min="2" max="2" width="11.08984375" bestFit="1" customWidth="1"/>
    <col min="3" max="3" width="13" customWidth="1"/>
  </cols>
  <sheetData>
    <row r="1" spans="1:5" x14ac:dyDescent="0.35">
      <c r="A1" s="45" t="s">
        <v>28</v>
      </c>
      <c r="B1" s="40">
        <v>25</v>
      </c>
      <c r="C1" s="41" t="s">
        <v>29</v>
      </c>
      <c r="E1" s="30" t="s">
        <v>30</v>
      </c>
    </row>
    <row r="2" spans="1:5" x14ac:dyDescent="0.35">
      <c r="A2" s="45"/>
      <c r="B2" s="18"/>
      <c r="C2" s="17"/>
    </row>
    <row r="3" spans="1:5" x14ac:dyDescent="0.35">
      <c r="A3" s="45" t="s">
        <v>31</v>
      </c>
      <c r="B3" s="16">
        <v>200000</v>
      </c>
      <c r="C3" t="s">
        <v>84</v>
      </c>
      <c r="E3" s="30" t="s">
        <v>32</v>
      </c>
    </row>
    <row r="4" spans="1:5" x14ac:dyDescent="0.35">
      <c r="A4" s="45"/>
    </row>
    <row r="5" spans="1:5" x14ac:dyDescent="0.35">
      <c r="A5" s="45" t="s">
        <v>54</v>
      </c>
      <c r="B5" s="42">
        <v>1000</v>
      </c>
      <c r="C5" t="s">
        <v>84</v>
      </c>
      <c r="E5" s="30" t="s">
        <v>55</v>
      </c>
    </row>
    <row r="6" spans="1:5" x14ac:dyDescent="0.35">
      <c r="A6" s="45"/>
      <c r="B6" s="42"/>
      <c r="E6" s="30"/>
    </row>
    <row r="7" spans="1:5" x14ac:dyDescent="0.35">
      <c r="A7" s="45" t="s">
        <v>40</v>
      </c>
      <c r="B7" s="42">
        <v>2</v>
      </c>
      <c r="C7" t="s">
        <v>29</v>
      </c>
      <c r="E7" s="30" t="s">
        <v>41</v>
      </c>
    </row>
    <row r="9" spans="1:5" x14ac:dyDescent="0.35">
      <c r="A9" s="44" t="s">
        <v>36</v>
      </c>
    </row>
    <row r="10" spans="1:5" x14ac:dyDescent="0.35">
      <c r="A10" s="44"/>
    </row>
    <row r="11" spans="1:5" x14ac:dyDescent="0.35">
      <c r="A11" s="45" t="s">
        <v>38</v>
      </c>
      <c r="B11" s="24">
        <v>0.05</v>
      </c>
      <c r="E11" s="30" t="s">
        <v>39</v>
      </c>
    </row>
    <row r="12" spans="1:5" x14ac:dyDescent="0.35">
      <c r="A12" s="45"/>
      <c r="B12" s="24"/>
      <c r="E12" s="30"/>
    </row>
    <row r="13" spans="1:5" x14ac:dyDescent="0.35">
      <c r="A13" s="45" t="s">
        <v>75</v>
      </c>
      <c r="B13" s="42">
        <v>12</v>
      </c>
      <c r="C13" t="s">
        <v>76</v>
      </c>
      <c r="E13" s="30" t="s">
        <v>77</v>
      </c>
    </row>
    <row r="14" spans="1:5" x14ac:dyDescent="0.35">
      <c r="A14" s="45"/>
      <c r="B14" s="24"/>
      <c r="E14" s="30"/>
    </row>
    <row r="15" spans="1:5" x14ac:dyDescent="0.35">
      <c r="A15" t="s">
        <v>51</v>
      </c>
      <c r="B15">
        <v>25</v>
      </c>
      <c r="C15" t="s">
        <v>29</v>
      </c>
      <c r="E15" s="30" t="s">
        <v>53</v>
      </c>
    </row>
    <row r="16" spans="1:5" x14ac:dyDescent="0.35">
      <c r="A16" s="44"/>
    </row>
    <row r="17" spans="1:5" x14ac:dyDescent="0.35">
      <c r="A17" s="44" t="s">
        <v>37</v>
      </c>
    </row>
    <row r="19" spans="1:5" x14ac:dyDescent="0.35">
      <c r="A19" s="45" t="s">
        <v>22</v>
      </c>
      <c r="B19" s="24">
        <v>4.4999999999999998E-2</v>
      </c>
      <c r="E19" s="30" t="s">
        <v>23</v>
      </c>
    </row>
    <row r="20" spans="1:5" x14ac:dyDescent="0.35">
      <c r="A20" s="45"/>
      <c r="B20" s="24"/>
      <c r="E20" s="30"/>
    </row>
    <row r="21" spans="1:5" x14ac:dyDescent="0.35">
      <c r="A21" s="45" t="s">
        <v>75</v>
      </c>
      <c r="B21" s="42">
        <v>12</v>
      </c>
      <c r="C21" t="s">
        <v>76</v>
      </c>
      <c r="E21" s="30" t="s">
        <v>78</v>
      </c>
    </row>
    <row r="22" spans="1:5" x14ac:dyDescent="0.35">
      <c r="A22" s="45"/>
    </row>
    <row r="23" spans="1:5" x14ac:dyDescent="0.35">
      <c r="A23" s="45" t="s">
        <v>12</v>
      </c>
    </row>
    <row r="24" spans="1:5" ht="15" thickBot="1" x14ac:dyDescent="0.4">
      <c r="E24" s="60"/>
    </row>
    <row r="25" spans="1:5" x14ac:dyDescent="0.35">
      <c r="A25" s="6" t="s">
        <v>18</v>
      </c>
      <c r="B25" s="31">
        <v>-1000000</v>
      </c>
      <c r="C25" s="66">
        <v>-5.0000000000000001E-3</v>
      </c>
      <c r="E25" s="49"/>
    </row>
    <row r="26" spans="1:5" x14ac:dyDescent="0.35">
      <c r="A26" s="25" t="s">
        <v>85</v>
      </c>
      <c r="B26" s="68">
        <v>-2</v>
      </c>
      <c r="C26" s="32">
        <v>-2.5000000000000001E-3</v>
      </c>
    </row>
    <row r="27" spans="1:5" x14ac:dyDescent="0.35">
      <c r="A27" s="25" t="s">
        <v>86</v>
      </c>
      <c r="B27" s="68">
        <v>-1.5</v>
      </c>
      <c r="C27" s="32">
        <v>0</v>
      </c>
    </row>
    <row r="28" spans="1:5" x14ac:dyDescent="0.35">
      <c r="A28" s="25" t="s">
        <v>13</v>
      </c>
      <c r="B28" s="68">
        <v>1.5</v>
      </c>
      <c r="C28" s="32">
        <v>2.5000000000000001E-3</v>
      </c>
    </row>
    <row r="29" spans="1:5" ht="15" thickBot="1" x14ac:dyDescent="0.4">
      <c r="A29" s="6" t="s">
        <v>14</v>
      </c>
      <c r="B29" s="69">
        <v>2</v>
      </c>
      <c r="C29" s="67">
        <v>5.0000000000000001E-3</v>
      </c>
      <c r="E29" s="30" t="s">
        <v>19</v>
      </c>
    </row>
    <row r="30" spans="1:5" x14ac:dyDescent="0.35">
      <c r="B30" s="7"/>
    </row>
    <row r="31" spans="1:5" x14ac:dyDescent="0.35">
      <c r="C31" s="17"/>
    </row>
    <row r="32" spans="1:5" x14ac:dyDescent="0.35">
      <c r="A32" s="45" t="s">
        <v>20</v>
      </c>
      <c r="B32" s="24">
        <v>1E-3</v>
      </c>
      <c r="E32" s="30" t="s">
        <v>21</v>
      </c>
    </row>
    <row r="33" spans="1:5" x14ac:dyDescent="0.35">
      <c r="B33" s="18"/>
      <c r="C33" s="17"/>
    </row>
    <row r="34" spans="1:5" x14ac:dyDescent="0.35">
      <c r="B34" s="16"/>
      <c r="C34" s="17"/>
    </row>
    <row r="35" spans="1:5" x14ac:dyDescent="0.35">
      <c r="A35" s="20" t="s">
        <v>48</v>
      </c>
    </row>
    <row r="36" spans="1:5" x14ac:dyDescent="0.35">
      <c r="C36" s="17"/>
    </row>
    <row r="37" spans="1:5" x14ac:dyDescent="0.35">
      <c r="A37" t="s">
        <v>63</v>
      </c>
      <c r="B37" s="42">
        <v>2000</v>
      </c>
      <c r="C37" t="s">
        <v>84</v>
      </c>
      <c r="E37" s="30" t="s">
        <v>64</v>
      </c>
    </row>
    <row r="39" spans="1:5" x14ac:dyDescent="0.35">
      <c r="A39" s="45" t="s">
        <v>40</v>
      </c>
      <c r="B39" s="42">
        <v>1</v>
      </c>
      <c r="C39" t="s">
        <v>50</v>
      </c>
      <c r="E39" s="30" t="s">
        <v>49</v>
      </c>
    </row>
    <row r="40" spans="1:5" x14ac:dyDescent="0.35">
      <c r="B40" s="19"/>
      <c r="C40" s="17"/>
    </row>
    <row r="41" spans="1:5" x14ac:dyDescent="0.35">
      <c r="A41" t="s">
        <v>51</v>
      </c>
      <c r="B41">
        <v>5</v>
      </c>
      <c r="C41" t="s">
        <v>29</v>
      </c>
      <c r="E41" s="30" t="s">
        <v>52</v>
      </c>
    </row>
    <row r="42" spans="1:5" x14ac:dyDescent="0.35">
      <c r="B42" s="18"/>
      <c r="C42" s="17"/>
    </row>
    <row r="44" spans="1:5" x14ac:dyDescent="0.35">
      <c r="A44" s="20"/>
    </row>
    <row r="46" spans="1:5" x14ac:dyDescent="0.35">
      <c r="B46" s="16"/>
      <c r="C46" s="17"/>
    </row>
    <row r="48" spans="1:5" x14ac:dyDescent="0.35">
      <c r="C48" s="17"/>
    </row>
    <row r="50" spans="2:3" x14ac:dyDescent="0.35">
      <c r="B50" s="19"/>
      <c r="C50" s="17"/>
    </row>
    <row r="52" spans="2:3" x14ac:dyDescent="0.35">
      <c r="C52" s="17"/>
    </row>
    <row r="54" spans="2:3" x14ac:dyDescent="0.35">
      <c r="C54" s="17"/>
    </row>
    <row r="56" spans="2:3" x14ac:dyDescent="0.35">
      <c r="B56" s="19"/>
      <c r="C56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09"/>
  <sheetViews>
    <sheetView workbookViewId="0"/>
  </sheetViews>
  <sheetFormatPr defaultRowHeight="14.5" x14ac:dyDescent="0.35"/>
  <cols>
    <col min="1" max="1" width="34.6328125" customWidth="1"/>
    <col min="3" max="17" width="8.36328125" customWidth="1"/>
    <col min="18" max="18" width="12.453125" customWidth="1"/>
    <col min="19" max="26" width="8.36328125" customWidth="1"/>
    <col min="27" max="27" width="14.54296875" customWidth="1"/>
    <col min="29" max="29" width="17.1796875" customWidth="1"/>
    <col min="31" max="31" width="14.81640625" customWidth="1"/>
  </cols>
  <sheetData>
    <row r="1" spans="1:32" x14ac:dyDescent="0.35">
      <c r="A1" s="20" t="s">
        <v>90</v>
      </c>
    </row>
    <row r="2" spans="1:32" x14ac:dyDescent="0.35">
      <c r="A2" s="20"/>
    </row>
    <row r="3" spans="1:32" x14ac:dyDescent="0.35">
      <c r="A3" t="s">
        <v>79</v>
      </c>
      <c r="B3" s="64" t="s">
        <v>80</v>
      </c>
      <c r="C3" s="46">
        <f>Fixed_int</f>
        <v>0.05</v>
      </c>
      <c r="Z3" s="10" t="s">
        <v>59</v>
      </c>
      <c r="AA3" s="71">
        <f>Deposit_mon*Fixed_freq*Dep_term*(1+'Fixed rate projection'!C3)^(Dep_term/2)</f>
        <v>25200</v>
      </c>
      <c r="AD3" s="10" t="s">
        <v>88</v>
      </c>
      <c r="AE3" s="71">
        <f>AE10*Product_term*Fixed_freq</f>
        <v>303069</v>
      </c>
    </row>
    <row r="4" spans="1:32" ht="16.5" x14ac:dyDescent="0.35">
      <c r="A4" t="s">
        <v>81</v>
      </c>
      <c r="B4" s="64" t="s">
        <v>82</v>
      </c>
      <c r="C4" s="55">
        <f>Fixed_freq*((1+C3)^(1/Fixed_freq)-1)</f>
        <v>4.8889485403780242E-2</v>
      </c>
      <c r="Z4" s="21" t="s">
        <v>58</v>
      </c>
      <c r="AA4" s="21" t="str">
        <f>IF((AA10/AA3)-1&lt;1%,"OK","CHECK ACCUMULATION")</f>
        <v>OK</v>
      </c>
    </row>
    <row r="5" spans="1:32" x14ac:dyDescent="0.35">
      <c r="A5" s="48" t="s">
        <v>27</v>
      </c>
      <c r="C5" s="39">
        <f>(1-(1+C3)^-Mort_term)/C4</f>
        <v>14.4140856153857</v>
      </c>
    </row>
    <row r="7" spans="1:32" x14ac:dyDescent="0.35">
      <c r="A7" t="s">
        <v>56</v>
      </c>
    </row>
    <row r="9" spans="1:32" x14ac:dyDescent="0.35">
      <c r="A9" t="s">
        <v>16</v>
      </c>
      <c r="B9" t="s">
        <v>57</v>
      </c>
      <c r="C9" s="57">
        <v>1</v>
      </c>
      <c r="D9" s="10">
        <f t="shared" ref="D9:AA9" si="0">IF(C9+1&gt;Dep_term*12,"Mortgage starts",C9+1)</f>
        <v>2</v>
      </c>
      <c r="E9" s="10">
        <f t="shared" si="0"/>
        <v>3</v>
      </c>
      <c r="F9" s="10">
        <f t="shared" si="0"/>
        <v>4</v>
      </c>
      <c r="G9" s="10">
        <f t="shared" si="0"/>
        <v>5</v>
      </c>
      <c r="H9" s="10">
        <f t="shared" si="0"/>
        <v>6</v>
      </c>
      <c r="I9" s="10">
        <f t="shared" si="0"/>
        <v>7</v>
      </c>
      <c r="J9" s="10">
        <f t="shared" si="0"/>
        <v>8</v>
      </c>
      <c r="K9" s="10">
        <f t="shared" si="0"/>
        <v>9</v>
      </c>
      <c r="L9" s="10">
        <f t="shared" si="0"/>
        <v>10</v>
      </c>
      <c r="M9" s="10">
        <f t="shared" si="0"/>
        <v>11</v>
      </c>
      <c r="N9" s="10">
        <f t="shared" si="0"/>
        <v>12</v>
      </c>
      <c r="O9" s="10">
        <f t="shared" si="0"/>
        <v>13</v>
      </c>
      <c r="P9" s="10">
        <f t="shared" si="0"/>
        <v>14</v>
      </c>
      <c r="Q9" s="10">
        <f t="shared" si="0"/>
        <v>15</v>
      </c>
      <c r="R9" s="10">
        <f t="shared" si="0"/>
        <v>16</v>
      </c>
      <c r="S9" s="10">
        <f t="shared" si="0"/>
        <v>17</v>
      </c>
      <c r="T9" s="10">
        <f t="shared" si="0"/>
        <v>18</v>
      </c>
      <c r="U9" s="10">
        <f t="shared" si="0"/>
        <v>19</v>
      </c>
      <c r="V9" s="10">
        <f t="shared" si="0"/>
        <v>20</v>
      </c>
      <c r="W9" s="10">
        <f t="shared" si="0"/>
        <v>21</v>
      </c>
      <c r="X9" s="10">
        <f t="shared" si="0"/>
        <v>22</v>
      </c>
      <c r="Y9" s="10">
        <f t="shared" si="0"/>
        <v>23</v>
      </c>
      <c r="Z9" s="10">
        <f t="shared" si="0"/>
        <v>24</v>
      </c>
      <c r="AA9" s="10" t="str">
        <f t="shared" si="0"/>
        <v>Mortgage starts</v>
      </c>
      <c r="AC9" s="10" t="s">
        <v>60</v>
      </c>
      <c r="AE9" s="26" t="s">
        <v>87</v>
      </c>
      <c r="AF9" s="10"/>
    </row>
    <row r="10" spans="1:32" x14ac:dyDescent="0.35">
      <c r="A10" t="s">
        <v>93</v>
      </c>
      <c r="C10" s="57">
        <f>Deposit_mon</f>
        <v>1000</v>
      </c>
      <c r="D10" s="16">
        <f t="shared" ref="D10:AA10" si="1">ROUND(C10*(1+$C$4/Fixed_freq)+IF(D$9="Mortgage Starts",0,Deposit_mon),2)</f>
        <v>2004.07</v>
      </c>
      <c r="E10" s="16">
        <f t="shared" si="1"/>
        <v>3012.23</v>
      </c>
      <c r="F10" s="16">
        <f t="shared" si="1"/>
        <v>4024.5</v>
      </c>
      <c r="G10" s="16">
        <f t="shared" si="1"/>
        <v>5040.8999999999996</v>
      </c>
      <c r="H10" s="16">
        <f t="shared" si="1"/>
        <v>6061.44</v>
      </c>
      <c r="I10" s="16">
        <f t="shared" si="1"/>
        <v>7086.14</v>
      </c>
      <c r="J10" s="16">
        <f t="shared" si="1"/>
        <v>8115.01</v>
      </c>
      <c r="K10" s="16">
        <f t="shared" si="1"/>
        <v>9148.07</v>
      </c>
      <c r="L10" s="16">
        <f t="shared" si="1"/>
        <v>10185.34</v>
      </c>
      <c r="M10" s="16">
        <f t="shared" si="1"/>
        <v>11226.84</v>
      </c>
      <c r="N10" s="16">
        <f t="shared" si="1"/>
        <v>12272.58</v>
      </c>
      <c r="O10" s="16">
        <f t="shared" si="1"/>
        <v>13322.58</v>
      </c>
      <c r="P10" s="16">
        <f t="shared" si="1"/>
        <v>14376.86</v>
      </c>
      <c r="Q10" s="16">
        <f t="shared" si="1"/>
        <v>15435.43</v>
      </c>
      <c r="R10" s="16">
        <f t="shared" si="1"/>
        <v>16498.32</v>
      </c>
      <c r="S10" s="16">
        <f t="shared" si="1"/>
        <v>17565.54</v>
      </c>
      <c r="T10" s="16">
        <f t="shared" si="1"/>
        <v>18637.099999999999</v>
      </c>
      <c r="U10" s="16">
        <f t="shared" si="1"/>
        <v>19713.03</v>
      </c>
      <c r="V10" s="16">
        <f t="shared" si="1"/>
        <v>20793.34</v>
      </c>
      <c r="W10" s="16">
        <f t="shared" si="1"/>
        <v>21878.05</v>
      </c>
      <c r="X10" s="16">
        <f t="shared" si="1"/>
        <v>22967.18</v>
      </c>
      <c r="Y10" s="16">
        <f t="shared" si="1"/>
        <v>24060.75</v>
      </c>
      <c r="Z10" s="16">
        <f t="shared" si="1"/>
        <v>25158.78</v>
      </c>
      <c r="AA10" s="16">
        <f t="shared" si="1"/>
        <v>25261.279999999999</v>
      </c>
      <c r="AC10" s="71">
        <f>House_price-AA10</f>
        <v>174738.72</v>
      </c>
      <c r="AE10" s="72">
        <f>ROUND(AC10/C5/Fixed_freq,2)</f>
        <v>1010.23</v>
      </c>
    </row>
    <row r="11" spans="1:32" x14ac:dyDescent="0.35">
      <c r="AC11" s="47"/>
      <c r="AE11" s="47"/>
    </row>
    <row r="12" spans="1:32" x14ac:dyDescent="0.35">
      <c r="AC12" s="47"/>
      <c r="AE12" s="47"/>
    </row>
    <row r="13" spans="1:32" x14ac:dyDescent="0.35">
      <c r="AC13" s="47"/>
      <c r="AE13" s="47"/>
    </row>
    <row r="14" spans="1:32" x14ac:dyDescent="0.35">
      <c r="AC14" s="47"/>
      <c r="AE14" s="47"/>
    </row>
    <row r="15" spans="1:32" x14ac:dyDescent="0.35">
      <c r="AC15" s="47"/>
      <c r="AE15" s="47"/>
    </row>
    <row r="16" spans="1:32" x14ac:dyDescent="0.35">
      <c r="AC16" s="47"/>
      <c r="AE16" s="47"/>
    </row>
    <row r="17" spans="29:31" x14ac:dyDescent="0.35">
      <c r="AC17" s="47"/>
      <c r="AE17" s="47"/>
    </row>
    <row r="18" spans="29:31" x14ac:dyDescent="0.35">
      <c r="AC18" s="47"/>
      <c r="AE18" s="47"/>
    </row>
    <row r="19" spans="29:31" x14ac:dyDescent="0.35">
      <c r="AC19" s="47"/>
      <c r="AE19" s="47"/>
    </row>
    <row r="20" spans="29:31" x14ac:dyDescent="0.35">
      <c r="AC20" s="47"/>
      <c r="AE20" s="47"/>
    </row>
    <row r="21" spans="29:31" x14ac:dyDescent="0.35">
      <c r="AC21" s="47"/>
      <c r="AE21" s="47"/>
    </row>
    <row r="22" spans="29:31" x14ac:dyDescent="0.35">
      <c r="AC22" s="47"/>
      <c r="AE22" s="47"/>
    </row>
    <row r="23" spans="29:31" x14ac:dyDescent="0.35">
      <c r="AC23" s="47"/>
      <c r="AE23" s="47"/>
    </row>
    <row r="24" spans="29:31" x14ac:dyDescent="0.35">
      <c r="AC24" s="47"/>
      <c r="AE24" s="47"/>
    </row>
    <row r="25" spans="29:31" x14ac:dyDescent="0.35">
      <c r="AC25" s="47"/>
      <c r="AE25" s="47"/>
    </row>
    <row r="26" spans="29:31" x14ac:dyDescent="0.35">
      <c r="AC26" s="47"/>
      <c r="AE26" s="47"/>
    </row>
    <row r="27" spans="29:31" x14ac:dyDescent="0.35">
      <c r="AC27" s="47"/>
      <c r="AE27" s="47"/>
    </row>
    <row r="28" spans="29:31" x14ac:dyDescent="0.35">
      <c r="AC28" s="47"/>
      <c r="AE28" s="47"/>
    </row>
    <row r="29" spans="29:31" x14ac:dyDescent="0.35">
      <c r="AC29" s="47"/>
      <c r="AE29" s="47"/>
    </row>
    <row r="30" spans="29:31" x14ac:dyDescent="0.35">
      <c r="AC30" s="47"/>
      <c r="AE30" s="47"/>
    </row>
    <row r="31" spans="29:31" x14ac:dyDescent="0.35">
      <c r="AC31" s="47"/>
      <c r="AE31" s="47"/>
    </row>
    <row r="32" spans="29:31" x14ac:dyDescent="0.35">
      <c r="AC32" s="47"/>
      <c r="AE32" s="47"/>
    </row>
    <row r="33" spans="29:31" x14ac:dyDescent="0.35">
      <c r="AC33" s="47"/>
      <c r="AE33" s="47"/>
    </row>
    <row r="34" spans="29:31" x14ac:dyDescent="0.35">
      <c r="AC34" s="47"/>
      <c r="AE34" s="47"/>
    </row>
    <row r="35" spans="29:31" x14ac:dyDescent="0.35">
      <c r="AC35" s="47"/>
      <c r="AE35" s="47"/>
    </row>
    <row r="36" spans="29:31" x14ac:dyDescent="0.35">
      <c r="AC36" s="47"/>
      <c r="AE36" s="47"/>
    </row>
    <row r="37" spans="29:31" x14ac:dyDescent="0.35">
      <c r="AC37" s="47"/>
      <c r="AE37" s="47"/>
    </row>
    <row r="38" spans="29:31" x14ac:dyDescent="0.35">
      <c r="AC38" s="47"/>
      <c r="AE38" s="47"/>
    </row>
    <row r="39" spans="29:31" x14ac:dyDescent="0.35">
      <c r="AC39" s="47"/>
      <c r="AE39" s="47"/>
    </row>
    <row r="40" spans="29:31" x14ac:dyDescent="0.35">
      <c r="AC40" s="47"/>
      <c r="AE40" s="47"/>
    </row>
    <row r="41" spans="29:31" x14ac:dyDescent="0.35">
      <c r="AC41" s="47"/>
      <c r="AE41" s="47"/>
    </row>
    <row r="42" spans="29:31" x14ac:dyDescent="0.35">
      <c r="AC42" s="47"/>
      <c r="AE42" s="47"/>
    </row>
    <row r="43" spans="29:31" x14ac:dyDescent="0.35">
      <c r="AC43" s="47"/>
      <c r="AE43" s="47"/>
    </row>
    <row r="44" spans="29:31" x14ac:dyDescent="0.35">
      <c r="AC44" s="47"/>
      <c r="AE44" s="47"/>
    </row>
    <row r="45" spans="29:31" x14ac:dyDescent="0.35">
      <c r="AC45" s="47"/>
      <c r="AE45" s="47"/>
    </row>
    <row r="46" spans="29:31" x14ac:dyDescent="0.35">
      <c r="AC46" s="47"/>
      <c r="AE46" s="47"/>
    </row>
    <row r="47" spans="29:31" x14ac:dyDescent="0.35">
      <c r="AC47" s="47"/>
      <c r="AE47" s="47"/>
    </row>
    <row r="48" spans="29:31" x14ac:dyDescent="0.35">
      <c r="AC48" s="47"/>
      <c r="AE48" s="47"/>
    </row>
    <row r="49" spans="29:31" x14ac:dyDescent="0.35">
      <c r="AC49" s="47"/>
      <c r="AE49" s="47"/>
    </row>
    <row r="50" spans="29:31" x14ac:dyDescent="0.35">
      <c r="AC50" s="47"/>
      <c r="AE50" s="47"/>
    </row>
    <row r="51" spans="29:31" x14ac:dyDescent="0.35">
      <c r="AC51" s="47"/>
      <c r="AE51" s="47"/>
    </row>
    <row r="52" spans="29:31" x14ac:dyDescent="0.35">
      <c r="AC52" s="47"/>
      <c r="AE52" s="47"/>
    </row>
    <row r="53" spans="29:31" x14ac:dyDescent="0.35">
      <c r="AC53" s="47"/>
      <c r="AE53" s="47"/>
    </row>
    <row r="54" spans="29:31" x14ac:dyDescent="0.35">
      <c r="AC54" s="47"/>
      <c r="AE54" s="47"/>
    </row>
    <row r="55" spans="29:31" x14ac:dyDescent="0.35">
      <c r="AC55" s="47"/>
      <c r="AE55" s="47"/>
    </row>
    <row r="56" spans="29:31" x14ac:dyDescent="0.35">
      <c r="AC56" s="47"/>
      <c r="AE56" s="47"/>
    </row>
    <row r="57" spans="29:31" x14ac:dyDescent="0.35">
      <c r="AC57" s="47"/>
      <c r="AE57" s="47"/>
    </row>
    <row r="58" spans="29:31" x14ac:dyDescent="0.35">
      <c r="AC58" s="47"/>
      <c r="AE58" s="47"/>
    </row>
    <row r="59" spans="29:31" x14ac:dyDescent="0.35">
      <c r="AC59" s="47"/>
      <c r="AE59" s="47"/>
    </row>
    <row r="60" spans="29:31" x14ac:dyDescent="0.35">
      <c r="AC60" s="47"/>
      <c r="AE60" s="47"/>
    </row>
    <row r="61" spans="29:31" x14ac:dyDescent="0.35">
      <c r="AC61" s="47"/>
      <c r="AE61" s="47"/>
    </row>
    <row r="62" spans="29:31" x14ac:dyDescent="0.35">
      <c r="AC62" s="47"/>
      <c r="AE62" s="47"/>
    </row>
    <row r="63" spans="29:31" x14ac:dyDescent="0.35">
      <c r="AC63" s="47"/>
      <c r="AE63" s="47"/>
    </row>
    <row r="64" spans="29:31" x14ac:dyDescent="0.35">
      <c r="AC64" s="47"/>
      <c r="AE64" s="47"/>
    </row>
    <row r="65" spans="29:31" x14ac:dyDescent="0.35">
      <c r="AC65" s="47"/>
      <c r="AE65" s="47"/>
    </row>
    <row r="66" spans="29:31" x14ac:dyDescent="0.35">
      <c r="AC66" s="47"/>
      <c r="AE66" s="47"/>
    </row>
    <row r="67" spans="29:31" x14ac:dyDescent="0.35">
      <c r="AC67" s="47"/>
      <c r="AE67" s="47"/>
    </row>
    <row r="68" spans="29:31" x14ac:dyDescent="0.35">
      <c r="AC68" s="47"/>
      <c r="AE68" s="47"/>
    </row>
    <row r="69" spans="29:31" x14ac:dyDescent="0.35">
      <c r="AC69" s="47"/>
      <c r="AE69" s="47"/>
    </row>
    <row r="70" spans="29:31" x14ac:dyDescent="0.35">
      <c r="AC70" s="47"/>
      <c r="AE70" s="47"/>
    </row>
    <row r="71" spans="29:31" x14ac:dyDescent="0.35">
      <c r="AC71" s="47"/>
      <c r="AE71" s="47"/>
    </row>
    <row r="72" spans="29:31" x14ac:dyDescent="0.35">
      <c r="AC72" s="47"/>
      <c r="AE72" s="47"/>
    </row>
    <row r="73" spans="29:31" x14ac:dyDescent="0.35">
      <c r="AC73" s="47"/>
      <c r="AE73" s="47"/>
    </row>
    <row r="74" spans="29:31" x14ac:dyDescent="0.35">
      <c r="AC74" s="47"/>
      <c r="AE74" s="47"/>
    </row>
    <row r="75" spans="29:31" x14ac:dyDescent="0.35">
      <c r="AC75" s="47"/>
      <c r="AE75" s="47"/>
    </row>
    <row r="76" spans="29:31" x14ac:dyDescent="0.35">
      <c r="AC76" s="47"/>
      <c r="AE76" s="47"/>
    </row>
    <row r="77" spans="29:31" x14ac:dyDescent="0.35">
      <c r="AC77" s="47"/>
      <c r="AE77" s="47"/>
    </row>
    <row r="78" spans="29:31" x14ac:dyDescent="0.35">
      <c r="AC78" s="47"/>
      <c r="AE78" s="47"/>
    </row>
    <row r="79" spans="29:31" x14ac:dyDescent="0.35">
      <c r="AC79" s="47"/>
      <c r="AE79" s="47"/>
    </row>
    <row r="80" spans="29:31" x14ac:dyDescent="0.35">
      <c r="AC80" s="47"/>
      <c r="AE80" s="47"/>
    </row>
    <row r="81" spans="29:31" x14ac:dyDescent="0.35">
      <c r="AC81" s="47"/>
      <c r="AE81" s="47"/>
    </row>
    <row r="82" spans="29:31" x14ac:dyDescent="0.35">
      <c r="AC82" s="47"/>
      <c r="AE82" s="47"/>
    </row>
    <row r="83" spans="29:31" x14ac:dyDescent="0.35">
      <c r="AC83" s="47"/>
      <c r="AE83" s="47"/>
    </row>
    <row r="84" spans="29:31" x14ac:dyDescent="0.35">
      <c r="AC84" s="47"/>
      <c r="AE84" s="47"/>
    </row>
    <row r="85" spans="29:31" x14ac:dyDescent="0.35">
      <c r="AC85" s="47"/>
      <c r="AE85" s="47"/>
    </row>
    <row r="86" spans="29:31" x14ac:dyDescent="0.35">
      <c r="AC86" s="47"/>
      <c r="AE86" s="47"/>
    </row>
    <row r="87" spans="29:31" x14ac:dyDescent="0.35">
      <c r="AC87" s="47"/>
      <c r="AE87" s="47"/>
    </row>
    <row r="88" spans="29:31" x14ac:dyDescent="0.35">
      <c r="AC88" s="47"/>
      <c r="AE88" s="47"/>
    </row>
    <row r="89" spans="29:31" x14ac:dyDescent="0.35">
      <c r="AC89" s="47"/>
      <c r="AE89" s="47"/>
    </row>
    <row r="90" spans="29:31" x14ac:dyDescent="0.35">
      <c r="AC90" s="47"/>
      <c r="AE90" s="47"/>
    </row>
    <row r="91" spans="29:31" x14ac:dyDescent="0.35">
      <c r="AC91" s="47"/>
      <c r="AE91" s="47"/>
    </row>
    <row r="92" spans="29:31" x14ac:dyDescent="0.35">
      <c r="AC92" s="47"/>
      <c r="AE92" s="47"/>
    </row>
    <row r="93" spans="29:31" x14ac:dyDescent="0.35">
      <c r="AC93" s="47"/>
      <c r="AE93" s="47"/>
    </row>
    <row r="94" spans="29:31" x14ac:dyDescent="0.35">
      <c r="AC94" s="47"/>
      <c r="AE94" s="47"/>
    </row>
    <row r="95" spans="29:31" x14ac:dyDescent="0.35">
      <c r="AC95" s="47"/>
      <c r="AE95" s="47"/>
    </row>
    <row r="96" spans="29:31" x14ac:dyDescent="0.35">
      <c r="AC96" s="47"/>
      <c r="AE96" s="47"/>
    </row>
    <row r="97" spans="29:31" x14ac:dyDescent="0.35">
      <c r="AC97" s="47"/>
      <c r="AE97" s="47"/>
    </row>
    <row r="98" spans="29:31" x14ac:dyDescent="0.35">
      <c r="AC98" s="47"/>
      <c r="AE98" s="47"/>
    </row>
    <row r="99" spans="29:31" x14ac:dyDescent="0.35">
      <c r="AC99" s="47"/>
      <c r="AE99" s="47"/>
    </row>
    <row r="100" spans="29:31" x14ac:dyDescent="0.35">
      <c r="AC100" s="47"/>
      <c r="AE100" s="47"/>
    </row>
    <row r="101" spans="29:31" x14ac:dyDescent="0.35">
      <c r="AC101" s="47"/>
      <c r="AE101" s="47"/>
    </row>
    <row r="102" spans="29:31" x14ac:dyDescent="0.35">
      <c r="AC102" s="47"/>
      <c r="AE102" s="47"/>
    </row>
    <row r="103" spans="29:31" x14ac:dyDescent="0.35">
      <c r="AC103" s="47"/>
      <c r="AE103" s="47"/>
    </row>
    <row r="104" spans="29:31" x14ac:dyDescent="0.35">
      <c r="AC104" s="47"/>
      <c r="AE104" s="47"/>
    </row>
    <row r="105" spans="29:31" x14ac:dyDescent="0.35">
      <c r="AC105" s="47"/>
      <c r="AE105" s="47"/>
    </row>
    <row r="106" spans="29:31" x14ac:dyDescent="0.35">
      <c r="AC106" s="47"/>
      <c r="AE106" s="47"/>
    </row>
    <row r="107" spans="29:31" x14ac:dyDescent="0.35">
      <c r="AC107" s="47"/>
      <c r="AE107" s="47"/>
    </row>
    <row r="108" spans="29:31" x14ac:dyDescent="0.35">
      <c r="AC108" s="47"/>
      <c r="AE108" s="47"/>
    </row>
    <row r="109" spans="29:31" x14ac:dyDescent="0.35">
      <c r="AC109" s="47"/>
      <c r="AE109" s="47"/>
    </row>
    <row r="110" spans="29:31" x14ac:dyDescent="0.35">
      <c r="AC110" s="47"/>
      <c r="AE110" s="47"/>
    </row>
    <row r="111" spans="29:31" x14ac:dyDescent="0.35">
      <c r="AC111" s="47"/>
      <c r="AE111" s="47"/>
    </row>
    <row r="112" spans="29:31" x14ac:dyDescent="0.35">
      <c r="AC112" s="47"/>
      <c r="AE112" s="47"/>
    </row>
    <row r="113" spans="29:31" x14ac:dyDescent="0.35">
      <c r="AC113" s="47"/>
      <c r="AE113" s="47"/>
    </row>
    <row r="114" spans="29:31" x14ac:dyDescent="0.35">
      <c r="AC114" s="47"/>
      <c r="AE114" s="47"/>
    </row>
    <row r="115" spans="29:31" x14ac:dyDescent="0.35">
      <c r="AC115" s="47"/>
      <c r="AE115" s="47"/>
    </row>
    <row r="116" spans="29:31" x14ac:dyDescent="0.35">
      <c r="AC116" s="47"/>
      <c r="AE116" s="47"/>
    </row>
    <row r="117" spans="29:31" x14ac:dyDescent="0.35">
      <c r="AC117" s="47"/>
      <c r="AE117" s="47"/>
    </row>
    <row r="118" spans="29:31" x14ac:dyDescent="0.35">
      <c r="AC118" s="47"/>
      <c r="AE118" s="47"/>
    </row>
    <row r="119" spans="29:31" x14ac:dyDescent="0.35">
      <c r="AC119" s="47"/>
      <c r="AE119" s="47"/>
    </row>
    <row r="120" spans="29:31" x14ac:dyDescent="0.35">
      <c r="AC120" s="47"/>
      <c r="AE120" s="47"/>
    </row>
    <row r="121" spans="29:31" x14ac:dyDescent="0.35">
      <c r="AC121" s="47"/>
      <c r="AE121" s="47"/>
    </row>
    <row r="122" spans="29:31" x14ac:dyDescent="0.35">
      <c r="AC122" s="47"/>
      <c r="AE122" s="47"/>
    </row>
    <row r="123" spans="29:31" x14ac:dyDescent="0.35">
      <c r="AC123" s="47"/>
      <c r="AE123" s="47"/>
    </row>
    <row r="124" spans="29:31" x14ac:dyDescent="0.35">
      <c r="AC124" s="47"/>
      <c r="AE124" s="47"/>
    </row>
    <row r="125" spans="29:31" x14ac:dyDescent="0.35">
      <c r="AC125" s="47"/>
      <c r="AE125" s="47"/>
    </row>
    <row r="126" spans="29:31" x14ac:dyDescent="0.35">
      <c r="AC126" s="47"/>
      <c r="AE126" s="47"/>
    </row>
    <row r="127" spans="29:31" x14ac:dyDescent="0.35">
      <c r="AC127" s="47"/>
      <c r="AE127" s="47"/>
    </row>
    <row r="128" spans="29:31" x14ac:dyDescent="0.35">
      <c r="AC128" s="47"/>
      <c r="AE128" s="47"/>
    </row>
    <row r="129" spans="29:31" x14ac:dyDescent="0.35">
      <c r="AC129" s="47"/>
      <c r="AE129" s="47"/>
    </row>
    <row r="130" spans="29:31" x14ac:dyDescent="0.35">
      <c r="AC130" s="47"/>
      <c r="AE130" s="47"/>
    </row>
    <row r="131" spans="29:31" x14ac:dyDescent="0.35">
      <c r="AC131" s="47"/>
      <c r="AE131" s="47"/>
    </row>
    <row r="132" spans="29:31" x14ac:dyDescent="0.35">
      <c r="AC132" s="47"/>
      <c r="AE132" s="47"/>
    </row>
    <row r="133" spans="29:31" x14ac:dyDescent="0.35">
      <c r="AC133" s="47"/>
      <c r="AE133" s="47"/>
    </row>
    <row r="134" spans="29:31" x14ac:dyDescent="0.35">
      <c r="AC134" s="47"/>
      <c r="AE134" s="47"/>
    </row>
    <row r="135" spans="29:31" x14ac:dyDescent="0.35">
      <c r="AC135" s="47"/>
      <c r="AE135" s="47"/>
    </row>
    <row r="136" spans="29:31" x14ac:dyDescent="0.35">
      <c r="AC136" s="47"/>
      <c r="AE136" s="47"/>
    </row>
    <row r="137" spans="29:31" x14ac:dyDescent="0.35">
      <c r="AC137" s="47"/>
      <c r="AE137" s="47"/>
    </row>
    <row r="138" spans="29:31" x14ac:dyDescent="0.35">
      <c r="AC138" s="47"/>
      <c r="AE138" s="47"/>
    </row>
    <row r="139" spans="29:31" x14ac:dyDescent="0.35">
      <c r="AC139" s="47"/>
      <c r="AE139" s="47"/>
    </row>
    <row r="140" spans="29:31" x14ac:dyDescent="0.35">
      <c r="AC140" s="47"/>
      <c r="AE140" s="47"/>
    </row>
    <row r="141" spans="29:31" x14ac:dyDescent="0.35">
      <c r="AC141" s="47"/>
      <c r="AE141" s="47"/>
    </row>
    <row r="142" spans="29:31" x14ac:dyDescent="0.35">
      <c r="AC142" s="47"/>
      <c r="AE142" s="47"/>
    </row>
    <row r="143" spans="29:31" x14ac:dyDescent="0.35">
      <c r="AC143" s="47"/>
      <c r="AE143" s="47"/>
    </row>
    <row r="144" spans="29:31" x14ac:dyDescent="0.35">
      <c r="AC144" s="47"/>
      <c r="AE144" s="47"/>
    </row>
    <row r="145" spans="29:31" x14ac:dyDescent="0.35">
      <c r="AC145" s="47"/>
      <c r="AE145" s="47"/>
    </row>
    <row r="146" spans="29:31" x14ac:dyDescent="0.35">
      <c r="AC146" s="47"/>
      <c r="AE146" s="47"/>
    </row>
    <row r="147" spans="29:31" x14ac:dyDescent="0.35">
      <c r="AC147" s="47"/>
      <c r="AE147" s="47"/>
    </row>
    <row r="148" spans="29:31" x14ac:dyDescent="0.35">
      <c r="AC148" s="47"/>
      <c r="AE148" s="47"/>
    </row>
    <row r="149" spans="29:31" x14ac:dyDescent="0.35">
      <c r="AC149" s="47"/>
      <c r="AE149" s="47"/>
    </row>
    <row r="150" spans="29:31" x14ac:dyDescent="0.35">
      <c r="AC150" s="47"/>
      <c r="AE150" s="47"/>
    </row>
    <row r="151" spans="29:31" x14ac:dyDescent="0.35">
      <c r="AC151" s="47"/>
      <c r="AE151" s="47"/>
    </row>
    <row r="152" spans="29:31" x14ac:dyDescent="0.35">
      <c r="AC152" s="47"/>
      <c r="AE152" s="47"/>
    </row>
    <row r="153" spans="29:31" x14ac:dyDescent="0.35">
      <c r="AC153" s="47"/>
      <c r="AE153" s="47"/>
    </row>
    <row r="154" spans="29:31" x14ac:dyDescent="0.35">
      <c r="AC154" s="47"/>
      <c r="AE154" s="47"/>
    </row>
    <row r="155" spans="29:31" x14ac:dyDescent="0.35">
      <c r="AC155" s="47"/>
      <c r="AE155" s="47"/>
    </row>
    <row r="156" spans="29:31" x14ac:dyDescent="0.35">
      <c r="AC156" s="47"/>
      <c r="AE156" s="47"/>
    </row>
    <row r="157" spans="29:31" x14ac:dyDescent="0.35">
      <c r="AC157" s="47"/>
      <c r="AE157" s="47"/>
    </row>
    <row r="158" spans="29:31" x14ac:dyDescent="0.35">
      <c r="AC158" s="47"/>
      <c r="AE158" s="47"/>
    </row>
    <row r="159" spans="29:31" x14ac:dyDescent="0.35">
      <c r="AC159" s="47"/>
      <c r="AE159" s="47"/>
    </row>
    <row r="160" spans="29:31" x14ac:dyDescent="0.35">
      <c r="AC160" s="47"/>
      <c r="AE160" s="47"/>
    </row>
    <row r="161" spans="29:31" x14ac:dyDescent="0.35">
      <c r="AC161" s="47"/>
      <c r="AE161" s="47"/>
    </row>
    <row r="162" spans="29:31" x14ac:dyDescent="0.35">
      <c r="AC162" s="47"/>
      <c r="AE162" s="47"/>
    </row>
    <row r="163" spans="29:31" x14ac:dyDescent="0.35">
      <c r="AC163" s="47"/>
      <c r="AE163" s="47"/>
    </row>
    <row r="164" spans="29:31" x14ac:dyDescent="0.35">
      <c r="AC164" s="47"/>
      <c r="AE164" s="47"/>
    </row>
    <row r="165" spans="29:31" x14ac:dyDescent="0.35">
      <c r="AC165" s="47"/>
      <c r="AE165" s="47"/>
    </row>
    <row r="166" spans="29:31" x14ac:dyDescent="0.35">
      <c r="AC166" s="47"/>
      <c r="AE166" s="47"/>
    </row>
    <row r="167" spans="29:31" x14ac:dyDescent="0.35">
      <c r="AC167" s="47"/>
      <c r="AE167" s="47"/>
    </row>
    <row r="168" spans="29:31" x14ac:dyDescent="0.35">
      <c r="AC168" s="47"/>
      <c r="AE168" s="47"/>
    </row>
    <row r="169" spans="29:31" x14ac:dyDescent="0.35">
      <c r="AC169" s="47"/>
      <c r="AE169" s="47"/>
    </row>
    <row r="170" spans="29:31" x14ac:dyDescent="0.35">
      <c r="AC170" s="47"/>
      <c r="AE170" s="47"/>
    </row>
    <row r="171" spans="29:31" x14ac:dyDescent="0.35">
      <c r="AC171" s="47"/>
      <c r="AE171" s="47"/>
    </row>
    <row r="172" spans="29:31" x14ac:dyDescent="0.35">
      <c r="AC172" s="47"/>
      <c r="AE172" s="47"/>
    </row>
    <row r="173" spans="29:31" x14ac:dyDescent="0.35">
      <c r="AC173" s="47"/>
      <c r="AE173" s="47"/>
    </row>
    <row r="174" spans="29:31" x14ac:dyDescent="0.35">
      <c r="AC174" s="47"/>
      <c r="AE174" s="47"/>
    </row>
    <row r="175" spans="29:31" x14ac:dyDescent="0.35">
      <c r="AC175" s="47"/>
      <c r="AE175" s="47"/>
    </row>
    <row r="176" spans="29:31" x14ac:dyDescent="0.35">
      <c r="AC176" s="47"/>
      <c r="AE176" s="47"/>
    </row>
    <row r="177" spans="29:31" x14ac:dyDescent="0.35">
      <c r="AC177" s="47"/>
      <c r="AE177" s="47"/>
    </row>
    <row r="178" spans="29:31" x14ac:dyDescent="0.35">
      <c r="AC178" s="47"/>
      <c r="AE178" s="47"/>
    </row>
    <row r="179" spans="29:31" x14ac:dyDescent="0.35">
      <c r="AC179" s="47"/>
      <c r="AE179" s="47"/>
    </row>
    <row r="180" spans="29:31" x14ac:dyDescent="0.35">
      <c r="AC180" s="47"/>
      <c r="AE180" s="47"/>
    </row>
    <row r="181" spans="29:31" x14ac:dyDescent="0.35">
      <c r="AC181" s="47"/>
      <c r="AE181" s="47"/>
    </row>
    <row r="182" spans="29:31" x14ac:dyDescent="0.35">
      <c r="AC182" s="47"/>
      <c r="AE182" s="47"/>
    </row>
    <row r="183" spans="29:31" x14ac:dyDescent="0.35">
      <c r="AC183" s="47"/>
      <c r="AE183" s="47"/>
    </row>
    <row r="184" spans="29:31" x14ac:dyDescent="0.35">
      <c r="AC184" s="47"/>
      <c r="AE184" s="47"/>
    </row>
    <row r="185" spans="29:31" x14ac:dyDescent="0.35">
      <c r="AC185" s="47"/>
      <c r="AE185" s="47"/>
    </row>
    <row r="186" spans="29:31" x14ac:dyDescent="0.35">
      <c r="AC186" s="47"/>
      <c r="AE186" s="47"/>
    </row>
    <row r="187" spans="29:31" x14ac:dyDescent="0.35">
      <c r="AC187" s="47"/>
      <c r="AE187" s="47"/>
    </row>
    <row r="188" spans="29:31" x14ac:dyDescent="0.35">
      <c r="AC188" s="47"/>
      <c r="AE188" s="47"/>
    </row>
    <row r="189" spans="29:31" x14ac:dyDescent="0.35">
      <c r="AC189" s="47"/>
      <c r="AE189" s="47"/>
    </row>
    <row r="190" spans="29:31" x14ac:dyDescent="0.35">
      <c r="AC190" s="47"/>
      <c r="AE190" s="47"/>
    </row>
    <row r="191" spans="29:31" x14ac:dyDescent="0.35">
      <c r="AC191" s="47"/>
      <c r="AE191" s="47"/>
    </row>
    <row r="192" spans="29:31" x14ac:dyDescent="0.35">
      <c r="AC192" s="47"/>
      <c r="AE192" s="47"/>
    </row>
    <row r="193" spans="29:31" x14ac:dyDescent="0.35">
      <c r="AC193" s="47"/>
      <c r="AE193" s="47"/>
    </row>
    <row r="194" spans="29:31" x14ac:dyDescent="0.35">
      <c r="AC194" s="47"/>
      <c r="AE194" s="47"/>
    </row>
    <row r="195" spans="29:31" x14ac:dyDescent="0.35">
      <c r="AC195" s="47"/>
      <c r="AE195" s="47"/>
    </row>
    <row r="196" spans="29:31" x14ac:dyDescent="0.35">
      <c r="AC196" s="47"/>
      <c r="AE196" s="47"/>
    </row>
    <row r="197" spans="29:31" x14ac:dyDescent="0.35">
      <c r="AC197" s="47"/>
      <c r="AE197" s="47"/>
    </row>
    <row r="198" spans="29:31" x14ac:dyDescent="0.35">
      <c r="AC198" s="47"/>
      <c r="AE198" s="47"/>
    </row>
    <row r="199" spans="29:31" x14ac:dyDescent="0.35">
      <c r="AC199" s="47"/>
      <c r="AE199" s="47"/>
    </row>
    <row r="200" spans="29:31" x14ac:dyDescent="0.35">
      <c r="AC200" s="47"/>
      <c r="AE200" s="47"/>
    </row>
    <row r="201" spans="29:31" x14ac:dyDescent="0.35">
      <c r="AC201" s="47"/>
      <c r="AE201" s="47"/>
    </row>
    <row r="202" spans="29:31" x14ac:dyDescent="0.35">
      <c r="AC202" s="47"/>
      <c r="AE202" s="47"/>
    </row>
    <row r="203" spans="29:31" x14ac:dyDescent="0.35">
      <c r="AC203" s="47"/>
      <c r="AE203" s="47"/>
    </row>
    <row r="204" spans="29:31" x14ac:dyDescent="0.35">
      <c r="AC204" s="47"/>
      <c r="AE204" s="47"/>
    </row>
    <row r="205" spans="29:31" x14ac:dyDescent="0.35">
      <c r="AC205" s="47"/>
      <c r="AE205" s="47"/>
    </row>
    <row r="206" spans="29:31" x14ac:dyDescent="0.35">
      <c r="AC206" s="47"/>
      <c r="AE206" s="47"/>
    </row>
    <row r="207" spans="29:31" x14ac:dyDescent="0.35">
      <c r="AC207" s="47"/>
      <c r="AE207" s="47"/>
    </row>
    <row r="208" spans="29:31" x14ac:dyDescent="0.35">
      <c r="AC208" s="47"/>
      <c r="AE208" s="47"/>
    </row>
    <row r="209" spans="29:31" x14ac:dyDescent="0.35">
      <c r="AC209" s="47"/>
      <c r="AE209" s="47"/>
    </row>
    <row r="210" spans="29:31" x14ac:dyDescent="0.35">
      <c r="AC210" s="47"/>
      <c r="AE210" s="47"/>
    </row>
    <row r="211" spans="29:31" x14ac:dyDescent="0.35">
      <c r="AC211" s="47"/>
      <c r="AE211" s="47"/>
    </row>
    <row r="212" spans="29:31" x14ac:dyDescent="0.35">
      <c r="AC212" s="47"/>
      <c r="AE212" s="47"/>
    </row>
    <row r="213" spans="29:31" x14ac:dyDescent="0.35">
      <c r="AC213" s="47"/>
      <c r="AE213" s="47"/>
    </row>
    <row r="214" spans="29:31" x14ac:dyDescent="0.35">
      <c r="AC214" s="47"/>
      <c r="AE214" s="47"/>
    </row>
    <row r="215" spans="29:31" x14ac:dyDescent="0.35">
      <c r="AC215" s="47"/>
      <c r="AE215" s="47"/>
    </row>
    <row r="216" spans="29:31" x14ac:dyDescent="0.35">
      <c r="AC216" s="47"/>
      <c r="AE216" s="47"/>
    </row>
    <row r="217" spans="29:31" x14ac:dyDescent="0.35">
      <c r="AC217" s="47"/>
      <c r="AE217" s="47"/>
    </row>
    <row r="218" spans="29:31" x14ac:dyDescent="0.35">
      <c r="AC218" s="47"/>
      <c r="AE218" s="47"/>
    </row>
    <row r="219" spans="29:31" x14ac:dyDescent="0.35">
      <c r="AC219" s="47"/>
      <c r="AE219" s="47"/>
    </row>
    <row r="220" spans="29:31" x14ac:dyDescent="0.35">
      <c r="AC220" s="47"/>
      <c r="AE220" s="47"/>
    </row>
    <row r="221" spans="29:31" x14ac:dyDescent="0.35">
      <c r="AC221" s="47"/>
      <c r="AE221" s="47"/>
    </row>
    <row r="222" spans="29:31" x14ac:dyDescent="0.35">
      <c r="AC222" s="47"/>
      <c r="AE222" s="47"/>
    </row>
    <row r="223" spans="29:31" x14ac:dyDescent="0.35">
      <c r="AC223" s="47"/>
      <c r="AE223" s="47"/>
    </row>
    <row r="224" spans="29:31" x14ac:dyDescent="0.35">
      <c r="AC224" s="47"/>
      <c r="AE224" s="47"/>
    </row>
    <row r="225" spans="29:31" x14ac:dyDescent="0.35">
      <c r="AC225" s="47"/>
      <c r="AE225" s="47"/>
    </row>
    <row r="226" spans="29:31" x14ac:dyDescent="0.35">
      <c r="AC226" s="47"/>
      <c r="AE226" s="47"/>
    </row>
    <row r="227" spans="29:31" x14ac:dyDescent="0.35">
      <c r="AC227" s="47"/>
      <c r="AE227" s="47"/>
    </row>
    <row r="228" spans="29:31" x14ac:dyDescent="0.35">
      <c r="AC228" s="47"/>
      <c r="AE228" s="47"/>
    </row>
    <row r="229" spans="29:31" x14ac:dyDescent="0.35">
      <c r="AC229" s="47"/>
      <c r="AE229" s="47"/>
    </row>
    <row r="230" spans="29:31" x14ac:dyDescent="0.35">
      <c r="AC230" s="47"/>
      <c r="AE230" s="47"/>
    </row>
    <row r="231" spans="29:31" x14ac:dyDescent="0.35">
      <c r="AC231" s="47"/>
      <c r="AE231" s="47"/>
    </row>
    <row r="232" spans="29:31" x14ac:dyDescent="0.35">
      <c r="AC232" s="47"/>
      <c r="AE232" s="47"/>
    </row>
    <row r="233" spans="29:31" x14ac:dyDescent="0.35">
      <c r="AC233" s="47"/>
      <c r="AE233" s="47"/>
    </row>
    <row r="234" spans="29:31" x14ac:dyDescent="0.35">
      <c r="AC234" s="47"/>
      <c r="AE234" s="47"/>
    </row>
    <row r="235" spans="29:31" x14ac:dyDescent="0.35">
      <c r="AC235" s="47"/>
      <c r="AE235" s="47"/>
    </row>
    <row r="236" spans="29:31" x14ac:dyDescent="0.35">
      <c r="AC236" s="47"/>
      <c r="AE236" s="47"/>
    </row>
    <row r="237" spans="29:31" x14ac:dyDescent="0.35">
      <c r="AC237" s="47"/>
      <c r="AE237" s="47"/>
    </row>
    <row r="238" spans="29:31" x14ac:dyDescent="0.35">
      <c r="AC238" s="47"/>
      <c r="AE238" s="47"/>
    </row>
    <row r="239" spans="29:31" x14ac:dyDescent="0.35">
      <c r="AC239" s="47"/>
      <c r="AE239" s="47"/>
    </row>
    <row r="240" spans="29:31" x14ac:dyDescent="0.35">
      <c r="AC240" s="47"/>
      <c r="AE240" s="47"/>
    </row>
    <row r="241" spans="29:31" x14ac:dyDescent="0.35">
      <c r="AC241" s="47"/>
      <c r="AE241" s="47"/>
    </row>
    <row r="242" spans="29:31" x14ac:dyDescent="0.35">
      <c r="AC242" s="47"/>
      <c r="AE242" s="47"/>
    </row>
    <row r="243" spans="29:31" x14ac:dyDescent="0.35">
      <c r="AC243" s="47"/>
      <c r="AE243" s="47"/>
    </row>
    <row r="244" spans="29:31" x14ac:dyDescent="0.35">
      <c r="AC244" s="47"/>
      <c r="AE244" s="47"/>
    </row>
    <row r="245" spans="29:31" x14ac:dyDescent="0.35">
      <c r="AC245" s="47"/>
      <c r="AE245" s="47"/>
    </row>
    <row r="246" spans="29:31" x14ac:dyDescent="0.35">
      <c r="AC246" s="47"/>
      <c r="AE246" s="47"/>
    </row>
    <row r="247" spans="29:31" x14ac:dyDescent="0.35">
      <c r="AC247" s="47"/>
      <c r="AE247" s="47"/>
    </row>
    <row r="248" spans="29:31" x14ac:dyDescent="0.35">
      <c r="AC248" s="47"/>
      <c r="AE248" s="47"/>
    </row>
    <row r="249" spans="29:31" x14ac:dyDescent="0.35">
      <c r="AC249" s="47"/>
      <c r="AE249" s="47"/>
    </row>
    <row r="250" spans="29:31" x14ac:dyDescent="0.35">
      <c r="AC250" s="47"/>
      <c r="AE250" s="47"/>
    </row>
    <row r="251" spans="29:31" x14ac:dyDescent="0.35">
      <c r="AC251" s="47"/>
      <c r="AE251" s="47"/>
    </row>
    <row r="252" spans="29:31" x14ac:dyDescent="0.35">
      <c r="AC252" s="47"/>
      <c r="AE252" s="47"/>
    </row>
    <row r="253" spans="29:31" x14ac:dyDescent="0.35">
      <c r="AC253" s="47"/>
      <c r="AE253" s="47"/>
    </row>
    <row r="254" spans="29:31" x14ac:dyDescent="0.35">
      <c r="AC254" s="47"/>
      <c r="AE254" s="47"/>
    </row>
    <row r="255" spans="29:31" x14ac:dyDescent="0.35">
      <c r="AC255" s="47"/>
      <c r="AE255" s="47"/>
    </row>
    <row r="256" spans="29:31" x14ac:dyDescent="0.35">
      <c r="AC256" s="47"/>
      <c r="AE256" s="47"/>
    </row>
    <row r="257" spans="29:31" x14ac:dyDescent="0.35">
      <c r="AC257" s="47"/>
      <c r="AE257" s="47"/>
    </row>
    <row r="258" spans="29:31" x14ac:dyDescent="0.35">
      <c r="AC258" s="47"/>
      <c r="AE258" s="47"/>
    </row>
    <row r="259" spans="29:31" x14ac:dyDescent="0.35">
      <c r="AC259" s="47"/>
      <c r="AE259" s="47"/>
    </row>
    <row r="260" spans="29:31" x14ac:dyDescent="0.35">
      <c r="AC260" s="47"/>
      <c r="AE260" s="47"/>
    </row>
    <row r="261" spans="29:31" x14ac:dyDescent="0.35">
      <c r="AC261" s="47"/>
      <c r="AE261" s="47"/>
    </row>
    <row r="262" spans="29:31" x14ac:dyDescent="0.35">
      <c r="AC262" s="47"/>
      <c r="AE262" s="47"/>
    </row>
    <row r="263" spans="29:31" x14ac:dyDescent="0.35">
      <c r="AC263" s="47"/>
      <c r="AE263" s="47"/>
    </row>
    <row r="264" spans="29:31" x14ac:dyDescent="0.35">
      <c r="AC264" s="47"/>
      <c r="AE264" s="47"/>
    </row>
    <row r="265" spans="29:31" x14ac:dyDescent="0.35">
      <c r="AC265" s="47"/>
      <c r="AE265" s="47"/>
    </row>
    <row r="266" spans="29:31" x14ac:dyDescent="0.35">
      <c r="AC266" s="47"/>
      <c r="AE266" s="47"/>
    </row>
    <row r="267" spans="29:31" x14ac:dyDescent="0.35">
      <c r="AC267" s="47"/>
      <c r="AE267" s="47"/>
    </row>
    <row r="268" spans="29:31" x14ac:dyDescent="0.35">
      <c r="AC268" s="47"/>
      <c r="AE268" s="47"/>
    </row>
    <row r="269" spans="29:31" x14ac:dyDescent="0.35">
      <c r="AC269" s="47"/>
      <c r="AE269" s="47"/>
    </row>
    <row r="270" spans="29:31" x14ac:dyDescent="0.35">
      <c r="AC270" s="47"/>
      <c r="AE270" s="47"/>
    </row>
    <row r="271" spans="29:31" x14ac:dyDescent="0.35">
      <c r="AC271" s="47"/>
      <c r="AE271" s="47"/>
    </row>
    <row r="272" spans="29:31" x14ac:dyDescent="0.35">
      <c r="AC272" s="47"/>
      <c r="AE272" s="47"/>
    </row>
    <row r="273" spans="29:31" x14ac:dyDescent="0.35">
      <c r="AC273" s="47"/>
      <c r="AE273" s="47"/>
    </row>
    <row r="274" spans="29:31" x14ac:dyDescent="0.35">
      <c r="AC274" s="47"/>
      <c r="AE274" s="47"/>
    </row>
    <row r="275" spans="29:31" x14ac:dyDescent="0.35">
      <c r="AC275" s="47"/>
      <c r="AE275" s="47"/>
    </row>
    <row r="276" spans="29:31" x14ac:dyDescent="0.35">
      <c r="AC276" s="47"/>
      <c r="AE276" s="47"/>
    </row>
    <row r="277" spans="29:31" x14ac:dyDescent="0.35">
      <c r="AC277" s="47"/>
      <c r="AE277" s="47"/>
    </row>
    <row r="278" spans="29:31" x14ac:dyDescent="0.35">
      <c r="AC278" s="47"/>
      <c r="AE278" s="47"/>
    </row>
    <row r="279" spans="29:31" x14ac:dyDescent="0.35">
      <c r="AC279" s="47"/>
      <c r="AE279" s="47"/>
    </row>
    <row r="280" spans="29:31" x14ac:dyDescent="0.35">
      <c r="AC280" s="47"/>
      <c r="AE280" s="47"/>
    </row>
    <row r="281" spans="29:31" x14ac:dyDescent="0.35">
      <c r="AC281" s="47"/>
      <c r="AE281" s="47"/>
    </row>
    <row r="282" spans="29:31" x14ac:dyDescent="0.35">
      <c r="AC282" s="47"/>
      <c r="AE282" s="47"/>
    </row>
    <row r="283" spans="29:31" x14ac:dyDescent="0.35">
      <c r="AC283" s="47"/>
      <c r="AE283" s="47"/>
    </row>
    <row r="284" spans="29:31" x14ac:dyDescent="0.35">
      <c r="AC284" s="47"/>
      <c r="AE284" s="47"/>
    </row>
    <row r="285" spans="29:31" x14ac:dyDescent="0.35">
      <c r="AC285" s="47"/>
      <c r="AE285" s="47"/>
    </row>
    <row r="286" spans="29:31" x14ac:dyDescent="0.35">
      <c r="AC286" s="47"/>
      <c r="AE286" s="47"/>
    </row>
    <row r="287" spans="29:31" x14ac:dyDescent="0.35">
      <c r="AC287" s="47"/>
      <c r="AE287" s="47"/>
    </row>
    <row r="288" spans="29:31" x14ac:dyDescent="0.35">
      <c r="AC288" s="47"/>
      <c r="AE288" s="47"/>
    </row>
    <row r="289" spans="29:31" x14ac:dyDescent="0.35">
      <c r="AC289" s="47"/>
      <c r="AE289" s="47"/>
    </row>
    <row r="290" spans="29:31" x14ac:dyDescent="0.35">
      <c r="AC290" s="47"/>
      <c r="AE290" s="47"/>
    </row>
    <row r="291" spans="29:31" x14ac:dyDescent="0.35">
      <c r="AC291" s="47"/>
      <c r="AE291" s="47"/>
    </row>
    <row r="292" spans="29:31" x14ac:dyDescent="0.35">
      <c r="AC292" s="47"/>
      <c r="AE292" s="47"/>
    </row>
    <row r="293" spans="29:31" x14ac:dyDescent="0.35">
      <c r="AC293" s="47"/>
      <c r="AE293" s="47"/>
    </row>
    <row r="294" spans="29:31" x14ac:dyDescent="0.35">
      <c r="AC294" s="47"/>
      <c r="AE294" s="47"/>
    </row>
    <row r="295" spans="29:31" x14ac:dyDescent="0.35">
      <c r="AC295" s="47"/>
      <c r="AE295" s="47"/>
    </row>
    <row r="296" spans="29:31" x14ac:dyDescent="0.35">
      <c r="AC296" s="47"/>
      <c r="AE296" s="47"/>
    </row>
    <row r="297" spans="29:31" x14ac:dyDescent="0.35">
      <c r="AC297" s="47"/>
      <c r="AE297" s="47"/>
    </row>
    <row r="298" spans="29:31" x14ac:dyDescent="0.35">
      <c r="AC298" s="47"/>
      <c r="AE298" s="47"/>
    </row>
    <row r="299" spans="29:31" x14ac:dyDescent="0.35">
      <c r="AC299" s="47"/>
      <c r="AE299" s="47"/>
    </row>
    <row r="300" spans="29:31" x14ac:dyDescent="0.35">
      <c r="AC300" s="47"/>
      <c r="AE300" s="47"/>
    </row>
    <row r="301" spans="29:31" x14ac:dyDescent="0.35">
      <c r="AC301" s="47"/>
      <c r="AE301" s="47"/>
    </row>
    <row r="302" spans="29:31" x14ac:dyDescent="0.35">
      <c r="AC302" s="47"/>
      <c r="AE302" s="47"/>
    </row>
    <row r="303" spans="29:31" x14ac:dyDescent="0.35">
      <c r="AC303" s="47"/>
      <c r="AE303" s="47"/>
    </row>
    <row r="304" spans="29:31" x14ac:dyDescent="0.35">
      <c r="AC304" s="47"/>
      <c r="AE304" s="47"/>
    </row>
    <row r="305" spans="29:31" x14ac:dyDescent="0.35">
      <c r="AC305" s="47"/>
      <c r="AE305" s="47"/>
    </row>
    <row r="306" spans="29:31" x14ac:dyDescent="0.35">
      <c r="AC306" s="47"/>
      <c r="AE306" s="47"/>
    </row>
    <row r="307" spans="29:31" x14ac:dyDescent="0.35">
      <c r="AC307" s="47"/>
      <c r="AE307" s="47"/>
    </row>
    <row r="308" spans="29:31" x14ac:dyDescent="0.35">
      <c r="AC308" s="47"/>
      <c r="AE308" s="47"/>
    </row>
    <row r="309" spans="29:31" x14ac:dyDescent="0.35">
      <c r="AC309" s="47"/>
      <c r="AE309" s="4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P207"/>
  <sheetViews>
    <sheetView zoomScale="85" zoomScaleNormal="85" workbookViewId="0"/>
  </sheetViews>
  <sheetFormatPr defaultRowHeight="14.5" x14ac:dyDescent="0.35"/>
  <cols>
    <col min="1" max="1" width="12.81640625" customWidth="1"/>
    <col min="2" max="2" width="9.54296875" customWidth="1"/>
    <col min="3" max="9" width="9.54296875" style="10" customWidth="1"/>
    <col min="10" max="25" width="9.54296875" customWidth="1"/>
    <col min="26" max="26" width="11.81640625" style="34" customWidth="1"/>
    <col min="27" max="27" width="11.81640625" customWidth="1"/>
    <col min="28" max="51" width="9.6328125" customWidth="1"/>
    <col min="52" max="52" width="9.6328125" style="34" customWidth="1"/>
    <col min="53" max="79" width="11.81640625" customWidth="1"/>
    <col min="80" max="93" width="11.7265625" customWidth="1"/>
    <col min="94" max="94" width="13.7265625" customWidth="1"/>
  </cols>
  <sheetData>
    <row r="1" spans="1:94" x14ac:dyDescent="0.35">
      <c r="A1" s="20" t="s">
        <v>91</v>
      </c>
      <c r="AB1" s="20" t="s">
        <v>74</v>
      </c>
    </row>
    <row r="3" spans="1:94" x14ac:dyDescent="0.35">
      <c r="B3" t="s">
        <v>17</v>
      </c>
      <c r="C3" s="29">
        <f>AVERAGE(C8:C207)</f>
        <v>4.5062499999999971E-2</v>
      </c>
      <c r="D3" s="29">
        <f t="shared" ref="D3:Y3" si="0">AVERAGE(D8:D207)</f>
        <v>4.5137499999999962E-2</v>
      </c>
      <c r="E3" s="29">
        <f t="shared" si="0"/>
        <v>4.5162499999999987E-2</v>
      </c>
      <c r="F3" s="29">
        <f t="shared" si="0"/>
        <v>4.5162499999999994E-2</v>
      </c>
      <c r="G3" s="29">
        <f t="shared" si="0"/>
        <v>4.5162499999999994E-2</v>
      </c>
      <c r="H3" s="29">
        <f t="shared" si="0"/>
        <v>4.5150000000000003E-2</v>
      </c>
      <c r="I3" s="29">
        <f t="shared" si="0"/>
        <v>4.5162500000000029E-2</v>
      </c>
      <c r="J3" s="29">
        <f t="shared" si="0"/>
        <v>4.5250000000000033E-2</v>
      </c>
      <c r="K3" s="29">
        <f t="shared" si="0"/>
        <v>4.5325000000000004E-2</v>
      </c>
      <c r="L3" s="29">
        <f t="shared" si="0"/>
        <v>4.5250000000000005E-2</v>
      </c>
      <c r="M3" s="29">
        <f t="shared" si="0"/>
        <v>4.5275000000000017E-2</v>
      </c>
      <c r="N3" s="29">
        <f t="shared" si="0"/>
        <v>4.5250000000000012E-2</v>
      </c>
      <c r="O3" s="29">
        <f t="shared" si="0"/>
        <v>4.5175000000000028E-2</v>
      </c>
      <c r="P3" s="29">
        <f t="shared" si="0"/>
        <v>4.527500000000001E-2</v>
      </c>
      <c r="Q3" s="29">
        <f t="shared" si="0"/>
        <v>4.5212500000000017E-2</v>
      </c>
      <c r="R3" s="29">
        <f t="shared" si="0"/>
        <v>4.5250000000000012E-2</v>
      </c>
      <c r="S3" s="29">
        <f t="shared" si="0"/>
        <v>4.53E-2</v>
      </c>
      <c r="T3" s="29">
        <f t="shared" si="0"/>
        <v>4.5350000000000022E-2</v>
      </c>
      <c r="U3" s="29">
        <f t="shared" si="0"/>
        <v>4.5250000000000019E-2</v>
      </c>
      <c r="V3" s="29">
        <f t="shared" si="0"/>
        <v>4.5237500000000021E-2</v>
      </c>
      <c r="W3" s="29">
        <f t="shared" si="0"/>
        <v>4.5212500000000037E-2</v>
      </c>
      <c r="X3" s="29">
        <f t="shared" si="0"/>
        <v>4.5137500000000025E-2</v>
      </c>
      <c r="Y3" s="29">
        <f t="shared" si="0"/>
        <v>4.521250000000003E-2</v>
      </c>
      <c r="Z3" s="36">
        <f>AVERAGE(Z8:Z207)</f>
        <v>4.5175000000000048E-2</v>
      </c>
      <c r="AB3" s="29">
        <f t="shared" ref="AB3" si="1">AVERAGE(AB8:AB207)</f>
        <v>4.4097712805242287E-2</v>
      </c>
      <c r="AC3" s="29">
        <f t="shared" ref="AC3:AZ3" si="2">AVERAGE(AC8:AC207)</f>
        <v>4.4157280314891897E-2</v>
      </c>
      <c r="AD3" s="29">
        <f t="shared" si="2"/>
        <v>4.4228183351855285E-2</v>
      </c>
      <c r="AE3" s="29">
        <f t="shared" si="2"/>
        <v>4.4251301862553889E-2</v>
      </c>
      <c r="AF3" s="29">
        <f t="shared" si="2"/>
        <v>4.4250828068137335E-2</v>
      </c>
      <c r="AG3" s="29">
        <f t="shared" si="2"/>
        <v>4.4250195937856646E-2</v>
      </c>
      <c r="AH3" s="29">
        <f t="shared" si="2"/>
        <v>4.4237045630429822E-2</v>
      </c>
      <c r="AI3" s="29">
        <f t="shared" si="2"/>
        <v>4.4247854768982811E-2</v>
      </c>
      <c r="AJ3" s="29">
        <f t="shared" si="2"/>
        <v>4.4331279543692724E-2</v>
      </c>
      <c r="AK3" s="29">
        <f t="shared" si="2"/>
        <v>4.4402499459429874E-2</v>
      </c>
      <c r="AL3" s="29">
        <f t="shared" si="2"/>
        <v>4.4330124811587129E-2</v>
      </c>
      <c r="AM3" s="29">
        <f t="shared" si="2"/>
        <v>4.4353241366992882E-2</v>
      </c>
      <c r="AN3" s="29">
        <f t="shared" si="2"/>
        <v>4.4328833098660016E-2</v>
      </c>
      <c r="AO3" s="29">
        <f t="shared" si="2"/>
        <v>4.4255747885810326E-2</v>
      </c>
      <c r="AP3" s="29">
        <f t="shared" si="2"/>
        <v>4.4351768973741004E-2</v>
      </c>
      <c r="AQ3" s="29">
        <f t="shared" si="2"/>
        <v>4.4291697125353087E-2</v>
      </c>
      <c r="AR3" s="29">
        <f t="shared" si="2"/>
        <v>4.4327120114192514E-2</v>
      </c>
      <c r="AS3" s="29">
        <f t="shared" si="2"/>
        <v>4.4374173998638876E-2</v>
      </c>
      <c r="AT3" s="29">
        <f t="shared" si="2"/>
        <v>4.4421542515378061E-2</v>
      </c>
      <c r="AU3" s="29">
        <f t="shared" si="2"/>
        <v>4.4325101376667536E-2</v>
      </c>
      <c r="AV3" s="29">
        <f t="shared" si="2"/>
        <v>4.4312504606566223E-2</v>
      </c>
      <c r="AW3" s="29">
        <f t="shared" si="2"/>
        <v>4.4287965097972212E-2</v>
      </c>
      <c r="AX3" s="29">
        <f t="shared" si="2"/>
        <v>4.4215187688751122E-2</v>
      </c>
      <c r="AY3" s="29">
        <f t="shared" si="2"/>
        <v>4.4286348052190103E-2</v>
      </c>
      <c r="AZ3" s="36">
        <f t="shared" si="2"/>
        <v>4.4249556624694861E-2</v>
      </c>
    </row>
    <row r="4" spans="1:94" s="17" customFormat="1" ht="28.5" customHeight="1" x14ac:dyDescent="0.35">
      <c r="A4" s="77" t="s">
        <v>24</v>
      </c>
      <c r="B4" s="77"/>
      <c r="C4" s="21" t="str">
        <f>IF(ABS(C3-Base_int_rate)&lt;Int_check_tolerance,"OK","CHECK")</f>
        <v>OK</v>
      </c>
      <c r="D4" s="21" t="str">
        <f t="shared" ref="D4:Z4" si="3">IF(ABS(D3-Base_int_rate)&lt;Int_check_tolerance,"OK","CHECK")</f>
        <v>OK</v>
      </c>
      <c r="E4" s="21" t="str">
        <f t="shared" si="3"/>
        <v>OK</v>
      </c>
      <c r="F4" s="21" t="str">
        <f t="shared" si="3"/>
        <v>OK</v>
      </c>
      <c r="G4" s="21" t="str">
        <f t="shared" si="3"/>
        <v>OK</v>
      </c>
      <c r="H4" s="21" t="str">
        <f t="shared" si="3"/>
        <v>OK</v>
      </c>
      <c r="I4" s="21" t="str">
        <f t="shared" si="3"/>
        <v>OK</v>
      </c>
      <c r="J4" s="21" t="str">
        <f t="shared" si="3"/>
        <v>OK</v>
      </c>
      <c r="K4" s="21" t="str">
        <f t="shared" si="3"/>
        <v>OK</v>
      </c>
      <c r="L4" s="21" t="str">
        <f t="shared" si="3"/>
        <v>OK</v>
      </c>
      <c r="M4" s="21" t="str">
        <f t="shared" si="3"/>
        <v>OK</v>
      </c>
      <c r="N4" s="21" t="str">
        <f t="shared" si="3"/>
        <v>OK</v>
      </c>
      <c r="O4" s="21" t="str">
        <f t="shared" si="3"/>
        <v>OK</v>
      </c>
      <c r="P4" s="21" t="str">
        <f t="shared" si="3"/>
        <v>OK</v>
      </c>
      <c r="Q4" s="21" t="str">
        <f t="shared" si="3"/>
        <v>OK</v>
      </c>
      <c r="R4" s="21" t="str">
        <f t="shared" si="3"/>
        <v>OK</v>
      </c>
      <c r="S4" s="21" t="str">
        <f t="shared" si="3"/>
        <v>OK</v>
      </c>
      <c r="T4" s="21" t="str">
        <f t="shared" si="3"/>
        <v>OK</v>
      </c>
      <c r="U4" s="21" t="str">
        <f t="shared" si="3"/>
        <v>OK</v>
      </c>
      <c r="V4" s="21" t="str">
        <f t="shared" si="3"/>
        <v>OK</v>
      </c>
      <c r="W4" s="21" t="str">
        <f t="shared" si="3"/>
        <v>OK</v>
      </c>
      <c r="X4" s="21" t="str">
        <f t="shared" si="3"/>
        <v>OK</v>
      </c>
      <c r="Y4" s="21" t="str">
        <f t="shared" si="3"/>
        <v>OK</v>
      </c>
      <c r="Z4" s="37" t="str">
        <f t="shared" si="3"/>
        <v>OK</v>
      </c>
      <c r="AB4" s="21" t="str">
        <f t="shared" ref="AB4:AZ4" si="4">IF(ABS(AB3-(Var_freq*((1+Base_int_rate)^(1/Var_freq)-1)))&lt;Int_check_tolerance,"OK","CHECK")</f>
        <v>OK</v>
      </c>
      <c r="AC4" s="21" t="str">
        <f t="shared" si="4"/>
        <v>OK</v>
      </c>
      <c r="AD4" s="21" t="str">
        <f t="shared" si="4"/>
        <v>OK</v>
      </c>
      <c r="AE4" s="21" t="str">
        <f t="shared" si="4"/>
        <v>OK</v>
      </c>
      <c r="AF4" s="21" t="str">
        <f t="shared" si="4"/>
        <v>OK</v>
      </c>
      <c r="AG4" s="21" t="str">
        <f t="shared" si="4"/>
        <v>OK</v>
      </c>
      <c r="AH4" s="21" t="str">
        <f t="shared" si="4"/>
        <v>OK</v>
      </c>
      <c r="AI4" s="21" t="str">
        <f t="shared" si="4"/>
        <v>OK</v>
      </c>
      <c r="AJ4" s="21" t="str">
        <f t="shared" si="4"/>
        <v>OK</v>
      </c>
      <c r="AK4" s="21" t="str">
        <f t="shared" si="4"/>
        <v>OK</v>
      </c>
      <c r="AL4" s="21" t="str">
        <f t="shared" si="4"/>
        <v>OK</v>
      </c>
      <c r="AM4" s="21" t="str">
        <f t="shared" si="4"/>
        <v>OK</v>
      </c>
      <c r="AN4" s="21" t="str">
        <f t="shared" si="4"/>
        <v>OK</v>
      </c>
      <c r="AO4" s="21" t="str">
        <f t="shared" si="4"/>
        <v>OK</v>
      </c>
      <c r="AP4" s="21" t="str">
        <f t="shared" si="4"/>
        <v>OK</v>
      </c>
      <c r="AQ4" s="21" t="str">
        <f t="shared" si="4"/>
        <v>OK</v>
      </c>
      <c r="AR4" s="21" t="str">
        <f t="shared" si="4"/>
        <v>OK</v>
      </c>
      <c r="AS4" s="21" t="str">
        <f t="shared" si="4"/>
        <v>OK</v>
      </c>
      <c r="AT4" s="21" t="str">
        <f t="shared" si="4"/>
        <v>OK</v>
      </c>
      <c r="AU4" s="21" t="str">
        <f t="shared" si="4"/>
        <v>OK</v>
      </c>
      <c r="AV4" s="21" t="str">
        <f t="shared" si="4"/>
        <v>OK</v>
      </c>
      <c r="AW4" s="21" t="str">
        <f t="shared" si="4"/>
        <v>OK</v>
      </c>
      <c r="AX4" s="21" t="str">
        <f t="shared" si="4"/>
        <v>OK</v>
      </c>
      <c r="AY4" s="21" t="str">
        <f t="shared" si="4"/>
        <v>OK</v>
      </c>
      <c r="AZ4" s="37" t="str">
        <f t="shared" si="4"/>
        <v>OK</v>
      </c>
    </row>
    <row r="6" spans="1:94" x14ac:dyDescent="0.35">
      <c r="B6" s="20" t="s">
        <v>61</v>
      </c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2"/>
    </row>
    <row r="7" spans="1:94" x14ac:dyDescent="0.35">
      <c r="A7" s="20" t="s">
        <v>15</v>
      </c>
      <c r="B7" s="62">
        <v>1</v>
      </c>
      <c r="C7" s="61">
        <v>2</v>
      </c>
      <c r="D7" s="61">
        <v>3</v>
      </c>
      <c r="E7" s="61">
        <v>4</v>
      </c>
      <c r="F7" s="61">
        <v>5</v>
      </c>
      <c r="G7" s="61">
        <v>6</v>
      </c>
      <c r="H7" s="61">
        <v>7</v>
      </c>
      <c r="I7" s="61">
        <v>8</v>
      </c>
      <c r="J7" s="61">
        <v>9</v>
      </c>
      <c r="K7" s="61">
        <v>10</v>
      </c>
      <c r="L7" s="61">
        <v>11</v>
      </c>
      <c r="M7" s="61">
        <v>12</v>
      </c>
      <c r="N7" s="61">
        <v>13</v>
      </c>
      <c r="O7" s="61">
        <v>14</v>
      </c>
      <c r="P7" s="61">
        <v>15</v>
      </c>
      <c r="Q7" s="61">
        <v>16</v>
      </c>
      <c r="R7" s="61">
        <v>17</v>
      </c>
      <c r="S7" s="61">
        <v>18</v>
      </c>
      <c r="T7" s="61">
        <v>19</v>
      </c>
      <c r="U7" s="61">
        <v>20</v>
      </c>
      <c r="V7" s="61">
        <v>21</v>
      </c>
      <c r="W7" s="61">
        <v>22</v>
      </c>
      <c r="X7" s="61">
        <v>23</v>
      </c>
      <c r="Y7" s="61">
        <v>24</v>
      </c>
      <c r="Z7" s="62">
        <v>25</v>
      </c>
      <c r="AA7" s="26"/>
      <c r="AB7" s="61">
        <f>B7</f>
        <v>1</v>
      </c>
      <c r="AC7" s="61">
        <f t="shared" ref="AC7:AZ7" si="5">C7</f>
        <v>2</v>
      </c>
      <c r="AD7" s="61">
        <f t="shared" si="5"/>
        <v>3</v>
      </c>
      <c r="AE7" s="61">
        <f t="shared" si="5"/>
        <v>4</v>
      </c>
      <c r="AF7" s="61">
        <f t="shared" si="5"/>
        <v>5</v>
      </c>
      <c r="AG7" s="61">
        <f t="shared" si="5"/>
        <v>6</v>
      </c>
      <c r="AH7" s="61">
        <f t="shared" si="5"/>
        <v>7</v>
      </c>
      <c r="AI7" s="61">
        <f t="shared" si="5"/>
        <v>8</v>
      </c>
      <c r="AJ7" s="61">
        <f t="shared" si="5"/>
        <v>9</v>
      </c>
      <c r="AK7" s="61">
        <f t="shared" si="5"/>
        <v>10</v>
      </c>
      <c r="AL7" s="61">
        <f t="shared" si="5"/>
        <v>11</v>
      </c>
      <c r="AM7" s="61">
        <f t="shared" si="5"/>
        <v>12</v>
      </c>
      <c r="AN7" s="61">
        <f t="shared" si="5"/>
        <v>13</v>
      </c>
      <c r="AO7" s="61">
        <f t="shared" si="5"/>
        <v>14</v>
      </c>
      <c r="AP7" s="61">
        <f t="shared" si="5"/>
        <v>15</v>
      </c>
      <c r="AQ7" s="61">
        <f t="shared" si="5"/>
        <v>16</v>
      </c>
      <c r="AR7" s="61">
        <f t="shared" si="5"/>
        <v>17</v>
      </c>
      <c r="AS7" s="61">
        <f t="shared" si="5"/>
        <v>18</v>
      </c>
      <c r="AT7" s="61">
        <f t="shared" si="5"/>
        <v>19</v>
      </c>
      <c r="AU7" s="61">
        <f t="shared" si="5"/>
        <v>20</v>
      </c>
      <c r="AV7" s="61">
        <f t="shared" si="5"/>
        <v>21</v>
      </c>
      <c r="AW7" s="61">
        <f t="shared" si="5"/>
        <v>22</v>
      </c>
      <c r="AX7" s="61">
        <f t="shared" si="5"/>
        <v>23</v>
      </c>
      <c r="AY7" s="61">
        <f t="shared" si="5"/>
        <v>24</v>
      </c>
      <c r="AZ7" s="62">
        <f t="shared" si="5"/>
        <v>25</v>
      </c>
      <c r="BA7" s="10"/>
      <c r="BB7" s="10"/>
      <c r="BC7" s="10"/>
      <c r="BF7" s="10"/>
      <c r="BG7" s="10"/>
      <c r="BH7" s="10"/>
      <c r="BI7" s="10"/>
      <c r="BJ7" s="10"/>
      <c r="BK7" s="10"/>
      <c r="BL7" s="10"/>
      <c r="BO7" s="10"/>
      <c r="BP7" s="10"/>
      <c r="BQ7" s="10"/>
      <c r="BR7" s="10"/>
      <c r="BS7" s="10"/>
      <c r="BT7" s="10"/>
      <c r="BU7" s="10"/>
      <c r="BX7" s="10"/>
      <c r="BY7" s="10"/>
      <c r="BZ7" s="10"/>
      <c r="CA7" s="10"/>
      <c r="CB7" s="10"/>
      <c r="CC7" s="10"/>
      <c r="CD7" s="10"/>
      <c r="CG7" s="10"/>
      <c r="CH7" s="10"/>
      <c r="CI7" s="10"/>
      <c r="CJ7" s="10"/>
      <c r="CK7" s="10"/>
      <c r="CL7" s="10"/>
      <c r="CM7" s="10"/>
    </row>
    <row r="8" spans="1:94" x14ac:dyDescent="0.35">
      <c r="A8" s="27">
        <v>1</v>
      </c>
      <c r="B8" s="63">
        <f t="shared" ref="B8:B39" si="6">Base_int_rate</f>
        <v>4.4999999999999998E-2</v>
      </c>
      <c r="C8" s="28">
        <f>B8+VLOOKUP(Rawdata!A3,Int_rate_movements,2,TRUE)</f>
        <v>4.4999999999999998E-2</v>
      </c>
      <c r="D8" s="28">
        <f>C8+VLOOKUP(Rawdata!B3,Int_rate_movements,2,TRUE)</f>
        <v>4.4999999999999998E-2</v>
      </c>
      <c r="E8" s="28">
        <f>D8+VLOOKUP(Rawdata!C3,Int_rate_movements,2,TRUE)</f>
        <v>4.4999999999999998E-2</v>
      </c>
      <c r="F8" s="28">
        <f>E8+VLOOKUP(Rawdata!D3,Int_rate_movements,2,TRUE)</f>
        <v>4.2499999999999996E-2</v>
      </c>
      <c r="G8" s="28">
        <f>F8+VLOOKUP(Rawdata!E3,Int_rate_movements,2,TRUE)</f>
        <v>4.2499999999999996E-2</v>
      </c>
      <c r="H8" s="28">
        <f>G8+VLOOKUP(Rawdata!F3,Int_rate_movements,2,TRUE)</f>
        <v>4.2499999999999996E-2</v>
      </c>
      <c r="I8" s="28">
        <f>H8+VLOOKUP(Rawdata!G3,Int_rate_movements,2,TRUE)</f>
        <v>4.2499999999999996E-2</v>
      </c>
      <c r="J8" s="28">
        <f>I8+VLOOKUP(Rawdata!H3,Int_rate_movements,2,TRUE)</f>
        <v>4.2499999999999996E-2</v>
      </c>
      <c r="K8" s="28">
        <f>J8+VLOOKUP(Rawdata!I3,Int_rate_movements,2,TRUE)</f>
        <v>4.2499999999999996E-2</v>
      </c>
      <c r="L8" s="28">
        <f>K8+VLOOKUP(Rawdata!J3,Int_rate_movements,2,TRUE)</f>
        <v>4.2499999999999996E-2</v>
      </c>
      <c r="M8" s="28">
        <f>L8+VLOOKUP(Rawdata!K3,Int_rate_movements,2,TRUE)</f>
        <v>4.2499999999999996E-2</v>
      </c>
      <c r="N8" s="28">
        <f>M8+VLOOKUP(Rawdata!L3,Int_rate_movements,2,TRUE)</f>
        <v>4.2499999999999996E-2</v>
      </c>
      <c r="O8" s="28">
        <f>N8+VLOOKUP(Rawdata!M3,Int_rate_movements,2,TRUE)</f>
        <v>4.2499999999999996E-2</v>
      </c>
      <c r="P8" s="28">
        <f>O8+VLOOKUP(Rawdata!N3,Int_rate_movements,2,TRUE)</f>
        <v>4.2499999999999996E-2</v>
      </c>
      <c r="Q8" s="28">
        <f>P8+VLOOKUP(Rawdata!O3,Int_rate_movements,2,TRUE)</f>
        <v>4.2499999999999996E-2</v>
      </c>
      <c r="R8" s="28">
        <f>Q8+VLOOKUP(Rawdata!P3,Int_rate_movements,2,TRUE)</f>
        <v>4.2499999999999996E-2</v>
      </c>
      <c r="S8" s="28">
        <f>R8+VLOOKUP(Rawdata!Q3,Int_rate_movements,2,TRUE)</f>
        <v>4.2499999999999996E-2</v>
      </c>
      <c r="T8" s="28">
        <f>S8+VLOOKUP(Rawdata!R3,Int_rate_movements,2,TRUE)</f>
        <v>4.2499999999999996E-2</v>
      </c>
      <c r="U8" s="28">
        <f>T8+VLOOKUP(Rawdata!S3,Int_rate_movements,2,TRUE)</f>
        <v>4.2499999999999996E-2</v>
      </c>
      <c r="V8" s="28">
        <f>U8+VLOOKUP(Rawdata!T3,Int_rate_movements,2,TRUE)</f>
        <v>4.2499999999999996E-2</v>
      </c>
      <c r="W8" s="28">
        <f>V8+VLOOKUP(Rawdata!U3,Int_rate_movements,2,TRUE)</f>
        <v>4.2499999999999996E-2</v>
      </c>
      <c r="X8" s="28">
        <f>W8+VLOOKUP(Rawdata!V3,Int_rate_movements,2,TRUE)</f>
        <v>4.2499999999999996E-2</v>
      </c>
      <c r="Y8" s="28">
        <f>X8+VLOOKUP(Rawdata!W3,Int_rate_movements,2,TRUE)</f>
        <v>4.2499999999999996E-2</v>
      </c>
      <c r="Z8" s="35">
        <f>Y8+VLOOKUP(Rawdata!X3,Int_rate_movements,2,TRUE)</f>
        <v>4.2499999999999996E-2</v>
      </c>
      <c r="AA8" s="9"/>
      <c r="AB8" s="55">
        <f t="shared" ref="AB8:AB39" si="7">Var_freq*((1+B8)^(1/Var_freq)-1)</f>
        <v>4.4097712805242217E-2</v>
      </c>
      <c r="AC8" s="55">
        <f t="shared" ref="AC8:AC39" si="8">Var_freq*((1+C8)^(1/Var_freq)-1)</f>
        <v>4.4097712805242217E-2</v>
      </c>
      <c r="AD8" s="55">
        <f t="shared" ref="AD8:AD39" si="9">Var_freq*((1+D8)^(1/Var_freq)-1)</f>
        <v>4.4097712805242217E-2</v>
      </c>
      <c r="AE8" s="55">
        <f t="shared" ref="AE8:AE39" si="10">Var_freq*((1+E8)^(1/Var_freq)-1)</f>
        <v>4.4097712805242217E-2</v>
      </c>
      <c r="AF8" s="55">
        <f t="shared" ref="AF8:AF39" si="11">Var_freq*((1+F8)^(1/Var_freq)-1)</f>
        <v>4.1693940041970023E-2</v>
      </c>
      <c r="AG8" s="55">
        <f t="shared" ref="AG8:AG39" si="12">Var_freq*((1+G8)^(1/Var_freq)-1)</f>
        <v>4.1693940041970023E-2</v>
      </c>
      <c r="AH8" s="55">
        <f t="shared" ref="AH8:AH39" si="13">Var_freq*((1+H8)^(1/Var_freq)-1)</f>
        <v>4.1693940041970023E-2</v>
      </c>
      <c r="AI8" s="55">
        <f t="shared" ref="AI8:AI39" si="14">Var_freq*((1+I8)^(1/Var_freq)-1)</f>
        <v>4.1693940041970023E-2</v>
      </c>
      <c r="AJ8" s="55">
        <f t="shared" ref="AJ8:AJ39" si="15">Var_freq*((1+J8)^(1/Var_freq)-1)</f>
        <v>4.1693940041970023E-2</v>
      </c>
      <c r="AK8" s="55">
        <f t="shared" ref="AK8:AK39" si="16">Var_freq*((1+K8)^(1/Var_freq)-1)</f>
        <v>4.1693940041970023E-2</v>
      </c>
      <c r="AL8" s="55">
        <f t="shared" ref="AL8:AL39" si="17">Var_freq*((1+L8)^(1/Var_freq)-1)</f>
        <v>4.1693940041970023E-2</v>
      </c>
      <c r="AM8" s="55">
        <f t="shared" ref="AM8:AM39" si="18">Var_freq*((1+M8)^(1/Var_freq)-1)</f>
        <v>4.1693940041970023E-2</v>
      </c>
      <c r="AN8" s="55">
        <f t="shared" ref="AN8:AN39" si="19">Var_freq*((1+N8)^(1/Var_freq)-1)</f>
        <v>4.1693940041970023E-2</v>
      </c>
      <c r="AO8" s="55">
        <f t="shared" ref="AO8:AO39" si="20">Var_freq*((1+O8)^(1/Var_freq)-1)</f>
        <v>4.1693940041970023E-2</v>
      </c>
      <c r="AP8" s="55">
        <f t="shared" ref="AP8:AP39" si="21">Var_freq*((1+P8)^(1/Var_freq)-1)</f>
        <v>4.1693940041970023E-2</v>
      </c>
      <c r="AQ8" s="55">
        <f t="shared" ref="AQ8:AQ39" si="22">Var_freq*((1+Q8)^(1/Var_freq)-1)</f>
        <v>4.1693940041970023E-2</v>
      </c>
      <c r="AR8" s="55">
        <f t="shared" ref="AR8:AR39" si="23">Var_freq*((1+R8)^(1/Var_freq)-1)</f>
        <v>4.1693940041970023E-2</v>
      </c>
      <c r="AS8" s="55">
        <f t="shared" ref="AS8:AS39" si="24">Var_freq*((1+S8)^(1/Var_freq)-1)</f>
        <v>4.1693940041970023E-2</v>
      </c>
      <c r="AT8" s="55">
        <f t="shared" ref="AT8:AT39" si="25">Var_freq*((1+T8)^(1/Var_freq)-1)</f>
        <v>4.1693940041970023E-2</v>
      </c>
      <c r="AU8" s="55">
        <f t="shared" ref="AU8:AU39" si="26">Var_freq*((1+U8)^(1/Var_freq)-1)</f>
        <v>4.1693940041970023E-2</v>
      </c>
      <c r="AV8" s="55">
        <f t="shared" ref="AV8:AV39" si="27">Var_freq*((1+V8)^(1/Var_freq)-1)</f>
        <v>4.1693940041970023E-2</v>
      </c>
      <c r="AW8" s="55">
        <f t="shared" ref="AW8:AW39" si="28">Var_freq*((1+W8)^(1/Var_freq)-1)</f>
        <v>4.1693940041970023E-2</v>
      </c>
      <c r="AX8" s="55">
        <f t="shared" ref="AX8:AX39" si="29">Var_freq*((1+X8)^(1/Var_freq)-1)</f>
        <v>4.1693940041970023E-2</v>
      </c>
      <c r="AY8" s="55">
        <f t="shared" ref="AY8:AY39" si="30">Var_freq*((1+Y8)^(1/Var_freq)-1)</f>
        <v>4.1693940041970023E-2</v>
      </c>
      <c r="AZ8" s="56">
        <f t="shared" ref="AZ8:AZ39" si="31">Var_freq*((1+Z8)^(1/Var_freq)-1)</f>
        <v>4.1693940041970023E-2</v>
      </c>
      <c r="BA8" s="9"/>
      <c r="BB8" s="9"/>
      <c r="BC8" s="9"/>
      <c r="BD8" s="9"/>
      <c r="BE8" s="9"/>
      <c r="BF8" s="8"/>
      <c r="BG8" s="10"/>
      <c r="BH8" s="9"/>
      <c r="BI8" s="10"/>
      <c r="BJ8" s="9"/>
      <c r="BK8" s="9"/>
      <c r="BL8" s="9"/>
      <c r="BM8" s="9"/>
      <c r="BN8" s="9"/>
      <c r="BO8" s="8"/>
      <c r="BP8" s="10"/>
      <c r="BQ8" s="9"/>
      <c r="BR8" s="10"/>
      <c r="BS8" s="9"/>
      <c r="BT8" s="9"/>
      <c r="BU8" s="9"/>
      <c r="BV8" s="9"/>
      <c r="BW8" s="9"/>
      <c r="BX8" s="8"/>
      <c r="BY8" s="10"/>
      <c r="BZ8" s="9"/>
      <c r="CA8" s="10"/>
      <c r="CB8" s="9"/>
      <c r="CC8" s="9"/>
      <c r="CD8" s="9"/>
      <c r="CE8" s="9"/>
      <c r="CF8" s="9"/>
      <c r="CG8" s="8"/>
      <c r="CH8" s="10"/>
      <c r="CI8" s="9"/>
      <c r="CJ8" s="10"/>
      <c r="CK8" s="9"/>
      <c r="CL8" s="9"/>
      <c r="CM8" s="9"/>
      <c r="CN8" s="9"/>
      <c r="CO8" s="9"/>
      <c r="CP8" s="9"/>
    </row>
    <row r="9" spans="1:94" x14ac:dyDescent="0.35">
      <c r="A9" s="5">
        <v>2</v>
      </c>
      <c r="B9" s="63">
        <f t="shared" si="6"/>
        <v>4.4999999999999998E-2</v>
      </c>
      <c r="C9" s="28">
        <f>B9+VLOOKUP(Rawdata!A4,Int_rate_movements,2,TRUE)</f>
        <v>4.4999999999999998E-2</v>
      </c>
      <c r="D9" s="28">
        <f>C9+VLOOKUP(Rawdata!B4,Int_rate_movements,2,TRUE)</f>
        <v>4.4999999999999998E-2</v>
      </c>
      <c r="E9" s="28">
        <f>D9+VLOOKUP(Rawdata!C4,Int_rate_movements,2,TRUE)</f>
        <v>4.4999999999999998E-2</v>
      </c>
      <c r="F9" s="28">
        <f>E9+VLOOKUP(Rawdata!D4,Int_rate_movements,2,TRUE)</f>
        <v>4.4999999999999998E-2</v>
      </c>
      <c r="G9" s="28">
        <f>F9+VLOOKUP(Rawdata!E4,Int_rate_movements,2,TRUE)</f>
        <v>4.4999999999999998E-2</v>
      </c>
      <c r="H9" s="28">
        <f>G9+VLOOKUP(Rawdata!F4,Int_rate_movements,2,TRUE)</f>
        <v>4.4999999999999998E-2</v>
      </c>
      <c r="I9" s="28">
        <f>H9+VLOOKUP(Rawdata!G4,Int_rate_movements,2,TRUE)</f>
        <v>4.2499999999999996E-2</v>
      </c>
      <c r="J9" s="28">
        <f>I9+VLOOKUP(Rawdata!H4,Int_rate_movements,2,TRUE)</f>
        <v>4.2499999999999996E-2</v>
      </c>
      <c r="K9" s="28">
        <f>J9+VLOOKUP(Rawdata!I4,Int_rate_movements,2,TRUE)</f>
        <v>3.9999999999999994E-2</v>
      </c>
      <c r="L9" s="28">
        <f>K9+VLOOKUP(Rawdata!J4,Int_rate_movements,2,TRUE)</f>
        <v>3.9999999999999994E-2</v>
      </c>
      <c r="M9" s="28">
        <f>L9+VLOOKUP(Rawdata!K4,Int_rate_movements,2,TRUE)</f>
        <v>3.7499999999999992E-2</v>
      </c>
      <c r="N9" s="28">
        <f>M9+VLOOKUP(Rawdata!L4,Int_rate_movements,2,TRUE)</f>
        <v>3.7499999999999992E-2</v>
      </c>
      <c r="O9" s="28">
        <f>N9+VLOOKUP(Rawdata!M4,Int_rate_movements,2,TRUE)</f>
        <v>3.7499999999999992E-2</v>
      </c>
      <c r="P9" s="28">
        <f>O9+VLOOKUP(Rawdata!N4,Int_rate_movements,2,TRUE)</f>
        <v>3.7499999999999992E-2</v>
      </c>
      <c r="Q9" s="28">
        <f>P9+VLOOKUP(Rawdata!O4,Int_rate_movements,2,TRUE)</f>
        <v>3.7499999999999992E-2</v>
      </c>
      <c r="R9" s="28">
        <f>Q9+VLOOKUP(Rawdata!P4,Int_rate_movements,2,TRUE)</f>
        <v>3.7499999999999992E-2</v>
      </c>
      <c r="S9" s="28">
        <f>R9+VLOOKUP(Rawdata!Q4,Int_rate_movements,2,TRUE)</f>
        <v>3.7499999999999992E-2</v>
      </c>
      <c r="T9" s="28">
        <f>S9+VLOOKUP(Rawdata!R4,Int_rate_movements,2,TRUE)</f>
        <v>3.7499999999999992E-2</v>
      </c>
      <c r="U9" s="28">
        <f>T9+VLOOKUP(Rawdata!S4,Int_rate_movements,2,TRUE)</f>
        <v>3.7499999999999992E-2</v>
      </c>
      <c r="V9" s="28">
        <f>U9+VLOOKUP(Rawdata!T4,Int_rate_movements,2,TRUE)</f>
        <v>3.7499999999999992E-2</v>
      </c>
      <c r="W9" s="28">
        <f>V9+VLOOKUP(Rawdata!U4,Int_rate_movements,2,TRUE)</f>
        <v>3.7499999999999992E-2</v>
      </c>
      <c r="X9" s="28">
        <f>W9+VLOOKUP(Rawdata!V4,Int_rate_movements,2,TRUE)</f>
        <v>3.7499999999999992E-2</v>
      </c>
      <c r="Y9" s="28">
        <f>X9+VLOOKUP(Rawdata!W4,Int_rate_movements,2,TRUE)</f>
        <v>3.7499999999999992E-2</v>
      </c>
      <c r="Z9" s="35">
        <f>Y9+VLOOKUP(Rawdata!X4,Int_rate_movements,2,TRUE)</f>
        <v>3.7499999999999992E-2</v>
      </c>
      <c r="AA9" s="12"/>
      <c r="AB9" s="55">
        <f t="shared" si="7"/>
        <v>4.4097712805242217E-2</v>
      </c>
      <c r="AC9" s="55">
        <f t="shared" si="8"/>
        <v>4.4097712805242217E-2</v>
      </c>
      <c r="AD9" s="55">
        <f t="shared" si="9"/>
        <v>4.4097712805242217E-2</v>
      </c>
      <c r="AE9" s="55">
        <f t="shared" si="10"/>
        <v>4.4097712805242217E-2</v>
      </c>
      <c r="AF9" s="55">
        <f t="shared" si="11"/>
        <v>4.4097712805242217E-2</v>
      </c>
      <c r="AG9" s="55">
        <f t="shared" si="12"/>
        <v>4.4097712805242217E-2</v>
      </c>
      <c r="AH9" s="55">
        <f t="shared" si="13"/>
        <v>4.4097712805242217E-2</v>
      </c>
      <c r="AI9" s="55">
        <f t="shared" si="14"/>
        <v>4.1693940041970023E-2</v>
      </c>
      <c r="AJ9" s="55">
        <f t="shared" si="15"/>
        <v>4.1693940041970023E-2</v>
      </c>
      <c r="AK9" s="55">
        <f t="shared" si="16"/>
        <v>3.9284877386386974E-2</v>
      </c>
      <c r="AL9" s="55">
        <f t="shared" si="17"/>
        <v>3.9284877386386974E-2</v>
      </c>
      <c r="AM9" s="55">
        <f t="shared" si="18"/>
        <v>3.6870500439066589E-2</v>
      </c>
      <c r="AN9" s="55">
        <f t="shared" si="19"/>
        <v>3.6870500439066589E-2</v>
      </c>
      <c r="AO9" s="55">
        <f t="shared" si="20"/>
        <v>3.6870500439066589E-2</v>
      </c>
      <c r="AP9" s="55">
        <f t="shared" si="21"/>
        <v>3.6870500439066589E-2</v>
      </c>
      <c r="AQ9" s="55">
        <f t="shared" si="22"/>
        <v>3.6870500439066589E-2</v>
      </c>
      <c r="AR9" s="55">
        <f t="shared" si="23"/>
        <v>3.6870500439066589E-2</v>
      </c>
      <c r="AS9" s="55">
        <f t="shared" si="24"/>
        <v>3.6870500439066589E-2</v>
      </c>
      <c r="AT9" s="55">
        <f t="shared" si="25"/>
        <v>3.6870500439066589E-2</v>
      </c>
      <c r="AU9" s="55">
        <f t="shared" si="26"/>
        <v>3.6870500439066589E-2</v>
      </c>
      <c r="AV9" s="55">
        <f t="shared" si="27"/>
        <v>3.6870500439066589E-2</v>
      </c>
      <c r="AW9" s="55">
        <f t="shared" si="28"/>
        <v>3.6870500439066589E-2</v>
      </c>
      <c r="AX9" s="55">
        <f t="shared" si="29"/>
        <v>3.6870500439066589E-2</v>
      </c>
      <c r="AY9" s="55">
        <f t="shared" si="30"/>
        <v>3.6870500439066589E-2</v>
      </c>
      <c r="AZ9" s="56">
        <f t="shared" si="31"/>
        <v>3.6870500439066589E-2</v>
      </c>
      <c r="BA9" s="11"/>
      <c r="BB9" s="12"/>
      <c r="BC9" s="12"/>
      <c r="BD9" s="13"/>
      <c r="BF9" s="14"/>
      <c r="BG9" s="10"/>
      <c r="BH9" s="11"/>
      <c r="BI9" s="11"/>
      <c r="BJ9" s="11"/>
      <c r="BK9" s="12"/>
      <c r="BL9" s="12"/>
      <c r="BM9" s="13"/>
      <c r="BO9" s="14"/>
      <c r="BP9" s="10"/>
      <c r="BQ9" s="11"/>
      <c r="BR9" s="11"/>
      <c r="BS9" s="11"/>
      <c r="BT9" s="12"/>
      <c r="BU9" s="12"/>
      <c r="BV9" s="13"/>
      <c r="BX9" s="14"/>
      <c r="BY9" s="10"/>
      <c r="BZ9" s="11"/>
      <c r="CA9" s="11"/>
      <c r="CB9" s="11"/>
      <c r="CC9" s="12"/>
      <c r="CD9" s="12"/>
      <c r="CE9" s="13"/>
      <c r="CG9" s="14"/>
      <c r="CH9" s="10"/>
      <c r="CI9" s="11"/>
      <c r="CJ9" s="11"/>
      <c r="CK9" s="11"/>
      <c r="CL9" s="12"/>
      <c r="CM9" s="12"/>
      <c r="CN9" s="13"/>
      <c r="CP9" s="13"/>
    </row>
    <row r="10" spans="1:94" x14ac:dyDescent="0.35">
      <c r="A10" s="27">
        <v>3</v>
      </c>
      <c r="B10" s="63">
        <f t="shared" si="6"/>
        <v>4.4999999999999998E-2</v>
      </c>
      <c r="C10" s="28">
        <f>B10+VLOOKUP(Rawdata!A5,Int_rate_movements,2,TRUE)</f>
        <v>4.4999999999999998E-2</v>
      </c>
      <c r="D10" s="28">
        <f>C10+VLOOKUP(Rawdata!B5,Int_rate_movements,2,TRUE)</f>
        <v>4.4999999999999998E-2</v>
      </c>
      <c r="E10" s="28">
        <f>D10+VLOOKUP(Rawdata!C5,Int_rate_movements,2,TRUE)</f>
        <v>4.4999999999999998E-2</v>
      </c>
      <c r="F10" s="28">
        <f>E10+VLOOKUP(Rawdata!D5,Int_rate_movements,2,TRUE)</f>
        <v>4.4999999999999998E-2</v>
      </c>
      <c r="G10" s="28">
        <f>F10+VLOOKUP(Rawdata!E5,Int_rate_movements,2,TRUE)</f>
        <v>4.4999999999999998E-2</v>
      </c>
      <c r="H10" s="28">
        <f>G10+VLOOKUP(Rawdata!F5,Int_rate_movements,2,TRUE)</f>
        <v>4.4999999999999998E-2</v>
      </c>
      <c r="I10" s="28">
        <f>H10+VLOOKUP(Rawdata!G5,Int_rate_movements,2,TRUE)</f>
        <v>4.4999999999999998E-2</v>
      </c>
      <c r="J10" s="28">
        <f>I10+VLOOKUP(Rawdata!H5,Int_rate_movements,2,TRUE)</f>
        <v>4.4999999999999998E-2</v>
      </c>
      <c r="K10" s="28">
        <f>J10+VLOOKUP(Rawdata!I5,Int_rate_movements,2,TRUE)</f>
        <v>4.4999999999999998E-2</v>
      </c>
      <c r="L10" s="28">
        <f>K10+VLOOKUP(Rawdata!J5,Int_rate_movements,2,TRUE)</f>
        <v>4.4999999999999998E-2</v>
      </c>
      <c r="M10" s="28">
        <f>L10+VLOOKUP(Rawdata!K5,Int_rate_movements,2,TRUE)</f>
        <v>4.4999999999999998E-2</v>
      </c>
      <c r="N10" s="28">
        <f>M10+VLOOKUP(Rawdata!L5,Int_rate_movements,2,TRUE)</f>
        <v>4.4999999999999998E-2</v>
      </c>
      <c r="O10" s="28">
        <f>N10+VLOOKUP(Rawdata!M5,Int_rate_movements,2,TRUE)</f>
        <v>4.2499999999999996E-2</v>
      </c>
      <c r="P10" s="28">
        <f>O10+VLOOKUP(Rawdata!N5,Int_rate_movements,2,TRUE)</f>
        <v>4.4999999999999998E-2</v>
      </c>
      <c r="Q10" s="28">
        <f>P10+VLOOKUP(Rawdata!O5,Int_rate_movements,2,TRUE)</f>
        <v>4.4999999999999998E-2</v>
      </c>
      <c r="R10" s="28">
        <f>Q10+VLOOKUP(Rawdata!P5,Int_rate_movements,2,TRUE)</f>
        <v>4.4999999999999998E-2</v>
      </c>
      <c r="S10" s="28">
        <f>R10+VLOOKUP(Rawdata!Q5,Int_rate_movements,2,TRUE)</f>
        <v>0.04</v>
      </c>
      <c r="T10" s="28">
        <f>S10+VLOOKUP(Rawdata!R5,Int_rate_movements,2,TRUE)</f>
        <v>0.04</v>
      </c>
      <c r="U10" s="28">
        <f>T10+VLOOKUP(Rawdata!S5,Int_rate_movements,2,TRUE)</f>
        <v>0.04</v>
      </c>
      <c r="V10" s="28">
        <f>U10+VLOOKUP(Rawdata!T5,Int_rate_movements,2,TRUE)</f>
        <v>0.04</v>
      </c>
      <c r="W10" s="28">
        <f>V10+VLOOKUP(Rawdata!U5,Int_rate_movements,2,TRUE)</f>
        <v>0.04</v>
      </c>
      <c r="X10" s="28">
        <f>W10+VLOOKUP(Rawdata!V5,Int_rate_movements,2,TRUE)</f>
        <v>0.04</v>
      </c>
      <c r="Y10" s="28">
        <f>X10+VLOOKUP(Rawdata!W5,Int_rate_movements,2,TRUE)</f>
        <v>0.04</v>
      </c>
      <c r="Z10" s="35">
        <f>Y10+VLOOKUP(Rawdata!X5,Int_rate_movements,2,TRUE)</f>
        <v>0.04</v>
      </c>
      <c r="AA10" s="12"/>
      <c r="AB10" s="55">
        <f t="shared" si="7"/>
        <v>4.4097712805242217E-2</v>
      </c>
      <c r="AC10" s="55">
        <f t="shared" si="8"/>
        <v>4.4097712805242217E-2</v>
      </c>
      <c r="AD10" s="55">
        <f t="shared" si="9"/>
        <v>4.4097712805242217E-2</v>
      </c>
      <c r="AE10" s="55">
        <f t="shared" si="10"/>
        <v>4.4097712805242217E-2</v>
      </c>
      <c r="AF10" s="55">
        <f t="shared" si="11"/>
        <v>4.4097712805242217E-2</v>
      </c>
      <c r="AG10" s="55">
        <f t="shared" si="12"/>
        <v>4.4097712805242217E-2</v>
      </c>
      <c r="AH10" s="55">
        <f t="shared" si="13"/>
        <v>4.4097712805242217E-2</v>
      </c>
      <c r="AI10" s="55">
        <f t="shared" si="14"/>
        <v>4.4097712805242217E-2</v>
      </c>
      <c r="AJ10" s="55">
        <f t="shared" si="15"/>
        <v>4.4097712805242217E-2</v>
      </c>
      <c r="AK10" s="55">
        <f t="shared" si="16"/>
        <v>4.4097712805242217E-2</v>
      </c>
      <c r="AL10" s="55">
        <f t="shared" si="17"/>
        <v>4.4097712805242217E-2</v>
      </c>
      <c r="AM10" s="55">
        <f t="shared" si="18"/>
        <v>4.4097712805242217E-2</v>
      </c>
      <c r="AN10" s="55">
        <f t="shared" si="19"/>
        <v>4.4097712805242217E-2</v>
      </c>
      <c r="AO10" s="55">
        <f t="shared" si="20"/>
        <v>4.1693940041970023E-2</v>
      </c>
      <c r="AP10" s="55">
        <f t="shared" si="21"/>
        <v>4.4097712805242217E-2</v>
      </c>
      <c r="AQ10" s="55">
        <f t="shared" si="22"/>
        <v>4.4097712805242217E-2</v>
      </c>
      <c r="AR10" s="55">
        <f t="shared" si="23"/>
        <v>4.4097712805242217E-2</v>
      </c>
      <c r="AS10" s="55">
        <f t="shared" si="24"/>
        <v>3.9284877386386974E-2</v>
      </c>
      <c r="AT10" s="55">
        <f t="shared" si="25"/>
        <v>3.9284877386386974E-2</v>
      </c>
      <c r="AU10" s="55">
        <f t="shared" si="26"/>
        <v>3.9284877386386974E-2</v>
      </c>
      <c r="AV10" s="55">
        <f t="shared" si="27"/>
        <v>3.9284877386386974E-2</v>
      </c>
      <c r="AW10" s="55">
        <f t="shared" si="28"/>
        <v>3.9284877386386974E-2</v>
      </c>
      <c r="AX10" s="55">
        <f t="shared" si="29"/>
        <v>3.9284877386386974E-2</v>
      </c>
      <c r="AY10" s="55">
        <f t="shared" si="30"/>
        <v>3.9284877386386974E-2</v>
      </c>
      <c r="AZ10" s="56">
        <f t="shared" si="31"/>
        <v>3.9284877386386974E-2</v>
      </c>
      <c r="BA10" s="11"/>
      <c r="BB10" s="12"/>
      <c r="BC10" s="12"/>
      <c r="BD10" s="13"/>
      <c r="BF10" s="14"/>
      <c r="BG10" s="10"/>
      <c r="BH10" s="11"/>
      <c r="BI10" s="11"/>
      <c r="BJ10" s="11"/>
      <c r="BK10" s="12"/>
      <c r="BL10" s="12"/>
      <c r="BM10" s="13"/>
      <c r="BO10" s="14"/>
      <c r="BP10" s="10"/>
      <c r="BQ10" s="11"/>
      <c r="BR10" s="11"/>
      <c r="BS10" s="11"/>
      <c r="BT10" s="12"/>
      <c r="BU10" s="12"/>
      <c r="BV10" s="13"/>
      <c r="BX10" s="14"/>
      <c r="BY10" s="10"/>
      <c r="BZ10" s="11"/>
      <c r="CA10" s="11"/>
      <c r="CB10" s="11"/>
      <c r="CC10" s="12"/>
      <c r="CD10" s="12"/>
      <c r="CE10" s="13"/>
      <c r="CG10" s="14"/>
      <c r="CH10" s="10"/>
      <c r="CI10" s="11"/>
      <c r="CJ10" s="11"/>
      <c r="CK10" s="11"/>
      <c r="CL10" s="12"/>
      <c r="CM10" s="12"/>
      <c r="CN10" s="13"/>
      <c r="CP10" s="13"/>
    </row>
    <row r="11" spans="1:94" x14ac:dyDescent="0.35">
      <c r="A11" s="5">
        <v>4</v>
      </c>
      <c r="B11" s="63">
        <f t="shared" si="6"/>
        <v>4.4999999999999998E-2</v>
      </c>
      <c r="C11" s="28">
        <f>B11+VLOOKUP(Rawdata!A6,Int_rate_movements,2,TRUE)</f>
        <v>4.4999999999999998E-2</v>
      </c>
      <c r="D11" s="28">
        <f>C11+VLOOKUP(Rawdata!B6,Int_rate_movements,2,TRUE)</f>
        <v>4.4999999999999998E-2</v>
      </c>
      <c r="E11" s="28">
        <f>D11+VLOOKUP(Rawdata!C6,Int_rate_movements,2,TRUE)</f>
        <v>4.4999999999999998E-2</v>
      </c>
      <c r="F11" s="28">
        <f>E11+VLOOKUP(Rawdata!D6,Int_rate_movements,2,TRUE)</f>
        <v>4.4999999999999998E-2</v>
      </c>
      <c r="G11" s="28">
        <f>F11+VLOOKUP(Rawdata!E6,Int_rate_movements,2,TRUE)</f>
        <v>4.4999999999999998E-2</v>
      </c>
      <c r="H11" s="28">
        <f>G11+VLOOKUP(Rawdata!F6,Int_rate_movements,2,TRUE)</f>
        <v>4.4999999999999998E-2</v>
      </c>
      <c r="I11" s="28">
        <f>H11+VLOOKUP(Rawdata!G6,Int_rate_movements,2,TRUE)</f>
        <v>4.4999999999999998E-2</v>
      </c>
      <c r="J11" s="28">
        <f>I11+VLOOKUP(Rawdata!H6,Int_rate_movements,2,TRUE)</f>
        <v>4.9999999999999996E-2</v>
      </c>
      <c r="K11" s="28">
        <f>J11+VLOOKUP(Rawdata!I6,Int_rate_movements,2,TRUE)</f>
        <v>5.2499999999999998E-2</v>
      </c>
      <c r="L11" s="28">
        <f>K11+VLOOKUP(Rawdata!J6,Int_rate_movements,2,TRUE)</f>
        <v>5.2499999999999998E-2</v>
      </c>
      <c r="M11" s="28">
        <f>L11+VLOOKUP(Rawdata!K6,Int_rate_movements,2,TRUE)</f>
        <v>5.2499999999999998E-2</v>
      </c>
      <c r="N11" s="28">
        <f>M11+VLOOKUP(Rawdata!L6,Int_rate_movements,2,TRUE)</f>
        <v>5.2499999999999998E-2</v>
      </c>
      <c r="O11" s="28">
        <f>N11+VLOOKUP(Rawdata!M6,Int_rate_movements,2,TRUE)</f>
        <v>5.2499999999999998E-2</v>
      </c>
      <c r="P11" s="28">
        <f>O11+VLOOKUP(Rawdata!N6,Int_rate_movements,2,TRUE)</f>
        <v>5.2499999999999998E-2</v>
      </c>
      <c r="Q11" s="28">
        <f>P11+VLOOKUP(Rawdata!O6,Int_rate_movements,2,TRUE)</f>
        <v>5.2499999999999998E-2</v>
      </c>
      <c r="R11" s="28">
        <f>Q11+VLOOKUP(Rawdata!P6,Int_rate_movements,2,TRUE)</f>
        <v>5.2499999999999998E-2</v>
      </c>
      <c r="S11" s="28">
        <f>R11+VLOOKUP(Rawdata!Q6,Int_rate_movements,2,TRUE)</f>
        <v>4.9999999999999996E-2</v>
      </c>
      <c r="T11" s="28">
        <f>S11+VLOOKUP(Rawdata!R6,Int_rate_movements,2,TRUE)</f>
        <v>4.9999999999999996E-2</v>
      </c>
      <c r="U11" s="28">
        <f>T11+VLOOKUP(Rawdata!S6,Int_rate_movements,2,TRUE)</f>
        <v>4.9999999999999996E-2</v>
      </c>
      <c r="V11" s="28">
        <f>U11+VLOOKUP(Rawdata!T6,Int_rate_movements,2,TRUE)</f>
        <v>4.4999999999999998E-2</v>
      </c>
      <c r="W11" s="28">
        <f>V11+VLOOKUP(Rawdata!U6,Int_rate_movements,2,TRUE)</f>
        <v>4.4999999999999998E-2</v>
      </c>
      <c r="X11" s="28">
        <f>W11+VLOOKUP(Rawdata!V6,Int_rate_movements,2,TRUE)</f>
        <v>4.4999999999999998E-2</v>
      </c>
      <c r="Y11" s="28">
        <f>X11+VLOOKUP(Rawdata!W6,Int_rate_movements,2,TRUE)</f>
        <v>4.4999999999999998E-2</v>
      </c>
      <c r="Z11" s="35">
        <f>Y11+VLOOKUP(Rawdata!X6,Int_rate_movements,2,TRUE)</f>
        <v>0.04</v>
      </c>
      <c r="AA11" s="12"/>
      <c r="AB11" s="55">
        <f t="shared" si="7"/>
        <v>4.4097712805242217E-2</v>
      </c>
      <c r="AC11" s="55">
        <f t="shared" si="8"/>
        <v>4.4097712805242217E-2</v>
      </c>
      <c r="AD11" s="55">
        <f t="shared" si="9"/>
        <v>4.4097712805242217E-2</v>
      </c>
      <c r="AE11" s="55">
        <f t="shared" si="10"/>
        <v>4.4097712805242217E-2</v>
      </c>
      <c r="AF11" s="55">
        <f t="shared" si="11"/>
        <v>4.4097712805242217E-2</v>
      </c>
      <c r="AG11" s="55">
        <f t="shared" si="12"/>
        <v>4.4097712805242217E-2</v>
      </c>
      <c r="AH11" s="55">
        <f t="shared" si="13"/>
        <v>4.4097712805242217E-2</v>
      </c>
      <c r="AI11" s="55">
        <f t="shared" si="14"/>
        <v>4.4097712805242217E-2</v>
      </c>
      <c r="AJ11" s="55">
        <f t="shared" si="15"/>
        <v>4.8889485403780242E-2</v>
      </c>
      <c r="AK11" s="55">
        <f t="shared" si="16"/>
        <v>5.1277533193896829E-2</v>
      </c>
      <c r="AL11" s="55">
        <f t="shared" si="17"/>
        <v>5.1277533193896829E-2</v>
      </c>
      <c r="AM11" s="55">
        <f t="shared" si="18"/>
        <v>5.1277533193896829E-2</v>
      </c>
      <c r="AN11" s="55">
        <f t="shared" si="19"/>
        <v>5.1277533193896829E-2</v>
      </c>
      <c r="AO11" s="55">
        <f t="shared" si="20"/>
        <v>5.1277533193896829E-2</v>
      </c>
      <c r="AP11" s="55">
        <f t="shared" si="21"/>
        <v>5.1277533193896829E-2</v>
      </c>
      <c r="AQ11" s="55">
        <f t="shared" si="22"/>
        <v>5.1277533193896829E-2</v>
      </c>
      <c r="AR11" s="55">
        <f t="shared" si="23"/>
        <v>5.1277533193896829E-2</v>
      </c>
      <c r="AS11" s="55">
        <f t="shared" si="24"/>
        <v>4.8889485403780242E-2</v>
      </c>
      <c r="AT11" s="55">
        <f t="shared" si="25"/>
        <v>4.8889485403780242E-2</v>
      </c>
      <c r="AU11" s="55">
        <f t="shared" si="26"/>
        <v>4.8889485403780242E-2</v>
      </c>
      <c r="AV11" s="55">
        <f t="shared" si="27"/>
        <v>4.4097712805242217E-2</v>
      </c>
      <c r="AW11" s="55">
        <f t="shared" si="28"/>
        <v>4.4097712805242217E-2</v>
      </c>
      <c r="AX11" s="55">
        <f t="shared" si="29"/>
        <v>4.4097712805242217E-2</v>
      </c>
      <c r="AY11" s="55">
        <f t="shared" si="30"/>
        <v>4.4097712805242217E-2</v>
      </c>
      <c r="AZ11" s="56">
        <f t="shared" si="31"/>
        <v>3.9284877386386974E-2</v>
      </c>
      <c r="BA11" s="11"/>
      <c r="BB11" s="12"/>
      <c r="BC11" s="12"/>
      <c r="BD11" s="13"/>
      <c r="BF11" s="14"/>
      <c r="BG11" s="10"/>
      <c r="BH11" s="11"/>
      <c r="BI11" s="11"/>
      <c r="BJ11" s="11"/>
      <c r="BK11" s="12"/>
      <c r="BL11" s="12"/>
      <c r="BM11" s="13"/>
      <c r="BO11" s="14"/>
      <c r="BP11" s="10"/>
      <c r="BQ11" s="11"/>
      <c r="BR11" s="11"/>
      <c r="BS11" s="11"/>
      <c r="BT11" s="12"/>
      <c r="BU11" s="12"/>
      <c r="BV11" s="13"/>
      <c r="BX11" s="14"/>
      <c r="BY11" s="10"/>
      <c r="BZ11" s="11"/>
      <c r="CA11" s="11"/>
      <c r="CB11" s="11"/>
      <c r="CC11" s="12"/>
      <c r="CD11" s="12"/>
      <c r="CE11" s="13"/>
      <c r="CG11" s="14"/>
      <c r="CH11" s="10"/>
      <c r="CI11" s="11"/>
      <c r="CJ11" s="11"/>
      <c r="CK11" s="11"/>
      <c r="CL11" s="12"/>
      <c r="CM11" s="12"/>
      <c r="CN11" s="13"/>
      <c r="CP11" s="13"/>
    </row>
    <row r="12" spans="1:94" x14ac:dyDescent="0.35">
      <c r="A12" s="27">
        <v>5</v>
      </c>
      <c r="B12" s="63">
        <f t="shared" si="6"/>
        <v>4.4999999999999998E-2</v>
      </c>
      <c r="C12" s="28">
        <f>B12+VLOOKUP(Rawdata!A7,Int_rate_movements,2,TRUE)</f>
        <v>4.4999999999999998E-2</v>
      </c>
      <c r="D12" s="28">
        <f>C12+VLOOKUP(Rawdata!B7,Int_rate_movements,2,TRUE)</f>
        <v>4.4999999999999998E-2</v>
      </c>
      <c r="E12" s="28">
        <f>D12+VLOOKUP(Rawdata!C7,Int_rate_movements,2,TRUE)</f>
        <v>4.2499999999999996E-2</v>
      </c>
      <c r="F12" s="28">
        <f>E12+VLOOKUP(Rawdata!D7,Int_rate_movements,2,TRUE)</f>
        <v>4.2499999999999996E-2</v>
      </c>
      <c r="G12" s="28">
        <f>F12+VLOOKUP(Rawdata!E7,Int_rate_movements,2,TRUE)</f>
        <v>4.2499999999999996E-2</v>
      </c>
      <c r="H12" s="28">
        <f>G12+VLOOKUP(Rawdata!F7,Int_rate_movements,2,TRUE)</f>
        <v>4.2499999999999996E-2</v>
      </c>
      <c r="I12" s="28">
        <f>H12+VLOOKUP(Rawdata!G7,Int_rate_movements,2,TRUE)</f>
        <v>4.2499999999999996E-2</v>
      </c>
      <c r="J12" s="28">
        <f>I12+VLOOKUP(Rawdata!H7,Int_rate_movements,2,TRUE)</f>
        <v>4.2499999999999996E-2</v>
      </c>
      <c r="K12" s="28">
        <f>J12+VLOOKUP(Rawdata!I7,Int_rate_movements,2,TRUE)</f>
        <v>4.2499999999999996E-2</v>
      </c>
      <c r="L12" s="28">
        <f>K12+VLOOKUP(Rawdata!J7,Int_rate_movements,2,TRUE)</f>
        <v>4.2499999999999996E-2</v>
      </c>
      <c r="M12" s="28">
        <f>L12+VLOOKUP(Rawdata!K7,Int_rate_movements,2,TRUE)</f>
        <v>4.2499999999999996E-2</v>
      </c>
      <c r="N12" s="28">
        <f>M12+VLOOKUP(Rawdata!L7,Int_rate_movements,2,TRUE)</f>
        <v>3.7499999999999999E-2</v>
      </c>
      <c r="O12" s="28">
        <f>N12+VLOOKUP(Rawdata!M7,Int_rate_movements,2,TRUE)</f>
        <v>3.7499999999999999E-2</v>
      </c>
      <c r="P12" s="28">
        <f>O12+VLOOKUP(Rawdata!N7,Int_rate_movements,2,TRUE)</f>
        <v>3.7499999999999999E-2</v>
      </c>
      <c r="Q12" s="28">
        <f>P12+VLOOKUP(Rawdata!O7,Int_rate_movements,2,TRUE)</f>
        <v>3.7499999999999999E-2</v>
      </c>
      <c r="R12" s="28">
        <f>Q12+VLOOKUP(Rawdata!P7,Int_rate_movements,2,TRUE)</f>
        <v>3.7499999999999999E-2</v>
      </c>
      <c r="S12" s="28">
        <f>R12+VLOOKUP(Rawdata!Q7,Int_rate_movements,2,TRUE)</f>
        <v>3.7499999999999999E-2</v>
      </c>
      <c r="T12" s="28">
        <f>S12+VLOOKUP(Rawdata!R7,Int_rate_movements,2,TRUE)</f>
        <v>3.7499999999999999E-2</v>
      </c>
      <c r="U12" s="28">
        <f>T12+VLOOKUP(Rawdata!S7,Int_rate_movements,2,TRUE)</f>
        <v>3.7499999999999999E-2</v>
      </c>
      <c r="V12" s="28">
        <f>U12+VLOOKUP(Rawdata!T7,Int_rate_movements,2,TRUE)</f>
        <v>3.7499999999999999E-2</v>
      </c>
      <c r="W12" s="28">
        <f>V12+VLOOKUP(Rawdata!U7,Int_rate_movements,2,TRUE)</f>
        <v>3.4999999999999996E-2</v>
      </c>
      <c r="X12" s="28">
        <f>W12+VLOOKUP(Rawdata!V7,Int_rate_movements,2,TRUE)</f>
        <v>3.4999999999999996E-2</v>
      </c>
      <c r="Y12" s="28">
        <f>X12+VLOOKUP(Rawdata!W7,Int_rate_movements,2,TRUE)</f>
        <v>3.4999999999999996E-2</v>
      </c>
      <c r="Z12" s="35">
        <f>Y12+VLOOKUP(Rawdata!X7,Int_rate_movements,2,TRUE)</f>
        <v>3.4999999999999996E-2</v>
      </c>
      <c r="AA12" s="12"/>
      <c r="AB12" s="55">
        <f t="shared" si="7"/>
        <v>4.4097712805242217E-2</v>
      </c>
      <c r="AC12" s="55">
        <f t="shared" si="8"/>
        <v>4.4097712805242217E-2</v>
      </c>
      <c r="AD12" s="55">
        <f t="shared" si="9"/>
        <v>4.4097712805242217E-2</v>
      </c>
      <c r="AE12" s="55">
        <f t="shared" si="10"/>
        <v>4.1693940041970023E-2</v>
      </c>
      <c r="AF12" s="55">
        <f t="shared" si="11"/>
        <v>4.1693940041970023E-2</v>
      </c>
      <c r="AG12" s="55">
        <f t="shared" si="12"/>
        <v>4.1693940041970023E-2</v>
      </c>
      <c r="AH12" s="55">
        <f t="shared" si="13"/>
        <v>4.1693940041970023E-2</v>
      </c>
      <c r="AI12" s="55">
        <f t="shared" si="14"/>
        <v>4.1693940041970023E-2</v>
      </c>
      <c r="AJ12" s="55">
        <f t="shared" si="15"/>
        <v>4.1693940041970023E-2</v>
      </c>
      <c r="AK12" s="55">
        <f t="shared" si="16"/>
        <v>4.1693940041970023E-2</v>
      </c>
      <c r="AL12" s="55">
        <f t="shared" si="17"/>
        <v>4.1693940041970023E-2</v>
      </c>
      <c r="AM12" s="55">
        <f t="shared" si="18"/>
        <v>4.1693940041970023E-2</v>
      </c>
      <c r="AN12" s="55">
        <f t="shared" si="19"/>
        <v>3.6870500439066589E-2</v>
      </c>
      <c r="AO12" s="55">
        <f t="shared" si="20"/>
        <v>3.6870500439066589E-2</v>
      </c>
      <c r="AP12" s="55">
        <f t="shared" si="21"/>
        <v>3.6870500439066589E-2</v>
      </c>
      <c r="AQ12" s="55">
        <f t="shared" si="22"/>
        <v>3.6870500439066589E-2</v>
      </c>
      <c r="AR12" s="55">
        <f t="shared" si="23"/>
        <v>3.6870500439066589E-2</v>
      </c>
      <c r="AS12" s="55">
        <f t="shared" si="24"/>
        <v>3.6870500439066589E-2</v>
      </c>
      <c r="AT12" s="55">
        <f t="shared" si="25"/>
        <v>3.6870500439066589E-2</v>
      </c>
      <c r="AU12" s="55">
        <f t="shared" si="26"/>
        <v>3.6870500439066589E-2</v>
      </c>
      <c r="AV12" s="55">
        <f t="shared" si="27"/>
        <v>3.6870500439066589E-2</v>
      </c>
      <c r="AW12" s="55">
        <f t="shared" si="28"/>
        <v>3.4450784628919706E-2</v>
      </c>
      <c r="AX12" s="55">
        <f t="shared" si="29"/>
        <v>3.4450784628919706E-2</v>
      </c>
      <c r="AY12" s="55">
        <f t="shared" si="30"/>
        <v>3.4450784628919706E-2</v>
      </c>
      <c r="AZ12" s="56">
        <f t="shared" si="31"/>
        <v>3.4450784628919706E-2</v>
      </c>
      <c r="BA12" s="11"/>
      <c r="BB12" s="12"/>
      <c r="BC12" s="12"/>
      <c r="BD12" s="13"/>
      <c r="BF12" s="14"/>
      <c r="BG12" s="10"/>
      <c r="BH12" s="11"/>
      <c r="BI12" s="11"/>
      <c r="BJ12" s="11"/>
      <c r="BK12" s="12"/>
      <c r="BL12" s="12"/>
      <c r="BM12" s="13"/>
      <c r="BO12" s="14"/>
      <c r="BP12" s="10"/>
      <c r="BQ12" s="11"/>
      <c r="BR12" s="11"/>
      <c r="BS12" s="11"/>
      <c r="BT12" s="12"/>
      <c r="BU12" s="12"/>
      <c r="BV12" s="13"/>
      <c r="BX12" s="14"/>
      <c r="BY12" s="10"/>
      <c r="BZ12" s="11"/>
      <c r="CA12" s="11"/>
      <c r="CB12" s="11"/>
      <c r="CC12" s="12"/>
      <c r="CD12" s="12"/>
      <c r="CE12" s="13"/>
      <c r="CG12" s="14"/>
      <c r="CH12" s="10"/>
      <c r="CI12" s="11"/>
      <c r="CJ12" s="11"/>
      <c r="CK12" s="11"/>
      <c r="CL12" s="12"/>
      <c r="CM12" s="12"/>
      <c r="CN12" s="13"/>
      <c r="CP12" s="13"/>
    </row>
    <row r="13" spans="1:94" x14ac:dyDescent="0.35">
      <c r="A13" s="5">
        <v>6</v>
      </c>
      <c r="B13" s="63">
        <f t="shared" si="6"/>
        <v>4.4999999999999998E-2</v>
      </c>
      <c r="C13" s="28">
        <f>B13+VLOOKUP(Rawdata!A8,Int_rate_movements,2,TRUE)</f>
        <v>4.4999999999999998E-2</v>
      </c>
      <c r="D13" s="28">
        <f>C13+VLOOKUP(Rawdata!B8,Int_rate_movements,2,TRUE)</f>
        <v>4.4999999999999998E-2</v>
      </c>
      <c r="E13" s="28">
        <f>D13+VLOOKUP(Rawdata!C8,Int_rate_movements,2,TRUE)</f>
        <v>4.4999999999999998E-2</v>
      </c>
      <c r="F13" s="28">
        <f>E13+VLOOKUP(Rawdata!D8,Int_rate_movements,2,TRUE)</f>
        <v>4.4999999999999998E-2</v>
      </c>
      <c r="G13" s="28">
        <f>F13+VLOOKUP(Rawdata!E8,Int_rate_movements,2,TRUE)</f>
        <v>4.4999999999999998E-2</v>
      </c>
      <c r="H13" s="28">
        <f>G13+VLOOKUP(Rawdata!F8,Int_rate_movements,2,TRUE)</f>
        <v>4.4999999999999998E-2</v>
      </c>
      <c r="I13" s="28">
        <f>H13+VLOOKUP(Rawdata!G8,Int_rate_movements,2,TRUE)</f>
        <v>4.4999999999999998E-2</v>
      </c>
      <c r="J13" s="28">
        <f>I13+VLOOKUP(Rawdata!H8,Int_rate_movements,2,TRUE)</f>
        <v>4.4999999999999998E-2</v>
      </c>
      <c r="K13" s="28">
        <f>J13+VLOOKUP(Rawdata!I8,Int_rate_movements,2,TRUE)</f>
        <v>4.4999999999999998E-2</v>
      </c>
      <c r="L13" s="28">
        <f>K13+VLOOKUP(Rawdata!J8,Int_rate_movements,2,TRUE)</f>
        <v>4.2499999999999996E-2</v>
      </c>
      <c r="M13" s="28">
        <f>L13+VLOOKUP(Rawdata!K8,Int_rate_movements,2,TRUE)</f>
        <v>4.2499999999999996E-2</v>
      </c>
      <c r="N13" s="28">
        <f>M13+VLOOKUP(Rawdata!L8,Int_rate_movements,2,TRUE)</f>
        <v>4.2499999999999996E-2</v>
      </c>
      <c r="O13" s="28">
        <f>N13+VLOOKUP(Rawdata!M8,Int_rate_movements,2,TRUE)</f>
        <v>4.2499999999999996E-2</v>
      </c>
      <c r="P13" s="28">
        <f>O13+VLOOKUP(Rawdata!N8,Int_rate_movements,2,TRUE)</f>
        <v>4.2499999999999996E-2</v>
      </c>
      <c r="Q13" s="28">
        <f>P13+VLOOKUP(Rawdata!O8,Int_rate_movements,2,TRUE)</f>
        <v>4.2499999999999996E-2</v>
      </c>
      <c r="R13" s="28">
        <f>Q13+VLOOKUP(Rawdata!P8,Int_rate_movements,2,TRUE)</f>
        <v>4.2499999999999996E-2</v>
      </c>
      <c r="S13" s="28">
        <f>R13+VLOOKUP(Rawdata!Q8,Int_rate_movements,2,TRUE)</f>
        <v>4.2499999999999996E-2</v>
      </c>
      <c r="T13" s="28">
        <f>S13+VLOOKUP(Rawdata!R8,Int_rate_movements,2,TRUE)</f>
        <v>4.2499999999999996E-2</v>
      </c>
      <c r="U13" s="28">
        <f>T13+VLOOKUP(Rawdata!S8,Int_rate_movements,2,TRUE)</f>
        <v>4.4999999999999998E-2</v>
      </c>
      <c r="V13" s="28">
        <f>U13+VLOOKUP(Rawdata!T8,Int_rate_movements,2,TRUE)</f>
        <v>4.4999999999999998E-2</v>
      </c>
      <c r="W13" s="28">
        <f>V13+VLOOKUP(Rawdata!U8,Int_rate_movements,2,TRUE)</f>
        <v>4.4999999999999998E-2</v>
      </c>
      <c r="X13" s="28">
        <f>W13+VLOOKUP(Rawdata!V8,Int_rate_movements,2,TRUE)</f>
        <v>4.4999999999999998E-2</v>
      </c>
      <c r="Y13" s="28">
        <f>X13+VLOOKUP(Rawdata!W8,Int_rate_movements,2,TRUE)</f>
        <v>4.4999999999999998E-2</v>
      </c>
      <c r="Z13" s="35">
        <f>Y13+VLOOKUP(Rawdata!X8,Int_rate_movements,2,TRUE)</f>
        <v>4.4999999999999998E-2</v>
      </c>
      <c r="AA13" s="12"/>
      <c r="AB13" s="55">
        <f t="shared" si="7"/>
        <v>4.4097712805242217E-2</v>
      </c>
      <c r="AC13" s="55">
        <f t="shared" si="8"/>
        <v>4.4097712805242217E-2</v>
      </c>
      <c r="AD13" s="55">
        <f t="shared" si="9"/>
        <v>4.4097712805242217E-2</v>
      </c>
      <c r="AE13" s="55">
        <f t="shared" si="10"/>
        <v>4.4097712805242217E-2</v>
      </c>
      <c r="AF13" s="55">
        <f t="shared" si="11"/>
        <v>4.4097712805242217E-2</v>
      </c>
      <c r="AG13" s="55">
        <f t="shared" si="12"/>
        <v>4.4097712805242217E-2</v>
      </c>
      <c r="AH13" s="55">
        <f t="shared" si="13"/>
        <v>4.4097712805242217E-2</v>
      </c>
      <c r="AI13" s="55">
        <f t="shared" si="14"/>
        <v>4.4097712805242217E-2</v>
      </c>
      <c r="AJ13" s="55">
        <f t="shared" si="15"/>
        <v>4.4097712805242217E-2</v>
      </c>
      <c r="AK13" s="55">
        <f t="shared" si="16"/>
        <v>4.4097712805242217E-2</v>
      </c>
      <c r="AL13" s="55">
        <f t="shared" si="17"/>
        <v>4.1693940041970023E-2</v>
      </c>
      <c r="AM13" s="55">
        <f t="shared" si="18"/>
        <v>4.1693940041970023E-2</v>
      </c>
      <c r="AN13" s="55">
        <f t="shared" si="19"/>
        <v>4.1693940041970023E-2</v>
      </c>
      <c r="AO13" s="55">
        <f t="shared" si="20"/>
        <v>4.1693940041970023E-2</v>
      </c>
      <c r="AP13" s="55">
        <f t="shared" si="21"/>
        <v>4.1693940041970023E-2</v>
      </c>
      <c r="AQ13" s="55">
        <f t="shared" si="22"/>
        <v>4.1693940041970023E-2</v>
      </c>
      <c r="AR13" s="55">
        <f t="shared" si="23"/>
        <v>4.1693940041970023E-2</v>
      </c>
      <c r="AS13" s="55">
        <f t="shared" si="24"/>
        <v>4.1693940041970023E-2</v>
      </c>
      <c r="AT13" s="55">
        <f t="shared" si="25"/>
        <v>4.1693940041970023E-2</v>
      </c>
      <c r="AU13" s="55">
        <f t="shared" si="26"/>
        <v>4.4097712805242217E-2</v>
      </c>
      <c r="AV13" s="55">
        <f t="shared" si="27"/>
        <v>4.4097712805242217E-2</v>
      </c>
      <c r="AW13" s="55">
        <f t="shared" si="28"/>
        <v>4.4097712805242217E-2</v>
      </c>
      <c r="AX13" s="55">
        <f t="shared" si="29"/>
        <v>4.4097712805242217E-2</v>
      </c>
      <c r="AY13" s="55">
        <f t="shared" si="30"/>
        <v>4.4097712805242217E-2</v>
      </c>
      <c r="AZ13" s="56">
        <f t="shared" si="31"/>
        <v>4.4097712805242217E-2</v>
      </c>
      <c r="BA13" s="11"/>
      <c r="BB13" s="12"/>
      <c r="BC13" s="12"/>
      <c r="BD13" s="13"/>
      <c r="BF13" s="14"/>
      <c r="BG13" s="10"/>
      <c r="BH13" s="11"/>
      <c r="BI13" s="11"/>
      <c r="BJ13" s="11"/>
      <c r="BK13" s="12"/>
      <c r="BL13" s="12"/>
      <c r="BM13" s="13"/>
      <c r="BO13" s="14"/>
      <c r="BP13" s="10"/>
      <c r="BQ13" s="11"/>
      <c r="BR13" s="11"/>
      <c r="BS13" s="11"/>
      <c r="BT13" s="12"/>
      <c r="BU13" s="12"/>
      <c r="BV13" s="13"/>
      <c r="BX13" s="14"/>
      <c r="BY13" s="10"/>
      <c r="BZ13" s="11"/>
      <c r="CA13" s="11"/>
      <c r="CB13" s="11"/>
      <c r="CC13" s="12"/>
      <c r="CD13" s="12"/>
      <c r="CE13" s="13"/>
      <c r="CG13" s="14"/>
      <c r="CH13" s="10"/>
      <c r="CI13" s="11"/>
      <c r="CJ13" s="11"/>
      <c r="CK13" s="11"/>
      <c r="CL13" s="12"/>
      <c r="CM13" s="12"/>
      <c r="CN13" s="13"/>
      <c r="CP13" s="13"/>
    </row>
    <row r="14" spans="1:94" x14ac:dyDescent="0.35">
      <c r="A14" s="27">
        <v>7</v>
      </c>
      <c r="B14" s="63">
        <f t="shared" si="6"/>
        <v>4.4999999999999998E-2</v>
      </c>
      <c r="C14" s="28">
        <f>B14+VLOOKUP(Rawdata!A9,Int_rate_movements,2,TRUE)</f>
        <v>4.4999999999999998E-2</v>
      </c>
      <c r="D14" s="28">
        <f>C14+VLOOKUP(Rawdata!B9,Int_rate_movements,2,TRUE)</f>
        <v>4.4999999999999998E-2</v>
      </c>
      <c r="E14" s="28">
        <f>D14+VLOOKUP(Rawdata!C9,Int_rate_movements,2,TRUE)</f>
        <v>4.4999999999999998E-2</v>
      </c>
      <c r="F14" s="28">
        <f>E14+VLOOKUP(Rawdata!D9,Int_rate_movements,2,TRUE)</f>
        <v>4.4999999999999998E-2</v>
      </c>
      <c r="G14" s="28">
        <f>F14+VLOOKUP(Rawdata!E9,Int_rate_movements,2,TRUE)</f>
        <v>4.4999999999999998E-2</v>
      </c>
      <c r="H14" s="28">
        <f>G14+VLOOKUP(Rawdata!F9,Int_rate_movements,2,TRUE)</f>
        <v>4.4999999999999998E-2</v>
      </c>
      <c r="I14" s="28">
        <f>H14+VLOOKUP(Rawdata!G9,Int_rate_movements,2,TRUE)</f>
        <v>4.4999999999999998E-2</v>
      </c>
      <c r="J14" s="28">
        <f>I14+VLOOKUP(Rawdata!H9,Int_rate_movements,2,TRUE)</f>
        <v>4.7500000000000001E-2</v>
      </c>
      <c r="K14" s="28">
        <f>J14+VLOOKUP(Rawdata!I9,Int_rate_movements,2,TRUE)</f>
        <v>4.7500000000000001E-2</v>
      </c>
      <c r="L14" s="28">
        <f>K14+VLOOKUP(Rawdata!J9,Int_rate_movements,2,TRUE)</f>
        <v>4.7500000000000001E-2</v>
      </c>
      <c r="M14" s="28">
        <f>L14+VLOOKUP(Rawdata!K9,Int_rate_movements,2,TRUE)</f>
        <v>4.7500000000000001E-2</v>
      </c>
      <c r="N14" s="28">
        <f>M14+VLOOKUP(Rawdata!L9,Int_rate_movements,2,TRUE)</f>
        <v>4.7500000000000001E-2</v>
      </c>
      <c r="O14" s="28">
        <f>N14+VLOOKUP(Rawdata!M9,Int_rate_movements,2,TRUE)</f>
        <v>4.7500000000000001E-2</v>
      </c>
      <c r="P14" s="28">
        <f>O14+VLOOKUP(Rawdata!N9,Int_rate_movements,2,TRUE)</f>
        <v>4.7500000000000001E-2</v>
      </c>
      <c r="Q14" s="28">
        <f>P14+VLOOKUP(Rawdata!O9,Int_rate_movements,2,TRUE)</f>
        <v>4.7500000000000001E-2</v>
      </c>
      <c r="R14" s="28">
        <f>Q14+VLOOKUP(Rawdata!P9,Int_rate_movements,2,TRUE)</f>
        <v>4.7500000000000001E-2</v>
      </c>
      <c r="S14" s="28">
        <f>R14+VLOOKUP(Rawdata!Q9,Int_rate_movements,2,TRUE)</f>
        <v>4.7500000000000001E-2</v>
      </c>
      <c r="T14" s="28">
        <f>S14+VLOOKUP(Rawdata!R9,Int_rate_movements,2,TRUE)</f>
        <v>4.7500000000000001E-2</v>
      </c>
      <c r="U14" s="28">
        <f>T14+VLOOKUP(Rawdata!S9,Int_rate_movements,2,TRUE)</f>
        <v>4.7500000000000001E-2</v>
      </c>
      <c r="V14" s="28">
        <f>U14+VLOOKUP(Rawdata!T9,Int_rate_movements,2,TRUE)</f>
        <v>4.7500000000000001E-2</v>
      </c>
      <c r="W14" s="28">
        <f>V14+VLOOKUP(Rawdata!U9,Int_rate_movements,2,TRUE)</f>
        <v>4.7500000000000001E-2</v>
      </c>
      <c r="X14" s="28">
        <f>W14+VLOOKUP(Rawdata!V9,Int_rate_movements,2,TRUE)</f>
        <v>4.7500000000000001E-2</v>
      </c>
      <c r="Y14" s="28">
        <f>X14+VLOOKUP(Rawdata!W9,Int_rate_movements,2,TRUE)</f>
        <v>4.7500000000000001E-2</v>
      </c>
      <c r="Z14" s="35">
        <f>Y14+VLOOKUP(Rawdata!X9,Int_rate_movements,2,TRUE)</f>
        <v>4.7500000000000001E-2</v>
      </c>
      <c r="AA14" s="12"/>
      <c r="AB14" s="55">
        <f t="shared" si="7"/>
        <v>4.4097712805242217E-2</v>
      </c>
      <c r="AC14" s="55">
        <f t="shared" si="8"/>
        <v>4.4097712805242217E-2</v>
      </c>
      <c r="AD14" s="55">
        <f t="shared" si="9"/>
        <v>4.4097712805242217E-2</v>
      </c>
      <c r="AE14" s="55">
        <f t="shared" si="10"/>
        <v>4.4097712805242217E-2</v>
      </c>
      <c r="AF14" s="55">
        <f t="shared" si="11"/>
        <v>4.4097712805242217E-2</v>
      </c>
      <c r="AG14" s="55">
        <f t="shared" si="12"/>
        <v>4.4097712805242217E-2</v>
      </c>
      <c r="AH14" s="55">
        <f t="shared" si="13"/>
        <v>4.4097712805242217E-2</v>
      </c>
      <c r="AI14" s="55">
        <f t="shared" si="14"/>
        <v>4.4097712805242217E-2</v>
      </c>
      <c r="AJ14" s="55">
        <f t="shared" si="15"/>
        <v>4.6496219905550085E-2</v>
      </c>
      <c r="AK14" s="55">
        <f t="shared" si="16"/>
        <v>4.6496219905550085E-2</v>
      </c>
      <c r="AL14" s="55">
        <f t="shared" si="17"/>
        <v>4.6496219905550085E-2</v>
      </c>
      <c r="AM14" s="55">
        <f t="shared" si="18"/>
        <v>4.6496219905550085E-2</v>
      </c>
      <c r="AN14" s="55">
        <f t="shared" si="19"/>
        <v>4.6496219905550085E-2</v>
      </c>
      <c r="AO14" s="55">
        <f t="shared" si="20"/>
        <v>4.6496219905550085E-2</v>
      </c>
      <c r="AP14" s="55">
        <f t="shared" si="21"/>
        <v>4.6496219905550085E-2</v>
      </c>
      <c r="AQ14" s="55">
        <f t="shared" si="22"/>
        <v>4.6496219905550085E-2</v>
      </c>
      <c r="AR14" s="55">
        <f t="shared" si="23"/>
        <v>4.6496219905550085E-2</v>
      </c>
      <c r="AS14" s="55">
        <f t="shared" si="24"/>
        <v>4.6496219905550085E-2</v>
      </c>
      <c r="AT14" s="55">
        <f t="shared" si="25"/>
        <v>4.6496219905550085E-2</v>
      </c>
      <c r="AU14" s="55">
        <f t="shared" si="26"/>
        <v>4.6496219905550085E-2</v>
      </c>
      <c r="AV14" s="55">
        <f t="shared" si="27"/>
        <v>4.6496219905550085E-2</v>
      </c>
      <c r="AW14" s="55">
        <f t="shared" si="28"/>
        <v>4.6496219905550085E-2</v>
      </c>
      <c r="AX14" s="55">
        <f t="shared" si="29"/>
        <v>4.6496219905550085E-2</v>
      </c>
      <c r="AY14" s="55">
        <f t="shared" si="30"/>
        <v>4.6496219905550085E-2</v>
      </c>
      <c r="AZ14" s="56">
        <f t="shared" si="31"/>
        <v>4.6496219905550085E-2</v>
      </c>
      <c r="BA14" s="11"/>
      <c r="BB14" s="12"/>
      <c r="BC14" s="12"/>
      <c r="BD14" s="13"/>
      <c r="BF14" s="14"/>
      <c r="BG14" s="10"/>
      <c r="BH14" s="11"/>
      <c r="BI14" s="11"/>
      <c r="BJ14" s="11"/>
      <c r="BK14" s="12"/>
      <c r="BL14" s="12"/>
      <c r="BM14" s="13"/>
      <c r="BO14" s="14"/>
      <c r="BP14" s="10"/>
      <c r="BQ14" s="11"/>
      <c r="BR14" s="11"/>
      <c r="BS14" s="11"/>
      <c r="BT14" s="12"/>
      <c r="BU14" s="12"/>
      <c r="BV14" s="13"/>
      <c r="BX14" s="14"/>
      <c r="BY14" s="10"/>
      <c r="BZ14" s="11"/>
      <c r="CA14" s="11"/>
      <c r="CB14" s="11"/>
      <c r="CC14" s="12"/>
      <c r="CD14" s="12"/>
      <c r="CE14" s="13"/>
      <c r="CG14" s="14"/>
      <c r="CH14" s="10"/>
      <c r="CI14" s="11"/>
      <c r="CJ14" s="11"/>
      <c r="CK14" s="11"/>
      <c r="CL14" s="12"/>
      <c r="CM14" s="12"/>
      <c r="CN14" s="13"/>
      <c r="CP14" s="13"/>
    </row>
    <row r="15" spans="1:94" x14ac:dyDescent="0.35">
      <c r="A15" s="5">
        <v>8</v>
      </c>
      <c r="B15" s="63">
        <f t="shared" si="6"/>
        <v>4.4999999999999998E-2</v>
      </c>
      <c r="C15" s="28">
        <f>B15+VLOOKUP(Rawdata!A10,Int_rate_movements,2,TRUE)</f>
        <v>4.4999999999999998E-2</v>
      </c>
      <c r="D15" s="28">
        <f>C15+VLOOKUP(Rawdata!B10,Int_rate_movements,2,TRUE)</f>
        <v>4.4999999999999998E-2</v>
      </c>
      <c r="E15" s="28">
        <f>D15+VLOOKUP(Rawdata!C10,Int_rate_movements,2,TRUE)</f>
        <v>4.4999999999999998E-2</v>
      </c>
      <c r="F15" s="28">
        <f>E15+VLOOKUP(Rawdata!D10,Int_rate_movements,2,TRUE)</f>
        <v>4.4999999999999998E-2</v>
      </c>
      <c r="G15" s="28">
        <f>F15+VLOOKUP(Rawdata!E10,Int_rate_movements,2,TRUE)</f>
        <v>4.4999999999999998E-2</v>
      </c>
      <c r="H15" s="28">
        <f>G15+VLOOKUP(Rawdata!F10,Int_rate_movements,2,TRUE)</f>
        <v>4.4999999999999998E-2</v>
      </c>
      <c r="I15" s="28">
        <f>H15+VLOOKUP(Rawdata!G10,Int_rate_movements,2,TRUE)</f>
        <v>4.4999999999999998E-2</v>
      </c>
      <c r="J15" s="28">
        <f>I15+VLOOKUP(Rawdata!H10,Int_rate_movements,2,TRUE)</f>
        <v>4.4999999999999998E-2</v>
      </c>
      <c r="K15" s="28">
        <f>J15+VLOOKUP(Rawdata!I10,Int_rate_movements,2,TRUE)</f>
        <v>4.4999999999999998E-2</v>
      </c>
      <c r="L15" s="28">
        <f>K15+VLOOKUP(Rawdata!J10,Int_rate_movements,2,TRUE)</f>
        <v>4.4999999999999998E-2</v>
      </c>
      <c r="M15" s="28">
        <f>L15+VLOOKUP(Rawdata!K10,Int_rate_movements,2,TRUE)</f>
        <v>4.4999999999999998E-2</v>
      </c>
      <c r="N15" s="28">
        <f>M15+VLOOKUP(Rawdata!L10,Int_rate_movements,2,TRUE)</f>
        <v>4.4999999999999998E-2</v>
      </c>
      <c r="O15" s="28">
        <f>N15+VLOOKUP(Rawdata!M10,Int_rate_movements,2,TRUE)</f>
        <v>4.4999999999999998E-2</v>
      </c>
      <c r="P15" s="28">
        <f>O15+VLOOKUP(Rawdata!N10,Int_rate_movements,2,TRUE)</f>
        <v>4.7500000000000001E-2</v>
      </c>
      <c r="Q15" s="28">
        <f>P15+VLOOKUP(Rawdata!O10,Int_rate_movements,2,TRUE)</f>
        <v>4.7500000000000001E-2</v>
      </c>
      <c r="R15" s="28">
        <f>Q15+VLOOKUP(Rawdata!P10,Int_rate_movements,2,TRUE)</f>
        <v>4.7500000000000001E-2</v>
      </c>
      <c r="S15" s="28">
        <f>R15+VLOOKUP(Rawdata!Q10,Int_rate_movements,2,TRUE)</f>
        <v>4.7500000000000001E-2</v>
      </c>
      <c r="T15" s="28">
        <f>S15+VLOOKUP(Rawdata!R10,Int_rate_movements,2,TRUE)</f>
        <v>4.7500000000000001E-2</v>
      </c>
      <c r="U15" s="28">
        <f>T15+VLOOKUP(Rawdata!S10,Int_rate_movements,2,TRUE)</f>
        <v>4.7500000000000001E-2</v>
      </c>
      <c r="V15" s="28">
        <f>U15+VLOOKUP(Rawdata!T10,Int_rate_movements,2,TRUE)</f>
        <v>4.7500000000000001E-2</v>
      </c>
      <c r="W15" s="28">
        <f>V15+VLOOKUP(Rawdata!U10,Int_rate_movements,2,TRUE)</f>
        <v>4.7500000000000001E-2</v>
      </c>
      <c r="X15" s="28">
        <f>W15+VLOOKUP(Rawdata!V10,Int_rate_movements,2,TRUE)</f>
        <v>4.7500000000000001E-2</v>
      </c>
      <c r="Y15" s="28">
        <f>X15+VLOOKUP(Rawdata!W10,Int_rate_movements,2,TRUE)</f>
        <v>4.7500000000000001E-2</v>
      </c>
      <c r="Z15" s="35">
        <f>Y15+VLOOKUP(Rawdata!X10,Int_rate_movements,2,TRUE)</f>
        <v>4.7500000000000001E-2</v>
      </c>
      <c r="AA15" s="12"/>
      <c r="AB15" s="55">
        <f t="shared" si="7"/>
        <v>4.4097712805242217E-2</v>
      </c>
      <c r="AC15" s="55">
        <f t="shared" si="8"/>
        <v>4.4097712805242217E-2</v>
      </c>
      <c r="AD15" s="55">
        <f t="shared" si="9"/>
        <v>4.4097712805242217E-2</v>
      </c>
      <c r="AE15" s="55">
        <f t="shared" si="10"/>
        <v>4.4097712805242217E-2</v>
      </c>
      <c r="AF15" s="55">
        <f t="shared" si="11"/>
        <v>4.4097712805242217E-2</v>
      </c>
      <c r="AG15" s="55">
        <f t="shared" si="12"/>
        <v>4.4097712805242217E-2</v>
      </c>
      <c r="AH15" s="55">
        <f t="shared" si="13"/>
        <v>4.4097712805242217E-2</v>
      </c>
      <c r="AI15" s="55">
        <f t="shared" si="14"/>
        <v>4.4097712805242217E-2</v>
      </c>
      <c r="AJ15" s="55">
        <f t="shared" si="15"/>
        <v>4.4097712805242217E-2</v>
      </c>
      <c r="AK15" s="55">
        <f t="shared" si="16"/>
        <v>4.4097712805242217E-2</v>
      </c>
      <c r="AL15" s="55">
        <f t="shared" si="17"/>
        <v>4.4097712805242217E-2</v>
      </c>
      <c r="AM15" s="55">
        <f t="shared" si="18"/>
        <v>4.4097712805242217E-2</v>
      </c>
      <c r="AN15" s="55">
        <f t="shared" si="19"/>
        <v>4.4097712805242217E-2</v>
      </c>
      <c r="AO15" s="55">
        <f t="shared" si="20"/>
        <v>4.4097712805242217E-2</v>
      </c>
      <c r="AP15" s="55">
        <f t="shared" si="21"/>
        <v>4.6496219905550085E-2</v>
      </c>
      <c r="AQ15" s="55">
        <f t="shared" si="22"/>
        <v>4.6496219905550085E-2</v>
      </c>
      <c r="AR15" s="55">
        <f t="shared" si="23"/>
        <v>4.6496219905550085E-2</v>
      </c>
      <c r="AS15" s="55">
        <f t="shared" si="24"/>
        <v>4.6496219905550085E-2</v>
      </c>
      <c r="AT15" s="55">
        <f t="shared" si="25"/>
        <v>4.6496219905550085E-2</v>
      </c>
      <c r="AU15" s="55">
        <f t="shared" si="26"/>
        <v>4.6496219905550085E-2</v>
      </c>
      <c r="AV15" s="55">
        <f t="shared" si="27"/>
        <v>4.6496219905550085E-2</v>
      </c>
      <c r="AW15" s="55">
        <f t="shared" si="28"/>
        <v>4.6496219905550085E-2</v>
      </c>
      <c r="AX15" s="55">
        <f t="shared" si="29"/>
        <v>4.6496219905550085E-2</v>
      </c>
      <c r="AY15" s="55">
        <f t="shared" si="30"/>
        <v>4.6496219905550085E-2</v>
      </c>
      <c r="AZ15" s="56">
        <f t="shared" si="31"/>
        <v>4.6496219905550085E-2</v>
      </c>
      <c r="BA15" s="11"/>
      <c r="BB15" s="12"/>
      <c r="BC15" s="12"/>
      <c r="BD15" s="13"/>
      <c r="BF15" s="14"/>
      <c r="BG15" s="10"/>
      <c r="BH15" s="11"/>
      <c r="BI15" s="11"/>
      <c r="BJ15" s="11"/>
      <c r="BK15" s="12"/>
      <c r="BL15" s="12"/>
      <c r="BM15" s="13"/>
      <c r="BO15" s="14"/>
      <c r="BP15" s="10"/>
      <c r="BQ15" s="11"/>
      <c r="BR15" s="11"/>
      <c r="BS15" s="11"/>
      <c r="BT15" s="12"/>
      <c r="BU15" s="12"/>
      <c r="BV15" s="13"/>
      <c r="BX15" s="14"/>
      <c r="BY15" s="10"/>
      <c r="BZ15" s="11"/>
      <c r="CA15" s="11"/>
      <c r="CB15" s="11"/>
      <c r="CC15" s="12"/>
      <c r="CD15" s="12"/>
      <c r="CE15" s="13"/>
      <c r="CG15" s="14"/>
      <c r="CH15" s="10"/>
      <c r="CI15" s="11"/>
      <c r="CJ15" s="11"/>
      <c r="CK15" s="11"/>
      <c r="CL15" s="12"/>
      <c r="CM15" s="12"/>
      <c r="CN15" s="13"/>
      <c r="CP15" s="13"/>
    </row>
    <row r="16" spans="1:94" ht="14.5" customHeight="1" x14ac:dyDescent="0.35">
      <c r="A16" s="27">
        <v>9</v>
      </c>
      <c r="B16" s="63">
        <f t="shared" si="6"/>
        <v>4.4999999999999998E-2</v>
      </c>
      <c r="C16" s="28">
        <f>B16+VLOOKUP(Rawdata!A11,Int_rate_movements,2,TRUE)</f>
        <v>4.4999999999999998E-2</v>
      </c>
      <c r="D16" s="28">
        <f>C16+VLOOKUP(Rawdata!B11,Int_rate_movements,2,TRUE)</f>
        <v>4.4999999999999998E-2</v>
      </c>
      <c r="E16" s="28">
        <f>D16+VLOOKUP(Rawdata!C11,Int_rate_movements,2,TRUE)</f>
        <v>4.4999999999999998E-2</v>
      </c>
      <c r="F16" s="28">
        <f>E16+VLOOKUP(Rawdata!D11,Int_rate_movements,2,TRUE)</f>
        <v>4.4999999999999998E-2</v>
      </c>
      <c r="G16" s="28">
        <f>F16+VLOOKUP(Rawdata!E11,Int_rate_movements,2,TRUE)</f>
        <v>4.2499999999999996E-2</v>
      </c>
      <c r="H16" s="28">
        <f>G16+VLOOKUP(Rawdata!F11,Int_rate_movements,2,TRUE)</f>
        <v>3.9999999999999994E-2</v>
      </c>
      <c r="I16" s="28">
        <f>H16+VLOOKUP(Rawdata!G11,Int_rate_movements,2,TRUE)</f>
        <v>3.9999999999999994E-2</v>
      </c>
      <c r="J16" s="28">
        <f>I16+VLOOKUP(Rawdata!H11,Int_rate_movements,2,TRUE)</f>
        <v>3.9999999999999994E-2</v>
      </c>
      <c r="K16" s="28">
        <f>J16+VLOOKUP(Rawdata!I11,Int_rate_movements,2,TRUE)</f>
        <v>3.9999999999999994E-2</v>
      </c>
      <c r="L16" s="28">
        <f>K16+VLOOKUP(Rawdata!J11,Int_rate_movements,2,TRUE)</f>
        <v>4.4999999999999991E-2</v>
      </c>
      <c r="M16" s="28">
        <f>L16+VLOOKUP(Rawdata!K11,Int_rate_movements,2,TRUE)</f>
        <v>4.4999999999999991E-2</v>
      </c>
      <c r="N16" s="28">
        <f>M16+VLOOKUP(Rawdata!L11,Int_rate_movements,2,TRUE)</f>
        <v>4.4999999999999991E-2</v>
      </c>
      <c r="O16" s="28">
        <f>N16+VLOOKUP(Rawdata!M11,Int_rate_movements,2,TRUE)</f>
        <v>4.4999999999999991E-2</v>
      </c>
      <c r="P16" s="28">
        <f>O16+VLOOKUP(Rawdata!N11,Int_rate_movements,2,TRUE)</f>
        <v>4.4999999999999991E-2</v>
      </c>
      <c r="Q16" s="28">
        <f>P16+VLOOKUP(Rawdata!O11,Int_rate_movements,2,TRUE)</f>
        <v>4.4999999999999991E-2</v>
      </c>
      <c r="R16" s="28">
        <f>Q16+VLOOKUP(Rawdata!P11,Int_rate_movements,2,TRUE)</f>
        <v>4.4999999999999991E-2</v>
      </c>
      <c r="S16" s="28">
        <f>R16+VLOOKUP(Rawdata!Q11,Int_rate_movements,2,TRUE)</f>
        <v>4.4999999999999991E-2</v>
      </c>
      <c r="T16" s="28">
        <f>S16+VLOOKUP(Rawdata!R11,Int_rate_movements,2,TRUE)</f>
        <v>4.4999999999999991E-2</v>
      </c>
      <c r="U16" s="28">
        <f>T16+VLOOKUP(Rawdata!S11,Int_rate_movements,2,TRUE)</f>
        <v>4.4999999999999991E-2</v>
      </c>
      <c r="V16" s="28">
        <f>U16+VLOOKUP(Rawdata!T11,Int_rate_movements,2,TRUE)</f>
        <v>4.9999999999999989E-2</v>
      </c>
      <c r="W16" s="28">
        <f>V16+VLOOKUP(Rawdata!U11,Int_rate_movements,2,TRUE)</f>
        <v>4.9999999999999989E-2</v>
      </c>
      <c r="X16" s="28">
        <f>W16+VLOOKUP(Rawdata!V11,Int_rate_movements,2,TRUE)</f>
        <v>4.9999999999999989E-2</v>
      </c>
      <c r="Y16" s="28">
        <f>X16+VLOOKUP(Rawdata!W11,Int_rate_movements,2,TRUE)</f>
        <v>4.9999999999999989E-2</v>
      </c>
      <c r="Z16" s="35">
        <f>Y16+VLOOKUP(Rawdata!X11,Int_rate_movements,2,TRUE)</f>
        <v>4.9999999999999989E-2</v>
      </c>
      <c r="AA16" s="12"/>
      <c r="AB16" s="55">
        <f t="shared" si="7"/>
        <v>4.4097712805242217E-2</v>
      </c>
      <c r="AC16" s="55">
        <f t="shared" si="8"/>
        <v>4.4097712805242217E-2</v>
      </c>
      <c r="AD16" s="55">
        <f t="shared" si="9"/>
        <v>4.4097712805242217E-2</v>
      </c>
      <c r="AE16" s="55">
        <f t="shared" si="10"/>
        <v>4.4097712805242217E-2</v>
      </c>
      <c r="AF16" s="55">
        <f t="shared" si="11"/>
        <v>4.4097712805242217E-2</v>
      </c>
      <c r="AG16" s="55">
        <f t="shared" si="12"/>
        <v>4.1693940041970023E-2</v>
      </c>
      <c r="AH16" s="55">
        <f t="shared" si="13"/>
        <v>3.9284877386386974E-2</v>
      </c>
      <c r="AI16" s="55">
        <f t="shared" si="14"/>
        <v>3.9284877386386974E-2</v>
      </c>
      <c r="AJ16" s="55">
        <f t="shared" si="15"/>
        <v>3.9284877386386974E-2</v>
      </c>
      <c r="AK16" s="55">
        <f t="shared" si="16"/>
        <v>3.9284877386386974E-2</v>
      </c>
      <c r="AL16" s="55">
        <f t="shared" si="17"/>
        <v>4.4097712805242217E-2</v>
      </c>
      <c r="AM16" s="55">
        <f t="shared" si="18"/>
        <v>4.4097712805242217E-2</v>
      </c>
      <c r="AN16" s="55">
        <f t="shared" si="19"/>
        <v>4.4097712805242217E-2</v>
      </c>
      <c r="AO16" s="55">
        <f t="shared" si="20"/>
        <v>4.4097712805242217E-2</v>
      </c>
      <c r="AP16" s="55">
        <f t="shared" si="21"/>
        <v>4.4097712805242217E-2</v>
      </c>
      <c r="AQ16" s="55">
        <f t="shared" si="22"/>
        <v>4.4097712805242217E-2</v>
      </c>
      <c r="AR16" s="55">
        <f t="shared" si="23"/>
        <v>4.4097712805242217E-2</v>
      </c>
      <c r="AS16" s="55">
        <f t="shared" si="24"/>
        <v>4.4097712805242217E-2</v>
      </c>
      <c r="AT16" s="55">
        <f t="shared" si="25"/>
        <v>4.4097712805242217E-2</v>
      </c>
      <c r="AU16" s="55">
        <f t="shared" si="26"/>
        <v>4.4097712805242217E-2</v>
      </c>
      <c r="AV16" s="55">
        <f t="shared" si="27"/>
        <v>4.8889485403780242E-2</v>
      </c>
      <c r="AW16" s="55">
        <f t="shared" si="28"/>
        <v>4.8889485403780242E-2</v>
      </c>
      <c r="AX16" s="55">
        <f t="shared" si="29"/>
        <v>4.8889485403780242E-2</v>
      </c>
      <c r="AY16" s="55">
        <f t="shared" si="30"/>
        <v>4.8889485403780242E-2</v>
      </c>
      <c r="AZ16" s="56">
        <f t="shared" si="31"/>
        <v>4.8889485403780242E-2</v>
      </c>
      <c r="BA16" s="11"/>
      <c r="BB16" s="12"/>
      <c r="BC16" s="12"/>
      <c r="BD16" s="13"/>
      <c r="BF16" s="14"/>
      <c r="BG16" s="10"/>
      <c r="BH16" s="11"/>
      <c r="BI16" s="11"/>
      <c r="BJ16" s="11"/>
      <c r="BK16" s="12"/>
      <c r="BL16" s="12"/>
      <c r="BM16" s="13"/>
      <c r="BO16" s="14"/>
      <c r="BP16" s="10"/>
      <c r="BQ16" s="11"/>
      <c r="BR16" s="11"/>
      <c r="BS16" s="11"/>
      <c r="BT16" s="12"/>
      <c r="BU16" s="12"/>
      <c r="BV16" s="13"/>
      <c r="BX16" s="14"/>
      <c r="BY16" s="10"/>
      <c r="BZ16" s="11"/>
      <c r="CA16" s="11"/>
      <c r="CB16" s="11"/>
      <c r="CC16" s="12"/>
      <c r="CD16" s="12"/>
      <c r="CE16" s="13"/>
      <c r="CG16" s="14"/>
      <c r="CH16" s="10"/>
      <c r="CI16" s="11"/>
      <c r="CJ16" s="11"/>
      <c r="CK16" s="11"/>
      <c r="CL16" s="12"/>
      <c r="CM16" s="12"/>
      <c r="CN16" s="13"/>
      <c r="CP16" s="13"/>
    </row>
    <row r="17" spans="1:94" x14ac:dyDescent="0.35">
      <c r="A17" s="5">
        <v>10</v>
      </c>
      <c r="B17" s="63">
        <f t="shared" si="6"/>
        <v>4.4999999999999998E-2</v>
      </c>
      <c r="C17" s="28">
        <f>B17+VLOOKUP(Rawdata!A12,Int_rate_movements,2,TRUE)</f>
        <v>4.4999999999999998E-2</v>
      </c>
      <c r="D17" s="28">
        <f>C17+VLOOKUP(Rawdata!B12,Int_rate_movements,2,TRUE)</f>
        <v>4.4999999999999998E-2</v>
      </c>
      <c r="E17" s="28">
        <f>D17+VLOOKUP(Rawdata!C12,Int_rate_movements,2,TRUE)</f>
        <v>4.4999999999999998E-2</v>
      </c>
      <c r="F17" s="28">
        <f>E17+VLOOKUP(Rawdata!D12,Int_rate_movements,2,TRUE)</f>
        <v>4.4999999999999998E-2</v>
      </c>
      <c r="G17" s="28">
        <f>F17+VLOOKUP(Rawdata!E12,Int_rate_movements,2,TRUE)</f>
        <v>4.2499999999999996E-2</v>
      </c>
      <c r="H17" s="28">
        <f>G17+VLOOKUP(Rawdata!F12,Int_rate_movements,2,TRUE)</f>
        <v>4.2499999999999996E-2</v>
      </c>
      <c r="I17" s="28">
        <f>H17+VLOOKUP(Rawdata!G12,Int_rate_movements,2,TRUE)</f>
        <v>4.2499999999999996E-2</v>
      </c>
      <c r="J17" s="28">
        <f>I17+VLOOKUP(Rawdata!H12,Int_rate_movements,2,TRUE)</f>
        <v>4.2499999999999996E-2</v>
      </c>
      <c r="K17" s="28">
        <f>J17+VLOOKUP(Rawdata!I12,Int_rate_movements,2,TRUE)</f>
        <v>4.2499999999999996E-2</v>
      </c>
      <c r="L17" s="28">
        <f>K17+VLOOKUP(Rawdata!J12,Int_rate_movements,2,TRUE)</f>
        <v>4.2499999999999996E-2</v>
      </c>
      <c r="M17" s="28">
        <f>L17+VLOOKUP(Rawdata!K12,Int_rate_movements,2,TRUE)</f>
        <v>4.2499999999999996E-2</v>
      </c>
      <c r="N17" s="28">
        <f>M17+VLOOKUP(Rawdata!L12,Int_rate_movements,2,TRUE)</f>
        <v>4.2499999999999996E-2</v>
      </c>
      <c r="O17" s="28">
        <f>N17+VLOOKUP(Rawdata!M12,Int_rate_movements,2,TRUE)</f>
        <v>4.2499999999999996E-2</v>
      </c>
      <c r="P17" s="28">
        <f>O17+VLOOKUP(Rawdata!N12,Int_rate_movements,2,TRUE)</f>
        <v>4.2499999999999996E-2</v>
      </c>
      <c r="Q17" s="28">
        <f>P17+VLOOKUP(Rawdata!O12,Int_rate_movements,2,TRUE)</f>
        <v>4.2499999999999996E-2</v>
      </c>
      <c r="R17" s="28">
        <f>Q17+VLOOKUP(Rawdata!P12,Int_rate_movements,2,TRUE)</f>
        <v>4.2499999999999996E-2</v>
      </c>
      <c r="S17" s="28">
        <f>R17+VLOOKUP(Rawdata!Q12,Int_rate_movements,2,TRUE)</f>
        <v>4.2499999999999996E-2</v>
      </c>
      <c r="T17" s="28">
        <f>S17+VLOOKUP(Rawdata!R12,Int_rate_movements,2,TRUE)</f>
        <v>4.2499999999999996E-2</v>
      </c>
      <c r="U17" s="28">
        <f>T17+VLOOKUP(Rawdata!S12,Int_rate_movements,2,TRUE)</f>
        <v>4.7499999999999994E-2</v>
      </c>
      <c r="V17" s="28">
        <f>U17+VLOOKUP(Rawdata!T12,Int_rate_movements,2,TRUE)</f>
        <v>4.7499999999999994E-2</v>
      </c>
      <c r="W17" s="28">
        <f>V17+VLOOKUP(Rawdata!U12,Int_rate_movements,2,TRUE)</f>
        <v>4.7499999999999994E-2</v>
      </c>
      <c r="X17" s="28">
        <f>W17+VLOOKUP(Rawdata!V12,Int_rate_movements,2,TRUE)</f>
        <v>5.2499999999999991E-2</v>
      </c>
      <c r="Y17" s="28">
        <f>X17+VLOOKUP(Rawdata!W12,Int_rate_movements,2,TRUE)</f>
        <v>5.2499999999999991E-2</v>
      </c>
      <c r="Z17" s="35">
        <f>Y17+VLOOKUP(Rawdata!X12,Int_rate_movements,2,TRUE)</f>
        <v>5.2499999999999991E-2</v>
      </c>
      <c r="AA17" s="12"/>
      <c r="AB17" s="55">
        <f t="shared" si="7"/>
        <v>4.4097712805242217E-2</v>
      </c>
      <c r="AC17" s="55">
        <f t="shared" si="8"/>
        <v>4.4097712805242217E-2</v>
      </c>
      <c r="AD17" s="55">
        <f t="shared" si="9"/>
        <v>4.4097712805242217E-2</v>
      </c>
      <c r="AE17" s="55">
        <f t="shared" si="10"/>
        <v>4.4097712805242217E-2</v>
      </c>
      <c r="AF17" s="55">
        <f t="shared" si="11"/>
        <v>4.4097712805242217E-2</v>
      </c>
      <c r="AG17" s="55">
        <f t="shared" si="12"/>
        <v>4.1693940041970023E-2</v>
      </c>
      <c r="AH17" s="55">
        <f t="shared" si="13"/>
        <v>4.1693940041970023E-2</v>
      </c>
      <c r="AI17" s="55">
        <f t="shared" si="14"/>
        <v>4.1693940041970023E-2</v>
      </c>
      <c r="AJ17" s="55">
        <f t="shared" si="15"/>
        <v>4.1693940041970023E-2</v>
      </c>
      <c r="AK17" s="55">
        <f t="shared" si="16"/>
        <v>4.1693940041970023E-2</v>
      </c>
      <c r="AL17" s="55">
        <f t="shared" si="17"/>
        <v>4.1693940041970023E-2</v>
      </c>
      <c r="AM17" s="55">
        <f t="shared" si="18"/>
        <v>4.1693940041970023E-2</v>
      </c>
      <c r="AN17" s="55">
        <f t="shared" si="19"/>
        <v>4.1693940041970023E-2</v>
      </c>
      <c r="AO17" s="55">
        <f t="shared" si="20"/>
        <v>4.1693940041970023E-2</v>
      </c>
      <c r="AP17" s="55">
        <f t="shared" si="21"/>
        <v>4.1693940041970023E-2</v>
      </c>
      <c r="AQ17" s="55">
        <f t="shared" si="22"/>
        <v>4.1693940041970023E-2</v>
      </c>
      <c r="AR17" s="55">
        <f t="shared" si="23"/>
        <v>4.1693940041970023E-2</v>
      </c>
      <c r="AS17" s="55">
        <f t="shared" si="24"/>
        <v>4.1693940041970023E-2</v>
      </c>
      <c r="AT17" s="55">
        <f t="shared" si="25"/>
        <v>4.1693940041970023E-2</v>
      </c>
      <c r="AU17" s="55">
        <f t="shared" si="26"/>
        <v>4.6496219905550085E-2</v>
      </c>
      <c r="AV17" s="55">
        <f t="shared" si="27"/>
        <v>4.6496219905550085E-2</v>
      </c>
      <c r="AW17" s="55">
        <f t="shared" si="28"/>
        <v>4.6496219905550085E-2</v>
      </c>
      <c r="AX17" s="55">
        <f t="shared" si="29"/>
        <v>5.1277533193896829E-2</v>
      </c>
      <c r="AY17" s="55">
        <f t="shared" si="30"/>
        <v>5.1277533193896829E-2</v>
      </c>
      <c r="AZ17" s="56">
        <f t="shared" si="31"/>
        <v>5.1277533193896829E-2</v>
      </c>
      <c r="BA17" s="11"/>
      <c r="BB17" s="12"/>
      <c r="BC17" s="12"/>
      <c r="BD17" s="13"/>
      <c r="BF17" s="14"/>
      <c r="BG17" s="10"/>
      <c r="BH17" s="11"/>
      <c r="BI17" s="11"/>
      <c r="BJ17" s="11"/>
      <c r="BK17" s="12"/>
      <c r="BL17" s="12"/>
      <c r="BM17" s="13"/>
      <c r="BO17" s="14"/>
      <c r="BP17" s="10"/>
      <c r="BQ17" s="11"/>
      <c r="BR17" s="11"/>
      <c r="BS17" s="11"/>
      <c r="BT17" s="12"/>
      <c r="BU17" s="12"/>
      <c r="BV17" s="13"/>
      <c r="BX17" s="14"/>
      <c r="BY17" s="10"/>
      <c r="BZ17" s="11"/>
      <c r="CA17" s="11"/>
      <c r="CB17" s="11"/>
      <c r="CC17" s="12"/>
      <c r="CD17" s="12"/>
      <c r="CE17" s="13"/>
      <c r="CG17" s="14"/>
      <c r="CH17" s="10"/>
      <c r="CI17" s="11"/>
      <c r="CJ17" s="11"/>
      <c r="CK17" s="11"/>
      <c r="CL17" s="12"/>
      <c r="CM17" s="12"/>
      <c r="CN17" s="13"/>
      <c r="CP17" s="13"/>
    </row>
    <row r="18" spans="1:94" x14ac:dyDescent="0.35">
      <c r="A18" s="27">
        <v>11</v>
      </c>
      <c r="B18" s="63">
        <f t="shared" si="6"/>
        <v>4.4999999999999998E-2</v>
      </c>
      <c r="C18" s="28">
        <f>B18+VLOOKUP(Rawdata!A13,Int_rate_movements,2,TRUE)</f>
        <v>4.4999999999999998E-2</v>
      </c>
      <c r="D18" s="28">
        <f>C18+VLOOKUP(Rawdata!B13,Int_rate_movements,2,TRUE)</f>
        <v>4.2499999999999996E-2</v>
      </c>
      <c r="E18" s="28">
        <f>D18+VLOOKUP(Rawdata!C13,Int_rate_movements,2,TRUE)</f>
        <v>4.2499999999999996E-2</v>
      </c>
      <c r="F18" s="28">
        <f>E18+VLOOKUP(Rawdata!D13,Int_rate_movements,2,TRUE)</f>
        <v>4.2499999999999996E-2</v>
      </c>
      <c r="G18" s="28">
        <f>F18+VLOOKUP(Rawdata!E13,Int_rate_movements,2,TRUE)</f>
        <v>4.2499999999999996E-2</v>
      </c>
      <c r="H18" s="28">
        <f>G18+VLOOKUP(Rawdata!F13,Int_rate_movements,2,TRUE)</f>
        <v>4.2499999999999996E-2</v>
      </c>
      <c r="I18" s="28">
        <f>H18+VLOOKUP(Rawdata!G13,Int_rate_movements,2,TRUE)</f>
        <v>4.4999999999999998E-2</v>
      </c>
      <c r="J18" s="28">
        <f>I18+VLOOKUP(Rawdata!H13,Int_rate_movements,2,TRUE)</f>
        <v>4.4999999999999998E-2</v>
      </c>
      <c r="K18" s="28">
        <f>J18+VLOOKUP(Rawdata!I13,Int_rate_movements,2,TRUE)</f>
        <v>0.04</v>
      </c>
      <c r="L18" s="28">
        <f>K18+VLOOKUP(Rawdata!J13,Int_rate_movements,2,TRUE)</f>
        <v>0.04</v>
      </c>
      <c r="M18" s="28">
        <f>L18+VLOOKUP(Rawdata!K13,Int_rate_movements,2,TRUE)</f>
        <v>0.04</v>
      </c>
      <c r="N18" s="28">
        <f>M18+VLOOKUP(Rawdata!L13,Int_rate_movements,2,TRUE)</f>
        <v>0.04</v>
      </c>
      <c r="O18" s="28">
        <f>N18+VLOOKUP(Rawdata!M13,Int_rate_movements,2,TRUE)</f>
        <v>0.04</v>
      </c>
      <c r="P18" s="28">
        <f>O18+VLOOKUP(Rawdata!N13,Int_rate_movements,2,TRUE)</f>
        <v>0.04</v>
      </c>
      <c r="Q18" s="28">
        <f>P18+VLOOKUP(Rawdata!O13,Int_rate_movements,2,TRUE)</f>
        <v>0.04</v>
      </c>
      <c r="R18" s="28">
        <f>Q18+VLOOKUP(Rawdata!P13,Int_rate_movements,2,TRUE)</f>
        <v>0.04</v>
      </c>
      <c r="S18" s="28">
        <f>R18+VLOOKUP(Rawdata!Q13,Int_rate_movements,2,TRUE)</f>
        <v>0.04</v>
      </c>
      <c r="T18" s="28">
        <f>S18+VLOOKUP(Rawdata!R13,Int_rate_movements,2,TRUE)</f>
        <v>0.04</v>
      </c>
      <c r="U18" s="28">
        <f>T18+VLOOKUP(Rawdata!S13,Int_rate_movements,2,TRUE)</f>
        <v>0.04</v>
      </c>
      <c r="V18" s="28">
        <f>U18+VLOOKUP(Rawdata!T13,Int_rate_movements,2,TRUE)</f>
        <v>0.04</v>
      </c>
      <c r="W18" s="28">
        <f>V18+VLOOKUP(Rawdata!U13,Int_rate_movements,2,TRUE)</f>
        <v>0.04</v>
      </c>
      <c r="X18" s="28">
        <f>W18+VLOOKUP(Rawdata!V13,Int_rate_movements,2,TRUE)</f>
        <v>0.04</v>
      </c>
      <c r="Y18" s="28">
        <f>X18+VLOOKUP(Rawdata!W13,Int_rate_movements,2,TRUE)</f>
        <v>0.04</v>
      </c>
      <c r="Z18" s="35">
        <f>Y18+VLOOKUP(Rawdata!X13,Int_rate_movements,2,TRUE)</f>
        <v>0.04</v>
      </c>
      <c r="AA18" s="12"/>
      <c r="AB18" s="55">
        <f t="shared" si="7"/>
        <v>4.4097712805242217E-2</v>
      </c>
      <c r="AC18" s="55">
        <f t="shared" si="8"/>
        <v>4.4097712805242217E-2</v>
      </c>
      <c r="AD18" s="55">
        <f t="shared" si="9"/>
        <v>4.1693940041970023E-2</v>
      </c>
      <c r="AE18" s="55">
        <f t="shared" si="10"/>
        <v>4.1693940041970023E-2</v>
      </c>
      <c r="AF18" s="55">
        <f t="shared" si="11"/>
        <v>4.1693940041970023E-2</v>
      </c>
      <c r="AG18" s="55">
        <f t="shared" si="12"/>
        <v>4.1693940041970023E-2</v>
      </c>
      <c r="AH18" s="55">
        <f t="shared" si="13"/>
        <v>4.1693940041970023E-2</v>
      </c>
      <c r="AI18" s="55">
        <f t="shared" si="14"/>
        <v>4.4097712805242217E-2</v>
      </c>
      <c r="AJ18" s="55">
        <f t="shared" si="15"/>
        <v>4.4097712805242217E-2</v>
      </c>
      <c r="AK18" s="55">
        <f t="shared" si="16"/>
        <v>3.9284877386386974E-2</v>
      </c>
      <c r="AL18" s="55">
        <f t="shared" si="17"/>
        <v>3.9284877386386974E-2</v>
      </c>
      <c r="AM18" s="55">
        <f t="shared" si="18"/>
        <v>3.9284877386386974E-2</v>
      </c>
      <c r="AN18" s="55">
        <f t="shared" si="19"/>
        <v>3.9284877386386974E-2</v>
      </c>
      <c r="AO18" s="55">
        <f t="shared" si="20"/>
        <v>3.9284877386386974E-2</v>
      </c>
      <c r="AP18" s="55">
        <f t="shared" si="21"/>
        <v>3.9284877386386974E-2</v>
      </c>
      <c r="AQ18" s="55">
        <f t="shared" si="22"/>
        <v>3.9284877386386974E-2</v>
      </c>
      <c r="AR18" s="55">
        <f t="shared" si="23"/>
        <v>3.9284877386386974E-2</v>
      </c>
      <c r="AS18" s="55">
        <f t="shared" si="24"/>
        <v>3.9284877386386974E-2</v>
      </c>
      <c r="AT18" s="55">
        <f t="shared" si="25"/>
        <v>3.9284877386386974E-2</v>
      </c>
      <c r="AU18" s="55">
        <f t="shared" si="26"/>
        <v>3.9284877386386974E-2</v>
      </c>
      <c r="AV18" s="55">
        <f t="shared" si="27"/>
        <v>3.9284877386386974E-2</v>
      </c>
      <c r="AW18" s="55">
        <f t="shared" si="28"/>
        <v>3.9284877386386974E-2</v>
      </c>
      <c r="AX18" s="55">
        <f t="shared" si="29"/>
        <v>3.9284877386386974E-2</v>
      </c>
      <c r="AY18" s="55">
        <f t="shared" si="30"/>
        <v>3.9284877386386974E-2</v>
      </c>
      <c r="AZ18" s="56">
        <f t="shared" si="31"/>
        <v>3.9284877386386974E-2</v>
      </c>
      <c r="BA18" s="11"/>
      <c r="BB18" s="12"/>
      <c r="BC18" s="12"/>
      <c r="BD18" s="13"/>
      <c r="BF18" s="14"/>
      <c r="BG18" s="10"/>
      <c r="BH18" s="11"/>
      <c r="BI18" s="11"/>
      <c r="BJ18" s="11"/>
      <c r="BK18" s="12"/>
      <c r="BL18" s="12"/>
      <c r="BM18" s="13"/>
      <c r="BO18" s="14"/>
      <c r="BP18" s="10"/>
      <c r="BQ18" s="11"/>
      <c r="BR18" s="11"/>
      <c r="BS18" s="11"/>
      <c r="BT18" s="12"/>
      <c r="BU18" s="12"/>
      <c r="BV18" s="13"/>
      <c r="BX18" s="14"/>
      <c r="BY18" s="10"/>
      <c r="BZ18" s="11"/>
      <c r="CA18" s="11"/>
      <c r="CB18" s="11"/>
      <c r="CC18" s="12"/>
      <c r="CD18" s="12"/>
      <c r="CE18" s="13"/>
      <c r="CG18" s="14"/>
      <c r="CH18" s="10"/>
      <c r="CI18" s="11"/>
      <c r="CJ18" s="11"/>
      <c r="CK18" s="11"/>
      <c r="CL18" s="12"/>
      <c r="CM18" s="12"/>
      <c r="CN18" s="13"/>
      <c r="CP18" s="13"/>
    </row>
    <row r="19" spans="1:94" x14ac:dyDescent="0.35">
      <c r="A19" s="5">
        <v>12</v>
      </c>
      <c r="B19" s="63">
        <f t="shared" si="6"/>
        <v>4.4999999999999998E-2</v>
      </c>
      <c r="C19" s="28">
        <f>B19+VLOOKUP(Rawdata!A14,Int_rate_movements,2,TRUE)</f>
        <v>4.4999999999999998E-2</v>
      </c>
      <c r="D19" s="28">
        <f>C19+VLOOKUP(Rawdata!B14,Int_rate_movements,2,TRUE)</f>
        <v>4.9999999999999996E-2</v>
      </c>
      <c r="E19" s="28">
        <f>D19+VLOOKUP(Rawdata!C14,Int_rate_movements,2,TRUE)</f>
        <v>4.9999999999999996E-2</v>
      </c>
      <c r="F19" s="28">
        <f>E19+VLOOKUP(Rawdata!D14,Int_rate_movements,2,TRUE)</f>
        <v>4.9999999999999996E-2</v>
      </c>
      <c r="G19" s="28">
        <f>F19+VLOOKUP(Rawdata!E14,Int_rate_movements,2,TRUE)</f>
        <v>5.4999999999999993E-2</v>
      </c>
      <c r="H19" s="28">
        <f>G19+VLOOKUP(Rawdata!F14,Int_rate_movements,2,TRUE)</f>
        <v>5.4999999999999993E-2</v>
      </c>
      <c r="I19" s="28">
        <f>H19+VLOOKUP(Rawdata!G14,Int_rate_movements,2,TRUE)</f>
        <v>5.4999999999999993E-2</v>
      </c>
      <c r="J19" s="28">
        <f>I19+VLOOKUP(Rawdata!H14,Int_rate_movements,2,TRUE)</f>
        <v>5.4999999999999993E-2</v>
      </c>
      <c r="K19" s="28">
        <f>J19+VLOOKUP(Rawdata!I14,Int_rate_movements,2,TRUE)</f>
        <v>5.4999999999999993E-2</v>
      </c>
      <c r="L19" s="28">
        <f>K19+VLOOKUP(Rawdata!J14,Int_rate_movements,2,TRUE)</f>
        <v>5.4999999999999993E-2</v>
      </c>
      <c r="M19" s="28">
        <f>L19+VLOOKUP(Rawdata!K14,Int_rate_movements,2,TRUE)</f>
        <v>5.4999999999999993E-2</v>
      </c>
      <c r="N19" s="28">
        <f>M19+VLOOKUP(Rawdata!L14,Int_rate_movements,2,TRUE)</f>
        <v>5.4999999999999993E-2</v>
      </c>
      <c r="O19" s="28">
        <f>N19+VLOOKUP(Rawdata!M14,Int_rate_movements,2,TRUE)</f>
        <v>5.4999999999999993E-2</v>
      </c>
      <c r="P19" s="28">
        <f>O19+VLOOKUP(Rawdata!N14,Int_rate_movements,2,TRUE)</f>
        <v>5.4999999999999993E-2</v>
      </c>
      <c r="Q19" s="28">
        <f>P19+VLOOKUP(Rawdata!O14,Int_rate_movements,2,TRUE)</f>
        <v>5.4999999999999993E-2</v>
      </c>
      <c r="R19" s="28">
        <f>Q19+VLOOKUP(Rawdata!P14,Int_rate_movements,2,TRUE)</f>
        <v>5.9999999999999991E-2</v>
      </c>
      <c r="S19" s="28">
        <f>R19+VLOOKUP(Rawdata!Q14,Int_rate_movements,2,TRUE)</f>
        <v>5.9999999999999991E-2</v>
      </c>
      <c r="T19" s="28">
        <f>S19+VLOOKUP(Rawdata!R14,Int_rate_movements,2,TRUE)</f>
        <v>6.2499999999999993E-2</v>
      </c>
      <c r="U19" s="28">
        <f>T19+VLOOKUP(Rawdata!S14,Int_rate_movements,2,TRUE)</f>
        <v>6.2499999999999993E-2</v>
      </c>
      <c r="V19" s="28">
        <f>U19+VLOOKUP(Rawdata!T14,Int_rate_movements,2,TRUE)</f>
        <v>6.2499999999999993E-2</v>
      </c>
      <c r="W19" s="28">
        <f>V19+VLOOKUP(Rawdata!U14,Int_rate_movements,2,TRUE)</f>
        <v>5.9999999999999991E-2</v>
      </c>
      <c r="X19" s="28">
        <f>W19+VLOOKUP(Rawdata!V14,Int_rate_movements,2,TRUE)</f>
        <v>6.2499999999999993E-2</v>
      </c>
      <c r="Y19" s="28">
        <f>X19+VLOOKUP(Rawdata!W14,Int_rate_movements,2,TRUE)</f>
        <v>6.2499999999999993E-2</v>
      </c>
      <c r="Z19" s="35">
        <f>Y19+VLOOKUP(Rawdata!X14,Int_rate_movements,2,TRUE)</f>
        <v>6.2499999999999993E-2</v>
      </c>
      <c r="AA19" s="12"/>
      <c r="AB19" s="55">
        <f t="shared" si="7"/>
        <v>4.4097712805242217E-2</v>
      </c>
      <c r="AC19" s="55">
        <f t="shared" si="8"/>
        <v>4.4097712805242217E-2</v>
      </c>
      <c r="AD19" s="55">
        <f t="shared" si="9"/>
        <v>4.8889485403780242E-2</v>
      </c>
      <c r="AE19" s="55">
        <f t="shared" si="10"/>
        <v>4.8889485403780242E-2</v>
      </c>
      <c r="AF19" s="55">
        <f t="shared" si="11"/>
        <v>4.8889485403780242E-2</v>
      </c>
      <c r="AG19" s="55">
        <f t="shared" si="12"/>
        <v>5.3660387004516252E-2</v>
      </c>
      <c r="AH19" s="55">
        <f t="shared" si="13"/>
        <v>5.3660387004516252E-2</v>
      </c>
      <c r="AI19" s="55">
        <f t="shared" si="14"/>
        <v>5.3660387004516252E-2</v>
      </c>
      <c r="AJ19" s="55">
        <f t="shared" si="15"/>
        <v>5.3660387004516252E-2</v>
      </c>
      <c r="AK19" s="55">
        <f t="shared" si="16"/>
        <v>5.3660387004516252E-2</v>
      </c>
      <c r="AL19" s="55">
        <f t="shared" si="17"/>
        <v>5.3660387004516252E-2</v>
      </c>
      <c r="AM19" s="55">
        <f t="shared" si="18"/>
        <v>5.3660387004516252E-2</v>
      </c>
      <c r="AN19" s="55">
        <f t="shared" si="19"/>
        <v>5.3660387004516252E-2</v>
      </c>
      <c r="AO19" s="55">
        <f t="shared" si="20"/>
        <v>5.3660387004516252E-2</v>
      </c>
      <c r="AP19" s="55">
        <f t="shared" si="21"/>
        <v>5.3660387004516252E-2</v>
      </c>
      <c r="AQ19" s="55">
        <f t="shared" si="22"/>
        <v>5.3660387004516252E-2</v>
      </c>
      <c r="AR19" s="55">
        <f t="shared" si="23"/>
        <v>5.8410606784116581E-2</v>
      </c>
      <c r="AS19" s="55">
        <f t="shared" si="24"/>
        <v>5.8410606784116581E-2</v>
      </c>
      <c r="AT19" s="55">
        <f t="shared" si="25"/>
        <v>6.0778019397250027E-2</v>
      </c>
      <c r="AU19" s="55">
        <f t="shared" si="26"/>
        <v>6.0778019397250027E-2</v>
      </c>
      <c r="AV19" s="55">
        <f t="shared" si="27"/>
        <v>6.0778019397250027E-2</v>
      </c>
      <c r="AW19" s="55">
        <f t="shared" si="28"/>
        <v>5.8410606784116581E-2</v>
      </c>
      <c r="AX19" s="55">
        <f t="shared" si="29"/>
        <v>6.0778019397250027E-2</v>
      </c>
      <c r="AY19" s="55">
        <f t="shared" si="30"/>
        <v>6.0778019397250027E-2</v>
      </c>
      <c r="AZ19" s="56">
        <f t="shared" si="31"/>
        <v>6.0778019397250027E-2</v>
      </c>
      <c r="BA19" s="11"/>
      <c r="BB19" s="12"/>
      <c r="BC19" s="12"/>
      <c r="BD19" s="13"/>
      <c r="BF19" s="14"/>
      <c r="BG19" s="10"/>
      <c r="BH19" s="11"/>
      <c r="BI19" s="11"/>
      <c r="BJ19" s="11"/>
      <c r="BK19" s="12"/>
      <c r="BL19" s="12"/>
      <c r="BM19" s="13"/>
      <c r="BO19" s="14"/>
      <c r="BP19" s="10"/>
      <c r="BQ19" s="11"/>
      <c r="BR19" s="11"/>
      <c r="BS19" s="11"/>
      <c r="BT19" s="12"/>
      <c r="BU19" s="12"/>
      <c r="BV19" s="13"/>
      <c r="BX19" s="14"/>
      <c r="BY19" s="10"/>
      <c r="BZ19" s="11"/>
      <c r="CA19" s="11"/>
      <c r="CB19" s="11"/>
      <c r="CC19" s="12"/>
      <c r="CD19" s="12"/>
      <c r="CE19" s="13"/>
      <c r="CG19" s="14"/>
      <c r="CH19" s="10"/>
      <c r="CI19" s="11"/>
      <c r="CJ19" s="11"/>
      <c r="CK19" s="11"/>
      <c r="CL19" s="12"/>
      <c r="CM19" s="12"/>
      <c r="CN19" s="13"/>
      <c r="CP19" s="13"/>
    </row>
    <row r="20" spans="1:94" x14ac:dyDescent="0.35">
      <c r="A20" s="27">
        <v>13</v>
      </c>
      <c r="B20" s="63">
        <f t="shared" si="6"/>
        <v>4.4999999999999998E-2</v>
      </c>
      <c r="C20" s="28">
        <f>B20+VLOOKUP(Rawdata!A15,Int_rate_movements,2,TRUE)</f>
        <v>4.4999999999999998E-2</v>
      </c>
      <c r="D20" s="28">
        <f>C20+VLOOKUP(Rawdata!B15,Int_rate_movements,2,TRUE)</f>
        <v>4.4999999999999998E-2</v>
      </c>
      <c r="E20" s="28">
        <f>D20+VLOOKUP(Rawdata!C15,Int_rate_movements,2,TRUE)</f>
        <v>4.4999999999999998E-2</v>
      </c>
      <c r="F20" s="28">
        <f>E20+VLOOKUP(Rawdata!D15,Int_rate_movements,2,TRUE)</f>
        <v>4.4999999999999998E-2</v>
      </c>
      <c r="G20" s="28">
        <f>F20+VLOOKUP(Rawdata!E15,Int_rate_movements,2,TRUE)</f>
        <v>4.4999999999999998E-2</v>
      </c>
      <c r="H20" s="28">
        <f>G20+VLOOKUP(Rawdata!F15,Int_rate_movements,2,TRUE)</f>
        <v>4.4999999999999998E-2</v>
      </c>
      <c r="I20" s="28">
        <f>H20+VLOOKUP(Rawdata!G15,Int_rate_movements,2,TRUE)</f>
        <v>4.4999999999999998E-2</v>
      </c>
      <c r="J20" s="28">
        <f>I20+VLOOKUP(Rawdata!H15,Int_rate_movements,2,TRUE)</f>
        <v>4.4999999999999998E-2</v>
      </c>
      <c r="K20" s="28">
        <f>J20+VLOOKUP(Rawdata!I15,Int_rate_movements,2,TRUE)</f>
        <v>4.4999999999999998E-2</v>
      </c>
      <c r="L20" s="28">
        <f>K20+VLOOKUP(Rawdata!J15,Int_rate_movements,2,TRUE)</f>
        <v>4.4999999999999998E-2</v>
      </c>
      <c r="M20" s="28">
        <f>L20+VLOOKUP(Rawdata!K15,Int_rate_movements,2,TRUE)</f>
        <v>4.4999999999999998E-2</v>
      </c>
      <c r="N20" s="28">
        <f>M20+VLOOKUP(Rawdata!L15,Int_rate_movements,2,TRUE)</f>
        <v>4.4999999999999998E-2</v>
      </c>
      <c r="O20" s="28">
        <f>N20+VLOOKUP(Rawdata!M15,Int_rate_movements,2,TRUE)</f>
        <v>4.4999999999999998E-2</v>
      </c>
      <c r="P20" s="28">
        <f>O20+VLOOKUP(Rawdata!N15,Int_rate_movements,2,TRUE)</f>
        <v>4.4999999999999998E-2</v>
      </c>
      <c r="Q20" s="28">
        <f>P20+VLOOKUP(Rawdata!O15,Int_rate_movements,2,TRUE)</f>
        <v>4.4999999999999998E-2</v>
      </c>
      <c r="R20" s="28">
        <f>Q20+VLOOKUP(Rawdata!P15,Int_rate_movements,2,TRUE)</f>
        <v>4.4999999999999998E-2</v>
      </c>
      <c r="S20" s="28">
        <f>R20+VLOOKUP(Rawdata!Q15,Int_rate_movements,2,TRUE)</f>
        <v>4.4999999999999998E-2</v>
      </c>
      <c r="T20" s="28">
        <f>S20+VLOOKUP(Rawdata!R15,Int_rate_movements,2,TRUE)</f>
        <v>4.7500000000000001E-2</v>
      </c>
      <c r="U20" s="28">
        <f>T20+VLOOKUP(Rawdata!S15,Int_rate_movements,2,TRUE)</f>
        <v>4.7500000000000001E-2</v>
      </c>
      <c r="V20" s="28">
        <f>U20+VLOOKUP(Rawdata!T15,Int_rate_movements,2,TRUE)</f>
        <v>4.7500000000000001E-2</v>
      </c>
      <c r="W20" s="28">
        <f>V20+VLOOKUP(Rawdata!U15,Int_rate_movements,2,TRUE)</f>
        <v>4.4999999999999998E-2</v>
      </c>
      <c r="X20" s="28">
        <f>W20+VLOOKUP(Rawdata!V15,Int_rate_movements,2,TRUE)</f>
        <v>4.4999999999999998E-2</v>
      </c>
      <c r="Y20" s="28">
        <f>X20+VLOOKUP(Rawdata!W15,Int_rate_movements,2,TRUE)</f>
        <v>4.4999999999999998E-2</v>
      </c>
      <c r="Z20" s="35">
        <f>Y20+VLOOKUP(Rawdata!X15,Int_rate_movements,2,TRUE)</f>
        <v>4.4999999999999998E-2</v>
      </c>
      <c r="AA20" s="12"/>
      <c r="AB20" s="55">
        <f t="shared" si="7"/>
        <v>4.4097712805242217E-2</v>
      </c>
      <c r="AC20" s="55">
        <f t="shared" si="8"/>
        <v>4.4097712805242217E-2</v>
      </c>
      <c r="AD20" s="55">
        <f t="shared" si="9"/>
        <v>4.4097712805242217E-2</v>
      </c>
      <c r="AE20" s="55">
        <f t="shared" si="10"/>
        <v>4.4097712805242217E-2</v>
      </c>
      <c r="AF20" s="55">
        <f t="shared" si="11"/>
        <v>4.4097712805242217E-2</v>
      </c>
      <c r="AG20" s="55">
        <f t="shared" si="12"/>
        <v>4.4097712805242217E-2</v>
      </c>
      <c r="AH20" s="55">
        <f t="shared" si="13"/>
        <v>4.4097712805242217E-2</v>
      </c>
      <c r="AI20" s="55">
        <f t="shared" si="14"/>
        <v>4.4097712805242217E-2</v>
      </c>
      <c r="AJ20" s="55">
        <f t="shared" si="15"/>
        <v>4.4097712805242217E-2</v>
      </c>
      <c r="AK20" s="55">
        <f t="shared" si="16"/>
        <v>4.4097712805242217E-2</v>
      </c>
      <c r="AL20" s="55">
        <f t="shared" si="17"/>
        <v>4.4097712805242217E-2</v>
      </c>
      <c r="AM20" s="55">
        <f t="shared" si="18"/>
        <v>4.4097712805242217E-2</v>
      </c>
      <c r="AN20" s="55">
        <f t="shared" si="19"/>
        <v>4.4097712805242217E-2</v>
      </c>
      <c r="AO20" s="55">
        <f t="shared" si="20"/>
        <v>4.4097712805242217E-2</v>
      </c>
      <c r="AP20" s="55">
        <f t="shared" si="21"/>
        <v>4.4097712805242217E-2</v>
      </c>
      <c r="AQ20" s="55">
        <f t="shared" si="22"/>
        <v>4.4097712805242217E-2</v>
      </c>
      <c r="AR20" s="55">
        <f t="shared" si="23"/>
        <v>4.4097712805242217E-2</v>
      </c>
      <c r="AS20" s="55">
        <f t="shared" si="24"/>
        <v>4.4097712805242217E-2</v>
      </c>
      <c r="AT20" s="55">
        <f t="shared" si="25"/>
        <v>4.6496219905550085E-2</v>
      </c>
      <c r="AU20" s="55">
        <f t="shared" si="26"/>
        <v>4.6496219905550085E-2</v>
      </c>
      <c r="AV20" s="55">
        <f t="shared" si="27"/>
        <v>4.6496219905550085E-2</v>
      </c>
      <c r="AW20" s="55">
        <f t="shared" si="28"/>
        <v>4.4097712805242217E-2</v>
      </c>
      <c r="AX20" s="55">
        <f t="shared" si="29"/>
        <v>4.4097712805242217E-2</v>
      </c>
      <c r="AY20" s="55">
        <f t="shared" si="30"/>
        <v>4.4097712805242217E-2</v>
      </c>
      <c r="AZ20" s="56">
        <f t="shared" si="31"/>
        <v>4.4097712805242217E-2</v>
      </c>
      <c r="BA20" s="11"/>
      <c r="BB20" s="12"/>
      <c r="BC20" s="12"/>
      <c r="BD20" s="13"/>
      <c r="BF20" s="14"/>
      <c r="BG20" s="10"/>
      <c r="BH20" s="11"/>
      <c r="BI20" s="11"/>
      <c r="BJ20" s="11"/>
      <c r="BK20" s="12"/>
      <c r="BL20" s="12"/>
      <c r="BM20" s="13"/>
      <c r="BO20" s="14"/>
      <c r="BP20" s="10"/>
      <c r="BQ20" s="11"/>
      <c r="BR20" s="11"/>
      <c r="BS20" s="11"/>
      <c r="BT20" s="12"/>
      <c r="BU20" s="12"/>
      <c r="BV20" s="13"/>
      <c r="BX20" s="14"/>
      <c r="BY20" s="10"/>
      <c r="BZ20" s="11"/>
      <c r="CA20" s="11"/>
      <c r="CB20" s="11"/>
      <c r="CC20" s="12"/>
      <c r="CD20" s="12"/>
      <c r="CE20" s="13"/>
      <c r="CG20" s="14"/>
      <c r="CH20" s="10"/>
      <c r="CI20" s="11"/>
      <c r="CJ20" s="11"/>
      <c r="CK20" s="11"/>
      <c r="CL20" s="12"/>
      <c r="CM20" s="12"/>
      <c r="CN20" s="13"/>
      <c r="CP20" s="13"/>
    </row>
    <row r="21" spans="1:94" x14ac:dyDescent="0.35">
      <c r="A21" s="5">
        <v>14</v>
      </c>
      <c r="B21" s="63">
        <f t="shared" si="6"/>
        <v>4.4999999999999998E-2</v>
      </c>
      <c r="C21" s="28">
        <f>B21+VLOOKUP(Rawdata!A16,Int_rate_movements,2,TRUE)</f>
        <v>4.4999999999999998E-2</v>
      </c>
      <c r="D21" s="28">
        <f>C21+VLOOKUP(Rawdata!B16,Int_rate_movements,2,TRUE)</f>
        <v>4.4999999999999998E-2</v>
      </c>
      <c r="E21" s="28">
        <f>D21+VLOOKUP(Rawdata!C16,Int_rate_movements,2,TRUE)</f>
        <v>4.4999999999999998E-2</v>
      </c>
      <c r="F21" s="28">
        <f>E21+VLOOKUP(Rawdata!D16,Int_rate_movements,2,TRUE)</f>
        <v>4.4999999999999998E-2</v>
      </c>
      <c r="G21" s="28">
        <f>F21+VLOOKUP(Rawdata!E16,Int_rate_movements,2,TRUE)</f>
        <v>4.4999999999999998E-2</v>
      </c>
      <c r="H21" s="28">
        <f>G21+VLOOKUP(Rawdata!F16,Int_rate_movements,2,TRUE)</f>
        <v>4.4999999999999998E-2</v>
      </c>
      <c r="I21" s="28">
        <f>H21+VLOOKUP(Rawdata!G16,Int_rate_movements,2,TRUE)</f>
        <v>4.4999999999999998E-2</v>
      </c>
      <c r="J21" s="28">
        <f>I21+VLOOKUP(Rawdata!H16,Int_rate_movements,2,TRUE)</f>
        <v>4.4999999999999998E-2</v>
      </c>
      <c r="K21" s="28">
        <f>J21+VLOOKUP(Rawdata!I16,Int_rate_movements,2,TRUE)</f>
        <v>4.4999999999999998E-2</v>
      </c>
      <c r="L21" s="28">
        <f>K21+VLOOKUP(Rawdata!J16,Int_rate_movements,2,TRUE)</f>
        <v>4.4999999999999998E-2</v>
      </c>
      <c r="M21" s="28">
        <f>L21+VLOOKUP(Rawdata!K16,Int_rate_movements,2,TRUE)</f>
        <v>4.4999999999999998E-2</v>
      </c>
      <c r="N21" s="28">
        <f>M21+VLOOKUP(Rawdata!L16,Int_rate_movements,2,TRUE)</f>
        <v>4.4999999999999998E-2</v>
      </c>
      <c r="O21" s="28">
        <f>N21+VLOOKUP(Rawdata!M16,Int_rate_movements,2,TRUE)</f>
        <v>4.4999999999999998E-2</v>
      </c>
      <c r="P21" s="28">
        <f>O21+VLOOKUP(Rawdata!N16,Int_rate_movements,2,TRUE)</f>
        <v>4.4999999999999998E-2</v>
      </c>
      <c r="Q21" s="28">
        <f>P21+VLOOKUP(Rawdata!O16,Int_rate_movements,2,TRUE)</f>
        <v>4.4999999999999998E-2</v>
      </c>
      <c r="R21" s="28">
        <f>Q21+VLOOKUP(Rawdata!P16,Int_rate_movements,2,TRUE)</f>
        <v>4.4999999999999998E-2</v>
      </c>
      <c r="S21" s="28">
        <f>R21+VLOOKUP(Rawdata!Q16,Int_rate_movements,2,TRUE)</f>
        <v>4.4999999999999998E-2</v>
      </c>
      <c r="T21" s="28">
        <f>S21+VLOOKUP(Rawdata!R16,Int_rate_movements,2,TRUE)</f>
        <v>4.4999999999999998E-2</v>
      </c>
      <c r="U21" s="28">
        <f>T21+VLOOKUP(Rawdata!S16,Int_rate_movements,2,TRUE)</f>
        <v>4.4999999999999998E-2</v>
      </c>
      <c r="V21" s="28">
        <f>U21+VLOOKUP(Rawdata!T16,Int_rate_movements,2,TRUE)</f>
        <v>4.4999999999999998E-2</v>
      </c>
      <c r="W21" s="28">
        <f>V21+VLOOKUP(Rawdata!U16,Int_rate_movements,2,TRUE)</f>
        <v>4.4999999999999998E-2</v>
      </c>
      <c r="X21" s="28">
        <f>W21+VLOOKUP(Rawdata!V16,Int_rate_movements,2,TRUE)</f>
        <v>4.7500000000000001E-2</v>
      </c>
      <c r="Y21" s="28">
        <f>X21+VLOOKUP(Rawdata!W16,Int_rate_movements,2,TRUE)</f>
        <v>4.7500000000000001E-2</v>
      </c>
      <c r="Z21" s="35">
        <f>Y21+VLOOKUP(Rawdata!X16,Int_rate_movements,2,TRUE)</f>
        <v>4.7500000000000001E-2</v>
      </c>
      <c r="AA21" s="12"/>
      <c r="AB21" s="55">
        <f t="shared" si="7"/>
        <v>4.4097712805242217E-2</v>
      </c>
      <c r="AC21" s="55">
        <f t="shared" si="8"/>
        <v>4.4097712805242217E-2</v>
      </c>
      <c r="AD21" s="55">
        <f t="shared" si="9"/>
        <v>4.4097712805242217E-2</v>
      </c>
      <c r="AE21" s="55">
        <f t="shared" si="10"/>
        <v>4.4097712805242217E-2</v>
      </c>
      <c r="AF21" s="55">
        <f t="shared" si="11"/>
        <v>4.4097712805242217E-2</v>
      </c>
      <c r="AG21" s="55">
        <f t="shared" si="12"/>
        <v>4.4097712805242217E-2</v>
      </c>
      <c r="AH21" s="55">
        <f t="shared" si="13"/>
        <v>4.4097712805242217E-2</v>
      </c>
      <c r="AI21" s="55">
        <f t="shared" si="14"/>
        <v>4.4097712805242217E-2</v>
      </c>
      <c r="AJ21" s="55">
        <f t="shared" si="15"/>
        <v>4.4097712805242217E-2</v>
      </c>
      <c r="AK21" s="55">
        <f t="shared" si="16"/>
        <v>4.4097712805242217E-2</v>
      </c>
      <c r="AL21" s="55">
        <f t="shared" si="17"/>
        <v>4.4097712805242217E-2</v>
      </c>
      <c r="AM21" s="55">
        <f t="shared" si="18"/>
        <v>4.4097712805242217E-2</v>
      </c>
      <c r="AN21" s="55">
        <f t="shared" si="19"/>
        <v>4.4097712805242217E-2</v>
      </c>
      <c r="AO21" s="55">
        <f t="shared" si="20"/>
        <v>4.4097712805242217E-2</v>
      </c>
      <c r="AP21" s="55">
        <f t="shared" si="21"/>
        <v>4.4097712805242217E-2</v>
      </c>
      <c r="AQ21" s="55">
        <f t="shared" si="22"/>
        <v>4.4097712805242217E-2</v>
      </c>
      <c r="AR21" s="55">
        <f t="shared" si="23"/>
        <v>4.4097712805242217E-2</v>
      </c>
      <c r="AS21" s="55">
        <f t="shared" si="24"/>
        <v>4.4097712805242217E-2</v>
      </c>
      <c r="AT21" s="55">
        <f t="shared" si="25"/>
        <v>4.4097712805242217E-2</v>
      </c>
      <c r="AU21" s="55">
        <f t="shared" si="26"/>
        <v>4.4097712805242217E-2</v>
      </c>
      <c r="AV21" s="55">
        <f t="shared" si="27"/>
        <v>4.4097712805242217E-2</v>
      </c>
      <c r="AW21" s="55">
        <f t="shared" si="28"/>
        <v>4.4097712805242217E-2</v>
      </c>
      <c r="AX21" s="55">
        <f t="shared" si="29"/>
        <v>4.6496219905550085E-2</v>
      </c>
      <c r="AY21" s="55">
        <f t="shared" si="30"/>
        <v>4.6496219905550085E-2</v>
      </c>
      <c r="AZ21" s="56">
        <f t="shared" si="31"/>
        <v>4.6496219905550085E-2</v>
      </c>
      <c r="BA21" s="11"/>
      <c r="BB21" s="12"/>
      <c r="BC21" s="12"/>
      <c r="BD21" s="13"/>
      <c r="BF21" s="14"/>
      <c r="BG21" s="10"/>
      <c r="BH21" s="11"/>
      <c r="BI21" s="11"/>
      <c r="BJ21" s="11"/>
      <c r="BK21" s="12"/>
      <c r="BL21" s="12"/>
      <c r="BM21" s="13"/>
      <c r="BO21" s="14"/>
      <c r="BP21" s="10"/>
      <c r="BQ21" s="11"/>
      <c r="BR21" s="11"/>
      <c r="BS21" s="11"/>
      <c r="BT21" s="12"/>
      <c r="BU21" s="12"/>
      <c r="BV21" s="13"/>
      <c r="BX21" s="14"/>
      <c r="BY21" s="10"/>
      <c r="BZ21" s="11"/>
      <c r="CA21" s="11"/>
      <c r="CB21" s="11"/>
      <c r="CC21" s="12"/>
      <c r="CD21" s="12"/>
      <c r="CE21" s="13"/>
      <c r="CG21" s="14"/>
      <c r="CH21" s="10"/>
      <c r="CI21" s="11"/>
      <c r="CJ21" s="11"/>
      <c r="CK21" s="11"/>
      <c r="CL21" s="12"/>
      <c r="CM21" s="12"/>
      <c r="CN21" s="13"/>
      <c r="CP21" s="13"/>
    </row>
    <row r="22" spans="1:94" x14ac:dyDescent="0.35">
      <c r="A22" s="27">
        <v>15</v>
      </c>
      <c r="B22" s="63">
        <f t="shared" si="6"/>
        <v>4.4999999999999998E-2</v>
      </c>
      <c r="C22" s="28">
        <f>B22+VLOOKUP(Rawdata!A17,Int_rate_movements,2,TRUE)</f>
        <v>4.4999999999999998E-2</v>
      </c>
      <c r="D22" s="28">
        <f>C22+VLOOKUP(Rawdata!B17,Int_rate_movements,2,TRUE)</f>
        <v>4.4999999999999998E-2</v>
      </c>
      <c r="E22" s="28">
        <f>D22+VLOOKUP(Rawdata!C17,Int_rate_movements,2,TRUE)</f>
        <v>4.4999999999999998E-2</v>
      </c>
      <c r="F22" s="28">
        <f>E22+VLOOKUP(Rawdata!D17,Int_rate_movements,2,TRUE)</f>
        <v>4.4999999999999998E-2</v>
      </c>
      <c r="G22" s="28">
        <f>F22+VLOOKUP(Rawdata!E17,Int_rate_movements,2,TRUE)</f>
        <v>4.4999999999999998E-2</v>
      </c>
      <c r="H22" s="28">
        <f>G22+VLOOKUP(Rawdata!F17,Int_rate_movements,2,TRUE)</f>
        <v>4.4999999999999998E-2</v>
      </c>
      <c r="I22" s="28">
        <f>H22+VLOOKUP(Rawdata!G17,Int_rate_movements,2,TRUE)</f>
        <v>4.4999999999999998E-2</v>
      </c>
      <c r="J22" s="28">
        <f>I22+VLOOKUP(Rawdata!H17,Int_rate_movements,2,TRUE)</f>
        <v>4.2499999999999996E-2</v>
      </c>
      <c r="K22" s="28">
        <f>J22+VLOOKUP(Rawdata!I17,Int_rate_movements,2,TRUE)</f>
        <v>4.7499999999999994E-2</v>
      </c>
      <c r="L22" s="28">
        <f>K22+VLOOKUP(Rawdata!J17,Int_rate_movements,2,TRUE)</f>
        <v>4.7499999999999994E-2</v>
      </c>
      <c r="M22" s="28">
        <f>L22+VLOOKUP(Rawdata!K17,Int_rate_movements,2,TRUE)</f>
        <v>4.7499999999999994E-2</v>
      </c>
      <c r="N22" s="28">
        <f>M22+VLOOKUP(Rawdata!L17,Int_rate_movements,2,TRUE)</f>
        <v>4.7499999999999994E-2</v>
      </c>
      <c r="O22" s="28">
        <f>N22+VLOOKUP(Rawdata!M17,Int_rate_movements,2,TRUE)</f>
        <v>4.7499999999999994E-2</v>
      </c>
      <c r="P22" s="28">
        <f>O22+VLOOKUP(Rawdata!N17,Int_rate_movements,2,TRUE)</f>
        <v>4.7499999999999994E-2</v>
      </c>
      <c r="Q22" s="28">
        <f>P22+VLOOKUP(Rawdata!O17,Int_rate_movements,2,TRUE)</f>
        <v>4.7499999999999994E-2</v>
      </c>
      <c r="R22" s="28">
        <f>Q22+VLOOKUP(Rawdata!P17,Int_rate_movements,2,TRUE)</f>
        <v>4.7499999999999994E-2</v>
      </c>
      <c r="S22" s="28">
        <f>R22+VLOOKUP(Rawdata!Q17,Int_rate_movements,2,TRUE)</f>
        <v>4.7499999999999994E-2</v>
      </c>
      <c r="T22" s="28">
        <f>S22+VLOOKUP(Rawdata!R17,Int_rate_movements,2,TRUE)</f>
        <v>4.7499999999999994E-2</v>
      </c>
      <c r="U22" s="28">
        <f>T22+VLOOKUP(Rawdata!S17,Int_rate_movements,2,TRUE)</f>
        <v>4.7499999999999994E-2</v>
      </c>
      <c r="V22" s="28">
        <f>U22+VLOOKUP(Rawdata!T17,Int_rate_movements,2,TRUE)</f>
        <v>5.2499999999999991E-2</v>
      </c>
      <c r="W22" s="28">
        <f>V22+VLOOKUP(Rawdata!U17,Int_rate_movements,2,TRUE)</f>
        <v>5.2499999999999991E-2</v>
      </c>
      <c r="X22" s="28">
        <f>W22+VLOOKUP(Rawdata!V17,Int_rate_movements,2,TRUE)</f>
        <v>5.2499999999999991E-2</v>
      </c>
      <c r="Y22" s="28">
        <f>X22+VLOOKUP(Rawdata!W17,Int_rate_movements,2,TRUE)</f>
        <v>5.2499999999999991E-2</v>
      </c>
      <c r="Z22" s="35">
        <f>Y22+VLOOKUP(Rawdata!X17,Int_rate_movements,2,TRUE)</f>
        <v>5.2499999999999991E-2</v>
      </c>
      <c r="AA22" s="12"/>
      <c r="AB22" s="55">
        <f t="shared" si="7"/>
        <v>4.4097712805242217E-2</v>
      </c>
      <c r="AC22" s="55">
        <f t="shared" si="8"/>
        <v>4.4097712805242217E-2</v>
      </c>
      <c r="AD22" s="55">
        <f t="shared" si="9"/>
        <v>4.4097712805242217E-2</v>
      </c>
      <c r="AE22" s="55">
        <f t="shared" si="10"/>
        <v>4.4097712805242217E-2</v>
      </c>
      <c r="AF22" s="55">
        <f t="shared" si="11"/>
        <v>4.4097712805242217E-2</v>
      </c>
      <c r="AG22" s="55">
        <f t="shared" si="12"/>
        <v>4.4097712805242217E-2</v>
      </c>
      <c r="AH22" s="55">
        <f t="shared" si="13"/>
        <v>4.4097712805242217E-2</v>
      </c>
      <c r="AI22" s="55">
        <f t="shared" si="14"/>
        <v>4.4097712805242217E-2</v>
      </c>
      <c r="AJ22" s="55">
        <f t="shared" si="15"/>
        <v>4.1693940041970023E-2</v>
      </c>
      <c r="AK22" s="55">
        <f t="shared" si="16"/>
        <v>4.6496219905550085E-2</v>
      </c>
      <c r="AL22" s="55">
        <f t="shared" si="17"/>
        <v>4.6496219905550085E-2</v>
      </c>
      <c r="AM22" s="55">
        <f t="shared" si="18"/>
        <v>4.6496219905550085E-2</v>
      </c>
      <c r="AN22" s="55">
        <f t="shared" si="19"/>
        <v>4.6496219905550085E-2</v>
      </c>
      <c r="AO22" s="55">
        <f t="shared" si="20"/>
        <v>4.6496219905550085E-2</v>
      </c>
      <c r="AP22" s="55">
        <f t="shared" si="21"/>
        <v>4.6496219905550085E-2</v>
      </c>
      <c r="AQ22" s="55">
        <f t="shared" si="22"/>
        <v>4.6496219905550085E-2</v>
      </c>
      <c r="AR22" s="55">
        <f t="shared" si="23"/>
        <v>4.6496219905550085E-2</v>
      </c>
      <c r="AS22" s="55">
        <f t="shared" si="24"/>
        <v>4.6496219905550085E-2</v>
      </c>
      <c r="AT22" s="55">
        <f t="shared" si="25"/>
        <v>4.6496219905550085E-2</v>
      </c>
      <c r="AU22" s="55">
        <f t="shared" si="26"/>
        <v>4.6496219905550085E-2</v>
      </c>
      <c r="AV22" s="55">
        <f t="shared" si="27"/>
        <v>5.1277533193896829E-2</v>
      </c>
      <c r="AW22" s="55">
        <f t="shared" si="28"/>
        <v>5.1277533193896829E-2</v>
      </c>
      <c r="AX22" s="55">
        <f t="shared" si="29"/>
        <v>5.1277533193896829E-2</v>
      </c>
      <c r="AY22" s="55">
        <f t="shared" si="30"/>
        <v>5.1277533193896829E-2</v>
      </c>
      <c r="AZ22" s="56">
        <f t="shared" si="31"/>
        <v>5.1277533193896829E-2</v>
      </c>
      <c r="BA22" s="11"/>
      <c r="BB22" s="12"/>
      <c r="BC22" s="12"/>
      <c r="BD22" s="13"/>
      <c r="BF22" s="14"/>
      <c r="BG22" s="10"/>
      <c r="BH22" s="11"/>
      <c r="BI22" s="11"/>
      <c r="BJ22" s="11"/>
      <c r="BK22" s="12"/>
      <c r="BL22" s="12"/>
      <c r="BM22" s="13"/>
      <c r="BO22" s="14"/>
      <c r="BP22" s="10"/>
      <c r="BQ22" s="11"/>
      <c r="BR22" s="11"/>
      <c r="BS22" s="11"/>
      <c r="BT22" s="12"/>
      <c r="BU22" s="12"/>
      <c r="BV22" s="13"/>
      <c r="BX22" s="14"/>
      <c r="BY22" s="10"/>
      <c r="BZ22" s="11"/>
      <c r="CA22" s="11"/>
      <c r="CB22" s="11"/>
      <c r="CC22" s="12"/>
      <c r="CD22" s="12"/>
      <c r="CE22" s="13"/>
      <c r="CG22" s="14"/>
      <c r="CH22" s="10"/>
      <c r="CI22" s="11"/>
      <c r="CJ22" s="11"/>
      <c r="CK22" s="11"/>
      <c r="CL22" s="12"/>
      <c r="CM22" s="12"/>
      <c r="CN22" s="13"/>
      <c r="CP22" s="13"/>
    </row>
    <row r="23" spans="1:94" x14ac:dyDescent="0.35">
      <c r="A23" s="5">
        <v>16</v>
      </c>
      <c r="B23" s="63">
        <f t="shared" si="6"/>
        <v>4.4999999999999998E-2</v>
      </c>
      <c r="C23" s="28">
        <f>B23+VLOOKUP(Rawdata!A18,Int_rate_movements,2,TRUE)</f>
        <v>4.7500000000000001E-2</v>
      </c>
      <c r="D23" s="28">
        <f>C23+VLOOKUP(Rawdata!B18,Int_rate_movements,2,TRUE)</f>
        <v>0.05</v>
      </c>
      <c r="E23" s="28">
        <f>D23+VLOOKUP(Rawdata!C18,Int_rate_movements,2,TRUE)</f>
        <v>0.05</v>
      </c>
      <c r="F23" s="28">
        <f>E23+VLOOKUP(Rawdata!D18,Int_rate_movements,2,TRUE)</f>
        <v>0.05</v>
      </c>
      <c r="G23" s="28">
        <f>F23+VLOOKUP(Rawdata!E18,Int_rate_movements,2,TRUE)</f>
        <v>0.05</v>
      </c>
      <c r="H23" s="28">
        <f>G23+VLOOKUP(Rawdata!F18,Int_rate_movements,2,TRUE)</f>
        <v>0.05</v>
      </c>
      <c r="I23" s="28">
        <f>H23+VLOOKUP(Rawdata!G18,Int_rate_movements,2,TRUE)</f>
        <v>0.05</v>
      </c>
      <c r="J23" s="28">
        <f>I23+VLOOKUP(Rawdata!H18,Int_rate_movements,2,TRUE)</f>
        <v>0.05</v>
      </c>
      <c r="K23" s="28">
        <f>J23+VLOOKUP(Rawdata!I18,Int_rate_movements,2,TRUE)</f>
        <v>0.05</v>
      </c>
      <c r="L23" s="28">
        <f>K23+VLOOKUP(Rawdata!J18,Int_rate_movements,2,TRUE)</f>
        <v>0.05</v>
      </c>
      <c r="M23" s="28">
        <f>L23+VLOOKUP(Rawdata!K18,Int_rate_movements,2,TRUE)</f>
        <v>0.05</v>
      </c>
      <c r="N23" s="28">
        <f>M23+VLOOKUP(Rawdata!L18,Int_rate_movements,2,TRUE)</f>
        <v>4.5000000000000005E-2</v>
      </c>
      <c r="O23" s="28">
        <f>N23+VLOOKUP(Rawdata!M18,Int_rate_movements,2,TRUE)</f>
        <v>4.5000000000000005E-2</v>
      </c>
      <c r="P23" s="28">
        <f>O23+VLOOKUP(Rawdata!N18,Int_rate_movements,2,TRUE)</f>
        <v>4.5000000000000005E-2</v>
      </c>
      <c r="Q23" s="28">
        <f>P23+VLOOKUP(Rawdata!O18,Int_rate_movements,2,TRUE)</f>
        <v>4.2500000000000003E-2</v>
      </c>
      <c r="R23" s="28">
        <f>Q23+VLOOKUP(Rawdata!P18,Int_rate_movements,2,TRUE)</f>
        <v>4.2500000000000003E-2</v>
      </c>
      <c r="S23" s="28">
        <f>R23+VLOOKUP(Rawdata!Q18,Int_rate_movements,2,TRUE)</f>
        <v>4.2500000000000003E-2</v>
      </c>
      <c r="T23" s="28">
        <f>S23+VLOOKUP(Rawdata!R18,Int_rate_movements,2,TRUE)</f>
        <v>4.7500000000000001E-2</v>
      </c>
      <c r="U23" s="28">
        <f>T23+VLOOKUP(Rawdata!S18,Int_rate_movements,2,TRUE)</f>
        <v>4.7500000000000001E-2</v>
      </c>
      <c r="V23" s="28">
        <f>U23+VLOOKUP(Rawdata!T18,Int_rate_movements,2,TRUE)</f>
        <v>4.7500000000000001E-2</v>
      </c>
      <c r="W23" s="28">
        <f>V23+VLOOKUP(Rawdata!U18,Int_rate_movements,2,TRUE)</f>
        <v>4.7500000000000001E-2</v>
      </c>
      <c r="X23" s="28">
        <f>W23+VLOOKUP(Rawdata!V18,Int_rate_movements,2,TRUE)</f>
        <v>4.7500000000000001E-2</v>
      </c>
      <c r="Y23" s="28">
        <f>X23+VLOOKUP(Rawdata!W18,Int_rate_movements,2,TRUE)</f>
        <v>4.7500000000000001E-2</v>
      </c>
      <c r="Z23" s="35">
        <f>Y23+VLOOKUP(Rawdata!X18,Int_rate_movements,2,TRUE)</f>
        <v>4.7500000000000001E-2</v>
      </c>
      <c r="AA23" s="12"/>
      <c r="AB23" s="55">
        <f t="shared" si="7"/>
        <v>4.4097712805242217E-2</v>
      </c>
      <c r="AC23" s="55">
        <f t="shared" si="8"/>
        <v>4.6496219905550085E-2</v>
      </c>
      <c r="AD23" s="55">
        <f t="shared" si="9"/>
        <v>4.8889485403780242E-2</v>
      </c>
      <c r="AE23" s="55">
        <f t="shared" si="10"/>
        <v>4.8889485403780242E-2</v>
      </c>
      <c r="AF23" s="55">
        <f t="shared" si="11"/>
        <v>4.8889485403780242E-2</v>
      </c>
      <c r="AG23" s="55">
        <f t="shared" si="12"/>
        <v>4.8889485403780242E-2</v>
      </c>
      <c r="AH23" s="55">
        <f t="shared" si="13"/>
        <v>4.8889485403780242E-2</v>
      </c>
      <c r="AI23" s="55">
        <f t="shared" si="14"/>
        <v>4.8889485403780242E-2</v>
      </c>
      <c r="AJ23" s="55">
        <f t="shared" si="15"/>
        <v>4.8889485403780242E-2</v>
      </c>
      <c r="AK23" s="55">
        <f t="shared" si="16"/>
        <v>4.8889485403780242E-2</v>
      </c>
      <c r="AL23" s="55">
        <f t="shared" si="17"/>
        <v>4.8889485403780242E-2</v>
      </c>
      <c r="AM23" s="55">
        <f t="shared" si="18"/>
        <v>4.8889485403780242E-2</v>
      </c>
      <c r="AN23" s="55">
        <f t="shared" si="19"/>
        <v>4.4097712805242217E-2</v>
      </c>
      <c r="AO23" s="55">
        <f t="shared" si="20"/>
        <v>4.4097712805242217E-2</v>
      </c>
      <c r="AP23" s="55">
        <f t="shared" si="21"/>
        <v>4.4097712805242217E-2</v>
      </c>
      <c r="AQ23" s="55">
        <f t="shared" si="22"/>
        <v>4.1693940041970023E-2</v>
      </c>
      <c r="AR23" s="55">
        <f t="shared" si="23"/>
        <v>4.1693940041970023E-2</v>
      </c>
      <c r="AS23" s="55">
        <f t="shared" si="24"/>
        <v>4.1693940041970023E-2</v>
      </c>
      <c r="AT23" s="55">
        <f t="shared" si="25"/>
        <v>4.6496219905550085E-2</v>
      </c>
      <c r="AU23" s="55">
        <f t="shared" si="26"/>
        <v>4.6496219905550085E-2</v>
      </c>
      <c r="AV23" s="55">
        <f t="shared" si="27"/>
        <v>4.6496219905550085E-2</v>
      </c>
      <c r="AW23" s="55">
        <f t="shared" si="28"/>
        <v>4.6496219905550085E-2</v>
      </c>
      <c r="AX23" s="55">
        <f t="shared" si="29"/>
        <v>4.6496219905550085E-2</v>
      </c>
      <c r="AY23" s="55">
        <f t="shared" si="30"/>
        <v>4.6496219905550085E-2</v>
      </c>
      <c r="AZ23" s="56">
        <f t="shared" si="31"/>
        <v>4.6496219905550085E-2</v>
      </c>
      <c r="BA23" s="11"/>
      <c r="BB23" s="12"/>
      <c r="BC23" s="12"/>
      <c r="BD23" s="13"/>
      <c r="BF23" s="14"/>
      <c r="BG23" s="10"/>
      <c r="BH23" s="11"/>
      <c r="BI23" s="11"/>
      <c r="BJ23" s="11"/>
      <c r="BK23" s="12"/>
      <c r="BL23" s="12"/>
      <c r="BM23" s="13"/>
      <c r="BO23" s="14"/>
      <c r="BP23" s="10"/>
      <c r="BQ23" s="11"/>
      <c r="BR23" s="11"/>
      <c r="BS23" s="11"/>
      <c r="BT23" s="12"/>
      <c r="BU23" s="12"/>
      <c r="BV23" s="13"/>
      <c r="BX23" s="14"/>
      <c r="BY23" s="10"/>
      <c r="BZ23" s="11"/>
      <c r="CA23" s="11"/>
      <c r="CB23" s="11"/>
      <c r="CC23" s="12"/>
      <c r="CD23" s="12"/>
      <c r="CE23" s="13"/>
      <c r="CG23" s="14"/>
      <c r="CH23" s="10"/>
      <c r="CI23" s="11"/>
      <c r="CJ23" s="11"/>
      <c r="CK23" s="11"/>
      <c r="CL23" s="12"/>
      <c r="CM23" s="12"/>
      <c r="CN23" s="13"/>
      <c r="CP23" s="13"/>
    </row>
    <row r="24" spans="1:94" x14ac:dyDescent="0.35">
      <c r="A24" s="27">
        <v>17</v>
      </c>
      <c r="B24" s="63">
        <f t="shared" si="6"/>
        <v>4.4999999999999998E-2</v>
      </c>
      <c r="C24" s="28">
        <f>B24+VLOOKUP(Rawdata!A19,Int_rate_movements,2,TRUE)</f>
        <v>4.4999999999999998E-2</v>
      </c>
      <c r="D24" s="28">
        <f>C24+VLOOKUP(Rawdata!B19,Int_rate_movements,2,TRUE)</f>
        <v>4.4999999999999998E-2</v>
      </c>
      <c r="E24" s="28">
        <f>D24+VLOOKUP(Rawdata!C19,Int_rate_movements,2,TRUE)</f>
        <v>4.4999999999999998E-2</v>
      </c>
      <c r="F24" s="28">
        <f>E24+VLOOKUP(Rawdata!D19,Int_rate_movements,2,TRUE)</f>
        <v>4.4999999999999998E-2</v>
      </c>
      <c r="G24" s="28">
        <f>F24+VLOOKUP(Rawdata!E19,Int_rate_movements,2,TRUE)</f>
        <v>4.4999999999999998E-2</v>
      </c>
      <c r="H24" s="28">
        <f>G24+VLOOKUP(Rawdata!F19,Int_rate_movements,2,TRUE)</f>
        <v>4.4999999999999998E-2</v>
      </c>
      <c r="I24" s="28">
        <f>H24+VLOOKUP(Rawdata!G19,Int_rate_movements,2,TRUE)</f>
        <v>4.4999999999999998E-2</v>
      </c>
      <c r="J24" s="28">
        <f>I24+VLOOKUP(Rawdata!H19,Int_rate_movements,2,TRUE)</f>
        <v>4.4999999999999998E-2</v>
      </c>
      <c r="K24" s="28">
        <f>J24+VLOOKUP(Rawdata!I19,Int_rate_movements,2,TRUE)</f>
        <v>4.4999999999999998E-2</v>
      </c>
      <c r="L24" s="28">
        <f>K24+VLOOKUP(Rawdata!J19,Int_rate_movements,2,TRUE)</f>
        <v>4.4999999999999998E-2</v>
      </c>
      <c r="M24" s="28">
        <f>L24+VLOOKUP(Rawdata!K19,Int_rate_movements,2,TRUE)</f>
        <v>4.2499999999999996E-2</v>
      </c>
      <c r="N24" s="28">
        <f>M24+VLOOKUP(Rawdata!L19,Int_rate_movements,2,TRUE)</f>
        <v>4.2499999999999996E-2</v>
      </c>
      <c r="O24" s="28">
        <f>N24+VLOOKUP(Rawdata!M19,Int_rate_movements,2,TRUE)</f>
        <v>4.2499999999999996E-2</v>
      </c>
      <c r="P24" s="28">
        <f>O24+VLOOKUP(Rawdata!N19,Int_rate_movements,2,TRUE)</f>
        <v>3.7499999999999999E-2</v>
      </c>
      <c r="Q24" s="28">
        <f>P24+VLOOKUP(Rawdata!O19,Int_rate_movements,2,TRUE)</f>
        <v>3.7499999999999999E-2</v>
      </c>
      <c r="R24" s="28">
        <f>Q24+VLOOKUP(Rawdata!P19,Int_rate_movements,2,TRUE)</f>
        <v>3.7499999999999999E-2</v>
      </c>
      <c r="S24" s="28">
        <f>R24+VLOOKUP(Rawdata!Q19,Int_rate_movements,2,TRUE)</f>
        <v>3.7499999999999999E-2</v>
      </c>
      <c r="T24" s="28">
        <f>S24+VLOOKUP(Rawdata!R19,Int_rate_movements,2,TRUE)</f>
        <v>0.04</v>
      </c>
      <c r="U24" s="28">
        <f>T24+VLOOKUP(Rawdata!S19,Int_rate_movements,2,TRUE)</f>
        <v>0.04</v>
      </c>
      <c r="V24" s="28">
        <f>U24+VLOOKUP(Rawdata!T19,Int_rate_movements,2,TRUE)</f>
        <v>0.04</v>
      </c>
      <c r="W24" s="28">
        <f>V24+VLOOKUP(Rawdata!U19,Int_rate_movements,2,TRUE)</f>
        <v>0.04</v>
      </c>
      <c r="X24" s="28">
        <f>W24+VLOOKUP(Rawdata!V19,Int_rate_movements,2,TRUE)</f>
        <v>0.04</v>
      </c>
      <c r="Y24" s="28">
        <f>X24+VLOOKUP(Rawdata!W19,Int_rate_movements,2,TRUE)</f>
        <v>0.04</v>
      </c>
      <c r="Z24" s="35">
        <f>Y24+VLOOKUP(Rawdata!X19,Int_rate_movements,2,TRUE)</f>
        <v>0.04</v>
      </c>
      <c r="AA24" s="12"/>
      <c r="AB24" s="55">
        <f t="shared" si="7"/>
        <v>4.4097712805242217E-2</v>
      </c>
      <c r="AC24" s="55">
        <f t="shared" si="8"/>
        <v>4.4097712805242217E-2</v>
      </c>
      <c r="AD24" s="55">
        <f t="shared" si="9"/>
        <v>4.4097712805242217E-2</v>
      </c>
      <c r="AE24" s="55">
        <f t="shared" si="10"/>
        <v>4.4097712805242217E-2</v>
      </c>
      <c r="AF24" s="55">
        <f t="shared" si="11"/>
        <v>4.4097712805242217E-2</v>
      </c>
      <c r="AG24" s="55">
        <f t="shared" si="12"/>
        <v>4.4097712805242217E-2</v>
      </c>
      <c r="AH24" s="55">
        <f t="shared" si="13"/>
        <v>4.4097712805242217E-2</v>
      </c>
      <c r="AI24" s="55">
        <f t="shared" si="14"/>
        <v>4.4097712805242217E-2</v>
      </c>
      <c r="AJ24" s="55">
        <f t="shared" si="15"/>
        <v>4.4097712805242217E-2</v>
      </c>
      <c r="AK24" s="55">
        <f t="shared" si="16"/>
        <v>4.4097712805242217E-2</v>
      </c>
      <c r="AL24" s="55">
        <f t="shared" si="17"/>
        <v>4.4097712805242217E-2</v>
      </c>
      <c r="AM24" s="55">
        <f t="shared" si="18"/>
        <v>4.1693940041970023E-2</v>
      </c>
      <c r="AN24" s="55">
        <f t="shared" si="19"/>
        <v>4.1693940041970023E-2</v>
      </c>
      <c r="AO24" s="55">
        <f t="shared" si="20"/>
        <v>4.1693940041970023E-2</v>
      </c>
      <c r="AP24" s="55">
        <f t="shared" si="21"/>
        <v>3.6870500439066589E-2</v>
      </c>
      <c r="AQ24" s="55">
        <f t="shared" si="22"/>
        <v>3.6870500439066589E-2</v>
      </c>
      <c r="AR24" s="55">
        <f t="shared" si="23"/>
        <v>3.6870500439066589E-2</v>
      </c>
      <c r="AS24" s="55">
        <f t="shared" si="24"/>
        <v>3.6870500439066589E-2</v>
      </c>
      <c r="AT24" s="55">
        <f t="shared" si="25"/>
        <v>3.9284877386386974E-2</v>
      </c>
      <c r="AU24" s="55">
        <f t="shared" si="26"/>
        <v>3.9284877386386974E-2</v>
      </c>
      <c r="AV24" s="55">
        <f t="shared" si="27"/>
        <v>3.9284877386386974E-2</v>
      </c>
      <c r="AW24" s="55">
        <f t="shared" si="28"/>
        <v>3.9284877386386974E-2</v>
      </c>
      <c r="AX24" s="55">
        <f t="shared" si="29"/>
        <v>3.9284877386386974E-2</v>
      </c>
      <c r="AY24" s="55">
        <f t="shared" si="30"/>
        <v>3.9284877386386974E-2</v>
      </c>
      <c r="AZ24" s="56">
        <f t="shared" si="31"/>
        <v>3.9284877386386974E-2</v>
      </c>
      <c r="BA24" s="11"/>
      <c r="BB24" s="12"/>
      <c r="BC24" s="12"/>
      <c r="BD24" s="13"/>
      <c r="BF24" s="14"/>
      <c r="BG24" s="10"/>
      <c r="BH24" s="11"/>
      <c r="BI24" s="11"/>
      <c r="BJ24" s="11"/>
      <c r="BK24" s="12"/>
      <c r="BL24" s="12"/>
      <c r="BM24" s="13"/>
      <c r="BO24" s="14"/>
      <c r="BP24" s="10"/>
      <c r="BQ24" s="11"/>
      <c r="BR24" s="11"/>
      <c r="BS24" s="11"/>
      <c r="BT24" s="12"/>
      <c r="BU24" s="12"/>
      <c r="BV24" s="13"/>
      <c r="BX24" s="14"/>
      <c r="BY24" s="10"/>
      <c r="BZ24" s="11"/>
      <c r="CA24" s="11"/>
      <c r="CB24" s="11"/>
      <c r="CC24" s="12"/>
      <c r="CD24" s="12"/>
      <c r="CE24" s="13"/>
      <c r="CG24" s="14"/>
      <c r="CH24" s="10"/>
      <c r="CI24" s="11"/>
      <c r="CJ24" s="11"/>
      <c r="CK24" s="11"/>
      <c r="CL24" s="12"/>
      <c r="CM24" s="12"/>
      <c r="CN24" s="13"/>
      <c r="CP24" s="13"/>
    </row>
    <row r="25" spans="1:94" x14ac:dyDescent="0.35">
      <c r="A25" s="5">
        <v>18</v>
      </c>
      <c r="B25" s="63">
        <f t="shared" si="6"/>
        <v>4.4999999999999998E-2</v>
      </c>
      <c r="C25" s="28">
        <f>B25+VLOOKUP(Rawdata!A20,Int_rate_movements,2,TRUE)</f>
        <v>4.4999999999999998E-2</v>
      </c>
      <c r="D25" s="28">
        <f>C25+VLOOKUP(Rawdata!B20,Int_rate_movements,2,TRUE)</f>
        <v>4.4999999999999998E-2</v>
      </c>
      <c r="E25" s="28">
        <f>D25+VLOOKUP(Rawdata!C20,Int_rate_movements,2,TRUE)</f>
        <v>4.4999999999999998E-2</v>
      </c>
      <c r="F25" s="28">
        <f>E25+VLOOKUP(Rawdata!D20,Int_rate_movements,2,TRUE)</f>
        <v>4.4999999999999998E-2</v>
      </c>
      <c r="G25" s="28">
        <f>F25+VLOOKUP(Rawdata!E20,Int_rate_movements,2,TRUE)</f>
        <v>4.4999999999999998E-2</v>
      </c>
      <c r="H25" s="28">
        <f>G25+VLOOKUP(Rawdata!F20,Int_rate_movements,2,TRUE)</f>
        <v>4.4999999999999998E-2</v>
      </c>
      <c r="I25" s="28">
        <f>H25+VLOOKUP(Rawdata!G20,Int_rate_movements,2,TRUE)</f>
        <v>4.4999999999999998E-2</v>
      </c>
      <c r="J25" s="28">
        <f>I25+VLOOKUP(Rawdata!H20,Int_rate_movements,2,TRUE)</f>
        <v>4.4999999999999998E-2</v>
      </c>
      <c r="K25" s="28">
        <f>J25+VLOOKUP(Rawdata!I20,Int_rate_movements,2,TRUE)</f>
        <v>4.4999999999999998E-2</v>
      </c>
      <c r="L25" s="28">
        <f>K25+VLOOKUP(Rawdata!J20,Int_rate_movements,2,TRUE)</f>
        <v>4.4999999999999998E-2</v>
      </c>
      <c r="M25" s="28">
        <f>L25+VLOOKUP(Rawdata!K20,Int_rate_movements,2,TRUE)</f>
        <v>4.4999999999999998E-2</v>
      </c>
      <c r="N25" s="28">
        <f>M25+VLOOKUP(Rawdata!L20,Int_rate_movements,2,TRUE)</f>
        <v>4.7500000000000001E-2</v>
      </c>
      <c r="O25" s="28">
        <f>N25+VLOOKUP(Rawdata!M20,Int_rate_movements,2,TRUE)</f>
        <v>4.7500000000000001E-2</v>
      </c>
      <c r="P25" s="28">
        <f>O25+VLOOKUP(Rawdata!N20,Int_rate_movements,2,TRUE)</f>
        <v>4.7500000000000001E-2</v>
      </c>
      <c r="Q25" s="28">
        <f>P25+VLOOKUP(Rawdata!O20,Int_rate_movements,2,TRUE)</f>
        <v>4.7500000000000001E-2</v>
      </c>
      <c r="R25" s="28">
        <f>Q25+VLOOKUP(Rawdata!P20,Int_rate_movements,2,TRUE)</f>
        <v>4.7500000000000001E-2</v>
      </c>
      <c r="S25" s="28">
        <f>R25+VLOOKUP(Rawdata!Q20,Int_rate_movements,2,TRUE)</f>
        <v>4.7500000000000001E-2</v>
      </c>
      <c r="T25" s="28">
        <f>S25+VLOOKUP(Rawdata!R20,Int_rate_movements,2,TRUE)</f>
        <v>4.7500000000000001E-2</v>
      </c>
      <c r="U25" s="28">
        <f>T25+VLOOKUP(Rawdata!S20,Int_rate_movements,2,TRUE)</f>
        <v>4.7500000000000001E-2</v>
      </c>
      <c r="V25" s="28">
        <f>U25+VLOOKUP(Rawdata!T20,Int_rate_movements,2,TRUE)</f>
        <v>4.7500000000000001E-2</v>
      </c>
      <c r="W25" s="28">
        <f>V25+VLOOKUP(Rawdata!U20,Int_rate_movements,2,TRUE)</f>
        <v>4.7500000000000001E-2</v>
      </c>
      <c r="X25" s="28">
        <f>W25+VLOOKUP(Rawdata!V20,Int_rate_movements,2,TRUE)</f>
        <v>4.7500000000000001E-2</v>
      </c>
      <c r="Y25" s="28">
        <f>X25+VLOOKUP(Rawdata!W20,Int_rate_movements,2,TRUE)</f>
        <v>4.7500000000000001E-2</v>
      </c>
      <c r="Z25" s="35">
        <f>Y25+VLOOKUP(Rawdata!X20,Int_rate_movements,2,TRUE)</f>
        <v>4.7500000000000001E-2</v>
      </c>
      <c r="AA25" s="12"/>
      <c r="AB25" s="55">
        <f t="shared" si="7"/>
        <v>4.4097712805242217E-2</v>
      </c>
      <c r="AC25" s="55">
        <f t="shared" si="8"/>
        <v>4.4097712805242217E-2</v>
      </c>
      <c r="AD25" s="55">
        <f t="shared" si="9"/>
        <v>4.4097712805242217E-2</v>
      </c>
      <c r="AE25" s="55">
        <f t="shared" si="10"/>
        <v>4.4097712805242217E-2</v>
      </c>
      <c r="AF25" s="55">
        <f t="shared" si="11"/>
        <v>4.4097712805242217E-2</v>
      </c>
      <c r="AG25" s="55">
        <f t="shared" si="12"/>
        <v>4.4097712805242217E-2</v>
      </c>
      <c r="AH25" s="55">
        <f t="shared" si="13"/>
        <v>4.4097712805242217E-2</v>
      </c>
      <c r="AI25" s="55">
        <f t="shared" si="14"/>
        <v>4.4097712805242217E-2</v>
      </c>
      <c r="AJ25" s="55">
        <f t="shared" si="15"/>
        <v>4.4097712805242217E-2</v>
      </c>
      <c r="AK25" s="55">
        <f t="shared" si="16"/>
        <v>4.4097712805242217E-2</v>
      </c>
      <c r="AL25" s="55">
        <f t="shared" si="17"/>
        <v>4.4097712805242217E-2</v>
      </c>
      <c r="AM25" s="55">
        <f t="shared" si="18"/>
        <v>4.4097712805242217E-2</v>
      </c>
      <c r="AN25" s="55">
        <f t="shared" si="19"/>
        <v>4.6496219905550085E-2</v>
      </c>
      <c r="AO25" s="55">
        <f t="shared" si="20"/>
        <v>4.6496219905550085E-2</v>
      </c>
      <c r="AP25" s="55">
        <f t="shared" si="21"/>
        <v>4.6496219905550085E-2</v>
      </c>
      <c r="AQ25" s="55">
        <f t="shared" si="22"/>
        <v>4.6496219905550085E-2</v>
      </c>
      <c r="AR25" s="55">
        <f t="shared" si="23"/>
        <v>4.6496219905550085E-2</v>
      </c>
      <c r="AS25" s="55">
        <f t="shared" si="24"/>
        <v>4.6496219905550085E-2</v>
      </c>
      <c r="AT25" s="55">
        <f t="shared" si="25"/>
        <v>4.6496219905550085E-2</v>
      </c>
      <c r="AU25" s="55">
        <f t="shared" si="26"/>
        <v>4.6496219905550085E-2</v>
      </c>
      <c r="AV25" s="55">
        <f t="shared" si="27"/>
        <v>4.6496219905550085E-2</v>
      </c>
      <c r="AW25" s="55">
        <f t="shared" si="28"/>
        <v>4.6496219905550085E-2</v>
      </c>
      <c r="AX25" s="55">
        <f t="shared" si="29"/>
        <v>4.6496219905550085E-2</v>
      </c>
      <c r="AY25" s="55">
        <f t="shared" si="30"/>
        <v>4.6496219905550085E-2</v>
      </c>
      <c r="AZ25" s="56">
        <f t="shared" si="31"/>
        <v>4.6496219905550085E-2</v>
      </c>
      <c r="BA25" s="11"/>
      <c r="BB25" s="12"/>
      <c r="BC25" s="12"/>
      <c r="BD25" s="13"/>
      <c r="BF25" s="14"/>
      <c r="BG25" s="10"/>
      <c r="BH25" s="11"/>
      <c r="BI25" s="11"/>
      <c r="BJ25" s="11"/>
      <c r="BK25" s="12"/>
      <c r="BL25" s="12"/>
      <c r="BM25" s="13"/>
      <c r="BO25" s="14"/>
      <c r="BP25" s="10"/>
      <c r="BQ25" s="11"/>
      <c r="BR25" s="11"/>
      <c r="BS25" s="11"/>
      <c r="BT25" s="12"/>
      <c r="BU25" s="12"/>
      <c r="BV25" s="13"/>
      <c r="BX25" s="14"/>
      <c r="BY25" s="10"/>
      <c r="BZ25" s="11"/>
      <c r="CA25" s="11"/>
      <c r="CB25" s="11"/>
      <c r="CC25" s="12"/>
      <c r="CD25" s="12"/>
      <c r="CE25" s="13"/>
      <c r="CG25" s="14"/>
      <c r="CH25" s="10"/>
      <c r="CI25" s="11"/>
      <c r="CJ25" s="11"/>
      <c r="CK25" s="11"/>
      <c r="CL25" s="12"/>
      <c r="CM25" s="12"/>
      <c r="CN25" s="13"/>
      <c r="CP25" s="13"/>
    </row>
    <row r="26" spans="1:94" x14ac:dyDescent="0.35">
      <c r="A26" s="27">
        <v>19</v>
      </c>
      <c r="B26" s="63">
        <f t="shared" si="6"/>
        <v>4.4999999999999998E-2</v>
      </c>
      <c r="C26" s="28">
        <f>B26+VLOOKUP(Rawdata!A21,Int_rate_movements,2,TRUE)</f>
        <v>4.4999999999999998E-2</v>
      </c>
      <c r="D26" s="28">
        <f>C26+VLOOKUP(Rawdata!B21,Int_rate_movements,2,TRUE)</f>
        <v>4.4999999999999998E-2</v>
      </c>
      <c r="E26" s="28">
        <f>D26+VLOOKUP(Rawdata!C21,Int_rate_movements,2,TRUE)</f>
        <v>4.9999999999999996E-2</v>
      </c>
      <c r="F26" s="28">
        <f>E26+VLOOKUP(Rawdata!D21,Int_rate_movements,2,TRUE)</f>
        <v>4.9999999999999996E-2</v>
      </c>
      <c r="G26" s="28">
        <f>F26+VLOOKUP(Rawdata!E21,Int_rate_movements,2,TRUE)</f>
        <v>4.9999999999999996E-2</v>
      </c>
      <c r="H26" s="28">
        <f>G26+VLOOKUP(Rawdata!F21,Int_rate_movements,2,TRUE)</f>
        <v>5.4999999999999993E-2</v>
      </c>
      <c r="I26" s="28">
        <f>H26+VLOOKUP(Rawdata!G21,Int_rate_movements,2,TRUE)</f>
        <v>5.7499999999999996E-2</v>
      </c>
      <c r="J26" s="28">
        <f>I26+VLOOKUP(Rawdata!H21,Int_rate_movements,2,TRUE)</f>
        <v>5.7499999999999996E-2</v>
      </c>
      <c r="K26" s="28">
        <f>J26+VLOOKUP(Rawdata!I21,Int_rate_movements,2,TRUE)</f>
        <v>5.7499999999999996E-2</v>
      </c>
      <c r="L26" s="28">
        <f>K26+VLOOKUP(Rawdata!J21,Int_rate_movements,2,TRUE)</f>
        <v>5.7499999999999996E-2</v>
      </c>
      <c r="M26" s="28">
        <f>L26+VLOOKUP(Rawdata!K21,Int_rate_movements,2,TRUE)</f>
        <v>5.7499999999999996E-2</v>
      </c>
      <c r="N26" s="28">
        <f>M26+VLOOKUP(Rawdata!L21,Int_rate_movements,2,TRUE)</f>
        <v>5.7499999999999996E-2</v>
      </c>
      <c r="O26" s="28">
        <f>N26+VLOOKUP(Rawdata!M21,Int_rate_movements,2,TRUE)</f>
        <v>5.7499999999999996E-2</v>
      </c>
      <c r="P26" s="28">
        <f>O26+VLOOKUP(Rawdata!N21,Int_rate_movements,2,TRUE)</f>
        <v>5.7499999999999996E-2</v>
      </c>
      <c r="Q26" s="28">
        <f>P26+VLOOKUP(Rawdata!O21,Int_rate_movements,2,TRUE)</f>
        <v>5.7499999999999996E-2</v>
      </c>
      <c r="R26" s="28">
        <f>Q26+VLOOKUP(Rawdata!P21,Int_rate_movements,2,TRUE)</f>
        <v>5.7499999999999996E-2</v>
      </c>
      <c r="S26" s="28">
        <f>R26+VLOOKUP(Rawdata!Q21,Int_rate_movements,2,TRUE)</f>
        <v>5.7499999999999996E-2</v>
      </c>
      <c r="T26" s="28">
        <f>S26+VLOOKUP(Rawdata!R21,Int_rate_movements,2,TRUE)</f>
        <v>5.7499999999999996E-2</v>
      </c>
      <c r="U26" s="28">
        <f>T26+VLOOKUP(Rawdata!S21,Int_rate_movements,2,TRUE)</f>
        <v>5.7499999999999996E-2</v>
      </c>
      <c r="V26" s="28">
        <f>U26+VLOOKUP(Rawdata!T21,Int_rate_movements,2,TRUE)</f>
        <v>5.7499999999999996E-2</v>
      </c>
      <c r="W26" s="28">
        <f>V26+VLOOKUP(Rawdata!U21,Int_rate_movements,2,TRUE)</f>
        <v>5.7499999999999996E-2</v>
      </c>
      <c r="X26" s="28">
        <f>W26+VLOOKUP(Rawdata!V21,Int_rate_movements,2,TRUE)</f>
        <v>5.7499999999999996E-2</v>
      </c>
      <c r="Y26" s="28">
        <f>X26+VLOOKUP(Rawdata!W21,Int_rate_movements,2,TRUE)</f>
        <v>5.7499999999999996E-2</v>
      </c>
      <c r="Z26" s="35">
        <f>Y26+VLOOKUP(Rawdata!X21,Int_rate_movements,2,TRUE)</f>
        <v>5.7499999999999996E-2</v>
      </c>
      <c r="AA26" s="12"/>
      <c r="AB26" s="55">
        <f t="shared" si="7"/>
        <v>4.4097712805242217E-2</v>
      </c>
      <c r="AC26" s="55">
        <f t="shared" si="8"/>
        <v>4.4097712805242217E-2</v>
      </c>
      <c r="AD26" s="55">
        <f t="shared" si="9"/>
        <v>4.4097712805242217E-2</v>
      </c>
      <c r="AE26" s="55">
        <f t="shared" si="10"/>
        <v>4.8889485403780242E-2</v>
      </c>
      <c r="AF26" s="55">
        <f t="shared" si="11"/>
        <v>4.8889485403780242E-2</v>
      </c>
      <c r="AG26" s="55">
        <f t="shared" si="12"/>
        <v>4.8889485403780242E-2</v>
      </c>
      <c r="AH26" s="55">
        <f t="shared" si="13"/>
        <v>5.3660387004516252E-2</v>
      </c>
      <c r="AI26" s="55">
        <f t="shared" si="14"/>
        <v>5.603807040042863E-2</v>
      </c>
      <c r="AJ26" s="55">
        <f t="shared" si="15"/>
        <v>5.603807040042863E-2</v>
      </c>
      <c r="AK26" s="55">
        <f t="shared" si="16"/>
        <v>5.603807040042863E-2</v>
      </c>
      <c r="AL26" s="55">
        <f t="shared" si="17"/>
        <v>5.603807040042863E-2</v>
      </c>
      <c r="AM26" s="55">
        <f t="shared" si="18"/>
        <v>5.603807040042863E-2</v>
      </c>
      <c r="AN26" s="55">
        <f t="shared" si="19"/>
        <v>5.603807040042863E-2</v>
      </c>
      <c r="AO26" s="55">
        <f t="shared" si="20"/>
        <v>5.603807040042863E-2</v>
      </c>
      <c r="AP26" s="55">
        <f t="shared" si="21"/>
        <v>5.603807040042863E-2</v>
      </c>
      <c r="AQ26" s="55">
        <f t="shared" si="22"/>
        <v>5.603807040042863E-2</v>
      </c>
      <c r="AR26" s="55">
        <f t="shared" si="23"/>
        <v>5.603807040042863E-2</v>
      </c>
      <c r="AS26" s="55">
        <f t="shared" si="24"/>
        <v>5.603807040042863E-2</v>
      </c>
      <c r="AT26" s="55">
        <f t="shared" si="25"/>
        <v>5.603807040042863E-2</v>
      </c>
      <c r="AU26" s="55">
        <f t="shared" si="26"/>
        <v>5.603807040042863E-2</v>
      </c>
      <c r="AV26" s="55">
        <f t="shared" si="27"/>
        <v>5.603807040042863E-2</v>
      </c>
      <c r="AW26" s="55">
        <f t="shared" si="28"/>
        <v>5.603807040042863E-2</v>
      </c>
      <c r="AX26" s="55">
        <f t="shared" si="29"/>
        <v>5.603807040042863E-2</v>
      </c>
      <c r="AY26" s="55">
        <f t="shared" si="30"/>
        <v>5.603807040042863E-2</v>
      </c>
      <c r="AZ26" s="56">
        <f t="shared" si="31"/>
        <v>5.603807040042863E-2</v>
      </c>
      <c r="BA26" s="11"/>
      <c r="BB26" s="12"/>
      <c r="BC26" s="12"/>
      <c r="BD26" s="13"/>
      <c r="BF26" s="14"/>
      <c r="BG26" s="10"/>
      <c r="BH26" s="11"/>
      <c r="BI26" s="11"/>
      <c r="BJ26" s="11"/>
      <c r="BK26" s="12"/>
      <c r="BL26" s="12"/>
      <c r="BM26" s="13"/>
      <c r="BO26" s="14"/>
      <c r="BP26" s="10"/>
      <c r="BQ26" s="11"/>
      <c r="BR26" s="11"/>
      <c r="BS26" s="11"/>
      <c r="BT26" s="12"/>
      <c r="BU26" s="12"/>
      <c r="BV26" s="13"/>
      <c r="BX26" s="14"/>
      <c r="BY26" s="10"/>
      <c r="BZ26" s="11"/>
      <c r="CA26" s="11"/>
      <c r="CB26" s="11"/>
      <c r="CC26" s="12"/>
      <c r="CD26" s="12"/>
      <c r="CE26" s="13"/>
      <c r="CG26" s="14"/>
      <c r="CH26" s="10"/>
      <c r="CI26" s="11"/>
      <c r="CJ26" s="11"/>
      <c r="CK26" s="11"/>
      <c r="CL26" s="12"/>
      <c r="CM26" s="12"/>
      <c r="CN26" s="13"/>
      <c r="CP26" s="13"/>
    </row>
    <row r="27" spans="1:94" x14ac:dyDescent="0.35">
      <c r="A27" s="5">
        <v>20</v>
      </c>
      <c r="B27" s="63">
        <f t="shared" si="6"/>
        <v>4.4999999999999998E-2</v>
      </c>
      <c r="C27" s="28">
        <f>B27+VLOOKUP(Rawdata!A22,Int_rate_movements,2,TRUE)</f>
        <v>4.4999999999999998E-2</v>
      </c>
      <c r="D27" s="28">
        <f>C27+VLOOKUP(Rawdata!B22,Int_rate_movements,2,TRUE)</f>
        <v>4.4999999999999998E-2</v>
      </c>
      <c r="E27" s="28">
        <f>D27+VLOOKUP(Rawdata!C22,Int_rate_movements,2,TRUE)</f>
        <v>4.4999999999999998E-2</v>
      </c>
      <c r="F27" s="28">
        <f>E27+VLOOKUP(Rawdata!D22,Int_rate_movements,2,TRUE)</f>
        <v>4.4999999999999998E-2</v>
      </c>
      <c r="G27" s="28">
        <f>F27+VLOOKUP(Rawdata!E22,Int_rate_movements,2,TRUE)</f>
        <v>4.4999999999999998E-2</v>
      </c>
      <c r="H27" s="28">
        <f>G27+VLOOKUP(Rawdata!F22,Int_rate_movements,2,TRUE)</f>
        <v>4.4999999999999998E-2</v>
      </c>
      <c r="I27" s="28">
        <f>H27+VLOOKUP(Rawdata!G22,Int_rate_movements,2,TRUE)</f>
        <v>4.4999999999999998E-2</v>
      </c>
      <c r="J27" s="28">
        <f>I27+VLOOKUP(Rawdata!H22,Int_rate_movements,2,TRUE)</f>
        <v>4.4999999999999998E-2</v>
      </c>
      <c r="K27" s="28">
        <f>J27+VLOOKUP(Rawdata!I22,Int_rate_movements,2,TRUE)</f>
        <v>4.4999999999999998E-2</v>
      </c>
      <c r="L27" s="28">
        <f>K27+VLOOKUP(Rawdata!J22,Int_rate_movements,2,TRUE)</f>
        <v>4.4999999999999998E-2</v>
      </c>
      <c r="M27" s="28">
        <f>L27+VLOOKUP(Rawdata!K22,Int_rate_movements,2,TRUE)</f>
        <v>4.4999999999999998E-2</v>
      </c>
      <c r="N27" s="28">
        <f>M27+VLOOKUP(Rawdata!L22,Int_rate_movements,2,TRUE)</f>
        <v>4.9999999999999996E-2</v>
      </c>
      <c r="O27" s="28">
        <f>N27+VLOOKUP(Rawdata!M22,Int_rate_movements,2,TRUE)</f>
        <v>4.9999999999999996E-2</v>
      </c>
      <c r="P27" s="28">
        <f>O27+VLOOKUP(Rawdata!N22,Int_rate_movements,2,TRUE)</f>
        <v>4.9999999999999996E-2</v>
      </c>
      <c r="Q27" s="28">
        <f>P27+VLOOKUP(Rawdata!O22,Int_rate_movements,2,TRUE)</f>
        <v>4.9999999999999996E-2</v>
      </c>
      <c r="R27" s="28">
        <f>Q27+VLOOKUP(Rawdata!P22,Int_rate_movements,2,TRUE)</f>
        <v>4.7499999999999994E-2</v>
      </c>
      <c r="S27" s="28">
        <f>R27+VLOOKUP(Rawdata!Q22,Int_rate_movements,2,TRUE)</f>
        <v>4.7499999999999994E-2</v>
      </c>
      <c r="T27" s="28">
        <f>S27+VLOOKUP(Rawdata!R22,Int_rate_movements,2,TRUE)</f>
        <v>4.7499999999999994E-2</v>
      </c>
      <c r="U27" s="28">
        <f>T27+VLOOKUP(Rawdata!S22,Int_rate_movements,2,TRUE)</f>
        <v>4.7499999999999994E-2</v>
      </c>
      <c r="V27" s="28">
        <f>U27+VLOOKUP(Rawdata!T22,Int_rate_movements,2,TRUE)</f>
        <v>4.7499999999999994E-2</v>
      </c>
      <c r="W27" s="28">
        <f>V27+VLOOKUP(Rawdata!U22,Int_rate_movements,2,TRUE)</f>
        <v>4.7499999999999994E-2</v>
      </c>
      <c r="X27" s="28">
        <f>W27+VLOOKUP(Rawdata!V22,Int_rate_movements,2,TRUE)</f>
        <v>4.7499999999999994E-2</v>
      </c>
      <c r="Y27" s="28">
        <f>X27+VLOOKUP(Rawdata!W22,Int_rate_movements,2,TRUE)</f>
        <v>4.7499999999999994E-2</v>
      </c>
      <c r="Z27" s="35">
        <f>Y27+VLOOKUP(Rawdata!X22,Int_rate_movements,2,TRUE)</f>
        <v>4.7499999999999994E-2</v>
      </c>
      <c r="AA27" s="12"/>
      <c r="AB27" s="55">
        <f t="shared" si="7"/>
        <v>4.4097712805242217E-2</v>
      </c>
      <c r="AC27" s="55">
        <f t="shared" si="8"/>
        <v>4.4097712805242217E-2</v>
      </c>
      <c r="AD27" s="55">
        <f t="shared" si="9"/>
        <v>4.4097712805242217E-2</v>
      </c>
      <c r="AE27" s="55">
        <f t="shared" si="10"/>
        <v>4.4097712805242217E-2</v>
      </c>
      <c r="AF27" s="55">
        <f t="shared" si="11"/>
        <v>4.4097712805242217E-2</v>
      </c>
      <c r="AG27" s="55">
        <f t="shared" si="12"/>
        <v>4.4097712805242217E-2</v>
      </c>
      <c r="AH27" s="55">
        <f t="shared" si="13"/>
        <v>4.4097712805242217E-2</v>
      </c>
      <c r="AI27" s="55">
        <f t="shared" si="14"/>
        <v>4.4097712805242217E-2</v>
      </c>
      <c r="AJ27" s="55">
        <f t="shared" si="15"/>
        <v>4.4097712805242217E-2</v>
      </c>
      <c r="AK27" s="55">
        <f t="shared" si="16"/>
        <v>4.4097712805242217E-2</v>
      </c>
      <c r="AL27" s="55">
        <f t="shared" si="17"/>
        <v>4.4097712805242217E-2</v>
      </c>
      <c r="AM27" s="55">
        <f t="shared" si="18"/>
        <v>4.4097712805242217E-2</v>
      </c>
      <c r="AN27" s="55">
        <f t="shared" si="19"/>
        <v>4.8889485403780242E-2</v>
      </c>
      <c r="AO27" s="55">
        <f t="shared" si="20"/>
        <v>4.8889485403780242E-2</v>
      </c>
      <c r="AP27" s="55">
        <f t="shared" si="21"/>
        <v>4.8889485403780242E-2</v>
      </c>
      <c r="AQ27" s="55">
        <f t="shared" si="22"/>
        <v>4.8889485403780242E-2</v>
      </c>
      <c r="AR27" s="55">
        <f t="shared" si="23"/>
        <v>4.6496219905550085E-2</v>
      </c>
      <c r="AS27" s="55">
        <f t="shared" si="24"/>
        <v>4.6496219905550085E-2</v>
      </c>
      <c r="AT27" s="55">
        <f t="shared" si="25"/>
        <v>4.6496219905550085E-2</v>
      </c>
      <c r="AU27" s="55">
        <f t="shared" si="26"/>
        <v>4.6496219905550085E-2</v>
      </c>
      <c r="AV27" s="55">
        <f t="shared" si="27"/>
        <v>4.6496219905550085E-2</v>
      </c>
      <c r="AW27" s="55">
        <f t="shared" si="28"/>
        <v>4.6496219905550085E-2</v>
      </c>
      <c r="AX27" s="55">
        <f t="shared" si="29"/>
        <v>4.6496219905550085E-2</v>
      </c>
      <c r="AY27" s="55">
        <f t="shared" si="30"/>
        <v>4.6496219905550085E-2</v>
      </c>
      <c r="AZ27" s="56">
        <f t="shared" si="31"/>
        <v>4.6496219905550085E-2</v>
      </c>
      <c r="BA27" s="11"/>
      <c r="BB27" s="12"/>
      <c r="BC27" s="12"/>
      <c r="BD27" s="13"/>
      <c r="BF27" s="14"/>
      <c r="BG27" s="10"/>
      <c r="BH27" s="11"/>
      <c r="BI27" s="11"/>
      <c r="BJ27" s="11"/>
      <c r="BK27" s="12"/>
      <c r="BL27" s="12"/>
      <c r="BM27" s="13"/>
      <c r="BO27" s="14"/>
      <c r="BP27" s="10"/>
      <c r="BQ27" s="11"/>
      <c r="BR27" s="11"/>
      <c r="BS27" s="11"/>
      <c r="BT27" s="12"/>
      <c r="BU27" s="12"/>
      <c r="BV27" s="13"/>
      <c r="BX27" s="14"/>
      <c r="BY27" s="10"/>
      <c r="BZ27" s="11"/>
      <c r="CA27" s="11"/>
      <c r="CB27" s="11"/>
      <c r="CC27" s="12"/>
      <c r="CD27" s="12"/>
      <c r="CE27" s="13"/>
      <c r="CG27" s="14"/>
      <c r="CH27" s="10"/>
      <c r="CI27" s="11"/>
      <c r="CJ27" s="11"/>
      <c r="CK27" s="11"/>
      <c r="CL27" s="12"/>
      <c r="CM27" s="12"/>
      <c r="CN27" s="13"/>
      <c r="CP27" s="13"/>
    </row>
    <row r="28" spans="1:94" x14ac:dyDescent="0.35">
      <c r="A28" s="27">
        <v>21</v>
      </c>
      <c r="B28" s="63">
        <f t="shared" si="6"/>
        <v>4.4999999999999998E-2</v>
      </c>
      <c r="C28" s="28">
        <f>B28+VLOOKUP(Rawdata!A23,Int_rate_movements,2,TRUE)</f>
        <v>4.4999999999999998E-2</v>
      </c>
      <c r="D28" s="28">
        <f>C28+VLOOKUP(Rawdata!B23,Int_rate_movements,2,TRUE)</f>
        <v>4.4999999999999998E-2</v>
      </c>
      <c r="E28" s="28">
        <f>D28+VLOOKUP(Rawdata!C23,Int_rate_movements,2,TRUE)</f>
        <v>4.4999999999999998E-2</v>
      </c>
      <c r="F28" s="28">
        <f>E28+VLOOKUP(Rawdata!D23,Int_rate_movements,2,TRUE)</f>
        <v>4.4999999999999998E-2</v>
      </c>
      <c r="G28" s="28">
        <f>F28+VLOOKUP(Rawdata!E23,Int_rate_movements,2,TRUE)</f>
        <v>4.4999999999999998E-2</v>
      </c>
      <c r="H28" s="28">
        <f>G28+VLOOKUP(Rawdata!F23,Int_rate_movements,2,TRUE)</f>
        <v>4.9999999999999996E-2</v>
      </c>
      <c r="I28" s="28">
        <f>H28+VLOOKUP(Rawdata!G23,Int_rate_movements,2,TRUE)</f>
        <v>4.9999999999999996E-2</v>
      </c>
      <c r="J28" s="28">
        <f>I28+VLOOKUP(Rawdata!H23,Int_rate_movements,2,TRUE)</f>
        <v>5.2499999999999998E-2</v>
      </c>
      <c r="K28" s="28">
        <f>J28+VLOOKUP(Rawdata!I23,Int_rate_movements,2,TRUE)</f>
        <v>5.2499999999999998E-2</v>
      </c>
      <c r="L28" s="28">
        <f>K28+VLOOKUP(Rawdata!J23,Int_rate_movements,2,TRUE)</f>
        <v>5.2499999999999998E-2</v>
      </c>
      <c r="M28" s="28">
        <f>L28+VLOOKUP(Rawdata!K23,Int_rate_movements,2,TRUE)</f>
        <v>5.2499999999999998E-2</v>
      </c>
      <c r="N28" s="28">
        <f>M28+VLOOKUP(Rawdata!L23,Int_rate_movements,2,TRUE)</f>
        <v>5.2499999999999998E-2</v>
      </c>
      <c r="O28" s="28">
        <f>N28+VLOOKUP(Rawdata!M23,Int_rate_movements,2,TRUE)</f>
        <v>5.2499999999999998E-2</v>
      </c>
      <c r="P28" s="28">
        <f>O28+VLOOKUP(Rawdata!N23,Int_rate_movements,2,TRUE)</f>
        <v>5.2499999999999998E-2</v>
      </c>
      <c r="Q28" s="28">
        <f>P28+VLOOKUP(Rawdata!O23,Int_rate_movements,2,TRUE)</f>
        <v>5.2499999999999998E-2</v>
      </c>
      <c r="R28" s="28">
        <f>Q28+VLOOKUP(Rawdata!P23,Int_rate_movements,2,TRUE)</f>
        <v>5.2499999999999998E-2</v>
      </c>
      <c r="S28" s="28">
        <f>R28+VLOOKUP(Rawdata!Q23,Int_rate_movements,2,TRUE)</f>
        <v>5.2499999999999998E-2</v>
      </c>
      <c r="T28" s="28">
        <f>S28+VLOOKUP(Rawdata!R23,Int_rate_movements,2,TRUE)</f>
        <v>5.2499999999999998E-2</v>
      </c>
      <c r="U28" s="28">
        <f>T28+VLOOKUP(Rawdata!S23,Int_rate_movements,2,TRUE)</f>
        <v>5.2499999999999998E-2</v>
      </c>
      <c r="V28" s="28">
        <f>U28+VLOOKUP(Rawdata!T23,Int_rate_movements,2,TRUE)</f>
        <v>5.2499999999999998E-2</v>
      </c>
      <c r="W28" s="28">
        <f>V28+VLOOKUP(Rawdata!U23,Int_rate_movements,2,TRUE)</f>
        <v>5.2499999999999998E-2</v>
      </c>
      <c r="X28" s="28">
        <f>W28+VLOOKUP(Rawdata!V23,Int_rate_movements,2,TRUE)</f>
        <v>5.2499999999999998E-2</v>
      </c>
      <c r="Y28" s="28">
        <f>X28+VLOOKUP(Rawdata!W23,Int_rate_movements,2,TRUE)</f>
        <v>5.2499999999999998E-2</v>
      </c>
      <c r="Z28" s="35">
        <f>Y28+VLOOKUP(Rawdata!X23,Int_rate_movements,2,TRUE)</f>
        <v>5.2499999999999998E-2</v>
      </c>
      <c r="AA28" s="12"/>
      <c r="AB28" s="55">
        <f t="shared" si="7"/>
        <v>4.4097712805242217E-2</v>
      </c>
      <c r="AC28" s="55">
        <f t="shared" si="8"/>
        <v>4.4097712805242217E-2</v>
      </c>
      <c r="AD28" s="55">
        <f t="shared" si="9"/>
        <v>4.4097712805242217E-2</v>
      </c>
      <c r="AE28" s="55">
        <f t="shared" si="10"/>
        <v>4.4097712805242217E-2</v>
      </c>
      <c r="AF28" s="55">
        <f t="shared" si="11"/>
        <v>4.4097712805242217E-2</v>
      </c>
      <c r="AG28" s="55">
        <f t="shared" si="12"/>
        <v>4.4097712805242217E-2</v>
      </c>
      <c r="AH28" s="55">
        <f t="shared" si="13"/>
        <v>4.8889485403780242E-2</v>
      </c>
      <c r="AI28" s="55">
        <f t="shared" si="14"/>
        <v>4.8889485403780242E-2</v>
      </c>
      <c r="AJ28" s="55">
        <f t="shared" si="15"/>
        <v>5.1277533193896829E-2</v>
      </c>
      <c r="AK28" s="55">
        <f t="shared" si="16"/>
        <v>5.1277533193896829E-2</v>
      </c>
      <c r="AL28" s="55">
        <f t="shared" si="17"/>
        <v>5.1277533193896829E-2</v>
      </c>
      <c r="AM28" s="55">
        <f t="shared" si="18"/>
        <v>5.1277533193896829E-2</v>
      </c>
      <c r="AN28" s="55">
        <f t="shared" si="19"/>
        <v>5.1277533193896829E-2</v>
      </c>
      <c r="AO28" s="55">
        <f t="shared" si="20"/>
        <v>5.1277533193896829E-2</v>
      </c>
      <c r="AP28" s="55">
        <f t="shared" si="21"/>
        <v>5.1277533193896829E-2</v>
      </c>
      <c r="AQ28" s="55">
        <f t="shared" si="22"/>
        <v>5.1277533193896829E-2</v>
      </c>
      <c r="AR28" s="55">
        <f t="shared" si="23"/>
        <v>5.1277533193896829E-2</v>
      </c>
      <c r="AS28" s="55">
        <f t="shared" si="24"/>
        <v>5.1277533193896829E-2</v>
      </c>
      <c r="AT28" s="55">
        <f t="shared" si="25"/>
        <v>5.1277533193896829E-2</v>
      </c>
      <c r="AU28" s="55">
        <f t="shared" si="26"/>
        <v>5.1277533193896829E-2</v>
      </c>
      <c r="AV28" s="55">
        <f t="shared" si="27"/>
        <v>5.1277533193896829E-2</v>
      </c>
      <c r="AW28" s="55">
        <f t="shared" si="28"/>
        <v>5.1277533193896829E-2</v>
      </c>
      <c r="AX28" s="55">
        <f t="shared" si="29"/>
        <v>5.1277533193896829E-2</v>
      </c>
      <c r="AY28" s="55">
        <f t="shared" si="30"/>
        <v>5.1277533193896829E-2</v>
      </c>
      <c r="AZ28" s="56">
        <f t="shared" si="31"/>
        <v>5.1277533193896829E-2</v>
      </c>
      <c r="BA28" s="11"/>
      <c r="BB28" s="12"/>
      <c r="BC28" s="12"/>
      <c r="BD28" s="13"/>
      <c r="BF28" s="14"/>
      <c r="BG28" s="10"/>
      <c r="BH28" s="11"/>
      <c r="BI28" s="11"/>
      <c r="BJ28" s="11"/>
      <c r="BK28" s="12"/>
      <c r="BL28" s="12"/>
      <c r="BM28" s="13"/>
      <c r="BO28" s="14"/>
      <c r="BP28" s="10"/>
      <c r="BQ28" s="11"/>
      <c r="BR28" s="11"/>
      <c r="BS28" s="11"/>
      <c r="BT28" s="12"/>
      <c r="BU28" s="12"/>
      <c r="BV28" s="13"/>
      <c r="BX28" s="14"/>
      <c r="BY28" s="10"/>
      <c r="BZ28" s="11"/>
      <c r="CA28" s="11"/>
      <c r="CB28" s="11"/>
      <c r="CC28" s="12"/>
      <c r="CD28" s="12"/>
      <c r="CE28" s="13"/>
      <c r="CG28" s="14"/>
      <c r="CH28" s="10"/>
      <c r="CI28" s="11"/>
      <c r="CJ28" s="11"/>
      <c r="CK28" s="11"/>
      <c r="CL28" s="12"/>
      <c r="CM28" s="12"/>
      <c r="CN28" s="13"/>
      <c r="CP28" s="13"/>
    </row>
    <row r="29" spans="1:94" x14ac:dyDescent="0.35">
      <c r="A29" s="5">
        <v>22</v>
      </c>
      <c r="B29" s="63">
        <f t="shared" si="6"/>
        <v>4.4999999999999998E-2</v>
      </c>
      <c r="C29" s="28">
        <f>B29+VLOOKUP(Rawdata!A24,Int_rate_movements,2,TRUE)</f>
        <v>4.4999999999999998E-2</v>
      </c>
      <c r="D29" s="28">
        <f>C29+VLOOKUP(Rawdata!B24,Int_rate_movements,2,TRUE)</f>
        <v>4.4999999999999998E-2</v>
      </c>
      <c r="E29" s="28">
        <f>D29+VLOOKUP(Rawdata!C24,Int_rate_movements,2,TRUE)</f>
        <v>4.4999999999999998E-2</v>
      </c>
      <c r="F29" s="28">
        <f>E29+VLOOKUP(Rawdata!D24,Int_rate_movements,2,TRUE)</f>
        <v>4.4999999999999998E-2</v>
      </c>
      <c r="G29" s="28">
        <f>F29+VLOOKUP(Rawdata!E24,Int_rate_movements,2,TRUE)</f>
        <v>4.4999999999999998E-2</v>
      </c>
      <c r="H29" s="28">
        <f>G29+VLOOKUP(Rawdata!F24,Int_rate_movements,2,TRUE)</f>
        <v>4.4999999999999998E-2</v>
      </c>
      <c r="I29" s="28">
        <f>H29+VLOOKUP(Rawdata!G24,Int_rate_movements,2,TRUE)</f>
        <v>4.4999999999999998E-2</v>
      </c>
      <c r="J29" s="28">
        <f>I29+VLOOKUP(Rawdata!H24,Int_rate_movements,2,TRUE)</f>
        <v>4.4999999999999998E-2</v>
      </c>
      <c r="K29" s="28">
        <f>J29+VLOOKUP(Rawdata!I24,Int_rate_movements,2,TRUE)</f>
        <v>4.4999999999999998E-2</v>
      </c>
      <c r="L29" s="28">
        <f>K29+VLOOKUP(Rawdata!J24,Int_rate_movements,2,TRUE)</f>
        <v>4.4999999999999998E-2</v>
      </c>
      <c r="M29" s="28">
        <f>L29+VLOOKUP(Rawdata!K24,Int_rate_movements,2,TRUE)</f>
        <v>4.4999999999999998E-2</v>
      </c>
      <c r="N29" s="28">
        <f>M29+VLOOKUP(Rawdata!L24,Int_rate_movements,2,TRUE)</f>
        <v>4.4999999999999998E-2</v>
      </c>
      <c r="O29" s="28">
        <f>N29+VLOOKUP(Rawdata!M24,Int_rate_movements,2,TRUE)</f>
        <v>4.4999999999999998E-2</v>
      </c>
      <c r="P29" s="28">
        <f>O29+VLOOKUP(Rawdata!N24,Int_rate_movements,2,TRUE)</f>
        <v>4.4999999999999998E-2</v>
      </c>
      <c r="Q29" s="28">
        <f>P29+VLOOKUP(Rawdata!O24,Int_rate_movements,2,TRUE)</f>
        <v>4.4999999999999998E-2</v>
      </c>
      <c r="R29" s="28">
        <f>Q29+VLOOKUP(Rawdata!P24,Int_rate_movements,2,TRUE)</f>
        <v>4.4999999999999998E-2</v>
      </c>
      <c r="S29" s="28">
        <f>R29+VLOOKUP(Rawdata!Q24,Int_rate_movements,2,TRUE)</f>
        <v>4.4999999999999998E-2</v>
      </c>
      <c r="T29" s="28">
        <f>S29+VLOOKUP(Rawdata!R24,Int_rate_movements,2,TRUE)</f>
        <v>4.4999999999999998E-2</v>
      </c>
      <c r="U29" s="28">
        <f>T29+VLOOKUP(Rawdata!S24,Int_rate_movements,2,TRUE)</f>
        <v>4.4999999999999998E-2</v>
      </c>
      <c r="V29" s="28">
        <f>U29+VLOOKUP(Rawdata!T24,Int_rate_movements,2,TRUE)</f>
        <v>4.4999999999999998E-2</v>
      </c>
      <c r="W29" s="28">
        <f>V29+VLOOKUP(Rawdata!U24,Int_rate_movements,2,TRUE)</f>
        <v>4.4999999999999998E-2</v>
      </c>
      <c r="X29" s="28">
        <f>W29+VLOOKUP(Rawdata!V24,Int_rate_movements,2,TRUE)</f>
        <v>4.4999999999999998E-2</v>
      </c>
      <c r="Y29" s="28">
        <f>X29+VLOOKUP(Rawdata!W24,Int_rate_movements,2,TRUE)</f>
        <v>4.4999999999999998E-2</v>
      </c>
      <c r="Z29" s="35">
        <f>Y29+VLOOKUP(Rawdata!X24,Int_rate_movements,2,TRUE)</f>
        <v>4.4999999999999998E-2</v>
      </c>
      <c r="AA29" s="12"/>
      <c r="AB29" s="55">
        <f t="shared" si="7"/>
        <v>4.4097712805242217E-2</v>
      </c>
      <c r="AC29" s="55">
        <f t="shared" si="8"/>
        <v>4.4097712805242217E-2</v>
      </c>
      <c r="AD29" s="55">
        <f t="shared" si="9"/>
        <v>4.4097712805242217E-2</v>
      </c>
      <c r="AE29" s="55">
        <f t="shared" si="10"/>
        <v>4.4097712805242217E-2</v>
      </c>
      <c r="AF29" s="55">
        <f t="shared" si="11"/>
        <v>4.4097712805242217E-2</v>
      </c>
      <c r="AG29" s="55">
        <f t="shared" si="12"/>
        <v>4.4097712805242217E-2</v>
      </c>
      <c r="AH29" s="55">
        <f t="shared" si="13"/>
        <v>4.4097712805242217E-2</v>
      </c>
      <c r="AI29" s="55">
        <f t="shared" si="14"/>
        <v>4.4097712805242217E-2</v>
      </c>
      <c r="AJ29" s="55">
        <f t="shared" si="15"/>
        <v>4.4097712805242217E-2</v>
      </c>
      <c r="AK29" s="55">
        <f t="shared" si="16"/>
        <v>4.4097712805242217E-2</v>
      </c>
      <c r="AL29" s="55">
        <f t="shared" si="17"/>
        <v>4.4097712805242217E-2</v>
      </c>
      <c r="AM29" s="55">
        <f t="shared" si="18"/>
        <v>4.4097712805242217E-2</v>
      </c>
      <c r="AN29" s="55">
        <f t="shared" si="19"/>
        <v>4.4097712805242217E-2</v>
      </c>
      <c r="AO29" s="55">
        <f t="shared" si="20"/>
        <v>4.4097712805242217E-2</v>
      </c>
      <c r="AP29" s="55">
        <f t="shared" si="21"/>
        <v>4.4097712805242217E-2</v>
      </c>
      <c r="AQ29" s="55">
        <f t="shared" si="22"/>
        <v>4.4097712805242217E-2</v>
      </c>
      <c r="AR29" s="55">
        <f t="shared" si="23"/>
        <v>4.4097712805242217E-2</v>
      </c>
      <c r="AS29" s="55">
        <f t="shared" si="24"/>
        <v>4.4097712805242217E-2</v>
      </c>
      <c r="AT29" s="55">
        <f t="shared" si="25"/>
        <v>4.4097712805242217E-2</v>
      </c>
      <c r="AU29" s="55">
        <f t="shared" si="26"/>
        <v>4.4097712805242217E-2</v>
      </c>
      <c r="AV29" s="55">
        <f t="shared" si="27"/>
        <v>4.4097712805242217E-2</v>
      </c>
      <c r="AW29" s="55">
        <f t="shared" si="28"/>
        <v>4.4097712805242217E-2</v>
      </c>
      <c r="AX29" s="55">
        <f t="shared" si="29"/>
        <v>4.4097712805242217E-2</v>
      </c>
      <c r="AY29" s="55">
        <f t="shared" si="30"/>
        <v>4.4097712805242217E-2</v>
      </c>
      <c r="AZ29" s="56">
        <f t="shared" si="31"/>
        <v>4.4097712805242217E-2</v>
      </c>
      <c r="BA29" s="11"/>
      <c r="BB29" s="12"/>
      <c r="BC29" s="12"/>
      <c r="BD29" s="13"/>
      <c r="BF29" s="14"/>
      <c r="BG29" s="10"/>
      <c r="BH29" s="11"/>
      <c r="BI29" s="11"/>
      <c r="BJ29" s="11"/>
      <c r="BK29" s="12"/>
      <c r="BL29" s="12"/>
      <c r="BM29" s="13"/>
      <c r="BO29" s="14"/>
      <c r="BP29" s="10"/>
      <c r="BQ29" s="11"/>
      <c r="BR29" s="11"/>
      <c r="BS29" s="11"/>
      <c r="BT29" s="12"/>
      <c r="BU29" s="12"/>
      <c r="BV29" s="13"/>
      <c r="BX29" s="14"/>
      <c r="BY29" s="10"/>
      <c r="BZ29" s="11"/>
      <c r="CA29" s="11"/>
      <c r="CB29" s="11"/>
      <c r="CC29" s="12"/>
      <c r="CD29" s="12"/>
      <c r="CE29" s="13"/>
      <c r="CG29" s="14"/>
      <c r="CH29" s="10"/>
      <c r="CI29" s="11"/>
      <c r="CJ29" s="11"/>
      <c r="CK29" s="11"/>
      <c r="CL29" s="12"/>
      <c r="CM29" s="12"/>
      <c r="CN29" s="13"/>
      <c r="CP29" s="13"/>
    </row>
    <row r="30" spans="1:94" x14ac:dyDescent="0.35">
      <c r="A30" s="27">
        <v>23</v>
      </c>
      <c r="B30" s="63">
        <f t="shared" si="6"/>
        <v>4.4999999999999998E-2</v>
      </c>
      <c r="C30" s="28">
        <f>B30+VLOOKUP(Rawdata!A25,Int_rate_movements,2,TRUE)</f>
        <v>4.4999999999999998E-2</v>
      </c>
      <c r="D30" s="28">
        <f>C30+VLOOKUP(Rawdata!B25,Int_rate_movements,2,TRUE)</f>
        <v>4.4999999999999998E-2</v>
      </c>
      <c r="E30" s="28">
        <f>D30+VLOOKUP(Rawdata!C25,Int_rate_movements,2,TRUE)</f>
        <v>4.4999999999999998E-2</v>
      </c>
      <c r="F30" s="28">
        <f>E30+VLOOKUP(Rawdata!D25,Int_rate_movements,2,TRUE)</f>
        <v>4.4999999999999998E-2</v>
      </c>
      <c r="G30" s="28">
        <f>F30+VLOOKUP(Rawdata!E25,Int_rate_movements,2,TRUE)</f>
        <v>4.4999999999999998E-2</v>
      </c>
      <c r="H30" s="28">
        <f>G30+VLOOKUP(Rawdata!F25,Int_rate_movements,2,TRUE)</f>
        <v>4.4999999999999998E-2</v>
      </c>
      <c r="I30" s="28">
        <f>H30+VLOOKUP(Rawdata!G25,Int_rate_movements,2,TRUE)</f>
        <v>4.2499999999999996E-2</v>
      </c>
      <c r="J30" s="28">
        <f>I30+VLOOKUP(Rawdata!H25,Int_rate_movements,2,TRUE)</f>
        <v>4.2499999999999996E-2</v>
      </c>
      <c r="K30" s="28">
        <f>J30+VLOOKUP(Rawdata!I25,Int_rate_movements,2,TRUE)</f>
        <v>4.2499999999999996E-2</v>
      </c>
      <c r="L30" s="28">
        <f>K30+VLOOKUP(Rawdata!J25,Int_rate_movements,2,TRUE)</f>
        <v>4.2499999999999996E-2</v>
      </c>
      <c r="M30" s="28">
        <f>L30+VLOOKUP(Rawdata!K25,Int_rate_movements,2,TRUE)</f>
        <v>4.2499999999999996E-2</v>
      </c>
      <c r="N30" s="28">
        <f>M30+VLOOKUP(Rawdata!L25,Int_rate_movements,2,TRUE)</f>
        <v>4.2499999999999996E-2</v>
      </c>
      <c r="O30" s="28">
        <f>N30+VLOOKUP(Rawdata!M25,Int_rate_movements,2,TRUE)</f>
        <v>3.9999999999999994E-2</v>
      </c>
      <c r="P30" s="28">
        <f>O30+VLOOKUP(Rawdata!N25,Int_rate_movements,2,TRUE)</f>
        <v>3.9999999999999994E-2</v>
      </c>
      <c r="Q30" s="28">
        <f>P30+VLOOKUP(Rawdata!O25,Int_rate_movements,2,TRUE)</f>
        <v>3.9999999999999994E-2</v>
      </c>
      <c r="R30" s="28">
        <f>Q30+VLOOKUP(Rawdata!P25,Int_rate_movements,2,TRUE)</f>
        <v>3.9999999999999994E-2</v>
      </c>
      <c r="S30" s="28">
        <f>R30+VLOOKUP(Rawdata!Q25,Int_rate_movements,2,TRUE)</f>
        <v>4.2499999999999996E-2</v>
      </c>
      <c r="T30" s="28">
        <f>S30+VLOOKUP(Rawdata!R25,Int_rate_movements,2,TRUE)</f>
        <v>4.2499999999999996E-2</v>
      </c>
      <c r="U30" s="28">
        <f>T30+VLOOKUP(Rawdata!S25,Int_rate_movements,2,TRUE)</f>
        <v>4.2499999999999996E-2</v>
      </c>
      <c r="V30" s="28">
        <f>U30+VLOOKUP(Rawdata!T25,Int_rate_movements,2,TRUE)</f>
        <v>4.2499999999999996E-2</v>
      </c>
      <c r="W30" s="28">
        <f>V30+VLOOKUP(Rawdata!U25,Int_rate_movements,2,TRUE)</f>
        <v>4.2499999999999996E-2</v>
      </c>
      <c r="X30" s="28">
        <f>W30+VLOOKUP(Rawdata!V25,Int_rate_movements,2,TRUE)</f>
        <v>3.9999999999999994E-2</v>
      </c>
      <c r="Y30" s="28">
        <f>X30+VLOOKUP(Rawdata!W25,Int_rate_movements,2,TRUE)</f>
        <v>3.9999999999999994E-2</v>
      </c>
      <c r="Z30" s="35">
        <f>Y30+VLOOKUP(Rawdata!X25,Int_rate_movements,2,TRUE)</f>
        <v>3.9999999999999994E-2</v>
      </c>
      <c r="AA30" s="12"/>
      <c r="AB30" s="55">
        <f t="shared" si="7"/>
        <v>4.4097712805242217E-2</v>
      </c>
      <c r="AC30" s="55">
        <f t="shared" si="8"/>
        <v>4.4097712805242217E-2</v>
      </c>
      <c r="AD30" s="55">
        <f t="shared" si="9"/>
        <v>4.4097712805242217E-2</v>
      </c>
      <c r="AE30" s="55">
        <f t="shared" si="10"/>
        <v>4.4097712805242217E-2</v>
      </c>
      <c r="AF30" s="55">
        <f t="shared" si="11"/>
        <v>4.4097712805242217E-2</v>
      </c>
      <c r="AG30" s="55">
        <f t="shared" si="12"/>
        <v>4.4097712805242217E-2</v>
      </c>
      <c r="AH30" s="55">
        <f t="shared" si="13"/>
        <v>4.4097712805242217E-2</v>
      </c>
      <c r="AI30" s="55">
        <f t="shared" si="14"/>
        <v>4.1693940041970023E-2</v>
      </c>
      <c r="AJ30" s="55">
        <f t="shared" si="15"/>
        <v>4.1693940041970023E-2</v>
      </c>
      <c r="AK30" s="55">
        <f t="shared" si="16"/>
        <v>4.1693940041970023E-2</v>
      </c>
      <c r="AL30" s="55">
        <f t="shared" si="17"/>
        <v>4.1693940041970023E-2</v>
      </c>
      <c r="AM30" s="55">
        <f t="shared" si="18"/>
        <v>4.1693940041970023E-2</v>
      </c>
      <c r="AN30" s="55">
        <f t="shared" si="19"/>
        <v>4.1693940041970023E-2</v>
      </c>
      <c r="AO30" s="55">
        <f t="shared" si="20"/>
        <v>3.9284877386386974E-2</v>
      </c>
      <c r="AP30" s="55">
        <f t="shared" si="21"/>
        <v>3.9284877386386974E-2</v>
      </c>
      <c r="AQ30" s="55">
        <f t="shared" si="22"/>
        <v>3.9284877386386974E-2</v>
      </c>
      <c r="AR30" s="55">
        <f t="shared" si="23"/>
        <v>3.9284877386386974E-2</v>
      </c>
      <c r="AS30" s="55">
        <f t="shared" si="24"/>
        <v>4.1693940041970023E-2</v>
      </c>
      <c r="AT30" s="55">
        <f t="shared" si="25"/>
        <v>4.1693940041970023E-2</v>
      </c>
      <c r="AU30" s="55">
        <f t="shared" si="26"/>
        <v>4.1693940041970023E-2</v>
      </c>
      <c r="AV30" s="55">
        <f t="shared" si="27"/>
        <v>4.1693940041970023E-2</v>
      </c>
      <c r="AW30" s="55">
        <f t="shared" si="28"/>
        <v>4.1693940041970023E-2</v>
      </c>
      <c r="AX30" s="55">
        <f t="shared" si="29"/>
        <v>3.9284877386386974E-2</v>
      </c>
      <c r="AY30" s="55">
        <f t="shared" si="30"/>
        <v>3.9284877386386974E-2</v>
      </c>
      <c r="AZ30" s="56">
        <f t="shared" si="31"/>
        <v>3.9284877386386974E-2</v>
      </c>
      <c r="BA30" s="11"/>
      <c r="BB30" s="12"/>
      <c r="BC30" s="12"/>
      <c r="BD30" s="13"/>
      <c r="BF30" s="14"/>
      <c r="BG30" s="10"/>
      <c r="BH30" s="11"/>
      <c r="BI30" s="11"/>
      <c r="BJ30" s="11"/>
      <c r="BK30" s="12"/>
      <c r="BL30" s="12"/>
      <c r="BM30" s="13"/>
      <c r="BO30" s="14"/>
      <c r="BP30" s="10"/>
      <c r="BQ30" s="11"/>
      <c r="BR30" s="11"/>
      <c r="BS30" s="11"/>
      <c r="BT30" s="12"/>
      <c r="BU30" s="12"/>
      <c r="BV30" s="13"/>
      <c r="BX30" s="14"/>
      <c r="BY30" s="10"/>
      <c r="BZ30" s="11"/>
      <c r="CA30" s="11"/>
      <c r="CB30" s="11"/>
      <c r="CC30" s="12"/>
      <c r="CD30" s="12"/>
      <c r="CE30" s="13"/>
      <c r="CG30" s="14"/>
      <c r="CH30" s="10"/>
      <c r="CI30" s="11"/>
      <c r="CJ30" s="11"/>
      <c r="CK30" s="11"/>
      <c r="CL30" s="12"/>
      <c r="CM30" s="12"/>
      <c r="CN30" s="13"/>
      <c r="CP30" s="13"/>
    </row>
    <row r="31" spans="1:94" x14ac:dyDescent="0.35">
      <c r="A31" s="5">
        <v>24</v>
      </c>
      <c r="B31" s="63">
        <f t="shared" si="6"/>
        <v>4.4999999999999998E-2</v>
      </c>
      <c r="C31" s="28">
        <f>B31+VLOOKUP(Rawdata!A26,Int_rate_movements,2,TRUE)</f>
        <v>4.4999999999999998E-2</v>
      </c>
      <c r="D31" s="28">
        <f>C31+VLOOKUP(Rawdata!B26,Int_rate_movements,2,TRUE)</f>
        <v>4.4999999999999998E-2</v>
      </c>
      <c r="E31" s="28">
        <f>D31+VLOOKUP(Rawdata!C26,Int_rate_movements,2,TRUE)</f>
        <v>4.4999999999999998E-2</v>
      </c>
      <c r="F31" s="28">
        <f>E31+VLOOKUP(Rawdata!D26,Int_rate_movements,2,TRUE)</f>
        <v>4.2499999999999996E-2</v>
      </c>
      <c r="G31" s="28">
        <f>F31+VLOOKUP(Rawdata!E26,Int_rate_movements,2,TRUE)</f>
        <v>4.2499999999999996E-2</v>
      </c>
      <c r="H31" s="28">
        <f>G31+VLOOKUP(Rawdata!F26,Int_rate_movements,2,TRUE)</f>
        <v>4.4999999999999998E-2</v>
      </c>
      <c r="I31" s="28">
        <f>H31+VLOOKUP(Rawdata!G26,Int_rate_movements,2,TRUE)</f>
        <v>4.4999999999999998E-2</v>
      </c>
      <c r="J31" s="28">
        <f>I31+VLOOKUP(Rawdata!H26,Int_rate_movements,2,TRUE)</f>
        <v>4.7500000000000001E-2</v>
      </c>
      <c r="K31" s="28">
        <f>J31+VLOOKUP(Rawdata!I26,Int_rate_movements,2,TRUE)</f>
        <v>4.7500000000000001E-2</v>
      </c>
      <c r="L31" s="28">
        <f>K31+VLOOKUP(Rawdata!J26,Int_rate_movements,2,TRUE)</f>
        <v>4.7500000000000001E-2</v>
      </c>
      <c r="M31" s="28">
        <f>L31+VLOOKUP(Rawdata!K26,Int_rate_movements,2,TRUE)</f>
        <v>4.7500000000000001E-2</v>
      </c>
      <c r="N31" s="28">
        <f>M31+VLOOKUP(Rawdata!L26,Int_rate_movements,2,TRUE)</f>
        <v>4.7500000000000001E-2</v>
      </c>
      <c r="O31" s="28">
        <f>N31+VLOOKUP(Rawdata!M26,Int_rate_movements,2,TRUE)</f>
        <v>4.7500000000000001E-2</v>
      </c>
      <c r="P31" s="28">
        <f>O31+VLOOKUP(Rawdata!N26,Int_rate_movements,2,TRUE)</f>
        <v>4.7500000000000001E-2</v>
      </c>
      <c r="Q31" s="28">
        <f>P31+VLOOKUP(Rawdata!O26,Int_rate_movements,2,TRUE)</f>
        <v>4.7500000000000001E-2</v>
      </c>
      <c r="R31" s="28">
        <f>Q31+VLOOKUP(Rawdata!P26,Int_rate_movements,2,TRUE)</f>
        <v>4.7500000000000001E-2</v>
      </c>
      <c r="S31" s="28">
        <f>R31+VLOOKUP(Rawdata!Q26,Int_rate_movements,2,TRUE)</f>
        <v>4.7500000000000001E-2</v>
      </c>
      <c r="T31" s="28">
        <f>S31+VLOOKUP(Rawdata!R26,Int_rate_movements,2,TRUE)</f>
        <v>4.7500000000000001E-2</v>
      </c>
      <c r="U31" s="28">
        <f>T31+VLOOKUP(Rawdata!S26,Int_rate_movements,2,TRUE)</f>
        <v>4.4999999999999998E-2</v>
      </c>
      <c r="V31" s="28">
        <f>U31+VLOOKUP(Rawdata!T26,Int_rate_movements,2,TRUE)</f>
        <v>4.4999999999999998E-2</v>
      </c>
      <c r="W31" s="28">
        <f>V31+VLOOKUP(Rawdata!U26,Int_rate_movements,2,TRUE)</f>
        <v>4.4999999999999998E-2</v>
      </c>
      <c r="X31" s="28">
        <f>W31+VLOOKUP(Rawdata!V26,Int_rate_movements,2,TRUE)</f>
        <v>4.9999999999999996E-2</v>
      </c>
      <c r="Y31" s="28">
        <f>X31+VLOOKUP(Rawdata!W26,Int_rate_movements,2,TRUE)</f>
        <v>4.9999999999999996E-2</v>
      </c>
      <c r="Z31" s="35">
        <f>Y31+VLOOKUP(Rawdata!X26,Int_rate_movements,2,TRUE)</f>
        <v>5.2499999999999998E-2</v>
      </c>
      <c r="AA31" s="12"/>
      <c r="AB31" s="55">
        <f t="shared" si="7"/>
        <v>4.4097712805242217E-2</v>
      </c>
      <c r="AC31" s="55">
        <f t="shared" si="8"/>
        <v>4.4097712805242217E-2</v>
      </c>
      <c r="AD31" s="55">
        <f t="shared" si="9"/>
        <v>4.4097712805242217E-2</v>
      </c>
      <c r="AE31" s="55">
        <f t="shared" si="10"/>
        <v>4.4097712805242217E-2</v>
      </c>
      <c r="AF31" s="55">
        <f t="shared" si="11"/>
        <v>4.1693940041970023E-2</v>
      </c>
      <c r="AG31" s="55">
        <f t="shared" si="12"/>
        <v>4.1693940041970023E-2</v>
      </c>
      <c r="AH31" s="55">
        <f t="shared" si="13"/>
        <v>4.4097712805242217E-2</v>
      </c>
      <c r="AI31" s="55">
        <f t="shared" si="14"/>
        <v>4.4097712805242217E-2</v>
      </c>
      <c r="AJ31" s="55">
        <f t="shared" si="15"/>
        <v>4.6496219905550085E-2</v>
      </c>
      <c r="AK31" s="55">
        <f t="shared" si="16"/>
        <v>4.6496219905550085E-2</v>
      </c>
      <c r="AL31" s="55">
        <f t="shared" si="17"/>
        <v>4.6496219905550085E-2</v>
      </c>
      <c r="AM31" s="55">
        <f t="shared" si="18"/>
        <v>4.6496219905550085E-2</v>
      </c>
      <c r="AN31" s="55">
        <f t="shared" si="19"/>
        <v>4.6496219905550085E-2</v>
      </c>
      <c r="AO31" s="55">
        <f t="shared" si="20"/>
        <v>4.6496219905550085E-2</v>
      </c>
      <c r="AP31" s="55">
        <f t="shared" si="21"/>
        <v>4.6496219905550085E-2</v>
      </c>
      <c r="AQ31" s="55">
        <f t="shared" si="22"/>
        <v>4.6496219905550085E-2</v>
      </c>
      <c r="AR31" s="55">
        <f t="shared" si="23"/>
        <v>4.6496219905550085E-2</v>
      </c>
      <c r="AS31" s="55">
        <f t="shared" si="24"/>
        <v>4.6496219905550085E-2</v>
      </c>
      <c r="AT31" s="55">
        <f t="shared" si="25"/>
        <v>4.6496219905550085E-2</v>
      </c>
      <c r="AU31" s="55">
        <f t="shared" si="26"/>
        <v>4.4097712805242217E-2</v>
      </c>
      <c r="AV31" s="55">
        <f t="shared" si="27"/>
        <v>4.4097712805242217E-2</v>
      </c>
      <c r="AW31" s="55">
        <f t="shared" si="28"/>
        <v>4.4097712805242217E-2</v>
      </c>
      <c r="AX31" s="55">
        <f t="shared" si="29"/>
        <v>4.8889485403780242E-2</v>
      </c>
      <c r="AY31" s="55">
        <f t="shared" si="30"/>
        <v>4.8889485403780242E-2</v>
      </c>
      <c r="AZ31" s="56">
        <f t="shared" si="31"/>
        <v>5.1277533193896829E-2</v>
      </c>
      <c r="BA31" s="11"/>
      <c r="BB31" s="12"/>
      <c r="BC31" s="12"/>
      <c r="BD31" s="13"/>
      <c r="BF31" s="14"/>
      <c r="BG31" s="10"/>
      <c r="BH31" s="11"/>
      <c r="BI31" s="11"/>
      <c r="BJ31" s="11"/>
      <c r="BK31" s="12"/>
      <c r="BL31" s="12"/>
      <c r="BM31" s="13"/>
      <c r="BO31" s="14"/>
      <c r="BP31" s="10"/>
      <c r="BQ31" s="11"/>
      <c r="BR31" s="11"/>
      <c r="BS31" s="11"/>
      <c r="BT31" s="12"/>
      <c r="BU31" s="12"/>
      <c r="BV31" s="13"/>
      <c r="BX31" s="14"/>
      <c r="BY31" s="10"/>
      <c r="BZ31" s="11"/>
      <c r="CA31" s="11"/>
      <c r="CB31" s="11"/>
      <c r="CC31" s="12"/>
      <c r="CD31" s="12"/>
      <c r="CE31" s="13"/>
      <c r="CG31" s="14"/>
      <c r="CH31" s="10"/>
      <c r="CI31" s="11"/>
      <c r="CJ31" s="11"/>
      <c r="CK31" s="11"/>
      <c r="CL31" s="12"/>
      <c r="CM31" s="12"/>
      <c r="CN31" s="13"/>
      <c r="CP31" s="13"/>
    </row>
    <row r="32" spans="1:94" x14ac:dyDescent="0.35">
      <c r="A32" s="27">
        <v>25</v>
      </c>
      <c r="B32" s="63">
        <f t="shared" si="6"/>
        <v>4.4999999999999998E-2</v>
      </c>
      <c r="C32" s="28">
        <f>B32+VLOOKUP(Rawdata!A27,Int_rate_movements,2,TRUE)</f>
        <v>4.4999999999999998E-2</v>
      </c>
      <c r="D32" s="28">
        <f>C32+VLOOKUP(Rawdata!B27,Int_rate_movements,2,TRUE)</f>
        <v>4.4999999999999998E-2</v>
      </c>
      <c r="E32" s="28">
        <f>D32+VLOOKUP(Rawdata!C27,Int_rate_movements,2,TRUE)</f>
        <v>4.4999999999999998E-2</v>
      </c>
      <c r="F32" s="28">
        <f>E32+VLOOKUP(Rawdata!D27,Int_rate_movements,2,TRUE)</f>
        <v>4.4999999999999998E-2</v>
      </c>
      <c r="G32" s="28">
        <f>F32+VLOOKUP(Rawdata!E27,Int_rate_movements,2,TRUE)</f>
        <v>4.4999999999999998E-2</v>
      </c>
      <c r="H32" s="28">
        <f>G32+VLOOKUP(Rawdata!F27,Int_rate_movements,2,TRUE)</f>
        <v>4.4999999999999998E-2</v>
      </c>
      <c r="I32" s="28">
        <f>H32+VLOOKUP(Rawdata!G27,Int_rate_movements,2,TRUE)</f>
        <v>4.4999999999999998E-2</v>
      </c>
      <c r="J32" s="28">
        <f>I32+VLOOKUP(Rawdata!H27,Int_rate_movements,2,TRUE)</f>
        <v>4.4999999999999998E-2</v>
      </c>
      <c r="K32" s="28">
        <f>J32+VLOOKUP(Rawdata!I27,Int_rate_movements,2,TRUE)</f>
        <v>4.4999999999999998E-2</v>
      </c>
      <c r="L32" s="28">
        <f>K32+VLOOKUP(Rawdata!J27,Int_rate_movements,2,TRUE)</f>
        <v>0.04</v>
      </c>
      <c r="M32" s="28">
        <f>L32+VLOOKUP(Rawdata!K27,Int_rate_movements,2,TRUE)</f>
        <v>0.04</v>
      </c>
      <c r="N32" s="28">
        <f>M32+VLOOKUP(Rawdata!L27,Int_rate_movements,2,TRUE)</f>
        <v>0.04</v>
      </c>
      <c r="O32" s="28">
        <f>N32+VLOOKUP(Rawdata!M27,Int_rate_movements,2,TRUE)</f>
        <v>3.5000000000000003E-2</v>
      </c>
      <c r="P32" s="28">
        <f>O32+VLOOKUP(Rawdata!N27,Int_rate_movements,2,TRUE)</f>
        <v>3.5000000000000003E-2</v>
      </c>
      <c r="Q32" s="28">
        <f>P32+VLOOKUP(Rawdata!O27,Int_rate_movements,2,TRUE)</f>
        <v>3.5000000000000003E-2</v>
      </c>
      <c r="R32" s="28">
        <f>Q32+VLOOKUP(Rawdata!P27,Int_rate_movements,2,TRUE)</f>
        <v>3.5000000000000003E-2</v>
      </c>
      <c r="S32" s="28">
        <f>R32+VLOOKUP(Rawdata!Q27,Int_rate_movements,2,TRUE)</f>
        <v>3.5000000000000003E-2</v>
      </c>
      <c r="T32" s="28">
        <f>S32+VLOOKUP(Rawdata!R27,Int_rate_movements,2,TRUE)</f>
        <v>3.5000000000000003E-2</v>
      </c>
      <c r="U32" s="28">
        <f>T32+VLOOKUP(Rawdata!S27,Int_rate_movements,2,TRUE)</f>
        <v>3.5000000000000003E-2</v>
      </c>
      <c r="V32" s="28">
        <f>U32+VLOOKUP(Rawdata!T27,Int_rate_movements,2,TRUE)</f>
        <v>3.5000000000000003E-2</v>
      </c>
      <c r="W32" s="28">
        <f>V32+VLOOKUP(Rawdata!U27,Int_rate_movements,2,TRUE)</f>
        <v>3.0000000000000002E-2</v>
      </c>
      <c r="X32" s="28">
        <f>W32+VLOOKUP(Rawdata!V27,Int_rate_movements,2,TRUE)</f>
        <v>2.7500000000000004E-2</v>
      </c>
      <c r="Y32" s="28">
        <f>X32+VLOOKUP(Rawdata!W27,Int_rate_movements,2,TRUE)</f>
        <v>2.2500000000000003E-2</v>
      </c>
      <c r="Z32" s="35">
        <f>Y32+VLOOKUP(Rawdata!X27,Int_rate_movements,2,TRUE)</f>
        <v>2.2500000000000003E-2</v>
      </c>
      <c r="AA32" s="12"/>
      <c r="AB32" s="55">
        <f t="shared" si="7"/>
        <v>4.4097712805242217E-2</v>
      </c>
      <c r="AC32" s="55">
        <f t="shared" si="8"/>
        <v>4.4097712805242217E-2</v>
      </c>
      <c r="AD32" s="55">
        <f t="shared" si="9"/>
        <v>4.4097712805242217E-2</v>
      </c>
      <c r="AE32" s="55">
        <f t="shared" si="10"/>
        <v>4.4097712805242217E-2</v>
      </c>
      <c r="AF32" s="55">
        <f t="shared" si="11"/>
        <v>4.4097712805242217E-2</v>
      </c>
      <c r="AG32" s="55">
        <f t="shared" si="12"/>
        <v>4.4097712805242217E-2</v>
      </c>
      <c r="AH32" s="55">
        <f t="shared" si="13"/>
        <v>4.4097712805242217E-2</v>
      </c>
      <c r="AI32" s="55">
        <f t="shared" si="14"/>
        <v>4.4097712805242217E-2</v>
      </c>
      <c r="AJ32" s="55">
        <f t="shared" si="15"/>
        <v>4.4097712805242217E-2</v>
      </c>
      <c r="AK32" s="55">
        <f t="shared" si="16"/>
        <v>4.4097712805242217E-2</v>
      </c>
      <c r="AL32" s="55">
        <f t="shared" si="17"/>
        <v>3.9284877386386974E-2</v>
      </c>
      <c r="AM32" s="55">
        <f t="shared" si="18"/>
        <v>3.9284877386386974E-2</v>
      </c>
      <c r="AN32" s="55">
        <f t="shared" si="19"/>
        <v>3.9284877386386974E-2</v>
      </c>
      <c r="AO32" s="55">
        <f t="shared" si="20"/>
        <v>3.4450784628919706E-2</v>
      </c>
      <c r="AP32" s="55">
        <f t="shared" si="21"/>
        <v>3.4450784628919706E-2</v>
      </c>
      <c r="AQ32" s="55">
        <f t="shared" si="22"/>
        <v>3.4450784628919706E-2</v>
      </c>
      <c r="AR32" s="55">
        <f t="shared" si="23"/>
        <v>3.4450784628919706E-2</v>
      </c>
      <c r="AS32" s="55">
        <f t="shared" si="24"/>
        <v>3.4450784628919706E-2</v>
      </c>
      <c r="AT32" s="55">
        <f t="shared" si="25"/>
        <v>3.4450784628919706E-2</v>
      </c>
      <c r="AU32" s="55">
        <f t="shared" si="26"/>
        <v>3.4450784628919706E-2</v>
      </c>
      <c r="AV32" s="55">
        <f t="shared" si="27"/>
        <v>3.4450784628919706E-2</v>
      </c>
      <c r="AW32" s="55">
        <f t="shared" si="28"/>
        <v>2.9595237267644237E-2</v>
      </c>
      <c r="AX32" s="55">
        <f t="shared" si="29"/>
        <v>2.7159355701241061E-2</v>
      </c>
      <c r="AY32" s="55">
        <f t="shared" si="30"/>
        <v>2.2271250424034328E-2</v>
      </c>
      <c r="AZ32" s="56">
        <f t="shared" si="31"/>
        <v>2.2271250424034328E-2</v>
      </c>
      <c r="BA32" s="11"/>
      <c r="BB32" s="12"/>
      <c r="BC32" s="12"/>
      <c r="BD32" s="13"/>
      <c r="BF32" s="14"/>
      <c r="BG32" s="10"/>
      <c r="BH32" s="11"/>
      <c r="BI32" s="11"/>
      <c r="BJ32" s="11"/>
      <c r="BK32" s="12"/>
      <c r="BL32" s="12"/>
      <c r="BM32" s="13"/>
      <c r="BO32" s="14"/>
      <c r="BP32" s="10"/>
      <c r="BQ32" s="11"/>
      <c r="BR32" s="11"/>
      <c r="BS32" s="11"/>
      <c r="BT32" s="12"/>
      <c r="BU32" s="12"/>
      <c r="BV32" s="13"/>
      <c r="BX32" s="14"/>
      <c r="BY32" s="10"/>
      <c r="BZ32" s="11"/>
      <c r="CA32" s="11"/>
      <c r="CB32" s="11"/>
      <c r="CC32" s="12"/>
      <c r="CD32" s="12"/>
      <c r="CE32" s="13"/>
      <c r="CG32" s="14"/>
      <c r="CH32" s="10"/>
      <c r="CI32" s="11"/>
      <c r="CJ32" s="11"/>
      <c r="CK32" s="11"/>
      <c r="CL32" s="12"/>
      <c r="CM32" s="12"/>
      <c r="CN32" s="13"/>
      <c r="CP32" s="13"/>
    </row>
    <row r="33" spans="1:94" x14ac:dyDescent="0.35">
      <c r="A33" s="5">
        <v>26</v>
      </c>
      <c r="B33" s="63">
        <f t="shared" si="6"/>
        <v>4.4999999999999998E-2</v>
      </c>
      <c r="C33" s="28">
        <f>B33+VLOOKUP(Rawdata!A28,Int_rate_movements,2,TRUE)</f>
        <v>4.4999999999999998E-2</v>
      </c>
      <c r="D33" s="28">
        <f>C33+VLOOKUP(Rawdata!B28,Int_rate_movements,2,TRUE)</f>
        <v>4.4999999999999998E-2</v>
      </c>
      <c r="E33" s="28">
        <f>D33+VLOOKUP(Rawdata!C28,Int_rate_movements,2,TRUE)</f>
        <v>4.4999999999999998E-2</v>
      </c>
      <c r="F33" s="28">
        <f>E33+VLOOKUP(Rawdata!D28,Int_rate_movements,2,TRUE)</f>
        <v>4.4999999999999998E-2</v>
      </c>
      <c r="G33" s="28">
        <f>F33+VLOOKUP(Rawdata!E28,Int_rate_movements,2,TRUE)</f>
        <v>4.4999999999999998E-2</v>
      </c>
      <c r="H33" s="28">
        <f>G33+VLOOKUP(Rawdata!F28,Int_rate_movements,2,TRUE)</f>
        <v>4.4999999999999998E-2</v>
      </c>
      <c r="I33" s="28">
        <f>H33+VLOOKUP(Rawdata!G28,Int_rate_movements,2,TRUE)</f>
        <v>4.4999999999999998E-2</v>
      </c>
      <c r="J33" s="28">
        <f>I33+VLOOKUP(Rawdata!H28,Int_rate_movements,2,TRUE)</f>
        <v>4.4999999999999998E-2</v>
      </c>
      <c r="K33" s="28">
        <f>J33+VLOOKUP(Rawdata!I28,Int_rate_movements,2,TRUE)</f>
        <v>4.4999999999999998E-2</v>
      </c>
      <c r="L33" s="28">
        <f>K33+VLOOKUP(Rawdata!J28,Int_rate_movements,2,TRUE)</f>
        <v>4.4999999999999998E-2</v>
      </c>
      <c r="M33" s="28">
        <f>L33+VLOOKUP(Rawdata!K28,Int_rate_movements,2,TRUE)</f>
        <v>4.4999999999999998E-2</v>
      </c>
      <c r="N33" s="28">
        <f>M33+VLOOKUP(Rawdata!L28,Int_rate_movements,2,TRUE)</f>
        <v>4.2499999999999996E-2</v>
      </c>
      <c r="O33" s="28">
        <f>N33+VLOOKUP(Rawdata!M28,Int_rate_movements,2,TRUE)</f>
        <v>3.9999999999999994E-2</v>
      </c>
      <c r="P33" s="28">
        <f>O33+VLOOKUP(Rawdata!N28,Int_rate_movements,2,TRUE)</f>
        <v>4.2499999999999996E-2</v>
      </c>
      <c r="Q33" s="28">
        <f>P33+VLOOKUP(Rawdata!O28,Int_rate_movements,2,TRUE)</f>
        <v>4.2499999999999996E-2</v>
      </c>
      <c r="R33" s="28">
        <f>Q33+VLOOKUP(Rawdata!P28,Int_rate_movements,2,TRUE)</f>
        <v>4.2499999999999996E-2</v>
      </c>
      <c r="S33" s="28">
        <f>R33+VLOOKUP(Rawdata!Q28,Int_rate_movements,2,TRUE)</f>
        <v>4.2499999999999996E-2</v>
      </c>
      <c r="T33" s="28">
        <f>S33+VLOOKUP(Rawdata!R28,Int_rate_movements,2,TRUE)</f>
        <v>4.2499999999999996E-2</v>
      </c>
      <c r="U33" s="28">
        <f>T33+VLOOKUP(Rawdata!S28,Int_rate_movements,2,TRUE)</f>
        <v>4.2499999999999996E-2</v>
      </c>
      <c r="V33" s="28">
        <f>U33+VLOOKUP(Rawdata!T28,Int_rate_movements,2,TRUE)</f>
        <v>4.2499999999999996E-2</v>
      </c>
      <c r="W33" s="28">
        <f>V33+VLOOKUP(Rawdata!U28,Int_rate_movements,2,TRUE)</f>
        <v>4.2499999999999996E-2</v>
      </c>
      <c r="X33" s="28">
        <f>W33+VLOOKUP(Rawdata!V28,Int_rate_movements,2,TRUE)</f>
        <v>4.2499999999999996E-2</v>
      </c>
      <c r="Y33" s="28">
        <f>X33+VLOOKUP(Rawdata!W28,Int_rate_movements,2,TRUE)</f>
        <v>4.2499999999999996E-2</v>
      </c>
      <c r="Z33" s="35">
        <f>Y33+VLOOKUP(Rawdata!X28,Int_rate_movements,2,TRUE)</f>
        <v>4.2499999999999996E-2</v>
      </c>
      <c r="AA33" s="12"/>
      <c r="AB33" s="55">
        <f t="shared" si="7"/>
        <v>4.4097712805242217E-2</v>
      </c>
      <c r="AC33" s="55">
        <f t="shared" si="8"/>
        <v>4.4097712805242217E-2</v>
      </c>
      <c r="AD33" s="55">
        <f t="shared" si="9"/>
        <v>4.4097712805242217E-2</v>
      </c>
      <c r="AE33" s="55">
        <f t="shared" si="10"/>
        <v>4.4097712805242217E-2</v>
      </c>
      <c r="AF33" s="55">
        <f t="shared" si="11"/>
        <v>4.4097712805242217E-2</v>
      </c>
      <c r="AG33" s="55">
        <f t="shared" si="12"/>
        <v>4.4097712805242217E-2</v>
      </c>
      <c r="AH33" s="55">
        <f t="shared" si="13"/>
        <v>4.4097712805242217E-2</v>
      </c>
      <c r="AI33" s="55">
        <f t="shared" si="14"/>
        <v>4.4097712805242217E-2</v>
      </c>
      <c r="AJ33" s="55">
        <f t="shared" si="15"/>
        <v>4.4097712805242217E-2</v>
      </c>
      <c r="AK33" s="55">
        <f t="shared" si="16"/>
        <v>4.4097712805242217E-2</v>
      </c>
      <c r="AL33" s="55">
        <f t="shared" si="17"/>
        <v>4.4097712805242217E-2</v>
      </c>
      <c r="AM33" s="55">
        <f t="shared" si="18"/>
        <v>4.4097712805242217E-2</v>
      </c>
      <c r="AN33" s="55">
        <f t="shared" si="19"/>
        <v>4.1693940041970023E-2</v>
      </c>
      <c r="AO33" s="55">
        <f t="shared" si="20"/>
        <v>3.9284877386386974E-2</v>
      </c>
      <c r="AP33" s="55">
        <f t="shared" si="21"/>
        <v>4.1693940041970023E-2</v>
      </c>
      <c r="AQ33" s="55">
        <f t="shared" si="22"/>
        <v>4.1693940041970023E-2</v>
      </c>
      <c r="AR33" s="55">
        <f t="shared" si="23"/>
        <v>4.1693940041970023E-2</v>
      </c>
      <c r="AS33" s="55">
        <f t="shared" si="24"/>
        <v>4.1693940041970023E-2</v>
      </c>
      <c r="AT33" s="55">
        <f t="shared" si="25"/>
        <v>4.1693940041970023E-2</v>
      </c>
      <c r="AU33" s="55">
        <f t="shared" si="26"/>
        <v>4.1693940041970023E-2</v>
      </c>
      <c r="AV33" s="55">
        <f t="shared" si="27"/>
        <v>4.1693940041970023E-2</v>
      </c>
      <c r="AW33" s="55">
        <f t="shared" si="28"/>
        <v>4.1693940041970023E-2</v>
      </c>
      <c r="AX33" s="55">
        <f t="shared" si="29"/>
        <v>4.1693940041970023E-2</v>
      </c>
      <c r="AY33" s="55">
        <f t="shared" si="30"/>
        <v>4.1693940041970023E-2</v>
      </c>
      <c r="AZ33" s="56">
        <f t="shared" si="31"/>
        <v>4.1693940041970023E-2</v>
      </c>
      <c r="BA33" s="11"/>
      <c r="BB33" s="12"/>
      <c r="BC33" s="12"/>
      <c r="BD33" s="13"/>
      <c r="BF33" s="14"/>
      <c r="BG33" s="10"/>
      <c r="BH33" s="11"/>
      <c r="BI33" s="11"/>
      <c r="BJ33" s="11"/>
      <c r="BK33" s="12"/>
      <c r="BL33" s="12"/>
      <c r="BM33" s="13"/>
      <c r="BO33" s="14"/>
      <c r="BP33" s="10"/>
      <c r="BQ33" s="11"/>
      <c r="BR33" s="11"/>
      <c r="BS33" s="11"/>
      <c r="BT33" s="12"/>
      <c r="BU33" s="12"/>
      <c r="BV33" s="13"/>
      <c r="BX33" s="14"/>
      <c r="BY33" s="10"/>
      <c r="BZ33" s="11"/>
      <c r="CA33" s="11"/>
      <c r="CB33" s="11"/>
      <c r="CC33" s="12"/>
      <c r="CD33" s="12"/>
      <c r="CE33" s="13"/>
      <c r="CG33" s="14"/>
      <c r="CH33" s="10"/>
      <c r="CI33" s="11"/>
      <c r="CJ33" s="11"/>
      <c r="CK33" s="11"/>
      <c r="CL33" s="12"/>
      <c r="CM33" s="12"/>
      <c r="CN33" s="13"/>
      <c r="CP33" s="13"/>
    </row>
    <row r="34" spans="1:94" x14ac:dyDescent="0.35">
      <c r="A34" s="27">
        <v>27</v>
      </c>
      <c r="B34" s="63">
        <f t="shared" si="6"/>
        <v>4.4999999999999998E-2</v>
      </c>
      <c r="C34" s="28">
        <f>B34+VLOOKUP(Rawdata!A29,Int_rate_movements,2,TRUE)</f>
        <v>4.4999999999999998E-2</v>
      </c>
      <c r="D34" s="28">
        <f>C34+VLOOKUP(Rawdata!B29,Int_rate_movements,2,TRUE)</f>
        <v>4.4999999999999998E-2</v>
      </c>
      <c r="E34" s="28">
        <f>D34+VLOOKUP(Rawdata!C29,Int_rate_movements,2,TRUE)</f>
        <v>4.4999999999999998E-2</v>
      </c>
      <c r="F34" s="28">
        <f>E34+VLOOKUP(Rawdata!D29,Int_rate_movements,2,TRUE)</f>
        <v>4.2499999999999996E-2</v>
      </c>
      <c r="G34" s="28">
        <f>F34+VLOOKUP(Rawdata!E29,Int_rate_movements,2,TRUE)</f>
        <v>4.2499999999999996E-2</v>
      </c>
      <c r="H34" s="28">
        <f>G34+VLOOKUP(Rawdata!F29,Int_rate_movements,2,TRUE)</f>
        <v>4.2499999999999996E-2</v>
      </c>
      <c r="I34" s="28">
        <f>H34+VLOOKUP(Rawdata!G29,Int_rate_movements,2,TRUE)</f>
        <v>3.9999999999999994E-2</v>
      </c>
      <c r="J34" s="28">
        <f>I34+VLOOKUP(Rawdata!H29,Int_rate_movements,2,TRUE)</f>
        <v>3.9999999999999994E-2</v>
      </c>
      <c r="K34" s="28">
        <f>J34+VLOOKUP(Rawdata!I29,Int_rate_movements,2,TRUE)</f>
        <v>3.9999999999999994E-2</v>
      </c>
      <c r="L34" s="28">
        <f>K34+VLOOKUP(Rawdata!J29,Int_rate_movements,2,TRUE)</f>
        <v>3.9999999999999994E-2</v>
      </c>
      <c r="M34" s="28">
        <f>L34+VLOOKUP(Rawdata!K29,Int_rate_movements,2,TRUE)</f>
        <v>3.9999999999999994E-2</v>
      </c>
      <c r="N34" s="28">
        <f>M34+VLOOKUP(Rawdata!L29,Int_rate_movements,2,TRUE)</f>
        <v>3.9999999999999994E-2</v>
      </c>
      <c r="O34" s="28">
        <f>N34+VLOOKUP(Rawdata!M29,Int_rate_movements,2,TRUE)</f>
        <v>3.9999999999999994E-2</v>
      </c>
      <c r="P34" s="28">
        <f>O34+VLOOKUP(Rawdata!N29,Int_rate_movements,2,TRUE)</f>
        <v>3.9999999999999994E-2</v>
      </c>
      <c r="Q34" s="28">
        <f>P34+VLOOKUP(Rawdata!O29,Int_rate_movements,2,TRUE)</f>
        <v>3.9999999999999994E-2</v>
      </c>
      <c r="R34" s="28">
        <f>Q34+VLOOKUP(Rawdata!P29,Int_rate_movements,2,TRUE)</f>
        <v>3.9999999999999994E-2</v>
      </c>
      <c r="S34" s="28">
        <f>R34+VLOOKUP(Rawdata!Q29,Int_rate_movements,2,TRUE)</f>
        <v>3.9999999999999994E-2</v>
      </c>
      <c r="T34" s="28">
        <f>S34+VLOOKUP(Rawdata!R29,Int_rate_movements,2,TRUE)</f>
        <v>3.9999999999999994E-2</v>
      </c>
      <c r="U34" s="28">
        <f>T34+VLOOKUP(Rawdata!S29,Int_rate_movements,2,TRUE)</f>
        <v>3.9999999999999994E-2</v>
      </c>
      <c r="V34" s="28">
        <f>U34+VLOOKUP(Rawdata!T29,Int_rate_movements,2,TRUE)</f>
        <v>3.9999999999999994E-2</v>
      </c>
      <c r="W34" s="28">
        <f>V34+VLOOKUP(Rawdata!U29,Int_rate_movements,2,TRUE)</f>
        <v>3.9999999999999994E-2</v>
      </c>
      <c r="X34" s="28">
        <f>W34+VLOOKUP(Rawdata!V29,Int_rate_movements,2,TRUE)</f>
        <v>3.9999999999999994E-2</v>
      </c>
      <c r="Y34" s="28">
        <f>X34+VLOOKUP(Rawdata!W29,Int_rate_movements,2,TRUE)</f>
        <v>3.9999999999999994E-2</v>
      </c>
      <c r="Z34" s="35">
        <f>Y34+VLOOKUP(Rawdata!X29,Int_rate_movements,2,TRUE)</f>
        <v>3.9999999999999994E-2</v>
      </c>
      <c r="AA34" s="12"/>
      <c r="AB34" s="55">
        <f t="shared" si="7"/>
        <v>4.4097712805242217E-2</v>
      </c>
      <c r="AC34" s="55">
        <f t="shared" si="8"/>
        <v>4.4097712805242217E-2</v>
      </c>
      <c r="AD34" s="55">
        <f t="shared" si="9"/>
        <v>4.4097712805242217E-2</v>
      </c>
      <c r="AE34" s="55">
        <f t="shared" si="10"/>
        <v>4.4097712805242217E-2</v>
      </c>
      <c r="AF34" s="55">
        <f t="shared" si="11"/>
        <v>4.1693940041970023E-2</v>
      </c>
      <c r="AG34" s="55">
        <f t="shared" si="12"/>
        <v>4.1693940041970023E-2</v>
      </c>
      <c r="AH34" s="55">
        <f t="shared" si="13"/>
        <v>4.1693940041970023E-2</v>
      </c>
      <c r="AI34" s="55">
        <f t="shared" si="14"/>
        <v>3.9284877386386974E-2</v>
      </c>
      <c r="AJ34" s="55">
        <f t="shared" si="15"/>
        <v>3.9284877386386974E-2</v>
      </c>
      <c r="AK34" s="55">
        <f t="shared" si="16"/>
        <v>3.9284877386386974E-2</v>
      </c>
      <c r="AL34" s="55">
        <f t="shared" si="17"/>
        <v>3.9284877386386974E-2</v>
      </c>
      <c r="AM34" s="55">
        <f t="shared" si="18"/>
        <v>3.9284877386386974E-2</v>
      </c>
      <c r="AN34" s="55">
        <f t="shared" si="19"/>
        <v>3.9284877386386974E-2</v>
      </c>
      <c r="AO34" s="55">
        <f t="shared" si="20"/>
        <v>3.9284877386386974E-2</v>
      </c>
      <c r="AP34" s="55">
        <f t="shared" si="21"/>
        <v>3.9284877386386974E-2</v>
      </c>
      <c r="AQ34" s="55">
        <f t="shared" si="22"/>
        <v>3.9284877386386974E-2</v>
      </c>
      <c r="AR34" s="55">
        <f t="shared" si="23"/>
        <v>3.9284877386386974E-2</v>
      </c>
      <c r="AS34" s="55">
        <f t="shared" si="24"/>
        <v>3.9284877386386974E-2</v>
      </c>
      <c r="AT34" s="55">
        <f t="shared" si="25"/>
        <v>3.9284877386386974E-2</v>
      </c>
      <c r="AU34" s="55">
        <f t="shared" si="26"/>
        <v>3.9284877386386974E-2</v>
      </c>
      <c r="AV34" s="55">
        <f t="shared" si="27"/>
        <v>3.9284877386386974E-2</v>
      </c>
      <c r="AW34" s="55">
        <f t="shared" si="28"/>
        <v>3.9284877386386974E-2</v>
      </c>
      <c r="AX34" s="55">
        <f t="shared" si="29"/>
        <v>3.9284877386386974E-2</v>
      </c>
      <c r="AY34" s="55">
        <f t="shared" si="30"/>
        <v>3.9284877386386974E-2</v>
      </c>
      <c r="AZ34" s="56">
        <f t="shared" si="31"/>
        <v>3.9284877386386974E-2</v>
      </c>
      <c r="BA34" s="11"/>
      <c r="BB34" s="12"/>
      <c r="BC34" s="12"/>
      <c r="BD34" s="13"/>
      <c r="BF34" s="14"/>
      <c r="BG34" s="10"/>
      <c r="BH34" s="11"/>
      <c r="BI34" s="11"/>
      <c r="BJ34" s="11"/>
      <c r="BK34" s="12"/>
      <c r="BL34" s="12"/>
      <c r="BM34" s="13"/>
      <c r="BO34" s="14"/>
      <c r="BP34" s="10"/>
      <c r="BQ34" s="11"/>
      <c r="BR34" s="11"/>
      <c r="BS34" s="11"/>
      <c r="BT34" s="12"/>
      <c r="BU34" s="12"/>
      <c r="BV34" s="13"/>
      <c r="BX34" s="14"/>
      <c r="BY34" s="10"/>
      <c r="BZ34" s="11"/>
      <c r="CA34" s="11"/>
      <c r="CB34" s="11"/>
      <c r="CC34" s="12"/>
      <c r="CD34" s="12"/>
      <c r="CE34" s="13"/>
      <c r="CG34" s="14"/>
      <c r="CH34" s="10"/>
      <c r="CI34" s="11"/>
      <c r="CJ34" s="11"/>
      <c r="CK34" s="11"/>
      <c r="CL34" s="12"/>
      <c r="CM34" s="12"/>
      <c r="CN34" s="13"/>
      <c r="CP34" s="13"/>
    </row>
    <row r="35" spans="1:94" x14ac:dyDescent="0.35">
      <c r="A35" s="5">
        <v>28</v>
      </c>
      <c r="B35" s="63">
        <f t="shared" si="6"/>
        <v>4.4999999999999998E-2</v>
      </c>
      <c r="C35" s="28">
        <f>B35+VLOOKUP(Rawdata!A30,Int_rate_movements,2,TRUE)</f>
        <v>4.4999999999999998E-2</v>
      </c>
      <c r="D35" s="28">
        <f>C35+VLOOKUP(Rawdata!B30,Int_rate_movements,2,TRUE)</f>
        <v>4.4999999999999998E-2</v>
      </c>
      <c r="E35" s="28">
        <f>D35+VLOOKUP(Rawdata!C30,Int_rate_movements,2,TRUE)</f>
        <v>4.4999999999999998E-2</v>
      </c>
      <c r="F35" s="28">
        <f>E35+VLOOKUP(Rawdata!D30,Int_rate_movements,2,TRUE)</f>
        <v>4.4999999999999998E-2</v>
      </c>
      <c r="G35" s="28">
        <f>F35+VLOOKUP(Rawdata!E30,Int_rate_movements,2,TRUE)</f>
        <v>4.4999999999999998E-2</v>
      </c>
      <c r="H35" s="28">
        <f>G35+VLOOKUP(Rawdata!F30,Int_rate_movements,2,TRUE)</f>
        <v>4.2499999999999996E-2</v>
      </c>
      <c r="I35" s="28">
        <f>H35+VLOOKUP(Rawdata!G30,Int_rate_movements,2,TRUE)</f>
        <v>4.2499999999999996E-2</v>
      </c>
      <c r="J35" s="28">
        <f>I35+VLOOKUP(Rawdata!H30,Int_rate_movements,2,TRUE)</f>
        <v>4.2499999999999996E-2</v>
      </c>
      <c r="K35" s="28">
        <f>J35+VLOOKUP(Rawdata!I30,Int_rate_movements,2,TRUE)</f>
        <v>4.2499999999999996E-2</v>
      </c>
      <c r="L35" s="28">
        <f>K35+VLOOKUP(Rawdata!J30,Int_rate_movements,2,TRUE)</f>
        <v>4.2499999999999996E-2</v>
      </c>
      <c r="M35" s="28">
        <f>L35+VLOOKUP(Rawdata!K30,Int_rate_movements,2,TRUE)</f>
        <v>4.2499999999999996E-2</v>
      </c>
      <c r="N35" s="28">
        <f>M35+VLOOKUP(Rawdata!L30,Int_rate_movements,2,TRUE)</f>
        <v>4.2499999999999996E-2</v>
      </c>
      <c r="O35" s="28">
        <f>N35+VLOOKUP(Rawdata!M30,Int_rate_movements,2,TRUE)</f>
        <v>4.2499999999999996E-2</v>
      </c>
      <c r="P35" s="28">
        <f>O35+VLOOKUP(Rawdata!N30,Int_rate_movements,2,TRUE)</f>
        <v>4.2499999999999996E-2</v>
      </c>
      <c r="Q35" s="28">
        <f>P35+VLOOKUP(Rawdata!O30,Int_rate_movements,2,TRUE)</f>
        <v>4.2499999999999996E-2</v>
      </c>
      <c r="R35" s="28">
        <f>Q35+VLOOKUP(Rawdata!P30,Int_rate_movements,2,TRUE)</f>
        <v>4.7499999999999994E-2</v>
      </c>
      <c r="S35" s="28">
        <f>R35+VLOOKUP(Rawdata!Q30,Int_rate_movements,2,TRUE)</f>
        <v>4.2499999999999996E-2</v>
      </c>
      <c r="T35" s="28">
        <f>S35+VLOOKUP(Rawdata!R30,Int_rate_movements,2,TRUE)</f>
        <v>4.2499999999999996E-2</v>
      </c>
      <c r="U35" s="28">
        <f>T35+VLOOKUP(Rawdata!S30,Int_rate_movements,2,TRUE)</f>
        <v>4.2499999999999996E-2</v>
      </c>
      <c r="V35" s="28">
        <f>U35+VLOOKUP(Rawdata!T30,Int_rate_movements,2,TRUE)</f>
        <v>4.2499999999999996E-2</v>
      </c>
      <c r="W35" s="28">
        <f>V35+VLOOKUP(Rawdata!U30,Int_rate_movements,2,TRUE)</f>
        <v>4.2499999999999996E-2</v>
      </c>
      <c r="X35" s="28">
        <f>W35+VLOOKUP(Rawdata!V30,Int_rate_movements,2,TRUE)</f>
        <v>4.2499999999999996E-2</v>
      </c>
      <c r="Y35" s="28">
        <f>X35+VLOOKUP(Rawdata!W30,Int_rate_movements,2,TRUE)</f>
        <v>4.2499999999999996E-2</v>
      </c>
      <c r="Z35" s="35">
        <f>Y35+VLOOKUP(Rawdata!X30,Int_rate_movements,2,TRUE)</f>
        <v>4.2499999999999996E-2</v>
      </c>
      <c r="AA35" s="12"/>
      <c r="AB35" s="55">
        <f t="shared" si="7"/>
        <v>4.4097712805242217E-2</v>
      </c>
      <c r="AC35" s="55">
        <f t="shared" si="8"/>
        <v>4.4097712805242217E-2</v>
      </c>
      <c r="AD35" s="55">
        <f t="shared" si="9"/>
        <v>4.4097712805242217E-2</v>
      </c>
      <c r="AE35" s="55">
        <f t="shared" si="10"/>
        <v>4.4097712805242217E-2</v>
      </c>
      <c r="AF35" s="55">
        <f t="shared" si="11"/>
        <v>4.4097712805242217E-2</v>
      </c>
      <c r="AG35" s="55">
        <f t="shared" si="12"/>
        <v>4.4097712805242217E-2</v>
      </c>
      <c r="AH35" s="55">
        <f t="shared" si="13"/>
        <v>4.1693940041970023E-2</v>
      </c>
      <c r="AI35" s="55">
        <f t="shared" si="14"/>
        <v>4.1693940041970023E-2</v>
      </c>
      <c r="AJ35" s="55">
        <f t="shared" si="15"/>
        <v>4.1693940041970023E-2</v>
      </c>
      <c r="AK35" s="55">
        <f t="shared" si="16"/>
        <v>4.1693940041970023E-2</v>
      </c>
      <c r="AL35" s="55">
        <f t="shared" si="17"/>
        <v>4.1693940041970023E-2</v>
      </c>
      <c r="AM35" s="55">
        <f t="shared" si="18"/>
        <v>4.1693940041970023E-2</v>
      </c>
      <c r="AN35" s="55">
        <f t="shared" si="19"/>
        <v>4.1693940041970023E-2</v>
      </c>
      <c r="AO35" s="55">
        <f t="shared" si="20"/>
        <v>4.1693940041970023E-2</v>
      </c>
      <c r="AP35" s="55">
        <f t="shared" si="21"/>
        <v>4.1693940041970023E-2</v>
      </c>
      <c r="AQ35" s="55">
        <f t="shared" si="22"/>
        <v>4.1693940041970023E-2</v>
      </c>
      <c r="AR35" s="55">
        <f t="shared" si="23"/>
        <v>4.6496219905550085E-2</v>
      </c>
      <c r="AS35" s="55">
        <f t="shared" si="24"/>
        <v>4.1693940041970023E-2</v>
      </c>
      <c r="AT35" s="55">
        <f t="shared" si="25"/>
        <v>4.1693940041970023E-2</v>
      </c>
      <c r="AU35" s="55">
        <f t="shared" si="26"/>
        <v>4.1693940041970023E-2</v>
      </c>
      <c r="AV35" s="55">
        <f t="shared" si="27"/>
        <v>4.1693940041970023E-2</v>
      </c>
      <c r="AW35" s="55">
        <f t="shared" si="28"/>
        <v>4.1693940041970023E-2</v>
      </c>
      <c r="AX35" s="55">
        <f t="shared" si="29"/>
        <v>4.1693940041970023E-2</v>
      </c>
      <c r="AY35" s="55">
        <f t="shared" si="30"/>
        <v>4.1693940041970023E-2</v>
      </c>
      <c r="AZ35" s="56">
        <f t="shared" si="31"/>
        <v>4.1693940041970023E-2</v>
      </c>
      <c r="BA35" s="11"/>
      <c r="BB35" s="12"/>
      <c r="BC35" s="12"/>
      <c r="BD35" s="13"/>
      <c r="BF35" s="14"/>
      <c r="BG35" s="10"/>
      <c r="BH35" s="11"/>
      <c r="BI35" s="11"/>
      <c r="BJ35" s="11"/>
      <c r="BK35" s="12"/>
      <c r="BL35" s="12"/>
      <c r="BM35" s="13"/>
      <c r="BO35" s="14"/>
      <c r="BP35" s="10"/>
      <c r="BQ35" s="11"/>
      <c r="BR35" s="11"/>
      <c r="BS35" s="11"/>
      <c r="BT35" s="12"/>
      <c r="BU35" s="12"/>
      <c r="BV35" s="13"/>
      <c r="BX35" s="14"/>
      <c r="BY35" s="10"/>
      <c r="BZ35" s="11"/>
      <c r="CA35" s="11"/>
      <c r="CB35" s="11"/>
      <c r="CC35" s="12"/>
      <c r="CD35" s="12"/>
      <c r="CE35" s="13"/>
      <c r="CG35" s="14"/>
      <c r="CH35" s="10"/>
      <c r="CI35" s="11"/>
      <c r="CJ35" s="11"/>
      <c r="CK35" s="11"/>
      <c r="CL35" s="12"/>
      <c r="CM35" s="12"/>
      <c r="CN35" s="13"/>
      <c r="CP35" s="13"/>
    </row>
    <row r="36" spans="1:94" x14ac:dyDescent="0.35">
      <c r="A36" s="27">
        <v>29</v>
      </c>
      <c r="B36" s="63">
        <f t="shared" si="6"/>
        <v>4.4999999999999998E-2</v>
      </c>
      <c r="C36" s="28">
        <f>B36+VLOOKUP(Rawdata!A31,Int_rate_movements,2,TRUE)</f>
        <v>4.4999999999999998E-2</v>
      </c>
      <c r="D36" s="28">
        <f>C36+VLOOKUP(Rawdata!B31,Int_rate_movements,2,TRUE)</f>
        <v>4.4999999999999998E-2</v>
      </c>
      <c r="E36" s="28">
        <f>D36+VLOOKUP(Rawdata!C31,Int_rate_movements,2,TRUE)</f>
        <v>4.4999999999999998E-2</v>
      </c>
      <c r="F36" s="28">
        <f>E36+VLOOKUP(Rawdata!D31,Int_rate_movements,2,TRUE)</f>
        <v>4.9999999999999996E-2</v>
      </c>
      <c r="G36" s="28">
        <f>F36+VLOOKUP(Rawdata!E31,Int_rate_movements,2,TRUE)</f>
        <v>4.9999999999999996E-2</v>
      </c>
      <c r="H36" s="28">
        <f>G36+VLOOKUP(Rawdata!F31,Int_rate_movements,2,TRUE)</f>
        <v>4.7499999999999994E-2</v>
      </c>
      <c r="I36" s="28">
        <f>H36+VLOOKUP(Rawdata!G31,Int_rate_movements,2,TRUE)</f>
        <v>4.7499999999999994E-2</v>
      </c>
      <c r="J36" s="28">
        <f>I36+VLOOKUP(Rawdata!H31,Int_rate_movements,2,TRUE)</f>
        <v>4.7499999999999994E-2</v>
      </c>
      <c r="K36" s="28">
        <f>J36+VLOOKUP(Rawdata!I31,Int_rate_movements,2,TRUE)</f>
        <v>4.7499999999999994E-2</v>
      </c>
      <c r="L36" s="28">
        <f>K36+VLOOKUP(Rawdata!J31,Int_rate_movements,2,TRUE)</f>
        <v>4.4999999999999991E-2</v>
      </c>
      <c r="M36" s="28">
        <f>L36+VLOOKUP(Rawdata!K31,Int_rate_movements,2,TRUE)</f>
        <v>4.4999999999999991E-2</v>
      </c>
      <c r="N36" s="28">
        <f>M36+VLOOKUP(Rawdata!L31,Int_rate_movements,2,TRUE)</f>
        <v>4.4999999999999991E-2</v>
      </c>
      <c r="O36" s="28">
        <f>N36+VLOOKUP(Rawdata!M31,Int_rate_movements,2,TRUE)</f>
        <v>4.4999999999999991E-2</v>
      </c>
      <c r="P36" s="28">
        <f>O36+VLOOKUP(Rawdata!N31,Int_rate_movements,2,TRUE)</f>
        <v>4.4999999999999991E-2</v>
      </c>
      <c r="Q36" s="28">
        <f>P36+VLOOKUP(Rawdata!O31,Int_rate_movements,2,TRUE)</f>
        <v>4.4999999999999991E-2</v>
      </c>
      <c r="R36" s="28">
        <f>Q36+VLOOKUP(Rawdata!P31,Int_rate_movements,2,TRUE)</f>
        <v>4.7499999999999994E-2</v>
      </c>
      <c r="S36" s="28">
        <f>R36+VLOOKUP(Rawdata!Q31,Int_rate_movements,2,TRUE)</f>
        <v>4.7499999999999994E-2</v>
      </c>
      <c r="T36" s="28">
        <f>S36+VLOOKUP(Rawdata!R31,Int_rate_movements,2,TRUE)</f>
        <v>4.7499999999999994E-2</v>
      </c>
      <c r="U36" s="28">
        <f>T36+VLOOKUP(Rawdata!S31,Int_rate_movements,2,TRUE)</f>
        <v>4.7499999999999994E-2</v>
      </c>
      <c r="V36" s="28">
        <f>U36+VLOOKUP(Rawdata!T31,Int_rate_movements,2,TRUE)</f>
        <v>5.2499999999999991E-2</v>
      </c>
      <c r="W36" s="28">
        <f>V36+VLOOKUP(Rawdata!U31,Int_rate_movements,2,TRUE)</f>
        <v>4.9999999999999989E-2</v>
      </c>
      <c r="X36" s="28">
        <f>W36+VLOOKUP(Rawdata!V31,Int_rate_movements,2,TRUE)</f>
        <v>5.2499999999999991E-2</v>
      </c>
      <c r="Y36" s="28">
        <f>X36+VLOOKUP(Rawdata!W31,Int_rate_movements,2,TRUE)</f>
        <v>5.2499999999999991E-2</v>
      </c>
      <c r="Z36" s="35">
        <f>Y36+VLOOKUP(Rawdata!X31,Int_rate_movements,2,TRUE)</f>
        <v>4.7499999999999994E-2</v>
      </c>
      <c r="AA36" s="12"/>
      <c r="AB36" s="55">
        <f t="shared" si="7"/>
        <v>4.4097712805242217E-2</v>
      </c>
      <c r="AC36" s="55">
        <f t="shared" si="8"/>
        <v>4.4097712805242217E-2</v>
      </c>
      <c r="AD36" s="55">
        <f t="shared" si="9"/>
        <v>4.4097712805242217E-2</v>
      </c>
      <c r="AE36" s="55">
        <f t="shared" si="10"/>
        <v>4.4097712805242217E-2</v>
      </c>
      <c r="AF36" s="55">
        <f t="shared" si="11"/>
        <v>4.8889485403780242E-2</v>
      </c>
      <c r="AG36" s="55">
        <f t="shared" si="12"/>
        <v>4.8889485403780242E-2</v>
      </c>
      <c r="AH36" s="55">
        <f t="shared" si="13"/>
        <v>4.6496219905550085E-2</v>
      </c>
      <c r="AI36" s="55">
        <f t="shared" si="14"/>
        <v>4.6496219905550085E-2</v>
      </c>
      <c r="AJ36" s="55">
        <f t="shared" si="15"/>
        <v>4.6496219905550085E-2</v>
      </c>
      <c r="AK36" s="55">
        <f t="shared" si="16"/>
        <v>4.6496219905550085E-2</v>
      </c>
      <c r="AL36" s="55">
        <f t="shared" si="17"/>
        <v>4.4097712805242217E-2</v>
      </c>
      <c r="AM36" s="55">
        <f t="shared" si="18"/>
        <v>4.4097712805242217E-2</v>
      </c>
      <c r="AN36" s="55">
        <f t="shared" si="19"/>
        <v>4.4097712805242217E-2</v>
      </c>
      <c r="AO36" s="55">
        <f t="shared" si="20"/>
        <v>4.4097712805242217E-2</v>
      </c>
      <c r="AP36" s="55">
        <f t="shared" si="21"/>
        <v>4.4097712805242217E-2</v>
      </c>
      <c r="AQ36" s="55">
        <f t="shared" si="22"/>
        <v>4.4097712805242217E-2</v>
      </c>
      <c r="AR36" s="55">
        <f t="shared" si="23"/>
        <v>4.6496219905550085E-2</v>
      </c>
      <c r="AS36" s="55">
        <f t="shared" si="24"/>
        <v>4.6496219905550085E-2</v>
      </c>
      <c r="AT36" s="55">
        <f t="shared" si="25"/>
        <v>4.6496219905550085E-2</v>
      </c>
      <c r="AU36" s="55">
        <f t="shared" si="26"/>
        <v>4.6496219905550085E-2</v>
      </c>
      <c r="AV36" s="55">
        <f t="shared" si="27"/>
        <v>5.1277533193896829E-2</v>
      </c>
      <c r="AW36" s="55">
        <f t="shared" si="28"/>
        <v>4.8889485403780242E-2</v>
      </c>
      <c r="AX36" s="55">
        <f t="shared" si="29"/>
        <v>5.1277533193896829E-2</v>
      </c>
      <c r="AY36" s="55">
        <f t="shared" si="30"/>
        <v>5.1277533193896829E-2</v>
      </c>
      <c r="AZ36" s="56">
        <f t="shared" si="31"/>
        <v>4.6496219905550085E-2</v>
      </c>
      <c r="BA36" s="11"/>
      <c r="BB36" s="12"/>
      <c r="BC36" s="12"/>
      <c r="BD36" s="13"/>
      <c r="BF36" s="14"/>
      <c r="BG36" s="10"/>
      <c r="BH36" s="11"/>
      <c r="BI36" s="11"/>
      <c r="BJ36" s="11"/>
      <c r="BK36" s="12"/>
      <c r="BL36" s="12"/>
      <c r="BM36" s="13"/>
      <c r="BO36" s="14"/>
      <c r="BP36" s="10"/>
      <c r="BQ36" s="11"/>
      <c r="BR36" s="11"/>
      <c r="BS36" s="11"/>
      <c r="BT36" s="12"/>
      <c r="BU36" s="12"/>
      <c r="BV36" s="13"/>
      <c r="BX36" s="14"/>
      <c r="BY36" s="10"/>
      <c r="BZ36" s="11"/>
      <c r="CA36" s="11"/>
      <c r="CB36" s="11"/>
      <c r="CC36" s="12"/>
      <c r="CD36" s="12"/>
      <c r="CE36" s="13"/>
      <c r="CG36" s="14"/>
      <c r="CH36" s="10"/>
      <c r="CI36" s="11"/>
      <c r="CJ36" s="11"/>
      <c r="CK36" s="11"/>
      <c r="CL36" s="12"/>
      <c r="CM36" s="12"/>
      <c r="CN36" s="13"/>
      <c r="CP36" s="13"/>
    </row>
    <row r="37" spans="1:94" x14ac:dyDescent="0.35">
      <c r="A37" s="5">
        <v>30</v>
      </c>
      <c r="B37" s="63">
        <f t="shared" si="6"/>
        <v>4.4999999999999998E-2</v>
      </c>
      <c r="C37" s="28">
        <f>B37+VLOOKUP(Rawdata!A32,Int_rate_movements,2,TRUE)</f>
        <v>4.7500000000000001E-2</v>
      </c>
      <c r="D37" s="28">
        <f>C37+VLOOKUP(Rawdata!B32,Int_rate_movements,2,TRUE)</f>
        <v>4.2500000000000003E-2</v>
      </c>
      <c r="E37" s="28">
        <f>D37+VLOOKUP(Rawdata!C32,Int_rate_movements,2,TRUE)</f>
        <v>0.04</v>
      </c>
      <c r="F37" s="28">
        <f>E37+VLOOKUP(Rawdata!D32,Int_rate_movements,2,TRUE)</f>
        <v>0.04</v>
      </c>
      <c r="G37" s="28">
        <f>F37+VLOOKUP(Rawdata!E32,Int_rate_movements,2,TRUE)</f>
        <v>0.04</v>
      </c>
      <c r="H37" s="28">
        <f>G37+VLOOKUP(Rawdata!F32,Int_rate_movements,2,TRUE)</f>
        <v>0.04</v>
      </c>
      <c r="I37" s="28">
        <f>H37+VLOOKUP(Rawdata!G32,Int_rate_movements,2,TRUE)</f>
        <v>0.04</v>
      </c>
      <c r="J37" s="28">
        <f>I37+VLOOKUP(Rawdata!H32,Int_rate_movements,2,TRUE)</f>
        <v>0.04</v>
      </c>
      <c r="K37" s="28">
        <f>J37+VLOOKUP(Rawdata!I32,Int_rate_movements,2,TRUE)</f>
        <v>3.5000000000000003E-2</v>
      </c>
      <c r="L37" s="28">
        <f>K37+VLOOKUP(Rawdata!J32,Int_rate_movements,2,TRUE)</f>
        <v>3.5000000000000003E-2</v>
      </c>
      <c r="M37" s="28">
        <f>L37+VLOOKUP(Rawdata!K32,Int_rate_movements,2,TRUE)</f>
        <v>3.5000000000000003E-2</v>
      </c>
      <c r="N37" s="28">
        <f>M37+VLOOKUP(Rawdata!L32,Int_rate_movements,2,TRUE)</f>
        <v>3.5000000000000003E-2</v>
      </c>
      <c r="O37" s="28">
        <f>N37+VLOOKUP(Rawdata!M32,Int_rate_movements,2,TRUE)</f>
        <v>3.5000000000000003E-2</v>
      </c>
      <c r="P37" s="28">
        <f>O37+VLOOKUP(Rawdata!N32,Int_rate_movements,2,TRUE)</f>
        <v>3.7500000000000006E-2</v>
      </c>
      <c r="Q37" s="28">
        <f>P37+VLOOKUP(Rawdata!O32,Int_rate_movements,2,TRUE)</f>
        <v>3.7500000000000006E-2</v>
      </c>
      <c r="R37" s="28">
        <f>Q37+VLOOKUP(Rawdata!P32,Int_rate_movements,2,TRUE)</f>
        <v>3.7500000000000006E-2</v>
      </c>
      <c r="S37" s="28">
        <f>R37+VLOOKUP(Rawdata!Q32,Int_rate_movements,2,TRUE)</f>
        <v>3.7500000000000006E-2</v>
      </c>
      <c r="T37" s="28">
        <f>S37+VLOOKUP(Rawdata!R32,Int_rate_movements,2,TRUE)</f>
        <v>3.7500000000000006E-2</v>
      </c>
      <c r="U37" s="28">
        <f>T37+VLOOKUP(Rawdata!S32,Int_rate_movements,2,TRUE)</f>
        <v>3.7500000000000006E-2</v>
      </c>
      <c r="V37" s="28">
        <f>U37+VLOOKUP(Rawdata!T32,Int_rate_movements,2,TRUE)</f>
        <v>3.7500000000000006E-2</v>
      </c>
      <c r="W37" s="28">
        <f>V37+VLOOKUP(Rawdata!U32,Int_rate_movements,2,TRUE)</f>
        <v>3.7500000000000006E-2</v>
      </c>
      <c r="X37" s="28">
        <f>W37+VLOOKUP(Rawdata!V32,Int_rate_movements,2,TRUE)</f>
        <v>3.7500000000000006E-2</v>
      </c>
      <c r="Y37" s="28">
        <f>X37+VLOOKUP(Rawdata!W32,Int_rate_movements,2,TRUE)</f>
        <v>3.5000000000000003E-2</v>
      </c>
      <c r="Z37" s="35">
        <f>Y37+VLOOKUP(Rawdata!X32,Int_rate_movements,2,TRUE)</f>
        <v>3.5000000000000003E-2</v>
      </c>
      <c r="AA37" s="12"/>
      <c r="AB37" s="55">
        <f t="shared" si="7"/>
        <v>4.4097712805242217E-2</v>
      </c>
      <c r="AC37" s="55">
        <f t="shared" si="8"/>
        <v>4.6496219905550085E-2</v>
      </c>
      <c r="AD37" s="55">
        <f t="shared" si="9"/>
        <v>4.1693940041970023E-2</v>
      </c>
      <c r="AE37" s="55">
        <f t="shared" si="10"/>
        <v>3.9284877386386974E-2</v>
      </c>
      <c r="AF37" s="55">
        <f t="shared" si="11"/>
        <v>3.9284877386386974E-2</v>
      </c>
      <c r="AG37" s="55">
        <f t="shared" si="12"/>
        <v>3.9284877386386974E-2</v>
      </c>
      <c r="AH37" s="55">
        <f t="shared" si="13"/>
        <v>3.9284877386386974E-2</v>
      </c>
      <c r="AI37" s="55">
        <f t="shared" si="14"/>
        <v>3.9284877386386974E-2</v>
      </c>
      <c r="AJ37" s="55">
        <f t="shared" si="15"/>
        <v>3.9284877386386974E-2</v>
      </c>
      <c r="AK37" s="55">
        <f t="shared" si="16"/>
        <v>3.4450784628919706E-2</v>
      </c>
      <c r="AL37" s="55">
        <f t="shared" si="17"/>
        <v>3.4450784628919706E-2</v>
      </c>
      <c r="AM37" s="55">
        <f t="shared" si="18"/>
        <v>3.4450784628919706E-2</v>
      </c>
      <c r="AN37" s="55">
        <f t="shared" si="19"/>
        <v>3.4450784628919706E-2</v>
      </c>
      <c r="AO37" s="55">
        <f t="shared" si="20"/>
        <v>3.4450784628919706E-2</v>
      </c>
      <c r="AP37" s="55">
        <f t="shared" si="21"/>
        <v>3.6870500439066589E-2</v>
      </c>
      <c r="AQ37" s="55">
        <f t="shared" si="22"/>
        <v>3.6870500439066589E-2</v>
      </c>
      <c r="AR37" s="55">
        <f t="shared" si="23"/>
        <v>3.6870500439066589E-2</v>
      </c>
      <c r="AS37" s="55">
        <f t="shared" si="24"/>
        <v>3.6870500439066589E-2</v>
      </c>
      <c r="AT37" s="55">
        <f t="shared" si="25"/>
        <v>3.6870500439066589E-2</v>
      </c>
      <c r="AU37" s="55">
        <f t="shared" si="26"/>
        <v>3.6870500439066589E-2</v>
      </c>
      <c r="AV37" s="55">
        <f t="shared" si="27"/>
        <v>3.6870500439066589E-2</v>
      </c>
      <c r="AW37" s="55">
        <f t="shared" si="28"/>
        <v>3.6870500439066589E-2</v>
      </c>
      <c r="AX37" s="55">
        <f t="shared" si="29"/>
        <v>3.6870500439066589E-2</v>
      </c>
      <c r="AY37" s="55">
        <f t="shared" si="30"/>
        <v>3.4450784628919706E-2</v>
      </c>
      <c r="AZ37" s="56">
        <f t="shared" si="31"/>
        <v>3.4450784628919706E-2</v>
      </c>
      <c r="BA37" s="11"/>
      <c r="BB37" s="12"/>
      <c r="BC37" s="12"/>
      <c r="BD37" s="13"/>
      <c r="BF37" s="14"/>
      <c r="BG37" s="10"/>
      <c r="BH37" s="11"/>
      <c r="BI37" s="11"/>
      <c r="BJ37" s="11"/>
      <c r="BK37" s="12"/>
      <c r="BL37" s="12"/>
      <c r="BM37" s="13"/>
      <c r="BO37" s="14"/>
      <c r="BP37" s="10"/>
      <c r="BQ37" s="11"/>
      <c r="BR37" s="11"/>
      <c r="BS37" s="11"/>
      <c r="BT37" s="12"/>
      <c r="BU37" s="12"/>
      <c r="BV37" s="13"/>
      <c r="BX37" s="14"/>
      <c r="BY37" s="10"/>
      <c r="BZ37" s="11"/>
      <c r="CA37" s="11"/>
      <c r="CB37" s="11"/>
      <c r="CC37" s="12"/>
      <c r="CD37" s="12"/>
      <c r="CE37" s="13"/>
      <c r="CG37" s="14"/>
      <c r="CH37" s="10"/>
      <c r="CI37" s="11"/>
      <c r="CJ37" s="11"/>
      <c r="CK37" s="11"/>
      <c r="CL37" s="12"/>
      <c r="CM37" s="12"/>
      <c r="CN37" s="13"/>
      <c r="CP37" s="13"/>
    </row>
    <row r="38" spans="1:94" x14ac:dyDescent="0.35">
      <c r="A38" s="27">
        <v>31</v>
      </c>
      <c r="B38" s="63">
        <f t="shared" si="6"/>
        <v>4.4999999999999998E-2</v>
      </c>
      <c r="C38" s="28">
        <f>B38+VLOOKUP(Rawdata!A33,Int_rate_movements,2,TRUE)</f>
        <v>4.7500000000000001E-2</v>
      </c>
      <c r="D38" s="28">
        <f>C38+VLOOKUP(Rawdata!B33,Int_rate_movements,2,TRUE)</f>
        <v>4.7500000000000001E-2</v>
      </c>
      <c r="E38" s="28">
        <f>D38+VLOOKUP(Rawdata!C33,Int_rate_movements,2,TRUE)</f>
        <v>4.7500000000000001E-2</v>
      </c>
      <c r="F38" s="28">
        <f>E38+VLOOKUP(Rawdata!D33,Int_rate_movements,2,TRUE)</f>
        <v>4.7500000000000001E-2</v>
      </c>
      <c r="G38" s="28">
        <f>F38+VLOOKUP(Rawdata!E33,Int_rate_movements,2,TRUE)</f>
        <v>4.7500000000000001E-2</v>
      </c>
      <c r="H38" s="28">
        <f>G38+VLOOKUP(Rawdata!F33,Int_rate_movements,2,TRUE)</f>
        <v>4.7500000000000001E-2</v>
      </c>
      <c r="I38" s="28">
        <f>H38+VLOOKUP(Rawdata!G33,Int_rate_movements,2,TRUE)</f>
        <v>4.7500000000000001E-2</v>
      </c>
      <c r="J38" s="28">
        <f>I38+VLOOKUP(Rawdata!H33,Int_rate_movements,2,TRUE)</f>
        <v>4.4999999999999998E-2</v>
      </c>
      <c r="K38" s="28">
        <f>J38+VLOOKUP(Rawdata!I33,Int_rate_movements,2,TRUE)</f>
        <v>4.2499999999999996E-2</v>
      </c>
      <c r="L38" s="28">
        <f>K38+VLOOKUP(Rawdata!J33,Int_rate_movements,2,TRUE)</f>
        <v>4.2499999999999996E-2</v>
      </c>
      <c r="M38" s="28">
        <f>L38+VLOOKUP(Rawdata!K33,Int_rate_movements,2,TRUE)</f>
        <v>4.2499999999999996E-2</v>
      </c>
      <c r="N38" s="28">
        <f>M38+VLOOKUP(Rawdata!L33,Int_rate_movements,2,TRUE)</f>
        <v>4.2499999999999996E-2</v>
      </c>
      <c r="O38" s="28">
        <f>N38+VLOOKUP(Rawdata!M33,Int_rate_movements,2,TRUE)</f>
        <v>4.2499999999999996E-2</v>
      </c>
      <c r="P38" s="28">
        <f>O38+VLOOKUP(Rawdata!N33,Int_rate_movements,2,TRUE)</f>
        <v>4.2499999999999996E-2</v>
      </c>
      <c r="Q38" s="28">
        <f>P38+VLOOKUP(Rawdata!O33,Int_rate_movements,2,TRUE)</f>
        <v>4.2499999999999996E-2</v>
      </c>
      <c r="R38" s="28">
        <f>Q38+VLOOKUP(Rawdata!P33,Int_rate_movements,2,TRUE)</f>
        <v>4.2499999999999996E-2</v>
      </c>
      <c r="S38" s="28">
        <f>R38+VLOOKUP(Rawdata!Q33,Int_rate_movements,2,TRUE)</f>
        <v>4.2499999999999996E-2</v>
      </c>
      <c r="T38" s="28">
        <f>S38+VLOOKUP(Rawdata!R33,Int_rate_movements,2,TRUE)</f>
        <v>4.2499999999999996E-2</v>
      </c>
      <c r="U38" s="28">
        <f>T38+VLOOKUP(Rawdata!S33,Int_rate_movements,2,TRUE)</f>
        <v>4.2499999999999996E-2</v>
      </c>
      <c r="V38" s="28">
        <f>U38+VLOOKUP(Rawdata!T33,Int_rate_movements,2,TRUE)</f>
        <v>4.2499999999999996E-2</v>
      </c>
      <c r="W38" s="28">
        <f>V38+VLOOKUP(Rawdata!U33,Int_rate_movements,2,TRUE)</f>
        <v>4.2499999999999996E-2</v>
      </c>
      <c r="X38" s="28">
        <f>W38+VLOOKUP(Rawdata!V33,Int_rate_movements,2,TRUE)</f>
        <v>4.2499999999999996E-2</v>
      </c>
      <c r="Y38" s="28">
        <f>X38+VLOOKUP(Rawdata!W33,Int_rate_movements,2,TRUE)</f>
        <v>4.2499999999999996E-2</v>
      </c>
      <c r="Z38" s="35">
        <f>Y38+VLOOKUP(Rawdata!X33,Int_rate_movements,2,TRUE)</f>
        <v>3.9999999999999994E-2</v>
      </c>
      <c r="AA38" s="12"/>
      <c r="AB38" s="55">
        <f t="shared" si="7"/>
        <v>4.4097712805242217E-2</v>
      </c>
      <c r="AC38" s="55">
        <f t="shared" si="8"/>
        <v>4.6496219905550085E-2</v>
      </c>
      <c r="AD38" s="55">
        <f t="shared" si="9"/>
        <v>4.6496219905550085E-2</v>
      </c>
      <c r="AE38" s="55">
        <f t="shared" si="10"/>
        <v>4.6496219905550085E-2</v>
      </c>
      <c r="AF38" s="55">
        <f t="shared" si="11"/>
        <v>4.6496219905550085E-2</v>
      </c>
      <c r="AG38" s="55">
        <f t="shared" si="12"/>
        <v>4.6496219905550085E-2</v>
      </c>
      <c r="AH38" s="55">
        <f t="shared" si="13"/>
        <v>4.6496219905550085E-2</v>
      </c>
      <c r="AI38" s="55">
        <f t="shared" si="14"/>
        <v>4.6496219905550085E-2</v>
      </c>
      <c r="AJ38" s="55">
        <f t="shared" si="15"/>
        <v>4.4097712805242217E-2</v>
      </c>
      <c r="AK38" s="55">
        <f t="shared" si="16"/>
        <v>4.1693940041970023E-2</v>
      </c>
      <c r="AL38" s="55">
        <f t="shared" si="17"/>
        <v>4.1693940041970023E-2</v>
      </c>
      <c r="AM38" s="55">
        <f t="shared" si="18"/>
        <v>4.1693940041970023E-2</v>
      </c>
      <c r="AN38" s="55">
        <f t="shared" si="19"/>
        <v>4.1693940041970023E-2</v>
      </c>
      <c r="AO38" s="55">
        <f t="shared" si="20"/>
        <v>4.1693940041970023E-2</v>
      </c>
      <c r="AP38" s="55">
        <f t="shared" si="21"/>
        <v>4.1693940041970023E-2</v>
      </c>
      <c r="AQ38" s="55">
        <f t="shared" si="22"/>
        <v>4.1693940041970023E-2</v>
      </c>
      <c r="AR38" s="55">
        <f t="shared" si="23"/>
        <v>4.1693940041970023E-2</v>
      </c>
      <c r="AS38" s="55">
        <f t="shared" si="24"/>
        <v>4.1693940041970023E-2</v>
      </c>
      <c r="AT38" s="55">
        <f t="shared" si="25"/>
        <v>4.1693940041970023E-2</v>
      </c>
      <c r="AU38" s="55">
        <f t="shared" si="26"/>
        <v>4.1693940041970023E-2</v>
      </c>
      <c r="AV38" s="55">
        <f t="shared" si="27"/>
        <v>4.1693940041970023E-2</v>
      </c>
      <c r="AW38" s="55">
        <f t="shared" si="28"/>
        <v>4.1693940041970023E-2</v>
      </c>
      <c r="AX38" s="55">
        <f t="shared" si="29"/>
        <v>4.1693940041970023E-2</v>
      </c>
      <c r="AY38" s="55">
        <f t="shared" si="30"/>
        <v>4.1693940041970023E-2</v>
      </c>
      <c r="AZ38" s="56">
        <f t="shared" si="31"/>
        <v>3.9284877386386974E-2</v>
      </c>
      <c r="BA38" s="11"/>
      <c r="BB38" s="12"/>
      <c r="BC38" s="12"/>
      <c r="BD38" s="13"/>
      <c r="BF38" s="14"/>
      <c r="BG38" s="10"/>
      <c r="BH38" s="11"/>
      <c r="BI38" s="11"/>
      <c r="BJ38" s="11"/>
      <c r="BK38" s="12"/>
      <c r="BL38" s="12"/>
      <c r="BM38" s="13"/>
      <c r="BO38" s="14"/>
      <c r="BP38" s="10"/>
      <c r="BQ38" s="11"/>
      <c r="BR38" s="11"/>
      <c r="BS38" s="11"/>
      <c r="BT38" s="12"/>
      <c r="BU38" s="12"/>
      <c r="BV38" s="13"/>
      <c r="BX38" s="14"/>
      <c r="BY38" s="10"/>
      <c r="BZ38" s="11"/>
      <c r="CA38" s="11"/>
      <c r="CB38" s="11"/>
      <c r="CC38" s="12"/>
      <c r="CD38" s="12"/>
      <c r="CE38" s="13"/>
      <c r="CG38" s="14"/>
      <c r="CH38" s="10"/>
      <c r="CI38" s="11"/>
      <c r="CJ38" s="11"/>
      <c r="CK38" s="11"/>
      <c r="CL38" s="12"/>
      <c r="CM38" s="12"/>
      <c r="CN38" s="13"/>
      <c r="CP38" s="13"/>
    </row>
    <row r="39" spans="1:94" x14ac:dyDescent="0.35">
      <c r="A39" s="5">
        <v>32</v>
      </c>
      <c r="B39" s="63">
        <f t="shared" si="6"/>
        <v>4.4999999999999998E-2</v>
      </c>
      <c r="C39" s="28">
        <f>B39+VLOOKUP(Rawdata!A34,Int_rate_movements,2,TRUE)</f>
        <v>4.4999999999999998E-2</v>
      </c>
      <c r="D39" s="28">
        <f>C39+VLOOKUP(Rawdata!B34,Int_rate_movements,2,TRUE)</f>
        <v>4.4999999999999998E-2</v>
      </c>
      <c r="E39" s="28">
        <f>D39+VLOOKUP(Rawdata!C34,Int_rate_movements,2,TRUE)</f>
        <v>4.4999999999999998E-2</v>
      </c>
      <c r="F39" s="28">
        <f>E39+VLOOKUP(Rawdata!D34,Int_rate_movements,2,TRUE)</f>
        <v>4.7500000000000001E-2</v>
      </c>
      <c r="G39" s="28">
        <f>F39+VLOOKUP(Rawdata!E34,Int_rate_movements,2,TRUE)</f>
        <v>4.7500000000000001E-2</v>
      </c>
      <c r="H39" s="28">
        <f>G39+VLOOKUP(Rawdata!F34,Int_rate_movements,2,TRUE)</f>
        <v>4.7500000000000001E-2</v>
      </c>
      <c r="I39" s="28">
        <f>H39+VLOOKUP(Rawdata!G34,Int_rate_movements,2,TRUE)</f>
        <v>4.7500000000000001E-2</v>
      </c>
      <c r="J39" s="28">
        <f>I39+VLOOKUP(Rawdata!H34,Int_rate_movements,2,TRUE)</f>
        <v>4.7500000000000001E-2</v>
      </c>
      <c r="K39" s="28">
        <f>J39+VLOOKUP(Rawdata!I34,Int_rate_movements,2,TRUE)</f>
        <v>4.7500000000000001E-2</v>
      </c>
      <c r="L39" s="28">
        <f>K39+VLOOKUP(Rawdata!J34,Int_rate_movements,2,TRUE)</f>
        <v>4.2500000000000003E-2</v>
      </c>
      <c r="M39" s="28">
        <f>L39+VLOOKUP(Rawdata!K34,Int_rate_movements,2,TRUE)</f>
        <v>4.5000000000000005E-2</v>
      </c>
      <c r="N39" s="28">
        <f>M39+VLOOKUP(Rawdata!L34,Int_rate_movements,2,TRUE)</f>
        <v>4.5000000000000005E-2</v>
      </c>
      <c r="O39" s="28">
        <f>N39+VLOOKUP(Rawdata!M34,Int_rate_movements,2,TRUE)</f>
        <v>4.5000000000000005E-2</v>
      </c>
      <c r="P39" s="28">
        <f>O39+VLOOKUP(Rawdata!N34,Int_rate_movements,2,TRUE)</f>
        <v>4.5000000000000005E-2</v>
      </c>
      <c r="Q39" s="28">
        <f>P39+VLOOKUP(Rawdata!O34,Int_rate_movements,2,TRUE)</f>
        <v>4.5000000000000005E-2</v>
      </c>
      <c r="R39" s="28">
        <f>Q39+VLOOKUP(Rawdata!P34,Int_rate_movements,2,TRUE)</f>
        <v>4.5000000000000005E-2</v>
      </c>
      <c r="S39" s="28">
        <f>R39+VLOOKUP(Rawdata!Q34,Int_rate_movements,2,TRUE)</f>
        <v>4.5000000000000005E-2</v>
      </c>
      <c r="T39" s="28">
        <f>S39+VLOOKUP(Rawdata!R34,Int_rate_movements,2,TRUE)</f>
        <v>4.2500000000000003E-2</v>
      </c>
      <c r="U39" s="28">
        <f>T39+VLOOKUP(Rawdata!S34,Int_rate_movements,2,TRUE)</f>
        <v>4.2500000000000003E-2</v>
      </c>
      <c r="V39" s="28">
        <f>U39+VLOOKUP(Rawdata!T34,Int_rate_movements,2,TRUE)</f>
        <v>4.2500000000000003E-2</v>
      </c>
      <c r="W39" s="28">
        <f>V39+VLOOKUP(Rawdata!U34,Int_rate_movements,2,TRUE)</f>
        <v>4.5000000000000005E-2</v>
      </c>
      <c r="X39" s="28">
        <f>W39+VLOOKUP(Rawdata!V34,Int_rate_movements,2,TRUE)</f>
        <v>4.5000000000000005E-2</v>
      </c>
      <c r="Y39" s="28">
        <f>X39+VLOOKUP(Rawdata!W34,Int_rate_movements,2,TRUE)</f>
        <v>4.5000000000000005E-2</v>
      </c>
      <c r="Z39" s="35">
        <f>Y39+VLOOKUP(Rawdata!X34,Int_rate_movements,2,TRUE)</f>
        <v>4.5000000000000005E-2</v>
      </c>
      <c r="AA39" s="12"/>
      <c r="AB39" s="55">
        <f t="shared" si="7"/>
        <v>4.4097712805242217E-2</v>
      </c>
      <c r="AC39" s="55">
        <f t="shared" si="8"/>
        <v>4.4097712805242217E-2</v>
      </c>
      <c r="AD39" s="55">
        <f t="shared" si="9"/>
        <v>4.4097712805242217E-2</v>
      </c>
      <c r="AE39" s="55">
        <f t="shared" si="10"/>
        <v>4.4097712805242217E-2</v>
      </c>
      <c r="AF39" s="55">
        <f t="shared" si="11"/>
        <v>4.6496219905550085E-2</v>
      </c>
      <c r="AG39" s="55">
        <f t="shared" si="12"/>
        <v>4.6496219905550085E-2</v>
      </c>
      <c r="AH39" s="55">
        <f t="shared" si="13"/>
        <v>4.6496219905550085E-2</v>
      </c>
      <c r="AI39" s="55">
        <f t="shared" si="14"/>
        <v>4.6496219905550085E-2</v>
      </c>
      <c r="AJ39" s="55">
        <f t="shared" si="15"/>
        <v>4.6496219905550085E-2</v>
      </c>
      <c r="AK39" s="55">
        <f t="shared" si="16"/>
        <v>4.6496219905550085E-2</v>
      </c>
      <c r="AL39" s="55">
        <f t="shared" si="17"/>
        <v>4.1693940041970023E-2</v>
      </c>
      <c r="AM39" s="55">
        <f t="shared" si="18"/>
        <v>4.4097712805242217E-2</v>
      </c>
      <c r="AN39" s="55">
        <f t="shared" si="19"/>
        <v>4.4097712805242217E-2</v>
      </c>
      <c r="AO39" s="55">
        <f t="shared" si="20"/>
        <v>4.4097712805242217E-2</v>
      </c>
      <c r="AP39" s="55">
        <f t="shared" si="21"/>
        <v>4.4097712805242217E-2</v>
      </c>
      <c r="AQ39" s="55">
        <f t="shared" si="22"/>
        <v>4.4097712805242217E-2</v>
      </c>
      <c r="AR39" s="55">
        <f t="shared" si="23"/>
        <v>4.4097712805242217E-2</v>
      </c>
      <c r="AS39" s="55">
        <f t="shared" si="24"/>
        <v>4.4097712805242217E-2</v>
      </c>
      <c r="AT39" s="55">
        <f t="shared" si="25"/>
        <v>4.1693940041970023E-2</v>
      </c>
      <c r="AU39" s="55">
        <f t="shared" si="26"/>
        <v>4.1693940041970023E-2</v>
      </c>
      <c r="AV39" s="55">
        <f t="shared" si="27"/>
        <v>4.1693940041970023E-2</v>
      </c>
      <c r="AW39" s="55">
        <f t="shared" si="28"/>
        <v>4.4097712805242217E-2</v>
      </c>
      <c r="AX39" s="55">
        <f t="shared" si="29"/>
        <v>4.4097712805242217E-2</v>
      </c>
      <c r="AY39" s="55">
        <f t="shared" si="30"/>
        <v>4.4097712805242217E-2</v>
      </c>
      <c r="AZ39" s="56">
        <f t="shared" si="31"/>
        <v>4.4097712805242217E-2</v>
      </c>
      <c r="BA39" s="11"/>
      <c r="BB39" s="12"/>
      <c r="BC39" s="12"/>
      <c r="BD39" s="13"/>
      <c r="BF39" s="14"/>
      <c r="BG39" s="10"/>
      <c r="BH39" s="11"/>
      <c r="BI39" s="11"/>
      <c r="BJ39" s="11"/>
      <c r="BK39" s="12"/>
      <c r="BL39" s="12"/>
      <c r="BM39" s="13"/>
      <c r="BO39" s="14"/>
      <c r="BP39" s="10"/>
      <c r="BQ39" s="11"/>
      <c r="BR39" s="11"/>
      <c r="BS39" s="11"/>
      <c r="BT39" s="12"/>
      <c r="BU39" s="12"/>
      <c r="BV39" s="13"/>
      <c r="BX39" s="14"/>
      <c r="BY39" s="10"/>
      <c r="BZ39" s="11"/>
      <c r="CA39" s="11"/>
      <c r="CB39" s="11"/>
      <c r="CC39" s="12"/>
      <c r="CD39" s="12"/>
      <c r="CE39" s="13"/>
      <c r="CG39" s="14"/>
      <c r="CH39" s="10"/>
      <c r="CI39" s="11"/>
      <c r="CJ39" s="11"/>
      <c r="CK39" s="11"/>
      <c r="CL39" s="12"/>
      <c r="CM39" s="12"/>
      <c r="CN39" s="13"/>
      <c r="CP39" s="13"/>
    </row>
    <row r="40" spans="1:94" x14ac:dyDescent="0.35">
      <c r="A40" s="27">
        <v>33</v>
      </c>
      <c r="B40" s="63">
        <f t="shared" ref="B40:B71" si="32">Base_int_rate</f>
        <v>4.4999999999999998E-2</v>
      </c>
      <c r="C40" s="28">
        <f>B40+VLOOKUP(Rawdata!A35,Int_rate_movements,2,TRUE)</f>
        <v>4.4999999999999998E-2</v>
      </c>
      <c r="D40" s="28">
        <f>C40+VLOOKUP(Rawdata!B35,Int_rate_movements,2,TRUE)</f>
        <v>4.4999999999999998E-2</v>
      </c>
      <c r="E40" s="28">
        <f>D40+VLOOKUP(Rawdata!C35,Int_rate_movements,2,TRUE)</f>
        <v>4.4999999999999998E-2</v>
      </c>
      <c r="F40" s="28">
        <f>E40+VLOOKUP(Rawdata!D35,Int_rate_movements,2,TRUE)</f>
        <v>4.4999999999999998E-2</v>
      </c>
      <c r="G40" s="28">
        <f>F40+VLOOKUP(Rawdata!E35,Int_rate_movements,2,TRUE)</f>
        <v>4.4999999999999998E-2</v>
      </c>
      <c r="H40" s="28">
        <f>G40+VLOOKUP(Rawdata!F35,Int_rate_movements,2,TRUE)</f>
        <v>4.4999999999999998E-2</v>
      </c>
      <c r="I40" s="28">
        <f>H40+VLOOKUP(Rawdata!G35,Int_rate_movements,2,TRUE)</f>
        <v>4.4999999999999998E-2</v>
      </c>
      <c r="J40" s="28">
        <f>I40+VLOOKUP(Rawdata!H35,Int_rate_movements,2,TRUE)</f>
        <v>4.4999999999999998E-2</v>
      </c>
      <c r="K40" s="28">
        <f>J40+VLOOKUP(Rawdata!I35,Int_rate_movements,2,TRUE)</f>
        <v>4.4999999999999998E-2</v>
      </c>
      <c r="L40" s="28">
        <f>K40+VLOOKUP(Rawdata!J35,Int_rate_movements,2,TRUE)</f>
        <v>0.04</v>
      </c>
      <c r="M40" s="28">
        <f>L40+VLOOKUP(Rawdata!K35,Int_rate_movements,2,TRUE)</f>
        <v>0.04</v>
      </c>
      <c r="N40" s="28">
        <f>M40+VLOOKUP(Rawdata!L35,Int_rate_movements,2,TRUE)</f>
        <v>0.04</v>
      </c>
      <c r="O40" s="28">
        <f>N40+VLOOKUP(Rawdata!M35,Int_rate_movements,2,TRUE)</f>
        <v>0.04</v>
      </c>
      <c r="P40" s="28">
        <f>O40+VLOOKUP(Rawdata!N35,Int_rate_movements,2,TRUE)</f>
        <v>0.04</v>
      </c>
      <c r="Q40" s="28">
        <f>P40+VLOOKUP(Rawdata!O35,Int_rate_movements,2,TRUE)</f>
        <v>0.04</v>
      </c>
      <c r="R40" s="28">
        <f>Q40+VLOOKUP(Rawdata!P35,Int_rate_movements,2,TRUE)</f>
        <v>0.04</v>
      </c>
      <c r="S40" s="28">
        <f>R40+VLOOKUP(Rawdata!Q35,Int_rate_movements,2,TRUE)</f>
        <v>0.04</v>
      </c>
      <c r="T40" s="28">
        <f>S40+VLOOKUP(Rawdata!R35,Int_rate_movements,2,TRUE)</f>
        <v>0.04</v>
      </c>
      <c r="U40" s="28">
        <f>T40+VLOOKUP(Rawdata!S35,Int_rate_movements,2,TRUE)</f>
        <v>3.5000000000000003E-2</v>
      </c>
      <c r="V40" s="28">
        <f>U40+VLOOKUP(Rawdata!T35,Int_rate_movements,2,TRUE)</f>
        <v>3.5000000000000003E-2</v>
      </c>
      <c r="W40" s="28">
        <f>V40+VLOOKUP(Rawdata!U35,Int_rate_movements,2,TRUE)</f>
        <v>3.5000000000000003E-2</v>
      </c>
      <c r="X40" s="28">
        <f>W40+VLOOKUP(Rawdata!V35,Int_rate_movements,2,TRUE)</f>
        <v>3.5000000000000003E-2</v>
      </c>
      <c r="Y40" s="28">
        <f>X40+VLOOKUP(Rawdata!W35,Int_rate_movements,2,TRUE)</f>
        <v>3.5000000000000003E-2</v>
      </c>
      <c r="Z40" s="35">
        <f>Y40+VLOOKUP(Rawdata!X35,Int_rate_movements,2,TRUE)</f>
        <v>3.7500000000000006E-2</v>
      </c>
      <c r="AA40" s="12"/>
      <c r="AB40" s="55">
        <f t="shared" ref="AB40:AB71" si="33">Var_freq*((1+B40)^(1/Var_freq)-1)</f>
        <v>4.4097712805242217E-2</v>
      </c>
      <c r="AC40" s="55">
        <f t="shared" ref="AC40:AC71" si="34">Var_freq*((1+C40)^(1/Var_freq)-1)</f>
        <v>4.4097712805242217E-2</v>
      </c>
      <c r="AD40" s="55">
        <f t="shared" ref="AD40:AD71" si="35">Var_freq*((1+D40)^(1/Var_freq)-1)</f>
        <v>4.4097712805242217E-2</v>
      </c>
      <c r="AE40" s="55">
        <f t="shared" ref="AE40:AE71" si="36">Var_freq*((1+E40)^(1/Var_freq)-1)</f>
        <v>4.4097712805242217E-2</v>
      </c>
      <c r="AF40" s="55">
        <f t="shared" ref="AF40:AF71" si="37">Var_freq*((1+F40)^(1/Var_freq)-1)</f>
        <v>4.4097712805242217E-2</v>
      </c>
      <c r="AG40" s="55">
        <f t="shared" ref="AG40:AG71" si="38">Var_freq*((1+G40)^(1/Var_freq)-1)</f>
        <v>4.4097712805242217E-2</v>
      </c>
      <c r="AH40" s="55">
        <f t="shared" ref="AH40:AH71" si="39">Var_freq*((1+H40)^(1/Var_freq)-1)</f>
        <v>4.4097712805242217E-2</v>
      </c>
      <c r="AI40" s="55">
        <f t="shared" ref="AI40:AI71" si="40">Var_freq*((1+I40)^(1/Var_freq)-1)</f>
        <v>4.4097712805242217E-2</v>
      </c>
      <c r="AJ40" s="55">
        <f t="shared" ref="AJ40:AJ71" si="41">Var_freq*((1+J40)^(1/Var_freq)-1)</f>
        <v>4.4097712805242217E-2</v>
      </c>
      <c r="AK40" s="55">
        <f t="shared" ref="AK40:AK71" si="42">Var_freq*((1+K40)^(1/Var_freq)-1)</f>
        <v>4.4097712805242217E-2</v>
      </c>
      <c r="AL40" s="55">
        <f t="shared" ref="AL40:AL71" si="43">Var_freq*((1+L40)^(1/Var_freq)-1)</f>
        <v>3.9284877386386974E-2</v>
      </c>
      <c r="AM40" s="55">
        <f t="shared" ref="AM40:AM71" si="44">Var_freq*((1+M40)^(1/Var_freq)-1)</f>
        <v>3.9284877386386974E-2</v>
      </c>
      <c r="AN40" s="55">
        <f t="shared" ref="AN40:AN71" si="45">Var_freq*((1+N40)^(1/Var_freq)-1)</f>
        <v>3.9284877386386974E-2</v>
      </c>
      <c r="AO40" s="55">
        <f t="shared" ref="AO40:AO71" si="46">Var_freq*((1+O40)^(1/Var_freq)-1)</f>
        <v>3.9284877386386974E-2</v>
      </c>
      <c r="AP40" s="55">
        <f t="shared" ref="AP40:AP71" si="47">Var_freq*((1+P40)^(1/Var_freq)-1)</f>
        <v>3.9284877386386974E-2</v>
      </c>
      <c r="AQ40" s="55">
        <f t="shared" ref="AQ40:AQ71" si="48">Var_freq*((1+Q40)^(1/Var_freq)-1)</f>
        <v>3.9284877386386974E-2</v>
      </c>
      <c r="AR40" s="55">
        <f t="shared" ref="AR40:AR71" si="49">Var_freq*((1+R40)^(1/Var_freq)-1)</f>
        <v>3.9284877386386974E-2</v>
      </c>
      <c r="AS40" s="55">
        <f t="shared" ref="AS40:AS71" si="50">Var_freq*((1+S40)^(1/Var_freq)-1)</f>
        <v>3.9284877386386974E-2</v>
      </c>
      <c r="AT40" s="55">
        <f t="shared" ref="AT40:AT71" si="51">Var_freq*((1+T40)^(1/Var_freq)-1)</f>
        <v>3.9284877386386974E-2</v>
      </c>
      <c r="AU40" s="55">
        <f t="shared" ref="AU40:AU71" si="52">Var_freq*((1+U40)^(1/Var_freq)-1)</f>
        <v>3.4450784628919706E-2</v>
      </c>
      <c r="AV40" s="55">
        <f t="shared" ref="AV40:AV71" si="53">Var_freq*((1+V40)^(1/Var_freq)-1)</f>
        <v>3.4450784628919706E-2</v>
      </c>
      <c r="AW40" s="55">
        <f t="shared" ref="AW40:AW71" si="54">Var_freq*((1+W40)^(1/Var_freq)-1)</f>
        <v>3.4450784628919706E-2</v>
      </c>
      <c r="AX40" s="55">
        <f t="shared" ref="AX40:AX71" si="55">Var_freq*((1+X40)^(1/Var_freq)-1)</f>
        <v>3.4450784628919706E-2</v>
      </c>
      <c r="AY40" s="55">
        <f t="shared" ref="AY40:AY71" si="56">Var_freq*((1+Y40)^(1/Var_freq)-1)</f>
        <v>3.4450784628919706E-2</v>
      </c>
      <c r="AZ40" s="56">
        <f t="shared" ref="AZ40:AZ71" si="57">Var_freq*((1+Z40)^(1/Var_freq)-1)</f>
        <v>3.6870500439066589E-2</v>
      </c>
      <c r="BA40" s="11"/>
      <c r="BB40" s="12"/>
      <c r="BC40" s="12"/>
      <c r="BD40" s="13"/>
      <c r="BF40" s="14"/>
      <c r="BG40" s="10"/>
      <c r="BH40" s="11"/>
      <c r="BI40" s="11"/>
      <c r="BJ40" s="11"/>
      <c r="BK40" s="12"/>
      <c r="BL40" s="12"/>
      <c r="BM40" s="13"/>
      <c r="BO40" s="14"/>
      <c r="BP40" s="10"/>
      <c r="BQ40" s="11"/>
      <c r="BR40" s="11"/>
      <c r="BS40" s="11"/>
      <c r="BT40" s="12"/>
      <c r="BU40" s="12"/>
      <c r="BV40" s="13"/>
      <c r="BX40" s="14"/>
      <c r="BY40" s="10"/>
      <c r="BZ40" s="11"/>
      <c r="CA40" s="11"/>
      <c r="CB40" s="11"/>
      <c r="CC40" s="12"/>
      <c r="CD40" s="12"/>
      <c r="CE40" s="13"/>
      <c r="CG40" s="14"/>
      <c r="CH40" s="10"/>
      <c r="CI40" s="11"/>
      <c r="CJ40" s="11"/>
      <c r="CK40" s="11"/>
      <c r="CL40" s="12"/>
      <c r="CM40" s="12"/>
      <c r="CN40" s="13"/>
      <c r="CP40" s="13"/>
    </row>
    <row r="41" spans="1:94" x14ac:dyDescent="0.35">
      <c r="A41" s="5">
        <v>34</v>
      </c>
      <c r="B41" s="63">
        <f t="shared" si="32"/>
        <v>4.4999999999999998E-2</v>
      </c>
      <c r="C41" s="28">
        <f>B41+VLOOKUP(Rawdata!A36,Int_rate_movements,2,TRUE)</f>
        <v>4.4999999999999998E-2</v>
      </c>
      <c r="D41" s="28">
        <f>C41+VLOOKUP(Rawdata!B36,Int_rate_movements,2,TRUE)</f>
        <v>4.4999999999999998E-2</v>
      </c>
      <c r="E41" s="28">
        <f>D41+VLOOKUP(Rawdata!C36,Int_rate_movements,2,TRUE)</f>
        <v>4.4999999999999998E-2</v>
      </c>
      <c r="F41" s="28">
        <f>E41+VLOOKUP(Rawdata!D36,Int_rate_movements,2,TRUE)</f>
        <v>4.4999999999999998E-2</v>
      </c>
      <c r="G41" s="28">
        <f>F41+VLOOKUP(Rawdata!E36,Int_rate_movements,2,TRUE)</f>
        <v>4.9999999999999996E-2</v>
      </c>
      <c r="H41" s="28">
        <f>G41+VLOOKUP(Rawdata!F36,Int_rate_movements,2,TRUE)</f>
        <v>4.9999999999999996E-2</v>
      </c>
      <c r="I41" s="28">
        <f>H41+VLOOKUP(Rawdata!G36,Int_rate_movements,2,TRUE)</f>
        <v>4.9999999999999996E-2</v>
      </c>
      <c r="J41" s="28">
        <f>I41+VLOOKUP(Rawdata!H36,Int_rate_movements,2,TRUE)</f>
        <v>4.9999999999999996E-2</v>
      </c>
      <c r="K41" s="28">
        <f>J41+VLOOKUP(Rawdata!I36,Int_rate_movements,2,TRUE)</f>
        <v>4.9999999999999996E-2</v>
      </c>
      <c r="L41" s="28">
        <f>K41+VLOOKUP(Rawdata!J36,Int_rate_movements,2,TRUE)</f>
        <v>4.9999999999999996E-2</v>
      </c>
      <c r="M41" s="28">
        <f>L41+VLOOKUP(Rawdata!K36,Int_rate_movements,2,TRUE)</f>
        <v>4.9999999999999996E-2</v>
      </c>
      <c r="N41" s="28">
        <f>M41+VLOOKUP(Rawdata!L36,Int_rate_movements,2,TRUE)</f>
        <v>5.2499999999999998E-2</v>
      </c>
      <c r="O41" s="28">
        <f>N41+VLOOKUP(Rawdata!M36,Int_rate_movements,2,TRUE)</f>
        <v>5.2499999999999998E-2</v>
      </c>
      <c r="P41" s="28">
        <f>O41+VLOOKUP(Rawdata!N36,Int_rate_movements,2,TRUE)</f>
        <v>5.2499999999999998E-2</v>
      </c>
      <c r="Q41" s="28">
        <f>P41+VLOOKUP(Rawdata!O36,Int_rate_movements,2,TRUE)</f>
        <v>5.2499999999999998E-2</v>
      </c>
      <c r="R41" s="28">
        <f>Q41+VLOOKUP(Rawdata!P36,Int_rate_movements,2,TRUE)</f>
        <v>5.2499999999999998E-2</v>
      </c>
      <c r="S41" s="28">
        <f>R41+VLOOKUP(Rawdata!Q36,Int_rate_movements,2,TRUE)</f>
        <v>5.7499999999999996E-2</v>
      </c>
      <c r="T41" s="28">
        <f>S41+VLOOKUP(Rawdata!R36,Int_rate_movements,2,TRUE)</f>
        <v>5.7499999999999996E-2</v>
      </c>
      <c r="U41" s="28">
        <f>T41+VLOOKUP(Rawdata!S36,Int_rate_movements,2,TRUE)</f>
        <v>5.7499999999999996E-2</v>
      </c>
      <c r="V41" s="28">
        <f>U41+VLOOKUP(Rawdata!T36,Int_rate_movements,2,TRUE)</f>
        <v>5.7499999999999996E-2</v>
      </c>
      <c r="W41" s="28">
        <f>V41+VLOOKUP(Rawdata!U36,Int_rate_movements,2,TRUE)</f>
        <v>0.06</v>
      </c>
      <c r="X41" s="28">
        <f>W41+VLOOKUP(Rawdata!V36,Int_rate_movements,2,TRUE)</f>
        <v>0.06</v>
      </c>
      <c r="Y41" s="28">
        <f>X41+VLOOKUP(Rawdata!W36,Int_rate_movements,2,TRUE)</f>
        <v>0.06</v>
      </c>
      <c r="Z41" s="35">
        <f>Y41+VLOOKUP(Rawdata!X36,Int_rate_movements,2,TRUE)</f>
        <v>0.06</v>
      </c>
      <c r="AA41" s="12"/>
      <c r="AB41" s="55">
        <f t="shared" si="33"/>
        <v>4.4097712805242217E-2</v>
      </c>
      <c r="AC41" s="55">
        <f t="shared" si="34"/>
        <v>4.4097712805242217E-2</v>
      </c>
      <c r="AD41" s="55">
        <f t="shared" si="35"/>
        <v>4.4097712805242217E-2</v>
      </c>
      <c r="AE41" s="55">
        <f t="shared" si="36"/>
        <v>4.4097712805242217E-2</v>
      </c>
      <c r="AF41" s="55">
        <f t="shared" si="37"/>
        <v>4.4097712805242217E-2</v>
      </c>
      <c r="AG41" s="55">
        <f t="shared" si="38"/>
        <v>4.8889485403780242E-2</v>
      </c>
      <c r="AH41" s="55">
        <f t="shared" si="39"/>
        <v>4.8889485403780242E-2</v>
      </c>
      <c r="AI41" s="55">
        <f t="shared" si="40"/>
        <v>4.8889485403780242E-2</v>
      </c>
      <c r="AJ41" s="55">
        <f t="shared" si="41"/>
        <v>4.8889485403780242E-2</v>
      </c>
      <c r="AK41" s="55">
        <f t="shared" si="42"/>
        <v>4.8889485403780242E-2</v>
      </c>
      <c r="AL41" s="55">
        <f t="shared" si="43"/>
        <v>4.8889485403780242E-2</v>
      </c>
      <c r="AM41" s="55">
        <f t="shared" si="44"/>
        <v>4.8889485403780242E-2</v>
      </c>
      <c r="AN41" s="55">
        <f t="shared" si="45"/>
        <v>5.1277533193896829E-2</v>
      </c>
      <c r="AO41" s="55">
        <f t="shared" si="46"/>
        <v>5.1277533193896829E-2</v>
      </c>
      <c r="AP41" s="55">
        <f t="shared" si="47"/>
        <v>5.1277533193896829E-2</v>
      </c>
      <c r="AQ41" s="55">
        <f t="shared" si="48"/>
        <v>5.1277533193896829E-2</v>
      </c>
      <c r="AR41" s="55">
        <f t="shared" si="49"/>
        <v>5.1277533193896829E-2</v>
      </c>
      <c r="AS41" s="55">
        <f t="shared" si="50"/>
        <v>5.603807040042863E-2</v>
      </c>
      <c r="AT41" s="55">
        <f t="shared" si="51"/>
        <v>5.603807040042863E-2</v>
      </c>
      <c r="AU41" s="55">
        <f t="shared" si="52"/>
        <v>5.603807040042863E-2</v>
      </c>
      <c r="AV41" s="55">
        <f t="shared" si="53"/>
        <v>5.603807040042863E-2</v>
      </c>
      <c r="AW41" s="55">
        <f t="shared" si="54"/>
        <v>5.8410606784116581E-2</v>
      </c>
      <c r="AX41" s="55">
        <f t="shared" si="55"/>
        <v>5.8410606784116581E-2</v>
      </c>
      <c r="AY41" s="55">
        <f t="shared" si="56"/>
        <v>5.8410606784116581E-2</v>
      </c>
      <c r="AZ41" s="56">
        <f t="shared" si="57"/>
        <v>5.8410606784116581E-2</v>
      </c>
      <c r="BA41" s="11"/>
      <c r="BB41" s="12"/>
      <c r="BC41" s="12"/>
      <c r="BD41" s="13"/>
      <c r="BF41" s="14"/>
      <c r="BG41" s="10"/>
      <c r="BH41" s="11"/>
      <c r="BI41" s="11"/>
      <c r="BJ41" s="11"/>
      <c r="BK41" s="12"/>
      <c r="BL41" s="12"/>
      <c r="BM41" s="13"/>
      <c r="BO41" s="14"/>
      <c r="BP41" s="10"/>
      <c r="BQ41" s="11"/>
      <c r="BR41" s="11"/>
      <c r="BS41" s="11"/>
      <c r="BT41" s="12"/>
      <c r="BU41" s="12"/>
      <c r="BV41" s="13"/>
      <c r="BX41" s="14"/>
      <c r="BY41" s="10"/>
      <c r="BZ41" s="11"/>
      <c r="CA41" s="11"/>
      <c r="CB41" s="11"/>
      <c r="CC41" s="12"/>
      <c r="CD41" s="12"/>
      <c r="CE41" s="13"/>
      <c r="CG41" s="14"/>
      <c r="CH41" s="10"/>
      <c r="CI41" s="11"/>
      <c r="CJ41" s="11"/>
      <c r="CK41" s="11"/>
      <c r="CL41" s="12"/>
      <c r="CM41" s="12"/>
      <c r="CN41" s="13"/>
      <c r="CP41" s="13"/>
    </row>
    <row r="42" spans="1:94" x14ac:dyDescent="0.35">
      <c r="A42" s="27">
        <v>35</v>
      </c>
      <c r="B42" s="63">
        <f t="shared" si="32"/>
        <v>4.4999999999999998E-2</v>
      </c>
      <c r="C42" s="28">
        <f>B42+VLOOKUP(Rawdata!A37,Int_rate_movements,2,TRUE)</f>
        <v>4.4999999999999998E-2</v>
      </c>
      <c r="D42" s="28">
        <f>C42+VLOOKUP(Rawdata!B37,Int_rate_movements,2,TRUE)</f>
        <v>4.4999999999999998E-2</v>
      </c>
      <c r="E42" s="28">
        <f>D42+VLOOKUP(Rawdata!C37,Int_rate_movements,2,TRUE)</f>
        <v>4.4999999999999998E-2</v>
      </c>
      <c r="F42" s="28">
        <f>E42+VLOOKUP(Rawdata!D37,Int_rate_movements,2,TRUE)</f>
        <v>4.4999999999999998E-2</v>
      </c>
      <c r="G42" s="28">
        <f>F42+VLOOKUP(Rawdata!E37,Int_rate_movements,2,TRUE)</f>
        <v>4.4999999999999998E-2</v>
      </c>
      <c r="H42" s="28">
        <f>G42+VLOOKUP(Rawdata!F37,Int_rate_movements,2,TRUE)</f>
        <v>4.4999999999999998E-2</v>
      </c>
      <c r="I42" s="28">
        <f>H42+VLOOKUP(Rawdata!G37,Int_rate_movements,2,TRUE)</f>
        <v>4.4999999999999998E-2</v>
      </c>
      <c r="J42" s="28">
        <f>I42+VLOOKUP(Rawdata!H37,Int_rate_movements,2,TRUE)</f>
        <v>4.4999999999999998E-2</v>
      </c>
      <c r="K42" s="28">
        <f>J42+VLOOKUP(Rawdata!I37,Int_rate_movements,2,TRUE)</f>
        <v>4.4999999999999998E-2</v>
      </c>
      <c r="L42" s="28">
        <f>K42+VLOOKUP(Rawdata!J37,Int_rate_movements,2,TRUE)</f>
        <v>4.4999999999999998E-2</v>
      </c>
      <c r="M42" s="28">
        <f>L42+VLOOKUP(Rawdata!K37,Int_rate_movements,2,TRUE)</f>
        <v>4.4999999999999998E-2</v>
      </c>
      <c r="N42" s="28">
        <f>M42+VLOOKUP(Rawdata!L37,Int_rate_movements,2,TRUE)</f>
        <v>4.2499999999999996E-2</v>
      </c>
      <c r="O42" s="28">
        <f>N42+VLOOKUP(Rawdata!M37,Int_rate_movements,2,TRUE)</f>
        <v>4.2499999999999996E-2</v>
      </c>
      <c r="P42" s="28">
        <f>O42+VLOOKUP(Rawdata!N37,Int_rate_movements,2,TRUE)</f>
        <v>4.2499999999999996E-2</v>
      </c>
      <c r="Q42" s="28">
        <f>P42+VLOOKUP(Rawdata!O37,Int_rate_movements,2,TRUE)</f>
        <v>4.4999999999999998E-2</v>
      </c>
      <c r="R42" s="28">
        <f>Q42+VLOOKUP(Rawdata!P37,Int_rate_movements,2,TRUE)</f>
        <v>4.4999999999999998E-2</v>
      </c>
      <c r="S42" s="28">
        <f>R42+VLOOKUP(Rawdata!Q37,Int_rate_movements,2,TRUE)</f>
        <v>4.2499999999999996E-2</v>
      </c>
      <c r="T42" s="28">
        <f>S42+VLOOKUP(Rawdata!R37,Int_rate_movements,2,TRUE)</f>
        <v>4.2499999999999996E-2</v>
      </c>
      <c r="U42" s="28">
        <f>T42+VLOOKUP(Rawdata!S37,Int_rate_movements,2,TRUE)</f>
        <v>4.2499999999999996E-2</v>
      </c>
      <c r="V42" s="28">
        <f>U42+VLOOKUP(Rawdata!T37,Int_rate_movements,2,TRUE)</f>
        <v>4.2499999999999996E-2</v>
      </c>
      <c r="W42" s="28">
        <f>V42+VLOOKUP(Rawdata!U37,Int_rate_movements,2,TRUE)</f>
        <v>4.4999999999999998E-2</v>
      </c>
      <c r="X42" s="28">
        <f>W42+VLOOKUP(Rawdata!V37,Int_rate_movements,2,TRUE)</f>
        <v>4.4999999999999998E-2</v>
      </c>
      <c r="Y42" s="28">
        <f>X42+VLOOKUP(Rawdata!W37,Int_rate_movements,2,TRUE)</f>
        <v>4.4999999999999998E-2</v>
      </c>
      <c r="Z42" s="35">
        <f>Y42+VLOOKUP(Rawdata!X37,Int_rate_movements,2,TRUE)</f>
        <v>4.4999999999999998E-2</v>
      </c>
      <c r="AA42" s="12"/>
      <c r="AB42" s="55">
        <f t="shared" si="33"/>
        <v>4.4097712805242217E-2</v>
      </c>
      <c r="AC42" s="55">
        <f t="shared" si="34"/>
        <v>4.4097712805242217E-2</v>
      </c>
      <c r="AD42" s="55">
        <f t="shared" si="35"/>
        <v>4.4097712805242217E-2</v>
      </c>
      <c r="AE42" s="55">
        <f t="shared" si="36"/>
        <v>4.4097712805242217E-2</v>
      </c>
      <c r="AF42" s="55">
        <f t="shared" si="37"/>
        <v>4.4097712805242217E-2</v>
      </c>
      <c r="AG42" s="55">
        <f t="shared" si="38"/>
        <v>4.4097712805242217E-2</v>
      </c>
      <c r="AH42" s="55">
        <f t="shared" si="39"/>
        <v>4.4097712805242217E-2</v>
      </c>
      <c r="AI42" s="55">
        <f t="shared" si="40"/>
        <v>4.4097712805242217E-2</v>
      </c>
      <c r="AJ42" s="55">
        <f t="shared" si="41"/>
        <v>4.4097712805242217E-2</v>
      </c>
      <c r="AK42" s="55">
        <f t="shared" si="42"/>
        <v>4.4097712805242217E-2</v>
      </c>
      <c r="AL42" s="55">
        <f t="shared" si="43"/>
        <v>4.4097712805242217E-2</v>
      </c>
      <c r="AM42" s="55">
        <f t="shared" si="44"/>
        <v>4.4097712805242217E-2</v>
      </c>
      <c r="AN42" s="55">
        <f t="shared" si="45"/>
        <v>4.1693940041970023E-2</v>
      </c>
      <c r="AO42" s="55">
        <f t="shared" si="46"/>
        <v>4.1693940041970023E-2</v>
      </c>
      <c r="AP42" s="55">
        <f t="shared" si="47"/>
        <v>4.1693940041970023E-2</v>
      </c>
      <c r="AQ42" s="55">
        <f t="shared" si="48"/>
        <v>4.4097712805242217E-2</v>
      </c>
      <c r="AR42" s="55">
        <f t="shared" si="49"/>
        <v>4.4097712805242217E-2</v>
      </c>
      <c r="AS42" s="55">
        <f t="shared" si="50"/>
        <v>4.1693940041970023E-2</v>
      </c>
      <c r="AT42" s="55">
        <f t="shared" si="51"/>
        <v>4.1693940041970023E-2</v>
      </c>
      <c r="AU42" s="55">
        <f t="shared" si="52"/>
        <v>4.1693940041970023E-2</v>
      </c>
      <c r="AV42" s="55">
        <f t="shared" si="53"/>
        <v>4.1693940041970023E-2</v>
      </c>
      <c r="AW42" s="55">
        <f t="shared" si="54"/>
        <v>4.4097712805242217E-2</v>
      </c>
      <c r="AX42" s="55">
        <f t="shared" si="55"/>
        <v>4.4097712805242217E-2</v>
      </c>
      <c r="AY42" s="55">
        <f t="shared" si="56"/>
        <v>4.4097712805242217E-2</v>
      </c>
      <c r="AZ42" s="56">
        <f t="shared" si="57"/>
        <v>4.4097712805242217E-2</v>
      </c>
      <c r="BA42" s="11"/>
      <c r="BB42" s="12"/>
      <c r="BC42" s="12"/>
      <c r="BD42" s="13"/>
      <c r="BF42" s="14"/>
      <c r="BG42" s="10"/>
      <c r="BH42" s="11"/>
      <c r="BI42" s="11"/>
      <c r="BJ42" s="11"/>
      <c r="BK42" s="12"/>
      <c r="BL42" s="12"/>
      <c r="BM42" s="13"/>
      <c r="BO42" s="14"/>
      <c r="BP42" s="10"/>
      <c r="BQ42" s="11"/>
      <c r="BR42" s="11"/>
      <c r="BS42" s="11"/>
      <c r="BT42" s="12"/>
      <c r="BU42" s="12"/>
      <c r="BV42" s="13"/>
      <c r="BX42" s="14"/>
      <c r="BY42" s="10"/>
      <c r="BZ42" s="11"/>
      <c r="CA42" s="11"/>
      <c r="CB42" s="11"/>
      <c r="CC42" s="12"/>
      <c r="CD42" s="12"/>
      <c r="CE42" s="13"/>
      <c r="CG42" s="14"/>
      <c r="CH42" s="10"/>
      <c r="CI42" s="11"/>
      <c r="CJ42" s="11"/>
      <c r="CK42" s="11"/>
      <c r="CL42" s="12"/>
      <c r="CM42" s="12"/>
      <c r="CN42" s="13"/>
      <c r="CP42" s="13"/>
    </row>
    <row r="43" spans="1:94" x14ac:dyDescent="0.35">
      <c r="A43" s="5">
        <v>36</v>
      </c>
      <c r="B43" s="63">
        <f t="shared" si="32"/>
        <v>4.4999999999999998E-2</v>
      </c>
      <c r="C43" s="28">
        <f>B43+VLOOKUP(Rawdata!A38,Int_rate_movements,2,TRUE)</f>
        <v>4.4999999999999998E-2</v>
      </c>
      <c r="D43" s="28">
        <f>C43+VLOOKUP(Rawdata!B38,Int_rate_movements,2,TRUE)</f>
        <v>4.4999999999999998E-2</v>
      </c>
      <c r="E43" s="28">
        <f>D43+VLOOKUP(Rawdata!C38,Int_rate_movements,2,TRUE)</f>
        <v>4.4999999999999998E-2</v>
      </c>
      <c r="F43" s="28">
        <f>E43+VLOOKUP(Rawdata!D38,Int_rate_movements,2,TRUE)</f>
        <v>4.4999999999999998E-2</v>
      </c>
      <c r="G43" s="28">
        <f>F43+VLOOKUP(Rawdata!E38,Int_rate_movements,2,TRUE)</f>
        <v>4.4999999999999998E-2</v>
      </c>
      <c r="H43" s="28">
        <f>G43+VLOOKUP(Rawdata!F38,Int_rate_movements,2,TRUE)</f>
        <v>4.4999999999999998E-2</v>
      </c>
      <c r="I43" s="28">
        <f>H43+VLOOKUP(Rawdata!G38,Int_rate_movements,2,TRUE)</f>
        <v>4.4999999999999998E-2</v>
      </c>
      <c r="J43" s="28">
        <f>I43+VLOOKUP(Rawdata!H38,Int_rate_movements,2,TRUE)</f>
        <v>4.4999999999999998E-2</v>
      </c>
      <c r="K43" s="28">
        <f>J43+VLOOKUP(Rawdata!I38,Int_rate_movements,2,TRUE)</f>
        <v>4.4999999999999998E-2</v>
      </c>
      <c r="L43" s="28">
        <f>K43+VLOOKUP(Rawdata!J38,Int_rate_movements,2,TRUE)</f>
        <v>4.4999999999999998E-2</v>
      </c>
      <c r="M43" s="28">
        <f>L43+VLOOKUP(Rawdata!K38,Int_rate_movements,2,TRUE)</f>
        <v>0.04</v>
      </c>
      <c r="N43" s="28">
        <f>M43+VLOOKUP(Rawdata!L38,Int_rate_movements,2,TRUE)</f>
        <v>0.04</v>
      </c>
      <c r="O43" s="28">
        <f>N43+VLOOKUP(Rawdata!M38,Int_rate_movements,2,TRUE)</f>
        <v>0.04</v>
      </c>
      <c r="P43" s="28">
        <f>O43+VLOOKUP(Rawdata!N38,Int_rate_movements,2,TRUE)</f>
        <v>0.04</v>
      </c>
      <c r="Q43" s="28">
        <f>P43+VLOOKUP(Rawdata!O38,Int_rate_movements,2,TRUE)</f>
        <v>0.04</v>
      </c>
      <c r="R43" s="28">
        <f>Q43+VLOOKUP(Rawdata!P38,Int_rate_movements,2,TRUE)</f>
        <v>0.04</v>
      </c>
      <c r="S43" s="28">
        <f>R43+VLOOKUP(Rawdata!Q38,Int_rate_movements,2,TRUE)</f>
        <v>0.04</v>
      </c>
      <c r="T43" s="28">
        <f>S43+VLOOKUP(Rawdata!R38,Int_rate_movements,2,TRUE)</f>
        <v>0.04</v>
      </c>
      <c r="U43" s="28">
        <f>T43+VLOOKUP(Rawdata!S38,Int_rate_movements,2,TRUE)</f>
        <v>0.04</v>
      </c>
      <c r="V43" s="28">
        <f>U43+VLOOKUP(Rawdata!T38,Int_rate_movements,2,TRUE)</f>
        <v>0.04</v>
      </c>
      <c r="W43" s="28">
        <f>V43+VLOOKUP(Rawdata!U38,Int_rate_movements,2,TRUE)</f>
        <v>0.04</v>
      </c>
      <c r="X43" s="28">
        <f>W43+VLOOKUP(Rawdata!V38,Int_rate_movements,2,TRUE)</f>
        <v>0.04</v>
      </c>
      <c r="Y43" s="28">
        <f>X43+VLOOKUP(Rawdata!W38,Int_rate_movements,2,TRUE)</f>
        <v>0.04</v>
      </c>
      <c r="Z43" s="35">
        <f>Y43+VLOOKUP(Rawdata!X38,Int_rate_movements,2,TRUE)</f>
        <v>0.04</v>
      </c>
      <c r="AA43" s="12"/>
      <c r="AB43" s="55">
        <f t="shared" si="33"/>
        <v>4.4097712805242217E-2</v>
      </c>
      <c r="AC43" s="55">
        <f t="shared" si="34"/>
        <v>4.4097712805242217E-2</v>
      </c>
      <c r="AD43" s="55">
        <f t="shared" si="35"/>
        <v>4.4097712805242217E-2</v>
      </c>
      <c r="AE43" s="55">
        <f t="shared" si="36"/>
        <v>4.4097712805242217E-2</v>
      </c>
      <c r="AF43" s="55">
        <f t="shared" si="37"/>
        <v>4.4097712805242217E-2</v>
      </c>
      <c r="AG43" s="55">
        <f t="shared" si="38"/>
        <v>4.4097712805242217E-2</v>
      </c>
      <c r="AH43" s="55">
        <f t="shared" si="39"/>
        <v>4.4097712805242217E-2</v>
      </c>
      <c r="AI43" s="55">
        <f t="shared" si="40"/>
        <v>4.4097712805242217E-2</v>
      </c>
      <c r="AJ43" s="55">
        <f t="shared" si="41"/>
        <v>4.4097712805242217E-2</v>
      </c>
      <c r="AK43" s="55">
        <f t="shared" si="42"/>
        <v>4.4097712805242217E-2</v>
      </c>
      <c r="AL43" s="55">
        <f t="shared" si="43"/>
        <v>4.4097712805242217E-2</v>
      </c>
      <c r="AM43" s="55">
        <f t="shared" si="44"/>
        <v>3.9284877386386974E-2</v>
      </c>
      <c r="AN43" s="55">
        <f t="shared" si="45"/>
        <v>3.9284877386386974E-2</v>
      </c>
      <c r="AO43" s="55">
        <f t="shared" si="46"/>
        <v>3.9284877386386974E-2</v>
      </c>
      <c r="AP43" s="55">
        <f t="shared" si="47"/>
        <v>3.9284877386386974E-2</v>
      </c>
      <c r="AQ43" s="55">
        <f t="shared" si="48"/>
        <v>3.9284877386386974E-2</v>
      </c>
      <c r="AR43" s="55">
        <f t="shared" si="49"/>
        <v>3.9284877386386974E-2</v>
      </c>
      <c r="AS43" s="55">
        <f t="shared" si="50"/>
        <v>3.9284877386386974E-2</v>
      </c>
      <c r="AT43" s="55">
        <f t="shared" si="51"/>
        <v>3.9284877386386974E-2</v>
      </c>
      <c r="AU43" s="55">
        <f t="shared" si="52"/>
        <v>3.9284877386386974E-2</v>
      </c>
      <c r="AV43" s="55">
        <f t="shared" si="53"/>
        <v>3.9284877386386974E-2</v>
      </c>
      <c r="AW43" s="55">
        <f t="shared" si="54"/>
        <v>3.9284877386386974E-2</v>
      </c>
      <c r="AX43" s="55">
        <f t="shared" si="55"/>
        <v>3.9284877386386974E-2</v>
      </c>
      <c r="AY43" s="55">
        <f t="shared" si="56"/>
        <v>3.9284877386386974E-2</v>
      </c>
      <c r="AZ43" s="56">
        <f t="shared" si="57"/>
        <v>3.9284877386386974E-2</v>
      </c>
      <c r="BA43" s="11"/>
      <c r="BB43" s="12"/>
      <c r="BC43" s="12"/>
      <c r="BD43" s="13"/>
      <c r="BF43" s="14"/>
      <c r="BG43" s="10"/>
      <c r="BH43" s="11"/>
      <c r="BI43" s="11"/>
      <c r="BJ43" s="11"/>
      <c r="BK43" s="12"/>
      <c r="BL43" s="12"/>
      <c r="BM43" s="13"/>
      <c r="BO43" s="14"/>
      <c r="BP43" s="10"/>
      <c r="BQ43" s="11"/>
      <c r="BR43" s="11"/>
      <c r="BS43" s="11"/>
      <c r="BT43" s="12"/>
      <c r="BU43" s="12"/>
      <c r="BV43" s="13"/>
      <c r="BX43" s="14"/>
      <c r="BY43" s="10"/>
      <c r="BZ43" s="11"/>
      <c r="CA43" s="11"/>
      <c r="CB43" s="11"/>
      <c r="CC43" s="12"/>
      <c r="CD43" s="12"/>
      <c r="CE43" s="13"/>
      <c r="CG43" s="14"/>
      <c r="CH43" s="10"/>
      <c r="CI43" s="11"/>
      <c r="CJ43" s="11"/>
      <c r="CK43" s="11"/>
      <c r="CL43" s="12"/>
      <c r="CM43" s="12"/>
      <c r="CN43" s="13"/>
      <c r="CP43" s="13"/>
    </row>
    <row r="44" spans="1:94" x14ac:dyDescent="0.35">
      <c r="A44" s="27">
        <v>37</v>
      </c>
      <c r="B44" s="63">
        <f t="shared" si="32"/>
        <v>4.4999999999999998E-2</v>
      </c>
      <c r="C44" s="28">
        <f>B44+VLOOKUP(Rawdata!A39,Int_rate_movements,2,TRUE)</f>
        <v>4.4999999999999998E-2</v>
      </c>
      <c r="D44" s="28">
        <f>C44+VLOOKUP(Rawdata!B39,Int_rate_movements,2,TRUE)</f>
        <v>4.4999999999999998E-2</v>
      </c>
      <c r="E44" s="28">
        <f>D44+VLOOKUP(Rawdata!C39,Int_rate_movements,2,TRUE)</f>
        <v>4.4999999999999998E-2</v>
      </c>
      <c r="F44" s="28">
        <f>E44+VLOOKUP(Rawdata!D39,Int_rate_movements,2,TRUE)</f>
        <v>4.4999999999999998E-2</v>
      </c>
      <c r="G44" s="28">
        <f>F44+VLOOKUP(Rawdata!E39,Int_rate_movements,2,TRUE)</f>
        <v>4.4999999999999998E-2</v>
      </c>
      <c r="H44" s="28">
        <f>G44+VLOOKUP(Rawdata!F39,Int_rate_movements,2,TRUE)</f>
        <v>4.4999999999999998E-2</v>
      </c>
      <c r="I44" s="28">
        <f>H44+VLOOKUP(Rawdata!G39,Int_rate_movements,2,TRUE)</f>
        <v>4.4999999999999998E-2</v>
      </c>
      <c r="J44" s="28">
        <f>I44+VLOOKUP(Rawdata!H39,Int_rate_movements,2,TRUE)</f>
        <v>4.4999999999999998E-2</v>
      </c>
      <c r="K44" s="28">
        <f>J44+VLOOKUP(Rawdata!I39,Int_rate_movements,2,TRUE)</f>
        <v>4.2499999999999996E-2</v>
      </c>
      <c r="L44" s="28">
        <f>K44+VLOOKUP(Rawdata!J39,Int_rate_movements,2,TRUE)</f>
        <v>4.2499999999999996E-2</v>
      </c>
      <c r="M44" s="28">
        <f>L44+VLOOKUP(Rawdata!K39,Int_rate_movements,2,TRUE)</f>
        <v>4.2499999999999996E-2</v>
      </c>
      <c r="N44" s="28">
        <f>M44+VLOOKUP(Rawdata!L39,Int_rate_movements,2,TRUE)</f>
        <v>4.2499999999999996E-2</v>
      </c>
      <c r="O44" s="28">
        <f>N44+VLOOKUP(Rawdata!M39,Int_rate_movements,2,TRUE)</f>
        <v>4.2499999999999996E-2</v>
      </c>
      <c r="P44" s="28">
        <f>O44+VLOOKUP(Rawdata!N39,Int_rate_movements,2,TRUE)</f>
        <v>4.2499999999999996E-2</v>
      </c>
      <c r="Q44" s="28">
        <f>P44+VLOOKUP(Rawdata!O39,Int_rate_movements,2,TRUE)</f>
        <v>4.2499999999999996E-2</v>
      </c>
      <c r="R44" s="28">
        <f>Q44+VLOOKUP(Rawdata!P39,Int_rate_movements,2,TRUE)</f>
        <v>4.2499999999999996E-2</v>
      </c>
      <c r="S44" s="28">
        <f>R44+VLOOKUP(Rawdata!Q39,Int_rate_movements,2,TRUE)</f>
        <v>4.2499999999999996E-2</v>
      </c>
      <c r="T44" s="28">
        <f>S44+VLOOKUP(Rawdata!R39,Int_rate_movements,2,TRUE)</f>
        <v>4.2499999999999996E-2</v>
      </c>
      <c r="U44" s="28">
        <f>T44+VLOOKUP(Rawdata!S39,Int_rate_movements,2,TRUE)</f>
        <v>4.2499999999999996E-2</v>
      </c>
      <c r="V44" s="28">
        <f>U44+VLOOKUP(Rawdata!T39,Int_rate_movements,2,TRUE)</f>
        <v>4.2499999999999996E-2</v>
      </c>
      <c r="W44" s="28">
        <f>V44+VLOOKUP(Rawdata!U39,Int_rate_movements,2,TRUE)</f>
        <v>4.2499999999999996E-2</v>
      </c>
      <c r="X44" s="28">
        <f>W44+VLOOKUP(Rawdata!V39,Int_rate_movements,2,TRUE)</f>
        <v>4.2499999999999996E-2</v>
      </c>
      <c r="Y44" s="28">
        <f>X44+VLOOKUP(Rawdata!W39,Int_rate_movements,2,TRUE)</f>
        <v>4.2499999999999996E-2</v>
      </c>
      <c r="Z44" s="35">
        <f>Y44+VLOOKUP(Rawdata!X39,Int_rate_movements,2,TRUE)</f>
        <v>4.2499999999999996E-2</v>
      </c>
      <c r="AA44" s="12"/>
      <c r="AB44" s="55">
        <f t="shared" si="33"/>
        <v>4.4097712805242217E-2</v>
      </c>
      <c r="AC44" s="55">
        <f t="shared" si="34"/>
        <v>4.4097712805242217E-2</v>
      </c>
      <c r="AD44" s="55">
        <f t="shared" si="35"/>
        <v>4.4097712805242217E-2</v>
      </c>
      <c r="AE44" s="55">
        <f t="shared" si="36"/>
        <v>4.4097712805242217E-2</v>
      </c>
      <c r="AF44" s="55">
        <f t="shared" si="37"/>
        <v>4.4097712805242217E-2</v>
      </c>
      <c r="AG44" s="55">
        <f t="shared" si="38"/>
        <v>4.4097712805242217E-2</v>
      </c>
      <c r="AH44" s="55">
        <f t="shared" si="39"/>
        <v>4.4097712805242217E-2</v>
      </c>
      <c r="AI44" s="55">
        <f t="shared" si="40"/>
        <v>4.4097712805242217E-2</v>
      </c>
      <c r="AJ44" s="55">
        <f t="shared" si="41"/>
        <v>4.4097712805242217E-2</v>
      </c>
      <c r="AK44" s="55">
        <f t="shared" si="42"/>
        <v>4.1693940041970023E-2</v>
      </c>
      <c r="AL44" s="55">
        <f t="shared" si="43"/>
        <v>4.1693940041970023E-2</v>
      </c>
      <c r="AM44" s="55">
        <f t="shared" si="44"/>
        <v>4.1693940041970023E-2</v>
      </c>
      <c r="AN44" s="55">
        <f t="shared" si="45"/>
        <v>4.1693940041970023E-2</v>
      </c>
      <c r="AO44" s="55">
        <f t="shared" si="46"/>
        <v>4.1693940041970023E-2</v>
      </c>
      <c r="AP44" s="55">
        <f t="shared" si="47"/>
        <v>4.1693940041970023E-2</v>
      </c>
      <c r="AQ44" s="55">
        <f t="shared" si="48"/>
        <v>4.1693940041970023E-2</v>
      </c>
      <c r="AR44" s="55">
        <f t="shared" si="49"/>
        <v>4.1693940041970023E-2</v>
      </c>
      <c r="AS44" s="55">
        <f t="shared" si="50"/>
        <v>4.1693940041970023E-2</v>
      </c>
      <c r="AT44" s="55">
        <f t="shared" si="51"/>
        <v>4.1693940041970023E-2</v>
      </c>
      <c r="AU44" s="55">
        <f t="shared" si="52"/>
        <v>4.1693940041970023E-2</v>
      </c>
      <c r="AV44" s="55">
        <f t="shared" si="53"/>
        <v>4.1693940041970023E-2</v>
      </c>
      <c r="AW44" s="55">
        <f t="shared" si="54"/>
        <v>4.1693940041970023E-2</v>
      </c>
      <c r="AX44" s="55">
        <f t="shared" si="55"/>
        <v>4.1693940041970023E-2</v>
      </c>
      <c r="AY44" s="55">
        <f t="shared" si="56"/>
        <v>4.1693940041970023E-2</v>
      </c>
      <c r="AZ44" s="56">
        <f t="shared" si="57"/>
        <v>4.1693940041970023E-2</v>
      </c>
      <c r="BA44" s="11"/>
      <c r="BB44" s="12"/>
      <c r="BC44" s="12"/>
      <c r="BD44" s="13"/>
      <c r="BF44" s="14"/>
      <c r="BG44" s="10"/>
      <c r="BH44" s="11"/>
      <c r="BI44" s="11"/>
      <c r="BJ44" s="11"/>
      <c r="BK44" s="12"/>
      <c r="BL44" s="12"/>
      <c r="BM44" s="13"/>
      <c r="BO44" s="14"/>
      <c r="BP44" s="10"/>
      <c r="BQ44" s="11"/>
      <c r="BR44" s="11"/>
      <c r="BS44" s="11"/>
      <c r="BT44" s="12"/>
      <c r="BU44" s="12"/>
      <c r="BV44" s="13"/>
      <c r="BX44" s="14"/>
      <c r="BY44" s="10"/>
      <c r="BZ44" s="11"/>
      <c r="CA44" s="11"/>
      <c r="CB44" s="11"/>
      <c r="CC44" s="12"/>
      <c r="CD44" s="12"/>
      <c r="CE44" s="13"/>
      <c r="CG44" s="14"/>
      <c r="CH44" s="10"/>
      <c r="CI44" s="11"/>
      <c r="CJ44" s="11"/>
      <c r="CK44" s="11"/>
      <c r="CL44" s="12"/>
      <c r="CM44" s="12"/>
      <c r="CN44" s="13"/>
      <c r="CP44" s="13"/>
    </row>
    <row r="45" spans="1:94" x14ac:dyDescent="0.35">
      <c r="A45" s="5">
        <v>38</v>
      </c>
      <c r="B45" s="63">
        <f t="shared" si="32"/>
        <v>4.4999999999999998E-2</v>
      </c>
      <c r="C45" s="28">
        <f>B45+VLOOKUP(Rawdata!A40,Int_rate_movements,2,TRUE)</f>
        <v>4.4999999999999998E-2</v>
      </c>
      <c r="D45" s="28">
        <f>C45+VLOOKUP(Rawdata!B40,Int_rate_movements,2,TRUE)</f>
        <v>4.9999999999999996E-2</v>
      </c>
      <c r="E45" s="28">
        <f>D45+VLOOKUP(Rawdata!C40,Int_rate_movements,2,TRUE)</f>
        <v>4.9999999999999996E-2</v>
      </c>
      <c r="F45" s="28">
        <f>E45+VLOOKUP(Rawdata!D40,Int_rate_movements,2,TRUE)</f>
        <v>4.9999999999999996E-2</v>
      </c>
      <c r="G45" s="28">
        <f>F45+VLOOKUP(Rawdata!E40,Int_rate_movements,2,TRUE)</f>
        <v>5.2499999999999998E-2</v>
      </c>
      <c r="H45" s="28">
        <f>G45+VLOOKUP(Rawdata!F40,Int_rate_movements,2,TRUE)</f>
        <v>5.2499999999999998E-2</v>
      </c>
      <c r="I45" s="28">
        <f>H45+VLOOKUP(Rawdata!G40,Int_rate_movements,2,TRUE)</f>
        <v>5.2499999999999998E-2</v>
      </c>
      <c r="J45" s="28">
        <f>I45+VLOOKUP(Rawdata!H40,Int_rate_movements,2,TRUE)</f>
        <v>5.2499999999999998E-2</v>
      </c>
      <c r="K45" s="28">
        <f>J45+VLOOKUP(Rawdata!I40,Int_rate_movements,2,TRUE)</f>
        <v>5.7499999999999996E-2</v>
      </c>
      <c r="L45" s="28">
        <f>K45+VLOOKUP(Rawdata!J40,Int_rate_movements,2,TRUE)</f>
        <v>5.7499999999999996E-2</v>
      </c>
      <c r="M45" s="28">
        <f>L45+VLOOKUP(Rawdata!K40,Int_rate_movements,2,TRUE)</f>
        <v>5.7499999999999996E-2</v>
      </c>
      <c r="N45" s="28">
        <f>M45+VLOOKUP(Rawdata!L40,Int_rate_movements,2,TRUE)</f>
        <v>5.7499999999999996E-2</v>
      </c>
      <c r="O45" s="28">
        <f>N45+VLOOKUP(Rawdata!M40,Int_rate_movements,2,TRUE)</f>
        <v>5.7499999999999996E-2</v>
      </c>
      <c r="P45" s="28">
        <f>O45+VLOOKUP(Rawdata!N40,Int_rate_movements,2,TRUE)</f>
        <v>5.7499999999999996E-2</v>
      </c>
      <c r="Q45" s="28">
        <f>P45+VLOOKUP(Rawdata!O40,Int_rate_movements,2,TRUE)</f>
        <v>5.7499999999999996E-2</v>
      </c>
      <c r="R45" s="28">
        <f>Q45+VLOOKUP(Rawdata!P40,Int_rate_movements,2,TRUE)</f>
        <v>5.7499999999999996E-2</v>
      </c>
      <c r="S45" s="28">
        <f>R45+VLOOKUP(Rawdata!Q40,Int_rate_movements,2,TRUE)</f>
        <v>5.7499999999999996E-2</v>
      </c>
      <c r="T45" s="28">
        <f>S45+VLOOKUP(Rawdata!R40,Int_rate_movements,2,TRUE)</f>
        <v>5.7499999999999996E-2</v>
      </c>
      <c r="U45" s="28">
        <f>T45+VLOOKUP(Rawdata!S40,Int_rate_movements,2,TRUE)</f>
        <v>5.7499999999999996E-2</v>
      </c>
      <c r="V45" s="28">
        <f>U45+VLOOKUP(Rawdata!T40,Int_rate_movements,2,TRUE)</f>
        <v>5.7499999999999996E-2</v>
      </c>
      <c r="W45" s="28">
        <f>V45+VLOOKUP(Rawdata!U40,Int_rate_movements,2,TRUE)</f>
        <v>0.06</v>
      </c>
      <c r="X45" s="28">
        <f>W45+VLOOKUP(Rawdata!V40,Int_rate_movements,2,TRUE)</f>
        <v>0.06</v>
      </c>
      <c r="Y45" s="28">
        <f>X45+VLOOKUP(Rawdata!W40,Int_rate_movements,2,TRUE)</f>
        <v>0.06</v>
      </c>
      <c r="Z45" s="35">
        <f>Y45+VLOOKUP(Rawdata!X40,Int_rate_movements,2,TRUE)</f>
        <v>0.06</v>
      </c>
      <c r="AA45" s="12"/>
      <c r="AB45" s="55">
        <f t="shared" si="33"/>
        <v>4.4097712805242217E-2</v>
      </c>
      <c r="AC45" s="55">
        <f t="shared" si="34"/>
        <v>4.4097712805242217E-2</v>
      </c>
      <c r="AD45" s="55">
        <f t="shared" si="35"/>
        <v>4.8889485403780242E-2</v>
      </c>
      <c r="AE45" s="55">
        <f t="shared" si="36"/>
        <v>4.8889485403780242E-2</v>
      </c>
      <c r="AF45" s="55">
        <f t="shared" si="37"/>
        <v>4.8889485403780242E-2</v>
      </c>
      <c r="AG45" s="55">
        <f t="shared" si="38"/>
        <v>5.1277533193896829E-2</v>
      </c>
      <c r="AH45" s="55">
        <f t="shared" si="39"/>
        <v>5.1277533193896829E-2</v>
      </c>
      <c r="AI45" s="55">
        <f t="shared" si="40"/>
        <v>5.1277533193896829E-2</v>
      </c>
      <c r="AJ45" s="55">
        <f t="shared" si="41"/>
        <v>5.1277533193896829E-2</v>
      </c>
      <c r="AK45" s="55">
        <f t="shared" si="42"/>
        <v>5.603807040042863E-2</v>
      </c>
      <c r="AL45" s="55">
        <f t="shared" si="43"/>
        <v>5.603807040042863E-2</v>
      </c>
      <c r="AM45" s="55">
        <f t="shared" si="44"/>
        <v>5.603807040042863E-2</v>
      </c>
      <c r="AN45" s="55">
        <f t="shared" si="45"/>
        <v>5.603807040042863E-2</v>
      </c>
      <c r="AO45" s="55">
        <f t="shared" si="46"/>
        <v>5.603807040042863E-2</v>
      </c>
      <c r="AP45" s="55">
        <f t="shared" si="47"/>
        <v>5.603807040042863E-2</v>
      </c>
      <c r="AQ45" s="55">
        <f t="shared" si="48"/>
        <v>5.603807040042863E-2</v>
      </c>
      <c r="AR45" s="55">
        <f t="shared" si="49"/>
        <v>5.603807040042863E-2</v>
      </c>
      <c r="AS45" s="55">
        <f t="shared" si="50"/>
        <v>5.603807040042863E-2</v>
      </c>
      <c r="AT45" s="55">
        <f t="shared" si="51"/>
        <v>5.603807040042863E-2</v>
      </c>
      <c r="AU45" s="55">
        <f t="shared" si="52"/>
        <v>5.603807040042863E-2</v>
      </c>
      <c r="AV45" s="55">
        <f t="shared" si="53"/>
        <v>5.603807040042863E-2</v>
      </c>
      <c r="AW45" s="55">
        <f t="shared" si="54"/>
        <v>5.8410606784116581E-2</v>
      </c>
      <c r="AX45" s="55">
        <f t="shared" si="55"/>
        <v>5.8410606784116581E-2</v>
      </c>
      <c r="AY45" s="55">
        <f t="shared" si="56"/>
        <v>5.8410606784116581E-2</v>
      </c>
      <c r="AZ45" s="56">
        <f t="shared" si="57"/>
        <v>5.8410606784116581E-2</v>
      </c>
      <c r="BA45" s="11"/>
      <c r="BB45" s="12"/>
      <c r="BC45" s="12"/>
      <c r="BD45" s="13"/>
      <c r="BF45" s="14"/>
      <c r="BG45" s="10"/>
      <c r="BH45" s="11"/>
      <c r="BI45" s="11"/>
      <c r="BJ45" s="11"/>
      <c r="BK45" s="12"/>
      <c r="BL45" s="12"/>
      <c r="BM45" s="13"/>
      <c r="BO45" s="14"/>
      <c r="BP45" s="10"/>
      <c r="BQ45" s="11"/>
      <c r="BR45" s="11"/>
      <c r="BS45" s="11"/>
      <c r="BT45" s="12"/>
      <c r="BU45" s="12"/>
      <c r="BV45" s="13"/>
      <c r="BX45" s="14"/>
      <c r="BY45" s="10"/>
      <c r="BZ45" s="11"/>
      <c r="CA45" s="11"/>
      <c r="CB45" s="11"/>
      <c r="CC45" s="12"/>
      <c r="CD45" s="12"/>
      <c r="CE45" s="13"/>
      <c r="CG45" s="14"/>
      <c r="CH45" s="10"/>
      <c r="CI45" s="11"/>
      <c r="CJ45" s="11"/>
      <c r="CK45" s="11"/>
      <c r="CL45" s="12"/>
      <c r="CM45" s="12"/>
      <c r="CN45" s="13"/>
      <c r="CP45" s="13"/>
    </row>
    <row r="46" spans="1:94" x14ac:dyDescent="0.35">
      <c r="A46" s="27">
        <v>39</v>
      </c>
      <c r="B46" s="63">
        <f t="shared" si="32"/>
        <v>4.4999999999999998E-2</v>
      </c>
      <c r="C46" s="28">
        <f>B46+VLOOKUP(Rawdata!A41,Int_rate_movements,2,TRUE)</f>
        <v>4.4999999999999998E-2</v>
      </c>
      <c r="D46" s="28">
        <f>C46+VLOOKUP(Rawdata!B41,Int_rate_movements,2,TRUE)</f>
        <v>4.4999999999999998E-2</v>
      </c>
      <c r="E46" s="28">
        <f>D46+VLOOKUP(Rawdata!C41,Int_rate_movements,2,TRUE)</f>
        <v>4.2499999999999996E-2</v>
      </c>
      <c r="F46" s="28">
        <f>E46+VLOOKUP(Rawdata!D41,Int_rate_movements,2,TRUE)</f>
        <v>4.2499999999999996E-2</v>
      </c>
      <c r="G46" s="28">
        <f>F46+VLOOKUP(Rawdata!E41,Int_rate_movements,2,TRUE)</f>
        <v>4.2499999999999996E-2</v>
      </c>
      <c r="H46" s="28">
        <f>G46+VLOOKUP(Rawdata!F41,Int_rate_movements,2,TRUE)</f>
        <v>4.2499999999999996E-2</v>
      </c>
      <c r="I46" s="28">
        <f>H46+VLOOKUP(Rawdata!G41,Int_rate_movements,2,TRUE)</f>
        <v>4.2499999999999996E-2</v>
      </c>
      <c r="J46" s="28">
        <f>I46+VLOOKUP(Rawdata!H41,Int_rate_movements,2,TRUE)</f>
        <v>4.2499999999999996E-2</v>
      </c>
      <c r="K46" s="28">
        <f>J46+VLOOKUP(Rawdata!I41,Int_rate_movements,2,TRUE)</f>
        <v>4.2499999999999996E-2</v>
      </c>
      <c r="L46" s="28">
        <f>K46+VLOOKUP(Rawdata!J41,Int_rate_movements,2,TRUE)</f>
        <v>4.2499999999999996E-2</v>
      </c>
      <c r="M46" s="28">
        <f>L46+VLOOKUP(Rawdata!K41,Int_rate_movements,2,TRUE)</f>
        <v>4.2499999999999996E-2</v>
      </c>
      <c r="N46" s="28">
        <f>M46+VLOOKUP(Rawdata!L41,Int_rate_movements,2,TRUE)</f>
        <v>4.2499999999999996E-2</v>
      </c>
      <c r="O46" s="28">
        <f>N46+VLOOKUP(Rawdata!M41,Int_rate_movements,2,TRUE)</f>
        <v>4.2499999999999996E-2</v>
      </c>
      <c r="P46" s="28">
        <f>O46+VLOOKUP(Rawdata!N41,Int_rate_movements,2,TRUE)</f>
        <v>4.2499999999999996E-2</v>
      </c>
      <c r="Q46" s="28">
        <f>P46+VLOOKUP(Rawdata!O41,Int_rate_movements,2,TRUE)</f>
        <v>3.9999999999999994E-2</v>
      </c>
      <c r="R46" s="28">
        <f>Q46+VLOOKUP(Rawdata!P41,Int_rate_movements,2,TRUE)</f>
        <v>3.9999999999999994E-2</v>
      </c>
      <c r="S46" s="28">
        <f>R46+VLOOKUP(Rawdata!Q41,Int_rate_movements,2,TRUE)</f>
        <v>3.9999999999999994E-2</v>
      </c>
      <c r="T46" s="28">
        <f>S46+VLOOKUP(Rawdata!R41,Int_rate_movements,2,TRUE)</f>
        <v>3.9999999999999994E-2</v>
      </c>
      <c r="U46" s="28">
        <f>T46+VLOOKUP(Rawdata!S41,Int_rate_movements,2,TRUE)</f>
        <v>3.9999999999999994E-2</v>
      </c>
      <c r="V46" s="28">
        <f>U46+VLOOKUP(Rawdata!T41,Int_rate_movements,2,TRUE)</f>
        <v>4.2499999999999996E-2</v>
      </c>
      <c r="W46" s="28">
        <f>V46+VLOOKUP(Rawdata!U41,Int_rate_movements,2,TRUE)</f>
        <v>4.2499999999999996E-2</v>
      </c>
      <c r="X46" s="28">
        <f>W46+VLOOKUP(Rawdata!V41,Int_rate_movements,2,TRUE)</f>
        <v>4.2499999999999996E-2</v>
      </c>
      <c r="Y46" s="28">
        <f>X46+VLOOKUP(Rawdata!W41,Int_rate_movements,2,TRUE)</f>
        <v>4.2499999999999996E-2</v>
      </c>
      <c r="Z46" s="35">
        <f>Y46+VLOOKUP(Rawdata!X41,Int_rate_movements,2,TRUE)</f>
        <v>4.2499999999999996E-2</v>
      </c>
      <c r="AA46" s="12"/>
      <c r="AB46" s="55">
        <f t="shared" si="33"/>
        <v>4.4097712805242217E-2</v>
      </c>
      <c r="AC46" s="55">
        <f t="shared" si="34"/>
        <v>4.4097712805242217E-2</v>
      </c>
      <c r="AD46" s="55">
        <f t="shared" si="35"/>
        <v>4.4097712805242217E-2</v>
      </c>
      <c r="AE46" s="55">
        <f t="shared" si="36"/>
        <v>4.1693940041970023E-2</v>
      </c>
      <c r="AF46" s="55">
        <f t="shared" si="37"/>
        <v>4.1693940041970023E-2</v>
      </c>
      <c r="AG46" s="55">
        <f t="shared" si="38"/>
        <v>4.1693940041970023E-2</v>
      </c>
      <c r="AH46" s="55">
        <f t="shared" si="39"/>
        <v>4.1693940041970023E-2</v>
      </c>
      <c r="AI46" s="55">
        <f t="shared" si="40"/>
        <v>4.1693940041970023E-2</v>
      </c>
      <c r="AJ46" s="55">
        <f t="shared" si="41"/>
        <v>4.1693940041970023E-2</v>
      </c>
      <c r="AK46" s="55">
        <f t="shared" si="42"/>
        <v>4.1693940041970023E-2</v>
      </c>
      <c r="AL46" s="55">
        <f t="shared" si="43"/>
        <v>4.1693940041970023E-2</v>
      </c>
      <c r="AM46" s="55">
        <f t="shared" si="44"/>
        <v>4.1693940041970023E-2</v>
      </c>
      <c r="AN46" s="55">
        <f t="shared" si="45"/>
        <v>4.1693940041970023E-2</v>
      </c>
      <c r="AO46" s="55">
        <f t="shared" si="46"/>
        <v>4.1693940041970023E-2</v>
      </c>
      <c r="AP46" s="55">
        <f t="shared" si="47"/>
        <v>4.1693940041970023E-2</v>
      </c>
      <c r="AQ46" s="55">
        <f t="shared" si="48"/>
        <v>3.9284877386386974E-2</v>
      </c>
      <c r="AR46" s="55">
        <f t="shared" si="49"/>
        <v>3.9284877386386974E-2</v>
      </c>
      <c r="AS46" s="55">
        <f t="shared" si="50"/>
        <v>3.9284877386386974E-2</v>
      </c>
      <c r="AT46" s="55">
        <f t="shared" si="51"/>
        <v>3.9284877386386974E-2</v>
      </c>
      <c r="AU46" s="55">
        <f t="shared" si="52"/>
        <v>3.9284877386386974E-2</v>
      </c>
      <c r="AV46" s="55">
        <f t="shared" si="53"/>
        <v>4.1693940041970023E-2</v>
      </c>
      <c r="AW46" s="55">
        <f t="shared" si="54"/>
        <v>4.1693940041970023E-2</v>
      </c>
      <c r="AX46" s="55">
        <f t="shared" si="55"/>
        <v>4.1693940041970023E-2</v>
      </c>
      <c r="AY46" s="55">
        <f t="shared" si="56"/>
        <v>4.1693940041970023E-2</v>
      </c>
      <c r="AZ46" s="56">
        <f t="shared" si="57"/>
        <v>4.1693940041970023E-2</v>
      </c>
      <c r="BA46" s="11"/>
      <c r="BB46" s="12"/>
      <c r="BC46" s="12"/>
      <c r="BD46" s="13"/>
      <c r="BF46" s="14"/>
      <c r="BG46" s="10"/>
      <c r="BH46" s="11"/>
      <c r="BI46" s="11"/>
      <c r="BJ46" s="11"/>
      <c r="BK46" s="12"/>
      <c r="BL46" s="12"/>
      <c r="BM46" s="13"/>
      <c r="BO46" s="14"/>
      <c r="BP46" s="10"/>
      <c r="BQ46" s="11"/>
      <c r="BR46" s="11"/>
      <c r="BS46" s="11"/>
      <c r="BT46" s="12"/>
      <c r="BU46" s="12"/>
      <c r="BV46" s="13"/>
      <c r="BX46" s="14"/>
      <c r="BY46" s="10"/>
      <c r="BZ46" s="11"/>
      <c r="CA46" s="11"/>
      <c r="CB46" s="11"/>
      <c r="CC46" s="12"/>
      <c r="CD46" s="12"/>
      <c r="CE46" s="13"/>
      <c r="CG46" s="14"/>
      <c r="CH46" s="10"/>
      <c r="CI46" s="11"/>
      <c r="CJ46" s="11"/>
      <c r="CK46" s="11"/>
      <c r="CL46" s="12"/>
      <c r="CM46" s="12"/>
      <c r="CN46" s="13"/>
      <c r="CP46" s="13"/>
    </row>
    <row r="47" spans="1:94" x14ac:dyDescent="0.35">
      <c r="A47" s="5">
        <v>40</v>
      </c>
      <c r="B47" s="63">
        <f t="shared" si="32"/>
        <v>4.4999999999999998E-2</v>
      </c>
      <c r="C47" s="28">
        <f>B47+VLOOKUP(Rawdata!A42,Int_rate_movements,2,TRUE)</f>
        <v>4.4999999999999998E-2</v>
      </c>
      <c r="D47" s="28">
        <f>C47+VLOOKUP(Rawdata!B42,Int_rate_movements,2,TRUE)</f>
        <v>4.4999999999999998E-2</v>
      </c>
      <c r="E47" s="28">
        <f>D47+VLOOKUP(Rawdata!C42,Int_rate_movements,2,TRUE)</f>
        <v>4.4999999999999998E-2</v>
      </c>
      <c r="F47" s="28">
        <f>E47+VLOOKUP(Rawdata!D42,Int_rate_movements,2,TRUE)</f>
        <v>4.4999999999999998E-2</v>
      </c>
      <c r="G47" s="28">
        <f>F47+VLOOKUP(Rawdata!E42,Int_rate_movements,2,TRUE)</f>
        <v>4.4999999999999998E-2</v>
      </c>
      <c r="H47" s="28">
        <f>G47+VLOOKUP(Rawdata!F42,Int_rate_movements,2,TRUE)</f>
        <v>4.4999999999999998E-2</v>
      </c>
      <c r="I47" s="28">
        <f>H47+VLOOKUP(Rawdata!G42,Int_rate_movements,2,TRUE)</f>
        <v>4.4999999999999998E-2</v>
      </c>
      <c r="J47" s="28">
        <f>I47+VLOOKUP(Rawdata!H42,Int_rate_movements,2,TRUE)</f>
        <v>4.2499999999999996E-2</v>
      </c>
      <c r="K47" s="28">
        <f>J47+VLOOKUP(Rawdata!I42,Int_rate_movements,2,TRUE)</f>
        <v>4.2499999999999996E-2</v>
      </c>
      <c r="L47" s="28">
        <f>K47+VLOOKUP(Rawdata!J42,Int_rate_movements,2,TRUE)</f>
        <v>4.2499999999999996E-2</v>
      </c>
      <c r="M47" s="28">
        <f>L47+VLOOKUP(Rawdata!K42,Int_rate_movements,2,TRUE)</f>
        <v>4.2499999999999996E-2</v>
      </c>
      <c r="N47" s="28">
        <f>M47+VLOOKUP(Rawdata!L42,Int_rate_movements,2,TRUE)</f>
        <v>4.2499999999999996E-2</v>
      </c>
      <c r="O47" s="28">
        <f>N47+VLOOKUP(Rawdata!M42,Int_rate_movements,2,TRUE)</f>
        <v>4.2499999999999996E-2</v>
      </c>
      <c r="P47" s="28">
        <f>O47+VLOOKUP(Rawdata!N42,Int_rate_movements,2,TRUE)</f>
        <v>4.2499999999999996E-2</v>
      </c>
      <c r="Q47" s="28">
        <f>P47+VLOOKUP(Rawdata!O42,Int_rate_movements,2,TRUE)</f>
        <v>4.2499999999999996E-2</v>
      </c>
      <c r="R47" s="28">
        <f>Q47+VLOOKUP(Rawdata!P42,Int_rate_movements,2,TRUE)</f>
        <v>4.2499999999999996E-2</v>
      </c>
      <c r="S47" s="28">
        <f>R47+VLOOKUP(Rawdata!Q42,Int_rate_movements,2,TRUE)</f>
        <v>4.2499999999999996E-2</v>
      </c>
      <c r="T47" s="28">
        <f>S47+VLOOKUP(Rawdata!R42,Int_rate_movements,2,TRUE)</f>
        <v>4.2499999999999996E-2</v>
      </c>
      <c r="U47" s="28">
        <f>T47+VLOOKUP(Rawdata!S42,Int_rate_movements,2,TRUE)</f>
        <v>4.2499999999999996E-2</v>
      </c>
      <c r="V47" s="28">
        <f>U47+VLOOKUP(Rawdata!T42,Int_rate_movements,2,TRUE)</f>
        <v>4.2499999999999996E-2</v>
      </c>
      <c r="W47" s="28">
        <f>V47+VLOOKUP(Rawdata!U42,Int_rate_movements,2,TRUE)</f>
        <v>4.2499999999999996E-2</v>
      </c>
      <c r="X47" s="28">
        <f>W47+VLOOKUP(Rawdata!V42,Int_rate_movements,2,TRUE)</f>
        <v>4.2499999999999996E-2</v>
      </c>
      <c r="Y47" s="28">
        <f>X47+VLOOKUP(Rawdata!W42,Int_rate_movements,2,TRUE)</f>
        <v>4.2499999999999996E-2</v>
      </c>
      <c r="Z47" s="35">
        <f>Y47+VLOOKUP(Rawdata!X42,Int_rate_movements,2,TRUE)</f>
        <v>4.2499999999999996E-2</v>
      </c>
      <c r="AA47" s="12"/>
      <c r="AB47" s="55">
        <f t="shared" si="33"/>
        <v>4.4097712805242217E-2</v>
      </c>
      <c r="AC47" s="55">
        <f t="shared" si="34"/>
        <v>4.4097712805242217E-2</v>
      </c>
      <c r="AD47" s="55">
        <f t="shared" si="35"/>
        <v>4.4097712805242217E-2</v>
      </c>
      <c r="AE47" s="55">
        <f t="shared" si="36"/>
        <v>4.4097712805242217E-2</v>
      </c>
      <c r="AF47" s="55">
        <f t="shared" si="37"/>
        <v>4.4097712805242217E-2</v>
      </c>
      <c r="AG47" s="55">
        <f t="shared" si="38"/>
        <v>4.4097712805242217E-2</v>
      </c>
      <c r="AH47" s="55">
        <f t="shared" si="39"/>
        <v>4.4097712805242217E-2</v>
      </c>
      <c r="AI47" s="55">
        <f t="shared" si="40"/>
        <v>4.4097712805242217E-2</v>
      </c>
      <c r="AJ47" s="55">
        <f t="shared" si="41"/>
        <v>4.1693940041970023E-2</v>
      </c>
      <c r="AK47" s="55">
        <f t="shared" si="42"/>
        <v>4.1693940041970023E-2</v>
      </c>
      <c r="AL47" s="55">
        <f t="shared" si="43"/>
        <v>4.1693940041970023E-2</v>
      </c>
      <c r="AM47" s="55">
        <f t="shared" si="44"/>
        <v>4.1693940041970023E-2</v>
      </c>
      <c r="AN47" s="55">
        <f t="shared" si="45"/>
        <v>4.1693940041970023E-2</v>
      </c>
      <c r="AO47" s="55">
        <f t="shared" si="46"/>
        <v>4.1693940041970023E-2</v>
      </c>
      <c r="AP47" s="55">
        <f t="shared" si="47"/>
        <v>4.1693940041970023E-2</v>
      </c>
      <c r="AQ47" s="55">
        <f t="shared" si="48"/>
        <v>4.1693940041970023E-2</v>
      </c>
      <c r="AR47" s="55">
        <f t="shared" si="49"/>
        <v>4.1693940041970023E-2</v>
      </c>
      <c r="AS47" s="55">
        <f t="shared" si="50"/>
        <v>4.1693940041970023E-2</v>
      </c>
      <c r="AT47" s="55">
        <f t="shared" si="51"/>
        <v>4.1693940041970023E-2</v>
      </c>
      <c r="AU47" s="55">
        <f t="shared" si="52"/>
        <v>4.1693940041970023E-2</v>
      </c>
      <c r="AV47" s="55">
        <f t="shared" si="53"/>
        <v>4.1693940041970023E-2</v>
      </c>
      <c r="AW47" s="55">
        <f t="shared" si="54"/>
        <v>4.1693940041970023E-2</v>
      </c>
      <c r="AX47" s="55">
        <f t="shared" si="55"/>
        <v>4.1693940041970023E-2</v>
      </c>
      <c r="AY47" s="55">
        <f t="shared" si="56"/>
        <v>4.1693940041970023E-2</v>
      </c>
      <c r="AZ47" s="56">
        <f t="shared" si="57"/>
        <v>4.1693940041970023E-2</v>
      </c>
      <c r="BA47" s="11"/>
      <c r="BB47" s="12"/>
      <c r="BC47" s="12"/>
      <c r="BD47" s="13"/>
      <c r="BF47" s="14"/>
      <c r="BG47" s="10"/>
      <c r="BH47" s="11"/>
      <c r="BI47" s="11"/>
      <c r="BJ47" s="11"/>
      <c r="BK47" s="12"/>
      <c r="BL47" s="12"/>
      <c r="BM47" s="13"/>
      <c r="BO47" s="14"/>
      <c r="BP47" s="10"/>
      <c r="BQ47" s="11"/>
      <c r="BR47" s="11"/>
      <c r="BS47" s="11"/>
      <c r="BT47" s="12"/>
      <c r="BU47" s="12"/>
      <c r="BV47" s="13"/>
      <c r="BX47" s="14"/>
      <c r="BY47" s="10"/>
      <c r="BZ47" s="11"/>
      <c r="CA47" s="11"/>
      <c r="CB47" s="11"/>
      <c r="CC47" s="12"/>
      <c r="CD47" s="12"/>
      <c r="CE47" s="13"/>
      <c r="CG47" s="14"/>
      <c r="CH47" s="10"/>
      <c r="CI47" s="11"/>
      <c r="CJ47" s="11"/>
      <c r="CK47" s="11"/>
      <c r="CL47" s="12"/>
      <c r="CM47" s="12"/>
      <c r="CN47" s="13"/>
      <c r="CP47" s="13"/>
    </row>
    <row r="48" spans="1:94" x14ac:dyDescent="0.35">
      <c r="A48" s="27">
        <v>41</v>
      </c>
      <c r="B48" s="63">
        <f t="shared" si="32"/>
        <v>4.4999999999999998E-2</v>
      </c>
      <c r="C48" s="28">
        <f>B48+VLOOKUP(Rawdata!A43,Int_rate_movements,2,TRUE)</f>
        <v>4.4999999999999998E-2</v>
      </c>
      <c r="D48" s="28">
        <f>C48+VLOOKUP(Rawdata!B43,Int_rate_movements,2,TRUE)</f>
        <v>4.7500000000000001E-2</v>
      </c>
      <c r="E48" s="28">
        <f>D48+VLOOKUP(Rawdata!C43,Int_rate_movements,2,TRUE)</f>
        <v>4.7500000000000001E-2</v>
      </c>
      <c r="F48" s="28">
        <f>E48+VLOOKUP(Rawdata!D43,Int_rate_movements,2,TRUE)</f>
        <v>4.7500000000000001E-2</v>
      </c>
      <c r="G48" s="28">
        <f>F48+VLOOKUP(Rawdata!E43,Int_rate_movements,2,TRUE)</f>
        <v>4.7500000000000001E-2</v>
      </c>
      <c r="H48" s="28">
        <f>G48+VLOOKUP(Rawdata!F43,Int_rate_movements,2,TRUE)</f>
        <v>4.7500000000000001E-2</v>
      </c>
      <c r="I48" s="28">
        <f>H48+VLOOKUP(Rawdata!G43,Int_rate_movements,2,TRUE)</f>
        <v>4.7500000000000001E-2</v>
      </c>
      <c r="J48" s="28">
        <f>I48+VLOOKUP(Rawdata!H43,Int_rate_movements,2,TRUE)</f>
        <v>4.7500000000000001E-2</v>
      </c>
      <c r="K48" s="28">
        <f>J48+VLOOKUP(Rawdata!I43,Int_rate_movements,2,TRUE)</f>
        <v>4.7500000000000001E-2</v>
      </c>
      <c r="L48" s="28">
        <f>K48+VLOOKUP(Rawdata!J43,Int_rate_movements,2,TRUE)</f>
        <v>4.4999999999999998E-2</v>
      </c>
      <c r="M48" s="28">
        <f>L48+VLOOKUP(Rawdata!K43,Int_rate_movements,2,TRUE)</f>
        <v>4.4999999999999998E-2</v>
      </c>
      <c r="N48" s="28">
        <f>M48+VLOOKUP(Rawdata!L43,Int_rate_movements,2,TRUE)</f>
        <v>4.4999999999999998E-2</v>
      </c>
      <c r="O48" s="28">
        <f>N48+VLOOKUP(Rawdata!M43,Int_rate_movements,2,TRUE)</f>
        <v>4.4999999999999998E-2</v>
      </c>
      <c r="P48" s="28">
        <f>O48+VLOOKUP(Rawdata!N43,Int_rate_movements,2,TRUE)</f>
        <v>4.4999999999999998E-2</v>
      </c>
      <c r="Q48" s="28">
        <f>P48+VLOOKUP(Rawdata!O43,Int_rate_movements,2,TRUE)</f>
        <v>4.4999999999999998E-2</v>
      </c>
      <c r="R48" s="28">
        <f>Q48+VLOOKUP(Rawdata!P43,Int_rate_movements,2,TRUE)</f>
        <v>4.4999999999999998E-2</v>
      </c>
      <c r="S48" s="28">
        <f>R48+VLOOKUP(Rawdata!Q43,Int_rate_movements,2,TRUE)</f>
        <v>4.4999999999999998E-2</v>
      </c>
      <c r="T48" s="28">
        <f>S48+VLOOKUP(Rawdata!R43,Int_rate_movements,2,TRUE)</f>
        <v>4.4999999999999998E-2</v>
      </c>
      <c r="U48" s="28">
        <f>T48+VLOOKUP(Rawdata!S43,Int_rate_movements,2,TRUE)</f>
        <v>4.2499999999999996E-2</v>
      </c>
      <c r="V48" s="28">
        <f>U48+VLOOKUP(Rawdata!T43,Int_rate_movements,2,TRUE)</f>
        <v>4.2499999999999996E-2</v>
      </c>
      <c r="W48" s="28">
        <f>V48+VLOOKUP(Rawdata!U43,Int_rate_movements,2,TRUE)</f>
        <v>4.2499999999999996E-2</v>
      </c>
      <c r="X48" s="28">
        <f>W48+VLOOKUP(Rawdata!V43,Int_rate_movements,2,TRUE)</f>
        <v>3.9999999999999994E-2</v>
      </c>
      <c r="Y48" s="28">
        <f>X48+VLOOKUP(Rawdata!W43,Int_rate_movements,2,TRUE)</f>
        <v>3.9999999999999994E-2</v>
      </c>
      <c r="Z48" s="35">
        <f>Y48+VLOOKUP(Rawdata!X43,Int_rate_movements,2,TRUE)</f>
        <v>3.7499999999999992E-2</v>
      </c>
      <c r="AA48" s="12"/>
      <c r="AB48" s="55">
        <f t="shared" si="33"/>
        <v>4.4097712805242217E-2</v>
      </c>
      <c r="AC48" s="55">
        <f t="shared" si="34"/>
        <v>4.4097712805242217E-2</v>
      </c>
      <c r="AD48" s="55">
        <f t="shared" si="35"/>
        <v>4.6496219905550085E-2</v>
      </c>
      <c r="AE48" s="55">
        <f t="shared" si="36"/>
        <v>4.6496219905550085E-2</v>
      </c>
      <c r="AF48" s="55">
        <f t="shared" si="37"/>
        <v>4.6496219905550085E-2</v>
      </c>
      <c r="AG48" s="55">
        <f t="shared" si="38"/>
        <v>4.6496219905550085E-2</v>
      </c>
      <c r="AH48" s="55">
        <f t="shared" si="39"/>
        <v>4.6496219905550085E-2</v>
      </c>
      <c r="AI48" s="55">
        <f t="shared" si="40"/>
        <v>4.6496219905550085E-2</v>
      </c>
      <c r="AJ48" s="55">
        <f t="shared" si="41"/>
        <v>4.6496219905550085E-2</v>
      </c>
      <c r="AK48" s="55">
        <f t="shared" si="42"/>
        <v>4.6496219905550085E-2</v>
      </c>
      <c r="AL48" s="55">
        <f t="shared" si="43"/>
        <v>4.4097712805242217E-2</v>
      </c>
      <c r="AM48" s="55">
        <f t="shared" si="44"/>
        <v>4.4097712805242217E-2</v>
      </c>
      <c r="AN48" s="55">
        <f t="shared" si="45"/>
        <v>4.4097712805242217E-2</v>
      </c>
      <c r="AO48" s="55">
        <f t="shared" si="46"/>
        <v>4.4097712805242217E-2</v>
      </c>
      <c r="AP48" s="55">
        <f t="shared" si="47"/>
        <v>4.4097712805242217E-2</v>
      </c>
      <c r="AQ48" s="55">
        <f t="shared" si="48"/>
        <v>4.4097712805242217E-2</v>
      </c>
      <c r="AR48" s="55">
        <f t="shared" si="49"/>
        <v>4.4097712805242217E-2</v>
      </c>
      <c r="AS48" s="55">
        <f t="shared" si="50"/>
        <v>4.4097712805242217E-2</v>
      </c>
      <c r="AT48" s="55">
        <f t="shared" si="51"/>
        <v>4.4097712805242217E-2</v>
      </c>
      <c r="AU48" s="55">
        <f t="shared" si="52"/>
        <v>4.1693940041970023E-2</v>
      </c>
      <c r="AV48" s="55">
        <f t="shared" si="53"/>
        <v>4.1693940041970023E-2</v>
      </c>
      <c r="AW48" s="55">
        <f t="shared" si="54"/>
        <v>4.1693940041970023E-2</v>
      </c>
      <c r="AX48" s="55">
        <f t="shared" si="55"/>
        <v>3.9284877386386974E-2</v>
      </c>
      <c r="AY48" s="55">
        <f t="shared" si="56"/>
        <v>3.9284877386386974E-2</v>
      </c>
      <c r="AZ48" s="56">
        <f t="shared" si="57"/>
        <v>3.6870500439066589E-2</v>
      </c>
      <c r="BA48" s="11"/>
      <c r="BB48" s="12"/>
      <c r="BC48" s="12"/>
      <c r="BD48" s="13"/>
      <c r="BF48" s="14"/>
      <c r="BG48" s="10"/>
      <c r="BH48" s="11"/>
      <c r="BI48" s="11"/>
      <c r="BJ48" s="11"/>
      <c r="BK48" s="12"/>
      <c r="BL48" s="12"/>
      <c r="BM48" s="13"/>
      <c r="BO48" s="14"/>
      <c r="BP48" s="10"/>
      <c r="BQ48" s="11"/>
      <c r="BR48" s="11"/>
      <c r="BS48" s="11"/>
      <c r="BT48" s="12"/>
      <c r="BU48" s="12"/>
      <c r="BV48" s="13"/>
      <c r="BX48" s="14"/>
      <c r="BY48" s="10"/>
      <c r="BZ48" s="11"/>
      <c r="CA48" s="11"/>
      <c r="CB48" s="11"/>
      <c r="CC48" s="12"/>
      <c r="CD48" s="12"/>
      <c r="CE48" s="13"/>
      <c r="CG48" s="14"/>
      <c r="CH48" s="10"/>
      <c r="CI48" s="11"/>
      <c r="CJ48" s="11"/>
      <c r="CK48" s="11"/>
      <c r="CL48" s="12"/>
      <c r="CM48" s="12"/>
      <c r="CN48" s="13"/>
      <c r="CP48" s="13"/>
    </row>
    <row r="49" spans="1:94" x14ac:dyDescent="0.35">
      <c r="A49" s="5">
        <v>42</v>
      </c>
      <c r="B49" s="63">
        <f t="shared" si="32"/>
        <v>4.4999999999999998E-2</v>
      </c>
      <c r="C49" s="28">
        <f>B49+VLOOKUP(Rawdata!A44,Int_rate_movements,2,TRUE)</f>
        <v>4.4999999999999998E-2</v>
      </c>
      <c r="D49" s="28">
        <f>C49+VLOOKUP(Rawdata!B44,Int_rate_movements,2,TRUE)</f>
        <v>4.4999999999999998E-2</v>
      </c>
      <c r="E49" s="28">
        <f>D49+VLOOKUP(Rawdata!C44,Int_rate_movements,2,TRUE)</f>
        <v>4.4999999999999998E-2</v>
      </c>
      <c r="F49" s="28">
        <f>E49+VLOOKUP(Rawdata!D44,Int_rate_movements,2,TRUE)</f>
        <v>4.4999999999999998E-2</v>
      </c>
      <c r="G49" s="28">
        <f>F49+VLOOKUP(Rawdata!E44,Int_rate_movements,2,TRUE)</f>
        <v>4.4999999999999998E-2</v>
      </c>
      <c r="H49" s="28">
        <f>G49+VLOOKUP(Rawdata!F44,Int_rate_movements,2,TRUE)</f>
        <v>4.4999999999999998E-2</v>
      </c>
      <c r="I49" s="28">
        <f>H49+VLOOKUP(Rawdata!G44,Int_rate_movements,2,TRUE)</f>
        <v>4.4999999999999998E-2</v>
      </c>
      <c r="J49" s="28">
        <f>I49+VLOOKUP(Rawdata!H44,Int_rate_movements,2,TRUE)</f>
        <v>4.4999999999999998E-2</v>
      </c>
      <c r="K49" s="28">
        <f>J49+VLOOKUP(Rawdata!I44,Int_rate_movements,2,TRUE)</f>
        <v>4.4999999999999998E-2</v>
      </c>
      <c r="L49" s="28">
        <f>K49+VLOOKUP(Rawdata!J44,Int_rate_movements,2,TRUE)</f>
        <v>4.4999999999999998E-2</v>
      </c>
      <c r="M49" s="28">
        <f>L49+VLOOKUP(Rawdata!K44,Int_rate_movements,2,TRUE)</f>
        <v>4.4999999999999998E-2</v>
      </c>
      <c r="N49" s="28">
        <f>M49+VLOOKUP(Rawdata!L44,Int_rate_movements,2,TRUE)</f>
        <v>4.4999999999999998E-2</v>
      </c>
      <c r="O49" s="28">
        <f>N49+VLOOKUP(Rawdata!M44,Int_rate_movements,2,TRUE)</f>
        <v>4.4999999999999998E-2</v>
      </c>
      <c r="P49" s="28">
        <f>O49+VLOOKUP(Rawdata!N44,Int_rate_movements,2,TRUE)</f>
        <v>4.4999999999999998E-2</v>
      </c>
      <c r="Q49" s="28">
        <f>P49+VLOOKUP(Rawdata!O44,Int_rate_movements,2,TRUE)</f>
        <v>4.4999999999999998E-2</v>
      </c>
      <c r="R49" s="28">
        <f>Q49+VLOOKUP(Rawdata!P44,Int_rate_movements,2,TRUE)</f>
        <v>4.4999999999999998E-2</v>
      </c>
      <c r="S49" s="28">
        <f>R49+VLOOKUP(Rawdata!Q44,Int_rate_movements,2,TRUE)</f>
        <v>4.4999999999999998E-2</v>
      </c>
      <c r="T49" s="28">
        <f>S49+VLOOKUP(Rawdata!R44,Int_rate_movements,2,TRUE)</f>
        <v>4.4999999999999998E-2</v>
      </c>
      <c r="U49" s="28">
        <f>T49+VLOOKUP(Rawdata!S44,Int_rate_movements,2,TRUE)</f>
        <v>4.4999999999999998E-2</v>
      </c>
      <c r="V49" s="28">
        <f>U49+VLOOKUP(Rawdata!T44,Int_rate_movements,2,TRUE)</f>
        <v>4.4999999999999998E-2</v>
      </c>
      <c r="W49" s="28">
        <f>V49+VLOOKUP(Rawdata!U44,Int_rate_movements,2,TRUE)</f>
        <v>4.4999999999999998E-2</v>
      </c>
      <c r="X49" s="28">
        <f>W49+VLOOKUP(Rawdata!V44,Int_rate_movements,2,TRUE)</f>
        <v>4.4999999999999998E-2</v>
      </c>
      <c r="Y49" s="28">
        <f>X49+VLOOKUP(Rawdata!W44,Int_rate_movements,2,TRUE)</f>
        <v>4.4999999999999998E-2</v>
      </c>
      <c r="Z49" s="35">
        <f>Y49+VLOOKUP(Rawdata!X44,Int_rate_movements,2,TRUE)</f>
        <v>4.4999999999999998E-2</v>
      </c>
      <c r="AA49" s="12"/>
      <c r="AB49" s="55">
        <f t="shared" si="33"/>
        <v>4.4097712805242217E-2</v>
      </c>
      <c r="AC49" s="55">
        <f t="shared" si="34"/>
        <v>4.4097712805242217E-2</v>
      </c>
      <c r="AD49" s="55">
        <f t="shared" si="35"/>
        <v>4.4097712805242217E-2</v>
      </c>
      <c r="AE49" s="55">
        <f t="shared" si="36"/>
        <v>4.4097712805242217E-2</v>
      </c>
      <c r="AF49" s="55">
        <f t="shared" si="37"/>
        <v>4.4097712805242217E-2</v>
      </c>
      <c r="AG49" s="55">
        <f t="shared" si="38"/>
        <v>4.4097712805242217E-2</v>
      </c>
      <c r="AH49" s="55">
        <f t="shared" si="39"/>
        <v>4.4097712805242217E-2</v>
      </c>
      <c r="AI49" s="55">
        <f t="shared" si="40"/>
        <v>4.4097712805242217E-2</v>
      </c>
      <c r="AJ49" s="55">
        <f t="shared" si="41"/>
        <v>4.4097712805242217E-2</v>
      </c>
      <c r="AK49" s="55">
        <f t="shared" si="42"/>
        <v>4.4097712805242217E-2</v>
      </c>
      <c r="AL49" s="55">
        <f t="shared" si="43"/>
        <v>4.4097712805242217E-2</v>
      </c>
      <c r="AM49" s="55">
        <f t="shared" si="44"/>
        <v>4.4097712805242217E-2</v>
      </c>
      <c r="AN49" s="55">
        <f t="shared" si="45"/>
        <v>4.4097712805242217E-2</v>
      </c>
      <c r="AO49" s="55">
        <f t="shared" si="46"/>
        <v>4.4097712805242217E-2</v>
      </c>
      <c r="AP49" s="55">
        <f t="shared" si="47"/>
        <v>4.4097712805242217E-2</v>
      </c>
      <c r="AQ49" s="55">
        <f t="shared" si="48"/>
        <v>4.4097712805242217E-2</v>
      </c>
      <c r="AR49" s="55">
        <f t="shared" si="49"/>
        <v>4.4097712805242217E-2</v>
      </c>
      <c r="AS49" s="55">
        <f t="shared" si="50"/>
        <v>4.4097712805242217E-2</v>
      </c>
      <c r="AT49" s="55">
        <f t="shared" si="51"/>
        <v>4.4097712805242217E-2</v>
      </c>
      <c r="AU49" s="55">
        <f t="shared" si="52"/>
        <v>4.4097712805242217E-2</v>
      </c>
      <c r="AV49" s="55">
        <f t="shared" si="53"/>
        <v>4.4097712805242217E-2</v>
      </c>
      <c r="AW49" s="55">
        <f t="shared" si="54"/>
        <v>4.4097712805242217E-2</v>
      </c>
      <c r="AX49" s="55">
        <f t="shared" si="55"/>
        <v>4.4097712805242217E-2</v>
      </c>
      <c r="AY49" s="55">
        <f t="shared" si="56"/>
        <v>4.4097712805242217E-2</v>
      </c>
      <c r="AZ49" s="56">
        <f t="shared" si="57"/>
        <v>4.4097712805242217E-2</v>
      </c>
      <c r="BA49" s="11"/>
      <c r="BB49" s="12"/>
      <c r="BC49" s="12"/>
      <c r="BD49" s="13"/>
      <c r="BF49" s="14"/>
      <c r="BG49" s="10"/>
      <c r="BH49" s="11"/>
      <c r="BI49" s="11"/>
      <c r="BJ49" s="11"/>
      <c r="BK49" s="12"/>
      <c r="BL49" s="12"/>
      <c r="BM49" s="13"/>
      <c r="BO49" s="14"/>
      <c r="BP49" s="10"/>
      <c r="BQ49" s="11"/>
      <c r="BR49" s="11"/>
      <c r="BS49" s="11"/>
      <c r="BT49" s="12"/>
      <c r="BU49" s="12"/>
      <c r="BV49" s="13"/>
      <c r="BX49" s="14"/>
      <c r="BY49" s="10"/>
      <c r="BZ49" s="11"/>
      <c r="CA49" s="11"/>
      <c r="CB49" s="11"/>
      <c r="CC49" s="12"/>
      <c r="CD49" s="12"/>
      <c r="CE49" s="13"/>
      <c r="CG49" s="14"/>
      <c r="CH49" s="10"/>
      <c r="CI49" s="11"/>
      <c r="CJ49" s="11"/>
      <c r="CK49" s="11"/>
      <c r="CL49" s="12"/>
      <c r="CM49" s="12"/>
      <c r="CN49" s="13"/>
      <c r="CP49" s="13"/>
    </row>
    <row r="50" spans="1:94" x14ac:dyDescent="0.35">
      <c r="A50" s="27">
        <v>43</v>
      </c>
      <c r="B50" s="63">
        <f t="shared" si="32"/>
        <v>4.4999999999999998E-2</v>
      </c>
      <c r="C50" s="28">
        <f>B50+VLOOKUP(Rawdata!A45,Int_rate_movements,2,TRUE)</f>
        <v>4.2499999999999996E-2</v>
      </c>
      <c r="D50" s="28">
        <f>C50+VLOOKUP(Rawdata!B45,Int_rate_movements,2,TRUE)</f>
        <v>4.2499999999999996E-2</v>
      </c>
      <c r="E50" s="28">
        <f>D50+VLOOKUP(Rawdata!C45,Int_rate_movements,2,TRUE)</f>
        <v>4.2499999999999996E-2</v>
      </c>
      <c r="F50" s="28">
        <f>E50+VLOOKUP(Rawdata!D45,Int_rate_movements,2,TRUE)</f>
        <v>4.2499999999999996E-2</v>
      </c>
      <c r="G50" s="28">
        <f>F50+VLOOKUP(Rawdata!E45,Int_rate_movements,2,TRUE)</f>
        <v>4.2499999999999996E-2</v>
      </c>
      <c r="H50" s="28">
        <f>G50+VLOOKUP(Rawdata!F45,Int_rate_movements,2,TRUE)</f>
        <v>4.2499999999999996E-2</v>
      </c>
      <c r="I50" s="28">
        <f>H50+VLOOKUP(Rawdata!G45,Int_rate_movements,2,TRUE)</f>
        <v>4.2499999999999996E-2</v>
      </c>
      <c r="J50" s="28">
        <f>I50+VLOOKUP(Rawdata!H45,Int_rate_movements,2,TRUE)</f>
        <v>4.7499999999999994E-2</v>
      </c>
      <c r="K50" s="28">
        <f>J50+VLOOKUP(Rawdata!I45,Int_rate_movements,2,TRUE)</f>
        <v>4.7499999999999994E-2</v>
      </c>
      <c r="L50" s="28">
        <f>K50+VLOOKUP(Rawdata!J45,Int_rate_movements,2,TRUE)</f>
        <v>4.7499999999999994E-2</v>
      </c>
      <c r="M50" s="28">
        <f>L50+VLOOKUP(Rawdata!K45,Int_rate_movements,2,TRUE)</f>
        <v>4.7499999999999994E-2</v>
      </c>
      <c r="N50" s="28">
        <f>M50+VLOOKUP(Rawdata!L45,Int_rate_movements,2,TRUE)</f>
        <v>4.7499999999999994E-2</v>
      </c>
      <c r="O50" s="28">
        <f>N50+VLOOKUP(Rawdata!M45,Int_rate_movements,2,TRUE)</f>
        <v>4.7499999999999994E-2</v>
      </c>
      <c r="P50" s="28">
        <f>O50+VLOOKUP(Rawdata!N45,Int_rate_movements,2,TRUE)</f>
        <v>4.7499999999999994E-2</v>
      </c>
      <c r="Q50" s="28">
        <f>P50+VLOOKUP(Rawdata!O45,Int_rate_movements,2,TRUE)</f>
        <v>4.7499999999999994E-2</v>
      </c>
      <c r="R50" s="28">
        <f>Q50+VLOOKUP(Rawdata!P45,Int_rate_movements,2,TRUE)</f>
        <v>4.7499999999999994E-2</v>
      </c>
      <c r="S50" s="28">
        <f>R50+VLOOKUP(Rawdata!Q45,Int_rate_movements,2,TRUE)</f>
        <v>4.7499999999999994E-2</v>
      </c>
      <c r="T50" s="28">
        <f>S50+VLOOKUP(Rawdata!R45,Int_rate_movements,2,TRUE)</f>
        <v>4.7499999999999994E-2</v>
      </c>
      <c r="U50" s="28">
        <f>T50+VLOOKUP(Rawdata!S45,Int_rate_movements,2,TRUE)</f>
        <v>4.7499999999999994E-2</v>
      </c>
      <c r="V50" s="28">
        <f>U50+VLOOKUP(Rawdata!T45,Int_rate_movements,2,TRUE)</f>
        <v>4.7499999999999994E-2</v>
      </c>
      <c r="W50" s="28">
        <f>V50+VLOOKUP(Rawdata!U45,Int_rate_movements,2,TRUE)</f>
        <v>4.7499999999999994E-2</v>
      </c>
      <c r="X50" s="28">
        <f>W50+VLOOKUP(Rawdata!V45,Int_rate_movements,2,TRUE)</f>
        <v>4.7499999999999994E-2</v>
      </c>
      <c r="Y50" s="28">
        <f>X50+VLOOKUP(Rawdata!W45,Int_rate_movements,2,TRUE)</f>
        <v>4.7499999999999994E-2</v>
      </c>
      <c r="Z50" s="35">
        <f>Y50+VLOOKUP(Rawdata!X45,Int_rate_movements,2,TRUE)</f>
        <v>4.7499999999999994E-2</v>
      </c>
      <c r="AA50" s="12"/>
      <c r="AB50" s="55">
        <f t="shared" si="33"/>
        <v>4.4097712805242217E-2</v>
      </c>
      <c r="AC50" s="55">
        <f t="shared" si="34"/>
        <v>4.1693940041970023E-2</v>
      </c>
      <c r="AD50" s="55">
        <f t="shared" si="35"/>
        <v>4.1693940041970023E-2</v>
      </c>
      <c r="AE50" s="55">
        <f t="shared" si="36"/>
        <v>4.1693940041970023E-2</v>
      </c>
      <c r="AF50" s="55">
        <f t="shared" si="37"/>
        <v>4.1693940041970023E-2</v>
      </c>
      <c r="AG50" s="55">
        <f t="shared" si="38"/>
        <v>4.1693940041970023E-2</v>
      </c>
      <c r="AH50" s="55">
        <f t="shared" si="39"/>
        <v>4.1693940041970023E-2</v>
      </c>
      <c r="AI50" s="55">
        <f t="shared" si="40"/>
        <v>4.1693940041970023E-2</v>
      </c>
      <c r="AJ50" s="55">
        <f t="shared" si="41"/>
        <v>4.6496219905550085E-2</v>
      </c>
      <c r="AK50" s="55">
        <f t="shared" si="42"/>
        <v>4.6496219905550085E-2</v>
      </c>
      <c r="AL50" s="55">
        <f t="shared" si="43"/>
        <v>4.6496219905550085E-2</v>
      </c>
      <c r="AM50" s="55">
        <f t="shared" si="44"/>
        <v>4.6496219905550085E-2</v>
      </c>
      <c r="AN50" s="55">
        <f t="shared" si="45"/>
        <v>4.6496219905550085E-2</v>
      </c>
      <c r="AO50" s="55">
        <f t="shared" si="46"/>
        <v>4.6496219905550085E-2</v>
      </c>
      <c r="AP50" s="55">
        <f t="shared" si="47"/>
        <v>4.6496219905550085E-2</v>
      </c>
      <c r="AQ50" s="55">
        <f t="shared" si="48"/>
        <v>4.6496219905550085E-2</v>
      </c>
      <c r="AR50" s="55">
        <f t="shared" si="49"/>
        <v>4.6496219905550085E-2</v>
      </c>
      <c r="AS50" s="55">
        <f t="shared" si="50"/>
        <v>4.6496219905550085E-2</v>
      </c>
      <c r="AT50" s="55">
        <f t="shared" si="51"/>
        <v>4.6496219905550085E-2</v>
      </c>
      <c r="AU50" s="55">
        <f t="shared" si="52"/>
        <v>4.6496219905550085E-2</v>
      </c>
      <c r="AV50" s="55">
        <f t="shared" si="53"/>
        <v>4.6496219905550085E-2</v>
      </c>
      <c r="AW50" s="55">
        <f t="shared" si="54"/>
        <v>4.6496219905550085E-2</v>
      </c>
      <c r="AX50" s="55">
        <f t="shared" si="55"/>
        <v>4.6496219905550085E-2</v>
      </c>
      <c r="AY50" s="55">
        <f t="shared" si="56"/>
        <v>4.6496219905550085E-2</v>
      </c>
      <c r="AZ50" s="56">
        <f t="shared" si="57"/>
        <v>4.6496219905550085E-2</v>
      </c>
      <c r="BA50" s="11"/>
      <c r="BB50" s="12"/>
      <c r="BC50" s="12"/>
      <c r="BD50" s="13"/>
      <c r="BF50" s="14"/>
      <c r="BG50" s="10"/>
      <c r="BH50" s="11"/>
      <c r="BI50" s="11"/>
      <c r="BJ50" s="11"/>
      <c r="BK50" s="12"/>
      <c r="BL50" s="12"/>
      <c r="BM50" s="13"/>
      <c r="BO50" s="14"/>
      <c r="BP50" s="10"/>
      <c r="BQ50" s="11"/>
      <c r="BR50" s="11"/>
      <c r="BS50" s="11"/>
      <c r="BT50" s="12"/>
      <c r="BU50" s="12"/>
      <c r="BV50" s="13"/>
      <c r="BX50" s="14"/>
      <c r="BY50" s="10"/>
      <c r="BZ50" s="11"/>
      <c r="CA50" s="11"/>
      <c r="CB50" s="11"/>
      <c r="CC50" s="12"/>
      <c r="CD50" s="12"/>
      <c r="CE50" s="13"/>
      <c r="CG50" s="14"/>
      <c r="CH50" s="10"/>
      <c r="CI50" s="11"/>
      <c r="CJ50" s="11"/>
      <c r="CK50" s="11"/>
      <c r="CL50" s="12"/>
      <c r="CM50" s="12"/>
      <c r="CN50" s="13"/>
      <c r="CP50" s="13"/>
    </row>
    <row r="51" spans="1:94" x14ac:dyDescent="0.35">
      <c r="A51" s="5">
        <v>44</v>
      </c>
      <c r="B51" s="63">
        <f t="shared" si="32"/>
        <v>4.4999999999999998E-2</v>
      </c>
      <c r="C51" s="28">
        <f>B51+VLOOKUP(Rawdata!A46,Int_rate_movements,2,TRUE)</f>
        <v>4.2499999999999996E-2</v>
      </c>
      <c r="D51" s="28">
        <f>C51+VLOOKUP(Rawdata!B46,Int_rate_movements,2,TRUE)</f>
        <v>4.2499999999999996E-2</v>
      </c>
      <c r="E51" s="28">
        <f>D51+VLOOKUP(Rawdata!C46,Int_rate_movements,2,TRUE)</f>
        <v>4.2499999999999996E-2</v>
      </c>
      <c r="F51" s="28">
        <f>E51+VLOOKUP(Rawdata!D46,Int_rate_movements,2,TRUE)</f>
        <v>4.2499999999999996E-2</v>
      </c>
      <c r="G51" s="28">
        <f>F51+VLOOKUP(Rawdata!E46,Int_rate_movements,2,TRUE)</f>
        <v>4.4999999999999998E-2</v>
      </c>
      <c r="H51" s="28">
        <f>G51+VLOOKUP(Rawdata!F46,Int_rate_movements,2,TRUE)</f>
        <v>4.4999999999999998E-2</v>
      </c>
      <c r="I51" s="28">
        <f>H51+VLOOKUP(Rawdata!G46,Int_rate_movements,2,TRUE)</f>
        <v>4.4999999999999998E-2</v>
      </c>
      <c r="J51" s="28">
        <f>I51+VLOOKUP(Rawdata!H46,Int_rate_movements,2,TRUE)</f>
        <v>4.4999999999999998E-2</v>
      </c>
      <c r="K51" s="28">
        <f>J51+VLOOKUP(Rawdata!I46,Int_rate_movements,2,TRUE)</f>
        <v>4.4999999999999998E-2</v>
      </c>
      <c r="L51" s="28">
        <f>K51+VLOOKUP(Rawdata!J46,Int_rate_movements,2,TRUE)</f>
        <v>4.4999999999999998E-2</v>
      </c>
      <c r="M51" s="28">
        <f>L51+VLOOKUP(Rawdata!K46,Int_rate_movements,2,TRUE)</f>
        <v>4.4999999999999998E-2</v>
      </c>
      <c r="N51" s="28">
        <f>M51+VLOOKUP(Rawdata!L46,Int_rate_movements,2,TRUE)</f>
        <v>4.4999999999999998E-2</v>
      </c>
      <c r="O51" s="28">
        <f>N51+VLOOKUP(Rawdata!M46,Int_rate_movements,2,TRUE)</f>
        <v>4.7500000000000001E-2</v>
      </c>
      <c r="P51" s="28">
        <f>O51+VLOOKUP(Rawdata!N46,Int_rate_movements,2,TRUE)</f>
        <v>4.7500000000000001E-2</v>
      </c>
      <c r="Q51" s="28">
        <f>P51+VLOOKUP(Rawdata!O46,Int_rate_movements,2,TRUE)</f>
        <v>4.7500000000000001E-2</v>
      </c>
      <c r="R51" s="28">
        <f>Q51+VLOOKUP(Rawdata!P46,Int_rate_movements,2,TRUE)</f>
        <v>4.7500000000000001E-2</v>
      </c>
      <c r="S51" s="28">
        <f>R51+VLOOKUP(Rawdata!Q46,Int_rate_movements,2,TRUE)</f>
        <v>4.7500000000000001E-2</v>
      </c>
      <c r="T51" s="28">
        <f>S51+VLOOKUP(Rawdata!R46,Int_rate_movements,2,TRUE)</f>
        <v>4.7500000000000001E-2</v>
      </c>
      <c r="U51" s="28">
        <f>T51+VLOOKUP(Rawdata!S46,Int_rate_movements,2,TRUE)</f>
        <v>4.7500000000000001E-2</v>
      </c>
      <c r="V51" s="28">
        <f>U51+VLOOKUP(Rawdata!T46,Int_rate_movements,2,TRUE)</f>
        <v>4.7500000000000001E-2</v>
      </c>
      <c r="W51" s="28">
        <f>V51+VLOOKUP(Rawdata!U46,Int_rate_movements,2,TRUE)</f>
        <v>4.7500000000000001E-2</v>
      </c>
      <c r="X51" s="28">
        <f>W51+VLOOKUP(Rawdata!V46,Int_rate_movements,2,TRUE)</f>
        <v>4.7500000000000001E-2</v>
      </c>
      <c r="Y51" s="28">
        <f>X51+VLOOKUP(Rawdata!W46,Int_rate_movements,2,TRUE)</f>
        <v>4.7500000000000001E-2</v>
      </c>
      <c r="Z51" s="35">
        <f>Y51+VLOOKUP(Rawdata!X46,Int_rate_movements,2,TRUE)</f>
        <v>4.7500000000000001E-2</v>
      </c>
      <c r="AA51" s="12"/>
      <c r="AB51" s="55">
        <f t="shared" si="33"/>
        <v>4.4097712805242217E-2</v>
      </c>
      <c r="AC51" s="55">
        <f t="shared" si="34"/>
        <v>4.1693940041970023E-2</v>
      </c>
      <c r="AD51" s="55">
        <f t="shared" si="35"/>
        <v>4.1693940041970023E-2</v>
      </c>
      <c r="AE51" s="55">
        <f t="shared" si="36"/>
        <v>4.1693940041970023E-2</v>
      </c>
      <c r="AF51" s="55">
        <f t="shared" si="37"/>
        <v>4.1693940041970023E-2</v>
      </c>
      <c r="AG51" s="55">
        <f t="shared" si="38"/>
        <v>4.4097712805242217E-2</v>
      </c>
      <c r="AH51" s="55">
        <f t="shared" si="39"/>
        <v>4.4097712805242217E-2</v>
      </c>
      <c r="AI51" s="55">
        <f t="shared" si="40"/>
        <v>4.4097712805242217E-2</v>
      </c>
      <c r="AJ51" s="55">
        <f t="shared" si="41"/>
        <v>4.4097712805242217E-2</v>
      </c>
      <c r="AK51" s="55">
        <f t="shared" si="42"/>
        <v>4.4097712805242217E-2</v>
      </c>
      <c r="AL51" s="55">
        <f t="shared" si="43"/>
        <v>4.4097712805242217E-2</v>
      </c>
      <c r="AM51" s="55">
        <f t="shared" si="44"/>
        <v>4.4097712805242217E-2</v>
      </c>
      <c r="AN51" s="55">
        <f t="shared" si="45"/>
        <v>4.4097712805242217E-2</v>
      </c>
      <c r="AO51" s="55">
        <f t="shared" si="46"/>
        <v>4.6496219905550085E-2</v>
      </c>
      <c r="AP51" s="55">
        <f t="shared" si="47"/>
        <v>4.6496219905550085E-2</v>
      </c>
      <c r="AQ51" s="55">
        <f t="shared" si="48"/>
        <v>4.6496219905550085E-2</v>
      </c>
      <c r="AR51" s="55">
        <f t="shared" si="49"/>
        <v>4.6496219905550085E-2</v>
      </c>
      <c r="AS51" s="55">
        <f t="shared" si="50"/>
        <v>4.6496219905550085E-2</v>
      </c>
      <c r="AT51" s="55">
        <f t="shared" si="51"/>
        <v>4.6496219905550085E-2</v>
      </c>
      <c r="AU51" s="55">
        <f t="shared" si="52"/>
        <v>4.6496219905550085E-2</v>
      </c>
      <c r="AV51" s="55">
        <f t="shared" si="53"/>
        <v>4.6496219905550085E-2</v>
      </c>
      <c r="AW51" s="55">
        <f t="shared" si="54"/>
        <v>4.6496219905550085E-2</v>
      </c>
      <c r="AX51" s="55">
        <f t="shared" si="55"/>
        <v>4.6496219905550085E-2</v>
      </c>
      <c r="AY51" s="55">
        <f t="shared" si="56"/>
        <v>4.6496219905550085E-2</v>
      </c>
      <c r="AZ51" s="56">
        <f t="shared" si="57"/>
        <v>4.6496219905550085E-2</v>
      </c>
      <c r="BA51" s="11"/>
      <c r="BB51" s="12"/>
      <c r="BC51" s="12"/>
      <c r="BD51" s="13"/>
      <c r="BF51" s="14"/>
      <c r="BG51" s="10"/>
      <c r="BH51" s="11"/>
      <c r="BI51" s="11"/>
      <c r="BJ51" s="11"/>
      <c r="BK51" s="12"/>
      <c r="BL51" s="12"/>
      <c r="BM51" s="13"/>
      <c r="BO51" s="14"/>
      <c r="BP51" s="10"/>
      <c r="BQ51" s="11"/>
      <c r="BR51" s="11"/>
      <c r="BS51" s="11"/>
      <c r="BT51" s="12"/>
      <c r="BU51" s="12"/>
      <c r="BV51" s="13"/>
      <c r="BX51" s="14"/>
      <c r="BY51" s="10"/>
      <c r="BZ51" s="11"/>
      <c r="CA51" s="11"/>
      <c r="CB51" s="11"/>
      <c r="CC51" s="12"/>
      <c r="CD51" s="12"/>
      <c r="CE51" s="13"/>
      <c r="CG51" s="14"/>
      <c r="CH51" s="10"/>
      <c r="CI51" s="11"/>
      <c r="CJ51" s="11"/>
      <c r="CK51" s="11"/>
      <c r="CL51" s="12"/>
      <c r="CM51" s="12"/>
      <c r="CN51" s="13"/>
      <c r="CP51" s="13"/>
    </row>
    <row r="52" spans="1:94" x14ac:dyDescent="0.35">
      <c r="A52" s="27">
        <v>45</v>
      </c>
      <c r="B52" s="63">
        <f t="shared" si="32"/>
        <v>4.4999999999999998E-2</v>
      </c>
      <c r="C52" s="28">
        <f>B52+VLOOKUP(Rawdata!A47,Int_rate_movements,2,TRUE)</f>
        <v>4.4999999999999998E-2</v>
      </c>
      <c r="D52" s="28">
        <f>C52+VLOOKUP(Rawdata!B47,Int_rate_movements,2,TRUE)</f>
        <v>4.4999999999999998E-2</v>
      </c>
      <c r="E52" s="28">
        <f>D52+VLOOKUP(Rawdata!C47,Int_rate_movements,2,TRUE)</f>
        <v>4.4999999999999998E-2</v>
      </c>
      <c r="F52" s="28">
        <f>E52+VLOOKUP(Rawdata!D47,Int_rate_movements,2,TRUE)</f>
        <v>4.2499999999999996E-2</v>
      </c>
      <c r="G52" s="28">
        <f>F52+VLOOKUP(Rawdata!E47,Int_rate_movements,2,TRUE)</f>
        <v>4.2499999999999996E-2</v>
      </c>
      <c r="H52" s="28">
        <f>G52+VLOOKUP(Rawdata!F47,Int_rate_movements,2,TRUE)</f>
        <v>4.2499999999999996E-2</v>
      </c>
      <c r="I52" s="28">
        <f>H52+VLOOKUP(Rawdata!G47,Int_rate_movements,2,TRUE)</f>
        <v>4.2499999999999996E-2</v>
      </c>
      <c r="J52" s="28">
        <f>I52+VLOOKUP(Rawdata!H47,Int_rate_movements,2,TRUE)</f>
        <v>4.2499999999999996E-2</v>
      </c>
      <c r="K52" s="28">
        <f>J52+VLOOKUP(Rawdata!I47,Int_rate_movements,2,TRUE)</f>
        <v>4.2499999999999996E-2</v>
      </c>
      <c r="L52" s="28">
        <f>K52+VLOOKUP(Rawdata!J47,Int_rate_movements,2,TRUE)</f>
        <v>4.2499999999999996E-2</v>
      </c>
      <c r="M52" s="28">
        <f>L52+VLOOKUP(Rawdata!K47,Int_rate_movements,2,TRUE)</f>
        <v>4.2499999999999996E-2</v>
      </c>
      <c r="N52" s="28">
        <f>M52+VLOOKUP(Rawdata!L47,Int_rate_movements,2,TRUE)</f>
        <v>3.9999999999999994E-2</v>
      </c>
      <c r="O52" s="28">
        <f>N52+VLOOKUP(Rawdata!M47,Int_rate_movements,2,TRUE)</f>
        <v>3.9999999999999994E-2</v>
      </c>
      <c r="P52" s="28">
        <f>O52+VLOOKUP(Rawdata!N47,Int_rate_movements,2,TRUE)</f>
        <v>4.4999999999999991E-2</v>
      </c>
      <c r="Q52" s="28">
        <f>P52+VLOOKUP(Rawdata!O47,Int_rate_movements,2,TRUE)</f>
        <v>4.4999999999999991E-2</v>
      </c>
      <c r="R52" s="28">
        <f>Q52+VLOOKUP(Rawdata!P47,Int_rate_movements,2,TRUE)</f>
        <v>4.2499999999999989E-2</v>
      </c>
      <c r="S52" s="28">
        <f>R52+VLOOKUP(Rawdata!Q47,Int_rate_movements,2,TRUE)</f>
        <v>4.2499999999999989E-2</v>
      </c>
      <c r="T52" s="28">
        <f>S52+VLOOKUP(Rawdata!R47,Int_rate_movements,2,TRUE)</f>
        <v>4.2499999999999989E-2</v>
      </c>
      <c r="U52" s="28">
        <f>T52+VLOOKUP(Rawdata!S47,Int_rate_movements,2,TRUE)</f>
        <v>4.2499999999999989E-2</v>
      </c>
      <c r="V52" s="28">
        <f>U52+VLOOKUP(Rawdata!T47,Int_rate_movements,2,TRUE)</f>
        <v>4.2499999999999989E-2</v>
      </c>
      <c r="W52" s="28">
        <f>V52+VLOOKUP(Rawdata!U47,Int_rate_movements,2,TRUE)</f>
        <v>4.2499999999999989E-2</v>
      </c>
      <c r="X52" s="28">
        <f>W52+VLOOKUP(Rawdata!V47,Int_rate_movements,2,TRUE)</f>
        <v>4.2499999999999989E-2</v>
      </c>
      <c r="Y52" s="28">
        <f>X52+VLOOKUP(Rawdata!W47,Int_rate_movements,2,TRUE)</f>
        <v>4.2499999999999989E-2</v>
      </c>
      <c r="Z52" s="35">
        <f>Y52+VLOOKUP(Rawdata!X47,Int_rate_movements,2,TRUE)</f>
        <v>4.2499999999999989E-2</v>
      </c>
      <c r="AA52" s="12"/>
      <c r="AB52" s="55">
        <f t="shared" si="33"/>
        <v>4.4097712805242217E-2</v>
      </c>
      <c r="AC52" s="55">
        <f t="shared" si="34"/>
        <v>4.4097712805242217E-2</v>
      </c>
      <c r="AD52" s="55">
        <f t="shared" si="35"/>
        <v>4.4097712805242217E-2</v>
      </c>
      <c r="AE52" s="55">
        <f t="shared" si="36"/>
        <v>4.4097712805242217E-2</v>
      </c>
      <c r="AF52" s="55">
        <f t="shared" si="37"/>
        <v>4.1693940041970023E-2</v>
      </c>
      <c r="AG52" s="55">
        <f t="shared" si="38"/>
        <v>4.1693940041970023E-2</v>
      </c>
      <c r="AH52" s="55">
        <f t="shared" si="39"/>
        <v>4.1693940041970023E-2</v>
      </c>
      <c r="AI52" s="55">
        <f t="shared" si="40"/>
        <v>4.1693940041970023E-2</v>
      </c>
      <c r="AJ52" s="55">
        <f t="shared" si="41"/>
        <v>4.1693940041970023E-2</v>
      </c>
      <c r="AK52" s="55">
        <f t="shared" si="42"/>
        <v>4.1693940041970023E-2</v>
      </c>
      <c r="AL52" s="55">
        <f t="shared" si="43"/>
        <v>4.1693940041970023E-2</v>
      </c>
      <c r="AM52" s="55">
        <f t="shared" si="44"/>
        <v>4.1693940041970023E-2</v>
      </c>
      <c r="AN52" s="55">
        <f t="shared" si="45"/>
        <v>3.9284877386386974E-2</v>
      </c>
      <c r="AO52" s="55">
        <f t="shared" si="46"/>
        <v>3.9284877386386974E-2</v>
      </c>
      <c r="AP52" s="55">
        <f t="shared" si="47"/>
        <v>4.4097712805242217E-2</v>
      </c>
      <c r="AQ52" s="55">
        <f t="shared" si="48"/>
        <v>4.4097712805242217E-2</v>
      </c>
      <c r="AR52" s="55">
        <f t="shared" si="49"/>
        <v>4.1693940041970023E-2</v>
      </c>
      <c r="AS52" s="55">
        <f t="shared" si="50"/>
        <v>4.1693940041970023E-2</v>
      </c>
      <c r="AT52" s="55">
        <f t="shared" si="51"/>
        <v>4.1693940041970023E-2</v>
      </c>
      <c r="AU52" s="55">
        <f t="shared" si="52"/>
        <v>4.1693940041970023E-2</v>
      </c>
      <c r="AV52" s="55">
        <f t="shared" si="53"/>
        <v>4.1693940041970023E-2</v>
      </c>
      <c r="AW52" s="55">
        <f t="shared" si="54"/>
        <v>4.1693940041970023E-2</v>
      </c>
      <c r="AX52" s="55">
        <f t="shared" si="55"/>
        <v>4.1693940041970023E-2</v>
      </c>
      <c r="AY52" s="55">
        <f t="shared" si="56"/>
        <v>4.1693940041970023E-2</v>
      </c>
      <c r="AZ52" s="56">
        <f t="shared" si="57"/>
        <v>4.1693940041970023E-2</v>
      </c>
      <c r="BA52" s="11"/>
      <c r="BB52" s="12"/>
      <c r="BC52" s="12"/>
      <c r="BD52" s="13"/>
      <c r="BF52" s="14"/>
      <c r="BG52" s="10"/>
      <c r="BH52" s="11"/>
      <c r="BI52" s="11"/>
      <c r="BJ52" s="11"/>
      <c r="BK52" s="12"/>
      <c r="BL52" s="12"/>
      <c r="BM52" s="13"/>
      <c r="BO52" s="14"/>
      <c r="BP52" s="10"/>
      <c r="BQ52" s="11"/>
      <c r="BR52" s="11"/>
      <c r="BS52" s="11"/>
      <c r="BT52" s="12"/>
      <c r="BU52" s="12"/>
      <c r="BV52" s="13"/>
      <c r="BX52" s="14"/>
      <c r="BY52" s="10"/>
      <c r="BZ52" s="11"/>
      <c r="CA52" s="11"/>
      <c r="CB52" s="11"/>
      <c r="CC52" s="12"/>
      <c r="CD52" s="12"/>
      <c r="CE52" s="13"/>
      <c r="CG52" s="14"/>
      <c r="CH52" s="10"/>
      <c r="CI52" s="11"/>
      <c r="CJ52" s="11"/>
      <c r="CK52" s="11"/>
      <c r="CL52" s="12"/>
      <c r="CM52" s="12"/>
      <c r="CN52" s="13"/>
      <c r="CP52" s="13"/>
    </row>
    <row r="53" spans="1:94" x14ac:dyDescent="0.35">
      <c r="A53" s="5">
        <v>46</v>
      </c>
      <c r="B53" s="63">
        <f t="shared" si="32"/>
        <v>4.4999999999999998E-2</v>
      </c>
      <c r="C53" s="28">
        <f>B53+VLOOKUP(Rawdata!A48,Int_rate_movements,2,TRUE)</f>
        <v>4.4999999999999998E-2</v>
      </c>
      <c r="D53" s="28">
        <f>C53+VLOOKUP(Rawdata!B48,Int_rate_movements,2,TRUE)</f>
        <v>4.4999999999999998E-2</v>
      </c>
      <c r="E53" s="28">
        <f>D53+VLOOKUP(Rawdata!C48,Int_rate_movements,2,TRUE)</f>
        <v>4.4999999999999998E-2</v>
      </c>
      <c r="F53" s="28">
        <f>E53+VLOOKUP(Rawdata!D48,Int_rate_movements,2,TRUE)</f>
        <v>4.4999999999999998E-2</v>
      </c>
      <c r="G53" s="28">
        <f>F53+VLOOKUP(Rawdata!E48,Int_rate_movements,2,TRUE)</f>
        <v>4.4999999999999998E-2</v>
      </c>
      <c r="H53" s="28">
        <f>G53+VLOOKUP(Rawdata!F48,Int_rate_movements,2,TRUE)</f>
        <v>4.4999999999999998E-2</v>
      </c>
      <c r="I53" s="28">
        <f>H53+VLOOKUP(Rawdata!G48,Int_rate_movements,2,TRUE)</f>
        <v>4.4999999999999998E-2</v>
      </c>
      <c r="J53" s="28">
        <f>I53+VLOOKUP(Rawdata!H48,Int_rate_movements,2,TRUE)</f>
        <v>4.4999999999999998E-2</v>
      </c>
      <c r="K53" s="28">
        <f>J53+VLOOKUP(Rawdata!I48,Int_rate_movements,2,TRUE)</f>
        <v>4.7500000000000001E-2</v>
      </c>
      <c r="L53" s="28">
        <f>K53+VLOOKUP(Rawdata!J48,Int_rate_movements,2,TRUE)</f>
        <v>4.7500000000000001E-2</v>
      </c>
      <c r="M53" s="28">
        <f>L53+VLOOKUP(Rawdata!K48,Int_rate_movements,2,TRUE)</f>
        <v>4.7500000000000001E-2</v>
      </c>
      <c r="N53" s="28">
        <f>M53+VLOOKUP(Rawdata!L48,Int_rate_movements,2,TRUE)</f>
        <v>4.7500000000000001E-2</v>
      </c>
      <c r="O53" s="28">
        <f>N53+VLOOKUP(Rawdata!M48,Int_rate_movements,2,TRUE)</f>
        <v>4.2500000000000003E-2</v>
      </c>
      <c r="P53" s="28">
        <f>O53+VLOOKUP(Rawdata!N48,Int_rate_movements,2,TRUE)</f>
        <v>4.2500000000000003E-2</v>
      </c>
      <c r="Q53" s="28">
        <f>P53+VLOOKUP(Rawdata!O48,Int_rate_movements,2,TRUE)</f>
        <v>4.2500000000000003E-2</v>
      </c>
      <c r="R53" s="28">
        <f>Q53+VLOOKUP(Rawdata!P48,Int_rate_movements,2,TRUE)</f>
        <v>4.2500000000000003E-2</v>
      </c>
      <c r="S53" s="28">
        <f>R53+VLOOKUP(Rawdata!Q48,Int_rate_movements,2,TRUE)</f>
        <v>4.2500000000000003E-2</v>
      </c>
      <c r="T53" s="28">
        <f>S53+VLOOKUP(Rawdata!R48,Int_rate_movements,2,TRUE)</f>
        <v>4.2500000000000003E-2</v>
      </c>
      <c r="U53" s="28">
        <f>T53+VLOOKUP(Rawdata!S48,Int_rate_movements,2,TRUE)</f>
        <v>4.2500000000000003E-2</v>
      </c>
      <c r="V53" s="28">
        <f>U53+VLOOKUP(Rawdata!T48,Int_rate_movements,2,TRUE)</f>
        <v>4.2500000000000003E-2</v>
      </c>
      <c r="W53" s="28">
        <f>V53+VLOOKUP(Rawdata!U48,Int_rate_movements,2,TRUE)</f>
        <v>4.2500000000000003E-2</v>
      </c>
      <c r="X53" s="28">
        <f>W53+VLOOKUP(Rawdata!V48,Int_rate_movements,2,TRUE)</f>
        <v>4.2500000000000003E-2</v>
      </c>
      <c r="Y53" s="28">
        <f>X53+VLOOKUP(Rawdata!W48,Int_rate_movements,2,TRUE)</f>
        <v>4.2500000000000003E-2</v>
      </c>
      <c r="Z53" s="35">
        <f>Y53+VLOOKUP(Rawdata!X48,Int_rate_movements,2,TRUE)</f>
        <v>4.2500000000000003E-2</v>
      </c>
      <c r="AA53" s="12"/>
      <c r="AB53" s="55">
        <f t="shared" si="33"/>
        <v>4.4097712805242217E-2</v>
      </c>
      <c r="AC53" s="55">
        <f t="shared" si="34"/>
        <v>4.4097712805242217E-2</v>
      </c>
      <c r="AD53" s="55">
        <f t="shared" si="35"/>
        <v>4.4097712805242217E-2</v>
      </c>
      <c r="AE53" s="55">
        <f t="shared" si="36"/>
        <v>4.4097712805242217E-2</v>
      </c>
      <c r="AF53" s="55">
        <f t="shared" si="37"/>
        <v>4.4097712805242217E-2</v>
      </c>
      <c r="AG53" s="55">
        <f t="shared" si="38"/>
        <v>4.4097712805242217E-2</v>
      </c>
      <c r="AH53" s="55">
        <f t="shared" si="39"/>
        <v>4.4097712805242217E-2</v>
      </c>
      <c r="AI53" s="55">
        <f t="shared" si="40"/>
        <v>4.4097712805242217E-2</v>
      </c>
      <c r="AJ53" s="55">
        <f t="shared" si="41"/>
        <v>4.4097712805242217E-2</v>
      </c>
      <c r="AK53" s="55">
        <f t="shared" si="42"/>
        <v>4.6496219905550085E-2</v>
      </c>
      <c r="AL53" s="55">
        <f t="shared" si="43"/>
        <v>4.6496219905550085E-2</v>
      </c>
      <c r="AM53" s="55">
        <f t="shared" si="44"/>
        <v>4.6496219905550085E-2</v>
      </c>
      <c r="AN53" s="55">
        <f t="shared" si="45"/>
        <v>4.6496219905550085E-2</v>
      </c>
      <c r="AO53" s="55">
        <f t="shared" si="46"/>
        <v>4.1693940041970023E-2</v>
      </c>
      <c r="AP53" s="55">
        <f t="shared" si="47"/>
        <v>4.1693940041970023E-2</v>
      </c>
      <c r="AQ53" s="55">
        <f t="shared" si="48"/>
        <v>4.1693940041970023E-2</v>
      </c>
      <c r="AR53" s="55">
        <f t="shared" si="49"/>
        <v>4.1693940041970023E-2</v>
      </c>
      <c r="AS53" s="55">
        <f t="shared" si="50"/>
        <v>4.1693940041970023E-2</v>
      </c>
      <c r="AT53" s="55">
        <f t="shared" si="51"/>
        <v>4.1693940041970023E-2</v>
      </c>
      <c r="AU53" s="55">
        <f t="shared" si="52"/>
        <v>4.1693940041970023E-2</v>
      </c>
      <c r="AV53" s="55">
        <f t="shared" si="53"/>
        <v>4.1693940041970023E-2</v>
      </c>
      <c r="AW53" s="55">
        <f t="shared" si="54"/>
        <v>4.1693940041970023E-2</v>
      </c>
      <c r="AX53" s="55">
        <f t="shared" si="55"/>
        <v>4.1693940041970023E-2</v>
      </c>
      <c r="AY53" s="55">
        <f t="shared" si="56"/>
        <v>4.1693940041970023E-2</v>
      </c>
      <c r="AZ53" s="56">
        <f t="shared" si="57"/>
        <v>4.1693940041970023E-2</v>
      </c>
      <c r="BA53" s="11"/>
      <c r="BB53" s="12"/>
      <c r="BC53" s="12"/>
      <c r="BD53" s="13"/>
      <c r="BF53" s="14"/>
      <c r="BG53" s="10"/>
      <c r="BH53" s="11"/>
      <c r="BI53" s="11"/>
      <c r="BJ53" s="11"/>
      <c r="BK53" s="12"/>
      <c r="BL53" s="12"/>
      <c r="BM53" s="13"/>
      <c r="BO53" s="14"/>
      <c r="BP53" s="10"/>
      <c r="BQ53" s="11"/>
      <c r="BR53" s="11"/>
      <c r="BS53" s="11"/>
      <c r="BT53" s="12"/>
      <c r="BU53" s="12"/>
      <c r="BV53" s="13"/>
      <c r="BX53" s="14"/>
      <c r="BY53" s="10"/>
      <c r="BZ53" s="11"/>
      <c r="CA53" s="11"/>
      <c r="CB53" s="11"/>
      <c r="CC53" s="12"/>
      <c r="CD53" s="12"/>
      <c r="CE53" s="13"/>
      <c r="CG53" s="14"/>
      <c r="CH53" s="10"/>
      <c r="CI53" s="11"/>
      <c r="CJ53" s="11"/>
      <c r="CK53" s="11"/>
      <c r="CL53" s="12"/>
      <c r="CM53" s="12"/>
      <c r="CN53" s="13"/>
      <c r="CP53" s="13"/>
    </row>
    <row r="54" spans="1:94" x14ac:dyDescent="0.35">
      <c r="A54" s="27">
        <v>47</v>
      </c>
      <c r="B54" s="63">
        <f t="shared" si="32"/>
        <v>4.4999999999999998E-2</v>
      </c>
      <c r="C54" s="28">
        <f>B54+VLOOKUP(Rawdata!A49,Int_rate_movements,2,TRUE)</f>
        <v>4.4999999999999998E-2</v>
      </c>
      <c r="D54" s="28">
        <f>C54+VLOOKUP(Rawdata!B49,Int_rate_movements,2,TRUE)</f>
        <v>4.4999999999999998E-2</v>
      </c>
      <c r="E54" s="28">
        <f>D54+VLOOKUP(Rawdata!C49,Int_rate_movements,2,TRUE)</f>
        <v>4.4999999999999998E-2</v>
      </c>
      <c r="F54" s="28">
        <f>E54+VLOOKUP(Rawdata!D49,Int_rate_movements,2,TRUE)</f>
        <v>4.7500000000000001E-2</v>
      </c>
      <c r="G54" s="28">
        <f>F54+VLOOKUP(Rawdata!E49,Int_rate_movements,2,TRUE)</f>
        <v>4.7500000000000001E-2</v>
      </c>
      <c r="H54" s="28">
        <f>G54+VLOOKUP(Rawdata!F49,Int_rate_movements,2,TRUE)</f>
        <v>4.7500000000000001E-2</v>
      </c>
      <c r="I54" s="28">
        <f>H54+VLOOKUP(Rawdata!G49,Int_rate_movements,2,TRUE)</f>
        <v>4.7500000000000001E-2</v>
      </c>
      <c r="J54" s="28">
        <f>I54+VLOOKUP(Rawdata!H49,Int_rate_movements,2,TRUE)</f>
        <v>4.7500000000000001E-2</v>
      </c>
      <c r="K54" s="28">
        <f>J54+VLOOKUP(Rawdata!I49,Int_rate_movements,2,TRUE)</f>
        <v>4.7500000000000001E-2</v>
      </c>
      <c r="L54" s="28">
        <f>K54+VLOOKUP(Rawdata!J49,Int_rate_movements,2,TRUE)</f>
        <v>4.7500000000000001E-2</v>
      </c>
      <c r="M54" s="28">
        <f>L54+VLOOKUP(Rawdata!K49,Int_rate_movements,2,TRUE)</f>
        <v>4.7500000000000001E-2</v>
      </c>
      <c r="N54" s="28">
        <f>M54+VLOOKUP(Rawdata!L49,Int_rate_movements,2,TRUE)</f>
        <v>4.7500000000000001E-2</v>
      </c>
      <c r="O54" s="28">
        <f>N54+VLOOKUP(Rawdata!M49,Int_rate_movements,2,TRUE)</f>
        <v>4.2500000000000003E-2</v>
      </c>
      <c r="P54" s="28">
        <f>O54+VLOOKUP(Rawdata!N49,Int_rate_movements,2,TRUE)</f>
        <v>4.2500000000000003E-2</v>
      </c>
      <c r="Q54" s="28">
        <f>P54+VLOOKUP(Rawdata!O49,Int_rate_movements,2,TRUE)</f>
        <v>4.2500000000000003E-2</v>
      </c>
      <c r="R54" s="28">
        <f>Q54+VLOOKUP(Rawdata!P49,Int_rate_movements,2,TRUE)</f>
        <v>4.2500000000000003E-2</v>
      </c>
      <c r="S54" s="28">
        <f>R54+VLOOKUP(Rawdata!Q49,Int_rate_movements,2,TRUE)</f>
        <v>4.2500000000000003E-2</v>
      </c>
      <c r="T54" s="28">
        <f>S54+VLOOKUP(Rawdata!R49,Int_rate_movements,2,TRUE)</f>
        <v>4.2500000000000003E-2</v>
      </c>
      <c r="U54" s="28">
        <f>T54+VLOOKUP(Rawdata!S49,Int_rate_movements,2,TRUE)</f>
        <v>4.2500000000000003E-2</v>
      </c>
      <c r="V54" s="28">
        <f>U54+VLOOKUP(Rawdata!T49,Int_rate_movements,2,TRUE)</f>
        <v>4.2500000000000003E-2</v>
      </c>
      <c r="W54" s="28">
        <f>V54+VLOOKUP(Rawdata!U49,Int_rate_movements,2,TRUE)</f>
        <v>4.2500000000000003E-2</v>
      </c>
      <c r="X54" s="28">
        <f>W54+VLOOKUP(Rawdata!V49,Int_rate_movements,2,TRUE)</f>
        <v>4.2500000000000003E-2</v>
      </c>
      <c r="Y54" s="28">
        <f>X54+VLOOKUP(Rawdata!W49,Int_rate_movements,2,TRUE)</f>
        <v>4.2500000000000003E-2</v>
      </c>
      <c r="Z54" s="35">
        <f>Y54+VLOOKUP(Rawdata!X49,Int_rate_movements,2,TRUE)</f>
        <v>4.2500000000000003E-2</v>
      </c>
      <c r="AA54" s="12"/>
      <c r="AB54" s="55">
        <f t="shared" si="33"/>
        <v>4.4097712805242217E-2</v>
      </c>
      <c r="AC54" s="55">
        <f t="shared" si="34"/>
        <v>4.4097712805242217E-2</v>
      </c>
      <c r="AD54" s="55">
        <f t="shared" si="35"/>
        <v>4.4097712805242217E-2</v>
      </c>
      <c r="AE54" s="55">
        <f t="shared" si="36"/>
        <v>4.4097712805242217E-2</v>
      </c>
      <c r="AF54" s="55">
        <f t="shared" si="37"/>
        <v>4.6496219905550085E-2</v>
      </c>
      <c r="AG54" s="55">
        <f t="shared" si="38"/>
        <v>4.6496219905550085E-2</v>
      </c>
      <c r="AH54" s="55">
        <f t="shared" si="39"/>
        <v>4.6496219905550085E-2</v>
      </c>
      <c r="AI54" s="55">
        <f t="shared" si="40"/>
        <v>4.6496219905550085E-2</v>
      </c>
      <c r="AJ54" s="55">
        <f t="shared" si="41"/>
        <v>4.6496219905550085E-2</v>
      </c>
      <c r="AK54" s="55">
        <f t="shared" si="42"/>
        <v>4.6496219905550085E-2</v>
      </c>
      <c r="AL54" s="55">
        <f t="shared" si="43"/>
        <v>4.6496219905550085E-2</v>
      </c>
      <c r="AM54" s="55">
        <f t="shared" si="44"/>
        <v>4.6496219905550085E-2</v>
      </c>
      <c r="AN54" s="55">
        <f t="shared" si="45"/>
        <v>4.6496219905550085E-2</v>
      </c>
      <c r="AO54" s="55">
        <f t="shared" si="46"/>
        <v>4.1693940041970023E-2</v>
      </c>
      <c r="AP54" s="55">
        <f t="shared" si="47"/>
        <v>4.1693940041970023E-2</v>
      </c>
      <c r="AQ54" s="55">
        <f t="shared" si="48"/>
        <v>4.1693940041970023E-2</v>
      </c>
      <c r="AR54" s="55">
        <f t="shared" si="49"/>
        <v>4.1693940041970023E-2</v>
      </c>
      <c r="AS54" s="55">
        <f t="shared" si="50"/>
        <v>4.1693940041970023E-2</v>
      </c>
      <c r="AT54" s="55">
        <f t="shared" si="51"/>
        <v>4.1693940041970023E-2</v>
      </c>
      <c r="AU54" s="55">
        <f t="shared" si="52"/>
        <v>4.1693940041970023E-2</v>
      </c>
      <c r="AV54" s="55">
        <f t="shared" si="53"/>
        <v>4.1693940041970023E-2</v>
      </c>
      <c r="AW54" s="55">
        <f t="shared" si="54"/>
        <v>4.1693940041970023E-2</v>
      </c>
      <c r="AX54" s="55">
        <f t="shared" si="55"/>
        <v>4.1693940041970023E-2</v>
      </c>
      <c r="AY54" s="55">
        <f t="shared" si="56"/>
        <v>4.1693940041970023E-2</v>
      </c>
      <c r="AZ54" s="56">
        <f t="shared" si="57"/>
        <v>4.1693940041970023E-2</v>
      </c>
      <c r="BA54" s="11"/>
      <c r="BB54" s="12"/>
      <c r="BC54" s="12"/>
      <c r="BD54" s="13"/>
      <c r="BF54" s="14"/>
      <c r="BG54" s="10"/>
      <c r="BH54" s="11"/>
      <c r="BI54" s="11"/>
      <c r="BJ54" s="11"/>
      <c r="BK54" s="12"/>
      <c r="BL54" s="12"/>
      <c r="BM54" s="13"/>
      <c r="BO54" s="14"/>
      <c r="BP54" s="10"/>
      <c r="BQ54" s="11"/>
      <c r="BR54" s="11"/>
      <c r="BS54" s="11"/>
      <c r="BT54" s="12"/>
      <c r="BU54" s="12"/>
      <c r="BV54" s="13"/>
      <c r="BX54" s="14"/>
      <c r="BY54" s="10"/>
      <c r="BZ54" s="11"/>
      <c r="CA54" s="11"/>
      <c r="CB54" s="11"/>
      <c r="CC54" s="12"/>
      <c r="CD54" s="12"/>
      <c r="CE54" s="13"/>
      <c r="CG54" s="14"/>
      <c r="CH54" s="10"/>
      <c r="CI54" s="11"/>
      <c r="CJ54" s="11"/>
      <c r="CK54" s="11"/>
      <c r="CL54" s="12"/>
      <c r="CM54" s="12"/>
      <c r="CN54" s="13"/>
      <c r="CP54" s="13"/>
    </row>
    <row r="55" spans="1:94" x14ac:dyDescent="0.35">
      <c r="A55" s="5">
        <v>48</v>
      </c>
      <c r="B55" s="63">
        <f t="shared" si="32"/>
        <v>4.4999999999999998E-2</v>
      </c>
      <c r="C55" s="28">
        <f>B55+VLOOKUP(Rawdata!A50,Int_rate_movements,2,TRUE)</f>
        <v>4.4999999999999998E-2</v>
      </c>
      <c r="D55" s="28">
        <f>C55+VLOOKUP(Rawdata!B50,Int_rate_movements,2,TRUE)</f>
        <v>4.4999999999999998E-2</v>
      </c>
      <c r="E55" s="28">
        <f>D55+VLOOKUP(Rawdata!C50,Int_rate_movements,2,TRUE)</f>
        <v>4.4999999999999998E-2</v>
      </c>
      <c r="F55" s="28">
        <f>E55+VLOOKUP(Rawdata!D50,Int_rate_movements,2,TRUE)</f>
        <v>4.4999999999999998E-2</v>
      </c>
      <c r="G55" s="28">
        <f>F55+VLOOKUP(Rawdata!E50,Int_rate_movements,2,TRUE)</f>
        <v>4.4999999999999998E-2</v>
      </c>
      <c r="H55" s="28">
        <f>G55+VLOOKUP(Rawdata!F50,Int_rate_movements,2,TRUE)</f>
        <v>4.7500000000000001E-2</v>
      </c>
      <c r="I55" s="28">
        <f>H55+VLOOKUP(Rawdata!G50,Int_rate_movements,2,TRUE)</f>
        <v>4.4999999999999998E-2</v>
      </c>
      <c r="J55" s="28">
        <f>I55+VLOOKUP(Rawdata!H50,Int_rate_movements,2,TRUE)</f>
        <v>4.4999999999999998E-2</v>
      </c>
      <c r="K55" s="28">
        <f>J55+VLOOKUP(Rawdata!I50,Int_rate_movements,2,TRUE)</f>
        <v>4.4999999999999998E-2</v>
      </c>
      <c r="L55" s="28">
        <f>K55+VLOOKUP(Rawdata!J50,Int_rate_movements,2,TRUE)</f>
        <v>4.4999999999999998E-2</v>
      </c>
      <c r="M55" s="28">
        <f>L55+VLOOKUP(Rawdata!K50,Int_rate_movements,2,TRUE)</f>
        <v>4.4999999999999998E-2</v>
      </c>
      <c r="N55" s="28">
        <f>M55+VLOOKUP(Rawdata!L50,Int_rate_movements,2,TRUE)</f>
        <v>4.4999999999999998E-2</v>
      </c>
      <c r="O55" s="28">
        <f>N55+VLOOKUP(Rawdata!M50,Int_rate_movements,2,TRUE)</f>
        <v>4.4999999999999998E-2</v>
      </c>
      <c r="P55" s="28">
        <f>O55+VLOOKUP(Rawdata!N50,Int_rate_movements,2,TRUE)</f>
        <v>4.4999999999999998E-2</v>
      </c>
      <c r="Q55" s="28">
        <f>P55+VLOOKUP(Rawdata!O50,Int_rate_movements,2,TRUE)</f>
        <v>4.4999999999999998E-2</v>
      </c>
      <c r="R55" s="28">
        <f>Q55+VLOOKUP(Rawdata!P50,Int_rate_movements,2,TRUE)</f>
        <v>4.4999999999999998E-2</v>
      </c>
      <c r="S55" s="28">
        <f>R55+VLOOKUP(Rawdata!Q50,Int_rate_movements,2,TRUE)</f>
        <v>4.4999999999999998E-2</v>
      </c>
      <c r="T55" s="28">
        <f>S55+VLOOKUP(Rawdata!R50,Int_rate_movements,2,TRUE)</f>
        <v>4.4999999999999998E-2</v>
      </c>
      <c r="U55" s="28">
        <f>T55+VLOOKUP(Rawdata!S50,Int_rate_movements,2,TRUE)</f>
        <v>4.4999999999999998E-2</v>
      </c>
      <c r="V55" s="28">
        <f>U55+VLOOKUP(Rawdata!T50,Int_rate_movements,2,TRUE)</f>
        <v>4.4999999999999998E-2</v>
      </c>
      <c r="W55" s="28">
        <f>V55+VLOOKUP(Rawdata!U50,Int_rate_movements,2,TRUE)</f>
        <v>4.4999999999999998E-2</v>
      </c>
      <c r="X55" s="28">
        <f>W55+VLOOKUP(Rawdata!V50,Int_rate_movements,2,TRUE)</f>
        <v>4.4999999999999998E-2</v>
      </c>
      <c r="Y55" s="28">
        <f>X55+VLOOKUP(Rawdata!W50,Int_rate_movements,2,TRUE)</f>
        <v>4.4999999999999998E-2</v>
      </c>
      <c r="Z55" s="35">
        <f>Y55+VLOOKUP(Rawdata!X50,Int_rate_movements,2,TRUE)</f>
        <v>4.4999999999999998E-2</v>
      </c>
      <c r="AA55" s="12"/>
      <c r="AB55" s="55">
        <f t="shared" si="33"/>
        <v>4.4097712805242217E-2</v>
      </c>
      <c r="AC55" s="55">
        <f t="shared" si="34"/>
        <v>4.4097712805242217E-2</v>
      </c>
      <c r="AD55" s="55">
        <f t="shared" si="35"/>
        <v>4.4097712805242217E-2</v>
      </c>
      <c r="AE55" s="55">
        <f t="shared" si="36"/>
        <v>4.4097712805242217E-2</v>
      </c>
      <c r="AF55" s="55">
        <f t="shared" si="37"/>
        <v>4.4097712805242217E-2</v>
      </c>
      <c r="AG55" s="55">
        <f t="shared" si="38"/>
        <v>4.4097712805242217E-2</v>
      </c>
      <c r="AH55" s="55">
        <f t="shared" si="39"/>
        <v>4.6496219905550085E-2</v>
      </c>
      <c r="AI55" s="55">
        <f t="shared" si="40"/>
        <v>4.4097712805242217E-2</v>
      </c>
      <c r="AJ55" s="55">
        <f t="shared" si="41"/>
        <v>4.4097712805242217E-2</v>
      </c>
      <c r="AK55" s="55">
        <f t="shared" si="42"/>
        <v>4.4097712805242217E-2</v>
      </c>
      <c r="AL55" s="55">
        <f t="shared" si="43"/>
        <v>4.4097712805242217E-2</v>
      </c>
      <c r="AM55" s="55">
        <f t="shared" si="44"/>
        <v>4.4097712805242217E-2</v>
      </c>
      <c r="AN55" s="55">
        <f t="shared" si="45"/>
        <v>4.4097712805242217E-2</v>
      </c>
      <c r="AO55" s="55">
        <f t="shared" si="46"/>
        <v>4.4097712805242217E-2</v>
      </c>
      <c r="AP55" s="55">
        <f t="shared" si="47"/>
        <v>4.4097712805242217E-2</v>
      </c>
      <c r="AQ55" s="55">
        <f t="shared" si="48"/>
        <v>4.4097712805242217E-2</v>
      </c>
      <c r="AR55" s="55">
        <f t="shared" si="49"/>
        <v>4.4097712805242217E-2</v>
      </c>
      <c r="AS55" s="55">
        <f t="shared" si="50"/>
        <v>4.4097712805242217E-2</v>
      </c>
      <c r="AT55" s="55">
        <f t="shared" si="51"/>
        <v>4.4097712805242217E-2</v>
      </c>
      <c r="AU55" s="55">
        <f t="shared" si="52"/>
        <v>4.4097712805242217E-2</v>
      </c>
      <c r="AV55" s="55">
        <f t="shared" si="53"/>
        <v>4.4097712805242217E-2</v>
      </c>
      <c r="AW55" s="55">
        <f t="shared" si="54"/>
        <v>4.4097712805242217E-2</v>
      </c>
      <c r="AX55" s="55">
        <f t="shared" si="55"/>
        <v>4.4097712805242217E-2</v>
      </c>
      <c r="AY55" s="55">
        <f t="shared" si="56"/>
        <v>4.4097712805242217E-2</v>
      </c>
      <c r="AZ55" s="56">
        <f t="shared" si="57"/>
        <v>4.4097712805242217E-2</v>
      </c>
      <c r="BA55" s="11"/>
      <c r="BB55" s="12"/>
      <c r="BC55" s="12"/>
      <c r="BD55" s="13"/>
      <c r="BF55" s="14"/>
      <c r="BG55" s="10"/>
      <c r="BH55" s="11"/>
      <c r="BI55" s="11"/>
      <c r="BJ55" s="11"/>
      <c r="BK55" s="12"/>
      <c r="BL55" s="12"/>
      <c r="BM55" s="13"/>
      <c r="BO55" s="14"/>
      <c r="BP55" s="10"/>
      <c r="BQ55" s="11"/>
      <c r="BR55" s="11"/>
      <c r="BS55" s="11"/>
      <c r="BT55" s="12"/>
      <c r="BU55" s="12"/>
      <c r="BV55" s="13"/>
      <c r="BX55" s="14"/>
      <c r="BY55" s="10"/>
      <c r="BZ55" s="11"/>
      <c r="CA55" s="11"/>
      <c r="CB55" s="11"/>
      <c r="CC55" s="12"/>
      <c r="CD55" s="12"/>
      <c r="CE55" s="13"/>
      <c r="CG55" s="14"/>
      <c r="CH55" s="10"/>
      <c r="CI55" s="11"/>
      <c r="CJ55" s="11"/>
      <c r="CK55" s="11"/>
      <c r="CL55" s="12"/>
      <c r="CM55" s="12"/>
      <c r="CN55" s="13"/>
      <c r="CP55" s="13"/>
    </row>
    <row r="56" spans="1:94" x14ac:dyDescent="0.35">
      <c r="A56" s="27">
        <v>49</v>
      </c>
      <c r="B56" s="63">
        <f t="shared" si="32"/>
        <v>4.4999999999999998E-2</v>
      </c>
      <c r="C56" s="28">
        <f>B56+VLOOKUP(Rawdata!A51,Int_rate_movements,2,TRUE)</f>
        <v>4.4999999999999998E-2</v>
      </c>
      <c r="D56" s="28">
        <f>C56+VLOOKUP(Rawdata!B51,Int_rate_movements,2,TRUE)</f>
        <v>4.4999999999999998E-2</v>
      </c>
      <c r="E56" s="28">
        <f>D56+VLOOKUP(Rawdata!C51,Int_rate_movements,2,TRUE)</f>
        <v>4.4999999999999998E-2</v>
      </c>
      <c r="F56" s="28">
        <f>E56+VLOOKUP(Rawdata!D51,Int_rate_movements,2,TRUE)</f>
        <v>4.4999999999999998E-2</v>
      </c>
      <c r="G56" s="28">
        <f>F56+VLOOKUP(Rawdata!E51,Int_rate_movements,2,TRUE)</f>
        <v>4.4999999999999998E-2</v>
      </c>
      <c r="H56" s="28">
        <f>G56+VLOOKUP(Rawdata!F51,Int_rate_movements,2,TRUE)</f>
        <v>4.4999999999999998E-2</v>
      </c>
      <c r="I56" s="28">
        <f>H56+VLOOKUP(Rawdata!G51,Int_rate_movements,2,TRUE)</f>
        <v>4.4999999999999998E-2</v>
      </c>
      <c r="J56" s="28">
        <f>I56+VLOOKUP(Rawdata!H51,Int_rate_movements,2,TRUE)</f>
        <v>4.7500000000000001E-2</v>
      </c>
      <c r="K56" s="28">
        <f>J56+VLOOKUP(Rawdata!I51,Int_rate_movements,2,TRUE)</f>
        <v>4.7500000000000001E-2</v>
      </c>
      <c r="L56" s="28">
        <f>K56+VLOOKUP(Rawdata!J51,Int_rate_movements,2,TRUE)</f>
        <v>4.7500000000000001E-2</v>
      </c>
      <c r="M56" s="28">
        <f>L56+VLOOKUP(Rawdata!K51,Int_rate_movements,2,TRUE)</f>
        <v>4.7500000000000001E-2</v>
      </c>
      <c r="N56" s="28">
        <f>M56+VLOOKUP(Rawdata!L51,Int_rate_movements,2,TRUE)</f>
        <v>4.7500000000000001E-2</v>
      </c>
      <c r="O56" s="28">
        <f>N56+VLOOKUP(Rawdata!M51,Int_rate_movements,2,TRUE)</f>
        <v>4.7500000000000001E-2</v>
      </c>
      <c r="P56" s="28">
        <f>O56+VLOOKUP(Rawdata!N51,Int_rate_movements,2,TRUE)</f>
        <v>4.7500000000000001E-2</v>
      </c>
      <c r="Q56" s="28">
        <f>P56+VLOOKUP(Rawdata!O51,Int_rate_movements,2,TRUE)</f>
        <v>4.7500000000000001E-2</v>
      </c>
      <c r="R56" s="28">
        <f>Q56+VLOOKUP(Rawdata!P51,Int_rate_movements,2,TRUE)</f>
        <v>4.7500000000000001E-2</v>
      </c>
      <c r="S56" s="28">
        <f>R56+VLOOKUP(Rawdata!Q51,Int_rate_movements,2,TRUE)</f>
        <v>4.7500000000000001E-2</v>
      </c>
      <c r="T56" s="28">
        <f>S56+VLOOKUP(Rawdata!R51,Int_rate_movements,2,TRUE)</f>
        <v>4.7500000000000001E-2</v>
      </c>
      <c r="U56" s="28">
        <f>T56+VLOOKUP(Rawdata!S51,Int_rate_movements,2,TRUE)</f>
        <v>4.7500000000000001E-2</v>
      </c>
      <c r="V56" s="28">
        <f>U56+VLOOKUP(Rawdata!T51,Int_rate_movements,2,TRUE)</f>
        <v>4.7500000000000001E-2</v>
      </c>
      <c r="W56" s="28">
        <f>V56+VLOOKUP(Rawdata!U51,Int_rate_movements,2,TRUE)</f>
        <v>4.7500000000000001E-2</v>
      </c>
      <c r="X56" s="28">
        <f>W56+VLOOKUP(Rawdata!V51,Int_rate_movements,2,TRUE)</f>
        <v>4.4999999999999998E-2</v>
      </c>
      <c r="Y56" s="28">
        <f>X56+VLOOKUP(Rawdata!W51,Int_rate_movements,2,TRUE)</f>
        <v>4.2499999999999996E-2</v>
      </c>
      <c r="Z56" s="35">
        <f>Y56+VLOOKUP(Rawdata!X51,Int_rate_movements,2,TRUE)</f>
        <v>4.2499999999999996E-2</v>
      </c>
      <c r="AA56" s="12"/>
      <c r="AB56" s="55">
        <f t="shared" si="33"/>
        <v>4.4097712805242217E-2</v>
      </c>
      <c r="AC56" s="55">
        <f t="shared" si="34"/>
        <v>4.4097712805242217E-2</v>
      </c>
      <c r="AD56" s="55">
        <f t="shared" si="35"/>
        <v>4.4097712805242217E-2</v>
      </c>
      <c r="AE56" s="55">
        <f t="shared" si="36"/>
        <v>4.4097712805242217E-2</v>
      </c>
      <c r="AF56" s="55">
        <f t="shared" si="37"/>
        <v>4.4097712805242217E-2</v>
      </c>
      <c r="AG56" s="55">
        <f t="shared" si="38"/>
        <v>4.4097712805242217E-2</v>
      </c>
      <c r="AH56" s="55">
        <f t="shared" si="39"/>
        <v>4.4097712805242217E-2</v>
      </c>
      <c r="AI56" s="55">
        <f t="shared" si="40"/>
        <v>4.4097712805242217E-2</v>
      </c>
      <c r="AJ56" s="55">
        <f t="shared" si="41"/>
        <v>4.6496219905550085E-2</v>
      </c>
      <c r="AK56" s="55">
        <f t="shared" si="42"/>
        <v>4.6496219905550085E-2</v>
      </c>
      <c r="AL56" s="55">
        <f t="shared" si="43"/>
        <v>4.6496219905550085E-2</v>
      </c>
      <c r="AM56" s="55">
        <f t="shared" si="44"/>
        <v>4.6496219905550085E-2</v>
      </c>
      <c r="AN56" s="55">
        <f t="shared" si="45"/>
        <v>4.6496219905550085E-2</v>
      </c>
      <c r="AO56" s="55">
        <f t="shared" si="46"/>
        <v>4.6496219905550085E-2</v>
      </c>
      <c r="AP56" s="55">
        <f t="shared" si="47"/>
        <v>4.6496219905550085E-2</v>
      </c>
      <c r="AQ56" s="55">
        <f t="shared" si="48"/>
        <v>4.6496219905550085E-2</v>
      </c>
      <c r="AR56" s="55">
        <f t="shared" si="49"/>
        <v>4.6496219905550085E-2</v>
      </c>
      <c r="AS56" s="55">
        <f t="shared" si="50"/>
        <v>4.6496219905550085E-2</v>
      </c>
      <c r="AT56" s="55">
        <f t="shared" si="51"/>
        <v>4.6496219905550085E-2</v>
      </c>
      <c r="AU56" s="55">
        <f t="shared" si="52"/>
        <v>4.6496219905550085E-2</v>
      </c>
      <c r="AV56" s="55">
        <f t="shared" si="53"/>
        <v>4.6496219905550085E-2</v>
      </c>
      <c r="AW56" s="55">
        <f t="shared" si="54"/>
        <v>4.6496219905550085E-2</v>
      </c>
      <c r="AX56" s="55">
        <f t="shared" si="55"/>
        <v>4.4097712805242217E-2</v>
      </c>
      <c r="AY56" s="55">
        <f t="shared" si="56"/>
        <v>4.1693940041970023E-2</v>
      </c>
      <c r="AZ56" s="56">
        <f t="shared" si="57"/>
        <v>4.1693940041970023E-2</v>
      </c>
      <c r="BA56" s="11"/>
      <c r="BB56" s="12"/>
      <c r="BC56" s="12"/>
      <c r="BD56" s="13"/>
      <c r="BF56" s="14"/>
      <c r="BG56" s="10"/>
      <c r="BH56" s="11"/>
      <c r="BI56" s="11"/>
      <c r="BJ56" s="11"/>
      <c r="BK56" s="12"/>
      <c r="BL56" s="12"/>
      <c r="BM56" s="13"/>
      <c r="BO56" s="14"/>
      <c r="BP56" s="10"/>
      <c r="BQ56" s="11"/>
      <c r="BR56" s="11"/>
      <c r="BS56" s="11"/>
      <c r="BT56" s="12"/>
      <c r="BU56" s="12"/>
      <c r="BV56" s="13"/>
      <c r="BX56" s="14"/>
      <c r="BY56" s="10"/>
      <c r="BZ56" s="11"/>
      <c r="CA56" s="11"/>
      <c r="CB56" s="11"/>
      <c r="CC56" s="12"/>
      <c r="CD56" s="12"/>
      <c r="CE56" s="13"/>
      <c r="CG56" s="14"/>
      <c r="CH56" s="10"/>
      <c r="CI56" s="11"/>
      <c r="CJ56" s="11"/>
      <c r="CK56" s="11"/>
      <c r="CL56" s="12"/>
      <c r="CM56" s="12"/>
      <c r="CN56" s="13"/>
      <c r="CP56" s="13"/>
    </row>
    <row r="57" spans="1:94" x14ac:dyDescent="0.35">
      <c r="A57" s="5">
        <v>50</v>
      </c>
      <c r="B57" s="63">
        <f t="shared" si="32"/>
        <v>4.4999999999999998E-2</v>
      </c>
      <c r="C57" s="28">
        <f>B57+VLOOKUP(Rawdata!A52,Int_rate_movements,2,TRUE)</f>
        <v>4.4999999999999998E-2</v>
      </c>
      <c r="D57" s="28">
        <f>C57+VLOOKUP(Rawdata!B52,Int_rate_movements,2,TRUE)</f>
        <v>4.2499999999999996E-2</v>
      </c>
      <c r="E57" s="28">
        <f>D57+VLOOKUP(Rawdata!C52,Int_rate_movements,2,TRUE)</f>
        <v>4.2499999999999996E-2</v>
      </c>
      <c r="F57" s="28">
        <f>E57+VLOOKUP(Rawdata!D52,Int_rate_movements,2,TRUE)</f>
        <v>4.2499999999999996E-2</v>
      </c>
      <c r="G57" s="28">
        <f>F57+VLOOKUP(Rawdata!E52,Int_rate_movements,2,TRUE)</f>
        <v>4.2499999999999996E-2</v>
      </c>
      <c r="H57" s="28">
        <f>G57+VLOOKUP(Rawdata!F52,Int_rate_movements,2,TRUE)</f>
        <v>4.2499999999999996E-2</v>
      </c>
      <c r="I57" s="28">
        <f>H57+VLOOKUP(Rawdata!G52,Int_rate_movements,2,TRUE)</f>
        <v>3.7499999999999999E-2</v>
      </c>
      <c r="J57" s="28">
        <f>I57+VLOOKUP(Rawdata!H52,Int_rate_movements,2,TRUE)</f>
        <v>3.7499999999999999E-2</v>
      </c>
      <c r="K57" s="28">
        <f>J57+VLOOKUP(Rawdata!I52,Int_rate_movements,2,TRUE)</f>
        <v>4.2499999999999996E-2</v>
      </c>
      <c r="L57" s="28">
        <f>K57+VLOOKUP(Rawdata!J52,Int_rate_movements,2,TRUE)</f>
        <v>4.2499999999999996E-2</v>
      </c>
      <c r="M57" s="28">
        <f>L57+VLOOKUP(Rawdata!K52,Int_rate_movements,2,TRUE)</f>
        <v>4.4999999999999998E-2</v>
      </c>
      <c r="N57" s="28">
        <f>M57+VLOOKUP(Rawdata!L52,Int_rate_movements,2,TRUE)</f>
        <v>4.4999999999999998E-2</v>
      </c>
      <c r="O57" s="28">
        <f>N57+VLOOKUP(Rawdata!M52,Int_rate_movements,2,TRUE)</f>
        <v>4.4999999999999998E-2</v>
      </c>
      <c r="P57" s="28">
        <f>O57+VLOOKUP(Rawdata!N52,Int_rate_movements,2,TRUE)</f>
        <v>4.4999999999999998E-2</v>
      </c>
      <c r="Q57" s="28">
        <f>P57+VLOOKUP(Rawdata!O52,Int_rate_movements,2,TRUE)</f>
        <v>4.4999999999999998E-2</v>
      </c>
      <c r="R57" s="28">
        <f>Q57+VLOOKUP(Rawdata!P52,Int_rate_movements,2,TRUE)</f>
        <v>4.4999999999999998E-2</v>
      </c>
      <c r="S57" s="28">
        <f>R57+VLOOKUP(Rawdata!Q52,Int_rate_movements,2,TRUE)</f>
        <v>4.4999999999999998E-2</v>
      </c>
      <c r="T57" s="28">
        <f>S57+VLOOKUP(Rawdata!R52,Int_rate_movements,2,TRUE)</f>
        <v>4.4999999999999998E-2</v>
      </c>
      <c r="U57" s="28">
        <f>T57+VLOOKUP(Rawdata!S52,Int_rate_movements,2,TRUE)</f>
        <v>4.4999999999999998E-2</v>
      </c>
      <c r="V57" s="28">
        <f>U57+VLOOKUP(Rawdata!T52,Int_rate_movements,2,TRUE)</f>
        <v>4.4999999999999998E-2</v>
      </c>
      <c r="W57" s="28">
        <f>V57+VLOOKUP(Rawdata!U52,Int_rate_movements,2,TRUE)</f>
        <v>4.4999999999999998E-2</v>
      </c>
      <c r="X57" s="28">
        <f>W57+VLOOKUP(Rawdata!V52,Int_rate_movements,2,TRUE)</f>
        <v>4.4999999999999998E-2</v>
      </c>
      <c r="Y57" s="28">
        <f>X57+VLOOKUP(Rawdata!W52,Int_rate_movements,2,TRUE)</f>
        <v>4.9999999999999996E-2</v>
      </c>
      <c r="Z57" s="35">
        <f>Y57+VLOOKUP(Rawdata!X52,Int_rate_movements,2,TRUE)</f>
        <v>4.9999999999999996E-2</v>
      </c>
      <c r="AA57" s="12"/>
      <c r="AB57" s="55">
        <f t="shared" si="33"/>
        <v>4.4097712805242217E-2</v>
      </c>
      <c r="AC57" s="55">
        <f t="shared" si="34"/>
        <v>4.4097712805242217E-2</v>
      </c>
      <c r="AD57" s="55">
        <f t="shared" si="35"/>
        <v>4.1693940041970023E-2</v>
      </c>
      <c r="AE57" s="55">
        <f t="shared" si="36"/>
        <v>4.1693940041970023E-2</v>
      </c>
      <c r="AF57" s="55">
        <f t="shared" si="37"/>
        <v>4.1693940041970023E-2</v>
      </c>
      <c r="AG57" s="55">
        <f t="shared" si="38"/>
        <v>4.1693940041970023E-2</v>
      </c>
      <c r="AH57" s="55">
        <f t="shared" si="39"/>
        <v>4.1693940041970023E-2</v>
      </c>
      <c r="AI57" s="55">
        <f t="shared" si="40"/>
        <v>3.6870500439066589E-2</v>
      </c>
      <c r="AJ57" s="55">
        <f t="shared" si="41"/>
        <v>3.6870500439066589E-2</v>
      </c>
      <c r="AK57" s="55">
        <f t="shared" si="42"/>
        <v>4.1693940041970023E-2</v>
      </c>
      <c r="AL57" s="55">
        <f t="shared" si="43"/>
        <v>4.1693940041970023E-2</v>
      </c>
      <c r="AM57" s="55">
        <f t="shared" si="44"/>
        <v>4.4097712805242217E-2</v>
      </c>
      <c r="AN57" s="55">
        <f t="shared" si="45"/>
        <v>4.4097712805242217E-2</v>
      </c>
      <c r="AO57" s="55">
        <f t="shared" si="46"/>
        <v>4.4097712805242217E-2</v>
      </c>
      <c r="AP57" s="55">
        <f t="shared" si="47"/>
        <v>4.4097712805242217E-2</v>
      </c>
      <c r="AQ57" s="55">
        <f t="shared" si="48"/>
        <v>4.4097712805242217E-2</v>
      </c>
      <c r="AR57" s="55">
        <f t="shared" si="49"/>
        <v>4.4097712805242217E-2</v>
      </c>
      <c r="AS57" s="55">
        <f t="shared" si="50"/>
        <v>4.4097712805242217E-2</v>
      </c>
      <c r="AT57" s="55">
        <f t="shared" si="51"/>
        <v>4.4097712805242217E-2</v>
      </c>
      <c r="AU57" s="55">
        <f t="shared" si="52"/>
        <v>4.4097712805242217E-2</v>
      </c>
      <c r="AV57" s="55">
        <f t="shared" si="53"/>
        <v>4.4097712805242217E-2</v>
      </c>
      <c r="AW57" s="55">
        <f t="shared" si="54"/>
        <v>4.4097712805242217E-2</v>
      </c>
      <c r="AX57" s="55">
        <f t="shared" si="55"/>
        <v>4.4097712805242217E-2</v>
      </c>
      <c r="AY57" s="55">
        <f t="shared" si="56"/>
        <v>4.8889485403780242E-2</v>
      </c>
      <c r="AZ57" s="56">
        <f t="shared" si="57"/>
        <v>4.8889485403780242E-2</v>
      </c>
      <c r="BA57" s="11"/>
      <c r="BB57" s="12"/>
      <c r="BC57" s="12"/>
      <c r="BD57" s="13"/>
      <c r="BF57" s="14"/>
      <c r="BG57" s="10"/>
      <c r="BH57" s="11"/>
      <c r="BI57" s="11"/>
      <c r="BJ57" s="11"/>
      <c r="BK57" s="12"/>
      <c r="BL57" s="12"/>
      <c r="BM57" s="13"/>
      <c r="BO57" s="14"/>
      <c r="BP57" s="10"/>
      <c r="BQ57" s="11"/>
      <c r="BR57" s="11"/>
      <c r="BS57" s="11"/>
      <c r="BT57" s="12"/>
      <c r="BU57" s="12"/>
      <c r="BV57" s="13"/>
      <c r="BX57" s="14"/>
      <c r="BY57" s="10"/>
      <c r="BZ57" s="11"/>
      <c r="CA57" s="11"/>
      <c r="CB57" s="11"/>
      <c r="CC57" s="12"/>
      <c r="CD57" s="12"/>
      <c r="CE57" s="13"/>
      <c r="CG57" s="14"/>
      <c r="CH57" s="10"/>
      <c r="CI57" s="11"/>
      <c r="CJ57" s="11"/>
      <c r="CK57" s="11"/>
      <c r="CL57" s="12"/>
      <c r="CM57" s="12"/>
      <c r="CN57" s="13"/>
      <c r="CP57" s="13"/>
    </row>
    <row r="58" spans="1:94" x14ac:dyDescent="0.35">
      <c r="A58" s="27">
        <v>51</v>
      </c>
      <c r="B58" s="63">
        <f t="shared" si="32"/>
        <v>4.4999999999999998E-2</v>
      </c>
      <c r="C58" s="28">
        <f>B58+VLOOKUP(Rawdata!A53,Int_rate_movements,2,TRUE)</f>
        <v>4.4999999999999998E-2</v>
      </c>
      <c r="D58" s="28">
        <f>C58+VLOOKUP(Rawdata!B53,Int_rate_movements,2,TRUE)</f>
        <v>4.4999999999999998E-2</v>
      </c>
      <c r="E58" s="28">
        <f>D58+VLOOKUP(Rawdata!C53,Int_rate_movements,2,TRUE)</f>
        <v>4.4999999999999998E-2</v>
      </c>
      <c r="F58" s="28">
        <f>E58+VLOOKUP(Rawdata!D53,Int_rate_movements,2,TRUE)</f>
        <v>4.4999999999999998E-2</v>
      </c>
      <c r="G58" s="28">
        <f>F58+VLOOKUP(Rawdata!E53,Int_rate_movements,2,TRUE)</f>
        <v>4.4999999999999998E-2</v>
      </c>
      <c r="H58" s="28">
        <f>G58+VLOOKUP(Rawdata!F53,Int_rate_movements,2,TRUE)</f>
        <v>4.4999999999999998E-2</v>
      </c>
      <c r="I58" s="28">
        <f>H58+VLOOKUP(Rawdata!G53,Int_rate_movements,2,TRUE)</f>
        <v>4.4999999999999998E-2</v>
      </c>
      <c r="J58" s="28">
        <f>I58+VLOOKUP(Rawdata!H53,Int_rate_movements,2,TRUE)</f>
        <v>4.4999999999999998E-2</v>
      </c>
      <c r="K58" s="28">
        <f>J58+VLOOKUP(Rawdata!I53,Int_rate_movements,2,TRUE)</f>
        <v>4.4999999999999998E-2</v>
      </c>
      <c r="L58" s="28">
        <f>K58+VLOOKUP(Rawdata!J53,Int_rate_movements,2,TRUE)</f>
        <v>4.4999999999999998E-2</v>
      </c>
      <c r="M58" s="28">
        <f>L58+VLOOKUP(Rawdata!K53,Int_rate_movements,2,TRUE)</f>
        <v>4.4999999999999998E-2</v>
      </c>
      <c r="N58" s="28">
        <f>M58+VLOOKUP(Rawdata!L53,Int_rate_movements,2,TRUE)</f>
        <v>4.4999999999999998E-2</v>
      </c>
      <c r="O58" s="28">
        <f>N58+VLOOKUP(Rawdata!M53,Int_rate_movements,2,TRUE)</f>
        <v>4.4999999999999998E-2</v>
      </c>
      <c r="P58" s="28">
        <f>O58+VLOOKUP(Rawdata!N53,Int_rate_movements,2,TRUE)</f>
        <v>4.4999999999999998E-2</v>
      </c>
      <c r="Q58" s="28">
        <f>P58+VLOOKUP(Rawdata!O53,Int_rate_movements,2,TRUE)</f>
        <v>4.2499999999999996E-2</v>
      </c>
      <c r="R58" s="28">
        <f>Q58+VLOOKUP(Rawdata!P53,Int_rate_movements,2,TRUE)</f>
        <v>4.2499999999999996E-2</v>
      </c>
      <c r="S58" s="28">
        <f>R58+VLOOKUP(Rawdata!Q53,Int_rate_movements,2,TRUE)</f>
        <v>4.2499999999999996E-2</v>
      </c>
      <c r="T58" s="28">
        <f>S58+VLOOKUP(Rawdata!R53,Int_rate_movements,2,TRUE)</f>
        <v>4.2499999999999996E-2</v>
      </c>
      <c r="U58" s="28">
        <f>T58+VLOOKUP(Rawdata!S53,Int_rate_movements,2,TRUE)</f>
        <v>4.2499999999999996E-2</v>
      </c>
      <c r="V58" s="28">
        <f>U58+VLOOKUP(Rawdata!T53,Int_rate_movements,2,TRUE)</f>
        <v>4.2499999999999996E-2</v>
      </c>
      <c r="W58" s="28">
        <f>V58+VLOOKUP(Rawdata!U53,Int_rate_movements,2,TRUE)</f>
        <v>4.2499999999999996E-2</v>
      </c>
      <c r="X58" s="28">
        <f>W58+VLOOKUP(Rawdata!V53,Int_rate_movements,2,TRUE)</f>
        <v>3.9999999999999994E-2</v>
      </c>
      <c r="Y58" s="28">
        <f>X58+VLOOKUP(Rawdata!W53,Int_rate_movements,2,TRUE)</f>
        <v>3.9999999999999994E-2</v>
      </c>
      <c r="Z58" s="35">
        <f>Y58+VLOOKUP(Rawdata!X53,Int_rate_movements,2,TRUE)</f>
        <v>3.9999999999999994E-2</v>
      </c>
      <c r="AA58" s="12"/>
      <c r="AB58" s="55">
        <f t="shared" si="33"/>
        <v>4.4097712805242217E-2</v>
      </c>
      <c r="AC58" s="55">
        <f t="shared" si="34"/>
        <v>4.4097712805242217E-2</v>
      </c>
      <c r="AD58" s="55">
        <f t="shared" si="35"/>
        <v>4.4097712805242217E-2</v>
      </c>
      <c r="AE58" s="55">
        <f t="shared" si="36"/>
        <v>4.4097712805242217E-2</v>
      </c>
      <c r="AF58" s="55">
        <f t="shared" si="37"/>
        <v>4.4097712805242217E-2</v>
      </c>
      <c r="AG58" s="55">
        <f t="shared" si="38"/>
        <v>4.4097712805242217E-2</v>
      </c>
      <c r="AH58" s="55">
        <f t="shared" si="39"/>
        <v>4.4097712805242217E-2</v>
      </c>
      <c r="AI58" s="55">
        <f t="shared" si="40"/>
        <v>4.4097712805242217E-2</v>
      </c>
      <c r="AJ58" s="55">
        <f t="shared" si="41"/>
        <v>4.4097712805242217E-2</v>
      </c>
      <c r="AK58" s="55">
        <f t="shared" si="42"/>
        <v>4.4097712805242217E-2</v>
      </c>
      <c r="AL58" s="55">
        <f t="shared" si="43"/>
        <v>4.4097712805242217E-2</v>
      </c>
      <c r="AM58" s="55">
        <f t="shared" si="44"/>
        <v>4.4097712805242217E-2</v>
      </c>
      <c r="AN58" s="55">
        <f t="shared" si="45"/>
        <v>4.4097712805242217E-2</v>
      </c>
      <c r="AO58" s="55">
        <f t="shared" si="46"/>
        <v>4.4097712805242217E-2</v>
      </c>
      <c r="AP58" s="55">
        <f t="shared" si="47"/>
        <v>4.4097712805242217E-2</v>
      </c>
      <c r="AQ58" s="55">
        <f t="shared" si="48"/>
        <v>4.1693940041970023E-2</v>
      </c>
      <c r="AR58" s="55">
        <f t="shared" si="49"/>
        <v>4.1693940041970023E-2</v>
      </c>
      <c r="AS58" s="55">
        <f t="shared" si="50"/>
        <v>4.1693940041970023E-2</v>
      </c>
      <c r="AT58" s="55">
        <f t="shared" si="51"/>
        <v>4.1693940041970023E-2</v>
      </c>
      <c r="AU58" s="55">
        <f t="shared" si="52"/>
        <v>4.1693940041970023E-2</v>
      </c>
      <c r="AV58" s="55">
        <f t="shared" si="53"/>
        <v>4.1693940041970023E-2</v>
      </c>
      <c r="AW58" s="55">
        <f t="shared" si="54"/>
        <v>4.1693940041970023E-2</v>
      </c>
      <c r="AX58" s="55">
        <f t="shared" si="55"/>
        <v>3.9284877386386974E-2</v>
      </c>
      <c r="AY58" s="55">
        <f t="shared" si="56"/>
        <v>3.9284877386386974E-2</v>
      </c>
      <c r="AZ58" s="56">
        <f t="shared" si="57"/>
        <v>3.9284877386386974E-2</v>
      </c>
      <c r="BA58" s="11"/>
      <c r="BB58" s="12"/>
      <c r="BC58" s="12"/>
      <c r="BD58" s="13"/>
      <c r="BF58" s="14"/>
      <c r="BG58" s="10"/>
      <c r="BH58" s="11"/>
      <c r="BI58" s="11"/>
      <c r="BJ58" s="11"/>
      <c r="BK58" s="12"/>
      <c r="BL58" s="12"/>
      <c r="BM58" s="13"/>
      <c r="BO58" s="14"/>
      <c r="BP58" s="10"/>
      <c r="BQ58" s="11"/>
      <c r="BR58" s="11"/>
      <c r="BS58" s="11"/>
      <c r="BT58" s="12"/>
      <c r="BU58" s="12"/>
      <c r="BV58" s="13"/>
      <c r="BX58" s="14"/>
      <c r="BY58" s="10"/>
      <c r="BZ58" s="11"/>
      <c r="CA58" s="11"/>
      <c r="CB58" s="11"/>
      <c r="CC58" s="12"/>
      <c r="CD58" s="12"/>
      <c r="CE58" s="13"/>
      <c r="CG58" s="14"/>
      <c r="CH58" s="10"/>
      <c r="CI58" s="11"/>
      <c r="CJ58" s="11"/>
      <c r="CK58" s="11"/>
      <c r="CL58" s="12"/>
      <c r="CM58" s="12"/>
      <c r="CN58" s="13"/>
      <c r="CP58" s="13"/>
    </row>
    <row r="59" spans="1:94" x14ac:dyDescent="0.35">
      <c r="A59" s="5">
        <v>52</v>
      </c>
      <c r="B59" s="63">
        <f t="shared" si="32"/>
        <v>4.4999999999999998E-2</v>
      </c>
      <c r="C59" s="28">
        <f>B59+VLOOKUP(Rawdata!A54,Int_rate_movements,2,TRUE)</f>
        <v>4.4999999999999998E-2</v>
      </c>
      <c r="D59" s="28">
        <f>C59+VLOOKUP(Rawdata!B54,Int_rate_movements,2,TRUE)</f>
        <v>4.4999999999999998E-2</v>
      </c>
      <c r="E59" s="28">
        <f>D59+VLOOKUP(Rawdata!C54,Int_rate_movements,2,TRUE)</f>
        <v>4.4999999999999998E-2</v>
      </c>
      <c r="F59" s="28">
        <f>E59+VLOOKUP(Rawdata!D54,Int_rate_movements,2,TRUE)</f>
        <v>4.4999999999999998E-2</v>
      </c>
      <c r="G59" s="28">
        <f>F59+VLOOKUP(Rawdata!E54,Int_rate_movements,2,TRUE)</f>
        <v>4.4999999999999998E-2</v>
      </c>
      <c r="H59" s="28">
        <f>G59+VLOOKUP(Rawdata!F54,Int_rate_movements,2,TRUE)</f>
        <v>4.4999999999999998E-2</v>
      </c>
      <c r="I59" s="28">
        <f>H59+VLOOKUP(Rawdata!G54,Int_rate_movements,2,TRUE)</f>
        <v>4.4999999999999998E-2</v>
      </c>
      <c r="J59" s="28">
        <f>I59+VLOOKUP(Rawdata!H54,Int_rate_movements,2,TRUE)</f>
        <v>4.4999999999999998E-2</v>
      </c>
      <c r="K59" s="28">
        <f>J59+VLOOKUP(Rawdata!I54,Int_rate_movements,2,TRUE)</f>
        <v>4.2499999999999996E-2</v>
      </c>
      <c r="L59" s="28">
        <f>K59+VLOOKUP(Rawdata!J54,Int_rate_movements,2,TRUE)</f>
        <v>4.4999999999999998E-2</v>
      </c>
      <c r="M59" s="28">
        <f>L59+VLOOKUP(Rawdata!K54,Int_rate_movements,2,TRUE)</f>
        <v>4.4999999999999998E-2</v>
      </c>
      <c r="N59" s="28">
        <f>M59+VLOOKUP(Rawdata!L54,Int_rate_movements,2,TRUE)</f>
        <v>4.4999999999999998E-2</v>
      </c>
      <c r="O59" s="28">
        <f>N59+VLOOKUP(Rawdata!M54,Int_rate_movements,2,TRUE)</f>
        <v>4.4999999999999998E-2</v>
      </c>
      <c r="P59" s="28">
        <f>O59+VLOOKUP(Rawdata!N54,Int_rate_movements,2,TRUE)</f>
        <v>4.4999999999999998E-2</v>
      </c>
      <c r="Q59" s="28">
        <f>P59+VLOOKUP(Rawdata!O54,Int_rate_movements,2,TRUE)</f>
        <v>4.4999999999999998E-2</v>
      </c>
      <c r="R59" s="28">
        <f>Q59+VLOOKUP(Rawdata!P54,Int_rate_movements,2,TRUE)</f>
        <v>4.7500000000000001E-2</v>
      </c>
      <c r="S59" s="28">
        <f>R59+VLOOKUP(Rawdata!Q54,Int_rate_movements,2,TRUE)</f>
        <v>4.7500000000000001E-2</v>
      </c>
      <c r="T59" s="28">
        <f>S59+VLOOKUP(Rawdata!R54,Int_rate_movements,2,TRUE)</f>
        <v>5.2499999999999998E-2</v>
      </c>
      <c r="U59" s="28">
        <f>T59+VLOOKUP(Rawdata!S54,Int_rate_movements,2,TRUE)</f>
        <v>5.2499999999999998E-2</v>
      </c>
      <c r="V59" s="28">
        <f>U59+VLOOKUP(Rawdata!T54,Int_rate_movements,2,TRUE)</f>
        <v>5.2499999999999998E-2</v>
      </c>
      <c r="W59" s="28">
        <f>V59+VLOOKUP(Rawdata!U54,Int_rate_movements,2,TRUE)</f>
        <v>5.5E-2</v>
      </c>
      <c r="X59" s="28">
        <f>W59+VLOOKUP(Rawdata!V54,Int_rate_movements,2,TRUE)</f>
        <v>5.2499999999999998E-2</v>
      </c>
      <c r="Y59" s="28">
        <f>X59+VLOOKUP(Rawdata!W54,Int_rate_movements,2,TRUE)</f>
        <v>5.2499999999999998E-2</v>
      </c>
      <c r="Z59" s="35">
        <f>Y59+VLOOKUP(Rawdata!X54,Int_rate_movements,2,TRUE)</f>
        <v>5.2499999999999998E-2</v>
      </c>
      <c r="AA59" s="12"/>
      <c r="AB59" s="55">
        <f t="shared" si="33"/>
        <v>4.4097712805242217E-2</v>
      </c>
      <c r="AC59" s="55">
        <f t="shared" si="34"/>
        <v>4.4097712805242217E-2</v>
      </c>
      <c r="AD59" s="55">
        <f t="shared" si="35"/>
        <v>4.4097712805242217E-2</v>
      </c>
      <c r="AE59" s="55">
        <f t="shared" si="36"/>
        <v>4.4097712805242217E-2</v>
      </c>
      <c r="AF59" s="55">
        <f t="shared" si="37"/>
        <v>4.4097712805242217E-2</v>
      </c>
      <c r="AG59" s="55">
        <f t="shared" si="38"/>
        <v>4.4097712805242217E-2</v>
      </c>
      <c r="AH59" s="55">
        <f t="shared" si="39"/>
        <v>4.4097712805242217E-2</v>
      </c>
      <c r="AI59" s="55">
        <f t="shared" si="40"/>
        <v>4.4097712805242217E-2</v>
      </c>
      <c r="AJ59" s="55">
        <f t="shared" si="41"/>
        <v>4.4097712805242217E-2</v>
      </c>
      <c r="AK59" s="55">
        <f t="shared" si="42"/>
        <v>4.1693940041970023E-2</v>
      </c>
      <c r="AL59" s="55">
        <f t="shared" si="43"/>
        <v>4.4097712805242217E-2</v>
      </c>
      <c r="AM59" s="55">
        <f t="shared" si="44"/>
        <v>4.4097712805242217E-2</v>
      </c>
      <c r="AN59" s="55">
        <f t="shared" si="45"/>
        <v>4.4097712805242217E-2</v>
      </c>
      <c r="AO59" s="55">
        <f t="shared" si="46"/>
        <v>4.4097712805242217E-2</v>
      </c>
      <c r="AP59" s="55">
        <f t="shared" si="47"/>
        <v>4.4097712805242217E-2</v>
      </c>
      <c r="AQ59" s="55">
        <f t="shared" si="48"/>
        <v>4.4097712805242217E-2</v>
      </c>
      <c r="AR59" s="55">
        <f t="shared" si="49"/>
        <v>4.6496219905550085E-2</v>
      </c>
      <c r="AS59" s="55">
        <f t="shared" si="50"/>
        <v>4.6496219905550085E-2</v>
      </c>
      <c r="AT59" s="55">
        <f t="shared" si="51"/>
        <v>5.1277533193896829E-2</v>
      </c>
      <c r="AU59" s="55">
        <f t="shared" si="52"/>
        <v>5.1277533193896829E-2</v>
      </c>
      <c r="AV59" s="55">
        <f t="shared" si="53"/>
        <v>5.1277533193896829E-2</v>
      </c>
      <c r="AW59" s="55">
        <f t="shared" si="54"/>
        <v>5.3660387004516252E-2</v>
      </c>
      <c r="AX59" s="55">
        <f t="shared" si="55"/>
        <v>5.1277533193896829E-2</v>
      </c>
      <c r="AY59" s="55">
        <f t="shared" si="56"/>
        <v>5.1277533193896829E-2</v>
      </c>
      <c r="AZ59" s="56">
        <f t="shared" si="57"/>
        <v>5.1277533193896829E-2</v>
      </c>
      <c r="BA59" s="11"/>
      <c r="BB59" s="12"/>
      <c r="BC59" s="12"/>
      <c r="BD59" s="13"/>
      <c r="BF59" s="14"/>
      <c r="BG59" s="10"/>
      <c r="BH59" s="11"/>
      <c r="BI59" s="11"/>
      <c r="BJ59" s="11"/>
      <c r="BK59" s="12"/>
      <c r="BL59" s="12"/>
      <c r="BM59" s="13"/>
      <c r="BO59" s="14"/>
      <c r="BP59" s="10"/>
      <c r="BQ59" s="11"/>
      <c r="BR59" s="11"/>
      <c r="BS59" s="11"/>
      <c r="BT59" s="12"/>
      <c r="BU59" s="12"/>
      <c r="BV59" s="13"/>
      <c r="BX59" s="14"/>
      <c r="BY59" s="10"/>
      <c r="BZ59" s="11"/>
      <c r="CA59" s="11"/>
      <c r="CB59" s="11"/>
      <c r="CC59" s="12"/>
      <c r="CD59" s="12"/>
      <c r="CE59" s="13"/>
      <c r="CG59" s="14"/>
      <c r="CH59" s="10"/>
      <c r="CI59" s="11"/>
      <c r="CJ59" s="11"/>
      <c r="CK59" s="11"/>
      <c r="CL59" s="12"/>
      <c r="CM59" s="12"/>
      <c r="CN59" s="13"/>
      <c r="CP59" s="13"/>
    </row>
    <row r="60" spans="1:94" x14ac:dyDescent="0.35">
      <c r="A60" s="27">
        <v>53</v>
      </c>
      <c r="B60" s="63">
        <f t="shared" si="32"/>
        <v>4.4999999999999998E-2</v>
      </c>
      <c r="C60" s="28">
        <f>B60+VLOOKUP(Rawdata!A55,Int_rate_movements,2,TRUE)</f>
        <v>4.4999999999999998E-2</v>
      </c>
      <c r="D60" s="28">
        <f>C60+VLOOKUP(Rawdata!B55,Int_rate_movements,2,TRUE)</f>
        <v>4.7500000000000001E-2</v>
      </c>
      <c r="E60" s="28">
        <f>D60+VLOOKUP(Rawdata!C55,Int_rate_movements,2,TRUE)</f>
        <v>4.7500000000000001E-2</v>
      </c>
      <c r="F60" s="28">
        <f>E60+VLOOKUP(Rawdata!D55,Int_rate_movements,2,TRUE)</f>
        <v>4.7500000000000001E-2</v>
      </c>
      <c r="G60" s="28">
        <f>F60+VLOOKUP(Rawdata!E55,Int_rate_movements,2,TRUE)</f>
        <v>4.7500000000000001E-2</v>
      </c>
      <c r="H60" s="28">
        <f>G60+VLOOKUP(Rawdata!F55,Int_rate_movements,2,TRUE)</f>
        <v>4.7500000000000001E-2</v>
      </c>
      <c r="I60" s="28">
        <f>H60+VLOOKUP(Rawdata!G55,Int_rate_movements,2,TRUE)</f>
        <v>4.4999999999999998E-2</v>
      </c>
      <c r="J60" s="28">
        <f>I60+VLOOKUP(Rawdata!H55,Int_rate_movements,2,TRUE)</f>
        <v>4.4999999999999998E-2</v>
      </c>
      <c r="K60" s="28">
        <f>J60+VLOOKUP(Rawdata!I55,Int_rate_movements,2,TRUE)</f>
        <v>4.4999999999999998E-2</v>
      </c>
      <c r="L60" s="28">
        <f>K60+VLOOKUP(Rawdata!J55,Int_rate_movements,2,TRUE)</f>
        <v>4.4999999999999998E-2</v>
      </c>
      <c r="M60" s="28">
        <f>L60+VLOOKUP(Rawdata!K55,Int_rate_movements,2,TRUE)</f>
        <v>4.4999999999999998E-2</v>
      </c>
      <c r="N60" s="28">
        <f>M60+VLOOKUP(Rawdata!L55,Int_rate_movements,2,TRUE)</f>
        <v>4.4999999999999998E-2</v>
      </c>
      <c r="O60" s="28">
        <f>N60+VLOOKUP(Rawdata!M55,Int_rate_movements,2,TRUE)</f>
        <v>4.4999999999999998E-2</v>
      </c>
      <c r="P60" s="28">
        <f>O60+VLOOKUP(Rawdata!N55,Int_rate_movements,2,TRUE)</f>
        <v>4.4999999999999998E-2</v>
      </c>
      <c r="Q60" s="28">
        <f>P60+VLOOKUP(Rawdata!O55,Int_rate_movements,2,TRUE)</f>
        <v>4.4999999999999998E-2</v>
      </c>
      <c r="R60" s="28">
        <f>Q60+VLOOKUP(Rawdata!P55,Int_rate_movements,2,TRUE)</f>
        <v>4.4999999999999998E-2</v>
      </c>
      <c r="S60" s="28">
        <f>R60+VLOOKUP(Rawdata!Q55,Int_rate_movements,2,TRUE)</f>
        <v>4.4999999999999998E-2</v>
      </c>
      <c r="T60" s="28">
        <f>S60+VLOOKUP(Rawdata!R55,Int_rate_movements,2,TRUE)</f>
        <v>4.4999999999999998E-2</v>
      </c>
      <c r="U60" s="28">
        <f>T60+VLOOKUP(Rawdata!S55,Int_rate_movements,2,TRUE)</f>
        <v>4.4999999999999998E-2</v>
      </c>
      <c r="V60" s="28">
        <f>U60+VLOOKUP(Rawdata!T55,Int_rate_movements,2,TRUE)</f>
        <v>4.4999999999999998E-2</v>
      </c>
      <c r="W60" s="28">
        <f>V60+VLOOKUP(Rawdata!U55,Int_rate_movements,2,TRUE)</f>
        <v>4.4999999999999998E-2</v>
      </c>
      <c r="X60" s="28">
        <f>W60+VLOOKUP(Rawdata!V55,Int_rate_movements,2,TRUE)</f>
        <v>4.7500000000000001E-2</v>
      </c>
      <c r="Y60" s="28">
        <f>X60+VLOOKUP(Rawdata!W55,Int_rate_movements,2,TRUE)</f>
        <v>4.7500000000000001E-2</v>
      </c>
      <c r="Z60" s="35">
        <f>Y60+VLOOKUP(Rawdata!X55,Int_rate_movements,2,TRUE)</f>
        <v>4.7500000000000001E-2</v>
      </c>
      <c r="AA60" s="12"/>
      <c r="AB60" s="55">
        <f t="shared" si="33"/>
        <v>4.4097712805242217E-2</v>
      </c>
      <c r="AC60" s="55">
        <f t="shared" si="34"/>
        <v>4.4097712805242217E-2</v>
      </c>
      <c r="AD60" s="55">
        <f t="shared" si="35"/>
        <v>4.6496219905550085E-2</v>
      </c>
      <c r="AE60" s="55">
        <f t="shared" si="36"/>
        <v>4.6496219905550085E-2</v>
      </c>
      <c r="AF60" s="55">
        <f t="shared" si="37"/>
        <v>4.6496219905550085E-2</v>
      </c>
      <c r="AG60" s="55">
        <f t="shared" si="38"/>
        <v>4.6496219905550085E-2</v>
      </c>
      <c r="AH60" s="55">
        <f t="shared" si="39"/>
        <v>4.6496219905550085E-2</v>
      </c>
      <c r="AI60" s="55">
        <f t="shared" si="40"/>
        <v>4.4097712805242217E-2</v>
      </c>
      <c r="AJ60" s="55">
        <f t="shared" si="41"/>
        <v>4.4097712805242217E-2</v>
      </c>
      <c r="AK60" s="55">
        <f t="shared" si="42"/>
        <v>4.4097712805242217E-2</v>
      </c>
      <c r="AL60" s="55">
        <f t="shared" si="43"/>
        <v>4.4097712805242217E-2</v>
      </c>
      <c r="AM60" s="55">
        <f t="shared" si="44"/>
        <v>4.4097712805242217E-2</v>
      </c>
      <c r="AN60" s="55">
        <f t="shared" si="45"/>
        <v>4.4097712805242217E-2</v>
      </c>
      <c r="AO60" s="55">
        <f t="shared" si="46"/>
        <v>4.4097712805242217E-2</v>
      </c>
      <c r="AP60" s="55">
        <f t="shared" si="47"/>
        <v>4.4097712805242217E-2</v>
      </c>
      <c r="AQ60" s="55">
        <f t="shared" si="48"/>
        <v>4.4097712805242217E-2</v>
      </c>
      <c r="AR60" s="55">
        <f t="shared" si="49"/>
        <v>4.4097712805242217E-2</v>
      </c>
      <c r="AS60" s="55">
        <f t="shared" si="50"/>
        <v>4.4097712805242217E-2</v>
      </c>
      <c r="AT60" s="55">
        <f t="shared" si="51"/>
        <v>4.4097712805242217E-2</v>
      </c>
      <c r="AU60" s="55">
        <f t="shared" si="52"/>
        <v>4.4097712805242217E-2</v>
      </c>
      <c r="AV60" s="55">
        <f t="shared" si="53"/>
        <v>4.4097712805242217E-2</v>
      </c>
      <c r="AW60" s="55">
        <f t="shared" si="54"/>
        <v>4.4097712805242217E-2</v>
      </c>
      <c r="AX60" s="55">
        <f t="shared" si="55"/>
        <v>4.6496219905550085E-2</v>
      </c>
      <c r="AY60" s="55">
        <f t="shared" si="56"/>
        <v>4.6496219905550085E-2</v>
      </c>
      <c r="AZ60" s="56">
        <f t="shared" si="57"/>
        <v>4.6496219905550085E-2</v>
      </c>
      <c r="BA60" s="11"/>
      <c r="BB60" s="12"/>
      <c r="BC60" s="12"/>
      <c r="BD60" s="13"/>
      <c r="BF60" s="14"/>
      <c r="BG60" s="10"/>
      <c r="BH60" s="11"/>
      <c r="BI60" s="11"/>
      <c r="BJ60" s="11"/>
      <c r="BK60" s="12"/>
      <c r="BL60" s="12"/>
      <c r="BM60" s="13"/>
      <c r="BO60" s="14"/>
      <c r="BP60" s="10"/>
      <c r="BQ60" s="11"/>
      <c r="BR60" s="11"/>
      <c r="BS60" s="11"/>
      <c r="BT60" s="12"/>
      <c r="BU60" s="12"/>
      <c r="BV60" s="13"/>
      <c r="BX60" s="14"/>
      <c r="BY60" s="10"/>
      <c r="BZ60" s="11"/>
      <c r="CA60" s="11"/>
      <c r="CB60" s="11"/>
      <c r="CC60" s="12"/>
      <c r="CD60" s="12"/>
      <c r="CE60" s="13"/>
      <c r="CG60" s="14"/>
      <c r="CH60" s="10"/>
      <c r="CI60" s="11"/>
      <c r="CJ60" s="11"/>
      <c r="CK60" s="11"/>
      <c r="CL60" s="12"/>
      <c r="CM60" s="12"/>
      <c r="CN60" s="13"/>
      <c r="CP60" s="13"/>
    </row>
    <row r="61" spans="1:94" x14ac:dyDescent="0.35">
      <c r="A61" s="5">
        <v>54</v>
      </c>
      <c r="B61" s="63">
        <f t="shared" si="32"/>
        <v>4.4999999999999998E-2</v>
      </c>
      <c r="C61" s="28">
        <f>B61+VLOOKUP(Rawdata!A56,Int_rate_movements,2,TRUE)</f>
        <v>4.7500000000000001E-2</v>
      </c>
      <c r="D61" s="28">
        <f>C61+VLOOKUP(Rawdata!B56,Int_rate_movements,2,TRUE)</f>
        <v>0.05</v>
      </c>
      <c r="E61" s="28">
        <f>D61+VLOOKUP(Rawdata!C56,Int_rate_movements,2,TRUE)</f>
        <v>5.5E-2</v>
      </c>
      <c r="F61" s="28">
        <f>E61+VLOOKUP(Rawdata!D56,Int_rate_movements,2,TRUE)</f>
        <v>5.5E-2</v>
      </c>
      <c r="G61" s="28">
        <f>F61+VLOOKUP(Rawdata!E56,Int_rate_movements,2,TRUE)</f>
        <v>0.05</v>
      </c>
      <c r="H61" s="28">
        <f>G61+VLOOKUP(Rawdata!F56,Int_rate_movements,2,TRUE)</f>
        <v>0.05</v>
      </c>
      <c r="I61" s="28">
        <f>H61+VLOOKUP(Rawdata!G56,Int_rate_movements,2,TRUE)</f>
        <v>0.05</v>
      </c>
      <c r="J61" s="28">
        <f>I61+VLOOKUP(Rawdata!H56,Int_rate_movements,2,TRUE)</f>
        <v>0.05</v>
      </c>
      <c r="K61" s="28">
        <f>J61+VLOOKUP(Rawdata!I56,Int_rate_movements,2,TRUE)</f>
        <v>0.05</v>
      </c>
      <c r="L61" s="28">
        <f>K61+VLOOKUP(Rawdata!J56,Int_rate_movements,2,TRUE)</f>
        <v>4.5000000000000005E-2</v>
      </c>
      <c r="M61" s="28">
        <f>L61+VLOOKUP(Rawdata!K56,Int_rate_movements,2,TRUE)</f>
        <v>4.5000000000000005E-2</v>
      </c>
      <c r="N61" s="28">
        <f>M61+VLOOKUP(Rawdata!L56,Int_rate_movements,2,TRUE)</f>
        <v>4.7500000000000007E-2</v>
      </c>
      <c r="O61" s="28">
        <f>N61+VLOOKUP(Rawdata!M56,Int_rate_movements,2,TRUE)</f>
        <v>4.7500000000000007E-2</v>
      </c>
      <c r="P61" s="28">
        <f>O61+VLOOKUP(Rawdata!N56,Int_rate_movements,2,TRUE)</f>
        <v>4.7500000000000007E-2</v>
      </c>
      <c r="Q61" s="28">
        <f>P61+VLOOKUP(Rawdata!O56,Int_rate_movements,2,TRUE)</f>
        <v>4.7500000000000007E-2</v>
      </c>
      <c r="R61" s="28">
        <f>Q61+VLOOKUP(Rawdata!P56,Int_rate_movements,2,TRUE)</f>
        <v>4.7500000000000007E-2</v>
      </c>
      <c r="S61" s="28">
        <f>R61+VLOOKUP(Rawdata!Q56,Int_rate_movements,2,TRUE)</f>
        <v>4.7500000000000007E-2</v>
      </c>
      <c r="T61" s="28">
        <f>S61+VLOOKUP(Rawdata!R56,Int_rate_movements,2,TRUE)</f>
        <v>4.7500000000000007E-2</v>
      </c>
      <c r="U61" s="28">
        <f>T61+VLOOKUP(Rawdata!S56,Int_rate_movements,2,TRUE)</f>
        <v>4.7500000000000007E-2</v>
      </c>
      <c r="V61" s="28">
        <f>U61+VLOOKUP(Rawdata!T56,Int_rate_movements,2,TRUE)</f>
        <v>5.000000000000001E-2</v>
      </c>
      <c r="W61" s="28">
        <f>V61+VLOOKUP(Rawdata!U56,Int_rate_movements,2,TRUE)</f>
        <v>5.000000000000001E-2</v>
      </c>
      <c r="X61" s="28">
        <f>W61+VLOOKUP(Rawdata!V56,Int_rate_movements,2,TRUE)</f>
        <v>5.000000000000001E-2</v>
      </c>
      <c r="Y61" s="28">
        <f>X61+VLOOKUP(Rawdata!W56,Int_rate_movements,2,TRUE)</f>
        <v>5.000000000000001E-2</v>
      </c>
      <c r="Z61" s="35">
        <f>Y61+VLOOKUP(Rawdata!X56,Int_rate_movements,2,TRUE)</f>
        <v>5.000000000000001E-2</v>
      </c>
      <c r="AA61" s="12"/>
      <c r="AB61" s="55">
        <f t="shared" si="33"/>
        <v>4.4097712805242217E-2</v>
      </c>
      <c r="AC61" s="55">
        <f t="shared" si="34"/>
        <v>4.6496219905550085E-2</v>
      </c>
      <c r="AD61" s="55">
        <f t="shared" si="35"/>
        <v>4.8889485403780242E-2</v>
      </c>
      <c r="AE61" s="55">
        <f t="shared" si="36"/>
        <v>5.3660387004516252E-2</v>
      </c>
      <c r="AF61" s="55">
        <f t="shared" si="37"/>
        <v>5.3660387004516252E-2</v>
      </c>
      <c r="AG61" s="55">
        <f t="shared" si="38"/>
        <v>4.8889485403780242E-2</v>
      </c>
      <c r="AH61" s="55">
        <f t="shared" si="39"/>
        <v>4.8889485403780242E-2</v>
      </c>
      <c r="AI61" s="55">
        <f t="shared" si="40"/>
        <v>4.8889485403780242E-2</v>
      </c>
      <c r="AJ61" s="55">
        <f t="shared" si="41"/>
        <v>4.8889485403780242E-2</v>
      </c>
      <c r="AK61" s="55">
        <f t="shared" si="42"/>
        <v>4.8889485403780242E-2</v>
      </c>
      <c r="AL61" s="55">
        <f t="shared" si="43"/>
        <v>4.4097712805242217E-2</v>
      </c>
      <c r="AM61" s="55">
        <f t="shared" si="44"/>
        <v>4.4097712805242217E-2</v>
      </c>
      <c r="AN61" s="55">
        <f t="shared" si="45"/>
        <v>4.6496219905550085E-2</v>
      </c>
      <c r="AO61" s="55">
        <f t="shared" si="46"/>
        <v>4.6496219905550085E-2</v>
      </c>
      <c r="AP61" s="55">
        <f t="shared" si="47"/>
        <v>4.6496219905550085E-2</v>
      </c>
      <c r="AQ61" s="55">
        <f t="shared" si="48"/>
        <v>4.6496219905550085E-2</v>
      </c>
      <c r="AR61" s="55">
        <f t="shared" si="49"/>
        <v>4.6496219905550085E-2</v>
      </c>
      <c r="AS61" s="55">
        <f t="shared" si="50"/>
        <v>4.6496219905550085E-2</v>
      </c>
      <c r="AT61" s="55">
        <f t="shared" si="51"/>
        <v>4.6496219905550085E-2</v>
      </c>
      <c r="AU61" s="55">
        <f t="shared" si="52"/>
        <v>4.6496219905550085E-2</v>
      </c>
      <c r="AV61" s="55">
        <f t="shared" si="53"/>
        <v>4.8889485403780242E-2</v>
      </c>
      <c r="AW61" s="55">
        <f t="shared" si="54"/>
        <v>4.8889485403780242E-2</v>
      </c>
      <c r="AX61" s="55">
        <f t="shared" si="55"/>
        <v>4.8889485403780242E-2</v>
      </c>
      <c r="AY61" s="55">
        <f t="shared" si="56"/>
        <v>4.8889485403780242E-2</v>
      </c>
      <c r="AZ61" s="56">
        <f t="shared" si="57"/>
        <v>4.8889485403780242E-2</v>
      </c>
      <c r="BA61" s="11"/>
      <c r="BB61" s="12"/>
      <c r="BC61" s="12"/>
      <c r="BD61" s="13"/>
      <c r="BF61" s="14"/>
      <c r="BG61" s="10"/>
      <c r="BH61" s="11"/>
      <c r="BI61" s="11"/>
      <c r="BJ61" s="11"/>
      <c r="BK61" s="12"/>
      <c r="BL61" s="12"/>
      <c r="BM61" s="13"/>
      <c r="BO61" s="14"/>
      <c r="BP61" s="10"/>
      <c r="BQ61" s="11"/>
      <c r="BR61" s="11"/>
      <c r="BS61" s="11"/>
      <c r="BT61" s="12"/>
      <c r="BU61" s="12"/>
      <c r="BV61" s="13"/>
      <c r="BX61" s="14"/>
      <c r="BY61" s="10"/>
      <c r="BZ61" s="11"/>
      <c r="CA61" s="11"/>
      <c r="CB61" s="11"/>
      <c r="CC61" s="12"/>
      <c r="CD61" s="12"/>
      <c r="CE61" s="13"/>
      <c r="CG61" s="14"/>
      <c r="CH61" s="10"/>
      <c r="CI61" s="11"/>
      <c r="CJ61" s="11"/>
      <c r="CK61" s="11"/>
      <c r="CL61" s="12"/>
      <c r="CM61" s="12"/>
      <c r="CN61" s="13"/>
      <c r="CP61" s="13"/>
    </row>
    <row r="62" spans="1:94" x14ac:dyDescent="0.35">
      <c r="A62" s="27">
        <v>55</v>
      </c>
      <c r="B62" s="63">
        <f t="shared" si="32"/>
        <v>4.4999999999999998E-2</v>
      </c>
      <c r="C62" s="28">
        <f>B62+VLOOKUP(Rawdata!A57,Int_rate_movements,2,TRUE)</f>
        <v>4.4999999999999998E-2</v>
      </c>
      <c r="D62" s="28">
        <f>C62+VLOOKUP(Rawdata!B57,Int_rate_movements,2,TRUE)</f>
        <v>4.4999999999999998E-2</v>
      </c>
      <c r="E62" s="28">
        <f>D62+VLOOKUP(Rawdata!C57,Int_rate_movements,2,TRUE)</f>
        <v>4.4999999999999998E-2</v>
      </c>
      <c r="F62" s="28">
        <f>E62+VLOOKUP(Rawdata!D57,Int_rate_movements,2,TRUE)</f>
        <v>4.4999999999999998E-2</v>
      </c>
      <c r="G62" s="28">
        <f>F62+VLOOKUP(Rawdata!E57,Int_rate_movements,2,TRUE)</f>
        <v>4.7500000000000001E-2</v>
      </c>
      <c r="H62" s="28">
        <f>G62+VLOOKUP(Rawdata!F57,Int_rate_movements,2,TRUE)</f>
        <v>4.7500000000000001E-2</v>
      </c>
      <c r="I62" s="28">
        <f>H62+VLOOKUP(Rawdata!G57,Int_rate_movements,2,TRUE)</f>
        <v>4.7500000000000001E-2</v>
      </c>
      <c r="J62" s="28">
        <f>I62+VLOOKUP(Rawdata!H57,Int_rate_movements,2,TRUE)</f>
        <v>4.7500000000000001E-2</v>
      </c>
      <c r="K62" s="28">
        <f>J62+VLOOKUP(Rawdata!I57,Int_rate_movements,2,TRUE)</f>
        <v>4.7500000000000001E-2</v>
      </c>
      <c r="L62" s="28">
        <f>K62+VLOOKUP(Rawdata!J57,Int_rate_movements,2,TRUE)</f>
        <v>4.7500000000000001E-2</v>
      </c>
      <c r="M62" s="28">
        <f>L62+VLOOKUP(Rawdata!K57,Int_rate_movements,2,TRUE)</f>
        <v>4.7500000000000001E-2</v>
      </c>
      <c r="N62" s="28">
        <f>M62+VLOOKUP(Rawdata!L57,Int_rate_movements,2,TRUE)</f>
        <v>4.7500000000000001E-2</v>
      </c>
      <c r="O62" s="28">
        <f>N62+VLOOKUP(Rawdata!M57,Int_rate_movements,2,TRUE)</f>
        <v>4.7500000000000001E-2</v>
      </c>
      <c r="P62" s="28">
        <f>O62+VLOOKUP(Rawdata!N57,Int_rate_movements,2,TRUE)</f>
        <v>4.7500000000000001E-2</v>
      </c>
      <c r="Q62" s="28">
        <f>P62+VLOOKUP(Rawdata!O57,Int_rate_movements,2,TRUE)</f>
        <v>4.7500000000000001E-2</v>
      </c>
      <c r="R62" s="28">
        <f>Q62+VLOOKUP(Rawdata!P57,Int_rate_movements,2,TRUE)</f>
        <v>4.7500000000000001E-2</v>
      </c>
      <c r="S62" s="28">
        <f>R62+VLOOKUP(Rawdata!Q57,Int_rate_movements,2,TRUE)</f>
        <v>4.7500000000000001E-2</v>
      </c>
      <c r="T62" s="28">
        <f>S62+VLOOKUP(Rawdata!R57,Int_rate_movements,2,TRUE)</f>
        <v>4.7500000000000001E-2</v>
      </c>
      <c r="U62" s="28">
        <f>T62+VLOOKUP(Rawdata!S57,Int_rate_movements,2,TRUE)</f>
        <v>4.7500000000000001E-2</v>
      </c>
      <c r="V62" s="28">
        <f>U62+VLOOKUP(Rawdata!T57,Int_rate_movements,2,TRUE)</f>
        <v>4.7500000000000001E-2</v>
      </c>
      <c r="W62" s="28">
        <f>V62+VLOOKUP(Rawdata!U57,Int_rate_movements,2,TRUE)</f>
        <v>4.7500000000000001E-2</v>
      </c>
      <c r="X62" s="28">
        <f>W62+VLOOKUP(Rawdata!V57,Int_rate_movements,2,TRUE)</f>
        <v>4.7500000000000001E-2</v>
      </c>
      <c r="Y62" s="28">
        <f>X62+VLOOKUP(Rawdata!W57,Int_rate_movements,2,TRUE)</f>
        <v>4.7500000000000001E-2</v>
      </c>
      <c r="Z62" s="35">
        <f>Y62+VLOOKUP(Rawdata!X57,Int_rate_movements,2,TRUE)</f>
        <v>4.7500000000000001E-2</v>
      </c>
      <c r="AA62" s="12"/>
      <c r="AB62" s="55">
        <f t="shared" si="33"/>
        <v>4.4097712805242217E-2</v>
      </c>
      <c r="AC62" s="55">
        <f t="shared" si="34"/>
        <v>4.4097712805242217E-2</v>
      </c>
      <c r="AD62" s="55">
        <f t="shared" si="35"/>
        <v>4.4097712805242217E-2</v>
      </c>
      <c r="AE62" s="55">
        <f t="shared" si="36"/>
        <v>4.4097712805242217E-2</v>
      </c>
      <c r="AF62" s="55">
        <f t="shared" si="37"/>
        <v>4.4097712805242217E-2</v>
      </c>
      <c r="AG62" s="55">
        <f t="shared" si="38"/>
        <v>4.6496219905550085E-2</v>
      </c>
      <c r="AH62" s="55">
        <f t="shared" si="39"/>
        <v>4.6496219905550085E-2</v>
      </c>
      <c r="AI62" s="55">
        <f t="shared" si="40"/>
        <v>4.6496219905550085E-2</v>
      </c>
      <c r="AJ62" s="55">
        <f t="shared" si="41"/>
        <v>4.6496219905550085E-2</v>
      </c>
      <c r="AK62" s="55">
        <f t="shared" si="42"/>
        <v>4.6496219905550085E-2</v>
      </c>
      <c r="AL62" s="55">
        <f t="shared" si="43"/>
        <v>4.6496219905550085E-2</v>
      </c>
      <c r="AM62" s="55">
        <f t="shared" si="44"/>
        <v>4.6496219905550085E-2</v>
      </c>
      <c r="AN62" s="55">
        <f t="shared" si="45"/>
        <v>4.6496219905550085E-2</v>
      </c>
      <c r="AO62" s="55">
        <f t="shared" si="46"/>
        <v>4.6496219905550085E-2</v>
      </c>
      <c r="AP62" s="55">
        <f t="shared" si="47"/>
        <v>4.6496219905550085E-2</v>
      </c>
      <c r="AQ62" s="55">
        <f t="shared" si="48"/>
        <v>4.6496219905550085E-2</v>
      </c>
      <c r="AR62" s="55">
        <f t="shared" si="49"/>
        <v>4.6496219905550085E-2</v>
      </c>
      <c r="AS62" s="55">
        <f t="shared" si="50"/>
        <v>4.6496219905550085E-2</v>
      </c>
      <c r="AT62" s="55">
        <f t="shared" si="51"/>
        <v>4.6496219905550085E-2</v>
      </c>
      <c r="AU62" s="55">
        <f t="shared" si="52"/>
        <v>4.6496219905550085E-2</v>
      </c>
      <c r="AV62" s="55">
        <f t="shared" si="53"/>
        <v>4.6496219905550085E-2</v>
      </c>
      <c r="AW62" s="55">
        <f t="shared" si="54"/>
        <v>4.6496219905550085E-2</v>
      </c>
      <c r="AX62" s="55">
        <f t="shared" si="55"/>
        <v>4.6496219905550085E-2</v>
      </c>
      <c r="AY62" s="55">
        <f t="shared" si="56"/>
        <v>4.6496219905550085E-2</v>
      </c>
      <c r="AZ62" s="56">
        <f t="shared" si="57"/>
        <v>4.6496219905550085E-2</v>
      </c>
      <c r="BA62" s="11"/>
      <c r="BB62" s="12"/>
      <c r="BC62" s="12"/>
      <c r="BD62" s="13"/>
      <c r="BF62" s="14"/>
      <c r="BG62" s="10"/>
      <c r="BH62" s="11"/>
      <c r="BI62" s="11"/>
      <c r="BJ62" s="11"/>
      <c r="BK62" s="12"/>
      <c r="BL62" s="12"/>
      <c r="BM62" s="13"/>
      <c r="BO62" s="14"/>
      <c r="BP62" s="10"/>
      <c r="BQ62" s="11"/>
      <c r="BR62" s="11"/>
      <c r="BS62" s="11"/>
      <c r="BT62" s="12"/>
      <c r="BU62" s="12"/>
      <c r="BV62" s="13"/>
      <c r="BX62" s="14"/>
      <c r="BY62" s="10"/>
      <c r="BZ62" s="11"/>
      <c r="CA62" s="11"/>
      <c r="CB62" s="11"/>
      <c r="CC62" s="12"/>
      <c r="CD62" s="12"/>
      <c r="CE62" s="13"/>
      <c r="CG62" s="14"/>
      <c r="CH62" s="10"/>
      <c r="CI62" s="11"/>
      <c r="CJ62" s="11"/>
      <c r="CK62" s="11"/>
      <c r="CL62" s="12"/>
      <c r="CM62" s="12"/>
      <c r="CN62" s="13"/>
      <c r="CP62" s="13"/>
    </row>
    <row r="63" spans="1:94" x14ac:dyDescent="0.35">
      <c r="A63" s="5">
        <v>56</v>
      </c>
      <c r="B63" s="63">
        <f t="shared" si="32"/>
        <v>4.4999999999999998E-2</v>
      </c>
      <c r="C63" s="28">
        <f>B63+VLOOKUP(Rawdata!A58,Int_rate_movements,2,TRUE)</f>
        <v>4.4999999999999998E-2</v>
      </c>
      <c r="D63" s="28">
        <f>C63+VLOOKUP(Rawdata!B58,Int_rate_movements,2,TRUE)</f>
        <v>4.7500000000000001E-2</v>
      </c>
      <c r="E63" s="28">
        <f>D63+VLOOKUP(Rawdata!C58,Int_rate_movements,2,TRUE)</f>
        <v>4.7500000000000001E-2</v>
      </c>
      <c r="F63" s="28">
        <f>E63+VLOOKUP(Rawdata!D58,Int_rate_movements,2,TRUE)</f>
        <v>4.7500000000000001E-2</v>
      </c>
      <c r="G63" s="28">
        <f>F63+VLOOKUP(Rawdata!E58,Int_rate_movements,2,TRUE)</f>
        <v>4.7500000000000001E-2</v>
      </c>
      <c r="H63" s="28">
        <f>G63+VLOOKUP(Rawdata!F58,Int_rate_movements,2,TRUE)</f>
        <v>4.7500000000000001E-2</v>
      </c>
      <c r="I63" s="28">
        <f>H63+VLOOKUP(Rawdata!G58,Int_rate_movements,2,TRUE)</f>
        <v>4.7500000000000001E-2</v>
      </c>
      <c r="J63" s="28">
        <f>I63+VLOOKUP(Rawdata!H58,Int_rate_movements,2,TRUE)</f>
        <v>0.05</v>
      </c>
      <c r="K63" s="28">
        <f>J63+VLOOKUP(Rawdata!I58,Int_rate_movements,2,TRUE)</f>
        <v>0.05</v>
      </c>
      <c r="L63" s="28">
        <f>K63+VLOOKUP(Rawdata!J58,Int_rate_movements,2,TRUE)</f>
        <v>5.2500000000000005E-2</v>
      </c>
      <c r="M63" s="28">
        <f>L63+VLOOKUP(Rawdata!K58,Int_rate_movements,2,TRUE)</f>
        <v>5.2500000000000005E-2</v>
      </c>
      <c r="N63" s="28">
        <f>M63+VLOOKUP(Rawdata!L58,Int_rate_movements,2,TRUE)</f>
        <v>5.2500000000000005E-2</v>
      </c>
      <c r="O63" s="28">
        <f>N63+VLOOKUP(Rawdata!M58,Int_rate_movements,2,TRUE)</f>
        <v>5.7500000000000002E-2</v>
      </c>
      <c r="P63" s="28">
        <f>O63+VLOOKUP(Rawdata!N58,Int_rate_movements,2,TRUE)</f>
        <v>5.7500000000000002E-2</v>
      </c>
      <c r="Q63" s="28">
        <f>P63+VLOOKUP(Rawdata!O58,Int_rate_movements,2,TRUE)</f>
        <v>5.2500000000000005E-2</v>
      </c>
      <c r="R63" s="28">
        <f>Q63+VLOOKUP(Rawdata!P58,Int_rate_movements,2,TRUE)</f>
        <v>5.2500000000000005E-2</v>
      </c>
      <c r="S63" s="28">
        <f>R63+VLOOKUP(Rawdata!Q58,Int_rate_movements,2,TRUE)</f>
        <v>5.2500000000000005E-2</v>
      </c>
      <c r="T63" s="28">
        <f>S63+VLOOKUP(Rawdata!R58,Int_rate_movements,2,TRUE)</f>
        <v>5.2500000000000005E-2</v>
      </c>
      <c r="U63" s="28">
        <f>T63+VLOOKUP(Rawdata!S58,Int_rate_movements,2,TRUE)</f>
        <v>5.2500000000000005E-2</v>
      </c>
      <c r="V63" s="28">
        <f>U63+VLOOKUP(Rawdata!T58,Int_rate_movements,2,TRUE)</f>
        <v>5.2500000000000005E-2</v>
      </c>
      <c r="W63" s="28">
        <f>V63+VLOOKUP(Rawdata!U58,Int_rate_movements,2,TRUE)</f>
        <v>5.2500000000000005E-2</v>
      </c>
      <c r="X63" s="28">
        <f>W63+VLOOKUP(Rawdata!V58,Int_rate_movements,2,TRUE)</f>
        <v>5.2500000000000005E-2</v>
      </c>
      <c r="Y63" s="28">
        <f>X63+VLOOKUP(Rawdata!W58,Int_rate_movements,2,TRUE)</f>
        <v>5.2500000000000005E-2</v>
      </c>
      <c r="Z63" s="35">
        <f>Y63+VLOOKUP(Rawdata!X58,Int_rate_movements,2,TRUE)</f>
        <v>5.2500000000000005E-2</v>
      </c>
      <c r="AA63" s="12"/>
      <c r="AB63" s="55">
        <f t="shared" si="33"/>
        <v>4.4097712805242217E-2</v>
      </c>
      <c r="AC63" s="55">
        <f t="shared" si="34"/>
        <v>4.4097712805242217E-2</v>
      </c>
      <c r="AD63" s="55">
        <f t="shared" si="35"/>
        <v>4.6496219905550085E-2</v>
      </c>
      <c r="AE63" s="55">
        <f t="shared" si="36"/>
        <v>4.6496219905550085E-2</v>
      </c>
      <c r="AF63" s="55">
        <f t="shared" si="37"/>
        <v>4.6496219905550085E-2</v>
      </c>
      <c r="AG63" s="55">
        <f t="shared" si="38"/>
        <v>4.6496219905550085E-2</v>
      </c>
      <c r="AH63" s="55">
        <f t="shared" si="39"/>
        <v>4.6496219905550085E-2</v>
      </c>
      <c r="AI63" s="55">
        <f t="shared" si="40"/>
        <v>4.6496219905550085E-2</v>
      </c>
      <c r="AJ63" s="55">
        <f t="shared" si="41"/>
        <v>4.8889485403780242E-2</v>
      </c>
      <c r="AK63" s="55">
        <f t="shared" si="42"/>
        <v>4.8889485403780242E-2</v>
      </c>
      <c r="AL63" s="55">
        <f t="shared" si="43"/>
        <v>5.1277533193896829E-2</v>
      </c>
      <c r="AM63" s="55">
        <f t="shared" si="44"/>
        <v>5.1277533193896829E-2</v>
      </c>
      <c r="AN63" s="55">
        <f t="shared" si="45"/>
        <v>5.1277533193896829E-2</v>
      </c>
      <c r="AO63" s="55">
        <f t="shared" si="46"/>
        <v>5.603807040042863E-2</v>
      </c>
      <c r="AP63" s="55">
        <f t="shared" si="47"/>
        <v>5.603807040042863E-2</v>
      </c>
      <c r="AQ63" s="55">
        <f t="shared" si="48"/>
        <v>5.1277533193896829E-2</v>
      </c>
      <c r="AR63" s="55">
        <f t="shared" si="49"/>
        <v>5.1277533193896829E-2</v>
      </c>
      <c r="AS63" s="55">
        <f t="shared" si="50"/>
        <v>5.1277533193896829E-2</v>
      </c>
      <c r="AT63" s="55">
        <f t="shared" si="51"/>
        <v>5.1277533193896829E-2</v>
      </c>
      <c r="AU63" s="55">
        <f t="shared" si="52"/>
        <v>5.1277533193896829E-2</v>
      </c>
      <c r="AV63" s="55">
        <f t="shared" si="53"/>
        <v>5.1277533193896829E-2</v>
      </c>
      <c r="AW63" s="55">
        <f t="shared" si="54"/>
        <v>5.1277533193896829E-2</v>
      </c>
      <c r="AX63" s="55">
        <f t="shared" si="55"/>
        <v>5.1277533193896829E-2</v>
      </c>
      <c r="AY63" s="55">
        <f t="shared" si="56"/>
        <v>5.1277533193896829E-2</v>
      </c>
      <c r="AZ63" s="56">
        <f t="shared" si="57"/>
        <v>5.1277533193896829E-2</v>
      </c>
      <c r="BA63" s="11"/>
      <c r="BB63" s="12"/>
      <c r="BC63" s="12"/>
      <c r="BD63" s="13"/>
      <c r="BF63" s="14"/>
      <c r="BG63" s="10"/>
      <c r="BH63" s="11"/>
      <c r="BI63" s="11"/>
      <c r="BJ63" s="11"/>
      <c r="BK63" s="12"/>
      <c r="BL63" s="12"/>
      <c r="BM63" s="13"/>
      <c r="BO63" s="14"/>
      <c r="BP63" s="10"/>
      <c r="BQ63" s="11"/>
      <c r="BR63" s="11"/>
      <c r="BS63" s="11"/>
      <c r="BT63" s="12"/>
      <c r="BU63" s="12"/>
      <c r="BV63" s="13"/>
      <c r="BX63" s="14"/>
      <c r="BY63" s="10"/>
      <c r="BZ63" s="11"/>
      <c r="CA63" s="11"/>
      <c r="CB63" s="11"/>
      <c r="CC63" s="12"/>
      <c r="CD63" s="12"/>
      <c r="CE63" s="13"/>
      <c r="CG63" s="14"/>
      <c r="CH63" s="10"/>
      <c r="CI63" s="11"/>
      <c r="CJ63" s="11"/>
      <c r="CK63" s="11"/>
      <c r="CL63" s="12"/>
      <c r="CM63" s="12"/>
      <c r="CN63" s="13"/>
      <c r="CP63" s="13"/>
    </row>
    <row r="64" spans="1:94" x14ac:dyDescent="0.35">
      <c r="A64" s="27">
        <v>57</v>
      </c>
      <c r="B64" s="63">
        <f t="shared" si="32"/>
        <v>4.4999999999999998E-2</v>
      </c>
      <c r="C64" s="28">
        <f>B64+VLOOKUP(Rawdata!A59,Int_rate_movements,2,TRUE)</f>
        <v>4.4999999999999998E-2</v>
      </c>
      <c r="D64" s="28">
        <f>C64+VLOOKUP(Rawdata!B59,Int_rate_movements,2,TRUE)</f>
        <v>4.4999999999999998E-2</v>
      </c>
      <c r="E64" s="28">
        <f>D64+VLOOKUP(Rawdata!C59,Int_rate_movements,2,TRUE)</f>
        <v>4.4999999999999998E-2</v>
      </c>
      <c r="F64" s="28">
        <f>E64+VLOOKUP(Rawdata!D59,Int_rate_movements,2,TRUE)</f>
        <v>4.4999999999999998E-2</v>
      </c>
      <c r="G64" s="28">
        <f>F64+VLOOKUP(Rawdata!E59,Int_rate_movements,2,TRUE)</f>
        <v>4.4999999999999998E-2</v>
      </c>
      <c r="H64" s="28">
        <f>G64+VLOOKUP(Rawdata!F59,Int_rate_movements,2,TRUE)</f>
        <v>4.4999999999999998E-2</v>
      </c>
      <c r="I64" s="28">
        <f>H64+VLOOKUP(Rawdata!G59,Int_rate_movements,2,TRUE)</f>
        <v>4.4999999999999998E-2</v>
      </c>
      <c r="J64" s="28">
        <f>I64+VLOOKUP(Rawdata!H59,Int_rate_movements,2,TRUE)</f>
        <v>4.4999999999999998E-2</v>
      </c>
      <c r="K64" s="28">
        <f>J64+VLOOKUP(Rawdata!I59,Int_rate_movements,2,TRUE)</f>
        <v>4.4999999999999998E-2</v>
      </c>
      <c r="L64" s="28">
        <f>K64+VLOOKUP(Rawdata!J59,Int_rate_movements,2,TRUE)</f>
        <v>4.4999999999999998E-2</v>
      </c>
      <c r="M64" s="28">
        <f>L64+VLOOKUP(Rawdata!K59,Int_rate_movements,2,TRUE)</f>
        <v>4.4999999999999998E-2</v>
      </c>
      <c r="N64" s="28">
        <f>M64+VLOOKUP(Rawdata!L59,Int_rate_movements,2,TRUE)</f>
        <v>4.4999999999999998E-2</v>
      </c>
      <c r="O64" s="28">
        <f>N64+VLOOKUP(Rawdata!M59,Int_rate_movements,2,TRUE)</f>
        <v>4.4999999999999998E-2</v>
      </c>
      <c r="P64" s="28">
        <f>O64+VLOOKUP(Rawdata!N59,Int_rate_movements,2,TRUE)</f>
        <v>4.4999999999999998E-2</v>
      </c>
      <c r="Q64" s="28">
        <f>P64+VLOOKUP(Rawdata!O59,Int_rate_movements,2,TRUE)</f>
        <v>4.4999999999999998E-2</v>
      </c>
      <c r="R64" s="28">
        <f>Q64+VLOOKUP(Rawdata!P59,Int_rate_movements,2,TRUE)</f>
        <v>4.4999999999999998E-2</v>
      </c>
      <c r="S64" s="28">
        <f>R64+VLOOKUP(Rawdata!Q59,Int_rate_movements,2,TRUE)</f>
        <v>4.4999999999999998E-2</v>
      </c>
      <c r="T64" s="28">
        <f>S64+VLOOKUP(Rawdata!R59,Int_rate_movements,2,TRUE)</f>
        <v>4.4999999999999998E-2</v>
      </c>
      <c r="U64" s="28">
        <f>T64+VLOOKUP(Rawdata!S59,Int_rate_movements,2,TRUE)</f>
        <v>4.4999999999999998E-2</v>
      </c>
      <c r="V64" s="28">
        <f>U64+VLOOKUP(Rawdata!T59,Int_rate_movements,2,TRUE)</f>
        <v>4.4999999999999998E-2</v>
      </c>
      <c r="W64" s="28">
        <f>V64+VLOOKUP(Rawdata!U59,Int_rate_movements,2,TRUE)</f>
        <v>4.4999999999999998E-2</v>
      </c>
      <c r="X64" s="28">
        <f>W64+VLOOKUP(Rawdata!V59,Int_rate_movements,2,TRUE)</f>
        <v>4.2499999999999996E-2</v>
      </c>
      <c r="Y64" s="28">
        <f>X64+VLOOKUP(Rawdata!W59,Int_rate_movements,2,TRUE)</f>
        <v>3.9999999999999994E-2</v>
      </c>
      <c r="Z64" s="35">
        <f>Y64+VLOOKUP(Rawdata!X59,Int_rate_movements,2,TRUE)</f>
        <v>3.9999999999999994E-2</v>
      </c>
      <c r="AA64" s="12"/>
      <c r="AB64" s="55">
        <f t="shared" si="33"/>
        <v>4.4097712805242217E-2</v>
      </c>
      <c r="AC64" s="55">
        <f t="shared" si="34"/>
        <v>4.4097712805242217E-2</v>
      </c>
      <c r="AD64" s="55">
        <f t="shared" si="35"/>
        <v>4.4097712805242217E-2</v>
      </c>
      <c r="AE64" s="55">
        <f t="shared" si="36"/>
        <v>4.4097712805242217E-2</v>
      </c>
      <c r="AF64" s="55">
        <f t="shared" si="37"/>
        <v>4.4097712805242217E-2</v>
      </c>
      <c r="AG64" s="55">
        <f t="shared" si="38"/>
        <v>4.4097712805242217E-2</v>
      </c>
      <c r="AH64" s="55">
        <f t="shared" si="39"/>
        <v>4.4097712805242217E-2</v>
      </c>
      <c r="AI64" s="55">
        <f t="shared" si="40"/>
        <v>4.4097712805242217E-2</v>
      </c>
      <c r="AJ64" s="55">
        <f t="shared" si="41"/>
        <v>4.4097712805242217E-2</v>
      </c>
      <c r="AK64" s="55">
        <f t="shared" si="42"/>
        <v>4.4097712805242217E-2</v>
      </c>
      <c r="AL64" s="55">
        <f t="shared" si="43"/>
        <v>4.4097712805242217E-2</v>
      </c>
      <c r="AM64" s="55">
        <f t="shared" si="44"/>
        <v>4.4097712805242217E-2</v>
      </c>
      <c r="AN64" s="55">
        <f t="shared" si="45"/>
        <v>4.4097712805242217E-2</v>
      </c>
      <c r="AO64" s="55">
        <f t="shared" si="46"/>
        <v>4.4097712805242217E-2</v>
      </c>
      <c r="AP64" s="55">
        <f t="shared" si="47"/>
        <v>4.4097712805242217E-2</v>
      </c>
      <c r="AQ64" s="55">
        <f t="shared" si="48"/>
        <v>4.4097712805242217E-2</v>
      </c>
      <c r="AR64" s="55">
        <f t="shared" si="49"/>
        <v>4.4097712805242217E-2</v>
      </c>
      <c r="AS64" s="55">
        <f t="shared" si="50"/>
        <v>4.4097712805242217E-2</v>
      </c>
      <c r="AT64" s="55">
        <f t="shared" si="51"/>
        <v>4.4097712805242217E-2</v>
      </c>
      <c r="AU64" s="55">
        <f t="shared" si="52"/>
        <v>4.4097712805242217E-2</v>
      </c>
      <c r="AV64" s="55">
        <f t="shared" si="53"/>
        <v>4.4097712805242217E-2</v>
      </c>
      <c r="AW64" s="55">
        <f t="shared" si="54"/>
        <v>4.4097712805242217E-2</v>
      </c>
      <c r="AX64" s="55">
        <f t="shared" si="55"/>
        <v>4.1693940041970023E-2</v>
      </c>
      <c r="AY64" s="55">
        <f t="shared" si="56"/>
        <v>3.9284877386386974E-2</v>
      </c>
      <c r="AZ64" s="56">
        <f t="shared" si="57"/>
        <v>3.9284877386386974E-2</v>
      </c>
      <c r="BA64" s="11"/>
      <c r="BB64" s="12"/>
      <c r="BC64" s="12"/>
      <c r="BD64" s="13"/>
      <c r="BF64" s="14"/>
      <c r="BG64" s="10"/>
      <c r="BH64" s="11"/>
      <c r="BI64" s="11"/>
      <c r="BJ64" s="11"/>
      <c r="BK64" s="12"/>
      <c r="BL64" s="12"/>
      <c r="BM64" s="13"/>
      <c r="BO64" s="14"/>
      <c r="BP64" s="10"/>
      <c r="BQ64" s="11"/>
      <c r="BR64" s="11"/>
      <c r="BS64" s="11"/>
      <c r="BT64" s="12"/>
      <c r="BU64" s="12"/>
      <c r="BV64" s="13"/>
      <c r="BX64" s="14"/>
      <c r="BY64" s="10"/>
      <c r="BZ64" s="11"/>
      <c r="CA64" s="11"/>
      <c r="CB64" s="11"/>
      <c r="CC64" s="12"/>
      <c r="CD64" s="12"/>
      <c r="CE64" s="13"/>
      <c r="CG64" s="14"/>
      <c r="CH64" s="10"/>
      <c r="CI64" s="11"/>
      <c r="CJ64" s="11"/>
      <c r="CK64" s="11"/>
      <c r="CL64" s="12"/>
      <c r="CM64" s="12"/>
      <c r="CN64" s="13"/>
      <c r="CP64" s="13"/>
    </row>
    <row r="65" spans="1:94" x14ac:dyDescent="0.35">
      <c r="A65" s="5">
        <v>58</v>
      </c>
      <c r="B65" s="63">
        <f t="shared" si="32"/>
        <v>4.4999999999999998E-2</v>
      </c>
      <c r="C65" s="28">
        <f>B65+VLOOKUP(Rawdata!A60,Int_rate_movements,2,TRUE)</f>
        <v>4.4999999999999998E-2</v>
      </c>
      <c r="D65" s="28">
        <f>C65+VLOOKUP(Rawdata!B60,Int_rate_movements,2,TRUE)</f>
        <v>0.04</v>
      </c>
      <c r="E65" s="28">
        <f>D65+VLOOKUP(Rawdata!C60,Int_rate_movements,2,TRUE)</f>
        <v>0.04</v>
      </c>
      <c r="F65" s="28">
        <f>E65+VLOOKUP(Rawdata!D60,Int_rate_movements,2,TRUE)</f>
        <v>0.04</v>
      </c>
      <c r="G65" s="28">
        <f>F65+VLOOKUP(Rawdata!E60,Int_rate_movements,2,TRUE)</f>
        <v>0.04</v>
      </c>
      <c r="H65" s="28">
        <f>G65+VLOOKUP(Rawdata!F60,Int_rate_movements,2,TRUE)</f>
        <v>0.04</v>
      </c>
      <c r="I65" s="28">
        <f>H65+VLOOKUP(Rawdata!G60,Int_rate_movements,2,TRUE)</f>
        <v>0.04</v>
      </c>
      <c r="J65" s="28">
        <f>I65+VLOOKUP(Rawdata!H60,Int_rate_movements,2,TRUE)</f>
        <v>0.04</v>
      </c>
      <c r="K65" s="28">
        <f>J65+VLOOKUP(Rawdata!I60,Int_rate_movements,2,TRUE)</f>
        <v>0.04</v>
      </c>
      <c r="L65" s="28">
        <f>K65+VLOOKUP(Rawdata!J60,Int_rate_movements,2,TRUE)</f>
        <v>0.04</v>
      </c>
      <c r="M65" s="28">
        <f>L65+VLOOKUP(Rawdata!K60,Int_rate_movements,2,TRUE)</f>
        <v>0.04</v>
      </c>
      <c r="N65" s="28">
        <f>M65+VLOOKUP(Rawdata!L60,Int_rate_movements,2,TRUE)</f>
        <v>0.04</v>
      </c>
      <c r="O65" s="28">
        <f>N65+VLOOKUP(Rawdata!M60,Int_rate_movements,2,TRUE)</f>
        <v>0.04</v>
      </c>
      <c r="P65" s="28">
        <f>O65+VLOOKUP(Rawdata!N60,Int_rate_movements,2,TRUE)</f>
        <v>0.04</v>
      </c>
      <c r="Q65" s="28">
        <f>P65+VLOOKUP(Rawdata!O60,Int_rate_movements,2,TRUE)</f>
        <v>0.04</v>
      </c>
      <c r="R65" s="28">
        <f>Q65+VLOOKUP(Rawdata!P60,Int_rate_movements,2,TRUE)</f>
        <v>0.04</v>
      </c>
      <c r="S65" s="28">
        <f>R65+VLOOKUP(Rawdata!Q60,Int_rate_movements,2,TRUE)</f>
        <v>0.04</v>
      </c>
      <c r="T65" s="28">
        <f>S65+VLOOKUP(Rawdata!R60,Int_rate_movements,2,TRUE)</f>
        <v>0.04</v>
      </c>
      <c r="U65" s="28">
        <f>T65+VLOOKUP(Rawdata!S60,Int_rate_movements,2,TRUE)</f>
        <v>0.04</v>
      </c>
      <c r="V65" s="28">
        <f>U65+VLOOKUP(Rawdata!T60,Int_rate_movements,2,TRUE)</f>
        <v>0.04</v>
      </c>
      <c r="W65" s="28">
        <f>V65+VLOOKUP(Rawdata!U60,Int_rate_movements,2,TRUE)</f>
        <v>0.04</v>
      </c>
      <c r="X65" s="28">
        <f>W65+VLOOKUP(Rawdata!V60,Int_rate_movements,2,TRUE)</f>
        <v>3.5000000000000003E-2</v>
      </c>
      <c r="Y65" s="28">
        <f>X65+VLOOKUP(Rawdata!W60,Int_rate_movements,2,TRUE)</f>
        <v>3.5000000000000003E-2</v>
      </c>
      <c r="Z65" s="35">
        <f>Y65+VLOOKUP(Rawdata!X60,Int_rate_movements,2,TRUE)</f>
        <v>3.5000000000000003E-2</v>
      </c>
      <c r="AA65" s="12"/>
      <c r="AB65" s="55">
        <f t="shared" si="33"/>
        <v>4.4097712805242217E-2</v>
      </c>
      <c r="AC65" s="55">
        <f t="shared" si="34"/>
        <v>4.4097712805242217E-2</v>
      </c>
      <c r="AD65" s="55">
        <f t="shared" si="35"/>
        <v>3.9284877386386974E-2</v>
      </c>
      <c r="AE65" s="55">
        <f t="shared" si="36"/>
        <v>3.9284877386386974E-2</v>
      </c>
      <c r="AF65" s="55">
        <f t="shared" si="37"/>
        <v>3.9284877386386974E-2</v>
      </c>
      <c r="AG65" s="55">
        <f t="shared" si="38"/>
        <v>3.9284877386386974E-2</v>
      </c>
      <c r="AH65" s="55">
        <f t="shared" si="39"/>
        <v>3.9284877386386974E-2</v>
      </c>
      <c r="AI65" s="55">
        <f t="shared" si="40"/>
        <v>3.9284877386386974E-2</v>
      </c>
      <c r="AJ65" s="55">
        <f t="shared" si="41"/>
        <v>3.9284877386386974E-2</v>
      </c>
      <c r="AK65" s="55">
        <f t="shared" si="42"/>
        <v>3.9284877386386974E-2</v>
      </c>
      <c r="AL65" s="55">
        <f t="shared" si="43"/>
        <v>3.9284877386386974E-2</v>
      </c>
      <c r="AM65" s="55">
        <f t="shared" si="44"/>
        <v>3.9284877386386974E-2</v>
      </c>
      <c r="AN65" s="55">
        <f t="shared" si="45"/>
        <v>3.9284877386386974E-2</v>
      </c>
      <c r="AO65" s="55">
        <f t="shared" si="46"/>
        <v>3.9284877386386974E-2</v>
      </c>
      <c r="AP65" s="55">
        <f t="shared" si="47"/>
        <v>3.9284877386386974E-2</v>
      </c>
      <c r="AQ65" s="55">
        <f t="shared" si="48"/>
        <v>3.9284877386386974E-2</v>
      </c>
      <c r="AR65" s="55">
        <f t="shared" si="49"/>
        <v>3.9284877386386974E-2</v>
      </c>
      <c r="AS65" s="55">
        <f t="shared" si="50"/>
        <v>3.9284877386386974E-2</v>
      </c>
      <c r="AT65" s="55">
        <f t="shared" si="51"/>
        <v>3.9284877386386974E-2</v>
      </c>
      <c r="AU65" s="55">
        <f t="shared" si="52"/>
        <v>3.9284877386386974E-2</v>
      </c>
      <c r="AV65" s="55">
        <f t="shared" si="53"/>
        <v>3.9284877386386974E-2</v>
      </c>
      <c r="AW65" s="55">
        <f t="shared" si="54"/>
        <v>3.9284877386386974E-2</v>
      </c>
      <c r="AX65" s="55">
        <f t="shared" si="55"/>
        <v>3.4450784628919706E-2</v>
      </c>
      <c r="AY65" s="55">
        <f t="shared" si="56"/>
        <v>3.4450784628919706E-2</v>
      </c>
      <c r="AZ65" s="56">
        <f t="shared" si="57"/>
        <v>3.4450784628919706E-2</v>
      </c>
      <c r="BA65" s="11"/>
      <c r="BB65" s="12"/>
      <c r="BC65" s="12"/>
      <c r="BD65" s="13"/>
      <c r="BF65" s="14"/>
      <c r="BG65" s="10"/>
      <c r="BH65" s="11"/>
      <c r="BI65" s="11"/>
      <c r="BJ65" s="11"/>
      <c r="BK65" s="12"/>
      <c r="BL65" s="12"/>
      <c r="BM65" s="13"/>
      <c r="BO65" s="14"/>
      <c r="BP65" s="10"/>
      <c r="BQ65" s="11"/>
      <c r="BR65" s="11"/>
      <c r="BS65" s="11"/>
      <c r="BT65" s="12"/>
      <c r="BU65" s="12"/>
      <c r="BV65" s="13"/>
      <c r="BX65" s="14"/>
      <c r="BY65" s="10"/>
      <c r="BZ65" s="11"/>
      <c r="CA65" s="11"/>
      <c r="CB65" s="11"/>
      <c r="CC65" s="12"/>
      <c r="CD65" s="12"/>
      <c r="CE65" s="13"/>
      <c r="CG65" s="14"/>
      <c r="CH65" s="10"/>
      <c r="CI65" s="11"/>
      <c r="CJ65" s="11"/>
      <c r="CK65" s="11"/>
      <c r="CL65" s="12"/>
      <c r="CM65" s="12"/>
      <c r="CN65" s="13"/>
      <c r="CP65" s="13"/>
    </row>
    <row r="66" spans="1:94" x14ac:dyDescent="0.35">
      <c r="A66" s="27">
        <v>59</v>
      </c>
      <c r="B66" s="63">
        <f t="shared" si="32"/>
        <v>4.4999999999999998E-2</v>
      </c>
      <c r="C66" s="28">
        <f>B66+VLOOKUP(Rawdata!A61,Int_rate_movements,2,TRUE)</f>
        <v>4.4999999999999998E-2</v>
      </c>
      <c r="D66" s="28">
        <f>C66+VLOOKUP(Rawdata!B61,Int_rate_movements,2,TRUE)</f>
        <v>4.2499999999999996E-2</v>
      </c>
      <c r="E66" s="28">
        <f>D66+VLOOKUP(Rawdata!C61,Int_rate_movements,2,TRUE)</f>
        <v>4.2499999999999996E-2</v>
      </c>
      <c r="F66" s="28">
        <f>E66+VLOOKUP(Rawdata!D61,Int_rate_movements,2,TRUE)</f>
        <v>4.2499999999999996E-2</v>
      </c>
      <c r="G66" s="28">
        <f>F66+VLOOKUP(Rawdata!E61,Int_rate_movements,2,TRUE)</f>
        <v>4.2499999999999996E-2</v>
      </c>
      <c r="H66" s="28">
        <f>G66+VLOOKUP(Rawdata!F61,Int_rate_movements,2,TRUE)</f>
        <v>3.9999999999999994E-2</v>
      </c>
      <c r="I66" s="28">
        <f>H66+VLOOKUP(Rawdata!G61,Int_rate_movements,2,TRUE)</f>
        <v>4.4999999999999991E-2</v>
      </c>
      <c r="J66" s="28">
        <f>I66+VLOOKUP(Rawdata!H61,Int_rate_movements,2,TRUE)</f>
        <v>4.4999999999999991E-2</v>
      </c>
      <c r="K66" s="28">
        <f>J66+VLOOKUP(Rawdata!I61,Int_rate_movements,2,TRUE)</f>
        <v>4.9999999999999989E-2</v>
      </c>
      <c r="L66" s="28">
        <f>K66+VLOOKUP(Rawdata!J61,Int_rate_movements,2,TRUE)</f>
        <v>4.9999999999999989E-2</v>
      </c>
      <c r="M66" s="28">
        <f>L66+VLOOKUP(Rawdata!K61,Int_rate_movements,2,TRUE)</f>
        <v>4.9999999999999989E-2</v>
      </c>
      <c r="N66" s="28">
        <f>M66+VLOOKUP(Rawdata!L61,Int_rate_movements,2,TRUE)</f>
        <v>4.9999999999999989E-2</v>
      </c>
      <c r="O66" s="28">
        <f>N66+VLOOKUP(Rawdata!M61,Int_rate_movements,2,TRUE)</f>
        <v>4.9999999999999989E-2</v>
      </c>
      <c r="P66" s="28">
        <f>O66+VLOOKUP(Rawdata!N61,Int_rate_movements,2,TRUE)</f>
        <v>4.9999999999999989E-2</v>
      </c>
      <c r="Q66" s="28">
        <f>P66+VLOOKUP(Rawdata!O61,Int_rate_movements,2,TRUE)</f>
        <v>4.9999999999999989E-2</v>
      </c>
      <c r="R66" s="28">
        <f>Q66+VLOOKUP(Rawdata!P61,Int_rate_movements,2,TRUE)</f>
        <v>4.9999999999999989E-2</v>
      </c>
      <c r="S66" s="28">
        <f>R66+VLOOKUP(Rawdata!Q61,Int_rate_movements,2,TRUE)</f>
        <v>4.9999999999999989E-2</v>
      </c>
      <c r="T66" s="28">
        <f>S66+VLOOKUP(Rawdata!R61,Int_rate_movements,2,TRUE)</f>
        <v>4.9999999999999989E-2</v>
      </c>
      <c r="U66" s="28">
        <f>T66+VLOOKUP(Rawdata!S61,Int_rate_movements,2,TRUE)</f>
        <v>4.9999999999999989E-2</v>
      </c>
      <c r="V66" s="28">
        <f>U66+VLOOKUP(Rawdata!T61,Int_rate_movements,2,TRUE)</f>
        <v>4.9999999999999989E-2</v>
      </c>
      <c r="W66" s="28">
        <f>V66+VLOOKUP(Rawdata!U61,Int_rate_movements,2,TRUE)</f>
        <v>4.7499999999999987E-2</v>
      </c>
      <c r="X66" s="28">
        <f>W66+VLOOKUP(Rawdata!V61,Int_rate_movements,2,TRUE)</f>
        <v>4.7499999999999987E-2</v>
      </c>
      <c r="Y66" s="28">
        <f>X66+VLOOKUP(Rawdata!W61,Int_rate_movements,2,TRUE)</f>
        <v>4.4999999999999984E-2</v>
      </c>
      <c r="Z66" s="35">
        <f>Y66+VLOOKUP(Rawdata!X61,Int_rate_movements,2,TRUE)</f>
        <v>4.4999999999999984E-2</v>
      </c>
      <c r="AA66" s="12"/>
      <c r="AB66" s="55">
        <f t="shared" si="33"/>
        <v>4.4097712805242217E-2</v>
      </c>
      <c r="AC66" s="55">
        <f t="shared" si="34"/>
        <v>4.4097712805242217E-2</v>
      </c>
      <c r="AD66" s="55">
        <f t="shared" si="35"/>
        <v>4.1693940041970023E-2</v>
      </c>
      <c r="AE66" s="55">
        <f t="shared" si="36"/>
        <v>4.1693940041970023E-2</v>
      </c>
      <c r="AF66" s="55">
        <f t="shared" si="37"/>
        <v>4.1693940041970023E-2</v>
      </c>
      <c r="AG66" s="55">
        <f t="shared" si="38"/>
        <v>4.1693940041970023E-2</v>
      </c>
      <c r="AH66" s="55">
        <f t="shared" si="39"/>
        <v>3.9284877386386974E-2</v>
      </c>
      <c r="AI66" s="55">
        <f t="shared" si="40"/>
        <v>4.4097712805242217E-2</v>
      </c>
      <c r="AJ66" s="55">
        <f t="shared" si="41"/>
        <v>4.4097712805242217E-2</v>
      </c>
      <c r="AK66" s="55">
        <f t="shared" si="42"/>
        <v>4.8889485403780242E-2</v>
      </c>
      <c r="AL66" s="55">
        <f t="shared" si="43"/>
        <v>4.8889485403780242E-2</v>
      </c>
      <c r="AM66" s="55">
        <f t="shared" si="44"/>
        <v>4.8889485403780242E-2</v>
      </c>
      <c r="AN66" s="55">
        <f t="shared" si="45"/>
        <v>4.8889485403780242E-2</v>
      </c>
      <c r="AO66" s="55">
        <f t="shared" si="46"/>
        <v>4.8889485403780242E-2</v>
      </c>
      <c r="AP66" s="55">
        <f t="shared" si="47"/>
        <v>4.8889485403780242E-2</v>
      </c>
      <c r="AQ66" s="55">
        <f t="shared" si="48"/>
        <v>4.8889485403780242E-2</v>
      </c>
      <c r="AR66" s="55">
        <f t="shared" si="49"/>
        <v>4.8889485403780242E-2</v>
      </c>
      <c r="AS66" s="55">
        <f t="shared" si="50"/>
        <v>4.8889485403780242E-2</v>
      </c>
      <c r="AT66" s="55">
        <f t="shared" si="51"/>
        <v>4.8889485403780242E-2</v>
      </c>
      <c r="AU66" s="55">
        <f t="shared" si="52"/>
        <v>4.8889485403780242E-2</v>
      </c>
      <c r="AV66" s="55">
        <f t="shared" si="53"/>
        <v>4.8889485403780242E-2</v>
      </c>
      <c r="AW66" s="55">
        <f t="shared" si="54"/>
        <v>4.6496219905550085E-2</v>
      </c>
      <c r="AX66" s="55">
        <f t="shared" si="55"/>
        <v>4.6496219905550085E-2</v>
      </c>
      <c r="AY66" s="55">
        <f t="shared" si="56"/>
        <v>4.4097712805242217E-2</v>
      </c>
      <c r="AZ66" s="56">
        <f t="shared" si="57"/>
        <v>4.4097712805242217E-2</v>
      </c>
      <c r="BA66" s="11"/>
      <c r="BB66" s="12"/>
      <c r="BC66" s="12"/>
      <c r="BD66" s="13"/>
      <c r="BF66" s="14"/>
      <c r="BG66" s="10"/>
      <c r="BH66" s="11"/>
      <c r="BI66" s="11"/>
      <c r="BJ66" s="11"/>
      <c r="BK66" s="12"/>
      <c r="BL66" s="12"/>
      <c r="BM66" s="13"/>
      <c r="BO66" s="14"/>
      <c r="BP66" s="10"/>
      <c r="BQ66" s="11"/>
      <c r="BR66" s="11"/>
      <c r="BS66" s="11"/>
      <c r="BT66" s="12"/>
      <c r="BU66" s="12"/>
      <c r="BV66" s="13"/>
      <c r="BX66" s="14"/>
      <c r="BY66" s="10"/>
      <c r="BZ66" s="11"/>
      <c r="CA66" s="11"/>
      <c r="CB66" s="11"/>
      <c r="CC66" s="12"/>
      <c r="CD66" s="12"/>
      <c r="CE66" s="13"/>
      <c r="CG66" s="14"/>
      <c r="CH66" s="10"/>
      <c r="CI66" s="11"/>
      <c r="CJ66" s="11"/>
      <c r="CK66" s="11"/>
      <c r="CL66" s="12"/>
      <c r="CM66" s="12"/>
      <c r="CN66" s="13"/>
      <c r="CP66" s="13"/>
    </row>
    <row r="67" spans="1:94" x14ac:dyDescent="0.35">
      <c r="A67" s="5">
        <v>60</v>
      </c>
      <c r="B67" s="63">
        <f t="shared" si="32"/>
        <v>4.4999999999999998E-2</v>
      </c>
      <c r="C67" s="28">
        <f>B67+VLOOKUP(Rawdata!A62,Int_rate_movements,2,TRUE)</f>
        <v>4.4999999999999998E-2</v>
      </c>
      <c r="D67" s="28">
        <f>C67+VLOOKUP(Rawdata!B62,Int_rate_movements,2,TRUE)</f>
        <v>4.4999999999999998E-2</v>
      </c>
      <c r="E67" s="28">
        <f>D67+VLOOKUP(Rawdata!C62,Int_rate_movements,2,TRUE)</f>
        <v>4.9999999999999996E-2</v>
      </c>
      <c r="F67" s="28">
        <f>E67+VLOOKUP(Rawdata!D62,Int_rate_movements,2,TRUE)</f>
        <v>4.9999999999999996E-2</v>
      </c>
      <c r="G67" s="28">
        <f>F67+VLOOKUP(Rawdata!E62,Int_rate_movements,2,TRUE)</f>
        <v>4.9999999999999996E-2</v>
      </c>
      <c r="H67" s="28">
        <f>G67+VLOOKUP(Rawdata!F62,Int_rate_movements,2,TRUE)</f>
        <v>4.9999999999999996E-2</v>
      </c>
      <c r="I67" s="28">
        <f>H67+VLOOKUP(Rawdata!G62,Int_rate_movements,2,TRUE)</f>
        <v>4.9999999999999996E-2</v>
      </c>
      <c r="J67" s="28">
        <f>I67+VLOOKUP(Rawdata!H62,Int_rate_movements,2,TRUE)</f>
        <v>4.9999999999999996E-2</v>
      </c>
      <c r="K67" s="28">
        <f>J67+VLOOKUP(Rawdata!I62,Int_rate_movements,2,TRUE)</f>
        <v>4.9999999999999996E-2</v>
      </c>
      <c r="L67" s="28">
        <f>K67+VLOOKUP(Rawdata!J62,Int_rate_movements,2,TRUE)</f>
        <v>4.9999999999999996E-2</v>
      </c>
      <c r="M67" s="28">
        <f>L67+VLOOKUP(Rawdata!K62,Int_rate_movements,2,TRUE)</f>
        <v>4.9999999999999996E-2</v>
      </c>
      <c r="N67" s="28">
        <f>M67+VLOOKUP(Rawdata!L62,Int_rate_movements,2,TRUE)</f>
        <v>4.9999999999999996E-2</v>
      </c>
      <c r="O67" s="28">
        <f>N67+VLOOKUP(Rawdata!M62,Int_rate_movements,2,TRUE)</f>
        <v>4.9999999999999996E-2</v>
      </c>
      <c r="P67" s="28">
        <f>O67+VLOOKUP(Rawdata!N62,Int_rate_movements,2,TRUE)</f>
        <v>4.9999999999999996E-2</v>
      </c>
      <c r="Q67" s="28">
        <f>P67+VLOOKUP(Rawdata!O62,Int_rate_movements,2,TRUE)</f>
        <v>4.9999999999999996E-2</v>
      </c>
      <c r="R67" s="28">
        <f>Q67+VLOOKUP(Rawdata!P62,Int_rate_movements,2,TRUE)</f>
        <v>4.9999999999999996E-2</v>
      </c>
      <c r="S67" s="28">
        <f>R67+VLOOKUP(Rawdata!Q62,Int_rate_movements,2,TRUE)</f>
        <v>4.9999999999999996E-2</v>
      </c>
      <c r="T67" s="28">
        <f>S67+VLOOKUP(Rawdata!R62,Int_rate_movements,2,TRUE)</f>
        <v>4.9999999999999996E-2</v>
      </c>
      <c r="U67" s="28">
        <f>T67+VLOOKUP(Rawdata!S62,Int_rate_movements,2,TRUE)</f>
        <v>4.9999999999999996E-2</v>
      </c>
      <c r="V67" s="28">
        <f>U67+VLOOKUP(Rawdata!T62,Int_rate_movements,2,TRUE)</f>
        <v>4.9999999999999996E-2</v>
      </c>
      <c r="W67" s="28">
        <f>V67+VLOOKUP(Rawdata!U62,Int_rate_movements,2,TRUE)</f>
        <v>4.9999999999999996E-2</v>
      </c>
      <c r="X67" s="28">
        <f>W67+VLOOKUP(Rawdata!V62,Int_rate_movements,2,TRUE)</f>
        <v>4.9999999999999996E-2</v>
      </c>
      <c r="Y67" s="28">
        <f>X67+VLOOKUP(Rawdata!W62,Int_rate_movements,2,TRUE)</f>
        <v>4.9999999999999996E-2</v>
      </c>
      <c r="Z67" s="35">
        <f>Y67+VLOOKUP(Rawdata!X62,Int_rate_movements,2,TRUE)</f>
        <v>4.9999999999999996E-2</v>
      </c>
      <c r="AA67" s="12"/>
      <c r="AB67" s="55">
        <f t="shared" si="33"/>
        <v>4.4097712805242217E-2</v>
      </c>
      <c r="AC67" s="55">
        <f t="shared" si="34"/>
        <v>4.4097712805242217E-2</v>
      </c>
      <c r="AD67" s="55">
        <f t="shared" si="35"/>
        <v>4.4097712805242217E-2</v>
      </c>
      <c r="AE67" s="55">
        <f t="shared" si="36"/>
        <v>4.8889485403780242E-2</v>
      </c>
      <c r="AF67" s="55">
        <f t="shared" si="37"/>
        <v>4.8889485403780242E-2</v>
      </c>
      <c r="AG67" s="55">
        <f t="shared" si="38"/>
        <v>4.8889485403780242E-2</v>
      </c>
      <c r="AH67" s="55">
        <f t="shared" si="39"/>
        <v>4.8889485403780242E-2</v>
      </c>
      <c r="AI67" s="55">
        <f t="shared" si="40"/>
        <v>4.8889485403780242E-2</v>
      </c>
      <c r="AJ67" s="55">
        <f t="shared" si="41"/>
        <v>4.8889485403780242E-2</v>
      </c>
      <c r="AK67" s="55">
        <f t="shared" si="42"/>
        <v>4.8889485403780242E-2</v>
      </c>
      <c r="AL67" s="55">
        <f t="shared" si="43"/>
        <v>4.8889485403780242E-2</v>
      </c>
      <c r="AM67" s="55">
        <f t="shared" si="44"/>
        <v>4.8889485403780242E-2</v>
      </c>
      <c r="AN67" s="55">
        <f t="shared" si="45"/>
        <v>4.8889485403780242E-2</v>
      </c>
      <c r="AO67" s="55">
        <f t="shared" si="46"/>
        <v>4.8889485403780242E-2</v>
      </c>
      <c r="AP67" s="55">
        <f t="shared" si="47"/>
        <v>4.8889485403780242E-2</v>
      </c>
      <c r="AQ67" s="55">
        <f t="shared" si="48"/>
        <v>4.8889485403780242E-2</v>
      </c>
      <c r="AR67" s="55">
        <f t="shared" si="49"/>
        <v>4.8889485403780242E-2</v>
      </c>
      <c r="AS67" s="55">
        <f t="shared" si="50"/>
        <v>4.8889485403780242E-2</v>
      </c>
      <c r="AT67" s="55">
        <f t="shared" si="51"/>
        <v>4.8889485403780242E-2</v>
      </c>
      <c r="AU67" s="55">
        <f t="shared" si="52"/>
        <v>4.8889485403780242E-2</v>
      </c>
      <c r="AV67" s="55">
        <f t="shared" si="53"/>
        <v>4.8889485403780242E-2</v>
      </c>
      <c r="AW67" s="55">
        <f t="shared" si="54"/>
        <v>4.8889485403780242E-2</v>
      </c>
      <c r="AX67" s="55">
        <f t="shared" si="55"/>
        <v>4.8889485403780242E-2</v>
      </c>
      <c r="AY67" s="55">
        <f t="shared" si="56"/>
        <v>4.8889485403780242E-2</v>
      </c>
      <c r="AZ67" s="56">
        <f t="shared" si="57"/>
        <v>4.8889485403780242E-2</v>
      </c>
      <c r="BA67" s="11"/>
      <c r="BB67" s="12"/>
      <c r="BC67" s="12"/>
      <c r="BD67" s="13"/>
      <c r="BF67" s="14"/>
      <c r="BG67" s="10"/>
      <c r="BH67" s="11"/>
      <c r="BI67" s="11"/>
      <c r="BJ67" s="11"/>
      <c r="BK67" s="12"/>
      <c r="BL67" s="12"/>
      <c r="BM67" s="13"/>
      <c r="BO67" s="14"/>
      <c r="BP67" s="10"/>
      <c r="BQ67" s="11"/>
      <c r="BR67" s="11"/>
      <c r="BS67" s="11"/>
      <c r="BT67" s="12"/>
      <c r="BU67" s="12"/>
      <c r="BV67" s="13"/>
      <c r="BX67" s="14"/>
      <c r="BY67" s="10"/>
      <c r="BZ67" s="11"/>
      <c r="CA67" s="11"/>
      <c r="CB67" s="11"/>
      <c r="CC67" s="12"/>
      <c r="CD67" s="12"/>
      <c r="CE67" s="13"/>
      <c r="CG67" s="14"/>
      <c r="CH67" s="10"/>
      <c r="CI67" s="11"/>
      <c r="CJ67" s="11"/>
      <c r="CK67" s="11"/>
      <c r="CL67" s="12"/>
      <c r="CM67" s="12"/>
      <c r="CN67" s="13"/>
      <c r="CP67" s="13"/>
    </row>
    <row r="68" spans="1:94" x14ac:dyDescent="0.35">
      <c r="A68" s="27">
        <v>61</v>
      </c>
      <c r="B68" s="63">
        <f t="shared" si="32"/>
        <v>4.4999999999999998E-2</v>
      </c>
      <c r="C68" s="28">
        <f>B68+VLOOKUP(Rawdata!A63,Int_rate_movements,2,TRUE)</f>
        <v>4.4999999999999998E-2</v>
      </c>
      <c r="D68" s="28">
        <f>C68+VLOOKUP(Rawdata!B63,Int_rate_movements,2,TRUE)</f>
        <v>4.4999999999999998E-2</v>
      </c>
      <c r="E68" s="28">
        <f>D68+VLOOKUP(Rawdata!C63,Int_rate_movements,2,TRUE)</f>
        <v>4.4999999999999998E-2</v>
      </c>
      <c r="F68" s="28">
        <f>E68+VLOOKUP(Rawdata!D63,Int_rate_movements,2,TRUE)</f>
        <v>4.7500000000000001E-2</v>
      </c>
      <c r="G68" s="28">
        <f>F68+VLOOKUP(Rawdata!E63,Int_rate_movements,2,TRUE)</f>
        <v>4.7500000000000001E-2</v>
      </c>
      <c r="H68" s="28">
        <f>G68+VLOOKUP(Rawdata!F63,Int_rate_movements,2,TRUE)</f>
        <v>4.7500000000000001E-2</v>
      </c>
      <c r="I68" s="28">
        <f>H68+VLOOKUP(Rawdata!G63,Int_rate_movements,2,TRUE)</f>
        <v>0.05</v>
      </c>
      <c r="J68" s="28">
        <f>I68+VLOOKUP(Rawdata!H63,Int_rate_movements,2,TRUE)</f>
        <v>0.05</v>
      </c>
      <c r="K68" s="28">
        <f>J68+VLOOKUP(Rawdata!I63,Int_rate_movements,2,TRUE)</f>
        <v>0.05</v>
      </c>
      <c r="L68" s="28">
        <f>K68+VLOOKUP(Rawdata!J63,Int_rate_movements,2,TRUE)</f>
        <v>0.05</v>
      </c>
      <c r="M68" s="28">
        <f>L68+VLOOKUP(Rawdata!K63,Int_rate_movements,2,TRUE)</f>
        <v>0.05</v>
      </c>
      <c r="N68" s="28">
        <f>M68+VLOOKUP(Rawdata!L63,Int_rate_movements,2,TRUE)</f>
        <v>0.05</v>
      </c>
      <c r="O68" s="28">
        <f>N68+VLOOKUP(Rawdata!M63,Int_rate_movements,2,TRUE)</f>
        <v>0.05</v>
      </c>
      <c r="P68" s="28">
        <f>O68+VLOOKUP(Rawdata!N63,Int_rate_movements,2,TRUE)</f>
        <v>0.05</v>
      </c>
      <c r="Q68" s="28">
        <f>P68+VLOOKUP(Rawdata!O63,Int_rate_movements,2,TRUE)</f>
        <v>0.05</v>
      </c>
      <c r="R68" s="28">
        <f>Q68+VLOOKUP(Rawdata!P63,Int_rate_movements,2,TRUE)</f>
        <v>0.05</v>
      </c>
      <c r="S68" s="28">
        <f>R68+VLOOKUP(Rawdata!Q63,Int_rate_movements,2,TRUE)</f>
        <v>0.05</v>
      </c>
      <c r="T68" s="28">
        <f>S68+VLOOKUP(Rawdata!R63,Int_rate_movements,2,TRUE)</f>
        <v>0.05</v>
      </c>
      <c r="U68" s="28">
        <f>T68+VLOOKUP(Rawdata!S63,Int_rate_movements,2,TRUE)</f>
        <v>5.5E-2</v>
      </c>
      <c r="V68" s="28">
        <f>U68+VLOOKUP(Rawdata!T63,Int_rate_movements,2,TRUE)</f>
        <v>5.5E-2</v>
      </c>
      <c r="W68" s="28">
        <f>V68+VLOOKUP(Rawdata!U63,Int_rate_movements,2,TRUE)</f>
        <v>5.5E-2</v>
      </c>
      <c r="X68" s="28">
        <f>W68+VLOOKUP(Rawdata!V63,Int_rate_movements,2,TRUE)</f>
        <v>5.5E-2</v>
      </c>
      <c r="Y68" s="28">
        <f>X68+VLOOKUP(Rawdata!W63,Int_rate_movements,2,TRUE)</f>
        <v>5.5E-2</v>
      </c>
      <c r="Z68" s="35">
        <f>Y68+VLOOKUP(Rawdata!X63,Int_rate_movements,2,TRUE)</f>
        <v>5.5E-2</v>
      </c>
      <c r="AA68" s="12"/>
      <c r="AB68" s="55">
        <f t="shared" si="33"/>
        <v>4.4097712805242217E-2</v>
      </c>
      <c r="AC68" s="55">
        <f t="shared" si="34"/>
        <v>4.4097712805242217E-2</v>
      </c>
      <c r="AD68" s="55">
        <f t="shared" si="35"/>
        <v>4.4097712805242217E-2</v>
      </c>
      <c r="AE68" s="55">
        <f t="shared" si="36"/>
        <v>4.4097712805242217E-2</v>
      </c>
      <c r="AF68" s="55">
        <f t="shared" si="37"/>
        <v>4.6496219905550085E-2</v>
      </c>
      <c r="AG68" s="55">
        <f t="shared" si="38"/>
        <v>4.6496219905550085E-2</v>
      </c>
      <c r="AH68" s="55">
        <f t="shared" si="39"/>
        <v>4.6496219905550085E-2</v>
      </c>
      <c r="AI68" s="55">
        <f t="shared" si="40"/>
        <v>4.8889485403780242E-2</v>
      </c>
      <c r="AJ68" s="55">
        <f t="shared" si="41"/>
        <v>4.8889485403780242E-2</v>
      </c>
      <c r="AK68" s="55">
        <f t="shared" si="42"/>
        <v>4.8889485403780242E-2</v>
      </c>
      <c r="AL68" s="55">
        <f t="shared" si="43"/>
        <v>4.8889485403780242E-2</v>
      </c>
      <c r="AM68" s="55">
        <f t="shared" si="44"/>
        <v>4.8889485403780242E-2</v>
      </c>
      <c r="AN68" s="55">
        <f t="shared" si="45"/>
        <v>4.8889485403780242E-2</v>
      </c>
      <c r="AO68" s="55">
        <f t="shared" si="46"/>
        <v>4.8889485403780242E-2</v>
      </c>
      <c r="AP68" s="55">
        <f t="shared" si="47"/>
        <v>4.8889485403780242E-2</v>
      </c>
      <c r="AQ68" s="55">
        <f t="shared" si="48"/>
        <v>4.8889485403780242E-2</v>
      </c>
      <c r="AR68" s="55">
        <f t="shared" si="49"/>
        <v>4.8889485403780242E-2</v>
      </c>
      <c r="AS68" s="55">
        <f t="shared" si="50"/>
        <v>4.8889485403780242E-2</v>
      </c>
      <c r="AT68" s="55">
        <f t="shared" si="51"/>
        <v>4.8889485403780242E-2</v>
      </c>
      <c r="AU68" s="55">
        <f t="shared" si="52"/>
        <v>5.3660387004516252E-2</v>
      </c>
      <c r="AV68" s="55">
        <f t="shared" si="53"/>
        <v>5.3660387004516252E-2</v>
      </c>
      <c r="AW68" s="55">
        <f t="shared" si="54"/>
        <v>5.3660387004516252E-2</v>
      </c>
      <c r="AX68" s="55">
        <f t="shared" si="55"/>
        <v>5.3660387004516252E-2</v>
      </c>
      <c r="AY68" s="55">
        <f t="shared" si="56"/>
        <v>5.3660387004516252E-2</v>
      </c>
      <c r="AZ68" s="56">
        <f t="shared" si="57"/>
        <v>5.3660387004516252E-2</v>
      </c>
      <c r="BA68" s="11"/>
      <c r="BB68" s="12"/>
      <c r="BC68" s="12"/>
      <c r="BD68" s="13"/>
      <c r="BF68" s="14"/>
      <c r="BG68" s="10"/>
      <c r="BH68" s="11"/>
      <c r="BI68" s="11"/>
      <c r="BJ68" s="11"/>
      <c r="BK68" s="12"/>
      <c r="BL68" s="12"/>
      <c r="BM68" s="13"/>
      <c r="BO68" s="14"/>
      <c r="BP68" s="10"/>
      <c r="BQ68" s="11"/>
      <c r="BR68" s="11"/>
      <c r="BS68" s="11"/>
      <c r="BT68" s="12"/>
      <c r="BU68" s="12"/>
      <c r="BV68" s="13"/>
      <c r="BX68" s="14"/>
      <c r="BY68" s="10"/>
      <c r="BZ68" s="11"/>
      <c r="CA68" s="11"/>
      <c r="CB68" s="11"/>
      <c r="CC68" s="12"/>
      <c r="CD68" s="12"/>
      <c r="CE68" s="13"/>
      <c r="CG68" s="14"/>
      <c r="CH68" s="10"/>
      <c r="CI68" s="11"/>
      <c r="CJ68" s="11"/>
      <c r="CK68" s="11"/>
      <c r="CL68" s="12"/>
      <c r="CM68" s="12"/>
      <c r="CN68" s="13"/>
      <c r="CP68" s="13"/>
    </row>
    <row r="69" spans="1:94" x14ac:dyDescent="0.35">
      <c r="A69" s="5">
        <v>62</v>
      </c>
      <c r="B69" s="63">
        <f t="shared" si="32"/>
        <v>4.4999999999999998E-2</v>
      </c>
      <c r="C69" s="28">
        <f>B69+VLOOKUP(Rawdata!A64,Int_rate_movements,2,TRUE)</f>
        <v>4.4999999999999998E-2</v>
      </c>
      <c r="D69" s="28">
        <f>C69+VLOOKUP(Rawdata!B64,Int_rate_movements,2,TRUE)</f>
        <v>4.4999999999999998E-2</v>
      </c>
      <c r="E69" s="28">
        <f>D69+VLOOKUP(Rawdata!C64,Int_rate_movements,2,TRUE)</f>
        <v>0.04</v>
      </c>
      <c r="F69" s="28">
        <f>E69+VLOOKUP(Rawdata!D64,Int_rate_movements,2,TRUE)</f>
        <v>0.04</v>
      </c>
      <c r="G69" s="28">
        <f>F69+VLOOKUP(Rawdata!E64,Int_rate_movements,2,TRUE)</f>
        <v>0.04</v>
      </c>
      <c r="H69" s="28">
        <f>G69+VLOOKUP(Rawdata!F64,Int_rate_movements,2,TRUE)</f>
        <v>0.04</v>
      </c>
      <c r="I69" s="28">
        <f>H69+VLOOKUP(Rawdata!G64,Int_rate_movements,2,TRUE)</f>
        <v>0.04</v>
      </c>
      <c r="J69" s="28">
        <f>I69+VLOOKUP(Rawdata!H64,Int_rate_movements,2,TRUE)</f>
        <v>0.04</v>
      </c>
      <c r="K69" s="28">
        <f>J69+VLOOKUP(Rawdata!I64,Int_rate_movements,2,TRUE)</f>
        <v>0.04</v>
      </c>
      <c r="L69" s="28">
        <f>K69+VLOOKUP(Rawdata!J64,Int_rate_movements,2,TRUE)</f>
        <v>0.04</v>
      </c>
      <c r="M69" s="28">
        <f>L69+VLOOKUP(Rawdata!K64,Int_rate_movements,2,TRUE)</f>
        <v>0.04</v>
      </c>
      <c r="N69" s="28">
        <f>M69+VLOOKUP(Rawdata!L64,Int_rate_movements,2,TRUE)</f>
        <v>3.7499999999999999E-2</v>
      </c>
      <c r="O69" s="28">
        <f>N69+VLOOKUP(Rawdata!M64,Int_rate_movements,2,TRUE)</f>
        <v>3.7499999999999999E-2</v>
      </c>
      <c r="P69" s="28">
        <f>O69+VLOOKUP(Rawdata!N64,Int_rate_movements,2,TRUE)</f>
        <v>3.7499999999999999E-2</v>
      </c>
      <c r="Q69" s="28">
        <f>P69+VLOOKUP(Rawdata!O64,Int_rate_movements,2,TRUE)</f>
        <v>3.4999999999999996E-2</v>
      </c>
      <c r="R69" s="28">
        <f>Q69+VLOOKUP(Rawdata!P64,Int_rate_movements,2,TRUE)</f>
        <v>3.4999999999999996E-2</v>
      </c>
      <c r="S69" s="28">
        <f>R69+VLOOKUP(Rawdata!Q64,Int_rate_movements,2,TRUE)</f>
        <v>3.4999999999999996E-2</v>
      </c>
      <c r="T69" s="28">
        <f>S69+VLOOKUP(Rawdata!R64,Int_rate_movements,2,TRUE)</f>
        <v>3.4999999999999996E-2</v>
      </c>
      <c r="U69" s="28">
        <f>T69+VLOOKUP(Rawdata!S64,Int_rate_movements,2,TRUE)</f>
        <v>3.4999999999999996E-2</v>
      </c>
      <c r="V69" s="28">
        <f>U69+VLOOKUP(Rawdata!T64,Int_rate_movements,2,TRUE)</f>
        <v>3.4999999999999996E-2</v>
      </c>
      <c r="W69" s="28">
        <f>V69+VLOOKUP(Rawdata!U64,Int_rate_movements,2,TRUE)</f>
        <v>3.4999999999999996E-2</v>
      </c>
      <c r="X69" s="28">
        <f>W69+VLOOKUP(Rawdata!V64,Int_rate_movements,2,TRUE)</f>
        <v>3.4999999999999996E-2</v>
      </c>
      <c r="Y69" s="28">
        <f>X69+VLOOKUP(Rawdata!W64,Int_rate_movements,2,TRUE)</f>
        <v>3.9999999999999994E-2</v>
      </c>
      <c r="Z69" s="35">
        <f>Y69+VLOOKUP(Rawdata!X64,Int_rate_movements,2,TRUE)</f>
        <v>3.9999999999999994E-2</v>
      </c>
      <c r="AA69" s="12"/>
      <c r="AB69" s="55">
        <f t="shared" si="33"/>
        <v>4.4097712805242217E-2</v>
      </c>
      <c r="AC69" s="55">
        <f t="shared" si="34"/>
        <v>4.4097712805242217E-2</v>
      </c>
      <c r="AD69" s="55">
        <f t="shared" si="35"/>
        <v>4.4097712805242217E-2</v>
      </c>
      <c r="AE69" s="55">
        <f t="shared" si="36"/>
        <v>3.9284877386386974E-2</v>
      </c>
      <c r="AF69" s="55">
        <f t="shared" si="37"/>
        <v>3.9284877386386974E-2</v>
      </c>
      <c r="AG69" s="55">
        <f t="shared" si="38"/>
        <v>3.9284877386386974E-2</v>
      </c>
      <c r="AH69" s="55">
        <f t="shared" si="39"/>
        <v>3.9284877386386974E-2</v>
      </c>
      <c r="AI69" s="55">
        <f t="shared" si="40"/>
        <v>3.9284877386386974E-2</v>
      </c>
      <c r="AJ69" s="55">
        <f t="shared" si="41"/>
        <v>3.9284877386386974E-2</v>
      </c>
      <c r="AK69" s="55">
        <f t="shared" si="42"/>
        <v>3.9284877386386974E-2</v>
      </c>
      <c r="AL69" s="55">
        <f t="shared" si="43"/>
        <v>3.9284877386386974E-2</v>
      </c>
      <c r="AM69" s="55">
        <f t="shared" si="44"/>
        <v>3.9284877386386974E-2</v>
      </c>
      <c r="AN69" s="55">
        <f t="shared" si="45"/>
        <v>3.6870500439066589E-2</v>
      </c>
      <c r="AO69" s="55">
        <f t="shared" si="46"/>
        <v>3.6870500439066589E-2</v>
      </c>
      <c r="AP69" s="55">
        <f t="shared" si="47"/>
        <v>3.6870500439066589E-2</v>
      </c>
      <c r="AQ69" s="55">
        <f t="shared" si="48"/>
        <v>3.4450784628919706E-2</v>
      </c>
      <c r="AR69" s="55">
        <f t="shared" si="49"/>
        <v>3.4450784628919706E-2</v>
      </c>
      <c r="AS69" s="55">
        <f t="shared" si="50"/>
        <v>3.4450784628919706E-2</v>
      </c>
      <c r="AT69" s="55">
        <f t="shared" si="51"/>
        <v>3.4450784628919706E-2</v>
      </c>
      <c r="AU69" s="55">
        <f t="shared" si="52"/>
        <v>3.4450784628919706E-2</v>
      </c>
      <c r="AV69" s="55">
        <f t="shared" si="53"/>
        <v>3.4450784628919706E-2</v>
      </c>
      <c r="AW69" s="55">
        <f t="shared" si="54"/>
        <v>3.4450784628919706E-2</v>
      </c>
      <c r="AX69" s="55">
        <f t="shared" si="55"/>
        <v>3.4450784628919706E-2</v>
      </c>
      <c r="AY69" s="55">
        <f t="shared" si="56"/>
        <v>3.9284877386386974E-2</v>
      </c>
      <c r="AZ69" s="56">
        <f t="shared" si="57"/>
        <v>3.9284877386386974E-2</v>
      </c>
      <c r="BA69" s="11"/>
      <c r="BB69" s="12"/>
      <c r="BC69" s="12"/>
      <c r="BD69" s="13"/>
      <c r="BF69" s="14"/>
      <c r="BG69" s="10"/>
      <c r="BH69" s="11"/>
      <c r="BI69" s="11"/>
      <c r="BJ69" s="11"/>
      <c r="BK69" s="12"/>
      <c r="BL69" s="12"/>
      <c r="BM69" s="13"/>
      <c r="BO69" s="14"/>
      <c r="BP69" s="10"/>
      <c r="BQ69" s="11"/>
      <c r="BR69" s="11"/>
      <c r="BS69" s="11"/>
      <c r="BT69" s="12"/>
      <c r="BU69" s="12"/>
      <c r="BV69" s="13"/>
      <c r="BX69" s="14"/>
      <c r="BY69" s="10"/>
      <c r="BZ69" s="11"/>
      <c r="CA69" s="11"/>
      <c r="CB69" s="11"/>
      <c r="CC69" s="12"/>
      <c r="CD69" s="12"/>
      <c r="CE69" s="13"/>
      <c r="CG69" s="14"/>
      <c r="CH69" s="10"/>
      <c r="CI69" s="11"/>
      <c r="CJ69" s="11"/>
      <c r="CK69" s="11"/>
      <c r="CL69" s="12"/>
      <c r="CM69" s="12"/>
      <c r="CN69" s="13"/>
      <c r="CP69" s="13"/>
    </row>
    <row r="70" spans="1:94" x14ac:dyDescent="0.35">
      <c r="A70" s="27">
        <v>63</v>
      </c>
      <c r="B70" s="63">
        <f t="shared" si="32"/>
        <v>4.4999999999999998E-2</v>
      </c>
      <c r="C70" s="28">
        <f>B70+VLOOKUP(Rawdata!A65,Int_rate_movements,2,TRUE)</f>
        <v>4.4999999999999998E-2</v>
      </c>
      <c r="D70" s="28">
        <f>C70+VLOOKUP(Rawdata!B65,Int_rate_movements,2,TRUE)</f>
        <v>0.04</v>
      </c>
      <c r="E70" s="28">
        <f>D70+VLOOKUP(Rawdata!C65,Int_rate_movements,2,TRUE)</f>
        <v>0.04</v>
      </c>
      <c r="F70" s="28">
        <f>E70+VLOOKUP(Rawdata!D65,Int_rate_movements,2,TRUE)</f>
        <v>0.04</v>
      </c>
      <c r="G70" s="28">
        <f>F70+VLOOKUP(Rawdata!E65,Int_rate_movements,2,TRUE)</f>
        <v>0.04</v>
      </c>
      <c r="H70" s="28">
        <f>G70+VLOOKUP(Rawdata!F65,Int_rate_movements,2,TRUE)</f>
        <v>0.04</v>
      </c>
      <c r="I70" s="28">
        <f>H70+VLOOKUP(Rawdata!G65,Int_rate_movements,2,TRUE)</f>
        <v>0.04</v>
      </c>
      <c r="J70" s="28">
        <f>I70+VLOOKUP(Rawdata!H65,Int_rate_movements,2,TRUE)</f>
        <v>4.4999999999999998E-2</v>
      </c>
      <c r="K70" s="28">
        <f>J70+VLOOKUP(Rawdata!I65,Int_rate_movements,2,TRUE)</f>
        <v>4.4999999999999998E-2</v>
      </c>
      <c r="L70" s="28">
        <f>K70+VLOOKUP(Rawdata!J65,Int_rate_movements,2,TRUE)</f>
        <v>4.4999999999999998E-2</v>
      </c>
      <c r="M70" s="28">
        <f>L70+VLOOKUP(Rawdata!K65,Int_rate_movements,2,TRUE)</f>
        <v>4.4999999999999998E-2</v>
      </c>
      <c r="N70" s="28">
        <f>M70+VLOOKUP(Rawdata!L65,Int_rate_movements,2,TRUE)</f>
        <v>4.4999999999999998E-2</v>
      </c>
      <c r="O70" s="28">
        <f>N70+VLOOKUP(Rawdata!M65,Int_rate_movements,2,TRUE)</f>
        <v>4.4999999999999998E-2</v>
      </c>
      <c r="P70" s="28">
        <f>O70+VLOOKUP(Rawdata!N65,Int_rate_movements,2,TRUE)</f>
        <v>4.4999999999999998E-2</v>
      </c>
      <c r="Q70" s="28">
        <f>P70+VLOOKUP(Rawdata!O65,Int_rate_movements,2,TRUE)</f>
        <v>4.4999999999999998E-2</v>
      </c>
      <c r="R70" s="28">
        <f>Q70+VLOOKUP(Rawdata!P65,Int_rate_movements,2,TRUE)</f>
        <v>4.4999999999999998E-2</v>
      </c>
      <c r="S70" s="28">
        <f>R70+VLOOKUP(Rawdata!Q65,Int_rate_movements,2,TRUE)</f>
        <v>4.2499999999999996E-2</v>
      </c>
      <c r="T70" s="28">
        <f>S70+VLOOKUP(Rawdata!R65,Int_rate_movements,2,TRUE)</f>
        <v>4.4999999999999998E-2</v>
      </c>
      <c r="U70" s="28">
        <f>T70+VLOOKUP(Rawdata!S65,Int_rate_movements,2,TRUE)</f>
        <v>4.4999999999999998E-2</v>
      </c>
      <c r="V70" s="28">
        <f>U70+VLOOKUP(Rawdata!T65,Int_rate_movements,2,TRUE)</f>
        <v>4.4999999999999998E-2</v>
      </c>
      <c r="W70" s="28">
        <f>V70+VLOOKUP(Rawdata!U65,Int_rate_movements,2,TRUE)</f>
        <v>4.4999999999999998E-2</v>
      </c>
      <c r="X70" s="28">
        <f>W70+VLOOKUP(Rawdata!V65,Int_rate_movements,2,TRUE)</f>
        <v>4.2499999999999996E-2</v>
      </c>
      <c r="Y70" s="28">
        <f>X70+VLOOKUP(Rawdata!W65,Int_rate_movements,2,TRUE)</f>
        <v>4.2499999999999996E-2</v>
      </c>
      <c r="Z70" s="35">
        <f>Y70+VLOOKUP(Rawdata!X65,Int_rate_movements,2,TRUE)</f>
        <v>4.2499999999999996E-2</v>
      </c>
      <c r="AA70" s="12"/>
      <c r="AB70" s="55">
        <f t="shared" si="33"/>
        <v>4.4097712805242217E-2</v>
      </c>
      <c r="AC70" s="55">
        <f t="shared" si="34"/>
        <v>4.4097712805242217E-2</v>
      </c>
      <c r="AD70" s="55">
        <f t="shared" si="35"/>
        <v>3.9284877386386974E-2</v>
      </c>
      <c r="AE70" s="55">
        <f t="shared" si="36"/>
        <v>3.9284877386386974E-2</v>
      </c>
      <c r="AF70" s="55">
        <f t="shared" si="37"/>
        <v>3.9284877386386974E-2</v>
      </c>
      <c r="AG70" s="55">
        <f t="shared" si="38"/>
        <v>3.9284877386386974E-2</v>
      </c>
      <c r="AH70" s="55">
        <f t="shared" si="39"/>
        <v>3.9284877386386974E-2</v>
      </c>
      <c r="AI70" s="55">
        <f t="shared" si="40"/>
        <v>3.9284877386386974E-2</v>
      </c>
      <c r="AJ70" s="55">
        <f t="shared" si="41"/>
        <v>4.4097712805242217E-2</v>
      </c>
      <c r="AK70" s="55">
        <f t="shared" si="42"/>
        <v>4.4097712805242217E-2</v>
      </c>
      <c r="AL70" s="55">
        <f t="shared" si="43"/>
        <v>4.4097712805242217E-2</v>
      </c>
      <c r="AM70" s="55">
        <f t="shared" si="44"/>
        <v>4.4097712805242217E-2</v>
      </c>
      <c r="AN70" s="55">
        <f t="shared" si="45"/>
        <v>4.4097712805242217E-2</v>
      </c>
      <c r="AO70" s="55">
        <f t="shared" si="46"/>
        <v>4.4097712805242217E-2</v>
      </c>
      <c r="AP70" s="55">
        <f t="shared" si="47"/>
        <v>4.4097712805242217E-2</v>
      </c>
      <c r="AQ70" s="55">
        <f t="shared" si="48"/>
        <v>4.4097712805242217E-2</v>
      </c>
      <c r="AR70" s="55">
        <f t="shared" si="49"/>
        <v>4.4097712805242217E-2</v>
      </c>
      <c r="AS70" s="55">
        <f t="shared" si="50"/>
        <v>4.1693940041970023E-2</v>
      </c>
      <c r="AT70" s="55">
        <f t="shared" si="51"/>
        <v>4.4097712805242217E-2</v>
      </c>
      <c r="AU70" s="55">
        <f t="shared" si="52"/>
        <v>4.4097712805242217E-2</v>
      </c>
      <c r="AV70" s="55">
        <f t="shared" si="53"/>
        <v>4.4097712805242217E-2</v>
      </c>
      <c r="AW70" s="55">
        <f t="shared" si="54"/>
        <v>4.4097712805242217E-2</v>
      </c>
      <c r="AX70" s="55">
        <f t="shared" si="55"/>
        <v>4.1693940041970023E-2</v>
      </c>
      <c r="AY70" s="55">
        <f t="shared" si="56"/>
        <v>4.1693940041970023E-2</v>
      </c>
      <c r="AZ70" s="56">
        <f t="shared" si="57"/>
        <v>4.1693940041970023E-2</v>
      </c>
      <c r="BA70" s="11"/>
      <c r="BB70" s="12"/>
      <c r="BC70" s="12"/>
      <c r="BD70" s="13"/>
      <c r="BF70" s="14"/>
      <c r="BG70" s="10"/>
      <c r="BH70" s="11"/>
      <c r="BI70" s="11"/>
      <c r="BJ70" s="11"/>
      <c r="BK70" s="12"/>
      <c r="BL70" s="12"/>
      <c r="BM70" s="13"/>
      <c r="BO70" s="14"/>
      <c r="BP70" s="10"/>
      <c r="BQ70" s="11"/>
      <c r="BR70" s="11"/>
      <c r="BS70" s="11"/>
      <c r="BT70" s="12"/>
      <c r="BU70" s="12"/>
      <c r="BV70" s="13"/>
      <c r="BX70" s="14"/>
      <c r="BY70" s="10"/>
      <c r="BZ70" s="11"/>
      <c r="CA70" s="11"/>
      <c r="CB70" s="11"/>
      <c r="CC70" s="12"/>
      <c r="CD70" s="12"/>
      <c r="CE70" s="13"/>
      <c r="CG70" s="14"/>
      <c r="CH70" s="10"/>
      <c r="CI70" s="11"/>
      <c r="CJ70" s="11"/>
      <c r="CK70" s="11"/>
      <c r="CL70" s="12"/>
      <c r="CM70" s="12"/>
      <c r="CN70" s="13"/>
      <c r="CP70" s="13"/>
    </row>
    <row r="71" spans="1:94" x14ac:dyDescent="0.35">
      <c r="A71" s="5">
        <v>64</v>
      </c>
      <c r="B71" s="63">
        <f t="shared" si="32"/>
        <v>4.4999999999999998E-2</v>
      </c>
      <c r="C71" s="28">
        <f>B71+VLOOKUP(Rawdata!A66,Int_rate_movements,2,TRUE)</f>
        <v>4.4999999999999998E-2</v>
      </c>
      <c r="D71" s="28">
        <f>C71+VLOOKUP(Rawdata!B66,Int_rate_movements,2,TRUE)</f>
        <v>4.4999999999999998E-2</v>
      </c>
      <c r="E71" s="28">
        <f>D71+VLOOKUP(Rawdata!C66,Int_rate_movements,2,TRUE)</f>
        <v>0.04</v>
      </c>
      <c r="F71" s="28">
        <f>E71+VLOOKUP(Rawdata!D66,Int_rate_movements,2,TRUE)</f>
        <v>0.04</v>
      </c>
      <c r="G71" s="28">
        <f>F71+VLOOKUP(Rawdata!E66,Int_rate_movements,2,TRUE)</f>
        <v>3.7499999999999999E-2</v>
      </c>
      <c r="H71" s="28">
        <f>G71+VLOOKUP(Rawdata!F66,Int_rate_movements,2,TRUE)</f>
        <v>3.7499999999999999E-2</v>
      </c>
      <c r="I71" s="28">
        <f>H71+VLOOKUP(Rawdata!G66,Int_rate_movements,2,TRUE)</f>
        <v>3.2500000000000001E-2</v>
      </c>
      <c r="J71" s="28">
        <f>I71+VLOOKUP(Rawdata!H66,Int_rate_movements,2,TRUE)</f>
        <v>3.2500000000000001E-2</v>
      </c>
      <c r="K71" s="28">
        <f>J71+VLOOKUP(Rawdata!I66,Int_rate_movements,2,TRUE)</f>
        <v>3.2500000000000001E-2</v>
      </c>
      <c r="L71" s="28">
        <f>K71+VLOOKUP(Rawdata!J66,Int_rate_movements,2,TRUE)</f>
        <v>3.7499999999999999E-2</v>
      </c>
      <c r="M71" s="28">
        <f>L71+VLOOKUP(Rawdata!K66,Int_rate_movements,2,TRUE)</f>
        <v>3.7499999999999999E-2</v>
      </c>
      <c r="N71" s="28">
        <f>M71+VLOOKUP(Rawdata!L66,Int_rate_movements,2,TRUE)</f>
        <v>3.7499999999999999E-2</v>
      </c>
      <c r="O71" s="28">
        <f>N71+VLOOKUP(Rawdata!M66,Int_rate_movements,2,TRUE)</f>
        <v>3.7499999999999999E-2</v>
      </c>
      <c r="P71" s="28">
        <f>O71+VLOOKUP(Rawdata!N66,Int_rate_movements,2,TRUE)</f>
        <v>3.7499999999999999E-2</v>
      </c>
      <c r="Q71" s="28">
        <f>P71+VLOOKUP(Rawdata!O66,Int_rate_movements,2,TRUE)</f>
        <v>3.7499999999999999E-2</v>
      </c>
      <c r="R71" s="28">
        <f>Q71+VLOOKUP(Rawdata!P66,Int_rate_movements,2,TRUE)</f>
        <v>3.7499999999999999E-2</v>
      </c>
      <c r="S71" s="28">
        <f>R71+VLOOKUP(Rawdata!Q66,Int_rate_movements,2,TRUE)</f>
        <v>3.4999999999999996E-2</v>
      </c>
      <c r="T71" s="28">
        <f>S71+VLOOKUP(Rawdata!R66,Int_rate_movements,2,TRUE)</f>
        <v>3.4999999999999996E-2</v>
      </c>
      <c r="U71" s="28">
        <f>T71+VLOOKUP(Rawdata!S66,Int_rate_movements,2,TRUE)</f>
        <v>3.4999999999999996E-2</v>
      </c>
      <c r="V71" s="28">
        <f>U71+VLOOKUP(Rawdata!T66,Int_rate_movements,2,TRUE)</f>
        <v>3.4999999999999996E-2</v>
      </c>
      <c r="W71" s="28">
        <f>V71+VLOOKUP(Rawdata!U66,Int_rate_movements,2,TRUE)</f>
        <v>3.4999999999999996E-2</v>
      </c>
      <c r="X71" s="28">
        <f>W71+VLOOKUP(Rawdata!V66,Int_rate_movements,2,TRUE)</f>
        <v>3.4999999999999996E-2</v>
      </c>
      <c r="Y71" s="28">
        <f>X71+VLOOKUP(Rawdata!W66,Int_rate_movements,2,TRUE)</f>
        <v>3.4999999999999996E-2</v>
      </c>
      <c r="Z71" s="35">
        <f>Y71+VLOOKUP(Rawdata!X66,Int_rate_movements,2,TRUE)</f>
        <v>3.4999999999999996E-2</v>
      </c>
      <c r="AA71" s="12"/>
      <c r="AB71" s="55">
        <f t="shared" si="33"/>
        <v>4.4097712805242217E-2</v>
      </c>
      <c r="AC71" s="55">
        <f t="shared" si="34"/>
        <v>4.4097712805242217E-2</v>
      </c>
      <c r="AD71" s="55">
        <f t="shared" si="35"/>
        <v>4.4097712805242217E-2</v>
      </c>
      <c r="AE71" s="55">
        <f t="shared" si="36"/>
        <v>3.9284877386386974E-2</v>
      </c>
      <c r="AF71" s="55">
        <f t="shared" si="37"/>
        <v>3.9284877386386974E-2</v>
      </c>
      <c r="AG71" s="55">
        <f t="shared" si="38"/>
        <v>3.6870500439066589E-2</v>
      </c>
      <c r="AH71" s="55">
        <f t="shared" si="39"/>
        <v>3.6870500439066589E-2</v>
      </c>
      <c r="AI71" s="55">
        <f t="shared" si="40"/>
        <v>3.2025705211555788E-2</v>
      </c>
      <c r="AJ71" s="55">
        <f t="shared" si="41"/>
        <v>3.2025705211555788E-2</v>
      </c>
      <c r="AK71" s="55">
        <f t="shared" si="42"/>
        <v>3.2025705211555788E-2</v>
      </c>
      <c r="AL71" s="55">
        <f t="shared" si="43"/>
        <v>3.6870500439066589E-2</v>
      </c>
      <c r="AM71" s="55">
        <f t="shared" si="44"/>
        <v>3.6870500439066589E-2</v>
      </c>
      <c r="AN71" s="55">
        <f t="shared" si="45"/>
        <v>3.6870500439066589E-2</v>
      </c>
      <c r="AO71" s="55">
        <f t="shared" si="46"/>
        <v>3.6870500439066589E-2</v>
      </c>
      <c r="AP71" s="55">
        <f t="shared" si="47"/>
        <v>3.6870500439066589E-2</v>
      </c>
      <c r="AQ71" s="55">
        <f t="shared" si="48"/>
        <v>3.6870500439066589E-2</v>
      </c>
      <c r="AR71" s="55">
        <f t="shared" si="49"/>
        <v>3.6870500439066589E-2</v>
      </c>
      <c r="AS71" s="55">
        <f t="shared" si="50"/>
        <v>3.4450784628919706E-2</v>
      </c>
      <c r="AT71" s="55">
        <f t="shared" si="51"/>
        <v>3.4450784628919706E-2</v>
      </c>
      <c r="AU71" s="55">
        <f t="shared" si="52"/>
        <v>3.4450784628919706E-2</v>
      </c>
      <c r="AV71" s="55">
        <f t="shared" si="53"/>
        <v>3.4450784628919706E-2</v>
      </c>
      <c r="AW71" s="55">
        <f t="shared" si="54"/>
        <v>3.4450784628919706E-2</v>
      </c>
      <c r="AX71" s="55">
        <f t="shared" si="55"/>
        <v>3.4450784628919706E-2</v>
      </c>
      <c r="AY71" s="55">
        <f t="shared" si="56"/>
        <v>3.4450784628919706E-2</v>
      </c>
      <c r="AZ71" s="56">
        <f t="shared" si="57"/>
        <v>3.4450784628919706E-2</v>
      </c>
      <c r="BA71" s="11"/>
      <c r="BB71" s="12"/>
      <c r="BC71" s="12"/>
      <c r="BD71" s="13"/>
      <c r="BF71" s="14"/>
      <c r="BG71" s="10"/>
      <c r="BH71" s="11"/>
      <c r="BI71" s="11"/>
      <c r="BJ71" s="11"/>
      <c r="BK71" s="12"/>
      <c r="BL71" s="12"/>
      <c r="BM71" s="13"/>
      <c r="BO71" s="14"/>
      <c r="BP71" s="10"/>
      <c r="BQ71" s="11"/>
      <c r="BR71" s="11"/>
      <c r="BS71" s="11"/>
      <c r="BT71" s="12"/>
      <c r="BU71" s="12"/>
      <c r="BV71" s="13"/>
      <c r="BX71" s="14"/>
      <c r="BY71" s="10"/>
      <c r="BZ71" s="11"/>
      <c r="CA71" s="11"/>
      <c r="CB71" s="11"/>
      <c r="CC71" s="12"/>
      <c r="CD71" s="12"/>
      <c r="CE71" s="13"/>
      <c r="CG71" s="14"/>
      <c r="CH71" s="10"/>
      <c r="CI71" s="11"/>
      <c r="CJ71" s="11"/>
      <c r="CK71" s="11"/>
      <c r="CL71" s="12"/>
      <c r="CM71" s="12"/>
      <c r="CN71" s="13"/>
      <c r="CP71" s="13"/>
    </row>
    <row r="72" spans="1:94" x14ac:dyDescent="0.35">
      <c r="A72" s="27">
        <v>65</v>
      </c>
      <c r="B72" s="63">
        <f t="shared" ref="B72:B103" si="58">Base_int_rate</f>
        <v>4.4999999999999998E-2</v>
      </c>
      <c r="C72" s="28">
        <f>B72+VLOOKUP(Rawdata!A67,Int_rate_movements,2,TRUE)</f>
        <v>4.4999999999999998E-2</v>
      </c>
      <c r="D72" s="28">
        <f>C72+VLOOKUP(Rawdata!B67,Int_rate_movements,2,TRUE)</f>
        <v>4.4999999999999998E-2</v>
      </c>
      <c r="E72" s="28">
        <f>D72+VLOOKUP(Rawdata!C67,Int_rate_movements,2,TRUE)</f>
        <v>4.4999999999999998E-2</v>
      </c>
      <c r="F72" s="28">
        <f>E72+VLOOKUP(Rawdata!D67,Int_rate_movements,2,TRUE)</f>
        <v>4.4999999999999998E-2</v>
      </c>
      <c r="G72" s="28">
        <f>F72+VLOOKUP(Rawdata!E67,Int_rate_movements,2,TRUE)</f>
        <v>4.4999999999999998E-2</v>
      </c>
      <c r="H72" s="28">
        <f>G72+VLOOKUP(Rawdata!F67,Int_rate_movements,2,TRUE)</f>
        <v>4.4999999999999998E-2</v>
      </c>
      <c r="I72" s="28">
        <f>H72+VLOOKUP(Rawdata!G67,Int_rate_movements,2,TRUE)</f>
        <v>4.4999999999999998E-2</v>
      </c>
      <c r="J72" s="28">
        <f>I72+VLOOKUP(Rawdata!H67,Int_rate_movements,2,TRUE)</f>
        <v>4.4999999999999998E-2</v>
      </c>
      <c r="K72" s="28">
        <f>J72+VLOOKUP(Rawdata!I67,Int_rate_movements,2,TRUE)</f>
        <v>4.4999999999999998E-2</v>
      </c>
      <c r="L72" s="28">
        <f>K72+VLOOKUP(Rawdata!J67,Int_rate_movements,2,TRUE)</f>
        <v>4.4999999999999998E-2</v>
      </c>
      <c r="M72" s="28">
        <f>L72+VLOOKUP(Rawdata!K67,Int_rate_movements,2,TRUE)</f>
        <v>4.4999999999999998E-2</v>
      </c>
      <c r="N72" s="28">
        <f>M72+VLOOKUP(Rawdata!L67,Int_rate_movements,2,TRUE)</f>
        <v>4.4999999999999998E-2</v>
      </c>
      <c r="O72" s="28">
        <f>N72+VLOOKUP(Rawdata!M67,Int_rate_movements,2,TRUE)</f>
        <v>4.4999999999999998E-2</v>
      </c>
      <c r="P72" s="28">
        <f>O72+VLOOKUP(Rawdata!N67,Int_rate_movements,2,TRUE)</f>
        <v>4.4999999999999998E-2</v>
      </c>
      <c r="Q72" s="28">
        <f>P72+VLOOKUP(Rawdata!O67,Int_rate_movements,2,TRUE)</f>
        <v>4.4999999999999998E-2</v>
      </c>
      <c r="R72" s="28">
        <f>Q72+VLOOKUP(Rawdata!P67,Int_rate_movements,2,TRUE)</f>
        <v>4.4999999999999998E-2</v>
      </c>
      <c r="S72" s="28">
        <f>R72+VLOOKUP(Rawdata!Q67,Int_rate_movements,2,TRUE)</f>
        <v>4.9999999999999996E-2</v>
      </c>
      <c r="T72" s="28">
        <f>S72+VLOOKUP(Rawdata!R67,Int_rate_movements,2,TRUE)</f>
        <v>4.9999999999999996E-2</v>
      </c>
      <c r="U72" s="28">
        <f>T72+VLOOKUP(Rawdata!S67,Int_rate_movements,2,TRUE)</f>
        <v>4.9999999999999996E-2</v>
      </c>
      <c r="V72" s="28">
        <f>U72+VLOOKUP(Rawdata!T67,Int_rate_movements,2,TRUE)</f>
        <v>4.9999999999999996E-2</v>
      </c>
      <c r="W72" s="28">
        <f>V72+VLOOKUP(Rawdata!U67,Int_rate_movements,2,TRUE)</f>
        <v>4.4999999999999998E-2</v>
      </c>
      <c r="X72" s="28">
        <f>W72+VLOOKUP(Rawdata!V67,Int_rate_movements,2,TRUE)</f>
        <v>4.4999999999999998E-2</v>
      </c>
      <c r="Y72" s="28">
        <f>X72+VLOOKUP(Rawdata!W67,Int_rate_movements,2,TRUE)</f>
        <v>4.4999999999999998E-2</v>
      </c>
      <c r="Z72" s="35">
        <f>Y72+VLOOKUP(Rawdata!X67,Int_rate_movements,2,TRUE)</f>
        <v>4.4999999999999998E-2</v>
      </c>
      <c r="AA72" s="12"/>
      <c r="AB72" s="55">
        <f t="shared" ref="AB72:AB103" si="59">Var_freq*((1+B72)^(1/Var_freq)-1)</f>
        <v>4.4097712805242217E-2</v>
      </c>
      <c r="AC72" s="55">
        <f t="shared" ref="AC72:AC103" si="60">Var_freq*((1+C72)^(1/Var_freq)-1)</f>
        <v>4.4097712805242217E-2</v>
      </c>
      <c r="AD72" s="55">
        <f t="shared" ref="AD72:AD103" si="61">Var_freq*((1+D72)^(1/Var_freq)-1)</f>
        <v>4.4097712805242217E-2</v>
      </c>
      <c r="AE72" s="55">
        <f t="shared" ref="AE72:AE103" si="62">Var_freq*((1+E72)^(1/Var_freq)-1)</f>
        <v>4.4097712805242217E-2</v>
      </c>
      <c r="AF72" s="55">
        <f t="shared" ref="AF72:AF103" si="63">Var_freq*((1+F72)^(1/Var_freq)-1)</f>
        <v>4.4097712805242217E-2</v>
      </c>
      <c r="AG72" s="55">
        <f t="shared" ref="AG72:AG103" si="64">Var_freq*((1+G72)^(1/Var_freq)-1)</f>
        <v>4.4097712805242217E-2</v>
      </c>
      <c r="AH72" s="55">
        <f t="shared" ref="AH72:AH103" si="65">Var_freq*((1+H72)^(1/Var_freq)-1)</f>
        <v>4.4097712805242217E-2</v>
      </c>
      <c r="AI72" s="55">
        <f t="shared" ref="AI72:AI103" si="66">Var_freq*((1+I72)^(1/Var_freq)-1)</f>
        <v>4.4097712805242217E-2</v>
      </c>
      <c r="AJ72" s="55">
        <f t="shared" ref="AJ72:AJ103" si="67">Var_freq*((1+J72)^(1/Var_freq)-1)</f>
        <v>4.4097712805242217E-2</v>
      </c>
      <c r="AK72" s="55">
        <f t="shared" ref="AK72:AK103" si="68">Var_freq*((1+K72)^(1/Var_freq)-1)</f>
        <v>4.4097712805242217E-2</v>
      </c>
      <c r="AL72" s="55">
        <f t="shared" ref="AL72:AL103" si="69">Var_freq*((1+L72)^(1/Var_freq)-1)</f>
        <v>4.4097712805242217E-2</v>
      </c>
      <c r="AM72" s="55">
        <f t="shared" ref="AM72:AM103" si="70">Var_freq*((1+M72)^(1/Var_freq)-1)</f>
        <v>4.4097712805242217E-2</v>
      </c>
      <c r="AN72" s="55">
        <f t="shared" ref="AN72:AN103" si="71">Var_freq*((1+N72)^(1/Var_freq)-1)</f>
        <v>4.4097712805242217E-2</v>
      </c>
      <c r="AO72" s="55">
        <f t="shared" ref="AO72:AO103" si="72">Var_freq*((1+O72)^(1/Var_freq)-1)</f>
        <v>4.4097712805242217E-2</v>
      </c>
      <c r="AP72" s="55">
        <f t="shared" ref="AP72:AP103" si="73">Var_freq*((1+P72)^(1/Var_freq)-1)</f>
        <v>4.4097712805242217E-2</v>
      </c>
      <c r="AQ72" s="55">
        <f t="shared" ref="AQ72:AQ103" si="74">Var_freq*((1+Q72)^(1/Var_freq)-1)</f>
        <v>4.4097712805242217E-2</v>
      </c>
      <c r="AR72" s="55">
        <f t="shared" ref="AR72:AR103" si="75">Var_freq*((1+R72)^(1/Var_freq)-1)</f>
        <v>4.4097712805242217E-2</v>
      </c>
      <c r="AS72" s="55">
        <f t="shared" ref="AS72:AS103" si="76">Var_freq*((1+S72)^(1/Var_freq)-1)</f>
        <v>4.8889485403780242E-2</v>
      </c>
      <c r="AT72" s="55">
        <f t="shared" ref="AT72:AT103" si="77">Var_freq*((1+T72)^(1/Var_freq)-1)</f>
        <v>4.8889485403780242E-2</v>
      </c>
      <c r="AU72" s="55">
        <f t="shared" ref="AU72:AU103" si="78">Var_freq*((1+U72)^(1/Var_freq)-1)</f>
        <v>4.8889485403780242E-2</v>
      </c>
      <c r="AV72" s="55">
        <f t="shared" ref="AV72:AV103" si="79">Var_freq*((1+V72)^(1/Var_freq)-1)</f>
        <v>4.8889485403780242E-2</v>
      </c>
      <c r="AW72" s="55">
        <f t="shared" ref="AW72:AW103" si="80">Var_freq*((1+W72)^(1/Var_freq)-1)</f>
        <v>4.4097712805242217E-2</v>
      </c>
      <c r="AX72" s="55">
        <f t="shared" ref="AX72:AX103" si="81">Var_freq*((1+X72)^(1/Var_freq)-1)</f>
        <v>4.4097712805242217E-2</v>
      </c>
      <c r="AY72" s="55">
        <f t="shared" ref="AY72:AY103" si="82">Var_freq*((1+Y72)^(1/Var_freq)-1)</f>
        <v>4.4097712805242217E-2</v>
      </c>
      <c r="AZ72" s="56">
        <f t="shared" ref="AZ72:AZ103" si="83">Var_freq*((1+Z72)^(1/Var_freq)-1)</f>
        <v>4.4097712805242217E-2</v>
      </c>
      <c r="BA72" s="11"/>
      <c r="BB72" s="12"/>
      <c r="BC72" s="12"/>
      <c r="BD72" s="13"/>
      <c r="BF72" s="14"/>
      <c r="BG72" s="10"/>
      <c r="BH72" s="11"/>
      <c r="BI72" s="11"/>
      <c r="BJ72" s="11"/>
      <c r="BK72" s="12"/>
      <c r="BL72" s="12"/>
      <c r="BM72" s="13"/>
      <c r="BO72" s="14"/>
      <c r="BP72" s="10"/>
      <c r="BQ72" s="11"/>
      <c r="BR72" s="11"/>
      <c r="BS72" s="11"/>
      <c r="BT72" s="12"/>
      <c r="BU72" s="12"/>
      <c r="BV72" s="13"/>
      <c r="BX72" s="14"/>
      <c r="BY72" s="10"/>
      <c r="BZ72" s="11"/>
      <c r="CA72" s="11"/>
      <c r="CB72" s="11"/>
      <c r="CC72" s="12"/>
      <c r="CD72" s="12"/>
      <c r="CE72" s="13"/>
      <c r="CG72" s="14"/>
      <c r="CH72" s="10"/>
      <c r="CI72" s="11"/>
      <c r="CJ72" s="11"/>
      <c r="CK72" s="11"/>
      <c r="CL72" s="12"/>
      <c r="CM72" s="12"/>
      <c r="CN72" s="13"/>
      <c r="CP72" s="13"/>
    </row>
    <row r="73" spans="1:94" x14ac:dyDescent="0.35">
      <c r="A73" s="5">
        <v>66</v>
      </c>
      <c r="B73" s="63">
        <f t="shared" si="58"/>
        <v>4.4999999999999998E-2</v>
      </c>
      <c r="C73" s="28">
        <f>B73+VLOOKUP(Rawdata!A68,Int_rate_movements,2,TRUE)</f>
        <v>4.4999999999999998E-2</v>
      </c>
      <c r="D73" s="28">
        <f>C73+VLOOKUP(Rawdata!B68,Int_rate_movements,2,TRUE)</f>
        <v>4.4999999999999998E-2</v>
      </c>
      <c r="E73" s="28">
        <f>D73+VLOOKUP(Rawdata!C68,Int_rate_movements,2,TRUE)</f>
        <v>4.4999999999999998E-2</v>
      </c>
      <c r="F73" s="28">
        <f>E73+VLOOKUP(Rawdata!D68,Int_rate_movements,2,TRUE)</f>
        <v>4.4999999999999998E-2</v>
      </c>
      <c r="G73" s="28">
        <f>F73+VLOOKUP(Rawdata!E68,Int_rate_movements,2,TRUE)</f>
        <v>4.4999999999999998E-2</v>
      </c>
      <c r="H73" s="28">
        <f>G73+VLOOKUP(Rawdata!F68,Int_rate_movements,2,TRUE)</f>
        <v>4.4999999999999998E-2</v>
      </c>
      <c r="I73" s="28">
        <f>H73+VLOOKUP(Rawdata!G68,Int_rate_movements,2,TRUE)</f>
        <v>4.4999999999999998E-2</v>
      </c>
      <c r="J73" s="28">
        <f>I73+VLOOKUP(Rawdata!H68,Int_rate_movements,2,TRUE)</f>
        <v>4.4999999999999998E-2</v>
      </c>
      <c r="K73" s="28">
        <f>J73+VLOOKUP(Rawdata!I68,Int_rate_movements,2,TRUE)</f>
        <v>4.4999999999999998E-2</v>
      </c>
      <c r="L73" s="28">
        <f>K73+VLOOKUP(Rawdata!J68,Int_rate_movements,2,TRUE)</f>
        <v>4.4999999999999998E-2</v>
      </c>
      <c r="M73" s="28">
        <f>L73+VLOOKUP(Rawdata!K68,Int_rate_movements,2,TRUE)</f>
        <v>4.4999999999999998E-2</v>
      </c>
      <c r="N73" s="28">
        <f>M73+VLOOKUP(Rawdata!L68,Int_rate_movements,2,TRUE)</f>
        <v>4.4999999999999998E-2</v>
      </c>
      <c r="O73" s="28">
        <f>N73+VLOOKUP(Rawdata!M68,Int_rate_movements,2,TRUE)</f>
        <v>0.04</v>
      </c>
      <c r="P73" s="28">
        <f>O73+VLOOKUP(Rawdata!N68,Int_rate_movements,2,TRUE)</f>
        <v>0.04</v>
      </c>
      <c r="Q73" s="28">
        <f>P73+VLOOKUP(Rawdata!O68,Int_rate_movements,2,TRUE)</f>
        <v>0.04</v>
      </c>
      <c r="R73" s="28">
        <f>Q73+VLOOKUP(Rawdata!P68,Int_rate_movements,2,TRUE)</f>
        <v>4.2500000000000003E-2</v>
      </c>
      <c r="S73" s="28">
        <f>R73+VLOOKUP(Rawdata!Q68,Int_rate_movements,2,TRUE)</f>
        <v>4.2500000000000003E-2</v>
      </c>
      <c r="T73" s="28">
        <f>S73+VLOOKUP(Rawdata!R68,Int_rate_movements,2,TRUE)</f>
        <v>4.2500000000000003E-2</v>
      </c>
      <c r="U73" s="28">
        <f>T73+VLOOKUP(Rawdata!S68,Int_rate_movements,2,TRUE)</f>
        <v>4.2500000000000003E-2</v>
      </c>
      <c r="V73" s="28">
        <f>U73+VLOOKUP(Rawdata!T68,Int_rate_movements,2,TRUE)</f>
        <v>4.2500000000000003E-2</v>
      </c>
      <c r="W73" s="28">
        <f>V73+VLOOKUP(Rawdata!U68,Int_rate_movements,2,TRUE)</f>
        <v>4.2500000000000003E-2</v>
      </c>
      <c r="X73" s="28">
        <f>W73+VLOOKUP(Rawdata!V68,Int_rate_movements,2,TRUE)</f>
        <v>4.2500000000000003E-2</v>
      </c>
      <c r="Y73" s="28">
        <f>X73+VLOOKUP(Rawdata!W68,Int_rate_movements,2,TRUE)</f>
        <v>4.2500000000000003E-2</v>
      </c>
      <c r="Z73" s="35">
        <f>Y73+VLOOKUP(Rawdata!X68,Int_rate_movements,2,TRUE)</f>
        <v>4.2500000000000003E-2</v>
      </c>
      <c r="AA73" s="12"/>
      <c r="AB73" s="55">
        <f t="shared" si="59"/>
        <v>4.4097712805242217E-2</v>
      </c>
      <c r="AC73" s="55">
        <f t="shared" si="60"/>
        <v>4.4097712805242217E-2</v>
      </c>
      <c r="AD73" s="55">
        <f t="shared" si="61"/>
        <v>4.4097712805242217E-2</v>
      </c>
      <c r="AE73" s="55">
        <f t="shared" si="62"/>
        <v>4.4097712805242217E-2</v>
      </c>
      <c r="AF73" s="55">
        <f t="shared" si="63"/>
        <v>4.4097712805242217E-2</v>
      </c>
      <c r="AG73" s="55">
        <f t="shared" si="64"/>
        <v>4.4097712805242217E-2</v>
      </c>
      <c r="AH73" s="55">
        <f t="shared" si="65"/>
        <v>4.4097712805242217E-2</v>
      </c>
      <c r="AI73" s="55">
        <f t="shared" si="66"/>
        <v>4.4097712805242217E-2</v>
      </c>
      <c r="AJ73" s="55">
        <f t="shared" si="67"/>
        <v>4.4097712805242217E-2</v>
      </c>
      <c r="AK73" s="55">
        <f t="shared" si="68"/>
        <v>4.4097712805242217E-2</v>
      </c>
      <c r="AL73" s="55">
        <f t="shared" si="69"/>
        <v>4.4097712805242217E-2</v>
      </c>
      <c r="AM73" s="55">
        <f t="shared" si="70"/>
        <v>4.4097712805242217E-2</v>
      </c>
      <c r="AN73" s="55">
        <f t="shared" si="71"/>
        <v>4.4097712805242217E-2</v>
      </c>
      <c r="AO73" s="55">
        <f t="shared" si="72"/>
        <v>3.9284877386386974E-2</v>
      </c>
      <c r="AP73" s="55">
        <f t="shared" si="73"/>
        <v>3.9284877386386974E-2</v>
      </c>
      <c r="AQ73" s="55">
        <f t="shared" si="74"/>
        <v>3.9284877386386974E-2</v>
      </c>
      <c r="AR73" s="55">
        <f t="shared" si="75"/>
        <v>4.1693940041970023E-2</v>
      </c>
      <c r="AS73" s="55">
        <f t="shared" si="76"/>
        <v>4.1693940041970023E-2</v>
      </c>
      <c r="AT73" s="55">
        <f t="shared" si="77"/>
        <v>4.1693940041970023E-2</v>
      </c>
      <c r="AU73" s="55">
        <f t="shared" si="78"/>
        <v>4.1693940041970023E-2</v>
      </c>
      <c r="AV73" s="55">
        <f t="shared" si="79"/>
        <v>4.1693940041970023E-2</v>
      </c>
      <c r="AW73" s="55">
        <f t="shared" si="80"/>
        <v>4.1693940041970023E-2</v>
      </c>
      <c r="AX73" s="55">
        <f t="shared" si="81"/>
        <v>4.1693940041970023E-2</v>
      </c>
      <c r="AY73" s="55">
        <f t="shared" si="82"/>
        <v>4.1693940041970023E-2</v>
      </c>
      <c r="AZ73" s="56">
        <f t="shared" si="83"/>
        <v>4.1693940041970023E-2</v>
      </c>
      <c r="BA73" s="11"/>
      <c r="BB73" s="12"/>
      <c r="BC73" s="12"/>
      <c r="BD73" s="13"/>
      <c r="BF73" s="14"/>
      <c r="BG73" s="10"/>
      <c r="BH73" s="11"/>
      <c r="BI73" s="11"/>
      <c r="BJ73" s="11"/>
      <c r="BK73" s="12"/>
      <c r="BL73" s="12"/>
      <c r="BM73" s="13"/>
      <c r="BO73" s="14"/>
      <c r="BP73" s="10"/>
      <c r="BQ73" s="11"/>
      <c r="BR73" s="11"/>
      <c r="BS73" s="11"/>
      <c r="BT73" s="12"/>
      <c r="BU73" s="12"/>
      <c r="BV73" s="13"/>
      <c r="BX73" s="14"/>
      <c r="BY73" s="10"/>
      <c r="BZ73" s="11"/>
      <c r="CA73" s="11"/>
      <c r="CB73" s="11"/>
      <c r="CC73" s="12"/>
      <c r="CD73" s="12"/>
      <c r="CE73" s="13"/>
      <c r="CG73" s="14"/>
      <c r="CH73" s="10"/>
      <c r="CI73" s="11"/>
      <c r="CJ73" s="11"/>
      <c r="CK73" s="11"/>
      <c r="CL73" s="12"/>
      <c r="CM73" s="12"/>
      <c r="CN73" s="13"/>
      <c r="CP73" s="13"/>
    </row>
    <row r="74" spans="1:94" x14ac:dyDescent="0.35">
      <c r="A74" s="27">
        <v>67</v>
      </c>
      <c r="B74" s="63">
        <f t="shared" si="58"/>
        <v>4.4999999999999998E-2</v>
      </c>
      <c r="C74" s="28">
        <f>B74+VLOOKUP(Rawdata!A69,Int_rate_movements,2,TRUE)</f>
        <v>4.4999999999999998E-2</v>
      </c>
      <c r="D74" s="28">
        <f>C74+VLOOKUP(Rawdata!B69,Int_rate_movements,2,TRUE)</f>
        <v>4.4999999999999998E-2</v>
      </c>
      <c r="E74" s="28">
        <f>D74+VLOOKUP(Rawdata!C69,Int_rate_movements,2,TRUE)</f>
        <v>4.4999999999999998E-2</v>
      </c>
      <c r="F74" s="28">
        <f>E74+VLOOKUP(Rawdata!D69,Int_rate_movements,2,TRUE)</f>
        <v>4.4999999999999998E-2</v>
      </c>
      <c r="G74" s="28">
        <f>F74+VLOOKUP(Rawdata!E69,Int_rate_movements,2,TRUE)</f>
        <v>4.4999999999999998E-2</v>
      </c>
      <c r="H74" s="28">
        <f>G74+VLOOKUP(Rawdata!F69,Int_rate_movements,2,TRUE)</f>
        <v>4.4999999999999998E-2</v>
      </c>
      <c r="I74" s="28">
        <f>H74+VLOOKUP(Rawdata!G69,Int_rate_movements,2,TRUE)</f>
        <v>4.4999999999999998E-2</v>
      </c>
      <c r="J74" s="28">
        <f>I74+VLOOKUP(Rawdata!H69,Int_rate_movements,2,TRUE)</f>
        <v>4.4999999999999998E-2</v>
      </c>
      <c r="K74" s="28">
        <f>J74+VLOOKUP(Rawdata!I69,Int_rate_movements,2,TRUE)</f>
        <v>4.4999999999999998E-2</v>
      </c>
      <c r="L74" s="28">
        <f>K74+VLOOKUP(Rawdata!J69,Int_rate_movements,2,TRUE)</f>
        <v>4.4999999999999998E-2</v>
      </c>
      <c r="M74" s="28">
        <f>L74+VLOOKUP(Rawdata!K69,Int_rate_movements,2,TRUE)</f>
        <v>4.4999999999999998E-2</v>
      </c>
      <c r="N74" s="28">
        <f>M74+VLOOKUP(Rawdata!L69,Int_rate_movements,2,TRUE)</f>
        <v>4.4999999999999998E-2</v>
      </c>
      <c r="O74" s="28">
        <f>N74+VLOOKUP(Rawdata!M69,Int_rate_movements,2,TRUE)</f>
        <v>4.7500000000000001E-2</v>
      </c>
      <c r="P74" s="28">
        <f>O74+VLOOKUP(Rawdata!N69,Int_rate_movements,2,TRUE)</f>
        <v>4.7500000000000001E-2</v>
      </c>
      <c r="Q74" s="28">
        <f>P74+VLOOKUP(Rawdata!O69,Int_rate_movements,2,TRUE)</f>
        <v>4.4999999999999998E-2</v>
      </c>
      <c r="R74" s="28">
        <f>Q74+VLOOKUP(Rawdata!P69,Int_rate_movements,2,TRUE)</f>
        <v>4.2499999999999996E-2</v>
      </c>
      <c r="S74" s="28">
        <f>R74+VLOOKUP(Rawdata!Q69,Int_rate_movements,2,TRUE)</f>
        <v>4.2499999999999996E-2</v>
      </c>
      <c r="T74" s="28">
        <f>S74+VLOOKUP(Rawdata!R69,Int_rate_movements,2,TRUE)</f>
        <v>4.2499999999999996E-2</v>
      </c>
      <c r="U74" s="28">
        <f>T74+VLOOKUP(Rawdata!S69,Int_rate_movements,2,TRUE)</f>
        <v>4.2499999999999996E-2</v>
      </c>
      <c r="V74" s="28">
        <f>U74+VLOOKUP(Rawdata!T69,Int_rate_movements,2,TRUE)</f>
        <v>4.2499999999999996E-2</v>
      </c>
      <c r="W74" s="28">
        <f>V74+VLOOKUP(Rawdata!U69,Int_rate_movements,2,TRUE)</f>
        <v>4.2499999999999996E-2</v>
      </c>
      <c r="X74" s="28">
        <f>W74+VLOOKUP(Rawdata!V69,Int_rate_movements,2,TRUE)</f>
        <v>4.2499999999999996E-2</v>
      </c>
      <c r="Y74" s="28">
        <f>X74+VLOOKUP(Rawdata!W69,Int_rate_movements,2,TRUE)</f>
        <v>4.2499999999999996E-2</v>
      </c>
      <c r="Z74" s="35">
        <f>Y74+VLOOKUP(Rawdata!X69,Int_rate_movements,2,TRUE)</f>
        <v>4.2499999999999996E-2</v>
      </c>
      <c r="AA74" s="12"/>
      <c r="AB74" s="55">
        <f t="shared" si="59"/>
        <v>4.4097712805242217E-2</v>
      </c>
      <c r="AC74" s="55">
        <f t="shared" si="60"/>
        <v>4.4097712805242217E-2</v>
      </c>
      <c r="AD74" s="55">
        <f t="shared" si="61"/>
        <v>4.4097712805242217E-2</v>
      </c>
      <c r="AE74" s="55">
        <f t="shared" si="62"/>
        <v>4.4097712805242217E-2</v>
      </c>
      <c r="AF74" s="55">
        <f t="shared" si="63"/>
        <v>4.4097712805242217E-2</v>
      </c>
      <c r="AG74" s="55">
        <f t="shared" si="64"/>
        <v>4.4097712805242217E-2</v>
      </c>
      <c r="AH74" s="55">
        <f t="shared" si="65"/>
        <v>4.4097712805242217E-2</v>
      </c>
      <c r="AI74" s="55">
        <f t="shared" si="66"/>
        <v>4.4097712805242217E-2</v>
      </c>
      <c r="AJ74" s="55">
        <f t="shared" si="67"/>
        <v>4.4097712805242217E-2</v>
      </c>
      <c r="AK74" s="55">
        <f t="shared" si="68"/>
        <v>4.4097712805242217E-2</v>
      </c>
      <c r="AL74" s="55">
        <f t="shared" si="69"/>
        <v>4.4097712805242217E-2</v>
      </c>
      <c r="AM74" s="55">
        <f t="shared" si="70"/>
        <v>4.4097712805242217E-2</v>
      </c>
      <c r="AN74" s="55">
        <f t="shared" si="71"/>
        <v>4.4097712805242217E-2</v>
      </c>
      <c r="AO74" s="55">
        <f t="shared" si="72"/>
        <v>4.6496219905550085E-2</v>
      </c>
      <c r="AP74" s="55">
        <f t="shared" si="73"/>
        <v>4.6496219905550085E-2</v>
      </c>
      <c r="AQ74" s="55">
        <f t="shared" si="74"/>
        <v>4.4097712805242217E-2</v>
      </c>
      <c r="AR74" s="55">
        <f t="shared" si="75"/>
        <v>4.1693940041970023E-2</v>
      </c>
      <c r="AS74" s="55">
        <f t="shared" si="76"/>
        <v>4.1693940041970023E-2</v>
      </c>
      <c r="AT74" s="55">
        <f t="shared" si="77"/>
        <v>4.1693940041970023E-2</v>
      </c>
      <c r="AU74" s="55">
        <f t="shared" si="78"/>
        <v>4.1693940041970023E-2</v>
      </c>
      <c r="AV74" s="55">
        <f t="shared" si="79"/>
        <v>4.1693940041970023E-2</v>
      </c>
      <c r="AW74" s="55">
        <f t="shared" si="80"/>
        <v>4.1693940041970023E-2</v>
      </c>
      <c r="AX74" s="55">
        <f t="shared" si="81"/>
        <v>4.1693940041970023E-2</v>
      </c>
      <c r="AY74" s="55">
        <f t="shared" si="82"/>
        <v>4.1693940041970023E-2</v>
      </c>
      <c r="AZ74" s="56">
        <f t="shared" si="83"/>
        <v>4.1693940041970023E-2</v>
      </c>
      <c r="BA74" s="11"/>
      <c r="BB74" s="12"/>
      <c r="BC74" s="12"/>
      <c r="BD74" s="13"/>
      <c r="BF74" s="14"/>
      <c r="BG74" s="10"/>
      <c r="BH74" s="11"/>
      <c r="BI74" s="11"/>
      <c r="BJ74" s="11"/>
      <c r="BK74" s="12"/>
      <c r="BL74" s="12"/>
      <c r="BM74" s="13"/>
      <c r="BO74" s="14"/>
      <c r="BP74" s="10"/>
      <c r="BQ74" s="11"/>
      <c r="BR74" s="11"/>
      <c r="BS74" s="11"/>
      <c r="BT74" s="12"/>
      <c r="BU74" s="12"/>
      <c r="BV74" s="13"/>
      <c r="BX74" s="14"/>
      <c r="BY74" s="10"/>
      <c r="BZ74" s="11"/>
      <c r="CA74" s="11"/>
      <c r="CB74" s="11"/>
      <c r="CC74" s="12"/>
      <c r="CD74" s="12"/>
      <c r="CE74" s="13"/>
      <c r="CG74" s="14"/>
      <c r="CH74" s="10"/>
      <c r="CI74" s="11"/>
      <c r="CJ74" s="11"/>
      <c r="CK74" s="11"/>
      <c r="CL74" s="12"/>
      <c r="CM74" s="12"/>
      <c r="CN74" s="13"/>
      <c r="CP74" s="13"/>
    </row>
    <row r="75" spans="1:94" x14ac:dyDescent="0.35">
      <c r="A75" s="5">
        <v>68</v>
      </c>
      <c r="B75" s="63">
        <f t="shared" si="58"/>
        <v>4.4999999999999998E-2</v>
      </c>
      <c r="C75" s="28">
        <f>B75+VLOOKUP(Rawdata!A70,Int_rate_movements,2,TRUE)</f>
        <v>4.4999999999999998E-2</v>
      </c>
      <c r="D75" s="28">
        <f>C75+VLOOKUP(Rawdata!B70,Int_rate_movements,2,TRUE)</f>
        <v>4.4999999999999998E-2</v>
      </c>
      <c r="E75" s="28">
        <f>D75+VLOOKUP(Rawdata!C70,Int_rate_movements,2,TRUE)</f>
        <v>4.4999999999999998E-2</v>
      </c>
      <c r="F75" s="28">
        <f>E75+VLOOKUP(Rawdata!D70,Int_rate_movements,2,TRUE)</f>
        <v>4.4999999999999998E-2</v>
      </c>
      <c r="G75" s="28">
        <f>F75+VLOOKUP(Rawdata!E70,Int_rate_movements,2,TRUE)</f>
        <v>4.4999999999999998E-2</v>
      </c>
      <c r="H75" s="28">
        <f>G75+VLOOKUP(Rawdata!F70,Int_rate_movements,2,TRUE)</f>
        <v>4.4999999999999998E-2</v>
      </c>
      <c r="I75" s="28">
        <f>H75+VLOOKUP(Rawdata!G70,Int_rate_movements,2,TRUE)</f>
        <v>4.4999999999999998E-2</v>
      </c>
      <c r="J75" s="28">
        <f>I75+VLOOKUP(Rawdata!H70,Int_rate_movements,2,TRUE)</f>
        <v>4.4999999999999998E-2</v>
      </c>
      <c r="K75" s="28">
        <f>J75+VLOOKUP(Rawdata!I70,Int_rate_movements,2,TRUE)</f>
        <v>4.4999999999999998E-2</v>
      </c>
      <c r="L75" s="28">
        <f>K75+VLOOKUP(Rawdata!J70,Int_rate_movements,2,TRUE)</f>
        <v>4.4999999999999998E-2</v>
      </c>
      <c r="M75" s="28">
        <f>L75+VLOOKUP(Rawdata!K70,Int_rate_movements,2,TRUE)</f>
        <v>4.4999999999999998E-2</v>
      </c>
      <c r="N75" s="28">
        <f>M75+VLOOKUP(Rawdata!L70,Int_rate_movements,2,TRUE)</f>
        <v>4.4999999999999998E-2</v>
      </c>
      <c r="O75" s="28">
        <f>N75+VLOOKUP(Rawdata!M70,Int_rate_movements,2,TRUE)</f>
        <v>4.9999999999999996E-2</v>
      </c>
      <c r="P75" s="28">
        <f>O75+VLOOKUP(Rawdata!N70,Int_rate_movements,2,TRUE)</f>
        <v>4.9999999999999996E-2</v>
      </c>
      <c r="Q75" s="28">
        <f>P75+VLOOKUP(Rawdata!O70,Int_rate_movements,2,TRUE)</f>
        <v>4.9999999999999996E-2</v>
      </c>
      <c r="R75" s="28">
        <f>Q75+VLOOKUP(Rawdata!P70,Int_rate_movements,2,TRUE)</f>
        <v>4.9999999999999996E-2</v>
      </c>
      <c r="S75" s="28">
        <f>R75+VLOOKUP(Rawdata!Q70,Int_rate_movements,2,TRUE)</f>
        <v>4.9999999999999996E-2</v>
      </c>
      <c r="T75" s="28">
        <f>S75+VLOOKUP(Rawdata!R70,Int_rate_movements,2,TRUE)</f>
        <v>5.2499999999999998E-2</v>
      </c>
      <c r="U75" s="28">
        <f>T75+VLOOKUP(Rawdata!S70,Int_rate_movements,2,TRUE)</f>
        <v>5.2499999999999998E-2</v>
      </c>
      <c r="V75" s="28">
        <f>U75+VLOOKUP(Rawdata!T70,Int_rate_movements,2,TRUE)</f>
        <v>5.2499999999999998E-2</v>
      </c>
      <c r="W75" s="28">
        <f>V75+VLOOKUP(Rawdata!U70,Int_rate_movements,2,TRUE)</f>
        <v>5.2499999999999998E-2</v>
      </c>
      <c r="X75" s="28">
        <f>W75+VLOOKUP(Rawdata!V70,Int_rate_movements,2,TRUE)</f>
        <v>5.2499999999999998E-2</v>
      </c>
      <c r="Y75" s="28">
        <f>X75+VLOOKUP(Rawdata!W70,Int_rate_movements,2,TRUE)</f>
        <v>5.2499999999999998E-2</v>
      </c>
      <c r="Z75" s="35">
        <f>Y75+VLOOKUP(Rawdata!X70,Int_rate_movements,2,TRUE)</f>
        <v>5.2499999999999998E-2</v>
      </c>
      <c r="AA75" s="12"/>
      <c r="AB75" s="55">
        <f t="shared" si="59"/>
        <v>4.4097712805242217E-2</v>
      </c>
      <c r="AC75" s="55">
        <f t="shared" si="60"/>
        <v>4.4097712805242217E-2</v>
      </c>
      <c r="AD75" s="55">
        <f t="shared" si="61"/>
        <v>4.4097712805242217E-2</v>
      </c>
      <c r="AE75" s="55">
        <f t="shared" si="62"/>
        <v>4.4097712805242217E-2</v>
      </c>
      <c r="AF75" s="55">
        <f t="shared" si="63"/>
        <v>4.4097712805242217E-2</v>
      </c>
      <c r="AG75" s="55">
        <f t="shared" si="64"/>
        <v>4.4097712805242217E-2</v>
      </c>
      <c r="AH75" s="55">
        <f t="shared" si="65"/>
        <v>4.4097712805242217E-2</v>
      </c>
      <c r="AI75" s="55">
        <f t="shared" si="66"/>
        <v>4.4097712805242217E-2</v>
      </c>
      <c r="AJ75" s="55">
        <f t="shared" si="67"/>
        <v>4.4097712805242217E-2</v>
      </c>
      <c r="AK75" s="55">
        <f t="shared" si="68"/>
        <v>4.4097712805242217E-2</v>
      </c>
      <c r="AL75" s="55">
        <f t="shared" si="69"/>
        <v>4.4097712805242217E-2</v>
      </c>
      <c r="AM75" s="55">
        <f t="shared" si="70"/>
        <v>4.4097712805242217E-2</v>
      </c>
      <c r="AN75" s="55">
        <f t="shared" si="71"/>
        <v>4.4097712805242217E-2</v>
      </c>
      <c r="AO75" s="55">
        <f t="shared" si="72"/>
        <v>4.8889485403780242E-2</v>
      </c>
      <c r="AP75" s="55">
        <f t="shared" si="73"/>
        <v>4.8889485403780242E-2</v>
      </c>
      <c r="AQ75" s="55">
        <f t="shared" si="74"/>
        <v>4.8889485403780242E-2</v>
      </c>
      <c r="AR75" s="55">
        <f t="shared" si="75"/>
        <v>4.8889485403780242E-2</v>
      </c>
      <c r="AS75" s="55">
        <f t="shared" si="76"/>
        <v>4.8889485403780242E-2</v>
      </c>
      <c r="AT75" s="55">
        <f t="shared" si="77"/>
        <v>5.1277533193896829E-2</v>
      </c>
      <c r="AU75" s="55">
        <f t="shared" si="78"/>
        <v>5.1277533193896829E-2</v>
      </c>
      <c r="AV75" s="55">
        <f t="shared" si="79"/>
        <v>5.1277533193896829E-2</v>
      </c>
      <c r="AW75" s="55">
        <f t="shared" si="80"/>
        <v>5.1277533193896829E-2</v>
      </c>
      <c r="AX75" s="55">
        <f t="shared" si="81"/>
        <v>5.1277533193896829E-2</v>
      </c>
      <c r="AY75" s="55">
        <f t="shared" si="82"/>
        <v>5.1277533193896829E-2</v>
      </c>
      <c r="AZ75" s="56">
        <f t="shared" si="83"/>
        <v>5.1277533193896829E-2</v>
      </c>
      <c r="BA75" s="11"/>
      <c r="BB75" s="12"/>
      <c r="BC75" s="12"/>
      <c r="BD75" s="13"/>
      <c r="BF75" s="14"/>
      <c r="BG75" s="10"/>
      <c r="BH75" s="11"/>
      <c r="BI75" s="11"/>
      <c r="BJ75" s="11"/>
      <c r="BK75" s="12"/>
      <c r="BL75" s="12"/>
      <c r="BM75" s="13"/>
      <c r="BO75" s="14"/>
      <c r="BP75" s="10"/>
      <c r="BQ75" s="11"/>
      <c r="BR75" s="11"/>
      <c r="BS75" s="11"/>
      <c r="BT75" s="12"/>
      <c r="BU75" s="12"/>
      <c r="BV75" s="13"/>
      <c r="BX75" s="14"/>
      <c r="BY75" s="10"/>
      <c r="BZ75" s="11"/>
      <c r="CA75" s="11"/>
      <c r="CB75" s="11"/>
      <c r="CC75" s="12"/>
      <c r="CD75" s="12"/>
      <c r="CE75" s="13"/>
      <c r="CG75" s="14"/>
      <c r="CH75" s="10"/>
      <c r="CI75" s="11"/>
      <c r="CJ75" s="11"/>
      <c r="CK75" s="11"/>
      <c r="CL75" s="12"/>
      <c r="CM75" s="12"/>
      <c r="CN75" s="13"/>
      <c r="CP75" s="13"/>
    </row>
    <row r="76" spans="1:94" x14ac:dyDescent="0.35">
      <c r="A76" s="27">
        <v>69</v>
      </c>
      <c r="B76" s="63">
        <f t="shared" si="58"/>
        <v>4.4999999999999998E-2</v>
      </c>
      <c r="C76" s="28">
        <f>B76+VLOOKUP(Rawdata!A71,Int_rate_movements,2,TRUE)</f>
        <v>4.4999999999999998E-2</v>
      </c>
      <c r="D76" s="28">
        <f>C76+VLOOKUP(Rawdata!B71,Int_rate_movements,2,TRUE)</f>
        <v>4.4999999999999998E-2</v>
      </c>
      <c r="E76" s="28">
        <f>D76+VLOOKUP(Rawdata!C71,Int_rate_movements,2,TRUE)</f>
        <v>4.4999999999999998E-2</v>
      </c>
      <c r="F76" s="28">
        <f>E76+VLOOKUP(Rawdata!D71,Int_rate_movements,2,TRUE)</f>
        <v>4.7500000000000001E-2</v>
      </c>
      <c r="G76" s="28">
        <f>F76+VLOOKUP(Rawdata!E71,Int_rate_movements,2,TRUE)</f>
        <v>4.2500000000000003E-2</v>
      </c>
      <c r="H76" s="28">
        <f>G76+VLOOKUP(Rawdata!F71,Int_rate_movements,2,TRUE)</f>
        <v>4.2500000000000003E-2</v>
      </c>
      <c r="I76" s="28">
        <f>H76+VLOOKUP(Rawdata!G71,Int_rate_movements,2,TRUE)</f>
        <v>4.2500000000000003E-2</v>
      </c>
      <c r="J76" s="28">
        <f>I76+VLOOKUP(Rawdata!H71,Int_rate_movements,2,TRUE)</f>
        <v>4.2500000000000003E-2</v>
      </c>
      <c r="K76" s="28">
        <f>J76+VLOOKUP(Rawdata!I71,Int_rate_movements,2,TRUE)</f>
        <v>4.2500000000000003E-2</v>
      </c>
      <c r="L76" s="28">
        <f>K76+VLOOKUP(Rawdata!J71,Int_rate_movements,2,TRUE)</f>
        <v>4.2500000000000003E-2</v>
      </c>
      <c r="M76" s="28">
        <f>L76+VLOOKUP(Rawdata!K71,Int_rate_movements,2,TRUE)</f>
        <v>4.2500000000000003E-2</v>
      </c>
      <c r="N76" s="28">
        <f>M76+VLOOKUP(Rawdata!L71,Int_rate_movements,2,TRUE)</f>
        <v>4.2500000000000003E-2</v>
      </c>
      <c r="O76" s="28">
        <f>N76+VLOOKUP(Rawdata!M71,Int_rate_movements,2,TRUE)</f>
        <v>4.2500000000000003E-2</v>
      </c>
      <c r="P76" s="28">
        <f>O76+VLOOKUP(Rawdata!N71,Int_rate_movements,2,TRUE)</f>
        <v>4.2500000000000003E-2</v>
      </c>
      <c r="Q76" s="28">
        <f>P76+VLOOKUP(Rawdata!O71,Int_rate_movements,2,TRUE)</f>
        <v>4.2500000000000003E-2</v>
      </c>
      <c r="R76" s="28">
        <f>Q76+VLOOKUP(Rawdata!P71,Int_rate_movements,2,TRUE)</f>
        <v>4.2500000000000003E-2</v>
      </c>
      <c r="S76" s="28">
        <f>R76+VLOOKUP(Rawdata!Q71,Int_rate_movements,2,TRUE)</f>
        <v>4.2500000000000003E-2</v>
      </c>
      <c r="T76" s="28">
        <f>S76+VLOOKUP(Rawdata!R71,Int_rate_movements,2,TRUE)</f>
        <v>4.2500000000000003E-2</v>
      </c>
      <c r="U76" s="28">
        <f>T76+VLOOKUP(Rawdata!S71,Int_rate_movements,2,TRUE)</f>
        <v>4.2500000000000003E-2</v>
      </c>
      <c r="V76" s="28">
        <f>U76+VLOOKUP(Rawdata!T71,Int_rate_movements,2,TRUE)</f>
        <v>0.04</v>
      </c>
      <c r="W76" s="28">
        <f>V76+VLOOKUP(Rawdata!U71,Int_rate_movements,2,TRUE)</f>
        <v>0.04</v>
      </c>
      <c r="X76" s="28">
        <f>W76+VLOOKUP(Rawdata!V71,Int_rate_movements,2,TRUE)</f>
        <v>0.04</v>
      </c>
      <c r="Y76" s="28">
        <f>X76+VLOOKUP(Rawdata!W71,Int_rate_movements,2,TRUE)</f>
        <v>4.2500000000000003E-2</v>
      </c>
      <c r="Z76" s="35">
        <f>Y76+VLOOKUP(Rawdata!X71,Int_rate_movements,2,TRUE)</f>
        <v>0.04</v>
      </c>
      <c r="AA76" s="12"/>
      <c r="AB76" s="55">
        <f t="shared" si="59"/>
        <v>4.4097712805242217E-2</v>
      </c>
      <c r="AC76" s="55">
        <f t="shared" si="60"/>
        <v>4.4097712805242217E-2</v>
      </c>
      <c r="AD76" s="55">
        <f t="shared" si="61"/>
        <v>4.4097712805242217E-2</v>
      </c>
      <c r="AE76" s="55">
        <f t="shared" si="62"/>
        <v>4.4097712805242217E-2</v>
      </c>
      <c r="AF76" s="55">
        <f t="shared" si="63"/>
        <v>4.6496219905550085E-2</v>
      </c>
      <c r="AG76" s="55">
        <f t="shared" si="64"/>
        <v>4.1693940041970023E-2</v>
      </c>
      <c r="AH76" s="55">
        <f t="shared" si="65"/>
        <v>4.1693940041970023E-2</v>
      </c>
      <c r="AI76" s="55">
        <f t="shared" si="66"/>
        <v>4.1693940041970023E-2</v>
      </c>
      <c r="AJ76" s="55">
        <f t="shared" si="67"/>
        <v>4.1693940041970023E-2</v>
      </c>
      <c r="AK76" s="55">
        <f t="shared" si="68"/>
        <v>4.1693940041970023E-2</v>
      </c>
      <c r="AL76" s="55">
        <f t="shared" si="69"/>
        <v>4.1693940041970023E-2</v>
      </c>
      <c r="AM76" s="55">
        <f t="shared" si="70"/>
        <v>4.1693940041970023E-2</v>
      </c>
      <c r="AN76" s="55">
        <f t="shared" si="71"/>
        <v>4.1693940041970023E-2</v>
      </c>
      <c r="AO76" s="55">
        <f t="shared" si="72"/>
        <v>4.1693940041970023E-2</v>
      </c>
      <c r="AP76" s="55">
        <f t="shared" si="73"/>
        <v>4.1693940041970023E-2</v>
      </c>
      <c r="AQ76" s="55">
        <f t="shared" si="74"/>
        <v>4.1693940041970023E-2</v>
      </c>
      <c r="AR76" s="55">
        <f t="shared" si="75"/>
        <v>4.1693940041970023E-2</v>
      </c>
      <c r="AS76" s="55">
        <f t="shared" si="76"/>
        <v>4.1693940041970023E-2</v>
      </c>
      <c r="AT76" s="55">
        <f t="shared" si="77"/>
        <v>4.1693940041970023E-2</v>
      </c>
      <c r="AU76" s="55">
        <f t="shared" si="78"/>
        <v>4.1693940041970023E-2</v>
      </c>
      <c r="AV76" s="55">
        <f t="shared" si="79"/>
        <v>3.9284877386386974E-2</v>
      </c>
      <c r="AW76" s="55">
        <f t="shared" si="80"/>
        <v>3.9284877386386974E-2</v>
      </c>
      <c r="AX76" s="55">
        <f t="shared" si="81"/>
        <v>3.9284877386386974E-2</v>
      </c>
      <c r="AY76" s="55">
        <f t="shared" si="82"/>
        <v>4.1693940041970023E-2</v>
      </c>
      <c r="AZ76" s="56">
        <f t="shared" si="83"/>
        <v>3.9284877386386974E-2</v>
      </c>
      <c r="BA76" s="11"/>
      <c r="BB76" s="12"/>
      <c r="BC76" s="12"/>
      <c r="BD76" s="13"/>
      <c r="BF76" s="14"/>
      <c r="BG76" s="10"/>
      <c r="BH76" s="11"/>
      <c r="BI76" s="11"/>
      <c r="BJ76" s="11"/>
      <c r="BK76" s="12"/>
      <c r="BL76" s="12"/>
      <c r="BM76" s="13"/>
      <c r="BO76" s="14"/>
      <c r="BP76" s="10"/>
      <c r="BQ76" s="11"/>
      <c r="BR76" s="11"/>
      <c r="BS76" s="11"/>
      <c r="BT76" s="12"/>
      <c r="BU76" s="12"/>
      <c r="BV76" s="13"/>
      <c r="BX76" s="14"/>
      <c r="BY76" s="10"/>
      <c r="BZ76" s="11"/>
      <c r="CA76" s="11"/>
      <c r="CB76" s="11"/>
      <c r="CC76" s="12"/>
      <c r="CD76" s="12"/>
      <c r="CE76" s="13"/>
      <c r="CG76" s="14"/>
      <c r="CH76" s="10"/>
      <c r="CI76" s="11"/>
      <c r="CJ76" s="11"/>
      <c r="CK76" s="11"/>
      <c r="CL76" s="12"/>
      <c r="CM76" s="12"/>
      <c r="CN76" s="13"/>
      <c r="CP76" s="13"/>
    </row>
    <row r="77" spans="1:94" x14ac:dyDescent="0.35">
      <c r="A77" s="5">
        <v>70</v>
      </c>
      <c r="B77" s="63">
        <f t="shared" si="58"/>
        <v>4.4999999999999998E-2</v>
      </c>
      <c r="C77" s="28">
        <f>B77+VLOOKUP(Rawdata!A72,Int_rate_movements,2,TRUE)</f>
        <v>4.4999999999999998E-2</v>
      </c>
      <c r="D77" s="28">
        <f>C77+VLOOKUP(Rawdata!B72,Int_rate_movements,2,TRUE)</f>
        <v>4.9999999999999996E-2</v>
      </c>
      <c r="E77" s="28">
        <f>D77+VLOOKUP(Rawdata!C72,Int_rate_movements,2,TRUE)</f>
        <v>4.9999999999999996E-2</v>
      </c>
      <c r="F77" s="28">
        <f>E77+VLOOKUP(Rawdata!D72,Int_rate_movements,2,TRUE)</f>
        <v>4.9999999999999996E-2</v>
      </c>
      <c r="G77" s="28">
        <f>F77+VLOOKUP(Rawdata!E72,Int_rate_movements,2,TRUE)</f>
        <v>4.9999999999999996E-2</v>
      </c>
      <c r="H77" s="28">
        <f>G77+VLOOKUP(Rawdata!F72,Int_rate_movements,2,TRUE)</f>
        <v>4.9999999999999996E-2</v>
      </c>
      <c r="I77" s="28">
        <f>H77+VLOOKUP(Rawdata!G72,Int_rate_movements,2,TRUE)</f>
        <v>4.9999999999999996E-2</v>
      </c>
      <c r="J77" s="28">
        <f>I77+VLOOKUP(Rawdata!H72,Int_rate_movements,2,TRUE)</f>
        <v>4.9999999999999996E-2</v>
      </c>
      <c r="K77" s="28">
        <f>J77+VLOOKUP(Rawdata!I72,Int_rate_movements,2,TRUE)</f>
        <v>4.9999999999999996E-2</v>
      </c>
      <c r="L77" s="28">
        <f>K77+VLOOKUP(Rawdata!J72,Int_rate_movements,2,TRUE)</f>
        <v>4.9999999999999996E-2</v>
      </c>
      <c r="M77" s="28">
        <f>L77+VLOOKUP(Rawdata!K72,Int_rate_movements,2,TRUE)</f>
        <v>4.7499999999999994E-2</v>
      </c>
      <c r="N77" s="28">
        <f>M77+VLOOKUP(Rawdata!L72,Int_rate_movements,2,TRUE)</f>
        <v>4.7499999999999994E-2</v>
      </c>
      <c r="O77" s="28">
        <f>N77+VLOOKUP(Rawdata!M72,Int_rate_movements,2,TRUE)</f>
        <v>4.7499999999999994E-2</v>
      </c>
      <c r="P77" s="28">
        <f>O77+VLOOKUP(Rawdata!N72,Int_rate_movements,2,TRUE)</f>
        <v>4.7499999999999994E-2</v>
      </c>
      <c r="Q77" s="28">
        <f>P77+VLOOKUP(Rawdata!O72,Int_rate_movements,2,TRUE)</f>
        <v>4.7499999999999994E-2</v>
      </c>
      <c r="R77" s="28">
        <f>Q77+VLOOKUP(Rawdata!P72,Int_rate_movements,2,TRUE)</f>
        <v>4.7499999999999994E-2</v>
      </c>
      <c r="S77" s="28">
        <f>R77+VLOOKUP(Rawdata!Q72,Int_rate_movements,2,TRUE)</f>
        <v>4.7499999999999994E-2</v>
      </c>
      <c r="T77" s="28">
        <f>S77+VLOOKUP(Rawdata!R72,Int_rate_movements,2,TRUE)</f>
        <v>4.7499999999999994E-2</v>
      </c>
      <c r="U77" s="28">
        <f>T77+VLOOKUP(Rawdata!S72,Int_rate_movements,2,TRUE)</f>
        <v>4.7499999999999994E-2</v>
      </c>
      <c r="V77" s="28">
        <f>U77+VLOOKUP(Rawdata!T72,Int_rate_movements,2,TRUE)</f>
        <v>4.2499999999999996E-2</v>
      </c>
      <c r="W77" s="28">
        <f>V77+VLOOKUP(Rawdata!U72,Int_rate_movements,2,TRUE)</f>
        <v>4.2499999999999996E-2</v>
      </c>
      <c r="X77" s="28">
        <f>W77+VLOOKUP(Rawdata!V72,Int_rate_movements,2,TRUE)</f>
        <v>4.2499999999999996E-2</v>
      </c>
      <c r="Y77" s="28">
        <f>X77+VLOOKUP(Rawdata!W72,Int_rate_movements,2,TRUE)</f>
        <v>4.2499999999999996E-2</v>
      </c>
      <c r="Z77" s="35">
        <f>Y77+VLOOKUP(Rawdata!X72,Int_rate_movements,2,TRUE)</f>
        <v>4.2499999999999996E-2</v>
      </c>
      <c r="AA77" s="12"/>
      <c r="AB77" s="55">
        <f t="shared" si="59"/>
        <v>4.4097712805242217E-2</v>
      </c>
      <c r="AC77" s="55">
        <f t="shared" si="60"/>
        <v>4.4097712805242217E-2</v>
      </c>
      <c r="AD77" s="55">
        <f t="shared" si="61"/>
        <v>4.8889485403780242E-2</v>
      </c>
      <c r="AE77" s="55">
        <f t="shared" si="62"/>
        <v>4.8889485403780242E-2</v>
      </c>
      <c r="AF77" s="55">
        <f t="shared" si="63"/>
        <v>4.8889485403780242E-2</v>
      </c>
      <c r="AG77" s="55">
        <f t="shared" si="64"/>
        <v>4.8889485403780242E-2</v>
      </c>
      <c r="AH77" s="55">
        <f t="shared" si="65"/>
        <v>4.8889485403780242E-2</v>
      </c>
      <c r="AI77" s="55">
        <f t="shared" si="66"/>
        <v>4.8889485403780242E-2</v>
      </c>
      <c r="AJ77" s="55">
        <f t="shared" si="67"/>
        <v>4.8889485403780242E-2</v>
      </c>
      <c r="AK77" s="55">
        <f t="shared" si="68"/>
        <v>4.8889485403780242E-2</v>
      </c>
      <c r="AL77" s="55">
        <f t="shared" si="69"/>
        <v>4.8889485403780242E-2</v>
      </c>
      <c r="AM77" s="55">
        <f t="shared" si="70"/>
        <v>4.6496219905550085E-2</v>
      </c>
      <c r="AN77" s="55">
        <f t="shared" si="71"/>
        <v>4.6496219905550085E-2</v>
      </c>
      <c r="AO77" s="55">
        <f t="shared" si="72"/>
        <v>4.6496219905550085E-2</v>
      </c>
      <c r="AP77" s="55">
        <f t="shared" si="73"/>
        <v>4.6496219905550085E-2</v>
      </c>
      <c r="AQ77" s="55">
        <f t="shared" si="74"/>
        <v>4.6496219905550085E-2</v>
      </c>
      <c r="AR77" s="55">
        <f t="shared" si="75"/>
        <v>4.6496219905550085E-2</v>
      </c>
      <c r="AS77" s="55">
        <f t="shared" si="76"/>
        <v>4.6496219905550085E-2</v>
      </c>
      <c r="AT77" s="55">
        <f t="shared" si="77"/>
        <v>4.6496219905550085E-2</v>
      </c>
      <c r="AU77" s="55">
        <f t="shared" si="78"/>
        <v>4.6496219905550085E-2</v>
      </c>
      <c r="AV77" s="55">
        <f t="shared" si="79"/>
        <v>4.1693940041970023E-2</v>
      </c>
      <c r="AW77" s="55">
        <f t="shared" si="80"/>
        <v>4.1693940041970023E-2</v>
      </c>
      <c r="AX77" s="55">
        <f t="shared" si="81"/>
        <v>4.1693940041970023E-2</v>
      </c>
      <c r="AY77" s="55">
        <f t="shared" si="82"/>
        <v>4.1693940041970023E-2</v>
      </c>
      <c r="AZ77" s="56">
        <f t="shared" si="83"/>
        <v>4.1693940041970023E-2</v>
      </c>
      <c r="BA77" s="11"/>
      <c r="BB77" s="12"/>
      <c r="BC77" s="12"/>
      <c r="BD77" s="13"/>
      <c r="BF77" s="14"/>
      <c r="BG77" s="10"/>
      <c r="BH77" s="11"/>
      <c r="BI77" s="11"/>
      <c r="BJ77" s="11"/>
      <c r="BK77" s="12"/>
      <c r="BL77" s="12"/>
      <c r="BM77" s="13"/>
      <c r="BO77" s="14"/>
      <c r="BP77" s="10"/>
      <c r="BQ77" s="11"/>
      <c r="BR77" s="11"/>
      <c r="BS77" s="11"/>
      <c r="BT77" s="12"/>
      <c r="BU77" s="12"/>
      <c r="BV77" s="13"/>
      <c r="BX77" s="14"/>
      <c r="BY77" s="10"/>
      <c r="BZ77" s="11"/>
      <c r="CA77" s="11"/>
      <c r="CB77" s="11"/>
      <c r="CC77" s="12"/>
      <c r="CD77" s="12"/>
      <c r="CE77" s="13"/>
      <c r="CG77" s="14"/>
      <c r="CH77" s="10"/>
      <c r="CI77" s="11"/>
      <c r="CJ77" s="11"/>
      <c r="CK77" s="11"/>
      <c r="CL77" s="12"/>
      <c r="CM77" s="12"/>
      <c r="CN77" s="13"/>
      <c r="CP77" s="13"/>
    </row>
    <row r="78" spans="1:94" x14ac:dyDescent="0.35">
      <c r="A78" s="27">
        <v>71</v>
      </c>
      <c r="B78" s="63">
        <f t="shared" si="58"/>
        <v>4.4999999999999998E-2</v>
      </c>
      <c r="C78" s="28">
        <f>B78+VLOOKUP(Rawdata!A73,Int_rate_movements,2,TRUE)</f>
        <v>4.4999999999999998E-2</v>
      </c>
      <c r="D78" s="28">
        <f>C78+VLOOKUP(Rawdata!B73,Int_rate_movements,2,TRUE)</f>
        <v>4.4999999999999998E-2</v>
      </c>
      <c r="E78" s="28">
        <f>D78+VLOOKUP(Rawdata!C73,Int_rate_movements,2,TRUE)</f>
        <v>4.4999999999999998E-2</v>
      </c>
      <c r="F78" s="28">
        <f>E78+VLOOKUP(Rawdata!D73,Int_rate_movements,2,TRUE)</f>
        <v>4.4999999999999998E-2</v>
      </c>
      <c r="G78" s="28">
        <f>F78+VLOOKUP(Rawdata!E73,Int_rate_movements,2,TRUE)</f>
        <v>4.4999999999999998E-2</v>
      </c>
      <c r="H78" s="28">
        <f>G78+VLOOKUP(Rawdata!F73,Int_rate_movements,2,TRUE)</f>
        <v>4.4999999999999998E-2</v>
      </c>
      <c r="I78" s="28">
        <f>H78+VLOOKUP(Rawdata!G73,Int_rate_movements,2,TRUE)</f>
        <v>4.7500000000000001E-2</v>
      </c>
      <c r="J78" s="28">
        <f>I78+VLOOKUP(Rawdata!H73,Int_rate_movements,2,TRUE)</f>
        <v>4.7500000000000001E-2</v>
      </c>
      <c r="K78" s="28">
        <f>J78+VLOOKUP(Rawdata!I73,Int_rate_movements,2,TRUE)</f>
        <v>4.7500000000000001E-2</v>
      </c>
      <c r="L78" s="28">
        <f>K78+VLOOKUP(Rawdata!J73,Int_rate_movements,2,TRUE)</f>
        <v>4.7500000000000001E-2</v>
      </c>
      <c r="M78" s="28">
        <f>L78+VLOOKUP(Rawdata!K73,Int_rate_movements,2,TRUE)</f>
        <v>5.2499999999999998E-2</v>
      </c>
      <c r="N78" s="28">
        <f>M78+VLOOKUP(Rawdata!L73,Int_rate_movements,2,TRUE)</f>
        <v>5.2499999999999998E-2</v>
      </c>
      <c r="O78" s="28">
        <f>N78+VLOOKUP(Rawdata!M73,Int_rate_movements,2,TRUE)</f>
        <v>5.2499999999999998E-2</v>
      </c>
      <c r="P78" s="28">
        <f>O78+VLOOKUP(Rawdata!N73,Int_rate_movements,2,TRUE)</f>
        <v>5.2499999999999998E-2</v>
      </c>
      <c r="Q78" s="28">
        <f>P78+VLOOKUP(Rawdata!O73,Int_rate_movements,2,TRUE)</f>
        <v>5.2499999999999998E-2</v>
      </c>
      <c r="R78" s="28">
        <f>Q78+VLOOKUP(Rawdata!P73,Int_rate_movements,2,TRUE)</f>
        <v>5.2499999999999998E-2</v>
      </c>
      <c r="S78" s="28">
        <f>R78+VLOOKUP(Rawdata!Q73,Int_rate_movements,2,TRUE)</f>
        <v>5.2499999999999998E-2</v>
      </c>
      <c r="T78" s="28">
        <f>S78+VLOOKUP(Rawdata!R73,Int_rate_movements,2,TRUE)</f>
        <v>5.2499999999999998E-2</v>
      </c>
      <c r="U78" s="28">
        <f>T78+VLOOKUP(Rawdata!S73,Int_rate_movements,2,TRUE)</f>
        <v>5.2499999999999998E-2</v>
      </c>
      <c r="V78" s="28">
        <f>U78+VLOOKUP(Rawdata!T73,Int_rate_movements,2,TRUE)</f>
        <v>5.2499999999999998E-2</v>
      </c>
      <c r="W78" s="28">
        <f>V78+VLOOKUP(Rawdata!U73,Int_rate_movements,2,TRUE)</f>
        <v>5.2499999999999998E-2</v>
      </c>
      <c r="X78" s="28">
        <f>W78+VLOOKUP(Rawdata!V73,Int_rate_movements,2,TRUE)</f>
        <v>5.2499999999999998E-2</v>
      </c>
      <c r="Y78" s="28">
        <f>X78+VLOOKUP(Rawdata!W73,Int_rate_movements,2,TRUE)</f>
        <v>5.2499999999999998E-2</v>
      </c>
      <c r="Z78" s="35">
        <f>Y78+VLOOKUP(Rawdata!X73,Int_rate_movements,2,TRUE)</f>
        <v>5.2499999999999998E-2</v>
      </c>
      <c r="AA78" s="12"/>
      <c r="AB78" s="55">
        <f t="shared" si="59"/>
        <v>4.4097712805242217E-2</v>
      </c>
      <c r="AC78" s="55">
        <f t="shared" si="60"/>
        <v>4.4097712805242217E-2</v>
      </c>
      <c r="AD78" s="55">
        <f t="shared" si="61"/>
        <v>4.4097712805242217E-2</v>
      </c>
      <c r="AE78" s="55">
        <f t="shared" si="62"/>
        <v>4.4097712805242217E-2</v>
      </c>
      <c r="AF78" s="55">
        <f t="shared" si="63"/>
        <v>4.4097712805242217E-2</v>
      </c>
      <c r="AG78" s="55">
        <f t="shared" si="64"/>
        <v>4.4097712805242217E-2</v>
      </c>
      <c r="AH78" s="55">
        <f t="shared" si="65"/>
        <v>4.4097712805242217E-2</v>
      </c>
      <c r="AI78" s="55">
        <f t="shared" si="66"/>
        <v>4.6496219905550085E-2</v>
      </c>
      <c r="AJ78" s="55">
        <f t="shared" si="67"/>
        <v>4.6496219905550085E-2</v>
      </c>
      <c r="AK78" s="55">
        <f t="shared" si="68"/>
        <v>4.6496219905550085E-2</v>
      </c>
      <c r="AL78" s="55">
        <f t="shared" si="69"/>
        <v>4.6496219905550085E-2</v>
      </c>
      <c r="AM78" s="55">
        <f t="shared" si="70"/>
        <v>5.1277533193896829E-2</v>
      </c>
      <c r="AN78" s="55">
        <f t="shared" si="71"/>
        <v>5.1277533193896829E-2</v>
      </c>
      <c r="AO78" s="55">
        <f t="shared" si="72"/>
        <v>5.1277533193896829E-2</v>
      </c>
      <c r="AP78" s="55">
        <f t="shared" si="73"/>
        <v>5.1277533193896829E-2</v>
      </c>
      <c r="AQ78" s="55">
        <f t="shared" si="74"/>
        <v>5.1277533193896829E-2</v>
      </c>
      <c r="AR78" s="55">
        <f t="shared" si="75"/>
        <v>5.1277533193896829E-2</v>
      </c>
      <c r="AS78" s="55">
        <f t="shared" si="76"/>
        <v>5.1277533193896829E-2</v>
      </c>
      <c r="AT78" s="55">
        <f t="shared" si="77"/>
        <v>5.1277533193896829E-2</v>
      </c>
      <c r="AU78" s="55">
        <f t="shared" si="78"/>
        <v>5.1277533193896829E-2</v>
      </c>
      <c r="AV78" s="55">
        <f t="shared" si="79"/>
        <v>5.1277533193896829E-2</v>
      </c>
      <c r="AW78" s="55">
        <f t="shared" si="80"/>
        <v>5.1277533193896829E-2</v>
      </c>
      <c r="AX78" s="55">
        <f t="shared" si="81"/>
        <v>5.1277533193896829E-2</v>
      </c>
      <c r="AY78" s="55">
        <f t="shared" si="82"/>
        <v>5.1277533193896829E-2</v>
      </c>
      <c r="AZ78" s="56">
        <f t="shared" si="83"/>
        <v>5.1277533193896829E-2</v>
      </c>
      <c r="BA78" s="11"/>
      <c r="BB78" s="12"/>
      <c r="BC78" s="12"/>
      <c r="BD78" s="13"/>
      <c r="BF78" s="14"/>
      <c r="BG78" s="10"/>
      <c r="BH78" s="11"/>
      <c r="BI78" s="11"/>
      <c r="BJ78" s="11"/>
      <c r="BK78" s="12"/>
      <c r="BL78" s="12"/>
      <c r="BM78" s="13"/>
      <c r="BO78" s="14"/>
      <c r="BP78" s="10"/>
      <c r="BQ78" s="11"/>
      <c r="BR78" s="11"/>
      <c r="BS78" s="11"/>
      <c r="BT78" s="12"/>
      <c r="BU78" s="12"/>
      <c r="BV78" s="13"/>
      <c r="BX78" s="14"/>
      <c r="BY78" s="10"/>
      <c r="BZ78" s="11"/>
      <c r="CA78" s="11"/>
      <c r="CB78" s="11"/>
      <c r="CC78" s="12"/>
      <c r="CD78" s="12"/>
      <c r="CE78" s="13"/>
      <c r="CG78" s="14"/>
      <c r="CH78" s="10"/>
      <c r="CI78" s="11"/>
      <c r="CJ78" s="11"/>
      <c r="CK78" s="11"/>
      <c r="CL78" s="12"/>
      <c r="CM78" s="12"/>
      <c r="CN78" s="13"/>
      <c r="CP78" s="13"/>
    </row>
    <row r="79" spans="1:94" x14ac:dyDescent="0.35">
      <c r="A79" s="5">
        <v>72</v>
      </c>
      <c r="B79" s="63">
        <f t="shared" si="58"/>
        <v>4.4999999999999998E-2</v>
      </c>
      <c r="C79" s="28">
        <f>B79+VLOOKUP(Rawdata!A74,Int_rate_movements,2,TRUE)</f>
        <v>4.4999999999999998E-2</v>
      </c>
      <c r="D79" s="28">
        <f>C79+VLOOKUP(Rawdata!B74,Int_rate_movements,2,TRUE)</f>
        <v>4.4999999999999998E-2</v>
      </c>
      <c r="E79" s="28">
        <f>D79+VLOOKUP(Rawdata!C74,Int_rate_movements,2,TRUE)</f>
        <v>4.4999999999999998E-2</v>
      </c>
      <c r="F79" s="28">
        <f>E79+VLOOKUP(Rawdata!D74,Int_rate_movements,2,TRUE)</f>
        <v>4.4999999999999998E-2</v>
      </c>
      <c r="G79" s="28">
        <f>F79+VLOOKUP(Rawdata!E74,Int_rate_movements,2,TRUE)</f>
        <v>4.4999999999999998E-2</v>
      </c>
      <c r="H79" s="28">
        <f>G79+VLOOKUP(Rawdata!F74,Int_rate_movements,2,TRUE)</f>
        <v>4.4999999999999998E-2</v>
      </c>
      <c r="I79" s="28">
        <f>H79+VLOOKUP(Rawdata!G74,Int_rate_movements,2,TRUE)</f>
        <v>4.4999999999999998E-2</v>
      </c>
      <c r="J79" s="28">
        <f>I79+VLOOKUP(Rawdata!H74,Int_rate_movements,2,TRUE)</f>
        <v>4.4999999999999998E-2</v>
      </c>
      <c r="K79" s="28">
        <f>J79+VLOOKUP(Rawdata!I74,Int_rate_movements,2,TRUE)</f>
        <v>4.4999999999999998E-2</v>
      </c>
      <c r="L79" s="28">
        <f>K79+VLOOKUP(Rawdata!J74,Int_rate_movements,2,TRUE)</f>
        <v>4.9999999999999996E-2</v>
      </c>
      <c r="M79" s="28">
        <f>L79+VLOOKUP(Rawdata!K74,Int_rate_movements,2,TRUE)</f>
        <v>4.9999999999999996E-2</v>
      </c>
      <c r="N79" s="28">
        <f>M79+VLOOKUP(Rawdata!L74,Int_rate_movements,2,TRUE)</f>
        <v>4.9999999999999996E-2</v>
      </c>
      <c r="O79" s="28">
        <f>N79+VLOOKUP(Rawdata!M74,Int_rate_movements,2,TRUE)</f>
        <v>4.9999999999999996E-2</v>
      </c>
      <c r="P79" s="28">
        <f>O79+VLOOKUP(Rawdata!N74,Int_rate_movements,2,TRUE)</f>
        <v>4.9999999999999996E-2</v>
      </c>
      <c r="Q79" s="28">
        <f>P79+VLOOKUP(Rawdata!O74,Int_rate_movements,2,TRUE)</f>
        <v>4.9999999999999996E-2</v>
      </c>
      <c r="R79" s="28">
        <f>Q79+VLOOKUP(Rawdata!P74,Int_rate_movements,2,TRUE)</f>
        <v>5.2499999999999998E-2</v>
      </c>
      <c r="S79" s="28">
        <f>R79+VLOOKUP(Rawdata!Q74,Int_rate_movements,2,TRUE)</f>
        <v>5.2499999999999998E-2</v>
      </c>
      <c r="T79" s="28">
        <f>S79+VLOOKUP(Rawdata!R74,Int_rate_movements,2,TRUE)</f>
        <v>5.2499999999999998E-2</v>
      </c>
      <c r="U79" s="28">
        <f>T79+VLOOKUP(Rawdata!S74,Int_rate_movements,2,TRUE)</f>
        <v>5.2499999999999998E-2</v>
      </c>
      <c r="V79" s="28">
        <f>U79+VLOOKUP(Rawdata!T74,Int_rate_movements,2,TRUE)</f>
        <v>5.2499999999999998E-2</v>
      </c>
      <c r="W79" s="28">
        <f>V79+VLOOKUP(Rawdata!U74,Int_rate_movements,2,TRUE)</f>
        <v>4.7500000000000001E-2</v>
      </c>
      <c r="X79" s="28">
        <f>W79+VLOOKUP(Rawdata!V74,Int_rate_movements,2,TRUE)</f>
        <v>4.7500000000000001E-2</v>
      </c>
      <c r="Y79" s="28">
        <f>X79+VLOOKUP(Rawdata!W74,Int_rate_movements,2,TRUE)</f>
        <v>4.7500000000000001E-2</v>
      </c>
      <c r="Z79" s="35">
        <f>Y79+VLOOKUP(Rawdata!X74,Int_rate_movements,2,TRUE)</f>
        <v>4.7500000000000001E-2</v>
      </c>
      <c r="AA79" s="12"/>
      <c r="AB79" s="55">
        <f t="shared" si="59"/>
        <v>4.4097712805242217E-2</v>
      </c>
      <c r="AC79" s="55">
        <f t="shared" si="60"/>
        <v>4.4097712805242217E-2</v>
      </c>
      <c r="AD79" s="55">
        <f t="shared" si="61"/>
        <v>4.4097712805242217E-2</v>
      </c>
      <c r="AE79" s="55">
        <f t="shared" si="62"/>
        <v>4.4097712805242217E-2</v>
      </c>
      <c r="AF79" s="55">
        <f t="shared" si="63"/>
        <v>4.4097712805242217E-2</v>
      </c>
      <c r="AG79" s="55">
        <f t="shared" si="64"/>
        <v>4.4097712805242217E-2</v>
      </c>
      <c r="AH79" s="55">
        <f t="shared" si="65"/>
        <v>4.4097712805242217E-2</v>
      </c>
      <c r="AI79" s="55">
        <f t="shared" si="66"/>
        <v>4.4097712805242217E-2</v>
      </c>
      <c r="AJ79" s="55">
        <f t="shared" si="67"/>
        <v>4.4097712805242217E-2</v>
      </c>
      <c r="AK79" s="55">
        <f t="shared" si="68"/>
        <v>4.4097712805242217E-2</v>
      </c>
      <c r="AL79" s="55">
        <f t="shared" si="69"/>
        <v>4.8889485403780242E-2</v>
      </c>
      <c r="AM79" s="55">
        <f t="shared" si="70"/>
        <v>4.8889485403780242E-2</v>
      </c>
      <c r="AN79" s="55">
        <f t="shared" si="71"/>
        <v>4.8889485403780242E-2</v>
      </c>
      <c r="AO79" s="55">
        <f t="shared" si="72"/>
        <v>4.8889485403780242E-2</v>
      </c>
      <c r="AP79" s="55">
        <f t="shared" si="73"/>
        <v>4.8889485403780242E-2</v>
      </c>
      <c r="AQ79" s="55">
        <f t="shared" si="74"/>
        <v>4.8889485403780242E-2</v>
      </c>
      <c r="AR79" s="55">
        <f t="shared" si="75"/>
        <v>5.1277533193896829E-2</v>
      </c>
      <c r="AS79" s="55">
        <f t="shared" si="76"/>
        <v>5.1277533193896829E-2</v>
      </c>
      <c r="AT79" s="55">
        <f t="shared" si="77"/>
        <v>5.1277533193896829E-2</v>
      </c>
      <c r="AU79" s="55">
        <f t="shared" si="78"/>
        <v>5.1277533193896829E-2</v>
      </c>
      <c r="AV79" s="55">
        <f t="shared" si="79"/>
        <v>5.1277533193896829E-2</v>
      </c>
      <c r="AW79" s="55">
        <f t="shared" si="80"/>
        <v>4.6496219905550085E-2</v>
      </c>
      <c r="AX79" s="55">
        <f t="shared" si="81"/>
        <v>4.6496219905550085E-2</v>
      </c>
      <c r="AY79" s="55">
        <f t="shared" si="82"/>
        <v>4.6496219905550085E-2</v>
      </c>
      <c r="AZ79" s="56">
        <f t="shared" si="83"/>
        <v>4.6496219905550085E-2</v>
      </c>
      <c r="BA79" s="11"/>
      <c r="BB79" s="12"/>
      <c r="BC79" s="12"/>
      <c r="BD79" s="13"/>
      <c r="BF79" s="14"/>
      <c r="BG79" s="10"/>
      <c r="BH79" s="11"/>
      <c r="BI79" s="11"/>
      <c r="BJ79" s="11"/>
      <c r="BK79" s="12"/>
      <c r="BL79" s="12"/>
      <c r="BM79" s="13"/>
      <c r="BO79" s="14"/>
      <c r="BP79" s="10"/>
      <c r="BQ79" s="11"/>
      <c r="BR79" s="11"/>
      <c r="BS79" s="11"/>
      <c r="BT79" s="12"/>
      <c r="BU79" s="12"/>
      <c r="BV79" s="13"/>
      <c r="BX79" s="14"/>
      <c r="BY79" s="10"/>
      <c r="BZ79" s="11"/>
      <c r="CA79" s="11"/>
      <c r="CB79" s="11"/>
      <c r="CC79" s="12"/>
      <c r="CD79" s="12"/>
      <c r="CE79" s="13"/>
      <c r="CG79" s="14"/>
      <c r="CH79" s="10"/>
      <c r="CI79" s="11"/>
      <c r="CJ79" s="11"/>
      <c r="CK79" s="11"/>
      <c r="CL79" s="12"/>
      <c r="CM79" s="12"/>
      <c r="CN79" s="13"/>
      <c r="CP79" s="13"/>
    </row>
    <row r="80" spans="1:94" x14ac:dyDescent="0.35">
      <c r="A80" s="27">
        <v>73</v>
      </c>
      <c r="B80" s="63">
        <f t="shared" si="58"/>
        <v>4.4999999999999998E-2</v>
      </c>
      <c r="C80" s="28">
        <f>B80+VLOOKUP(Rawdata!A75,Int_rate_movements,2,TRUE)</f>
        <v>4.4999999999999998E-2</v>
      </c>
      <c r="D80" s="28">
        <f>C80+VLOOKUP(Rawdata!B75,Int_rate_movements,2,TRUE)</f>
        <v>4.4999999999999998E-2</v>
      </c>
      <c r="E80" s="28">
        <f>D80+VLOOKUP(Rawdata!C75,Int_rate_movements,2,TRUE)</f>
        <v>4.4999999999999998E-2</v>
      </c>
      <c r="F80" s="28">
        <f>E80+VLOOKUP(Rawdata!D75,Int_rate_movements,2,TRUE)</f>
        <v>4.7500000000000001E-2</v>
      </c>
      <c r="G80" s="28">
        <f>F80+VLOOKUP(Rawdata!E75,Int_rate_movements,2,TRUE)</f>
        <v>4.7500000000000001E-2</v>
      </c>
      <c r="H80" s="28">
        <f>G80+VLOOKUP(Rawdata!F75,Int_rate_movements,2,TRUE)</f>
        <v>4.7500000000000001E-2</v>
      </c>
      <c r="I80" s="28">
        <f>H80+VLOOKUP(Rawdata!G75,Int_rate_movements,2,TRUE)</f>
        <v>4.7500000000000001E-2</v>
      </c>
      <c r="J80" s="28">
        <f>I80+VLOOKUP(Rawdata!H75,Int_rate_movements,2,TRUE)</f>
        <v>4.7500000000000001E-2</v>
      </c>
      <c r="K80" s="28">
        <f>J80+VLOOKUP(Rawdata!I75,Int_rate_movements,2,TRUE)</f>
        <v>4.7500000000000001E-2</v>
      </c>
      <c r="L80" s="28">
        <f>K80+VLOOKUP(Rawdata!J75,Int_rate_movements,2,TRUE)</f>
        <v>4.7500000000000001E-2</v>
      </c>
      <c r="M80" s="28">
        <f>L80+VLOOKUP(Rawdata!K75,Int_rate_movements,2,TRUE)</f>
        <v>4.7500000000000001E-2</v>
      </c>
      <c r="N80" s="28">
        <f>M80+VLOOKUP(Rawdata!L75,Int_rate_movements,2,TRUE)</f>
        <v>4.7500000000000001E-2</v>
      </c>
      <c r="O80" s="28">
        <f>N80+VLOOKUP(Rawdata!M75,Int_rate_movements,2,TRUE)</f>
        <v>0.05</v>
      </c>
      <c r="P80" s="28">
        <f>O80+VLOOKUP(Rawdata!N75,Int_rate_movements,2,TRUE)</f>
        <v>0.05</v>
      </c>
      <c r="Q80" s="28">
        <f>P80+VLOOKUP(Rawdata!O75,Int_rate_movements,2,TRUE)</f>
        <v>0.05</v>
      </c>
      <c r="R80" s="28">
        <f>Q80+VLOOKUP(Rawdata!P75,Int_rate_movements,2,TRUE)</f>
        <v>0.05</v>
      </c>
      <c r="S80" s="28">
        <f>R80+VLOOKUP(Rawdata!Q75,Int_rate_movements,2,TRUE)</f>
        <v>0.05</v>
      </c>
      <c r="T80" s="28">
        <f>S80+VLOOKUP(Rawdata!R75,Int_rate_movements,2,TRUE)</f>
        <v>0.05</v>
      </c>
      <c r="U80" s="28">
        <f>T80+VLOOKUP(Rawdata!S75,Int_rate_movements,2,TRUE)</f>
        <v>0.05</v>
      </c>
      <c r="V80" s="28">
        <f>U80+VLOOKUP(Rawdata!T75,Int_rate_movements,2,TRUE)</f>
        <v>0.05</v>
      </c>
      <c r="W80" s="28">
        <f>V80+VLOOKUP(Rawdata!U75,Int_rate_movements,2,TRUE)</f>
        <v>0.05</v>
      </c>
      <c r="X80" s="28">
        <f>W80+VLOOKUP(Rawdata!V75,Int_rate_movements,2,TRUE)</f>
        <v>0.05</v>
      </c>
      <c r="Y80" s="28">
        <f>X80+VLOOKUP(Rawdata!W75,Int_rate_movements,2,TRUE)</f>
        <v>0.05</v>
      </c>
      <c r="Z80" s="35">
        <f>Y80+VLOOKUP(Rawdata!X75,Int_rate_movements,2,TRUE)</f>
        <v>5.2500000000000005E-2</v>
      </c>
      <c r="AA80" s="12"/>
      <c r="AB80" s="55">
        <f t="shared" si="59"/>
        <v>4.4097712805242217E-2</v>
      </c>
      <c r="AC80" s="55">
        <f t="shared" si="60"/>
        <v>4.4097712805242217E-2</v>
      </c>
      <c r="AD80" s="55">
        <f t="shared" si="61"/>
        <v>4.4097712805242217E-2</v>
      </c>
      <c r="AE80" s="55">
        <f t="shared" si="62"/>
        <v>4.4097712805242217E-2</v>
      </c>
      <c r="AF80" s="55">
        <f t="shared" si="63"/>
        <v>4.6496219905550085E-2</v>
      </c>
      <c r="AG80" s="55">
        <f t="shared" si="64"/>
        <v>4.6496219905550085E-2</v>
      </c>
      <c r="AH80" s="55">
        <f t="shared" si="65"/>
        <v>4.6496219905550085E-2</v>
      </c>
      <c r="AI80" s="55">
        <f t="shared" si="66"/>
        <v>4.6496219905550085E-2</v>
      </c>
      <c r="AJ80" s="55">
        <f t="shared" si="67"/>
        <v>4.6496219905550085E-2</v>
      </c>
      <c r="AK80" s="55">
        <f t="shared" si="68"/>
        <v>4.6496219905550085E-2</v>
      </c>
      <c r="AL80" s="55">
        <f t="shared" si="69"/>
        <v>4.6496219905550085E-2</v>
      </c>
      <c r="AM80" s="55">
        <f t="shared" si="70"/>
        <v>4.6496219905550085E-2</v>
      </c>
      <c r="AN80" s="55">
        <f t="shared" si="71"/>
        <v>4.6496219905550085E-2</v>
      </c>
      <c r="AO80" s="55">
        <f t="shared" si="72"/>
        <v>4.8889485403780242E-2</v>
      </c>
      <c r="AP80" s="55">
        <f t="shared" si="73"/>
        <v>4.8889485403780242E-2</v>
      </c>
      <c r="AQ80" s="55">
        <f t="shared" si="74"/>
        <v>4.8889485403780242E-2</v>
      </c>
      <c r="AR80" s="55">
        <f t="shared" si="75"/>
        <v>4.8889485403780242E-2</v>
      </c>
      <c r="AS80" s="55">
        <f t="shared" si="76"/>
        <v>4.8889485403780242E-2</v>
      </c>
      <c r="AT80" s="55">
        <f t="shared" si="77"/>
        <v>4.8889485403780242E-2</v>
      </c>
      <c r="AU80" s="55">
        <f t="shared" si="78"/>
        <v>4.8889485403780242E-2</v>
      </c>
      <c r="AV80" s="55">
        <f t="shared" si="79"/>
        <v>4.8889485403780242E-2</v>
      </c>
      <c r="AW80" s="55">
        <f t="shared" si="80"/>
        <v>4.8889485403780242E-2</v>
      </c>
      <c r="AX80" s="55">
        <f t="shared" si="81"/>
        <v>4.8889485403780242E-2</v>
      </c>
      <c r="AY80" s="55">
        <f t="shared" si="82"/>
        <v>4.8889485403780242E-2</v>
      </c>
      <c r="AZ80" s="56">
        <f t="shared" si="83"/>
        <v>5.1277533193896829E-2</v>
      </c>
      <c r="BA80" s="11"/>
      <c r="BB80" s="12"/>
      <c r="BC80" s="12"/>
      <c r="BD80" s="13"/>
      <c r="BF80" s="14"/>
      <c r="BG80" s="10"/>
      <c r="BH80" s="11"/>
      <c r="BI80" s="11"/>
      <c r="BJ80" s="11"/>
      <c r="BK80" s="12"/>
      <c r="BL80" s="12"/>
      <c r="BM80" s="13"/>
      <c r="BO80" s="14"/>
      <c r="BP80" s="10"/>
      <c r="BQ80" s="11"/>
      <c r="BR80" s="11"/>
      <c r="BS80" s="11"/>
      <c r="BT80" s="12"/>
      <c r="BU80" s="12"/>
      <c r="BV80" s="13"/>
      <c r="BX80" s="14"/>
      <c r="BY80" s="10"/>
      <c r="BZ80" s="11"/>
      <c r="CA80" s="11"/>
      <c r="CB80" s="11"/>
      <c r="CC80" s="12"/>
      <c r="CD80" s="12"/>
      <c r="CE80" s="13"/>
      <c r="CG80" s="14"/>
      <c r="CH80" s="10"/>
      <c r="CI80" s="11"/>
      <c r="CJ80" s="11"/>
      <c r="CK80" s="11"/>
      <c r="CL80" s="12"/>
      <c r="CM80" s="12"/>
      <c r="CN80" s="13"/>
      <c r="CP80" s="13"/>
    </row>
    <row r="81" spans="1:94" x14ac:dyDescent="0.35">
      <c r="A81" s="5">
        <v>74</v>
      </c>
      <c r="B81" s="63">
        <f t="shared" si="58"/>
        <v>4.4999999999999998E-2</v>
      </c>
      <c r="C81" s="28">
        <f>B81+VLOOKUP(Rawdata!A76,Int_rate_movements,2,TRUE)</f>
        <v>4.4999999999999998E-2</v>
      </c>
      <c r="D81" s="28">
        <f>C81+VLOOKUP(Rawdata!B76,Int_rate_movements,2,TRUE)</f>
        <v>4.4999999999999998E-2</v>
      </c>
      <c r="E81" s="28">
        <f>D81+VLOOKUP(Rawdata!C76,Int_rate_movements,2,TRUE)</f>
        <v>4.4999999999999998E-2</v>
      </c>
      <c r="F81" s="28">
        <f>E81+VLOOKUP(Rawdata!D76,Int_rate_movements,2,TRUE)</f>
        <v>4.4999999999999998E-2</v>
      </c>
      <c r="G81" s="28">
        <f>F81+VLOOKUP(Rawdata!E76,Int_rate_movements,2,TRUE)</f>
        <v>4.4999999999999998E-2</v>
      </c>
      <c r="H81" s="28">
        <f>G81+VLOOKUP(Rawdata!F76,Int_rate_movements,2,TRUE)</f>
        <v>4.4999999999999998E-2</v>
      </c>
      <c r="I81" s="28">
        <f>H81+VLOOKUP(Rawdata!G76,Int_rate_movements,2,TRUE)</f>
        <v>4.4999999999999998E-2</v>
      </c>
      <c r="J81" s="28">
        <f>I81+VLOOKUP(Rawdata!H76,Int_rate_movements,2,TRUE)</f>
        <v>4.4999999999999998E-2</v>
      </c>
      <c r="K81" s="28">
        <f>J81+VLOOKUP(Rawdata!I76,Int_rate_movements,2,TRUE)</f>
        <v>4.4999999999999998E-2</v>
      </c>
      <c r="L81" s="28">
        <f>K81+VLOOKUP(Rawdata!J76,Int_rate_movements,2,TRUE)</f>
        <v>4.4999999999999998E-2</v>
      </c>
      <c r="M81" s="28">
        <f>L81+VLOOKUP(Rawdata!K76,Int_rate_movements,2,TRUE)</f>
        <v>4.4999999999999998E-2</v>
      </c>
      <c r="N81" s="28">
        <f>M81+VLOOKUP(Rawdata!L76,Int_rate_movements,2,TRUE)</f>
        <v>4.4999999999999998E-2</v>
      </c>
      <c r="O81" s="28">
        <f>N81+VLOOKUP(Rawdata!M76,Int_rate_movements,2,TRUE)</f>
        <v>4.4999999999999998E-2</v>
      </c>
      <c r="P81" s="28">
        <f>O81+VLOOKUP(Rawdata!N76,Int_rate_movements,2,TRUE)</f>
        <v>4.4999999999999998E-2</v>
      </c>
      <c r="Q81" s="28">
        <f>P81+VLOOKUP(Rawdata!O76,Int_rate_movements,2,TRUE)</f>
        <v>4.4999999999999998E-2</v>
      </c>
      <c r="R81" s="28">
        <f>Q81+VLOOKUP(Rawdata!P76,Int_rate_movements,2,TRUE)</f>
        <v>4.4999999999999998E-2</v>
      </c>
      <c r="S81" s="28">
        <f>R81+VLOOKUP(Rawdata!Q76,Int_rate_movements,2,TRUE)</f>
        <v>4.7500000000000001E-2</v>
      </c>
      <c r="T81" s="28">
        <f>S81+VLOOKUP(Rawdata!R76,Int_rate_movements,2,TRUE)</f>
        <v>4.7500000000000001E-2</v>
      </c>
      <c r="U81" s="28">
        <f>T81+VLOOKUP(Rawdata!S76,Int_rate_movements,2,TRUE)</f>
        <v>4.7500000000000001E-2</v>
      </c>
      <c r="V81" s="28">
        <f>U81+VLOOKUP(Rawdata!T76,Int_rate_movements,2,TRUE)</f>
        <v>4.7500000000000001E-2</v>
      </c>
      <c r="W81" s="28">
        <f>V81+VLOOKUP(Rawdata!U76,Int_rate_movements,2,TRUE)</f>
        <v>4.4999999999999998E-2</v>
      </c>
      <c r="X81" s="28">
        <f>W81+VLOOKUP(Rawdata!V76,Int_rate_movements,2,TRUE)</f>
        <v>4.4999999999999998E-2</v>
      </c>
      <c r="Y81" s="28">
        <f>X81+VLOOKUP(Rawdata!W76,Int_rate_movements,2,TRUE)</f>
        <v>4.4999999999999998E-2</v>
      </c>
      <c r="Z81" s="35">
        <f>Y81+VLOOKUP(Rawdata!X76,Int_rate_movements,2,TRUE)</f>
        <v>4.4999999999999998E-2</v>
      </c>
      <c r="AA81" s="12"/>
      <c r="AB81" s="55">
        <f t="shared" si="59"/>
        <v>4.4097712805242217E-2</v>
      </c>
      <c r="AC81" s="55">
        <f t="shared" si="60"/>
        <v>4.4097712805242217E-2</v>
      </c>
      <c r="AD81" s="55">
        <f t="shared" si="61"/>
        <v>4.4097712805242217E-2</v>
      </c>
      <c r="AE81" s="55">
        <f t="shared" si="62"/>
        <v>4.4097712805242217E-2</v>
      </c>
      <c r="AF81" s="55">
        <f t="shared" si="63"/>
        <v>4.4097712805242217E-2</v>
      </c>
      <c r="AG81" s="55">
        <f t="shared" si="64"/>
        <v>4.4097712805242217E-2</v>
      </c>
      <c r="AH81" s="55">
        <f t="shared" si="65"/>
        <v>4.4097712805242217E-2</v>
      </c>
      <c r="AI81" s="55">
        <f t="shared" si="66"/>
        <v>4.4097712805242217E-2</v>
      </c>
      <c r="AJ81" s="55">
        <f t="shared" si="67"/>
        <v>4.4097712805242217E-2</v>
      </c>
      <c r="AK81" s="55">
        <f t="shared" si="68"/>
        <v>4.4097712805242217E-2</v>
      </c>
      <c r="AL81" s="55">
        <f t="shared" si="69"/>
        <v>4.4097712805242217E-2</v>
      </c>
      <c r="AM81" s="55">
        <f t="shared" si="70"/>
        <v>4.4097712805242217E-2</v>
      </c>
      <c r="AN81" s="55">
        <f t="shared" si="71"/>
        <v>4.4097712805242217E-2</v>
      </c>
      <c r="AO81" s="55">
        <f t="shared" si="72"/>
        <v>4.4097712805242217E-2</v>
      </c>
      <c r="AP81" s="55">
        <f t="shared" si="73"/>
        <v>4.4097712805242217E-2</v>
      </c>
      <c r="AQ81" s="55">
        <f t="shared" si="74"/>
        <v>4.4097712805242217E-2</v>
      </c>
      <c r="AR81" s="55">
        <f t="shared" si="75"/>
        <v>4.4097712805242217E-2</v>
      </c>
      <c r="AS81" s="55">
        <f t="shared" si="76"/>
        <v>4.6496219905550085E-2</v>
      </c>
      <c r="AT81" s="55">
        <f t="shared" si="77"/>
        <v>4.6496219905550085E-2</v>
      </c>
      <c r="AU81" s="55">
        <f t="shared" si="78"/>
        <v>4.6496219905550085E-2</v>
      </c>
      <c r="AV81" s="55">
        <f t="shared" si="79"/>
        <v>4.6496219905550085E-2</v>
      </c>
      <c r="AW81" s="55">
        <f t="shared" si="80"/>
        <v>4.4097712805242217E-2</v>
      </c>
      <c r="AX81" s="55">
        <f t="shared" si="81"/>
        <v>4.4097712805242217E-2</v>
      </c>
      <c r="AY81" s="55">
        <f t="shared" si="82"/>
        <v>4.4097712805242217E-2</v>
      </c>
      <c r="AZ81" s="56">
        <f t="shared" si="83"/>
        <v>4.4097712805242217E-2</v>
      </c>
      <c r="BA81" s="11"/>
      <c r="BB81" s="12"/>
      <c r="BC81" s="12"/>
      <c r="BD81" s="13"/>
      <c r="BF81" s="14"/>
      <c r="BG81" s="10"/>
      <c r="BH81" s="11"/>
      <c r="BI81" s="11"/>
      <c r="BJ81" s="11"/>
      <c r="BK81" s="12"/>
      <c r="BL81" s="12"/>
      <c r="BM81" s="13"/>
      <c r="BO81" s="14"/>
      <c r="BP81" s="10"/>
      <c r="BQ81" s="11"/>
      <c r="BR81" s="11"/>
      <c r="BS81" s="11"/>
      <c r="BT81" s="12"/>
      <c r="BU81" s="12"/>
      <c r="BV81" s="13"/>
      <c r="BX81" s="14"/>
      <c r="BY81" s="10"/>
      <c r="BZ81" s="11"/>
      <c r="CA81" s="11"/>
      <c r="CB81" s="11"/>
      <c r="CC81" s="12"/>
      <c r="CD81" s="12"/>
      <c r="CE81" s="13"/>
      <c r="CG81" s="14"/>
      <c r="CH81" s="10"/>
      <c r="CI81" s="11"/>
      <c r="CJ81" s="11"/>
      <c r="CK81" s="11"/>
      <c r="CL81" s="12"/>
      <c r="CM81" s="12"/>
      <c r="CN81" s="13"/>
      <c r="CP81" s="13"/>
    </row>
    <row r="82" spans="1:94" x14ac:dyDescent="0.35">
      <c r="A82" s="27">
        <v>75</v>
      </c>
      <c r="B82" s="63">
        <f t="shared" si="58"/>
        <v>4.4999999999999998E-2</v>
      </c>
      <c r="C82" s="28">
        <f>B82+VLOOKUP(Rawdata!A77,Int_rate_movements,2,TRUE)</f>
        <v>4.7500000000000001E-2</v>
      </c>
      <c r="D82" s="28">
        <f>C82+VLOOKUP(Rawdata!B77,Int_rate_movements,2,TRUE)</f>
        <v>4.7500000000000001E-2</v>
      </c>
      <c r="E82" s="28">
        <f>D82+VLOOKUP(Rawdata!C77,Int_rate_movements,2,TRUE)</f>
        <v>4.7500000000000001E-2</v>
      </c>
      <c r="F82" s="28">
        <f>E82+VLOOKUP(Rawdata!D77,Int_rate_movements,2,TRUE)</f>
        <v>4.7500000000000001E-2</v>
      </c>
      <c r="G82" s="28">
        <f>F82+VLOOKUP(Rawdata!E77,Int_rate_movements,2,TRUE)</f>
        <v>4.7500000000000001E-2</v>
      </c>
      <c r="H82" s="28">
        <f>G82+VLOOKUP(Rawdata!F77,Int_rate_movements,2,TRUE)</f>
        <v>4.7500000000000001E-2</v>
      </c>
      <c r="I82" s="28">
        <f>H82+VLOOKUP(Rawdata!G77,Int_rate_movements,2,TRUE)</f>
        <v>4.7500000000000001E-2</v>
      </c>
      <c r="J82" s="28">
        <f>I82+VLOOKUP(Rawdata!H77,Int_rate_movements,2,TRUE)</f>
        <v>4.7500000000000001E-2</v>
      </c>
      <c r="K82" s="28">
        <f>J82+VLOOKUP(Rawdata!I77,Int_rate_movements,2,TRUE)</f>
        <v>4.7500000000000001E-2</v>
      </c>
      <c r="L82" s="28">
        <f>K82+VLOOKUP(Rawdata!J77,Int_rate_movements,2,TRUE)</f>
        <v>4.7500000000000001E-2</v>
      </c>
      <c r="M82" s="28">
        <f>L82+VLOOKUP(Rawdata!K77,Int_rate_movements,2,TRUE)</f>
        <v>4.7500000000000001E-2</v>
      </c>
      <c r="N82" s="28">
        <f>M82+VLOOKUP(Rawdata!L77,Int_rate_movements,2,TRUE)</f>
        <v>4.7500000000000001E-2</v>
      </c>
      <c r="O82" s="28">
        <f>N82+VLOOKUP(Rawdata!M77,Int_rate_movements,2,TRUE)</f>
        <v>4.7500000000000001E-2</v>
      </c>
      <c r="P82" s="28">
        <f>O82+VLOOKUP(Rawdata!N77,Int_rate_movements,2,TRUE)</f>
        <v>0.05</v>
      </c>
      <c r="Q82" s="28">
        <f>P82+VLOOKUP(Rawdata!O77,Int_rate_movements,2,TRUE)</f>
        <v>0.05</v>
      </c>
      <c r="R82" s="28">
        <f>Q82+VLOOKUP(Rawdata!P77,Int_rate_movements,2,TRUE)</f>
        <v>0.05</v>
      </c>
      <c r="S82" s="28">
        <f>R82+VLOOKUP(Rawdata!Q77,Int_rate_movements,2,TRUE)</f>
        <v>0.05</v>
      </c>
      <c r="T82" s="28">
        <f>S82+VLOOKUP(Rawdata!R77,Int_rate_movements,2,TRUE)</f>
        <v>0.05</v>
      </c>
      <c r="U82" s="28">
        <f>T82+VLOOKUP(Rawdata!S77,Int_rate_movements,2,TRUE)</f>
        <v>0.05</v>
      </c>
      <c r="V82" s="28">
        <f>U82+VLOOKUP(Rawdata!T77,Int_rate_movements,2,TRUE)</f>
        <v>0.05</v>
      </c>
      <c r="W82" s="28">
        <f>V82+VLOOKUP(Rawdata!U77,Int_rate_movements,2,TRUE)</f>
        <v>0.05</v>
      </c>
      <c r="X82" s="28">
        <f>W82+VLOOKUP(Rawdata!V77,Int_rate_movements,2,TRUE)</f>
        <v>0.05</v>
      </c>
      <c r="Y82" s="28">
        <f>X82+VLOOKUP(Rawdata!W77,Int_rate_movements,2,TRUE)</f>
        <v>0.05</v>
      </c>
      <c r="Z82" s="35">
        <f>Y82+VLOOKUP(Rawdata!X77,Int_rate_movements,2,TRUE)</f>
        <v>0.05</v>
      </c>
      <c r="AA82" s="12"/>
      <c r="AB82" s="55">
        <f t="shared" si="59"/>
        <v>4.4097712805242217E-2</v>
      </c>
      <c r="AC82" s="55">
        <f t="shared" si="60"/>
        <v>4.6496219905550085E-2</v>
      </c>
      <c r="AD82" s="55">
        <f t="shared" si="61"/>
        <v>4.6496219905550085E-2</v>
      </c>
      <c r="AE82" s="55">
        <f t="shared" si="62"/>
        <v>4.6496219905550085E-2</v>
      </c>
      <c r="AF82" s="55">
        <f t="shared" si="63"/>
        <v>4.6496219905550085E-2</v>
      </c>
      <c r="AG82" s="55">
        <f t="shared" si="64"/>
        <v>4.6496219905550085E-2</v>
      </c>
      <c r="AH82" s="55">
        <f t="shared" si="65"/>
        <v>4.6496219905550085E-2</v>
      </c>
      <c r="AI82" s="55">
        <f t="shared" si="66"/>
        <v>4.6496219905550085E-2</v>
      </c>
      <c r="AJ82" s="55">
        <f t="shared" si="67"/>
        <v>4.6496219905550085E-2</v>
      </c>
      <c r="AK82" s="55">
        <f t="shared" si="68"/>
        <v>4.6496219905550085E-2</v>
      </c>
      <c r="AL82" s="55">
        <f t="shared" si="69"/>
        <v>4.6496219905550085E-2</v>
      </c>
      <c r="AM82" s="55">
        <f t="shared" si="70"/>
        <v>4.6496219905550085E-2</v>
      </c>
      <c r="AN82" s="55">
        <f t="shared" si="71"/>
        <v>4.6496219905550085E-2</v>
      </c>
      <c r="AO82" s="55">
        <f t="shared" si="72"/>
        <v>4.6496219905550085E-2</v>
      </c>
      <c r="AP82" s="55">
        <f t="shared" si="73"/>
        <v>4.8889485403780242E-2</v>
      </c>
      <c r="AQ82" s="55">
        <f t="shared" si="74"/>
        <v>4.8889485403780242E-2</v>
      </c>
      <c r="AR82" s="55">
        <f t="shared" si="75"/>
        <v>4.8889485403780242E-2</v>
      </c>
      <c r="AS82" s="55">
        <f t="shared" si="76"/>
        <v>4.8889485403780242E-2</v>
      </c>
      <c r="AT82" s="55">
        <f t="shared" si="77"/>
        <v>4.8889485403780242E-2</v>
      </c>
      <c r="AU82" s="55">
        <f t="shared" si="78"/>
        <v>4.8889485403780242E-2</v>
      </c>
      <c r="AV82" s="55">
        <f t="shared" si="79"/>
        <v>4.8889485403780242E-2</v>
      </c>
      <c r="AW82" s="55">
        <f t="shared" si="80"/>
        <v>4.8889485403780242E-2</v>
      </c>
      <c r="AX82" s="55">
        <f t="shared" si="81"/>
        <v>4.8889485403780242E-2</v>
      </c>
      <c r="AY82" s="55">
        <f t="shared" si="82"/>
        <v>4.8889485403780242E-2</v>
      </c>
      <c r="AZ82" s="56">
        <f t="shared" si="83"/>
        <v>4.8889485403780242E-2</v>
      </c>
      <c r="BA82" s="11"/>
      <c r="BB82" s="12"/>
      <c r="BC82" s="12"/>
      <c r="BD82" s="13"/>
      <c r="BF82" s="14"/>
      <c r="BG82" s="10"/>
      <c r="BH82" s="11"/>
      <c r="BI82" s="11"/>
      <c r="BJ82" s="11"/>
      <c r="BK82" s="12"/>
      <c r="BL82" s="12"/>
      <c r="BM82" s="13"/>
      <c r="BO82" s="14"/>
      <c r="BP82" s="10"/>
      <c r="BQ82" s="11"/>
      <c r="BR82" s="11"/>
      <c r="BS82" s="11"/>
      <c r="BT82" s="12"/>
      <c r="BU82" s="12"/>
      <c r="BV82" s="13"/>
      <c r="BX82" s="14"/>
      <c r="BY82" s="10"/>
      <c r="BZ82" s="11"/>
      <c r="CA82" s="11"/>
      <c r="CB82" s="11"/>
      <c r="CC82" s="12"/>
      <c r="CD82" s="12"/>
      <c r="CE82" s="13"/>
      <c r="CG82" s="14"/>
      <c r="CH82" s="10"/>
      <c r="CI82" s="11"/>
      <c r="CJ82" s="11"/>
      <c r="CK82" s="11"/>
      <c r="CL82" s="12"/>
      <c r="CM82" s="12"/>
      <c r="CN82" s="13"/>
      <c r="CP82" s="13"/>
    </row>
    <row r="83" spans="1:94" x14ac:dyDescent="0.35">
      <c r="A83" s="5">
        <v>76</v>
      </c>
      <c r="B83" s="63">
        <f t="shared" si="58"/>
        <v>4.4999999999999998E-2</v>
      </c>
      <c r="C83" s="28">
        <f>B83+VLOOKUP(Rawdata!A78,Int_rate_movements,2,TRUE)</f>
        <v>4.4999999999999998E-2</v>
      </c>
      <c r="D83" s="28">
        <f>C83+VLOOKUP(Rawdata!B78,Int_rate_movements,2,TRUE)</f>
        <v>4.4999999999999998E-2</v>
      </c>
      <c r="E83" s="28">
        <f>D83+VLOOKUP(Rawdata!C78,Int_rate_movements,2,TRUE)</f>
        <v>4.4999999999999998E-2</v>
      </c>
      <c r="F83" s="28">
        <f>E83+VLOOKUP(Rawdata!D78,Int_rate_movements,2,TRUE)</f>
        <v>4.4999999999999998E-2</v>
      </c>
      <c r="G83" s="28">
        <f>F83+VLOOKUP(Rawdata!E78,Int_rate_movements,2,TRUE)</f>
        <v>4.4999999999999998E-2</v>
      </c>
      <c r="H83" s="28">
        <f>G83+VLOOKUP(Rawdata!F78,Int_rate_movements,2,TRUE)</f>
        <v>4.4999999999999998E-2</v>
      </c>
      <c r="I83" s="28">
        <f>H83+VLOOKUP(Rawdata!G78,Int_rate_movements,2,TRUE)</f>
        <v>4.4999999999999998E-2</v>
      </c>
      <c r="J83" s="28">
        <f>I83+VLOOKUP(Rawdata!H78,Int_rate_movements,2,TRUE)</f>
        <v>4.4999999999999998E-2</v>
      </c>
      <c r="K83" s="28">
        <f>J83+VLOOKUP(Rawdata!I78,Int_rate_movements,2,TRUE)</f>
        <v>4.4999999999999998E-2</v>
      </c>
      <c r="L83" s="28">
        <f>K83+VLOOKUP(Rawdata!J78,Int_rate_movements,2,TRUE)</f>
        <v>4.4999999999999998E-2</v>
      </c>
      <c r="M83" s="28">
        <f>L83+VLOOKUP(Rawdata!K78,Int_rate_movements,2,TRUE)</f>
        <v>4.4999999999999998E-2</v>
      </c>
      <c r="N83" s="28">
        <f>M83+VLOOKUP(Rawdata!L78,Int_rate_movements,2,TRUE)</f>
        <v>4.7500000000000001E-2</v>
      </c>
      <c r="O83" s="28">
        <f>N83+VLOOKUP(Rawdata!M78,Int_rate_movements,2,TRUE)</f>
        <v>5.2499999999999998E-2</v>
      </c>
      <c r="P83" s="28">
        <f>O83+VLOOKUP(Rawdata!N78,Int_rate_movements,2,TRUE)</f>
        <v>5.2499999999999998E-2</v>
      </c>
      <c r="Q83" s="28">
        <f>P83+VLOOKUP(Rawdata!O78,Int_rate_movements,2,TRUE)</f>
        <v>5.2499999999999998E-2</v>
      </c>
      <c r="R83" s="28">
        <f>Q83+VLOOKUP(Rawdata!P78,Int_rate_movements,2,TRUE)</f>
        <v>5.2499999999999998E-2</v>
      </c>
      <c r="S83" s="28">
        <f>R83+VLOOKUP(Rawdata!Q78,Int_rate_movements,2,TRUE)</f>
        <v>5.5E-2</v>
      </c>
      <c r="T83" s="28">
        <f>S83+VLOOKUP(Rawdata!R78,Int_rate_movements,2,TRUE)</f>
        <v>5.5E-2</v>
      </c>
      <c r="U83" s="28">
        <f>T83+VLOOKUP(Rawdata!S78,Int_rate_movements,2,TRUE)</f>
        <v>5.5E-2</v>
      </c>
      <c r="V83" s="28">
        <f>U83+VLOOKUP(Rawdata!T78,Int_rate_movements,2,TRUE)</f>
        <v>5.5E-2</v>
      </c>
      <c r="W83" s="28">
        <f>V83+VLOOKUP(Rawdata!U78,Int_rate_movements,2,TRUE)</f>
        <v>5.5E-2</v>
      </c>
      <c r="X83" s="28">
        <f>W83+VLOOKUP(Rawdata!V78,Int_rate_movements,2,TRUE)</f>
        <v>5.5E-2</v>
      </c>
      <c r="Y83" s="28">
        <f>X83+VLOOKUP(Rawdata!W78,Int_rate_movements,2,TRUE)</f>
        <v>5.5E-2</v>
      </c>
      <c r="Z83" s="35">
        <f>Y83+VLOOKUP(Rawdata!X78,Int_rate_movements,2,TRUE)</f>
        <v>5.5E-2</v>
      </c>
      <c r="AA83" s="12"/>
      <c r="AB83" s="55">
        <f t="shared" si="59"/>
        <v>4.4097712805242217E-2</v>
      </c>
      <c r="AC83" s="55">
        <f t="shared" si="60"/>
        <v>4.4097712805242217E-2</v>
      </c>
      <c r="AD83" s="55">
        <f t="shared" si="61"/>
        <v>4.4097712805242217E-2</v>
      </c>
      <c r="AE83" s="55">
        <f t="shared" si="62"/>
        <v>4.4097712805242217E-2</v>
      </c>
      <c r="AF83" s="55">
        <f t="shared" si="63"/>
        <v>4.4097712805242217E-2</v>
      </c>
      <c r="AG83" s="55">
        <f t="shared" si="64"/>
        <v>4.4097712805242217E-2</v>
      </c>
      <c r="AH83" s="55">
        <f t="shared" si="65"/>
        <v>4.4097712805242217E-2</v>
      </c>
      <c r="AI83" s="55">
        <f t="shared" si="66"/>
        <v>4.4097712805242217E-2</v>
      </c>
      <c r="AJ83" s="55">
        <f t="shared" si="67"/>
        <v>4.4097712805242217E-2</v>
      </c>
      <c r="AK83" s="55">
        <f t="shared" si="68"/>
        <v>4.4097712805242217E-2</v>
      </c>
      <c r="AL83" s="55">
        <f t="shared" si="69"/>
        <v>4.4097712805242217E-2</v>
      </c>
      <c r="AM83" s="55">
        <f t="shared" si="70"/>
        <v>4.4097712805242217E-2</v>
      </c>
      <c r="AN83" s="55">
        <f t="shared" si="71"/>
        <v>4.6496219905550085E-2</v>
      </c>
      <c r="AO83" s="55">
        <f t="shared" si="72"/>
        <v>5.1277533193896829E-2</v>
      </c>
      <c r="AP83" s="55">
        <f t="shared" si="73"/>
        <v>5.1277533193896829E-2</v>
      </c>
      <c r="AQ83" s="55">
        <f t="shared" si="74"/>
        <v>5.1277533193896829E-2</v>
      </c>
      <c r="AR83" s="55">
        <f t="shared" si="75"/>
        <v>5.1277533193896829E-2</v>
      </c>
      <c r="AS83" s="55">
        <f t="shared" si="76"/>
        <v>5.3660387004516252E-2</v>
      </c>
      <c r="AT83" s="55">
        <f t="shared" si="77"/>
        <v>5.3660387004516252E-2</v>
      </c>
      <c r="AU83" s="55">
        <f t="shared" si="78"/>
        <v>5.3660387004516252E-2</v>
      </c>
      <c r="AV83" s="55">
        <f t="shared" si="79"/>
        <v>5.3660387004516252E-2</v>
      </c>
      <c r="AW83" s="55">
        <f t="shared" si="80"/>
        <v>5.3660387004516252E-2</v>
      </c>
      <c r="AX83" s="55">
        <f t="shared" si="81"/>
        <v>5.3660387004516252E-2</v>
      </c>
      <c r="AY83" s="55">
        <f t="shared" si="82"/>
        <v>5.3660387004516252E-2</v>
      </c>
      <c r="AZ83" s="56">
        <f t="shared" si="83"/>
        <v>5.3660387004516252E-2</v>
      </c>
      <c r="BA83" s="11"/>
      <c r="BB83" s="12"/>
      <c r="BC83" s="12"/>
      <c r="BD83" s="13"/>
      <c r="BF83" s="14"/>
      <c r="BG83" s="10"/>
      <c r="BH83" s="11"/>
      <c r="BI83" s="11"/>
      <c r="BJ83" s="11"/>
      <c r="BK83" s="12"/>
      <c r="BL83" s="12"/>
      <c r="BM83" s="13"/>
      <c r="BO83" s="14"/>
      <c r="BP83" s="10"/>
      <c r="BQ83" s="11"/>
      <c r="BR83" s="11"/>
      <c r="BS83" s="11"/>
      <c r="BT83" s="12"/>
      <c r="BU83" s="12"/>
      <c r="BV83" s="13"/>
      <c r="BX83" s="14"/>
      <c r="BY83" s="10"/>
      <c r="BZ83" s="11"/>
      <c r="CA83" s="11"/>
      <c r="CB83" s="11"/>
      <c r="CC83" s="12"/>
      <c r="CD83" s="12"/>
      <c r="CE83" s="13"/>
      <c r="CG83" s="14"/>
      <c r="CH83" s="10"/>
      <c r="CI83" s="11"/>
      <c r="CJ83" s="11"/>
      <c r="CK83" s="11"/>
      <c r="CL83" s="12"/>
      <c r="CM83" s="12"/>
      <c r="CN83" s="13"/>
      <c r="CP83" s="13"/>
    </row>
    <row r="84" spans="1:94" x14ac:dyDescent="0.35">
      <c r="A84" s="27">
        <v>77</v>
      </c>
      <c r="B84" s="63">
        <f t="shared" si="58"/>
        <v>4.4999999999999998E-2</v>
      </c>
      <c r="C84" s="28">
        <f>B84+VLOOKUP(Rawdata!A79,Int_rate_movements,2,TRUE)</f>
        <v>4.4999999999999998E-2</v>
      </c>
      <c r="D84" s="28">
        <f>C84+VLOOKUP(Rawdata!B79,Int_rate_movements,2,TRUE)</f>
        <v>4.4999999999999998E-2</v>
      </c>
      <c r="E84" s="28">
        <f>D84+VLOOKUP(Rawdata!C79,Int_rate_movements,2,TRUE)</f>
        <v>4.4999999999999998E-2</v>
      </c>
      <c r="F84" s="28">
        <f>E84+VLOOKUP(Rawdata!D79,Int_rate_movements,2,TRUE)</f>
        <v>4.2499999999999996E-2</v>
      </c>
      <c r="G84" s="28">
        <f>F84+VLOOKUP(Rawdata!E79,Int_rate_movements,2,TRUE)</f>
        <v>4.2499999999999996E-2</v>
      </c>
      <c r="H84" s="28">
        <f>G84+VLOOKUP(Rawdata!F79,Int_rate_movements,2,TRUE)</f>
        <v>4.2499999999999996E-2</v>
      </c>
      <c r="I84" s="28">
        <f>H84+VLOOKUP(Rawdata!G79,Int_rate_movements,2,TRUE)</f>
        <v>4.2499999999999996E-2</v>
      </c>
      <c r="J84" s="28">
        <f>I84+VLOOKUP(Rawdata!H79,Int_rate_movements,2,TRUE)</f>
        <v>4.2499999999999996E-2</v>
      </c>
      <c r="K84" s="28">
        <f>J84+VLOOKUP(Rawdata!I79,Int_rate_movements,2,TRUE)</f>
        <v>4.2499999999999996E-2</v>
      </c>
      <c r="L84" s="28">
        <f>K84+VLOOKUP(Rawdata!J79,Int_rate_movements,2,TRUE)</f>
        <v>4.2499999999999996E-2</v>
      </c>
      <c r="M84" s="28">
        <f>L84+VLOOKUP(Rawdata!K79,Int_rate_movements,2,TRUE)</f>
        <v>4.4999999999999998E-2</v>
      </c>
      <c r="N84" s="28">
        <f>M84+VLOOKUP(Rawdata!L79,Int_rate_movements,2,TRUE)</f>
        <v>4.4999999999999998E-2</v>
      </c>
      <c r="O84" s="28">
        <f>N84+VLOOKUP(Rawdata!M79,Int_rate_movements,2,TRUE)</f>
        <v>4.4999999999999998E-2</v>
      </c>
      <c r="P84" s="28">
        <f>O84+VLOOKUP(Rawdata!N79,Int_rate_movements,2,TRUE)</f>
        <v>4.4999999999999998E-2</v>
      </c>
      <c r="Q84" s="28">
        <f>P84+VLOOKUP(Rawdata!O79,Int_rate_movements,2,TRUE)</f>
        <v>4.4999999999999998E-2</v>
      </c>
      <c r="R84" s="28">
        <f>Q84+VLOOKUP(Rawdata!P79,Int_rate_movements,2,TRUE)</f>
        <v>4.9999999999999996E-2</v>
      </c>
      <c r="S84" s="28">
        <f>R84+VLOOKUP(Rawdata!Q79,Int_rate_movements,2,TRUE)</f>
        <v>4.9999999999999996E-2</v>
      </c>
      <c r="T84" s="28">
        <f>S84+VLOOKUP(Rawdata!R79,Int_rate_movements,2,TRUE)</f>
        <v>4.9999999999999996E-2</v>
      </c>
      <c r="U84" s="28">
        <f>T84+VLOOKUP(Rawdata!S79,Int_rate_movements,2,TRUE)</f>
        <v>4.9999999999999996E-2</v>
      </c>
      <c r="V84" s="28">
        <f>U84+VLOOKUP(Rawdata!T79,Int_rate_movements,2,TRUE)</f>
        <v>4.9999999999999996E-2</v>
      </c>
      <c r="W84" s="28">
        <f>V84+VLOOKUP(Rawdata!U79,Int_rate_movements,2,TRUE)</f>
        <v>4.9999999999999996E-2</v>
      </c>
      <c r="X84" s="28">
        <f>W84+VLOOKUP(Rawdata!V79,Int_rate_movements,2,TRUE)</f>
        <v>4.9999999999999996E-2</v>
      </c>
      <c r="Y84" s="28">
        <f>X84+VLOOKUP(Rawdata!W79,Int_rate_movements,2,TRUE)</f>
        <v>5.2499999999999998E-2</v>
      </c>
      <c r="Z84" s="35">
        <f>Y84+VLOOKUP(Rawdata!X79,Int_rate_movements,2,TRUE)</f>
        <v>5.2499999999999998E-2</v>
      </c>
      <c r="AA84" s="12"/>
      <c r="AB84" s="55">
        <f t="shared" si="59"/>
        <v>4.4097712805242217E-2</v>
      </c>
      <c r="AC84" s="55">
        <f t="shared" si="60"/>
        <v>4.4097712805242217E-2</v>
      </c>
      <c r="AD84" s="55">
        <f t="shared" si="61"/>
        <v>4.4097712805242217E-2</v>
      </c>
      <c r="AE84" s="55">
        <f t="shared" si="62"/>
        <v>4.4097712805242217E-2</v>
      </c>
      <c r="AF84" s="55">
        <f t="shared" si="63"/>
        <v>4.1693940041970023E-2</v>
      </c>
      <c r="AG84" s="55">
        <f t="shared" si="64"/>
        <v>4.1693940041970023E-2</v>
      </c>
      <c r="AH84" s="55">
        <f t="shared" si="65"/>
        <v>4.1693940041970023E-2</v>
      </c>
      <c r="AI84" s="55">
        <f t="shared" si="66"/>
        <v>4.1693940041970023E-2</v>
      </c>
      <c r="AJ84" s="55">
        <f t="shared" si="67"/>
        <v>4.1693940041970023E-2</v>
      </c>
      <c r="AK84" s="55">
        <f t="shared" si="68"/>
        <v>4.1693940041970023E-2</v>
      </c>
      <c r="AL84" s="55">
        <f t="shared" si="69"/>
        <v>4.1693940041970023E-2</v>
      </c>
      <c r="AM84" s="55">
        <f t="shared" si="70"/>
        <v>4.4097712805242217E-2</v>
      </c>
      <c r="AN84" s="55">
        <f t="shared" si="71"/>
        <v>4.4097712805242217E-2</v>
      </c>
      <c r="AO84" s="55">
        <f t="shared" si="72"/>
        <v>4.4097712805242217E-2</v>
      </c>
      <c r="AP84" s="55">
        <f t="shared" si="73"/>
        <v>4.4097712805242217E-2</v>
      </c>
      <c r="AQ84" s="55">
        <f t="shared" si="74"/>
        <v>4.4097712805242217E-2</v>
      </c>
      <c r="AR84" s="55">
        <f t="shared" si="75"/>
        <v>4.8889485403780242E-2</v>
      </c>
      <c r="AS84" s="55">
        <f t="shared" si="76"/>
        <v>4.8889485403780242E-2</v>
      </c>
      <c r="AT84" s="55">
        <f t="shared" si="77"/>
        <v>4.8889485403780242E-2</v>
      </c>
      <c r="AU84" s="55">
        <f t="shared" si="78"/>
        <v>4.8889485403780242E-2</v>
      </c>
      <c r="AV84" s="55">
        <f t="shared" si="79"/>
        <v>4.8889485403780242E-2</v>
      </c>
      <c r="AW84" s="55">
        <f t="shared" si="80"/>
        <v>4.8889485403780242E-2</v>
      </c>
      <c r="AX84" s="55">
        <f t="shared" si="81"/>
        <v>4.8889485403780242E-2</v>
      </c>
      <c r="AY84" s="55">
        <f t="shared" si="82"/>
        <v>5.1277533193896829E-2</v>
      </c>
      <c r="AZ84" s="56">
        <f t="shared" si="83"/>
        <v>5.1277533193896829E-2</v>
      </c>
      <c r="BA84" s="11"/>
      <c r="BB84" s="12"/>
      <c r="BC84" s="12"/>
      <c r="BD84" s="13"/>
      <c r="BF84" s="14"/>
      <c r="BG84" s="10"/>
      <c r="BH84" s="11"/>
      <c r="BI84" s="11"/>
      <c r="BJ84" s="11"/>
      <c r="BK84" s="12"/>
      <c r="BL84" s="12"/>
      <c r="BM84" s="13"/>
      <c r="BO84" s="14"/>
      <c r="BP84" s="10"/>
      <c r="BQ84" s="11"/>
      <c r="BR84" s="11"/>
      <c r="BS84" s="11"/>
      <c r="BT84" s="12"/>
      <c r="BU84" s="12"/>
      <c r="BV84" s="13"/>
      <c r="BX84" s="14"/>
      <c r="BY84" s="10"/>
      <c r="BZ84" s="11"/>
      <c r="CA84" s="11"/>
      <c r="CB84" s="11"/>
      <c r="CC84" s="12"/>
      <c r="CD84" s="12"/>
      <c r="CE84" s="13"/>
      <c r="CG84" s="14"/>
      <c r="CH84" s="10"/>
      <c r="CI84" s="11"/>
      <c r="CJ84" s="11"/>
      <c r="CK84" s="11"/>
      <c r="CL84" s="12"/>
      <c r="CM84" s="12"/>
      <c r="CN84" s="13"/>
      <c r="CP84" s="13"/>
    </row>
    <row r="85" spans="1:94" x14ac:dyDescent="0.35">
      <c r="A85" s="5">
        <v>78</v>
      </c>
      <c r="B85" s="63">
        <f t="shared" si="58"/>
        <v>4.4999999999999998E-2</v>
      </c>
      <c r="C85" s="28">
        <f>B85+VLOOKUP(Rawdata!A80,Int_rate_movements,2,TRUE)</f>
        <v>4.4999999999999998E-2</v>
      </c>
      <c r="D85" s="28">
        <f>C85+VLOOKUP(Rawdata!B80,Int_rate_movements,2,TRUE)</f>
        <v>4.4999999999999998E-2</v>
      </c>
      <c r="E85" s="28">
        <f>D85+VLOOKUP(Rawdata!C80,Int_rate_movements,2,TRUE)</f>
        <v>4.4999999999999998E-2</v>
      </c>
      <c r="F85" s="28">
        <f>E85+VLOOKUP(Rawdata!D80,Int_rate_movements,2,TRUE)</f>
        <v>4.4999999999999998E-2</v>
      </c>
      <c r="G85" s="28">
        <f>F85+VLOOKUP(Rawdata!E80,Int_rate_movements,2,TRUE)</f>
        <v>4.4999999999999998E-2</v>
      </c>
      <c r="H85" s="28">
        <f>G85+VLOOKUP(Rawdata!F80,Int_rate_movements,2,TRUE)</f>
        <v>4.4999999999999998E-2</v>
      </c>
      <c r="I85" s="28">
        <f>H85+VLOOKUP(Rawdata!G80,Int_rate_movements,2,TRUE)</f>
        <v>4.4999999999999998E-2</v>
      </c>
      <c r="J85" s="28">
        <f>I85+VLOOKUP(Rawdata!H80,Int_rate_movements,2,TRUE)</f>
        <v>4.4999999999999998E-2</v>
      </c>
      <c r="K85" s="28">
        <f>J85+VLOOKUP(Rawdata!I80,Int_rate_movements,2,TRUE)</f>
        <v>4.4999999999999998E-2</v>
      </c>
      <c r="L85" s="28">
        <f>K85+VLOOKUP(Rawdata!J80,Int_rate_movements,2,TRUE)</f>
        <v>4.4999999999999998E-2</v>
      </c>
      <c r="M85" s="28">
        <f>L85+VLOOKUP(Rawdata!K80,Int_rate_movements,2,TRUE)</f>
        <v>4.4999999999999998E-2</v>
      </c>
      <c r="N85" s="28">
        <f>M85+VLOOKUP(Rawdata!L80,Int_rate_movements,2,TRUE)</f>
        <v>4.4999999999999998E-2</v>
      </c>
      <c r="O85" s="28">
        <f>N85+VLOOKUP(Rawdata!M80,Int_rate_movements,2,TRUE)</f>
        <v>4.4999999999999998E-2</v>
      </c>
      <c r="P85" s="28">
        <f>O85+VLOOKUP(Rawdata!N80,Int_rate_movements,2,TRUE)</f>
        <v>4.2499999999999996E-2</v>
      </c>
      <c r="Q85" s="28">
        <f>P85+VLOOKUP(Rawdata!O80,Int_rate_movements,2,TRUE)</f>
        <v>4.2499999999999996E-2</v>
      </c>
      <c r="R85" s="28">
        <f>Q85+VLOOKUP(Rawdata!P80,Int_rate_movements,2,TRUE)</f>
        <v>4.2499999999999996E-2</v>
      </c>
      <c r="S85" s="28">
        <f>R85+VLOOKUP(Rawdata!Q80,Int_rate_movements,2,TRUE)</f>
        <v>4.2499999999999996E-2</v>
      </c>
      <c r="T85" s="28">
        <f>S85+VLOOKUP(Rawdata!R80,Int_rate_movements,2,TRUE)</f>
        <v>4.2499999999999996E-2</v>
      </c>
      <c r="U85" s="28">
        <f>T85+VLOOKUP(Rawdata!S80,Int_rate_movements,2,TRUE)</f>
        <v>4.2499999999999996E-2</v>
      </c>
      <c r="V85" s="28">
        <f>U85+VLOOKUP(Rawdata!T80,Int_rate_movements,2,TRUE)</f>
        <v>4.2499999999999996E-2</v>
      </c>
      <c r="W85" s="28">
        <f>V85+VLOOKUP(Rawdata!U80,Int_rate_movements,2,TRUE)</f>
        <v>4.4999999999999998E-2</v>
      </c>
      <c r="X85" s="28">
        <f>W85+VLOOKUP(Rawdata!V80,Int_rate_movements,2,TRUE)</f>
        <v>4.4999999999999998E-2</v>
      </c>
      <c r="Y85" s="28">
        <f>X85+VLOOKUP(Rawdata!W80,Int_rate_movements,2,TRUE)</f>
        <v>4.4999999999999998E-2</v>
      </c>
      <c r="Z85" s="35">
        <f>Y85+VLOOKUP(Rawdata!X80,Int_rate_movements,2,TRUE)</f>
        <v>4.4999999999999998E-2</v>
      </c>
      <c r="AA85" s="12"/>
      <c r="AB85" s="55">
        <f t="shared" si="59"/>
        <v>4.4097712805242217E-2</v>
      </c>
      <c r="AC85" s="55">
        <f t="shared" si="60"/>
        <v>4.4097712805242217E-2</v>
      </c>
      <c r="AD85" s="55">
        <f t="shared" si="61"/>
        <v>4.4097712805242217E-2</v>
      </c>
      <c r="AE85" s="55">
        <f t="shared" si="62"/>
        <v>4.4097712805242217E-2</v>
      </c>
      <c r="AF85" s="55">
        <f t="shared" si="63"/>
        <v>4.4097712805242217E-2</v>
      </c>
      <c r="AG85" s="55">
        <f t="shared" si="64"/>
        <v>4.4097712805242217E-2</v>
      </c>
      <c r="AH85" s="55">
        <f t="shared" si="65"/>
        <v>4.4097712805242217E-2</v>
      </c>
      <c r="AI85" s="55">
        <f t="shared" si="66"/>
        <v>4.4097712805242217E-2</v>
      </c>
      <c r="AJ85" s="55">
        <f t="shared" si="67"/>
        <v>4.4097712805242217E-2</v>
      </c>
      <c r="AK85" s="55">
        <f t="shared" si="68"/>
        <v>4.4097712805242217E-2</v>
      </c>
      <c r="AL85" s="55">
        <f t="shared" si="69"/>
        <v>4.4097712805242217E-2</v>
      </c>
      <c r="AM85" s="55">
        <f t="shared" si="70"/>
        <v>4.4097712805242217E-2</v>
      </c>
      <c r="AN85" s="55">
        <f t="shared" si="71"/>
        <v>4.4097712805242217E-2</v>
      </c>
      <c r="AO85" s="55">
        <f t="shared" si="72"/>
        <v>4.4097712805242217E-2</v>
      </c>
      <c r="AP85" s="55">
        <f t="shared" si="73"/>
        <v>4.1693940041970023E-2</v>
      </c>
      <c r="AQ85" s="55">
        <f t="shared" si="74"/>
        <v>4.1693940041970023E-2</v>
      </c>
      <c r="AR85" s="55">
        <f t="shared" si="75"/>
        <v>4.1693940041970023E-2</v>
      </c>
      <c r="AS85" s="55">
        <f t="shared" si="76"/>
        <v>4.1693940041970023E-2</v>
      </c>
      <c r="AT85" s="55">
        <f t="shared" si="77"/>
        <v>4.1693940041970023E-2</v>
      </c>
      <c r="AU85" s="55">
        <f t="shared" si="78"/>
        <v>4.1693940041970023E-2</v>
      </c>
      <c r="AV85" s="55">
        <f t="shared" si="79"/>
        <v>4.1693940041970023E-2</v>
      </c>
      <c r="AW85" s="55">
        <f t="shared" si="80"/>
        <v>4.4097712805242217E-2</v>
      </c>
      <c r="AX85" s="55">
        <f t="shared" si="81"/>
        <v>4.4097712805242217E-2</v>
      </c>
      <c r="AY85" s="55">
        <f t="shared" si="82"/>
        <v>4.4097712805242217E-2</v>
      </c>
      <c r="AZ85" s="56">
        <f t="shared" si="83"/>
        <v>4.4097712805242217E-2</v>
      </c>
      <c r="BA85" s="11"/>
      <c r="BB85" s="12"/>
      <c r="BC85" s="12"/>
      <c r="BD85" s="13"/>
      <c r="BF85" s="14"/>
      <c r="BG85" s="10"/>
      <c r="BH85" s="11"/>
      <c r="BI85" s="11"/>
      <c r="BJ85" s="11"/>
      <c r="BK85" s="12"/>
      <c r="BL85" s="12"/>
      <c r="BM85" s="13"/>
      <c r="BO85" s="14"/>
      <c r="BP85" s="10"/>
      <c r="BQ85" s="11"/>
      <c r="BR85" s="11"/>
      <c r="BS85" s="11"/>
      <c r="BT85" s="12"/>
      <c r="BU85" s="12"/>
      <c r="BV85" s="13"/>
      <c r="BX85" s="14"/>
      <c r="BY85" s="10"/>
      <c r="BZ85" s="11"/>
      <c r="CA85" s="11"/>
      <c r="CB85" s="11"/>
      <c r="CC85" s="12"/>
      <c r="CD85" s="12"/>
      <c r="CE85" s="13"/>
      <c r="CG85" s="14"/>
      <c r="CH85" s="10"/>
      <c r="CI85" s="11"/>
      <c r="CJ85" s="11"/>
      <c r="CK85" s="11"/>
      <c r="CL85" s="12"/>
      <c r="CM85" s="12"/>
      <c r="CN85" s="13"/>
      <c r="CP85" s="13"/>
    </row>
    <row r="86" spans="1:94" x14ac:dyDescent="0.35">
      <c r="A86" s="27">
        <v>79</v>
      </c>
      <c r="B86" s="63">
        <f t="shared" si="58"/>
        <v>4.4999999999999998E-2</v>
      </c>
      <c r="C86" s="28">
        <f>B86+VLOOKUP(Rawdata!A81,Int_rate_movements,2,TRUE)</f>
        <v>4.4999999999999998E-2</v>
      </c>
      <c r="D86" s="28">
        <f>C86+VLOOKUP(Rawdata!B81,Int_rate_movements,2,TRUE)</f>
        <v>4.4999999999999998E-2</v>
      </c>
      <c r="E86" s="28">
        <f>D86+VLOOKUP(Rawdata!C81,Int_rate_movements,2,TRUE)</f>
        <v>4.4999999999999998E-2</v>
      </c>
      <c r="F86" s="28">
        <f>E86+VLOOKUP(Rawdata!D81,Int_rate_movements,2,TRUE)</f>
        <v>4.4999999999999998E-2</v>
      </c>
      <c r="G86" s="28">
        <f>F86+VLOOKUP(Rawdata!E81,Int_rate_movements,2,TRUE)</f>
        <v>4.4999999999999998E-2</v>
      </c>
      <c r="H86" s="28">
        <f>G86+VLOOKUP(Rawdata!F81,Int_rate_movements,2,TRUE)</f>
        <v>4.4999999999999998E-2</v>
      </c>
      <c r="I86" s="28">
        <f>H86+VLOOKUP(Rawdata!G81,Int_rate_movements,2,TRUE)</f>
        <v>4.4999999999999998E-2</v>
      </c>
      <c r="J86" s="28">
        <f>I86+VLOOKUP(Rawdata!H81,Int_rate_movements,2,TRUE)</f>
        <v>4.4999999999999998E-2</v>
      </c>
      <c r="K86" s="28">
        <f>J86+VLOOKUP(Rawdata!I81,Int_rate_movements,2,TRUE)</f>
        <v>4.4999999999999998E-2</v>
      </c>
      <c r="L86" s="28">
        <f>K86+VLOOKUP(Rawdata!J81,Int_rate_movements,2,TRUE)</f>
        <v>4.4999999999999998E-2</v>
      </c>
      <c r="M86" s="28">
        <f>L86+VLOOKUP(Rawdata!K81,Int_rate_movements,2,TRUE)</f>
        <v>4.4999999999999998E-2</v>
      </c>
      <c r="N86" s="28">
        <f>M86+VLOOKUP(Rawdata!L81,Int_rate_movements,2,TRUE)</f>
        <v>4.4999999999999998E-2</v>
      </c>
      <c r="O86" s="28">
        <f>N86+VLOOKUP(Rawdata!M81,Int_rate_movements,2,TRUE)</f>
        <v>4.4999999999999998E-2</v>
      </c>
      <c r="P86" s="28">
        <f>O86+VLOOKUP(Rawdata!N81,Int_rate_movements,2,TRUE)</f>
        <v>4.4999999999999998E-2</v>
      </c>
      <c r="Q86" s="28">
        <f>P86+VLOOKUP(Rawdata!O81,Int_rate_movements,2,TRUE)</f>
        <v>4.4999999999999998E-2</v>
      </c>
      <c r="R86" s="28">
        <f>Q86+VLOOKUP(Rawdata!P81,Int_rate_movements,2,TRUE)</f>
        <v>4.4999999999999998E-2</v>
      </c>
      <c r="S86" s="28">
        <f>R86+VLOOKUP(Rawdata!Q81,Int_rate_movements,2,TRUE)</f>
        <v>4.9999999999999996E-2</v>
      </c>
      <c r="T86" s="28">
        <f>S86+VLOOKUP(Rawdata!R81,Int_rate_movements,2,TRUE)</f>
        <v>5.4999999999999993E-2</v>
      </c>
      <c r="U86" s="28">
        <f>T86+VLOOKUP(Rawdata!S81,Int_rate_movements,2,TRUE)</f>
        <v>5.4999999999999993E-2</v>
      </c>
      <c r="V86" s="28">
        <f>U86+VLOOKUP(Rawdata!T81,Int_rate_movements,2,TRUE)</f>
        <v>5.4999999999999993E-2</v>
      </c>
      <c r="W86" s="28">
        <f>V86+VLOOKUP(Rawdata!U81,Int_rate_movements,2,TRUE)</f>
        <v>5.4999999999999993E-2</v>
      </c>
      <c r="X86" s="28">
        <f>W86+VLOOKUP(Rawdata!V81,Int_rate_movements,2,TRUE)</f>
        <v>5.4999999999999993E-2</v>
      </c>
      <c r="Y86" s="28">
        <f>X86+VLOOKUP(Rawdata!W81,Int_rate_movements,2,TRUE)</f>
        <v>5.4999999999999993E-2</v>
      </c>
      <c r="Z86" s="35">
        <f>Y86+VLOOKUP(Rawdata!X81,Int_rate_movements,2,TRUE)</f>
        <v>5.4999999999999993E-2</v>
      </c>
      <c r="AA86" s="12"/>
      <c r="AB86" s="55">
        <f t="shared" si="59"/>
        <v>4.4097712805242217E-2</v>
      </c>
      <c r="AC86" s="55">
        <f t="shared" si="60"/>
        <v>4.4097712805242217E-2</v>
      </c>
      <c r="AD86" s="55">
        <f t="shared" si="61"/>
        <v>4.4097712805242217E-2</v>
      </c>
      <c r="AE86" s="55">
        <f t="shared" si="62"/>
        <v>4.4097712805242217E-2</v>
      </c>
      <c r="AF86" s="55">
        <f t="shared" si="63"/>
        <v>4.4097712805242217E-2</v>
      </c>
      <c r="AG86" s="55">
        <f t="shared" si="64"/>
        <v>4.4097712805242217E-2</v>
      </c>
      <c r="AH86" s="55">
        <f t="shared" si="65"/>
        <v>4.4097712805242217E-2</v>
      </c>
      <c r="AI86" s="55">
        <f t="shared" si="66"/>
        <v>4.4097712805242217E-2</v>
      </c>
      <c r="AJ86" s="55">
        <f t="shared" si="67"/>
        <v>4.4097712805242217E-2</v>
      </c>
      <c r="AK86" s="55">
        <f t="shared" si="68"/>
        <v>4.4097712805242217E-2</v>
      </c>
      <c r="AL86" s="55">
        <f t="shared" si="69"/>
        <v>4.4097712805242217E-2</v>
      </c>
      <c r="AM86" s="55">
        <f t="shared" si="70"/>
        <v>4.4097712805242217E-2</v>
      </c>
      <c r="AN86" s="55">
        <f t="shared" si="71"/>
        <v>4.4097712805242217E-2</v>
      </c>
      <c r="AO86" s="55">
        <f t="shared" si="72"/>
        <v>4.4097712805242217E-2</v>
      </c>
      <c r="AP86" s="55">
        <f t="shared" si="73"/>
        <v>4.4097712805242217E-2</v>
      </c>
      <c r="AQ86" s="55">
        <f t="shared" si="74"/>
        <v>4.4097712805242217E-2</v>
      </c>
      <c r="AR86" s="55">
        <f t="shared" si="75"/>
        <v>4.4097712805242217E-2</v>
      </c>
      <c r="AS86" s="55">
        <f t="shared" si="76"/>
        <v>4.8889485403780242E-2</v>
      </c>
      <c r="AT86" s="55">
        <f t="shared" si="77"/>
        <v>5.3660387004516252E-2</v>
      </c>
      <c r="AU86" s="55">
        <f t="shared" si="78"/>
        <v>5.3660387004516252E-2</v>
      </c>
      <c r="AV86" s="55">
        <f t="shared" si="79"/>
        <v>5.3660387004516252E-2</v>
      </c>
      <c r="AW86" s="55">
        <f t="shared" si="80"/>
        <v>5.3660387004516252E-2</v>
      </c>
      <c r="AX86" s="55">
        <f t="shared" si="81"/>
        <v>5.3660387004516252E-2</v>
      </c>
      <c r="AY86" s="55">
        <f t="shared" si="82"/>
        <v>5.3660387004516252E-2</v>
      </c>
      <c r="AZ86" s="56">
        <f t="shared" si="83"/>
        <v>5.3660387004516252E-2</v>
      </c>
      <c r="BA86" s="11"/>
      <c r="BB86" s="12"/>
      <c r="BC86" s="12"/>
      <c r="BD86" s="13"/>
      <c r="BF86" s="14"/>
      <c r="BG86" s="10"/>
      <c r="BH86" s="11"/>
      <c r="BI86" s="11"/>
      <c r="BJ86" s="11"/>
      <c r="BK86" s="12"/>
      <c r="BL86" s="12"/>
      <c r="BM86" s="13"/>
      <c r="BO86" s="14"/>
      <c r="BP86" s="10"/>
      <c r="BQ86" s="11"/>
      <c r="BR86" s="11"/>
      <c r="BS86" s="11"/>
      <c r="BT86" s="12"/>
      <c r="BU86" s="12"/>
      <c r="BV86" s="13"/>
      <c r="BX86" s="14"/>
      <c r="BY86" s="10"/>
      <c r="BZ86" s="11"/>
      <c r="CA86" s="11"/>
      <c r="CB86" s="11"/>
      <c r="CC86" s="12"/>
      <c r="CD86" s="12"/>
      <c r="CE86" s="13"/>
      <c r="CG86" s="14"/>
      <c r="CH86" s="10"/>
      <c r="CI86" s="11"/>
      <c r="CJ86" s="11"/>
      <c r="CK86" s="11"/>
      <c r="CL86" s="12"/>
      <c r="CM86" s="12"/>
      <c r="CN86" s="13"/>
      <c r="CP86" s="13"/>
    </row>
    <row r="87" spans="1:94" x14ac:dyDescent="0.35">
      <c r="A87" s="5">
        <v>80</v>
      </c>
      <c r="B87" s="63">
        <f t="shared" si="58"/>
        <v>4.4999999999999998E-2</v>
      </c>
      <c r="C87" s="28">
        <f>B87+VLOOKUP(Rawdata!A82,Int_rate_movements,2,TRUE)</f>
        <v>4.4999999999999998E-2</v>
      </c>
      <c r="D87" s="28">
        <f>C87+VLOOKUP(Rawdata!B82,Int_rate_movements,2,TRUE)</f>
        <v>4.4999999999999998E-2</v>
      </c>
      <c r="E87" s="28">
        <f>D87+VLOOKUP(Rawdata!C82,Int_rate_movements,2,TRUE)</f>
        <v>4.4999999999999998E-2</v>
      </c>
      <c r="F87" s="28">
        <f>E87+VLOOKUP(Rawdata!D82,Int_rate_movements,2,TRUE)</f>
        <v>4.4999999999999998E-2</v>
      </c>
      <c r="G87" s="28">
        <f>F87+VLOOKUP(Rawdata!E82,Int_rate_movements,2,TRUE)</f>
        <v>4.4999999999999998E-2</v>
      </c>
      <c r="H87" s="28">
        <f>G87+VLOOKUP(Rawdata!F82,Int_rate_movements,2,TRUE)</f>
        <v>4.4999999999999998E-2</v>
      </c>
      <c r="I87" s="28">
        <f>H87+VLOOKUP(Rawdata!G82,Int_rate_movements,2,TRUE)</f>
        <v>4.4999999999999998E-2</v>
      </c>
      <c r="J87" s="28">
        <f>I87+VLOOKUP(Rawdata!H82,Int_rate_movements,2,TRUE)</f>
        <v>4.4999999999999998E-2</v>
      </c>
      <c r="K87" s="28">
        <f>J87+VLOOKUP(Rawdata!I82,Int_rate_movements,2,TRUE)</f>
        <v>4.9999999999999996E-2</v>
      </c>
      <c r="L87" s="28">
        <f>K87+VLOOKUP(Rawdata!J82,Int_rate_movements,2,TRUE)</f>
        <v>4.9999999999999996E-2</v>
      </c>
      <c r="M87" s="28">
        <f>L87+VLOOKUP(Rawdata!K82,Int_rate_movements,2,TRUE)</f>
        <v>4.9999999999999996E-2</v>
      </c>
      <c r="N87" s="28">
        <f>M87+VLOOKUP(Rawdata!L82,Int_rate_movements,2,TRUE)</f>
        <v>4.7499999999999994E-2</v>
      </c>
      <c r="O87" s="28">
        <f>N87+VLOOKUP(Rawdata!M82,Int_rate_movements,2,TRUE)</f>
        <v>4.7499999999999994E-2</v>
      </c>
      <c r="P87" s="28">
        <f>O87+VLOOKUP(Rawdata!N82,Int_rate_movements,2,TRUE)</f>
        <v>4.7499999999999994E-2</v>
      </c>
      <c r="Q87" s="28">
        <f>P87+VLOOKUP(Rawdata!O82,Int_rate_movements,2,TRUE)</f>
        <v>4.7499999999999994E-2</v>
      </c>
      <c r="R87" s="28">
        <f>Q87+VLOOKUP(Rawdata!P82,Int_rate_movements,2,TRUE)</f>
        <v>4.9999999999999996E-2</v>
      </c>
      <c r="S87" s="28">
        <f>R87+VLOOKUP(Rawdata!Q82,Int_rate_movements,2,TRUE)</f>
        <v>4.9999999999999996E-2</v>
      </c>
      <c r="T87" s="28">
        <f>S87+VLOOKUP(Rawdata!R82,Int_rate_movements,2,TRUE)</f>
        <v>4.9999999999999996E-2</v>
      </c>
      <c r="U87" s="28">
        <f>T87+VLOOKUP(Rawdata!S82,Int_rate_movements,2,TRUE)</f>
        <v>4.9999999999999996E-2</v>
      </c>
      <c r="V87" s="28">
        <f>U87+VLOOKUP(Rawdata!T82,Int_rate_movements,2,TRUE)</f>
        <v>4.9999999999999996E-2</v>
      </c>
      <c r="W87" s="28">
        <f>V87+VLOOKUP(Rawdata!U82,Int_rate_movements,2,TRUE)</f>
        <v>4.9999999999999996E-2</v>
      </c>
      <c r="X87" s="28">
        <f>W87+VLOOKUP(Rawdata!V82,Int_rate_movements,2,TRUE)</f>
        <v>4.9999999999999996E-2</v>
      </c>
      <c r="Y87" s="28">
        <f>X87+VLOOKUP(Rawdata!W82,Int_rate_movements,2,TRUE)</f>
        <v>4.9999999999999996E-2</v>
      </c>
      <c r="Z87" s="35">
        <f>Y87+VLOOKUP(Rawdata!X82,Int_rate_movements,2,TRUE)</f>
        <v>4.9999999999999996E-2</v>
      </c>
      <c r="AA87" s="12"/>
      <c r="AB87" s="55">
        <f t="shared" si="59"/>
        <v>4.4097712805242217E-2</v>
      </c>
      <c r="AC87" s="55">
        <f t="shared" si="60"/>
        <v>4.4097712805242217E-2</v>
      </c>
      <c r="AD87" s="55">
        <f t="shared" si="61"/>
        <v>4.4097712805242217E-2</v>
      </c>
      <c r="AE87" s="55">
        <f t="shared" si="62"/>
        <v>4.4097712805242217E-2</v>
      </c>
      <c r="AF87" s="55">
        <f t="shared" si="63"/>
        <v>4.4097712805242217E-2</v>
      </c>
      <c r="AG87" s="55">
        <f t="shared" si="64"/>
        <v>4.4097712805242217E-2</v>
      </c>
      <c r="AH87" s="55">
        <f t="shared" si="65"/>
        <v>4.4097712805242217E-2</v>
      </c>
      <c r="AI87" s="55">
        <f t="shared" si="66"/>
        <v>4.4097712805242217E-2</v>
      </c>
      <c r="AJ87" s="55">
        <f t="shared" si="67"/>
        <v>4.4097712805242217E-2</v>
      </c>
      <c r="AK87" s="55">
        <f t="shared" si="68"/>
        <v>4.8889485403780242E-2</v>
      </c>
      <c r="AL87" s="55">
        <f t="shared" si="69"/>
        <v>4.8889485403780242E-2</v>
      </c>
      <c r="AM87" s="55">
        <f t="shared" si="70"/>
        <v>4.8889485403780242E-2</v>
      </c>
      <c r="AN87" s="55">
        <f t="shared" si="71"/>
        <v>4.6496219905550085E-2</v>
      </c>
      <c r="AO87" s="55">
        <f t="shared" si="72"/>
        <v>4.6496219905550085E-2</v>
      </c>
      <c r="AP87" s="55">
        <f t="shared" si="73"/>
        <v>4.6496219905550085E-2</v>
      </c>
      <c r="AQ87" s="55">
        <f t="shared" si="74"/>
        <v>4.6496219905550085E-2</v>
      </c>
      <c r="AR87" s="55">
        <f t="shared" si="75"/>
        <v>4.8889485403780242E-2</v>
      </c>
      <c r="AS87" s="55">
        <f t="shared" si="76"/>
        <v>4.8889485403780242E-2</v>
      </c>
      <c r="AT87" s="55">
        <f t="shared" si="77"/>
        <v>4.8889485403780242E-2</v>
      </c>
      <c r="AU87" s="55">
        <f t="shared" si="78"/>
        <v>4.8889485403780242E-2</v>
      </c>
      <c r="AV87" s="55">
        <f t="shared" si="79"/>
        <v>4.8889485403780242E-2</v>
      </c>
      <c r="AW87" s="55">
        <f t="shared" si="80"/>
        <v>4.8889485403780242E-2</v>
      </c>
      <c r="AX87" s="55">
        <f t="shared" si="81"/>
        <v>4.8889485403780242E-2</v>
      </c>
      <c r="AY87" s="55">
        <f t="shared" si="82"/>
        <v>4.8889485403780242E-2</v>
      </c>
      <c r="AZ87" s="56">
        <f t="shared" si="83"/>
        <v>4.8889485403780242E-2</v>
      </c>
      <c r="BA87" s="11"/>
      <c r="BB87" s="12"/>
      <c r="BC87" s="12"/>
      <c r="BD87" s="13"/>
      <c r="BF87" s="14"/>
      <c r="BG87" s="10"/>
      <c r="BH87" s="11"/>
      <c r="BI87" s="11"/>
      <c r="BJ87" s="11"/>
      <c r="BK87" s="12"/>
      <c r="BL87" s="12"/>
      <c r="BM87" s="13"/>
      <c r="BO87" s="14"/>
      <c r="BP87" s="10"/>
      <c r="BQ87" s="11"/>
      <c r="BR87" s="11"/>
      <c r="BS87" s="11"/>
      <c r="BT87" s="12"/>
      <c r="BU87" s="12"/>
      <c r="BV87" s="13"/>
      <c r="BX87" s="14"/>
      <c r="BY87" s="10"/>
      <c r="BZ87" s="11"/>
      <c r="CA87" s="11"/>
      <c r="CB87" s="11"/>
      <c r="CC87" s="12"/>
      <c r="CD87" s="12"/>
      <c r="CE87" s="13"/>
      <c r="CG87" s="14"/>
      <c r="CH87" s="10"/>
      <c r="CI87" s="11"/>
      <c r="CJ87" s="11"/>
      <c r="CK87" s="11"/>
      <c r="CL87" s="12"/>
      <c r="CM87" s="12"/>
      <c r="CN87" s="13"/>
      <c r="CP87" s="13"/>
    </row>
    <row r="88" spans="1:94" x14ac:dyDescent="0.35">
      <c r="A88" s="27">
        <v>81</v>
      </c>
      <c r="B88" s="63">
        <f t="shared" si="58"/>
        <v>4.4999999999999998E-2</v>
      </c>
      <c r="C88" s="28">
        <f>B88+VLOOKUP(Rawdata!A83,Int_rate_movements,2,TRUE)</f>
        <v>4.4999999999999998E-2</v>
      </c>
      <c r="D88" s="28">
        <f>C88+VLOOKUP(Rawdata!B83,Int_rate_movements,2,TRUE)</f>
        <v>4.2499999999999996E-2</v>
      </c>
      <c r="E88" s="28">
        <f>D88+VLOOKUP(Rawdata!C83,Int_rate_movements,2,TRUE)</f>
        <v>4.2499999999999996E-2</v>
      </c>
      <c r="F88" s="28">
        <f>E88+VLOOKUP(Rawdata!D83,Int_rate_movements,2,TRUE)</f>
        <v>4.2499999999999996E-2</v>
      </c>
      <c r="G88" s="28">
        <f>F88+VLOOKUP(Rawdata!E83,Int_rate_movements,2,TRUE)</f>
        <v>4.2499999999999996E-2</v>
      </c>
      <c r="H88" s="28">
        <f>G88+VLOOKUP(Rawdata!F83,Int_rate_movements,2,TRUE)</f>
        <v>4.2499999999999996E-2</v>
      </c>
      <c r="I88" s="28">
        <f>H88+VLOOKUP(Rawdata!G83,Int_rate_movements,2,TRUE)</f>
        <v>4.2499999999999996E-2</v>
      </c>
      <c r="J88" s="28">
        <f>I88+VLOOKUP(Rawdata!H83,Int_rate_movements,2,TRUE)</f>
        <v>4.2499999999999996E-2</v>
      </c>
      <c r="K88" s="28">
        <f>J88+VLOOKUP(Rawdata!I83,Int_rate_movements,2,TRUE)</f>
        <v>4.7499999999999994E-2</v>
      </c>
      <c r="L88" s="28">
        <f>K88+VLOOKUP(Rawdata!J83,Int_rate_movements,2,TRUE)</f>
        <v>4.7499999999999994E-2</v>
      </c>
      <c r="M88" s="28">
        <f>L88+VLOOKUP(Rawdata!K83,Int_rate_movements,2,TRUE)</f>
        <v>4.7499999999999994E-2</v>
      </c>
      <c r="N88" s="28">
        <f>M88+VLOOKUP(Rawdata!L83,Int_rate_movements,2,TRUE)</f>
        <v>4.7499999999999994E-2</v>
      </c>
      <c r="O88" s="28">
        <f>N88+VLOOKUP(Rawdata!M83,Int_rate_movements,2,TRUE)</f>
        <v>4.7499999999999994E-2</v>
      </c>
      <c r="P88" s="28">
        <f>O88+VLOOKUP(Rawdata!N83,Int_rate_movements,2,TRUE)</f>
        <v>4.7499999999999994E-2</v>
      </c>
      <c r="Q88" s="28">
        <f>P88+VLOOKUP(Rawdata!O83,Int_rate_movements,2,TRUE)</f>
        <v>4.7499999999999994E-2</v>
      </c>
      <c r="R88" s="28">
        <f>Q88+VLOOKUP(Rawdata!P83,Int_rate_movements,2,TRUE)</f>
        <v>4.7499999999999994E-2</v>
      </c>
      <c r="S88" s="28">
        <f>R88+VLOOKUP(Rawdata!Q83,Int_rate_movements,2,TRUE)</f>
        <v>4.7499999999999994E-2</v>
      </c>
      <c r="T88" s="28">
        <f>S88+VLOOKUP(Rawdata!R83,Int_rate_movements,2,TRUE)</f>
        <v>4.7499999999999994E-2</v>
      </c>
      <c r="U88" s="28">
        <f>T88+VLOOKUP(Rawdata!S83,Int_rate_movements,2,TRUE)</f>
        <v>4.7499999999999994E-2</v>
      </c>
      <c r="V88" s="28">
        <f>U88+VLOOKUP(Rawdata!T83,Int_rate_movements,2,TRUE)</f>
        <v>4.9999999999999996E-2</v>
      </c>
      <c r="W88" s="28">
        <f>V88+VLOOKUP(Rawdata!U83,Int_rate_movements,2,TRUE)</f>
        <v>4.9999999999999996E-2</v>
      </c>
      <c r="X88" s="28">
        <f>W88+VLOOKUP(Rawdata!V83,Int_rate_movements,2,TRUE)</f>
        <v>4.9999999999999996E-2</v>
      </c>
      <c r="Y88" s="28">
        <f>X88+VLOOKUP(Rawdata!W83,Int_rate_movements,2,TRUE)</f>
        <v>4.9999999999999996E-2</v>
      </c>
      <c r="Z88" s="35">
        <f>Y88+VLOOKUP(Rawdata!X83,Int_rate_movements,2,TRUE)</f>
        <v>4.9999999999999996E-2</v>
      </c>
      <c r="AA88" s="12"/>
      <c r="AB88" s="55">
        <f t="shared" si="59"/>
        <v>4.4097712805242217E-2</v>
      </c>
      <c r="AC88" s="55">
        <f t="shared" si="60"/>
        <v>4.4097712805242217E-2</v>
      </c>
      <c r="AD88" s="55">
        <f t="shared" si="61"/>
        <v>4.1693940041970023E-2</v>
      </c>
      <c r="AE88" s="55">
        <f t="shared" si="62"/>
        <v>4.1693940041970023E-2</v>
      </c>
      <c r="AF88" s="55">
        <f t="shared" si="63"/>
        <v>4.1693940041970023E-2</v>
      </c>
      <c r="AG88" s="55">
        <f t="shared" si="64"/>
        <v>4.1693940041970023E-2</v>
      </c>
      <c r="AH88" s="55">
        <f t="shared" si="65"/>
        <v>4.1693940041970023E-2</v>
      </c>
      <c r="AI88" s="55">
        <f t="shared" si="66"/>
        <v>4.1693940041970023E-2</v>
      </c>
      <c r="AJ88" s="55">
        <f t="shared" si="67"/>
        <v>4.1693940041970023E-2</v>
      </c>
      <c r="AK88" s="55">
        <f t="shared" si="68"/>
        <v>4.6496219905550085E-2</v>
      </c>
      <c r="AL88" s="55">
        <f t="shared" si="69"/>
        <v>4.6496219905550085E-2</v>
      </c>
      <c r="AM88" s="55">
        <f t="shared" si="70"/>
        <v>4.6496219905550085E-2</v>
      </c>
      <c r="AN88" s="55">
        <f t="shared" si="71"/>
        <v>4.6496219905550085E-2</v>
      </c>
      <c r="AO88" s="55">
        <f t="shared" si="72"/>
        <v>4.6496219905550085E-2</v>
      </c>
      <c r="AP88" s="55">
        <f t="shared" si="73"/>
        <v>4.6496219905550085E-2</v>
      </c>
      <c r="AQ88" s="55">
        <f t="shared" si="74"/>
        <v>4.6496219905550085E-2</v>
      </c>
      <c r="AR88" s="55">
        <f t="shared" si="75"/>
        <v>4.6496219905550085E-2</v>
      </c>
      <c r="AS88" s="55">
        <f t="shared" si="76"/>
        <v>4.6496219905550085E-2</v>
      </c>
      <c r="AT88" s="55">
        <f t="shared" si="77"/>
        <v>4.6496219905550085E-2</v>
      </c>
      <c r="AU88" s="55">
        <f t="shared" si="78"/>
        <v>4.6496219905550085E-2</v>
      </c>
      <c r="AV88" s="55">
        <f t="shared" si="79"/>
        <v>4.8889485403780242E-2</v>
      </c>
      <c r="AW88" s="55">
        <f t="shared" si="80"/>
        <v>4.8889485403780242E-2</v>
      </c>
      <c r="AX88" s="55">
        <f t="shared" si="81"/>
        <v>4.8889485403780242E-2</v>
      </c>
      <c r="AY88" s="55">
        <f t="shared" si="82"/>
        <v>4.8889485403780242E-2</v>
      </c>
      <c r="AZ88" s="56">
        <f t="shared" si="83"/>
        <v>4.8889485403780242E-2</v>
      </c>
      <c r="BA88" s="11"/>
      <c r="BB88" s="12"/>
      <c r="BC88" s="12"/>
      <c r="BD88" s="13"/>
      <c r="BF88" s="14"/>
      <c r="BG88" s="10"/>
      <c r="BH88" s="11"/>
      <c r="BI88" s="11"/>
      <c r="BJ88" s="11"/>
      <c r="BK88" s="12"/>
      <c r="BL88" s="12"/>
      <c r="BM88" s="13"/>
      <c r="BO88" s="14"/>
      <c r="BP88" s="10"/>
      <c r="BQ88" s="11"/>
      <c r="BR88" s="11"/>
      <c r="BS88" s="11"/>
      <c r="BT88" s="12"/>
      <c r="BU88" s="12"/>
      <c r="BV88" s="13"/>
      <c r="BX88" s="14"/>
      <c r="BY88" s="10"/>
      <c r="BZ88" s="11"/>
      <c r="CA88" s="11"/>
      <c r="CB88" s="11"/>
      <c r="CC88" s="12"/>
      <c r="CD88" s="12"/>
      <c r="CE88" s="13"/>
      <c r="CG88" s="14"/>
      <c r="CH88" s="10"/>
      <c r="CI88" s="11"/>
      <c r="CJ88" s="11"/>
      <c r="CK88" s="11"/>
      <c r="CL88" s="12"/>
      <c r="CM88" s="12"/>
      <c r="CN88" s="13"/>
      <c r="CP88" s="13"/>
    </row>
    <row r="89" spans="1:94" x14ac:dyDescent="0.35">
      <c r="A89" s="5">
        <v>82</v>
      </c>
      <c r="B89" s="63">
        <f t="shared" si="58"/>
        <v>4.4999999999999998E-2</v>
      </c>
      <c r="C89" s="28">
        <f>B89+VLOOKUP(Rawdata!A84,Int_rate_movements,2,TRUE)</f>
        <v>4.4999999999999998E-2</v>
      </c>
      <c r="D89" s="28">
        <f>C89+VLOOKUP(Rawdata!B84,Int_rate_movements,2,TRUE)</f>
        <v>4.4999999999999998E-2</v>
      </c>
      <c r="E89" s="28">
        <f>D89+VLOOKUP(Rawdata!C84,Int_rate_movements,2,TRUE)</f>
        <v>4.4999999999999998E-2</v>
      </c>
      <c r="F89" s="28">
        <f>E89+VLOOKUP(Rawdata!D84,Int_rate_movements,2,TRUE)</f>
        <v>4.4999999999999998E-2</v>
      </c>
      <c r="G89" s="28">
        <f>F89+VLOOKUP(Rawdata!E84,Int_rate_movements,2,TRUE)</f>
        <v>0.04</v>
      </c>
      <c r="H89" s="28">
        <f>G89+VLOOKUP(Rawdata!F84,Int_rate_movements,2,TRUE)</f>
        <v>0.04</v>
      </c>
      <c r="I89" s="28">
        <f>H89+VLOOKUP(Rawdata!G84,Int_rate_movements,2,TRUE)</f>
        <v>4.2500000000000003E-2</v>
      </c>
      <c r="J89" s="28">
        <f>I89+VLOOKUP(Rawdata!H84,Int_rate_movements,2,TRUE)</f>
        <v>4.2500000000000003E-2</v>
      </c>
      <c r="K89" s="28">
        <f>J89+VLOOKUP(Rawdata!I84,Int_rate_movements,2,TRUE)</f>
        <v>4.2500000000000003E-2</v>
      </c>
      <c r="L89" s="28">
        <f>K89+VLOOKUP(Rawdata!J84,Int_rate_movements,2,TRUE)</f>
        <v>4.2500000000000003E-2</v>
      </c>
      <c r="M89" s="28">
        <f>L89+VLOOKUP(Rawdata!K84,Int_rate_movements,2,TRUE)</f>
        <v>4.2500000000000003E-2</v>
      </c>
      <c r="N89" s="28">
        <f>M89+VLOOKUP(Rawdata!L84,Int_rate_movements,2,TRUE)</f>
        <v>3.7500000000000006E-2</v>
      </c>
      <c r="O89" s="28">
        <f>N89+VLOOKUP(Rawdata!M84,Int_rate_movements,2,TRUE)</f>
        <v>3.7500000000000006E-2</v>
      </c>
      <c r="P89" s="28">
        <f>O89+VLOOKUP(Rawdata!N84,Int_rate_movements,2,TRUE)</f>
        <v>4.0000000000000008E-2</v>
      </c>
      <c r="Q89" s="28">
        <f>P89+VLOOKUP(Rawdata!O84,Int_rate_movements,2,TRUE)</f>
        <v>4.0000000000000008E-2</v>
      </c>
      <c r="R89" s="28">
        <f>Q89+VLOOKUP(Rawdata!P84,Int_rate_movements,2,TRUE)</f>
        <v>4.0000000000000008E-2</v>
      </c>
      <c r="S89" s="28">
        <f>R89+VLOOKUP(Rawdata!Q84,Int_rate_movements,2,TRUE)</f>
        <v>4.0000000000000008E-2</v>
      </c>
      <c r="T89" s="28">
        <f>S89+VLOOKUP(Rawdata!R84,Int_rate_movements,2,TRUE)</f>
        <v>4.0000000000000008E-2</v>
      </c>
      <c r="U89" s="28">
        <f>T89+VLOOKUP(Rawdata!S84,Int_rate_movements,2,TRUE)</f>
        <v>4.0000000000000008E-2</v>
      </c>
      <c r="V89" s="28">
        <f>U89+VLOOKUP(Rawdata!T84,Int_rate_movements,2,TRUE)</f>
        <v>4.0000000000000008E-2</v>
      </c>
      <c r="W89" s="28">
        <f>V89+VLOOKUP(Rawdata!U84,Int_rate_movements,2,TRUE)</f>
        <v>3.500000000000001E-2</v>
      </c>
      <c r="X89" s="28">
        <f>W89+VLOOKUP(Rawdata!V84,Int_rate_movements,2,TRUE)</f>
        <v>3.500000000000001E-2</v>
      </c>
      <c r="Y89" s="28">
        <f>X89+VLOOKUP(Rawdata!W84,Int_rate_movements,2,TRUE)</f>
        <v>3.500000000000001E-2</v>
      </c>
      <c r="Z89" s="35">
        <f>Y89+VLOOKUP(Rawdata!X84,Int_rate_movements,2,TRUE)</f>
        <v>3.500000000000001E-2</v>
      </c>
      <c r="AA89" s="12"/>
      <c r="AB89" s="55">
        <f t="shared" si="59"/>
        <v>4.4097712805242217E-2</v>
      </c>
      <c r="AC89" s="55">
        <f t="shared" si="60"/>
        <v>4.4097712805242217E-2</v>
      </c>
      <c r="AD89" s="55">
        <f t="shared" si="61"/>
        <v>4.4097712805242217E-2</v>
      </c>
      <c r="AE89" s="55">
        <f t="shared" si="62"/>
        <v>4.4097712805242217E-2</v>
      </c>
      <c r="AF89" s="55">
        <f t="shared" si="63"/>
        <v>4.4097712805242217E-2</v>
      </c>
      <c r="AG89" s="55">
        <f t="shared" si="64"/>
        <v>3.9284877386386974E-2</v>
      </c>
      <c r="AH89" s="55">
        <f t="shared" si="65"/>
        <v>3.9284877386386974E-2</v>
      </c>
      <c r="AI89" s="55">
        <f t="shared" si="66"/>
        <v>4.1693940041970023E-2</v>
      </c>
      <c r="AJ89" s="55">
        <f t="shared" si="67"/>
        <v>4.1693940041970023E-2</v>
      </c>
      <c r="AK89" s="55">
        <f t="shared" si="68"/>
        <v>4.1693940041970023E-2</v>
      </c>
      <c r="AL89" s="55">
        <f t="shared" si="69"/>
        <v>4.1693940041970023E-2</v>
      </c>
      <c r="AM89" s="55">
        <f t="shared" si="70"/>
        <v>4.1693940041970023E-2</v>
      </c>
      <c r="AN89" s="55">
        <f t="shared" si="71"/>
        <v>3.6870500439066589E-2</v>
      </c>
      <c r="AO89" s="55">
        <f t="shared" si="72"/>
        <v>3.6870500439066589E-2</v>
      </c>
      <c r="AP89" s="55">
        <f t="shared" si="73"/>
        <v>3.9284877386386974E-2</v>
      </c>
      <c r="AQ89" s="55">
        <f t="shared" si="74"/>
        <v>3.9284877386386974E-2</v>
      </c>
      <c r="AR89" s="55">
        <f t="shared" si="75"/>
        <v>3.9284877386386974E-2</v>
      </c>
      <c r="AS89" s="55">
        <f t="shared" si="76"/>
        <v>3.9284877386386974E-2</v>
      </c>
      <c r="AT89" s="55">
        <f t="shared" si="77"/>
        <v>3.9284877386386974E-2</v>
      </c>
      <c r="AU89" s="55">
        <f t="shared" si="78"/>
        <v>3.9284877386386974E-2</v>
      </c>
      <c r="AV89" s="55">
        <f t="shared" si="79"/>
        <v>3.9284877386386974E-2</v>
      </c>
      <c r="AW89" s="55">
        <f t="shared" si="80"/>
        <v>3.4450784628919706E-2</v>
      </c>
      <c r="AX89" s="55">
        <f t="shared" si="81"/>
        <v>3.4450784628919706E-2</v>
      </c>
      <c r="AY89" s="55">
        <f t="shared" si="82"/>
        <v>3.4450784628919706E-2</v>
      </c>
      <c r="AZ89" s="56">
        <f t="shared" si="83"/>
        <v>3.4450784628919706E-2</v>
      </c>
      <c r="BA89" s="11"/>
      <c r="BB89" s="12"/>
      <c r="BC89" s="12"/>
      <c r="BD89" s="13"/>
      <c r="BF89" s="14"/>
      <c r="BG89" s="10"/>
      <c r="BH89" s="11"/>
      <c r="BI89" s="11"/>
      <c r="BJ89" s="11"/>
      <c r="BK89" s="12"/>
      <c r="BL89" s="12"/>
      <c r="BM89" s="13"/>
      <c r="BO89" s="14"/>
      <c r="BP89" s="10"/>
      <c r="BQ89" s="11"/>
      <c r="BR89" s="11"/>
      <c r="BS89" s="11"/>
      <c r="BT89" s="12"/>
      <c r="BU89" s="12"/>
      <c r="BV89" s="13"/>
      <c r="BX89" s="14"/>
      <c r="BY89" s="10"/>
      <c r="BZ89" s="11"/>
      <c r="CA89" s="11"/>
      <c r="CB89" s="11"/>
      <c r="CC89" s="12"/>
      <c r="CD89" s="12"/>
      <c r="CE89" s="13"/>
      <c r="CG89" s="14"/>
      <c r="CH89" s="10"/>
      <c r="CI89" s="11"/>
      <c r="CJ89" s="11"/>
      <c r="CK89" s="11"/>
      <c r="CL89" s="12"/>
      <c r="CM89" s="12"/>
      <c r="CN89" s="13"/>
      <c r="CP89" s="13"/>
    </row>
    <row r="90" spans="1:94" x14ac:dyDescent="0.35">
      <c r="A90" s="27">
        <v>83</v>
      </c>
      <c r="B90" s="63">
        <f t="shared" si="58"/>
        <v>4.4999999999999998E-2</v>
      </c>
      <c r="C90" s="28">
        <f>B90+VLOOKUP(Rawdata!A85,Int_rate_movements,2,TRUE)</f>
        <v>4.4999999999999998E-2</v>
      </c>
      <c r="D90" s="28">
        <f>C90+VLOOKUP(Rawdata!B85,Int_rate_movements,2,TRUE)</f>
        <v>0.04</v>
      </c>
      <c r="E90" s="28">
        <f>D90+VLOOKUP(Rawdata!C85,Int_rate_movements,2,TRUE)</f>
        <v>0.04</v>
      </c>
      <c r="F90" s="28">
        <f>E90+VLOOKUP(Rawdata!D85,Int_rate_movements,2,TRUE)</f>
        <v>0.04</v>
      </c>
      <c r="G90" s="28">
        <f>F90+VLOOKUP(Rawdata!E85,Int_rate_movements,2,TRUE)</f>
        <v>0.04</v>
      </c>
      <c r="H90" s="28">
        <f>G90+VLOOKUP(Rawdata!F85,Int_rate_movements,2,TRUE)</f>
        <v>0.04</v>
      </c>
      <c r="I90" s="28">
        <f>H90+VLOOKUP(Rawdata!G85,Int_rate_movements,2,TRUE)</f>
        <v>0.04</v>
      </c>
      <c r="J90" s="28">
        <f>I90+VLOOKUP(Rawdata!H85,Int_rate_movements,2,TRUE)</f>
        <v>4.2500000000000003E-2</v>
      </c>
      <c r="K90" s="28">
        <f>J90+VLOOKUP(Rawdata!I85,Int_rate_movements,2,TRUE)</f>
        <v>4.2500000000000003E-2</v>
      </c>
      <c r="L90" s="28">
        <f>K90+VLOOKUP(Rawdata!J85,Int_rate_movements,2,TRUE)</f>
        <v>4.5000000000000005E-2</v>
      </c>
      <c r="M90" s="28">
        <f>L90+VLOOKUP(Rawdata!K85,Int_rate_movements,2,TRUE)</f>
        <v>4.5000000000000005E-2</v>
      </c>
      <c r="N90" s="28">
        <f>M90+VLOOKUP(Rawdata!L85,Int_rate_movements,2,TRUE)</f>
        <v>4.5000000000000005E-2</v>
      </c>
      <c r="O90" s="28">
        <f>N90+VLOOKUP(Rawdata!M85,Int_rate_movements,2,TRUE)</f>
        <v>4.5000000000000005E-2</v>
      </c>
      <c r="P90" s="28">
        <f>O90+VLOOKUP(Rawdata!N85,Int_rate_movements,2,TRUE)</f>
        <v>4.5000000000000005E-2</v>
      </c>
      <c r="Q90" s="28">
        <f>P90+VLOOKUP(Rawdata!O85,Int_rate_movements,2,TRUE)</f>
        <v>4.5000000000000005E-2</v>
      </c>
      <c r="R90" s="28">
        <f>Q90+VLOOKUP(Rawdata!P85,Int_rate_movements,2,TRUE)</f>
        <v>4.5000000000000005E-2</v>
      </c>
      <c r="S90" s="28">
        <f>R90+VLOOKUP(Rawdata!Q85,Int_rate_movements,2,TRUE)</f>
        <v>4.5000000000000005E-2</v>
      </c>
      <c r="T90" s="28">
        <f>S90+VLOOKUP(Rawdata!R85,Int_rate_movements,2,TRUE)</f>
        <v>4.5000000000000005E-2</v>
      </c>
      <c r="U90" s="28">
        <f>T90+VLOOKUP(Rawdata!S85,Int_rate_movements,2,TRUE)</f>
        <v>4.5000000000000005E-2</v>
      </c>
      <c r="V90" s="28">
        <f>U90+VLOOKUP(Rawdata!T85,Int_rate_movements,2,TRUE)</f>
        <v>4.5000000000000005E-2</v>
      </c>
      <c r="W90" s="28">
        <f>V90+VLOOKUP(Rawdata!U85,Int_rate_movements,2,TRUE)</f>
        <v>4.5000000000000005E-2</v>
      </c>
      <c r="X90" s="28">
        <f>W90+VLOOKUP(Rawdata!V85,Int_rate_movements,2,TRUE)</f>
        <v>4.5000000000000005E-2</v>
      </c>
      <c r="Y90" s="28">
        <f>X90+VLOOKUP(Rawdata!W85,Int_rate_movements,2,TRUE)</f>
        <v>4.5000000000000005E-2</v>
      </c>
      <c r="Z90" s="35">
        <f>Y90+VLOOKUP(Rawdata!X85,Int_rate_movements,2,TRUE)</f>
        <v>4.5000000000000005E-2</v>
      </c>
      <c r="AA90" s="12"/>
      <c r="AB90" s="55">
        <f t="shared" si="59"/>
        <v>4.4097712805242217E-2</v>
      </c>
      <c r="AC90" s="55">
        <f t="shared" si="60"/>
        <v>4.4097712805242217E-2</v>
      </c>
      <c r="AD90" s="55">
        <f t="shared" si="61"/>
        <v>3.9284877386386974E-2</v>
      </c>
      <c r="AE90" s="55">
        <f t="shared" si="62"/>
        <v>3.9284877386386974E-2</v>
      </c>
      <c r="AF90" s="55">
        <f t="shared" si="63"/>
        <v>3.9284877386386974E-2</v>
      </c>
      <c r="AG90" s="55">
        <f t="shared" si="64"/>
        <v>3.9284877386386974E-2</v>
      </c>
      <c r="AH90" s="55">
        <f t="shared" si="65"/>
        <v>3.9284877386386974E-2</v>
      </c>
      <c r="AI90" s="55">
        <f t="shared" si="66"/>
        <v>3.9284877386386974E-2</v>
      </c>
      <c r="AJ90" s="55">
        <f t="shared" si="67"/>
        <v>4.1693940041970023E-2</v>
      </c>
      <c r="AK90" s="55">
        <f t="shared" si="68"/>
        <v>4.1693940041970023E-2</v>
      </c>
      <c r="AL90" s="55">
        <f t="shared" si="69"/>
        <v>4.4097712805242217E-2</v>
      </c>
      <c r="AM90" s="55">
        <f t="shared" si="70"/>
        <v>4.4097712805242217E-2</v>
      </c>
      <c r="AN90" s="55">
        <f t="shared" si="71"/>
        <v>4.4097712805242217E-2</v>
      </c>
      <c r="AO90" s="55">
        <f t="shared" si="72"/>
        <v>4.4097712805242217E-2</v>
      </c>
      <c r="AP90" s="55">
        <f t="shared" si="73"/>
        <v>4.4097712805242217E-2</v>
      </c>
      <c r="AQ90" s="55">
        <f t="shared" si="74"/>
        <v>4.4097712805242217E-2</v>
      </c>
      <c r="AR90" s="55">
        <f t="shared" si="75"/>
        <v>4.4097712805242217E-2</v>
      </c>
      <c r="AS90" s="55">
        <f t="shared" si="76"/>
        <v>4.4097712805242217E-2</v>
      </c>
      <c r="AT90" s="55">
        <f t="shared" si="77"/>
        <v>4.4097712805242217E-2</v>
      </c>
      <c r="AU90" s="55">
        <f t="shared" si="78"/>
        <v>4.4097712805242217E-2</v>
      </c>
      <c r="AV90" s="55">
        <f t="shared" si="79"/>
        <v>4.4097712805242217E-2</v>
      </c>
      <c r="AW90" s="55">
        <f t="shared" si="80"/>
        <v>4.4097712805242217E-2</v>
      </c>
      <c r="AX90" s="55">
        <f t="shared" si="81"/>
        <v>4.4097712805242217E-2</v>
      </c>
      <c r="AY90" s="55">
        <f t="shared" si="82"/>
        <v>4.4097712805242217E-2</v>
      </c>
      <c r="AZ90" s="56">
        <f t="shared" si="83"/>
        <v>4.4097712805242217E-2</v>
      </c>
      <c r="BA90" s="11"/>
      <c r="BB90" s="12"/>
      <c r="BC90" s="12"/>
      <c r="BD90" s="13"/>
      <c r="BF90" s="14"/>
      <c r="BG90" s="10"/>
      <c r="BH90" s="11"/>
      <c r="BI90" s="11"/>
      <c r="BJ90" s="11"/>
      <c r="BK90" s="12"/>
      <c r="BL90" s="12"/>
      <c r="BM90" s="13"/>
      <c r="BO90" s="14"/>
      <c r="BP90" s="10"/>
      <c r="BQ90" s="11"/>
      <c r="BR90" s="11"/>
      <c r="BS90" s="11"/>
      <c r="BT90" s="12"/>
      <c r="BU90" s="12"/>
      <c r="BV90" s="13"/>
      <c r="BX90" s="14"/>
      <c r="BY90" s="10"/>
      <c r="BZ90" s="11"/>
      <c r="CA90" s="11"/>
      <c r="CB90" s="11"/>
      <c r="CC90" s="12"/>
      <c r="CD90" s="12"/>
      <c r="CE90" s="13"/>
      <c r="CG90" s="14"/>
      <c r="CH90" s="10"/>
      <c r="CI90" s="11"/>
      <c r="CJ90" s="11"/>
      <c r="CK90" s="11"/>
      <c r="CL90" s="12"/>
      <c r="CM90" s="12"/>
      <c r="CN90" s="13"/>
      <c r="CP90" s="13"/>
    </row>
    <row r="91" spans="1:94" x14ac:dyDescent="0.35">
      <c r="A91" s="5">
        <v>84</v>
      </c>
      <c r="B91" s="63">
        <f t="shared" si="58"/>
        <v>4.4999999999999998E-2</v>
      </c>
      <c r="C91" s="28">
        <f>B91+VLOOKUP(Rawdata!A86,Int_rate_movements,2,TRUE)</f>
        <v>4.4999999999999998E-2</v>
      </c>
      <c r="D91" s="28">
        <f>C91+VLOOKUP(Rawdata!B86,Int_rate_movements,2,TRUE)</f>
        <v>4.4999999999999998E-2</v>
      </c>
      <c r="E91" s="28">
        <f>D91+VLOOKUP(Rawdata!C86,Int_rate_movements,2,TRUE)</f>
        <v>4.4999999999999998E-2</v>
      </c>
      <c r="F91" s="28">
        <f>E91+VLOOKUP(Rawdata!D86,Int_rate_movements,2,TRUE)</f>
        <v>4.4999999999999998E-2</v>
      </c>
      <c r="G91" s="28">
        <f>F91+VLOOKUP(Rawdata!E86,Int_rate_movements,2,TRUE)</f>
        <v>4.4999999999999998E-2</v>
      </c>
      <c r="H91" s="28">
        <f>G91+VLOOKUP(Rawdata!F86,Int_rate_movements,2,TRUE)</f>
        <v>4.4999999999999998E-2</v>
      </c>
      <c r="I91" s="28">
        <f>H91+VLOOKUP(Rawdata!G86,Int_rate_movements,2,TRUE)</f>
        <v>4.4999999999999998E-2</v>
      </c>
      <c r="J91" s="28">
        <f>I91+VLOOKUP(Rawdata!H86,Int_rate_movements,2,TRUE)</f>
        <v>4.4999999999999998E-2</v>
      </c>
      <c r="K91" s="28">
        <f>J91+VLOOKUP(Rawdata!I86,Int_rate_movements,2,TRUE)</f>
        <v>4.4999999999999998E-2</v>
      </c>
      <c r="L91" s="28">
        <f>K91+VLOOKUP(Rawdata!J86,Int_rate_movements,2,TRUE)</f>
        <v>4.4999999999999998E-2</v>
      </c>
      <c r="M91" s="28">
        <f>L91+VLOOKUP(Rawdata!K86,Int_rate_movements,2,TRUE)</f>
        <v>4.4999999999999998E-2</v>
      </c>
      <c r="N91" s="28">
        <f>M91+VLOOKUP(Rawdata!L86,Int_rate_movements,2,TRUE)</f>
        <v>4.4999999999999998E-2</v>
      </c>
      <c r="O91" s="28">
        <f>N91+VLOOKUP(Rawdata!M86,Int_rate_movements,2,TRUE)</f>
        <v>4.4999999999999998E-2</v>
      </c>
      <c r="P91" s="28">
        <f>O91+VLOOKUP(Rawdata!N86,Int_rate_movements,2,TRUE)</f>
        <v>4.7500000000000001E-2</v>
      </c>
      <c r="Q91" s="28">
        <f>P91+VLOOKUP(Rawdata!O86,Int_rate_movements,2,TRUE)</f>
        <v>4.7500000000000001E-2</v>
      </c>
      <c r="R91" s="28">
        <f>Q91+VLOOKUP(Rawdata!P86,Int_rate_movements,2,TRUE)</f>
        <v>4.7500000000000001E-2</v>
      </c>
      <c r="S91" s="28">
        <f>R91+VLOOKUP(Rawdata!Q86,Int_rate_movements,2,TRUE)</f>
        <v>4.7500000000000001E-2</v>
      </c>
      <c r="T91" s="28">
        <f>S91+VLOOKUP(Rawdata!R86,Int_rate_movements,2,TRUE)</f>
        <v>4.7500000000000001E-2</v>
      </c>
      <c r="U91" s="28">
        <f>T91+VLOOKUP(Rawdata!S86,Int_rate_movements,2,TRUE)</f>
        <v>4.7500000000000001E-2</v>
      </c>
      <c r="V91" s="28">
        <f>U91+VLOOKUP(Rawdata!T86,Int_rate_movements,2,TRUE)</f>
        <v>4.7500000000000001E-2</v>
      </c>
      <c r="W91" s="28">
        <f>V91+VLOOKUP(Rawdata!U86,Int_rate_movements,2,TRUE)</f>
        <v>4.7500000000000001E-2</v>
      </c>
      <c r="X91" s="28">
        <f>W91+VLOOKUP(Rawdata!V86,Int_rate_movements,2,TRUE)</f>
        <v>4.7500000000000001E-2</v>
      </c>
      <c r="Y91" s="28">
        <f>X91+VLOOKUP(Rawdata!W86,Int_rate_movements,2,TRUE)</f>
        <v>4.7500000000000001E-2</v>
      </c>
      <c r="Z91" s="35">
        <f>Y91+VLOOKUP(Rawdata!X86,Int_rate_movements,2,TRUE)</f>
        <v>4.7500000000000001E-2</v>
      </c>
      <c r="AA91" s="12"/>
      <c r="AB91" s="55">
        <f t="shared" si="59"/>
        <v>4.4097712805242217E-2</v>
      </c>
      <c r="AC91" s="55">
        <f t="shared" si="60"/>
        <v>4.4097712805242217E-2</v>
      </c>
      <c r="AD91" s="55">
        <f t="shared" si="61"/>
        <v>4.4097712805242217E-2</v>
      </c>
      <c r="AE91" s="55">
        <f t="shared" si="62"/>
        <v>4.4097712805242217E-2</v>
      </c>
      <c r="AF91" s="55">
        <f t="shared" si="63"/>
        <v>4.4097712805242217E-2</v>
      </c>
      <c r="AG91" s="55">
        <f t="shared" si="64"/>
        <v>4.4097712805242217E-2</v>
      </c>
      <c r="AH91" s="55">
        <f t="shared" si="65"/>
        <v>4.4097712805242217E-2</v>
      </c>
      <c r="AI91" s="55">
        <f t="shared" si="66"/>
        <v>4.4097712805242217E-2</v>
      </c>
      <c r="AJ91" s="55">
        <f t="shared" si="67"/>
        <v>4.4097712805242217E-2</v>
      </c>
      <c r="AK91" s="55">
        <f t="shared" si="68"/>
        <v>4.4097712805242217E-2</v>
      </c>
      <c r="AL91" s="55">
        <f t="shared" si="69"/>
        <v>4.4097712805242217E-2</v>
      </c>
      <c r="AM91" s="55">
        <f t="shared" si="70"/>
        <v>4.4097712805242217E-2</v>
      </c>
      <c r="AN91" s="55">
        <f t="shared" si="71"/>
        <v>4.4097712805242217E-2</v>
      </c>
      <c r="AO91" s="55">
        <f t="shared" si="72"/>
        <v>4.4097712805242217E-2</v>
      </c>
      <c r="AP91" s="55">
        <f t="shared" si="73"/>
        <v>4.6496219905550085E-2</v>
      </c>
      <c r="AQ91" s="55">
        <f t="shared" si="74"/>
        <v>4.6496219905550085E-2</v>
      </c>
      <c r="AR91" s="55">
        <f t="shared" si="75"/>
        <v>4.6496219905550085E-2</v>
      </c>
      <c r="AS91" s="55">
        <f t="shared" si="76"/>
        <v>4.6496219905550085E-2</v>
      </c>
      <c r="AT91" s="55">
        <f t="shared" si="77"/>
        <v>4.6496219905550085E-2</v>
      </c>
      <c r="AU91" s="55">
        <f t="shared" si="78"/>
        <v>4.6496219905550085E-2</v>
      </c>
      <c r="AV91" s="55">
        <f t="shared" si="79"/>
        <v>4.6496219905550085E-2</v>
      </c>
      <c r="AW91" s="55">
        <f t="shared" si="80"/>
        <v>4.6496219905550085E-2</v>
      </c>
      <c r="AX91" s="55">
        <f t="shared" si="81"/>
        <v>4.6496219905550085E-2</v>
      </c>
      <c r="AY91" s="55">
        <f t="shared" si="82"/>
        <v>4.6496219905550085E-2</v>
      </c>
      <c r="AZ91" s="56">
        <f t="shared" si="83"/>
        <v>4.6496219905550085E-2</v>
      </c>
      <c r="BA91" s="11"/>
      <c r="BB91" s="12"/>
      <c r="BC91" s="12"/>
      <c r="BD91" s="13"/>
      <c r="BF91" s="14"/>
      <c r="BG91" s="10"/>
      <c r="BH91" s="11"/>
      <c r="BI91" s="11"/>
      <c r="BJ91" s="11"/>
      <c r="BK91" s="12"/>
      <c r="BL91" s="12"/>
      <c r="BM91" s="13"/>
      <c r="BO91" s="14"/>
      <c r="BP91" s="10"/>
      <c r="BQ91" s="11"/>
      <c r="BR91" s="11"/>
      <c r="BS91" s="11"/>
      <c r="BT91" s="12"/>
      <c r="BU91" s="12"/>
      <c r="BV91" s="13"/>
      <c r="BX91" s="14"/>
      <c r="BY91" s="10"/>
      <c r="BZ91" s="11"/>
      <c r="CA91" s="11"/>
      <c r="CB91" s="11"/>
      <c r="CC91" s="12"/>
      <c r="CD91" s="12"/>
      <c r="CE91" s="13"/>
      <c r="CG91" s="14"/>
      <c r="CH91" s="10"/>
      <c r="CI91" s="11"/>
      <c r="CJ91" s="11"/>
      <c r="CK91" s="11"/>
      <c r="CL91" s="12"/>
      <c r="CM91" s="12"/>
      <c r="CN91" s="13"/>
      <c r="CP91" s="13"/>
    </row>
    <row r="92" spans="1:94" x14ac:dyDescent="0.35">
      <c r="A92" s="27">
        <v>85</v>
      </c>
      <c r="B92" s="63">
        <f t="shared" si="58"/>
        <v>4.4999999999999998E-2</v>
      </c>
      <c r="C92" s="28">
        <f>B92+VLOOKUP(Rawdata!A87,Int_rate_movements,2,TRUE)</f>
        <v>4.4999999999999998E-2</v>
      </c>
      <c r="D92" s="28">
        <f>C92+VLOOKUP(Rawdata!B87,Int_rate_movements,2,TRUE)</f>
        <v>4.4999999999999998E-2</v>
      </c>
      <c r="E92" s="28">
        <f>D92+VLOOKUP(Rawdata!C87,Int_rate_movements,2,TRUE)</f>
        <v>4.4999999999999998E-2</v>
      </c>
      <c r="F92" s="28">
        <f>E92+VLOOKUP(Rawdata!D87,Int_rate_movements,2,TRUE)</f>
        <v>4.7500000000000001E-2</v>
      </c>
      <c r="G92" s="28">
        <f>F92+VLOOKUP(Rawdata!E87,Int_rate_movements,2,TRUE)</f>
        <v>4.7500000000000001E-2</v>
      </c>
      <c r="H92" s="28">
        <f>G92+VLOOKUP(Rawdata!F87,Int_rate_movements,2,TRUE)</f>
        <v>4.7500000000000001E-2</v>
      </c>
      <c r="I92" s="28">
        <f>H92+VLOOKUP(Rawdata!G87,Int_rate_movements,2,TRUE)</f>
        <v>4.7500000000000001E-2</v>
      </c>
      <c r="J92" s="28">
        <f>I92+VLOOKUP(Rawdata!H87,Int_rate_movements,2,TRUE)</f>
        <v>4.7500000000000001E-2</v>
      </c>
      <c r="K92" s="28">
        <f>J92+VLOOKUP(Rawdata!I87,Int_rate_movements,2,TRUE)</f>
        <v>4.7500000000000001E-2</v>
      </c>
      <c r="L92" s="28">
        <f>K92+VLOOKUP(Rawdata!J87,Int_rate_movements,2,TRUE)</f>
        <v>4.7500000000000001E-2</v>
      </c>
      <c r="M92" s="28">
        <f>L92+VLOOKUP(Rawdata!K87,Int_rate_movements,2,TRUE)</f>
        <v>4.7500000000000001E-2</v>
      </c>
      <c r="N92" s="28">
        <f>M92+VLOOKUP(Rawdata!L87,Int_rate_movements,2,TRUE)</f>
        <v>4.7500000000000001E-2</v>
      </c>
      <c r="O92" s="28">
        <f>N92+VLOOKUP(Rawdata!M87,Int_rate_movements,2,TRUE)</f>
        <v>4.7500000000000001E-2</v>
      </c>
      <c r="P92" s="28">
        <f>O92+VLOOKUP(Rawdata!N87,Int_rate_movements,2,TRUE)</f>
        <v>4.7500000000000001E-2</v>
      </c>
      <c r="Q92" s="28">
        <f>P92+VLOOKUP(Rawdata!O87,Int_rate_movements,2,TRUE)</f>
        <v>4.7500000000000001E-2</v>
      </c>
      <c r="R92" s="28">
        <f>Q92+VLOOKUP(Rawdata!P87,Int_rate_movements,2,TRUE)</f>
        <v>4.7500000000000001E-2</v>
      </c>
      <c r="S92" s="28">
        <f>R92+VLOOKUP(Rawdata!Q87,Int_rate_movements,2,TRUE)</f>
        <v>4.7500000000000001E-2</v>
      </c>
      <c r="T92" s="28">
        <f>S92+VLOOKUP(Rawdata!R87,Int_rate_movements,2,TRUE)</f>
        <v>4.7500000000000001E-2</v>
      </c>
      <c r="U92" s="28">
        <f>T92+VLOOKUP(Rawdata!S87,Int_rate_movements,2,TRUE)</f>
        <v>4.7500000000000001E-2</v>
      </c>
      <c r="V92" s="28">
        <f>U92+VLOOKUP(Rawdata!T87,Int_rate_movements,2,TRUE)</f>
        <v>4.7500000000000001E-2</v>
      </c>
      <c r="W92" s="28">
        <f>V92+VLOOKUP(Rawdata!U87,Int_rate_movements,2,TRUE)</f>
        <v>4.7500000000000001E-2</v>
      </c>
      <c r="X92" s="28">
        <f>W92+VLOOKUP(Rawdata!V87,Int_rate_movements,2,TRUE)</f>
        <v>4.7500000000000001E-2</v>
      </c>
      <c r="Y92" s="28">
        <f>X92+VLOOKUP(Rawdata!W87,Int_rate_movements,2,TRUE)</f>
        <v>4.7500000000000001E-2</v>
      </c>
      <c r="Z92" s="35">
        <f>Y92+VLOOKUP(Rawdata!X87,Int_rate_movements,2,TRUE)</f>
        <v>4.7500000000000001E-2</v>
      </c>
      <c r="AA92" s="12"/>
      <c r="AB92" s="55">
        <f t="shared" si="59"/>
        <v>4.4097712805242217E-2</v>
      </c>
      <c r="AC92" s="55">
        <f t="shared" si="60"/>
        <v>4.4097712805242217E-2</v>
      </c>
      <c r="AD92" s="55">
        <f t="shared" si="61"/>
        <v>4.4097712805242217E-2</v>
      </c>
      <c r="AE92" s="55">
        <f t="shared" si="62"/>
        <v>4.4097712805242217E-2</v>
      </c>
      <c r="AF92" s="55">
        <f t="shared" si="63"/>
        <v>4.6496219905550085E-2</v>
      </c>
      <c r="AG92" s="55">
        <f t="shared" si="64"/>
        <v>4.6496219905550085E-2</v>
      </c>
      <c r="AH92" s="55">
        <f t="shared" si="65"/>
        <v>4.6496219905550085E-2</v>
      </c>
      <c r="AI92" s="55">
        <f t="shared" si="66"/>
        <v>4.6496219905550085E-2</v>
      </c>
      <c r="AJ92" s="55">
        <f t="shared" si="67"/>
        <v>4.6496219905550085E-2</v>
      </c>
      <c r="AK92" s="55">
        <f t="shared" si="68"/>
        <v>4.6496219905550085E-2</v>
      </c>
      <c r="AL92" s="55">
        <f t="shared" si="69"/>
        <v>4.6496219905550085E-2</v>
      </c>
      <c r="AM92" s="55">
        <f t="shared" si="70"/>
        <v>4.6496219905550085E-2</v>
      </c>
      <c r="AN92" s="55">
        <f t="shared" si="71"/>
        <v>4.6496219905550085E-2</v>
      </c>
      <c r="AO92" s="55">
        <f t="shared" si="72"/>
        <v>4.6496219905550085E-2</v>
      </c>
      <c r="AP92" s="55">
        <f t="shared" si="73"/>
        <v>4.6496219905550085E-2</v>
      </c>
      <c r="AQ92" s="55">
        <f t="shared" si="74"/>
        <v>4.6496219905550085E-2</v>
      </c>
      <c r="AR92" s="55">
        <f t="shared" si="75"/>
        <v>4.6496219905550085E-2</v>
      </c>
      <c r="AS92" s="55">
        <f t="shared" si="76"/>
        <v>4.6496219905550085E-2</v>
      </c>
      <c r="AT92" s="55">
        <f t="shared" si="77"/>
        <v>4.6496219905550085E-2</v>
      </c>
      <c r="AU92" s="55">
        <f t="shared" si="78"/>
        <v>4.6496219905550085E-2</v>
      </c>
      <c r="AV92" s="55">
        <f t="shared" si="79"/>
        <v>4.6496219905550085E-2</v>
      </c>
      <c r="AW92" s="55">
        <f t="shared" si="80"/>
        <v>4.6496219905550085E-2</v>
      </c>
      <c r="AX92" s="55">
        <f t="shared" si="81"/>
        <v>4.6496219905550085E-2</v>
      </c>
      <c r="AY92" s="55">
        <f t="shared" si="82"/>
        <v>4.6496219905550085E-2</v>
      </c>
      <c r="AZ92" s="56">
        <f t="shared" si="83"/>
        <v>4.6496219905550085E-2</v>
      </c>
      <c r="BA92" s="11"/>
      <c r="BB92" s="12"/>
      <c r="BC92" s="12"/>
      <c r="BD92" s="13"/>
      <c r="BF92" s="14"/>
      <c r="BG92" s="10"/>
      <c r="BH92" s="11"/>
      <c r="BI92" s="11"/>
      <c r="BJ92" s="11"/>
      <c r="BK92" s="12"/>
      <c r="BL92" s="12"/>
      <c r="BM92" s="13"/>
      <c r="BO92" s="14"/>
      <c r="BP92" s="10"/>
      <c r="BQ92" s="11"/>
      <c r="BR92" s="11"/>
      <c r="BS92" s="11"/>
      <c r="BT92" s="12"/>
      <c r="BU92" s="12"/>
      <c r="BV92" s="13"/>
      <c r="BX92" s="14"/>
      <c r="BY92" s="10"/>
      <c r="BZ92" s="11"/>
      <c r="CA92" s="11"/>
      <c r="CB92" s="11"/>
      <c r="CC92" s="12"/>
      <c r="CD92" s="12"/>
      <c r="CE92" s="13"/>
      <c r="CG92" s="14"/>
      <c r="CH92" s="10"/>
      <c r="CI92" s="11"/>
      <c r="CJ92" s="11"/>
      <c r="CK92" s="11"/>
      <c r="CL92" s="12"/>
      <c r="CM92" s="12"/>
      <c r="CN92" s="13"/>
      <c r="CP92" s="13"/>
    </row>
    <row r="93" spans="1:94" x14ac:dyDescent="0.35">
      <c r="A93" s="5">
        <v>86</v>
      </c>
      <c r="B93" s="63">
        <f t="shared" si="58"/>
        <v>4.4999999999999998E-2</v>
      </c>
      <c r="C93" s="28">
        <f>B93+VLOOKUP(Rawdata!A88,Int_rate_movements,2,TRUE)</f>
        <v>4.4999999999999998E-2</v>
      </c>
      <c r="D93" s="28">
        <f>C93+VLOOKUP(Rawdata!B88,Int_rate_movements,2,TRUE)</f>
        <v>4.9999999999999996E-2</v>
      </c>
      <c r="E93" s="28">
        <f>D93+VLOOKUP(Rawdata!C88,Int_rate_movements,2,TRUE)</f>
        <v>4.9999999999999996E-2</v>
      </c>
      <c r="F93" s="28">
        <f>E93+VLOOKUP(Rawdata!D88,Int_rate_movements,2,TRUE)</f>
        <v>4.4999999999999998E-2</v>
      </c>
      <c r="G93" s="28">
        <f>F93+VLOOKUP(Rawdata!E88,Int_rate_movements,2,TRUE)</f>
        <v>4.4999999999999998E-2</v>
      </c>
      <c r="H93" s="28">
        <f>G93+VLOOKUP(Rawdata!F88,Int_rate_movements,2,TRUE)</f>
        <v>4.4999999999999998E-2</v>
      </c>
      <c r="I93" s="28">
        <f>H93+VLOOKUP(Rawdata!G88,Int_rate_movements,2,TRUE)</f>
        <v>4.4999999999999998E-2</v>
      </c>
      <c r="J93" s="28">
        <f>I93+VLOOKUP(Rawdata!H88,Int_rate_movements,2,TRUE)</f>
        <v>4.4999999999999998E-2</v>
      </c>
      <c r="K93" s="28">
        <f>J93+VLOOKUP(Rawdata!I88,Int_rate_movements,2,TRUE)</f>
        <v>4.4999999999999998E-2</v>
      </c>
      <c r="L93" s="28">
        <f>K93+VLOOKUP(Rawdata!J88,Int_rate_movements,2,TRUE)</f>
        <v>4.4999999999999998E-2</v>
      </c>
      <c r="M93" s="28">
        <f>L93+VLOOKUP(Rawdata!K88,Int_rate_movements,2,TRUE)</f>
        <v>4.4999999999999998E-2</v>
      </c>
      <c r="N93" s="28">
        <f>M93+VLOOKUP(Rawdata!L88,Int_rate_movements,2,TRUE)</f>
        <v>4.4999999999999998E-2</v>
      </c>
      <c r="O93" s="28">
        <f>N93+VLOOKUP(Rawdata!M88,Int_rate_movements,2,TRUE)</f>
        <v>4.4999999999999998E-2</v>
      </c>
      <c r="P93" s="28">
        <f>O93+VLOOKUP(Rawdata!N88,Int_rate_movements,2,TRUE)</f>
        <v>4.4999999999999998E-2</v>
      </c>
      <c r="Q93" s="28">
        <f>P93+VLOOKUP(Rawdata!O88,Int_rate_movements,2,TRUE)</f>
        <v>4.4999999999999998E-2</v>
      </c>
      <c r="R93" s="28">
        <f>Q93+VLOOKUP(Rawdata!P88,Int_rate_movements,2,TRUE)</f>
        <v>4.4999999999999998E-2</v>
      </c>
      <c r="S93" s="28">
        <f>R93+VLOOKUP(Rawdata!Q88,Int_rate_movements,2,TRUE)</f>
        <v>4.4999999999999998E-2</v>
      </c>
      <c r="T93" s="28">
        <f>S93+VLOOKUP(Rawdata!R88,Int_rate_movements,2,TRUE)</f>
        <v>4.4999999999999998E-2</v>
      </c>
      <c r="U93" s="28">
        <f>T93+VLOOKUP(Rawdata!S88,Int_rate_movements,2,TRUE)</f>
        <v>4.4999999999999998E-2</v>
      </c>
      <c r="V93" s="28">
        <f>U93+VLOOKUP(Rawdata!T88,Int_rate_movements,2,TRUE)</f>
        <v>4.4999999999999998E-2</v>
      </c>
      <c r="W93" s="28">
        <f>V93+VLOOKUP(Rawdata!U88,Int_rate_movements,2,TRUE)</f>
        <v>4.4999999999999998E-2</v>
      </c>
      <c r="X93" s="28">
        <f>W93+VLOOKUP(Rawdata!V88,Int_rate_movements,2,TRUE)</f>
        <v>4.4999999999999998E-2</v>
      </c>
      <c r="Y93" s="28">
        <f>X93+VLOOKUP(Rawdata!W88,Int_rate_movements,2,TRUE)</f>
        <v>4.4999999999999998E-2</v>
      </c>
      <c r="Z93" s="35">
        <f>Y93+VLOOKUP(Rawdata!X88,Int_rate_movements,2,TRUE)</f>
        <v>4.4999999999999998E-2</v>
      </c>
      <c r="AA93" s="12"/>
      <c r="AB93" s="55">
        <f t="shared" si="59"/>
        <v>4.4097712805242217E-2</v>
      </c>
      <c r="AC93" s="55">
        <f t="shared" si="60"/>
        <v>4.4097712805242217E-2</v>
      </c>
      <c r="AD93" s="55">
        <f t="shared" si="61"/>
        <v>4.8889485403780242E-2</v>
      </c>
      <c r="AE93" s="55">
        <f t="shared" si="62"/>
        <v>4.8889485403780242E-2</v>
      </c>
      <c r="AF93" s="55">
        <f t="shared" si="63"/>
        <v>4.4097712805242217E-2</v>
      </c>
      <c r="AG93" s="55">
        <f t="shared" si="64"/>
        <v>4.4097712805242217E-2</v>
      </c>
      <c r="AH93" s="55">
        <f t="shared" si="65"/>
        <v>4.4097712805242217E-2</v>
      </c>
      <c r="AI93" s="55">
        <f t="shared" si="66"/>
        <v>4.4097712805242217E-2</v>
      </c>
      <c r="AJ93" s="55">
        <f t="shared" si="67"/>
        <v>4.4097712805242217E-2</v>
      </c>
      <c r="AK93" s="55">
        <f t="shared" si="68"/>
        <v>4.4097712805242217E-2</v>
      </c>
      <c r="AL93" s="55">
        <f t="shared" si="69"/>
        <v>4.4097712805242217E-2</v>
      </c>
      <c r="AM93" s="55">
        <f t="shared" si="70"/>
        <v>4.4097712805242217E-2</v>
      </c>
      <c r="AN93" s="55">
        <f t="shared" si="71"/>
        <v>4.4097712805242217E-2</v>
      </c>
      <c r="AO93" s="55">
        <f t="shared" si="72"/>
        <v>4.4097712805242217E-2</v>
      </c>
      <c r="AP93" s="55">
        <f t="shared" si="73"/>
        <v>4.4097712805242217E-2</v>
      </c>
      <c r="AQ93" s="55">
        <f t="shared" si="74"/>
        <v>4.4097712805242217E-2</v>
      </c>
      <c r="AR93" s="55">
        <f t="shared" si="75"/>
        <v>4.4097712805242217E-2</v>
      </c>
      <c r="AS93" s="55">
        <f t="shared" si="76"/>
        <v>4.4097712805242217E-2</v>
      </c>
      <c r="AT93" s="55">
        <f t="shared" si="77"/>
        <v>4.4097712805242217E-2</v>
      </c>
      <c r="AU93" s="55">
        <f t="shared" si="78"/>
        <v>4.4097712805242217E-2</v>
      </c>
      <c r="AV93" s="55">
        <f t="shared" si="79"/>
        <v>4.4097712805242217E-2</v>
      </c>
      <c r="AW93" s="55">
        <f t="shared" si="80"/>
        <v>4.4097712805242217E-2</v>
      </c>
      <c r="AX93" s="55">
        <f t="shared" si="81"/>
        <v>4.4097712805242217E-2</v>
      </c>
      <c r="AY93" s="55">
        <f t="shared" si="82"/>
        <v>4.4097712805242217E-2</v>
      </c>
      <c r="AZ93" s="56">
        <f t="shared" si="83"/>
        <v>4.4097712805242217E-2</v>
      </c>
      <c r="BA93" s="11"/>
      <c r="BB93" s="12"/>
      <c r="BC93" s="12"/>
      <c r="BD93" s="13"/>
      <c r="BF93" s="14"/>
      <c r="BG93" s="10"/>
      <c r="BH93" s="11"/>
      <c r="BI93" s="11"/>
      <c r="BJ93" s="11"/>
      <c r="BK93" s="12"/>
      <c r="BL93" s="12"/>
      <c r="BM93" s="13"/>
      <c r="BO93" s="14"/>
      <c r="BP93" s="10"/>
      <c r="BQ93" s="11"/>
      <c r="BR93" s="11"/>
      <c r="BS93" s="11"/>
      <c r="BT93" s="12"/>
      <c r="BU93" s="12"/>
      <c r="BV93" s="13"/>
      <c r="BX93" s="14"/>
      <c r="BY93" s="10"/>
      <c r="BZ93" s="11"/>
      <c r="CA93" s="11"/>
      <c r="CB93" s="11"/>
      <c r="CC93" s="12"/>
      <c r="CD93" s="12"/>
      <c r="CE93" s="13"/>
      <c r="CG93" s="14"/>
      <c r="CH93" s="10"/>
      <c r="CI93" s="11"/>
      <c r="CJ93" s="11"/>
      <c r="CK93" s="11"/>
      <c r="CL93" s="12"/>
      <c r="CM93" s="12"/>
      <c r="CN93" s="13"/>
      <c r="CP93" s="13"/>
    </row>
    <row r="94" spans="1:94" x14ac:dyDescent="0.35">
      <c r="A94" s="27">
        <v>87</v>
      </c>
      <c r="B94" s="63">
        <f t="shared" si="58"/>
        <v>4.4999999999999998E-2</v>
      </c>
      <c r="C94" s="28">
        <f>B94+VLOOKUP(Rawdata!A89,Int_rate_movements,2,TRUE)</f>
        <v>4.4999999999999998E-2</v>
      </c>
      <c r="D94" s="28">
        <f>C94+VLOOKUP(Rawdata!B89,Int_rate_movements,2,TRUE)</f>
        <v>4.4999999999999998E-2</v>
      </c>
      <c r="E94" s="28">
        <f>D94+VLOOKUP(Rawdata!C89,Int_rate_movements,2,TRUE)</f>
        <v>4.4999999999999998E-2</v>
      </c>
      <c r="F94" s="28">
        <f>E94+VLOOKUP(Rawdata!D89,Int_rate_movements,2,TRUE)</f>
        <v>4.4999999999999998E-2</v>
      </c>
      <c r="G94" s="28">
        <f>F94+VLOOKUP(Rawdata!E89,Int_rate_movements,2,TRUE)</f>
        <v>4.4999999999999998E-2</v>
      </c>
      <c r="H94" s="28">
        <f>G94+VLOOKUP(Rawdata!F89,Int_rate_movements,2,TRUE)</f>
        <v>4.4999999999999998E-2</v>
      </c>
      <c r="I94" s="28">
        <f>H94+VLOOKUP(Rawdata!G89,Int_rate_movements,2,TRUE)</f>
        <v>4.4999999999999998E-2</v>
      </c>
      <c r="J94" s="28">
        <f>I94+VLOOKUP(Rawdata!H89,Int_rate_movements,2,TRUE)</f>
        <v>4.4999999999999998E-2</v>
      </c>
      <c r="K94" s="28">
        <f>J94+VLOOKUP(Rawdata!I89,Int_rate_movements,2,TRUE)</f>
        <v>4.4999999999999998E-2</v>
      </c>
      <c r="L94" s="28">
        <f>K94+VLOOKUP(Rawdata!J89,Int_rate_movements,2,TRUE)</f>
        <v>4.2499999999999996E-2</v>
      </c>
      <c r="M94" s="28">
        <f>L94+VLOOKUP(Rawdata!K89,Int_rate_movements,2,TRUE)</f>
        <v>4.2499999999999996E-2</v>
      </c>
      <c r="N94" s="28">
        <f>M94+VLOOKUP(Rawdata!L89,Int_rate_movements,2,TRUE)</f>
        <v>4.7499999999999994E-2</v>
      </c>
      <c r="O94" s="28">
        <f>N94+VLOOKUP(Rawdata!M89,Int_rate_movements,2,TRUE)</f>
        <v>4.7499999999999994E-2</v>
      </c>
      <c r="P94" s="28">
        <f>O94+VLOOKUP(Rawdata!N89,Int_rate_movements,2,TRUE)</f>
        <v>4.7499999999999994E-2</v>
      </c>
      <c r="Q94" s="28">
        <f>P94+VLOOKUP(Rawdata!O89,Int_rate_movements,2,TRUE)</f>
        <v>4.9999999999999996E-2</v>
      </c>
      <c r="R94" s="28">
        <f>Q94+VLOOKUP(Rawdata!P89,Int_rate_movements,2,TRUE)</f>
        <v>4.9999999999999996E-2</v>
      </c>
      <c r="S94" s="28">
        <f>R94+VLOOKUP(Rawdata!Q89,Int_rate_movements,2,TRUE)</f>
        <v>4.9999999999999996E-2</v>
      </c>
      <c r="T94" s="28">
        <f>S94+VLOOKUP(Rawdata!R89,Int_rate_movements,2,TRUE)</f>
        <v>4.9999999999999996E-2</v>
      </c>
      <c r="U94" s="28">
        <f>T94+VLOOKUP(Rawdata!S89,Int_rate_movements,2,TRUE)</f>
        <v>4.9999999999999996E-2</v>
      </c>
      <c r="V94" s="28">
        <f>U94+VLOOKUP(Rawdata!T89,Int_rate_movements,2,TRUE)</f>
        <v>4.4999999999999998E-2</v>
      </c>
      <c r="W94" s="28">
        <f>V94+VLOOKUP(Rawdata!U89,Int_rate_movements,2,TRUE)</f>
        <v>4.4999999999999998E-2</v>
      </c>
      <c r="X94" s="28">
        <f>W94+VLOOKUP(Rawdata!V89,Int_rate_movements,2,TRUE)</f>
        <v>4.4999999999999998E-2</v>
      </c>
      <c r="Y94" s="28">
        <f>X94+VLOOKUP(Rawdata!W89,Int_rate_movements,2,TRUE)</f>
        <v>4.4999999999999998E-2</v>
      </c>
      <c r="Z94" s="35">
        <f>Y94+VLOOKUP(Rawdata!X89,Int_rate_movements,2,TRUE)</f>
        <v>4.4999999999999998E-2</v>
      </c>
      <c r="AA94" s="12"/>
      <c r="AB94" s="55">
        <f t="shared" si="59"/>
        <v>4.4097712805242217E-2</v>
      </c>
      <c r="AC94" s="55">
        <f t="shared" si="60"/>
        <v>4.4097712805242217E-2</v>
      </c>
      <c r="AD94" s="55">
        <f t="shared" si="61"/>
        <v>4.4097712805242217E-2</v>
      </c>
      <c r="AE94" s="55">
        <f t="shared" si="62"/>
        <v>4.4097712805242217E-2</v>
      </c>
      <c r="AF94" s="55">
        <f t="shared" si="63"/>
        <v>4.4097712805242217E-2</v>
      </c>
      <c r="AG94" s="55">
        <f t="shared" si="64"/>
        <v>4.4097712805242217E-2</v>
      </c>
      <c r="AH94" s="55">
        <f t="shared" si="65"/>
        <v>4.4097712805242217E-2</v>
      </c>
      <c r="AI94" s="55">
        <f t="shared" si="66"/>
        <v>4.4097712805242217E-2</v>
      </c>
      <c r="AJ94" s="55">
        <f t="shared" si="67"/>
        <v>4.4097712805242217E-2</v>
      </c>
      <c r="AK94" s="55">
        <f t="shared" si="68"/>
        <v>4.4097712805242217E-2</v>
      </c>
      <c r="AL94" s="55">
        <f t="shared" si="69"/>
        <v>4.1693940041970023E-2</v>
      </c>
      <c r="AM94" s="55">
        <f t="shared" si="70"/>
        <v>4.1693940041970023E-2</v>
      </c>
      <c r="AN94" s="55">
        <f t="shared" si="71"/>
        <v>4.6496219905550085E-2</v>
      </c>
      <c r="AO94" s="55">
        <f t="shared" si="72"/>
        <v>4.6496219905550085E-2</v>
      </c>
      <c r="AP94" s="55">
        <f t="shared" si="73"/>
        <v>4.6496219905550085E-2</v>
      </c>
      <c r="AQ94" s="55">
        <f t="shared" si="74"/>
        <v>4.8889485403780242E-2</v>
      </c>
      <c r="AR94" s="55">
        <f t="shared" si="75"/>
        <v>4.8889485403780242E-2</v>
      </c>
      <c r="AS94" s="55">
        <f t="shared" si="76"/>
        <v>4.8889485403780242E-2</v>
      </c>
      <c r="AT94" s="55">
        <f t="shared" si="77"/>
        <v>4.8889485403780242E-2</v>
      </c>
      <c r="AU94" s="55">
        <f t="shared" si="78"/>
        <v>4.8889485403780242E-2</v>
      </c>
      <c r="AV94" s="55">
        <f t="shared" si="79"/>
        <v>4.4097712805242217E-2</v>
      </c>
      <c r="AW94" s="55">
        <f t="shared" si="80"/>
        <v>4.4097712805242217E-2</v>
      </c>
      <c r="AX94" s="55">
        <f t="shared" si="81"/>
        <v>4.4097712805242217E-2</v>
      </c>
      <c r="AY94" s="55">
        <f t="shared" si="82"/>
        <v>4.4097712805242217E-2</v>
      </c>
      <c r="AZ94" s="56">
        <f t="shared" si="83"/>
        <v>4.4097712805242217E-2</v>
      </c>
      <c r="BA94" s="11"/>
      <c r="BB94" s="12"/>
      <c r="BC94" s="12"/>
      <c r="BD94" s="13"/>
      <c r="BF94" s="14"/>
      <c r="BG94" s="10"/>
      <c r="BH94" s="11"/>
      <c r="BI94" s="11"/>
      <c r="BJ94" s="11"/>
      <c r="BK94" s="12"/>
      <c r="BL94" s="12"/>
      <c r="BM94" s="13"/>
      <c r="BO94" s="14"/>
      <c r="BP94" s="10"/>
      <c r="BQ94" s="11"/>
      <c r="BR94" s="11"/>
      <c r="BS94" s="11"/>
      <c r="BT94" s="12"/>
      <c r="BU94" s="12"/>
      <c r="BV94" s="13"/>
      <c r="BX94" s="14"/>
      <c r="BY94" s="10"/>
      <c r="BZ94" s="11"/>
      <c r="CA94" s="11"/>
      <c r="CB94" s="11"/>
      <c r="CC94" s="12"/>
      <c r="CD94" s="12"/>
      <c r="CE94" s="13"/>
      <c r="CG94" s="14"/>
      <c r="CH94" s="10"/>
      <c r="CI94" s="11"/>
      <c r="CJ94" s="11"/>
      <c r="CK94" s="11"/>
      <c r="CL94" s="12"/>
      <c r="CM94" s="12"/>
      <c r="CN94" s="13"/>
      <c r="CP94" s="13"/>
    </row>
    <row r="95" spans="1:94" x14ac:dyDescent="0.35">
      <c r="A95" s="5">
        <v>88</v>
      </c>
      <c r="B95" s="63">
        <f t="shared" si="58"/>
        <v>4.4999999999999998E-2</v>
      </c>
      <c r="C95" s="28">
        <f>B95+VLOOKUP(Rawdata!A90,Int_rate_movements,2,TRUE)</f>
        <v>4.4999999999999998E-2</v>
      </c>
      <c r="D95" s="28">
        <f>C95+VLOOKUP(Rawdata!B90,Int_rate_movements,2,TRUE)</f>
        <v>4.4999999999999998E-2</v>
      </c>
      <c r="E95" s="28">
        <f>D95+VLOOKUP(Rawdata!C90,Int_rate_movements,2,TRUE)</f>
        <v>4.2499999999999996E-2</v>
      </c>
      <c r="F95" s="28">
        <f>E95+VLOOKUP(Rawdata!D90,Int_rate_movements,2,TRUE)</f>
        <v>4.2499999999999996E-2</v>
      </c>
      <c r="G95" s="28">
        <f>F95+VLOOKUP(Rawdata!E90,Int_rate_movements,2,TRUE)</f>
        <v>3.9999999999999994E-2</v>
      </c>
      <c r="H95" s="28">
        <f>G95+VLOOKUP(Rawdata!F90,Int_rate_movements,2,TRUE)</f>
        <v>3.9999999999999994E-2</v>
      </c>
      <c r="I95" s="28">
        <f>H95+VLOOKUP(Rawdata!G90,Int_rate_movements,2,TRUE)</f>
        <v>3.9999999999999994E-2</v>
      </c>
      <c r="J95" s="28">
        <f>I95+VLOOKUP(Rawdata!H90,Int_rate_movements,2,TRUE)</f>
        <v>3.9999999999999994E-2</v>
      </c>
      <c r="K95" s="28">
        <f>J95+VLOOKUP(Rawdata!I90,Int_rate_movements,2,TRUE)</f>
        <v>3.9999999999999994E-2</v>
      </c>
      <c r="L95" s="28">
        <f>K95+VLOOKUP(Rawdata!J90,Int_rate_movements,2,TRUE)</f>
        <v>3.9999999999999994E-2</v>
      </c>
      <c r="M95" s="28">
        <f>L95+VLOOKUP(Rawdata!K90,Int_rate_movements,2,TRUE)</f>
        <v>3.9999999999999994E-2</v>
      </c>
      <c r="N95" s="28">
        <f>M95+VLOOKUP(Rawdata!L90,Int_rate_movements,2,TRUE)</f>
        <v>3.9999999999999994E-2</v>
      </c>
      <c r="O95" s="28">
        <f>N95+VLOOKUP(Rawdata!M90,Int_rate_movements,2,TRUE)</f>
        <v>3.9999999999999994E-2</v>
      </c>
      <c r="P95" s="28">
        <f>O95+VLOOKUP(Rawdata!N90,Int_rate_movements,2,TRUE)</f>
        <v>3.9999999999999994E-2</v>
      </c>
      <c r="Q95" s="28">
        <f>P95+VLOOKUP(Rawdata!O90,Int_rate_movements,2,TRUE)</f>
        <v>3.9999999999999994E-2</v>
      </c>
      <c r="R95" s="28">
        <f>Q95+VLOOKUP(Rawdata!P90,Int_rate_movements,2,TRUE)</f>
        <v>4.4999999999999991E-2</v>
      </c>
      <c r="S95" s="28">
        <f>R95+VLOOKUP(Rawdata!Q90,Int_rate_movements,2,TRUE)</f>
        <v>4.4999999999999991E-2</v>
      </c>
      <c r="T95" s="28">
        <f>S95+VLOOKUP(Rawdata!R90,Int_rate_movements,2,TRUE)</f>
        <v>4.4999999999999991E-2</v>
      </c>
      <c r="U95" s="28">
        <f>T95+VLOOKUP(Rawdata!S90,Int_rate_movements,2,TRUE)</f>
        <v>4.4999999999999991E-2</v>
      </c>
      <c r="V95" s="28">
        <f>U95+VLOOKUP(Rawdata!T90,Int_rate_movements,2,TRUE)</f>
        <v>4.7499999999999994E-2</v>
      </c>
      <c r="W95" s="28">
        <f>V95+VLOOKUP(Rawdata!U90,Int_rate_movements,2,TRUE)</f>
        <v>4.7499999999999994E-2</v>
      </c>
      <c r="X95" s="28">
        <f>W95+VLOOKUP(Rawdata!V90,Int_rate_movements,2,TRUE)</f>
        <v>4.7499999999999994E-2</v>
      </c>
      <c r="Y95" s="28">
        <f>X95+VLOOKUP(Rawdata!W90,Int_rate_movements,2,TRUE)</f>
        <v>4.7499999999999994E-2</v>
      </c>
      <c r="Z95" s="35">
        <f>Y95+VLOOKUP(Rawdata!X90,Int_rate_movements,2,TRUE)</f>
        <v>4.7499999999999994E-2</v>
      </c>
      <c r="AA95" s="12"/>
      <c r="AB95" s="55">
        <f t="shared" si="59"/>
        <v>4.4097712805242217E-2</v>
      </c>
      <c r="AC95" s="55">
        <f t="shared" si="60"/>
        <v>4.4097712805242217E-2</v>
      </c>
      <c r="AD95" s="55">
        <f t="shared" si="61"/>
        <v>4.4097712805242217E-2</v>
      </c>
      <c r="AE95" s="55">
        <f t="shared" si="62"/>
        <v>4.1693940041970023E-2</v>
      </c>
      <c r="AF95" s="55">
        <f t="shared" si="63"/>
        <v>4.1693940041970023E-2</v>
      </c>
      <c r="AG95" s="55">
        <f t="shared" si="64"/>
        <v>3.9284877386386974E-2</v>
      </c>
      <c r="AH95" s="55">
        <f t="shared" si="65"/>
        <v>3.9284877386386974E-2</v>
      </c>
      <c r="AI95" s="55">
        <f t="shared" si="66"/>
        <v>3.9284877386386974E-2</v>
      </c>
      <c r="AJ95" s="55">
        <f t="shared" si="67"/>
        <v>3.9284877386386974E-2</v>
      </c>
      <c r="AK95" s="55">
        <f t="shared" si="68"/>
        <v>3.9284877386386974E-2</v>
      </c>
      <c r="AL95" s="55">
        <f t="shared" si="69"/>
        <v>3.9284877386386974E-2</v>
      </c>
      <c r="AM95" s="55">
        <f t="shared" si="70"/>
        <v>3.9284877386386974E-2</v>
      </c>
      <c r="AN95" s="55">
        <f t="shared" si="71"/>
        <v>3.9284877386386974E-2</v>
      </c>
      <c r="AO95" s="55">
        <f t="shared" si="72"/>
        <v>3.9284877386386974E-2</v>
      </c>
      <c r="AP95" s="55">
        <f t="shared" si="73"/>
        <v>3.9284877386386974E-2</v>
      </c>
      <c r="AQ95" s="55">
        <f t="shared" si="74"/>
        <v>3.9284877386386974E-2</v>
      </c>
      <c r="AR95" s="55">
        <f t="shared" si="75"/>
        <v>4.4097712805242217E-2</v>
      </c>
      <c r="AS95" s="55">
        <f t="shared" si="76"/>
        <v>4.4097712805242217E-2</v>
      </c>
      <c r="AT95" s="55">
        <f t="shared" si="77"/>
        <v>4.4097712805242217E-2</v>
      </c>
      <c r="AU95" s="55">
        <f t="shared" si="78"/>
        <v>4.4097712805242217E-2</v>
      </c>
      <c r="AV95" s="55">
        <f t="shared" si="79"/>
        <v>4.6496219905550085E-2</v>
      </c>
      <c r="AW95" s="55">
        <f t="shared" si="80"/>
        <v>4.6496219905550085E-2</v>
      </c>
      <c r="AX95" s="55">
        <f t="shared" si="81"/>
        <v>4.6496219905550085E-2</v>
      </c>
      <c r="AY95" s="55">
        <f t="shared" si="82"/>
        <v>4.6496219905550085E-2</v>
      </c>
      <c r="AZ95" s="56">
        <f t="shared" si="83"/>
        <v>4.6496219905550085E-2</v>
      </c>
      <c r="BA95" s="11"/>
      <c r="BB95" s="12"/>
      <c r="BC95" s="12"/>
      <c r="BD95" s="13"/>
      <c r="BF95" s="14"/>
      <c r="BG95" s="10"/>
      <c r="BH95" s="11"/>
      <c r="BI95" s="11"/>
      <c r="BJ95" s="11"/>
      <c r="BK95" s="12"/>
      <c r="BL95" s="12"/>
      <c r="BM95" s="13"/>
      <c r="BO95" s="14"/>
      <c r="BP95" s="10"/>
      <c r="BQ95" s="11"/>
      <c r="BR95" s="11"/>
      <c r="BS95" s="11"/>
      <c r="BT95" s="12"/>
      <c r="BU95" s="12"/>
      <c r="BV95" s="13"/>
      <c r="BX95" s="14"/>
      <c r="BY95" s="10"/>
      <c r="BZ95" s="11"/>
      <c r="CA95" s="11"/>
      <c r="CB95" s="11"/>
      <c r="CC95" s="12"/>
      <c r="CD95" s="12"/>
      <c r="CE95" s="13"/>
      <c r="CG95" s="14"/>
      <c r="CH95" s="10"/>
      <c r="CI95" s="11"/>
      <c r="CJ95" s="11"/>
      <c r="CK95" s="11"/>
      <c r="CL95" s="12"/>
      <c r="CM95" s="12"/>
      <c r="CN95" s="13"/>
      <c r="CP95" s="13"/>
    </row>
    <row r="96" spans="1:94" x14ac:dyDescent="0.35">
      <c r="A96" s="27">
        <v>89</v>
      </c>
      <c r="B96" s="63">
        <f t="shared" si="58"/>
        <v>4.4999999999999998E-2</v>
      </c>
      <c r="C96" s="28">
        <f>B96+VLOOKUP(Rawdata!A91,Int_rate_movements,2,TRUE)</f>
        <v>4.4999999999999998E-2</v>
      </c>
      <c r="D96" s="28">
        <f>C96+VLOOKUP(Rawdata!B91,Int_rate_movements,2,TRUE)</f>
        <v>4.4999999999999998E-2</v>
      </c>
      <c r="E96" s="28">
        <f>D96+VLOOKUP(Rawdata!C91,Int_rate_movements,2,TRUE)</f>
        <v>4.4999999999999998E-2</v>
      </c>
      <c r="F96" s="28">
        <f>E96+VLOOKUP(Rawdata!D91,Int_rate_movements,2,TRUE)</f>
        <v>4.4999999999999998E-2</v>
      </c>
      <c r="G96" s="28">
        <f>F96+VLOOKUP(Rawdata!E91,Int_rate_movements,2,TRUE)</f>
        <v>4.4999999999999998E-2</v>
      </c>
      <c r="H96" s="28">
        <f>G96+VLOOKUP(Rawdata!F91,Int_rate_movements,2,TRUE)</f>
        <v>4.4999999999999998E-2</v>
      </c>
      <c r="I96" s="28">
        <f>H96+VLOOKUP(Rawdata!G91,Int_rate_movements,2,TRUE)</f>
        <v>4.2499999999999996E-2</v>
      </c>
      <c r="J96" s="28">
        <f>I96+VLOOKUP(Rawdata!H91,Int_rate_movements,2,TRUE)</f>
        <v>4.2499999999999996E-2</v>
      </c>
      <c r="K96" s="28">
        <f>J96+VLOOKUP(Rawdata!I91,Int_rate_movements,2,TRUE)</f>
        <v>4.2499999999999996E-2</v>
      </c>
      <c r="L96" s="28">
        <f>K96+VLOOKUP(Rawdata!J91,Int_rate_movements,2,TRUE)</f>
        <v>4.2499999999999996E-2</v>
      </c>
      <c r="M96" s="28">
        <f>L96+VLOOKUP(Rawdata!K91,Int_rate_movements,2,TRUE)</f>
        <v>4.2499999999999996E-2</v>
      </c>
      <c r="N96" s="28">
        <f>M96+VLOOKUP(Rawdata!L91,Int_rate_movements,2,TRUE)</f>
        <v>4.2499999999999996E-2</v>
      </c>
      <c r="O96" s="28">
        <f>N96+VLOOKUP(Rawdata!M91,Int_rate_movements,2,TRUE)</f>
        <v>4.2499999999999996E-2</v>
      </c>
      <c r="P96" s="28">
        <f>O96+VLOOKUP(Rawdata!N91,Int_rate_movements,2,TRUE)</f>
        <v>4.4999999999999998E-2</v>
      </c>
      <c r="Q96" s="28">
        <f>P96+VLOOKUP(Rawdata!O91,Int_rate_movements,2,TRUE)</f>
        <v>4.4999999999999998E-2</v>
      </c>
      <c r="R96" s="28">
        <f>Q96+VLOOKUP(Rawdata!P91,Int_rate_movements,2,TRUE)</f>
        <v>4.4999999999999998E-2</v>
      </c>
      <c r="S96" s="28">
        <f>R96+VLOOKUP(Rawdata!Q91,Int_rate_movements,2,TRUE)</f>
        <v>0.04</v>
      </c>
      <c r="T96" s="28">
        <f>S96+VLOOKUP(Rawdata!R91,Int_rate_movements,2,TRUE)</f>
        <v>0.04</v>
      </c>
      <c r="U96" s="28">
        <f>T96+VLOOKUP(Rawdata!S91,Int_rate_movements,2,TRUE)</f>
        <v>0.04</v>
      </c>
      <c r="V96" s="28">
        <f>U96+VLOOKUP(Rawdata!T91,Int_rate_movements,2,TRUE)</f>
        <v>0.04</v>
      </c>
      <c r="W96" s="28">
        <f>V96+VLOOKUP(Rawdata!U91,Int_rate_movements,2,TRUE)</f>
        <v>4.2500000000000003E-2</v>
      </c>
      <c r="X96" s="28">
        <f>W96+VLOOKUP(Rawdata!V91,Int_rate_movements,2,TRUE)</f>
        <v>4.2500000000000003E-2</v>
      </c>
      <c r="Y96" s="28">
        <f>X96+VLOOKUP(Rawdata!W91,Int_rate_movements,2,TRUE)</f>
        <v>4.2500000000000003E-2</v>
      </c>
      <c r="Z96" s="35">
        <f>Y96+VLOOKUP(Rawdata!X91,Int_rate_movements,2,TRUE)</f>
        <v>4.2500000000000003E-2</v>
      </c>
      <c r="AA96" s="12"/>
      <c r="AB96" s="55">
        <f t="shared" si="59"/>
        <v>4.4097712805242217E-2</v>
      </c>
      <c r="AC96" s="55">
        <f t="shared" si="60"/>
        <v>4.4097712805242217E-2</v>
      </c>
      <c r="AD96" s="55">
        <f t="shared" si="61"/>
        <v>4.4097712805242217E-2</v>
      </c>
      <c r="AE96" s="55">
        <f t="shared" si="62"/>
        <v>4.4097712805242217E-2</v>
      </c>
      <c r="AF96" s="55">
        <f t="shared" si="63"/>
        <v>4.4097712805242217E-2</v>
      </c>
      <c r="AG96" s="55">
        <f t="shared" si="64"/>
        <v>4.4097712805242217E-2</v>
      </c>
      <c r="AH96" s="55">
        <f t="shared" si="65"/>
        <v>4.4097712805242217E-2</v>
      </c>
      <c r="AI96" s="55">
        <f t="shared" si="66"/>
        <v>4.1693940041970023E-2</v>
      </c>
      <c r="AJ96" s="55">
        <f t="shared" si="67"/>
        <v>4.1693940041970023E-2</v>
      </c>
      <c r="AK96" s="55">
        <f t="shared" si="68"/>
        <v>4.1693940041970023E-2</v>
      </c>
      <c r="AL96" s="55">
        <f t="shared" si="69"/>
        <v>4.1693940041970023E-2</v>
      </c>
      <c r="AM96" s="55">
        <f t="shared" si="70"/>
        <v>4.1693940041970023E-2</v>
      </c>
      <c r="AN96" s="55">
        <f t="shared" si="71"/>
        <v>4.1693940041970023E-2</v>
      </c>
      <c r="AO96" s="55">
        <f t="shared" si="72"/>
        <v>4.1693940041970023E-2</v>
      </c>
      <c r="AP96" s="55">
        <f t="shared" si="73"/>
        <v>4.4097712805242217E-2</v>
      </c>
      <c r="AQ96" s="55">
        <f t="shared" si="74"/>
        <v>4.4097712805242217E-2</v>
      </c>
      <c r="AR96" s="55">
        <f t="shared" si="75"/>
        <v>4.4097712805242217E-2</v>
      </c>
      <c r="AS96" s="55">
        <f t="shared" si="76"/>
        <v>3.9284877386386974E-2</v>
      </c>
      <c r="AT96" s="55">
        <f t="shared" si="77"/>
        <v>3.9284877386386974E-2</v>
      </c>
      <c r="AU96" s="55">
        <f t="shared" si="78"/>
        <v>3.9284877386386974E-2</v>
      </c>
      <c r="AV96" s="55">
        <f t="shared" si="79"/>
        <v>3.9284877386386974E-2</v>
      </c>
      <c r="AW96" s="55">
        <f t="shared" si="80"/>
        <v>4.1693940041970023E-2</v>
      </c>
      <c r="AX96" s="55">
        <f t="shared" si="81"/>
        <v>4.1693940041970023E-2</v>
      </c>
      <c r="AY96" s="55">
        <f t="shared" si="82"/>
        <v>4.1693940041970023E-2</v>
      </c>
      <c r="AZ96" s="56">
        <f t="shared" si="83"/>
        <v>4.1693940041970023E-2</v>
      </c>
      <c r="BA96" s="11"/>
      <c r="BB96" s="12"/>
      <c r="BC96" s="12"/>
      <c r="BD96" s="13"/>
      <c r="BF96" s="14"/>
      <c r="BG96" s="10"/>
      <c r="BH96" s="11"/>
      <c r="BI96" s="11"/>
      <c r="BJ96" s="11"/>
      <c r="BK96" s="12"/>
      <c r="BL96" s="12"/>
      <c r="BM96" s="13"/>
      <c r="BO96" s="14"/>
      <c r="BP96" s="10"/>
      <c r="BQ96" s="11"/>
      <c r="BR96" s="11"/>
      <c r="BS96" s="11"/>
      <c r="BT96" s="12"/>
      <c r="BU96" s="12"/>
      <c r="BV96" s="13"/>
      <c r="BX96" s="14"/>
      <c r="BY96" s="10"/>
      <c r="BZ96" s="11"/>
      <c r="CA96" s="11"/>
      <c r="CB96" s="11"/>
      <c r="CC96" s="12"/>
      <c r="CD96" s="12"/>
      <c r="CE96" s="13"/>
      <c r="CG96" s="14"/>
      <c r="CH96" s="10"/>
      <c r="CI96" s="11"/>
      <c r="CJ96" s="11"/>
      <c r="CK96" s="11"/>
      <c r="CL96" s="12"/>
      <c r="CM96" s="12"/>
      <c r="CN96" s="13"/>
      <c r="CP96" s="13"/>
    </row>
    <row r="97" spans="1:94" x14ac:dyDescent="0.35">
      <c r="A97" s="5">
        <v>90</v>
      </c>
      <c r="B97" s="63">
        <f t="shared" si="58"/>
        <v>4.4999999999999998E-2</v>
      </c>
      <c r="C97" s="28">
        <f>B97+VLOOKUP(Rawdata!A92,Int_rate_movements,2,TRUE)</f>
        <v>4.4999999999999998E-2</v>
      </c>
      <c r="D97" s="28">
        <f>C97+VLOOKUP(Rawdata!B92,Int_rate_movements,2,TRUE)</f>
        <v>4.4999999999999998E-2</v>
      </c>
      <c r="E97" s="28">
        <f>D97+VLOOKUP(Rawdata!C92,Int_rate_movements,2,TRUE)</f>
        <v>4.4999999999999998E-2</v>
      </c>
      <c r="F97" s="28">
        <f>E97+VLOOKUP(Rawdata!D92,Int_rate_movements,2,TRUE)</f>
        <v>4.4999999999999998E-2</v>
      </c>
      <c r="G97" s="28">
        <f>F97+VLOOKUP(Rawdata!E92,Int_rate_movements,2,TRUE)</f>
        <v>4.4999999999999998E-2</v>
      </c>
      <c r="H97" s="28">
        <f>G97+VLOOKUP(Rawdata!F92,Int_rate_movements,2,TRUE)</f>
        <v>4.4999999999999998E-2</v>
      </c>
      <c r="I97" s="28">
        <f>H97+VLOOKUP(Rawdata!G92,Int_rate_movements,2,TRUE)</f>
        <v>4.4999999999999998E-2</v>
      </c>
      <c r="J97" s="28">
        <f>I97+VLOOKUP(Rawdata!H92,Int_rate_movements,2,TRUE)</f>
        <v>4.4999999999999998E-2</v>
      </c>
      <c r="K97" s="28">
        <f>J97+VLOOKUP(Rawdata!I92,Int_rate_movements,2,TRUE)</f>
        <v>4.4999999999999998E-2</v>
      </c>
      <c r="L97" s="28">
        <f>K97+VLOOKUP(Rawdata!J92,Int_rate_movements,2,TRUE)</f>
        <v>4.4999999999999998E-2</v>
      </c>
      <c r="M97" s="28">
        <f>L97+VLOOKUP(Rawdata!K92,Int_rate_movements,2,TRUE)</f>
        <v>4.4999999999999998E-2</v>
      </c>
      <c r="N97" s="28">
        <f>M97+VLOOKUP(Rawdata!L92,Int_rate_movements,2,TRUE)</f>
        <v>4.4999999999999998E-2</v>
      </c>
      <c r="O97" s="28">
        <f>N97+VLOOKUP(Rawdata!M92,Int_rate_movements,2,TRUE)</f>
        <v>4.4999999999999998E-2</v>
      </c>
      <c r="P97" s="28">
        <f>O97+VLOOKUP(Rawdata!N92,Int_rate_movements,2,TRUE)</f>
        <v>4.4999999999999998E-2</v>
      </c>
      <c r="Q97" s="28">
        <f>P97+VLOOKUP(Rawdata!O92,Int_rate_movements,2,TRUE)</f>
        <v>4.4999999999999998E-2</v>
      </c>
      <c r="R97" s="28">
        <f>Q97+VLOOKUP(Rawdata!P92,Int_rate_movements,2,TRUE)</f>
        <v>4.4999999999999998E-2</v>
      </c>
      <c r="S97" s="28">
        <f>R97+VLOOKUP(Rawdata!Q92,Int_rate_movements,2,TRUE)</f>
        <v>4.4999999999999998E-2</v>
      </c>
      <c r="T97" s="28">
        <f>S97+VLOOKUP(Rawdata!R92,Int_rate_movements,2,TRUE)</f>
        <v>4.4999999999999998E-2</v>
      </c>
      <c r="U97" s="28">
        <f>T97+VLOOKUP(Rawdata!S92,Int_rate_movements,2,TRUE)</f>
        <v>4.4999999999999998E-2</v>
      </c>
      <c r="V97" s="28">
        <f>U97+VLOOKUP(Rawdata!T92,Int_rate_movements,2,TRUE)</f>
        <v>4.4999999999999998E-2</v>
      </c>
      <c r="W97" s="28">
        <f>V97+VLOOKUP(Rawdata!U92,Int_rate_movements,2,TRUE)</f>
        <v>4.4999999999999998E-2</v>
      </c>
      <c r="X97" s="28">
        <f>W97+VLOOKUP(Rawdata!V92,Int_rate_movements,2,TRUE)</f>
        <v>4.7500000000000001E-2</v>
      </c>
      <c r="Y97" s="28">
        <f>X97+VLOOKUP(Rawdata!W92,Int_rate_movements,2,TRUE)</f>
        <v>4.7500000000000001E-2</v>
      </c>
      <c r="Z97" s="35">
        <f>Y97+VLOOKUP(Rawdata!X92,Int_rate_movements,2,TRUE)</f>
        <v>0.05</v>
      </c>
      <c r="AA97" s="12"/>
      <c r="AB97" s="55">
        <f t="shared" si="59"/>
        <v>4.4097712805242217E-2</v>
      </c>
      <c r="AC97" s="55">
        <f t="shared" si="60"/>
        <v>4.4097712805242217E-2</v>
      </c>
      <c r="AD97" s="55">
        <f t="shared" si="61"/>
        <v>4.4097712805242217E-2</v>
      </c>
      <c r="AE97" s="55">
        <f t="shared" si="62"/>
        <v>4.4097712805242217E-2</v>
      </c>
      <c r="AF97" s="55">
        <f t="shared" si="63"/>
        <v>4.4097712805242217E-2</v>
      </c>
      <c r="AG97" s="55">
        <f t="shared" si="64"/>
        <v>4.4097712805242217E-2</v>
      </c>
      <c r="AH97" s="55">
        <f t="shared" si="65"/>
        <v>4.4097712805242217E-2</v>
      </c>
      <c r="AI97" s="55">
        <f t="shared" si="66"/>
        <v>4.4097712805242217E-2</v>
      </c>
      <c r="AJ97" s="55">
        <f t="shared" si="67"/>
        <v>4.4097712805242217E-2</v>
      </c>
      <c r="AK97" s="55">
        <f t="shared" si="68"/>
        <v>4.4097712805242217E-2</v>
      </c>
      <c r="AL97" s="55">
        <f t="shared" si="69"/>
        <v>4.4097712805242217E-2</v>
      </c>
      <c r="AM97" s="55">
        <f t="shared" si="70"/>
        <v>4.4097712805242217E-2</v>
      </c>
      <c r="AN97" s="55">
        <f t="shared" si="71"/>
        <v>4.4097712805242217E-2</v>
      </c>
      <c r="AO97" s="55">
        <f t="shared" si="72"/>
        <v>4.4097712805242217E-2</v>
      </c>
      <c r="AP97" s="55">
        <f t="shared" si="73"/>
        <v>4.4097712805242217E-2</v>
      </c>
      <c r="AQ97" s="55">
        <f t="shared" si="74"/>
        <v>4.4097712805242217E-2</v>
      </c>
      <c r="AR97" s="55">
        <f t="shared" si="75"/>
        <v>4.4097712805242217E-2</v>
      </c>
      <c r="AS97" s="55">
        <f t="shared" si="76"/>
        <v>4.4097712805242217E-2</v>
      </c>
      <c r="AT97" s="55">
        <f t="shared" si="77"/>
        <v>4.4097712805242217E-2</v>
      </c>
      <c r="AU97" s="55">
        <f t="shared" si="78"/>
        <v>4.4097712805242217E-2</v>
      </c>
      <c r="AV97" s="55">
        <f t="shared" si="79"/>
        <v>4.4097712805242217E-2</v>
      </c>
      <c r="AW97" s="55">
        <f t="shared" si="80"/>
        <v>4.4097712805242217E-2</v>
      </c>
      <c r="AX97" s="55">
        <f t="shared" si="81"/>
        <v>4.6496219905550085E-2</v>
      </c>
      <c r="AY97" s="55">
        <f t="shared" si="82"/>
        <v>4.6496219905550085E-2</v>
      </c>
      <c r="AZ97" s="56">
        <f t="shared" si="83"/>
        <v>4.8889485403780242E-2</v>
      </c>
      <c r="BA97" s="11"/>
      <c r="BB97" s="12"/>
      <c r="BC97" s="12"/>
      <c r="BD97" s="13"/>
      <c r="BF97" s="14"/>
      <c r="BG97" s="10"/>
      <c r="BH97" s="11"/>
      <c r="BI97" s="11"/>
      <c r="BJ97" s="11"/>
      <c r="BK97" s="12"/>
      <c r="BL97" s="12"/>
      <c r="BM97" s="13"/>
      <c r="BO97" s="14"/>
      <c r="BP97" s="10"/>
      <c r="BQ97" s="11"/>
      <c r="BR97" s="11"/>
      <c r="BS97" s="11"/>
      <c r="BT97" s="12"/>
      <c r="BU97" s="12"/>
      <c r="BV97" s="13"/>
      <c r="BX97" s="14"/>
      <c r="BY97" s="10"/>
      <c r="BZ97" s="11"/>
      <c r="CA97" s="11"/>
      <c r="CB97" s="11"/>
      <c r="CC97" s="12"/>
      <c r="CD97" s="12"/>
      <c r="CE97" s="13"/>
      <c r="CG97" s="14"/>
      <c r="CH97" s="10"/>
      <c r="CI97" s="11"/>
      <c r="CJ97" s="11"/>
      <c r="CK97" s="11"/>
      <c r="CL97" s="12"/>
      <c r="CM97" s="12"/>
      <c r="CN97" s="13"/>
      <c r="CP97" s="13"/>
    </row>
    <row r="98" spans="1:94" x14ac:dyDescent="0.35">
      <c r="A98" s="27">
        <v>91</v>
      </c>
      <c r="B98" s="63">
        <f t="shared" si="58"/>
        <v>4.4999999999999998E-2</v>
      </c>
      <c r="C98" s="28">
        <f>B98+VLOOKUP(Rawdata!A93,Int_rate_movements,2,TRUE)</f>
        <v>4.4999999999999998E-2</v>
      </c>
      <c r="D98" s="28">
        <f>C98+VLOOKUP(Rawdata!B93,Int_rate_movements,2,TRUE)</f>
        <v>4.2499999999999996E-2</v>
      </c>
      <c r="E98" s="28">
        <f>D98+VLOOKUP(Rawdata!C93,Int_rate_movements,2,TRUE)</f>
        <v>4.2499999999999996E-2</v>
      </c>
      <c r="F98" s="28">
        <f>E98+VLOOKUP(Rawdata!D93,Int_rate_movements,2,TRUE)</f>
        <v>4.2499999999999996E-2</v>
      </c>
      <c r="G98" s="28">
        <f>F98+VLOOKUP(Rawdata!E93,Int_rate_movements,2,TRUE)</f>
        <v>4.2499999999999996E-2</v>
      </c>
      <c r="H98" s="28">
        <f>G98+VLOOKUP(Rawdata!F93,Int_rate_movements,2,TRUE)</f>
        <v>4.2499999999999996E-2</v>
      </c>
      <c r="I98" s="28">
        <f>H98+VLOOKUP(Rawdata!G93,Int_rate_movements,2,TRUE)</f>
        <v>4.2499999999999996E-2</v>
      </c>
      <c r="J98" s="28">
        <f>I98+VLOOKUP(Rawdata!H93,Int_rate_movements,2,TRUE)</f>
        <v>4.2499999999999996E-2</v>
      </c>
      <c r="K98" s="28">
        <f>J98+VLOOKUP(Rawdata!I93,Int_rate_movements,2,TRUE)</f>
        <v>4.2499999999999996E-2</v>
      </c>
      <c r="L98" s="28">
        <f>K98+VLOOKUP(Rawdata!J93,Int_rate_movements,2,TRUE)</f>
        <v>4.2499999999999996E-2</v>
      </c>
      <c r="M98" s="28">
        <f>L98+VLOOKUP(Rawdata!K93,Int_rate_movements,2,TRUE)</f>
        <v>4.2499999999999996E-2</v>
      </c>
      <c r="N98" s="28">
        <f>M98+VLOOKUP(Rawdata!L93,Int_rate_movements,2,TRUE)</f>
        <v>4.2499999999999996E-2</v>
      </c>
      <c r="O98" s="28">
        <f>N98+VLOOKUP(Rawdata!M93,Int_rate_movements,2,TRUE)</f>
        <v>4.2499999999999996E-2</v>
      </c>
      <c r="P98" s="28">
        <f>O98+VLOOKUP(Rawdata!N93,Int_rate_movements,2,TRUE)</f>
        <v>4.2499999999999996E-2</v>
      </c>
      <c r="Q98" s="28">
        <f>P98+VLOOKUP(Rawdata!O93,Int_rate_movements,2,TRUE)</f>
        <v>4.2499999999999996E-2</v>
      </c>
      <c r="R98" s="28">
        <f>Q98+VLOOKUP(Rawdata!P93,Int_rate_movements,2,TRUE)</f>
        <v>4.2499999999999996E-2</v>
      </c>
      <c r="S98" s="28">
        <f>R98+VLOOKUP(Rawdata!Q93,Int_rate_movements,2,TRUE)</f>
        <v>4.2499999999999996E-2</v>
      </c>
      <c r="T98" s="28">
        <f>S98+VLOOKUP(Rawdata!R93,Int_rate_movements,2,TRUE)</f>
        <v>4.2499999999999996E-2</v>
      </c>
      <c r="U98" s="28">
        <f>T98+VLOOKUP(Rawdata!S93,Int_rate_movements,2,TRUE)</f>
        <v>4.2499999999999996E-2</v>
      </c>
      <c r="V98" s="28">
        <f>U98+VLOOKUP(Rawdata!T93,Int_rate_movements,2,TRUE)</f>
        <v>4.2499999999999996E-2</v>
      </c>
      <c r="W98" s="28">
        <f>V98+VLOOKUP(Rawdata!U93,Int_rate_movements,2,TRUE)</f>
        <v>4.2499999999999996E-2</v>
      </c>
      <c r="X98" s="28">
        <f>W98+VLOOKUP(Rawdata!V93,Int_rate_movements,2,TRUE)</f>
        <v>4.2499999999999996E-2</v>
      </c>
      <c r="Y98" s="28">
        <f>X98+VLOOKUP(Rawdata!W93,Int_rate_movements,2,TRUE)</f>
        <v>4.2499999999999996E-2</v>
      </c>
      <c r="Z98" s="35">
        <f>Y98+VLOOKUP(Rawdata!X93,Int_rate_movements,2,TRUE)</f>
        <v>4.2499999999999996E-2</v>
      </c>
      <c r="AA98" s="12"/>
      <c r="AB98" s="55">
        <f t="shared" si="59"/>
        <v>4.4097712805242217E-2</v>
      </c>
      <c r="AC98" s="55">
        <f t="shared" si="60"/>
        <v>4.4097712805242217E-2</v>
      </c>
      <c r="AD98" s="55">
        <f t="shared" si="61"/>
        <v>4.1693940041970023E-2</v>
      </c>
      <c r="AE98" s="55">
        <f t="shared" si="62"/>
        <v>4.1693940041970023E-2</v>
      </c>
      <c r="AF98" s="55">
        <f t="shared" si="63"/>
        <v>4.1693940041970023E-2</v>
      </c>
      <c r="AG98" s="55">
        <f t="shared" si="64"/>
        <v>4.1693940041970023E-2</v>
      </c>
      <c r="AH98" s="55">
        <f t="shared" si="65"/>
        <v>4.1693940041970023E-2</v>
      </c>
      <c r="AI98" s="55">
        <f t="shared" si="66"/>
        <v>4.1693940041970023E-2</v>
      </c>
      <c r="AJ98" s="55">
        <f t="shared" si="67"/>
        <v>4.1693940041970023E-2</v>
      </c>
      <c r="AK98" s="55">
        <f t="shared" si="68"/>
        <v>4.1693940041970023E-2</v>
      </c>
      <c r="AL98" s="55">
        <f t="shared" si="69"/>
        <v>4.1693940041970023E-2</v>
      </c>
      <c r="AM98" s="55">
        <f t="shared" si="70"/>
        <v>4.1693940041970023E-2</v>
      </c>
      <c r="AN98" s="55">
        <f t="shared" si="71"/>
        <v>4.1693940041970023E-2</v>
      </c>
      <c r="AO98" s="55">
        <f t="shared" si="72"/>
        <v>4.1693940041970023E-2</v>
      </c>
      <c r="AP98" s="55">
        <f t="shared" si="73"/>
        <v>4.1693940041970023E-2</v>
      </c>
      <c r="AQ98" s="55">
        <f t="shared" si="74"/>
        <v>4.1693940041970023E-2</v>
      </c>
      <c r="AR98" s="55">
        <f t="shared" si="75"/>
        <v>4.1693940041970023E-2</v>
      </c>
      <c r="AS98" s="55">
        <f t="shared" si="76"/>
        <v>4.1693940041970023E-2</v>
      </c>
      <c r="AT98" s="55">
        <f t="shared" si="77"/>
        <v>4.1693940041970023E-2</v>
      </c>
      <c r="AU98" s="55">
        <f t="shared" si="78"/>
        <v>4.1693940041970023E-2</v>
      </c>
      <c r="AV98" s="55">
        <f t="shared" si="79"/>
        <v>4.1693940041970023E-2</v>
      </c>
      <c r="AW98" s="55">
        <f t="shared" si="80"/>
        <v>4.1693940041970023E-2</v>
      </c>
      <c r="AX98" s="55">
        <f t="shared" si="81"/>
        <v>4.1693940041970023E-2</v>
      </c>
      <c r="AY98" s="55">
        <f t="shared" si="82"/>
        <v>4.1693940041970023E-2</v>
      </c>
      <c r="AZ98" s="56">
        <f t="shared" si="83"/>
        <v>4.1693940041970023E-2</v>
      </c>
      <c r="BA98" s="11"/>
      <c r="BB98" s="12"/>
      <c r="BC98" s="12"/>
      <c r="BD98" s="13"/>
      <c r="BF98" s="14"/>
      <c r="BG98" s="10"/>
      <c r="BH98" s="11"/>
      <c r="BI98" s="11"/>
      <c r="BJ98" s="11"/>
      <c r="BK98" s="12"/>
      <c r="BL98" s="12"/>
      <c r="BM98" s="13"/>
      <c r="BO98" s="14"/>
      <c r="BP98" s="10"/>
      <c r="BQ98" s="11"/>
      <c r="BR98" s="11"/>
      <c r="BS98" s="11"/>
      <c r="BT98" s="12"/>
      <c r="BU98" s="12"/>
      <c r="BV98" s="13"/>
      <c r="BX98" s="14"/>
      <c r="BY98" s="10"/>
      <c r="BZ98" s="11"/>
      <c r="CA98" s="11"/>
      <c r="CB98" s="11"/>
      <c r="CC98" s="12"/>
      <c r="CD98" s="12"/>
      <c r="CE98" s="13"/>
      <c r="CG98" s="14"/>
      <c r="CH98" s="10"/>
      <c r="CI98" s="11"/>
      <c r="CJ98" s="11"/>
      <c r="CK98" s="11"/>
      <c r="CL98" s="12"/>
      <c r="CM98" s="12"/>
      <c r="CN98" s="13"/>
      <c r="CP98" s="13"/>
    </row>
    <row r="99" spans="1:94" x14ac:dyDescent="0.35">
      <c r="A99" s="5">
        <v>92</v>
      </c>
      <c r="B99" s="63">
        <f t="shared" si="58"/>
        <v>4.4999999999999998E-2</v>
      </c>
      <c r="C99" s="28">
        <f>B99+VLOOKUP(Rawdata!A94,Int_rate_movements,2,TRUE)</f>
        <v>4.4999999999999998E-2</v>
      </c>
      <c r="D99" s="28">
        <f>C99+VLOOKUP(Rawdata!B94,Int_rate_movements,2,TRUE)</f>
        <v>4.7500000000000001E-2</v>
      </c>
      <c r="E99" s="28">
        <f>D99+VLOOKUP(Rawdata!C94,Int_rate_movements,2,TRUE)</f>
        <v>4.2500000000000003E-2</v>
      </c>
      <c r="F99" s="28">
        <f>E99+VLOOKUP(Rawdata!D94,Int_rate_movements,2,TRUE)</f>
        <v>4.2500000000000003E-2</v>
      </c>
      <c r="G99" s="28">
        <f>F99+VLOOKUP(Rawdata!E94,Int_rate_movements,2,TRUE)</f>
        <v>4.2500000000000003E-2</v>
      </c>
      <c r="H99" s="28">
        <f>G99+VLOOKUP(Rawdata!F94,Int_rate_movements,2,TRUE)</f>
        <v>0.04</v>
      </c>
      <c r="I99" s="28">
        <f>H99+VLOOKUP(Rawdata!G94,Int_rate_movements,2,TRUE)</f>
        <v>0.04</v>
      </c>
      <c r="J99" s="28">
        <f>I99+VLOOKUP(Rawdata!H94,Int_rate_movements,2,TRUE)</f>
        <v>0.04</v>
      </c>
      <c r="K99" s="28">
        <f>J99+VLOOKUP(Rawdata!I94,Int_rate_movements,2,TRUE)</f>
        <v>0.04</v>
      </c>
      <c r="L99" s="28">
        <f>K99+VLOOKUP(Rawdata!J94,Int_rate_movements,2,TRUE)</f>
        <v>0.04</v>
      </c>
      <c r="M99" s="28">
        <f>L99+VLOOKUP(Rawdata!K94,Int_rate_movements,2,TRUE)</f>
        <v>4.2500000000000003E-2</v>
      </c>
      <c r="N99" s="28">
        <f>M99+VLOOKUP(Rawdata!L94,Int_rate_movements,2,TRUE)</f>
        <v>4.2500000000000003E-2</v>
      </c>
      <c r="O99" s="28">
        <f>N99+VLOOKUP(Rawdata!M94,Int_rate_movements,2,TRUE)</f>
        <v>4.2500000000000003E-2</v>
      </c>
      <c r="P99" s="28">
        <f>O99+VLOOKUP(Rawdata!N94,Int_rate_movements,2,TRUE)</f>
        <v>4.2500000000000003E-2</v>
      </c>
      <c r="Q99" s="28">
        <f>P99+VLOOKUP(Rawdata!O94,Int_rate_movements,2,TRUE)</f>
        <v>4.5000000000000005E-2</v>
      </c>
      <c r="R99" s="28">
        <f>Q99+VLOOKUP(Rawdata!P94,Int_rate_movements,2,TRUE)</f>
        <v>4.0000000000000008E-2</v>
      </c>
      <c r="S99" s="28">
        <f>R99+VLOOKUP(Rawdata!Q94,Int_rate_movements,2,TRUE)</f>
        <v>4.0000000000000008E-2</v>
      </c>
      <c r="T99" s="28">
        <f>S99+VLOOKUP(Rawdata!R94,Int_rate_movements,2,TRUE)</f>
        <v>4.0000000000000008E-2</v>
      </c>
      <c r="U99" s="28">
        <f>T99+VLOOKUP(Rawdata!S94,Int_rate_movements,2,TRUE)</f>
        <v>4.0000000000000008E-2</v>
      </c>
      <c r="V99" s="28">
        <f>U99+VLOOKUP(Rawdata!T94,Int_rate_movements,2,TRUE)</f>
        <v>4.0000000000000008E-2</v>
      </c>
      <c r="W99" s="28">
        <f>V99+VLOOKUP(Rawdata!U94,Int_rate_movements,2,TRUE)</f>
        <v>4.0000000000000008E-2</v>
      </c>
      <c r="X99" s="28">
        <f>W99+VLOOKUP(Rawdata!V94,Int_rate_movements,2,TRUE)</f>
        <v>4.0000000000000008E-2</v>
      </c>
      <c r="Y99" s="28">
        <f>X99+VLOOKUP(Rawdata!W94,Int_rate_movements,2,TRUE)</f>
        <v>4.0000000000000008E-2</v>
      </c>
      <c r="Z99" s="35">
        <f>Y99+VLOOKUP(Rawdata!X94,Int_rate_movements,2,TRUE)</f>
        <v>4.0000000000000008E-2</v>
      </c>
      <c r="AA99" s="12"/>
      <c r="AB99" s="55">
        <f t="shared" si="59"/>
        <v>4.4097712805242217E-2</v>
      </c>
      <c r="AC99" s="55">
        <f t="shared" si="60"/>
        <v>4.4097712805242217E-2</v>
      </c>
      <c r="AD99" s="55">
        <f t="shared" si="61"/>
        <v>4.6496219905550085E-2</v>
      </c>
      <c r="AE99" s="55">
        <f t="shared" si="62"/>
        <v>4.1693940041970023E-2</v>
      </c>
      <c r="AF99" s="55">
        <f t="shared" si="63"/>
        <v>4.1693940041970023E-2</v>
      </c>
      <c r="AG99" s="55">
        <f t="shared" si="64"/>
        <v>4.1693940041970023E-2</v>
      </c>
      <c r="AH99" s="55">
        <f t="shared" si="65"/>
        <v>3.9284877386386974E-2</v>
      </c>
      <c r="AI99" s="55">
        <f t="shared" si="66"/>
        <v>3.9284877386386974E-2</v>
      </c>
      <c r="AJ99" s="55">
        <f t="shared" si="67"/>
        <v>3.9284877386386974E-2</v>
      </c>
      <c r="AK99" s="55">
        <f t="shared" si="68"/>
        <v>3.9284877386386974E-2</v>
      </c>
      <c r="AL99" s="55">
        <f t="shared" si="69"/>
        <v>3.9284877386386974E-2</v>
      </c>
      <c r="AM99" s="55">
        <f t="shared" si="70"/>
        <v>4.1693940041970023E-2</v>
      </c>
      <c r="AN99" s="55">
        <f t="shared" si="71"/>
        <v>4.1693940041970023E-2</v>
      </c>
      <c r="AO99" s="55">
        <f t="shared" si="72"/>
        <v>4.1693940041970023E-2</v>
      </c>
      <c r="AP99" s="55">
        <f t="shared" si="73"/>
        <v>4.1693940041970023E-2</v>
      </c>
      <c r="AQ99" s="55">
        <f t="shared" si="74"/>
        <v>4.4097712805242217E-2</v>
      </c>
      <c r="AR99" s="55">
        <f t="shared" si="75"/>
        <v>3.9284877386386974E-2</v>
      </c>
      <c r="AS99" s="55">
        <f t="shared" si="76"/>
        <v>3.9284877386386974E-2</v>
      </c>
      <c r="AT99" s="55">
        <f t="shared" si="77"/>
        <v>3.9284877386386974E-2</v>
      </c>
      <c r="AU99" s="55">
        <f t="shared" si="78"/>
        <v>3.9284877386386974E-2</v>
      </c>
      <c r="AV99" s="55">
        <f t="shared" si="79"/>
        <v>3.9284877386386974E-2</v>
      </c>
      <c r="AW99" s="55">
        <f t="shared" si="80"/>
        <v>3.9284877386386974E-2</v>
      </c>
      <c r="AX99" s="55">
        <f t="shared" si="81"/>
        <v>3.9284877386386974E-2</v>
      </c>
      <c r="AY99" s="55">
        <f t="shared" si="82"/>
        <v>3.9284877386386974E-2</v>
      </c>
      <c r="AZ99" s="56">
        <f t="shared" si="83"/>
        <v>3.9284877386386974E-2</v>
      </c>
      <c r="BA99" s="11"/>
      <c r="BB99" s="12"/>
      <c r="BC99" s="12"/>
      <c r="BD99" s="13"/>
      <c r="BF99" s="14"/>
      <c r="BG99" s="10"/>
      <c r="BH99" s="11"/>
      <c r="BI99" s="11"/>
      <c r="BJ99" s="11"/>
      <c r="BK99" s="12"/>
      <c r="BL99" s="12"/>
      <c r="BM99" s="13"/>
      <c r="BO99" s="14"/>
      <c r="BP99" s="10"/>
      <c r="BQ99" s="11"/>
      <c r="BR99" s="11"/>
      <c r="BS99" s="11"/>
      <c r="BT99" s="12"/>
      <c r="BU99" s="12"/>
      <c r="BV99" s="13"/>
      <c r="BX99" s="14"/>
      <c r="BY99" s="10"/>
      <c r="BZ99" s="11"/>
      <c r="CA99" s="11"/>
      <c r="CB99" s="11"/>
      <c r="CC99" s="12"/>
      <c r="CD99" s="12"/>
      <c r="CE99" s="13"/>
      <c r="CG99" s="14"/>
      <c r="CH99" s="10"/>
      <c r="CI99" s="11"/>
      <c r="CJ99" s="11"/>
      <c r="CK99" s="11"/>
      <c r="CL99" s="12"/>
      <c r="CM99" s="12"/>
      <c r="CN99" s="13"/>
      <c r="CP99" s="13"/>
    </row>
    <row r="100" spans="1:94" x14ac:dyDescent="0.35">
      <c r="A100" s="27">
        <v>93</v>
      </c>
      <c r="B100" s="63">
        <f t="shared" si="58"/>
        <v>4.4999999999999998E-2</v>
      </c>
      <c r="C100" s="28">
        <f>B100+VLOOKUP(Rawdata!A95,Int_rate_movements,2,TRUE)</f>
        <v>4.4999999999999998E-2</v>
      </c>
      <c r="D100" s="28">
        <f>C100+VLOOKUP(Rawdata!B95,Int_rate_movements,2,TRUE)</f>
        <v>4.4999999999999998E-2</v>
      </c>
      <c r="E100" s="28">
        <f>D100+VLOOKUP(Rawdata!C95,Int_rate_movements,2,TRUE)</f>
        <v>4.4999999999999998E-2</v>
      </c>
      <c r="F100" s="28">
        <f>E100+VLOOKUP(Rawdata!D95,Int_rate_movements,2,TRUE)</f>
        <v>4.4999999999999998E-2</v>
      </c>
      <c r="G100" s="28">
        <f>F100+VLOOKUP(Rawdata!E95,Int_rate_movements,2,TRUE)</f>
        <v>4.4999999999999998E-2</v>
      </c>
      <c r="H100" s="28">
        <f>G100+VLOOKUP(Rawdata!F95,Int_rate_movements,2,TRUE)</f>
        <v>4.4999999999999998E-2</v>
      </c>
      <c r="I100" s="28">
        <f>H100+VLOOKUP(Rawdata!G95,Int_rate_movements,2,TRUE)</f>
        <v>4.7500000000000001E-2</v>
      </c>
      <c r="J100" s="28">
        <f>I100+VLOOKUP(Rawdata!H95,Int_rate_movements,2,TRUE)</f>
        <v>4.7500000000000001E-2</v>
      </c>
      <c r="K100" s="28">
        <f>J100+VLOOKUP(Rawdata!I95,Int_rate_movements,2,TRUE)</f>
        <v>4.7500000000000001E-2</v>
      </c>
      <c r="L100" s="28">
        <f>K100+VLOOKUP(Rawdata!J95,Int_rate_movements,2,TRUE)</f>
        <v>4.7500000000000001E-2</v>
      </c>
      <c r="M100" s="28">
        <f>L100+VLOOKUP(Rawdata!K95,Int_rate_movements,2,TRUE)</f>
        <v>4.7500000000000001E-2</v>
      </c>
      <c r="N100" s="28">
        <f>M100+VLOOKUP(Rawdata!L95,Int_rate_movements,2,TRUE)</f>
        <v>4.7500000000000001E-2</v>
      </c>
      <c r="O100" s="28">
        <f>N100+VLOOKUP(Rawdata!M95,Int_rate_movements,2,TRUE)</f>
        <v>4.7500000000000001E-2</v>
      </c>
      <c r="P100" s="28">
        <f>O100+VLOOKUP(Rawdata!N95,Int_rate_movements,2,TRUE)</f>
        <v>4.7500000000000001E-2</v>
      </c>
      <c r="Q100" s="28">
        <f>P100+VLOOKUP(Rawdata!O95,Int_rate_movements,2,TRUE)</f>
        <v>4.7500000000000001E-2</v>
      </c>
      <c r="R100" s="28">
        <f>Q100+VLOOKUP(Rawdata!P95,Int_rate_movements,2,TRUE)</f>
        <v>4.7500000000000001E-2</v>
      </c>
      <c r="S100" s="28">
        <f>R100+VLOOKUP(Rawdata!Q95,Int_rate_movements,2,TRUE)</f>
        <v>4.7500000000000001E-2</v>
      </c>
      <c r="T100" s="28">
        <f>S100+VLOOKUP(Rawdata!R95,Int_rate_movements,2,TRUE)</f>
        <v>4.7500000000000001E-2</v>
      </c>
      <c r="U100" s="28">
        <f>T100+VLOOKUP(Rawdata!S95,Int_rate_movements,2,TRUE)</f>
        <v>4.7500000000000001E-2</v>
      </c>
      <c r="V100" s="28">
        <f>U100+VLOOKUP(Rawdata!T95,Int_rate_movements,2,TRUE)</f>
        <v>4.7500000000000001E-2</v>
      </c>
      <c r="W100" s="28">
        <f>V100+VLOOKUP(Rawdata!U95,Int_rate_movements,2,TRUE)</f>
        <v>4.7500000000000001E-2</v>
      </c>
      <c r="X100" s="28">
        <f>W100+VLOOKUP(Rawdata!V95,Int_rate_movements,2,TRUE)</f>
        <v>4.4999999999999998E-2</v>
      </c>
      <c r="Y100" s="28">
        <f>X100+VLOOKUP(Rawdata!W95,Int_rate_movements,2,TRUE)</f>
        <v>4.4999999999999998E-2</v>
      </c>
      <c r="Z100" s="35">
        <f>Y100+VLOOKUP(Rawdata!X95,Int_rate_movements,2,TRUE)</f>
        <v>4.4999999999999998E-2</v>
      </c>
      <c r="AA100" s="12"/>
      <c r="AB100" s="55">
        <f t="shared" si="59"/>
        <v>4.4097712805242217E-2</v>
      </c>
      <c r="AC100" s="55">
        <f t="shared" si="60"/>
        <v>4.4097712805242217E-2</v>
      </c>
      <c r="AD100" s="55">
        <f t="shared" si="61"/>
        <v>4.4097712805242217E-2</v>
      </c>
      <c r="AE100" s="55">
        <f t="shared" si="62"/>
        <v>4.4097712805242217E-2</v>
      </c>
      <c r="AF100" s="55">
        <f t="shared" si="63"/>
        <v>4.4097712805242217E-2</v>
      </c>
      <c r="AG100" s="55">
        <f t="shared" si="64"/>
        <v>4.4097712805242217E-2</v>
      </c>
      <c r="AH100" s="55">
        <f t="shared" si="65"/>
        <v>4.4097712805242217E-2</v>
      </c>
      <c r="AI100" s="55">
        <f t="shared" si="66"/>
        <v>4.6496219905550085E-2</v>
      </c>
      <c r="AJ100" s="55">
        <f t="shared" si="67"/>
        <v>4.6496219905550085E-2</v>
      </c>
      <c r="AK100" s="55">
        <f t="shared" si="68"/>
        <v>4.6496219905550085E-2</v>
      </c>
      <c r="AL100" s="55">
        <f t="shared" si="69"/>
        <v>4.6496219905550085E-2</v>
      </c>
      <c r="AM100" s="55">
        <f t="shared" si="70"/>
        <v>4.6496219905550085E-2</v>
      </c>
      <c r="AN100" s="55">
        <f t="shared" si="71"/>
        <v>4.6496219905550085E-2</v>
      </c>
      <c r="AO100" s="55">
        <f t="shared" si="72"/>
        <v>4.6496219905550085E-2</v>
      </c>
      <c r="AP100" s="55">
        <f t="shared" si="73"/>
        <v>4.6496219905550085E-2</v>
      </c>
      <c r="AQ100" s="55">
        <f t="shared" si="74"/>
        <v>4.6496219905550085E-2</v>
      </c>
      <c r="AR100" s="55">
        <f t="shared" si="75"/>
        <v>4.6496219905550085E-2</v>
      </c>
      <c r="AS100" s="55">
        <f t="shared" si="76"/>
        <v>4.6496219905550085E-2</v>
      </c>
      <c r="AT100" s="55">
        <f t="shared" si="77"/>
        <v>4.6496219905550085E-2</v>
      </c>
      <c r="AU100" s="55">
        <f t="shared" si="78"/>
        <v>4.6496219905550085E-2</v>
      </c>
      <c r="AV100" s="55">
        <f t="shared" si="79"/>
        <v>4.6496219905550085E-2</v>
      </c>
      <c r="AW100" s="55">
        <f t="shared" si="80"/>
        <v>4.6496219905550085E-2</v>
      </c>
      <c r="AX100" s="55">
        <f t="shared" si="81"/>
        <v>4.4097712805242217E-2</v>
      </c>
      <c r="AY100" s="55">
        <f t="shared" si="82"/>
        <v>4.4097712805242217E-2</v>
      </c>
      <c r="AZ100" s="56">
        <f t="shared" si="83"/>
        <v>4.4097712805242217E-2</v>
      </c>
      <c r="BA100" s="11"/>
      <c r="BB100" s="12"/>
      <c r="BC100" s="12"/>
      <c r="BD100" s="13"/>
      <c r="BF100" s="14"/>
      <c r="BG100" s="10"/>
      <c r="BH100" s="11"/>
      <c r="BI100" s="11"/>
      <c r="BJ100" s="11"/>
      <c r="BK100" s="12"/>
      <c r="BL100" s="12"/>
      <c r="BM100" s="13"/>
      <c r="BO100" s="14"/>
      <c r="BP100" s="10"/>
      <c r="BQ100" s="11"/>
      <c r="BR100" s="11"/>
      <c r="BS100" s="11"/>
      <c r="BT100" s="12"/>
      <c r="BU100" s="12"/>
      <c r="BV100" s="13"/>
      <c r="BX100" s="14"/>
      <c r="BY100" s="10"/>
      <c r="BZ100" s="11"/>
      <c r="CA100" s="11"/>
      <c r="CB100" s="11"/>
      <c r="CC100" s="12"/>
      <c r="CD100" s="12"/>
      <c r="CE100" s="13"/>
      <c r="CG100" s="14"/>
      <c r="CH100" s="10"/>
      <c r="CI100" s="11"/>
      <c r="CJ100" s="11"/>
      <c r="CK100" s="11"/>
      <c r="CL100" s="12"/>
      <c r="CM100" s="12"/>
      <c r="CN100" s="13"/>
      <c r="CP100" s="13"/>
    </row>
    <row r="101" spans="1:94" x14ac:dyDescent="0.35">
      <c r="A101" s="5">
        <v>94</v>
      </c>
      <c r="B101" s="63">
        <f t="shared" si="58"/>
        <v>4.4999999999999998E-2</v>
      </c>
      <c r="C101" s="28">
        <f>B101+VLOOKUP(Rawdata!A96,Int_rate_movements,2,TRUE)</f>
        <v>4.7500000000000001E-2</v>
      </c>
      <c r="D101" s="28">
        <f>C101+VLOOKUP(Rawdata!B96,Int_rate_movements,2,TRUE)</f>
        <v>4.7500000000000001E-2</v>
      </c>
      <c r="E101" s="28">
        <f>D101+VLOOKUP(Rawdata!C96,Int_rate_movements,2,TRUE)</f>
        <v>4.7500000000000001E-2</v>
      </c>
      <c r="F101" s="28">
        <f>E101+VLOOKUP(Rawdata!D96,Int_rate_movements,2,TRUE)</f>
        <v>4.7500000000000001E-2</v>
      </c>
      <c r="G101" s="28">
        <f>F101+VLOOKUP(Rawdata!E96,Int_rate_movements,2,TRUE)</f>
        <v>0.05</v>
      </c>
      <c r="H101" s="28">
        <f>G101+VLOOKUP(Rawdata!F96,Int_rate_movements,2,TRUE)</f>
        <v>5.5E-2</v>
      </c>
      <c r="I101" s="28">
        <f>H101+VLOOKUP(Rawdata!G96,Int_rate_movements,2,TRUE)</f>
        <v>5.5E-2</v>
      </c>
      <c r="J101" s="28">
        <f>I101+VLOOKUP(Rawdata!H96,Int_rate_movements,2,TRUE)</f>
        <v>5.5E-2</v>
      </c>
      <c r="K101" s="28">
        <f>J101+VLOOKUP(Rawdata!I96,Int_rate_movements,2,TRUE)</f>
        <v>5.5E-2</v>
      </c>
      <c r="L101" s="28">
        <f>K101+VLOOKUP(Rawdata!J96,Int_rate_movements,2,TRUE)</f>
        <v>5.5E-2</v>
      </c>
      <c r="M101" s="28">
        <f>L101+VLOOKUP(Rawdata!K96,Int_rate_movements,2,TRUE)</f>
        <v>5.7500000000000002E-2</v>
      </c>
      <c r="N101" s="28">
        <f>M101+VLOOKUP(Rawdata!L96,Int_rate_movements,2,TRUE)</f>
        <v>5.7500000000000002E-2</v>
      </c>
      <c r="O101" s="28">
        <f>N101+VLOOKUP(Rawdata!M96,Int_rate_movements,2,TRUE)</f>
        <v>5.7500000000000002E-2</v>
      </c>
      <c r="P101" s="28">
        <f>O101+VLOOKUP(Rawdata!N96,Int_rate_movements,2,TRUE)</f>
        <v>5.7500000000000002E-2</v>
      </c>
      <c r="Q101" s="28">
        <f>P101+VLOOKUP(Rawdata!O96,Int_rate_movements,2,TRUE)</f>
        <v>5.7500000000000002E-2</v>
      </c>
      <c r="R101" s="28">
        <f>Q101+VLOOKUP(Rawdata!P96,Int_rate_movements,2,TRUE)</f>
        <v>5.7500000000000002E-2</v>
      </c>
      <c r="S101" s="28">
        <f>R101+VLOOKUP(Rawdata!Q96,Int_rate_movements,2,TRUE)</f>
        <v>6.0000000000000005E-2</v>
      </c>
      <c r="T101" s="28">
        <f>S101+VLOOKUP(Rawdata!R96,Int_rate_movements,2,TRUE)</f>
        <v>6.0000000000000005E-2</v>
      </c>
      <c r="U101" s="28">
        <f>T101+VLOOKUP(Rawdata!S96,Int_rate_movements,2,TRUE)</f>
        <v>6.0000000000000005E-2</v>
      </c>
      <c r="V101" s="28">
        <f>U101+VLOOKUP(Rawdata!T96,Int_rate_movements,2,TRUE)</f>
        <v>6.0000000000000005E-2</v>
      </c>
      <c r="W101" s="28">
        <f>V101+VLOOKUP(Rawdata!U96,Int_rate_movements,2,TRUE)</f>
        <v>6.0000000000000005E-2</v>
      </c>
      <c r="X101" s="28">
        <f>W101+VLOOKUP(Rawdata!V96,Int_rate_movements,2,TRUE)</f>
        <v>6.0000000000000005E-2</v>
      </c>
      <c r="Y101" s="28">
        <f>X101+VLOOKUP(Rawdata!W96,Int_rate_movements,2,TRUE)</f>
        <v>6.0000000000000005E-2</v>
      </c>
      <c r="Z101" s="35">
        <f>Y101+VLOOKUP(Rawdata!X96,Int_rate_movements,2,TRUE)</f>
        <v>6.0000000000000005E-2</v>
      </c>
      <c r="AA101" s="12"/>
      <c r="AB101" s="55">
        <f t="shared" si="59"/>
        <v>4.4097712805242217E-2</v>
      </c>
      <c r="AC101" s="55">
        <f t="shared" si="60"/>
        <v>4.6496219905550085E-2</v>
      </c>
      <c r="AD101" s="55">
        <f t="shared" si="61"/>
        <v>4.6496219905550085E-2</v>
      </c>
      <c r="AE101" s="55">
        <f t="shared" si="62"/>
        <v>4.6496219905550085E-2</v>
      </c>
      <c r="AF101" s="55">
        <f t="shared" si="63"/>
        <v>4.6496219905550085E-2</v>
      </c>
      <c r="AG101" s="55">
        <f t="shared" si="64"/>
        <v>4.8889485403780242E-2</v>
      </c>
      <c r="AH101" s="55">
        <f t="shared" si="65"/>
        <v>5.3660387004516252E-2</v>
      </c>
      <c r="AI101" s="55">
        <f t="shared" si="66"/>
        <v>5.3660387004516252E-2</v>
      </c>
      <c r="AJ101" s="55">
        <f t="shared" si="67"/>
        <v>5.3660387004516252E-2</v>
      </c>
      <c r="AK101" s="55">
        <f t="shared" si="68"/>
        <v>5.3660387004516252E-2</v>
      </c>
      <c r="AL101" s="55">
        <f t="shared" si="69"/>
        <v>5.3660387004516252E-2</v>
      </c>
      <c r="AM101" s="55">
        <f t="shared" si="70"/>
        <v>5.603807040042863E-2</v>
      </c>
      <c r="AN101" s="55">
        <f t="shared" si="71"/>
        <v>5.603807040042863E-2</v>
      </c>
      <c r="AO101" s="55">
        <f t="shared" si="72"/>
        <v>5.603807040042863E-2</v>
      </c>
      <c r="AP101" s="55">
        <f t="shared" si="73"/>
        <v>5.603807040042863E-2</v>
      </c>
      <c r="AQ101" s="55">
        <f t="shared" si="74"/>
        <v>5.603807040042863E-2</v>
      </c>
      <c r="AR101" s="55">
        <f t="shared" si="75"/>
        <v>5.603807040042863E-2</v>
      </c>
      <c r="AS101" s="55">
        <f t="shared" si="76"/>
        <v>5.8410606784116581E-2</v>
      </c>
      <c r="AT101" s="55">
        <f t="shared" si="77"/>
        <v>5.8410606784116581E-2</v>
      </c>
      <c r="AU101" s="55">
        <f t="shared" si="78"/>
        <v>5.8410606784116581E-2</v>
      </c>
      <c r="AV101" s="55">
        <f t="shared" si="79"/>
        <v>5.8410606784116581E-2</v>
      </c>
      <c r="AW101" s="55">
        <f t="shared" si="80"/>
        <v>5.8410606784116581E-2</v>
      </c>
      <c r="AX101" s="55">
        <f t="shared" si="81"/>
        <v>5.8410606784116581E-2</v>
      </c>
      <c r="AY101" s="55">
        <f t="shared" si="82"/>
        <v>5.8410606784116581E-2</v>
      </c>
      <c r="AZ101" s="56">
        <f t="shared" si="83"/>
        <v>5.8410606784116581E-2</v>
      </c>
      <c r="BA101" s="11"/>
      <c r="BB101" s="12"/>
      <c r="BC101" s="12"/>
      <c r="BD101" s="13"/>
      <c r="BF101" s="14"/>
      <c r="BG101" s="10"/>
      <c r="BH101" s="11"/>
      <c r="BI101" s="11"/>
      <c r="BJ101" s="11"/>
      <c r="BK101" s="12"/>
      <c r="BL101" s="12"/>
      <c r="BM101" s="13"/>
      <c r="BO101" s="14"/>
      <c r="BP101" s="10"/>
      <c r="BQ101" s="11"/>
      <c r="BR101" s="11"/>
      <c r="BS101" s="11"/>
      <c r="BT101" s="12"/>
      <c r="BU101" s="12"/>
      <c r="BV101" s="13"/>
      <c r="BX101" s="14"/>
      <c r="BY101" s="10"/>
      <c r="BZ101" s="11"/>
      <c r="CA101" s="11"/>
      <c r="CB101" s="11"/>
      <c r="CC101" s="12"/>
      <c r="CD101" s="12"/>
      <c r="CE101" s="13"/>
      <c r="CG101" s="14"/>
      <c r="CH101" s="10"/>
      <c r="CI101" s="11"/>
      <c r="CJ101" s="11"/>
      <c r="CK101" s="11"/>
      <c r="CL101" s="12"/>
      <c r="CM101" s="12"/>
      <c r="CN101" s="13"/>
      <c r="CP101" s="13"/>
    </row>
    <row r="102" spans="1:94" x14ac:dyDescent="0.35">
      <c r="A102" s="27">
        <v>95</v>
      </c>
      <c r="B102" s="63">
        <f t="shared" si="58"/>
        <v>4.4999999999999998E-2</v>
      </c>
      <c r="C102" s="28">
        <f>B102+VLOOKUP(Rawdata!A97,Int_rate_movements,2,TRUE)</f>
        <v>4.7500000000000001E-2</v>
      </c>
      <c r="D102" s="28">
        <f>C102+VLOOKUP(Rawdata!B97,Int_rate_movements,2,TRUE)</f>
        <v>4.4999999999999998E-2</v>
      </c>
      <c r="E102" s="28">
        <f>D102+VLOOKUP(Rawdata!C97,Int_rate_movements,2,TRUE)</f>
        <v>4.7500000000000001E-2</v>
      </c>
      <c r="F102" s="28">
        <f>E102+VLOOKUP(Rawdata!D97,Int_rate_movements,2,TRUE)</f>
        <v>4.7500000000000001E-2</v>
      </c>
      <c r="G102" s="28">
        <f>F102+VLOOKUP(Rawdata!E97,Int_rate_movements,2,TRUE)</f>
        <v>4.7500000000000001E-2</v>
      </c>
      <c r="H102" s="28">
        <f>G102+VLOOKUP(Rawdata!F97,Int_rate_movements,2,TRUE)</f>
        <v>4.7500000000000001E-2</v>
      </c>
      <c r="I102" s="28">
        <f>H102+VLOOKUP(Rawdata!G97,Int_rate_movements,2,TRUE)</f>
        <v>4.7500000000000001E-2</v>
      </c>
      <c r="J102" s="28">
        <f>I102+VLOOKUP(Rawdata!H97,Int_rate_movements,2,TRUE)</f>
        <v>4.7500000000000001E-2</v>
      </c>
      <c r="K102" s="28">
        <f>J102+VLOOKUP(Rawdata!I97,Int_rate_movements,2,TRUE)</f>
        <v>4.7500000000000001E-2</v>
      </c>
      <c r="L102" s="28">
        <f>K102+VLOOKUP(Rawdata!J97,Int_rate_movements,2,TRUE)</f>
        <v>4.7500000000000001E-2</v>
      </c>
      <c r="M102" s="28">
        <f>L102+VLOOKUP(Rawdata!K97,Int_rate_movements,2,TRUE)</f>
        <v>4.7500000000000001E-2</v>
      </c>
      <c r="N102" s="28">
        <f>M102+VLOOKUP(Rawdata!L97,Int_rate_movements,2,TRUE)</f>
        <v>4.7500000000000001E-2</v>
      </c>
      <c r="O102" s="28">
        <f>N102+VLOOKUP(Rawdata!M97,Int_rate_movements,2,TRUE)</f>
        <v>4.7500000000000001E-2</v>
      </c>
      <c r="P102" s="28">
        <f>O102+VLOOKUP(Rawdata!N97,Int_rate_movements,2,TRUE)</f>
        <v>4.4999999999999998E-2</v>
      </c>
      <c r="Q102" s="28">
        <f>P102+VLOOKUP(Rawdata!O97,Int_rate_movements,2,TRUE)</f>
        <v>4.4999999999999998E-2</v>
      </c>
      <c r="R102" s="28">
        <f>Q102+VLOOKUP(Rawdata!P97,Int_rate_movements,2,TRUE)</f>
        <v>4.4999999999999998E-2</v>
      </c>
      <c r="S102" s="28">
        <f>R102+VLOOKUP(Rawdata!Q97,Int_rate_movements,2,TRUE)</f>
        <v>4.4999999999999998E-2</v>
      </c>
      <c r="T102" s="28">
        <f>S102+VLOOKUP(Rawdata!R97,Int_rate_movements,2,TRUE)</f>
        <v>4.4999999999999998E-2</v>
      </c>
      <c r="U102" s="28">
        <f>T102+VLOOKUP(Rawdata!S97,Int_rate_movements,2,TRUE)</f>
        <v>4.4999999999999998E-2</v>
      </c>
      <c r="V102" s="28">
        <f>U102+VLOOKUP(Rawdata!T97,Int_rate_movements,2,TRUE)</f>
        <v>4.4999999999999998E-2</v>
      </c>
      <c r="W102" s="28">
        <f>V102+VLOOKUP(Rawdata!U97,Int_rate_movements,2,TRUE)</f>
        <v>4.4999999999999998E-2</v>
      </c>
      <c r="X102" s="28">
        <f>W102+VLOOKUP(Rawdata!V97,Int_rate_movements,2,TRUE)</f>
        <v>4.4999999999999998E-2</v>
      </c>
      <c r="Y102" s="28">
        <f>X102+VLOOKUP(Rawdata!W97,Int_rate_movements,2,TRUE)</f>
        <v>4.4999999999999998E-2</v>
      </c>
      <c r="Z102" s="35">
        <f>Y102+VLOOKUP(Rawdata!X97,Int_rate_movements,2,TRUE)</f>
        <v>4.4999999999999998E-2</v>
      </c>
      <c r="AA102" s="12"/>
      <c r="AB102" s="55">
        <f t="shared" si="59"/>
        <v>4.4097712805242217E-2</v>
      </c>
      <c r="AC102" s="55">
        <f t="shared" si="60"/>
        <v>4.6496219905550085E-2</v>
      </c>
      <c r="AD102" s="55">
        <f t="shared" si="61"/>
        <v>4.4097712805242217E-2</v>
      </c>
      <c r="AE102" s="55">
        <f t="shared" si="62"/>
        <v>4.6496219905550085E-2</v>
      </c>
      <c r="AF102" s="55">
        <f t="shared" si="63"/>
        <v>4.6496219905550085E-2</v>
      </c>
      <c r="AG102" s="55">
        <f t="shared" si="64"/>
        <v>4.6496219905550085E-2</v>
      </c>
      <c r="AH102" s="55">
        <f t="shared" si="65"/>
        <v>4.6496219905550085E-2</v>
      </c>
      <c r="AI102" s="55">
        <f t="shared" si="66"/>
        <v>4.6496219905550085E-2</v>
      </c>
      <c r="AJ102" s="55">
        <f t="shared" si="67"/>
        <v>4.6496219905550085E-2</v>
      </c>
      <c r="AK102" s="55">
        <f t="shared" si="68"/>
        <v>4.6496219905550085E-2</v>
      </c>
      <c r="AL102" s="55">
        <f t="shared" si="69"/>
        <v>4.6496219905550085E-2</v>
      </c>
      <c r="AM102" s="55">
        <f t="shared" si="70"/>
        <v>4.6496219905550085E-2</v>
      </c>
      <c r="AN102" s="55">
        <f t="shared" si="71"/>
        <v>4.6496219905550085E-2</v>
      </c>
      <c r="AO102" s="55">
        <f t="shared" si="72"/>
        <v>4.6496219905550085E-2</v>
      </c>
      <c r="AP102" s="55">
        <f t="shared" si="73"/>
        <v>4.4097712805242217E-2</v>
      </c>
      <c r="AQ102" s="55">
        <f t="shared" si="74"/>
        <v>4.4097712805242217E-2</v>
      </c>
      <c r="AR102" s="55">
        <f t="shared" si="75"/>
        <v>4.4097712805242217E-2</v>
      </c>
      <c r="AS102" s="55">
        <f t="shared" si="76"/>
        <v>4.4097712805242217E-2</v>
      </c>
      <c r="AT102" s="55">
        <f t="shared" si="77"/>
        <v>4.4097712805242217E-2</v>
      </c>
      <c r="AU102" s="55">
        <f t="shared" si="78"/>
        <v>4.4097712805242217E-2</v>
      </c>
      <c r="AV102" s="55">
        <f t="shared" si="79"/>
        <v>4.4097712805242217E-2</v>
      </c>
      <c r="AW102" s="55">
        <f t="shared" si="80"/>
        <v>4.4097712805242217E-2</v>
      </c>
      <c r="AX102" s="55">
        <f t="shared" si="81"/>
        <v>4.4097712805242217E-2</v>
      </c>
      <c r="AY102" s="55">
        <f t="shared" si="82"/>
        <v>4.4097712805242217E-2</v>
      </c>
      <c r="AZ102" s="56">
        <f t="shared" si="83"/>
        <v>4.4097712805242217E-2</v>
      </c>
      <c r="BA102" s="11"/>
      <c r="BB102" s="12"/>
      <c r="BC102" s="12"/>
      <c r="BD102" s="13"/>
      <c r="BF102" s="14"/>
      <c r="BG102" s="10"/>
      <c r="BH102" s="11"/>
      <c r="BI102" s="11"/>
      <c r="BJ102" s="11"/>
      <c r="BK102" s="12"/>
      <c r="BL102" s="12"/>
      <c r="BM102" s="13"/>
      <c r="BO102" s="14"/>
      <c r="BP102" s="10"/>
      <c r="BQ102" s="11"/>
      <c r="BR102" s="11"/>
      <c r="BS102" s="11"/>
      <c r="BT102" s="12"/>
      <c r="BU102" s="12"/>
      <c r="BV102" s="13"/>
      <c r="BX102" s="14"/>
      <c r="BY102" s="10"/>
      <c r="BZ102" s="11"/>
      <c r="CA102" s="11"/>
      <c r="CB102" s="11"/>
      <c r="CC102" s="12"/>
      <c r="CD102" s="12"/>
      <c r="CE102" s="13"/>
      <c r="CG102" s="14"/>
      <c r="CH102" s="10"/>
      <c r="CI102" s="11"/>
      <c r="CJ102" s="11"/>
      <c r="CK102" s="11"/>
      <c r="CL102" s="12"/>
      <c r="CM102" s="12"/>
      <c r="CN102" s="13"/>
      <c r="CP102" s="13"/>
    </row>
    <row r="103" spans="1:94" x14ac:dyDescent="0.35">
      <c r="A103" s="5">
        <v>96</v>
      </c>
      <c r="B103" s="63">
        <f t="shared" si="58"/>
        <v>4.4999999999999998E-2</v>
      </c>
      <c r="C103" s="28">
        <f>B103+VLOOKUP(Rawdata!A98,Int_rate_movements,2,TRUE)</f>
        <v>4.2499999999999996E-2</v>
      </c>
      <c r="D103" s="28">
        <f>C103+VLOOKUP(Rawdata!B98,Int_rate_movements,2,TRUE)</f>
        <v>4.2499999999999996E-2</v>
      </c>
      <c r="E103" s="28">
        <f>D103+VLOOKUP(Rawdata!C98,Int_rate_movements,2,TRUE)</f>
        <v>4.2499999999999996E-2</v>
      </c>
      <c r="F103" s="28">
        <f>E103+VLOOKUP(Rawdata!D98,Int_rate_movements,2,TRUE)</f>
        <v>4.2499999999999996E-2</v>
      </c>
      <c r="G103" s="28">
        <f>F103+VLOOKUP(Rawdata!E98,Int_rate_movements,2,TRUE)</f>
        <v>3.7499999999999999E-2</v>
      </c>
      <c r="H103" s="28">
        <f>G103+VLOOKUP(Rawdata!F98,Int_rate_movements,2,TRUE)</f>
        <v>3.7499999999999999E-2</v>
      </c>
      <c r="I103" s="28">
        <f>H103+VLOOKUP(Rawdata!G98,Int_rate_movements,2,TRUE)</f>
        <v>3.7499999999999999E-2</v>
      </c>
      <c r="J103" s="28">
        <f>I103+VLOOKUP(Rawdata!H98,Int_rate_movements,2,TRUE)</f>
        <v>3.7499999999999999E-2</v>
      </c>
      <c r="K103" s="28">
        <f>J103+VLOOKUP(Rawdata!I98,Int_rate_movements,2,TRUE)</f>
        <v>3.7499999999999999E-2</v>
      </c>
      <c r="L103" s="28">
        <f>K103+VLOOKUP(Rawdata!J98,Int_rate_movements,2,TRUE)</f>
        <v>3.7499999999999999E-2</v>
      </c>
      <c r="M103" s="28">
        <f>L103+VLOOKUP(Rawdata!K98,Int_rate_movements,2,TRUE)</f>
        <v>3.7499999999999999E-2</v>
      </c>
      <c r="N103" s="28">
        <f>M103+VLOOKUP(Rawdata!L98,Int_rate_movements,2,TRUE)</f>
        <v>3.7499999999999999E-2</v>
      </c>
      <c r="O103" s="28">
        <f>N103+VLOOKUP(Rawdata!M98,Int_rate_movements,2,TRUE)</f>
        <v>3.7499999999999999E-2</v>
      </c>
      <c r="P103" s="28">
        <f>O103+VLOOKUP(Rawdata!N98,Int_rate_movements,2,TRUE)</f>
        <v>3.7499999999999999E-2</v>
      </c>
      <c r="Q103" s="28">
        <f>P103+VLOOKUP(Rawdata!O98,Int_rate_movements,2,TRUE)</f>
        <v>3.7499999999999999E-2</v>
      </c>
      <c r="R103" s="28">
        <f>Q103+VLOOKUP(Rawdata!P98,Int_rate_movements,2,TRUE)</f>
        <v>3.7499999999999999E-2</v>
      </c>
      <c r="S103" s="28">
        <f>R103+VLOOKUP(Rawdata!Q98,Int_rate_movements,2,TRUE)</f>
        <v>3.7499999999999999E-2</v>
      </c>
      <c r="T103" s="28">
        <f>S103+VLOOKUP(Rawdata!R98,Int_rate_movements,2,TRUE)</f>
        <v>3.7499999999999999E-2</v>
      </c>
      <c r="U103" s="28">
        <f>T103+VLOOKUP(Rawdata!S98,Int_rate_movements,2,TRUE)</f>
        <v>3.7499999999999999E-2</v>
      </c>
      <c r="V103" s="28">
        <f>U103+VLOOKUP(Rawdata!T98,Int_rate_movements,2,TRUE)</f>
        <v>0.04</v>
      </c>
      <c r="W103" s="28">
        <f>V103+VLOOKUP(Rawdata!U98,Int_rate_movements,2,TRUE)</f>
        <v>4.2500000000000003E-2</v>
      </c>
      <c r="X103" s="28">
        <f>W103+VLOOKUP(Rawdata!V98,Int_rate_movements,2,TRUE)</f>
        <v>4.2500000000000003E-2</v>
      </c>
      <c r="Y103" s="28">
        <f>X103+VLOOKUP(Rawdata!W98,Int_rate_movements,2,TRUE)</f>
        <v>4.2500000000000003E-2</v>
      </c>
      <c r="Z103" s="35">
        <f>Y103+VLOOKUP(Rawdata!X98,Int_rate_movements,2,TRUE)</f>
        <v>4.2500000000000003E-2</v>
      </c>
      <c r="AA103" s="12"/>
      <c r="AB103" s="55">
        <f t="shared" si="59"/>
        <v>4.4097712805242217E-2</v>
      </c>
      <c r="AC103" s="55">
        <f t="shared" si="60"/>
        <v>4.1693940041970023E-2</v>
      </c>
      <c r="AD103" s="55">
        <f t="shared" si="61"/>
        <v>4.1693940041970023E-2</v>
      </c>
      <c r="AE103" s="55">
        <f t="shared" si="62"/>
        <v>4.1693940041970023E-2</v>
      </c>
      <c r="AF103" s="55">
        <f t="shared" si="63"/>
        <v>4.1693940041970023E-2</v>
      </c>
      <c r="AG103" s="55">
        <f t="shared" si="64"/>
        <v>3.6870500439066589E-2</v>
      </c>
      <c r="AH103" s="55">
        <f t="shared" si="65"/>
        <v>3.6870500439066589E-2</v>
      </c>
      <c r="AI103" s="55">
        <f t="shared" si="66"/>
        <v>3.6870500439066589E-2</v>
      </c>
      <c r="AJ103" s="55">
        <f t="shared" si="67"/>
        <v>3.6870500439066589E-2</v>
      </c>
      <c r="AK103" s="55">
        <f t="shared" si="68"/>
        <v>3.6870500439066589E-2</v>
      </c>
      <c r="AL103" s="55">
        <f t="shared" si="69"/>
        <v>3.6870500439066589E-2</v>
      </c>
      <c r="AM103" s="55">
        <f t="shared" si="70"/>
        <v>3.6870500439066589E-2</v>
      </c>
      <c r="AN103" s="55">
        <f t="shared" si="71"/>
        <v>3.6870500439066589E-2</v>
      </c>
      <c r="AO103" s="55">
        <f t="shared" si="72"/>
        <v>3.6870500439066589E-2</v>
      </c>
      <c r="AP103" s="55">
        <f t="shared" si="73"/>
        <v>3.6870500439066589E-2</v>
      </c>
      <c r="AQ103" s="55">
        <f t="shared" si="74"/>
        <v>3.6870500439066589E-2</v>
      </c>
      <c r="AR103" s="55">
        <f t="shared" si="75"/>
        <v>3.6870500439066589E-2</v>
      </c>
      <c r="AS103" s="55">
        <f t="shared" si="76"/>
        <v>3.6870500439066589E-2</v>
      </c>
      <c r="AT103" s="55">
        <f t="shared" si="77"/>
        <v>3.6870500439066589E-2</v>
      </c>
      <c r="AU103" s="55">
        <f t="shared" si="78"/>
        <v>3.6870500439066589E-2</v>
      </c>
      <c r="AV103" s="55">
        <f t="shared" si="79"/>
        <v>3.9284877386386974E-2</v>
      </c>
      <c r="AW103" s="55">
        <f t="shared" si="80"/>
        <v>4.1693940041970023E-2</v>
      </c>
      <c r="AX103" s="55">
        <f t="shared" si="81"/>
        <v>4.1693940041970023E-2</v>
      </c>
      <c r="AY103" s="55">
        <f t="shared" si="82"/>
        <v>4.1693940041970023E-2</v>
      </c>
      <c r="AZ103" s="56">
        <f t="shared" si="83"/>
        <v>4.1693940041970023E-2</v>
      </c>
      <c r="BA103" s="11"/>
      <c r="BB103" s="12"/>
      <c r="BC103" s="12"/>
      <c r="BD103" s="13"/>
      <c r="BF103" s="14"/>
      <c r="BG103" s="10"/>
      <c r="BH103" s="11"/>
      <c r="BI103" s="11"/>
      <c r="BJ103" s="11"/>
      <c r="BK103" s="12"/>
      <c r="BL103" s="12"/>
      <c r="BM103" s="13"/>
      <c r="BO103" s="14"/>
      <c r="BP103" s="10"/>
      <c r="BQ103" s="11"/>
      <c r="BR103" s="11"/>
      <c r="BS103" s="11"/>
      <c r="BT103" s="12"/>
      <c r="BU103" s="12"/>
      <c r="BV103" s="13"/>
      <c r="BX103" s="14"/>
      <c r="BY103" s="10"/>
      <c r="BZ103" s="11"/>
      <c r="CA103" s="11"/>
      <c r="CB103" s="11"/>
      <c r="CC103" s="12"/>
      <c r="CD103" s="12"/>
      <c r="CE103" s="13"/>
      <c r="CG103" s="14"/>
      <c r="CH103" s="10"/>
      <c r="CI103" s="11"/>
      <c r="CJ103" s="11"/>
      <c r="CK103" s="11"/>
      <c r="CL103" s="12"/>
      <c r="CM103" s="12"/>
      <c r="CN103" s="13"/>
      <c r="CP103" s="13"/>
    </row>
    <row r="104" spans="1:94" x14ac:dyDescent="0.35">
      <c r="A104" s="27">
        <v>97</v>
      </c>
      <c r="B104" s="63">
        <f t="shared" ref="B104:B135" si="84">Base_int_rate</f>
        <v>4.4999999999999998E-2</v>
      </c>
      <c r="C104" s="28">
        <f>B104+VLOOKUP(Rawdata!A99,Int_rate_movements,2,TRUE)</f>
        <v>4.4999999999999998E-2</v>
      </c>
      <c r="D104" s="28">
        <f>C104+VLOOKUP(Rawdata!B99,Int_rate_movements,2,TRUE)</f>
        <v>4.4999999999999998E-2</v>
      </c>
      <c r="E104" s="28">
        <f>D104+VLOOKUP(Rawdata!C99,Int_rate_movements,2,TRUE)</f>
        <v>4.4999999999999998E-2</v>
      </c>
      <c r="F104" s="28">
        <f>E104+VLOOKUP(Rawdata!D99,Int_rate_movements,2,TRUE)</f>
        <v>4.4999999999999998E-2</v>
      </c>
      <c r="G104" s="28">
        <f>F104+VLOOKUP(Rawdata!E99,Int_rate_movements,2,TRUE)</f>
        <v>4.4999999999999998E-2</v>
      </c>
      <c r="H104" s="28">
        <f>G104+VLOOKUP(Rawdata!F99,Int_rate_movements,2,TRUE)</f>
        <v>4.4999999999999998E-2</v>
      </c>
      <c r="I104" s="28">
        <f>H104+VLOOKUP(Rawdata!G99,Int_rate_movements,2,TRUE)</f>
        <v>4.4999999999999998E-2</v>
      </c>
      <c r="J104" s="28">
        <f>I104+VLOOKUP(Rawdata!H99,Int_rate_movements,2,TRUE)</f>
        <v>4.4999999999999998E-2</v>
      </c>
      <c r="K104" s="28">
        <f>J104+VLOOKUP(Rawdata!I99,Int_rate_movements,2,TRUE)</f>
        <v>4.4999999999999998E-2</v>
      </c>
      <c r="L104" s="28">
        <f>K104+VLOOKUP(Rawdata!J99,Int_rate_movements,2,TRUE)</f>
        <v>4.4999999999999998E-2</v>
      </c>
      <c r="M104" s="28">
        <f>L104+VLOOKUP(Rawdata!K99,Int_rate_movements,2,TRUE)</f>
        <v>4.7500000000000001E-2</v>
      </c>
      <c r="N104" s="28">
        <f>M104+VLOOKUP(Rawdata!L99,Int_rate_movements,2,TRUE)</f>
        <v>4.7500000000000001E-2</v>
      </c>
      <c r="O104" s="28">
        <f>N104+VLOOKUP(Rawdata!M99,Int_rate_movements,2,TRUE)</f>
        <v>4.7500000000000001E-2</v>
      </c>
      <c r="P104" s="28">
        <f>O104+VLOOKUP(Rawdata!N99,Int_rate_movements,2,TRUE)</f>
        <v>4.7500000000000001E-2</v>
      </c>
      <c r="Q104" s="28">
        <f>P104+VLOOKUP(Rawdata!O99,Int_rate_movements,2,TRUE)</f>
        <v>4.7500000000000001E-2</v>
      </c>
      <c r="R104" s="28">
        <f>Q104+VLOOKUP(Rawdata!P99,Int_rate_movements,2,TRUE)</f>
        <v>4.4999999999999998E-2</v>
      </c>
      <c r="S104" s="28">
        <f>R104+VLOOKUP(Rawdata!Q99,Int_rate_movements,2,TRUE)</f>
        <v>4.4999999999999998E-2</v>
      </c>
      <c r="T104" s="28">
        <f>S104+VLOOKUP(Rawdata!R99,Int_rate_movements,2,TRUE)</f>
        <v>4.4999999999999998E-2</v>
      </c>
      <c r="U104" s="28">
        <f>T104+VLOOKUP(Rawdata!S99,Int_rate_movements,2,TRUE)</f>
        <v>4.4999999999999998E-2</v>
      </c>
      <c r="V104" s="28">
        <f>U104+VLOOKUP(Rawdata!T99,Int_rate_movements,2,TRUE)</f>
        <v>4.4999999999999998E-2</v>
      </c>
      <c r="W104" s="28">
        <f>V104+VLOOKUP(Rawdata!U99,Int_rate_movements,2,TRUE)</f>
        <v>0.04</v>
      </c>
      <c r="X104" s="28">
        <f>W104+VLOOKUP(Rawdata!V99,Int_rate_movements,2,TRUE)</f>
        <v>0.04</v>
      </c>
      <c r="Y104" s="28">
        <f>X104+VLOOKUP(Rawdata!W99,Int_rate_movements,2,TRUE)</f>
        <v>0.04</v>
      </c>
      <c r="Z104" s="35">
        <f>Y104+VLOOKUP(Rawdata!X99,Int_rate_movements,2,TRUE)</f>
        <v>0.04</v>
      </c>
      <c r="AA104" s="12"/>
      <c r="AB104" s="55">
        <f t="shared" ref="AB104:AB135" si="85">Var_freq*((1+B104)^(1/Var_freq)-1)</f>
        <v>4.4097712805242217E-2</v>
      </c>
      <c r="AC104" s="55">
        <f t="shared" ref="AC104:AC135" si="86">Var_freq*((1+C104)^(1/Var_freq)-1)</f>
        <v>4.4097712805242217E-2</v>
      </c>
      <c r="AD104" s="55">
        <f t="shared" ref="AD104:AD135" si="87">Var_freq*((1+D104)^(1/Var_freq)-1)</f>
        <v>4.4097712805242217E-2</v>
      </c>
      <c r="AE104" s="55">
        <f t="shared" ref="AE104:AE135" si="88">Var_freq*((1+E104)^(1/Var_freq)-1)</f>
        <v>4.4097712805242217E-2</v>
      </c>
      <c r="AF104" s="55">
        <f t="shared" ref="AF104:AF135" si="89">Var_freq*((1+F104)^(1/Var_freq)-1)</f>
        <v>4.4097712805242217E-2</v>
      </c>
      <c r="AG104" s="55">
        <f t="shared" ref="AG104:AG135" si="90">Var_freq*((1+G104)^(1/Var_freq)-1)</f>
        <v>4.4097712805242217E-2</v>
      </c>
      <c r="AH104" s="55">
        <f t="shared" ref="AH104:AH135" si="91">Var_freq*((1+H104)^(1/Var_freq)-1)</f>
        <v>4.4097712805242217E-2</v>
      </c>
      <c r="AI104" s="55">
        <f t="shared" ref="AI104:AI135" si="92">Var_freq*((1+I104)^(1/Var_freq)-1)</f>
        <v>4.4097712805242217E-2</v>
      </c>
      <c r="AJ104" s="55">
        <f t="shared" ref="AJ104:AJ135" si="93">Var_freq*((1+J104)^(1/Var_freq)-1)</f>
        <v>4.4097712805242217E-2</v>
      </c>
      <c r="AK104" s="55">
        <f t="shared" ref="AK104:AK135" si="94">Var_freq*((1+K104)^(1/Var_freq)-1)</f>
        <v>4.4097712805242217E-2</v>
      </c>
      <c r="AL104" s="55">
        <f t="shared" ref="AL104:AL135" si="95">Var_freq*((1+L104)^(1/Var_freq)-1)</f>
        <v>4.4097712805242217E-2</v>
      </c>
      <c r="AM104" s="55">
        <f t="shared" ref="AM104:AM135" si="96">Var_freq*((1+M104)^(1/Var_freq)-1)</f>
        <v>4.6496219905550085E-2</v>
      </c>
      <c r="AN104" s="55">
        <f t="shared" ref="AN104:AN135" si="97">Var_freq*((1+N104)^(1/Var_freq)-1)</f>
        <v>4.6496219905550085E-2</v>
      </c>
      <c r="AO104" s="55">
        <f t="shared" ref="AO104:AO135" si="98">Var_freq*((1+O104)^(1/Var_freq)-1)</f>
        <v>4.6496219905550085E-2</v>
      </c>
      <c r="AP104" s="55">
        <f t="shared" ref="AP104:AP135" si="99">Var_freq*((1+P104)^(1/Var_freq)-1)</f>
        <v>4.6496219905550085E-2</v>
      </c>
      <c r="AQ104" s="55">
        <f t="shared" ref="AQ104:AQ135" si="100">Var_freq*((1+Q104)^(1/Var_freq)-1)</f>
        <v>4.6496219905550085E-2</v>
      </c>
      <c r="AR104" s="55">
        <f t="shared" ref="AR104:AR135" si="101">Var_freq*((1+R104)^(1/Var_freq)-1)</f>
        <v>4.4097712805242217E-2</v>
      </c>
      <c r="AS104" s="55">
        <f t="shared" ref="AS104:AS135" si="102">Var_freq*((1+S104)^(1/Var_freq)-1)</f>
        <v>4.4097712805242217E-2</v>
      </c>
      <c r="AT104" s="55">
        <f t="shared" ref="AT104:AT135" si="103">Var_freq*((1+T104)^(1/Var_freq)-1)</f>
        <v>4.4097712805242217E-2</v>
      </c>
      <c r="AU104" s="55">
        <f t="shared" ref="AU104:AU135" si="104">Var_freq*((1+U104)^(1/Var_freq)-1)</f>
        <v>4.4097712805242217E-2</v>
      </c>
      <c r="AV104" s="55">
        <f t="shared" ref="AV104:AV135" si="105">Var_freq*((1+V104)^(1/Var_freq)-1)</f>
        <v>4.4097712805242217E-2</v>
      </c>
      <c r="AW104" s="55">
        <f t="shared" ref="AW104:AW135" si="106">Var_freq*((1+W104)^(1/Var_freq)-1)</f>
        <v>3.9284877386386974E-2</v>
      </c>
      <c r="AX104" s="55">
        <f t="shared" ref="AX104:AX135" si="107">Var_freq*((1+X104)^(1/Var_freq)-1)</f>
        <v>3.9284877386386974E-2</v>
      </c>
      <c r="AY104" s="55">
        <f t="shared" ref="AY104:AY135" si="108">Var_freq*((1+Y104)^(1/Var_freq)-1)</f>
        <v>3.9284877386386974E-2</v>
      </c>
      <c r="AZ104" s="56">
        <f t="shared" ref="AZ104:AZ135" si="109">Var_freq*((1+Z104)^(1/Var_freq)-1)</f>
        <v>3.9284877386386974E-2</v>
      </c>
      <c r="BA104" s="11"/>
      <c r="BB104" s="12"/>
      <c r="BC104" s="12"/>
      <c r="BD104" s="13"/>
      <c r="BF104" s="14"/>
      <c r="BG104" s="10"/>
      <c r="BH104" s="11"/>
      <c r="BI104" s="11"/>
      <c r="BJ104" s="11"/>
      <c r="BK104" s="12"/>
      <c r="BL104" s="12"/>
      <c r="BM104" s="13"/>
      <c r="BO104" s="14"/>
      <c r="BP104" s="10"/>
      <c r="BQ104" s="11"/>
      <c r="BR104" s="11"/>
      <c r="BS104" s="11"/>
      <c r="BT104" s="12"/>
      <c r="BU104" s="12"/>
      <c r="BV104" s="13"/>
      <c r="BX104" s="14"/>
      <c r="BY104" s="10"/>
      <c r="BZ104" s="11"/>
      <c r="CA104" s="11"/>
      <c r="CB104" s="11"/>
      <c r="CC104" s="12"/>
      <c r="CD104" s="12"/>
      <c r="CE104" s="13"/>
      <c r="CG104" s="14"/>
      <c r="CH104" s="10"/>
      <c r="CI104" s="11"/>
      <c r="CJ104" s="11"/>
      <c r="CK104" s="11"/>
      <c r="CL104" s="12"/>
      <c r="CM104" s="12"/>
      <c r="CN104" s="13"/>
      <c r="CP104" s="13"/>
    </row>
    <row r="105" spans="1:94" x14ac:dyDescent="0.35">
      <c r="A105" s="5">
        <v>98</v>
      </c>
      <c r="B105" s="63">
        <f t="shared" si="84"/>
        <v>4.4999999999999998E-2</v>
      </c>
      <c r="C105" s="28">
        <f>B105+VLOOKUP(Rawdata!A100,Int_rate_movements,2,TRUE)</f>
        <v>4.4999999999999998E-2</v>
      </c>
      <c r="D105" s="28">
        <f>C105+VLOOKUP(Rawdata!B100,Int_rate_movements,2,TRUE)</f>
        <v>4.4999999999999998E-2</v>
      </c>
      <c r="E105" s="28">
        <f>D105+VLOOKUP(Rawdata!C100,Int_rate_movements,2,TRUE)</f>
        <v>4.4999999999999998E-2</v>
      </c>
      <c r="F105" s="28">
        <f>E105+VLOOKUP(Rawdata!D100,Int_rate_movements,2,TRUE)</f>
        <v>4.4999999999999998E-2</v>
      </c>
      <c r="G105" s="28">
        <f>F105+VLOOKUP(Rawdata!E100,Int_rate_movements,2,TRUE)</f>
        <v>4.4999999999999998E-2</v>
      </c>
      <c r="H105" s="28">
        <f>G105+VLOOKUP(Rawdata!F100,Int_rate_movements,2,TRUE)</f>
        <v>4.4999999999999998E-2</v>
      </c>
      <c r="I105" s="28">
        <f>H105+VLOOKUP(Rawdata!G100,Int_rate_movements,2,TRUE)</f>
        <v>4.4999999999999998E-2</v>
      </c>
      <c r="J105" s="28">
        <f>I105+VLOOKUP(Rawdata!H100,Int_rate_movements,2,TRUE)</f>
        <v>4.2499999999999996E-2</v>
      </c>
      <c r="K105" s="28">
        <f>J105+VLOOKUP(Rawdata!I100,Int_rate_movements,2,TRUE)</f>
        <v>4.2499999999999996E-2</v>
      </c>
      <c r="L105" s="28">
        <f>K105+VLOOKUP(Rawdata!J100,Int_rate_movements,2,TRUE)</f>
        <v>3.7499999999999999E-2</v>
      </c>
      <c r="M105" s="28">
        <f>L105+VLOOKUP(Rawdata!K100,Int_rate_movements,2,TRUE)</f>
        <v>3.7499999999999999E-2</v>
      </c>
      <c r="N105" s="28">
        <f>M105+VLOOKUP(Rawdata!L100,Int_rate_movements,2,TRUE)</f>
        <v>3.7499999999999999E-2</v>
      </c>
      <c r="O105" s="28">
        <f>N105+VLOOKUP(Rawdata!M100,Int_rate_movements,2,TRUE)</f>
        <v>3.7499999999999999E-2</v>
      </c>
      <c r="P105" s="28">
        <f>O105+VLOOKUP(Rawdata!N100,Int_rate_movements,2,TRUE)</f>
        <v>3.7499999999999999E-2</v>
      </c>
      <c r="Q105" s="28">
        <f>P105+VLOOKUP(Rawdata!O100,Int_rate_movements,2,TRUE)</f>
        <v>3.4999999999999996E-2</v>
      </c>
      <c r="R105" s="28">
        <f>Q105+VLOOKUP(Rawdata!P100,Int_rate_movements,2,TRUE)</f>
        <v>3.7499999999999999E-2</v>
      </c>
      <c r="S105" s="28">
        <f>R105+VLOOKUP(Rawdata!Q100,Int_rate_movements,2,TRUE)</f>
        <v>3.7499999999999999E-2</v>
      </c>
      <c r="T105" s="28">
        <f>S105+VLOOKUP(Rawdata!R100,Int_rate_movements,2,TRUE)</f>
        <v>3.7499999999999999E-2</v>
      </c>
      <c r="U105" s="28">
        <f>T105+VLOOKUP(Rawdata!S100,Int_rate_movements,2,TRUE)</f>
        <v>3.7499999999999999E-2</v>
      </c>
      <c r="V105" s="28">
        <f>U105+VLOOKUP(Rawdata!T100,Int_rate_movements,2,TRUE)</f>
        <v>3.7499999999999999E-2</v>
      </c>
      <c r="W105" s="28">
        <f>V105+VLOOKUP(Rawdata!U100,Int_rate_movements,2,TRUE)</f>
        <v>3.7499999999999999E-2</v>
      </c>
      <c r="X105" s="28">
        <f>W105+VLOOKUP(Rawdata!V100,Int_rate_movements,2,TRUE)</f>
        <v>3.7499999999999999E-2</v>
      </c>
      <c r="Y105" s="28">
        <f>X105+VLOOKUP(Rawdata!W100,Int_rate_movements,2,TRUE)</f>
        <v>3.7499999999999999E-2</v>
      </c>
      <c r="Z105" s="35">
        <f>Y105+VLOOKUP(Rawdata!X100,Int_rate_movements,2,TRUE)</f>
        <v>3.7499999999999999E-2</v>
      </c>
      <c r="AA105" s="12"/>
      <c r="AB105" s="55">
        <f t="shared" si="85"/>
        <v>4.4097712805242217E-2</v>
      </c>
      <c r="AC105" s="55">
        <f t="shared" si="86"/>
        <v>4.4097712805242217E-2</v>
      </c>
      <c r="AD105" s="55">
        <f t="shared" si="87"/>
        <v>4.4097712805242217E-2</v>
      </c>
      <c r="AE105" s="55">
        <f t="shared" si="88"/>
        <v>4.4097712805242217E-2</v>
      </c>
      <c r="AF105" s="55">
        <f t="shared" si="89"/>
        <v>4.4097712805242217E-2</v>
      </c>
      <c r="AG105" s="55">
        <f t="shared" si="90"/>
        <v>4.4097712805242217E-2</v>
      </c>
      <c r="AH105" s="55">
        <f t="shared" si="91"/>
        <v>4.4097712805242217E-2</v>
      </c>
      <c r="AI105" s="55">
        <f t="shared" si="92"/>
        <v>4.4097712805242217E-2</v>
      </c>
      <c r="AJ105" s="55">
        <f t="shared" si="93"/>
        <v>4.1693940041970023E-2</v>
      </c>
      <c r="AK105" s="55">
        <f t="shared" si="94"/>
        <v>4.1693940041970023E-2</v>
      </c>
      <c r="AL105" s="55">
        <f t="shared" si="95"/>
        <v>3.6870500439066589E-2</v>
      </c>
      <c r="AM105" s="55">
        <f t="shared" si="96"/>
        <v>3.6870500439066589E-2</v>
      </c>
      <c r="AN105" s="55">
        <f t="shared" si="97"/>
        <v>3.6870500439066589E-2</v>
      </c>
      <c r="AO105" s="55">
        <f t="shared" si="98"/>
        <v>3.6870500439066589E-2</v>
      </c>
      <c r="AP105" s="55">
        <f t="shared" si="99"/>
        <v>3.6870500439066589E-2</v>
      </c>
      <c r="AQ105" s="55">
        <f t="shared" si="100"/>
        <v>3.4450784628919706E-2</v>
      </c>
      <c r="AR105" s="55">
        <f t="shared" si="101"/>
        <v>3.6870500439066589E-2</v>
      </c>
      <c r="AS105" s="55">
        <f t="shared" si="102"/>
        <v>3.6870500439066589E-2</v>
      </c>
      <c r="AT105" s="55">
        <f t="shared" si="103"/>
        <v>3.6870500439066589E-2</v>
      </c>
      <c r="AU105" s="55">
        <f t="shared" si="104"/>
        <v>3.6870500439066589E-2</v>
      </c>
      <c r="AV105" s="55">
        <f t="shared" si="105"/>
        <v>3.6870500439066589E-2</v>
      </c>
      <c r="AW105" s="55">
        <f t="shared" si="106"/>
        <v>3.6870500439066589E-2</v>
      </c>
      <c r="AX105" s="55">
        <f t="shared" si="107"/>
        <v>3.6870500439066589E-2</v>
      </c>
      <c r="AY105" s="55">
        <f t="shared" si="108"/>
        <v>3.6870500439066589E-2</v>
      </c>
      <c r="AZ105" s="56">
        <f t="shared" si="109"/>
        <v>3.6870500439066589E-2</v>
      </c>
      <c r="BA105" s="11"/>
      <c r="BB105" s="12"/>
      <c r="BC105" s="12"/>
      <c r="BD105" s="13"/>
      <c r="BF105" s="14"/>
      <c r="BG105" s="10"/>
      <c r="BH105" s="11"/>
      <c r="BI105" s="11"/>
      <c r="BJ105" s="11"/>
      <c r="BK105" s="12"/>
      <c r="BL105" s="12"/>
      <c r="BM105" s="13"/>
      <c r="BO105" s="14"/>
      <c r="BP105" s="10"/>
      <c r="BQ105" s="11"/>
      <c r="BR105" s="11"/>
      <c r="BS105" s="11"/>
      <c r="BT105" s="12"/>
      <c r="BU105" s="12"/>
      <c r="BV105" s="13"/>
      <c r="BX105" s="14"/>
      <c r="BY105" s="10"/>
      <c r="BZ105" s="11"/>
      <c r="CA105" s="11"/>
      <c r="CB105" s="11"/>
      <c r="CC105" s="12"/>
      <c r="CD105" s="12"/>
      <c r="CE105" s="13"/>
      <c r="CG105" s="14"/>
      <c r="CH105" s="10"/>
      <c r="CI105" s="11"/>
      <c r="CJ105" s="11"/>
      <c r="CK105" s="11"/>
      <c r="CL105" s="12"/>
      <c r="CM105" s="12"/>
      <c r="CN105" s="13"/>
      <c r="CP105" s="13"/>
    </row>
    <row r="106" spans="1:94" x14ac:dyDescent="0.35">
      <c r="A106" s="27">
        <v>99</v>
      </c>
      <c r="B106" s="63">
        <f t="shared" si="84"/>
        <v>4.4999999999999998E-2</v>
      </c>
      <c r="C106" s="28">
        <f>B106+VLOOKUP(Rawdata!A101,Int_rate_movements,2,TRUE)</f>
        <v>4.4999999999999998E-2</v>
      </c>
      <c r="D106" s="28">
        <f>C106+VLOOKUP(Rawdata!B101,Int_rate_movements,2,TRUE)</f>
        <v>0.04</v>
      </c>
      <c r="E106" s="28">
        <f>D106+VLOOKUP(Rawdata!C101,Int_rate_movements,2,TRUE)</f>
        <v>0.04</v>
      </c>
      <c r="F106" s="28">
        <f>E106+VLOOKUP(Rawdata!D101,Int_rate_movements,2,TRUE)</f>
        <v>0.04</v>
      </c>
      <c r="G106" s="28">
        <f>F106+VLOOKUP(Rawdata!E101,Int_rate_movements,2,TRUE)</f>
        <v>0.04</v>
      </c>
      <c r="H106" s="28">
        <f>G106+VLOOKUP(Rawdata!F101,Int_rate_movements,2,TRUE)</f>
        <v>3.5000000000000003E-2</v>
      </c>
      <c r="I106" s="28">
        <f>H106+VLOOKUP(Rawdata!G101,Int_rate_movements,2,TRUE)</f>
        <v>3.5000000000000003E-2</v>
      </c>
      <c r="J106" s="28">
        <f>I106+VLOOKUP(Rawdata!H101,Int_rate_movements,2,TRUE)</f>
        <v>3.5000000000000003E-2</v>
      </c>
      <c r="K106" s="28">
        <f>J106+VLOOKUP(Rawdata!I101,Int_rate_movements,2,TRUE)</f>
        <v>3.5000000000000003E-2</v>
      </c>
      <c r="L106" s="28">
        <f>K106+VLOOKUP(Rawdata!J101,Int_rate_movements,2,TRUE)</f>
        <v>3.5000000000000003E-2</v>
      </c>
      <c r="M106" s="28">
        <f>L106+VLOOKUP(Rawdata!K101,Int_rate_movements,2,TRUE)</f>
        <v>3.5000000000000003E-2</v>
      </c>
      <c r="N106" s="28">
        <f>M106+VLOOKUP(Rawdata!L101,Int_rate_movements,2,TRUE)</f>
        <v>3.5000000000000003E-2</v>
      </c>
      <c r="O106" s="28">
        <f>N106+VLOOKUP(Rawdata!M101,Int_rate_movements,2,TRUE)</f>
        <v>3.5000000000000003E-2</v>
      </c>
      <c r="P106" s="28">
        <f>O106+VLOOKUP(Rawdata!N101,Int_rate_movements,2,TRUE)</f>
        <v>3.5000000000000003E-2</v>
      </c>
      <c r="Q106" s="28">
        <f>P106+VLOOKUP(Rawdata!O101,Int_rate_movements,2,TRUE)</f>
        <v>3.5000000000000003E-2</v>
      </c>
      <c r="R106" s="28">
        <f>Q106+VLOOKUP(Rawdata!P101,Int_rate_movements,2,TRUE)</f>
        <v>3.5000000000000003E-2</v>
      </c>
      <c r="S106" s="28">
        <f>R106+VLOOKUP(Rawdata!Q101,Int_rate_movements,2,TRUE)</f>
        <v>3.5000000000000003E-2</v>
      </c>
      <c r="T106" s="28">
        <f>S106+VLOOKUP(Rawdata!R101,Int_rate_movements,2,TRUE)</f>
        <v>3.5000000000000003E-2</v>
      </c>
      <c r="U106" s="28">
        <f>T106+VLOOKUP(Rawdata!S101,Int_rate_movements,2,TRUE)</f>
        <v>3.5000000000000003E-2</v>
      </c>
      <c r="V106" s="28">
        <f>U106+VLOOKUP(Rawdata!T101,Int_rate_movements,2,TRUE)</f>
        <v>3.5000000000000003E-2</v>
      </c>
      <c r="W106" s="28">
        <f>V106+VLOOKUP(Rawdata!U101,Int_rate_movements,2,TRUE)</f>
        <v>3.5000000000000003E-2</v>
      </c>
      <c r="X106" s="28">
        <f>W106+VLOOKUP(Rawdata!V101,Int_rate_movements,2,TRUE)</f>
        <v>3.0000000000000002E-2</v>
      </c>
      <c r="Y106" s="28">
        <f>X106+VLOOKUP(Rawdata!W101,Int_rate_movements,2,TRUE)</f>
        <v>3.0000000000000002E-2</v>
      </c>
      <c r="Z106" s="35">
        <f>Y106+VLOOKUP(Rawdata!X101,Int_rate_movements,2,TRUE)</f>
        <v>3.0000000000000002E-2</v>
      </c>
      <c r="AA106" s="12"/>
      <c r="AB106" s="55">
        <f t="shared" si="85"/>
        <v>4.4097712805242217E-2</v>
      </c>
      <c r="AC106" s="55">
        <f t="shared" si="86"/>
        <v>4.4097712805242217E-2</v>
      </c>
      <c r="AD106" s="55">
        <f t="shared" si="87"/>
        <v>3.9284877386386974E-2</v>
      </c>
      <c r="AE106" s="55">
        <f t="shared" si="88"/>
        <v>3.9284877386386974E-2</v>
      </c>
      <c r="AF106" s="55">
        <f t="shared" si="89"/>
        <v>3.9284877386386974E-2</v>
      </c>
      <c r="AG106" s="55">
        <f t="shared" si="90"/>
        <v>3.9284877386386974E-2</v>
      </c>
      <c r="AH106" s="55">
        <f t="shared" si="91"/>
        <v>3.4450784628919706E-2</v>
      </c>
      <c r="AI106" s="55">
        <f t="shared" si="92"/>
        <v>3.4450784628919706E-2</v>
      </c>
      <c r="AJ106" s="55">
        <f t="shared" si="93"/>
        <v>3.4450784628919706E-2</v>
      </c>
      <c r="AK106" s="55">
        <f t="shared" si="94"/>
        <v>3.4450784628919706E-2</v>
      </c>
      <c r="AL106" s="55">
        <f t="shared" si="95"/>
        <v>3.4450784628919706E-2</v>
      </c>
      <c r="AM106" s="55">
        <f t="shared" si="96"/>
        <v>3.4450784628919706E-2</v>
      </c>
      <c r="AN106" s="55">
        <f t="shared" si="97"/>
        <v>3.4450784628919706E-2</v>
      </c>
      <c r="AO106" s="55">
        <f t="shared" si="98"/>
        <v>3.4450784628919706E-2</v>
      </c>
      <c r="AP106" s="55">
        <f t="shared" si="99"/>
        <v>3.4450784628919706E-2</v>
      </c>
      <c r="AQ106" s="55">
        <f t="shared" si="100"/>
        <v>3.4450784628919706E-2</v>
      </c>
      <c r="AR106" s="55">
        <f t="shared" si="101"/>
        <v>3.4450784628919706E-2</v>
      </c>
      <c r="AS106" s="55">
        <f t="shared" si="102"/>
        <v>3.4450784628919706E-2</v>
      </c>
      <c r="AT106" s="55">
        <f t="shared" si="103"/>
        <v>3.4450784628919706E-2</v>
      </c>
      <c r="AU106" s="55">
        <f t="shared" si="104"/>
        <v>3.4450784628919706E-2</v>
      </c>
      <c r="AV106" s="55">
        <f t="shared" si="105"/>
        <v>3.4450784628919706E-2</v>
      </c>
      <c r="AW106" s="55">
        <f t="shared" si="106"/>
        <v>3.4450784628919706E-2</v>
      </c>
      <c r="AX106" s="55">
        <f t="shared" si="107"/>
        <v>2.9595237267644237E-2</v>
      </c>
      <c r="AY106" s="55">
        <f t="shared" si="108"/>
        <v>2.9595237267644237E-2</v>
      </c>
      <c r="AZ106" s="56">
        <f t="shared" si="109"/>
        <v>2.9595237267644237E-2</v>
      </c>
      <c r="BA106" s="11"/>
      <c r="BB106" s="12"/>
      <c r="BC106" s="12"/>
      <c r="BD106" s="13"/>
      <c r="BF106" s="14"/>
      <c r="BG106" s="10"/>
      <c r="BH106" s="11"/>
      <c r="BI106" s="11"/>
      <c r="BJ106" s="11"/>
      <c r="BK106" s="12"/>
      <c r="BL106" s="12"/>
      <c r="BM106" s="13"/>
      <c r="BO106" s="14"/>
      <c r="BP106" s="10"/>
      <c r="BQ106" s="11"/>
      <c r="BR106" s="11"/>
      <c r="BS106" s="11"/>
      <c r="BT106" s="12"/>
      <c r="BU106" s="12"/>
      <c r="BV106" s="13"/>
      <c r="BX106" s="14"/>
      <c r="BY106" s="10"/>
      <c r="BZ106" s="11"/>
      <c r="CA106" s="11"/>
      <c r="CB106" s="11"/>
      <c r="CC106" s="12"/>
      <c r="CD106" s="12"/>
      <c r="CE106" s="13"/>
      <c r="CG106" s="14"/>
      <c r="CH106" s="10"/>
      <c r="CI106" s="11"/>
      <c r="CJ106" s="11"/>
      <c r="CK106" s="11"/>
      <c r="CL106" s="12"/>
      <c r="CM106" s="12"/>
      <c r="CN106" s="13"/>
      <c r="CP106" s="13"/>
    </row>
    <row r="107" spans="1:94" x14ac:dyDescent="0.35">
      <c r="A107" s="5">
        <v>100</v>
      </c>
      <c r="B107" s="63">
        <f t="shared" si="84"/>
        <v>4.4999999999999998E-2</v>
      </c>
      <c r="C107" s="28">
        <f>B107+VLOOKUP(Rawdata!A102,Int_rate_movements,2,TRUE)</f>
        <v>4.4999999999999998E-2</v>
      </c>
      <c r="D107" s="28">
        <f>C107+VLOOKUP(Rawdata!B102,Int_rate_movements,2,TRUE)</f>
        <v>4.9999999999999996E-2</v>
      </c>
      <c r="E107" s="28">
        <f>D107+VLOOKUP(Rawdata!C102,Int_rate_movements,2,TRUE)</f>
        <v>4.9999999999999996E-2</v>
      </c>
      <c r="F107" s="28">
        <f>E107+VLOOKUP(Rawdata!D102,Int_rate_movements,2,TRUE)</f>
        <v>4.9999999999999996E-2</v>
      </c>
      <c r="G107" s="28">
        <f>F107+VLOOKUP(Rawdata!E102,Int_rate_movements,2,TRUE)</f>
        <v>4.9999999999999996E-2</v>
      </c>
      <c r="H107" s="28">
        <f>G107+VLOOKUP(Rawdata!F102,Int_rate_movements,2,TRUE)</f>
        <v>4.9999999999999996E-2</v>
      </c>
      <c r="I107" s="28">
        <f>H107+VLOOKUP(Rawdata!G102,Int_rate_movements,2,TRUE)</f>
        <v>4.9999999999999996E-2</v>
      </c>
      <c r="J107" s="28">
        <f>I107+VLOOKUP(Rawdata!H102,Int_rate_movements,2,TRUE)</f>
        <v>4.9999999999999996E-2</v>
      </c>
      <c r="K107" s="28">
        <f>J107+VLOOKUP(Rawdata!I102,Int_rate_movements,2,TRUE)</f>
        <v>4.9999999999999996E-2</v>
      </c>
      <c r="L107" s="28">
        <f>K107+VLOOKUP(Rawdata!J102,Int_rate_movements,2,TRUE)</f>
        <v>4.7499999999999994E-2</v>
      </c>
      <c r="M107" s="28">
        <f>L107+VLOOKUP(Rawdata!K102,Int_rate_movements,2,TRUE)</f>
        <v>4.7499999999999994E-2</v>
      </c>
      <c r="N107" s="28">
        <f>M107+VLOOKUP(Rawdata!L102,Int_rate_movements,2,TRUE)</f>
        <v>4.7499999999999994E-2</v>
      </c>
      <c r="O107" s="28">
        <f>N107+VLOOKUP(Rawdata!M102,Int_rate_movements,2,TRUE)</f>
        <v>4.7499999999999994E-2</v>
      </c>
      <c r="P107" s="28">
        <f>O107+VLOOKUP(Rawdata!N102,Int_rate_movements,2,TRUE)</f>
        <v>4.7499999999999994E-2</v>
      </c>
      <c r="Q107" s="28">
        <f>P107+VLOOKUP(Rawdata!O102,Int_rate_movements,2,TRUE)</f>
        <v>4.7499999999999994E-2</v>
      </c>
      <c r="R107" s="28">
        <f>Q107+VLOOKUP(Rawdata!P102,Int_rate_movements,2,TRUE)</f>
        <v>4.7499999999999994E-2</v>
      </c>
      <c r="S107" s="28">
        <f>R107+VLOOKUP(Rawdata!Q102,Int_rate_movements,2,TRUE)</f>
        <v>4.7499999999999994E-2</v>
      </c>
      <c r="T107" s="28">
        <f>S107+VLOOKUP(Rawdata!R102,Int_rate_movements,2,TRUE)</f>
        <v>4.7499999999999994E-2</v>
      </c>
      <c r="U107" s="28">
        <f>T107+VLOOKUP(Rawdata!S102,Int_rate_movements,2,TRUE)</f>
        <v>4.4999999999999991E-2</v>
      </c>
      <c r="V107" s="28">
        <f>U107+VLOOKUP(Rawdata!T102,Int_rate_movements,2,TRUE)</f>
        <v>4.4999999999999991E-2</v>
      </c>
      <c r="W107" s="28">
        <f>V107+VLOOKUP(Rawdata!U102,Int_rate_movements,2,TRUE)</f>
        <v>4.4999999999999991E-2</v>
      </c>
      <c r="X107" s="28">
        <f>W107+VLOOKUP(Rawdata!V102,Int_rate_movements,2,TRUE)</f>
        <v>4.4999999999999991E-2</v>
      </c>
      <c r="Y107" s="28">
        <f>X107+VLOOKUP(Rawdata!W102,Int_rate_movements,2,TRUE)</f>
        <v>4.4999999999999991E-2</v>
      </c>
      <c r="Z107" s="35">
        <f>Y107+VLOOKUP(Rawdata!X102,Int_rate_movements,2,TRUE)</f>
        <v>4.4999999999999991E-2</v>
      </c>
      <c r="AA107" s="12"/>
      <c r="AB107" s="55">
        <f t="shared" si="85"/>
        <v>4.4097712805242217E-2</v>
      </c>
      <c r="AC107" s="55">
        <f t="shared" si="86"/>
        <v>4.4097712805242217E-2</v>
      </c>
      <c r="AD107" s="55">
        <f t="shared" si="87"/>
        <v>4.8889485403780242E-2</v>
      </c>
      <c r="AE107" s="55">
        <f t="shared" si="88"/>
        <v>4.8889485403780242E-2</v>
      </c>
      <c r="AF107" s="55">
        <f t="shared" si="89"/>
        <v>4.8889485403780242E-2</v>
      </c>
      <c r="AG107" s="55">
        <f t="shared" si="90"/>
        <v>4.8889485403780242E-2</v>
      </c>
      <c r="AH107" s="55">
        <f t="shared" si="91"/>
        <v>4.8889485403780242E-2</v>
      </c>
      <c r="AI107" s="55">
        <f t="shared" si="92"/>
        <v>4.8889485403780242E-2</v>
      </c>
      <c r="AJ107" s="55">
        <f t="shared" si="93"/>
        <v>4.8889485403780242E-2</v>
      </c>
      <c r="AK107" s="55">
        <f t="shared" si="94"/>
        <v>4.8889485403780242E-2</v>
      </c>
      <c r="AL107" s="55">
        <f t="shared" si="95"/>
        <v>4.6496219905550085E-2</v>
      </c>
      <c r="AM107" s="55">
        <f t="shared" si="96"/>
        <v>4.6496219905550085E-2</v>
      </c>
      <c r="AN107" s="55">
        <f t="shared" si="97"/>
        <v>4.6496219905550085E-2</v>
      </c>
      <c r="AO107" s="55">
        <f t="shared" si="98"/>
        <v>4.6496219905550085E-2</v>
      </c>
      <c r="AP107" s="55">
        <f t="shared" si="99"/>
        <v>4.6496219905550085E-2</v>
      </c>
      <c r="AQ107" s="55">
        <f t="shared" si="100"/>
        <v>4.6496219905550085E-2</v>
      </c>
      <c r="AR107" s="55">
        <f t="shared" si="101"/>
        <v>4.6496219905550085E-2</v>
      </c>
      <c r="AS107" s="55">
        <f t="shared" si="102"/>
        <v>4.6496219905550085E-2</v>
      </c>
      <c r="AT107" s="55">
        <f t="shared" si="103"/>
        <v>4.6496219905550085E-2</v>
      </c>
      <c r="AU107" s="55">
        <f t="shared" si="104"/>
        <v>4.4097712805242217E-2</v>
      </c>
      <c r="AV107" s="55">
        <f t="shared" si="105"/>
        <v>4.4097712805242217E-2</v>
      </c>
      <c r="AW107" s="55">
        <f t="shared" si="106"/>
        <v>4.4097712805242217E-2</v>
      </c>
      <c r="AX107" s="55">
        <f t="shared" si="107"/>
        <v>4.4097712805242217E-2</v>
      </c>
      <c r="AY107" s="55">
        <f t="shared" si="108"/>
        <v>4.4097712805242217E-2</v>
      </c>
      <c r="AZ107" s="56">
        <f t="shared" si="109"/>
        <v>4.4097712805242217E-2</v>
      </c>
      <c r="BA107" s="11"/>
      <c r="BB107" s="12"/>
      <c r="BC107" s="12"/>
      <c r="BD107" s="13"/>
      <c r="BF107" s="14"/>
      <c r="BG107" s="10"/>
      <c r="BH107" s="11"/>
      <c r="BI107" s="11"/>
      <c r="BJ107" s="11"/>
      <c r="BK107" s="12"/>
      <c r="BL107" s="12"/>
      <c r="BM107" s="13"/>
      <c r="BO107" s="14"/>
      <c r="BP107" s="10"/>
      <c r="BQ107" s="11"/>
      <c r="BR107" s="11"/>
      <c r="BS107" s="11"/>
      <c r="BT107" s="12"/>
      <c r="BU107" s="12"/>
      <c r="BV107" s="13"/>
      <c r="BX107" s="14"/>
      <c r="BY107" s="10"/>
      <c r="BZ107" s="11"/>
      <c r="CA107" s="11"/>
      <c r="CB107" s="11"/>
      <c r="CC107" s="12"/>
      <c r="CD107" s="12"/>
      <c r="CE107" s="13"/>
      <c r="CG107" s="14"/>
      <c r="CH107" s="10"/>
      <c r="CI107" s="11"/>
      <c r="CJ107" s="11"/>
      <c r="CK107" s="11"/>
      <c r="CL107" s="12"/>
      <c r="CM107" s="12"/>
      <c r="CN107" s="13"/>
      <c r="CP107" s="13"/>
    </row>
    <row r="108" spans="1:94" x14ac:dyDescent="0.35">
      <c r="A108" s="27">
        <v>101</v>
      </c>
      <c r="B108" s="63">
        <f t="shared" si="84"/>
        <v>4.4999999999999998E-2</v>
      </c>
      <c r="C108" s="28">
        <f>B108+VLOOKUP(Rawdata!A103,Int_rate_movements,2,TRUE)</f>
        <v>4.4999999999999998E-2</v>
      </c>
      <c r="D108" s="28">
        <f>C108+VLOOKUP(Rawdata!B103,Int_rate_movements,2,TRUE)</f>
        <v>4.4999999999999998E-2</v>
      </c>
      <c r="E108" s="28">
        <f>D108+VLOOKUP(Rawdata!C103,Int_rate_movements,2,TRUE)</f>
        <v>4.4999999999999998E-2</v>
      </c>
      <c r="F108" s="28">
        <f>E108+VLOOKUP(Rawdata!D103,Int_rate_movements,2,TRUE)</f>
        <v>4.4999999999999998E-2</v>
      </c>
      <c r="G108" s="28">
        <f>F108+VLOOKUP(Rawdata!E103,Int_rate_movements,2,TRUE)</f>
        <v>4.2499999999999996E-2</v>
      </c>
      <c r="H108" s="28">
        <f>G108+VLOOKUP(Rawdata!F103,Int_rate_movements,2,TRUE)</f>
        <v>4.2499999999999996E-2</v>
      </c>
      <c r="I108" s="28">
        <f>H108+VLOOKUP(Rawdata!G103,Int_rate_movements,2,TRUE)</f>
        <v>3.9999999999999994E-2</v>
      </c>
      <c r="J108" s="28">
        <f>I108+VLOOKUP(Rawdata!H103,Int_rate_movements,2,TRUE)</f>
        <v>3.9999999999999994E-2</v>
      </c>
      <c r="K108" s="28">
        <f>J108+VLOOKUP(Rawdata!I103,Int_rate_movements,2,TRUE)</f>
        <v>3.7499999999999992E-2</v>
      </c>
      <c r="L108" s="28">
        <f>K108+VLOOKUP(Rawdata!J103,Int_rate_movements,2,TRUE)</f>
        <v>3.7499999999999992E-2</v>
      </c>
      <c r="M108" s="28">
        <f>L108+VLOOKUP(Rawdata!K103,Int_rate_movements,2,TRUE)</f>
        <v>3.7499999999999992E-2</v>
      </c>
      <c r="N108" s="28">
        <f>M108+VLOOKUP(Rawdata!L103,Int_rate_movements,2,TRUE)</f>
        <v>3.7499999999999992E-2</v>
      </c>
      <c r="O108" s="28">
        <f>N108+VLOOKUP(Rawdata!M103,Int_rate_movements,2,TRUE)</f>
        <v>3.7499999999999992E-2</v>
      </c>
      <c r="P108" s="28">
        <f>O108+VLOOKUP(Rawdata!N103,Int_rate_movements,2,TRUE)</f>
        <v>3.7499999999999992E-2</v>
      </c>
      <c r="Q108" s="28">
        <f>P108+VLOOKUP(Rawdata!O103,Int_rate_movements,2,TRUE)</f>
        <v>3.7499999999999992E-2</v>
      </c>
      <c r="R108" s="28">
        <f>Q108+VLOOKUP(Rawdata!P103,Int_rate_movements,2,TRUE)</f>
        <v>3.7499999999999992E-2</v>
      </c>
      <c r="S108" s="28">
        <f>R108+VLOOKUP(Rawdata!Q103,Int_rate_movements,2,TRUE)</f>
        <v>3.7499999999999992E-2</v>
      </c>
      <c r="T108" s="28">
        <f>S108+VLOOKUP(Rawdata!R103,Int_rate_movements,2,TRUE)</f>
        <v>3.7499999999999992E-2</v>
      </c>
      <c r="U108" s="28">
        <f>T108+VLOOKUP(Rawdata!S103,Int_rate_movements,2,TRUE)</f>
        <v>3.7499999999999992E-2</v>
      </c>
      <c r="V108" s="28">
        <f>U108+VLOOKUP(Rawdata!T103,Int_rate_movements,2,TRUE)</f>
        <v>3.7499999999999992E-2</v>
      </c>
      <c r="W108" s="28">
        <f>V108+VLOOKUP(Rawdata!U103,Int_rate_movements,2,TRUE)</f>
        <v>3.9999999999999994E-2</v>
      </c>
      <c r="X108" s="28">
        <f>W108+VLOOKUP(Rawdata!V103,Int_rate_movements,2,TRUE)</f>
        <v>3.9999999999999994E-2</v>
      </c>
      <c r="Y108" s="28">
        <f>X108+VLOOKUP(Rawdata!W103,Int_rate_movements,2,TRUE)</f>
        <v>3.9999999999999994E-2</v>
      </c>
      <c r="Z108" s="35">
        <f>Y108+VLOOKUP(Rawdata!X103,Int_rate_movements,2,TRUE)</f>
        <v>3.4999999999999996E-2</v>
      </c>
      <c r="AA108" s="12"/>
      <c r="AB108" s="55">
        <f t="shared" si="85"/>
        <v>4.4097712805242217E-2</v>
      </c>
      <c r="AC108" s="55">
        <f t="shared" si="86"/>
        <v>4.4097712805242217E-2</v>
      </c>
      <c r="AD108" s="55">
        <f t="shared" si="87"/>
        <v>4.4097712805242217E-2</v>
      </c>
      <c r="AE108" s="55">
        <f t="shared" si="88"/>
        <v>4.4097712805242217E-2</v>
      </c>
      <c r="AF108" s="55">
        <f t="shared" si="89"/>
        <v>4.4097712805242217E-2</v>
      </c>
      <c r="AG108" s="55">
        <f t="shared" si="90"/>
        <v>4.1693940041970023E-2</v>
      </c>
      <c r="AH108" s="55">
        <f t="shared" si="91"/>
        <v>4.1693940041970023E-2</v>
      </c>
      <c r="AI108" s="55">
        <f t="shared" si="92"/>
        <v>3.9284877386386974E-2</v>
      </c>
      <c r="AJ108" s="55">
        <f t="shared" si="93"/>
        <v>3.9284877386386974E-2</v>
      </c>
      <c r="AK108" s="55">
        <f t="shared" si="94"/>
        <v>3.6870500439066589E-2</v>
      </c>
      <c r="AL108" s="55">
        <f t="shared" si="95"/>
        <v>3.6870500439066589E-2</v>
      </c>
      <c r="AM108" s="55">
        <f t="shared" si="96"/>
        <v>3.6870500439066589E-2</v>
      </c>
      <c r="AN108" s="55">
        <f t="shared" si="97"/>
        <v>3.6870500439066589E-2</v>
      </c>
      <c r="AO108" s="55">
        <f t="shared" si="98"/>
        <v>3.6870500439066589E-2</v>
      </c>
      <c r="AP108" s="55">
        <f t="shared" si="99"/>
        <v>3.6870500439066589E-2</v>
      </c>
      <c r="AQ108" s="55">
        <f t="shared" si="100"/>
        <v>3.6870500439066589E-2</v>
      </c>
      <c r="AR108" s="55">
        <f t="shared" si="101"/>
        <v>3.6870500439066589E-2</v>
      </c>
      <c r="AS108" s="55">
        <f t="shared" si="102"/>
        <v>3.6870500439066589E-2</v>
      </c>
      <c r="AT108" s="55">
        <f t="shared" si="103"/>
        <v>3.6870500439066589E-2</v>
      </c>
      <c r="AU108" s="55">
        <f t="shared" si="104"/>
        <v>3.6870500439066589E-2</v>
      </c>
      <c r="AV108" s="55">
        <f t="shared" si="105"/>
        <v>3.6870500439066589E-2</v>
      </c>
      <c r="AW108" s="55">
        <f t="shared" si="106"/>
        <v>3.9284877386386974E-2</v>
      </c>
      <c r="AX108" s="55">
        <f t="shared" si="107"/>
        <v>3.9284877386386974E-2</v>
      </c>
      <c r="AY108" s="55">
        <f t="shared" si="108"/>
        <v>3.9284877386386974E-2</v>
      </c>
      <c r="AZ108" s="56">
        <f t="shared" si="109"/>
        <v>3.4450784628919706E-2</v>
      </c>
      <c r="BA108" s="11"/>
      <c r="BB108" s="12"/>
      <c r="BC108" s="12"/>
      <c r="BD108" s="13"/>
      <c r="BF108" s="14"/>
      <c r="BG108" s="10"/>
      <c r="BH108" s="11"/>
      <c r="BI108" s="11"/>
      <c r="BJ108" s="11"/>
      <c r="BK108" s="12"/>
      <c r="BL108" s="12"/>
      <c r="BM108" s="13"/>
      <c r="BO108" s="14"/>
      <c r="BP108" s="10"/>
      <c r="BQ108" s="11"/>
      <c r="BR108" s="11"/>
      <c r="BS108" s="11"/>
      <c r="BT108" s="12"/>
      <c r="BU108" s="12"/>
      <c r="BV108" s="13"/>
      <c r="BX108" s="14"/>
      <c r="BY108" s="10"/>
      <c r="BZ108" s="11"/>
      <c r="CA108" s="11"/>
      <c r="CB108" s="11"/>
      <c r="CC108" s="12"/>
      <c r="CD108" s="12"/>
      <c r="CE108" s="13"/>
      <c r="CG108" s="14"/>
      <c r="CH108" s="10"/>
      <c r="CI108" s="11"/>
      <c r="CJ108" s="11"/>
      <c r="CK108" s="11"/>
      <c r="CL108" s="12"/>
      <c r="CM108" s="12"/>
      <c r="CN108" s="13"/>
      <c r="CP108" s="13"/>
    </row>
    <row r="109" spans="1:94" x14ac:dyDescent="0.35">
      <c r="A109" s="5">
        <v>102</v>
      </c>
      <c r="B109" s="63">
        <f t="shared" si="84"/>
        <v>4.4999999999999998E-2</v>
      </c>
      <c r="C109" s="28">
        <f>B109+VLOOKUP(Rawdata!A104,Int_rate_movements,2,TRUE)</f>
        <v>4.4999999999999998E-2</v>
      </c>
      <c r="D109" s="28">
        <f>C109+VLOOKUP(Rawdata!B104,Int_rate_movements,2,TRUE)</f>
        <v>4.4999999999999998E-2</v>
      </c>
      <c r="E109" s="28">
        <f>D109+VLOOKUP(Rawdata!C104,Int_rate_movements,2,TRUE)</f>
        <v>4.4999999999999998E-2</v>
      </c>
      <c r="F109" s="28">
        <f>E109+VLOOKUP(Rawdata!D104,Int_rate_movements,2,TRUE)</f>
        <v>4.4999999999999998E-2</v>
      </c>
      <c r="G109" s="28">
        <f>F109+VLOOKUP(Rawdata!E104,Int_rate_movements,2,TRUE)</f>
        <v>4.4999999999999998E-2</v>
      </c>
      <c r="H109" s="28">
        <f>G109+VLOOKUP(Rawdata!F104,Int_rate_movements,2,TRUE)</f>
        <v>4.4999999999999998E-2</v>
      </c>
      <c r="I109" s="28">
        <f>H109+VLOOKUP(Rawdata!G104,Int_rate_movements,2,TRUE)</f>
        <v>4.4999999999999998E-2</v>
      </c>
      <c r="J109" s="28">
        <f>I109+VLOOKUP(Rawdata!H104,Int_rate_movements,2,TRUE)</f>
        <v>4.4999999999999998E-2</v>
      </c>
      <c r="K109" s="28">
        <f>J109+VLOOKUP(Rawdata!I104,Int_rate_movements,2,TRUE)</f>
        <v>4.4999999999999998E-2</v>
      </c>
      <c r="L109" s="28">
        <f>K109+VLOOKUP(Rawdata!J104,Int_rate_movements,2,TRUE)</f>
        <v>4.4999999999999998E-2</v>
      </c>
      <c r="M109" s="28">
        <f>L109+VLOOKUP(Rawdata!K104,Int_rate_movements,2,TRUE)</f>
        <v>4.4999999999999998E-2</v>
      </c>
      <c r="N109" s="28">
        <f>M109+VLOOKUP(Rawdata!L104,Int_rate_movements,2,TRUE)</f>
        <v>4.4999999999999998E-2</v>
      </c>
      <c r="O109" s="28">
        <f>N109+VLOOKUP(Rawdata!M104,Int_rate_movements,2,TRUE)</f>
        <v>4.4999999999999998E-2</v>
      </c>
      <c r="P109" s="28">
        <f>O109+VLOOKUP(Rawdata!N104,Int_rate_movements,2,TRUE)</f>
        <v>4.4999999999999998E-2</v>
      </c>
      <c r="Q109" s="28">
        <f>P109+VLOOKUP(Rawdata!O104,Int_rate_movements,2,TRUE)</f>
        <v>4.4999999999999998E-2</v>
      </c>
      <c r="R109" s="28">
        <f>Q109+VLOOKUP(Rawdata!P104,Int_rate_movements,2,TRUE)</f>
        <v>4.4999999999999998E-2</v>
      </c>
      <c r="S109" s="28">
        <f>R109+VLOOKUP(Rawdata!Q104,Int_rate_movements,2,TRUE)</f>
        <v>4.4999999999999998E-2</v>
      </c>
      <c r="T109" s="28">
        <f>S109+VLOOKUP(Rawdata!R104,Int_rate_movements,2,TRUE)</f>
        <v>4.4999999999999998E-2</v>
      </c>
      <c r="U109" s="28">
        <f>T109+VLOOKUP(Rawdata!S104,Int_rate_movements,2,TRUE)</f>
        <v>0.04</v>
      </c>
      <c r="V109" s="28">
        <f>U109+VLOOKUP(Rawdata!T104,Int_rate_movements,2,TRUE)</f>
        <v>0.04</v>
      </c>
      <c r="W109" s="28">
        <f>V109+VLOOKUP(Rawdata!U104,Int_rate_movements,2,TRUE)</f>
        <v>0.04</v>
      </c>
      <c r="X109" s="28">
        <f>W109+VLOOKUP(Rawdata!V104,Int_rate_movements,2,TRUE)</f>
        <v>0.04</v>
      </c>
      <c r="Y109" s="28">
        <f>X109+VLOOKUP(Rawdata!W104,Int_rate_movements,2,TRUE)</f>
        <v>4.4999999999999998E-2</v>
      </c>
      <c r="Z109" s="35">
        <f>Y109+VLOOKUP(Rawdata!X104,Int_rate_movements,2,TRUE)</f>
        <v>4.4999999999999998E-2</v>
      </c>
      <c r="AB109" s="55">
        <f t="shared" si="85"/>
        <v>4.4097712805242217E-2</v>
      </c>
      <c r="AC109" s="55">
        <f t="shared" si="86"/>
        <v>4.4097712805242217E-2</v>
      </c>
      <c r="AD109" s="55">
        <f t="shared" si="87"/>
        <v>4.4097712805242217E-2</v>
      </c>
      <c r="AE109" s="55">
        <f t="shared" si="88"/>
        <v>4.4097712805242217E-2</v>
      </c>
      <c r="AF109" s="55">
        <f t="shared" si="89"/>
        <v>4.4097712805242217E-2</v>
      </c>
      <c r="AG109" s="55">
        <f t="shared" si="90"/>
        <v>4.4097712805242217E-2</v>
      </c>
      <c r="AH109" s="55">
        <f t="shared" si="91"/>
        <v>4.4097712805242217E-2</v>
      </c>
      <c r="AI109" s="55">
        <f t="shared" si="92"/>
        <v>4.4097712805242217E-2</v>
      </c>
      <c r="AJ109" s="55">
        <f t="shared" si="93"/>
        <v>4.4097712805242217E-2</v>
      </c>
      <c r="AK109" s="55">
        <f t="shared" si="94"/>
        <v>4.4097712805242217E-2</v>
      </c>
      <c r="AL109" s="55">
        <f t="shared" si="95"/>
        <v>4.4097712805242217E-2</v>
      </c>
      <c r="AM109" s="55">
        <f t="shared" si="96"/>
        <v>4.4097712805242217E-2</v>
      </c>
      <c r="AN109" s="55">
        <f t="shared" si="97"/>
        <v>4.4097712805242217E-2</v>
      </c>
      <c r="AO109" s="55">
        <f t="shared" si="98"/>
        <v>4.4097712805242217E-2</v>
      </c>
      <c r="AP109" s="55">
        <f t="shared" si="99"/>
        <v>4.4097712805242217E-2</v>
      </c>
      <c r="AQ109" s="55">
        <f t="shared" si="100"/>
        <v>4.4097712805242217E-2</v>
      </c>
      <c r="AR109" s="55">
        <f t="shared" si="101"/>
        <v>4.4097712805242217E-2</v>
      </c>
      <c r="AS109" s="55">
        <f t="shared" si="102"/>
        <v>4.4097712805242217E-2</v>
      </c>
      <c r="AT109" s="55">
        <f t="shared" si="103"/>
        <v>4.4097712805242217E-2</v>
      </c>
      <c r="AU109" s="55">
        <f t="shared" si="104"/>
        <v>3.9284877386386974E-2</v>
      </c>
      <c r="AV109" s="55">
        <f t="shared" si="105"/>
        <v>3.9284877386386974E-2</v>
      </c>
      <c r="AW109" s="55">
        <f t="shared" si="106"/>
        <v>3.9284877386386974E-2</v>
      </c>
      <c r="AX109" s="55">
        <f t="shared" si="107"/>
        <v>3.9284877386386974E-2</v>
      </c>
      <c r="AY109" s="55">
        <f t="shared" si="108"/>
        <v>4.4097712805242217E-2</v>
      </c>
      <c r="AZ109" s="56">
        <f t="shared" si="109"/>
        <v>4.4097712805242217E-2</v>
      </c>
    </row>
    <row r="110" spans="1:94" x14ac:dyDescent="0.35">
      <c r="A110" s="27">
        <v>103</v>
      </c>
      <c r="B110" s="63">
        <f t="shared" si="84"/>
        <v>4.4999999999999998E-2</v>
      </c>
      <c r="C110" s="28">
        <f>B110+VLOOKUP(Rawdata!A105,Int_rate_movements,2,TRUE)</f>
        <v>4.4999999999999998E-2</v>
      </c>
      <c r="D110" s="28">
        <f>C110+VLOOKUP(Rawdata!B105,Int_rate_movements,2,TRUE)</f>
        <v>4.4999999999999998E-2</v>
      </c>
      <c r="E110" s="28">
        <f>D110+VLOOKUP(Rawdata!C105,Int_rate_movements,2,TRUE)</f>
        <v>4.4999999999999998E-2</v>
      </c>
      <c r="F110" s="28">
        <f>E110+VLOOKUP(Rawdata!D105,Int_rate_movements,2,TRUE)</f>
        <v>4.4999999999999998E-2</v>
      </c>
      <c r="G110" s="28">
        <f>F110+VLOOKUP(Rawdata!E105,Int_rate_movements,2,TRUE)</f>
        <v>4.4999999999999998E-2</v>
      </c>
      <c r="H110" s="28">
        <f>G110+VLOOKUP(Rawdata!F105,Int_rate_movements,2,TRUE)</f>
        <v>4.7500000000000001E-2</v>
      </c>
      <c r="I110" s="28">
        <f>H110+VLOOKUP(Rawdata!G105,Int_rate_movements,2,TRUE)</f>
        <v>4.7500000000000001E-2</v>
      </c>
      <c r="J110" s="28">
        <f>I110+VLOOKUP(Rawdata!H105,Int_rate_movements,2,TRUE)</f>
        <v>4.7500000000000001E-2</v>
      </c>
      <c r="K110" s="28">
        <f>J110+VLOOKUP(Rawdata!I105,Int_rate_movements,2,TRUE)</f>
        <v>4.7500000000000001E-2</v>
      </c>
      <c r="L110" s="28">
        <f>K110+VLOOKUP(Rawdata!J105,Int_rate_movements,2,TRUE)</f>
        <v>0.05</v>
      </c>
      <c r="M110" s="28">
        <f>L110+VLOOKUP(Rawdata!K105,Int_rate_movements,2,TRUE)</f>
        <v>0.05</v>
      </c>
      <c r="N110" s="28">
        <f>M110+VLOOKUP(Rawdata!L105,Int_rate_movements,2,TRUE)</f>
        <v>0.05</v>
      </c>
      <c r="O110" s="28">
        <f>N110+VLOOKUP(Rawdata!M105,Int_rate_movements,2,TRUE)</f>
        <v>0.05</v>
      </c>
      <c r="P110" s="28">
        <f>O110+VLOOKUP(Rawdata!N105,Int_rate_movements,2,TRUE)</f>
        <v>0.05</v>
      </c>
      <c r="Q110" s="28">
        <f>P110+VLOOKUP(Rawdata!O105,Int_rate_movements,2,TRUE)</f>
        <v>0.05</v>
      </c>
      <c r="R110" s="28">
        <f>Q110+VLOOKUP(Rawdata!P105,Int_rate_movements,2,TRUE)</f>
        <v>0.05</v>
      </c>
      <c r="S110" s="28">
        <f>R110+VLOOKUP(Rawdata!Q105,Int_rate_movements,2,TRUE)</f>
        <v>0.05</v>
      </c>
      <c r="T110" s="28">
        <f>S110+VLOOKUP(Rawdata!R105,Int_rate_movements,2,TRUE)</f>
        <v>0.05</v>
      </c>
      <c r="U110" s="28">
        <f>T110+VLOOKUP(Rawdata!S105,Int_rate_movements,2,TRUE)</f>
        <v>0.05</v>
      </c>
      <c r="V110" s="28">
        <f>U110+VLOOKUP(Rawdata!T105,Int_rate_movements,2,TRUE)</f>
        <v>4.7500000000000001E-2</v>
      </c>
      <c r="W110" s="28">
        <f>V110+VLOOKUP(Rawdata!U105,Int_rate_movements,2,TRUE)</f>
        <v>4.7500000000000001E-2</v>
      </c>
      <c r="X110" s="28">
        <f>W110+VLOOKUP(Rawdata!V105,Int_rate_movements,2,TRUE)</f>
        <v>4.7500000000000001E-2</v>
      </c>
      <c r="Y110" s="28">
        <f>X110+VLOOKUP(Rawdata!W105,Int_rate_movements,2,TRUE)</f>
        <v>5.2499999999999998E-2</v>
      </c>
      <c r="Z110" s="35">
        <f>Y110+VLOOKUP(Rawdata!X105,Int_rate_movements,2,TRUE)</f>
        <v>5.2499999999999998E-2</v>
      </c>
      <c r="AB110" s="55">
        <f t="shared" si="85"/>
        <v>4.4097712805242217E-2</v>
      </c>
      <c r="AC110" s="55">
        <f t="shared" si="86"/>
        <v>4.4097712805242217E-2</v>
      </c>
      <c r="AD110" s="55">
        <f t="shared" si="87"/>
        <v>4.4097712805242217E-2</v>
      </c>
      <c r="AE110" s="55">
        <f t="shared" si="88"/>
        <v>4.4097712805242217E-2</v>
      </c>
      <c r="AF110" s="55">
        <f t="shared" si="89"/>
        <v>4.4097712805242217E-2</v>
      </c>
      <c r="AG110" s="55">
        <f t="shared" si="90"/>
        <v>4.4097712805242217E-2</v>
      </c>
      <c r="AH110" s="55">
        <f t="shared" si="91"/>
        <v>4.6496219905550085E-2</v>
      </c>
      <c r="AI110" s="55">
        <f t="shared" si="92"/>
        <v>4.6496219905550085E-2</v>
      </c>
      <c r="AJ110" s="55">
        <f t="shared" si="93"/>
        <v>4.6496219905550085E-2</v>
      </c>
      <c r="AK110" s="55">
        <f t="shared" si="94"/>
        <v>4.6496219905550085E-2</v>
      </c>
      <c r="AL110" s="55">
        <f t="shared" si="95"/>
        <v>4.8889485403780242E-2</v>
      </c>
      <c r="AM110" s="55">
        <f t="shared" si="96"/>
        <v>4.8889485403780242E-2</v>
      </c>
      <c r="AN110" s="55">
        <f t="shared" si="97"/>
        <v>4.8889485403780242E-2</v>
      </c>
      <c r="AO110" s="55">
        <f t="shared" si="98"/>
        <v>4.8889485403780242E-2</v>
      </c>
      <c r="AP110" s="55">
        <f t="shared" si="99"/>
        <v>4.8889485403780242E-2</v>
      </c>
      <c r="AQ110" s="55">
        <f t="shared" si="100"/>
        <v>4.8889485403780242E-2</v>
      </c>
      <c r="AR110" s="55">
        <f t="shared" si="101"/>
        <v>4.8889485403780242E-2</v>
      </c>
      <c r="AS110" s="55">
        <f t="shared" si="102"/>
        <v>4.8889485403780242E-2</v>
      </c>
      <c r="AT110" s="55">
        <f t="shared" si="103"/>
        <v>4.8889485403780242E-2</v>
      </c>
      <c r="AU110" s="55">
        <f t="shared" si="104"/>
        <v>4.8889485403780242E-2</v>
      </c>
      <c r="AV110" s="55">
        <f t="shared" si="105"/>
        <v>4.6496219905550085E-2</v>
      </c>
      <c r="AW110" s="55">
        <f t="shared" si="106"/>
        <v>4.6496219905550085E-2</v>
      </c>
      <c r="AX110" s="55">
        <f t="shared" si="107"/>
        <v>4.6496219905550085E-2</v>
      </c>
      <c r="AY110" s="55">
        <f t="shared" si="108"/>
        <v>5.1277533193896829E-2</v>
      </c>
      <c r="AZ110" s="56">
        <f t="shared" si="109"/>
        <v>5.1277533193896829E-2</v>
      </c>
    </row>
    <row r="111" spans="1:94" x14ac:dyDescent="0.35">
      <c r="A111" s="5">
        <v>104</v>
      </c>
      <c r="B111" s="63">
        <f t="shared" si="84"/>
        <v>4.4999999999999998E-2</v>
      </c>
      <c r="C111" s="28">
        <f>B111+VLOOKUP(Rawdata!A106,Int_rate_movements,2,TRUE)</f>
        <v>4.7500000000000001E-2</v>
      </c>
      <c r="D111" s="28">
        <f>C111+VLOOKUP(Rawdata!B106,Int_rate_movements,2,TRUE)</f>
        <v>4.7500000000000001E-2</v>
      </c>
      <c r="E111" s="28">
        <f>D111+VLOOKUP(Rawdata!C106,Int_rate_movements,2,TRUE)</f>
        <v>4.7500000000000001E-2</v>
      </c>
      <c r="F111" s="28">
        <f>E111+VLOOKUP(Rawdata!D106,Int_rate_movements,2,TRUE)</f>
        <v>4.7500000000000001E-2</v>
      </c>
      <c r="G111" s="28">
        <f>F111+VLOOKUP(Rawdata!E106,Int_rate_movements,2,TRUE)</f>
        <v>4.7500000000000001E-2</v>
      </c>
      <c r="H111" s="28">
        <f>G111+VLOOKUP(Rawdata!F106,Int_rate_movements,2,TRUE)</f>
        <v>4.7500000000000001E-2</v>
      </c>
      <c r="I111" s="28">
        <f>H111+VLOOKUP(Rawdata!G106,Int_rate_movements,2,TRUE)</f>
        <v>4.2500000000000003E-2</v>
      </c>
      <c r="J111" s="28">
        <f>I111+VLOOKUP(Rawdata!H106,Int_rate_movements,2,TRUE)</f>
        <v>4.2500000000000003E-2</v>
      </c>
      <c r="K111" s="28">
        <f>J111+VLOOKUP(Rawdata!I106,Int_rate_movements,2,TRUE)</f>
        <v>4.2500000000000003E-2</v>
      </c>
      <c r="L111" s="28">
        <f>K111+VLOOKUP(Rawdata!J106,Int_rate_movements,2,TRUE)</f>
        <v>4.2500000000000003E-2</v>
      </c>
      <c r="M111" s="28">
        <f>L111+VLOOKUP(Rawdata!K106,Int_rate_movements,2,TRUE)</f>
        <v>4.2500000000000003E-2</v>
      </c>
      <c r="N111" s="28">
        <f>M111+VLOOKUP(Rawdata!L106,Int_rate_movements,2,TRUE)</f>
        <v>4.2500000000000003E-2</v>
      </c>
      <c r="O111" s="28">
        <f>N111+VLOOKUP(Rawdata!M106,Int_rate_movements,2,TRUE)</f>
        <v>4.2500000000000003E-2</v>
      </c>
      <c r="P111" s="28">
        <f>O111+VLOOKUP(Rawdata!N106,Int_rate_movements,2,TRUE)</f>
        <v>3.7500000000000006E-2</v>
      </c>
      <c r="Q111" s="28">
        <f>P111+VLOOKUP(Rawdata!O106,Int_rate_movements,2,TRUE)</f>
        <v>4.2500000000000003E-2</v>
      </c>
      <c r="R111" s="28">
        <f>Q111+VLOOKUP(Rawdata!P106,Int_rate_movements,2,TRUE)</f>
        <v>4.2500000000000003E-2</v>
      </c>
      <c r="S111" s="28">
        <f>R111+VLOOKUP(Rawdata!Q106,Int_rate_movements,2,TRUE)</f>
        <v>4.2500000000000003E-2</v>
      </c>
      <c r="T111" s="28">
        <f>S111+VLOOKUP(Rawdata!R106,Int_rate_movements,2,TRUE)</f>
        <v>4.2500000000000003E-2</v>
      </c>
      <c r="U111" s="28">
        <f>T111+VLOOKUP(Rawdata!S106,Int_rate_movements,2,TRUE)</f>
        <v>4.2500000000000003E-2</v>
      </c>
      <c r="V111" s="28">
        <f>U111+VLOOKUP(Rawdata!T106,Int_rate_movements,2,TRUE)</f>
        <v>4.2500000000000003E-2</v>
      </c>
      <c r="W111" s="28">
        <f>V111+VLOOKUP(Rawdata!U106,Int_rate_movements,2,TRUE)</f>
        <v>4.2500000000000003E-2</v>
      </c>
      <c r="X111" s="28">
        <f>W111+VLOOKUP(Rawdata!V106,Int_rate_movements,2,TRUE)</f>
        <v>4.5000000000000005E-2</v>
      </c>
      <c r="Y111" s="28">
        <f>X111+VLOOKUP(Rawdata!W106,Int_rate_movements,2,TRUE)</f>
        <v>4.5000000000000005E-2</v>
      </c>
      <c r="Z111" s="35">
        <f>Y111+VLOOKUP(Rawdata!X106,Int_rate_movements,2,TRUE)</f>
        <v>4.5000000000000005E-2</v>
      </c>
      <c r="AB111" s="55">
        <f t="shared" si="85"/>
        <v>4.4097712805242217E-2</v>
      </c>
      <c r="AC111" s="55">
        <f t="shared" si="86"/>
        <v>4.6496219905550085E-2</v>
      </c>
      <c r="AD111" s="55">
        <f t="shared" si="87"/>
        <v>4.6496219905550085E-2</v>
      </c>
      <c r="AE111" s="55">
        <f t="shared" si="88"/>
        <v>4.6496219905550085E-2</v>
      </c>
      <c r="AF111" s="55">
        <f t="shared" si="89"/>
        <v>4.6496219905550085E-2</v>
      </c>
      <c r="AG111" s="55">
        <f t="shared" si="90"/>
        <v>4.6496219905550085E-2</v>
      </c>
      <c r="AH111" s="55">
        <f t="shared" si="91"/>
        <v>4.6496219905550085E-2</v>
      </c>
      <c r="AI111" s="55">
        <f t="shared" si="92"/>
        <v>4.1693940041970023E-2</v>
      </c>
      <c r="AJ111" s="55">
        <f t="shared" si="93"/>
        <v>4.1693940041970023E-2</v>
      </c>
      <c r="AK111" s="55">
        <f t="shared" si="94"/>
        <v>4.1693940041970023E-2</v>
      </c>
      <c r="AL111" s="55">
        <f t="shared" si="95"/>
        <v>4.1693940041970023E-2</v>
      </c>
      <c r="AM111" s="55">
        <f t="shared" si="96"/>
        <v>4.1693940041970023E-2</v>
      </c>
      <c r="AN111" s="55">
        <f t="shared" si="97"/>
        <v>4.1693940041970023E-2</v>
      </c>
      <c r="AO111" s="55">
        <f t="shared" si="98"/>
        <v>4.1693940041970023E-2</v>
      </c>
      <c r="AP111" s="55">
        <f t="shared" si="99"/>
        <v>3.6870500439066589E-2</v>
      </c>
      <c r="AQ111" s="55">
        <f t="shared" si="100"/>
        <v>4.1693940041970023E-2</v>
      </c>
      <c r="AR111" s="55">
        <f t="shared" si="101"/>
        <v>4.1693940041970023E-2</v>
      </c>
      <c r="AS111" s="55">
        <f t="shared" si="102"/>
        <v>4.1693940041970023E-2</v>
      </c>
      <c r="AT111" s="55">
        <f t="shared" si="103"/>
        <v>4.1693940041970023E-2</v>
      </c>
      <c r="AU111" s="55">
        <f t="shared" si="104"/>
        <v>4.1693940041970023E-2</v>
      </c>
      <c r="AV111" s="55">
        <f t="shared" si="105"/>
        <v>4.1693940041970023E-2</v>
      </c>
      <c r="AW111" s="55">
        <f t="shared" si="106"/>
        <v>4.1693940041970023E-2</v>
      </c>
      <c r="AX111" s="55">
        <f t="shared" si="107"/>
        <v>4.4097712805242217E-2</v>
      </c>
      <c r="AY111" s="55">
        <f t="shared" si="108"/>
        <v>4.4097712805242217E-2</v>
      </c>
      <c r="AZ111" s="56">
        <f t="shared" si="109"/>
        <v>4.4097712805242217E-2</v>
      </c>
    </row>
    <row r="112" spans="1:94" x14ac:dyDescent="0.35">
      <c r="A112" s="27">
        <v>105</v>
      </c>
      <c r="B112" s="63">
        <f t="shared" si="84"/>
        <v>4.4999999999999998E-2</v>
      </c>
      <c r="C112" s="28">
        <f>B112+VLOOKUP(Rawdata!A107,Int_rate_movements,2,TRUE)</f>
        <v>4.4999999999999998E-2</v>
      </c>
      <c r="D112" s="28">
        <f>C112+VLOOKUP(Rawdata!B107,Int_rate_movements,2,TRUE)</f>
        <v>4.4999999999999998E-2</v>
      </c>
      <c r="E112" s="28">
        <f>D112+VLOOKUP(Rawdata!C107,Int_rate_movements,2,TRUE)</f>
        <v>4.9999999999999996E-2</v>
      </c>
      <c r="F112" s="28">
        <f>E112+VLOOKUP(Rawdata!D107,Int_rate_movements,2,TRUE)</f>
        <v>4.9999999999999996E-2</v>
      </c>
      <c r="G112" s="28">
        <f>F112+VLOOKUP(Rawdata!E107,Int_rate_movements,2,TRUE)</f>
        <v>4.9999999999999996E-2</v>
      </c>
      <c r="H112" s="28">
        <f>G112+VLOOKUP(Rawdata!F107,Int_rate_movements,2,TRUE)</f>
        <v>5.2499999999999998E-2</v>
      </c>
      <c r="I112" s="28">
        <f>H112+VLOOKUP(Rawdata!G107,Int_rate_movements,2,TRUE)</f>
        <v>5.2499999999999998E-2</v>
      </c>
      <c r="J112" s="28">
        <f>I112+VLOOKUP(Rawdata!H107,Int_rate_movements,2,TRUE)</f>
        <v>5.7499999999999996E-2</v>
      </c>
      <c r="K112" s="28">
        <f>J112+VLOOKUP(Rawdata!I107,Int_rate_movements,2,TRUE)</f>
        <v>5.7499999999999996E-2</v>
      </c>
      <c r="L112" s="28">
        <f>K112+VLOOKUP(Rawdata!J107,Int_rate_movements,2,TRUE)</f>
        <v>5.7499999999999996E-2</v>
      </c>
      <c r="M112" s="28">
        <f>L112+VLOOKUP(Rawdata!K107,Int_rate_movements,2,TRUE)</f>
        <v>5.7499999999999996E-2</v>
      </c>
      <c r="N112" s="28">
        <f>M112+VLOOKUP(Rawdata!L107,Int_rate_movements,2,TRUE)</f>
        <v>5.7499999999999996E-2</v>
      </c>
      <c r="O112" s="28">
        <f>N112+VLOOKUP(Rawdata!M107,Int_rate_movements,2,TRUE)</f>
        <v>5.7499999999999996E-2</v>
      </c>
      <c r="P112" s="28">
        <f>O112+VLOOKUP(Rawdata!N107,Int_rate_movements,2,TRUE)</f>
        <v>5.7499999999999996E-2</v>
      </c>
      <c r="Q112" s="28">
        <f>P112+VLOOKUP(Rawdata!O107,Int_rate_movements,2,TRUE)</f>
        <v>5.7499999999999996E-2</v>
      </c>
      <c r="R112" s="28">
        <f>Q112+VLOOKUP(Rawdata!P107,Int_rate_movements,2,TRUE)</f>
        <v>5.7499999999999996E-2</v>
      </c>
      <c r="S112" s="28">
        <f>R112+VLOOKUP(Rawdata!Q107,Int_rate_movements,2,TRUE)</f>
        <v>5.7499999999999996E-2</v>
      </c>
      <c r="T112" s="28">
        <f>S112+VLOOKUP(Rawdata!R107,Int_rate_movements,2,TRUE)</f>
        <v>5.7499999999999996E-2</v>
      </c>
      <c r="U112" s="28">
        <f>T112+VLOOKUP(Rawdata!S107,Int_rate_movements,2,TRUE)</f>
        <v>5.7499999999999996E-2</v>
      </c>
      <c r="V112" s="28">
        <f>U112+VLOOKUP(Rawdata!T107,Int_rate_movements,2,TRUE)</f>
        <v>5.7499999999999996E-2</v>
      </c>
      <c r="W112" s="28">
        <f>V112+VLOOKUP(Rawdata!U107,Int_rate_movements,2,TRUE)</f>
        <v>5.7499999999999996E-2</v>
      </c>
      <c r="X112" s="28">
        <f>W112+VLOOKUP(Rawdata!V107,Int_rate_movements,2,TRUE)</f>
        <v>5.7499999999999996E-2</v>
      </c>
      <c r="Y112" s="28">
        <f>X112+VLOOKUP(Rawdata!W107,Int_rate_movements,2,TRUE)</f>
        <v>5.4999999999999993E-2</v>
      </c>
      <c r="Z112" s="35">
        <f>Y112+VLOOKUP(Rawdata!X107,Int_rate_movements,2,TRUE)</f>
        <v>5.4999999999999993E-2</v>
      </c>
      <c r="AB112" s="55">
        <f t="shared" si="85"/>
        <v>4.4097712805242217E-2</v>
      </c>
      <c r="AC112" s="55">
        <f t="shared" si="86"/>
        <v>4.4097712805242217E-2</v>
      </c>
      <c r="AD112" s="55">
        <f t="shared" si="87"/>
        <v>4.4097712805242217E-2</v>
      </c>
      <c r="AE112" s="55">
        <f t="shared" si="88"/>
        <v>4.8889485403780242E-2</v>
      </c>
      <c r="AF112" s="55">
        <f t="shared" si="89"/>
        <v>4.8889485403780242E-2</v>
      </c>
      <c r="AG112" s="55">
        <f t="shared" si="90"/>
        <v>4.8889485403780242E-2</v>
      </c>
      <c r="AH112" s="55">
        <f t="shared" si="91"/>
        <v>5.1277533193896829E-2</v>
      </c>
      <c r="AI112" s="55">
        <f t="shared" si="92"/>
        <v>5.1277533193896829E-2</v>
      </c>
      <c r="AJ112" s="55">
        <f t="shared" si="93"/>
        <v>5.603807040042863E-2</v>
      </c>
      <c r="AK112" s="55">
        <f t="shared" si="94"/>
        <v>5.603807040042863E-2</v>
      </c>
      <c r="AL112" s="55">
        <f t="shared" si="95"/>
        <v>5.603807040042863E-2</v>
      </c>
      <c r="AM112" s="55">
        <f t="shared" si="96"/>
        <v>5.603807040042863E-2</v>
      </c>
      <c r="AN112" s="55">
        <f t="shared" si="97"/>
        <v>5.603807040042863E-2</v>
      </c>
      <c r="AO112" s="55">
        <f t="shared" si="98"/>
        <v>5.603807040042863E-2</v>
      </c>
      <c r="AP112" s="55">
        <f t="shared" si="99"/>
        <v>5.603807040042863E-2</v>
      </c>
      <c r="AQ112" s="55">
        <f t="shared" si="100"/>
        <v>5.603807040042863E-2</v>
      </c>
      <c r="AR112" s="55">
        <f t="shared" si="101"/>
        <v>5.603807040042863E-2</v>
      </c>
      <c r="AS112" s="55">
        <f t="shared" si="102"/>
        <v>5.603807040042863E-2</v>
      </c>
      <c r="AT112" s="55">
        <f t="shared" si="103"/>
        <v>5.603807040042863E-2</v>
      </c>
      <c r="AU112" s="55">
        <f t="shared" si="104"/>
        <v>5.603807040042863E-2</v>
      </c>
      <c r="AV112" s="55">
        <f t="shared" si="105"/>
        <v>5.603807040042863E-2</v>
      </c>
      <c r="AW112" s="55">
        <f t="shared" si="106"/>
        <v>5.603807040042863E-2</v>
      </c>
      <c r="AX112" s="55">
        <f t="shared" si="107"/>
        <v>5.603807040042863E-2</v>
      </c>
      <c r="AY112" s="55">
        <f t="shared" si="108"/>
        <v>5.3660387004516252E-2</v>
      </c>
      <c r="AZ112" s="56">
        <f t="shared" si="109"/>
        <v>5.3660387004516252E-2</v>
      </c>
    </row>
    <row r="113" spans="1:52" x14ac:dyDescent="0.35">
      <c r="A113" s="5">
        <v>106</v>
      </c>
      <c r="B113" s="63">
        <f t="shared" si="84"/>
        <v>4.4999999999999998E-2</v>
      </c>
      <c r="C113" s="28">
        <f>B113+VLOOKUP(Rawdata!A108,Int_rate_movements,2,TRUE)</f>
        <v>4.4999999999999998E-2</v>
      </c>
      <c r="D113" s="28">
        <f>C113+VLOOKUP(Rawdata!B108,Int_rate_movements,2,TRUE)</f>
        <v>4.4999999999999998E-2</v>
      </c>
      <c r="E113" s="28">
        <f>D113+VLOOKUP(Rawdata!C108,Int_rate_movements,2,TRUE)</f>
        <v>4.4999999999999998E-2</v>
      </c>
      <c r="F113" s="28">
        <f>E113+VLOOKUP(Rawdata!D108,Int_rate_movements,2,TRUE)</f>
        <v>4.4999999999999998E-2</v>
      </c>
      <c r="G113" s="28">
        <f>F113+VLOOKUP(Rawdata!E108,Int_rate_movements,2,TRUE)</f>
        <v>4.4999999999999998E-2</v>
      </c>
      <c r="H113" s="28">
        <f>G113+VLOOKUP(Rawdata!F108,Int_rate_movements,2,TRUE)</f>
        <v>4.4999999999999998E-2</v>
      </c>
      <c r="I113" s="28">
        <f>H113+VLOOKUP(Rawdata!G108,Int_rate_movements,2,TRUE)</f>
        <v>4.9999999999999996E-2</v>
      </c>
      <c r="J113" s="28">
        <f>I113+VLOOKUP(Rawdata!H108,Int_rate_movements,2,TRUE)</f>
        <v>4.9999999999999996E-2</v>
      </c>
      <c r="K113" s="28">
        <f>J113+VLOOKUP(Rawdata!I108,Int_rate_movements,2,TRUE)</f>
        <v>4.9999999999999996E-2</v>
      </c>
      <c r="L113" s="28">
        <f>K113+VLOOKUP(Rawdata!J108,Int_rate_movements,2,TRUE)</f>
        <v>4.9999999999999996E-2</v>
      </c>
      <c r="M113" s="28">
        <f>L113+VLOOKUP(Rawdata!K108,Int_rate_movements,2,TRUE)</f>
        <v>4.9999999999999996E-2</v>
      </c>
      <c r="N113" s="28">
        <f>M113+VLOOKUP(Rawdata!L108,Int_rate_movements,2,TRUE)</f>
        <v>4.7499999999999994E-2</v>
      </c>
      <c r="O113" s="28">
        <f>N113+VLOOKUP(Rawdata!M108,Int_rate_movements,2,TRUE)</f>
        <v>4.4999999999999991E-2</v>
      </c>
      <c r="P113" s="28">
        <f>O113+VLOOKUP(Rawdata!N108,Int_rate_movements,2,TRUE)</f>
        <v>4.4999999999999991E-2</v>
      </c>
      <c r="Q113" s="28">
        <f>P113+VLOOKUP(Rawdata!O108,Int_rate_movements,2,TRUE)</f>
        <v>4.4999999999999991E-2</v>
      </c>
      <c r="R113" s="28">
        <f>Q113+VLOOKUP(Rawdata!P108,Int_rate_movements,2,TRUE)</f>
        <v>4.4999999999999991E-2</v>
      </c>
      <c r="S113" s="28">
        <f>R113+VLOOKUP(Rawdata!Q108,Int_rate_movements,2,TRUE)</f>
        <v>4.4999999999999991E-2</v>
      </c>
      <c r="T113" s="28">
        <f>S113+VLOOKUP(Rawdata!R108,Int_rate_movements,2,TRUE)</f>
        <v>4.4999999999999991E-2</v>
      </c>
      <c r="U113" s="28">
        <f>T113+VLOOKUP(Rawdata!S108,Int_rate_movements,2,TRUE)</f>
        <v>4.4999999999999991E-2</v>
      </c>
      <c r="V113" s="28">
        <f>U113+VLOOKUP(Rawdata!T108,Int_rate_movements,2,TRUE)</f>
        <v>4.4999999999999991E-2</v>
      </c>
      <c r="W113" s="28">
        <f>V113+VLOOKUP(Rawdata!U108,Int_rate_movements,2,TRUE)</f>
        <v>4.4999999999999991E-2</v>
      </c>
      <c r="X113" s="28">
        <f>W113+VLOOKUP(Rawdata!V108,Int_rate_movements,2,TRUE)</f>
        <v>4.4999999999999991E-2</v>
      </c>
      <c r="Y113" s="28">
        <f>X113+VLOOKUP(Rawdata!W108,Int_rate_movements,2,TRUE)</f>
        <v>4.4999999999999991E-2</v>
      </c>
      <c r="Z113" s="35">
        <f>Y113+VLOOKUP(Rawdata!X108,Int_rate_movements,2,TRUE)</f>
        <v>4.4999999999999991E-2</v>
      </c>
      <c r="AB113" s="55">
        <f t="shared" si="85"/>
        <v>4.4097712805242217E-2</v>
      </c>
      <c r="AC113" s="55">
        <f t="shared" si="86"/>
        <v>4.4097712805242217E-2</v>
      </c>
      <c r="AD113" s="55">
        <f t="shared" si="87"/>
        <v>4.4097712805242217E-2</v>
      </c>
      <c r="AE113" s="55">
        <f t="shared" si="88"/>
        <v>4.4097712805242217E-2</v>
      </c>
      <c r="AF113" s="55">
        <f t="shared" si="89"/>
        <v>4.4097712805242217E-2</v>
      </c>
      <c r="AG113" s="55">
        <f t="shared" si="90"/>
        <v>4.4097712805242217E-2</v>
      </c>
      <c r="AH113" s="55">
        <f t="shared" si="91"/>
        <v>4.4097712805242217E-2</v>
      </c>
      <c r="AI113" s="55">
        <f t="shared" si="92"/>
        <v>4.8889485403780242E-2</v>
      </c>
      <c r="AJ113" s="55">
        <f t="shared" si="93"/>
        <v>4.8889485403780242E-2</v>
      </c>
      <c r="AK113" s="55">
        <f t="shared" si="94"/>
        <v>4.8889485403780242E-2</v>
      </c>
      <c r="AL113" s="55">
        <f t="shared" si="95"/>
        <v>4.8889485403780242E-2</v>
      </c>
      <c r="AM113" s="55">
        <f t="shared" si="96"/>
        <v>4.8889485403780242E-2</v>
      </c>
      <c r="AN113" s="55">
        <f t="shared" si="97"/>
        <v>4.6496219905550085E-2</v>
      </c>
      <c r="AO113" s="55">
        <f t="shared" si="98"/>
        <v>4.4097712805242217E-2</v>
      </c>
      <c r="AP113" s="55">
        <f t="shared" si="99"/>
        <v>4.4097712805242217E-2</v>
      </c>
      <c r="AQ113" s="55">
        <f t="shared" si="100"/>
        <v>4.4097712805242217E-2</v>
      </c>
      <c r="AR113" s="55">
        <f t="shared" si="101"/>
        <v>4.4097712805242217E-2</v>
      </c>
      <c r="AS113" s="55">
        <f t="shared" si="102"/>
        <v>4.4097712805242217E-2</v>
      </c>
      <c r="AT113" s="55">
        <f t="shared" si="103"/>
        <v>4.4097712805242217E-2</v>
      </c>
      <c r="AU113" s="55">
        <f t="shared" si="104"/>
        <v>4.4097712805242217E-2</v>
      </c>
      <c r="AV113" s="55">
        <f t="shared" si="105"/>
        <v>4.4097712805242217E-2</v>
      </c>
      <c r="AW113" s="55">
        <f t="shared" si="106"/>
        <v>4.4097712805242217E-2</v>
      </c>
      <c r="AX113" s="55">
        <f t="shared" si="107"/>
        <v>4.4097712805242217E-2</v>
      </c>
      <c r="AY113" s="55">
        <f t="shared" si="108"/>
        <v>4.4097712805242217E-2</v>
      </c>
      <c r="AZ113" s="56">
        <f t="shared" si="109"/>
        <v>4.4097712805242217E-2</v>
      </c>
    </row>
    <row r="114" spans="1:52" x14ac:dyDescent="0.35">
      <c r="A114" s="27">
        <v>107</v>
      </c>
      <c r="B114" s="63">
        <f t="shared" si="84"/>
        <v>4.4999999999999998E-2</v>
      </c>
      <c r="C114" s="28">
        <f>B114+VLOOKUP(Rawdata!A109,Int_rate_movements,2,TRUE)</f>
        <v>4.4999999999999998E-2</v>
      </c>
      <c r="D114" s="28">
        <f>C114+VLOOKUP(Rawdata!B109,Int_rate_movements,2,TRUE)</f>
        <v>4.4999999999999998E-2</v>
      </c>
      <c r="E114" s="28">
        <f>D114+VLOOKUP(Rawdata!C109,Int_rate_movements,2,TRUE)</f>
        <v>0.04</v>
      </c>
      <c r="F114" s="28">
        <f>E114+VLOOKUP(Rawdata!D109,Int_rate_movements,2,TRUE)</f>
        <v>0.04</v>
      </c>
      <c r="G114" s="28">
        <f>F114+VLOOKUP(Rawdata!E109,Int_rate_movements,2,TRUE)</f>
        <v>0.04</v>
      </c>
      <c r="H114" s="28">
        <f>G114+VLOOKUP(Rawdata!F109,Int_rate_movements,2,TRUE)</f>
        <v>0.04</v>
      </c>
      <c r="I114" s="28">
        <f>H114+VLOOKUP(Rawdata!G109,Int_rate_movements,2,TRUE)</f>
        <v>0.04</v>
      </c>
      <c r="J114" s="28">
        <f>I114+VLOOKUP(Rawdata!H109,Int_rate_movements,2,TRUE)</f>
        <v>0.04</v>
      </c>
      <c r="K114" s="28">
        <f>J114+VLOOKUP(Rawdata!I109,Int_rate_movements,2,TRUE)</f>
        <v>0.04</v>
      </c>
      <c r="L114" s="28">
        <f>K114+VLOOKUP(Rawdata!J109,Int_rate_movements,2,TRUE)</f>
        <v>0.04</v>
      </c>
      <c r="M114" s="28">
        <f>L114+VLOOKUP(Rawdata!K109,Int_rate_movements,2,TRUE)</f>
        <v>0.04</v>
      </c>
      <c r="N114" s="28">
        <f>M114+VLOOKUP(Rawdata!L109,Int_rate_movements,2,TRUE)</f>
        <v>0.04</v>
      </c>
      <c r="O114" s="28">
        <f>N114+VLOOKUP(Rawdata!M109,Int_rate_movements,2,TRUE)</f>
        <v>4.2500000000000003E-2</v>
      </c>
      <c r="P114" s="28">
        <f>O114+VLOOKUP(Rawdata!N109,Int_rate_movements,2,TRUE)</f>
        <v>4.5000000000000005E-2</v>
      </c>
      <c r="Q114" s="28">
        <f>P114+VLOOKUP(Rawdata!O109,Int_rate_movements,2,TRUE)</f>
        <v>4.5000000000000005E-2</v>
      </c>
      <c r="R114" s="28">
        <f>Q114+VLOOKUP(Rawdata!P109,Int_rate_movements,2,TRUE)</f>
        <v>4.5000000000000005E-2</v>
      </c>
      <c r="S114" s="28">
        <f>R114+VLOOKUP(Rawdata!Q109,Int_rate_movements,2,TRUE)</f>
        <v>4.5000000000000005E-2</v>
      </c>
      <c r="T114" s="28">
        <f>S114+VLOOKUP(Rawdata!R109,Int_rate_movements,2,TRUE)</f>
        <v>4.5000000000000005E-2</v>
      </c>
      <c r="U114" s="28">
        <f>T114+VLOOKUP(Rawdata!S109,Int_rate_movements,2,TRUE)</f>
        <v>4.5000000000000005E-2</v>
      </c>
      <c r="V114" s="28">
        <f>U114+VLOOKUP(Rawdata!T109,Int_rate_movements,2,TRUE)</f>
        <v>4.5000000000000005E-2</v>
      </c>
      <c r="W114" s="28">
        <f>V114+VLOOKUP(Rawdata!U109,Int_rate_movements,2,TRUE)</f>
        <v>4.5000000000000005E-2</v>
      </c>
      <c r="X114" s="28">
        <f>W114+VLOOKUP(Rawdata!V109,Int_rate_movements,2,TRUE)</f>
        <v>4.5000000000000005E-2</v>
      </c>
      <c r="Y114" s="28">
        <f>X114+VLOOKUP(Rawdata!W109,Int_rate_movements,2,TRUE)</f>
        <v>4.5000000000000005E-2</v>
      </c>
      <c r="Z114" s="35">
        <f>Y114+VLOOKUP(Rawdata!X109,Int_rate_movements,2,TRUE)</f>
        <v>4.5000000000000005E-2</v>
      </c>
      <c r="AB114" s="55">
        <f t="shared" si="85"/>
        <v>4.4097712805242217E-2</v>
      </c>
      <c r="AC114" s="55">
        <f t="shared" si="86"/>
        <v>4.4097712805242217E-2</v>
      </c>
      <c r="AD114" s="55">
        <f t="shared" si="87"/>
        <v>4.4097712805242217E-2</v>
      </c>
      <c r="AE114" s="55">
        <f t="shared" si="88"/>
        <v>3.9284877386386974E-2</v>
      </c>
      <c r="AF114" s="55">
        <f t="shared" si="89"/>
        <v>3.9284877386386974E-2</v>
      </c>
      <c r="AG114" s="55">
        <f t="shared" si="90"/>
        <v>3.9284877386386974E-2</v>
      </c>
      <c r="AH114" s="55">
        <f t="shared" si="91"/>
        <v>3.9284877386386974E-2</v>
      </c>
      <c r="AI114" s="55">
        <f t="shared" si="92"/>
        <v>3.9284877386386974E-2</v>
      </c>
      <c r="AJ114" s="55">
        <f t="shared" si="93"/>
        <v>3.9284877386386974E-2</v>
      </c>
      <c r="AK114" s="55">
        <f t="shared" si="94"/>
        <v>3.9284877386386974E-2</v>
      </c>
      <c r="AL114" s="55">
        <f t="shared" si="95"/>
        <v>3.9284877386386974E-2</v>
      </c>
      <c r="AM114" s="55">
        <f t="shared" si="96"/>
        <v>3.9284877386386974E-2</v>
      </c>
      <c r="AN114" s="55">
        <f t="shared" si="97"/>
        <v>3.9284877386386974E-2</v>
      </c>
      <c r="AO114" s="55">
        <f t="shared" si="98"/>
        <v>4.1693940041970023E-2</v>
      </c>
      <c r="AP114" s="55">
        <f t="shared" si="99"/>
        <v>4.4097712805242217E-2</v>
      </c>
      <c r="AQ114" s="55">
        <f t="shared" si="100"/>
        <v>4.4097712805242217E-2</v>
      </c>
      <c r="AR114" s="55">
        <f t="shared" si="101"/>
        <v>4.4097712805242217E-2</v>
      </c>
      <c r="AS114" s="55">
        <f t="shared" si="102"/>
        <v>4.4097712805242217E-2</v>
      </c>
      <c r="AT114" s="55">
        <f t="shared" si="103"/>
        <v>4.4097712805242217E-2</v>
      </c>
      <c r="AU114" s="55">
        <f t="shared" si="104"/>
        <v>4.4097712805242217E-2</v>
      </c>
      <c r="AV114" s="55">
        <f t="shared" si="105"/>
        <v>4.4097712805242217E-2</v>
      </c>
      <c r="AW114" s="55">
        <f t="shared" si="106"/>
        <v>4.4097712805242217E-2</v>
      </c>
      <c r="AX114" s="55">
        <f t="shared" si="107"/>
        <v>4.4097712805242217E-2</v>
      </c>
      <c r="AY114" s="55">
        <f t="shared" si="108"/>
        <v>4.4097712805242217E-2</v>
      </c>
      <c r="AZ114" s="56">
        <f t="shared" si="109"/>
        <v>4.4097712805242217E-2</v>
      </c>
    </row>
    <row r="115" spans="1:52" x14ac:dyDescent="0.35">
      <c r="A115" s="5">
        <v>108</v>
      </c>
      <c r="B115" s="63">
        <f t="shared" si="84"/>
        <v>4.4999999999999998E-2</v>
      </c>
      <c r="C115" s="28">
        <f>B115+VLOOKUP(Rawdata!A110,Int_rate_movements,2,TRUE)</f>
        <v>4.4999999999999998E-2</v>
      </c>
      <c r="D115" s="28">
        <f>C115+VLOOKUP(Rawdata!B110,Int_rate_movements,2,TRUE)</f>
        <v>4.9999999999999996E-2</v>
      </c>
      <c r="E115" s="28">
        <f>D115+VLOOKUP(Rawdata!C110,Int_rate_movements,2,TRUE)</f>
        <v>4.9999999999999996E-2</v>
      </c>
      <c r="F115" s="28">
        <f>E115+VLOOKUP(Rawdata!D110,Int_rate_movements,2,TRUE)</f>
        <v>4.9999999999999996E-2</v>
      </c>
      <c r="G115" s="28">
        <f>F115+VLOOKUP(Rawdata!E110,Int_rate_movements,2,TRUE)</f>
        <v>4.9999999999999996E-2</v>
      </c>
      <c r="H115" s="28">
        <f>G115+VLOOKUP(Rawdata!F110,Int_rate_movements,2,TRUE)</f>
        <v>4.9999999999999996E-2</v>
      </c>
      <c r="I115" s="28">
        <f>H115+VLOOKUP(Rawdata!G110,Int_rate_movements,2,TRUE)</f>
        <v>4.9999999999999996E-2</v>
      </c>
      <c r="J115" s="28">
        <f>I115+VLOOKUP(Rawdata!H110,Int_rate_movements,2,TRUE)</f>
        <v>4.9999999999999996E-2</v>
      </c>
      <c r="K115" s="28">
        <f>J115+VLOOKUP(Rawdata!I110,Int_rate_movements,2,TRUE)</f>
        <v>4.9999999999999996E-2</v>
      </c>
      <c r="L115" s="28">
        <f>K115+VLOOKUP(Rawdata!J110,Int_rate_movements,2,TRUE)</f>
        <v>4.9999999999999996E-2</v>
      </c>
      <c r="M115" s="28">
        <f>L115+VLOOKUP(Rawdata!K110,Int_rate_movements,2,TRUE)</f>
        <v>4.9999999999999996E-2</v>
      </c>
      <c r="N115" s="28">
        <f>M115+VLOOKUP(Rawdata!L110,Int_rate_movements,2,TRUE)</f>
        <v>4.9999999999999996E-2</v>
      </c>
      <c r="O115" s="28">
        <f>N115+VLOOKUP(Rawdata!M110,Int_rate_movements,2,TRUE)</f>
        <v>4.9999999999999996E-2</v>
      </c>
      <c r="P115" s="28">
        <f>O115+VLOOKUP(Rawdata!N110,Int_rate_movements,2,TRUE)</f>
        <v>5.2499999999999998E-2</v>
      </c>
      <c r="Q115" s="28">
        <f>P115+VLOOKUP(Rawdata!O110,Int_rate_movements,2,TRUE)</f>
        <v>5.2499999999999998E-2</v>
      </c>
      <c r="R115" s="28">
        <f>Q115+VLOOKUP(Rawdata!P110,Int_rate_movements,2,TRUE)</f>
        <v>5.2499999999999998E-2</v>
      </c>
      <c r="S115" s="28">
        <f>R115+VLOOKUP(Rawdata!Q110,Int_rate_movements,2,TRUE)</f>
        <v>5.2499999999999998E-2</v>
      </c>
      <c r="T115" s="28">
        <f>S115+VLOOKUP(Rawdata!R110,Int_rate_movements,2,TRUE)</f>
        <v>5.2499999999999998E-2</v>
      </c>
      <c r="U115" s="28">
        <f>T115+VLOOKUP(Rawdata!S110,Int_rate_movements,2,TRUE)</f>
        <v>5.2499999999999998E-2</v>
      </c>
      <c r="V115" s="28">
        <f>U115+VLOOKUP(Rawdata!T110,Int_rate_movements,2,TRUE)</f>
        <v>5.2499999999999998E-2</v>
      </c>
      <c r="W115" s="28">
        <f>V115+VLOOKUP(Rawdata!U110,Int_rate_movements,2,TRUE)</f>
        <v>5.2499999999999998E-2</v>
      </c>
      <c r="X115" s="28">
        <f>W115+VLOOKUP(Rawdata!V110,Int_rate_movements,2,TRUE)</f>
        <v>4.9999999999999996E-2</v>
      </c>
      <c r="Y115" s="28">
        <f>X115+VLOOKUP(Rawdata!W110,Int_rate_movements,2,TRUE)</f>
        <v>4.9999999999999996E-2</v>
      </c>
      <c r="Z115" s="35">
        <f>Y115+VLOOKUP(Rawdata!X110,Int_rate_movements,2,TRUE)</f>
        <v>4.9999999999999996E-2</v>
      </c>
      <c r="AB115" s="55">
        <f t="shared" si="85"/>
        <v>4.4097712805242217E-2</v>
      </c>
      <c r="AC115" s="55">
        <f t="shared" si="86"/>
        <v>4.4097712805242217E-2</v>
      </c>
      <c r="AD115" s="55">
        <f t="shared" si="87"/>
        <v>4.8889485403780242E-2</v>
      </c>
      <c r="AE115" s="55">
        <f t="shared" si="88"/>
        <v>4.8889485403780242E-2</v>
      </c>
      <c r="AF115" s="55">
        <f t="shared" si="89"/>
        <v>4.8889485403780242E-2</v>
      </c>
      <c r="AG115" s="55">
        <f t="shared" si="90"/>
        <v>4.8889485403780242E-2</v>
      </c>
      <c r="AH115" s="55">
        <f t="shared" si="91"/>
        <v>4.8889485403780242E-2</v>
      </c>
      <c r="AI115" s="55">
        <f t="shared" si="92"/>
        <v>4.8889485403780242E-2</v>
      </c>
      <c r="AJ115" s="55">
        <f t="shared" si="93"/>
        <v>4.8889485403780242E-2</v>
      </c>
      <c r="AK115" s="55">
        <f t="shared" si="94"/>
        <v>4.8889485403780242E-2</v>
      </c>
      <c r="AL115" s="55">
        <f t="shared" si="95"/>
        <v>4.8889485403780242E-2</v>
      </c>
      <c r="AM115" s="55">
        <f t="shared" si="96"/>
        <v>4.8889485403780242E-2</v>
      </c>
      <c r="AN115" s="55">
        <f t="shared" si="97"/>
        <v>4.8889485403780242E-2</v>
      </c>
      <c r="AO115" s="55">
        <f t="shared" si="98"/>
        <v>4.8889485403780242E-2</v>
      </c>
      <c r="AP115" s="55">
        <f t="shared" si="99"/>
        <v>5.1277533193896829E-2</v>
      </c>
      <c r="AQ115" s="55">
        <f t="shared" si="100"/>
        <v>5.1277533193896829E-2</v>
      </c>
      <c r="AR115" s="55">
        <f t="shared" si="101"/>
        <v>5.1277533193896829E-2</v>
      </c>
      <c r="AS115" s="55">
        <f t="shared" si="102"/>
        <v>5.1277533193896829E-2</v>
      </c>
      <c r="AT115" s="55">
        <f t="shared" si="103"/>
        <v>5.1277533193896829E-2</v>
      </c>
      <c r="AU115" s="55">
        <f t="shared" si="104"/>
        <v>5.1277533193896829E-2</v>
      </c>
      <c r="AV115" s="55">
        <f t="shared" si="105"/>
        <v>5.1277533193896829E-2</v>
      </c>
      <c r="AW115" s="55">
        <f t="shared" si="106"/>
        <v>5.1277533193896829E-2</v>
      </c>
      <c r="AX115" s="55">
        <f t="shared" si="107"/>
        <v>4.8889485403780242E-2</v>
      </c>
      <c r="AY115" s="55">
        <f t="shared" si="108"/>
        <v>4.8889485403780242E-2</v>
      </c>
      <c r="AZ115" s="56">
        <f t="shared" si="109"/>
        <v>4.8889485403780242E-2</v>
      </c>
    </row>
    <row r="116" spans="1:52" x14ac:dyDescent="0.35">
      <c r="A116" s="27">
        <v>109</v>
      </c>
      <c r="B116" s="63">
        <f t="shared" si="84"/>
        <v>4.4999999999999998E-2</v>
      </c>
      <c r="C116" s="28">
        <f>B116+VLOOKUP(Rawdata!A111,Int_rate_movements,2,TRUE)</f>
        <v>0.04</v>
      </c>
      <c r="D116" s="28">
        <f>C116+VLOOKUP(Rawdata!B111,Int_rate_movements,2,TRUE)</f>
        <v>0.04</v>
      </c>
      <c r="E116" s="28">
        <f>D116+VLOOKUP(Rawdata!C111,Int_rate_movements,2,TRUE)</f>
        <v>0.04</v>
      </c>
      <c r="F116" s="28">
        <f>E116+VLOOKUP(Rawdata!D111,Int_rate_movements,2,TRUE)</f>
        <v>0.04</v>
      </c>
      <c r="G116" s="28">
        <f>F116+VLOOKUP(Rawdata!E111,Int_rate_movements,2,TRUE)</f>
        <v>0.04</v>
      </c>
      <c r="H116" s="28">
        <f>G116+VLOOKUP(Rawdata!F111,Int_rate_movements,2,TRUE)</f>
        <v>0.04</v>
      </c>
      <c r="I116" s="28">
        <f>H116+VLOOKUP(Rawdata!G111,Int_rate_movements,2,TRUE)</f>
        <v>0.04</v>
      </c>
      <c r="J116" s="28">
        <f>I116+VLOOKUP(Rawdata!H111,Int_rate_movements,2,TRUE)</f>
        <v>0.04</v>
      </c>
      <c r="K116" s="28">
        <f>J116+VLOOKUP(Rawdata!I111,Int_rate_movements,2,TRUE)</f>
        <v>0.04</v>
      </c>
      <c r="L116" s="28">
        <f>K116+VLOOKUP(Rawdata!J111,Int_rate_movements,2,TRUE)</f>
        <v>0.04</v>
      </c>
      <c r="M116" s="28">
        <f>L116+VLOOKUP(Rawdata!K111,Int_rate_movements,2,TRUE)</f>
        <v>4.4999999999999998E-2</v>
      </c>
      <c r="N116" s="28">
        <f>M116+VLOOKUP(Rawdata!L111,Int_rate_movements,2,TRUE)</f>
        <v>4.4999999999999998E-2</v>
      </c>
      <c r="O116" s="28">
        <f>N116+VLOOKUP(Rawdata!M111,Int_rate_movements,2,TRUE)</f>
        <v>4.4999999999999998E-2</v>
      </c>
      <c r="P116" s="28">
        <f>O116+VLOOKUP(Rawdata!N111,Int_rate_movements,2,TRUE)</f>
        <v>4.4999999999999998E-2</v>
      </c>
      <c r="Q116" s="28">
        <f>P116+VLOOKUP(Rawdata!O111,Int_rate_movements,2,TRUE)</f>
        <v>4.4999999999999998E-2</v>
      </c>
      <c r="R116" s="28">
        <f>Q116+VLOOKUP(Rawdata!P111,Int_rate_movements,2,TRUE)</f>
        <v>4.4999999999999998E-2</v>
      </c>
      <c r="S116" s="28">
        <f>R116+VLOOKUP(Rawdata!Q111,Int_rate_movements,2,TRUE)</f>
        <v>4.4999999999999998E-2</v>
      </c>
      <c r="T116" s="28">
        <f>S116+VLOOKUP(Rawdata!R111,Int_rate_movements,2,TRUE)</f>
        <v>4.4999999999999998E-2</v>
      </c>
      <c r="U116" s="28">
        <f>T116+VLOOKUP(Rawdata!S111,Int_rate_movements,2,TRUE)</f>
        <v>4.4999999999999998E-2</v>
      </c>
      <c r="V116" s="28">
        <f>U116+VLOOKUP(Rawdata!T111,Int_rate_movements,2,TRUE)</f>
        <v>0.04</v>
      </c>
      <c r="W116" s="28">
        <f>V116+VLOOKUP(Rawdata!U111,Int_rate_movements,2,TRUE)</f>
        <v>0.04</v>
      </c>
      <c r="X116" s="28">
        <f>W116+VLOOKUP(Rawdata!V111,Int_rate_movements,2,TRUE)</f>
        <v>0.04</v>
      </c>
      <c r="Y116" s="28">
        <f>X116+VLOOKUP(Rawdata!W111,Int_rate_movements,2,TRUE)</f>
        <v>0.04</v>
      </c>
      <c r="Z116" s="35">
        <f>Y116+VLOOKUP(Rawdata!X111,Int_rate_movements,2,TRUE)</f>
        <v>0.04</v>
      </c>
      <c r="AB116" s="55">
        <f t="shared" si="85"/>
        <v>4.4097712805242217E-2</v>
      </c>
      <c r="AC116" s="55">
        <f t="shared" si="86"/>
        <v>3.9284877386386974E-2</v>
      </c>
      <c r="AD116" s="55">
        <f t="shared" si="87"/>
        <v>3.9284877386386974E-2</v>
      </c>
      <c r="AE116" s="55">
        <f t="shared" si="88"/>
        <v>3.9284877386386974E-2</v>
      </c>
      <c r="AF116" s="55">
        <f t="shared" si="89"/>
        <v>3.9284877386386974E-2</v>
      </c>
      <c r="AG116" s="55">
        <f t="shared" si="90"/>
        <v>3.9284877386386974E-2</v>
      </c>
      <c r="AH116" s="55">
        <f t="shared" si="91"/>
        <v>3.9284877386386974E-2</v>
      </c>
      <c r="AI116" s="55">
        <f t="shared" si="92"/>
        <v>3.9284877386386974E-2</v>
      </c>
      <c r="AJ116" s="55">
        <f t="shared" si="93"/>
        <v>3.9284877386386974E-2</v>
      </c>
      <c r="AK116" s="55">
        <f t="shared" si="94"/>
        <v>3.9284877386386974E-2</v>
      </c>
      <c r="AL116" s="55">
        <f t="shared" si="95"/>
        <v>3.9284877386386974E-2</v>
      </c>
      <c r="AM116" s="55">
        <f t="shared" si="96"/>
        <v>4.4097712805242217E-2</v>
      </c>
      <c r="AN116" s="55">
        <f t="shared" si="97"/>
        <v>4.4097712805242217E-2</v>
      </c>
      <c r="AO116" s="55">
        <f t="shared" si="98"/>
        <v>4.4097712805242217E-2</v>
      </c>
      <c r="AP116" s="55">
        <f t="shared" si="99"/>
        <v>4.4097712805242217E-2</v>
      </c>
      <c r="AQ116" s="55">
        <f t="shared" si="100"/>
        <v>4.4097712805242217E-2</v>
      </c>
      <c r="AR116" s="55">
        <f t="shared" si="101"/>
        <v>4.4097712805242217E-2</v>
      </c>
      <c r="AS116" s="55">
        <f t="shared" si="102"/>
        <v>4.4097712805242217E-2</v>
      </c>
      <c r="AT116" s="55">
        <f t="shared" si="103"/>
        <v>4.4097712805242217E-2</v>
      </c>
      <c r="AU116" s="55">
        <f t="shared" si="104"/>
        <v>4.4097712805242217E-2</v>
      </c>
      <c r="AV116" s="55">
        <f t="shared" si="105"/>
        <v>3.9284877386386974E-2</v>
      </c>
      <c r="AW116" s="55">
        <f t="shared" si="106"/>
        <v>3.9284877386386974E-2</v>
      </c>
      <c r="AX116" s="55">
        <f t="shared" si="107"/>
        <v>3.9284877386386974E-2</v>
      </c>
      <c r="AY116" s="55">
        <f t="shared" si="108"/>
        <v>3.9284877386386974E-2</v>
      </c>
      <c r="AZ116" s="56">
        <f t="shared" si="109"/>
        <v>3.9284877386386974E-2</v>
      </c>
    </row>
    <row r="117" spans="1:52" x14ac:dyDescent="0.35">
      <c r="A117" s="5">
        <v>110</v>
      </c>
      <c r="B117" s="63">
        <f t="shared" si="84"/>
        <v>4.4999999999999998E-2</v>
      </c>
      <c r="C117" s="28">
        <f>B117+VLOOKUP(Rawdata!A112,Int_rate_movements,2,TRUE)</f>
        <v>4.4999999999999998E-2</v>
      </c>
      <c r="D117" s="28">
        <f>C117+VLOOKUP(Rawdata!B112,Int_rate_movements,2,TRUE)</f>
        <v>4.4999999999999998E-2</v>
      </c>
      <c r="E117" s="28">
        <f>D117+VLOOKUP(Rawdata!C112,Int_rate_movements,2,TRUE)</f>
        <v>4.4999999999999998E-2</v>
      </c>
      <c r="F117" s="28">
        <f>E117+VLOOKUP(Rawdata!D112,Int_rate_movements,2,TRUE)</f>
        <v>4.7500000000000001E-2</v>
      </c>
      <c r="G117" s="28">
        <f>F117+VLOOKUP(Rawdata!E112,Int_rate_movements,2,TRUE)</f>
        <v>4.7500000000000001E-2</v>
      </c>
      <c r="H117" s="28">
        <f>G117+VLOOKUP(Rawdata!F112,Int_rate_movements,2,TRUE)</f>
        <v>4.7500000000000001E-2</v>
      </c>
      <c r="I117" s="28">
        <f>H117+VLOOKUP(Rawdata!G112,Int_rate_movements,2,TRUE)</f>
        <v>4.7500000000000001E-2</v>
      </c>
      <c r="J117" s="28">
        <f>I117+VLOOKUP(Rawdata!H112,Int_rate_movements,2,TRUE)</f>
        <v>4.7500000000000001E-2</v>
      </c>
      <c r="K117" s="28">
        <f>J117+VLOOKUP(Rawdata!I112,Int_rate_movements,2,TRUE)</f>
        <v>4.7500000000000001E-2</v>
      </c>
      <c r="L117" s="28">
        <f>K117+VLOOKUP(Rawdata!J112,Int_rate_movements,2,TRUE)</f>
        <v>4.7500000000000001E-2</v>
      </c>
      <c r="M117" s="28">
        <f>L117+VLOOKUP(Rawdata!K112,Int_rate_movements,2,TRUE)</f>
        <v>4.2500000000000003E-2</v>
      </c>
      <c r="N117" s="28">
        <f>M117+VLOOKUP(Rawdata!L112,Int_rate_movements,2,TRUE)</f>
        <v>4.2500000000000003E-2</v>
      </c>
      <c r="O117" s="28">
        <f>N117+VLOOKUP(Rawdata!M112,Int_rate_movements,2,TRUE)</f>
        <v>4.2500000000000003E-2</v>
      </c>
      <c r="P117" s="28">
        <f>O117+VLOOKUP(Rawdata!N112,Int_rate_movements,2,TRUE)</f>
        <v>4.5000000000000005E-2</v>
      </c>
      <c r="Q117" s="28">
        <f>P117+VLOOKUP(Rawdata!O112,Int_rate_movements,2,TRUE)</f>
        <v>4.5000000000000005E-2</v>
      </c>
      <c r="R117" s="28">
        <f>Q117+VLOOKUP(Rawdata!P112,Int_rate_movements,2,TRUE)</f>
        <v>4.0000000000000008E-2</v>
      </c>
      <c r="S117" s="28">
        <f>R117+VLOOKUP(Rawdata!Q112,Int_rate_movements,2,TRUE)</f>
        <v>4.0000000000000008E-2</v>
      </c>
      <c r="T117" s="28">
        <f>S117+VLOOKUP(Rawdata!R112,Int_rate_movements,2,TRUE)</f>
        <v>3.500000000000001E-2</v>
      </c>
      <c r="U117" s="28">
        <f>T117+VLOOKUP(Rawdata!S112,Int_rate_movements,2,TRUE)</f>
        <v>3.500000000000001E-2</v>
      </c>
      <c r="V117" s="28">
        <f>U117+VLOOKUP(Rawdata!T112,Int_rate_movements,2,TRUE)</f>
        <v>3.500000000000001E-2</v>
      </c>
      <c r="W117" s="28">
        <f>V117+VLOOKUP(Rawdata!U112,Int_rate_movements,2,TRUE)</f>
        <v>3.500000000000001E-2</v>
      </c>
      <c r="X117" s="28">
        <f>W117+VLOOKUP(Rawdata!V112,Int_rate_movements,2,TRUE)</f>
        <v>3.500000000000001E-2</v>
      </c>
      <c r="Y117" s="28">
        <f>X117+VLOOKUP(Rawdata!W112,Int_rate_movements,2,TRUE)</f>
        <v>3.500000000000001E-2</v>
      </c>
      <c r="Z117" s="35">
        <f>Y117+VLOOKUP(Rawdata!X112,Int_rate_movements,2,TRUE)</f>
        <v>3.500000000000001E-2</v>
      </c>
      <c r="AB117" s="55">
        <f t="shared" si="85"/>
        <v>4.4097712805242217E-2</v>
      </c>
      <c r="AC117" s="55">
        <f t="shared" si="86"/>
        <v>4.4097712805242217E-2</v>
      </c>
      <c r="AD117" s="55">
        <f t="shared" si="87"/>
        <v>4.4097712805242217E-2</v>
      </c>
      <c r="AE117" s="55">
        <f t="shared" si="88"/>
        <v>4.4097712805242217E-2</v>
      </c>
      <c r="AF117" s="55">
        <f t="shared" si="89"/>
        <v>4.6496219905550085E-2</v>
      </c>
      <c r="AG117" s="55">
        <f t="shared" si="90"/>
        <v>4.6496219905550085E-2</v>
      </c>
      <c r="AH117" s="55">
        <f t="shared" si="91"/>
        <v>4.6496219905550085E-2</v>
      </c>
      <c r="AI117" s="55">
        <f t="shared" si="92"/>
        <v>4.6496219905550085E-2</v>
      </c>
      <c r="AJ117" s="55">
        <f t="shared" si="93"/>
        <v>4.6496219905550085E-2</v>
      </c>
      <c r="AK117" s="55">
        <f t="shared" si="94"/>
        <v>4.6496219905550085E-2</v>
      </c>
      <c r="AL117" s="55">
        <f t="shared" si="95"/>
        <v>4.6496219905550085E-2</v>
      </c>
      <c r="AM117" s="55">
        <f t="shared" si="96"/>
        <v>4.1693940041970023E-2</v>
      </c>
      <c r="AN117" s="55">
        <f t="shared" si="97"/>
        <v>4.1693940041970023E-2</v>
      </c>
      <c r="AO117" s="55">
        <f t="shared" si="98"/>
        <v>4.1693940041970023E-2</v>
      </c>
      <c r="AP117" s="55">
        <f t="shared" si="99"/>
        <v>4.4097712805242217E-2</v>
      </c>
      <c r="AQ117" s="55">
        <f t="shared" si="100"/>
        <v>4.4097712805242217E-2</v>
      </c>
      <c r="AR117" s="55">
        <f t="shared" si="101"/>
        <v>3.9284877386386974E-2</v>
      </c>
      <c r="AS117" s="55">
        <f t="shared" si="102"/>
        <v>3.9284877386386974E-2</v>
      </c>
      <c r="AT117" s="55">
        <f t="shared" si="103"/>
        <v>3.4450784628919706E-2</v>
      </c>
      <c r="AU117" s="55">
        <f t="shared" si="104"/>
        <v>3.4450784628919706E-2</v>
      </c>
      <c r="AV117" s="55">
        <f t="shared" si="105"/>
        <v>3.4450784628919706E-2</v>
      </c>
      <c r="AW117" s="55">
        <f t="shared" si="106"/>
        <v>3.4450784628919706E-2</v>
      </c>
      <c r="AX117" s="55">
        <f t="shared" si="107"/>
        <v>3.4450784628919706E-2</v>
      </c>
      <c r="AY117" s="55">
        <f t="shared" si="108"/>
        <v>3.4450784628919706E-2</v>
      </c>
      <c r="AZ117" s="56">
        <f t="shared" si="109"/>
        <v>3.4450784628919706E-2</v>
      </c>
    </row>
    <row r="118" spans="1:52" x14ac:dyDescent="0.35">
      <c r="A118" s="27">
        <v>111</v>
      </c>
      <c r="B118" s="63">
        <f t="shared" si="84"/>
        <v>4.4999999999999998E-2</v>
      </c>
      <c r="C118" s="28">
        <f>B118+VLOOKUP(Rawdata!A113,Int_rate_movements,2,TRUE)</f>
        <v>4.4999999999999998E-2</v>
      </c>
      <c r="D118" s="28">
        <f>C118+VLOOKUP(Rawdata!B113,Int_rate_movements,2,TRUE)</f>
        <v>4.4999999999999998E-2</v>
      </c>
      <c r="E118" s="28">
        <f>D118+VLOOKUP(Rawdata!C113,Int_rate_movements,2,TRUE)</f>
        <v>4.4999999999999998E-2</v>
      </c>
      <c r="F118" s="28">
        <f>E118+VLOOKUP(Rawdata!D113,Int_rate_movements,2,TRUE)</f>
        <v>4.4999999999999998E-2</v>
      </c>
      <c r="G118" s="28">
        <f>F118+VLOOKUP(Rawdata!E113,Int_rate_movements,2,TRUE)</f>
        <v>4.4999999999999998E-2</v>
      </c>
      <c r="H118" s="28">
        <f>G118+VLOOKUP(Rawdata!F113,Int_rate_movements,2,TRUE)</f>
        <v>4.4999999999999998E-2</v>
      </c>
      <c r="I118" s="28">
        <f>H118+VLOOKUP(Rawdata!G113,Int_rate_movements,2,TRUE)</f>
        <v>4.4999999999999998E-2</v>
      </c>
      <c r="J118" s="28">
        <f>I118+VLOOKUP(Rawdata!H113,Int_rate_movements,2,TRUE)</f>
        <v>4.2499999999999996E-2</v>
      </c>
      <c r="K118" s="28">
        <f>J118+VLOOKUP(Rawdata!I113,Int_rate_movements,2,TRUE)</f>
        <v>4.2499999999999996E-2</v>
      </c>
      <c r="L118" s="28">
        <f>K118+VLOOKUP(Rawdata!J113,Int_rate_movements,2,TRUE)</f>
        <v>3.9999999999999994E-2</v>
      </c>
      <c r="M118" s="28">
        <f>L118+VLOOKUP(Rawdata!K113,Int_rate_movements,2,TRUE)</f>
        <v>3.9999999999999994E-2</v>
      </c>
      <c r="N118" s="28">
        <f>M118+VLOOKUP(Rawdata!L113,Int_rate_movements,2,TRUE)</f>
        <v>3.9999999999999994E-2</v>
      </c>
      <c r="O118" s="28">
        <f>N118+VLOOKUP(Rawdata!M113,Int_rate_movements,2,TRUE)</f>
        <v>3.9999999999999994E-2</v>
      </c>
      <c r="P118" s="28">
        <f>O118+VLOOKUP(Rawdata!N113,Int_rate_movements,2,TRUE)</f>
        <v>3.9999999999999994E-2</v>
      </c>
      <c r="Q118" s="28">
        <f>P118+VLOOKUP(Rawdata!O113,Int_rate_movements,2,TRUE)</f>
        <v>3.9999999999999994E-2</v>
      </c>
      <c r="R118" s="28">
        <f>Q118+VLOOKUP(Rawdata!P113,Int_rate_movements,2,TRUE)</f>
        <v>3.4999999999999996E-2</v>
      </c>
      <c r="S118" s="28">
        <f>R118+VLOOKUP(Rawdata!Q113,Int_rate_movements,2,TRUE)</f>
        <v>3.4999999999999996E-2</v>
      </c>
      <c r="T118" s="28">
        <f>S118+VLOOKUP(Rawdata!R113,Int_rate_movements,2,TRUE)</f>
        <v>3.4999999999999996E-2</v>
      </c>
      <c r="U118" s="28">
        <f>T118+VLOOKUP(Rawdata!S113,Int_rate_movements,2,TRUE)</f>
        <v>3.4999999999999996E-2</v>
      </c>
      <c r="V118" s="28">
        <f>U118+VLOOKUP(Rawdata!T113,Int_rate_movements,2,TRUE)</f>
        <v>3.4999999999999996E-2</v>
      </c>
      <c r="W118" s="28">
        <f>V118+VLOOKUP(Rawdata!U113,Int_rate_movements,2,TRUE)</f>
        <v>3.4999999999999996E-2</v>
      </c>
      <c r="X118" s="28">
        <f>W118+VLOOKUP(Rawdata!V113,Int_rate_movements,2,TRUE)</f>
        <v>3.2499999999999994E-2</v>
      </c>
      <c r="Y118" s="28">
        <f>X118+VLOOKUP(Rawdata!W113,Int_rate_movements,2,TRUE)</f>
        <v>3.2499999999999994E-2</v>
      </c>
      <c r="Z118" s="35">
        <f>Y118+VLOOKUP(Rawdata!X113,Int_rate_movements,2,TRUE)</f>
        <v>3.2499999999999994E-2</v>
      </c>
      <c r="AB118" s="55">
        <f t="shared" si="85"/>
        <v>4.4097712805242217E-2</v>
      </c>
      <c r="AC118" s="55">
        <f t="shared" si="86"/>
        <v>4.4097712805242217E-2</v>
      </c>
      <c r="AD118" s="55">
        <f t="shared" si="87"/>
        <v>4.4097712805242217E-2</v>
      </c>
      <c r="AE118" s="55">
        <f t="shared" si="88"/>
        <v>4.4097712805242217E-2</v>
      </c>
      <c r="AF118" s="55">
        <f t="shared" si="89"/>
        <v>4.4097712805242217E-2</v>
      </c>
      <c r="AG118" s="55">
        <f t="shared" si="90"/>
        <v>4.4097712805242217E-2</v>
      </c>
      <c r="AH118" s="55">
        <f t="shared" si="91"/>
        <v>4.4097712805242217E-2</v>
      </c>
      <c r="AI118" s="55">
        <f t="shared" si="92"/>
        <v>4.4097712805242217E-2</v>
      </c>
      <c r="AJ118" s="55">
        <f t="shared" si="93"/>
        <v>4.1693940041970023E-2</v>
      </c>
      <c r="AK118" s="55">
        <f t="shared" si="94"/>
        <v>4.1693940041970023E-2</v>
      </c>
      <c r="AL118" s="55">
        <f t="shared" si="95"/>
        <v>3.9284877386386974E-2</v>
      </c>
      <c r="AM118" s="55">
        <f t="shared" si="96"/>
        <v>3.9284877386386974E-2</v>
      </c>
      <c r="AN118" s="55">
        <f t="shared" si="97"/>
        <v>3.9284877386386974E-2</v>
      </c>
      <c r="AO118" s="55">
        <f t="shared" si="98"/>
        <v>3.9284877386386974E-2</v>
      </c>
      <c r="AP118" s="55">
        <f t="shared" si="99"/>
        <v>3.9284877386386974E-2</v>
      </c>
      <c r="AQ118" s="55">
        <f t="shared" si="100"/>
        <v>3.9284877386386974E-2</v>
      </c>
      <c r="AR118" s="55">
        <f t="shared" si="101"/>
        <v>3.4450784628919706E-2</v>
      </c>
      <c r="AS118" s="55">
        <f t="shared" si="102"/>
        <v>3.4450784628919706E-2</v>
      </c>
      <c r="AT118" s="55">
        <f t="shared" si="103"/>
        <v>3.4450784628919706E-2</v>
      </c>
      <c r="AU118" s="55">
        <f t="shared" si="104"/>
        <v>3.4450784628919706E-2</v>
      </c>
      <c r="AV118" s="55">
        <f t="shared" si="105"/>
        <v>3.4450784628919706E-2</v>
      </c>
      <c r="AW118" s="55">
        <f t="shared" si="106"/>
        <v>3.4450784628919706E-2</v>
      </c>
      <c r="AX118" s="55">
        <f t="shared" si="107"/>
        <v>3.2025705211555788E-2</v>
      </c>
      <c r="AY118" s="55">
        <f t="shared" si="108"/>
        <v>3.2025705211555788E-2</v>
      </c>
      <c r="AZ118" s="56">
        <f t="shared" si="109"/>
        <v>3.2025705211555788E-2</v>
      </c>
    </row>
    <row r="119" spans="1:52" x14ac:dyDescent="0.35">
      <c r="A119" s="5">
        <v>112</v>
      </c>
      <c r="B119" s="63">
        <f t="shared" si="84"/>
        <v>4.4999999999999998E-2</v>
      </c>
      <c r="C119" s="28">
        <f>B119+VLOOKUP(Rawdata!A114,Int_rate_movements,2,TRUE)</f>
        <v>4.4999999999999998E-2</v>
      </c>
      <c r="D119" s="28">
        <f>C119+VLOOKUP(Rawdata!B114,Int_rate_movements,2,TRUE)</f>
        <v>4.4999999999999998E-2</v>
      </c>
      <c r="E119" s="28">
        <f>D119+VLOOKUP(Rawdata!C114,Int_rate_movements,2,TRUE)</f>
        <v>4.4999999999999998E-2</v>
      </c>
      <c r="F119" s="28">
        <f>E119+VLOOKUP(Rawdata!D114,Int_rate_movements,2,TRUE)</f>
        <v>4.4999999999999998E-2</v>
      </c>
      <c r="G119" s="28">
        <f>F119+VLOOKUP(Rawdata!E114,Int_rate_movements,2,TRUE)</f>
        <v>4.4999999999999998E-2</v>
      </c>
      <c r="H119" s="28">
        <f>G119+VLOOKUP(Rawdata!F114,Int_rate_movements,2,TRUE)</f>
        <v>4.4999999999999998E-2</v>
      </c>
      <c r="I119" s="28">
        <f>H119+VLOOKUP(Rawdata!G114,Int_rate_movements,2,TRUE)</f>
        <v>4.4999999999999998E-2</v>
      </c>
      <c r="J119" s="28">
        <f>I119+VLOOKUP(Rawdata!H114,Int_rate_movements,2,TRUE)</f>
        <v>4.4999999999999998E-2</v>
      </c>
      <c r="K119" s="28">
        <f>J119+VLOOKUP(Rawdata!I114,Int_rate_movements,2,TRUE)</f>
        <v>4.4999999999999998E-2</v>
      </c>
      <c r="L119" s="28">
        <f>K119+VLOOKUP(Rawdata!J114,Int_rate_movements,2,TRUE)</f>
        <v>4.4999999999999998E-2</v>
      </c>
      <c r="M119" s="28">
        <f>L119+VLOOKUP(Rawdata!K114,Int_rate_movements,2,TRUE)</f>
        <v>4.4999999999999998E-2</v>
      </c>
      <c r="N119" s="28">
        <f>M119+VLOOKUP(Rawdata!L114,Int_rate_movements,2,TRUE)</f>
        <v>4.4999999999999998E-2</v>
      </c>
      <c r="O119" s="28">
        <f>N119+VLOOKUP(Rawdata!M114,Int_rate_movements,2,TRUE)</f>
        <v>4.7500000000000001E-2</v>
      </c>
      <c r="P119" s="28">
        <f>O119+VLOOKUP(Rawdata!N114,Int_rate_movements,2,TRUE)</f>
        <v>4.7500000000000001E-2</v>
      </c>
      <c r="Q119" s="28">
        <f>P119+VLOOKUP(Rawdata!O114,Int_rate_movements,2,TRUE)</f>
        <v>4.7500000000000001E-2</v>
      </c>
      <c r="R119" s="28">
        <f>Q119+VLOOKUP(Rawdata!P114,Int_rate_movements,2,TRUE)</f>
        <v>4.7500000000000001E-2</v>
      </c>
      <c r="S119" s="28">
        <f>R119+VLOOKUP(Rawdata!Q114,Int_rate_movements,2,TRUE)</f>
        <v>4.7500000000000001E-2</v>
      </c>
      <c r="T119" s="28">
        <f>S119+VLOOKUP(Rawdata!R114,Int_rate_movements,2,TRUE)</f>
        <v>5.2499999999999998E-2</v>
      </c>
      <c r="U119" s="28">
        <f>T119+VLOOKUP(Rawdata!S114,Int_rate_movements,2,TRUE)</f>
        <v>5.2499999999999998E-2</v>
      </c>
      <c r="V119" s="28">
        <f>U119+VLOOKUP(Rawdata!T114,Int_rate_movements,2,TRUE)</f>
        <v>5.2499999999999998E-2</v>
      </c>
      <c r="W119" s="28">
        <f>V119+VLOOKUP(Rawdata!U114,Int_rate_movements,2,TRUE)</f>
        <v>5.2499999999999998E-2</v>
      </c>
      <c r="X119" s="28">
        <f>W119+VLOOKUP(Rawdata!V114,Int_rate_movements,2,TRUE)</f>
        <v>5.2499999999999998E-2</v>
      </c>
      <c r="Y119" s="28">
        <f>X119+VLOOKUP(Rawdata!W114,Int_rate_movements,2,TRUE)</f>
        <v>5.2499999999999998E-2</v>
      </c>
      <c r="Z119" s="35">
        <f>Y119+VLOOKUP(Rawdata!X114,Int_rate_movements,2,TRUE)</f>
        <v>5.2499999999999998E-2</v>
      </c>
      <c r="AB119" s="55">
        <f t="shared" si="85"/>
        <v>4.4097712805242217E-2</v>
      </c>
      <c r="AC119" s="55">
        <f t="shared" si="86"/>
        <v>4.4097712805242217E-2</v>
      </c>
      <c r="AD119" s="55">
        <f t="shared" si="87"/>
        <v>4.4097712805242217E-2</v>
      </c>
      <c r="AE119" s="55">
        <f t="shared" si="88"/>
        <v>4.4097712805242217E-2</v>
      </c>
      <c r="AF119" s="55">
        <f t="shared" si="89"/>
        <v>4.4097712805242217E-2</v>
      </c>
      <c r="AG119" s="55">
        <f t="shared" si="90"/>
        <v>4.4097712805242217E-2</v>
      </c>
      <c r="AH119" s="55">
        <f t="shared" si="91"/>
        <v>4.4097712805242217E-2</v>
      </c>
      <c r="AI119" s="55">
        <f t="shared" si="92"/>
        <v>4.4097712805242217E-2</v>
      </c>
      <c r="AJ119" s="55">
        <f t="shared" si="93"/>
        <v>4.4097712805242217E-2</v>
      </c>
      <c r="AK119" s="55">
        <f t="shared" si="94"/>
        <v>4.4097712805242217E-2</v>
      </c>
      <c r="AL119" s="55">
        <f t="shared" si="95"/>
        <v>4.4097712805242217E-2</v>
      </c>
      <c r="AM119" s="55">
        <f t="shared" si="96"/>
        <v>4.4097712805242217E-2</v>
      </c>
      <c r="AN119" s="55">
        <f t="shared" si="97"/>
        <v>4.4097712805242217E-2</v>
      </c>
      <c r="AO119" s="55">
        <f t="shared" si="98"/>
        <v>4.6496219905550085E-2</v>
      </c>
      <c r="AP119" s="55">
        <f t="shared" si="99"/>
        <v>4.6496219905550085E-2</v>
      </c>
      <c r="AQ119" s="55">
        <f t="shared" si="100"/>
        <v>4.6496219905550085E-2</v>
      </c>
      <c r="AR119" s="55">
        <f t="shared" si="101"/>
        <v>4.6496219905550085E-2</v>
      </c>
      <c r="AS119" s="55">
        <f t="shared" si="102"/>
        <v>4.6496219905550085E-2</v>
      </c>
      <c r="AT119" s="55">
        <f t="shared" si="103"/>
        <v>5.1277533193896829E-2</v>
      </c>
      <c r="AU119" s="55">
        <f t="shared" si="104"/>
        <v>5.1277533193896829E-2</v>
      </c>
      <c r="AV119" s="55">
        <f t="shared" si="105"/>
        <v>5.1277533193896829E-2</v>
      </c>
      <c r="AW119" s="55">
        <f t="shared" si="106"/>
        <v>5.1277533193896829E-2</v>
      </c>
      <c r="AX119" s="55">
        <f t="shared" si="107"/>
        <v>5.1277533193896829E-2</v>
      </c>
      <c r="AY119" s="55">
        <f t="shared" si="108"/>
        <v>5.1277533193896829E-2</v>
      </c>
      <c r="AZ119" s="56">
        <f t="shared" si="109"/>
        <v>5.1277533193896829E-2</v>
      </c>
    </row>
    <row r="120" spans="1:52" x14ac:dyDescent="0.35">
      <c r="A120" s="27">
        <v>113</v>
      </c>
      <c r="B120" s="63">
        <f t="shared" si="84"/>
        <v>4.4999999999999998E-2</v>
      </c>
      <c r="C120" s="28">
        <f>B120+VLOOKUP(Rawdata!A115,Int_rate_movements,2,TRUE)</f>
        <v>4.4999999999999998E-2</v>
      </c>
      <c r="D120" s="28">
        <f>C120+VLOOKUP(Rawdata!B115,Int_rate_movements,2,TRUE)</f>
        <v>4.4999999999999998E-2</v>
      </c>
      <c r="E120" s="28">
        <f>D120+VLOOKUP(Rawdata!C115,Int_rate_movements,2,TRUE)</f>
        <v>4.4999999999999998E-2</v>
      </c>
      <c r="F120" s="28">
        <f>E120+VLOOKUP(Rawdata!D115,Int_rate_movements,2,TRUE)</f>
        <v>4.4999999999999998E-2</v>
      </c>
      <c r="G120" s="28">
        <f>F120+VLOOKUP(Rawdata!E115,Int_rate_movements,2,TRUE)</f>
        <v>4.4999999999999998E-2</v>
      </c>
      <c r="H120" s="28">
        <f>G120+VLOOKUP(Rawdata!F115,Int_rate_movements,2,TRUE)</f>
        <v>4.4999999999999998E-2</v>
      </c>
      <c r="I120" s="28">
        <f>H120+VLOOKUP(Rawdata!G115,Int_rate_movements,2,TRUE)</f>
        <v>4.4999999999999998E-2</v>
      </c>
      <c r="J120" s="28">
        <f>I120+VLOOKUP(Rawdata!H115,Int_rate_movements,2,TRUE)</f>
        <v>4.4999999999999998E-2</v>
      </c>
      <c r="K120" s="28">
        <f>J120+VLOOKUP(Rawdata!I115,Int_rate_movements,2,TRUE)</f>
        <v>4.4999999999999998E-2</v>
      </c>
      <c r="L120" s="28">
        <f>K120+VLOOKUP(Rawdata!J115,Int_rate_movements,2,TRUE)</f>
        <v>4.4999999999999998E-2</v>
      </c>
      <c r="M120" s="28">
        <f>L120+VLOOKUP(Rawdata!K115,Int_rate_movements,2,TRUE)</f>
        <v>4.4999999999999998E-2</v>
      </c>
      <c r="N120" s="28">
        <f>M120+VLOOKUP(Rawdata!L115,Int_rate_movements,2,TRUE)</f>
        <v>4.4999999999999998E-2</v>
      </c>
      <c r="O120" s="28">
        <f>N120+VLOOKUP(Rawdata!M115,Int_rate_movements,2,TRUE)</f>
        <v>4.4999999999999998E-2</v>
      </c>
      <c r="P120" s="28">
        <f>O120+VLOOKUP(Rawdata!N115,Int_rate_movements,2,TRUE)</f>
        <v>4.4999999999999998E-2</v>
      </c>
      <c r="Q120" s="28">
        <f>P120+VLOOKUP(Rawdata!O115,Int_rate_movements,2,TRUE)</f>
        <v>4.4999999999999998E-2</v>
      </c>
      <c r="R120" s="28">
        <f>Q120+VLOOKUP(Rawdata!P115,Int_rate_movements,2,TRUE)</f>
        <v>4.4999999999999998E-2</v>
      </c>
      <c r="S120" s="28">
        <f>R120+VLOOKUP(Rawdata!Q115,Int_rate_movements,2,TRUE)</f>
        <v>4.4999999999999998E-2</v>
      </c>
      <c r="T120" s="28">
        <f>S120+VLOOKUP(Rawdata!R115,Int_rate_movements,2,TRUE)</f>
        <v>4.4999999999999998E-2</v>
      </c>
      <c r="U120" s="28">
        <f>T120+VLOOKUP(Rawdata!S115,Int_rate_movements,2,TRUE)</f>
        <v>4.4999999999999998E-2</v>
      </c>
      <c r="V120" s="28">
        <f>U120+VLOOKUP(Rawdata!T115,Int_rate_movements,2,TRUE)</f>
        <v>4.4999999999999998E-2</v>
      </c>
      <c r="W120" s="28">
        <f>V120+VLOOKUP(Rawdata!U115,Int_rate_movements,2,TRUE)</f>
        <v>4.4999999999999998E-2</v>
      </c>
      <c r="X120" s="28">
        <f>W120+VLOOKUP(Rawdata!V115,Int_rate_movements,2,TRUE)</f>
        <v>4.4999999999999998E-2</v>
      </c>
      <c r="Y120" s="28">
        <f>X120+VLOOKUP(Rawdata!W115,Int_rate_movements,2,TRUE)</f>
        <v>4.4999999999999998E-2</v>
      </c>
      <c r="Z120" s="35">
        <f>Y120+VLOOKUP(Rawdata!X115,Int_rate_movements,2,TRUE)</f>
        <v>4.4999999999999998E-2</v>
      </c>
      <c r="AB120" s="55">
        <f t="shared" si="85"/>
        <v>4.4097712805242217E-2</v>
      </c>
      <c r="AC120" s="55">
        <f t="shared" si="86"/>
        <v>4.4097712805242217E-2</v>
      </c>
      <c r="AD120" s="55">
        <f t="shared" si="87"/>
        <v>4.4097712805242217E-2</v>
      </c>
      <c r="AE120" s="55">
        <f t="shared" si="88"/>
        <v>4.4097712805242217E-2</v>
      </c>
      <c r="AF120" s="55">
        <f t="shared" si="89"/>
        <v>4.4097712805242217E-2</v>
      </c>
      <c r="AG120" s="55">
        <f t="shared" si="90"/>
        <v>4.4097712805242217E-2</v>
      </c>
      <c r="AH120" s="55">
        <f t="shared" si="91"/>
        <v>4.4097712805242217E-2</v>
      </c>
      <c r="AI120" s="55">
        <f t="shared" si="92"/>
        <v>4.4097712805242217E-2</v>
      </c>
      <c r="AJ120" s="55">
        <f t="shared" si="93"/>
        <v>4.4097712805242217E-2</v>
      </c>
      <c r="AK120" s="55">
        <f t="shared" si="94"/>
        <v>4.4097712805242217E-2</v>
      </c>
      <c r="AL120" s="55">
        <f t="shared" si="95"/>
        <v>4.4097712805242217E-2</v>
      </c>
      <c r="AM120" s="55">
        <f t="shared" si="96"/>
        <v>4.4097712805242217E-2</v>
      </c>
      <c r="AN120" s="55">
        <f t="shared" si="97"/>
        <v>4.4097712805242217E-2</v>
      </c>
      <c r="AO120" s="55">
        <f t="shared" si="98"/>
        <v>4.4097712805242217E-2</v>
      </c>
      <c r="AP120" s="55">
        <f t="shared" si="99"/>
        <v>4.4097712805242217E-2</v>
      </c>
      <c r="AQ120" s="55">
        <f t="shared" si="100"/>
        <v>4.4097712805242217E-2</v>
      </c>
      <c r="AR120" s="55">
        <f t="shared" si="101"/>
        <v>4.4097712805242217E-2</v>
      </c>
      <c r="AS120" s="55">
        <f t="shared" si="102"/>
        <v>4.4097712805242217E-2</v>
      </c>
      <c r="AT120" s="55">
        <f t="shared" si="103"/>
        <v>4.4097712805242217E-2</v>
      </c>
      <c r="AU120" s="55">
        <f t="shared" si="104"/>
        <v>4.4097712805242217E-2</v>
      </c>
      <c r="AV120" s="55">
        <f t="shared" si="105"/>
        <v>4.4097712805242217E-2</v>
      </c>
      <c r="AW120" s="55">
        <f t="shared" si="106"/>
        <v>4.4097712805242217E-2</v>
      </c>
      <c r="AX120" s="55">
        <f t="shared" si="107"/>
        <v>4.4097712805242217E-2</v>
      </c>
      <c r="AY120" s="55">
        <f t="shared" si="108"/>
        <v>4.4097712805242217E-2</v>
      </c>
      <c r="AZ120" s="56">
        <f t="shared" si="109"/>
        <v>4.4097712805242217E-2</v>
      </c>
    </row>
    <row r="121" spans="1:52" x14ac:dyDescent="0.35">
      <c r="A121" s="5">
        <v>114</v>
      </c>
      <c r="B121" s="63">
        <f t="shared" si="84"/>
        <v>4.4999999999999998E-2</v>
      </c>
      <c r="C121" s="28">
        <f>B121+VLOOKUP(Rawdata!A116,Int_rate_movements,2,TRUE)</f>
        <v>4.4999999999999998E-2</v>
      </c>
      <c r="D121" s="28">
        <f>C121+VLOOKUP(Rawdata!B116,Int_rate_movements,2,TRUE)</f>
        <v>4.4999999999999998E-2</v>
      </c>
      <c r="E121" s="28">
        <f>D121+VLOOKUP(Rawdata!C116,Int_rate_movements,2,TRUE)</f>
        <v>4.4999999999999998E-2</v>
      </c>
      <c r="F121" s="28">
        <f>E121+VLOOKUP(Rawdata!D116,Int_rate_movements,2,TRUE)</f>
        <v>4.4999999999999998E-2</v>
      </c>
      <c r="G121" s="28">
        <f>F121+VLOOKUP(Rawdata!E116,Int_rate_movements,2,TRUE)</f>
        <v>4.4999999999999998E-2</v>
      </c>
      <c r="H121" s="28">
        <f>G121+VLOOKUP(Rawdata!F116,Int_rate_movements,2,TRUE)</f>
        <v>4.4999999999999998E-2</v>
      </c>
      <c r="I121" s="28">
        <f>H121+VLOOKUP(Rawdata!G116,Int_rate_movements,2,TRUE)</f>
        <v>4.7500000000000001E-2</v>
      </c>
      <c r="J121" s="28">
        <f>I121+VLOOKUP(Rawdata!H116,Int_rate_movements,2,TRUE)</f>
        <v>4.7500000000000001E-2</v>
      </c>
      <c r="K121" s="28">
        <f>J121+VLOOKUP(Rawdata!I116,Int_rate_movements,2,TRUE)</f>
        <v>4.7500000000000001E-2</v>
      </c>
      <c r="L121" s="28">
        <f>K121+VLOOKUP(Rawdata!J116,Int_rate_movements,2,TRUE)</f>
        <v>0.05</v>
      </c>
      <c r="M121" s="28">
        <f>L121+VLOOKUP(Rawdata!K116,Int_rate_movements,2,TRUE)</f>
        <v>0.05</v>
      </c>
      <c r="N121" s="28">
        <f>M121+VLOOKUP(Rawdata!L116,Int_rate_movements,2,TRUE)</f>
        <v>0.05</v>
      </c>
      <c r="O121" s="28">
        <f>N121+VLOOKUP(Rawdata!M116,Int_rate_movements,2,TRUE)</f>
        <v>0.05</v>
      </c>
      <c r="P121" s="28">
        <f>O121+VLOOKUP(Rawdata!N116,Int_rate_movements,2,TRUE)</f>
        <v>0.05</v>
      </c>
      <c r="Q121" s="28">
        <f>P121+VLOOKUP(Rawdata!O116,Int_rate_movements,2,TRUE)</f>
        <v>0.05</v>
      </c>
      <c r="R121" s="28">
        <f>Q121+VLOOKUP(Rawdata!P116,Int_rate_movements,2,TRUE)</f>
        <v>0.05</v>
      </c>
      <c r="S121" s="28">
        <f>R121+VLOOKUP(Rawdata!Q116,Int_rate_movements,2,TRUE)</f>
        <v>0.05</v>
      </c>
      <c r="T121" s="28">
        <f>S121+VLOOKUP(Rawdata!R116,Int_rate_movements,2,TRUE)</f>
        <v>0.05</v>
      </c>
      <c r="U121" s="28">
        <f>T121+VLOOKUP(Rawdata!S116,Int_rate_movements,2,TRUE)</f>
        <v>0.05</v>
      </c>
      <c r="V121" s="28">
        <f>U121+VLOOKUP(Rawdata!T116,Int_rate_movements,2,TRUE)</f>
        <v>5.2500000000000005E-2</v>
      </c>
      <c r="W121" s="28">
        <f>V121+VLOOKUP(Rawdata!U116,Int_rate_movements,2,TRUE)</f>
        <v>5.2500000000000005E-2</v>
      </c>
      <c r="X121" s="28">
        <f>W121+VLOOKUP(Rawdata!V116,Int_rate_movements,2,TRUE)</f>
        <v>5.2500000000000005E-2</v>
      </c>
      <c r="Y121" s="28">
        <f>X121+VLOOKUP(Rawdata!W116,Int_rate_movements,2,TRUE)</f>
        <v>5.2500000000000005E-2</v>
      </c>
      <c r="Z121" s="35">
        <f>Y121+VLOOKUP(Rawdata!X116,Int_rate_movements,2,TRUE)</f>
        <v>5.2500000000000005E-2</v>
      </c>
      <c r="AB121" s="55">
        <f t="shared" si="85"/>
        <v>4.4097712805242217E-2</v>
      </c>
      <c r="AC121" s="55">
        <f t="shared" si="86"/>
        <v>4.4097712805242217E-2</v>
      </c>
      <c r="AD121" s="55">
        <f t="shared" si="87"/>
        <v>4.4097712805242217E-2</v>
      </c>
      <c r="AE121" s="55">
        <f t="shared" si="88"/>
        <v>4.4097712805242217E-2</v>
      </c>
      <c r="AF121" s="55">
        <f t="shared" si="89"/>
        <v>4.4097712805242217E-2</v>
      </c>
      <c r="AG121" s="55">
        <f t="shared" si="90"/>
        <v>4.4097712805242217E-2</v>
      </c>
      <c r="AH121" s="55">
        <f t="shared" si="91"/>
        <v>4.4097712805242217E-2</v>
      </c>
      <c r="AI121" s="55">
        <f t="shared" si="92"/>
        <v>4.6496219905550085E-2</v>
      </c>
      <c r="AJ121" s="55">
        <f t="shared" si="93"/>
        <v>4.6496219905550085E-2</v>
      </c>
      <c r="AK121" s="55">
        <f t="shared" si="94"/>
        <v>4.6496219905550085E-2</v>
      </c>
      <c r="AL121" s="55">
        <f t="shared" si="95"/>
        <v>4.8889485403780242E-2</v>
      </c>
      <c r="AM121" s="55">
        <f t="shared" si="96"/>
        <v>4.8889485403780242E-2</v>
      </c>
      <c r="AN121" s="55">
        <f t="shared" si="97"/>
        <v>4.8889485403780242E-2</v>
      </c>
      <c r="AO121" s="55">
        <f t="shared" si="98"/>
        <v>4.8889485403780242E-2</v>
      </c>
      <c r="AP121" s="55">
        <f t="shared" si="99"/>
        <v>4.8889485403780242E-2</v>
      </c>
      <c r="AQ121" s="55">
        <f t="shared" si="100"/>
        <v>4.8889485403780242E-2</v>
      </c>
      <c r="AR121" s="55">
        <f t="shared" si="101"/>
        <v>4.8889485403780242E-2</v>
      </c>
      <c r="AS121" s="55">
        <f t="shared" si="102"/>
        <v>4.8889485403780242E-2</v>
      </c>
      <c r="AT121" s="55">
        <f t="shared" si="103"/>
        <v>4.8889485403780242E-2</v>
      </c>
      <c r="AU121" s="55">
        <f t="shared" si="104"/>
        <v>4.8889485403780242E-2</v>
      </c>
      <c r="AV121" s="55">
        <f t="shared" si="105"/>
        <v>5.1277533193896829E-2</v>
      </c>
      <c r="AW121" s="55">
        <f t="shared" si="106"/>
        <v>5.1277533193896829E-2</v>
      </c>
      <c r="AX121" s="55">
        <f t="shared" si="107"/>
        <v>5.1277533193896829E-2</v>
      </c>
      <c r="AY121" s="55">
        <f t="shared" si="108"/>
        <v>5.1277533193896829E-2</v>
      </c>
      <c r="AZ121" s="56">
        <f t="shared" si="109"/>
        <v>5.1277533193896829E-2</v>
      </c>
    </row>
    <row r="122" spans="1:52" x14ac:dyDescent="0.35">
      <c r="A122" s="27">
        <v>115</v>
      </c>
      <c r="B122" s="63">
        <f t="shared" si="84"/>
        <v>4.4999999999999998E-2</v>
      </c>
      <c r="C122" s="28">
        <f>B122+VLOOKUP(Rawdata!A117,Int_rate_movements,2,TRUE)</f>
        <v>4.4999999999999998E-2</v>
      </c>
      <c r="D122" s="28">
        <f>C122+VLOOKUP(Rawdata!B117,Int_rate_movements,2,TRUE)</f>
        <v>4.4999999999999998E-2</v>
      </c>
      <c r="E122" s="28">
        <f>D122+VLOOKUP(Rawdata!C117,Int_rate_movements,2,TRUE)</f>
        <v>4.4999999999999998E-2</v>
      </c>
      <c r="F122" s="28">
        <f>E122+VLOOKUP(Rawdata!D117,Int_rate_movements,2,TRUE)</f>
        <v>4.4999999999999998E-2</v>
      </c>
      <c r="G122" s="28">
        <f>F122+VLOOKUP(Rawdata!E117,Int_rate_movements,2,TRUE)</f>
        <v>4.2499999999999996E-2</v>
      </c>
      <c r="H122" s="28">
        <f>G122+VLOOKUP(Rawdata!F117,Int_rate_movements,2,TRUE)</f>
        <v>4.2499999999999996E-2</v>
      </c>
      <c r="I122" s="28">
        <f>H122+VLOOKUP(Rawdata!G117,Int_rate_movements,2,TRUE)</f>
        <v>4.2499999999999996E-2</v>
      </c>
      <c r="J122" s="28">
        <f>I122+VLOOKUP(Rawdata!H117,Int_rate_movements,2,TRUE)</f>
        <v>4.2499999999999996E-2</v>
      </c>
      <c r="K122" s="28">
        <f>J122+VLOOKUP(Rawdata!I117,Int_rate_movements,2,TRUE)</f>
        <v>4.2499999999999996E-2</v>
      </c>
      <c r="L122" s="28">
        <f>K122+VLOOKUP(Rawdata!J117,Int_rate_movements,2,TRUE)</f>
        <v>4.2499999999999996E-2</v>
      </c>
      <c r="M122" s="28">
        <f>L122+VLOOKUP(Rawdata!K117,Int_rate_movements,2,TRUE)</f>
        <v>4.2499999999999996E-2</v>
      </c>
      <c r="N122" s="28">
        <f>M122+VLOOKUP(Rawdata!L117,Int_rate_movements,2,TRUE)</f>
        <v>4.2499999999999996E-2</v>
      </c>
      <c r="O122" s="28">
        <f>N122+VLOOKUP(Rawdata!M117,Int_rate_movements,2,TRUE)</f>
        <v>4.2499999999999996E-2</v>
      </c>
      <c r="P122" s="28">
        <f>O122+VLOOKUP(Rawdata!N117,Int_rate_movements,2,TRUE)</f>
        <v>4.2499999999999996E-2</v>
      </c>
      <c r="Q122" s="28">
        <f>P122+VLOOKUP(Rawdata!O117,Int_rate_movements,2,TRUE)</f>
        <v>3.9999999999999994E-2</v>
      </c>
      <c r="R122" s="28">
        <f>Q122+VLOOKUP(Rawdata!P117,Int_rate_movements,2,TRUE)</f>
        <v>4.2499999999999996E-2</v>
      </c>
      <c r="S122" s="28">
        <f>R122+VLOOKUP(Rawdata!Q117,Int_rate_movements,2,TRUE)</f>
        <v>4.2499999999999996E-2</v>
      </c>
      <c r="T122" s="28">
        <f>S122+VLOOKUP(Rawdata!R117,Int_rate_movements,2,TRUE)</f>
        <v>4.2499999999999996E-2</v>
      </c>
      <c r="U122" s="28">
        <f>T122+VLOOKUP(Rawdata!S117,Int_rate_movements,2,TRUE)</f>
        <v>4.2499999999999996E-2</v>
      </c>
      <c r="V122" s="28">
        <f>U122+VLOOKUP(Rawdata!T117,Int_rate_movements,2,TRUE)</f>
        <v>4.2499999999999996E-2</v>
      </c>
      <c r="W122" s="28">
        <f>V122+VLOOKUP(Rawdata!U117,Int_rate_movements,2,TRUE)</f>
        <v>4.2499999999999996E-2</v>
      </c>
      <c r="X122" s="28">
        <f>W122+VLOOKUP(Rawdata!V117,Int_rate_movements,2,TRUE)</f>
        <v>4.2499999999999996E-2</v>
      </c>
      <c r="Y122" s="28">
        <f>X122+VLOOKUP(Rawdata!W117,Int_rate_movements,2,TRUE)</f>
        <v>4.2499999999999996E-2</v>
      </c>
      <c r="Z122" s="35">
        <f>Y122+VLOOKUP(Rawdata!X117,Int_rate_movements,2,TRUE)</f>
        <v>4.2499999999999996E-2</v>
      </c>
      <c r="AB122" s="55">
        <f t="shared" si="85"/>
        <v>4.4097712805242217E-2</v>
      </c>
      <c r="AC122" s="55">
        <f t="shared" si="86"/>
        <v>4.4097712805242217E-2</v>
      </c>
      <c r="AD122" s="55">
        <f t="shared" si="87"/>
        <v>4.4097712805242217E-2</v>
      </c>
      <c r="AE122" s="55">
        <f t="shared" si="88"/>
        <v>4.4097712805242217E-2</v>
      </c>
      <c r="AF122" s="55">
        <f t="shared" si="89"/>
        <v>4.4097712805242217E-2</v>
      </c>
      <c r="AG122" s="55">
        <f t="shared" si="90"/>
        <v>4.1693940041970023E-2</v>
      </c>
      <c r="AH122" s="55">
        <f t="shared" si="91"/>
        <v>4.1693940041970023E-2</v>
      </c>
      <c r="AI122" s="55">
        <f t="shared" si="92"/>
        <v>4.1693940041970023E-2</v>
      </c>
      <c r="AJ122" s="55">
        <f t="shared" si="93"/>
        <v>4.1693940041970023E-2</v>
      </c>
      <c r="AK122" s="55">
        <f t="shared" si="94"/>
        <v>4.1693940041970023E-2</v>
      </c>
      <c r="AL122" s="55">
        <f t="shared" si="95"/>
        <v>4.1693940041970023E-2</v>
      </c>
      <c r="AM122" s="55">
        <f t="shared" si="96"/>
        <v>4.1693940041970023E-2</v>
      </c>
      <c r="AN122" s="55">
        <f t="shared" si="97"/>
        <v>4.1693940041970023E-2</v>
      </c>
      <c r="AO122" s="55">
        <f t="shared" si="98"/>
        <v>4.1693940041970023E-2</v>
      </c>
      <c r="AP122" s="55">
        <f t="shared" si="99"/>
        <v>4.1693940041970023E-2</v>
      </c>
      <c r="AQ122" s="55">
        <f t="shared" si="100"/>
        <v>3.9284877386386974E-2</v>
      </c>
      <c r="AR122" s="55">
        <f t="shared" si="101"/>
        <v>4.1693940041970023E-2</v>
      </c>
      <c r="AS122" s="55">
        <f t="shared" si="102"/>
        <v>4.1693940041970023E-2</v>
      </c>
      <c r="AT122" s="55">
        <f t="shared" si="103"/>
        <v>4.1693940041970023E-2</v>
      </c>
      <c r="AU122" s="55">
        <f t="shared" si="104"/>
        <v>4.1693940041970023E-2</v>
      </c>
      <c r="AV122" s="55">
        <f t="shared" si="105"/>
        <v>4.1693940041970023E-2</v>
      </c>
      <c r="AW122" s="55">
        <f t="shared" si="106"/>
        <v>4.1693940041970023E-2</v>
      </c>
      <c r="AX122" s="55">
        <f t="shared" si="107"/>
        <v>4.1693940041970023E-2</v>
      </c>
      <c r="AY122" s="55">
        <f t="shared" si="108"/>
        <v>4.1693940041970023E-2</v>
      </c>
      <c r="AZ122" s="56">
        <f t="shared" si="109"/>
        <v>4.1693940041970023E-2</v>
      </c>
    </row>
    <row r="123" spans="1:52" x14ac:dyDescent="0.35">
      <c r="A123" s="5">
        <v>116</v>
      </c>
      <c r="B123" s="63">
        <f t="shared" si="84"/>
        <v>4.4999999999999998E-2</v>
      </c>
      <c r="C123" s="28">
        <f>B123+VLOOKUP(Rawdata!A118,Int_rate_movements,2,TRUE)</f>
        <v>4.4999999999999998E-2</v>
      </c>
      <c r="D123" s="28">
        <f>C123+VLOOKUP(Rawdata!B118,Int_rate_movements,2,TRUE)</f>
        <v>4.4999999999999998E-2</v>
      </c>
      <c r="E123" s="28">
        <f>D123+VLOOKUP(Rawdata!C118,Int_rate_movements,2,TRUE)</f>
        <v>4.4999999999999998E-2</v>
      </c>
      <c r="F123" s="28">
        <f>E123+VLOOKUP(Rawdata!D118,Int_rate_movements,2,TRUE)</f>
        <v>4.4999999999999998E-2</v>
      </c>
      <c r="G123" s="28">
        <f>F123+VLOOKUP(Rawdata!E118,Int_rate_movements,2,TRUE)</f>
        <v>4.4999999999999998E-2</v>
      </c>
      <c r="H123" s="28">
        <f>G123+VLOOKUP(Rawdata!F118,Int_rate_movements,2,TRUE)</f>
        <v>4.4999999999999998E-2</v>
      </c>
      <c r="I123" s="28">
        <f>H123+VLOOKUP(Rawdata!G118,Int_rate_movements,2,TRUE)</f>
        <v>4.7500000000000001E-2</v>
      </c>
      <c r="J123" s="28">
        <f>I123+VLOOKUP(Rawdata!H118,Int_rate_movements,2,TRUE)</f>
        <v>0.05</v>
      </c>
      <c r="K123" s="28">
        <f>J123+VLOOKUP(Rawdata!I118,Int_rate_movements,2,TRUE)</f>
        <v>0.05</v>
      </c>
      <c r="L123" s="28">
        <f>K123+VLOOKUP(Rawdata!J118,Int_rate_movements,2,TRUE)</f>
        <v>0.05</v>
      </c>
      <c r="M123" s="28">
        <f>L123+VLOOKUP(Rawdata!K118,Int_rate_movements,2,TRUE)</f>
        <v>0.05</v>
      </c>
      <c r="N123" s="28">
        <f>M123+VLOOKUP(Rawdata!L118,Int_rate_movements,2,TRUE)</f>
        <v>4.7500000000000001E-2</v>
      </c>
      <c r="O123" s="28">
        <f>N123+VLOOKUP(Rawdata!M118,Int_rate_movements,2,TRUE)</f>
        <v>4.7500000000000001E-2</v>
      </c>
      <c r="P123" s="28">
        <f>O123+VLOOKUP(Rawdata!N118,Int_rate_movements,2,TRUE)</f>
        <v>4.7500000000000001E-2</v>
      </c>
      <c r="Q123" s="28">
        <f>P123+VLOOKUP(Rawdata!O118,Int_rate_movements,2,TRUE)</f>
        <v>4.7500000000000001E-2</v>
      </c>
      <c r="R123" s="28">
        <f>Q123+VLOOKUP(Rawdata!P118,Int_rate_movements,2,TRUE)</f>
        <v>4.7500000000000001E-2</v>
      </c>
      <c r="S123" s="28">
        <f>R123+VLOOKUP(Rawdata!Q118,Int_rate_movements,2,TRUE)</f>
        <v>4.7500000000000001E-2</v>
      </c>
      <c r="T123" s="28">
        <f>S123+VLOOKUP(Rawdata!R118,Int_rate_movements,2,TRUE)</f>
        <v>4.7500000000000001E-2</v>
      </c>
      <c r="U123" s="28">
        <f>T123+VLOOKUP(Rawdata!S118,Int_rate_movements,2,TRUE)</f>
        <v>4.7500000000000001E-2</v>
      </c>
      <c r="V123" s="28">
        <f>U123+VLOOKUP(Rawdata!T118,Int_rate_movements,2,TRUE)</f>
        <v>4.7500000000000001E-2</v>
      </c>
      <c r="W123" s="28">
        <f>V123+VLOOKUP(Rawdata!U118,Int_rate_movements,2,TRUE)</f>
        <v>4.7500000000000001E-2</v>
      </c>
      <c r="X123" s="28">
        <f>W123+VLOOKUP(Rawdata!V118,Int_rate_movements,2,TRUE)</f>
        <v>4.7500000000000001E-2</v>
      </c>
      <c r="Y123" s="28">
        <f>X123+VLOOKUP(Rawdata!W118,Int_rate_movements,2,TRUE)</f>
        <v>4.7500000000000001E-2</v>
      </c>
      <c r="Z123" s="35">
        <f>Y123+VLOOKUP(Rawdata!X118,Int_rate_movements,2,TRUE)</f>
        <v>5.2499999999999998E-2</v>
      </c>
      <c r="AB123" s="55">
        <f t="shared" si="85"/>
        <v>4.4097712805242217E-2</v>
      </c>
      <c r="AC123" s="55">
        <f t="shared" si="86"/>
        <v>4.4097712805242217E-2</v>
      </c>
      <c r="AD123" s="55">
        <f t="shared" si="87"/>
        <v>4.4097712805242217E-2</v>
      </c>
      <c r="AE123" s="55">
        <f t="shared" si="88"/>
        <v>4.4097712805242217E-2</v>
      </c>
      <c r="AF123" s="55">
        <f t="shared" si="89"/>
        <v>4.4097712805242217E-2</v>
      </c>
      <c r="AG123" s="55">
        <f t="shared" si="90"/>
        <v>4.4097712805242217E-2</v>
      </c>
      <c r="AH123" s="55">
        <f t="shared" si="91"/>
        <v>4.4097712805242217E-2</v>
      </c>
      <c r="AI123" s="55">
        <f t="shared" si="92"/>
        <v>4.6496219905550085E-2</v>
      </c>
      <c r="AJ123" s="55">
        <f t="shared" si="93"/>
        <v>4.8889485403780242E-2</v>
      </c>
      <c r="AK123" s="55">
        <f t="shared" si="94"/>
        <v>4.8889485403780242E-2</v>
      </c>
      <c r="AL123" s="55">
        <f t="shared" si="95"/>
        <v>4.8889485403780242E-2</v>
      </c>
      <c r="AM123" s="55">
        <f t="shared" si="96"/>
        <v>4.8889485403780242E-2</v>
      </c>
      <c r="AN123" s="55">
        <f t="shared" si="97"/>
        <v>4.6496219905550085E-2</v>
      </c>
      <c r="AO123" s="55">
        <f t="shared" si="98"/>
        <v>4.6496219905550085E-2</v>
      </c>
      <c r="AP123" s="55">
        <f t="shared" si="99"/>
        <v>4.6496219905550085E-2</v>
      </c>
      <c r="AQ123" s="55">
        <f t="shared" si="100"/>
        <v>4.6496219905550085E-2</v>
      </c>
      <c r="AR123" s="55">
        <f t="shared" si="101"/>
        <v>4.6496219905550085E-2</v>
      </c>
      <c r="AS123" s="55">
        <f t="shared" si="102"/>
        <v>4.6496219905550085E-2</v>
      </c>
      <c r="AT123" s="55">
        <f t="shared" si="103"/>
        <v>4.6496219905550085E-2</v>
      </c>
      <c r="AU123" s="55">
        <f t="shared" si="104"/>
        <v>4.6496219905550085E-2</v>
      </c>
      <c r="AV123" s="55">
        <f t="shared" si="105"/>
        <v>4.6496219905550085E-2</v>
      </c>
      <c r="AW123" s="55">
        <f t="shared" si="106"/>
        <v>4.6496219905550085E-2</v>
      </c>
      <c r="AX123" s="55">
        <f t="shared" si="107"/>
        <v>4.6496219905550085E-2</v>
      </c>
      <c r="AY123" s="55">
        <f t="shared" si="108"/>
        <v>4.6496219905550085E-2</v>
      </c>
      <c r="AZ123" s="56">
        <f t="shared" si="109"/>
        <v>5.1277533193896829E-2</v>
      </c>
    </row>
    <row r="124" spans="1:52" x14ac:dyDescent="0.35">
      <c r="A124" s="27">
        <v>117</v>
      </c>
      <c r="B124" s="63">
        <f t="shared" si="84"/>
        <v>4.4999999999999998E-2</v>
      </c>
      <c r="C124" s="28">
        <f>B124+VLOOKUP(Rawdata!A119,Int_rate_movements,2,TRUE)</f>
        <v>4.4999999999999998E-2</v>
      </c>
      <c r="D124" s="28">
        <f>C124+VLOOKUP(Rawdata!B119,Int_rate_movements,2,TRUE)</f>
        <v>4.4999999999999998E-2</v>
      </c>
      <c r="E124" s="28">
        <f>D124+VLOOKUP(Rawdata!C119,Int_rate_movements,2,TRUE)</f>
        <v>4.7500000000000001E-2</v>
      </c>
      <c r="F124" s="28">
        <f>E124+VLOOKUP(Rawdata!D119,Int_rate_movements,2,TRUE)</f>
        <v>0.05</v>
      </c>
      <c r="G124" s="28">
        <f>F124+VLOOKUP(Rawdata!E119,Int_rate_movements,2,TRUE)</f>
        <v>0.05</v>
      </c>
      <c r="H124" s="28">
        <f>G124+VLOOKUP(Rawdata!F119,Int_rate_movements,2,TRUE)</f>
        <v>0.05</v>
      </c>
      <c r="I124" s="28">
        <f>H124+VLOOKUP(Rawdata!G119,Int_rate_movements,2,TRUE)</f>
        <v>0.05</v>
      </c>
      <c r="J124" s="28">
        <f>I124+VLOOKUP(Rawdata!H119,Int_rate_movements,2,TRUE)</f>
        <v>4.7500000000000001E-2</v>
      </c>
      <c r="K124" s="28">
        <f>J124+VLOOKUP(Rawdata!I119,Int_rate_movements,2,TRUE)</f>
        <v>4.7500000000000001E-2</v>
      </c>
      <c r="L124" s="28">
        <f>K124+VLOOKUP(Rawdata!J119,Int_rate_movements,2,TRUE)</f>
        <v>4.7500000000000001E-2</v>
      </c>
      <c r="M124" s="28">
        <f>L124+VLOOKUP(Rawdata!K119,Int_rate_movements,2,TRUE)</f>
        <v>4.7500000000000001E-2</v>
      </c>
      <c r="N124" s="28">
        <f>M124+VLOOKUP(Rawdata!L119,Int_rate_movements,2,TRUE)</f>
        <v>4.4999999999999998E-2</v>
      </c>
      <c r="O124" s="28">
        <f>N124+VLOOKUP(Rawdata!M119,Int_rate_movements,2,TRUE)</f>
        <v>4.4999999999999998E-2</v>
      </c>
      <c r="P124" s="28">
        <f>O124+VLOOKUP(Rawdata!N119,Int_rate_movements,2,TRUE)</f>
        <v>4.2499999999999996E-2</v>
      </c>
      <c r="Q124" s="28">
        <f>P124+VLOOKUP(Rawdata!O119,Int_rate_movements,2,TRUE)</f>
        <v>4.2499999999999996E-2</v>
      </c>
      <c r="R124" s="28">
        <f>Q124+VLOOKUP(Rawdata!P119,Int_rate_movements,2,TRUE)</f>
        <v>4.2499999999999996E-2</v>
      </c>
      <c r="S124" s="28">
        <f>R124+VLOOKUP(Rawdata!Q119,Int_rate_movements,2,TRUE)</f>
        <v>3.9999999999999994E-2</v>
      </c>
      <c r="T124" s="28">
        <f>S124+VLOOKUP(Rawdata!R119,Int_rate_movements,2,TRUE)</f>
        <v>3.9999999999999994E-2</v>
      </c>
      <c r="U124" s="28">
        <f>T124+VLOOKUP(Rawdata!S119,Int_rate_movements,2,TRUE)</f>
        <v>3.9999999999999994E-2</v>
      </c>
      <c r="V124" s="28">
        <f>U124+VLOOKUP(Rawdata!T119,Int_rate_movements,2,TRUE)</f>
        <v>3.9999999999999994E-2</v>
      </c>
      <c r="W124" s="28">
        <f>V124+VLOOKUP(Rawdata!U119,Int_rate_movements,2,TRUE)</f>
        <v>4.2499999999999996E-2</v>
      </c>
      <c r="X124" s="28">
        <f>W124+VLOOKUP(Rawdata!V119,Int_rate_movements,2,TRUE)</f>
        <v>4.4999999999999998E-2</v>
      </c>
      <c r="Y124" s="28">
        <f>X124+VLOOKUP(Rawdata!W119,Int_rate_movements,2,TRUE)</f>
        <v>4.4999999999999998E-2</v>
      </c>
      <c r="Z124" s="35">
        <f>Y124+VLOOKUP(Rawdata!X119,Int_rate_movements,2,TRUE)</f>
        <v>4.4999999999999998E-2</v>
      </c>
      <c r="AB124" s="55">
        <f t="shared" si="85"/>
        <v>4.4097712805242217E-2</v>
      </c>
      <c r="AC124" s="55">
        <f t="shared" si="86"/>
        <v>4.4097712805242217E-2</v>
      </c>
      <c r="AD124" s="55">
        <f t="shared" si="87"/>
        <v>4.4097712805242217E-2</v>
      </c>
      <c r="AE124" s="55">
        <f t="shared" si="88"/>
        <v>4.6496219905550085E-2</v>
      </c>
      <c r="AF124" s="55">
        <f t="shared" si="89"/>
        <v>4.8889485403780242E-2</v>
      </c>
      <c r="AG124" s="55">
        <f t="shared" si="90"/>
        <v>4.8889485403780242E-2</v>
      </c>
      <c r="AH124" s="55">
        <f t="shared" si="91"/>
        <v>4.8889485403780242E-2</v>
      </c>
      <c r="AI124" s="55">
        <f t="shared" si="92"/>
        <v>4.8889485403780242E-2</v>
      </c>
      <c r="AJ124" s="55">
        <f t="shared" si="93"/>
        <v>4.6496219905550085E-2</v>
      </c>
      <c r="AK124" s="55">
        <f t="shared" si="94"/>
        <v>4.6496219905550085E-2</v>
      </c>
      <c r="AL124" s="55">
        <f t="shared" si="95"/>
        <v>4.6496219905550085E-2</v>
      </c>
      <c r="AM124" s="55">
        <f t="shared" si="96"/>
        <v>4.6496219905550085E-2</v>
      </c>
      <c r="AN124" s="55">
        <f t="shared" si="97"/>
        <v>4.4097712805242217E-2</v>
      </c>
      <c r="AO124" s="55">
        <f t="shared" si="98"/>
        <v>4.4097712805242217E-2</v>
      </c>
      <c r="AP124" s="55">
        <f t="shared" si="99"/>
        <v>4.1693940041970023E-2</v>
      </c>
      <c r="AQ124" s="55">
        <f t="shared" si="100"/>
        <v>4.1693940041970023E-2</v>
      </c>
      <c r="AR124" s="55">
        <f t="shared" si="101"/>
        <v>4.1693940041970023E-2</v>
      </c>
      <c r="AS124" s="55">
        <f t="shared" si="102"/>
        <v>3.9284877386386974E-2</v>
      </c>
      <c r="AT124" s="55">
        <f t="shared" si="103"/>
        <v>3.9284877386386974E-2</v>
      </c>
      <c r="AU124" s="55">
        <f t="shared" si="104"/>
        <v>3.9284877386386974E-2</v>
      </c>
      <c r="AV124" s="55">
        <f t="shared" si="105"/>
        <v>3.9284877386386974E-2</v>
      </c>
      <c r="AW124" s="55">
        <f t="shared" si="106"/>
        <v>4.1693940041970023E-2</v>
      </c>
      <c r="AX124" s="55">
        <f t="shared" si="107"/>
        <v>4.4097712805242217E-2</v>
      </c>
      <c r="AY124" s="55">
        <f t="shared" si="108"/>
        <v>4.4097712805242217E-2</v>
      </c>
      <c r="AZ124" s="56">
        <f t="shared" si="109"/>
        <v>4.4097712805242217E-2</v>
      </c>
    </row>
    <row r="125" spans="1:52" x14ac:dyDescent="0.35">
      <c r="A125" s="5">
        <v>118</v>
      </c>
      <c r="B125" s="63">
        <f t="shared" si="84"/>
        <v>4.4999999999999998E-2</v>
      </c>
      <c r="C125" s="28">
        <f>B125+VLOOKUP(Rawdata!A120,Int_rate_movements,2,TRUE)</f>
        <v>4.4999999999999998E-2</v>
      </c>
      <c r="D125" s="28">
        <f>C125+VLOOKUP(Rawdata!B120,Int_rate_movements,2,TRUE)</f>
        <v>4.4999999999999998E-2</v>
      </c>
      <c r="E125" s="28">
        <f>D125+VLOOKUP(Rawdata!C120,Int_rate_movements,2,TRUE)</f>
        <v>4.4999999999999998E-2</v>
      </c>
      <c r="F125" s="28">
        <f>E125+VLOOKUP(Rawdata!D120,Int_rate_movements,2,TRUE)</f>
        <v>4.4999999999999998E-2</v>
      </c>
      <c r="G125" s="28">
        <f>F125+VLOOKUP(Rawdata!E120,Int_rate_movements,2,TRUE)</f>
        <v>4.9999999999999996E-2</v>
      </c>
      <c r="H125" s="28">
        <f>G125+VLOOKUP(Rawdata!F120,Int_rate_movements,2,TRUE)</f>
        <v>4.9999999999999996E-2</v>
      </c>
      <c r="I125" s="28">
        <f>H125+VLOOKUP(Rawdata!G120,Int_rate_movements,2,TRUE)</f>
        <v>4.9999999999999996E-2</v>
      </c>
      <c r="J125" s="28">
        <f>I125+VLOOKUP(Rawdata!H120,Int_rate_movements,2,TRUE)</f>
        <v>4.4999999999999998E-2</v>
      </c>
      <c r="K125" s="28">
        <f>J125+VLOOKUP(Rawdata!I120,Int_rate_movements,2,TRUE)</f>
        <v>4.4999999999999998E-2</v>
      </c>
      <c r="L125" s="28">
        <f>K125+VLOOKUP(Rawdata!J120,Int_rate_movements,2,TRUE)</f>
        <v>4.4999999999999998E-2</v>
      </c>
      <c r="M125" s="28">
        <f>L125+VLOOKUP(Rawdata!K120,Int_rate_movements,2,TRUE)</f>
        <v>4.4999999999999998E-2</v>
      </c>
      <c r="N125" s="28">
        <f>M125+VLOOKUP(Rawdata!L120,Int_rate_movements,2,TRUE)</f>
        <v>4.4999999999999998E-2</v>
      </c>
      <c r="O125" s="28">
        <f>N125+VLOOKUP(Rawdata!M120,Int_rate_movements,2,TRUE)</f>
        <v>4.4999999999999998E-2</v>
      </c>
      <c r="P125" s="28">
        <f>O125+VLOOKUP(Rawdata!N120,Int_rate_movements,2,TRUE)</f>
        <v>4.4999999999999998E-2</v>
      </c>
      <c r="Q125" s="28">
        <f>P125+VLOOKUP(Rawdata!O120,Int_rate_movements,2,TRUE)</f>
        <v>4.4999999999999998E-2</v>
      </c>
      <c r="R125" s="28">
        <f>Q125+VLOOKUP(Rawdata!P120,Int_rate_movements,2,TRUE)</f>
        <v>4.4999999999999998E-2</v>
      </c>
      <c r="S125" s="28">
        <f>R125+VLOOKUP(Rawdata!Q120,Int_rate_movements,2,TRUE)</f>
        <v>4.4999999999999998E-2</v>
      </c>
      <c r="T125" s="28">
        <f>S125+VLOOKUP(Rawdata!R120,Int_rate_movements,2,TRUE)</f>
        <v>4.4999999999999998E-2</v>
      </c>
      <c r="U125" s="28">
        <f>T125+VLOOKUP(Rawdata!S120,Int_rate_movements,2,TRUE)</f>
        <v>4.4999999999999998E-2</v>
      </c>
      <c r="V125" s="28">
        <f>U125+VLOOKUP(Rawdata!T120,Int_rate_movements,2,TRUE)</f>
        <v>4.2499999999999996E-2</v>
      </c>
      <c r="W125" s="28">
        <f>V125+VLOOKUP(Rawdata!U120,Int_rate_movements,2,TRUE)</f>
        <v>4.2499999999999996E-2</v>
      </c>
      <c r="X125" s="28">
        <f>W125+VLOOKUP(Rawdata!V120,Int_rate_movements,2,TRUE)</f>
        <v>4.2499999999999996E-2</v>
      </c>
      <c r="Y125" s="28">
        <f>X125+VLOOKUP(Rawdata!W120,Int_rate_movements,2,TRUE)</f>
        <v>4.2499999999999996E-2</v>
      </c>
      <c r="Z125" s="35">
        <f>Y125+VLOOKUP(Rawdata!X120,Int_rate_movements,2,TRUE)</f>
        <v>4.2499999999999996E-2</v>
      </c>
      <c r="AB125" s="55">
        <f t="shared" si="85"/>
        <v>4.4097712805242217E-2</v>
      </c>
      <c r="AC125" s="55">
        <f t="shared" si="86"/>
        <v>4.4097712805242217E-2</v>
      </c>
      <c r="AD125" s="55">
        <f t="shared" si="87"/>
        <v>4.4097712805242217E-2</v>
      </c>
      <c r="AE125" s="55">
        <f t="shared" si="88"/>
        <v>4.4097712805242217E-2</v>
      </c>
      <c r="AF125" s="55">
        <f t="shared" si="89"/>
        <v>4.4097712805242217E-2</v>
      </c>
      <c r="AG125" s="55">
        <f t="shared" si="90"/>
        <v>4.8889485403780242E-2</v>
      </c>
      <c r="AH125" s="55">
        <f t="shared" si="91"/>
        <v>4.8889485403780242E-2</v>
      </c>
      <c r="AI125" s="55">
        <f t="shared" si="92"/>
        <v>4.8889485403780242E-2</v>
      </c>
      <c r="AJ125" s="55">
        <f t="shared" si="93"/>
        <v>4.4097712805242217E-2</v>
      </c>
      <c r="AK125" s="55">
        <f t="shared" si="94"/>
        <v>4.4097712805242217E-2</v>
      </c>
      <c r="AL125" s="55">
        <f t="shared" si="95"/>
        <v>4.4097712805242217E-2</v>
      </c>
      <c r="AM125" s="55">
        <f t="shared" si="96"/>
        <v>4.4097712805242217E-2</v>
      </c>
      <c r="AN125" s="55">
        <f t="shared" si="97"/>
        <v>4.4097712805242217E-2</v>
      </c>
      <c r="AO125" s="55">
        <f t="shared" si="98"/>
        <v>4.4097712805242217E-2</v>
      </c>
      <c r="AP125" s="55">
        <f t="shared" si="99"/>
        <v>4.4097712805242217E-2</v>
      </c>
      <c r="AQ125" s="55">
        <f t="shared" si="100"/>
        <v>4.4097712805242217E-2</v>
      </c>
      <c r="AR125" s="55">
        <f t="shared" si="101"/>
        <v>4.4097712805242217E-2</v>
      </c>
      <c r="AS125" s="55">
        <f t="shared" si="102"/>
        <v>4.4097712805242217E-2</v>
      </c>
      <c r="AT125" s="55">
        <f t="shared" si="103"/>
        <v>4.4097712805242217E-2</v>
      </c>
      <c r="AU125" s="55">
        <f t="shared" si="104"/>
        <v>4.4097712805242217E-2</v>
      </c>
      <c r="AV125" s="55">
        <f t="shared" si="105"/>
        <v>4.1693940041970023E-2</v>
      </c>
      <c r="AW125" s="55">
        <f t="shared" si="106"/>
        <v>4.1693940041970023E-2</v>
      </c>
      <c r="AX125" s="55">
        <f t="shared" si="107"/>
        <v>4.1693940041970023E-2</v>
      </c>
      <c r="AY125" s="55">
        <f t="shared" si="108"/>
        <v>4.1693940041970023E-2</v>
      </c>
      <c r="AZ125" s="56">
        <f t="shared" si="109"/>
        <v>4.1693940041970023E-2</v>
      </c>
    </row>
    <row r="126" spans="1:52" x14ac:dyDescent="0.35">
      <c r="A126" s="27">
        <v>119</v>
      </c>
      <c r="B126" s="63">
        <f t="shared" si="84"/>
        <v>4.4999999999999998E-2</v>
      </c>
      <c r="C126" s="28">
        <f>B126+VLOOKUP(Rawdata!A121,Int_rate_movements,2,TRUE)</f>
        <v>4.4999999999999998E-2</v>
      </c>
      <c r="D126" s="28">
        <f>C126+VLOOKUP(Rawdata!B121,Int_rate_movements,2,TRUE)</f>
        <v>4.4999999999999998E-2</v>
      </c>
      <c r="E126" s="28">
        <f>D126+VLOOKUP(Rawdata!C121,Int_rate_movements,2,TRUE)</f>
        <v>4.9999999999999996E-2</v>
      </c>
      <c r="F126" s="28">
        <f>E126+VLOOKUP(Rawdata!D121,Int_rate_movements,2,TRUE)</f>
        <v>4.9999999999999996E-2</v>
      </c>
      <c r="G126" s="28">
        <f>F126+VLOOKUP(Rawdata!E121,Int_rate_movements,2,TRUE)</f>
        <v>4.9999999999999996E-2</v>
      </c>
      <c r="H126" s="28">
        <f>G126+VLOOKUP(Rawdata!F121,Int_rate_movements,2,TRUE)</f>
        <v>4.9999999999999996E-2</v>
      </c>
      <c r="I126" s="28">
        <f>H126+VLOOKUP(Rawdata!G121,Int_rate_movements,2,TRUE)</f>
        <v>4.9999999999999996E-2</v>
      </c>
      <c r="J126" s="28">
        <f>I126+VLOOKUP(Rawdata!H121,Int_rate_movements,2,TRUE)</f>
        <v>4.9999999999999996E-2</v>
      </c>
      <c r="K126" s="28">
        <f>J126+VLOOKUP(Rawdata!I121,Int_rate_movements,2,TRUE)</f>
        <v>4.9999999999999996E-2</v>
      </c>
      <c r="L126" s="28">
        <f>K126+VLOOKUP(Rawdata!J121,Int_rate_movements,2,TRUE)</f>
        <v>4.9999999999999996E-2</v>
      </c>
      <c r="M126" s="28">
        <f>L126+VLOOKUP(Rawdata!K121,Int_rate_movements,2,TRUE)</f>
        <v>4.9999999999999996E-2</v>
      </c>
      <c r="N126" s="28">
        <f>M126+VLOOKUP(Rawdata!L121,Int_rate_movements,2,TRUE)</f>
        <v>4.9999999999999996E-2</v>
      </c>
      <c r="O126" s="28">
        <f>N126+VLOOKUP(Rawdata!M121,Int_rate_movements,2,TRUE)</f>
        <v>5.2499999999999998E-2</v>
      </c>
      <c r="P126" s="28">
        <f>O126+VLOOKUP(Rawdata!N121,Int_rate_movements,2,TRUE)</f>
        <v>5.2499999999999998E-2</v>
      </c>
      <c r="Q126" s="28">
        <f>P126+VLOOKUP(Rawdata!O121,Int_rate_movements,2,TRUE)</f>
        <v>4.9999999999999996E-2</v>
      </c>
      <c r="R126" s="28">
        <f>Q126+VLOOKUP(Rawdata!P121,Int_rate_movements,2,TRUE)</f>
        <v>4.9999999999999996E-2</v>
      </c>
      <c r="S126" s="28">
        <f>R126+VLOOKUP(Rawdata!Q121,Int_rate_movements,2,TRUE)</f>
        <v>4.9999999999999996E-2</v>
      </c>
      <c r="T126" s="28">
        <f>S126+VLOOKUP(Rawdata!R121,Int_rate_movements,2,TRUE)</f>
        <v>4.9999999999999996E-2</v>
      </c>
      <c r="U126" s="28">
        <f>T126+VLOOKUP(Rawdata!S121,Int_rate_movements,2,TRUE)</f>
        <v>4.7499999999999994E-2</v>
      </c>
      <c r="V126" s="28">
        <f>U126+VLOOKUP(Rawdata!T121,Int_rate_movements,2,TRUE)</f>
        <v>5.2499999999999991E-2</v>
      </c>
      <c r="W126" s="28">
        <f>V126+VLOOKUP(Rawdata!U121,Int_rate_movements,2,TRUE)</f>
        <v>5.2499999999999991E-2</v>
      </c>
      <c r="X126" s="28">
        <f>W126+VLOOKUP(Rawdata!V121,Int_rate_movements,2,TRUE)</f>
        <v>5.2499999999999991E-2</v>
      </c>
      <c r="Y126" s="28">
        <f>X126+VLOOKUP(Rawdata!W121,Int_rate_movements,2,TRUE)</f>
        <v>5.2499999999999991E-2</v>
      </c>
      <c r="Z126" s="35">
        <f>Y126+VLOOKUP(Rawdata!X121,Int_rate_movements,2,TRUE)</f>
        <v>5.2499999999999991E-2</v>
      </c>
      <c r="AB126" s="55">
        <f t="shared" si="85"/>
        <v>4.4097712805242217E-2</v>
      </c>
      <c r="AC126" s="55">
        <f t="shared" si="86"/>
        <v>4.4097712805242217E-2</v>
      </c>
      <c r="AD126" s="55">
        <f t="shared" si="87"/>
        <v>4.4097712805242217E-2</v>
      </c>
      <c r="AE126" s="55">
        <f t="shared" si="88"/>
        <v>4.8889485403780242E-2</v>
      </c>
      <c r="AF126" s="55">
        <f t="shared" si="89"/>
        <v>4.8889485403780242E-2</v>
      </c>
      <c r="AG126" s="55">
        <f t="shared" si="90"/>
        <v>4.8889485403780242E-2</v>
      </c>
      <c r="AH126" s="55">
        <f t="shared" si="91"/>
        <v>4.8889485403780242E-2</v>
      </c>
      <c r="AI126" s="55">
        <f t="shared" si="92"/>
        <v>4.8889485403780242E-2</v>
      </c>
      <c r="AJ126" s="55">
        <f t="shared" si="93"/>
        <v>4.8889485403780242E-2</v>
      </c>
      <c r="AK126" s="55">
        <f t="shared" si="94"/>
        <v>4.8889485403780242E-2</v>
      </c>
      <c r="AL126" s="55">
        <f t="shared" si="95"/>
        <v>4.8889485403780242E-2</v>
      </c>
      <c r="AM126" s="55">
        <f t="shared" si="96"/>
        <v>4.8889485403780242E-2</v>
      </c>
      <c r="AN126" s="55">
        <f t="shared" si="97"/>
        <v>4.8889485403780242E-2</v>
      </c>
      <c r="AO126" s="55">
        <f t="shared" si="98"/>
        <v>5.1277533193896829E-2</v>
      </c>
      <c r="AP126" s="55">
        <f t="shared" si="99"/>
        <v>5.1277533193896829E-2</v>
      </c>
      <c r="AQ126" s="55">
        <f t="shared" si="100"/>
        <v>4.8889485403780242E-2</v>
      </c>
      <c r="AR126" s="55">
        <f t="shared" si="101"/>
        <v>4.8889485403780242E-2</v>
      </c>
      <c r="AS126" s="55">
        <f t="shared" si="102"/>
        <v>4.8889485403780242E-2</v>
      </c>
      <c r="AT126" s="55">
        <f t="shared" si="103"/>
        <v>4.8889485403780242E-2</v>
      </c>
      <c r="AU126" s="55">
        <f t="shared" si="104"/>
        <v>4.6496219905550085E-2</v>
      </c>
      <c r="AV126" s="55">
        <f t="shared" si="105"/>
        <v>5.1277533193896829E-2</v>
      </c>
      <c r="AW126" s="55">
        <f t="shared" si="106"/>
        <v>5.1277533193896829E-2</v>
      </c>
      <c r="AX126" s="55">
        <f t="shared" si="107"/>
        <v>5.1277533193896829E-2</v>
      </c>
      <c r="AY126" s="55">
        <f t="shared" si="108"/>
        <v>5.1277533193896829E-2</v>
      </c>
      <c r="AZ126" s="56">
        <f t="shared" si="109"/>
        <v>5.1277533193896829E-2</v>
      </c>
    </row>
    <row r="127" spans="1:52" x14ac:dyDescent="0.35">
      <c r="A127" s="5">
        <v>120</v>
      </c>
      <c r="B127" s="63">
        <f t="shared" si="84"/>
        <v>4.4999999999999998E-2</v>
      </c>
      <c r="C127" s="28">
        <f>B127+VLOOKUP(Rawdata!A122,Int_rate_movements,2,TRUE)</f>
        <v>4.4999999999999998E-2</v>
      </c>
      <c r="D127" s="28">
        <f>C127+VLOOKUP(Rawdata!B122,Int_rate_movements,2,TRUE)</f>
        <v>4.4999999999999998E-2</v>
      </c>
      <c r="E127" s="28">
        <f>D127+VLOOKUP(Rawdata!C122,Int_rate_movements,2,TRUE)</f>
        <v>4.4999999999999998E-2</v>
      </c>
      <c r="F127" s="28">
        <f>E127+VLOOKUP(Rawdata!D122,Int_rate_movements,2,TRUE)</f>
        <v>4.4999999999999998E-2</v>
      </c>
      <c r="G127" s="28">
        <f>F127+VLOOKUP(Rawdata!E122,Int_rate_movements,2,TRUE)</f>
        <v>4.4999999999999998E-2</v>
      </c>
      <c r="H127" s="28">
        <f>G127+VLOOKUP(Rawdata!F122,Int_rate_movements,2,TRUE)</f>
        <v>4.4999999999999998E-2</v>
      </c>
      <c r="I127" s="28">
        <f>H127+VLOOKUP(Rawdata!G122,Int_rate_movements,2,TRUE)</f>
        <v>4.4999999999999998E-2</v>
      </c>
      <c r="J127" s="28">
        <f>I127+VLOOKUP(Rawdata!H122,Int_rate_movements,2,TRUE)</f>
        <v>4.4999999999999998E-2</v>
      </c>
      <c r="K127" s="28">
        <f>J127+VLOOKUP(Rawdata!I122,Int_rate_movements,2,TRUE)</f>
        <v>4.2499999999999996E-2</v>
      </c>
      <c r="L127" s="28">
        <f>K127+VLOOKUP(Rawdata!J122,Int_rate_movements,2,TRUE)</f>
        <v>4.2499999999999996E-2</v>
      </c>
      <c r="M127" s="28">
        <f>L127+VLOOKUP(Rawdata!K122,Int_rate_movements,2,TRUE)</f>
        <v>4.2499999999999996E-2</v>
      </c>
      <c r="N127" s="28">
        <f>M127+VLOOKUP(Rawdata!L122,Int_rate_movements,2,TRUE)</f>
        <v>4.2499999999999996E-2</v>
      </c>
      <c r="O127" s="28">
        <f>N127+VLOOKUP(Rawdata!M122,Int_rate_movements,2,TRUE)</f>
        <v>3.9999999999999994E-2</v>
      </c>
      <c r="P127" s="28">
        <f>O127+VLOOKUP(Rawdata!N122,Int_rate_movements,2,TRUE)</f>
        <v>3.9999999999999994E-2</v>
      </c>
      <c r="Q127" s="28">
        <f>P127+VLOOKUP(Rawdata!O122,Int_rate_movements,2,TRUE)</f>
        <v>3.9999999999999994E-2</v>
      </c>
      <c r="R127" s="28">
        <f>Q127+VLOOKUP(Rawdata!P122,Int_rate_movements,2,TRUE)</f>
        <v>3.9999999999999994E-2</v>
      </c>
      <c r="S127" s="28">
        <f>R127+VLOOKUP(Rawdata!Q122,Int_rate_movements,2,TRUE)</f>
        <v>3.9999999999999994E-2</v>
      </c>
      <c r="T127" s="28">
        <f>S127+VLOOKUP(Rawdata!R122,Int_rate_movements,2,TRUE)</f>
        <v>3.9999999999999994E-2</v>
      </c>
      <c r="U127" s="28">
        <f>T127+VLOOKUP(Rawdata!S122,Int_rate_movements,2,TRUE)</f>
        <v>3.9999999999999994E-2</v>
      </c>
      <c r="V127" s="28">
        <f>U127+VLOOKUP(Rawdata!T122,Int_rate_movements,2,TRUE)</f>
        <v>3.9999999999999994E-2</v>
      </c>
      <c r="W127" s="28">
        <f>V127+VLOOKUP(Rawdata!U122,Int_rate_movements,2,TRUE)</f>
        <v>3.9999999999999994E-2</v>
      </c>
      <c r="X127" s="28">
        <f>W127+VLOOKUP(Rawdata!V122,Int_rate_movements,2,TRUE)</f>
        <v>3.9999999999999994E-2</v>
      </c>
      <c r="Y127" s="28">
        <f>X127+VLOOKUP(Rawdata!W122,Int_rate_movements,2,TRUE)</f>
        <v>3.9999999999999994E-2</v>
      </c>
      <c r="Z127" s="35">
        <f>Y127+VLOOKUP(Rawdata!X122,Int_rate_movements,2,TRUE)</f>
        <v>3.9999999999999994E-2</v>
      </c>
      <c r="AB127" s="55">
        <f t="shared" si="85"/>
        <v>4.4097712805242217E-2</v>
      </c>
      <c r="AC127" s="55">
        <f t="shared" si="86"/>
        <v>4.4097712805242217E-2</v>
      </c>
      <c r="AD127" s="55">
        <f t="shared" si="87"/>
        <v>4.4097712805242217E-2</v>
      </c>
      <c r="AE127" s="55">
        <f t="shared" si="88"/>
        <v>4.4097712805242217E-2</v>
      </c>
      <c r="AF127" s="55">
        <f t="shared" si="89"/>
        <v>4.4097712805242217E-2</v>
      </c>
      <c r="AG127" s="55">
        <f t="shared" si="90"/>
        <v>4.4097712805242217E-2</v>
      </c>
      <c r="AH127" s="55">
        <f t="shared" si="91"/>
        <v>4.4097712805242217E-2</v>
      </c>
      <c r="AI127" s="55">
        <f t="shared" si="92"/>
        <v>4.4097712805242217E-2</v>
      </c>
      <c r="AJ127" s="55">
        <f t="shared" si="93"/>
        <v>4.4097712805242217E-2</v>
      </c>
      <c r="AK127" s="55">
        <f t="shared" si="94"/>
        <v>4.1693940041970023E-2</v>
      </c>
      <c r="AL127" s="55">
        <f t="shared" si="95"/>
        <v>4.1693940041970023E-2</v>
      </c>
      <c r="AM127" s="55">
        <f t="shared" si="96"/>
        <v>4.1693940041970023E-2</v>
      </c>
      <c r="AN127" s="55">
        <f t="shared" si="97"/>
        <v>4.1693940041970023E-2</v>
      </c>
      <c r="AO127" s="55">
        <f t="shared" si="98"/>
        <v>3.9284877386386974E-2</v>
      </c>
      <c r="AP127" s="55">
        <f t="shared" si="99"/>
        <v>3.9284877386386974E-2</v>
      </c>
      <c r="AQ127" s="55">
        <f t="shared" si="100"/>
        <v>3.9284877386386974E-2</v>
      </c>
      <c r="AR127" s="55">
        <f t="shared" si="101"/>
        <v>3.9284877386386974E-2</v>
      </c>
      <c r="AS127" s="55">
        <f t="shared" si="102"/>
        <v>3.9284877386386974E-2</v>
      </c>
      <c r="AT127" s="55">
        <f t="shared" si="103"/>
        <v>3.9284877386386974E-2</v>
      </c>
      <c r="AU127" s="55">
        <f t="shared" si="104"/>
        <v>3.9284877386386974E-2</v>
      </c>
      <c r="AV127" s="55">
        <f t="shared" si="105"/>
        <v>3.9284877386386974E-2</v>
      </c>
      <c r="AW127" s="55">
        <f t="shared" si="106"/>
        <v>3.9284877386386974E-2</v>
      </c>
      <c r="AX127" s="55">
        <f t="shared" si="107"/>
        <v>3.9284877386386974E-2</v>
      </c>
      <c r="AY127" s="55">
        <f t="shared" si="108"/>
        <v>3.9284877386386974E-2</v>
      </c>
      <c r="AZ127" s="56">
        <f t="shared" si="109"/>
        <v>3.9284877386386974E-2</v>
      </c>
    </row>
    <row r="128" spans="1:52" x14ac:dyDescent="0.35">
      <c r="A128" s="27">
        <v>121</v>
      </c>
      <c r="B128" s="63">
        <f t="shared" si="84"/>
        <v>4.4999999999999998E-2</v>
      </c>
      <c r="C128" s="28">
        <f>B128+VLOOKUP(Rawdata!A123,Int_rate_movements,2,TRUE)</f>
        <v>4.4999999999999998E-2</v>
      </c>
      <c r="D128" s="28">
        <f>C128+VLOOKUP(Rawdata!B123,Int_rate_movements,2,TRUE)</f>
        <v>4.4999999999999998E-2</v>
      </c>
      <c r="E128" s="28">
        <f>D128+VLOOKUP(Rawdata!C123,Int_rate_movements,2,TRUE)</f>
        <v>4.4999999999999998E-2</v>
      </c>
      <c r="F128" s="28">
        <f>E128+VLOOKUP(Rawdata!D123,Int_rate_movements,2,TRUE)</f>
        <v>4.2499999999999996E-2</v>
      </c>
      <c r="G128" s="28">
        <f>F128+VLOOKUP(Rawdata!E123,Int_rate_movements,2,TRUE)</f>
        <v>4.2499999999999996E-2</v>
      </c>
      <c r="H128" s="28">
        <f>G128+VLOOKUP(Rawdata!F123,Int_rate_movements,2,TRUE)</f>
        <v>4.2499999999999996E-2</v>
      </c>
      <c r="I128" s="28">
        <f>H128+VLOOKUP(Rawdata!G123,Int_rate_movements,2,TRUE)</f>
        <v>4.2499999999999996E-2</v>
      </c>
      <c r="J128" s="28">
        <f>I128+VLOOKUP(Rawdata!H123,Int_rate_movements,2,TRUE)</f>
        <v>4.2499999999999996E-2</v>
      </c>
      <c r="K128" s="28">
        <f>J128+VLOOKUP(Rawdata!I123,Int_rate_movements,2,TRUE)</f>
        <v>4.2499999999999996E-2</v>
      </c>
      <c r="L128" s="28">
        <f>K128+VLOOKUP(Rawdata!J123,Int_rate_movements,2,TRUE)</f>
        <v>4.4999999999999998E-2</v>
      </c>
      <c r="M128" s="28">
        <f>L128+VLOOKUP(Rawdata!K123,Int_rate_movements,2,TRUE)</f>
        <v>4.4999999999999998E-2</v>
      </c>
      <c r="N128" s="28">
        <f>M128+VLOOKUP(Rawdata!L123,Int_rate_movements,2,TRUE)</f>
        <v>4.4999999999999998E-2</v>
      </c>
      <c r="O128" s="28">
        <f>N128+VLOOKUP(Rawdata!M123,Int_rate_movements,2,TRUE)</f>
        <v>4.4999999999999998E-2</v>
      </c>
      <c r="P128" s="28">
        <f>O128+VLOOKUP(Rawdata!N123,Int_rate_movements,2,TRUE)</f>
        <v>4.4999999999999998E-2</v>
      </c>
      <c r="Q128" s="28">
        <f>P128+VLOOKUP(Rawdata!O123,Int_rate_movements,2,TRUE)</f>
        <v>4.4999999999999998E-2</v>
      </c>
      <c r="R128" s="28">
        <f>Q128+VLOOKUP(Rawdata!P123,Int_rate_movements,2,TRUE)</f>
        <v>4.4999999999999998E-2</v>
      </c>
      <c r="S128" s="28">
        <f>R128+VLOOKUP(Rawdata!Q123,Int_rate_movements,2,TRUE)</f>
        <v>4.4999999999999998E-2</v>
      </c>
      <c r="T128" s="28">
        <f>S128+VLOOKUP(Rawdata!R123,Int_rate_movements,2,TRUE)</f>
        <v>4.4999999999999998E-2</v>
      </c>
      <c r="U128" s="28">
        <f>T128+VLOOKUP(Rawdata!S123,Int_rate_movements,2,TRUE)</f>
        <v>4.4999999999999998E-2</v>
      </c>
      <c r="V128" s="28">
        <f>U128+VLOOKUP(Rawdata!T123,Int_rate_movements,2,TRUE)</f>
        <v>4.4999999999999998E-2</v>
      </c>
      <c r="W128" s="28">
        <f>V128+VLOOKUP(Rawdata!U123,Int_rate_movements,2,TRUE)</f>
        <v>4.4999999999999998E-2</v>
      </c>
      <c r="X128" s="28">
        <f>W128+VLOOKUP(Rawdata!V123,Int_rate_movements,2,TRUE)</f>
        <v>4.4999999999999998E-2</v>
      </c>
      <c r="Y128" s="28">
        <f>X128+VLOOKUP(Rawdata!W123,Int_rate_movements,2,TRUE)</f>
        <v>4.7500000000000001E-2</v>
      </c>
      <c r="Z128" s="35">
        <f>Y128+VLOOKUP(Rawdata!X123,Int_rate_movements,2,TRUE)</f>
        <v>4.7500000000000001E-2</v>
      </c>
      <c r="AB128" s="55">
        <f t="shared" si="85"/>
        <v>4.4097712805242217E-2</v>
      </c>
      <c r="AC128" s="55">
        <f t="shared" si="86"/>
        <v>4.4097712805242217E-2</v>
      </c>
      <c r="AD128" s="55">
        <f t="shared" si="87"/>
        <v>4.4097712805242217E-2</v>
      </c>
      <c r="AE128" s="55">
        <f t="shared" si="88"/>
        <v>4.4097712805242217E-2</v>
      </c>
      <c r="AF128" s="55">
        <f t="shared" si="89"/>
        <v>4.1693940041970023E-2</v>
      </c>
      <c r="AG128" s="55">
        <f t="shared" si="90"/>
        <v>4.1693940041970023E-2</v>
      </c>
      <c r="AH128" s="55">
        <f t="shared" si="91"/>
        <v>4.1693940041970023E-2</v>
      </c>
      <c r="AI128" s="55">
        <f t="shared" si="92"/>
        <v>4.1693940041970023E-2</v>
      </c>
      <c r="AJ128" s="55">
        <f t="shared" si="93"/>
        <v>4.1693940041970023E-2</v>
      </c>
      <c r="AK128" s="55">
        <f t="shared" si="94"/>
        <v>4.1693940041970023E-2</v>
      </c>
      <c r="AL128" s="55">
        <f t="shared" si="95"/>
        <v>4.4097712805242217E-2</v>
      </c>
      <c r="AM128" s="55">
        <f t="shared" si="96"/>
        <v>4.4097712805242217E-2</v>
      </c>
      <c r="AN128" s="55">
        <f t="shared" si="97"/>
        <v>4.4097712805242217E-2</v>
      </c>
      <c r="AO128" s="55">
        <f t="shared" si="98"/>
        <v>4.4097712805242217E-2</v>
      </c>
      <c r="AP128" s="55">
        <f t="shared" si="99"/>
        <v>4.4097712805242217E-2</v>
      </c>
      <c r="AQ128" s="55">
        <f t="shared" si="100"/>
        <v>4.4097712805242217E-2</v>
      </c>
      <c r="AR128" s="55">
        <f t="shared" si="101"/>
        <v>4.4097712805242217E-2</v>
      </c>
      <c r="AS128" s="55">
        <f t="shared" si="102"/>
        <v>4.4097712805242217E-2</v>
      </c>
      <c r="AT128" s="55">
        <f t="shared" si="103"/>
        <v>4.4097712805242217E-2</v>
      </c>
      <c r="AU128" s="55">
        <f t="shared" si="104"/>
        <v>4.4097712805242217E-2</v>
      </c>
      <c r="AV128" s="55">
        <f t="shared" si="105"/>
        <v>4.4097712805242217E-2</v>
      </c>
      <c r="AW128" s="55">
        <f t="shared" si="106"/>
        <v>4.4097712805242217E-2</v>
      </c>
      <c r="AX128" s="55">
        <f t="shared" si="107"/>
        <v>4.4097712805242217E-2</v>
      </c>
      <c r="AY128" s="55">
        <f t="shared" si="108"/>
        <v>4.6496219905550085E-2</v>
      </c>
      <c r="AZ128" s="56">
        <f t="shared" si="109"/>
        <v>4.6496219905550085E-2</v>
      </c>
    </row>
    <row r="129" spans="1:52" x14ac:dyDescent="0.35">
      <c r="A129" s="5">
        <v>122</v>
      </c>
      <c r="B129" s="63">
        <f t="shared" si="84"/>
        <v>4.4999999999999998E-2</v>
      </c>
      <c r="C129" s="28">
        <f>B129+VLOOKUP(Rawdata!A124,Int_rate_movements,2,TRUE)</f>
        <v>4.7500000000000001E-2</v>
      </c>
      <c r="D129" s="28">
        <f>C129+VLOOKUP(Rawdata!B124,Int_rate_movements,2,TRUE)</f>
        <v>4.7500000000000001E-2</v>
      </c>
      <c r="E129" s="28">
        <f>D129+VLOOKUP(Rawdata!C124,Int_rate_movements,2,TRUE)</f>
        <v>4.2500000000000003E-2</v>
      </c>
      <c r="F129" s="28">
        <f>E129+VLOOKUP(Rawdata!D124,Int_rate_movements,2,TRUE)</f>
        <v>4.2500000000000003E-2</v>
      </c>
      <c r="G129" s="28">
        <f>F129+VLOOKUP(Rawdata!E124,Int_rate_movements,2,TRUE)</f>
        <v>4.2500000000000003E-2</v>
      </c>
      <c r="H129" s="28">
        <f>G129+VLOOKUP(Rawdata!F124,Int_rate_movements,2,TRUE)</f>
        <v>4.2500000000000003E-2</v>
      </c>
      <c r="I129" s="28">
        <f>H129+VLOOKUP(Rawdata!G124,Int_rate_movements,2,TRUE)</f>
        <v>4.2500000000000003E-2</v>
      </c>
      <c r="J129" s="28">
        <f>I129+VLOOKUP(Rawdata!H124,Int_rate_movements,2,TRUE)</f>
        <v>4.2500000000000003E-2</v>
      </c>
      <c r="K129" s="28">
        <f>J129+VLOOKUP(Rawdata!I124,Int_rate_movements,2,TRUE)</f>
        <v>4.2500000000000003E-2</v>
      </c>
      <c r="L129" s="28">
        <f>K129+VLOOKUP(Rawdata!J124,Int_rate_movements,2,TRUE)</f>
        <v>4.2500000000000003E-2</v>
      </c>
      <c r="M129" s="28">
        <f>L129+VLOOKUP(Rawdata!K124,Int_rate_movements,2,TRUE)</f>
        <v>4.2500000000000003E-2</v>
      </c>
      <c r="N129" s="28">
        <f>M129+VLOOKUP(Rawdata!L124,Int_rate_movements,2,TRUE)</f>
        <v>4.2500000000000003E-2</v>
      </c>
      <c r="O129" s="28">
        <f>N129+VLOOKUP(Rawdata!M124,Int_rate_movements,2,TRUE)</f>
        <v>4.2500000000000003E-2</v>
      </c>
      <c r="P129" s="28">
        <f>O129+VLOOKUP(Rawdata!N124,Int_rate_movements,2,TRUE)</f>
        <v>4.2500000000000003E-2</v>
      </c>
      <c r="Q129" s="28">
        <f>P129+VLOOKUP(Rawdata!O124,Int_rate_movements,2,TRUE)</f>
        <v>4.5000000000000005E-2</v>
      </c>
      <c r="R129" s="28">
        <f>Q129+VLOOKUP(Rawdata!P124,Int_rate_movements,2,TRUE)</f>
        <v>4.5000000000000005E-2</v>
      </c>
      <c r="S129" s="28">
        <f>R129+VLOOKUP(Rawdata!Q124,Int_rate_movements,2,TRUE)</f>
        <v>0.05</v>
      </c>
      <c r="T129" s="28">
        <f>S129+VLOOKUP(Rawdata!R124,Int_rate_movements,2,TRUE)</f>
        <v>4.5000000000000005E-2</v>
      </c>
      <c r="U129" s="28">
        <f>T129+VLOOKUP(Rawdata!S124,Int_rate_movements,2,TRUE)</f>
        <v>4.5000000000000005E-2</v>
      </c>
      <c r="V129" s="28">
        <f>U129+VLOOKUP(Rawdata!T124,Int_rate_movements,2,TRUE)</f>
        <v>4.5000000000000005E-2</v>
      </c>
      <c r="W129" s="28">
        <f>V129+VLOOKUP(Rawdata!U124,Int_rate_movements,2,TRUE)</f>
        <v>4.5000000000000005E-2</v>
      </c>
      <c r="X129" s="28">
        <f>W129+VLOOKUP(Rawdata!V124,Int_rate_movements,2,TRUE)</f>
        <v>4.5000000000000005E-2</v>
      </c>
      <c r="Y129" s="28">
        <f>X129+VLOOKUP(Rawdata!W124,Int_rate_movements,2,TRUE)</f>
        <v>4.5000000000000005E-2</v>
      </c>
      <c r="Z129" s="35">
        <f>Y129+VLOOKUP(Rawdata!X124,Int_rate_movements,2,TRUE)</f>
        <v>4.7500000000000007E-2</v>
      </c>
      <c r="AB129" s="55">
        <f t="shared" si="85"/>
        <v>4.4097712805242217E-2</v>
      </c>
      <c r="AC129" s="55">
        <f t="shared" si="86"/>
        <v>4.6496219905550085E-2</v>
      </c>
      <c r="AD129" s="55">
        <f t="shared" si="87"/>
        <v>4.6496219905550085E-2</v>
      </c>
      <c r="AE129" s="55">
        <f t="shared" si="88"/>
        <v>4.1693940041970023E-2</v>
      </c>
      <c r="AF129" s="55">
        <f t="shared" si="89"/>
        <v>4.1693940041970023E-2</v>
      </c>
      <c r="AG129" s="55">
        <f t="shared" si="90"/>
        <v>4.1693940041970023E-2</v>
      </c>
      <c r="AH129" s="55">
        <f t="shared" si="91"/>
        <v>4.1693940041970023E-2</v>
      </c>
      <c r="AI129" s="55">
        <f t="shared" si="92"/>
        <v>4.1693940041970023E-2</v>
      </c>
      <c r="AJ129" s="55">
        <f t="shared" si="93"/>
        <v>4.1693940041970023E-2</v>
      </c>
      <c r="AK129" s="55">
        <f t="shared" si="94"/>
        <v>4.1693940041970023E-2</v>
      </c>
      <c r="AL129" s="55">
        <f t="shared" si="95"/>
        <v>4.1693940041970023E-2</v>
      </c>
      <c r="AM129" s="55">
        <f t="shared" si="96"/>
        <v>4.1693940041970023E-2</v>
      </c>
      <c r="AN129" s="55">
        <f t="shared" si="97"/>
        <v>4.1693940041970023E-2</v>
      </c>
      <c r="AO129" s="55">
        <f t="shared" si="98"/>
        <v>4.1693940041970023E-2</v>
      </c>
      <c r="AP129" s="55">
        <f t="shared" si="99"/>
        <v>4.1693940041970023E-2</v>
      </c>
      <c r="AQ129" s="55">
        <f t="shared" si="100"/>
        <v>4.4097712805242217E-2</v>
      </c>
      <c r="AR129" s="55">
        <f t="shared" si="101"/>
        <v>4.4097712805242217E-2</v>
      </c>
      <c r="AS129" s="55">
        <f t="shared" si="102"/>
        <v>4.8889485403780242E-2</v>
      </c>
      <c r="AT129" s="55">
        <f t="shared" si="103"/>
        <v>4.4097712805242217E-2</v>
      </c>
      <c r="AU129" s="55">
        <f t="shared" si="104"/>
        <v>4.4097712805242217E-2</v>
      </c>
      <c r="AV129" s="55">
        <f t="shared" si="105"/>
        <v>4.4097712805242217E-2</v>
      </c>
      <c r="AW129" s="55">
        <f t="shared" si="106"/>
        <v>4.4097712805242217E-2</v>
      </c>
      <c r="AX129" s="55">
        <f t="shared" si="107"/>
        <v>4.4097712805242217E-2</v>
      </c>
      <c r="AY129" s="55">
        <f t="shared" si="108"/>
        <v>4.4097712805242217E-2</v>
      </c>
      <c r="AZ129" s="56">
        <f t="shared" si="109"/>
        <v>4.6496219905550085E-2</v>
      </c>
    </row>
    <row r="130" spans="1:52" x14ac:dyDescent="0.35">
      <c r="A130" s="27">
        <v>123</v>
      </c>
      <c r="B130" s="63">
        <f t="shared" si="84"/>
        <v>4.4999999999999998E-2</v>
      </c>
      <c r="C130" s="28">
        <f>B130+VLOOKUP(Rawdata!A125,Int_rate_movements,2,TRUE)</f>
        <v>4.4999999999999998E-2</v>
      </c>
      <c r="D130" s="28">
        <f>C130+VLOOKUP(Rawdata!B125,Int_rate_movements,2,TRUE)</f>
        <v>4.4999999999999998E-2</v>
      </c>
      <c r="E130" s="28">
        <f>D130+VLOOKUP(Rawdata!C125,Int_rate_movements,2,TRUE)</f>
        <v>4.4999999999999998E-2</v>
      </c>
      <c r="F130" s="28">
        <f>E130+VLOOKUP(Rawdata!D125,Int_rate_movements,2,TRUE)</f>
        <v>4.4999999999999998E-2</v>
      </c>
      <c r="G130" s="28">
        <f>F130+VLOOKUP(Rawdata!E125,Int_rate_movements,2,TRUE)</f>
        <v>4.4999999999999998E-2</v>
      </c>
      <c r="H130" s="28">
        <f>G130+VLOOKUP(Rawdata!F125,Int_rate_movements,2,TRUE)</f>
        <v>4.7500000000000001E-2</v>
      </c>
      <c r="I130" s="28">
        <f>H130+VLOOKUP(Rawdata!G125,Int_rate_movements,2,TRUE)</f>
        <v>4.4999999999999998E-2</v>
      </c>
      <c r="J130" s="28">
        <f>I130+VLOOKUP(Rawdata!H125,Int_rate_movements,2,TRUE)</f>
        <v>4.4999999999999998E-2</v>
      </c>
      <c r="K130" s="28">
        <f>J130+VLOOKUP(Rawdata!I125,Int_rate_movements,2,TRUE)</f>
        <v>4.4999999999999998E-2</v>
      </c>
      <c r="L130" s="28">
        <f>K130+VLOOKUP(Rawdata!J125,Int_rate_movements,2,TRUE)</f>
        <v>4.4999999999999998E-2</v>
      </c>
      <c r="M130" s="28">
        <f>L130+VLOOKUP(Rawdata!K125,Int_rate_movements,2,TRUE)</f>
        <v>4.4999999999999998E-2</v>
      </c>
      <c r="N130" s="28">
        <f>M130+VLOOKUP(Rawdata!L125,Int_rate_movements,2,TRUE)</f>
        <v>4.7500000000000001E-2</v>
      </c>
      <c r="O130" s="28">
        <f>N130+VLOOKUP(Rawdata!M125,Int_rate_movements,2,TRUE)</f>
        <v>4.7500000000000001E-2</v>
      </c>
      <c r="P130" s="28">
        <f>O130+VLOOKUP(Rawdata!N125,Int_rate_movements,2,TRUE)</f>
        <v>4.7500000000000001E-2</v>
      </c>
      <c r="Q130" s="28">
        <f>P130+VLOOKUP(Rawdata!O125,Int_rate_movements,2,TRUE)</f>
        <v>4.7500000000000001E-2</v>
      </c>
      <c r="R130" s="28">
        <f>Q130+VLOOKUP(Rawdata!P125,Int_rate_movements,2,TRUE)</f>
        <v>4.7500000000000001E-2</v>
      </c>
      <c r="S130" s="28">
        <f>R130+VLOOKUP(Rawdata!Q125,Int_rate_movements,2,TRUE)</f>
        <v>4.7500000000000001E-2</v>
      </c>
      <c r="T130" s="28">
        <f>S130+VLOOKUP(Rawdata!R125,Int_rate_movements,2,TRUE)</f>
        <v>4.7500000000000001E-2</v>
      </c>
      <c r="U130" s="28">
        <f>T130+VLOOKUP(Rawdata!S125,Int_rate_movements,2,TRUE)</f>
        <v>4.7500000000000001E-2</v>
      </c>
      <c r="V130" s="28">
        <f>U130+VLOOKUP(Rawdata!T125,Int_rate_movements,2,TRUE)</f>
        <v>4.7500000000000001E-2</v>
      </c>
      <c r="W130" s="28">
        <f>V130+VLOOKUP(Rawdata!U125,Int_rate_movements,2,TRUE)</f>
        <v>4.7500000000000001E-2</v>
      </c>
      <c r="X130" s="28">
        <f>W130+VLOOKUP(Rawdata!V125,Int_rate_movements,2,TRUE)</f>
        <v>0.05</v>
      </c>
      <c r="Y130" s="28">
        <f>X130+VLOOKUP(Rawdata!W125,Int_rate_movements,2,TRUE)</f>
        <v>0.05</v>
      </c>
      <c r="Z130" s="35">
        <f>Y130+VLOOKUP(Rawdata!X125,Int_rate_movements,2,TRUE)</f>
        <v>0.05</v>
      </c>
      <c r="AB130" s="55">
        <f t="shared" si="85"/>
        <v>4.4097712805242217E-2</v>
      </c>
      <c r="AC130" s="55">
        <f t="shared" si="86"/>
        <v>4.4097712805242217E-2</v>
      </c>
      <c r="AD130" s="55">
        <f t="shared" si="87"/>
        <v>4.4097712805242217E-2</v>
      </c>
      <c r="AE130" s="55">
        <f t="shared" si="88"/>
        <v>4.4097712805242217E-2</v>
      </c>
      <c r="AF130" s="55">
        <f t="shared" si="89"/>
        <v>4.4097712805242217E-2</v>
      </c>
      <c r="AG130" s="55">
        <f t="shared" si="90"/>
        <v>4.4097712805242217E-2</v>
      </c>
      <c r="AH130" s="55">
        <f t="shared" si="91"/>
        <v>4.6496219905550085E-2</v>
      </c>
      <c r="AI130" s="55">
        <f t="shared" si="92"/>
        <v>4.4097712805242217E-2</v>
      </c>
      <c r="AJ130" s="55">
        <f t="shared" si="93"/>
        <v>4.4097712805242217E-2</v>
      </c>
      <c r="AK130" s="55">
        <f t="shared" si="94"/>
        <v>4.4097712805242217E-2</v>
      </c>
      <c r="AL130" s="55">
        <f t="shared" si="95"/>
        <v>4.4097712805242217E-2</v>
      </c>
      <c r="AM130" s="55">
        <f t="shared" si="96"/>
        <v>4.4097712805242217E-2</v>
      </c>
      <c r="AN130" s="55">
        <f t="shared" si="97"/>
        <v>4.6496219905550085E-2</v>
      </c>
      <c r="AO130" s="55">
        <f t="shared" si="98"/>
        <v>4.6496219905550085E-2</v>
      </c>
      <c r="AP130" s="55">
        <f t="shared" si="99"/>
        <v>4.6496219905550085E-2</v>
      </c>
      <c r="AQ130" s="55">
        <f t="shared" si="100"/>
        <v>4.6496219905550085E-2</v>
      </c>
      <c r="AR130" s="55">
        <f t="shared" si="101"/>
        <v>4.6496219905550085E-2</v>
      </c>
      <c r="AS130" s="55">
        <f t="shared" si="102"/>
        <v>4.6496219905550085E-2</v>
      </c>
      <c r="AT130" s="55">
        <f t="shared" si="103"/>
        <v>4.6496219905550085E-2</v>
      </c>
      <c r="AU130" s="55">
        <f t="shared" si="104"/>
        <v>4.6496219905550085E-2</v>
      </c>
      <c r="AV130" s="55">
        <f t="shared" si="105"/>
        <v>4.6496219905550085E-2</v>
      </c>
      <c r="AW130" s="55">
        <f t="shared" si="106"/>
        <v>4.6496219905550085E-2</v>
      </c>
      <c r="AX130" s="55">
        <f t="shared" si="107"/>
        <v>4.8889485403780242E-2</v>
      </c>
      <c r="AY130" s="55">
        <f t="shared" si="108"/>
        <v>4.8889485403780242E-2</v>
      </c>
      <c r="AZ130" s="56">
        <f t="shared" si="109"/>
        <v>4.8889485403780242E-2</v>
      </c>
    </row>
    <row r="131" spans="1:52" x14ac:dyDescent="0.35">
      <c r="A131" s="5">
        <v>124</v>
      </c>
      <c r="B131" s="63">
        <f t="shared" si="84"/>
        <v>4.4999999999999998E-2</v>
      </c>
      <c r="C131" s="28">
        <f>B131+VLOOKUP(Rawdata!A126,Int_rate_movements,2,TRUE)</f>
        <v>4.4999999999999998E-2</v>
      </c>
      <c r="D131" s="28">
        <f>C131+VLOOKUP(Rawdata!B126,Int_rate_movements,2,TRUE)</f>
        <v>4.4999999999999998E-2</v>
      </c>
      <c r="E131" s="28">
        <f>D131+VLOOKUP(Rawdata!C126,Int_rate_movements,2,TRUE)</f>
        <v>4.4999999999999998E-2</v>
      </c>
      <c r="F131" s="28">
        <f>E131+VLOOKUP(Rawdata!D126,Int_rate_movements,2,TRUE)</f>
        <v>4.4999999999999998E-2</v>
      </c>
      <c r="G131" s="28">
        <f>F131+VLOOKUP(Rawdata!E126,Int_rate_movements,2,TRUE)</f>
        <v>4.4999999999999998E-2</v>
      </c>
      <c r="H131" s="28">
        <f>G131+VLOOKUP(Rawdata!F126,Int_rate_movements,2,TRUE)</f>
        <v>4.4999999999999998E-2</v>
      </c>
      <c r="I131" s="28">
        <f>H131+VLOOKUP(Rawdata!G126,Int_rate_movements,2,TRUE)</f>
        <v>4.4999999999999998E-2</v>
      </c>
      <c r="J131" s="28">
        <f>I131+VLOOKUP(Rawdata!H126,Int_rate_movements,2,TRUE)</f>
        <v>4.4999999999999998E-2</v>
      </c>
      <c r="K131" s="28">
        <f>J131+VLOOKUP(Rawdata!I126,Int_rate_movements,2,TRUE)</f>
        <v>4.4999999999999998E-2</v>
      </c>
      <c r="L131" s="28">
        <f>K131+VLOOKUP(Rawdata!J126,Int_rate_movements,2,TRUE)</f>
        <v>4.4999999999999998E-2</v>
      </c>
      <c r="M131" s="28">
        <f>L131+VLOOKUP(Rawdata!K126,Int_rate_movements,2,TRUE)</f>
        <v>4.4999999999999998E-2</v>
      </c>
      <c r="N131" s="28">
        <f>M131+VLOOKUP(Rawdata!L126,Int_rate_movements,2,TRUE)</f>
        <v>4.4999999999999998E-2</v>
      </c>
      <c r="O131" s="28">
        <f>N131+VLOOKUP(Rawdata!M126,Int_rate_movements,2,TRUE)</f>
        <v>4.4999999999999998E-2</v>
      </c>
      <c r="P131" s="28">
        <f>O131+VLOOKUP(Rawdata!N126,Int_rate_movements,2,TRUE)</f>
        <v>4.4999999999999998E-2</v>
      </c>
      <c r="Q131" s="28">
        <f>P131+VLOOKUP(Rawdata!O126,Int_rate_movements,2,TRUE)</f>
        <v>4.4999999999999998E-2</v>
      </c>
      <c r="R131" s="28">
        <f>Q131+VLOOKUP(Rawdata!P126,Int_rate_movements,2,TRUE)</f>
        <v>4.4999999999999998E-2</v>
      </c>
      <c r="S131" s="28">
        <f>R131+VLOOKUP(Rawdata!Q126,Int_rate_movements,2,TRUE)</f>
        <v>4.4999999999999998E-2</v>
      </c>
      <c r="T131" s="28">
        <f>S131+VLOOKUP(Rawdata!R126,Int_rate_movements,2,TRUE)</f>
        <v>4.2499999999999996E-2</v>
      </c>
      <c r="U131" s="28">
        <f>T131+VLOOKUP(Rawdata!S126,Int_rate_movements,2,TRUE)</f>
        <v>4.2499999999999996E-2</v>
      </c>
      <c r="V131" s="28">
        <f>U131+VLOOKUP(Rawdata!T126,Int_rate_movements,2,TRUE)</f>
        <v>4.2499999999999996E-2</v>
      </c>
      <c r="W131" s="28">
        <f>V131+VLOOKUP(Rawdata!U126,Int_rate_movements,2,TRUE)</f>
        <v>4.2499999999999996E-2</v>
      </c>
      <c r="X131" s="28">
        <f>W131+VLOOKUP(Rawdata!V126,Int_rate_movements,2,TRUE)</f>
        <v>4.2499999999999996E-2</v>
      </c>
      <c r="Y131" s="28">
        <f>X131+VLOOKUP(Rawdata!W126,Int_rate_movements,2,TRUE)</f>
        <v>4.2499999999999996E-2</v>
      </c>
      <c r="Z131" s="35">
        <f>Y131+VLOOKUP(Rawdata!X126,Int_rate_movements,2,TRUE)</f>
        <v>4.2499999999999996E-2</v>
      </c>
      <c r="AB131" s="55">
        <f t="shared" si="85"/>
        <v>4.4097712805242217E-2</v>
      </c>
      <c r="AC131" s="55">
        <f t="shared" si="86"/>
        <v>4.4097712805242217E-2</v>
      </c>
      <c r="AD131" s="55">
        <f t="shared" si="87"/>
        <v>4.4097712805242217E-2</v>
      </c>
      <c r="AE131" s="55">
        <f t="shared" si="88"/>
        <v>4.4097712805242217E-2</v>
      </c>
      <c r="AF131" s="55">
        <f t="shared" si="89"/>
        <v>4.4097712805242217E-2</v>
      </c>
      <c r="AG131" s="55">
        <f t="shared" si="90"/>
        <v>4.4097712805242217E-2</v>
      </c>
      <c r="AH131" s="55">
        <f t="shared" si="91"/>
        <v>4.4097712805242217E-2</v>
      </c>
      <c r="AI131" s="55">
        <f t="shared" si="92"/>
        <v>4.4097712805242217E-2</v>
      </c>
      <c r="AJ131" s="55">
        <f t="shared" si="93"/>
        <v>4.4097712805242217E-2</v>
      </c>
      <c r="AK131" s="55">
        <f t="shared" si="94"/>
        <v>4.4097712805242217E-2</v>
      </c>
      <c r="AL131" s="55">
        <f t="shared" si="95"/>
        <v>4.4097712805242217E-2</v>
      </c>
      <c r="AM131" s="55">
        <f t="shared" si="96"/>
        <v>4.4097712805242217E-2</v>
      </c>
      <c r="AN131" s="55">
        <f t="shared" si="97"/>
        <v>4.4097712805242217E-2</v>
      </c>
      <c r="AO131" s="55">
        <f t="shared" si="98"/>
        <v>4.4097712805242217E-2</v>
      </c>
      <c r="AP131" s="55">
        <f t="shared" si="99"/>
        <v>4.4097712805242217E-2</v>
      </c>
      <c r="AQ131" s="55">
        <f t="shared" si="100"/>
        <v>4.4097712805242217E-2</v>
      </c>
      <c r="AR131" s="55">
        <f t="shared" si="101"/>
        <v>4.4097712805242217E-2</v>
      </c>
      <c r="AS131" s="55">
        <f t="shared" si="102"/>
        <v>4.4097712805242217E-2</v>
      </c>
      <c r="AT131" s="55">
        <f t="shared" si="103"/>
        <v>4.1693940041970023E-2</v>
      </c>
      <c r="AU131" s="55">
        <f t="shared" si="104"/>
        <v>4.1693940041970023E-2</v>
      </c>
      <c r="AV131" s="55">
        <f t="shared" si="105"/>
        <v>4.1693940041970023E-2</v>
      </c>
      <c r="AW131" s="55">
        <f t="shared" si="106"/>
        <v>4.1693940041970023E-2</v>
      </c>
      <c r="AX131" s="55">
        <f t="shared" si="107"/>
        <v>4.1693940041970023E-2</v>
      </c>
      <c r="AY131" s="55">
        <f t="shared" si="108"/>
        <v>4.1693940041970023E-2</v>
      </c>
      <c r="AZ131" s="56">
        <f t="shared" si="109"/>
        <v>4.1693940041970023E-2</v>
      </c>
    </row>
    <row r="132" spans="1:52" x14ac:dyDescent="0.35">
      <c r="A132" s="27">
        <v>125</v>
      </c>
      <c r="B132" s="63">
        <f t="shared" si="84"/>
        <v>4.4999999999999998E-2</v>
      </c>
      <c r="C132" s="28">
        <f>B132+VLOOKUP(Rawdata!A127,Int_rate_movements,2,TRUE)</f>
        <v>4.4999999999999998E-2</v>
      </c>
      <c r="D132" s="28">
        <f>C132+VLOOKUP(Rawdata!B127,Int_rate_movements,2,TRUE)</f>
        <v>4.7500000000000001E-2</v>
      </c>
      <c r="E132" s="28">
        <f>D132+VLOOKUP(Rawdata!C127,Int_rate_movements,2,TRUE)</f>
        <v>4.7500000000000001E-2</v>
      </c>
      <c r="F132" s="28">
        <f>E132+VLOOKUP(Rawdata!D127,Int_rate_movements,2,TRUE)</f>
        <v>4.7500000000000001E-2</v>
      </c>
      <c r="G132" s="28">
        <f>F132+VLOOKUP(Rawdata!E127,Int_rate_movements,2,TRUE)</f>
        <v>4.7500000000000001E-2</v>
      </c>
      <c r="H132" s="28">
        <f>G132+VLOOKUP(Rawdata!F127,Int_rate_movements,2,TRUE)</f>
        <v>4.7500000000000001E-2</v>
      </c>
      <c r="I132" s="28">
        <f>H132+VLOOKUP(Rawdata!G127,Int_rate_movements,2,TRUE)</f>
        <v>4.7500000000000001E-2</v>
      </c>
      <c r="J132" s="28">
        <f>I132+VLOOKUP(Rawdata!H127,Int_rate_movements,2,TRUE)</f>
        <v>4.7500000000000001E-2</v>
      </c>
      <c r="K132" s="28">
        <f>J132+VLOOKUP(Rawdata!I127,Int_rate_movements,2,TRUE)</f>
        <v>4.7500000000000001E-2</v>
      </c>
      <c r="L132" s="28">
        <f>K132+VLOOKUP(Rawdata!J127,Int_rate_movements,2,TRUE)</f>
        <v>4.7500000000000001E-2</v>
      </c>
      <c r="M132" s="28">
        <f>L132+VLOOKUP(Rawdata!K127,Int_rate_movements,2,TRUE)</f>
        <v>4.7500000000000001E-2</v>
      </c>
      <c r="N132" s="28">
        <f>M132+VLOOKUP(Rawdata!L127,Int_rate_movements,2,TRUE)</f>
        <v>4.7500000000000001E-2</v>
      </c>
      <c r="O132" s="28">
        <f>N132+VLOOKUP(Rawdata!M127,Int_rate_movements,2,TRUE)</f>
        <v>4.7500000000000001E-2</v>
      </c>
      <c r="P132" s="28">
        <f>O132+VLOOKUP(Rawdata!N127,Int_rate_movements,2,TRUE)</f>
        <v>4.7500000000000001E-2</v>
      </c>
      <c r="Q132" s="28">
        <f>P132+VLOOKUP(Rawdata!O127,Int_rate_movements,2,TRUE)</f>
        <v>5.2499999999999998E-2</v>
      </c>
      <c r="R132" s="28">
        <f>Q132+VLOOKUP(Rawdata!P127,Int_rate_movements,2,TRUE)</f>
        <v>5.2499999999999998E-2</v>
      </c>
      <c r="S132" s="28">
        <f>R132+VLOOKUP(Rawdata!Q127,Int_rate_movements,2,TRUE)</f>
        <v>5.5E-2</v>
      </c>
      <c r="T132" s="28">
        <f>S132+VLOOKUP(Rawdata!R127,Int_rate_movements,2,TRUE)</f>
        <v>5.5E-2</v>
      </c>
      <c r="U132" s="28">
        <f>T132+VLOOKUP(Rawdata!S127,Int_rate_movements,2,TRUE)</f>
        <v>5.2499999999999998E-2</v>
      </c>
      <c r="V132" s="28">
        <f>U132+VLOOKUP(Rawdata!T127,Int_rate_movements,2,TRUE)</f>
        <v>5.2499999999999998E-2</v>
      </c>
      <c r="W132" s="28">
        <f>V132+VLOOKUP(Rawdata!U127,Int_rate_movements,2,TRUE)</f>
        <v>5.2499999999999998E-2</v>
      </c>
      <c r="X132" s="28">
        <f>W132+VLOOKUP(Rawdata!V127,Int_rate_movements,2,TRUE)</f>
        <v>5.2499999999999998E-2</v>
      </c>
      <c r="Y132" s="28">
        <f>X132+VLOOKUP(Rawdata!W127,Int_rate_movements,2,TRUE)</f>
        <v>5.2499999999999998E-2</v>
      </c>
      <c r="Z132" s="35">
        <f>Y132+VLOOKUP(Rawdata!X127,Int_rate_movements,2,TRUE)</f>
        <v>5.2499999999999998E-2</v>
      </c>
      <c r="AB132" s="55">
        <f t="shared" si="85"/>
        <v>4.4097712805242217E-2</v>
      </c>
      <c r="AC132" s="55">
        <f t="shared" si="86"/>
        <v>4.4097712805242217E-2</v>
      </c>
      <c r="AD132" s="55">
        <f t="shared" si="87"/>
        <v>4.6496219905550085E-2</v>
      </c>
      <c r="AE132" s="55">
        <f t="shared" si="88"/>
        <v>4.6496219905550085E-2</v>
      </c>
      <c r="AF132" s="55">
        <f t="shared" si="89"/>
        <v>4.6496219905550085E-2</v>
      </c>
      <c r="AG132" s="55">
        <f t="shared" si="90"/>
        <v>4.6496219905550085E-2</v>
      </c>
      <c r="AH132" s="55">
        <f t="shared" si="91"/>
        <v>4.6496219905550085E-2</v>
      </c>
      <c r="AI132" s="55">
        <f t="shared" si="92"/>
        <v>4.6496219905550085E-2</v>
      </c>
      <c r="AJ132" s="55">
        <f t="shared" si="93"/>
        <v>4.6496219905550085E-2</v>
      </c>
      <c r="AK132" s="55">
        <f t="shared" si="94"/>
        <v>4.6496219905550085E-2</v>
      </c>
      <c r="AL132" s="55">
        <f t="shared" si="95"/>
        <v>4.6496219905550085E-2</v>
      </c>
      <c r="AM132" s="55">
        <f t="shared" si="96"/>
        <v>4.6496219905550085E-2</v>
      </c>
      <c r="AN132" s="55">
        <f t="shared" si="97"/>
        <v>4.6496219905550085E-2</v>
      </c>
      <c r="AO132" s="55">
        <f t="shared" si="98"/>
        <v>4.6496219905550085E-2</v>
      </c>
      <c r="AP132" s="55">
        <f t="shared" si="99"/>
        <v>4.6496219905550085E-2</v>
      </c>
      <c r="AQ132" s="55">
        <f t="shared" si="100"/>
        <v>5.1277533193896829E-2</v>
      </c>
      <c r="AR132" s="55">
        <f t="shared" si="101"/>
        <v>5.1277533193896829E-2</v>
      </c>
      <c r="AS132" s="55">
        <f t="shared" si="102"/>
        <v>5.3660387004516252E-2</v>
      </c>
      <c r="AT132" s="55">
        <f t="shared" si="103"/>
        <v>5.3660387004516252E-2</v>
      </c>
      <c r="AU132" s="55">
        <f t="shared" si="104"/>
        <v>5.1277533193896829E-2</v>
      </c>
      <c r="AV132" s="55">
        <f t="shared" si="105"/>
        <v>5.1277533193896829E-2</v>
      </c>
      <c r="AW132" s="55">
        <f t="shared" si="106"/>
        <v>5.1277533193896829E-2</v>
      </c>
      <c r="AX132" s="55">
        <f t="shared" si="107"/>
        <v>5.1277533193896829E-2</v>
      </c>
      <c r="AY132" s="55">
        <f t="shared" si="108"/>
        <v>5.1277533193896829E-2</v>
      </c>
      <c r="AZ132" s="56">
        <f t="shared" si="109"/>
        <v>5.1277533193896829E-2</v>
      </c>
    </row>
    <row r="133" spans="1:52" x14ac:dyDescent="0.35">
      <c r="A133" s="5">
        <v>126</v>
      </c>
      <c r="B133" s="63">
        <f t="shared" si="84"/>
        <v>4.4999999999999998E-2</v>
      </c>
      <c r="C133" s="28">
        <f>B133+VLOOKUP(Rawdata!A128,Int_rate_movements,2,TRUE)</f>
        <v>4.4999999999999998E-2</v>
      </c>
      <c r="D133" s="28">
        <f>C133+VLOOKUP(Rawdata!B128,Int_rate_movements,2,TRUE)</f>
        <v>4.4999999999999998E-2</v>
      </c>
      <c r="E133" s="28">
        <f>D133+VLOOKUP(Rawdata!C128,Int_rate_movements,2,TRUE)</f>
        <v>4.4999999999999998E-2</v>
      </c>
      <c r="F133" s="28">
        <f>E133+VLOOKUP(Rawdata!D128,Int_rate_movements,2,TRUE)</f>
        <v>4.4999999999999998E-2</v>
      </c>
      <c r="G133" s="28">
        <f>F133+VLOOKUP(Rawdata!E128,Int_rate_movements,2,TRUE)</f>
        <v>4.4999999999999998E-2</v>
      </c>
      <c r="H133" s="28">
        <f>G133+VLOOKUP(Rawdata!F128,Int_rate_movements,2,TRUE)</f>
        <v>4.4999999999999998E-2</v>
      </c>
      <c r="I133" s="28">
        <f>H133+VLOOKUP(Rawdata!G128,Int_rate_movements,2,TRUE)</f>
        <v>4.2499999999999996E-2</v>
      </c>
      <c r="J133" s="28">
        <f>I133+VLOOKUP(Rawdata!H128,Int_rate_movements,2,TRUE)</f>
        <v>4.2499999999999996E-2</v>
      </c>
      <c r="K133" s="28">
        <f>J133+VLOOKUP(Rawdata!I128,Int_rate_movements,2,TRUE)</f>
        <v>4.2499999999999996E-2</v>
      </c>
      <c r="L133" s="28">
        <f>K133+VLOOKUP(Rawdata!J128,Int_rate_movements,2,TRUE)</f>
        <v>4.2499999999999996E-2</v>
      </c>
      <c r="M133" s="28">
        <f>L133+VLOOKUP(Rawdata!K128,Int_rate_movements,2,TRUE)</f>
        <v>4.2499999999999996E-2</v>
      </c>
      <c r="N133" s="28">
        <f>M133+VLOOKUP(Rawdata!L128,Int_rate_movements,2,TRUE)</f>
        <v>3.9999999999999994E-2</v>
      </c>
      <c r="O133" s="28">
        <f>N133+VLOOKUP(Rawdata!M128,Int_rate_movements,2,TRUE)</f>
        <v>3.9999999999999994E-2</v>
      </c>
      <c r="P133" s="28">
        <f>O133+VLOOKUP(Rawdata!N128,Int_rate_movements,2,TRUE)</f>
        <v>3.9999999999999994E-2</v>
      </c>
      <c r="Q133" s="28">
        <f>P133+VLOOKUP(Rawdata!O128,Int_rate_movements,2,TRUE)</f>
        <v>3.9999999999999994E-2</v>
      </c>
      <c r="R133" s="28">
        <f>Q133+VLOOKUP(Rawdata!P128,Int_rate_movements,2,TRUE)</f>
        <v>3.9999999999999994E-2</v>
      </c>
      <c r="S133" s="28">
        <f>R133+VLOOKUP(Rawdata!Q128,Int_rate_movements,2,TRUE)</f>
        <v>3.9999999999999994E-2</v>
      </c>
      <c r="T133" s="28">
        <f>S133+VLOOKUP(Rawdata!R128,Int_rate_movements,2,TRUE)</f>
        <v>3.9999999999999994E-2</v>
      </c>
      <c r="U133" s="28">
        <f>T133+VLOOKUP(Rawdata!S128,Int_rate_movements,2,TRUE)</f>
        <v>3.9999999999999994E-2</v>
      </c>
      <c r="V133" s="28">
        <f>U133+VLOOKUP(Rawdata!T128,Int_rate_movements,2,TRUE)</f>
        <v>3.9999999999999994E-2</v>
      </c>
      <c r="W133" s="28">
        <f>V133+VLOOKUP(Rawdata!U128,Int_rate_movements,2,TRUE)</f>
        <v>3.9999999999999994E-2</v>
      </c>
      <c r="X133" s="28">
        <f>W133+VLOOKUP(Rawdata!V128,Int_rate_movements,2,TRUE)</f>
        <v>3.9999999999999994E-2</v>
      </c>
      <c r="Y133" s="28">
        <f>X133+VLOOKUP(Rawdata!W128,Int_rate_movements,2,TRUE)</f>
        <v>3.9999999999999994E-2</v>
      </c>
      <c r="Z133" s="35">
        <f>Y133+VLOOKUP(Rawdata!X128,Int_rate_movements,2,TRUE)</f>
        <v>3.9999999999999994E-2</v>
      </c>
      <c r="AB133" s="55">
        <f t="shared" si="85"/>
        <v>4.4097712805242217E-2</v>
      </c>
      <c r="AC133" s="55">
        <f t="shared" si="86"/>
        <v>4.4097712805242217E-2</v>
      </c>
      <c r="AD133" s="55">
        <f t="shared" si="87"/>
        <v>4.4097712805242217E-2</v>
      </c>
      <c r="AE133" s="55">
        <f t="shared" si="88"/>
        <v>4.4097712805242217E-2</v>
      </c>
      <c r="AF133" s="55">
        <f t="shared" si="89"/>
        <v>4.4097712805242217E-2</v>
      </c>
      <c r="AG133" s="55">
        <f t="shared" si="90"/>
        <v>4.4097712805242217E-2</v>
      </c>
      <c r="AH133" s="55">
        <f t="shared" si="91"/>
        <v>4.4097712805242217E-2</v>
      </c>
      <c r="AI133" s="55">
        <f t="shared" si="92"/>
        <v>4.1693940041970023E-2</v>
      </c>
      <c r="AJ133" s="55">
        <f t="shared" si="93"/>
        <v>4.1693940041970023E-2</v>
      </c>
      <c r="AK133" s="55">
        <f t="shared" si="94"/>
        <v>4.1693940041970023E-2</v>
      </c>
      <c r="AL133" s="55">
        <f t="shared" si="95"/>
        <v>4.1693940041970023E-2</v>
      </c>
      <c r="AM133" s="55">
        <f t="shared" si="96"/>
        <v>4.1693940041970023E-2</v>
      </c>
      <c r="AN133" s="55">
        <f t="shared" si="97"/>
        <v>3.9284877386386974E-2</v>
      </c>
      <c r="AO133" s="55">
        <f t="shared" si="98"/>
        <v>3.9284877386386974E-2</v>
      </c>
      <c r="AP133" s="55">
        <f t="shared" si="99"/>
        <v>3.9284877386386974E-2</v>
      </c>
      <c r="AQ133" s="55">
        <f t="shared" si="100"/>
        <v>3.9284877386386974E-2</v>
      </c>
      <c r="AR133" s="55">
        <f t="shared" si="101"/>
        <v>3.9284877386386974E-2</v>
      </c>
      <c r="AS133" s="55">
        <f t="shared" si="102"/>
        <v>3.9284877386386974E-2</v>
      </c>
      <c r="AT133" s="55">
        <f t="shared" si="103"/>
        <v>3.9284877386386974E-2</v>
      </c>
      <c r="AU133" s="55">
        <f t="shared" si="104"/>
        <v>3.9284877386386974E-2</v>
      </c>
      <c r="AV133" s="55">
        <f t="shared" si="105"/>
        <v>3.9284877386386974E-2</v>
      </c>
      <c r="AW133" s="55">
        <f t="shared" si="106"/>
        <v>3.9284877386386974E-2</v>
      </c>
      <c r="AX133" s="55">
        <f t="shared" si="107"/>
        <v>3.9284877386386974E-2</v>
      </c>
      <c r="AY133" s="55">
        <f t="shared" si="108"/>
        <v>3.9284877386386974E-2</v>
      </c>
      <c r="AZ133" s="56">
        <f t="shared" si="109"/>
        <v>3.9284877386386974E-2</v>
      </c>
    </row>
    <row r="134" spans="1:52" x14ac:dyDescent="0.35">
      <c r="A134" s="27">
        <v>127</v>
      </c>
      <c r="B134" s="63">
        <f t="shared" si="84"/>
        <v>4.4999999999999998E-2</v>
      </c>
      <c r="C134" s="28">
        <f>B134+VLOOKUP(Rawdata!A129,Int_rate_movements,2,TRUE)</f>
        <v>4.4999999999999998E-2</v>
      </c>
      <c r="D134" s="28">
        <f>C134+VLOOKUP(Rawdata!B129,Int_rate_movements,2,TRUE)</f>
        <v>4.4999999999999998E-2</v>
      </c>
      <c r="E134" s="28">
        <f>D134+VLOOKUP(Rawdata!C129,Int_rate_movements,2,TRUE)</f>
        <v>4.4999999999999998E-2</v>
      </c>
      <c r="F134" s="28">
        <f>E134+VLOOKUP(Rawdata!D129,Int_rate_movements,2,TRUE)</f>
        <v>4.4999999999999998E-2</v>
      </c>
      <c r="G134" s="28">
        <f>F134+VLOOKUP(Rawdata!E129,Int_rate_movements,2,TRUE)</f>
        <v>4.7500000000000001E-2</v>
      </c>
      <c r="H134" s="28">
        <f>G134+VLOOKUP(Rawdata!F129,Int_rate_movements,2,TRUE)</f>
        <v>4.7500000000000001E-2</v>
      </c>
      <c r="I134" s="28">
        <f>H134+VLOOKUP(Rawdata!G129,Int_rate_movements,2,TRUE)</f>
        <v>4.7500000000000001E-2</v>
      </c>
      <c r="J134" s="28">
        <f>I134+VLOOKUP(Rawdata!H129,Int_rate_movements,2,TRUE)</f>
        <v>4.7500000000000001E-2</v>
      </c>
      <c r="K134" s="28">
        <f>J134+VLOOKUP(Rawdata!I129,Int_rate_movements,2,TRUE)</f>
        <v>4.7500000000000001E-2</v>
      </c>
      <c r="L134" s="28">
        <f>K134+VLOOKUP(Rawdata!J129,Int_rate_movements,2,TRUE)</f>
        <v>4.7500000000000001E-2</v>
      </c>
      <c r="M134" s="28">
        <f>L134+VLOOKUP(Rawdata!K129,Int_rate_movements,2,TRUE)</f>
        <v>4.4999999999999998E-2</v>
      </c>
      <c r="N134" s="28">
        <f>M134+VLOOKUP(Rawdata!L129,Int_rate_movements,2,TRUE)</f>
        <v>4.2499999999999996E-2</v>
      </c>
      <c r="O134" s="28">
        <f>N134+VLOOKUP(Rawdata!M129,Int_rate_movements,2,TRUE)</f>
        <v>4.7499999999999994E-2</v>
      </c>
      <c r="P134" s="28">
        <f>O134+VLOOKUP(Rawdata!N129,Int_rate_movements,2,TRUE)</f>
        <v>4.7499999999999994E-2</v>
      </c>
      <c r="Q134" s="28">
        <f>P134+VLOOKUP(Rawdata!O129,Int_rate_movements,2,TRUE)</f>
        <v>4.7499999999999994E-2</v>
      </c>
      <c r="R134" s="28">
        <f>Q134+VLOOKUP(Rawdata!P129,Int_rate_movements,2,TRUE)</f>
        <v>5.2499999999999991E-2</v>
      </c>
      <c r="S134" s="28">
        <f>R134+VLOOKUP(Rawdata!Q129,Int_rate_movements,2,TRUE)</f>
        <v>5.2499999999999991E-2</v>
      </c>
      <c r="T134" s="28">
        <f>S134+VLOOKUP(Rawdata!R129,Int_rate_movements,2,TRUE)</f>
        <v>5.2499999999999991E-2</v>
      </c>
      <c r="U134" s="28">
        <f>T134+VLOOKUP(Rawdata!S129,Int_rate_movements,2,TRUE)</f>
        <v>5.2499999999999991E-2</v>
      </c>
      <c r="V134" s="28">
        <f>U134+VLOOKUP(Rawdata!T129,Int_rate_movements,2,TRUE)</f>
        <v>5.2499999999999991E-2</v>
      </c>
      <c r="W134" s="28">
        <f>V134+VLOOKUP(Rawdata!U129,Int_rate_movements,2,TRUE)</f>
        <v>5.2499999999999991E-2</v>
      </c>
      <c r="X134" s="28">
        <f>W134+VLOOKUP(Rawdata!V129,Int_rate_movements,2,TRUE)</f>
        <v>5.2499999999999991E-2</v>
      </c>
      <c r="Y134" s="28">
        <f>X134+VLOOKUP(Rawdata!W129,Int_rate_movements,2,TRUE)</f>
        <v>5.2499999999999991E-2</v>
      </c>
      <c r="Z134" s="35">
        <f>Y134+VLOOKUP(Rawdata!X129,Int_rate_movements,2,TRUE)</f>
        <v>5.4999999999999993E-2</v>
      </c>
      <c r="AB134" s="55">
        <f t="shared" si="85"/>
        <v>4.4097712805242217E-2</v>
      </c>
      <c r="AC134" s="55">
        <f t="shared" si="86"/>
        <v>4.4097712805242217E-2</v>
      </c>
      <c r="AD134" s="55">
        <f t="shared" si="87"/>
        <v>4.4097712805242217E-2</v>
      </c>
      <c r="AE134" s="55">
        <f t="shared" si="88"/>
        <v>4.4097712805242217E-2</v>
      </c>
      <c r="AF134" s="55">
        <f t="shared" si="89"/>
        <v>4.4097712805242217E-2</v>
      </c>
      <c r="AG134" s="55">
        <f t="shared" si="90"/>
        <v>4.6496219905550085E-2</v>
      </c>
      <c r="AH134" s="55">
        <f t="shared" si="91"/>
        <v>4.6496219905550085E-2</v>
      </c>
      <c r="AI134" s="55">
        <f t="shared" si="92"/>
        <v>4.6496219905550085E-2</v>
      </c>
      <c r="AJ134" s="55">
        <f t="shared" si="93"/>
        <v>4.6496219905550085E-2</v>
      </c>
      <c r="AK134" s="55">
        <f t="shared" si="94"/>
        <v>4.6496219905550085E-2</v>
      </c>
      <c r="AL134" s="55">
        <f t="shared" si="95"/>
        <v>4.6496219905550085E-2</v>
      </c>
      <c r="AM134" s="55">
        <f t="shared" si="96"/>
        <v>4.4097712805242217E-2</v>
      </c>
      <c r="AN134" s="55">
        <f t="shared" si="97"/>
        <v>4.1693940041970023E-2</v>
      </c>
      <c r="AO134" s="55">
        <f t="shared" si="98"/>
        <v>4.6496219905550085E-2</v>
      </c>
      <c r="AP134" s="55">
        <f t="shared" si="99"/>
        <v>4.6496219905550085E-2</v>
      </c>
      <c r="AQ134" s="55">
        <f t="shared" si="100"/>
        <v>4.6496219905550085E-2</v>
      </c>
      <c r="AR134" s="55">
        <f t="shared" si="101"/>
        <v>5.1277533193896829E-2</v>
      </c>
      <c r="AS134" s="55">
        <f t="shared" si="102"/>
        <v>5.1277533193896829E-2</v>
      </c>
      <c r="AT134" s="55">
        <f t="shared" si="103"/>
        <v>5.1277533193896829E-2</v>
      </c>
      <c r="AU134" s="55">
        <f t="shared" si="104"/>
        <v>5.1277533193896829E-2</v>
      </c>
      <c r="AV134" s="55">
        <f t="shared" si="105"/>
        <v>5.1277533193896829E-2</v>
      </c>
      <c r="AW134" s="55">
        <f t="shared" si="106"/>
        <v>5.1277533193896829E-2</v>
      </c>
      <c r="AX134" s="55">
        <f t="shared" si="107"/>
        <v>5.1277533193896829E-2</v>
      </c>
      <c r="AY134" s="55">
        <f t="shared" si="108"/>
        <v>5.1277533193896829E-2</v>
      </c>
      <c r="AZ134" s="56">
        <f t="shared" si="109"/>
        <v>5.3660387004516252E-2</v>
      </c>
    </row>
    <row r="135" spans="1:52" x14ac:dyDescent="0.35">
      <c r="A135" s="5">
        <v>128</v>
      </c>
      <c r="B135" s="63">
        <f t="shared" si="84"/>
        <v>4.4999999999999998E-2</v>
      </c>
      <c r="C135" s="28">
        <f>B135+VLOOKUP(Rawdata!A130,Int_rate_movements,2,TRUE)</f>
        <v>4.4999999999999998E-2</v>
      </c>
      <c r="D135" s="28">
        <f>C135+VLOOKUP(Rawdata!B130,Int_rate_movements,2,TRUE)</f>
        <v>4.4999999999999998E-2</v>
      </c>
      <c r="E135" s="28">
        <f>D135+VLOOKUP(Rawdata!C130,Int_rate_movements,2,TRUE)</f>
        <v>4.4999999999999998E-2</v>
      </c>
      <c r="F135" s="28">
        <f>E135+VLOOKUP(Rawdata!D130,Int_rate_movements,2,TRUE)</f>
        <v>4.7500000000000001E-2</v>
      </c>
      <c r="G135" s="28">
        <f>F135+VLOOKUP(Rawdata!E130,Int_rate_movements,2,TRUE)</f>
        <v>4.7500000000000001E-2</v>
      </c>
      <c r="H135" s="28">
        <f>G135+VLOOKUP(Rawdata!F130,Int_rate_movements,2,TRUE)</f>
        <v>4.7500000000000001E-2</v>
      </c>
      <c r="I135" s="28">
        <f>H135+VLOOKUP(Rawdata!G130,Int_rate_movements,2,TRUE)</f>
        <v>4.7500000000000001E-2</v>
      </c>
      <c r="J135" s="28">
        <f>I135+VLOOKUP(Rawdata!H130,Int_rate_movements,2,TRUE)</f>
        <v>4.7500000000000001E-2</v>
      </c>
      <c r="K135" s="28">
        <f>J135+VLOOKUP(Rawdata!I130,Int_rate_movements,2,TRUE)</f>
        <v>4.7500000000000001E-2</v>
      </c>
      <c r="L135" s="28">
        <f>K135+VLOOKUP(Rawdata!J130,Int_rate_movements,2,TRUE)</f>
        <v>4.7500000000000001E-2</v>
      </c>
      <c r="M135" s="28">
        <f>L135+VLOOKUP(Rawdata!K130,Int_rate_movements,2,TRUE)</f>
        <v>4.7500000000000001E-2</v>
      </c>
      <c r="N135" s="28">
        <f>M135+VLOOKUP(Rawdata!L130,Int_rate_movements,2,TRUE)</f>
        <v>4.7500000000000001E-2</v>
      </c>
      <c r="O135" s="28">
        <f>N135+VLOOKUP(Rawdata!M130,Int_rate_movements,2,TRUE)</f>
        <v>4.7500000000000001E-2</v>
      </c>
      <c r="P135" s="28">
        <f>O135+VLOOKUP(Rawdata!N130,Int_rate_movements,2,TRUE)</f>
        <v>4.7500000000000001E-2</v>
      </c>
      <c r="Q135" s="28">
        <f>P135+VLOOKUP(Rawdata!O130,Int_rate_movements,2,TRUE)</f>
        <v>4.7500000000000001E-2</v>
      </c>
      <c r="R135" s="28">
        <f>Q135+VLOOKUP(Rawdata!P130,Int_rate_movements,2,TRUE)</f>
        <v>4.7500000000000001E-2</v>
      </c>
      <c r="S135" s="28">
        <f>R135+VLOOKUP(Rawdata!Q130,Int_rate_movements,2,TRUE)</f>
        <v>4.7500000000000001E-2</v>
      </c>
      <c r="T135" s="28">
        <f>S135+VLOOKUP(Rawdata!R130,Int_rate_movements,2,TRUE)</f>
        <v>4.7500000000000001E-2</v>
      </c>
      <c r="U135" s="28">
        <f>T135+VLOOKUP(Rawdata!S130,Int_rate_movements,2,TRUE)</f>
        <v>4.7500000000000001E-2</v>
      </c>
      <c r="V135" s="28">
        <f>U135+VLOOKUP(Rawdata!T130,Int_rate_movements,2,TRUE)</f>
        <v>4.7500000000000001E-2</v>
      </c>
      <c r="W135" s="28">
        <f>V135+VLOOKUP(Rawdata!U130,Int_rate_movements,2,TRUE)</f>
        <v>4.7500000000000001E-2</v>
      </c>
      <c r="X135" s="28">
        <f>W135+VLOOKUP(Rawdata!V130,Int_rate_movements,2,TRUE)</f>
        <v>0.05</v>
      </c>
      <c r="Y135" s="28">
        <f>X135+VLOOKUP(Rawdata!W130,Int_rate_movements,2,TRUE)</f>
        <v>0.05</v>
      </c>
      <c r="Z135" s="35">
        <f>Y135+VLOOKUP(Rawdata!X130,Int_rate_movements,2,TRUE)</f>
        <v>0.05</v>
      </c>
      <c r="AB135" s="55">
        <f t="shared" si="85"/>
        <v>4.4097712805242217E-2</v>
      </c>
      <c r="AC135" s="55">
        <f t="shared" si="86"/>
        <v>4.4097712805242217E-2</v>
      </c>
      <c r="AD135" s="55">
        <f t="shared" si="87"/>
        <v>4.4097712805242217E-2</v>
      </c>
      <c r="AE135" s="55">
        <f t="shared" si="88"/>
        <v>4.4097712805242217E-2</v>
      </c>
      <c r="AF135" s="55">
        <f t="shared" si="89"/>
        <v>4.6496219905550085E-2</v>
      </c>
      <c r="AG135" s="55">
        <f t="shared" si="90"/>
        <v>4.6496219905550085E-2</v>
      </c>
      <c r="AH135" s="55">
        <f t="shared" si="91"/>
        <v>4.6496219905550085E-2</v>
      </c>
      <c r="AI135" s="55">
        <f t="shared" si="92"/>
        <v>4.6496219905550085E-2</v>
      </c>
      <c r="AJ135" s="55">
        <f t="shared" si="93"/>
        <v>4.6496219905550085E-2</v>
      </c>
      <c r="AK135" s="55">
        <f t="shared" si="94"/>
        <v>4.6496219905550085E-2</v>
      </c>
      <c r="AL135" s="55">
        <f t="shared" si="95"/>
        <v>4.6496219905550085E-2</v>
      </c>
      <c r="AM135" s="55">
        <f t="shared" si="96"/>
        <v>4.6496219905550085E-2</v>
      </c>
      <c r="AN135" s="55">
        <f t="shared" si="97"/>
        <v>4.6496219905550085E-2</v>
      </c>
      <c r="AO135" s="55">
        <f t="shared" si="98"/>
        <v>4.6496219905550085E-2</v>
      </c>
      <c r="AP135" s="55">
        <f t="shared" si="99"/>
        <v>4.6496219905550085E-2</v>
      </c>
      <c r="AQ135" s="55">
        <f t="shared" si="100"/>
        <v>4.6496219905550085E-2</v>
      </c>
      <c r="AR135" s="55">
        <f t="shared" si="101"/>
        <v>4.6496219905550085E-2</v>
      </c>
      <c r="AS135" s="55">
        <f t="shared" si="102"/>
        <v>4.6496219905550085E-2</v>
      </c>
      <c r="AT135" s="55">
        <f t="shared" si="103"/>
        <v>4.6496219905550085E-2</v>
      </c>
      <c r="AU135" s="55">
        <f t="shared" si="104"/>
        <v>4.6496219905550085E-2</v>
      </c>
      <c r="AV135" s="55">
        <f t="shared" si="105"/>
        <v>4.6496219905550085E-2</v>
      </c>
      <c r="AW135" s="55">
        <f t="shared" si="106"/>
        <v>4.6496219905550085E-2</v>
      </c>
      <c r="AX135" s="55">
        <f t="shared" si="107"/>
        <v>4.8889485403780242E-2</v>
      </c>
      <c r="AY135" s="55">
        <f t="shared" si="108"/>
        <v>4.8889485403780242E-2</v>
      </c>
      <c r="AZ135" s="56">
        <f t="shared" si="109"/>
        <v>4.8889485403780242E-2</v>
      </c>
    </row>
    <row r="136" spans="1:52" x14ac:dyDescent="0.35">
      <c r="A136" s="27">
        <v>129</v>
      </c>
      <c r="B136" s="63">
        <f t="shared" ref="B136:B167" si="110">Base_int_rate</f>
        <v>4.4999999999999998E-2</v>
      </c>
      <c r="C136" s="28">
        <f>B136+VLOOKUP(Rawdata!A131,Int_rate_movements,2,TRUE)</f>
        <v>4.4999999999999998E-2</v>
      </c>
      <c r="D136" s="28">
        <f>C136+VLOOKUP(Rawdata!B131,Int_rate_movements,2,TRUE)</f>
        <v>4.4999999999999998E-2</v>
      </c>
      <c r="E136" s="28">
        <f>D136+VLOOKUP(Rawdata!C131,Int_rate_movements,2,TRUE)</f>
        <v>4.4999999999999998E-2</v>
      </c>
      <c r="F136" s="28">
        <f>E136+VLOOKUP(Rawdata!D131,Int_rate_movements,2,TRUE)</f>
        <v>4.4999999999999998E-2</v>
      </c>
      <c r="G136" s="28">
        <f>F136+VLOOKUP(Rawdata!E131,Int_rate_movements,2,TRUE)</f>
        <v>4.4999999999999998E-2</v>
      </c>
      <c r="H136" s="28">
        <f>G136+VLOOKUP(Rawdata!F131,Int_rate_movements,2,TRUE)</f>
        <v>4.4999999999999998E-2</v>
      </c>
      <c r="I136" s="28">
        <f>H136+VLOOKUP(Rawdata!G131,Int_rate_movements,2,TRUE)</f>
        <v>4.4999999999999998E-2</v>
      </c>
      <c r="J136" s="28">
        <f>I136+VLOOKUP(Rawdata!H131,Int_rate_movements,2,TRUE)</f>
        <v>4.7500000000000001E-2</v>
      </c>
      <c r="K136" s="28">
        <f>J136+VLOOKUP(Rawdata!I131,Int_rate_movements,2,TRUE)</f>
        <v>4.7500000000000001E-2</v>
      </c>
      <c r="L136" s="28">
        <f>K136+VLOOKUP(Rawdata!J131,Int_rate_movements,2,TRUE)</f>
        <v>4.7500000000000001E-2</v>
      </c>
      <c r="M136" s="28">
        <f>L136+VLOOKUP(Rawdata!K131,Int_rate_movements,2,TRUE)</f>
        <v>4.4999999999999998E-2</v>
      </c>
      <c r="N136" s="28">
        <f>M136+VLOOKUP(Rawdata!L131,Int_rate_movements,2,TRUE)</f>
        <v>4.4999999999999998E-2</v>
      </c>
      <c r="O136" s="28">
        <f>N136+VLOOKUP(Rawdata!M131,Int_rate_movements,2,TRUE)</f>
        <v>4.4999999999999998E-2</v>
      </c>
      <c r="P136" s="28">
        <f>O136+VLOOKUP(Rawdata!N131,Int_rate_movements,2,TRUE)</f>
        <v>0.04</v>
      </c>
      <c r="Q136" s="28">
        <f>P136+VLOOKUP(Rawdata!O131,Int_rate_movements,2,TRUE)</f>
        <v>0.04</v>
      </c>
      <c r="R136" s="28">
        <f>Q136+VLOOKUP(Rawdata!P131,Int_rate_movements,2,TRUE)</f>
        <v>0.04</v>
      </c>
      <c r="S136" s="28">
        <f>R136+VLOOKUP(Rawdata!Q131,Int_rate_movements,2,TRUE)</f>
        <v>0.04</v>
      </c>
      <c r="T136" s="28">
        <f>S136+VLOOKUP(Rawdata!R131,Int_rate_movements,2,TRUE)</f>
        <v>0.04</v>
      </c>
      <c r="U136" s="28">
        <f>T136+VLOOKUP(Rawdata!S131,Int_rate_movements,2,TRUE)</f>
        <v>0.04</v>
      </c>
      <c r="V136" s="28">
        <f>U136+VLOOKUP(Rawdata!T131,Int_rate_movements,2,TRUE)</f>
        <v>0.04</v>
      </c>
      <c r="W136" s="28">
        <f>V136+VLOOKUP(Rawdata!U131,Int_rate_movements,2,TRUE)</f>
        <v>0.04</v>
      </c>
      <c r="X136" s="28">
        <f>W136+VLOOKUP(Rawdata!V131,Int_rate_movements,2,TRUE)</f>
        <v>0.04</v>
      </c>
      <c r="Y136" s="28">
        <f>X136+VLOOKUP(Rawdata!W131,Int_rate_movements,2,TRUE)</f>
        <v>0.04</v>
      </c>
      <c r="Z136" s="35">
        <f>Y136+VLOOKUP(Rawdata!X131,Int_rate_movements,2,TRUE)</f>
        <v>0.04</v>
      </c>
      <c r="AB136" s="55">
        <f t="shared" ref="AB136:AB167" si="111">Var_freq*((1+B136)^(1/Var_freq)-1)</f>
        <v>4.4097712805242217E-2</v>
      </c>
      <c r="AC136" s="55">
        <f t="shared" ref="AC136:AC167" si="112">Var_freq*((1+C136)^(1/Var_freq)-1)</f>
        <v>4.4097712805242217E-2</v>
      </c>
      <c r="AD136" s="55">
        <f t="shared" ref="AD136:AD167" si="113">Var_freq*((1+D136)^(1/Var_freq)-1)</f>
        <v>4.4097712805242217E-2</v>
      </c>
      <c r="AE136" s="55">
        <f t="shared" ref="AE136:AE167" si="114">Var_freq*((1+E136)^(1/Var_freq)-1)</f>
        <v>4.4097712805242217E-2</v>
      </c>
      <c r="AF136" s="55">
        <f t="shared" ref="AF136:AF167" si="115">Var_freq*((1+F136)^(1/Var_freq)-1)</f>
        <v>4.4097712805242217E-2</v>
      </c>
      <c r="AG136" s="55">
        <f t="shared" ref="AG136:AG167" si="116">Var_freq*((1+G136)^(1/Var_freq)-1)</f>
        <v>4.4097712805242217E-2</v>
      </c>
      <c r="AH136" s="55">
        <f t="shared" ref="AH136:AH167" si="117">Var_freq*((1+H136)^(1/Var_freq)-1)</f>
        <v>4.4097712805242217E-2</v>
      </c>
      <c r="AI136" s="55">
        <f t="shared" ref="AI136:AI167" si="118">Var_freq*((1+I136)^(1/Var_freq)-1)</f>
        <v>4.4097712805242217E-2</v>
      </c>
      <c r="AJ136" s="55">
        <f t="shared" ref="AJ136:AJ167" si="119">Var_freq*((1+J136)^(1/Var_freq)-1)</f>
        <v>4.6496219905550085E-2</v>
      </c>
      <c r="AK136" s="55">
        <f t="shared" ref="AK136:AK167" si="120">Var_freq*((1+K136)^(1/Var_freq)-1)</f>
        <v>4.6496219905550085E-2</v>
      </c>
      <c r="AL136" s="55">
        <f t="shared" ref="AL136:AL167" si="121">Var_freq*((1+L136)^(1/Var_freq)-1)</f>
        <v>4.6496219905550085E-2</v>
      </c>
      <c r="AM136" s="55">
        <f t="shared" ref="AM136:AM167" si="122">Var_freq*((1+M136)^(1/Var_freq)-1)</f>
        <v>4.4097712805242217E-2</v>
      </c>
      <c r="AN136" s="55">
        <f t="shared" ref="AN136:AN167" si="123">Var_freq*((1+N136)^(1/Var_freq)-1)</f>
        <v>4.4097712805242217E-2</v>
      </c>
      <c r="AO136" s="55">
        <f t="shared" ref="AO136:AO167" si="124">Var_freq*((1+O136)^(1/Var_freq)-1)</f>
        <v>4.4097712805242217E-2</v>
      </c>
      <c r="AP136" s="55">
        <f t="shared" ref="AP136:AP167" si="125">Var_freq*((1+P136)^(1/Var_freq)-1)</f>
        <v>3.9284877386386974E-2</v>
      </c>
      <c r="AQ136" s="55">
        <f t="shared" ref="AQ136:AQ167" si="126">Var_freq*((1+Q136)^(1/Var_freq)-1)</f>
        <v>3.9284877386386974E-2</v>
      </c>
      <c r="AR136" s="55">
        <f t="shared" ref="AR136:AR167" si="127">Var_freq*((1+R136)^(1/Var_freq)-1)</f>
        <v>3.9284877386386974E-2</v>
      </c>
      <c r="AS136" s="55">
        <f t="shared" ref="AS136:AS167" si="128">Var_freq*((1+S136)^(1/Var_freq)-1)</f>
        <v>3.9284877386386974E-2</v>
      </c>
      <c r="AT136" s="55">
        <f t="shared" ref="AT136:AT167" si="129">Var_freq*((1+T136)^(1/Var_freq)-1)</f>
        <v>3.9284877386386974E-2</v>
      </c>
      <c r="AU136" s="55">
        <f t="shared" ref="AU136:AU167" si="130">Var_freq*((1+U136)^(1/Var_freq)-1)</f>
        <v>3.9284877386386974E-2</v>
      </c>
      <c r="AV136" s="55">
        <f t="shared" ref="AV136:AV167" si="131">Var_freq*((1+V136)^(1/Var_freq)-1)</f>
        <v>3.9284877386386974E-2</v>
      </c>
      <c r="AW136" s="55">
        <f t="shared" ref="AW136:AW167" si="132">Var_freq*((1+W136)^(1/Var_freq)-1)</f>
        <v>3.9284877386386974E-2</v>
      </c>
      <c r="AX136" s="55">
        <f t="shared" ref="AX136:AX167" si="133">Var_freq*((1+X136)^(1/Var_freq)-1)</f>
        <v>3.9284877386386974E-2</v>
      </c>
      <c r="AY136" s="55">
        <f t="shared" ref="AY136:AY167" si="134">Var_freq*((1+Y136)^(1/Var_freq)-1)</f>
        <v>3.9284877386386974E-2</v>
      </c>
      <c r="AZ136" s="56">
        <f t="shared" ref="AZ136:AZ167" si="135">Var_freq*((1+Z136)^(1/Var_freq)-1)</f>
        <v>3.9284877386386974E-2</v>
      </c>
    </row>
    <row r="137" spans="1:52" x14ac:dyDescent="0.35">
      <c r="A137" s="5">
        <v>130</v>
      </c>
      <c r="B137" s="63">
        <f t="shared" si="110"/>
        <v>4.4999999999999998E-2</v>
      </c>
      <c r="C137" s="28">
        <f>B137+VLOOKUP(Rawdata!A132,Int_rate_movements,2,TRUE)</f>
        <v>4.4999999999999998E-2</v>
      </c>
      <c r="D137" s="28">
        <f>C137+VLOOKUP(Rawdata!B132,Int_rate_movements,2,TRUE)</f>
        <v>4.4999999999999998E-2</v>
      </c>
      <c r="E137" s="28">
        <f>D137+VLOOKUP(Rawdata!C132,Int_rate_movements,2,TRUE)</f>
        <v>4.2499999999999996E-2</v>
      </c>
      <c r="F137" s="28">
        <f>E137+VLOOKUP(Rawdata!D132,Int_rate_movements,2,TRUE)</f>
        <v>4.2499999999999996E-2</v>
      </c>
      <c r="G137" s="28">
        <f>F137+VLOOKUP(Rawdata!E132,Int_rate_movements,2,TRUE)</f>
        <v>4.2499999999999996E-2</v>
      </c>
      <c r="H137" s="28">
        <f>G137+VLOOKUP(Rawdata!F132,Int_rate_movements,2,TRUE)</f>
        <v>4.2499999999999996E-2</v>
      </c>
      <c r="I137" s="28">
        <f>H137+VLOOKUP(Rawdata!G132,Int_rate_movements,2,TRUE)</f>
        <v>4.2499999999999996E-2</v>
      </c>
      <c r="J137" s="28">
        <f>I137+VLOOKUP(Rawdata!H132,Int_rate_movements,2,TRUE)</f>
        <v>4.2499999999999996E-2</v>
      </c>
      <c r="K137" s="28">
        <f>J137+VLOOKUP(Rawdata!I132,Int_rate_movements,2,TRUE)</f>
        <v>4.2499999999999996E-2</v>
      </c>
      <c r="L137" s="28">
        <f>K137+VLOOKUP(Rawdata!J132,Int_rate_movements,2,TRUE)</f>
        <v>4.2499999999999996E-2</v>
      </c>
      <c r="M137" s="28">
        <f>L137+VLOOKUP(Rawdata!K132,Int_rate_movements,2,TRUE)</f>
        <v>4.2499999999999996E-2</v>
      </c>
      <c r="N137" s="28">
        <f>M137+VLOOKUP(Rawdata!L132,Int_rate_movements,2,TRUE)</f>
        <v>4.2499999999999996E-2</v>
      </c>
      <c r="O137" s="28">
        <f>N137+VLOOKUP(Rawdata!M132,Int_rate_movements,2,TRUE)</f>
        <v>4.2499999999999996E-2</v>
      </c>
      <c r="P137" s="28">
        <f>O137+VLOOKUP(Rawdata!N132,Int_rate_movements,2,TRUE)</f>
        <v>4.2499999999999996E-2</v>
      </c>
      <c r="Q137" s="28">
        <f>P137+VLOOKUP(Rawdata!O132,Int_rate_movements,2,TRUE)</f>
        <v>4.2499999999999996E-2</v>
      </c>
      <c r="R137" s="28">
        <f>Q137+VLOOKUP(Rawdata!P132,Int_rate_movements,2,TRUE)</f>
        <v>4.2499999999999996E-2</v>
      </c>
      <c r="S137" s="28">
        <f>R137+VLOOKUP(Rawdata!Q132,Int_rate_movements,2,TRUE)</f>
        <v>4.2499999999999996E-2</v>
      </c>
      <c r="T137" s="28">
        <f>S137+VLOOKUP(Rawdata!R132,Int_rate_movements,2,TRUE)</f>
        <v>4.2499999999999996E-2</v>
      </c>
      <c r="U137" s="28">
        <f>T137+VLOOKUP(Rawdata!S132,Int_rate_movements,2,TRUE)</f>
        <v>4.2499999999999996E-2</v>
      </c>
      <c r="V137" s="28">
        <f>U137+VLOOKUP(Rawdata!T132,Int_rate_movements,2,TRUE)</f>
        <v>4.2499999999999996E-2</v>
      </c>
      <c r="W137" s="28">
        <f>V137+VLOOKUP(Rawdata!U132,Int_rate_movements,2,TRUE)</f>
        <v>4.2499999999999996E-2</v>
      </c>
      <c r="X137" s="28">
        <f>W137+VLOOKUP(Rawdata!V132,Int_rate_movements,2,TRUE)</f>
        <v>4.2499999999999996E-2</v>
      </c>
      <c r="Y137" s="28">
        <f>X137+VLOOKUP(Rawdata!W132,Int_rate_movements,2,TRUE)</f>
        <v>4.2499999999999996E-2</v>
      </c>
      <c r="Z137" s="35">
        <f>Y137+VLOOKUP(Rawdata!X132,Int_rate_movements,2,TRUE)</f>
        <v>4.2499999999999996E-2</v>
      </c>
      <c r="AB137" s="55">
        <f t="shared" si="111"/>
        <v>4.4097712805242217E-2</v>
      </c>
      <c r="AC137" s="55">
        <f t="shared" si="112"/>
        <v>4.4097712805242217E-2</v>
      </c>
      <c r="AD137" s="55">
        <f t="shared" si="113"/>
        <v>4.4097712805242217E-2</v>
      </c>
      <c r="AE137" s="55">
        <f t="shared" si="114"/>
        <v>4.1693940041970023E-2</v>
      </c>
      <c r="AF137" s="55">
        <f t="shared" si="115"/>
        <v>4.1693940041970023E-2</v>
      </c>
      <c r="AG137" s="55">
        <f t="shared" si="116"/>
        <v>4.1693940041970023E-2</v>
      </c>
      <c r="AH137" s="55">
        <f t="shared" si="117"/>
        <v>4.1693940041970023E-2</v>
      </c>
      <c r="AI137" s="55">
        <f t="shared" si="118"/>
        <v>4.1693940041970023E-2</v>
      </c>
      <c r="AJ137" s="55">
        <f t="shared" si="119"/>
        <v>4.1693940041970023E-2</v>
      </c>
      <c r="AK137" s="55">
        <f t="shared" si="120"/>
        <v>4.1693940041970023E-2</v>
      </c>
      <c r="AL137" s="55">
        <f t="shared" si="121"/>
        <v>4.1693940041970023E-2</v>
      </c>
      <c r="AM137" s="55">
        <f t="shared" si="122"/>
        <v>4.1693940041970023E-2</v>
      </c>
      <c r="AN137" s="55">
        <f t="shared" si="123"/>
        <v>4.1693940041970023E-2</v>
      </c>
      <c r="AO137" s="55">
        <f t="shared" si="124"/>
        <v>4.1693940041970023E-2</v>
      </c>
      <c r="AP137" s="55">
        <f t="shared" si="125"/>
        <v>4.1693940041970023E-2</v>
      </c>
      <c r="AQ137" s="55">
        <f t="shared" si="126"/>
        <v>4.1693940041970023E-2</v>
      </c>
      <c r="AR137" s="55">
        <f t="shared" si="127"/>
        <v>4.1693940041970023E-2</v>
      </c>
      <c r="AS137" s="55">
        <f t="shared" si="128"/>
        <v>4.1693940041970023E-2</v>
      </c>
      <c r="AT137" s="55">
        <f t="shared" si="129"/>
        <v>4.1693940041970023E-2</v>
      </c>
      <c r="AU137" s="55">
        <f t="shared" si="130"/>
        <v>4.1693940041970023E-2</v>
      </c>
      <c r="AV137" s="55">
        <f t="shared" si="131"/>
        <v>4.1693940041970023E-2</v>
      </c>
      <c r="AW137" s="55">
        <f t="shared" si="132"/>
        <v>4.1693940041970023E-2</v>
      </c>
      <c r="AX137" s="55">
        <f t="shared" si="133"/>
        <v>4.1693940041970023E-2</v>
      </c>
      <c r="AY137" s="55">
        <f t="shared" si="134"/>
        <v>4.1693940041970023E-2</v>
      </c>
      <c r="AZ137" s="56">
        <f t="shared" si="135"/>
        <v>4.1693940041970023E-2</v>
      </c>
    </row>
    <row r="138" spans="1:52" x14ac:dyDescent="0.35">
      <c r="A138" s="27">
        <v>131</v>
      </c>
      <c r="B138" s="63">
        <f t="shared" si="110"/>
        <v>4.4999999999999998E-2</v>
      </c>
      <c r="C138" s="28">
        <f>B138+VLOOKUP(Rawdata!A133,Int_rate_movements,2,TRUE)</f>
        <v>4.4999999999999998E-2</v>
      </c>
      <c r="D138" s="28">
        <f>C138+VLOOKUP(Rawdata!B133,Int_rate_movements,2,TRUE)</f>
        <v>4.4999999999999998E-2</v>
      </c>
      <c r="E138" s="28">
        <f>D138+VLOOKUP(Rawdata!C133,Int_rate_movements,2,TRUE)</f>
        <v>4.4999999999999998E-2</v>
      </c>
      <c r="F138" s="28">
        <f>E138+VLOOKUP(Rawdata!D133,Int_rate_movements,2,TRUE)</f>
        <v>4.4999999999999998E-2</v>
      </c>
      <c r="G138" s="28">
        <f>F138+VLOOKUP(Rawdata!E133,Int_rate_movements,2,TRUE)</f>
        <v>4.4999999999999998E-2</v>
      </c>
      <c r="H138" s="28">
        <f>G138+VLOOKUP(Rawdata!F133,Int_rate_movements,2,TRUE)</f>
        <v>4.4999999999999998E-2</v>
      </c>
      <c r="I138" s="28">
        <f>H138+VLOOKUP(Rawdata!G133,Int_rate_movements,2,TRUE)</f>
        <v>4.4999999999999998E-2</v>
      </c>
      <c r="J138" s="28">
        <f>I138+VLOOKUP(Rawdata!H133,Int_rate_movements,2,TRUE)</f>
        <v>4.4999999999999998E-2</v>
      </c>
      <c r="K138" s="28">
        <f>J138+VLOOKUP(Rawdata!I133,Int_rate_movements,2,TRUE)</f>
        <v>4.4999999999999998E-2</v>
      </c>
      <c r="L138" s="28">
        <f>K138+VLOOKUP(Rawdata!J133,Int_rate_movements,2,TRUE)</f>
        <v>4.2499999999999996E-2</v>
      </c>
      <c r="M138" s="28">
        <f>L138+VLOOKUP(Rawdata!K133,Int_rate_movements,2,TRUE)</f>
        <v>4.2499999999999996E-2</v>
      </c>
      <c r="N138" s="28">
        <f>M138+VLOOKUP(Rawdata!L133,Int_rate_movements,2,TRUE)</f>
        <v>4.7499999999999994E-2</v>
      </c>
      <c r="O138" s="28">
        <f>N138+VLOOKUP(Rawdata!M133,Int_rate_movements,2,TRUE)</f>
        <v>4.9999999999999996E-2</v>
      </c>
      <c r="P138" s="28">
        <f>O138+VLOOKUP(Rawdata!N133,Int_rate_movements,2,TRUE)</f>
        <v>4.9999999999999996E-2</v>
      </c>
      <c r="Q138" s="28">
        <f>P138+VLOOKUP(Rawdata!O133,Int_rate_movements,2,TRUE)</f>
        <v>4.9999999999999996E-2</v>
      </c>
      <c r="R138" s="28">
        <f>Q138+VLOOKUP(Rawdata!P133,Int_rate_movements,2,TRUE)</f>
        <v>4.9999999999999996E-2</v>
      </c>
      <c r="S138" s="28">
        <f>R138+VLOOKUP(Rawdata!Q133,Int_rate_movements,2,TRUE)</f>
        <v>4.9999999999999996E-2</v>
      </c>
      <c r="T138" s="28">
        <f>S138+VLOOKUP(Rawdata!R133,Int_rate_movements,2,TRUE)</f>
        <v>4.9999999999999996E-2</v>
      </c>
      <c r="U138" s="28">
        <f>T138+VLOOKUP(Rawdata!S133,Int_rate_movements,2,TRUE)</f>
        <v>4.9999999999999996E-2</v>
      </c>
      <c r="V138" s="28">
        <f>U138+VLOOKUP(Rawdata!T133,Int_rate_movements,2,TRUE)</f>
        <v>4.9999999999999996E-2</v>
      </c>
      <c r="W138" s="28">
        <f>V138+VLOOKUP(Rawdata!U133,Int_rate_movements,2,TRUE)</f>
        <v>4.9999999999999996E-2</v>
      </c>
      <c r="X138" s="28">
        <f>W138+VLOOKUP(Rawdata!V133,Int_rate_movements,2,TRUE)</f>
        <v>4.9999999999999996E-2</v>
      </c>
      <c r="Y138" s="28">
        <f>X138+VLOOKUP(Rawdata!W133,Int_rate_movements,2,TRUE)</f>
        <v>4.9999999999999996E-2</v>
      </c>
      <c r="Z138" s="35">
        <f>Y138+VLOOKUP(Rawdata!X133,Int_rate_movements,2,TRUE)</f>
        <v>4.9999999999999996E-2</v>
      </c>
      <c r="AB138" s="55">
        <f t="shared" si="111"/>
        <v>4.4097712805242217E-2</v>
      </c>
      <c r="AC138" s="55">
        <f t="shared" si="112"/>
        <v>4.4097712805242217E-2</v>
      </c>
      <c r="AD138" s="55">
        <f t="shared" si="113"/>
        <v>4.4097712805242217E-2</v>
      </c>
      <c r="AE138" s="55">
        <f t="shared" si="114"/>
        <v>4.4097712805242217E-2</v>
      </c>
      <c r="AF138" s="55">
        <f t="shared" si="115"/>
        <v>4.4097712805242217E-2</v>
      </c>
      <c r="AG138" s="55">
        <f t="shared" si="116"/>
        <v>4.4097712805242217E-2</v>
      </c>
      <c r="AH138" s="55">
        <f t="shared" si="117"/>
        <v>4.4097712805242217E-2</v>
      </c>
      <c r="AI138" s="55">
        <f t="shared" si="118"/>
        <v>4.4097712805242217E-2</v>
      </c>
      <c r="AJ138" s="55">
        <f t="shared" si="119"/>
        <v>4.4097712805242217E-2</v>
      </c>
      <c r="AK138" s="55">
        <f t="shared" si="120"/>
        <v>4.4097712805242217E-2</v>
      </c>
      <c r="AL138" s="55">
        <f t="shared" si="121"/>
        <v>4.1693940041970023E-2</v>
      </c>
      <c r="AM138" s="55">
        <f t="shared" si="122"/>
        <v>4.1693940041970023E-2</v>
      </c>
      <c r="AN138" s="55">
        <f t="shared" si="123"/>
        <v>4.6496219905550085E-2</v>
      </c>
      <c r="AO138" s="55">
        <f t="shared" si="124"/>
        <v>4.8889485403780242E-2</v>
      </c>
      <c r="AP138" s="55">
        <f t="shared" si="125"/>
        <v>4.8889485403780242E-2</v>
      </c>
      <c r="AQ138" s="55">
        <f t="shared" si="126"/>
        <v>4.8889485403780242E-2</v>
      </c>
      <c r="AR138" s="55">
        <f t="shared" si="127"/>
        <v>4.8889485403780242E-2</v>
      </c>
      <c r="AS138" s="55">
        <f t="shared" si="128"/>
        <v>4.8889485403780242E-2</v>
      </c>
      <c r="AT138" s="55">
        <f t="shared" si="129"/>
        <v>4.8889485403780242E-2</v>
      </c>
      <c r="AU138" s="55">
        <f t="shared" si="130"/>
        <v>4.8889485403780242E-2</v>
      </c>
      <c r="AV138" s="55">
        <f t="shared" si="131"/>
        <v>4.8889485403780242E-2</v>
      </c>
      <c r="AW138" s="55">
        <f t="shared" si="132"/>
        <v>4.8889485403780242E-2</v>
      </c>
      <c r="AX138" s="55">
        <f t="shared" si="133"/>
        <v>4.8889485403780242E-2</v>
      </c>
      <c r="AY138" s="55">
        <f t="shared" si="134"/>
        <v>4.8889485403780242E-2</v>
      </c>
      <c r="AZ138" s="56">
        <f t="shared" si="135"/>
        <v>4.8889485403780242E-2</v>
      </c>
    </row>
    <row r="139" spans="1:52" x14ac:dyDescent="0.35">
      <c r="A139" s="5">
        <v>132</v>
      </c>
      <c r="B139" s="63">
        <f t="shared" si="110"/>
        <v>4.4999999999999998E-2</v>
      </c>
      <c r="C139" s="28">
        <f>B139+VLOOKUP(Rawdata!A134,Int_rate_movements,2,TRUE)</f>
        <v>4.4999999999999998E-2</v>
      </c>
      <c r="D139" s="28">
        <f>C139+VLOOKUP(Rawdata!B134,Int_rate_movements,2,TRUE)</f>
        <v>4.9999999999999996E-2</v>
      </c>
      <c r="E139" s="28">
        <f>D139+VLOOKUP(Rawdata!C134,Int_rate_movements,2,TRUE)</f>
        <v>5.4999999999999993E-2</v>
      </c>
      <c r="F139" s="28">
        <f>E139+VLOOKUP(Rawdata!D134,Int_rate_movements,2,TRUE)</f>
        <v>5.4999999999999993E-2</v>
      </c>
      <c r="G139" s="28">
        <f>F139+VLOOKUP(Rawdata!E134,Int_rate_movements,2,TRUE)</f>
        <v>5.4999999999999993E-2</v>
      </c>
      <c r="H139" s="28">
        <f>G139+VLOOKUP(Rawdata!F134,Int_rate_movements,2,TRUE)</f>
        <v>5.7499999999999996E-2</v>
      </c>
      <c r="I139" s="28">
        <f>H139+VLOOKUP(Rawdata!G134,Int_rate_movements,2,TRUE)</f>
        <v>5.7499999999999996E-2</v>
      </c>
      <c r="J139" s="28">
        <f>I139+VLOOKUP(Rawdata!H134,Int_rate_movements,2,TRUE)</f>
        <v>5.7499999999999996E-2</v>
      </c>
      <c r="K139" s="28">
        <f>J139+VLOOKUP(Rawdata!I134,Int_rate_movements,2,TRUE)</f>
        <v>5.7499999999999996E-2</v>
      </c>
      <c r="L139" s="28">
        <f>K139+VLOOKUP(Rawdata!J134,Int_rate_movements,2,TRUE)</f>
        <v>5.7499999999999996E-2</v>
      </c>
      <c r="M139" s="28">
        <f>L139+VLOOKUP(Rawdata!K134,Int_rate_movements,2,TRUE)</f>
        <v>5.7499999999999996E-2</v>
      </c>
      <c r="N139" s="28">
        <f>M139+VLOOKUP(Rawdata!L134,Int_rate_movements,2,TRUE)</f>
        <v>5.7499999999999996E-2</v>
      </c>
      <c r="O139" s="28">
        <f>N139+VLOOKUP(Rawdata!M134,Int_rate_movements,2,TRUE)</f>
        <v>5.7499999999999996E-2</v>
      </c>
      <c r="P139" s="28">
        <f>O139+VLOOKUP(Rawdata!N134,Int_rate_movements,2,TRUE)</f>
        <v>5.7499999999999996E-2</v>
      </c>
      <c r="Q139" s="28">
        <f>P139+VLOOKUP(Rawdata!O134,Int_rate_movements,2,TRUE)</f>
        <v>5.7499999999999996E-2</v>
      </c>
      <c r="R139" s="28">
        <f>Q139+VLOOKUP(Rawdata!P134,Int_rate_movements,2,TRUE)</f>
        <v>5.7499999999999996E-2</v>
      </c>
      <c r="S139" s="28">
        <f>R139+VLOOKUP(Rawdata!Q134,Int_rate_movements,2,TRUE)</f>
        <v>0.06</v>
      </c>
      <c r="T139" s="28">
        <f>S139+VLOOKUP(Rawdata!R134,Int_rate_movements,2,TRUE)</f>
        <v>0.06</v>
      </c>
      <c r="U139" s="28">
        <f>T139+VLOOKUP(Rawdata!S134,Int_rate_movements,2,TRUE)</f>
        <v>0.06</v>
      </c>
      <c r="V139" s="28">
        <f>U139+VLOOKUP(Rawdata!T134,Int_rate_movements,2,TRUE)</f>
        <v>0.06</v>
      </c>
      <c r="W139" s="28">
        <f>V139+VLOOKUP(Rawdata!U134,Int_rate_movements,2,TRUE)</f>
        <v>6.25E-2</v>
      </c>
      <c r="X139" s="28">
        <f>W139+VLOOKUP(Rawdata!V134,Int_rate_movements,2,TRUE)</f>
        <v>6.25E-2</v>
      </c>
      <c r="Y139" s="28">
        <f>X139+VLOOKUP(Rawdata!W134,Int_rate_movements,2,TRUE)</f>
        <v>6.25E-2</v>
      </c>
      <c r="Z139" s="35">
        <f>Y139+VLOOKUP(Rawdata!X134,Int_rate_movements,2,TRUE)</f>
        <v>6.25E-2</v>
      </c>
      <c r="AB139" s="55">
        <f t="shared" si="111"/>
        <v>4.4097712805242217E-2</v>
      </c>
      <c r="AC139" s="55">
        <f t="shared" si="112"/>
        <v>4.4097712805242217E-2</v>
      </c>
      <c r="AD139" s="55">
        <f t="shared" si="113"/>
        <v>4.8889485403780242E-2</v>
      </c>
      <c r="AE139" s="55">
        <f t="shared" si="114"/>
        <v>5.3660387004516252E-2</v>
      </c>
      <c r="AF139" s="55">
        <f t="shared" si="115"/>
        <v>5.3660387004516252E-2</v>
      </c>
      <c r="AG139" s="55">
        <f t="shared" si="116"/>
        <v>5.3660387004516252E-2</v>
      </c>
      <c r="AH139" s="55">
        <f t="shared" si="117"/>
        <v>5.603807040042863E-2</v>
      </c>
      <c r="AI139" s="55">
        <f t="shared" si="118"/>
        <v>5.603807040042863E-2</v>
      </c>
      <c r="AJ139" s="55">
        <f t="shared" si="119"/>
        <v>5.603807040042863E-2</v>
      </c>
      <c r="AK139" s="55">
        <f t="shared" si="120"/>
        <v>5.603807040042863E-2</v>
      </c>
      <c r="AL139" s="55">
        <f t="shared" si="121"/>
        <v>5.603807040042863E-2</v>
      </c>
      <c r="AM139" s="55">
        <f t="shared" si="122"/>
        <v>5.603807040042863E-2</v>
      </c>
      <c r="AN139" s="55">
        <f t="shared" si="123"/>
        <v>5.603807040042863E-2</v>
      </c>
      <c r="AO139" s="55">
        <f t="shared" si="124"/>
        <v>5.603807040042863E-2</v>
      </c>
      <c r="AP139" s="55">
        <f t="shared" si="125"/>
        <v>5.603807040042863E-2</v>
      </c>
      <c r="AQ139" s="55">
        <f t="shared" si="126"/>
        <v>5.603807040042863E-2</v>
      </c>
      <c r="AR139" s="55">
        <f t="shared" si="127"/>
        <v>5.603807040042863E-2</v>
      </c>
      <c r="AS139" s="55">
        <f t="shared" si="128"/>
        <v>5.8410606784116581E-2</v>
      </c>
      <c r="AT139" s="55">
        <f t="shared" si="129"/>
        <v>5.8410606784116581E-2</v>
      </c>
      <c r="AU139" s="55">
        <f t="shared" si="130"/>
        <v>5.8410606784116581E-2</v>
      </c>
      <c r="AV139" s="55">
        <f t="shared" si="131"/>
        <v>5.8410606784116581E-2</v>
      </c>
      <c r="AW139" s="55">
        <f t="shared" si="132"/>
        <v>6.0778019397250027E-2</v>
      </c>
      <c r="AX139" s="55">
        <f t="shared" si="133"/>
        <v>6.0778019397250027E-2</v>
      </c>
      <c r="AY139" s="55">
        <f t="shared" si="134"/>
        <v>6.0778019397250027E-2</v>
      </c>
      <c r="AZ139" s="56">
        <f t="shared" si="135"/>
        <v>6.0778019397250027E-2</v>
      </c>
    </row>
    <row r="140" spans="1:52" x14ac:dyDescent="0.35">
      <c r="A140" s="27">
        <v>133</v>
      </c>
      <c r="B140" s="63">
        <f t="shared" si="110"/>
        <v>4.4999999999999998E-2</v>
      </c>
      <c r="C140" s="28">
        <f>B140+VLOOKUP(Rawdata!A135,Int_rate_movements,2,TRUE)</f>
        <v>4.4999999999999998E-2</v>
      </c>
      <c r="D140" s="28">
        <f>C140+VLOOKUP(Rawdata!B135,Int_rate_movements,2,TRUE)</f>
        <v>4.4999999999999998E-2</v>
      </c>
      <c r="E140" s="28">
        <f>D140+VLOOKUP(Rawdata!C135,Int_rate_movements,2,TRUE)</f>
        <v>4.4999999999999998E-2</v>
      </c>
      <c r="F140" s="28">
        <f>E140+VLOOKUP(Rawdata!D135,Int_rate_movements,2,TRUE)</f>
        <v>4.4999999999999998E-2</v>
      </c>
      <c r="G140" s="28">
        <f>F140+VLOOKUP(Rawdata!E135,Int_rate_movements,2,TRUE)</f>
        <v>4.4999999999999998E-2</v>
      </c>
      <c r="H140" s="28">
        <f>G140+VLOOKUP(Rawdata!F135,Int_rate_movements,2,TRUE)</f>
        <v>4.2499999999999996E-2</v>
      </c>
      <c r="I140" s="28">
        <f>H140+VLOOKUP(Rawdata!G135,Int_rate_movements,2,TRUE)</f>
        <v>4.2499999999999996E-2</v>
      </c>
      <c r="J140" s="28">
        <f>I140+VLOOKUP(Rawdata!H135,Int_rate_movements,2,TRUE)</f>
        <v>4.2499999999999996E-2</v>
      </c>
      <c r="K140" s="28">
        <f>J140+VLOOKUP(Rawdata!I135,Int_rate_movements,2,TRUE)</f>
        <v>4.4999999999999998E-2</v>
      </c>
      <c r="L140" s="28">
        <f>K140+VLOOKUP(Rawdata!J135,Int_rate_movements,2,TRUE)</f>
        <v>4.4999999999999998E-2</v>
      </c>
      <c r="M140" s="28">
        <f>L140+VLOOKUP(Rawdata!K135,Int_rate_movements,2,TRUE)</f>
        <v>4.4999999999999998E-2</v>
      </c>
      <c r="N140" s="28">
        <f>M140+VLOOKUP(Rawdata!L135,Int_rate_movements,2,TRUE)</f>
        <v>4.4999999999999998E-2</v>
      </c>
      <c r="O140" s="28">
        <f>N140+VLOOKUP(Rawdata!M135,Int_rate_movements,2,TRUE)</f>
        <v>4.4999999999999998E-2</v>
      </c>
      <c r="P140" s="28">
        <f>O140+VLOOKUP(Rawdata!N135,Int_rate_movements,2,TRUE)</f>
        <v>4.4999999999999998E-2</v>
      </c>
      <c r="Q140" s="28">
        <f>P140+VLOOKUP(Rawdata!O135,Int_rate_movements,2,TRUE)</f>
        <v>4.4999999999999998E-2</v>
      </c>
      <c r="R140" s="28">
        <f>Q140+VLOOKUP(Rawdata!P135,Int_rate_movements,2,TRUE)</f>
        <v>4.4999999999999998E-2</v>
      </c>
      <c r="S140" s="28">
        <f>R140+VLOOKUP(Rawdata!Q135,Int_rate_movements,2,TRUE)</f>
        <v>4.4999999999999998E-2</v>
      </c>
      <c r="T140" s="28">
        <f>S140+VLOOKUP(Rawdata!R135,Int_rate_movements,2,TRUE)</f>
        <v>4.4999999999999998E-2</v>
      </c>
      <c r="U140" s="28">
        <f>T140+VLOOKUP(Rawdata!S135,Int_rate_movements,2,TRUE)</f>
        <v>4.4999999999999998E-2</v>
      </c>
      <c r="V140" s="28">
        <f>U140+VLOOKUP(Rawdata!T135,Int_rate_movements,2,TRUE)</f>
        <v>4.4999999999999998E-2</v>
      </c>
      <c r="W140" s="28">
        <f>V140+VLOOKUP(Rawdata!U135,Int_rate_movements,2,TRUE)</f>
        <v>4.4999999999999998E-2</v>
      </c>
      <c r="X140" s="28">
        <f>W140+VLOOKUP(Rawdata!V135,Int_rate_movements,2,TRUE)</f>
        <v>4.4999999999999998E-2</v>
      </c>
      <c r="Y140" s="28">
        <f>X140+VLOOKUP(Rawdata!W135,Int_rate_movements,2,TRUE)</f>
        <v>4.4999999999999998E-2</v>
      </c>
      <c r="Z140" s="35">
        <f>Y140+VLOOKUP(Rawdata!X135,Int_rate_movements,2,TRUE)</f>
        <v>4.4999999999999998E-2</v>
      </c>
      <c r="AB140" s="55">
        <f t="shared" si="111"/>
        <v>4.4097712805242217E-2</v>
      </c>
      <c r="AC140" s="55">
        <f t="shared" si="112"/>
        <v>4.4097712805242217E-2</v>
      </c>
      <c r="AD140" s="55">
        <f t="shared" si="113"/>
        <v>4.4097712805242217E-2</v>
      </c>
      <c r="AE140" s="55">
        <f t="shared" si="114"/>
        <v>4.4097712805242217E-2</v>
      </c>
      <c r="AF140" s="55">
        <f t="shared" si="115"/>
        <v>4.4097712805242217E-2</v>
      </c>
      <c r="AG140" s="55">
        <f t="shared" si="116"/>
        <v>4.4097712805242217E-2</v>
      </c>
      <c r="AH140" s="55">
        <f t="shared" si="117"/>
        <v>4.1693940041970023E-2</v>
      </c>
      <c r="AI140" s="55">
        <f t="shared" si="118"/>
        <v>4.1693940041970023E-2</v>
      </c>
      <c r="AJ140" s="55">
        <f t="shared" si="119"/>
        <v>4.1693940041970023E-2</v>
      </c>
      <c r="AK140" s="55">
        <f t="shared" si="120"/>
        <v>4.4097712805242217E-2</v>
      </c>
      <c r="AL140" s="55">
        <f t="shared" si="121"/>
        <v>4.4097712805242217E-2</v>
      </c>
      <c r="AM140" s="55">
        <f t="shared" si="122"/>
        <v>4.4097712805242217E-2</v>
      </c>
      <c r="AN140" s="55">
        <f t="shared" si="123"/>
        <v>4.4097712805242217E-2</v>
      </c>
      <c r="AO140" s="55">
        <f t="shared" si="124"/>
        <v>4.4097712805242217E-2</v>
      </c>
      <c r="AP140" s="55">
        <f t="shared" si="125"/>
        <v>4.4097712805242217E-2</v>
      </c>
      <c r="AQ140" s="55">
        <f t="shared" si="126"/>
        <v>4.4097712805242217E-2</v>
      </c>
      <c r="AR140" s="55">
        <f t="shared" si="127"/>
        <v>4.4097712805242217E-2</v>
      </c>
      <c r="AS140" s="55">
        <f t="shared" si="128"/>
        <v>4.4097712805242217E-2</v>
      </c>
      <c r="AT140" s="55">
        <f t="shared" si="129"/>
        <v>4.4097712805242217E-2</v>
      </c>
      <c r="AU140" s="55">
        <f t="shared" si="130"/>
        <v>4.4097712805242217E-2</v>
      </c>
      <c r="AV140" s="55">
        <f t="shared" si="131"/>
        <v>4.4097712805242217E-2</v>
      </c>
      <c r="AW140" s="55">
        <f t="shared" si="132"/>
        <v>4.4097712805242217E-2</v>
      </c>
      <c r="AX140" s="55">
        <f t="shared" si="133"/>
        <v>4.4097712805242217E-2</v>
      </c>
      <c r="AY140" s="55">
        <f t="shared" si="134"/>
        <v>4.4097712805242217E-2</v>
      </c>
      <c r="AZ140" s="56">
        <f t="shared" si="135"/>
        <v>4.4097712805242217E-2</v>
      </c>
    </row>
    <row r="141" spans="1:52" x14ac:dyDescent="0.35">
      <c r="A141" s="5">
        <v>134</v>
      </c>
      <c r="B141" s="63">
        <f t="shared" si="110"/>
        <v>4.4999999999999998E-2</v>
      </c>
      <c r="C141" s="28">
        <f>B141+VLOOKUP(Rawdata!A136,Int_rate_movements,2,TRUE)</f>
        <v>4.4999999999999998E-2</v>
      </c>
      <c r="D141" s="28">
        <f>C141+VLOOKUP(Rawdata!B136,Int_rate_movements,2,TRUE)</f>
        <v>4.4999999999999998E-2</v>
      </c>
      <c r="E141" s="28">
        <f>D141+VLOOKUP(Rawdata!C136,Int_rate_movements,2,TRUE)</f>
        <v>4.4999999999999998E-2</v>
      </c>
      <c r="F141" s="28">
        <f>E141+VLOOKUP(Rawdata!D136,Int_rate_movements,2,TRUE)</f>
        <v>4.2499999999999996E-2</v>
      </c>
      <c r="G141" s="28">
        <f>F141+VLOOKUP(Rawdata!E136,Int_rate_movements,2,TRUE)</f>
        <v>4.2499999999999996E-2</v>
      </c>
      <c r="H141" s="28">
        <f>G141+VLOOKUP(Rawdata!F136,Int_rate_movements,2,TRUE)</f>
        <v>4.2499999999999996E-2</v>
      </c>
      <c r="I141" s="28">
        <f>H141+VLOOKUP(Rawdata!G136,Int_rate_movements,2,TRUE)</f>
        <v>4.2499999999999996E-2</v>
      </c>
      <c r="J141" s="28">
        <f>I141+VLOOKUP(Rawdata!H136,Int_rate_movements,2,TRUE)</f>
        <v>4.2499999999999996E-2</v>
      </c>
      <c r="K141" s="28">
        <f>J141+VLOOKUP(Rawdata!I136,Int_rate_movements,2,TRUE)</f>
        <v>4.2499999999999996E-2</v>
      </c>
      <c r="L141" s="28">
        <f>K141+VLOOKUP(Rawdata!J136,Int_rate_movements,2,TRUE)</f>
        <v>4.2499999999999996E-2</v>
      </c>
      <c r="M141" s="28">
        <f>L141+VLOOKUP(Rawdata!K136,Int_rate_movements,2,TRUE)</f>
        <v>4.2499999999999996E-2</v>
      </c>
      <c r="N141" s="28">
        <f>M141+VLOOKUP(Rawdata!L136,Int_rate_movements,2,TRUE)</f>
        <v>4.2499999999999996E-2</v>
      </c>
      <c r="O141" s="28">
        <f>N141+VLOOKUP(Rawdata!M136,Int_rate_movements,2,TRUE)</f>
        <v>4.2499999999999996E-2</v>
      </c>
      <c r="P141" s="28">
        <f>O141+VLOOKUP(Rawdata!N136,Int_rate_movements,2,TRUE)</f>
        <v>4.2499999999999996E-2</v>
      </c>
      <c r="Q141" s="28">
        <f>P141+VLOOKUP(Rawdata!O136,Int_rate_movements,2,TRUE)</f>
        <v>4.2499999999999996E-2</v>
      </c>
      <c r="R141" s="28">
        <f>Q141+VLOOKUP(Rawdata!P136,Int_rate_movements,2,TRUE)</f>
        <v>4.2499999999999996E-2</v>
      </c>
      <c r="S141" s="28">
        <f>R141+VLOOKUP(Rawdata!Q136,Int_rate_movements,2,TRUE)</f>
        <v>4.2499999999999996E-2</v>
      </c>
      <c r="T141" s="28">
        <f>S141+VLOOKUP(Rawdata!R136,Int_rate_movements,2,TRUE)</f>
        <v>4.2499999999999996E-2</v>
      </c>
      <c r="U141" s="28">
        <f>T141+VLOOKUP(Rawdata!S136,Int_rate_movements,2,TRUE)</f>
        <v>4.2499999999999996E-2</v>
      </c>
      <c r="V141" s="28">
        <f>U141+VLOOKUP(Rawdata!T136,Int_rate_movements,2,TRUE)</f>
        <v>4.2499999999999996E-2</v>
      </c>
      <c r="W141" s="28">
        <f>V141+VLOOKUP(Rawdata!U136,Int_rate_movements,2,TRUE)</f>
        <v>4.2499999999999996E-2</v>
      </c>
      <c r="X141" s="28">
        <f>W141+VLOOKUP(Rawdata!V136,Int_rate_movements,2,TRUE)</f>
        <v>4.2499999999999996E-2</v>
      </c>
      <c r="Y141" s="28">
        <f>X141+VLOOKUP(Rawdata!W136,Int_rate_movements,2,TRUE)</f>
        <v>4.2499999999999996E-2</v>
      </c>
      <c r="Z141" s="35">
        <f>Y141+VLOOKUP(Rawdata!X136,Int_rate_movements,2,TRUE)</f>
        <v>4.2499999999999996E-2</v>
      </c>
      <c r="AB141" s="55">
        <f t="shared" si="111"/>
        <v>4.4097712805242217E-2</v>
      </c>
      <c r="AC141" s="55">
        <f t="shared" si="112"/>
        <v>4.4097712805242217E-2</v>
      </c>
      <c r="AD141" s="55">
        <f t="shared" si="113"/>
        <v>4.4097712805242217E-2</v>
      </c>
      <c r="AE141" s="55">
        <f t="shared" si="114"/>
        <v>4.4097712805242217E-2</v>
      </c>
      <c r="AF141" s="55">
        <f t="shared" si="115"/>
        <v>4.1693940041970023E-2</v>
      </c>
      <c r="AG141" s="55">
        <f t="shared" si="116"/>
        <v>4.1693940041970023E-2</v>
      </c>
      <c r="AH141" s="55">
        <f t="shared" si="117"/>
        <v>4.1693940041970023E-2</v>
      </c>
      <c r="AI141" s="55">
        <f t="shared" si="118"/>
        <v>4.1693940041970023E-2</v>
      </c>
      <c r="AJ141" s="55">
        <f t="shared" si="119"/>
        <v>4.1693940041970023E-2</v>
      </c>
      <c r="AK141" s="55">
        <f t="shared" si="120"/>
        <v>4.1693940041970023E-2</v>
      </c>
      <c r="AL141" s="55">
        <f t="shared" si="121"/>
        <v>4.1693940041970023E-2</v>
      </c>
      <c r="AM141" s="55">
        <f t="shared" si="122"/>
        <v>4.1693940041970023E-2</v>
      </c>
      <c r="AN141" s="55">
        <f t="shared" si="123"/>
        <v>4.1693940041970023E-2</v>
      </c>
      <c r="AO141" s="55">
        <f t="shared" si="124"/>
        <v>4.1693940041970023E-2</v>
      </c>
      <c r="AP141" s="55">
        <f t="shared" si="125"/>
        <v>4.1693940041970023E-2</v>
      </c>
      <c r="AQ141" s="55">
        <f t="shared" si="126"/>
        <v>4.1693940041970023E-2</v>
      </c>
      <c r="AR141" s="55">
        <f t="shared" si="127"/>
        <v>4.1693940041970023E-2</v>
      </c>
      <c r="AS141" s="55">
        <f t="shared" si="128"/>
        <v>4.1693940041970023E-2</v>
      </c>
      <c r="AT141" s="55">
        <f t="shared" si="129"/>
        <v>4.1693940041970023E-2</v>
      </c>
      <c r="AU141" s="55">
        <f t="shared" si="130"/>
        <v>4.1693940041970023E-2</v>
      </c>
      <c r="AV141" s="55">
        <f t="shared" si="131"/>
        <v>4.1693940041970023E-2</v>
      </c>
      <c r="AW141" s="55">
        <f t="shared" si="132"/>
        <v>4.1693940041970023E-2</v>
      </c>
      <c r="AX141" s="55">
        <f t="shared" si="133"/>
        <v>4.1693940041970023E-2</v>
      </c>
      <c r="AY141" s="55">
        <f t="shared" si="134"/>
        <v>4.1693940041970023E-2</v>
      </c>
      <c r="AZ141" s="56">
        <f t="shared" si="135"/>
        <v>4.1693940041970023E-2</v>
      </c>
    </row>
    <row r="142" spans="1:52" x14ac:dyDescent="0.35">
      <c r="A142" s="27">
        <v>135</v>
      </c>
      <c r="B142" s="63">
        <f t="shared" si="110"/>
        <v>4.4999999999999998E-2</v>
      </c>
      <c r="C142" s="28">
        <f>B142+VLOOKUP(Rawdata!A137,Int_rate_movements,2,TRUE)</f>
        <v>4.4999999999999998E-2</v>
      </c>
      <c r="D142" s="28">
        <f>C142+VLOOKUP(Rawdata!B137,Int_rate_movements,2,TRUE)</f>
        <v>4.7500000000000001E-2</v>
      </c>
      <c r="E142" s="28">
        <f>D142+VLOOKUP(Rawdata!C137,Int_rate_movements,2,TRUE)</f>
        <v>4.7500000000000001E-2</v>
      </c>
      <c r="F142" s="28">
        <f>E142+VLOOKUP(Rawdata!D137,Int_rate_movements,2,TRUE)</f>
        <v>4.7500000000000001E-2</v>
      </c>
      <c r="G142" s="28">
        <f>F142+VLOOKUP(Rawdata!E137,Int_rate_movements,2,TRUE)</f>
        <v>4.2500000000000003E-2</v>
      </c>
      <c r="H142" s="28">
        <f>G142+VLOOKUP(Rawdata!F137,Int_rate_movements,2,TRUE)</f>
        <v>4.2500000000000003E-2</v>
      </c>
      <c r="I142" s="28">
        <f>H142+VLOOKUP(Rawdata!G137,Int_rate_movements,2,TRUE)</f>
        <v>4.2500000000000003E-2</v>
      </c>
      <c r="J142" s="28">
        <f>I142+VLOOKUP(Rawdata!H137,Int_rate_movements,2,TRUE)</f>
        <v>4.2500000000000003E-2</v>
      </c>
      <c r="K142" s="28">
        <f>J142+VLOOKUP(Rawdata!I137,Int_rate_movements,2,TRUE)</f>
        <v>4.2500000000000003E-2</v>
      </c>
      <c r="L142" s="28">
        <f>K142+VLOOKUP(Rawdata!J137,Int_rate_movements,2,TRUE)</f>
        <v>4.2500000000000003E-2</v>
      </c>
      <c r="M142" s="28">
        <f>L142+VLOOKUP(Rawdata!K137,Int_rate_movements,2,TRUE)</f>
        <v>4.2500000000000003E-2</v>
      </c>
      <c r="N142" s="28">
        <f>M142+VLOOKUP(Rawdata!L137,Int_rate_movements,2,TRUE)</f>
        <v>4.2500000000000003E-2</v>
      </c>
      <c r="O142" s="28">
        <f>N142+VLOOKUP(Rawdata!M137,Int_rate_movements,2,TRUE)</f>
        <v>4.2500000000000003E-2</v>
      </c>
      <c r="P142" s="28">
        <f>O142+VLOOKUP(Rawdata!N137,Int_rate_movements,2,TRUE)</f>
        <v>4.2500000000000003E-2</v>
      </c>
      <c r="Q142" s="28">
        <f>P142+VLOOKUP(Rawdata!O137,Int_rate_movements,2,TRUE)</f>
        <v>4.2500000000000003E-2</v>
      </c>
      <c r="R142" s="28">
        <f>Q142+VLOOKUP(Rawdata!P137,Int_rate_movements,2,TRUE)</f>
        <v>4.2500000000000003E-2</v>
      </c>
      <c r="S142" s="28">
        <f>R142+VLOOKUP(Rawdata!Q137,Int_rate_movements,2,TRUE)</f>
        <v>4.7500000000000001E-2</v>
      </c>
      <c r="T142" s="28">
        <f>S142+VLOOKUP(Rawdata!R137,Int_rate_movements,2,TRUE)</f>
        <v>4.7500000000000001E-2</v>
      </c>
      <c r="U142" s="28">
        <f>T142+VLOOKUP(Rawdata!S137,Int_rate_movements,2,TRUE)</f>
        <v>0.05</v>
      </c>
      <c r="V142" s="28">
        <f>U142+VLOOKUP(Rawdata!T137,Int_rate_movements,2,TRUE)</f>
        <v>0.05</v>
      </c>
      <c r="W142" s="28">
        <f>V142+VLOOKUP(Rawdata!U137,Int_rate_movements,2,TRUE)</f>
        <v>0.05</v>
      </c>
      <c r="X142" s="28">
        <f>W142+VLOOKUP(Rawdata!V137,Int_rate_movements,2,TRUE)</f>
        <v>0.05</v>
      </c>
      <c r="Y142" s="28">
        <f>X142+VLOOKUP(Rawdata!W137,Int_rate_movements,2,TRUE)</f>
        <v>0.05</v>
      </c>
      <c r="Z142" s="35">
        <f>Y142+VLOOKUP(Rawdata!X137,Int_rate_movements,2,TRUE)</f>
        <v>0.05</v>
      </c>
      <c r="AB142" s="55">
        <f t="shared" si="111"/>
        <v>4.4097712805242217E-2</v>
      </c>
      <c r="AC142" s="55">
        <f t="shared" si="112"/>
        <v>4.4097712805242217E-2</v>
      </c>
      <c r="AD142" s="55">
        <f t="shared" si="113"/>
        <v>4.6496219905550085E-2</v>
      </c>
      <c r="AE142" s="55">
        <f t="shared" si="114"/>
        <v>4.6496219905550085E-2</v>
      </c>
      <c r="AF142" s="55">
        <f t="shared" si="115"/>
        <v>4.6496219905550085E-2</v>
      </c>
      <c r="AG142" s="55">
        <f t="shared" si="116"/>
        <v>4.1693940041970023E-2</v>
      </c>
      <c r="AH142" s="55">
        <f t="shared" si="117"/>
        <v>4.1693940041970023E-2</v>
      </c>
      <c r="AI142" s="55">
        <f t="shared" si="118"/>
        <v>4.1693940041970023E-2</v>
      </c>
      <c r="AJ142" s="55">
        <f t="shared" si="119"/>
        <v>4.1693940041970023E-2</v>
      </c>
      <c r="AK142" s="55">
        <f t="shared" si="120"/>
        <v>4.1693940041970023E-2</v>
      </c>
      <c r="AL142" s="55">
        <f t="shared" si="121"/>
        <v>4.1693940041970023E-2</v>
      </c>
      <c r="AM142" s="55">
        <f t="shared" si="122"/>
        <v>4.1693940041970023E-2</v>
      </c>
      <c r="AN142" s="55">
        <f t="shared" si="123"/>
        <v>4.1693940041970023E-2</v>
      </c>
      <c r="AO142" s="55">
        <f t="shared" si="124"/>
        <v>4.1693940041970023E-2</v>
      </c>
      <c r="AP142" s="55">
        <f t="shared" si="125"/>
        <v>4.1693940041970023E-2</v>
      </c>
      <c r="AQ142" s="55">
        <f t="shared" si="126"/>
        <v>4.1693940041970023E-2</v>
      </c>
      <c r="AR142" s="55">
        <f t="shared" si="127"/>
        <v>4.1693940041970023E-2</v>
      </c>
      <c r="AS142" s="55">
        <f t="shared" si="128"/>
        <v>4.6496219905550085E-2</v>
      </c>
      <c r="AT142" s="55">
        <f t="shared" si="129"/>
        <v>4.6496219905550085E-2</v>
      </c>
      <c r="AU142" s="55">
        <f t="shared" si="130"/>
        <v>4.8889485403780242E-2</v>
      </c>
      <c r="AV142" s="55">
        <f t="shared" si="131"/>
        <v>4.8889485403780242E-2</v>
      </c>
      <c r="AW142" s="55">
        <f t="shared" si="132"/>
        <v>4.8889485403780242E-2</v>
      </c>
      <c r="AX142" s="55">
        <f t="shared" si="133"/>
        <v>4.8889485403780242E-2</v>
      </c>
      <c r="AY142" s="55">
        <f t="shared" si="134"/>
        <v>4.8889485403780242E-2</v>
      </c>
      <c r="AZ142" s="56">
        <f t="shared" si="135"/>
        <v>4.8889485403780242E-2</v>
      </c>
    </row>
    <row r="143" spans="1:52" x14ac:dyDescent="0.35">
      <c r="A143" s="5">
        <v>136</v>
      </c>
      <c r="B143" s="63">
        <f t="shared" si="110"/>
        <v>4.4999999999999998E-2</v>
      </c>
      <c r="C143" s="28">
        <f>B143+VLOOKUP(Rawdata!A138,Int_rate_movements,2,TRUE)</f>
        <v>4.4999999999999998E-2</v>
      </c>
      <c r="D143" s="28">
        <f>C143+VLOOKUP(Rawdata!B138,Int_rate_movements,2,TRUE)</f>
        <v>4.4999999999999998E-2</v>
      </c>
      <c r="E143" s="28">
        <f>D143+VLOOKUP(Rawdata!C138,Int_rate_movements,2,TRUE)</f>
        <v>4.4999999999999998E-2</v>
      </c>
      <c r="F143" s="28">
        <f>E143+VLOOKUP(Rawdata!D138,Int_rate_movements,2,TRUE)</f>
        <v>4.4999999999999998E-2</v>
      </c>
      <c r="G143" s="28">
        <f>F143+VLOOKUP(Rawdata!E138,Int_rate_movements,2,TRUE)</f>
        <v>4.4999999999999998E-2</v>
      </c>
      <c r="H143" s="28">
        <f>G143+VLOOKUP(Rawdata!F138,Int_rate_movements,2,TRUE)</f>
        <v>4.4999999999999998E-2</v>
      </c>
      <c r="I143" s="28">
        <f>H143+VLOOKUP(Rawdata!G138,Int_rate_movements,2,TRUE)</f>
        <v>4.4999999999999998E-2</v>
      </c>
      <c r="J143" s="28">
        <f>I143+VLOOKUP(Rawdata!H138,Int_rate_movements,2,TRUE)</f>
        <v>4.4999999999999998E-2</v>
      </c>
      <c r="K143" s="28">
        <f>J143+VLOOKUP(Rawdata!I138,Int_rate_movements,2,TRUE)</f>
        <v>4.4999999999999998E-2</v>
      </c>
      <c r="L143" s="28">
        <f>K143+VLOOKUP(Rawdata!J138,Int_rate_movements,2,TRUE)</f>
        <v>4.4999999999999998E-2</v>
      </c>
      <c r="M143" s="28">
        <f>L143+VLOOKUP(Rawdata!K138,Int_rate_movements,2,TRUE)</f>
        <v>4.4999999999999998E-2</v>
      </c>
      <c r="N143" s="28">
        <f>M143+VLOOKUP(Rawdata!L138,Int_rate_movements,2,TRUE)</f>
        <v>4.4999999999999998E-2</v>
      </c>
      <c r="O143" s="28">
        <f>N143+VLOOKUP(Rawdata!M138,Int_rate_movements,2,TRUE)</f>
        <v>4.4999999999999998E-2</v>
      </c>
      <c r="P143" s="28">
        <f>O143+VLOOKUP(Rawdata!N138,Int_rate_movements,2,TRUE)</f>
        <v>4.4999999999999998E-2</v>
      </c>
      <c r="Q143" s="28">
        <f>P143+VLOOKUP(Rawdata!O138,Int_rate_movements,2,TRUE)</f>
        <v>4.4999999999999998E-2</v>
      </c>
      <c r="R143" s="28">
        <f>Q143+VLOOKUP(Rawdata!P138,Int_rate_movements,2,TRUE)</f>
        <v>4.4999999999999998E-2</v>
      </c>
      <c r="S143" s="28">
        <f>R143+VLOOKUP(Rawdata!Q138,Int_rate_movements,2,TRUE)</f>
        <v>4.4999999999999998E-2</v>
      </c>
      <c r="T143" s="28">
        <f>S143+VLOOKUP(Rawdata!R138,Int_rate_movements,2,TRUE)</f>
        <v>4.4999999999999998E-2</v>
      </c>
      <c r="U143" s="28">
        <f>T143+VLOOKUP(Rawdata!S138,Int_rate_movements,2,TRUE)</f>
        <v>4.4999999999999998E-2</v>
      </c>
      <c r="V143" s="28">
        <f>U143+VLOOKUP(Rawdata!T138,Int_rate_movements,2,TRUE)</f>
        <v>0.04</v>
      </c>
      <c r="W143" s="28">
        <f>V143+VLOOKUP(Rawdata!U138,Int_rate_movements,2,TRUE)</f>
        <v>0.04</v>
      </c>
      <c r="X143" s="28">
        <f>W143+VLOOKUP(Rawdata!V138,Int_rate_movements,2,TRUE)</f>
        <v>0.04</v>
      </c>
      <c r="Y143" s="28">
        <f>X143+VLOOKUP(Rawdata!W138,Int_rate_movements,2,TRUE)</f>
        <v>0.04</v>
      </c>
      <c r="Z143" s="35">
        <f>Y143+VLOOKUP(Rawdata!X138,Int_rate_movements,2,TRUE)</f>
        <v>0.04</v>
      </c>
      <c r="AB143" s="55">
        <f t="shared" si="111"/>
        <v>4.4097712805242217E-2</v>
      </c>
      <c r="AC143" s="55">
        <f t="shared" si="112"/>
        <v>4.4097712805242217E-2</v>
      </c>
      <c r="AD143" s="55">
        <f t="shared" si="113"/>
        <v>4.4097712805242217E-2</v>
      </c>
      <c r="AE143" s="55">
        <f t="shared" si="114"/>
        <v>4.4097712805242217E-2</v>
      </c>
      <c r="AF143" s="55">
        <f t="shared" si="115"/>
        <v>4.4097712805242217E-2</v>
      </c>
      <c r="AG143" s="55">
        <f t="shared" si="116"/>
        <v>4.4097712805242217E-2</v>
      </c>
      <c r="AH143" s="55">
        <f t="shared" si="117"/>
        <v>4.4097712805242217E-2</v>
      </c>
      <c r="AI143" s="55">
        <f t="shared" si="118"/>
        <v>4.4097712805242217E-2</v>
      </c>
      <c r="AJ143" s="55">
        <f t="shared" si="119"/>
        <v>4.4097712805242217E-2</v>
      </c>
      <c r="AK143" s="55">
        <f t="shared" si="120"/>
        <v>4.4097712805242217E-2</v>
      </c>
      <c r="AL143" s="55">
        <f t="shared" si="121"/>
        <v>4.4097712805242217E-2</v>
      </c>
      <c r="AM143" s="55">
        <f t="shared" si="122"/>
        <v>4.4097712805242217E-2</v>
      </c>
      <c r="AN143" s="55">
        <f t="shared" si="123"/>
        <v>4.4097712805242217E-2</v>
      </c>
      <c r="AO143" s="55">
        <f t="shared" si="124"/>
        <v>4.4097712805242217E-2</v>
      </c>
      <c r="AP143" s="55">
        <f t="shared" si="125"/>
        <v>4.4097712805242217E-2</v>
      </c>
      <c r="AQ143" s="55">
        <f t="shared" si="126"/>
        <v>4.4097712805242217E-2</v>
      </c>
      <c r="AR143" s="55">
        <f t="shared" si="127"/>
        <v>4.4097712805242217E-2</v>
      </c>
      <c r="AS143" s="55">
        <f t="shared" si="128"/>
        <v>4.4097712805242217E-2</v>
      </c>
      <c r="AT143" s="55">
        <f t="shared" si="129"/>
        <v>4.4097712805242217E-2</v>
      </c>
      <c r="AU143" s="55">
        <f t="shared" si="130"/>
        <v>4.4097712805242217E-2</v>
      </c>
      <c r="AV143" s="55">
        <f t="shared" si="131"/>
        <v>3.9284877386386974E-2</v>
      </c>
      <c r="AW143" s="55">
        <f t="shared" si="132"/>
        <v>3.9284877386386974E-2</v>
      </c>
      <c r="AX143" s="55">
        <f t="shared" si="133"/>
        <v>3.9284877386386974E-2</v>
      </c>
      <c r="AY143" s="55">
        <f t="shared" si="134"/>
        <v>3.9284877386386974E-2</v>
      </c>
      <c r="AZ143" s="56">
        <f t="shared" si="135"/>
        <v>3.9284877386386974E-2</v>
      </c>
    </row>
    <row r="144" spans="1:52" x14ac:dyDescent="0.35">
      <c r="A144" s="27">
        <v>137</v>
      </c>
      <c r="B144" s="63">
        <f t="shared" si="110"/>
        <v>4.4999999999999998E-2</v>
      </c>
      <c r="C144" s="28">
        <f>B144+VLOOKUP(Rawdata!A139,Int_rate_movements,2,TRUE)</f>
        <v>4.4999999999999998E-2</v>
      </c>
      <c r="D144" s="28">
        <f>C144+VLOOKUP(Rawdata!B139,Int_rate_movements,2,TRUE)</f>
        <v>4.4999999999999998E-2</v>
      </c>
      <c r="E144" s="28">
        <f>D144+VLOOKUP(Rawdata!C139,Int_rate_movements,2,TRUE)</f>
        <v>4.4999999999999998E-2</v>
      </c>
      <c r="F144" s="28">
        <f>E144+VLOOKUP(Rawdata!D139,Int_rate_movements,2,TRUE)</f>
        <v>4.4999999999999998E-2</v>
      </c>
      <c r="G144" s="28">
        <f>F144+VLOOKUP(Rawdata!E139,Int_rate_movements,2,TRUE)</f>
        <v>4.4999999999999998E-2</v>
      </c>
      <c r="H144" s="28">
        <f>G144+VLOOKUP(Rawdata!F139,Int_rate_movements,2,TRUE)</f>
        <v>4.4999999999999998E-2</v>
      </c>
      <c r="I144" s="28">
        <f>H144+VLOOKUP(Rawdata!G139,Int_rate_movements,2,TRUE)</f>
        <v>4.4999999999999998E-2</v>
      </c>
      <c r="J144" s="28">
        <f>I144+VLOOKUP(Rawdata!H139,Int_rate_movements,2,TRUE)</f>
        <v>4.4999999999999998E-2</v>
      </c>
      <c r="K144" s="28">
        <f>J144+VLOOKUP(Rawdata!I139,Int_rate_movements,2,TRUE)</f>
        <v>4.4999999999999998E-2</v>
      </c>
      <c r="L144" s="28">
        <f>K144+VLOOKUP(Rawdata!J139,Int_rate_movements,2,TRUE)</f>
        <v>4.4999999999999998E-2</v>
      </c>
      <c r="M144" s="28">
        <f>L144+VLOOKUP(Rawdata!K139,Int_rate_movements,2,TRUE)</f>
        <v>4.4999999999999998E-2</v>
      </c>
      <c r="N144" s="28">
        <f>M144+VLOOKUP(Rawdata!L139,Int_rate_movements,2,TRUE)</f>
        <v>4.4999999999999998E-2</v>
      </c>
      <c r="O144" s="28">
        <f>N144+VLOOKUP(Rawdata!M139,Int_rate_movements,2,TRUE)</f>
        <v>4.4999999999999998E-2</v>
      </c>
      <c r="P144" s="28">
        <f>O144+VLOOKUP(Rawdata!N139,Int_rate_movements,2,TRUE)</f>
        <v>4.4999999999999998E-2</v>
      </c>
      <c r="Q144" s="28">
        <f>P144+VLOOKUP(Rawdata!O139,Int_rate_movements,2,TRUE)</f>
        <v>4.4999999999999998E-2</v>
      </c>
      <c r="R144" s="28">
        <f>Q144+VLOOKUP(Rawdata!P139,Int_rate_movements,2,TRUE)</f>
        <v>4.4999999999999998E-2</v>
      </c>
      <c r="S144" s="28">
        <f>R144+VLOOKUP(Rawdata!Q139,Int_rate_movements,2,TRUE)</f>
        <v>0.04</v>
      </c>
      <c r="T144" s="28">
        <f>S144+VLOOKUP(Rawdata!R139,Int_rate_movements,2,TRUE)</f>
        <v>0.04</v>
      </c>
      <c r="U144" s="28">
        <f>T144+VLOOKUP(Rawdata!S139,Int_rate_movements,2,TRUE)</f>
        <v>0.04</v>
      </c>
      <c r="V144" s="28">
        <f>U144+VLOOKUP(Rawdata!T139,Int_rate_movements,2,TRUE)</f>
        <v>0.04</v>
      </c>
      <c r="W144" s="28">
        <f>V144+VLOOKUP(Rawdata!U139,Int_rate_movements,2,TRUE)</f>
        <v>0.04</v>
      </c>
      <c r="X144" s="28">
        <f>W144+VLOOKUP(Rawdata!V139,Int_rate_movements,2,TRUE)</f>
        <v>0.04</v>
      </c>
      <c r="Y144" s="28">
        <f>X144+VLOOKUP(Rawdata!W139,Int_rate_movements,2,TRUE)</f>
        <v>0.04</v>
      </c>
      <c r="Z144" s="35">
        <f>Y144+VLOOKUP(Rawdata!X139,Int_rate_movements,2,TRUE)</f>
        <v>4.4999999999999998E-2</v>
      </c>
      <c r="AB144" s="55">
        <f t="shared" si="111"/>
        <v>4.4097712805242217E-2</v>
      </c>
      <c r="AC144" s="55">
        <f t="shared" si="112"/>
        <v>4.4097712805242217E-2</v>
      </c>
      <c r="AD144" s="55">
        <f t="shared" si="113"/>
        <v>4.4097712805242217E-2</v>
      </c>
      <c r="AE144" s="55">
        <f t="shared" si="114"/>
        <v>4.4097712805242217E-2</v>
      </c>
      <c r="AF144" s="55">
        <f t="shared" si="115"/>
        <v>4.4097712805242217E-2</v>
      </c>
      <c r="AG144" s="55">
        <f t="shared" si="116"/>
        <v>4.4097712805242217E-2</v>
      </c>
      <c r="AH144" s="55">
        <f t="shared" si="117"/>
        <v>4.4097712805242217E-2</v>
      </c>
      <c r="AI144" s="55">
        <f t="shared" si="118"/>
        <v>4.4097712805242217E-2</v>
      </c>
      <c r="AJ144" s="55">
        <f t="shared" si="119"/>
        <v>4.4097712805242217E-2</v>
      </c>
      <c r="AK144" s="55">
        <f t="shared" si="120"/>
        <v>4.4097712805242217E-2</v>
      </c>
      <c r="AL144" s="55">
        <f t="shared" si="121"/>
        <v>4.4097712805242217E-2</v>
      </c>
      <c r="AM144" s="55">
        <f t="shared" si="122"/>
        <v>4.4097712805242217E-2</v>
      </c>
      <c r="AN144" s="55">
        <f t="shared" si="123"/>
        <v>4.4097712805242217E-2</v>
      </c>
      <c r="AO144" s="55">
        <f t="shared" si="124"/>
        <v>4.4097712805242217E-2</v>
      </c>
      <c r="AP144" s="55">
        <f t="shared" si="125"/>
        <v>4.4097712805242217E-2</v>
      </c>
      <c r="AQ144" s="55">
        <f t="shared" si="126"/>
        <v>4.4097712805242217E-2</v>
      </c>
      <c r="AR144" s="55">
        <f t="shared" si="127"/>
        <v>4.4097712805242217E-2</v>
      </c>
      <c r="AS144" s="55">
        <f t="shared" si="128"/>
        <v>3.9284877386386974E-2</v>
      </c>
      <c r="AT144" s="55">
        <f t="shared" si="129"/>
        <v>3.9284877386386974E-2</v>
      </c>
      <c r="AU144" s="55">
        <f t="shared" si="130"/>
        <v>3.9284877386386974E-2</v>
      </c>
      <c r="AV144" s="55">
        <f t="shared" si="131"/>
        <v>3.9284877386386974E-2</v>
      </c>
      <c r="AW144" s="55">
        <f t="shared" si="132"/>
        <v>3.9284877386386974E-2</v>
      </c>
      <c r="AX144" s="55">
        <f t="shared" si="133"/>
        <v>3.9284877386386974E-2</v>
      </c>
      <c r="AY144" s="55">
        <f t="shared" si="134"/>
        <v>3.9284877386386974E-2</v>
      </c>
      <c r="AZ144" s="56">
        <f t="shared" si="135"/>
        <v>4.4097712805242217E-2</v>
      </c>
    </row>
    <row r="145" spans="1:52" x14ac:dyDescent="0.35">
      <c r="A145" s="5">
        <v>138</v>
      </c>
      <c r="B145" s="63">
        <f t="shared" si="110"/>
        <v>4.4999999999999998E-2</v>
      </c>
      <c r="C145" s="28">
        <f>B145+VLOOKUP(Rawdata!A140,Int_rate_movements,2,TRUE)</f>
        <v>4.4999999999999998E-2</v>
      </c>
      <c r="D145" s="28">
        <f>C145+VLOOKUP(Rawdata!B140,Int_rate_movements,2,TRUE)</f>
        <v>4.4999999999999998E-2</v>
      </c>
      <c r="E145" s="28">
        <f>D145+VLOOKUP(Rawdata!C140,Int_rate_movements,2,TRUE)</f>
        <v>4.4999999999999998E-2</v>
      </c>
      <c r="F145" s="28">
        <f>E145+VLOOKUP(Rawdata!D140,Int_rate_movements,2,TRUE)</f>
        <v>4.4999999999999998E-2</v>
      </c>
      <c r="G145" s="28">
        <f>F145+VLOOKUP(Rawdata!E140,Int_rate_movements,2,TRUE)</f>
        <v>4.4999999999999998E-2</v>
      </c>
      <c r="H145" s="28">
        <f>G145+VLOOKUP(Rawdata!F140,Int_rate_movements,2,TRUE)</f>
        <v>4.4999999999999998E-2</v>
      </c>
      <c r="I145" s="28">
        <f>H145+VLOOKUP(Rawdata!G140,Int_rate_movements,2,TRUE)</f>
        <v>4.4999999999999998E-2</v>
      </c>
      <c r="J145" s="28">
        <f>I145+VLOOKUP(Rawdata!H140,Int_rate_movements,2,TRUE)</f>
        <v>4.4999999999999998E-2</v>
      </c>
      <c r="K145" s="28">
        <f>J145+VLOOKUP(Rawdata!I140,Int_rate_movements,2,TRUE)</f>
        <v>4.4999999999999998E-2</v>
      </c>
      <c r="L145" s="28">
        <f>K145+VLOOKUP(Rawdata!J140,Int_rate_movements,2,TRUE)</f>
        <v>4.4999999999999998E-2</v>
      </c>
      <c r="M145" s="28">
        <f>L145+VLOOKUP(Rawdata!K140,Int_rate_movements,2,TRUE)</f>
        <v>4.4999999999999998E-2</v>
      </c>
      <c r="N145" s="28">
        <f>M145+VLOOKUP(Rawdata!L140,Int_rate_movements,2,TRUE)</f>
        <v>4.4999999999999998E-2</v>
      </c>
      <c r="O145" s="28">
        <f>N145+VLOOKUP(Rawdata!M140,Int_rate_movements,2,TRUE)</f>
        <v>0.04</v>
      </c>
      <c r="P145" s="28">
        <f>O145+VLOOKUP(Rawdata!N140,Int_rate_movements,2,TRUE)</f>
        <v>0.04</v>
      </c>
      <c r="Q145" s="28">
        <f>P145+VLOOKUP(Rawdata!O140,Int_rate_movements,2,TRUE)</f>
        <v>4.2500000000000003E-2</v>
      </c>
      <c r="R145" s="28">
        <f>Q145+VLOOKUP(Rawdata!P140,Int_rate_movements,2,TRUE)</f>
        <v>4.2500000000000003E-2</v>
      </c>
      <c r="S145" s="28">
        <f>R145+VLOOKUP(Rawdata!Q140,Int_rate_movements,2,TRUE)</f>
        <v>4.2500000000000003E-2</v>
      </c>
      <c r="T145" s="28">
        <f>S145+VLOOKUP(Rawdata!R140,Int_rate_movements,2,TRUE)</f>
        <v>4.2500000000000003E-2</v>
      </c>
      <c r="U145" s="28">
        <f>T145+VLOOKUP(Rawdata!S140,Int_rate_movements,2,TRUE)</f>
        <v>4.2500000000000003E-2</v>
      </c>
      <c r="V145" s="28">
        <f>U145+VLOOKUP(Rawdata!T140,Int_rate_movements,2,TRUE)</f>
        <v>0.04</v>
      </c>
      <c r="W145" s="28">
        <f>V145+VLOOKUP(Rawdata!U140,Int_rate_movements,2,TRUE)</f>
        <v>0.04</v>
      </c>
      <c r="X145" s="28">
        <f>W145+VLOOKUP(Rawdata!V140,Int_rate_movements,2,TRUE)</f>
        <v>4.4999999999999998E-2</v>
      </c>
      <c r="Y145" s="28">
        <f>X145+VLOOKUP(Rawdata!W140,Int_rate_movements,2,TRUE)</f>
        <v>4.4999999999999998E-2</v>
      </c>
      <c r="Z145" s="35">
        <f>Y145+VLOOKUP(Rawdata!X140,Int_rate_movements,2,TRUE)</f>
        <v>4.4999999999999998E-2</v>
      </c>
      <c r="AB145" s="55">
        <f t="shared" si="111"/>
        <v>4.4097712805242217E-2</v>
      </c>
      <c r="AC145" s="55">
        <f t="shared" si="112"/>
        <v>4.4097712805242217E-2</v>
      </c>
      <c r="AD145" s="55">
        <f t="shared" si="113"/>
        <v>4.4097712805242217E-2</v>
      </c>
      <c r="AE145" s="55">
        <f t="shared" si="114"/>
        <v>4.4097712805242217E-2</v>
      </c>
      <c r="AF145" s="55">
        <f t="shared" si="115"/>
        <v>4.4097712805242217E-2</v>
      </c>
      <c r="AG145" s="55">
        <f t="shared" si="116"/>
        <v>4.4097712805242217E-2</v>
      </c>
      <c r="AH145" s="55">
        <f t="shared" si="117"/>
        <v>4.4097712805242217E-2</v>
      </c>
      <c r="AI145" s="55">
        <f t="shared" si="118"/>
        <v>4.4097712805242217E-2</v>
      </c>
      <c r="AJ145" s="55">
        <f t="shared" si="119"/>
        <v>4.4097712805242217E-2</v>
      </c>
      <c r="AK145" s="55">
        <f t="shared" si="120"/>
        <v>4.4097712805242217E-2</v>
      </c>
      <c r="AL145" s="55">
        <f t="shared" si="121"/>
        <v>4.4097712805242217E-2</v>
      </c>
      <c r="AM145" s="55">
        <f t="shared" si="122"/>
        <v>4.4097712805242217E-2</v>
      </c>
      <c r="AN145" s="55">
        <f t="shared" si="123"/>
        <v>4.4097712805242217E-2</v>
      </c>
      <c r="AO145" s="55">
        <f t="shared" si="124"/>
        <v>3.9284877386386974E-2</v>
      </c>
      <c r="AP145" s="55">
        <f t="shared" si="125"/>
        <v>3.9284877386386974E-2</v>
      </c>
      <c r="AQ145" s="55">
        <f t="shared" si="126"/>
        <v>4.1693940041970023E-2</v>
      </c>
      <c r="AR145" s="55">
        <f t="shared" si="127"/>
        <v>4.1693940041970023E-2</v>
      </c>
      <c r="AS145" s="55">
        <f t="shared" si="128"/>
        <v>4.1693940041970023E-2</v>
      </c>
      <c r="AT145" s="55">
        <f t="shared" si="129"/>
        <v>4.1693940041970023E-2</v>
      </c>
      <c r="AU145" s="55">
        <f t="shared" si="130"/>
        <v>4.1693940041970023E-2</v>
      </c>
      <c r="AV145" s="55">
        <f t="shared" si="131"/>
        <v>3.9284877386386974E-2</v>
      </c>
      <c r="AW145" s="55">
        <f t="shared" si="132"/>
        <v>3.9284877386386974E-2</v>
      </c>
      <c r="AX145" s="55">
        <f t="shared" si="133"/>
        <v>4.4097712805242217E-2</v>
      </c>
      <c r="AY145" s="55">
        <f t="shared" si="134"/>
        <v>4.4097712805242217E-2</v>
      </c>
      <c r="AZ145" s="56">
        <f t="shared" si="135"/>
        <v>4.4097712805242217E-2</v>
      </c>
    </row>
    <row r="146" spans="1:52" x14ac:dyDescent="0.35">
      <c r="A146" s="27">
        <v>139</v>
      </c>
      <c r="B146" s="63">
        <f t="shared" si="110"/>
        <v>4.4999999999999998E-2</v>
      </c>
      <c r="C146" s="28">
        <f>B146+VLOOKUP(Rawdata!A141,Int_rate_movements,2,TRUE)</f>
        <v>4.4999999999999998E-2</v>
      </c>
      <c r="D146" s="28">
        <f>C146+VLOOKUP(Rawdata!B141,Int_rate_movements,2,TRUE)</f>
        <v>4.4999999999999998E-2</v>
      </c>
      <c r="E146" s="28">
        <f>D146+VLOOKUP(Rawdata!C141,Int_rate_movements,2,TRUE)</f>
        <v>4.4999999999999998E-2</v>
      </c>
      <c r="F146" s="28">
        <f>E146+VLOOKUP(Rawdata!D141,Int_rate_movements,2,TRUE)</f>
        <v>4.4999999999999998E-2</v>
      </c>
      <c r="G146" s="28">
        <f>F146+VLOOKUP(Rawdata!E141,Int_rate_movements,2,TRUE)</f>
        <v>4.4999999999999998E-2</v>
      </c>
      <c r="H146" s="28">
        <f>G146+VLOOKUP(Rawdata!F141,Int_rate_movements,2,TRUE)</f>
        <v>4.4999999999999998E-2</v>
      </c>
      <c r="I146" s="28">
        <f>H146+VLOOKUP(Rawdata!G141,Int_rate_movements,2,TRUE)</f>
        <v>4.4999999999999998E-2</v>
      </c>
      <c r="J146" s="28">
        <f>I146+VLOOKUP(Rawdata!H141,Int_rate_movements,2,TRUE)</f>
        <v>4.4999999999999998E-2</v>
      </c>
      <c r="K146" s="28">
        <f>J146+VLOOKUP(Rawdata!I141,Int_rate_movements,2,TRUE)</f>
        <v>4.4999999999999998E-2</v>
      </c>
      <c r="L146" s="28">
        <f>K146+VLOOKUP(Rawdata!J141,Int_rate_movements,2,TRUE)</f>
        <v>4.4999999999999998E-2</v>
      </c>
      <c r="M146" s="28">
        <f>L146+VLOOKUP(Rawdata!K141,Int_rate_movements,2,TRUE)</f>
        <v>4.4999999999999998E-2</v>
      </c>
      <c r="N146" s="28">
        <f>M146+VLOOKUP(Rawdata!L141,Int_rate_movements,2,TRUE)</f>
        <v>4.4999999999999998E-2</v>
      </c>
      <c r="O146" s="28">
        <f>N146+VLOOKUP(Rawdata!M141,Int_rate_movements,2,TRUE)</f>
        <v>4.4999999999999998E-2</v>
      </c>
      <c r="P146" s="28">
        <f>O146+VLOOKUP(Rawdata!N141,Int_rate_movements,2,TRUE)</f>
        <v>4.4999999999999998E-2</v>
      </c>
      <c r="Q146" s="28">
        <f>P146+VLOOKUP(Rawdata!O141,Int_rate_movements,2,TRUE)</f>
        <v>4.4999999999999998E-2</v>
      </c>
      <c r="R146" s="28">
        <f>Q146+VLOOKUP(Rawdata!P141,Int_rate_movements,2,TRUE)</f>
        <v>4.4999999999999998E-2</v>
      </c>
      <c r="S146" s="28">
        <f>R146+VLOOKUP(Rawdata!Q141,Int_rate_movements,2,TRUE)</f>
        <v>4.4999999999999998E-2</v>
      </c>
      <c r="T146" s="28">
        <f>S146+VLOOKUP(Rawdata!R141,Int_rate_movements,2,TRUE)</f>
        <v>4.4999999999999998E-2</v>
      </c>
      <c r="U146" s="28">
        <f>T146+VLOOKUP(Rawdata!S141,Int_rate_movements,2,TRUE)</f>
        <v>4.4999999999999998E-2</v>
      </c>
      <c r="V146" s="28">
        <f>U146+VLOOKUP(Rawdata!T141,Int_rate_movements,2,TRUE)</f>
        <v>4.4999999999999998E-2</v>
      </c>
      <c r="W146" s="28">
        <f>V146+VLOOKUP(Rawdata!U141,Int_rate_movements,2,TRUE)</f>
        <v>4.7500000000000001E-2</v>
      </c>
      <c r="X146" s="28">
        <f>W146+VLOOKUP(Rawdata!V141,Int_rate_movements,2,TRUE)</f>
        <v>4.7500000000000001E-2</v>
      </c>
      <c r="Y146" s="28">
        <f>X146+VLOOKUP(Rawdata!W141,Int_rate_movements,2,TRUE)</f>
        <v>4.7500000000000001E-2</v>
      </c>
      <c r="Z146" s="35">
        <f>Y146+VLOOKUP(Rawdata!X141,Int_rate_movements,2,TRUE)</f>
        <v>4.7500000000000001E-2</v>
      </c>
      <c r="AB146" s="55">
        <f t="shared" si="111"/>
        <v>4.4097712805242217E-2</v>
      </c>
      <c r="AC146" s="55">
        <f t="shared" si="112"/>
        <v>4.4097712805242217E-2</v>
      </c>
      <c r="AD146" s="55">
        <f t="shared" si="113"/>
        <v>4.4097712805242217E-2</v>
      </c>
      <c r="AE146" s="55">
        <f t="shared" si="114"/>
        <v>4.4097712805242217E-2</v>
      </c>
      <c r="AF146" s="55">
        <f t="shared" si="115"/>
        <v>4.4097712805242217E-2</v>
      </c>
      <c r="AG146" s="55">
        <f t="shared" si="116"/>
        <v>4.4097712805242217E-2</v>
      </c>
      <c r="AH146" s="55">
        <f t="shared" si="117"/>
        <v>4.4097712805242217E-2</v>
      </c>
      <c r="AI146" s="55">
        <f t="shared" si="118"/>
        <v>4.4097712805242217E-2</v>
      </c>
      <c r="AJ146" s="55">
        <f t="shared" si="119"/>
        <v>4.4097712805242217E-2</v>
      </c>
      <c r="AK146" s="55">
        <f t="shared" si="120"/>
        <v>4.4097712805242217E-2</v>
      </c>
      <c r="AL146" s="55">
        <f t="shared" si="121"/>
        <v>4.4097712805242217E-2</v>
      </c>
      <c r="AM146" s="55">
        <f t="shared" si="122"/>
        <v>4.4097712805242217E-2</v>
      </c>
      <c r="AN146" s="55">
        <f t="shared" si="123"/>
        <v>4.4097712805242217E-2</v>
      </c>
      <c r="AO146" s="55">
        <f t="shared" si="124"/>
        <v>4.4097712805242217E-2</v>
      </c>
      <c r="AP146" s="55">
        <f t="shared" si="125"/>
        <v>4.4097712805242217E-2</v>
      </c>
      <c r="AQ146" s="55">
        <f t="shared" si="126"/>
        <v>4.4097712805242217E-2</v>
      </c>
      <c r="AR146" s="55">
        <f t="shared" si="127"/>
        <v>4.4097712805242217E-2</v>
      </c>
      <c r="AS146" s="55">
        <f t="shared" si="128"/>
        <v>4.4097712805242217E-2</v>
      </c>
      <c r="AT146" s="55">
        <f t="shared" si="129"/>
        <v>4.4097712805242217E-2</v>
      </c>
      <c r="AU146" s="55">
        <f t="shared" si="130"/>
        <v>4.4097712805242217E-2</v>
      </c>
      <c r="AV146" s="55">
        <f t="shared" si="131"/>
        <v>4.4097712805242217E-2</v>
      </c>
      <c r="AW146" s="55">
        <f t="shared" si="132"/>
        <v>4.6496219905550085E-2</v>
      </c>
      <c r="AX146" s="55">
        <f t="shared" si="133"/>
        <v>4.6496219905550085E-2</v>
      </c>
      <c r="AY146" s="55">
        <f t="shared" si="134"/>
        <v>4.6496219905550085E-2</v>
      </c>
      <c r="AZ146" s="56">
        <f t="shared" si="135"/>
        <v>4.6496219905550085E-2</v>
      </c>
    </row>
    <row r="147" spans="1:52" x14ac:dyDescent="0.35">
      <c r="A147" s="5">
        <v>140</v>
      </c>
      <c r="B147" s="63">
        <f t="shared" si="110"/>
        <v>4.4999999999999998E-2</v>
      </c>
      <c r="C147" s="28">
        <f>B147+VLOOKUP(Rawdata!A142,Int_rate_movements,2,TRUE)</f>
        <v>4.4999999999999998E-2</v>
      </c>
      <c r="D147" s="28">
        <f>C147+VLOOKUP(Rawdata!B142,Int_rate_movements,2,TRUE)</f>
        <v>4.4999999999999998E-2</v>
      </c>
      <c r="E147" s="28">
        <f>D147+VLOOKUP(Rawdata!C142,Int_rate_movements,2,TRUE)</f>
        <v>4.4999999999999998E-2</v>
      </c>
      <c r="F147" s="28">
        <f>E147+VLOOKUP(Rawdata!D142,Int_rate_movements,2,TRUE)</f>
        <v>4.4999999999999998E-2</v>
      </c>
      <c r="G147" s="28">
        <f>F147+VLOOKUP(Rawdata!E142,Int_rate_movements,2,TRUE)</f>
        <v>4.4999999999999998E-2</v>
      </c>
      <c r="H147" s="28">
        <f>G147+VLOOKUP(Rawdata!F142,Int_rate_movements,2,TRUE)</f>
        <v>4.4999999999999998E-2</v>
      </c>
      <c r="I147" s="28">
        <f>H147+VLOOKUP(Rawdata!G142,Int_rate_movements,2,TRUE)</f>
        <v>4.4999999999999998E-2</v>
      </c>
      <c r="J147" s="28">
        <f>I147+VLOOKUP(Rawdata!H142,Int_rate_movements,2,TRUE)</f>
        <v>4.4999999999999998E-2</v>
      </c>
      <c r="K147" s="28">
        <f>J147+VLOOKUP(Rawdata!I142,Int_rate_movements,2,TRUE)</f>
        <v>4.4999999999999998E-2</v>
      </c>
      <c r="L147" s="28">
        <f>K147+VLOOKUP(Rawdata!J142,Int_rate_movements,2,TRUE)</f>
        <v>4.4999999999999998E-2</v>
      </c>
      <c r="M147" s="28">
        <f>L147+VLOOKUP(Rawdata!K142,Int_rate_movements,2,TRUE)</f>
        <v>4.4999999999999998E-2</v>
      </c>
      <c r="N147" s="28">
        <f>M147+VLOOKUP(Rawdata!L142,Int_rate_movements,2,TRUE)</f>
        <v>4.4999999999999998E-2</v>
      </c>
      <c r="O147" s="28">
        <f>N147+VLOOKUP(Rawdata!M142,Int_rate_movements,2,TRUE)</f>
        <v>4.2499999999999996E-2</v>
      </c>
      <c r="P147" s="28">
        <f>O147+VLOOKUP(Rawdata!N142,Int_rate_movements,2,TRUE)</f>
        <v>4.2499999999999996E-2</v>
      </c>
      <c r="Q147" s="28">
        <f>P147+VLOOKUP(Rawdata!O142,Int_rate_movements,2,TRUE)</f>
        <v>4.2499999999999996E-2</v>
      </c>
      <c r="R147" s="28">
        <f>Q147+VLOOKUP(Rawdata!P142,Int_rate_movements,2,TRUE)</f>
        <v>4.2499999999999996E-2</v>
      </c>
      <c r="S147" s="28">
        <f>R147+VLOOKUP(Rawdata!Q142,Int_rate_movements,2,TRUE)</f>
        <v>4.2499999999999996E-2</v>
      </c>
      <c r="T147" s="28">
        <f>S147+VLOOKUP(Rawdata!R142,Int_rate_movements,2,TRUE)</f>
        <v>4.2499999999999996E-2</v>
      </c>
      <c r="U147" s="28">
        <f>T147+VLOOKUP(Rawdata!S142,Int_rate_movements,2,TRUE)</f>
        <v>4.2499999999999996E-2</v>
      </c>
      <c r="V147" s="28">
        <f>U147+VLOOKUP(Rawdata!T142,Int_rate_movements,2,TRUE)</f>
        <v>4.2499999999999996E-2</v>
      </c>
      <c r="W147" s="28">
        <f>V147+VLOOKUP(Rawdata!U142,Int_rate_movements,2,TRUE)</f>
        <v>4.2499999999999996E-2</v>
      </c>
      <c r="X147" s="28">
        <f>W147+VLOOKUP(Rawdata!V142,Int_rate_movements,2,TRUE)</f>
        <v>4.2499999999999996E-2</v>
      </c>
      <c r="Y147" s="28">
        <f>X147+VLOOKUP(Rawdata!W142,Int_rate_movements,2,TRUE)</f>
        <v>4.2499999999999996E-2</v>
      </c>
      <c r="Z147" s="35">
        <f>Y147+VLOOKUP(Rawdata!X142,Int_rate_movements,2,TRUE)</f>
        <v>4.2499999999999996E-2</v>
      </c>
      <c r="AB147" s="55">
        <f t="shared" si="111"/>
        <v>4.4097712805242217E-2</v>
      </c>
      <c r="AC147" s="55">
        <f t="shared" si="112"/>
        <v>4.4097712805242217E-2</v>
      </c>
      <c r="AD147" s="55">
        <f t="shared" si="113"/>
        <v>4.4097712805242217E-2</v>
      </c>
      <c r="AE147" s="55">
        <f t="shared" si="114"/>
        <v>4.4097712805242217E-2</v>
      </c>
      <c r="AF147" s="55">
        <f t="shared" si="115"/>
        <v>4.4097712805242217E-2</v>
      </c>
      <c r="AG147" s="55">
        <f t="shared" si="116"/>
        <v>4.4097712805242217E-2</v>
      </c>
      <c r="AH147" s="55">
        <f t="shared" si="117"/>
        <v>4.4097712805242217E-2</v>
      </c>
      <c r="AI147" s="55">
        <f t="shared" si="118"/>
        <v>4.4097712805242217E-2</v>
      </c>
      <c r="AJ147" s="55">
        <f t="shared" si="119"/>
        <v>4.4097712805242217E-2</v>
      </c>
      <c r="AK147" s="55">
        <f t="shared" si="120"/>
        <v>4.4097712805242217E-2</v>
      </c>
      <c r="AL147" s="55">
        <f t="shared" si="121"/>
        <v>4.4097712805242217E-2</v>
      </c>
      <c r="AM147" s="55">
        <f t="shared" si="122"/>
        <v>4.4097712805242217E-2</v>
      </c>
      <c r="AN147" s="55">
        <f t="shared" si="123"/>
        <v>4.4097712805242217E-2</v>
      </c>
      <c r="AO147" s="55">
        <f t="shared" si="124"/>
        <v>4.1693940041970023E-2</v>
      </c>
      <c r="AP147" s="55">
        <f t="shared" si="125"/>
        <v>4.1693940041970023E-2</v>
      </c>
      <c r="AQ147" s="55">
        <f t="shared" si="126"/>
        <v>4.1693940041970023E-2</v>
      </c>
      <c r="AR147" s="55">
        <f t="shared" si="127"/>
        <v>4.1693940041970023E-2</v>
      </c>
      <c r="AS147" s="55">
        <f t="shared" si="128"/>
        <v>4.1693940041970023E-2</v>
      </c>
      <c r="AT147" s="55">
        <f t="shared" si="129"/>
        <v>4.1693940041970023E-2</v>
      </c>
      <c r="AU147" s="55">
        <f t="shared" si="130"/>
        <v>4.1693940041970023E-2</v>
      </c>
      <c r="AV147" s="55">
        <f t="shared" si="131"/>
        <v>4.1693940041970023E-2</v>
      </c>
      <c r="AW147" s="55">
        <f t="shared" si="132"/>
        <v>4.1693940041970023E-2</v>
      </c>
      <c r="AX147" s="55">
        <f t="shared" si="133"/>
        <v>4.1693940041970023E-2</v>
      </c>
      <c r="AY147" s="55">
        <f t="shared" si="134"/>
        <v>4.1693940041970023E-2</v>
      </c>
      <c r="AZ147" s="56">
        <f t="shared" si="135"/>
        <v>4.1693940041970023E-2</v>
      </c>
    </row>
    <row r="148" spans="1:52" x14ac:dyDescent="0.35">
      <c r="A148" s="27">
        <v>141</v>
      </c>
      <c r="B148" s="63">
        <f t="shared" si="110"/>
        <v>4.4999999999999998E-2</v>
      </c>
      <c r="C148" s="28">
        <f>B148+VLOOKUP(Rawdata!A143,Int_rate_movements,2,TRUE)</f>
        <v>4.4999999999999998E-2</v>
      </c>
      <c r="D148" s="28">
        <f>C148+VLOOKUP(Rawdata!B143,Int_rate_movements,2,TRUE)</f>
        <v>4.4999999999999998E-2</v>
      </c>
      <c r="E148" s="28">
        <f>D148+VLOOKUP(Rawdata!C143,Int_rate_movements,2,TRUE)</f>
        <v>4.4999999999999998E-2</v>
      </c>
      <c r="F148" s="28">
        <f>E148+VLOOKUP(Rawdata!D143,Int_rate_movements,2,TRUE)</f>
        <v>4.4999999999999998E-2</v>
      </c>
      <c r="G148" s="28">
        <f>F148+VLOOKUP(Rawdata!E143,Int_rate_movements,2,TRUE)</f>
        <v>4.4999999999999998E-2</v>
      </c>
      <c r="H148" s="28">
        <f>G148+VLOOKUP(Rawdata!F143,Int_rate_movements,2,TRUE)</f>
        <v>4.4999999999999998E-2</v>
      </c>
      <c r="I148" s="28">
        <f>H148+VLOOKUP(Rawdata!G143,Int_rate_movements,2,TRUE)</f>
        <v>4.4999999999999998E-2</v>
      </c>
      <c r="J148" s="28">
        <f>I148+VLOOKUP(Rawdata!H143,Int_rate_movements,2,TRUE)</f>
        <v>4.4999999999999998E-2</v>
      </c>
      <c r="K148" s="28">
        <f>J148+VLOOKUP(Rawdata!I143,Int_rate_movements,2,TRUE)</f>
        <v>4.4999999999999998E-2</v>
      </c>
      <c r="L148" s="28">
        <f>K148+VLOOKUP(Rawdata!J143,Int_rate_movements,2,TRUE)</f>
        <v>4.4999999999999998E-2</v>
      </c>
      <c r="M148" s="28">
        <f>L148+VLOOKUP(Rawdata!K143,Int_rate_movements,2,TRUE)</f>
        <v>4.4999999999999998E-2</v>
      </c>
      <c r="N148" s="28">
        <f>M148+VLOOKUP(Rawdata!L143,Int_rate_movements,2,TRUE)</f>
        <v>4.4999999999999998E-2</v>
      </c>
      <c r="O148" s="28">
        <f>N148+VLOOKUP(Rawdata!M143,Int_rate_movements,2,TRUE)</f>
        <v>4.4999999999999998E-2</v>
      </c>
      <c r="P148" s="28">
        <f>O148+VLOOKUP(Rawdata!N143,Int_rate_movements,2,TRUE)</f>
        <v>4.4999999999999998E-2</v>
      </c>
      <c r="Q148" s="28">
        <f>P148+VLOOKUP(Rawdata!O143,Int_rate_movements,2,TRUE)</f>
        <v>4.4999999999999998E-2</v>
      </c>
      <c r="R148" s="28">
        <f>Q148+VLOOKUP(Rawdata!P143,Int_rate_movements,2,TRUE)</f>
        <v>4.4999999999999998E-2</v>
      </c>
      <c r="S148" s="28">
        <f>R148+VLOOKUP(Rawdata!Q143,Int_rate_movements,2,TRUE)</f>
        <v>4.4999999999999998E-2</v>
      </c>
      <c r="T148" s="28">
        <f>S148+VLOOKUP(Rawdata!R143,Int_rate_movements,2,TRUE)</f>
        <v>0.04</v>
      </c>
      <c r="U148" s="28">
        <f>T148+VLOOKUP(Rawdata!S143,Int_rate_movements,2,TRUE)</f>
        <v>0.04</v>
      </c>
      <c r="V148" s="28">
        <f>U148+VLOOKUP(Rawdata!T143,Int_rate_movements,2,TRUE)</f>
        <v>0.04</v>
      </c>
      <c r="W148" s="28">
        <f>V148+VLOOKUP(Rawdata!U143,Int_rate_movements,2,TRUE)</f>
        <v>4.4999999999999998E-2</v>
      </c>
      <c r="X148" s="28">
        <f>W148+VLOOKUP(Rawdata!V143,Int_rate_movements,2,TRUE)</f>
        <v>4.4999999999999998E-2</v>
      </c>
      <c r="Y148" s="28">
        <f>X148+VLOOKUP(Rawdata!W143,Int_rate_movements,2,TRUE)</f>
        <v>4.4999999999999998E-2</v>
      </c>
      <c r="Z148" s="35">
        <f>Y148+VLOOKUP(Rawdata!X143,Int_rate_movements,2,TRUE)</f>
        <v>4.4999999999999998E-2</v>
      </c>
      <c r="AB148" s="55">
        <f t="shared" si="111"/>
        <v>4.4097712805242217E-2</v>
      </c>
      <c r="AC148" s="55">
        <f t="shared" si="112"/>
        <v>4.4097712805242217E-2</v>
      </c>
      <c r="AD148" s="55">
        <f t="shared" si="113"/>
        <v>4.4097712805242217E-2</v>
      </c>
      <c r="AE148" s="55">
        <f t="shared" si="114"/>
        <v>4.4097712805242217E-2</v>
      </c>
      <c r="AF148" s="55">
        <f t="shared" si="115"/>
        <v>4.4097712805242217E-2</v>
      </c>
      <c r="AG148" s="55">
        <f t="shared" si="116"/>
        <v>4.4097712805242217E-2</v>
      </c>
      <c r="AH148" s="55">
        <f t="shared" si="117"/>
        <v>4.4097712805242217E-2</v>
      </c>
      <c r="AI148" s="55">
        <f t="shared" si="118"/>
        <v>4.4097712805242217E-2</v>
      </c>
      <c r="AJ148" s="55">
        <f t="shared" si="119"/>
        <v>4.4097712805242217E-2</v>
      </c>
      <c r="AK148" s="55">
        <f t="shared" si="120"/>
        <v>4.4097712805242217E-2</v>
      </c>
      <c r="AL148" s="55">
        <f t="shared" si="121"/>
        <v>4.4097712805242217E-2</v>
      </c>
      <c r="AM148" s="55">
        <f t="shared" si="122"/>
        <v>4.4097712805242217E-2</v>
      </c>
      <c r="AN148" s="55">
        <f t="shared" si="123"/>
        <v>4.4097712805242217E-2</v>
      </c>
      <c r="AO148" s="55">
        <f t="shared" si="124"/>
        <v>4.4097712805242217E-2</v>
      </c>
      <c r="AP148" s="55">
        <f t="shared" si="125"/>
        <v>4.4097712805242217E-2</v>
      </c>
      <c r="AQ148" s="55">
        <f t="shared" si="126"/>
        <v>4.4097712805242217E-2</v>
      </c>
      <c r="AR148" s="55">
        <f t="shared" si="127"/>
        <v>4.4097712805242217E-2</v>
      </c>
      <c r="AS148" s="55">
        <f t="shared" si="128"/>
        <v>4.4097712805242217E-2</v>
      </c>
      <c r="AT148" s="55">
        <f t="shared" si="129"/>
        <v>3.9284877386386974E-2</v>
      </c>
      <c r="AU148" s="55">
        <f t="shared" si="130"/>
        <v>3.9284877386386974E-2</v>
      </c>
      <c r="AV148" s="55">
        <f t="shared" si="131"/>
        <v>3.9284877386386974E-2</v>
      </c>
      <c r="AW148" s="55">
        <f t="shared" si="132"/>
        <v>4.4097712805242217E-2</v>
      </c>
      <c r="AX148" s="55">
        <f t="shared" si="133"/>
        <v>4.4097712805242217E-2</v>
      </c>
      <c r="AY148" s="55">
        <f t="shared" si="134"/>
        <v>4.4097712805242217E-2</v>
      </c>
      <c r="AZ148" s="56">
        <f t="shared" si="135"/>
        <v>4.4097712805242217E-2</v>
      </c>
    </row>
    <row r="149" spans="1:52" x14ac:dyDescent="0.35">
      <c r="A149" s="5">
        <v>142</v>
      </c>
      <c r="B149" s="63">
        <f t="shared" si="110"/>
        <v>4.4999999999999998E-2</v>
      </c>
      <c r="C149" s="28">
        <f>B149+VLOOKUP(Rawdata!A144,Int_rate_movements,2,TRUE)</f>
        <v>4.4999999999999998E-2</v>
      </c>
      <c r="D149" s="28">
        <f>C149+VLOOKUP(Rawdata!B144,Int_rate_movements,2,TRUE)</f>
        <v>4.4999999999999998E-2</v>
      </c>
      <c r="E149" s="28">
        <f>D149+VLOOKUP(Rawdata!C144,Int_rate_movements,2,TRUE)</f>
        <v>4.4999999999999998E-2</v>
      </c>
      <c r="F149" s="28">
        <f>E149+VLOOKUP(Rawdata!D144,Int_rate_movements,2,TRUE)</f>
        <v>4.4999999999999998E-2</v>
      </c>
      <c r="G149" s="28">
        <f>F149+VLOOKUP(Rawdata!E144,Int_rate_movements,2,TRUE)</f>
        <v>4.4999999999999998E-2</v>
      </c>
      <c r="H149" s="28">
        <f>G149+VLOOKUP(Rawdata!F144,Int_rate_movements,2,TRUE)</f>
        <v>4.4999999999999998E-2</v>
      </c>
      <c r="I149" s="28">
        <f>H149+VLOOKUP(Rawdata!G144,Int_rate_movements,2,TRUE)</f>
        <v>4.4999999999999998E-2</v>
      </c>
      <c r="J149" s="28">
        <f>I149+VLOOKUP(Rawdata!H144,Int_rate_movements,2,TRUE)</f>
        <v>4.4999999999999998E-2</v>
      </c>
      <c r="K149" s="28">
        <f>J149+VLOOKUP(Rawdata!I144,Int_rate_movements,2,TRUE)</f>
        <v>4.4999999999999998E-2</v>
      </c>
      <c r="L149" s="28">
        <f>K149+VLOOKUP(Rawdata!J144,Int_rate_movements,2,TRUE)</f>
        <v>4.4999999999999998E-2</v>
      </c>
      <c r="M149" s="28">
        <f>L149+VLOOKUP(Rawdata!K144,Int_rate_movements,2,TRUE)</f>
        <v>4.4999999999999998E-2</v>
      </c>
      <c r="N149" s="28">
        <f>M149+VLOOKUP(Rawdata!L144,Int_rate_movements,2,TRUE)</f>
        <v>4.4999999999999998E-2</v>
      </c>
      <c r="O149" s="28">
        <f>N149+VLOOKUP(Rawdata!M144,Int_rate_movements,2,TRUE)</f>
        <v>4.4999999999999998E-2</v>
      </c>
      <c r="P149" s="28">
        <f>O149+VLOOKUP(Rawdata!N144,Int_rate_movements,2,TRUE)</f>
        <v>4.4999999999999998E-2</v>
      </c>
      <c r="Q149" s="28">
        <f>P149+VLOOKUP(Rawdata!O144,Int_rate_movements,2,TRUE)</f>
        <v>4.4999999999999998E-2</v>
      </c>
      <c r="R149" s="28">
        <f>Q149+VLOOKUP(Rawdata!P144,Int_rate_movements,2,TRUE)</f>
        <v>4.4999999999999998E-2</v>
      </c>
      <c r="S149" s="28">
        <f>R149+VLOOKUP(Rawdata!Q144,Int_rate_movements,2,TRUE)</f>
        <v>4.4999999999999998E-2</v>
      </c>
      <c r="T149" s="28">
        <f>S149+VLOOKUP(Rawdata!R144,Int_rate_movements,2,TRUE)</f>
        <v>4.4999999999999998E-2</v>
      </c>
      <c r="U149" s="28">
        <f>T149+VLOOKUP(Rawdata!S144,Int_rate_movements,2,TRUE)</f>
        <v>4.7500000000000001E-2</v>
      </c>
      <c r="V149" s="28">
        <f>U149+VLOOKUP(Rawdata!T144,Int_rate_movements,2,TRUE)</f>
        <v>4.7500000000000001E-2</v>
      </c>
      <c r="W149" s="28">
        <f>V149+VLOOKUP(Rawdata!U144,Int_rate_movements,2,TRUE)</f>
        <v>0.05</v>
      </c>
      <c r="X149" s="28">
        <f>W149+VLOOKUP(Rawdata!V144,Int_rate_movements,2,TRUE)</f>
        <v>0.05</v>
      </c>
      <c r="Y149" s="28">
        <f>X149+VLOOKUP(Rawdata!W144,Int_rate_movements,2,TRUE)</f>
        <v>4.7500000000000001E-2</v>
      </c>
      <c r="Z149" s="35">
        <f>Y149+VLOOKUP(Rawdata!X144,Int_rate_movements,2,TRUE)</f>
        <v>4.7500000000000001E-2</v>
      </c>
      <c r="AB149" s="55">
        <f t="shared" si="111"/>
        <v>4.4097712805242217E-2</v>
      </c>
      <c r="AC149" s="55">
        <f t="shared" si="112"/>
        <v>4.4097712805242217E-2</v>
      </c>
      <c r="AD149" s="55">
        <f t="shared" si="113"/>
        <v>4.4097712805242217E-2</v>
      </c>
      <c r="AE149" s="55">
        <f t="shared" si="114"/>
        <v>4.4097712805242217E-2</v>
      </c>
      <c r="AF149" s="55">
        <f t="shared" si="115"/>
        <v>4.4097712805242217E-2</v>
      </c>
      <c r="AG149" s="55">
        <f t="shared" si="116"/>
        <v>4.4097712805242217E-2</v>
      </c>
      <c r="AH149" s="55">
        <f t="shared" si="117"/>
        <v>4.4097712805242217E-2</v>
      </c>
      <c r="AI149" s="55">
        <f t="shared" si="118"/>
        <v>4.4097712805242217E-2</v>
      </c>
      <c r="AJ149" s="55">
        <f t="shared" si="119"/>
        <v>4.4097712805242217E-2</v>
      </c>
      <c r="AK149" s="55">
        <f t="shared" si="120"/>
        <v>4.4097712805242217E-2</v>
      </c>
      <c r="AL149" s="55">
        <f t="shared" si="121"/>
        <v>4.4097712805242217E-2</v>
      </c>
      <c r="AM149" s="55">
        <f t="shared" si="122"/>
        <v>4.4097712805242217E-2</v>
      </c>
      <c r="AN149" s="55">
        <f t="shared" si="123"/>
        <v>4.4097712805242217E-2</v>
      </c>
      <c r="AO149" s="55">
        <f t="shared" si="124"/>
        <v>4.4097712805242217E-2</v>
      </c>
      <c r="AP149" s="55">
        <f t="shared" si="125"/>
        <v>4.4097712805242217E-2</v>
      </c>
      <c r="AQ149" s="55">
        <f t="shared" si="126"/>
        <v>4.4097712805242217E-2</v>
      </c>
      <c r="AR149" s="55">
        <f t="shared" si="127"/>
        <v>4.4097712805242217E-2</v>
      </c>
      <c r="AS149" s="55">
        <f t="shared" si="128"/>
        <v>4.4097712805242217E-2</v>
      </c>
      <c r="AT149" s="55">
        <f t="shared" si="129"/>
        <v>4.4097712805242217E-2</v>
      </c>
      <c r="AU149" s="55">
        <f t="shared" si="130"/>
        <v>4.6496219905550085E-2</v>
      </c>
      <c r="AV149" s="55">
        <f t="shared" si="131"/>
        <v>4.6496219905550085E-2</v>
      </c>
      <c r="AW149" s="55">
        <f t="shared" si="132"/>
        <v>4.8889485403780242E-2</v>
      </c>
      <c r="AX149" s="55">
        <f t="shared" si="133"/>
        <v>4.8889485403780242E-2</v>
      </c>
      <c r="AY149" s="55">
        <f t="shared" si="134"/>
        <v>4.6496219905550085E-2</v>
      </c>
      <c r="AZ149" s="56">
        <f t="shared" si="135"/>
        <v>4.6496219905550085E-2</v>
      </c>
    </row>
    <row r="150" spans="1:52" x14ac:dyDescent="0.35">
      <c r="A150" s="27">
        <v>143</v>
      </c>
      <c r="B150" s="63">
        <f t="shared" si="110"/>
        <v>4.4999999999999998E-2</v>
      </c>
      <c r="C150" s="28">
        <f>B150+VLOOKUP(Rawdata!A145,Int_rate_movements,2,TRUE)</f>
        <v>4.4999999999999998E-2</v>
      </c>
      <c r="D150" s="28">
        <f>C150+VLOOKUP(Rawdata!B145,Int_rate_movements,2,TRUE)</f>
        <v>4.4999999999999998E-2</v>
      </c>
      <c r="E150" s="28">
        <f>D150+VLOOKUP(Rawdata!C145,Int_rate_movements,2,TRUE)</f>
        <v>4.4999999999999998E-2</v>
      </c>
      <c r="F150" s="28">
        <f>E150+VLOOKUP(Rawdata!D145,Int_rate_movements,2,TRUE)</f>
        <v>4.4999999999999998E-2</v>
      </c>
      <c r="G150" s="28">
        <f>F150+VLOOKUP(Rawdata!E145,Int_rate_movements,2,TRUE)</f>
        <v>4.4999999999999998E-2</v>
      </c>
      <c r="H150" s="28">
        <f>G150+VLOOKUP(Rawdata!F145,Int_rate_movements,2,TRUE)</f>
        <v>4.4999999999999998E-2</v>
      </c>
      <c r="I150" s="28">
        <f>H150+VLOOKUP(Rawdata!G145,Int_rate_movements,2,TRUE)</f>
        <v>4.4999999999999998E-2</v>
      </c>
      <c r="J150" s="28">
        <f>I150+VLOOKUP(Rawdata!H145,Int_rate_movements,2,TRUE)</f>
        <v>4.4999999999999998E-2</v>
      </c>
      <c r="K150" s="28">
        <f>J150+VLOOKUP(Rawdata!I145,Int_rate_movements,2,TRUE)</f>
        <v>4.4999999999999998E-2</v>
      </c>
      <c r="L150" s="28">
        <f>K150+VLOOKUP(Rawdata!J145,Int_rate_movements,2,TRUE)</f>
        <v>4.4999999999999998E-2</v>
      </c>
      <c r="M150" s="28">
        <f>L150+VLOOKUP(Rawdata!K145,Int_rate_movements,2,TRUE)</f>
        <v>4.4999999999999998E-2</v>
      </c>
      <c r="N150" s="28">
        <f>M150+VLOOKUP(Rawdata!L145,Int_rate_movements,2,TRUE)</f>
        <v>4.4999999999999998E-2</v>
      </c>
      <c r="O150" s="28">
        <f>N150+VLOOKUP(Rawdata!M145,Int_rate_movements,2,TRUE)</f>
        <v>4.4999999999999998E-2</v>
      </c>
      <c r="P150" s="28">
        <f>O150+VLOOKUP(Rawdata!N145,Int_rate_movements,2,TRUE)</f>
        <v>4.4999999999999998E-2</v>
      </c>
      <c r="Q150" s="28">
        <f>P150+VLOOKUP(Rawdata!O145,Int_rate_movements,2,TRUE)</f>
        <v>4.4999999999999998E-2</v>
      </c>
      <c r="R150" s="28">
        <f>Q150+VLOOKUP(Rawdata!P145,Int_rate_movements,2,TRUE)</f>
        <v>4.4999999999999998E-2</v>
      </c>
      <c r="S150" s="28">
        <f>R150+VLOOKUP(Rawdata!Q145,Int_rate_movements,2,TRUE)</f>
        <v>4.4999999999999998E-2</v>
      </c>
      <c r="T150" s="28">
        <f>S150+VLOOKUP(Rawdata!R145,Int_rate_movements,2,TRUE)</f>
        <v>4.4999999999999998E-2</v>
      </c>
      <c r="U150" s="28">
        <f>T150+VLOOKUP(Rawdata!S145,Int_rate_movements,2,TRUE)</f>
        <v>4.4999999999999998E-2</v>
      </c>
      <c r="V150" s="28">
        <f>U150+VLOOKUP(Rawdata!T145,Int_rate_movements,2,TRUE)</f>
        <v>4.7500000000000001E-2</v>
      </c>
      <c r="W150" s="28">
        <f>V150+VLOOKUP(Rawdata!U145,Int_rate_movements,2,TRUE)</f>
        <v>4.7500000000000001E-2</v>
      </c>
      <c r="X150" s="28">
        <f>W150+VLOOKUP(Rawdata!V145,Int_rate_movements,2,TRUE)</f>
        <v>4.7500000000000001E-2</v>
      </c>
      <c r="Y150" s="28">
        <f>X150+VLOOKUP(Rawdata!W145,Int_rate_movements,2,TRUE)</f>
        <v>4.7500000000000001E-2</v>
      </c>
      <c r="Z150" s="35">
        <f>Y150+VLOOKUP(Rawdata!X145,Int_rate_movements,2,TRUE)</f>
        <v>4.7500000000000001E-2</v>
      </c>
      <c r="AB150" s="55">
        <f t="shared" si="111"/>
        <v>4.4097712805242217E-2</v>
      </c>
      <c r="AC150" s="55">
        <f t="shared" si="112"/>
        <v>4.4097712805242217E-2</v>
      </c>
      <c r="AD150" s="55">
        <f t="shared" si="113"/>
        <v>4.4097712805242217E-2</v>
      </c>
      <c r="AE150" s="55">
        <f t="shared" si="114"/>
        <v>4.4097712805242217E-2</v>
      </c>
      <c r="AF150" s="55">
        <f t="shared" si="115"/>
        <v>4.4097712805242217E-2</v>
      </c>
      <c r="AG150" s="55">
        <f t="shared" si="116"/>
        <v>4.4097712805242217E-2</v>
      </c>
      <c r="AH150" s="55">
        <f t="shared" si="117"/>
        <v>4.4097712805242217E-2</v>
      </c>
      <c r="AI150" s="55">
        <f t="shared" si="118"/>
        <v>4.4097712805242217E-2</v>
      </c>
      <c r="AJ150" s="55">
        <f t="shared" si="119"/>
        <v>4.4097712805242217E-2</v>
      </c>
      <c r="AK150" s="55">
        <f t="shared" si="120"/>
        <v>4.4097712805242217E-2</v>
      </c>
      <c r="AL150" s="55">
        <f t="shared" si="121"/>
        <v>4.4097712805242217E-2</v>
      </c>
      <c r="AM150" s="55">
        <f t="shared" si="122"/>
        <v>4.4097712805242217E-2</v>
      </c>
      <c r="AN150" s="55">
        <f t="shared" si="123"/>
        <v>4.4097712805242217E-2</v>
      </c>
      <c r="AO150" s="55">
        <f t="shared" si="124"/>
        <v>4.4097712805242217E-2</v>
      </c>
      <c r="AP150" s="55">
        <f t="shared" si="125"/>
        <v>4.4097712805242217E-2</v>
      </c>
      <c r="AQ150" s="55">
        <f t="shared" si="126"/>
        <v>4.4097712805242217E-2</v>
      </c>
      <c r="AR150" s="55">
        <f t="shared" si="127"/>
        <v>4.4097712805242217E-2</v>
      </c>
      <c r="AS150" s="55">
        <f t="shared" si="128"/>
        <v>4.4097712805242217E-2</v>
      </c>
      <c r="AT150" s="55">
        <f t="shared" si="129"/>
        <v>4.4097712805242217E-2</v>
      </c>
      <c r="AU150" s="55">
        <f t="shared" si="130"/>
        <v>4.4097712805242217E-2</v>
      </c>
      <c r="AV150" s="55">
        <f t="shared" si="131"/>
        <v>4.6496219905550085E-2</v>
      </c>
      <c r="AW150" s="55">
        <f t="shared" si="132"/>
        <v>4.6496219905550085E-2</v>
      </c>
      <c r="AX150" s="55">
        <f t="shared" si="133"/>
        <v>4.6496219905550085E-2</v>
      </c>
      <c r="AY150" s="55">
        <f t="shared" si="134"/>
        <v>4.6496219905550085E-2</v>
      </c>
      <c r="AZ150" s="56">
        <f t="shared" si="135"/>
        <v>4.6496219905550085E-2</v>
      </c>
    </row>
    <row r="151" spans="1:52" x14ac:dyDescent="0.35">
      <c r="A151" s="5">
        <v>144</v>
      </c>
      <c r="B151" s="63">
        <f t="shared" si="110"/>
        <v>4.4999999999999998E-2</v>
      </c>
      <c r="C151" s="28">
        <f>B151+VLOOKUP(Rawdata!A146,Int_rate_movements,2,TRUE)</f>
        <v>4.4999999999999998E-2</v>
      </c>
      <c r="D151" s="28">
        <f>C151+VLOOKUP(Rawdata!B146,Int_rate_movements,2,TRUE)</f>
        <v>4.4999999999999998E-2</v>
      </c>
      <c r="E151" s="28">
        <f>D151+VLOOKUP(Rawdata!C146,Int_rate_movements,2,TRUE)</f>
        <v>4.4999999999999998E-2</v>
      </c>
      <c r="F151" s="28">
        <f>E151+VLOOKUP(Rawdata!D146,Int_rate_movements,2,TRUE)</f>
        <v>4.4999999999999998E-2</v>
      </c>
      <c r="G151" s="28">
        <f>F151+VLOOKUP(Rawdata!E146,Int_rate_movements,2,TRUE)</f>
        <v>4.7500000000000001E-2</v>
      </c>
      <c r="H151" s="28">
        <f>G151+VLOOKUP(Rawdata!F146,Int_rate_movements,2,TRUE)</f>
        <v>4.7500000000000001E-2</v>
      </c>
      <c r="I151" s="28">
        <f>H151+VLOOKUP(Rawdata!G146,Int_rate_movements,2,TRUE)</f>
        <v>4.7500000000000001E-2</v>
      </c>
      <c r="J151" s="28">
        <f>I151+VLOOKUP(Rawdata!H146,Int_rate_movements,2,TRUE)</f>
        <v>4.7500000000000001E-2</v>
      </c>
      <c r="K151" s="28">
        <f>J151+VLOOKUP(Rawdata!I146,Int_rate_movements,2,TRUE)</f>
        <v>4.4999999999999998E-2</v>
      </c>
      <c r="L151" s="28">
        <f>K151+VLOOKUP(Rawdata!J146,Int_rate_movements,2,TRUE)</f>
        <v>4.4999999999999998E-2</v>
      </c>
      <c r="M151" s="28">
        <f>L151+VLOOKUP(Rawdata!K146,Int_rate_movements,2,TRUE)</f>
        <v>4.4999999999999998E-2</v>
      </c>
      <c r="N151" s="28">
        <f>M151+VLOOKUP(Rawdata!L146,Int_rate_movements,2,TRUE)</f>
        <v>4.4999999999999998E-2</v>
      </c>
      <c r="O151" s="28">
        <f>N151+VLOOKUP(Rawdata!M146,Int_rate_movements,2,TRUE)</f>
        <v>4.4999999999999998E-2</v>
      </c>
      <c r="P151" s="28">
        <f>O151+VLOOKUP(Rawdata!N146,Int_rate_movements,2,TRUE)</f>
        <v>4.4999999999999998E-2</v>
      </c>
      <c r="Q151" s="28">
        <f>P151+VLOOKUP(Rawdata!O146,Int_rate_movements,2,TRUE)</f>
        <v>4.4999999999999998E-2</v>
      </c>
      <c r="R151" s="28">
        <f>Q151+VLOOKUP(Rawdata!P146,Int_rate_movements,2,TRUE)</f>
        <v>4.4999999999999998E-2</v>
      </c>
      <c r="S151" s="28">
        <f>R151+VLOOKUP(Rawdata!Q146,Int_rate_movements,2,TRUE)</f>
        <v>4.4999999999999998E-2</v>
      </c>
      <c r="T151" s="28">
        <f>S151+VLOOKUP(Rawdata!R146,Int_rate_movements,2,TRUE)</f>
        <v>4.4999999999999998E-2</v>
      </c>
      <c r="U151" s="28">
        <f>T151+VLOOKUP(Rawdata!S146,Int_rate_movements,2,TRUE)</f>
        <v>4.7500000000000001E-2</v>
      </c>
      <c r="V151" s="28">
        <f>U151+VLOOKUP(Rawdata!T146,Int_rate_movements,2,TRUE)</f>
        <v>4.7500000000000001E-2</v>
      </c>
      <c r="W151" s="28">
        <f>V151+VLOOKUP(Rawdata!U146,Int_rate_movements,2,TRUE)</f>
        <v>4.7500000000000001E-2</v>
      </c>
      <c r="X151" s="28">
        <f>W151+VLOOKUP(Rawdata!V146,Int_rate_movements,2,TRUE)</f>
        <v>4.7500000000000001E-2</v>
      </c>
      <c r="Y151" s="28">
        <f>X151+VLOOKUP(Rawdata!W146,Int_rate_movements,2,TRUE)</f>
        <v>4.4999999999999998E-2</v>
      </c>
      <c r="Z151" s="35">
        <f>Y151+VLOOKUP(Rawdata!X146,Int_rate_movements,2,TRUE)</f>
        <v>4.4999999999999998E-2</v>
      </c>
      <c r="AB151" s="55">
        <f t="shared" si="111"/>
        <v>4.4097712805242217E-2</v>
      </c>
      <c r="AC151" s="55">
        <f t="shared" si="112"/>
        <v>4.4097712805242217E-2</v>
      </c>
      <c r="AD151" s="55">
        <f t="shared" si="113"/>
        <v>4.4097712805242217E-2</v>
      </c>
      <c r="AE151" s="55">
        <f t="shared" si="114"/>
        <v>4.4097712805242217E-2</v>
      </c>
      <c r="AF151" s="55">
        <f t="shared" si="115"/>
        <v>4.4097712805242217E-2</v>
      </c>
      <c r="AG151" s="55">
        <f t="shared" si="116"/>
        <v>4.6496219905550085E-2</v>
      </c>
      <c r="AH151" s="55">
        <f t="shared" si="117"/>
        <v>4.6496219905550085E-2</v>
      </c>
      <c r="AI151" s="55">
        <f t="shared" si="118"/>
        <v>4.6496219905550085E-2</v>
      </c>
      <c r="AJ151" s="55">
        <f t="shared" si="119"/>
        <v>4.6496219905550085E-2</v>
      </c>
      <c r="AK151" s="55">
        <f t="shared" si="120"/>
        <v>4.4097712805242217E-2</v>
      </c>
      <c r="AL151" s="55">
        <f t="shared" si="121"/>
        <v>4.4097712805242217E-2</v>
      </c>
      <c r="AM151" s="55">
        <f t="shared" si="122"/>
        <v>4.4097712805242217E-2</v>
      </c>
      <c r="AN151" s="55">
        <f t="shared" si="123"/>
        <v>4.4097712805242217E-2</v>
      </c>
      <c r="AO151" s="55">
        <f t="shared" si="124"/>
        <v>4.4097712805242217E-2</v>
      </c>
      <c r="AP151" s="55">
        <f t="shared" si="125"/>
        <v>4.4097712805242217E-2</v>
      </c>
      <c r="AQ151" s="55">
        <f t="shared" si="126"/>
        <v>4.4097712805242217E-2</v>
      </c>
      <c r="AR151" s="55">
        <f t="shared" si="127"/>
        <v>4.4097712805242217E-2</v>
      </c>
      <c r="AS151" s="55">
        <f t="shared" si="128"/>
        <v>4.4097712805242217E-2</v>
      </c>
      <c r="AT151" s="55">
        <f t="shared" si="129"/>
        <v>4.4097712805242217E-2</v>
      </c>
      <c r="AU151" s="55">
        <f t="shared" si="130"/>
        <v>4.6496219905550085E-2</v>
      </c>
      <c r="AV151" s="55">
        <f t="shared" si="131"/>
        <v>4.6496219905550085E-2</v>
      </c>
      <c r="AW151" s="55">
        <f t="shared" si="132"/>
        <v>4.6496219905550085E-2</v>
      </c>
      <c r="AX151" s="55">
        <f t="shared" si="133"/>
        <v>4.6496219905550085E-2</v>
      </c>
      <c r="AY151" s="55">
        <f t="shared" si="134"/>
        <v>4.4097712805242217E-2</v>
      </c>
      <c r="AZ151" s="56">
        <f t="shared" si="135"/>
        <v>4.4097712805242217E-2</v>
      </c>
    </row>
    <row r="152" spans="1:52" x14ac:dyDescent="0.35">
      <c r="A152" s="27">
        <v>145</v>
      </c>
      <c r="B152" s="63">
        <f t="shared" si="110"/>
        <v>4.4999999999999998E-2</v>
      </c>
      <c r="C152" s="28">
        <f>B152+VLOOKUP(Rawdata!A147,Int_rate_movements,2,TRUE)</f>
        <v>4.4999999999999998E-2</v>
      </c>
      <c r="D152" s="28">
        <f>C152+VLOOKUP(Rawdata!B147,Int_rate_movements,2,TRUE)</f>
        <v>4.4999999999999998E-2</v>
      </c>
      <c r="E152" s="28">
        <f>D152+VLOOKUP(Rawdata!C147,Int_rate_movements,2,TRUE)</f>
        <v>4.4999999999999998E-2</v>
      </c>
      <c r="F152" s="28">
        <f>E152+VLOOKUP(Rawdata!D147,Int_rate_movements,2,TRUE)</f>
        <v>4.7500000000000001E-2</v>
      </c>
      <c r="G152" s="28">
        <f>F152+VLOOKUP(Rawdata!E147,Int_rate_movements,2,TRUE)</f>
        <v>4.7500000000000001E-2</v>
      </c>
      <c r="H152" s="28">
        <f>G152+VLOOKUP(Rawdata!F147,Int_rate_movements,2,TRUE)</f>
        <v>4.7500000000000001E-2</v>
      </c>
      <c r="I152" s="28">
        <f>H152+VLOOKUP(Rawdata!G147,Int_rate_movements,2,TRUE)</f>
        <v>4.7500000000000001E-2</v>
      </c>
      <c r="J152" s="28">
        <f>I152+VLOOKUP(Rawdata!H147,Int_rate_movements,2,TRUE)</f>
        <v>5.2499999999999998E-2</v>
      </c>
      <c r="K152" s="28">
        <f>J152+VLOOKUP(Rawdata!I147,Int_rate_movements,2,TRUE)</f>
        <v>5.5E-2</v>
      </c>
      <c r="L152" s="28">
        <f>K152+VLOOKUP(Rawdata!J147,Int_rate_movements,2,TRUE)</f>
        <v>5.5E-2</v>
      </c>
      <c r="M152" s="28">
        <f>L152+VLOOKUP(Rawdata!K147,Int_rate_movements,2,TRUE)</f>
        <v>5.5E-2</v>
      </c>
      <c r="N152" s="28">
        <f>M152+VLOOKUP(Rawdata!L147,Int_rate_movements,2,TRUE)</f>
        <v>5.5E-2</v>
      </c>
      <c r="O152" s="28">
        <f>N152+VLOOKUP(Rawdata!M147,Int_rate_movements,2,TRUE)</f>
        <v>5.5E-2</v>
      </c>
      <c r="P152" s="28">
        <f>O152+VLOOKUP(Rawdata!N147,Int_rate_movements,2,TRUE)</f>
        <v>5.5E-2</v>
      </c>
      <c r="Q152" s="28">
        <f>P152+VLOOKUP(Rawdata!O147,Int_rate_movements,2,TRUE)</f>
        <v>5.2499999999999998E-2</v>
      </c>
      <c r="R152" s="28">
        <f>Q152+VLOOKUP(Rawdata!P147,Int_rate_movements,2,TRUE)</f>
        <v>5.2499999999999998E-2</v>
      </c>
      <c r="S152" s="28">
        <f>R152+VLOOKUP(Rawdata!Q147,Int_rate_movements,2,TRUE)</f>
        <v>5.2499999999999998E-2</v>
      </c>
      <c r="T152" s="28">
        <f>S152+VLOOKUP(Rawdata!R147,Int_rate_movements,2,TRUE)</f>
        <v>5.2499999999999998E-2</v>
      </c>
      <c r="U152" s="28">
        <f>T152+VLOOKUP(Rawdata!S147,Int_rate_movements,2,TRUE)</f>
        <v>5.2499999999999998E-2</v>
      </c>
      <c r="V152" s="28">
        <f>U152+VLOOKUP(Rawdata!T147,Int_rate_movements,2,TRUE)</f>
        <v>5.2499999999999998E-2</v>
      </c>
      <c r="W152" s="28">
        <f>V152+VLOOKUP(Rawdata!U147,Int_rate_movements,2,TRUE)</f>
        <v>5.2499999999999998E-2</v>
      </c>
      <c r="X152" s="28">
        <f>W152+VLOOKUP(Rawdata!V147,Int_rate_movements,2,TRUE)</f>
        <v>5.2499999999999998E-2</v>
      </c>
      <c r="Y152" s="28">
        <f>X152+VLOOKUP(Rawdata!W147,Int_rate_movements,2,TRUE)</f>
        <v>5.2499999999999998E-2</v>
      </c>
      <c r="Z152" s="35">
        <f>Y152+VLOOKUP(Rawdata!X147,Int_rate_movements,2,TRUE)</f>
        <v>5.2499999999999998E-2</v>
      </c>
      <c r="AB152" s="55">
        <f t="shared" si="111"/>
        <v>4.4097712805242217E-2</v>
      </c>
      <c r="AC152" s="55">
        <f t="shared" si="112"/>
        <v>4.4097712805242217E-2</v>
      </c>
      <c r="AD152" s="55">
        <f t="shared" si="113"/>
        <v>4.4097712805242217E-2</v>
      </c>
      <c r="AE152" s="55">
        <f t="shared" si="114"/>
        <v>4.4097712805242217E-2</v>
      </c>
      <c r="AF152" s="55">
        <f t="shared" si="115"/>
        <v>4.6496219905550085E-2</v>
      </c>
      <c r="AG152" s="55">
        <f t="shared" si="116"/>
        <v>4.6496219905550085E-2</v>
      </c>
      <c r="AH152" s="55">
        <f t="shared" si="117"/>
        <v>4.6496219905550085E-2</v>
      </c>
      <c r="AI152" s="55">
        <f t="shared" si="118"/>
        <v>4.6496219905550085E-2</v>
      </c>
      <c r="AJ152" s="55">
        <f t="shared" si="119"/>
        <v>5.1277533193896829E-2</v>
      </c>
      <c r="AK152" s="55">
        <f t="shared" si="120"/>
        <v>5.3660387004516252E-2</v>
      </c>
      <c r="AL152" s="55">
        <f t="shared" si="121"/>
        <v>5.3660387004516252E-2</v>
      </c>
      <c r="AM152" s="55">
        <f t="shared" si="122"/>
        <v>5.3660387004516252E-2</v>
      </c>
      <c r="AN152" s="55">
        <f t="shared" si="123"/>
        <v>5.3660387004516252E-2</v>
      </c>
      <c r="AO152" s="55">
        <f t="shared" si="124"/>
        <v>5.3660387004516252E-2</v>
      </c>
      <c r="AP152" s="55">
        <f t="shared" si="125"/>
        <v>5.3660387004516252E-2</v>
      </c>
      <c r="AQ152" s="55">
        <f t="shared" si="126"/>
        <v>5.1277533193896829E-2</v>
      </c>
      <c r="AR152" s="55">
        <f t="shared" si="127"/>
        <v>5.1277533193896829E-2</v>
      </c>
      <c r="AS152" s="55">
        <f t="shared" si="128"/>
        <v>5.1277533193896829E-2</v>
      </c>
      <c r="AT152" s="55">
        <f t="shared" si="129"/>
        <v>5.1277533193896829E-2</v>
      </c>
      <c r="AU152" s="55">
        <f t="shared" si="130"/>
        <v>5.1277533193896829E-2</v>
      </c>
      <c r="AV152" s="55">
        <f t="shared" si="131"/>
        <v>5.1277533193896829E-2</v>
      </c>
      <c r="AW152" s="55">
        <f t="shared" si="132"/>
        <v>5.1277533193896829E-2</v>
      </c>
      <c r="AX152" s="55">
        <f t="shared" si="133"/>
        <v>5.1277533193896829E-2</v>
      </c>
      <c r="AY152" s="55">
        <f t="shared" si="134"/>
        <v>5.1277533193896829E-2</v>
      </c>
      <c r="AZ152" s="56">
        <f t="shared" si="135"/>
        <v>5.1277533193896829E-2</v>
      </c>
    </row>
    <row r="153" spans="1:52" x14ac:dyDescent="0.35">
      <c r="A153" s="5">
        <v>146</v>
      </c>
      <c r="B153" s="63">
        <f t="shared" si="110"/>
        <v>4.4999999999999998E-2</v>
      </c>
      <c r="C153" s="28">
        <f>B153+VLOOKUP(Rawdata!A148,Int_rate_movements,2,TRUE)</f>
        <v>4.4999999999999998E-2</v>
      </c>
      <c r="D153" s="28">
        <f>C153+VLOOKUP(Rawdata!B148,Int_rate_movements,2,TRUE)</f>
        <v>4.4999999999999998E-2</v>
      </c>
      <c r="E153" s="28">
        <f>D153+VLOOKUP(Rawdata!C148,Int_rate_movements,2,TRUE)</f>
        <v>4.4999999999999998E-2</v>
      </c>
      <c r="F153" s="28">
        <f>E153+VLOOKUP(Rawdata!D148,Int_rate_movements,2,TRUE)</f>
        <v>4.4999999999999998E-2</v>
      </c>
      <c r="G153" s="28">
        <f>F153+VLOOKUP(Rawdata!E148,Int_rate_movements,2,TRUE)</f>
        <v>4.4999999999999998E-2</v>
      </c>
      <c r="H153" s="28">
        <f>G153+VLOOKUP(Rawdata!F148,Int_rate_movements,2,TRUE)</f>
        <v>4.4999999999999998E-2</v>
      </c>
      <c r="I153" s="28">
        <f>H153+VLOOKUP(Rawdata!G148,Int_rate_movements,2,TRUE)</f>
        <v>0.04</v>
      </c>
      <c r="J153" s="28">
        <f>I153+VLOOKUP(Rawdata!H148,Int_rate_movements,2,TRUE)</f>
        <v>0.04</v>
      </c>
      <c r="K153" s="28">
        <f>J153+VLOOKUP(Rawdata!I148,Int_rate_movements,2,TRUE)</f>
        <v>0.04</v>
      </c>
      <c r="L153" s="28">
        <f>K153+VLOOKUP(Rawdata!J148,Int_rate_movements,2,TRUE)</f>
        <v>0.04</v>
      </c>
      <c r="M153" s="28">
        <f>L153+VLOOKUP(Rawdata!K148,Int_rate_movements,2,TRUE)</f>
        <v>0.04</v>
      </c>
      <c r="N153" s="28">
        <f>M153+VLOOKUP(Rawdata!L148,Int_rate_movements,2,TRUE)</f>
        <v>3.7499999999999999E-2</v>
      </c>
      <c r="O153" s="28">
        <f>N153+VLOOKUP(Rawdata!M148,Int_rate_movements,2,TRUE)</f>
        <v>3.7499999999999999E-2</v>
      </c>
      <c r="P153" s="28">
        <f>O153+VLOOKUP(Rawdata!N148,Int_rate_movements,2,TRUE)</f>
        <v>3.7499999999999999E-2</v>
      </c>
      <c r="Q153" s="28">
        <f>P153+VLOOKUP(Rawdata!O148,Int_rate_movements,2,TRUE)</f>
        <v>3.7499999999999999E-2</v>
      </c>
      <c r="R153" s="28">
        <f>Q153+VLOOKUP(Rawdata!P148,Int_rate_movements,2,TRUE)</f>
        <v>3.7499999999999999E-2</v>
      </c>
      <c r="S153" s="28">
        <f>R153+VLOOKUP(Rawdata!Q148,Int_rate_movements,2,TRUE)</f>
        <v>3.7499999999999999E-2</v>
      </c>
      <c r="T153" s="28">
        <f>S153+VLOOKUP(Rawdata!R148,Int_rate_movements,2,TRUE)</f>
        <v>3.7499999999999999E-2</v>
      </c>
      <c r="U153" s="28">
        <f>T153+VLOOKUP(Rawdata!S148,Int_rate_movements,2,TRUE)</f>
        <v>3.7499999999999999E-2</v>
      </c>
      <c r="V153" s="28">
        <f>U153+VLOOKUP(Rawdata!T148,Int_rate_movements,2,TRUE)</f>
        <v>3.7499999999999999E-2</v>
      </c>
      <c r="W153" s="28">
        <f>V153+VLOOKUP(Rawdata!U148,Int_rate_movements,2,TRUE)</f>
        <v>3.7499999999999999E-2</v>
      </c>
      <c r="X153" s="28">
        <f>W153+VLOOKUP(Rawdata!V148,Int_rate_movements,2,TRUE)</f>
        <v>3.7499999999999999E-2</v>
      </c>
      <c r="Y153" s="28">
        <f>X153+VLOOKUP(Rawdata!W148,Int_rate_movements,2,TRUE)</f>
        <v>3.7499999999999999E-2</v>
      </c>
      <c r="Z153" s="35">
        <f>Y153+VLOOKUP(Rawdata!X148,Int_rate_movements,2,TRUE)</f>
        <v>3.7499999999999999E-2</v>
      </c>
      <c r="AB153" s="55">
        <f t="shared" si="111"/>
        <v>4.4097712805242217E-2</v>
      </c>
      <c r="AC153" s="55">
        <f t="shared" si="112"/>
        <v>4.4097712805242217E-2</v>
      </c>
      <c r="AD153" s="55">
        <f t="shared" si="113"/>
        <v>4.4097712805242217E-2</v>
      </c>
      <c r="AE153" s="55">
        <f t="shared" si="114"/>
        <v>4.4097712805242217E-2</v>
      </c>
      <c r="AF153" s="55">
        <f t="shared" si="115"/>
        <v>4.4097712805242217E-2</v>
      </c>
      <c r="AG153" s="55">
        <f t="shared" si="116"/>
        <v>4.4097712805242217E-2</v>
      </c>
      <c r="AH153" s="55">
        <f t="shared" si="117"/>
        <v>4.4097712805242217E-2</v>
      </c>
      <c r="AI153" s="55">
        <f t="shared" si="118"/>
        <v>3.9284877386386974E-2</v>
      </c>
      <c r="AJ153" s="55">
        <f t="shared" si="119"/>
        <v>3.9284877386386974E-2</v>
      </c>
      <c r="AK153" s="55">
        <f t="shared" si="120"/>
        <v>3.9284877386386974E-2</v>
      </c>
      <c r="AL153" s="55">
        <f t="shared" si="121"/>
        <v>3.9284877386386974E-2</v>
      </c>
      <c r="AM153" s="55">
        <f t="shared" si="122"/>
        <v>3.9284877386386974E-2</v>
      </c>
      <c r="AN153" s="55">
        <f t="shared" si="123"/>
        <v>3.6870500439066589E-2</v>
      </c>
      <c r="AO153" s="55">
        <f t="shared" si="124"/>
        <v>3.6870500439066589E-2</v>
      </c>
      <c r="AP153" s="55">
        <f t="shared" si="125"/>
        <v>3.6870500439066589E-2</v>
      </c>
      <c r="AQ153" s="55">
        <f t="shared" si="126"/>
        <v>3.6870500439066589E-2</v>
      </c>
      <c r="AR153" s="55">
        <f t="shared" si="127"/>
        <v>3.6870500439066589E-2</v>
      </c>
      <c r="AS153" s="55">
        <f t="shared" si="128"/>
        <v>3.6870500439066589E-2</v>
      </c>
      <c r="AT153" s="55">
        <f t="shared" si="129"/>
        <v>3.6870500439066589E-2</v>
      </c>
      <c r="AU153" s="55">
        <f t="shared" si="130"/>
        <v>3.6870500439066589E-2</v>
      </c>
      <c r="AV153" s="55">
        <f t="shared" si="131"/>
        <v>3.6870500439066589E-2</v>
      </c>
      <c r="AW153" s="55">
        <f t="shared" si="132"/>
        <v>3.6870500439066589E-2</v>
      </c>
      <c r="AX153" s="55">
        <f t="shared" si="133"/>
        <v>3.6870500439066589E-2</v>
      </c>
      <c r="AY153" s="55">
        <f t="shared" si="134"/>
        <v>3.6870500439066589E-2</v>
      </c>
      <c r="AZ153" s="56">
        <f t="shared" si="135"/>
        <v>3.6870500439066589E-2</v>
      </c>
    </row>
    <row r="154" spans="1:52" x14ac:dyDescent="0.35">
      <c r="A154" s="27">
        <v>147</v>
      </c>
      <c r="B154" s="63">
        <f t="shared" si="110"/>
        <v>4.4999999999999998E-2</v>
      </c>
      <c r="C154" s="28">
        <f>B154+VLOOKUP(Rawdata!A149,Int_rate_movements,2,TRUE)</f>
        <v>4.7500000000000001E-2</v>
      </c>
      <c r="D154" s="28">
        <f>C154+VLOOKUP(Rawdata!B149,Int_rate_movements,2,TRUE)</f>
        <v>4.7500000000000001E-2</v>
      </c>
      <c r="E154" s="28">
        <f>D154+VLOOKUP(Rawdata!C149,Int_rate_movements,2,TRUE)</f>
        <v>4.7500000000000001E-2</v>
      </c>
      <c r="F154" s="28">
        <f>E154+VLOOKUP(Rawdata!D149,Int_rate_movements,2,TRUE)</f>
        <v>4.7500000000000001E-2</v>
      </c>
      <c r="G154" s="28">
        <f>F154+VLOOKUP(Rawdata!E149,Int_rate_movements,2,TRUE)</f>
        <v>4.7500000000000001E-2</v>
      </c>
      <c r="H154" s="28">
        <f>G154+VLOOKUP(Rawdata!F149,Int_rate_movements,2,TRUE)</f>
        <v>4.7500000000000001E-2</v>
      </c>
      <c r="I154" s="28">
        <f>H154+VLOOKUP(Rawdata!G149,Int_rate_movements,2,TRUE)</f>
        <v>4.7500000000000001E-2</v>
      </c>
      <c r="J154" s="28">
        <f>I154+VLOOKUP(Rawdata!H149,Int_rate_movements,2,TRUE)</f>
        <v>4.7500000000000001E-2</v>
      </c>
      <c r="K154" s="28">
        <f>J154+VLOOKUP(Rawdata!I149,Int_rate_movements,2,TRUE)</f>
        <v>4.7500000000000001E-2</v>
      </c>
      <c r="L154" s="28">
        <f>K154+VLOOKUP(Rawdata!J149,Int_rate_movements,2,TRUE)</f>
        <v>4.7500000000000001E-2</v>
      </c>
      <c r="M154" s="28">
        <f>L154+VLOOKUP(Rawdata!K149,Int_rate_movements,2,TRUE)</f>
        <v>4.7500000000000001E-2</v>
      </c>
      <c r="N154" s="28">
        <f>M154+VLOOKUP(Rawdata!L149,Int_rate_movements,2,TRUE)</f>
        <v>4.7500000000000001E-2</v>
      </c>
      <c r="O154" s="28">
        <f>N154+VLOOKUP(Rawdata!M149,Int_rate_movements,2,TRUE)</f>
        <v>4.2500000000000003E-2</v>
      </c>
      <c r="P154" s="28">
        <f>O154+VLOOKUP(Rawdata!N149,Int_rate_movements,2,TRUE)</f>
        <v>4.2500000000000003E-2</v>
      </c>
      <c r="Q154" s="28">
        <f>P154+VLOOKUP(Rawdata!O149,Int_rate_movements,2,TRUE)</f>
        <v>4.2500000000000003E-2</v>
      </c>
      <c r="R154" s="28">
        <f>Q154+VLOOKUP(Rawdata!P149,Int_rate_movements,2,TRUE)</f>
        <v>4.2500000000000003E-2</v>
      </c>
      <c r="S154" s="28">
        <f>R154+VLOOKUP(Rawdata!Q149,Int_rate_movements,2,TRUE)</f>
        <v>4.2500000000000003E-2</v>
      </c>
      <c r="T154" s="28">
        <f>S154+VLOOKUP(Rawdata!R149,Int_rate_movements,2,TRUE)</f>
        <v>4.2500000000000003E-2</v>
      </c>
      <c r="U154" s="28">
        <f>T154+VLOOKUP(Rawdata!S149,Int_rate_movements,2,TRUE)</f>
        <v>4.2500000000000003E-2</v>
      </c>
      <c r="V154" s="28">
        <f>U154+VLOOKUP(Rawdata!T149,Int_rate_movements,2,TRUE)</f>
        <v>4.5000000000000005E-2</v>
      </c>
      <c r="W154" s="28">
        <f>V154+VLOOKUP(Rawdata!U149,Int_rate_movements,2,TRUE)</f>
        <v>4.5000000000000005E-2</v>
      </c>
      <c r="X154" s="28">
        <f>W154+VLOOKUP(Rawdata!V149,Int_rate_movements,2,TRUE)</f>
        <v>4.5000000000000005E-2</v>
      </c>
      <c r="Y154" s="28">
        <f>X154+VLOOKUP(Rawdata!W149,Int_rate_movements,2,TRUE)</f>
        <v>4.5000000000000005E-2</v>
      </c>
      <c r="Z154" s="35">
        <f>Y154+VLOOKUP(Rawdata!X149,Int_rate_movements,2,TRUE)</f>
        <v>4.5000000000000005E-2</v>
      </c>
      <c r="AB154" s="55">
        <f t="shared" si="111"/>
        <v>4.4097712805242217E-2</v>
      </c>
      <c r="AC154" s="55">
        <f t="shared" si="112"/>
        <v>4.6496219905550085E-2</v>
      </c>
      <c r="AD154" s="55">
        <f t="shared" si="113"/>
        <v>4.6496219905550085E-2</v>
      </c>
      <c r="AE154" s="55">
        <f t="shared" si="114"/>
        <v>4.6496219905550085E-2</v>
      </c>
      <c r="AF154" s="55">
        <f t="shared" si="115"/>
        <v>4.6496219905550085E-2</v>
      </c>
      <c r="AG154" s="55">
        <f t="shared" si="116"/>
        <v>4.6496219905550085E-2</v>
      </c>
      <c r="AH154" s="55">
        <f t="shared" si="117"/>
        <v>4.6496219905550085E-2</v>
      </c>
      <c r="AI154" s="55">
        <f t="shared" si="118"/>
        <v>4.6496219905550085E-2</v>
      </c>
      <c r="AJ154" s="55">
        <f t="shared" si="119"/>
        <v>4.6496219905550085E-2</v>
      </c>
      <c r="AK154" s="55">
        <f t="shared" si="120"/>
        <v>4.6496219905550085E-2</v>
      </c>
      <c r="AL154" s="55">
        <f t="shared" si="121"/>
        <v>4.6496219905550085E-2</v>
      </c>
      <c r="AM154" s="55">
        <f t="shared" si="122"/>
        <v>4.6496219905550085E-2</v>
      </c>
      <c r="AN154" s="55">
        <f t="shared" si="123"/>
        <v>4.6496219905550085E-2</v>
      </c>
      <c r="AO154" s="55">
        <f t="shared" si="124"/>
        <v>4.1693940041970023E-2</v>
      </c>
      <c r="AP154" s="55">
        <f t="shared" si="125"/>
        <v>4.1693940041970023E-2</v>
      </c>
      <c r="AQ154" s="55">
        <f t="shared" si="126"/>
        <v>4.1693940041970023E-2</v>
      </c>
      <c r="AR154" s="55">
        <f t="shared" si="127"/>
        <v>4.1693940041970023E-2</v>
      </c>
      <c r="AS154" s="55">
        <f t="shared" si="128"/>
        <v>4.1693940041970023E-2</v>
      </c>
      <c r="AT154" s="55">
        <f t="shared" si="129"/>
        <v>4.1693940041970023E-2</v>
      </c>
      <c r="AU154" s="55">
        <f t="shared" si="130"/>
        <v>4.1693940041970023E-2</v>
      </c>
      <c r="AV154" s="55">
        <f t="shared" si="131"/>
        <v>4.4097712805242217E-2</v>
      </c>
      <c r="AW154" s="55">
        <f t="shared" si="132"/>
        <v>4.4097712805242217E-2</v>
      </c>
      <c r="AX154" s="55">
        <f t="shared" si="133"/>
        <v>4.4097712805242217E-2</v>
      </c>
      <c r="AY154" s="55">
        <f t="shared" si="134"/>
        <v>4.4097712805242217E-2</v>
      </c>
      <c r="AZ154" s="56">
        <f t="shared" si="135"/>
        <v>4.4097712805242217E-2</v>
      </c>
    </row>
    <row r="155" spans="1:52" x14ac:dyDescent="0.35">
      <c r="A155" s="5">
        <v>148</v>
      </c>
      <c r="B155" s="63">
        <f t="shared" si="110"/>
        <v>4.4999999999999998E-2</v>
      </c>
      <c r="C155" s="28">
        <f>B155+VLOOKUP(Rawdata!A150,Int_rate_movements,2,TRUE)</f>
        <v>4.4999999999999998E-2</v>
      </c>
      <c r="D155" s="28">
        <f>C155+VLOOKUP(Rawdata!B150,Int_rate_movements,2,TRUE)</f>
        <v>4.4999999999999998E-2</v>
      </c>
      <c r="E155" s="28">
        <f>D155+VLOOKUP(Rawdata!C150,Int_rate_movements,2,TRUE)</f>
        <v>4.2499999999999996E-2</v>
      </c>
      <c r="F155" s="28">
        <f>E155+VLOOKUP(Rawdata!D150,Int_rate_movements,2,TRUE)</f>
        <v>4.2499999999999996E-2</v>
      </c>
      <c r="G155" s="28">
        <f>F155+VLOOKUP(Rawdata!E150,Int_rate_movements,2,TRUE)</f>
        <v>4.2499999999999996E-2</v>
      </c>
      <c r="H155" s="28">
        <f>G155+VLOOKUP(Rawdata!F150,Int_rate_movements,2,TRUE)</f>
        <v>4.2499999999999996E-2</v>
      </c>
      <c r="I155" s="28">
        <f>H155+VLOOKUP(Rawdata!G150,Int_rate_movements,2,TRUE)</f>
        <v>4.2499999999999996E-2</v>
      </c>
      <c r="J155" s="28">
        <f>I155+VLOOKUP(Rawdata!H150,Int_rate_movements,2,TRUE)</f>
        <v>4.2499999999999996E-2</v>
      </c>
      <c r="K155" s="28">
        <f>J155+VLOOKUP(Rawdata!I150,Int_rate_movements,2,TRUE)</f>
        <v>4.2499999999999996E-2</v>
      </c>
      <c r="L155" s="28">
        <f>K155+VLOOKUP(Rawdata!J150,Int_rate_movements,2,TRUE)</f>
        <v>3.7499999999999999E-2</v>
      </c>
      <c r="M155" s="28">
        <f>L155+VLOOKUP(Rawdata!K150,Int_rate_movements,2,TRUE)</f>
        <v>3.7499999999999999E-2</v>
      </c>
      <c r="N155" s="28">
        <f>M155+VLOOKUP(Rawdata!L150,Int_rate_movements,2,TRUE)</f>
        <v>0.04</v>
      </c>
      <c r="O155" s="28">
        <f>N155+VLOOKUP(Rawdata!M150,Int_rate_movements,2,TRUE)</f>
        <v>0.04</v>
      </c>
      <c r="P155" s="28">
        <f>O155+VLOOKUP(Rawdata!N150,Int_rate_movements,2,TRUE)</f>
        <v>0.04</v>
      </c>
      <c r="Q155" s="28">
        <f>P155+VLOOKUP(Rawdata!O150,Int_rate_movements,2,TRUE)</f>
        <v>0.04</v>
      </c>
      <c r="R155" s="28">
        <f>Q155+VLOOKUP(Rawdata!P150,Int_rate_movements,2,TRUE)</f>
        <v>0.04</v>
      </c>
      <c r="S155" s="28">
        <f>R155+VLOOKUP(Rawdata!Q150,Int_rate_movements,2,TRUE)</f>
        <v>0.04</v>
      </c>
      <c r="T155" s="28">
        <f>S155+VLOOKUP(Rawdata!R150,Int_rate_movements,2,TRUE)</f>
        <v>0.04</v>
      </c>
      <c r="U155" s="28">
        <f>T155+VLOOKUP(Rawdata!S150,Int_rate_movements,2,TRUE)</f>
        <v>0.04</v>
      </c>
      <c r="V155" s="28">
        <f>U155+VLOOKUP(Rawdata!T150,Int_rate_movements,2,TRUE)</f>
        <v>0.04</v>
      </c>
      <c r="W155" s="28">
        <f>V155+VLOOKUP(Rawdata!U150,Int_rate_movements,2,TRUE)</f>
        <v>0.04</v>
      </c>
      <c r="X155" s="28">
        <f>W155+VLOOKUP(Rawdata!V150,Int_rate_movements,2,TRUE)</f>
        <v>3.7499999999999999E-2</v>
      </c>
      <c r="Y155" s="28">
        <f>X155+VLOOKUP(Rawdata!W150,Int_rate_movements,2,TRUE)</f>
        <v>3.4999999999999996E-2</v>
      </c>
      <c r="Z155" s="35">
        <f>Y155+VLOOKUP(Rawdata!X150,Int_rate_movements,2,TRUE)</f>
        <v>3.4999999999999996E-2</v>
      </c>
      <c r="AB155" s="55">
        <f t="shared" si="111"/>
        <v>4.4097712805242217E-2</v>
      </c>
      <c r="AC155" s="55">
        <f t="shared" si="112"/>
        <v>4.4097712805242217E-2</v>
      </c>
      <c r="AD155" s="55">
        <f t="shared" si="113"/>
        <v>4.4097712805242217E-2</v>
      </c>
      <c r="AE155" s="55">
        <f t="shared" si="114"/>
        <v>4.1693940041970023E-2</v>
      </c>
      <c r="AF155" s="55">
        <f t="shared" si="115"/>
        <v>4.1693940041970023E-2</v>
      </c>
      <c r="AG155" s="55">
        <f t="shared" si="116"/>
        <v>4.1693940041970023E-2</v>
      </c>
      <c r="AH155" s="55">
        <f t="shared" si="117"/>
        <v>4.1693940041970023E-2</v>
      </c>
      <c r="AI155" s="55">
        <f t="shared" si="118"/>
        <v>4.1693940041970023E-2</v>
      </c>
      <c r="AJ155" s="55">
        <f t="shared" si="119"/>
        <v>4.1693940041970023E-2</v>
      </c>
      <c r="AK155" s="55">
        <f t="shared" si="120"/>
        <v>4.1693940041970023E-2</v>
      </c>
      <c r="AL155" s="55">
        <f t="shared" si="121"/>
        <v>3.6870500439066589E-2</v>
      </c>
      <c r="AM155" s="55">
        <f t="shared" si="122"/>
        <v>3.6870500439066589E-2</v>
      </c>
      <c r="AN155" s="55">
        <f t="shared" si="123"/>
        <v>3.9284877386386974E-2</v>
      </c>
      <c r="AO155" s="55">
        <f t="shared" si="124"/>
        <v>3.9284877386386974E-2</v>
      </c>
      <c r="AP155" s="55">
        <f t="shared" si="125"/>
        <v>3.9284877386386974E-2</v>
      </c>
      <c r="AQ155" s="55">
        <f t="shared" si="126"/>
        <v>3.9284877386386974E-2</v>
      </c>
      <c r="AR155" s="55">
        <f t="shared" si="127"/>
        <v>3.9284877386386974E-2</v>
      </c>
      <c r="AS155" s="55">
        <f t="shared" si="128"/>
        <v>3.9284877386386974E-2</v>
      </c>
      <c r="AT155" s="55">
        <f t="shared" si="129"/>
        <v>3.9284877386386974E-2</v>
      </c>
      <c r="AU155" s="55">
        <f t="shared" si="130"/>
        <v>3.9284877386386974E-2</v>
      </c>
      <c r="AV155" s="55">
        <f t="shared" si="131"/>
        <v>3.9284877386386974E-2</v>
      </c>
      <c r="AW155" s="55">
        <f t="shared" si="132"/>
        <v>3.9284877386386974E-2</v>
      </c>
      <c r="AX155" s="55">
        <f t="shared" si="133"/>
        <v>3.6870500439066589E-2</v>
      </c>
      <c r="AY155" s="55">
        <f t="shared" si="134"/>
        <v>3.4450784628919706E-2</v>
      </c>
      <c r="AZ155" s="56">
        <f t="shared" si="135"/>
        <v>3.4450784628919706E-2</v>
      </c>
    </row>
    <row r="156" spans="1:52" x14ac:dyDescent="0.35">
      <c r="A156" s="27">
        <v>149</v>
      </c>
      <c r="B156" s="63">
        <f t="shared" si="110"/>
        <v>4.4999999999999998E-2</v>
      </c>
      <c r="C156" s="28">
        <f>B156+VLOOKUP(Rawdata!A151,Int_rate_movements,2,TRUE)</f>
        <v>4.4999999999999998E-2</v>
      </c>
      <c r="D156" s="28">
        <f>C156+VLOOKUP(Rawdata!B151,Int_rate_movements,2,TRUE)</f>
        <v>4.4999999999999998E-2</v>
      </c>
      <c r="E156" s="28">
        <f>D156+VLOOKUP(Rawdata!C151,Int_rate_movements,2,TRUE)</f>
        <v>4.4999999999999998E-2</v>
      </c>
      <c r="F156" s="28">
        <f>E156+VLOOKUP(Rawdata!D151,Int_rate_movements,2,TRUE)</f>
        <v>4.4999999999999998E-2</v>
      </c>
      <c r="G156" s="28">
        <f>F156+VLOOKUP(Rawdata!E151,Int_rate_movements,2,TRUE)</f>
        <v>4.7500000000000001E-2</v>
      </c>
      <c r="H156" s="28">
        <f>G156+VLOOKUP(Rawdata!F151,Int_rate_movements,2,TRUE)</f>
        <v>4.7500000000000001E-2</v>
      </c>
      <c r="I156" s="28">
        <f>H156+VLOOKUP(Rawdata!G151,Int_rate_movements,2,TRUE)</f>
        <v>4.7500000000000001E-2</v>
      </c>
      <c r="J156" s="28">
        <f>I156+VLOOKUP(Rawdata!H151,Int_rate_movements,2,TRUE)</f>
        <v>4.7500000000000001E-2</v>
      </c>
      <c r="K156" s="28">
        <f>J156+VLOOKUP(Rawdata!I151,Int_rate_movements,2,TRUE)</f>
        <v>4.7500000000000001E-2</v>
      </c>
      <c r="L156" s="28">
        <f>K156+VLOOKUP(Rawdata!J151,Int_rate_movements,2,TRUE)</f>
        <v>4.7500000000000001E-2</v>
      </c>
      <c r="M156" s="28">
        <f>L156+VLOOKUP(Rawdata!K151,Int_rate_movements,2,TRUE)</f>
        <v>5.2499999999999998E-2</v>
      </c>
      <c r="N156" s="28">
        <f>M156+VLOOKUP(Rawdata!L151,Int_rate_movements,2,TRUE)</f>
        <v>5.2499999999999998E-2</v>
      </c>
      <c r="O156" s="28">
        <f>N156+VLOOKUP(Rawdata!M151,Int_rate_movements,2,TRUE)</f>
        <v>4.7500000000000001E-2</v>
      </c>
      <c r="P156" s="28">
        <f>O156+VLOOKUP(Rawdata!N151,Int_rate_movements,2,TRUE)</f>
        <v>4.7500000000000001E-2</v>
      </c>
      <c r="Q156" s="28">
        <f>P156+VLOOKUP(Rawdata!O151,Int_rate_movements,2,TRUE)</f>
        <v>4.7500000000000001E-2</v>
      </c>
      <c r="R156" s="28">
        <f>Q156+VLOOKUP(Rawdata!P151,Int_rate_movements,2,TRUE)</f>
        <v>4.7500000000000001E-2</v>
      </c>
      <c r="S156" s="28">
        <f>R156+VLOOKUP(Rawdata!Q151,Int_rate_movements,2,TRUE)</f>
        <v>4.7500000000000001E-2</v>
      </c>
      <c r="T156" s="28">
        <f>S156+VLOOKUP(Rawdata!R151,Int_rate_movements,2,TRUE)</f>
        <v>4.7500000000000001E-2</v>
      </c>
      <c r="U156" s="28">
        <f>T156+VLOOKUP(Rawdata!S151,Int_rate_movements,2,TRUE)</f>
        <v>4.7500000000000001E-2</v>
      </c>
      <c r="V156" s="28">
        <f>U156+VLOOKUP(Rawdata!T151,Int_rate_movements,2,TRUE)</f>
        <v>4.7500000000000001E-2</v>
      </c>
      <c r="W156" s="28">
        <f>V156+VLOOKUP(Rawdata!U151,Int_rate_movements,2,TRUE)</f>
        <v>4.7500000000000001E-2</v>
      </c>
      <c r="X156" s="28">
        <f>W156+VLOOKUP(Rawdata!V151,Int_rate_movements,2,TRUE)</f>
        <v>4.7500000000000001E-2</v>
      </c>
      <c r="Y156" s="28">
        <f>X156+VLOOKUP(Rawdata!W151,Int_rate_movements,2,TRUE)</f>
        <v>4.7500000000000001E-2</v>
      </c>
      <c r="Z156" s="35">
        <f>Y156+VLOOKUP(Rawdata!X151,Int_rate_movements,2,TRUE)</f>
        <v>4.7500000000000001E-2</v>
      </c>
      <c r="AB156" s="55">
        <f t="shared" si="111"/>
        <v>4.4097712805242217E-2</v>
      </c>
      <c r="AC156" s="55">
        <f t="shared" si="112"/>
        <v>4.4097712805242217E-2</v>
      </c>
      <c r="AD156" s="55">
        <f t="shared" si="113"/>
        <v>4.4097712805242217E-2</v>
      </c>
      <c r="AE156" s="55">
        <f t="shared" si="114"/>
        <v>4.4097712805242217E-2</v>
      </c>
      <c r="AF156" s="55">
        <f t="shared" si="115"/>
        <v>4.4097712805242217E-2</v>
      </c>
      <c r="AG156" s="55">
        <f t="shared" si="116"/>
        <v>4.6496219905550085E-2</v>
      </c>
      <c r="AH156" s="55">
        <f t="shared" si="117"/>
        <v>4.6496219905550085E-2</v>
      </c>
      <c r="AI156" s="55">
        <f t="shared" si="118"/>
        <v>4.6496219905550085E-2</v>
      </c>
      <c r="AJ156" s="55">
        <f t="shared" si="119"/>
        <v>4.6496219905550085E-2</v>
      </c>
      <c r="AK156" s="55">
        <f t="shared" si="120"/>
        <v>4.6496219905550085E-2</v>
      </c>
      <c r="AL156" s="55">
        <f t="shared" si="121"/>
        <v>4.6496219905550085E-2</v>
      </c>
      <c r="AM156" s="55">
        <f t="shared" si="122"/>
        <v>5.1277533193896829E-2</v>
      </c>
      <c r="AN156" s="55">
        <f t="shared" si="123"/>
        <v>5.1277533193896829E-2</v>
      </c>
      <c r="AO156" s="55">
        <f t="shared" si="124"/>
        <v>4.6496219905550085E-2</v>
      </c>
      <c r="AP156" s="55">
        <f t="shared" si="125"/>
        <v>4.6496219905550085E-2</v>
      </c>
      <c r="AQ156" s="55">
        <f t="shared" si="126"/>
        <v>4.6496219905550085E-2</v>
      </c>
      <c r="AR156" s="55">
        <f t="shared" si="127"/>
        <v>4.6496219905550085E-2</v>
      </c>
      <c r="AS156" s="55">
        <f t="shared" si="128"/>
        <v>4.6496219905550085E-2</v>
      </c>
      <c r="AT156" s="55">
        <f t="shared" si="129"/>
        <v>4.6496219905550085E-2</v>
      </c>
      <c r="AU156" s="55">
        <f t="shared" si="130"/>
        <v>4.6496219905550085E-2</v>
      </c>
      <c r="AV156" s="55">
        <f t="shared" si="131"/>
        <v>4.6496219905550085E-2</v>
      </c>
      <c r="AW156" s="55">
        <f t="shared" si="132"/>
        <v>4.6496219905550085E-2</v>
      </c>
      <c r="AX156" s="55">
        <f t="shared" si="133"/>
        <v>4.6496219905550085E-2</v>
      </c>
      <c r="AY156" s="55">
        <f t="shared" si="134"/>
        <v>4.6496219905550085E-2</v>
      </c>
      <c r="AZ156" s="56">
        <f t="shared" si="135"/>
        <v>4.6496219905550085E-2</v>
      </c>
    </row>
    <row r="157" spans="1:52" x14ac:dyDescent="0.35">
      <c r="A157" s="5">
        <v>150</v>
      </c>
      <c r="B157" s="63">
        <f t="shared" si="110"/>
        <v>4.4999999999999998E-2</v>
      </c>
      <c r="C157" s="28">
        <f>B157+VLOOKUP(Rawdata!A152,Int_rate_movements,2,TRUE)</f>
        <v>4.4999999999999998E-2</v>
      </c>
      <c r="D157" s="28">
        <f>C157+VLOOKUP(Rawdata!B152,Int_rate_movements,2,TRUE)</f>
        <v>4.2499999999999996E-2</v>
      </c>
      <c r="E157" s="28">
        <f>D157+VLOOKUP(Rawdata!C152,Int_rate_movements,2,TRUE)</f>
        <v>4.2499999999999996E-2</v>
      </c>
      <c r="F157" s="28">
        <f>E157+VLOOKUP(Rawdata!D152,Int_rate_movements,2,TRUE)</f>
        <v>4.2499999999999996E-2</v>
      </c>
      <c r="G157" s="28">
        <f>F157+VLOOKUP(Rawdata!E152,Int_rate_movements,2,TRUE)</f>
        <v>4.2499999999999996E-2</v>
      </c>
      <c r="H157" s="28">
        <f>G157+VLOOKUP(Rawdata!F152,Int_rate_movements,2,TRUE)</f>
        <v>4.4999999999999998E-2</v>
      </c>
      <c r="I157" s="28">
        <f>H157+VLOOKUP(Rawdata!G152,Int_rate_movements,2,TRUE)</f>
        <v>4.4999999999999998E-2</v>
      </c>
      <c r="J157" s="28">
        <f>I157+VLOOKUP(Rawdata!H152,Int_rate_movements,2,TRUE)</f>
        <v>4.4999999999999998E-2</v>
      </c>
      <c r="K157" s="28">
        <f>J157+VLOOKUP(Rawdata!I152,Int_rate_movements,2,TRUE)</f>
        <v>4.4999999999999998E-2</v>
      </c>
      <c r="L157" s="28">
        <f>K157+VLOOKUP(Rawdata!J152,Int_rate_movements,2,TRUE)</f>
        <v>4.4999999999999998E-2</v>
      </c>
      <c r="M157" s="28">
        <f>L157+VLOOKUP(Rawdata!K152,Int_rate_movements,2,TRUE)</f>
        <v>4.4999999999999998E-2</v>
      </c>
      <c r="N157" s="28">
        <f>M157+VLOOKUP(Rawdata!L152,Int_rate_movements,2,TRUE)</f>
        <v>4.4999999999999998E-2</v>
      </c>
      <c r="O157" s="28">
        <f>N157+VLOOKUP(Rawdata!M152,Int_rate_movements,2,TRUE)</f>
        <v>4.4999999999999998E-2</v>
      </c>
      <c r="P157" s="28">
        <f>O157+VLOOKUP(Rawdata!N152,Int_rate_movements,2,TRUE)</f>
        <v>4.9999999999999996E-2</v>
      </c>
      <c r="Q157" s="28">
        <f>P157+VLOOKUP(Rawdata!O152,Int_rate_movements,2,TRUE)</f>
        <v>4.9999999999999996E-2</v>
      </c>
      <c r="R157" s="28">
        <f>Q157+VLOOKUP(Rawdata!P152,Int_rate_movements,2,TRUE)</f>
        <v>4.9999999999999996E-2</v>
      </c>
      <c r="S157" s="28">
        <f>R157+VLOOKUP(Rawdata!Q152,Int_rate_movements,2,TRUE)</f>
        <v>4.9999999999999996E-2</v>
      </c>
      <c r="T157" s="28">
        <f>S157+VLOOKUP(Rawdata!R152,Int_rate_movements,2,TRUE)</f>
        <v>4.9999999999999996E-2</v>
      </c>
      <c r="U157" s="28">
        <f>T157+VLOOKUP(Rawdata!S152,Int_rate_movements,2,TRUE)</f>
        <v>4.9999999999999996E-2</v>
      </c>
      <c r="V157" s="28">
        <f>U157+VLOOKUP(Rawdata!T152,Int_rate_movements,2,TRUE)</f>
        <v>4.9999999999999996E-2</v>
      </c>
      <c r="W157" s="28">
        <f>V157+VLOOKUP(Rawdata!U152,Int_rate_movements,2,TRUE)</f>
        <v>4.9999999999999996E-2</v>
      </c>
      <c r="X157" s="28">
        <f>W157+VLOOKUP(Rawdata!V152,Int_rate_movements,2,TRUE)</f>
        <v>4.9999999999999996E-2</v>
      </c>
      <c r="Y157" s="28">
        <f>X157+VLOOKUP(Rawdata!W152,Int_rate_movements,2,TRUE)</f>
        <v>4.9999999999999996E-2</v>
      </c>
      <c r="Z157" s="35">
        <f>Y157+VLOOKUP(Rawdata!X152,Int_rate_movements,2,TRUE)</f>
        <v>4.4999999999999998E-2</v>
      </c>
      <c r="AB157" s="55">
        <f t="shared" si="111"/>
        <v>4.4097712805242217E-2</v>
      </c>
      <c r="AC157" s="55">
        <f t="shared" si="112"/>
        <v>4.4097712805242217E-2</v>
      </c>
      <c r="AD157" s="55">
        <f t="shared" si="113"/>
        <v>4.1693940041970023E-2</v>
      </c>
      <c r="AE157" s="55">
        <f t="shared" si="114"/>
        <v>4.1693940041970023E-2</v>
      </c>
      <c r="AF157" s="55">
        <f t="shared" si="115"/>
        <v>4.1693940041970023E-2</v>
      </c>
      <c r="AG157" s="55">
        <f t="shared" si="116"/>
        <v>4.1693940041970023E-2</v>
      </c>
      <c r="AH157" s="55">
        <f t="shared" si="117"/>
        <v>4.4097712805242217E-2</v>
      </c>
      <c r="AI157" s="55">
        <f t="shared" si="118"/>
        <v>4.4097712805242217E-2</v>
      </c>
      <c r="AJ157" s="55">
        <f t="shared" si="119"/>
        <v>4.4097712805242217E-2</v>
      </c>
      <c r="AK157" s="55">
        <f t="shared" si="120"/>
        <v>4.4097712805242217E-2</v>
      </c>
      <c r="AL157" s="55">
        <f t="shared" si="121"/>
        <v>4.4097712805242217E-2</v>
      </c>
      <c r="AM157" s="55">
        <f t="shared" si="122"/>
        <v>4.4097712805242217E-2</v>
      </c>
      <c r="AN157" s="55">
        <f t="shared" si="123"/>
        <v>4.4097712805242217E-2</v>
      </c>
      <c r="AO157" s="55">
        <f t="shared" si="124"/>
        <v>4.4097712805242217E-2</v>
      </c>
      <c r="AP157" s="55">
        <f t="shared" si="125"/>
        <v>4.8889485403780242E-2</v>
      </c>
      <c r="AQ157" s="55">
        <f t="shared" si="126"/>
        <v>4.8889485403780242E-2</v>
      </c>
      <c r="AR157" s="55">
        <f t="shared" si="127"/>
        <v>4.8889485403780242E-2</v>
      </c>
      <c r="AS157" s="55">
        <f t="shared" si="128"/>
        <v>4.8889485403780242E-2</v>
      </c>
      <c r="AT157" s="55">
        <f t="shared" si="129"/>
        <v>4.8889485403780242E-2</v>
      </c>
      <c r="AU157" s="55">
        <f t="shared" si="130"/>
        <v>4.8889485403780242E-2</v>
      </c>
      <c r="AV157" s="55">
        <f t="shared" si="131"/>
        <v>4.8889485403780242E-2</v>
      </c>
      <c r="AW157" s="55">
        <f t="shared" si="132"/>
        <v>4.8889485403780242E-2</v>
      </c>
      <c r="AX157" s="55">
        <f t="shared" si="133"/>
        <v>4.8889485403780242E-2</v>
      </c>
      <c r="AY157" s="55">
        <f t="shared" si="134"/>
        <v>4.8889485403780242E-2</v>
      </c>
      <c r="AZ157" s="56">
        <f t="shared" si="135"/>
        <v>4.4097712805242217E-2</v>
      </c>
    </row>
    <row r="158" spans="1:52" x14ac:dyDescent="0.35">
      <c r="A158" s="27">
        <v>151</v>
      </c>
      <c r="B158" s="63">
        <f t="shared" si="110"/>
        <v>4.4999999999999998E-2</v>
      </c>
      <c r="C158" s="28">
        <f>B158+VLOOKUP(Rawdata!A153,Int_rate_movements,2,TRUE)</f>
        <v>4.7500000000000001E-2</v>
      </c>
      <c r="D158" s="28">
        <f>C158+VLOOKUP(Rawdata!B153,Int_rate_movements,2,TRUE)</f>
        <v>4.7500000000000001E-2</v>
      </c>
      <c r="E158" s="28">
        <f>D158+VLOOKUP(Rawdata!C153,Int_rate_movements,2,TRUE)</f>
        <v>4.7500000000000001E-2</v>
      </c>
      <c r="F158" s="28">
        <f>E158+VLOOKUP(Rawdata!D153,Int_rate_movements,2,TRUE)</f>
        <v>0.05</v>
      </c>
      <c r="G158" s="28">
        <f>F158+VLOOKUP(Rawdata!E153,Int_rate_movements,2,TRUE)</f>
        <v>0.05</v>
      </c>
      <c r="H158" s="28">
        <f>G158+VLOOKUP(Rawdata!F153,Int_rate_movements,2,TRUE)</f>
        <v>0.05</v>
      </c>
      <c r="I158" s="28">
        <f>H158+VLOOKUP(Rawdata!G153,Int_rate_movements,2,TRUE)</f>
        <v>5.2500000000000005E-2</v>
      </c>
      <c r="J158" s="28">
        <f>I158+VLOOKUP(Rawdata!H153,Int_rate_movements,2,TRUE)</f>
        <v>5.2500000000000005E-2</v>
      </c>
      <c r="K158" s="28">
        <f>J158+VLOOKUP(Rawdata!I153,Int_rate_movements,2,TRUE)</f>
        <v>5.2500000000000005E-2</v>
      </c>
      <c r="L158" s="28">
        <f>K158+VLOOKUP(Rawdata!J153,Int_rate_movements,2,TRUE)</f>
        <v>5.2500000000000005E-2</v>
      </c>
      <c r="M158" s="28">
        <f>L158+VLOOKUP(Rawdata!K153,Int_rate_movements,2,TRUE)</f>
        <v>5.2500000000000005E-2</v>
      </c>
      <c r="N158" s="28">
        <f>M158+VLOOKUP(Rawdata!L153,Int_rate_movements,2,TRUE)</f>
        <v>5.2500000000000005E-2</v>
      </c>
      <c r="O158" s="28">
        <f>N158+VLOOKUP(Rawdata!M153,Int_rate_movements,2,TRUE)</f>
        <v>5.2500000000000005E-2</v>
      </c>
      <c r="P158" s="28">
        <f>O158+VLOOKUP(Rawdata!N153,Int_rate_movements,2,TRUE)</f>
        <v>5.2500000000000005E-2</v>
      </c>
      <c r="Q158" s="28">
        <f>P158+VLOOKUP(Rawdata!O153,Int_rate_movements,2,TRUE)</f>
        <v>5.2500000000000005E-2</v>
      </c>
      <c r="R158" s="28">
        <f>Q158+VLOOKUP(Rawdata!P153,Int_rate_movements,2,TRUE)</f>
        <v>5.2500000000000005E-2</v>
      </c>
      <c r="S158" s="28">
        <f>R158+VLOOKUP(Rawdata!Q153,Int_rate_movements,2,TRUE)</f>
        <v>0.05</v>
      </c>
      <c r="T158" s="28">
        <f>S158+VLOOKUP(Rawdata!R153,Int_rate_movements,2,TRUE)</f>
        <v>0.05</v>
      </c>
      <c r="U158" s="28">
        <f>T158+VLOOKUP(Rawdata!S153,Int_rate_movements,2,TRUE)</f>
        <v>0.05</v>
      </c>
      <c r="V158" s="28">
        <f>U158+VLOOKUP(Rawdata!T153,Int_rate_movements,2,TRUE)</f>
        <v>0.05</v>
      </c>
      <c r="W158" s="28">
        <f>V158+VLOOKUP(Rawdata!U153,Int_rate_movements,2,TRUE)</f>
        <v>0.05</v>
      </c>
      <c r="X158" s="28">
        <f>W158+VLOOKUP(Rawdata!V153,Int_rate_movements,2,TRUE)</f>
        <v>4.5000000000000005E-2</v>
      </c>
      <c r="Y158" s="28">
        <f>X158+VLOOKUP(Rawdata!W153,Int_rate_movements,2,TRUE)</f>
        <v>4.5000000000000005E-2</v>
      </c>
      <c r="Z158" s="35">
        <f>Y158+VLOOKUP(Rawdata!X153,Int_rate_movements,2,TRUE)</f>
        <v>4.5000000000000005E-2</v>
      </c>
      <c r="AB158" s="55">
        <f t="shared" si="111"/>
        <v>4.4097712805242217E-2</v>
      </c>
      <c r="AC158" s="55">
        <f t="shared" si="112"/>
        <v>4.6496219905550085E-2</v>
      </c>
      <c r="AD158" s="55">
        <f t="shared" si="113"/>
        <v>4.6496219905550085E-2</v>
      </c>
      <c r="AE158" s="55">
        <f t="shared" si="114"/>
        <v>4.6496219905550085E-2</v>
      </c>
      <c r="AF158" s="55">
        <f t="shared" si="115"/>
        <v>4.8889485403780242E-2</v>
      </c>
      <c r="AG158" s="55">
        <f t="shared" si="116"/>
        <v>4.8889485403780242E-2</v>
      </c>
      <c r="AH158" s="55">
        <f t="shared" si="117"/>
        <v>4.8889485403780242E-2</v>
      </c>
      <c r="AI158" s="55">
        <f t="shared" si="118"/>
        <v>5.1277533193896829E-2</v>
      </c>
      <c r="AJ158" s="55">
        <f t="shared" si="119"/>
        <v>5.1277533193896829E-2</v>
      </c>
      <c r="AK158" s="55">
        <f t="shared" si="120"/>
        <v>5.1277533193896829E-2</v>
      </c>
      <c r="AL158" s="55">
        <f t="shared" si="121"/>
        <v>5.1277533193896829E-2</v>
      </c>
      <c r="AM158" s="55">
        <f t="shared" si="122"/>
        <v>5.1277533193896829E-2</v>
      </c>
      <c r="AN158" s="55">
        <f t="shared" si="123"/>
        <v>5.1277533193896829E-2</v>
      </c>
      <c r="AO158" s="55">
        <f t="shared" si="124"/>
        <v>5.1277533193896829E-2</v>
      </c>
      <c r="AP158" s="55">
        <f t="shared" si="125"/>
        <v>5.1277533193896829E-2</v>
      </c>
      <c r="AQ158" s="55">
        <f t="shared" si="126"/>
        <v>5.1277533193896829E-2</v>
      </c>
      <c r="AR158" s="55">
        <f t="shared" si="127"/>
        <v>5.1277533193896829E-2</v>
      </c>
      <c r="AS158" s="55">
        <f t="shared" si="128"/>
        <v>4.8889485403780242E-2</v>
      </c>
      <c r="AT158" s="55">
        <f t="shared" si="129"/>
        <v>4.8889485403780242E-2</v>
      </c>
      <c r="AU158" s="55">
        <f t="shared" si="130"/>
        <v>4.8889485403780242E-2</v>
      </c>
      <c r="AV158" s="55">
        <f t="shared" si="131"/>
        <v>4.8889485403780242E-2</v>
      </c>
      <c r="AW158" s="55">
        <f t="shared" si="132"/>
        <v>4.8889485403780242E-2</v>
      </c>
      <c r="AX158" s="55">
        <f t="shared" si="133"/>
        <v>4.4097712805242217E-2</v>
      </c>
      <c r="AY158" s="55">
        <f t="shared" si="134"/>
        <v>4.4097712805242217E-2</v>
      </c>
      <c r="AZ158" s="56">
        <f t="shared" si="135"/>
        <v>4.4097712805242217E-2</v>
      </c>
    </row>
    <row r="159" spans="1:52" x14ac:dyDescent="0.35">
      <c r="A159" s="5">
        <v>152</v>
      </c>
      <c r="B159" s="63">
        <f t="shared" si="110"/>
        <v>4.4999999999999998E-2</v>
      </c>
      <c r="C159" s="28">
        <f>B159+VLOOKUP(Rawdata!A154,Int_rate_movements,2,TRUE)</f>
        <v>4.4999999999999998E-2</v>
      </c>
      <c r="D159" s="28">
        <f>C159+VLOOKUP(Rawdata!B154,Int_rate_movements,2,TRUE)</f>
        <v>4.4999999999999998E-2</v>
      </c>
      <c r="E159" s="28">
        <f>D159+VLOOKUP(Rawdata!C154,Int_rate_movements,2,TRUE)</f>
        <v>4.4999999999999998E-2</v>
      </c>
      <c r="F159" s="28">
        <f>E159+VLOOKUP(Rawdata!D154,Int_rate_movements,2,TRUE)</f>
        <v>4.4999999999999998E-2</v>
      </c>
      <c r="G159" s="28">
        <f>F159+VLOOKUP(Rawdata!E154,Int_rate_movements,2,TRUE)</f>
        <v>4.4999999999999998E-2</v>
      </c>
      <c r="H159" s="28">
        <f>G159+VLOOKUP(Rawdata!F154,Int_rate_movements,2,TRUE)</f>
        <v>4.4999999999999998E-2</v>
      </c>
      <c r="I159" s="28">
        <f>H159+VLOOKUP(Rawdata!G154,Int_rate_movements,2,TRUE)</f>
        <v>4.4999999999999998E-2</v>
      </c>
      <c r="J159" s="28">
        <f>I159+VLOOKUP(Rawdata!H154,Int_rate_movements,2,TRUE)</f>
        <v>4.4999999999999998E-2</v>
      </c>
      <c r="K159" s="28">
        <f>J159+VLOOKUP(Rawdata!I154,Int_rate_movements,2,TRUE)</f>
        <v>4.4999999999999998E-2</v>
      </c>
      <c r="L159" s="28">
        <f>K159+VLOOKUP(Rawdata!J154,Int_rate_movements,2,TRUE)</f>
        <v>4.4999999999999998E-2</v>
      </c>
      <c r="M159" s="28">
        <f>L159+VLOOKUP(Rawdata!K154,Int_rate_movements,2,TRUE)</f>
        <v>4.9999999999999996E-2</v>
      </c>
      <c r="N159" s="28">
        <f>M159+VLOOKUP(Rawdata!L154,Int_rate_movements,2,TRUE)</f>
        <v>4.9999999999999996E-2</v>
      </c>
      <c r="O159" s="28">
        <f>N159+VLOOKUP(Rawdata!M154,Int_rate_movements,2,TRUE)</f>
        <v>4.9999999999999996E-2</v>
      </c>
      <c r="P159" s="28">
        <f>O159+VLOOKUP(Rawdata!N154,Int_rate_movements,2,TRUE)</f>
        <v>4.9999999999999996E-2</v>
      </c>
      <c r="Q159" s="28">
        <f>P159+VLOOKUP(Rawdata!O154,Int_rate_movements,2,TRUE)</f>
        <v>5.2499999999999998E-2</v>
      </c>
      <c r="R159" s="28">
        <f>Q159+VLOOKUP(Rawdata!P154,Int_rate_movements,2,TRUE)</f>
        <v>5.2499999999999998E-2</v>
      </c>
      <c r="S159" s="28">
        <f>R159+VLOOKUP(Rawdata!Q154,Int_rate_movements,2,TRUE)</f>
        <v>5.2499999999999998E-2</v>
      </c>
      <c r="T159" s="28">
        <f>S159+VLOOKUP(Rawdata!R154,Int_rate_movements,2,TRUE)</f>
        <v>5.2499999999999998E-2</v>
      </c>
      <c r="U159" s="28">
        <f>T159+VLOOKUP(Rawdata!S154,Int_rate_movements,2,TRUE)</f>
        <v>5.2499999999999998E-2</v>
      </c>
      <c r="V159" s="28">
        <f>U159+VLOOKUP(Rawdata!T154,Int_rate_movements,2,TRUE)</f>
        <v>5.2499999999999998E-2</v>
      </c>
      <c r="W159" s="28">
        <f>V159+VLOOKUP(Rawdata!U154,Int_rate_movements,2,TRUE)</f>
        <v>4.9999999999999996E-2</v>
      </c>
      <c r="X159" s="28">
        <f>W159+VLOOKUP(Rawdata!V154,Int_rate_movements,2,TRUE)</f>
        <v>4.9999999999999996E-2</v>
      </c>
      <c r="Y159" s="28">
        <f>X159+VLOOKUP(Rawdata!W154,Int_rate_movements,2,TRUE)</f>
        <v>4.9999999999999996E-2</v>
      </c>
      <c r="Z159" s="35">
        <f>Y159+VLOOKUP(Rawdata!X154,Int_rate_movements,2,TRUE)</f>
        <v>4.9999999999999996E-2</v>
      </c>
      <c r="AB159" s="55">
        <f t="shared" si="111"/>
        <v>4.4097712805242217E-2</v>
      </c>
      <c r="AC159" s="55">
        <f t="shared" si="112"/>
        <v>4.4097712805242217E-2</v>
      </c>
      <c r="AD159" s="55">
        <f t="shared" si="113"/>
        <v>4.4097712805242217E-2</v>
      </c>
      <c r="AE159" s="55">
        <f t="shared" si="114"/>
        <v>4.4097712805242217E-2</v>
      </c>
      <c r="AF159" s="55">
        <f t="shared" si="115"/>
        <v>4.4097712805242217E-2</v>
      </c>
      <c r="AG159" s="55">
        <f t="shared" si="116"/>
        <v>4.4097712805242217E-2</v>
      </c>
      <c r="AH159" s="55">
        <f t="shared" si="117"/>
        <v>4.4097712805242217E-2</v>
      </c>
      <c r="AI159" s="55">
        <f t="shared" si="118"/>
        <v>4.4097712805242217E-2</v>
      </c>
      <c r="AJ159" s="55">
        <f t="shared" si="119"/>
        <v>4.4097712805242217E-2</v>
      </c>
      <c r="AK159" s="55">
        <f t="shared" si="120"/>
        <v>4.4097712805242217E-2</v>
      </c>
      <c r="AL159" s="55">
        <f t="shared" si="121"/>
        <v>4.4097712805242217E-2</v>
      </c>
      <c r="AM159" s="55">
        <f t="shared" si="122"/>
        <v>4.8889485403780242E-2</v>
      </c>
      <c r="AN159" s="55">
        <f t="shared" si="123"/>
        <v>4.8889485403780242E-2</v>
      </c>
      <c r="AO159" s="55">
        <f t="shared" si="124"/>
        <v>4.8889485403780242E-2</v>
      </c>
      <c r="AP159" s="55">
        <f t="shared" si="125"/>
        <v>4.8889485403780242E-2</v>
      </c>
      <c r="AQ159" s="55">
        <f t="shared" si="126"/>
        <v>5.1277533193896829E-2</v>
      </c>
      <c r="AR159" s="55">
        <f t="shared" si="127"/>
        <v>5.1277533193896829E-2</v>
      </c>
      <c r="AS159" s="55">
        <f t="shared" si="128"/>
        <v>5.1277533193896829E-2</v>
      </c>
      <c r="AT159" s="55">
        <f t="shared" si="129"/>
        <v>5.1277533193896829E-2</v>
      </c>
      <c r="AU159" s="55">
        <f t="shared" si="130"/>
        <v>5.1277533193896829E-2</v>
      </c>
      <c r="AV159" s="55">
        <f t="shared" si="131"/>
        <v>5.1277533193896829E-2</v>
      </c>
      <c r="AW159" s="55">
        <f t="shared" si="132"/>
        <v>4.8889485403780242E-2</v>
      </c>
      <c r="AX159" s="55">
        <f t="shared" si="133"/>
        <v>4.8889485403780242E-2</v>
      </c>
      <c r="AY159" s="55">
        <f t="shared" si="134"/>
        <v>4.8889485403780242E-2</v>
      </c>
      <c r="AZ159" s="56">
        <f t="shared" si="135"/>
        <v>4.8889485403780242E-2</v>
      </c>
    </row>
    <row r="160" spans="1:52" x14ac:dyDescent="0.35">
      <c r="A160" s="27">
        <v>153</v>
      </c>
      <c r="B160" s="63">
        <f t="shared" si="110"/>
        <v>4.4999999999999998E-2</v>
      </c>
      <c r="C160" s="28">
        <f>B160+VLOOKUP(Rawdata!A155,Int_rate_movements,2,TRUE)</f>
        <v>4.4999999999999998E-2</v>
      </c>
      <c r="D160" s="28">
        <f>C160+VLOOKUP(Rawdata!B155,Int_rate_movements,2,TRUE)</f>
        <v>4.4999999999999998E-2</v>
      </c>
      <c r="E160" s="28">
        <f>D160+VLOOKUP(Rawdata!C155,Int_rate_movements,2,TRUE)</f>
        <v>4.7500000000000001E-2</v>
      </c>
      <c r="F160" s="28">
        <f>E160+VLOOKUP(Rawdata!D155,Int_rate_movements,2,TRUE)</f>
        <v>4.4999999999999998E-2</v>
      </c>
      <c r="G160" s="28">
        <f>F160+VLOOKUP(Rawdata!E155,Int_rate_movements,2,TRUE)</f>
        <v>4.4999999999999998E-2</v>
      </c>
      <c r="H160" s="28">
        <f>G160+VLOOKUP(Rawdata!F155,Int_rate_movements,2,TRUE)</f>
        <v>4.7500000000000001E-2</v>
      </c>
      <c r="I160" s="28">
        <f>H160+VLOOKUP(Rawdata!G155,Int_rate_movements,2,TRUE)</f>
        <v>4.7500000000000001E-2</v>
      </c>
      <c r="J160" s="28">
        <f>I160+VLOOKUP(Rawdata!H155,Int_rate_movements,2,TRUE)</f>
        <v>4.2500000000000003E-2</v>
      </c>
      <c r="K160" s="28">
        <f>J160+VLOOKUP(Rawdata!I155,Int_rate_movements,2,TRUE)</f>
        <v>4.2500000000000003E-2</v>
      </c>
      <c r="L160" s="28">
        <f>K160+VLOOKUP(Rawdata!J155,Int_rate_movements,2,TRUE)</f>
        <v>4.2500000000000003E-2</v>
      </c>
      <c r="M160" s="28">
        <f>L160+VLOOKUP(Rawdata!K155,Int_rate_movements,2,TRUE)</f>
        <v>4.2500000000000003E-2</v>
      </c>
      <c r="N160" s="28">
        <f>M160+VLOOKUP(Rawdata!L155,Int_rate_movements,2,TRUE)</f>
        <v>4.2500000000000003E-2</v>
      </c>
      <c r="O160" s="28">
        <f>N160+VLOOKUP(Rawdata!M155,Int_rate_movements,2,TRUE)</f>
        <v>4.2500000000000003E-2</v>
      </c>
      <c r="P160" s="28">
        <f>O160+VLOOKUP(Rawdata!N155,Int_rate_movements,2,TRUE)</f>
        <v>0.04</v>
      </c>
      <c r="Q160" s="28">
        <f>P160+VLOOKUP(Rawdata!O155,Int_rate_movements,2,TRUE)</f>
        <v>0.04</v>
      </c>
      <c r="R160" s="28">
        <f>Q160+VLOOKUP(Rawdata!P155,Int_rate_movements,2,TRUE)</f>
        <v>0.04</v>
      </c>
      <c r="S160" s="28">
        <f>R160+VLOOKUP(Rawdata!Q155,Int_rate_movements,2,TRUE)</f>
        <v>0.04</v>
      </c>
      <c r="T160" s="28">
        <f>S160+VLOOKUP(Rawdata!R155,Int_rate_movements,2,TRUE)</f>
        <v>0.04</v>
      </c>
      <c r="U160" s="28">
        <f>T160+VLOOKUP(Rawdata!S155,Int_rate_movements,2,TRUE)</f>
        <v>0.04</v>
      </c>
      <c r="V160" s="28">
        <f>U160+VLOOKUP(Rawdata!T155,Int_rate_movements,2,TRUE)</f>
        <v>0.04</v>
      </c>
      <c r="W160" s="28">
        <f>V160+VLOOKUP(Rawdata!U155,Int_rate_movements,2,TRUE)</f>
        <v>0.04</v>
      </c>
      <c r="X160" s="28">
        <f>W160+VLOOKUP(Rawdata!V155,Int_rate_movements,2,TRUE)</f>
        <v>0.04</v>
      </c>
      <c r="Y160" s="28">
        <f>X160+VLOOKUP(Rawdata!W155,Int_rate_movements,2,TRUE)</f>
        <v>0.04</v>
      </c>
      <c r="Z160" s="35">
        <f>Y160+VLOOKUP(Rawdata!X155,Int_rate_movements,2,TRUE)</f>
        <v>0.04</v>
      </c>
      <c r="AB160" s="55">
        <f t="shared" si="111"/>
        <v>4.4097712805242217E-2</v>
      </c>
      <c r="AC160" s="55">
        <f t="shared" si="112"/>
        <v>4.4097712805242217E-2</v>
      </c>
      <c r="AD160" s="55">
        <f t="shared" si="113"/>
        <v>4.4097712805242217E-2</v>
      </c>
      <c r="AE160" s="55">
        <f t="shared" si="114"/>
        <v>4.6496219905550085E-2</v>
      </c>
      <c r="AF160" s="55">
        <f t="shared" si="115"/>
        <v>4.4097712805242217E-2</v>
      </c>
      <c r="AG160" s="55">
        <f t="shared" si="116"/>
        <v>4.4097712805242217E-2</v>
      </c>
      <c r="AH160" s="55">
        <f t="shared" si="117"/>
        <v>4.6496219905550085E-2</v>
      </c>
      <c r="AI160" s="55">
        <f t="shared" si="118"/>
        <v>4.6496219905550085E-2</v>
      </c>
      <c r="AJ160" s="55">
        <f t="shared" si="119"/>
        <v>4.1693940041970023E-2</v>
      </c>
      <c r="AK160" s="55">
        <f t="shared" si="120"/>
        <v>4.1693940041970023E-2</v>
      </c>
      <c r="AL160" s="55">
        <f t="shared" si="121"/>
        <v>4.1693940041970023E-2</v>
      </c>
      <c r="AM160" s="55">
        <f t="shared" si="122"/>
        <v>4.1693940041970023E-2</v>
      </c>
      <c r="AN160" s="55">
        <f t="shared" si="123"/>
        <v>4.1693940041970023E-2</v>
      </c>
      <c r="AO160" s="55">
        <f t="shared" si="124"/>
        <v>4.1693940041970023E-2</v>
      </c>
      <c r="AP160" s="55">
        <f t="shared" si="125"/>
        <v>3.9284877386386974E-2</v>
      </c>
      <c r="AQ160" s="55">
        <f t="shared" si="126"/>
        <v>3.9284877386386974E-2</v>
      </c>
      <c r="AR160" s="55">
        <f t="shared" si="127"/>
        <v>3.9284877386386974E-2</v>
      </c>
      <c r="AS160" s="55">
        <f t="shared" si="128"/>
        <v>3.9284877386386974E-2</v>
      </c>
      <c r="AT160" s="55">
        <f t="shared" si="129"/>
        <v>3.9284877386386974E-2</v>
      </c>
      <c r="AU160" s="55">
        <f t="shared" si="130"/>
        <v>3.9284877386386974E-2</v>
      </c>
      <c r="AV160" s="55">
        <f t="shared" si="131"/>
        <v>3.9284877386386974E-2</v>
      </c>
      <c r="AW160" s="55">
        <f t="shared" si="132"/>
        <v>3.9284877386386974E-2</v>
      </c>
      <c r="AX160" s="55">
        <f t="shared" si="133"/>
        <v>3.9284877386386974E-2</v>
      </c>
      <c r="AY160" s="55">
        <f t="shared" si="134"/>
        <v>3.9284877386386974E-2</v>
      </c>
      <c r="AZ160" s="56">
        <f t="shared" si="135"/>
        <v>3.9284877386386974E-2</v>
      </c>
    </row>
    <row r="161" spans="1:52" x14ac:dyDescent="0.35">
      <c r="A161" s="5">
        <v>154</v>
      </c>
      <c r="B161" s="63">
        <f t="shared" si="110"/>
        <v>4.4999999999999998E-2</v>
      </c>
      <c r="C161" s="28">
        <f>B161+VLOOKUP(Rawdata!A156,Int_rate_movements,2,TRUE)</f>
        <v>4.4999999999999998E-2</v>
      </c>
      <c r="D161" s="28">
        <f>C161+VLOOKUP(Rawdata!B156,Int_rate_movements,2,TRUE)</f>
        <v>4.4999999999999998E-2</v>
      </c>
      <c r="E161" s="28">
        <f>D161+VLOOKUP(Rawdata!C156,Int_rate_movements,2,TRUE)</f>
        <v>4.4999999999999998E-2</v>
      </c>
      <c r="F161" s="28">
        <f>E161+VLOOKUP(Rawdata!D156,Int_rate_movements,2,TRUE)</f>
        <v>4.4999999999999998E-2</v>
      </c>
      <c r="G161" s="28">
        <f>F161+VLOOKUP(Rawdata!E156,Int_rate_movements,2,TRUE)</f>
        <v>4.4999999999999998E-2</v>
      </c>
      <c r="H161" s="28">
        <f>G161+VLOOKUP(Rawdata!F156,Int_rate_movements,2,TRUE)</f>
        <v>4.4999999999999998E-2</v>
      </c>
      <c r="I161" s="28">
        <f>H161+VLOOKUP(Rawdata!G156,Int_rate_movements,2,TRUE)</f>
        <v>4.4999999999999998E-2</v>
      </c>
      <c r="J161" s="28">
        <f>I161+VLOOKUP(Rawdata!H156,Int_rate_movements,2,TRUE)</f>
        <v>4.4999999999999998E-2</v>
      </c>
      <c r="K161" s="28">
        <f>J161+VLOOKUP(Rawdata!I156,Int_rate_movements,2,TRUE)</f>
        <v>4.4999999999999998E-2</v>
      </c>
      <c r="L161" s="28">
        <f>K161+VLOOKUP(Rawdata!J156,Int_rate_movements,2,TRUE)</f>
        <v>4.4999999999999998E-2</v>
      </c>
      <c r="M161" s="28">
        <f>L161+VLOOKUP(Rawdata!K156,Int_rate_movements,2,TRUE)</f>
        <v>4.4999999999999998E-2</v>
      </c>
      <c r="N161" s="28">
        <f>M161+VLOOKUP(Rawdata!L156,Int_rate_movements,2,TRUE)</f>
        <v>4.4999999999999998E-2</v>
      </c>
      <c r="O161" s="28">
        <f>N161+VLOOKUP(Rawdata!M156,Int_rate_movements,2,TRUE)</f>
        <v>4.4999999999999998E-2</v>
      </c>
      <c r="P161" s="28">
        <f>O161+VLOOKUP(Rawdata!N156,Int_rate_movements,2,TRUE)</f>
        <v>4.4999999999999998E-2</v>
      </c>
      <c r="Q161" s="28">
        <f>P161+VLOOKUP(Rawdata!O156,Int_rate_movements,2,TRUE)</f>
        <v>4.4999999999999998E-2</v>
      </c>
      <c r="R161" s="28">
        <f>Q161+VLOOKUP(Rawdata!P156,Int_rate_movements,2,TRUE)</f>
        <v>4.4999999999999998E-2</v>
      </c>
      <c r="S161" s="28">
        <f>R161+VLOOKUP(Rawdata!Q156,Int_rate_movements,2,TRUE)</f>
        <v>4.4999999999999998E-2</v>
      </c>
      <c r="T161" s="28">
        <f>S161+VLOOKUP(Rawdata!R156,Int_rate_movements,2,TRUE)</f>
        <v>4.4999999999999998E-2</v>
      </c>
      <c r="U161" s="28">
        <f>T161+VLOOKUP(Rawdata!S156,Int_rate_movements,2,TRUE)</f>
        <v>4.4999999999999998E-2</v>
      </c>
      <c r="V161" s="28">
        <f>U161+VLOOKUP(Rawdata!T156,Int_rate_movements,2,TRUE)</f>
        <v>4.4999999999999998E-2</v>
      </c>
      <c r="W161" s="28">
        <f>V161+VLOOKUP(Rawdata!U156,Int_rate_movements,2,TRUE)</f>
        <v>4.4999999999999998E-2</v>
      </c>
      <c r="X161" s="28">
        <f>W161+VLOOKUP(Rawdata!V156,Int_rate_movements,2,TRUE)</f>
        <v>4.4999999999999998E-2</v>
      </c>
      <c r="Y161" s="28">
        <f>X161+VLOOKUP(Rawdata!W156,Int_rate_movements,2,TRUE)</f>
        <v>4.4999999999999998E-2</v>
      </c>
      <c r="Z161" s="35">
        <f>Y161+VLOOKUP(Rawdata!X156,Int_rate_movements,2,TRUE)</f>
        <v>4.4999999999999998E-2</v>
      </c>
      <c r="AB161" s="55">
        <f t="shared" si="111"/>
        <v>4.4097712805242217E-2</v>
      </c>
      <c r="AC161" s="55">
        <f t="shared" si="112"/>
        <v>4.4097712805242217E-2</v>
      </c>
      <c r="AD161" s="55">
        <f t="shared" si="113"/>
        <v>4.4097712805242217E-2</v>
      </c>
      <c r="AE161" s="55">
        <f t="shared" si="114"/>
        <v>4.4097712805242217E-2</v>
      </c>
      <c r="AF161" s="55">
        <f t="shared" si="115"/>
        <v>4.4097712805242217E-2</v>
      </c>
      <c r="AG161" s="55">
        <f t="shared" si="116"/>
        <v>4.4097712805242217E-2</v>
      </c>
      <c r="AH161" s="55">
        <f t="shared" si="117"/>
        <v>4.4097712805242217E-2</v>
      </c>
      <c r="AI161" s="55">
        <f t="shared" si="118"/>
        <v>4.4097712805242217E-2</v>
      </c>
      <c r="AJ161" s="55">
        <f t="shared" si="119"/>
        <v>4.4097712805242217E-2</v>
      </c>
      <c r="AK161" s="55">
        <f t="shared" si="120"/>
        <v>4.4097712805242217E-2</v>
      </c>
      <c r="AL161" s="55">
        <f t="shared" si="121"/>
        <v>4.4097712805242217E-2</v>
      </c>
      <c r="AM161" s="55">
        <f t="shared" si="122"/>
        <v>4.4097712805242217E-2</v>
      </c>
      <c r="AN161" s="55">
        <f t="shared" si="123"/>
        <v>4.4097712805242217E-2</v>
      </c>
      <c r="AO161" s="55">
        <f t="shared" si="124"/>
        <v>4.4097712805242217E-2</v>
      </c>
      <c r="AP161" s="55">
        <f t="shared" si="125"/>
        <v>4.4097712805242217E-2</v>
      </c>
      <c r="AQ161" s="55">
        <f t="shared" si="126"/>
        <v>4.4097712805242217E-2</v>
      </c>
      <c r="AR161" s="55">
        <f t="shared" si="127"/>
        <v>4.4097712805242217E-2</v>
      </c>
      <c r="AS161" s="55">
        <f t="shared" si="128"/>
        <v>4.4097712805242217E-2</v>
      </c>
      <c r="AT161" s="55">
        <f t="shared" si="129"/>
        <v>4.4097712805242217E-2</v>
      </c>
      <c r="AU161" s="55">
        <f t="shared" si="130"/>
        <v>4.4097712805242217E-2</v>
      </c>
      <c r="AV161" s="55">
        <f t="shared" si="131"/>
        <v>4.4097712805242217E-2</v>
      </c>
      <c r="AW161" s="55">
        <f t="shared" si="132"/>
        <v>4.4097712805242217E-2</v>
      </c>
      <c r="AX161" s="55">
        <f t="shared" si="133"/>
        <v>4.4097712805242217E-2</v>
      </c>
      <c r="AY161" s="55">
        <f t="shared" si="134"/>
        <v>4.4097712805242217E-2</v>
      </c>
      <c r="AZ161" s="56">
        <f t="shared" si="135"/>
        <v>4.4097712805242217E-2</v>
      </c>
    </row>
    <row r="162" spans="1:52" x14ac:dyDescent="0.35">
      <c r="A162" s="27">
        <v>155</v>
      </c>
      <c r="B162" s="63">
        <f t="shared" si="110"/>
        <v>4.4999999999999998E-2</v>
      </c>
      <c r="C162" s="28">
        <f>B162+VLOOKUP(Rawdata!A157,Int_rate_movements,2,TRUE)</f>
        <v>4.4999999999999998E-2</v>
      </c>
      <c r="D162" s="28">
        <f>C162+VLOOKUP(Rawdata!B157,Int_rate_movements,2,TRUE)</f>
        <v>4.4999999999999998E-2</v>
      </c>
      <c r="E162" s="28">
        <f>D162+VLOOKUP(Rawdata!C157,Int_rate_movements,2,TRUE)</f>
        <v>4.4999999999999998E-2</v>
      </c>
      <c r="F162" s="28">
        <f>E162+VLOOKUP(Rawdata!D157,Int_rate_movements,2,TRUE)</f>
        <v>4.4999999999999998E-2</v>
      </c>
      <c r="G162" s="28">
        <f>F162+VLOOKUP(Rawdata!E157,Int_rate_movements,2,TRUE)</f>
        <v>4.9999999999999996E-2</v>
      </c>
      <c r="H162" s="28">
        <f>G162+VLOOKUP(Rawdata!F157,Int_rate_movements,2,TRUE)</f>
        <v>4.9999999999999996E-2</v>
      </c>
      <c r="I162" s="28">
        <f>H162+VLOOKUP(Rawdata!G157,Int_rate_movements,2,TRUE)</f>
        <v>4.9999999999999996E-2</v>
      </c>
      <c r="J162" s="28">
        <f>I162+VLOOKUP(Rawdata!H157,Int_rate_movements,2,TRUE)</f>
        <v>4.9999999999999996E-2</v>
      </c>
      <c r="K162" s="28">
        <f>J162+VLOOKUP(Rawdata!I157,Int_rate_movements,2,TRUE)</f>
        <v>4.9999999999999996E-2</v>
      </c>
      <c r="L162" s="28">
        <f>K162+VLOOKUP(Rawdata!J157,Int_rate_movements,2,TRUE)</f>
        <v>4.9999999999999996E-2</v>
      </c>
      <c r="M162" s="28">
        <f>L162+VLOOKUP(Rawdata!K157,Int_rate_movements,2,TRUE)</f>
        <v>5.2499999999999998E-2</v>
      </c>
      <c r="N162" s="28">
        <f>M162+VLOOKUP(Rawdata!L157,Int_rate_movements,2,TRUE)</f>
        <v>5.2499999999999998E-2</v>
      </c>
      <c r="O162" s="28">
        <f>N162+VLOOKUP(Rawdata!M157,Int_rate_movements,2,TRUE)</f>
        <v>5.2499999999999998E-2</v>
      </c>
      <c r="P162" s="28">
        <f>O162+VLOOKUP(Rawdata!N157,Int_rate_movements,2,TRUE)</f>
        <v>5.2499999999999998E-2</v>
      </c>
      <c r="Q162" s="28">
        <f>P162+VLOOKUP(Rawdata!O157,Int_rate_movements,2,TRUE)</f>
        <v>5.2499999999999998E-2</v>
      </c>
      <c r="R162" s="28">
        <f>Q162+VLOOKUP(Rawdata!P157,Int_rate_movements,2,TRUE)</f>
        <v>5.2499999999999998E-2</v>
      </c>
      <c r="S162" s="28">
        <f>R162+VLOOKUP(Rawdata!Q157,Int_rate_movements,2,TRUE)</f>
        <v>5.2499999999999998E-2</v>
      </c>
      <c r="T162" s="28">
        <f>S162+VLOOKUP(Rawdata!R157,Int_rate_movements,2,TRUE)</f>
        <v>5.2499999999999998E-2</v>
      </c>
      <c r="U162" s="28">
        <f>T162+VLOOKUP(Rawdata!S157,Int_rate_movements,2,TRUE)</f>
        <v>5.2499999999999998E-2</v>
      </c>
      <c r="V162" s="28">
        <f>U162+VLOOKUP(Rawdata!T157,Int_rate_movements,2,TRUE)</f>
        <v>5.2499999999999998E-2</v>
      </c>
      <c r="W162" s="28">
        <f>V162+VLOOKUP(Rawdata!U157,Int_rate_movements,2,TRUE)</f>
        <v>5.2499999999999998E-2</v>
      </c>
      <c r="X162" s="28">
        <f>W162+VLOOKUP(Rawdata!V157,Int_rate_movements,2,TRUE)</f>
        <v>5.2499999999999998E-2</v>
      </c>
      <c r="Y162" s="28">
        <f>X162+VLOOKUP(Rawdata!W157,Int_rate_movements,2,TRUE)</f>
        <v>5.7499999999999996E-2</v>
      </c>
      <c r="Z162" s="35">
        <f>Y162+VLOOKUP(Rawdata!X157,Int_rate_movements,2,TRUE)</f>
        <v>5.7499999999999996E-2</v>
      </c>
      <c r="AB162" s="55">
        <f t="shared" si="111"/>
        <v>4.4097712805242217E-2</v>
      </c>
      <c r="AC162" s="55">
        <f t="shared" si="112"/>
        <v>4.4097712805242217E-2</v>
      </c>
      <c r="AD162" s="55">
        <f t="shared" si="113"/>
        <v>4.4097712805242217E-2</v>
      </c>
      <c r="AE162" s="55">
        <f t="shared" si="114"/>
        <v>4.4097712805242217E-2</v>
      </c>
      <c r="AF162" s="55">
        <f t="shared" si="115"/>
        <v>4.4097712805242217E-2</v>
      </c>
      <c r="AG162" s="55">
        <f t="shared" si="116"/>
        <v>4.8889485403780242E-2</v>
      </c>
      <c r="AH162" s="55">
        <f t="shared" si="117"/>
        <v>4.8889485403780242E-2</v>
      </c>
      <c r="AI162" s="55">
        <f t="shared" si="118"/>
        <v>4.8889485403780242E-2</v>
      </c>
      <c r="AJ162" s="55">
        <f t="shared" si="119"/>
        <v>4.8889485403780242E-2</v>
      </c>
      <c r="AK162" s="55">
        <f t="shared" si="120"/>
        <v>4.8889485403780242E-2</v>
      </c>
      <c r="AL162" s="55">
        <f t="shared" si="121"/>
        <v>4.8889485403780242E-2</v>
      </c>
      <c r="AM162" s="55">
        <f t="shared" si="122"/>
        <v>5.1277533193896829E-2</v>
      </c>
      <c r="AN162" s="55">
        <f t="shared" si="123"/>
        <v>5.1277533193896829E-2</v>
      </c>
      <c r="AO162" s="55">
        <f t="shared" si="124"/>
        <v>5.1277533193896829E-2</v>
      </c>
      <c r="AP162" s="55">
        <f t="shared" si="125"/>
        <v>5.1277533193896829E-2</v>
      </c>
      <c r="AQ162" s="55">
        <f t="shared" si="126"/>
        <v>5.1277533193896829E-2</v>
      </c>
      <c r="AR162" s="55">
        <f t="shared" si="127"/>
        <v>5.1277533193896829E-2</v>
      </c>
      <c r="AS162" s="55">
        <f t="shared" si="128"/>
        <v>5.1277533193896829E-2</v>
      </c>
      <c r="AT162" s="55">
        <f t="shared" si="129"/>
        <v>5.1277533193896829E-2</v>
      </c>
      <c r="AU162" s="55">
        <f t="shared" si="130"/>
        <v>5.1277533193896829E-2</v>
      </c>
      <c r="AV162" s="55">
        <f t="shared" si="131"/>
        <v>5.1277533193896829E-2</v>
      </c>
      <c r="AW162" s="55">
        <f t="shared" si="132"/>
        <v>5.1277533193896829E-2</v>
      </c>
      <c r="AX162" s="55">
        <f t="shared" si="133"/>
        <v>5.1277533193896829E-2</v>
      </c>
      <c r="AY162" s="55">
        <f t="shared" si="134"/>
        <v>5.603807040042863E-2</v>
      </c>
      <c r="AZ162" s="56">
        <f t="shared" si="135"/>
        <v>5.603807040042863E-2</v>
      </c>
    </row>
    <row r="163" spans="1:52" x14ac:dyDescent="0.35">
      <c r="A163" s="5">
        <v>156</v>
      </c>
      <c r="B163" s="63">
        <f t="shared" si="110"/>
        <v>4.4999999999999998E-2</v>
      </c>
      <c r="C163" s="28">
        <f>B163+VLOOKUP(Rawdata!A158,Int_rate_movements,2,TRUE)</f>
        <v>4.4999999999999998E-2</v>
      </c>
      <c r="D163" s="28">
        <f>C163+VLOOKUP(Rawdata!B158,Int_rate_movements,2,TRUE)</f>
        <v>4.4999999999999998E-2</v>
      </c>
      <c r="E163" s="28">
        <f>D163+VLOOKUP(Rawdata!C158,Int_rate_movements,2,TRUE)</f>
        <v>4.4999999999999998E-2</v>
      </c>
      <c r="F163" s="28">
        <f>E163+VLOOKUP(Rawdata!D158,Int_rate_movements,2,TRUE)</f>
        <v>4.4999999999999998E-2</v>
      </c>
      <c r="G163" s="28">
        <f>F163+VLOOKUP(Rawdata!E158,Int_rate_movements,2,TRUE)</f>
        <v>4.4999999999999998E-2</v>
      </c>
      <c r="H163" s="28">
        <f>G163+VLOOKUP(Rawdata!F158,Int_rate_movements,2,TRUE)</f>
        <v>4.4999999999999998E-2</v>
      </c>
      <c r="I163" s="28">
        <f>H163+VLOOKUP(Rawdata!G158,Int_rate_movements,2,TRUE)</f>
        <v>4.4999999999999998E-2</v>
      </c>
      <c r="J163" s="28">
        <f>I163+VLOOKUP(Rawdata!H158,Int_rate_movements,2,TRUE)</f>
        <v>4.4999999999999998E-2</v>
      </c>
      <c r="K163" s="28">
        <f>J163+VLOOKUP(Rawdata!I158,Int_rate_movements,2,TRUE)</f>
        <v>4.4999999999999998E-2</v>
      </c>
      <c r="L163" s="28">
        <f>K163+VLOOKUP(Rawdata!J158,Int_rate_movements,2,TRUE)</f>
        <v>4.4999999999999998E-2</v>
      </c>
      <c r="M163" s="28">
        <f>L163+VLOOKUP(Rawdata!K158,Int_rate_movements,2,TRUE)</f>
        <v>4.4999999999999998E-2</v>
      </c>
      <c r="N163" s="28">
        <f>M163+VLOOKUP(Rawdata!L158,Int_rate_movements,2,TRUE)</f>
        <v>4.4999999999999998E-2</v>
      </c>
      <c r="O163" s="28">
        <f>N163+VLOOKUP(Rawdata!M158,Int_rate_movements,2,TRUE)</f>
        <v>4.4999999999999998E-2</v>
      </c>
      <c r="P163" s="28">
        <f>O163+VLOOKUP(Rawdata!N158,Int_rate_movements,2,TRUE)</f>
        <v>4.4999999999999998E-2</v>
      </c>
      <c r="Q163" s="28">
        <f>P163+VLOOKUP(Rawdata!O158,Int_rate_movements,2,TRUE)</f>
        <v>4.4999999999999998E-2</v>
      </c>
      <c r="R163" s="28">
        <f>Q163+VLOOKUP(Rawdata!P158,Int_rate_movements,2,TRUE)</f>
        <v>4.4999999999999998E-2</v>
      </c>
      <c r="S163" s="28">
        <f>R163+VLOOKUP(Rawdata!Q158,Int_rate_movements,2,TRUE)</f>
        <v>4.4999999999999998E-2</v>
      </c>
      <c r="T163" s="28">
        <f>S163+VLOOKUP(Rawdata!R158,Int_rate_movements,2,TRUE)</f>
        <v>4.4999999999999998E-2</v>
      </c>
      <c r="U163" s="28">
        <f>T163+VLOOKUP(Rawdata!S158,Int_rate_movements,2,TRUE)</f>
        <v>4.4999999999999998E-2</v>
      </c>
      <c r="V163" s="28">
        <f>U163+VLOOKUP(Rawdata!T158,Int_rate_movements,2,TRUE)</f>
        <v>4.4999999999999998E-2</v>
      </c>
      <c r="W163" s="28">
        <f>V163+VLOOKUP(Rawdata!U158,Int_rate_movements,2,TRUE)</f>
        <v>4.4999999999999998E-2</v>
      </c>
      <c r="X163" s="28">
        <f>W163+VLOOKUP(Rawdata!V158,Int_rate_movements,2,TRUE)</f>
        <v>4.4999999999999998E-2</v>
      </c>
      <c r="Y163" s="28">
        <f>X163+VLOOKUP(Rawdata!W158,Int_rate_movements,2,TRUE)</f>
        <v>4.4999999999999998E-2</v>
      </c>
      <c r="Z163" s="35">
        <f>Y163+VLOOKUP(Rawdata!X158,Int_rate_movements,2,TRUE)</f>
        <v>4.4999999999999998E-2</v>
      </c>
      <c r="AB163" s="55">
        <f t="shared" si="111"/>
        <v>4.4097712805242217E-2</v>
      </c>
      <c r="AC163" s="55">
        <f t="shared" si="112"/>
        <v>4.4097712805242217E-2</v>
      </c>
      <c r="AD163" s="55">
        <f t="shared" si="113"/>
        <v>4.4097712805242217E-2</v>
      </c>
      <c r="AE163" s="55">
        <f t="shared" si="114"/>
        <v>4.4097712805242217E-2</v>
      </c>
      <c r="AF163" s="55">
        <f t="shared" si="115"/>
        <v>4.4097712805242217E-2</v>
      </c>
      <c r="AG163" s="55">
        <f t="shared" si="116"/>
        <v>4.4097712805242217E-2</v>
      </c>
      <c r="AH163" s="55">
        <f t="shared" si="117"/>
        <v>4.4097712805242217E-2</v>
      </c>
      <c r="AI163" s="55">
        <f t="shared" si="118"/>
        <v>4.4097712805242217E-2</v>
      </c>
      <c r="AJ163" s="55">
        <f t="shared" si="119"/>
        <v>4.4097712805242217E-2</v>
      </c>
      <c r="AK163" s="55">
        <f t="shared" si="120"/>
        <v>4.4097712805242217E-2</v>
      </c>
      <c r="AL163" s="55">
        <f t="shared" si="121"/>
        <v>4.4097712805242217E-2</v>
      </c>
      <c r="AM163" s="55">
        <f t="shared" si="122"/>
        <v>4.4097712805242217E-2</v>
      </c>
      <c r="AN163" s="55">
        <f t="shared" si="123"/>
        <v>4.4097712805242217E-2</v>
      </c>
      <c r="AO163" s="55">
        <f t="shared" si="124"/>
        <v>4.4097712805242217E-2</v>
      </c>
      <c r="AP163" s="55">
        <f t="shared" si="125"/>
        <v>4.4097712805242217E-2</v>
      </c>
      <c r="AQ163" s="55">
        <f t="shared" si="126"/>
        <v>4.4097712805242217E-2</v>
      </c>
      <c r="AR163" s="55">
        <f t="shared" si="127"/>
        <v>4.4097712805242217E-2</v>
      </c>
      <c r="AS163" s="55">
        <f t="shared" si="128"/>
        <v>4.4097712805242217E-2</v>
      </c>
      <c r="AT163" s="55">
        <f t="shared" si="129"/>
        <v>4.4097712805242217E-2</v>
      </c>
      <c r="AU163" s="55">
        <f t="shared" si="130"/>
        <v>4.4097712805242217E-2</v>
      </c>
      <c r="AV163" s="55">
        <f t="shared" si="131"/>
        <v>4.4097712805242217E-2</v>
      </c>
      <c r="AW163" s="55">
        <f t="shared" si="132"/>
        <v>4.4097712805242217E-2</v>
      </c>
      <c r="AX163" s="55">
        <f t="shared" si="133"/>
        <v>4.4097712805242217E-2</v>
      </c>
      <c r="AY163" s="55">
        <f t="shared" si="134"/>
        <v>4.4097712805242217E-2</v>
      </c>
      <c r="AZ163" s="56">
        <f t="shared" si="135"/>
        <v>4.4097712805242217E-2</v>
      </c>
    </row>
    <row r="164" spans="1:52" x14ac:dyDescent="0.35">
      <c r="A164" s="27">
        <v>157</v>
      </c>
      <c r="B164" s="63">
        <f t="shared" si="110"/>
        <v>4.4999999999999998E-2</v>
      </c>
      <c r="C164" s="28">
        <f>B164+VLOOKUP(Rawdata!A159,Int_rate_movements,2,TRUE)</f>
        <v>4.4999999999999998E-2</v>
      </c>
      <c r="D164" s="28">
        <f>C164+VLOOKUP(Rawdata!B159,Int_rate_movements,2,TRUE)</f>
        <v>4.4999999999999998E-2</v>
      </c>
      <c r="E164" s="28">
        <f>D164+VLOOKUP(Rawdata!C159,Int_rate_movements,2,TRUE)</f>
        <v>4.4999999999999998E-2</v>
      </c>
      <c r="F164" s="28">
        <f>E164+VLOOKUP(Rawdata!D159,Int_rate_movements,2,TRUE)</f>
        <v>4.4999999999999998E-2</v>
      </c>
      <c r="G164" s="28">
        <f>F164+VLOOKUP(Rawdata!E159,Int_rate_movements,2,TRUE)</f>
        <v>4.4999999999999998E-2</v>
      </c>
      <c r="H164" s="28">
        <f>G164+VLOOKUP(Rawdata!F159,Int_rate_movements,2,TRUE)</f>
        <v>4.4999999999999998E-2</v>
      </c>
      <c r="I164" s="28">
        <f>H164+VLOOKUP(Rawdata!G159,Int_rate_movements,2,TRUE)</f>
        <v>4.4999999999999998E-2</v>
      </c>
      <c r="J164" s="28">
        <f>I164+VLOOKUP(Rawdata!H159,Int_rate_movements,2,TRUE)</f>
        <v>4.4999999999999998E-2</v>
      </c>
      <c r="K164" s="28">
        <f>J164+VLOOKUP(Rawdata!I159,Int_rate_movements,2,TRUE)</f>
        <v>4.2499999999999996E-2</v>
      </c>
      <c r="L164" s="28">
        <f>K164+VLOOKUP(Rawdata!J159,Int_rate_movements,2,TRUE)</f>
        <v>4.2499999999999996E-2</v>
      </c>
      <c r="M164" s="28">
        <f>L164+VLOOKUP(Rawdata!K159,Int_rate_movements,2,TRUE)</f>
        <v>4.2499999999999996E-2</v>
      </c>
      <c r="N164" s="28">
        <f>M164+VLOOKUP(Rawdata!L159,Int_rate_movements,2,TRUE)</f>
        <v>4.4999999999999998E-2</v>
      </c>
      <c r="O164" s="28">
        <f>N164+VLOOKUP(Rawdata!M159,Int_rate_movements,2,TRUE)</f>
        <v>4.4999999999999998E-2</v>
      </c>
      <c r="P164" s="28">
        <f>O164+VLOOKUP(Rawdata!N159,Int_rate_movements,2,TRUE)</f>
        <v>4.4999999999999998E-2</v>
      </c>
      <c r="Q164" s="28">
        <f>P164+VLOOKUP(Rawdata!O159,Int_rate_movements,2,TRUE)</f>
        <v>4.4999999999999998E-2</v>
      </c>
      <c r="R164" s="28">
        <f>Q164+VLOOKUP(Rawdata!P159,Int_rate_movements,2,TRUE)</f>
        <v>4.4999999999999998E-2</v>
      </c>
      <c r="S164" s="28">
        <f>R164+VLOOKUP(Rawdata!Q159,Int_rate_movements,2,TRUE)</f>
        <v>4.4999999999999998E-2</v>
      </c>
      <c r="T164" s="28">
        <f>S164+VLOOKUP(Rawdata!R159,Int_rate_movements,2,TRUE)</f>
        <v>4.4999999999999998E-2</v>
      </c>
      <c r="U164" s="28">
        <f>T164+VLOOKUP(Rawdata!S159,Int_rate_movements,2,TRUE)</f>
        <v>4.4999999999999998E-2</v>
      </c>
      <c r="V164" s="28">
        <f>U164+VLOOKUP(Rawdata!T159,Int_rate_movements,2,TRUE)</f>
        <v>4.4999999999999998E-2</v>
      </c>
      <c r="W164" s="28">
        <f>V164+VLOOKUP(Rawdata!U159,Int_rate_movements,2,TRUE)</f>
        <v>4.4999999999999998E-2</v>
      </c>
      <c r="X164" s="28">
        <f>W164+VLOOKUP(Rawdata!V159,Int_rate_movements,2,TRUE)</f>
        <v>4.4999999999999998E-2</v>
      </c>
      <c r="Y164" s="28">
        <f>X164+VLOOKUP(Rawdata!W159,Int_rate_movements,2,TRUE)</f>
        <v>4.4999999999999998E-2</v>
      </c>
      <c r="Z164" s="35">
        <f>Y164+VLOOKUP(Rawdata!X159,Int_rate_movements,2,TRUE)</f>
        <v>4.4999999999999998E-2</v>
      </c>
      <c r="AB164" s="55">
        <f t="shared" si="111"/>
        <v>4.4097712805242217E-2</v>
      </c>
      <c r="AC164" s="55">
        <f t="shared" si="112"/>
        <v>4.4097712805242217E-2</v>
      </c>
      <c r="AD164" s="55">
        <f t="shared" si="113"/>
        <v>4.4097712805242217E-2</v>
      </c>
      <c r="AE164" s="55">
        <f t="shared" si="114"/>
        <v>4.4097712805242217E-2</v>
      </c>
      <c r="AF164" s="55">
        <f t="shared" si="115"/>
        <v>4.4097712805242217E-2</v>
      </c>
      <c r="AG164" s="55">
        <f t="shared" si="116"/>
        <v>4.4097712805242217E-2</v>
      </c>
      <c r="AH164" s="55">
        <f t="shared" si="117"/>
        <v>4.4097712805242217E-2</v>
      </c>
      <c r="AI164" s="55">
        <f t="shared" si="118"/>
        <v>4.4097712805242217E-2</v>
      </c>
      <c r="AJ164" s="55">
        <f t="shared" si="119"/>
        <v>4.4097712805242217E-2</v>
      </c>
      <c r="AK164" s="55">
        <f t="shared" si="120"/>
        <v>4.1693940041970023E-2</v>
      </c>
      <c r="AL164" s="55">
        <f t="shared" si="121"/>
        <v>4.1693940041970023E-2</v>
      </c>
      <c r="AM164" s="55">
        <f t="shared" si="122"/>
        <v>4.1693940041970023E-2</v>
      </c>
      <c r="AN164" s="55">
        <f t="shared" si="123"/>
        <v>4.4097712805242217E-2</v>
      </c>
      <c r="AO164" s="55">
        <f t="shared" si="124"/>
        <v>4.4097712805242217E-2</v>
      </c>
      <c r="AP164" s="55">
        <f t="shared" si="125"/>
        <v>4.4097712805242217E-2</v>
      </c>
      <c r="AQ164" s="55">
        <f t="shared" si="126"/>
        <v>4.4097712805242217E-2</v>
      </c>
      <c r="AR164" s="55">
        <f t="shared" si="127"/>
        <v>4.4097712805242217E-2</v>
      </c>
      <c r="AS164" s="55">
        <f t="shared" si="128"/>
        <v>4.4097712805242217E-2</v>
      </c>
      <c r="AT164" s="55">
        <f t="shared" si="129"/>
        <v>4.4097712805242217E-2</v>
      </c>
      <c r="AU164" s="55">
        <f t="shared" si="130"/>
        <v>4.4097712805242217E-2</v>
      </c>
      <c r="AV164" s="55">
        <f t="shared" si="131"/>
        <v>4.4097712805242217E-2</v>
      </c>
      <c r="AW164" s="55">
        <f t="shared" si="132"/>
        <v>4.4097712805242217E-2</v>
      </c>
      <c r="AX164" s="55">
        <f t="shared" si="133"/>
        <v>4.4097712805242217E-2</v>
      </c>
      <c r="AY164" s="55">
        <f t="shared" si="134"/>
        <v>4.4097712805242217E-2</v>
      </c>
      <c r="AZ164" s="56">
        <f t="shared" si="135"/>
        <v>4.4097712805242217E-2</v>
      </c>
    </row>
    <row r="165" spans="1:52" x14ac:dyDescent="0.35">
      <c r="A165" s="5">
        <v>158</v>
      </c>
      <c r="B165" s="63">
        <f t="shared" si="110"/>
        <v>4.4999999999999998E-2</v>
      </c>
      <c r="C165" s="28">
        <f>B165+VLOOKUP(Rawdata!A160,Int_rate_movements,2,TRUE)</f>
        <v>4.4999999999999998E-2</v>
      </c>
      <c r="D165" s="28">
        <f>C165+VLOOKUP(Rawdata!B160,Int_rate_movements,2,TRUE)</f>
        <v>4.4999999999999998E-2</v>
      </c>
      <c r="E165" s="28">
        <f>D165+VLOOKUP(Rawdata!C160,Int_rate_movements,2,TRUE)</f>
        <v>4.2499999999999996E-2</v>
      </c>
      <c r="F165" s="28">
        <f>E165+VLOOKUP(Rawdata!D160,Int_rate_movements,2,TRUE)</f>
        <v>4.2499999999999996E-2</v>
      </c>
      <c r="G165" s="28">
        <f>F165+VLOOKUP(Rawdata!E160,Int_rate_movements,2,TRUE)</f>
        <v>4.2499999999999996E-2</v>
      </c>
      <c r="H165" s="28">
        <f>G165+VLOOKUP(Rawdata!F160,Int_rate_movements,2,TRUE)</f>
        <v>4.2499999999999996E-2</v>
      </c>
      <c r="I165" s="28">
        <f>H165+VLOOKUP(Rawdata!G160,Int_rate_movements,2,TRUE)</f>
        <v>4.2499999999999996E-2</v>
      </c>
      <c r="J165" s="28">
        <f>I165+VLOOKUP(Rawdata!H160,Int_rate_movements,2,TRUE)</f>
        <v>3.9999999999999994E-2</v>
      </c>
      <c r="K165" s="28">
        <f>J165+VLOOKUP(Rawdata!I160,Int_rate_movements,2,TRUE)</f>
        <v>3.9999999999999994E-2</v>
      </c>
      <c r="L165" s="28">
        <f>K165+VLOOKUP(Rawdata!J160,Int_rate_movements,2,TRUE)</f>
        <v>3.9999999999999994E-2</v>
      </c>
      <c r="M165" s="28">
        <f>L165+VLOOKUP(Rawdata!K160,Int_rate_movements,2,TRUE)</f>
        <v>3.7499999999999992E-2</v>
      </c>
      <c r="N165" s="28">
        <f>M165+VLOOKUP(Rawdata!L160,Int_rate_movements,2,TRUE)</f>
        <v>3.7499999999999992E-2</v>
      </c>
      <c r="O165" s="28">
        <f>N165+VLOOKUP(Rawdata!M160,Int_rate_movements,2,TRUE)</f>
        <v>3.7499999999999992E-2</v>
      </c>
      <c r="P165" s="28">
        <f>O165+VLOOKUP(Rawdata!N160,Int_rate_movements,2,TRUE)</f>
        <v>3.7499999999999992E-2</v>
      </c>
      <c r="Q165" s="28">
        <f>P165+VLOOKUP(Rawdata!O160,Int_rate_movements,2,TRUE)</f>
        <v>3.7499999999999992E-2</v>
      </c>
      <c r="R165" s="28">
        <f>Q165+VLOOKUP(Rawdata!P160,Int_rate_movements,2,TRUE)</f>
        <v>3.4999999999999989E-2</v>
      </c>
      <c r="S165" s="28">
        <f>R165+VLOOKUP(Rawdata!Q160,Int_rate_movements,2,TRUE)</f>
        <v>3.4999999999999989E-2</v>
      </c>
      <c r="T165" s="28">
        <f>S165+VLOOKUP(Rawdata!R160,Int_rate_movements,2,TRUE)</f>
        <v>3.4999999999999989E-2</v>
      </c>
      <c r="U165" s="28">
        <f>T165+VLOOKUP(Rawdata!S160,Int_rate_movements,2,TRUE)</f>
        <v>3.4999999999999989E-2</v>
      </c>
      <c r="V165" s="28">
        <f>U165+VLOOKUP(Rawdata!T160,Int_rate_movements,2,TRUE)</f>
        <v>3.4999999999999989E-2</v>
      </c>
      <c r="W165" s="28">
        <f>V165+VLOOKUP(Rawdata!U160,Int_rate_movements,2,TRUE)</f>
        <v>3.4999999999999989E-2</v>
      </c>
      <c r="X165" s="28">
        <f>W165+VLOOKUP(Rawdata!V160,Int_rate_movements,2,TRUE)</f>
        <v>3.4999999999999989E-2</v>
      </c>
      <c r="Y165" s="28">
        <f>X165+VLOOKUP(Rawdata!W160,Int_rate_movements,2,TRUE)</f>
        <v>3.4999999999999989E-2</v>
      </c>
      <c r="Z165" s="35">
        <f>Y165+VLOOKUP(Rawdata!X160,Int_rate_movements,2,TRUE)</f>
        <v>3.4999999999999989E-2</v>
      </c>
      <c r="AB165" s="55">
        <f t="shared" si="111"/>
        <v>4.4097712805242217E-2</v>
      </c>
      <c r="AC165" s="55">
        <f t="shared" si="112"/>
        <v>4.4097712805242217E-2</v>
      </c>
      <c r="AD165" s="55">
        <f t="shared" si="113"/>
        <v>4.4097712805242217E-2</v>
      </c>
      <c r="AE165" s="55">
        <f t="shared" si="114"/>
        <v>4.1693940041970023E-2</v>
      </c>
      <c r="AF165" s="55">
        <f t="shared" si="115"/>
        <v>4.1693940041970023E-2</v>
      </c>
      <c r="AG165" s="55">
        <f t="shared" si="116"/>
        <v>4.1693940041970023E-2</v>
      </c>
      <c r="AH165" s="55">
        <f t="shared" si="117"/>
        <v>4.1693940041970023E-2</v>
      </c>
      <c r="AI165" s="55">
        <f t="shared" si="118"/>
        <v>4.1693940041970023E-2</v>
      </c>
      <c r="AJ165" s="55">
        <f t="shared" si="119"/>
        <v>3.9284877386386974E-2</v>
      </c>
      <c r="AK165" s="55">
        <f t="shared" si="120"/>
        <v>3.9284877386386974E-2</v>
      </c>
      <c r="AL165" s="55">
        <f t="shared" si="121"/>
        <v>3.9284877386386974E-2</v>
      </c>
      <c r="AM165" s="55">
        <f t="shared" si="122"/>
        <v>3.6870500439066589E-2</v>
      </c>
      <c r="AN165" s="55">
        <f t="shared" si="123"/>
        <v>3.6870500439066589E-2</v>
      </c>
      <c r="AO165" s="55">
        <f t="shared" si="124"/>
        <v>3.6870500439066589E-2</v>
      </c>
      <c r="AP165" s="55">
        <f t="shared" si="125"/>
        <v>3.6870500439066589E-2</v>
      </c>
      <c r="AQ165" s="55">
        <f t="shared" si="126"/>
        <v>3.6870500439066589E-2</v>
      </c>
      <c r="AR165" s="55">
        <f t="shared" si="127"/>
        <v>3.4450784628919706E-2</v>
      </c>
      <c r="AS165" s="55">
        <f t="shared" si="128"/>
        <v>3.4450784628919706E-2</v>
      </c>
      <c r="AT165" s="55">
        <f t="shared" si="129"/>
        <v>3.4450784628919706E-2</v>
      </c>
      <c r="AU165" s="55">
        <f t="shared" si="130"/>
        <v>3.4450784628919706E-2</v>
      </c>
      <c r="AV165" s="55">
        <f t="shared" si="131"/>
        <v>3.4450784628919706E-2</v>
      </c>
      <c r="AW165" s="55">
        <f t="shared" si="132"/>
        <v>3.4450784628919706E-2</v>
      </c>
      <c r="AX165" s="55">
        <f t="shared" si="133"/>
        <v>3.4450784628919706E-2</v>
      </c>
      <c r="AY165" s="55">
        <f t="shared" si="134"/>
        <v>3.4450784628919706E-2</v>
      </c>
      <c r="AZ165" s="56">
        <f t="shared" si="135"/>
        <v>3.4450784628919706E-2</v>
      </c>
    </row>
    <row r="166" spans="1:52" x14ac:dyDescent="0.35">
      <c r="A166" s="27">
        <v>159</v>
      </c>
      <c r="B166" s="63">
        <f t="shared" si="110"/>
        <v>4.4999999999999998E-2</v>
      </c>
      <c r="C166" s="28">
        <f>B166+VLOOKUP(Rawdata!A161,Int_rate_movements,2,TRUE)</f>
        <v>4.4999999999999998E-2</v>
      </c>
      <c r="D166" s="28">
        <f>C166+VLOOKUP(Rawdata!B161,Int_rate_movements,2,TRUE)</f>
        <v>4.4999999999999998E-2</v>
      </c>
      <c r="E166" s="28">
        <f>D166+VLOOKUP(Rawdata!C161,Int_rate_movements,2,TRUE)</f>
        <v>4.7500000000000001E-2</v>
      </c>
      <c r="F166" s="28">
        <f>E166+VLOOKUP(Rawdata!D161,Int_rate_movements,2,TRUE)</f>
        <v>4.7500000000000001E-2</v>
      </c>
      <c r="G166" s="28">
        <f>F166+VLOOKUP(Rawdata!E161,Int_rate_movements,2,TRUE)</f>
        <v>4.7500000000000001E-2</v>
      </c>
      <c r="H166" s="28">
        <f>G166+VLOOKUP(Rawdata!F161,Int_rate_movements,2,TRUE)</f>
        <v>4.7500000000000001E-2</v>
      </c>
      <c r="I166" s="28">
        <f>H166+VLOOKUP(Rawdata!G161,Int_rate_movements,2,TRUE)</f>
        <v>4.7500000000000001E-2</v>
      </c>
      <c r="J166" s="28">
        <f>I166+VLOOKUP(Rawdata!H161,Int_rate_movements,2,TRUE)</f>
        <v>4.7500000000000001E-2</v>
      </c>
      <c r="K166" s="28">
        <f>J166+VLOOKUP(Rawdata!I161,Int_rate_movements,2,TRUE)</f>
        <v>4.7500000000000001E-2</v>
      </c>
      <c r="L166" s="28">
        <f>K166+VLOOKUP(Rawdata!J161,Int_rate_movements,2,TRUE)</f>
        <v>4.7500000000000001E-2</v>
      </c>
      <c r="M166" s="28">
        <f>L166+VLOOKUP(Rawdata!K161,Int_rate_movements,2,TRUE)</f>
        <v>4.7500000000000001E-2</v>
      </c>
      <c r="N166" s="28">
        <f>M166+VLOOKUP(Rawdata!L161,Int_rate_movements,2,TRUE)</f>
        <v>4.7500000000000001E-2</v>
      </c>
      <c r="O166" s="28">
        <f>N166+VLOOKUP(Rawdata!M161,Int_rate_movements,2,TRUE)</f>
        <v>4.7500000000000001E-2</v>
      </c>
      <c r="P166" s="28">
        <f>O166+VLOOKUP(Rawdata!N161,Int_rate_movements,2,TRUE)</f>
        <v>4.7500000000000001E-2</v>
      </c>
      <c r="Q166" s="28">
        <f>P166+VLOOKUP(Rawdata!O161,Int_rate_movements,2,TRUE)</f>
        <v>4.7500000000000001E-2</v>
      </c>
      <c r="R166" s="28">
        <f>Q166+VLOOKUP(Rawdata!P161,Int_rate_movements,2,TRUE)</f>
        <v>4.7500000000000001E-2</v>
      </c>
      <c r="S166" s="28">
        <f>R166+VLOOKUP(Rawdata!Q161,Int_rate_movements,2,TRUE)</f>
        <v>4.7500000000000001E-2</v>
      </c>
      <c r="T166" s="28">
        <f>S166+VLOOKUP(Rawdata!R161,Int_rate_movements,2,TRUE)</f>
        <v>4.7500000000000001E-2</v>
      </c>
      <c r="U166" s="28">
        <f>T166+VLOOKUP(Rawdata!S161,Int_rate_movements,2,TRUE)</f>
        <v>4.7500000000000001E-2</v>
      </c>
      <c r="V166" s="28">
        <f>U166+VLOOKUP(Rawdata!T161,Int_rate_movements,2,TRUE)</f>
        <v>4.7500000000000001E-2</v>
      </c>
      <c r="W166" s="28">
        <f>V166+VLOOKUP(Rawdata!U161,Int_rate_movements,2,TRUE)</f>
        <v>4.7500000000000001E-2</v>
      </c>
      <c r="X166" s="28">
        <f>W166+VLOOKUP(Rawdata!V161,Int_rate_movements,2,TRUE)</f>
        <v>0.05</v>
      </c>
      <c r="Y166" s="28">
        <f>X166+VLOOKUP(Rawdata!W161,Int_rate_movements,2,TRUE)</f>
        <v>0.05</v>
      </c>
      <c r="Z166" s="35">
        <f>Y166+VLOOKUP(Rawdata!X161,Int_rate_movements,2,TRUE)</f>
        <v>0.05</v>
      </c>
      <c r="AB166" s="55">
        <f t="shared" si="111"/>
        <v>4.4097712805242217E-2</v>
      </c>
      <c r="AC166" s="55">
        <f t="shared" si="112"/>
        <v>4.4097712805242217E-2</v>
      </c>
      <c r="AD166" s="55">
        <f t="shared" si="113"/>
        <v>4.4097712805242217E-2</v>
      </c>
      <c r="AE166" s="55">
        <f t="shared" si="114"/>
        <v>4.6496219905550085E-2</v>
      </c>
      <c r="AF166" s="55">
        <f t="shared" si="115"/>
        <v>4.6496219905550085E-2</v>
      </c>
      <c r="AG166" s="55">
        <f t="shared" si="116"/>
        <v>4.6496219905550085E-2</v>
      </c>
      <c r="AH166" s="55">
        <f t="shared" si="117"/>
        <v>4.6496219905550085E-2</v>
      </c>
      <c r="AI166" s="55">
        <f t="shared" si="118"/>
        <v>4.6496219905550085E-2</v>
      </c>
      <c r="AJ166" s="55">
        <f t="shared" si="119"/>
        <v>4.6496219905550085E-2</v>
      </c>
      <c r="AK166" s="55">
        <f t="shared" si="120"/>
        <v>4.6496219905550085E-2</v>
      </c>
      <c r="AL166" s="55">
        <f t="shared" si="121"/>
        <v>4.6496219905550085E-2</v>
      </c>
      <c r="AM166" s="55">
        <f t="shared" si="122"/>
        <v>4.6496219905550085E-2</v>
      </c>
      <c r="AN166" s="55">
        <f t="shared" si="123"/>
        <v>4.6496219905550085E-2</v>
      </c>
      <c r="AO166" s="55">
        <f t="shared" si="124"/>
        <v>4.6496219905550085E-2</v>
      </c>
      <c r="AP166" s="55">
        <f t="shared" si="125"/>
        <v>4.6496219905550085E-2</v>
      </c>
      <c r="AQ166" s="55">
        <f t="shared" si="126"/>
        <v>4.6496219905550085E-2</v>
      </c>
      <c r="AR166" s="55">
        <f t="shared" si="127"/>
        <v>4.6496219905550085E-2</v>
      </c>
      <c r="AS166" s="55">
        <f t="shared" si="128"/>
        <v>4.6496219905550085E-2</v>
      </c>
      <c r="AT166" s="55">
        <f t="shared" si="129"/>
        <v>4.6496219905550085E-2</v>
      </c>
      <c r="AU166" s="55">
        <f t="shared" si="130"/>
        <v>4.6496219905550085E-2</v>
      </c>
      <c r="AV166" s="55">
        <f t="shared" si="131"/>
        <v>4.6496219905550085E-2</v>
      </c>
      <c r="AW166" s="55">
        <f t="shared" si="132"/>
        <v>4.6496219905550085E-2</v>
      </c>
      <c r="AX166" s="55">
        <f t="shared" si="133"/>
        <v>4.8889485403780242E-2</v>
      </c>
      <c r="AY166" s="55">
        <f t="shared" si="134"/>
        <v>4.8889485403780242E-2</v>
      </c>
      <c r="AZ166" s="56">
        <f t="shared" si="135"/>
        <v>4.8889485403780242E-2</v>
      </c>
    </row>
    <row r="167" spans="1:52" x14ac:dyDescent="0.35">
      <c r="A167" s="5">
        <v>160</v>
      </c>
      <c r="B167" s="63">
        <f t="shared" si="110"/>
        <v>4.4999999999999998E-2</v>
      </c>
      <c r="C167" s="28">
        <f>B167+VLOOKUP(Rawdata!A162,Int_rate_movements,2,TRUE)</f>
        <v>4.4999999999999998E-2</v>
      </c>
      <c r="D167" s="28">
        <f>C167+VLOOKUP(Rawdata!B162,Int_rate_movements,2,TRUE)</f>
        <v>4.9999999999999996E-2</v>
      </c>
      <c r="E167" s="28">
        <f>D167+VLOOKUP(Rawdata!C162,Int_rate_movements,2,TRUE)</f>
        <v>4.9999999999999996E-2</v>
      </c>
      <c r="F167" s="28">
        <f>E167+VLOOKUP(Rawdata!D162,Int_rate_movements,2,TRUE)</f>
        <v>4.9999999999999996E-2</v>
      </c>
      <c r="G167" s="28">
        <f>F167+VLOOKUP(Rawdata!E162,Int_rate_movements,2,TRUE)</f>
        <v>4.9999999999999996E-2</v>
      </c>
      <c r="H167" s="28">
        <f>G167+VLOOKUP(Rawdata!F162,Int_rate_movements,2,TRUE)</f>
        <v>4.9999999999999996E-2</v>
      </c>
      <c r="I167" s="28">
        <f>H167+VLOOKUP(Rawdata!G162,Int_rate_movements,2,TRUE)</f>
        <v>4.9999999999999996E-2</v>
      </c>
      <c r="J167" s="28">
        <f>I167+VLOOKUP(Rawdata!H162,Int_rate_movements,2,TRUE)</f>
        <v>5.4999999999999993E-2</v>
      </c>
      <c r="K167" s="28">
        <f>J167+VLOOKUP(Rawdata!I162,Int_rate_movements,2,TRUE)</f>
        <v>5.4999999999999993E-2</v>
      </c>
      <c r="L167" s="28">
        <f>K167+VLOOKUP(Rawdata!J162,Int_rate_movements,2,TRUE)</f>
        <v>5.4999999999999993E-2</v>
      </c>
      <c r="M167" s="28">
        <f>L167+VLOOKUP(Rawdata!K162,Int_rate_movements,2,TRUE)</f>
        <v>5.4999999999999993E-2</v>
      </c>
      <c r="N167" s="28">
        <f>M167+VLOOKUP(Rawdata!L162,Int_rate_movements,2,TRUE)</f>
        <v>5.4999999999999993E-2</v>
      </c>
      <c r="O167" s="28">
        <f>N167+VLOOKUP(Rawdata!M162,Int_rate_movements,2,TRUE)</f>
        <v>5.4999999999999993E-2</v>
      </c>
      <c r="P167" s="28">
        <f>O167+VLOOKUP(Rawdata!N162,Int_rate_movements,2,TRUE)</f>
        <v>5.4999999999999993E-2</v>
      </c>
      <c r="Q167" s="28">
        <f>P167+VLOOKUP(Rawdata!O162,Int_rate_movements,2,TRUE)</f>
        <v>5.4999999999999993E-2</v>
      </c>
      <c r="R167" s="28">
        <f>Q167+VLOOKUP(Rawdata!P162,Int_rate_movements,2,TRUE)</f>
        <v>5.4999999999999993E-2</v>
      </c>
      <c r="S167" s="28">
        <f>R167+VLOOKUP(Rawdata!Q162,Int_rate_movements,2,TRUE)</f>
        <v>5.4999999999999993E-2</v>
      </c>
      <c r="T167" s="28">
        <f>S167+VLOOKUP(Rawdata!R162,Int_rate_movements,2,TRUE)</f>
        <v>5.4999999999999993E-2</v>
      </c>
      <c r="U167" s="28">
        <f>T167+VLOOKUP(Rawdata!S162,Int_rate_movements,2,TRUE)</f>
        <v>5.4999999999999993E-2</v>
      </c>
      <c r="V167" s="28">
        <f>U167+VLOOKUP(Rawdata!T162,Int_rate_movements,2,TRUE)</f>
        <v>5.4999999999999993E-2</v>
      </c>
      <c r="W167" s="28">
        <f>V167+VLOOKUP(Rawdata!U162,Int_rate_movements,2,TRUE)</f>
        <v>5.4999999999999993E-2</v>
      </c>
      <c r="X167" s="28">
        <f>W167+VLOOKUP(Rawdata!V162,Int_rate_movements,2,TRUE)</f>
        <v>5.2499999999999991E-2</v>
      </c>
      <c r="Y167" s="28">
        <f>X167+VLOOKUP(Rawdata!W162,Int_rate_movements,2,TRUE)</f>
        <v>5.2499999999999991E-2</v>
      </c>
      <c r="Z167" s="35">
        <f>Y167+VLOOKUP(Rawdata!X162,Int_rate_movements,2,TRUE)</f>
        <v>5.2499999999999991E-2</v>
      </c>
      <c r="AB167" s="55">
        <f t="shared" si="111"/>
        <v>4.4097712805242217E-2</v>
      </c>
      <c r="AC167" s="55">
        <f t="shared" si="112"/>
        <v>4.4097712805242217E-2</v>
      </c>
      <c r="AD167" s="55">
        <f t="shared" si="113"/>
        <v>4.8889485403780242E-2</v>
      </c>
      <c r="AE167" s="55">
        <f t="shared" si="114"/>
        <v>4.8889485403780242E-2</v>
      </c>
      <c r="AF167" s="55">
        <f t="shared" si="115"/>
        <v>4.8889485403780242E-2</v>
      </c>
      <c r="AG167" s="55">
        <f t="shared" si="116"/>
        <v>4.8889485403780242E-2</v>
      </c>
      <c r="AH167" s="55">
        <f t="shared" si="117"/>
        <v>4.8889485403780242E-2</v>
      </c>
      <c r="AI167" s="55">
        <f t="shared" si="118"/>
        <v>4.8889485403780242E-2</v>
      </c>
      <c r="AJ167" s="55">
        <f t="shared" si="119"/>
        <v>5.3660387004516252E-2</v>
      </c>
      <c r="AK167" s="55">
        <f t="shared" si="120"/>
        <v>5.3660387004516252E-2</v>
      </c>
      <c r="AL167" s="55">
        <f t="shared" si="121"/>
        <v>5.3660387004516252E-2</v>
      </c>
      <c r="AM167" s="55">
        <f t="shared" si="122"/>
        <v>5.3660387004516252E-2</v>
      </c>
      <c r="AN167" s="55">
        <f t="shared" si="123"/>
        <v>5.3660387004516252E-2</v>
      </c>
      <c r="AO167" s="55">
        <f t="shared" si="124"/>
        <v>5.3660387004516252E-2</v>
      </c>
      <c r="AP167" s="55">
        <f t="shared" si="125"/>
        <v>5.3660387004516252E-2</v>
      </c>
      <c r="AQ167" s="55">
        <f t="shared" si="126"/>
        <v>5.3660387004516252E-2</v>
      </c>
      <c r="AR167" s="55">
        <f t="shared" si="127"/>
        <v>5.3660387004516252E-2</v>
      </c>
      <c r="AS167" s="55">
        <f t="shared" si="128"/>
        <v>5.3660387004516252E-2</v>
      </c>
      <c r="AT167" s="55">
        <f t="shared" si="129"/>
        <v>5.3660387004516252E-2</v>
      </c>
      <c r="AU167" s="55">
        <f t="shared" si="130"/>
        <v>5.3660387004516252E-2</v>
      </c>
      <c r="AV167" s="55">
        <f t="shared" si="131"/>
        <v>5.3660387004516252E-2</v>
      </c>
      <c r="AW167" s="55">
        <f t="shared" si="132"/>
        <v>5.3660387004516252E-2</v>
      </c>
      <c r="AX167" s="55">
        <f t="shared" si="133"/>
        <v>5.1277533193896829E-2</v>
      </c>
      <c r="AY167" s="55">
        <f t="shared" si="134"/>
        <v>5.1277533193896829E-2</v>
      </c>
      <c r="AZ167" s="56">
        <f t="shared" si="135"/>
        <v>5.1277533193896829E-2</v>
      </c>
    </row>
    <row r="168" spans="1:52" x14ac:dyDescent="0.35">
      <c r="A168" s="27">
        <v>161</v>
      </c>
      <c r="B168" s="63">
        <f t="shared" ref="B168:B199" si="136">Base_int_rate</f>
        <v>4.4999999999999998E-2</v>
      </c>
      <c r="C168" s="28">
        <f>B168+VLOOKUP(Rawdata!A163,Int_rate_movements,2,TRUE)</f>
        <v>4.9999999999999996E-2</v>
      </c>
      <c r="D168" s="28">
        <f>C168+VLOOKUP(Rawdata!B163,Int_rate_movements,2,TRUE)</f>
        <v>4.9999999999999996E-2</v>
      </c>
      <c r="E168" s="28">
        <f>D168+VLOOKUP(Rawdata!C163,Int_rate_movements,2,TRUE)</f>
        <v>4.9999999999999996E-2</v>
      </c>
      <c r="F168" s="28">
        <f>E168+VLOOKUP(Rawdata!D163,Int_rate_movements,2,TRUE)</f>
        <v>4.9999999999999996E-2</v>
      </c>
      <c r="G168" s="28">
        <f>F168+VLOOKUP(Rawdata!E163,Int_rate_movements,2,TRUE)</f>
        <v>4.9999999999999996E-2</v>
      </c>
      <c r="H168" s="28">
        <f>G168+VLOOKUP(Rawdata!F163,Int_rate_movements,2,TRUE)</f>
        <v>4.9999999999999996E-2</v>
      </c>
      <c r="I168" s="28">
        <f>H168+VLOOKUP(Rawdata!G163,Int_rate_movements,2,TRUE)</f>
        <v>5.4999999999999993E-2</v>
      </c>
      <c r="J168" s="28">
        <f>I168+VLOOKUP(Rawdata!H163,Int_rate_movements,2,TRUE)</f>
        <v>5.4999999999999993E-2</v>
      </c>
      <c r="K168" s="28">
        <f>J168+VLOOKUP(Rawdata!I163,Int_rate_movements,2,TRUE)</f>
        <v>5.4999999999999993E-2</v>
      </c>
      <c r="L168" s="28">
        <f>K168+VLOOKUP(Rawdata!J163,Int_rate_movements,2,TRUE)</f>
        <v>5.4999999999999993E-2</v>
      </c>
      <c r="M168" s="28">
        <f>L168+VLOOKUP(Rawdata!K163,Int_rate_movements,2,TRUE)</f>
        <v>5.4999999999999993E-2</v>
      </c>
      <c r="N168" s="28">
        <f>M168+VLOOKUP(Rawdata!L163,Int_rate_movements,2,TRUE)</f>
        <v>5.4999999999999993E-2</v>
      </c>
      <c r="O168" s="28">
        <f>N168+VLOOKUP(Rawdata!M163,Int_rate_movements,2,TRUE)</f>
        <v>5.4999999999999993E-2</v>
      </c>
      <c r="P168" s="28">
        <f>O168+VLOOKUP(Rawdata!N163,Int_rate_movements,2,TRUE)</f>
        <v>5.4999999999999993E-2</v>
      </c>
      <c r="Q168" s="28">
        <f>P168+VLOOKUP(Rawdata!O163,Int_rate_movements,2,TRUE)</f>
        <v>5.4999999999999993E-2</v>
      </c>
      <c r="R168" s="28">
        <f>Q168+VLOOKUP(Rawdata!P163,Int_rate_movements,2,TRUE)</f>
        <v>5.4999999999999993E-2</v>
      </c>
      <c r="S168" s="28">
        <f>R168+VLOOKUP(Rawdata!Q163,Int_rate_movements,2,TRUE)</f>
        <v>5.4999999999999993E-2</v>
      </c>
      <c r="T168" s="28">
        <f>S168+VLOOKUP(Rawdata!R163,Int_rate_movements,2,TRUE)</f>
        <v>5.4999999999999993E-2</v>
      </c>
      <c r="U168" s="28">
        <f>T168+VLOOKUP(Rawdata!S163,Int_rate_movements,2,TRUE)</f>
        <v>5.4999999999999993E-2</v>
      </c>
      <c r="V168" s="28">
        <f>U168+VLOOKUP(Rawdata!T163,Int_rate_movements,2,TRUE)</f>
        <v>5.4999999999999993E-2</v>
      </c>
      <c r="W168" s="28">
        <f>V168+VLOOKUP(Rawdata!U163,Int_rate_movements,2,TRUE)</f>
        <v>5.4999999999999993E-2</v>
      </c>
      <c r="X168" s="28">
        <f>W168+VLOOKUP(Rawdata!V163,Int_rate_movements,2,TRUE)</f>
        <v>5.4999999999999993E-2</v>
      </c>
      <c r="Y168" s="28">
        <f>X168+VLOOKUP(Rawdata!W163,Int_rate_movements,2,TRUE)</f>
        <v>5.2499999999999991E-2</v>
      </c>
      <c r="Z168" s="35">
        <f>Y168+VLOOKUP(Rawdata!X163,Int_rate_movements,2,TRUE)</f>
        <v>5.2499999999999991E-2</v>
      </c>
      <c r="AB168" s="55">
        <f t="shared" ref="AB168:AB199" si="137">Var_freq*((1+B168)^(1/Var_freq)-1)</f>
        <v>4.4097712805242217E-2</v>
      </c>
      <c r="AC168" s="55">
        <f t="shared" ref="AC168:AC199" si="138">Var_freq*((1+C168)^(1/Var_freq)-1)</f>
        <v>4.8889485403780242E-2</v>
      </c>
      <c r="AD168" s="55">
        <f t="shared" ref="AD168:AD199" si="139">Var_freq*((1+D168)^(1/Var_freq)-1)</f>
        <v>4.8889485403780242E-2</v>
      </c>
      <c r="AE168" s="55">
        <f t="shared" ref="AE168:AE199" si="140">Var_freq*((1+E168)^(1/Var_freq)-1)</f>
        <v>4.8889485403780242E-2</v>
      </c>
      <c r="AF168" s="55">
        <f t="shared" ref="AF168:AF199" si="141">Var_freq*((1+F168)^(1/Var_freq)-1)</f>
        <v>4.8889485403780242E-2</v>
      </c>
      <c r="AG168" s="55">
        <f t="shared" ref="AG168:AG199" si="142">Var_freq*((1+G168)^(1/Var_freq)-1)</f>
        <v>4.8889485403780242E-2</v>
      </c>
      <c r="AH168" s="55">
        <f t="shared" ref="AH168:AH199" si="143">Var_freq*((1+H168)^(1/Var_freq)-1)</f>
        <v>4.8889485403780242E-2</v>
      </c>
      <c r="AI168" s="55">
        <f t="shared" ref="AI168:AI199" si="144">Var_freq*((1+I168)^(1/Var_freq)-1)</f>
        <v>5.3660387004516252E-2</v>
      </c>
      <c r="AJ168" s="55">
        <f t="shared" ref="AJ168:AJ199" si="145">Var_freq*((1+J168)^(1/Var_freq)-1)</f>
        <v>5.3660387004516252E-2</v>
      </c>
      <c r="AK168" s="55">
        <f t="shared" ref="AK168:AK199" si="146">Var_freq*((1+K168)^(1/Var_freq)-1)</f>
        <v>5.3660387004516252E-2</v>
      </c>
      <c r="AL168" s="55">
        <f t="shared" ref="AL168:AL199" si="147">Var_freq*((1+L168)^(1/Var_freq)-1)</f>
        <v>5.3660387004516252E-2</v>
      </c>
      <c r="AM168" s="55">
        <f t="shared" ref="AM168:AM199" si="148">Var_freq*((1+M168)^(1/Var_freq)-1)</f>
        <v>5.3660387004516252E-2</v>
      </c>
      <c r="AN168" s="55">
        <f t="shared" ref="AN168:AN199" si="149">Var_freq*((1+N168)^(1/Var_freq)-1)</f>
        <v>5.3660387004516252E-2</v>
      </c>
      <c r="AO168" s="55">
        <f t="shared" ref="AO168:AO199" si="150">Var_freq*((1+O168)^(1/Var_freq)-1)</f>
        <v>5.3660387004516252E-2</v>
      </c>
      <c r="AP168" s="55">
        <f t="shared" ref="AP168:AP199" si="151">Var_freq*((1+P168)^(1/Var_freq)-1)</f>
        <v>5.3660387004516252E-2</v>
      </c>
      <c r="AQ168" s="55">
        <f t="shared" ref="AQ168:AQ199" si="152">Var_freq*((1+Q168)^(1/Var_freq)-1)</f>
        <v>5.3660387004516252E-2</v>
      </c>
      <c r="AR168" s="55">
        <f t="shared" ref="AR168:AR199" si="153">Var_freq*((1+R168)^(1/Var_freq)-1)</f>
        <v>5.3660387004516252E-2</v>
      </c>
      <c r="AS168" s="55">
        <f t="shared" ref="AS168:AS199" si="154">Var_freq*((1+S168)^(1/Var_freq)-1)</f>
        <v>5.3660387004516252E-2</v>
      </c>
      <c r="AT168" s="55">
        <f t="shared" ref="AT168:AT199" si="155">Var_freq*((1+T168)^(1/Var_freq)-1)</f>
        <v>5.3660387004516252E-2</v>
      </c>
      <c r="AU168" s="55">
        <f t="shared" ref="AU168:AU199" si="156">Var_freq*((1+U168)^(1/Var_freq)-1)</f>
        <v>5.3660387004516252E-2</v>
      </c>
      <c r="AV168" s="55">
        <f t="shared" ref="AV168:AV199" si="157">Var_freq*((1+V168)^(1/Var_freq)-1)</f>
        <v>5.3660387004516252E-2</v>
      </c>
      <c r="AW168" s="55">
        <f t="shared" ref="AW168:AW199" si="158">Var_freq*((1+W168)^(1/Var_freq)-1)</f>
        <v>5.3660387004516252E-2</v>
      </c>
      <c r="AX168" s="55">
        <f t="shared" ref="AX168:AX199" si="159">Var_freq*((1+X168)^(1/Var_freq)-1)</f>
        <v>5.3660387004516252E-2</v>
      </c>
      <c r="AY168" s="55">
        <f t="shared" ref="AY168:AY199" si="160">Var_freq*((1+Y168)^(1/Var_freq)-1)</f>
        <v>5.1277533193896829E-2</v>
      </c>
      <c r="AZ168" s="56">
        <f t="shared" ref="AZ168:AZ199" si="161">Var_freq*((1+Z168)^(1/Var_freq)-1)</f>
        <v>5.1277533193896829E-2</v>
      </c>
    </row>
    <row r="169" spans="1:52" x14ac:dyDescent="0.35">
      <c r="A169" s="5">
        <v>162</v>
      </c>
      <c r="B169" s="63">
        <f t="shared" si="136"/>
        <v>4.4999999999999998E-2</v>
      </c>
      <c r="C169" s="28">
        <f>B169+VLOOKUP(Rawdata!A164,Int_rate_movements,2,TRUE)</f>
        <v>0.04</v>
      </c>
      <c r="D169" s="28">
        <f>C169+VLOOKUP(Rawdata!B164,Int_rate_movements,2,TRUE)</f>
        <v>0.04</v>
      </c>
      <c r="E169" s="28">
        <f>D169+VLOOKUP(Rawdata!C164,Int_rate_movements,2,TRUE)</f>
        <v>0.04</v>
      </c>
      <c r="F169" s="28">
        <f>E169+VLOOKUP(Rawdata!D164,Int_rate_movements,2,TRUE)</f>
        <v>0.04</v>
      </c>
      <c r="G169" s="28">
        <f>F169+VLOOKUP(Rawdata!E164,Int_rate_movements,2,TRUE)</f>
        <v>0.04</v>
      </c>
      <c r="H169" s="28">
        <f>G169+VLOOKUP(Rawdata!F164,Int_rate_movements,2,TRUE)</f>
        <v>0.04</v>
      </c>
      <c r="I169" s="28">
        <f>H169+VLOOKUP(Rawdata!G164,Int_rate_movements,2,TRUE)</f>
        <v>0.04</v>
      </c>
      <c r="J169" s="28">
        <f>I169+VLOOKUP(Rawdata!H164,Int_rate_movements,2,TRUE)</f>
        <v>0.04</v>
      </c>
      <c r="K169" s="28">
        <f>J169+VLOOKUP(Rawdata!I164,Int_rate_movements,2,TRUE)</f>
        <v>0.04</v>
      </c>
      <c r="L169" s="28">
        <f>K169+VLOOKUP(Rawdata!J164,Int_rate_movements,2,TRUE)</f>
        <v>0.04</v>
      </c>
      <c r="M169" s="28">
        <f>L169+VLOOKUP(Rawdata!K164,Int_rate_movements,2,TRUE)</f>
        <v>0.04</v>
      </c>
      <c r="N169" s="28">
        <f>M169+VLOOKUP(Rawdata!L164,Int_rate_movements,2,TRUE)</f>
        <v>0.04</v>
      </c>
      <c r="O169" s="28">
        <f>N169+VLOOKUP(Rawdata!M164,Int_rate_movements,2,TRUE)</f>
        <v>0.04</v>
      </c>
      <c r="P169" s="28">
        <f>O169+VLOOKUP(Rawdata!N164,Int_rate_movements,2,TRUE)</f>
        <v>0.04</v>
      </c>
      <c r="Q169" s="28">
        <f>P169+VLOOKUP(Rawdata!O164,Int_rate_movements,2,TRUE)</f>
        <v>0.04</v>
      </c>
      <c r="R169" s="28">
        <f>Q169+VLOOKUP(Rawdata!P164,Int_rate_movements,2,TRUE)</f>
        <v>0.04</v>
      </c>
      <c r="S169" s="28">
        <f>R169+VLOOKUP(Rawdata!Q164,Int_rate_movements,2,TRUE)</f>
        <v>0.04</v>
      </c>
      <c r="T169" s="28">
        <f>S169+VLOOKUP(Rawdata!R164,Int_rate_movements,2,TRUE)</f>
        <v>0.04</v>
      </c>
      <c r="U169" s="28">
        <f>T169+VLOOKUP(Rawdata!S164,Int_rate_movements,2,TRUE)</f>
        <v>0.04</v>
      </c>
      <c r="V169" s="28">
        <f>U169+VLOOKUP(Rawdata!T164,Int_rate_movements,2,TRUE)</f>
        <v>0.04</v>
      </c>
      <c r="W169" s="28">
        <f>V169+VLOOKUP(Rawdata!U164,Int_rate_movements,2,TRUE)</f>
        <v>0.04</v>
      </c>
      <c r="X169" s="28">
        <f>W169+VLOOKUP(Rawdata!V164,Int_rate_movements,2,TRUE)</f>
        <v>0.04</v>
      </c>
      <c r="Y169" s="28">
        <f>X169+VLOOKUP(Rawdata!W164,Int_rate_movements,2,TRUE)</f>
        <v>0.04</v>
      </c>
      <c r="Z169" s="35">
        <f>Y169+VLOOKUP(Rawdata!X164,Int_rate_movements,2,TRUE)</f>
        <v>0.04</v>
      </c>
      <c r="AB169" s="55">
        <f t="shared" si="137"/>
        <v>4.4097712805242217E-2</v>
      </c>
      <c r="AC169" s="55">
        <f t="shared" si="138"/>
        <v>3.9284877386386974E-2</v>
      </c>
      <c r="AD169" s="55">
        <f t="shared" si="139"/>
        <v>3.9284877386386974E-2</v>
      </c>
      <c r="AE169" s="55">
        <f t="shared" si="140"/>
        <v>3.9284877386386974E-2</v>
      </c>
      <c r="AF169" s="55">
        <f t="shared" si="141"/>
        <v>3.9284877386386974E-2</v>
      </c>
      <c r="AG169" s="55">
        <f t="shared" si="142"/>
        <v>3.9284877386386974E-2</v>
      </c>
      <c r="AH169" s="55">
        <f t="shared" si="143"/>
        <v>3.9284877386386974E-2</v>
      </c>
      <c r="AI169" s="55">
        <f t="shared" si="144"/>
        <v>3.9284877386386974E-2</v>
      </c>
      <c r="AJ169" s="55">
        <f t="shared" si="145"/>
        <v>3.9284877386386974E-2</v>
      </c>
      <c r="AK169" s="55">
        <f t="shared" si="146"/>
        <v>3.9284877386386974E-2</v>
      </c>
      <c r="AL169" s="55">
        <f t="shared" si="147"/>
        <v>3.9284877386386974E-2</v>
      </c>
      <c r="AM169" s="55">
        <f t="shared" si="148"/>
        <v>3.9284877386386974E-2</v>
      </c>
      <c r="AN169" s="55">
        <f t="shared" si="149"/>
        <v>3.9284877386386974E-2</v>
      </c>
      <c r="AO169" s="55">
        <f t="shared" si="150"/>
        <v>3.9284877386386974E-2</v>
      </c>
      <c r="AP169" s="55">
        <f t="shared" si="151"/>
        <v>3.9284877386386974E-2</v>
      </c>
      <c r="AQ169" s="55">
        <f t="shared" si="152"/>
        <v>3.9284877386386974E-2</v>
      </c>
      <c r="AR169" s="55">
        <f t="shared" si="153"/>
        <v>3.9284877386386974E-2</v>
      </c>
      <c r="AS169" s="55">
        <f t="shared" si="154"/>
        <v>3.9284877386386974E-2</v>
      </c>
      <c r="AT169" s="55">
        <f t="shared" si="155"/>
        <v>3.9284877386386974E-2</v>
      </c>
      <c r="AU169" s="55">
        <f t="shared" si="156"/>
        <v>3.9284877386386974E-2</v>
      </c>
      <c r="AV169" s="55">
        <f t="shared" si="157"/>
        <v>3.9284877386386974E-2</v>
      </c>
      <c r="AW169" s="55">
        <f t="shared" si="158"/>
        <v>3.9284877386386974E-2</v>
      </c>
      <c r="AX169" s="55">
        <f t="shared" si="159"/>
        <v>3.9284877386386974E-2</v>
      </c>
      <c r="AY169" s="55">
        <f t="shared" si="160"/>
        <v>3.9284877386386974E-2</v>
      </c>
      <c r="AZ169" s="56">
        <f t="shared" si="161"/>
        <v>3.9284877386386974E-2</v>
      </c>
    </row>
    <row r="170" spans="1:52" x14ac:dyDescent="0.35">
      <c r="A170" s="27">
        <v>163</v>
      </c>
      <c r="B170" s="63">
        <f t="shared" si="136"/>
        <v>4.4999999999999998E-2</v>
      </c>
      <c r="C170" s="28">
        <f>B170+VLOOKUP(Rawdata!A165,Int_rate_movements,2,TRUE)</f>
        <v>4.4999999999999998E-2</v>
      </c>
      <c r="D170" s="28">
        <f>C170+VLOOKUP(Rawdata!B165,Int_rate_movements,2,TRUE)</f>
        <v>4.2499999999999996E-2</v>
      </c>
      <c r="E170" s="28">
        <f>D170+VLOOKUP(Rawdata!C165,Int_rate_movements,2,TRUE)</f>
        <v>4.2499999999999996E-2</v>
      </c>
      <c r="F170" s="28">
        <f>E170+VLOOKUP(Rawdata!D165,Int_rate_movements,2,TRUE)</f>
        <v>4.2499999999999996E-2</v>
      </c>
      <c r="G170" s="28">
        <f>F170+VLOOKUP(Rawdata!E165,Int_rate_movements,2,TRUE)</f>
        <v>4.2499999999999996E-2</v>
      </c>
      <c r="H170" s="28">
        <f>G170+VLOOKUP(Rawdata!F165,Int_rate_movements,2,TRUE)</f>
        <v>4.2499999999999996E-2</v>
      </c>
      <c r="I170" s="28">
        <f>H170+VLOOKUP(Rawdata!G165,Int_rate_movements,2,TRUE)</f>
        <v>4.2499999999999996E-2</v>
      </c>
      <c r="J170" s="28">
        <f>I170+VLOOKUP(Rawdata!H165,Int_rate_movements,2,TRUE)</f>
        <v>4.2499999999999996E-2</v>
      </c>
      <c r="K170" s="28">
        <f>J170+VLOOKUP(Rawdata!I165,Int_rate_movements,2,TRUE)</f>
        <v>4.7499999999999994E-2</v>
      </c>
      <c r="L170" s="28">
        <f>K170+VLOOKUP(Rawdata!J165,Int_rate_movements,2,TRUE)</f>
        <v>5.2499999999999991E-2</v>
      </c>
      <c r="M170" s="28">
        <f>L170+VLOOKUP(Rawdata!K165,Int_rate_movements,2,TRUE)</f>
        <v>5.2499999999999991E-2</v>
      </c>
      <c r="N170" s="28">
        <f>M170+VLOOKUP(Rawdata!L165,Int_rate_movements,2,TRUE)</f>
        <v>5.2499999999999991E-2</v>
      </c>
      <c r="O170" s="28">
        <f>N170+VLOOKUP(Rawdata!M165,Int_rate_movements,2,TRUE)</f>
        <v>5.7499999999999989E-2</v>
      </c>
      <c r="P170" s="28">
        <f>O170+VLOOKUP(Rawdata!N165,Int_rate_movements,2,TRUE)</f>
        <v>5.7499999999999989E-2</v>
      </c>
      <c r="Q170" s="28">
        <f>P170+VLOOKUP(Rawdata!O165,Int_rate_movements,2,TRUE)</f>
        <v>5.7499999999999989E-2</v>
      </c>
      <c r="R170" s="28">
        <f>Q170+VLOOKUP(Rawdata!P165,Int_rate_movements,2,TRUE)</f>
        <v>5.2499999999999991E-2</v>
      </c>
      <c r="S170" s="28">
        <f>R170+VLOOKUP(Rawdata!Q165,Int_rate_movements,2,TRUE)</f>
        <v>5.2499999999999991E-2</v>
      </c>
      <c r="T170" s="28">
        <f>S170+VLOOKUP(Rawdata!R165,Int_rate_movements,2,TRUE)</f>
        <v>5.2499999999999991E-2</v>
      </c>
      <c r="U170" s="28">
        <f>T170+VLOOKUP(Rawdata!S165,Int_rate_movements,2,TRUE)</f>
        <v>5.2499999999999991E-2</v>
      </c>
      <c r="V170" s="28">
        <f>U170+VLOOKUP(Rawdata!T165,Int_rate_movements,2,TRUE)</f>
        <v>5.2499999999999991E-2</v>
      </c>
      <c r="W170" s="28">
        <f>V170+VLOOKUP(Rawdata!U165,Int_rate_movements,2,TRUE)</f>
        <v>5.2499999999999991E-2</v>
      </c>
      <c r="X170" s="28">
        <f>W170+VLOOKUP(Rawdata!V165,Int_rate_movements,2,TRUE)</f>
        <v>5.2499999999999991E-2</v>
      </c>
      <c r="Y170" s="28">
        <f>X170+VLOOKUP(Rawdata!W165,Int_rate_movements,2,TRUE)</f>
        <v>5.2499999999999991E-2</v>
      </c>
      <c r="Z170" s="35">
        <f>Y170+VLOOKUP(Rawdata!X165,Int_rate_movements,2,TRUE)</f>
        <v>5.2499999999999991E-2</v>
      </c>
      <c r="AB170" s="55">
        <f t="shared" si="137"/>
        <v>4.4097712805242217E-2</v>
      </c>
      <c r="AC170" s="55">
        <f t="shared" si="138"/>
        <v>4.4097712805242217E-2</v>
      </c>
      <c r="AD170" s="55">
        <f t="shared" si="139"/>
        <v>4.1693940041970023E-2</v>
      </c>
      <c r="AE170" s="55">
        <f t="shared" si="140"/>
        <v>4.1693940041970023E-2</v>
      </c>
      <c r="AF170" s="55">
        <f t="shared" si="141"/>
        <v>4.1693940041970023E-2</v>
      </c>
      <c r="AG170" s="55">
        <f t="shared" si="142"/>
        <v>4.1693940041970023E-2</v>
      </c>
      <c r="AH170" s="55">
        <f t="shared" si="143"/>
        <v>4.1693940041970023E-2</v>
      </c>
      <c r="AI170" s="55">
        <f t="shared" si="144"/>
        <v>4.1693940041970023E-2</v>
      </c>
      <c r="AJ170" s="55">
        <f t="shared" si="145"/>
        <v>4.1693940041970023E-2</v>
      </c>
      <c r="AK170" s="55">
        <f t="shared" si="146"/>
        <v>4.6496219905550085E-2</v>
      </c>
      <c r="AL170" s="55">
        <f t="shared" si="147"/>
        <v>5.1277533193896829E-2</v>
      </c>
      <c r="AM170" s="55">
        <f t="shared" si="148"/>
        <v>5.1277533193896829E-2</v>
      </c>
      <c r="AN170" s="55">
        <f t="shared" si="149"/>
        <v>5.1277533193896829E-2</v>
      </c>
      <c r="AO170" s="55">
        <f t="shared" si="150"/>
        <v>5.603807040042863E-2</v>
      </c>
      <c r="AP170" s="55">
        <f t="shared" si="151"/>
        <v>5.603807040042863E-2</v>
      </c>
      <c r="AQ170" s="55">
        <f t="shared" si="152"/>
        <v>5.603807040042863E-2</v>
      </c>
      <c r="AR170" s="55">
        <f t="shared" si="153"/>
        <v>5.1277533193896829E-2</v>
      </c>
      <c r="AS170" s="55">
        <f t="shared" si="154"/>
        <v>5.1277533193896829E-2</v>
      </c>
      <c r="AT170" s="55">
        <f t="shared" si="155"/>
        <v>5.1277533193896829E-2</v>
      </c>
      <c r="AU170" s="55">
        <f t="shared" si="156"/>
        <v>5.1277533193896829E-2</v>
      </c>
      <c r="AV170" s="55">
        <f t="shared" si="157"/>
        <v>5.1277533193896829E-2</v>
      </c>
      <c r="AW170" s="55">
        <f t="shared" si="158"/>
        <v>5.1277533193896829E-2</v>
      </c>
      <c r="AX170" s="55">
        <f t="shared" si="159"/>
        <v>5.1277533193896829E-2</v>
      </c>
      <c r="AY170" s="55">
        <f t="shared" si="160"/>
        <v>5.1277533193896829E-2</v>
      </c>
      <c r="AZ170" s="56">
        <f t="shared" si="161"/>
        <v>5.1277533193896829E-2</v>
      </c>
    </row>
    <row r="171" spans="1:52" x14ac:dyDescent="0.35">
      <c r="A171" s="5">
        <v>164</v>
      </c>
      <c r="B171" s="63">
        <f t="shared" si="136"/>
        <v>4.4999999999999998E-2</v>
      </c>
      <c r="C171" s="28">
        <f>B171+VLOOKUP(Rawdata!A166,Int_rate_movements,2,TRUE)</f>
        <v>4.4999999999999998E-2</v>
      </c>
      <c r="D171" s="28">
        <f>C171+VLOOKUP(Rawdata!B166,Int_rate_movements,2,TRUE)</f>
        <v>4.2499999999999996E-2</v>
      </c>
      <c r="E171" s="28">
        <f>D171+VLOOKUP(Rawdata!C166,Int_rate_movements,2,TRUE)</f>
        <v>4.4999999999999998E-2</v>
      </c>
      <c r="F171" s="28">
        <f>E171+VLOOKUP(Rawdata!D166,Int_rate_movements,2,TRUE)</f>
        <v>4.4999999999999998E-2</v>
      </c>
      <c r="G171" s="28">
        <f>F171+VLOOKUP(Rawdata!E166,Int_rate_movements,2,TRUE)</f>
        <v>4.4999999999999998E-2</v>
      </c>
      <c r="H171" s="28">
        <f>G171+VLOOKUP(Rawdata!F166,Int_rate_movements,2,TRUE)</f>
        <v>4.4999999999999998E-2</v>
      </c>
      <c r="I171" s="28">
        <f>H171+VLOOKUP(Rawdata!G166,Int_rate_movements,2,TRUE)</f>
        <v>4.4999999999999998E-2</v>
      </c>
      <c r="J171" s="28">
        <f>I171+VLOOKUP(Rawdata!H166,Int_rate_movements,2,TRUE)</f>
        <v>4.4999999999999998E-2</v>
      </c>
      <c r="K171" s="28">
        <f>J171+VLOOKUP(Rawdata!I166,Int_rate_movements,2,TRUE)</f>
        <v>4.4999999999999998E-2</v>
      </c>
      <c r="L171" s="28">
        <f>K171+VLOOKUP(Rawdata!J166,Int_rate_movements,2,TRUE)</f>
        <v>4.4999999999999998E-2</v>
      </c>
      <c r="M171" s="28">
        <f>L171+VLOOKUP(Rawdata!K166,Int_rate_movements,2,TRUE)</f>
        <v>4.4999999999999998E-2</v>
      </c>
      <c r="N171" s="28">
        <f>M171+VLOOKUP(Rawdata!L166,Int_rate_movements,2,TRUE)</f>
        <v>4.4999999999999998E-2</v>
      </c>
      <c r="O171" s="28">
        <f>N171+VLOOKUP(Rawdata!M166,Int_rate_movements,2,TRUE)</f>
        <v>4.4999999999999998E-2</v>
      </c>
      <c r="P171" s="28">
        <f>O171+VLOOKUP(Rawdata!N166,Int_rate_movements,2,TRUE)</f>
        <v>4.4999999999999998E-2</v>
      </c>
      <c r="Q171" s="28">
        <f>P171+VLOOKUP(Rawdata!O166,Int_rate_movements,2,TRUE)</f>
        <v>4.4999999999999998E-2</v>
      </c>
      <c r="R171" s="28">
        <f>Q171+VLOOKUP(Rawdata!P166,Int_rate_movements,2,TRUE)</f>
        <v>4.4999999999999998E-2</v>
      </c>
      <c r="S171" s="28">
        <f>R171+VLOOKUP(Rawdata!Q166,Int_rate_movements,2,TRUE)</f>
        <v>4.4999999999999998E-2</v>
      </c>
      <c r="T171" s="28">
        <f>S171+VLOOKUP(Rawdata!R166,Int_rate_movements,2,TRUE)</f>
        <v>4.4999999999999998E-2</v>
      </c>
      <c r="U171" s="28">
        <f>T171+VLOOKUP(Rawdata!S166,Int_rate_movements,2,TRUE)</f>
        <v>4.4999999999999998E-2</v>
      </c>
      <c r="V171" s="28">
        <f>U171+VLOOKUP(Rawdata!T166,Int_rate_movements,2,TRUE)</f>
        <v>4.4999999999999998E-2</v>
      </c>
      <c r="W171" s="28">
        <f>V171+VLOOKUP(Rawdata!U166,Int_rate_movements,2,TRUE)</f>
        <v>4.4999999999999998E-2</v>
      </c>
      <c r="X171" s="28">
        <f>W171+VLOOKUP(Rawdata!V166,Int_rate_movements,2,TRUE)</f>
        <v>4.4999999999999998E-2</v>
      </c>
      <c r="Y171" s="28">
        <f>X171+VLOOKUP(Rawdata!W166,Int_rate_movements,2,TRUE)</f>
        <v>0.04</v>
      </c>
      <c r="Z171" s="35">
        <f>Y171+VLOOKUP(Rawdata!X166,Int_rate_movements,2,TRUE)</f>
        <v>0.04</v>
      </c>
      <c r="AB171" s="55">
        <f t="shared" si="137"/>
        <v>4.4097712805242217E-2</v>
      </c>
      <c r="AC171" s="55">
        <f t="shared" si="138"/>
        <v>4.4097712805242217E-2</v>
      </c>
      <c r="AD171" s="55">
        <f t="shared" si="139"/>
        <v>4.1693940041970023E-2</v>
      </c>
      <c r="AE171" s="55">
        <f t="shared" si="140"/>
        <v>4.4097712805242217E-2</v>
      </c>
      <c r="AF171" s="55">
        <f t="shared" si="141"/>
        <v>4.4097712805242217E-2</v>
      </c>
      <c r="AG171" s="55">
        <f t="shared" si="142"/>
        <v>4.4097712805242217E-2</v>
      </c>
      <c r="AH171" s="55">
        <f t="shared" si="143"/>
        <v>4.4097712805242217E-2</v>
      </c>
      <c r="AI171" s="55">
        <f t="shared" si="144"/>
        <v>4.4097712805242217E-2</v>
      </c>
      <c r="AJ171" s="55">
        <f t="shared" si="145"/>
        <v>4.4097712805242217E-2</v>
      </c>
      <c r="AK171" s="55">
        <f t="shared" si="146"/>
        <v>4.4097712805242217E-2</v>
      </c>
      <c r="AL171" s="55">
        <f t="shared" si="147"/>
        <v>4.4097712805242217E-2</v>
      </c>
      <c r="AM171" s="55">
        <f t="shared" si="148"/>
        <v>4.4097712805242217E-2</v>
      </c>
      <c r="AN171" s="55">
        <f t="shared" si="149"/>
        <v>4.4097712805242217E-2</v>
      </c>
      <c r="AO171" s="55">
        <f t="shared" si="150"/>
        <v>4.4097712805242217E-2</v>
      </c>
      <c r="AP171" s="55">
        <f t="shared" si="151"/>
        <v>4.4097712805242217E-2</v>
      </c>
      <c r="AQ171" s="55">
        <f t="shared" si="152"/>
        <v>4.4097712805242217E-2</v>
      </c>
      <c r="AR171" s="55">
        <f t="shared" si="153"/>
        <v>4.4097712805242217E-2</v>
      </c>
      <c r="AS171" s="55">
        <f t="shared" si="154"/>
        <v>4.4097712805242217E-2</v>
      </c>
      <c r="AT171" s="55">
        <f t="shared" si="155"/>
        <v>4.4097712805242217E-2</v>
      </c>
      <c r="AU171" s="55">
        <f t="shared" si="156"/>
        <v>4.4097712805242217E-2</v>
      </c>
      <c r="AV171" s="55">
        <f t="shared" si="157"/>
        <v>4.4097712805242217E-2</v>
      </c>
      <c r="AW171" s="55">
        <f t="shared" si="158"/>
        <v>4.4097712805242217E-2</v>
      </c>
      <c r="AX171" s="55">
        <f t="shared" si="159"/>
        <v>4.4097712805242217E-2</v>
      </c>
      <c r="AY171" s="55">
        <f t="shared" si="160"/>
        <v>3.9284877386386974E-2</v>
      </c>
      <c r="AZ171" s="56">
        <f t="shared" si="161"/>
        <v>3.9284877386386974E-2</v>
      </c>
    </row>
    <row r="172" spans="1:52" x14ac:dyDescent="0.35">
      <c r="A172" s="27">
        <v>165</v>
      </c>
      <c r="B172" s="63">
        <f t="shared" si="136"/>
        <v>4.4999999999999998E-2</v>
      </c>
      <c r="C172" s="28">
        <f>B172+VLOOKUP(Rawdata!A167,Int_rate_movements,2,TRUE)</f>
        <v>4.7500000000000001E-2</v>
      </c>
      <c r="D172" s="28">
        <f>C172+VLOOKUP(Rawdata!B167,Int_rate_movements,2,TRUE)</f>
        <v>5.2499999999999998E-2</v>
      </c>
      <c r="E172" s="28">
        <f>D172+VLOOKUP(Rawdata!C167,Int_rate_movements,2,TRUE)</f>
        <v>5.2499999999999998E-2</v>
      </c>
      <c r="F172" s="28">
        <f>E172+VLOOKUP(Rawdata!D167,Int_rate_movements,2,TRUE)</f>
        <v>5.2499999999999998E-2</v>
      </c>
      <c r="G172" s="28">
        <f>F172+VLOOKUP(Rawdata!E167,Int_rate_movements,2,TRUE)</f>
        <v>5.2499999999999998E-2</v>
      </c>
      <c r="H172" s="28">
        <f>G172+VLOOKUP(Rawdata!F167,Int_rate_movements,2,TRUE)</f>
        <v>5.2499999999999998E-2</v>
      </c>
      <c r="I172" s="28">
        <f>H172+VLOOKUP(Rawdata!G167,Int_rate_movements,2,TRUE)</f>
        <v>5.2499999999999998E-2</v>
      </c>
      <c r="J172" s="28">
        <f>I172+VLOOKUP(Rawdata!H167,Int_rate_movements,2,TRUE)</f>
        <v>4.9999999999999996E-2</v>
      </c>
      <c r="K172" s="28">
        <f>J172+VLOOKUP(Rawdata!I167,Int_rate_movements,2,TRUE)</f>
        <v>4.9999999999999996E-2</v>
      </c>
      <c r="L172" s="28">
        <f>K172+VLOOKUP(Rawdata!J167,Int_rate_movements,2,TRUE)</f>
        <v>4.9999999999999996E-2</v>
      </c>
      <c r="M172" s="28">
        <f>L172+VLOOKUP(Rawdata!K167,Int_rate_movements,2,TRUE)</f>
        <v>4.9999999999999996E-2</v>
      </c>
      <c r="N172" s="28">
        <f>M172+VLOOKUP(Rawdata!L167,Int_rate_movements,2,TRUE)</f>
        <v>4.9999999999999996E-2</v>
      </c>
      <c r="O172" s="28">
        <f>N172+VLOOKUP(Rawdata!M167,Int_rate_movements,2,TRUE)</f>
        <v>4.7499999999999994E-2</v>
      </c>
      <c r="P172" s="28">
        <f>O172+VLOOKUP(Rawdata!N167,Int_rate_movements,2,TRUE)</f>
        <v>4.7499999999999994E-2</v>
      </c>
      <c r="Q172" s="28">
        <f>P172+VLOOKUP(Rawdata!O167,Int_rate_movements,2,TRUE)</f>
        <v>4.7499999999999994E-2</v>
      </c>
      <c r="R172" s="28">
        <f>Q172+VLOOKUP(Rawdata!P167,Int_rate_movements,2,TRUE)</f>
        <v>4.9999999999999996E-2</v>
      </c>
      <c r="S172" s="28">
        <f>R172+VLOOKUP(Rawdata!Q167,Int_rate_movements,2,TRUE)</f>
        <v>4.9999999999999996E-2</v>
      </c>
      <c r="T172" s="28">
        <f>S172+VLOOKUP(Rawdata!R167,Int_rate_movements,2,TRUE)</f>
        <v>4.9999999999999996E-2</v>
      </c>
      <c r="U172" s="28">
        <f>T172+VLOOKUP(Rawdata!S167,Int_rate_movements,2,TRUE)</f>
        <v>4.9999999999999996E-2</v>
      </c>
      <c r="V172" s="28">
        <f>U172+VLOOKUP(Rawdata!T167,Int_rate_movements,2,TRUE)</f>
        <v>4.9999999999999996E-2</v>
      </c>
      <c r="W172" s="28">
        <f>V172+VLOOKUP(Rawdata!U167,Int_rate_movements,2,TRUE)</f>
        <v>4.9999999999999996E-2</v>
      </c>
      <c r="X172" s="28">
        <f>W172+VLOOKUP(Rawdata!V167,Int_rate_movements,2,TRUE)</f>
        <v>4.7499999999999994E-2</v>
      </c>
      <c r="Y172" s="28">
        <f>X172+VLOOKUP(Rawdata!W167,Int_rate_movements,2,TRUE)</f>
        <v>4.7499999999999994E-2</v>
      </c>
      <c r="Z172" s="35">
        <f>Y172+VLOOKUP(Rawdata!X167,Int_rate_movements,2,TRUE)</f>
        <v>4.7499999999999994E-2</v>
      </c>
      <c r="AB172" s="55">
        <f t="shared" si="137"/>
        <v>4.4097712805242217E-2</v>
      </c>
      <c r="AC172" s="55">
        <f t="shared" si="138"/>
        <v>4.6496219905550085E-2</v>
      </c>
      <c r="AD172" s="55">
        <f t="shared" si="139"/>
        <v>5.1277533193896829E-2</v>
      </c>
      <c r="AE172" s="55">
        <f t="shared" si="140"/>
        <v>5.1277533193896829E-2</v>
      </c>
      <c r="AF172" s="55">
        <f t="shared" si="141"/>
        <v>5.1277533193896829E-2</v>
      </c>
      <c r="AG172" s="55">
        <f t="shared" si="142"/>
        <v>5.1277533193896829E-2</v>
      </c>
      <c r="AH172" s="55">
        <f t="shared" si="143"/>
        <v>5.1277533193896829E-2</v>
      </c>
      <c r="AI172" s="55">
        <f t="shared" si="144"/>
        <v>5.1277533193896829E-2</v>
      </c>
      <c r="AJ172" s="55">
        <f t="shared" si="145"/>
        <v>4.8889485403780242E-2</v>
      </c>
      <c r="AK172" s="55">
        <f t="shared" si="146"/>
        <v>4.8889485403780242E-2</v>
      </c>
      <c r="AL172" s="55">
        <f t="shared" si="147"/>
        <v>4.8889485403780242E-2</v>
      </c>
      <c r="AM172" s="55">
        <f t="shared" si="148"/>
        <v>4.8889485403780242E-2</v>
      </c>
      <c r="AN172" s="55">
        <f t="shared" si="149"/>
        <v>4.8889485403780242E-2</v>
      </c>
      <c r="AO172" s="55">
        <f t="shared" si="150"/>
        <v>4.6496219905550085E-2</v>
      </c>
      <c r="AP172" s="55">
        <f t="shared" si="151"/>
        <v>4.6496219905550085E-2</v>
      </c>
      <c r="AQ172" s="55">
        <f t="shared" si="152"/>
        <v>4.6496219905550085E-2</v>
      </c>
      <c r="AR172" s="55">
        <f t="shared" si="153"/>
        <v>4.8889485403780242E-2</v>
      </c>
      <c r="AS172" s="55">
        <f t="shared" si="154"/>
        <v>4.8889485403780242E-2</v>
      </c>
      <c r="AT172" s="55">
        <f t="shared" si="155"/>
        <v>4.8889485403780242E-2</v>
      </c>
      <c r="AU172" s="55">
        <f t="shared" si="156"/>
        <v>4.8889485403780242E-2</v>
      </c>
      <c r="AV172" s="55">
        <f t="shared" si="157"/>
        <v>4.8889485403780242E-2</v>
      </c>
      <c r="AW172" s="55">
        <f t="shared" si="158"/>
        <v>4.8889485403780242E-2</v>
      </c>
      <c r="AX172" s="55">
        <f t="shared" si="159"/>
        <v>4.6496219905550085E-2</v>
      </c>
      <c r="AY172" s="55">
        <f t="shared" si="160"/>
        <v>4.6496219905550085E-2</v>
      </c>
      <c r="AZ172" s="56">
        <f t="shared" si="161"/>
        <v>4.6496219905550085E-2</v>
      </c>
    </row>
    <row r="173" spans="1:52" x14ac:dyDescent="0.35">
      <c r="A173" s="5">
        <v>166</v>
      </c>
      <c r="B173" s="63">
        <f t="shared" si="136"/>
        <v>4.4999999999999998E-2</v>
      </c>
      <c r="C173" s="28">
        <f>B173+VLOOKUP(Rawdata!A168,Int_rate_movements,2,TRUE)</f>
        <v>4.4999999999999998E-2</v>
      </c>
      <c r="D173" s="28">
        <f>C173+VLOOKUP(Rawdata!B168,Int_rate_movements,2,TRUE)</f>
        <v>4.7500000000000001E-2</v>
      </c>
      <c r="E173" s="28">
        <f>D173+VLOOKUP(Rawdata!C168,Int_rate_movements,2,TRUE)</f>
        <v>4.4999999999999998E-2</v>
      </c>
      <c r="F173" s="28">
        <f>E173+VLOOKUP(Rawdata!D168,Int_rate_movements,2,TRUE)</f>
        <v>4.4999999999999998E-2</v>
      </c>
      <c r="G173" s="28">
        <f>F173+VLOOKUP(Rawdata!E168,Int_rate_movements,2,TRUE)</f>
        <v>4.4999999999999998E-2</v>
      </c>
      <c r="H173" s="28">
        <f>G173+VLOOKUP(Rawdata!F168,Int_rate_movements,2,TRUE)</f>
        <v>4.4999999999999998E-2</v>
      </c>
      <c r="I173" s="28">
        <f>H173+VLOOKUP(Rawdata!G168,Int_rate_movements,2,TRUE)</f>
        <v>4.4999999999999998E-2</v>
      </c>
      <c r="J173" s="28">
        <f>I173+VLOOKUP(Rawdata!H168,Int_rate_movements,2,TRUE)</f>
        <v>4.7500000000000001E-2</v>
      </c>
      <c r="K173" s="28">
        <f>J173+VLOOKUP(Rawdata!I168,Int_rate_movements,2,TRUE)</f>
        <v>4.7500000000000001E-2</v>
      </c>
      <c r="L173" s="28">
        <f>K173+VLOOKUP(Rawdata!J168,Int_rate_movements,2,TRUE)</f>
        <v>4.7500000000000001E-2</v>
      </c>
      <c r="M173" s="28">
        <f>L173+VLOOKUP(Rawdata!K168,Int_rate_movements,2,TRUE)</f>
        <v>4.7500000000000001E-2</v>
      </c>
      <c r="N173" s="28">
        <f>M173+VLOOKUP(Rawdata!L168,Int_rate_movements,2,TRUE)</f>
        <v>4.7500000000000001E-2</v>
      </c>
      <c r="O173" s="28">
        <f>N173+VLOOKUP(Rawdata!M168,Int_rate_movements,2,TRUE)</f>
        <v>4.7500000000000001E-2</v>
      </c>
      <c r="P173" s="28">
        <f>O173+VLOOKUP(Rawdata!N168,Int_rate_movements,2,TRUE)</f>
        <v>4.7500000000000001E-2</v>
      </c>
      <c r="Q173" s="28">
        <f>P173+VLOOKUP(Rawdata!O168,Int_rate_movements,2,TRUE)</f>
        <v>4.4999999999999998E-2</v>
      </c>
      <c r="R173" s="28">
        <f>Q173+VLOOKUP(Rawdata!P168,Int_rate_movements,2,TRUE)</f>
        <v>4.4999999999999998E-2</v>
      </c>
      <c r="S173" s="28">
        <f>R173+VLOOKUP(Rawdata!Q168,Int_rate_movements,2,TRUE)</f>
        <v>4.4999999999999998E-2</v>
      </c>
      <c r="T173" s="28">
        <f>S173+VLOOKUP(Rawdata!R168,Int_rate_movements,2,TRUE)</f>
        <v>4.4999999999999998E-2</v>
      </c>
      <c r="U173" s="28">
        <f>T173+VLOOKUP(Rawdata!S168,Int_rate_movements,2,TRUE)</f>
        <v>4.4999999999999998E-2</v>
      </c>
      <c r="V173" s="28">
        <f>U173+VLOOKUP(Rawdata!T168,Int_rate_movements,2,TRUE)</f>
        <v>4.4999999999999998E-2</v>
      </c>
      <c r="W173" s="28">
        <f>V173+VLOOKUP(Rawdata!U168,Int_rate_movements,2,TRUE)</f>
        <v>4.4999999999999998E-2</v>
      </c>
      <c r="X173" s="28">
        <f>W173+VLOOKUP(Rawdata!V168,Int_rate_movements,2,TRUE)</f>
        <v>4.4999999999999998E-2</v>
      </c>
      <c r="Y173" s="28">
        <f>X173+VLOOKUP(Rawdata!W168,Int_rate_movements,2,TRUE)</f>
        <v>4.4999999999999998E-2</v>
      </c>
      <c r="Z173" s="35">
        <f>Y173+VLOOKUP(Rawdata!X168,Int_rate_movements,2,TRUE)</f>
        <v>4.4999999999999998E-2</v>
      </c>
      <c r="AB173" s="55">
        <f t="shared" si="137"/>
        <v>4.4097712805242217E-2</v>
      </c>
      <c r="AC173" s="55">
        <f t="shared" si="138"/>
        <v>4.4097712805242217E-2</v>
      </c>
      <c r="AD173" s="55">
        <f t="shared" si="139"/>
        <v>4.6496219905550085E-2</v>
      </c>
      <c r="AE173" s="55">
        <f t="shared" si="140"/>
        <v>4.4097712805242217E-2</v>
      </c>
      <c r="AF173" s="55">
        <f t="shared" si="141"/>
        <v>4.4097712805242217E-2</v>
      </c>
      <c r="AG173" s="55">
        <f t="shared" si="142"/>
        <v>4.4097712805242217E-2</v>
      </c>
      <c r="AH173" s="55">
        <f t="shared" si="143"/>
        <v>4.4097712805242217E-2</v>
      </c>
      <c r="AI173" s="55">
        <f t="shared" si="144"/>
        <v>4.4097712805242217E-2</v>
      </c>
      <c r="AJ173" s="55">
        <f t="shared" si="145"/>
        <v>4.6496219905550085E-2</v>
      </c>
      <c r="AK173" s="55">
        <f t="shared" si="146"/>
        <v>4.6496219905550085E-2</v>
      </c>
      <c r="AL173" s="55">
        <f t="shared" si="147"/>
        <v>4.6496219905550085E-2</v>
      </c>
      <c r="AM173" s="55">
        <f t="shared" si="148"/>
        <v>4.6496219905550085E-2</v>
      </c>
      <c r="AN173" s="55">
        <f t="shared" si="149"/>
        <v>4.6496219905550085E-2</v>
      </c>
      <c r="AO173" s="55">
        <f t="shared" si="150"/>
        <v>4.6496219905550085E-2</v>
      </c>
      <c r="AP173" s="55">
        <f t="shared" si="151"/>
        <v>4.6496219905550085E-2</v>
      </c>
      <c r="AQ173" s="55">
        <f t="shared" si="152"/>
        <v>4.4097712805242217E-2</v>
      </c>
      <c r="AR173" s="55">
        <f t="shared" si="153"/>
        <v>4.4097712805242217E-2</v>
      </c>
      <c r="AS173" s="55">
        <f t="shared" si="154"/>
        <v>4.4097712805242217E-2</v>
      </c>
      <c r="AT173" s="55">
        <f t="shared" si="155"/>
        <v>4.4097712805242217E-2</v>
      </c>
      <c r="AU173" s="55">
        <f t="shared" si="156"/>
        <v>4.4097712805242217E-2</v>
      </c>
      <c r="AV173" s="55">
        <f t="shared" si="157"/>
        <v>4.4097712805242217E-2</v>
      </c>
      <c r="AW173" s="55">
        <f t="shared" si="158"/>
        <v>4.4097712805242217E-2</v>
      </c>
      <c r="AX173" s="55">
        <f t="shared" si="159"/>
        <v>4.4097712805242217E-2</v>
      </c>
      <c r="AY173" s="55">
        <f t="shared" si="160"/>
        <v>4.4097712805242217E-2</v>
      </c>
      <c r="AZ173" s="56">
        <f t="shared" si="161"/>
        <v>4.4097712805242217E-2</v>
      </c>
    </row>
    <row r="174" spans="1:52" x14ac:dyDescent="0.35">
      <c r="A174" s="27">
        <v>167</v>
      </c>
      <c r="B174" s="63">
        <f t="shared" si="136"/>
        <v>4.4999999999999998E-2</v>
      </c>
      <c r="C174" s="28">
        <f>B174+VLOOKUP(Rawdata!A169,Int_rate_movements,2,TRUE)</f>
        <v>4.4999999999999998E-2</v>
      </c>
      <c r="D174" s="28">
        <f>C174+VLOOKUP(Rawdata!B169,Int_rate_movements,2,TRUE)</f>
        <v>4.4999999999999998E-2</v>
      </c>
      <c r="E174" s="28">
        <f>D174+VLOOKUP(Rawdata!C169,Int_rate_movements,2,TRUE)</f>
        <v>4.4999999999999998E-2</v>
      </c>
      <c r="F174" s="28">
        <f>E174+VLOOKUP(Rawdata!D169,Int_rate_movements,2,TRUE)</f>
        <v>4.4999999999999998E-2</v>
      </c>
      <c r="G174" s="28">
        <f>F174+VLOOKUP(Rawdata!E169,Int_rate_movements,2,TRUE)</f>
        <v>4.4999999999999998E-2</v>
      </c>
      <c r="H174" s="28">
        <f>G174+VLOOKUP(Rawdata!F169,Int_rate_movements,2,TRUE)</f>
        <v>4.2499999999999996E-2</v>
      </c>
      <c r="I174" s="28">
        <f>H174+VLOOKUP(Rawdata!G169,Int_rate_movements,2,TRUE)</f>
        <v>4.2499999999999996E-2</v>
      </c>
      <c r="J174" s="28">
        <f>I174+VLOOKUP(Rawdata!H169,Int_rate_movements,2,TRUE)</f>
        <v>4.2499999999999996E-2</v>
      </c>
      <c r="K174" s="28">
        <f>J174+VLOOKUP(Rawdata!I169,Int_rate_movements,2,TRUE)</f>
        <v>4.2499999999999996E-2</v>
      </c>
      <c r="L174" s="28">
        <f>K174+VLOOKUP(Rawdata!J169,Int_rate_movements,2,TRUE)</f>
        <v>4.2499999999999996E-2</v>
      </c>
      <c r="M174" s="28">
        <f>L174+VLOOKUP(Rawdata!K169,Int_rate_movements,2,TRUE)</f>
        <v>4.2499999999999996E-2</v>
      </c>
      <c r="N174" s="28">
        <f>M174+VLOOKUP(Rawdata!L169,Int_rate_movements,2,TRUE)</f>
        <v>4.2499999999999996E-2</v>
      </c>
      <c r="O174" s="28">
        <f>N174+VLOOKUP(Rawdata!M169,Int_rate_movements,2,TRUE)</f>
        <v>4.2499999999999996E-2</v>
      </c>
      <c r="P174" s="28">
        <f>O174+VLOOKUP(Rawdata!N169,Int_rate_movements,2,TRUE)</f>
        <v>4.2499999999999996E-2</v>
      </c>
      <c r="Q174" s="28">
        <f>P174+VLOOKUP(Rawdata!O169,Int_rate_movements,2,TRUE)</f>
        <v>4.2499999999999996E-2</v>
      </c>
      <c r="R174" s="28">
        <f>Q174+VLOOKUP(Rawdata!P169,Int_rate_movements,2,TRUE)</f>
        <v>3.7499999999999999E-2</v>
      </c>
      <c r="S174" s="28">
        <f>R174+VLOOKUP(Rawdata!Q169,Int_rate_movements,2,TRUE)</f>
        <v>3.7499999999999999E-2</v>
      </c>
      <c r="T174" s="28">
        <f>S174+VLOOKUP(Rawdata!R169,Int_rate_movements,2,TRUE)</f>
        <v>3.7499999999999999E-2</v>
      </c>
      <c r="U174" s="28">
        <f>T174+VLOOKUP(Rawdata!S169,Int_rate_movements,2,TRUE)</f>
        <v>3.7499999999999999E-2</v>
      </c>
      <c r="V174" s="28">
        <f>U174+VLOOKUP(Rawdata!T169,Int_rate_movements,2,TRUE)</f>
        <v>3.7499999999999999E-2</v>
      </c>
      <c r="W174" s="28">
        <f>V174+VLOOKUP(Rawdata!U169,Int_rate_movements,2,TRUE)</f>
        <v>3.7499999999999999E-2</v>
      </c>
      <c r="X174" s="28">
        <f>W174+VLOOKUP(Rawdata!V169,Int_rate_movements,2,TRUE)</f>
        <v>3.7499999999999999E-2</v>
      </c>
      <c r="Y174" s="28">
        <f>X174+VLOOKUP(Rawdata!W169,Int_rate_movements,2,TRUE)</f>
        <v>3.7499999999999999E-2</v>
      </c>
      <c r="Z174" s="35">
        <f>Y174+VLOOKUP(Rawdata!X169,Int_rate_movements,2,TRUE)</f>
        <v>3.7499999999999999E-2</v>
      </c>
      <c r="AB174" s="55">
        <f t="shared" si="137"/>
        <v>4.4097712805242217E-2</v>
      </c>
      <c r="AC174" s="55">
        <f t="shared" si="138"/>
        <v>4.4097712805242217E-2</v>
      </c>
      <c r="AD174" s="55">
        <f t="shared" si="139"/>
        <v>4.4097712805242217E-2</v>
      </c>
      <c r="AE174" s="55">
        <f t="shared" si="140"/>
        <v>4.4097712805242217E-2</v>
      </c>
      <c r="AF174" s="55">
        <f t="shared" si="141"/>
        <v>4.4097712805242217E-2</v>
      </c>
      <c r="AG174" s="55">
        <f t="shared" si="142"/>
        <v>4.4097712805242217E-2</v>
      </c>
      <c r="AH174" s="55">
        <f t="shared" si="143"/>
        <v>4.1693940041970023E-2</v>
      </c>
      <c r="AI174" s="55">
        <f t="shared" si="144"/>
        <v>4.1693940041970023E-2</v>
      </c>
      <c r="AJ174" s="55">
        <f t="shared" si="145"/>
        <v>4.1693940041970023E-2</v>
      </c>
      <c r="AK174" s="55">
        <f t="shared" si="146"/>
        <v>4.1693940041970023E-2</v>
      </c>
      <c r="AL174" s="55">
        <f t="shared" si="147"/>
        <v>4.1693940041970023E-2</v>
      </c>
      <c r="AM174" s="55">
        <f t="shared" si="148"/>
        <v>4.1693940041970023E-2</v>
      </c>
      <c r="AN174" s="55">
        <f t="shared" si="149"/>
        <v>4.1693940041970023E-2</v>
      </c>
      <c r="AO174" s="55">
        <f t="shared" si="150"/>
        <v>4.1693940041970023E-2</v>
      </c>
      <c r="AP174" s="55">
        <f t="shared" si="151"/>
        <v>4.1693940041970023E-2</v>
      </c>
      <c r="AQ174" s="55">
        <f t="shared" si="152"/>
        <v>4.1693940041970023E-2</v>
      </c>
      <c r="AR174" s="55">
        <f t="shared" si="153"/>
        <v>3.6870500439066589E-2</v>
      </c>
      <c r="AS174" s="55">
        <f t="shared" si="154"/>
        <v>3.6870500439066589E-2</v>
      </c>
      <c r="AT174" s="55">
        <f t="shared" si="155"/>
        <v>3.6870500439066589E-2</v>
      </c>
      <c r="AU174" s="55">
        <f t="shared" si="156"/>
        <v>3.6870500439066589E-2</v>
      </c>
      <c r="AV174" s="55">
        <f t="shared" si="157"/>
        <v>3.6870500439066589E-2</v>
      </c>
      <c r="AW174" s="55">
        <f t="shared" si="158"/>
        <v>3.6870500439066589E-2</v>
      </c>
      <c r="AX174" s="55">
        <f t="shared" si="159"/>
        <v>3.6870500439066589E-2</v>
      </c>
      <c r="AY174" s="55">
        <f t="shared" si="160"/>
        <v>3.6870500439066589E-2</v>
      </c>
      <c r="AZ174" s="56">
        <f t="shared" si="161"/>
        <v>3.6870500439066589E-2</v>
      </c>
    </row>
    <row r="175" spans="1:52" x14ac:dyDescent="0.35">
      <c r="A175" s="5">
        <v>168</v>
      </c>
      <c r="B175" s="63">
        <f t="shared" si="136"/>
        <v>4.4999999999999998E-2</v>
      </c>
      <c r="C175" s="28">
        <f>B175+VLOOKUP(Rawdata!A170,Int_rate_movements,2,TRUE)</f>
        <v>4.4999999999999998E-2</v>
      </c>
      <c r="D175" s="28">
        <f>C175+VLOOKUP(Rawdata!B170,Int_rate_movements,2,TRUE)</f>
        <v>4.4999999999999998E-2</v>
      </c>
      <c r="E175" s="28">
        <f>D175+VLOOKUP(Rawdata!C170,Int_rate_movements,2,TRUE)</f>
        <v>4.4999999999999998E-2</v>
      </c>
      <c r="F175" s="28">
        <f>E175+VLOOKUP(Rawdata!D170,Int_rate_movements,2,TRUE)</f>
        <v>4.7500000000000001E-2</v>
      </c>
      <c r="G175" s="28">
        <f>F175+VLOOKUP(Rawdata!E170,Int_rate_movements,2,TRUE)</f>
        <v>4.7500000000000001E-2</v>
      </c>
      <c r="H175" s="28">
        <f>G175+VLOOKUP(Rawdata!F170,Int_rate_movements,2,TRUE)</f>
        <v>4.7500000000000001E-2</v>
      </c>
      <c r="I175" s="28">
        <f>H175+VLOOKUP(Rawdata!G170,Int_rate_movements,2,TRUE)</f>
        <v>4.7500000000000001E-2</v>
      </c>
      <c r="J175" s="28">
        <f>I175+VLOOKUP(Rawdata!H170,Int_rate_movements,2,TRUE)</f>
        <v>4.7500000000000001E-2</v>
      </c>
      <c r="K175" s="28">
        <f>J175+VLOOKUP(Rawdata!I170,Int_rate_movements,2,TRUE)</f>
        <v>4.7500000000000001E-2</v>
      </c>
      <c r="L175" s="28">
        <f>K175+VLOOKUP(Rawdata!J170,Int_rate_movements,2,TRUE)</f>
        <v>4.7500000000000001E-2</v>
      </c>
      <c r="M175" s="28">
        <f>L175+VLOOKUP(Rawdata!K170,Int_rate_movements,2,TRUE)</f>
        <v>4.7500000000000001E-2</v>
      </c>
      <c r="N175" s="28">
        <f>M175+VLOOKUP(Rawdata!L170,Int_rate_movements,2,TRUE)</f>
        <v>4.7500000000000001E-2</v>
      </c>
      <c r="O175" s="28">
        <f>N175+VLOOKUP(Rawdata!M170,Int_rate_movements,2,TRUE)</f>
        <v>4.7500000000000001E-2</v>
      </c>
      <c r="P175" s="28">
        <f>O175+VLOOKUP(Rawdata!N170,Int_rate_movements,2,TRUE)</f>
        <v>4.7500000000000001E-2</v>
      </c>
      <c r="Q175" s="28">
        <f>P175+VLOOKUP(Rawdata!O170,Int_rate_movements,2,TRUE)</f>
        <v>4.7500000000000001E-2</v>
      </c>
      <c r="R175" s="28">
        <f>Q175+VLOOKUP(Rawdata!P170,Int_rate_movements,2,TRUE)</f>
        <v>4.7500000000000001E-2</v>
      </c>
      <c r="S175" s="28">
        <f>R175+VLOOKUP(Rawdata!Q170,Int_rate_movements,2,TRUE)</f>
        <v>4.7500000000000001E-2</v>
      </c>
      <c r="T175" s="28">
        <f>S175+VLOOKUP(Rawdata!R170,Int_rate_movements,2,TRUE)</f>
        <v>4.7500000000000001E-2</v>
      </c>
      <c r="U175" s="28">
        <f>T175+VLOOKUP(Rawdata!S170,Int_rate_movements,2,TRUE)</f>
        <v>4.7500000000000001E-2</v>
      </c>
      <c r="V175" s="28">
        <f>U175+VLOOKUP(Rawdata!T170,Int_rate_movements,2,TRUE)</f>
        <v>4.7500000000000001E-2</v>
      </c>
      <c r="W175" s="28">
        <f>V175+VLOOKUP(Rawdata!U170,Int_rate_movements,2,TRUE)</f>
        <v>4.7500000000000001E-2</v>
      </c>
      <c r="X175" s="28">
        <f>W175+VLOOKUP(Rawdata!V170,Int_rate_movements,2,TRUE)</f>
        <v>4.4999999999999998E-2</v>
      </c>
      <c r="Y175" s="28">
        <f>X175+VLOOKUP(Rawdata!W170,Int_rate_movements,2,TRUE)</f>
        <v>4.4999999999999998E-2</v>
      </c>
      <c r="Z175" s="35">
        <f>Y175+VLOOKUP(Rawdata!X170,Int_rate_movements,2,TRUE)</f>
        <v>4.4999999999999998E-2</v>
      </c>
      <c r="AB175" s="55">
        <f t="shared" si="137"/>
        <v>4.4097712805242217E-2</v>
      </c>
      <c r="AC175" s="55">
        <f t="shared" si="138"/>
        <v>4.4097712805242217E-2</v>
      </c>
      <c r="AD175" s="55">
        <f t="shared" si="139"/>
        <v>4.4097712805242217E-2</v>
      </c>
      <c r="AE175" s="55">
        <f t="shared" si="140"/>
        <v>4.4097712805242217E-2</v>
      </c>
      <c r="AF175" s="55">
        <f t="shared" si="141"/>
        <v>4.6496219905550085E-2</v>
      </c>
      <c r="AG175" s="55">
        <f t="shared" si="142"/>
        <v>4.6496219905550085E-2</v>
      </c>
      <c r="AH175" s="55">
        <f t="shared" si="143"/>
        <v>4.6496219905550085E-2</v>
      </c>
      <c r="AI175" s="55">
        <f t="shared" si="144"/>
        <v>4.6496219905550085E-2</v>
      </c>
      <c r="AJ175" s="55">
        <f t="shared" si="145"/>
        <v>4.6496219905550085E-2</v>
      </c>
      <c r="AK175" s="55">
        <f t="shared" si="146"/>
        <v>4.6496219905550085E-2</v>
      </c>
      <c r="AL175" s="55">
        <f t="shared" si="147"/>
        <v>4.6496219905550085E-2</v>
      </c>
      <c r="AM175" s="55">
        <f t="shared" si="148"/>
        <v>4.6496219905550085E-2</v>
      </c>
      <c r="AN175" s="55">
        <f t="shared" si="149"/>
        <v>4.6496219905550085E-2</v>
      </c>
      <c r="AO175" s="55">
        <f t="shared" si="150"/>
        <v>4.6496219905550085E-2</v>
      </c>
      <c r="AP175" s="55">
        <f t="shared" si="151"/>
        <v>4.6496219905550085E-2</v>
      </c>
      <c r="AQ175" s="55">
        <f t="shared" si="152"/>
        <v>4.6496219905550085E-2</v>
      </c>
      <c r="AR175" s="55">
        <f t="shared" si="153"/>
        <v>4.6496219905550085E-2</v>
      </c>
      <c r="AS175" s="55">
        <f t="shared" si="154"/>
        <v>4.6496219905550085E-2</v>
      </c>
      <c r="AT175" s="55">
        <f t="shared" si="155"/>
        <v>4.6496219905550085E-2</v>
      </c>
      <c r="AU175" s="55">
        <f t="shared" si="156"/>
        <v>4.6496219905550085E-2</v>
      </c>
      <c r="AV175" s="55">
        <f t="shared" si="157"/>
        <v>4.6496219905550085E-2</v>
      </c>
      <c r="AW175" s="55">
        <f t="shared" si="158"/>
        <v>4.6496219905550085E-2</v>
      </c>
      <c r="AX175" s="55">
        <f t="shared" si="159"/>
        <v>4.4097712805242217E-2</v>
      </c>
      <c r="AY175" s="55">
        <f t="shared" si="160"/>
        <v>4.4097712805242217E-2</v>
      </c>
      <c r="AZ175" s="56">
        <f t="shared" si="161"/>
        <v>4.4097712805242217E-2</v>
      </c>
    </row>
    <row r="176" spans="1:52" x14ac:dyDescent="0.35">
      <c r="A176" s="27">
        <v>169</v>
      </c>
      <c r="B176" s="63">
        <f t="shared" si="136"/>
        <v>4.4999999999999998E-2</v>
      </c>
      <c r="C176" s="28">
        <f>B176+VLOOKUP(Rawdata!A171,Int_rate_movements,2,TRUE)</f>
        <v>4.4999999999999998E-2</v>
      </c>
      <c r="D176" s="28">
        <f>C176+VLOOKUP(Rawdata!B171,Int_rate_movements,2,TRUE)</f>
        <v>4.4999999999999998E-2</v>
      </c>
      <c r="E176" s="28">
        <f>D176+VLOOKUP(Rawdata!C171,Int_rate_movements,2,TRUE)</f>
        <v>4.4999999999999998E-2</v>
      </c>
      <c r="F176" s="28">
        <f>E176+VLOOKUP(Rawdata!D171,Int_rate_movements,2,TRUE)</f>
        <v>4.4999999999999998E-2</v>
      </c>
      <c r="G176" s="28">
        <f>F176+VLOOKUP(Rawdata!E171,Int_rate_movements,2,TRUE)</f>
        <v>4.4999999999999998E-2</v>
      </c>
      <c r="H176" s="28">
        <f>G176+VLOOKUP(Rawdata!F171,Int_rate_movements,2,TRUE)</f>
        <v>4.4999999999999998E-2</v>
      </c>
      <c r="I176" s="28">
        <f>H176+VLOOKUP(Rawdata!G171,Int_rate_movements,2,TRUE)</f>
        <v>4.4999999999999998E-2</v>
      </c>
      <c r="J176" s="28">
        <f>I176+VLOOKUP(Rawdata!H171,Int_rate_movements,2,TRUE)</f>
        <v>4.4999999999999998E-2</v>
      </c>
      <c r="K176" s="28">
        <f>J176+VLOOKUP(Rawdata!I171,Int_rate_movements,2,TRUE)</f>
        <v>4.4999999999999998E-2</v>
      </c>
      <c r="L176" s="28">
        <f>K176+VLOOKUP(Rawdata!J171,Int_rate_movements,2,TRUE)</f>
        <v>4.4999999999999998E-2</v>
      </c>
      <c r="M176" s="28">
        <f>L176+VLOOKUP(Rawdata!K171,Int_rate_movements,2,TRUE)</f>
        <v>4.4999999999999998E-2</v>
      </c>
      <c r="N176" s="28">
        <f>M176+VLOOKUP(Rawdata!L171,Int_rate_movements,2,TRUE)</f>
        <v>4.4999999999999998E-2</v>
      </c>
      <c r="O176" s="28">
        <f>N176+VLOOKUP(Rawdata!M171,Int_rate_movements,2,TRUE)</f>
        <v>4.4999999999999998E-2</v>
      </c>
      <c r="P176" s="28">
        <f>O176+VLOOKUP(Rawdata!N171,Int_rate_movements,2,TRUE)</f>
        <v>4.4999999999999998E-2</v>
      </c>
      <c r="Q176" s="28">
        <f>P176+VLOOKUP(Rawdata!O171,Int_rate_movements,2,TRUE)</f>
        <v>4.4999999999999998E-2</v>
      </c>
      <c r="R176" s="28">
        <f>Q176+VLOOKUP(Rawdata!P171,Int_rate_movements,2,TRUE)</f>
        <v>4.4999999999999998E-2</v>
      </c>
      <c r="S176" s="28">
        <f>R176+VLOOKUP(Rawdata!Q171,Int_rate_movements,2,TRUE)</f>
        <v>4.4999999999999998E-2</v>
      </c>
      <c r="T176" s="28">
        <f>S176+VLOOKUP(Rawdata!R171,Int_rate_movements,2,TRUE)</f>
        <v>4.4999999999999998E-2</v>
      </c>
      <c r="U176" s="28">
        <f>T176+VLOOKUP(Rawdata!S171,Int_rate_movements,2,TRUE)</f>
        <v>4.4999999999999998E-2</v>
      </c>
      <c r="V176" s="28">
        <f>U176+VLOOKUP(Rawdata!T171,Int_rate_movements,2,TRUE)</f>
        <v>4.4999999999999998E-2</v>
      </c>
      <c r="W176" s="28">
        <f>V176+VLOOKUP(Rawdata!U171,Int_rate_movements,2,TRUE)</f>
        <v>4.4999999999999998E-2</v>
      </c>
      <c r="X176" s="28">
        <f>W176+VLOOKUP(Rawdata!V171,Int_rate_movements,2,TRUE)</f>
        <v>4.4999999999999998E-2</v>
      </c>
      <c r="Y176" s="28">
        <f>X176+VLOOKUP(Rawdata!W171,Int_rate_movements,2,TRUE)</f>
        <v>4.4999999999999998E-2</v>
      </c>
      <c r="Z176" s="35">
        <f>Y176+VLOOKUP(Rawdata!X171,Int_rate_movements,2,TRUE)</f>
        <v>4.2499999999999996E-2</v>
      </c>
      <c r="AB176" s="55">
        <f t="shared" si="137"/>
        <v>4.4097712805242217E-2</v>
      </c>
      <c r="AC176" s="55">
        <f t="shared" si="138"/>
        <v>4.4097712805242217E-2</v>
      </c>
      <c r="AD176" s="55">
        <f t="shared" si="139"/>
        <v>4.4097712805242217E-2</v>
      </c>
      <c r="AE176" s="55">
        <f t="shared" si="140"/>
        <v>4.4097712805242217E-2</v>
      </c>
      <c r="AF176" s="55">
        <f t="shared" si="141"/>
        <v>4.4097712805242217E-2</v>
      </c>
      <c r="AG176" s="55">
        <f t="shared" si="142"/>
        <v>4.4097712805242217E-2</v>
      </c>
      <c r="AH176" s="55">
        <f t="shared" si="143"/>
        <v>4.4097712805242217E-2</v>
      </c>
      <c r="AI176" s="55">
        <f t="shared" si="144"/>
        <v>4.4097712805242217E-2</v>
      </c>
      <c r="AJ176" s="55">
        <f t="shared" si="145"/>
        <v>4.4097712805242217E-2</v>
      </c>
      <c r="AK176" s="55">
        <f t="shared" si="146"/>
        <v>4.4097712805242217E-2</v>
      </c>
      <c r="AL176" s="55">
        <f t="shared" si="147"/>
        <v>4.4097712805242217E-2</v>
      </c>
      <c r="AM176" s="55">
        <f t="shared" si="148"/>
        <v>4.4097712805242217E-2</v>
      </c>
      <c r="AN176" s="55">
        <f t="shared" si="149"/>
        <v>4.4097712805242217E-2</v>
      </c>
      <c r="AO176" s="55">
        <f t="shared" si="150"/>
        <v>4.4097712805242217E-2</v>
      </c>
      <c r="AP176" s="55">
        <f t="shared" si="151"/>
        <v>4.4097712805242217E-2</v>
      </c>
      <c r="AQ176" s="55">
        <f t="shared" si="152"/>
        <v>4.4097712805242217E-2</v>
      </c>
      <c r="AR176" s="55">
        <f t="shared" si="153"/>
        <v>4.4097712805242217E-2</v>
      </c>
      <c r="AS176" s="55">
        <f t="shared" si="154"/>
        <v>4.4097712805242217E-2</v>
      </c>
      <c r="AT176" s="55">
        <f t="shared" si="155"/>
        <v>4.4097712805242217E-2</v>
      </c>
      <c r="AU176" s="55">
        <f t="shared" si="156"/>
        <v>4.4097712805242217E-2</v>
      </c>
      <c r="AV176" s="55">
        <f t="shared" si="157"/>
        <v>4.4097712805242217E-2</v>
      </c>
      <c r="AW176" s="55">
        <f t="shared" si="158"/>
        <v>4.4097712805242217E-2</v>
      </c>
      <c r="AX176" s="55">
        <f t="shared" si="159"/>
        <v>4.4097712805242217E-2</v>
      </c>
      <c r="AY176" s="55">
        <f t="shared" si="160"/>
        <v>4.4097712805242217E-2</v>
      </c>
      <c r="AZ176" s="56">
        <f t="shared" si="161"/>
        <v>4.1693940041970023E-2</v>
      </c>
    </row>
    <row r="177" spans="1:52" x14ac:dyDescent="0.35">
      <c r="A177" s="5">
        <v>170</v>
      </c>
      <c r="B177" s="63">
        <f t="shared" si="136"/>
        <v>4.4999999999999998E-2</v>
      </c>
      <c r="C177" s="28">
        <f>B177+VLOOKUP(Rawdata!A172,Int_rate_movements,2,TRUE)</f>
        <v>4.4999999999999998E-2</v>
      </c>
      <c r="D177" s="28">
        <f>C177+VLOOKUP(Rawdata!B172,Int_rate_movements,2,TRUE)</f>
        <v>4.4999999999999998E-2</v>
      </c>
      <c r="E177" s="28">
        <f>D177+VLOOKUP(Rawdata!C172,Int_rate_movements,2,TRUE)</f>
        <v>4.4999999999999998E-2</v>
      </c>
      <c r="F177" s="28">
        <f>E177+VLOOKUP(Rawdata!D172,Int_rate_movements,2,TRUE)</f>
        <v>4.4999999999999998E-2</v>
      </c>
      <c r="G177" s="28">
        <f>F177+VLOOKUP(Rawdata!E172,Int_rate_movements,2,TRUE)</f>
        <v>4.4999999999999998E-2</v>
      </c>
      <c r="H177" s="28">
        <f>G177+VLOOKUP(Rawdata!F172,Int_rate_movements,2,TRUE)</f>
        <v>4.4999999999999998E-2</v>
      </c>
      <c r="I177" s="28">
        <f>H177+VLOOKUP(Rawdata!G172,Int_rate_movements,2,TRUE)</f>
        <v>4.4999999999999998E-2</v>
      </c>
      <c r="J177" s="28">
        <f>I177+VLOOKUP(Rawdata!H172,Int_rate_movements,2,TRUE)</f>
        <v>4.4999999999999998E-2</v>
      </c>
      <c r="K177" s="28">
        <f>J177+VLOOKUP(Rawdata!I172,Int_rate_movements,2,TRUE)</f>
        <v>4.4999999999999998E-2</v>
      </c>
      <c r="L177" s="28">
        <f>K177+VLOOKUP(Rawdata!J172,Int_rate_movements,2,TRUE)</f>
        <v>4.2499999999999996E-2</v>
      </c>
      <c r="M177" s="28">
        <f>L177+VLOOKUP(Rawdata!K172,Int_rate_movements,2,TRUE)</f>
        <v>4.2499999999999996E-2</v>
      </c>
      <c r="N177" s="28">
        <f>M177+VLOOKUP(Rawdata!L172,Int_rate_movements,2,TRUE)</f>
        <v>4.2499999999999996E-2</v>
      </c>
      <c r="O177" s="28">
        <f>N177+VLOOKUP(Rawdata!M172,Int_rate_movements,2,TRUE)</f>
        <v>4.2499999999999996E-2</v>
      </c>
      <c r="P177" s="28">
        <f>O177+VLOOKUP(Rawdata!N172,Int_rate_movements,2,TRUE)</f>
        <v>4.2499999999999996E-2</v>
      </c>
      <c r="Q177" s="28">
        <f>P177+VLOOKUP(Rawdata!O172,Int_rate_movements,2,TRUE)</f>
        <v>4.2499999999999996E-2</v>
      </c>
      <c r="R177" s="28">
        <f>Q177+VLOOKUP(Rawdata!P172,Int_rate_movements,2,TRUE)</f>
        <v>4.4999999999999998E-2</v>
      </c>
      <c r="S177" s="28">
        <f>R177+VLOOKUP(Rawdata!Q172,Int_rate_movements,2,TRUE)</f>
        <v>4.4999999999999998E-2</v>
      </c>
      <c r="T177" s="28">
        <f>S177+VLOOKUP(Rawdata!R172,Int_rate_movements,2,TRUE)</f>
        <v>4.2499999999999996E-2</v>
      </c>
      <c r="U177" s="28">
        <f>T177+VLOOKUP(Rawdata!S172,Int_rate_movements,2,TRUE)</f>
        <v>4.2499999999999996E-2</v>
      </c>
      <c r="V177" s="28">
        <f>U177+VLOOKUP(Rawdata!T172,Int_rate_movements,2,TRUE)</f>
        <v>4.2499999999999996E-2</v>
      </c>
      <c r="W177" s="28">
        <f>V177+VLOOKUP(Rawdata!U172,Int_rate_movements,2,TRUE)</f>
        <v>4.2499999999999996E-2</v>
      </c>
      <c r="X177" s="28">
        <f>W177+VLOOKUP(Rawdata!V172,Int_rate_movements,2,TRUE)</f>
        <v>3.9999999999999994E-2</v>
      </c>
      <c r="Y177" s="28">
        <f>X177+VLOOKUP(Rawdata!W172,Int_rate_movements,2,TRUE)</f>
        <v>3.9999999999999994E-2</v>
      </c>
      <c r="Z177" s="35">
        <f>Y177+VLOOKUP(Rawdata!X172,Int_rate_movements,2,TRUE)</f>
        <v>3.9999999999999994E-2</v>
      </c>
      <c r="AB177" s="55">
        <f t="shared" si="137"/>
        <v>4.4097712805242217E-2</v>
      </c>
      <c r="AC177" s="55">
        <f t="shared" si="138"/>
        <v>4.4097712805242217E-2</v>
      </c>
      <c r="AD177" s="55">
        <f t="shared" si="139"/>
        <v>4.4097712805242217E-2</v>
      </c>
      <c r="AE177" s="55">
        <f t="shared" si="140"/>
        <v>4.4097712805242217E-2</v>
      </c>
      <c r="AF177" s="55">
        <f t="shared" si="141"/>
        <v>4.4097712805242217E-2</v>
      </c>
      <c r="AG177" s="55">
        <f t="shared" si="142"/>
        <v>4.4097712805242217E-2</v>
      </c>
      <c r="AH177" s="55">
        <f t="shared" si="143"/>
        <v>4.4097712805242217E-2</v>
      </c>
      <c r="AI177" s="55">
        <f t="shared" si="144"/>
        <v>4.4097712805242217E-2</v>
      </c>
      <c r="AJ177" s="55">
        <f t="shared" si="145"/>
        <v>4.4097712805242217E-2</v>
      </c>
      <c r="AK177" s="55">
        <f t="shared" si="146"/>
        <v>4.4097712805242217E-2</v>
      </c>
      <c r="AL177" s="55">
        <f t="shared" si="147"/>
        <v>4.1693940041970023E-2</v>
      </c>
      <c r="AM177" s="55">
        <f t="shared" si="148"/>
        <v>4.1693940041970023E-2</v>
      </c>
      <c r="AN177" s="55">
        <f t="shared" si="149"/>
        <v>4.1693940041970023E-2</v>
      </c>
      <c r="AO177" s="55">
        <f t="shared" si="150"/>
        <v>4.1693940041970023E-2</v>
      </c>
      <c r="AP177" s="55">
        <f t="shared" si="151"/>
        <v>4.1693940041970023E-2</v>
      </c>
      <c r="AQ177" s="55">
        <f t="shared" si="152"/>
        <v>4.1693940041970023E-2</v>
      </c>
      <c r="AR177" s="55">
        <f t="shared" si="153"/>
        <v>4.4097712805242217E-2</v>
      </c>
      <c r="AS177" s="55">
        <f t="shared" si="154"/>
        <v>4.4097712805242217E-2</v>
      </c>
      <c r="AT177" s="55">
        <f t="shared" si="155"/>
        <v>4.1693940041970023E-2</v>
      </c>
      <c r="AU177" s="55">
        <f t="shared" si="156"/>
        <v>4.1693940041970023E-2</v>
      </c>
      <c r="AV177" s="55">
        <f t="shared" si="157"/>
        <v>4.1693940041970023E-2</v>
      </c>
      <c r="AW177" s="55">
        <f t="shared" si="158"/>
        <v>4.1693940041970023E-2</v>
      </c>
      <c r="AX177" s="55">
        <f t="shared" si="159"/>
        <v>3.9284877386386974E-2</v>
      </c>
      <c r="AY177" s="55">
        <f t="shared" si="160"/>
        <v>3.9284877386386974E-2</v>
      </c>
      <c r="AZ177" s="56">
        <f t="shared" si="161"/>
        <v>3.9284877386386974E-2</v>
      </c>
    </row>
    <row r="178" spans="1:52" x14ac:dyDescent="0.35">
      <c r="A178" s="27">
        <v>171</v>
      </c>
      <c r="B178" s="63">
        <f t="shared" si="136"/>
        <v>4.4999999999999998E-2</v>
      </c>
      <c r="C178" s="28">
        <f>B178+VLOOKUP(Rawdata!A173,Int_rate_movements,2,TRUE)</f>
        <v>4.4999999999999998E-2</v>
      </c>
      <c r="D178" s="28">
        <f>C178+VLOOKUP(Rawdata!B173,Int_rate_movements,2,TRUE)</f>
        <v>4.4999999999999998E-2</v>
      </c>
      <c r="E178" s="28">
        <f>D178+VLOOKUP(Rawdata!C173,Int_rate_movements,2,TRUE)</f>
        <v>4.4999999999999998E-2</v>
      </c>
      <c r="F178" s="28">
        <f>E178+VLOOKUP(Rawdata!D173,Int_rate_movements,2,TRUE)</f>
        <v>4.7500000000000001E-2</v>
      </c>
      <c r="G178" s="28">
        <f>F178+VLOOKUP(Rawdata!E173,Int_rate_movements,2,TRUE)</f>
        <v>4.7500000000000001E-2</v>
      </c>
      <c r="H178" s="28">
        <f>G178+VLOOKUP(Rawdata!F173,Int_rate_movements,2,TRUE)</f>
        <v>4.7500000000000001E-2</v>
      </c>
      <c r="I178" s="28">
        <f>H178+VLOOKUP(Rawdata!G173,Int_rate_movements,2,TRUE)</f>
        <v>4.7500000000000001E-2</v>
      </c>
      <c r="J178" s="28">
        <f>I178+VLOOKUP(Rawdata!H173,Int_rate_movements,2,TRUE)</f>
        <v>4.7500000000000001E-2</v>
      </c>
      <c r="K178" s="28">
        <f>J178+VLOOKUP(Rawdata!I173,Int_rate_movements,2,TRUE)</f>
        <v>4.7500000000000001E-2</v>
      </c>
      <c r="L178" s="28">
        <f>K178+VLOOKUP(Rawdata!J173,Int_rate_movements,2,TRUE)</f>
        <v>0.05</v>
      </c>
      <c r="M178" s="28">
        <f>L178+VLOOKUP(Rawdata!K173,Int_rate_movements,2,TRUE)</f>
        <v>0.05</v>
      </c>
      <c r="N178" s="28">
        <f>M178+VLOOKUP(Rawdata!L173,Int_rate_movements,2,TRUE)</f>
        <v>0.05</v>
      </c>
      <c r="O178" s="28">
        <f>N178+VLOOKUP(Rawdata!M173,Int_rate_movements,2,TRUE)</f>
        <v>0.05</v>
      </c>
      <c r="P178" s="28">
        <f>O178+VLOOKUP(Rawdata!N173,Int_rate_movements,2,TRUE)</f>
        <v>0.05</v>
      </c>
      <c r="Q178" s="28">
        <f>P178+VLOOKUP(Rawdata!O173,Int_rate_movements,2,TRUE)</f>
        <v>0.05</v>
      </c>
      <c r="R178" s="28">
        <f>Q178+VLOOKUP(Rawdata!P173,Int_rate_movements,2,TRUE)</f>
        <v>0.05</v>
      </c>
      <c r="S178" s="28">
        <f>R178+VLOOKUP(Rawdata!Q173,Int_rate_movements,2,TRUE)</f>
        <v>0.05</v>
      </c>
      <c r="T178" s="28">
        <f>S178+VLOOKUP(Rawdata!R173,Int_rate_movements,2,TRUE)</f>
        <v>0.05</v>
      </c>
      <c r="U178" s="28">
        <f>T178+VLOOKUP(Rawdata!S173,Int_rate_movements,2,TRUE)</f>
        <v>0.05</v>
      </c>
      <c r="V178" s="28">
        <f>U178+VLOOKUP(Rawdata!T173,Int_rate_movements,2,TRUE)</f>
        <v>0.05</v>
      </c>
      <c r="W178" s="28">
        <f>V178+VLOOKUP(Rawdata!U173,Int_rate_movements,2,TRUE)</f>
        <v>0.05</v>
      </c>
      <c r="X178" s="28">
        <f>W178+VLOOKUP(Rawdata!V173,Int_rate_movements,2,TRUE)</f>
        <v>0.05</v>
      </c>
      <c r="Y178" s="28">
        <f>X178+VLOOKUP(Rawdata!W173,Int_rate_movements,2,TRUE)</f>
        <v>0.05</v>
      </c>
      <c r="Z178" s="35">
        <f>Y178+VLOOKUP(Rawdata!X173,Int_rate_movements,2,TRUE)</f>
        <v>0.05</v>
      </c>
      <c r="AB178" s="55">
        <f t="shared" si="137"/>
        <v>4.4097712805242217E-2</v>
      </c>
      <c r="AC178" s="55">
        <f t="shared" si="138"/>
        <v>4.4097712805242217E-2</v>
      </c>
      <c r="AD178" s="55">
        <f t="shared" si="139"/>
        <v>4.4097712805242217E-2</v>
      </c>
      <c r="AE178" s="55">
        <f t="shared" si="140"/>
        <v>4.4097712805242217E-2</v>
      </c>
      <c r="AF178" s="55">
        <f t="shared" si="141"/>
        <v>4.6496219905550085E-2</v>
      </c>
      <c r="AG178" s="55">
        <f t="shared" si="142"/>
        <v>4.6496219905550085E-2</v>
      </c>
      <c r="AH178" s="55">
        <f t="shared" si="143"/>
        <v>4.6496219905550085E-2</v>
      </c>
      <c r="AI178" s="55">
        <f t="shared" si="144"/>
        <v>4.6496219905550085E-2</v>
      </c>
      <c r="AJ178" s="55">
        <f t="shared" si="145"/>
        <v>4.6496219905550085E-2</v>
      </c>
      <c r="AK178" s="55">
        <f t="shared" si="146"/>
        <v>4.6496219905550085E-2</v>
      </c>
      <c r="AL178" s="55">
        <f t="shared" si="147"/>
        <v>4.8889485403780242E-2</v>
      </c>
      <c r="AM178" s="55">
        <f t="shared" si="148"/>
        <v>4.8889485403780242E-2</v>
      </c>
      <c r="AN178" s="55">
        <f t="shared" si="149"/>
        <v>4.8889485403780242E-2</v>
      </c>
      <c r="AO178" s="55">
        <f t="shared" si="150"/>
        <v>4.8889485403780242E-2</v>
      </c>
      <c r="AP178" s="55">
        <f t="shared" si="151"/>
        <v>4.8889485403780242E-2</v>
      </c>
      <c r="AQ178" s="55">
        <f t="shared" si="152"/>
        <v>4.8889485403780242E-2</v>
      </c>
      <c r="AR178" s="55">
        <f t="shared" si="153"/>
        <v>4.8889485403780242E-2</v>
      </c>
      <c r="AS178" s="55">
        <f t="shared" si="154"/>
        <v>4.8889485403780242E-2</v>
      </c>
      <c r="AT178" s="55">
        <f t="shared" si="155"/>
        <v>4.8889485403780242E-2</v>
      </c>
      <c r="AU178" s="55">
        <f t="shared" si="156"/>
        <v>4.8889485403780242E-2</v>
      </c>
      <c r="AV178" s="55">
        <f t="shared" si="157"/>
        <v>4.8889485403780242E-2</v>
      </c>
      <c r="AW178" s="55">
        <f t="shared" si="158"/>
        <v>4.8889485403780242E-2</v>
      </c>
      <c r="AX178" s="55">
        <f t="shared" si="159"/>
        <v>4.8889485403780242E-2</v>
      </c>
      <c r="AY178" s="55">
        <f t="shared" si="160"/>
        <v>4.8889485403780242E-2</v>
      </c>
      <c r="AZ178" s="56">
        <f t="shared" si="161"/>
        <v>4.8889485403780242E-2</v>
      </c>
    </row>
    <row r="179" spans="1:52" x14ac:dyDescent="0.35">
      <c r="A179" s="5">
        <v>172</v>
      </c>
      <c r="B179" s="63">
        <f t="shared" si="136"/>
        <v>4.4999999999999998E-2</v>
      </c>
      <c r="C179" s="28">
        <f>B179+VLOOKUP(Rawdata!A174,Int_rate_movements,2,TRUE)</f>
        <v>4.4999999999999998E-2</v>
      </c>
      <c r="D179" s="28">
        <f>C179+VLOOKUP(Rawdata!B174,Int_rate_movements,2,TRUE)</f>
        <v>4.4999999999999998E-2</v>
      </c>
      <c r="E179" s="28">
        <f>D179+VLOOKUP(Rawdata!C174,Int_rate_movements,2,TRUE)</f>
        <v>4.4999999999999998E-2</v>
      </c>
      <c r="F179" s="28">
        <f>E179+VLOOKUP(Rawdata!D174,Int_rate_movements,2,TRUE)</f>
        <v>4.4999999999999998E-2</v>
      </c>
      <c r="G179" s="28">
        <f>F179+VLOOKUP(Rawdata!E174,Int_rate_movements,2,TRUE)</f>
        <v>4.4999999999999998E-2</v>
      </c>
      <c r="H179" s="28">
        <f>G179+VLOOKUP(Rawdata!F174,Int_rate_movements,2,TRUE)</f>
        <v>4.4999999999999998E-2</v>
      </c>
      <c r="I179" s="28">
        <f>H179+VLOOKUP(Rawdata!G174,Int_rate_movements,2,TRUE)</f>
        <v>4.4999999999999998E-2</v>
      </c>
      <c r="J179" s="28">
        <f>I179+VLOOKUP(Rawdata!H174,Int_rate_movements,2,TRUE)</f>
        <v>4.4999999999999998E-2</v>
      </c>
      <c r="K179" s="28">
        <f>J179+VLOOKUP(Rawdata!I174,Int_rate_movements,2,TRUE)</f>
        <v>4.4999999999999998E-2</v>
      </c>
      <c r="L179" s="28">
        <f>K179+VLOOKUP(Rawdata!J174,Int_rate_movements,2,TRUE)</f>
        <v>4.4999999999999998E-2</v>
      </c>
      <c r="M179" s="28">
        <f>L179+VLOOKUP(Rawdata!K174,Int_rate_movements,2,TRUE)</f>
        <v>4.4999999999999998E-2</v>
      </c>
      <c r="N179" s="28">
        <f>M179+VLOOKUP(Rawdata!L174,Int_rate_movements,2,TRUE)</f>
        <v>4.4999999999999998E-2</v>
      </c>
      <c r="O179" s="28">
        <f>N179+VLOOKUP(Rawdata!M174,Int_rate_movements,2,TRUE)</f>
        <v>4.4999999999999998E-2</v>
      </c>
      <c r="P179" s="28">
        <f>O179+VLOOKUP(Rawdata!N174,Int_rate_movements,2,TRUE)</f>
        <v>4.4999999999999998E-2</v>
      </c>
      <c r="Q179" s="28">
        <f>P179+VLOOKUP(Rawdata!O174,Int_rate_movements,2,TRUE)</f>
        <v>4.4999999999999998E-2</v>
      </c>
      <c r="R179" s="28">
        <f>Q179+VLOOKUP(Rawdata!P174,Int_rate_movements,2,TRUE)</f>
        <v>4.4999999999999998E-2</v>
      </c>
      <c r="S179" s="28">
        <f>R179+VLOOKUP(Rawdata!Q174,Int_rate_movements,2,TRUE)</f>
        <v>4.4999999999999998E-2</v>
      </c>
      <c r="T179" s="28">
        <f>S179+VLOOKUP(Rawdata!R174,Int_rate_movements,2,TRUE)</f>
        <v>4.4999999999999998E-2</v>
      </c>
      <c r="U179" s="28">
        <f>T179+VLOOKUP(Rawdata!S174,Int_rate_movements,2,TRUE)</f>
        <v>4.4999999999999998E-2</v>
      </c>
      <c r="V179" s="28">
        <f>U179+VLOOKUP(Rawdata!T174,Int_rate_movements,2,TRUE)</f>
        <v>4.4999999999999998E-2</v>
      </c>
      <c r="W179" s="28">
        <f>V179+VLOOKUP(Rawdata!U174,Int_rate_movements,2,TRUE)</f>
        <v>4.4999999999999998E-2</v>
      </c>
      <c r="X179" s="28">
        <f>W179+VLOOKUP(Rawdata!V174,Int_rate_movements,2,TRUE)</f>
        <v>4.4999999999999998E-2</v>
      </c>
      <c r="Y179" s="28">
        <f>X179+VLOOKUP(Rawdata!W174,Int_rate_movements,2,TRUE)</f>
        <v>4.4999999999999998E-2</v>
      </c>
      <c r="Z179" s="35">
        <f>Y179+VLOOKUP(Rawdata!X174,Int_rate_movements,2,TRUE)</f>
        <v>4.4999999999999998E-2</v>
      </c>
      <c r="AB179" s="55">
        <f t="shared" si="137"/>
        <v>4.4097712805242217E-2</v>
      </c>
      <c r="AC179" s="55">
        <f t="shared" si="138"/>
        <v>4.4097712805242217E-2</v>
      </c>
      <c r="AD179" s="55">
        <f t="shared" si="139"/>
        <v>4.4097712805242217E-2</v>
      </c>
      <c r="AE179" s="55">
        <f t="shared" si="140"/>
        <v>4.4097712805242217E-2</v>
      </c>
      <c r="AF179" s="55">
        <f t="shared" si="141"/>
        <v>4.4097712805242217E-2</v>
      </c>
      <c r="AG179" s="55">
        <f t="shared" si="142"/>
        <v>4.4097712805242217E-2</v>
      </c>
      <c r="AH179" s="55">
        <f t="shared" si="143"/>
        <v>4.4097712805242217E-2</v>
      </c>
      <c r="AI179" s="55">
        <f t="shared" si="144"/>
        <v>4.4097712805242217E-2</v>
      </c>
      <c r="AJ179" s="55">
        <f t="shared" si="145"/>
        <v>4.4097712805242217E-2</v>
      </c>
      <c r="AK179" s="55">
        <f t="shared" si="146"/>
        <v>4.4097712805242217E-2</v>
      </c>
      <c r="AL179" s="55">
        <f t="shared" si="147"/>
        <v>4.4097712805242217E-2</v>
      </c>
      <c r="AM179" s="55">
        <f t="shared" si="148"/>
        <v>4.4097712805242217E-2</v>
      </c>
      <c r="AN179" s="55">
        <f t="shared" si="149"/>
        <v>4.4097712805242217E-2</v>
      </c>
      <c r="AO179" s="55">
        <f t="shared" si="150"/>
        <v>4.4097712805242217E-2</v>
      </c>
      <c r="AP179" s="55">
        <f t="shared" si="151"/>
        <v>4.4097712805242217E-2</v>
      </c>
      <c r="AQ179" s="55">
        <f t="shared" si="152"/>
        <v>4.4097712805242217E-2</v>
      </c>
      <c r="AR179" s="55">
        <f t="shared" si="153"/>
        <v>4.4097712805242217E-2</v>
      </c>
      <c r="AS179" s="55">
        <f t="shared" si="154"/>
        <v>4.4097712805242217E-2</v>
      </c>
      <c r="AT179" s="55">
        <f t="shared" si="155"/>
        <v>4.4097712805242217E-2</v>
      </c>
      <c r="AU179" s="55">
        <f t="shared" si="156"/>
        <v>4.4097712805242217E-2</v>
      </c>
      <c r="AV179" s="55">
        <f t="shared" si="157"/>
        <v>4.4097712805242217E-2</v>
      </c>
      <c r="AW179" s="55">
        <f t="shared" si="158"/>
        <v>4.4097712805242217E-2</v>
      </c>
      <c r="AX179" s="55">
        <f t="shared" si="159"/>
        <v>4.4097712805242217E-2</v>
      </c>
      <c r="AY179" s="55">
        <f t="shared" si="160"/>
        <v>4.4097712805242217E-2</v>
      </c>
      <c r="AZ179" s="56">
        <f t="shared" si="161"/>
        <v>4.4097712805242217E-2</v>
      </c>
    </row>
    <row r="180" spans="1:52" x14ac:dyDescent="0.35">
      <c r="A180" s="27">
        <v>173</v>
      </c>
      <c r="B180" s="63">
        <f t="shared" si="136"/>
        <v>4.4999999999999998E-2</v>
      </c>
      <c r="C180" s="28">
        <f>B180+VLOOKUP(Rawdata!A175,Int_rate_movements,2,TRUE)</f>
        <v>4.7500000000000001E-2</v>
      </c>
      <c r="D180" s="28">
        <f>C180+VLOOKUP(Rawdata!B175,Int_rate_movements,2,TRUE)</f>
        <v>4.7500000000000001E-2</v>
      </c>
      <c r="E180" s="28">
        <f>D180+VLOOKUP(Rawdata!C175,Int_rate_movements,2,TRUE)</f>
        <v>4.7500000000000001E-2</v>
      </c>
      <c r="F180" s="28">
        <f>E180+VLOOKUP(Rawdata!D175,Int_rate_movements,2,TRUE)</f>
        <v>4.7500000000000001E-2</v>
      </c>
      <c r="G180" s="28">
        <f>F180+VLOOKUP(Rawdata!E175,Int_rate_movements,2,TRUE)</f>
        <v>4.7500000000000001E-2</v>
      </c>
      <c r="H180" s="28">
        <f>G180+VLOOKUP(Rawdata!F175,Int_rate_movements,2,TRUE)</f>
        <v>4.7500000000000001E-2</v>
      </c>
      <c r="I180" s="28">
        <f>H180+VLOOKUP(Rawdata!G175,Int_rate_movements,2,TRUE)</f>
        <v>4.7500000000000001E-2</v>
      </c>
      <c r="J180" s="28">
        <f>I180+VLOOKUP(Rawdata!H175,Int_rate_movements,2,TRUE)</f>
        <v>4.7500000000000001E-2</v>
      </c>
      <c r="K180" s="28">
        <f>J180+VLOOKUP(Rawdata!I175,Int_rate_movements,2,TRUE)</f>
        <v>4.7500000000000001E-2</v>
      </c>
      <c r="L180" s="28">
        <f>K180+VLOOKUP(Rawdata!J175,Int_rate_movements,2,TRUE)</f>
        <v>4.7500000000000001E-2</v>
      </c>
      <c r="M180" s="28">
        <f>L180+VLOOKUP(Rawdata!K175,Int_rate_movements,2,TRUE)</f>
        <v>4.7500000000000001E-2</v>
      </c>
      <c r="N180" s="28">
        <f>M180+VLOOKUP(Rawdata!L175,Int_rate_movements,2,TRUE)</f>
        <v>4.7500000000000001E-2</v>
      </c>
      <c r="O180" s="28">
        <f>N180+VLOOKUP(Rawdata!M175,Int_rate_movements,2,TRUE)</f>
        <v>4.7500000000000001E-2</v>
      </c>
      <c r="P180" s="28">
        <f>O180+VLOOKUP(Rawdata!N175,Int_rate_movements,2,TRUE)</f>
        <v>4.7500000000000001E-2</v>
      </c>
      <c r="Q180" s="28">
        <f>P180+VLOOKUP(Rawdata!O175,Int_rate_movements,2,TRUE)</f>
        <v>4.7500000000000001E-2</v>
      </c>
      <c r="R180" s="28">
        <f>Q180+VLOOKUP(Rawdata!P175,Int_rate_movements,2,TRUE)</f>
        <v>4.7500000000000001E-2</v>
      </c>
      <c r="S180" s="28">
        <f>R180+VLOOKUP(Rawdata!Q175,Int_rate_movements,2,TRUE)</f>
        <v>4.7500000000000001E-2</v>
      </c>
      <c r="T180" s="28">
        <f>S180+VLOOKUP(Rawdata!R175,Int_rate_movements,2,TRUE)</f>
        <v>4.7500000000000001E-2</v>
      </c>
      <c r="U180" s="28">
        <f>T180+VLOOKUP(Rawdata!S175,Int_rate_movements,2,TRUE)</f>
        <v>4.2500000000000003E-2</v>
      </c>
      <c r="V180" s="28">
        <f>U180+VLOOKUP(Rawdata!T175,Int_rate_movements,2,TRUE)</f>
        <v>4.2500000000000003E-2</v>
      </c>
      <c r="W180" s="28">
        <f>V180+VLOOKUP(Rawdata!U175,Int_rate_movements,2,TRUE)</f>
        <v>4.2500000000000003E-2</v>
      </c>
      <c r="X180" s="28">
        <f>W180+VLOOKUP(Rawdata!V175,Int_rate_movements,2,TRUE)</f>
        <v>4.5000000000000005E-2</v>
      </c>
      <c r="Y180" s="28">
        <f>X180+VLOOKUP(Rawdata!W175,Int_rate_movements,2,TRUE)</f>
        <v>4.5000000000000005E-2</v>
      </c>
      <c r="Z180" s="35">
        <f>Y180+VLOOKUP(Rawdata!X175,Int_rate_movements,2,TRUE)</f>
        <v>4.5000000000000005E-2</v>
      </c>
      <c r="AB180" s="55">
        <f t="shared" si="137"/>
        <v>4.4097712805242217E-2</v>
      </c>
      <c r="AC180" s="55">
        <f t="shared" si="138"/>
        <v>4.6496219905550085E-2</v>
      </c>
      <c r="AD180" s="55">
        <f t="shared" si="139"/>
        <v>4.6496219905550085E-2</v>
      </c>
      <c r="AE180" s="55">
        <f t="shared" si="140"/>
        <v>4.6496219905550085E-2</v>
      </c>
      <c r="AF180" s="55">
        <f t="shared" si="141"/>
        <v>4.6496219905550085E-2</v>
      </c>
      <c r="AG180" s="55">
        <f t="shared" si="142"/>
        <v>4.6496219905550085E-2</v>
      </c>
      <c r="AH180" s="55">
        <f t="shared" si="143"/>
        <v>4.6496219905550085E-2</v>
      </c>
      <c r="AI180" s="55">
        <f t="shared" si="144"/>
        <v>4.6496219905550085E-2</v>
      </c>
      <c r="AJ180" s="55">
        <f t="shared" si="145"/>
        <v>4.6496219905550085E-2</v>
      </c>
      <c r="AK180" s="55">
        <f t="shared" si="146"/>
        <v>4.6496219905550085E-2</v>
      </c>
      <c r="AL180" s="55">
        <f t="shared" si="147"/>
        <v>4.6496219905550085E-2</v>
      </c>
      <c r="AM180" s="55">
        <f t="shared" si="148"/>
        <v>4.6496219905550085E-2</v>
      </c>
      <c r="AN180" s="55">
        <f t="shared" si="149"/>
        <v>4.6496219905550085E-2</v>
      </c>
      <c r="AO180" s="55">
        <f t="shared" si="150"/>
        <v>4.6496219905550085E-2</v>
      </c>
      <c r="AP180" s="55">
        <f t="shared" si="151"/>
        <v>4.6496219905550085E-2</v>
      </c>
      <c r="AQ180" s="55">
        <f t="shared" si="152"/>
        <v>4.6496219905550085E-2</v>
      </c>
      <c r="AR180" s="55">
        <f t="shared" si="153"/>
        <v>4.6496219905550085E-2</v>
      </c>
      <c r="AS180" s="55">
        <f t="shared" si="154"/>
        <v>4.6496219905550085E-2</v>
      </c>
      <c r="AT180" s="55">
        <f t="shared" si="155"/>
        <v>4.6496219905550085E-2</v>
      </c>
      <c r="AU180" s="55">
        <f t="shared" si="156"/>
        <v>4.1693940041970023E-2</v>
      </c>
      <c r="AV180" s="55">
        <f t="shared" si="157"/>
        <v>4.1693940041970023E-2</v>
      </c>
      <c r="AW180" s="55">
        <f t="shared" si="158"/>
        <v>4.1693940041970023E-2</v>
      </c>
      <c r="AX180" s="55">
        <f t="shared" si="159"/>
        <v>4.4097712805242217E-2</v>
      </c>
      <c r="AY180" s="55">
        <f t="shared" si="160"/>
        <v>4.4097712805242217E-2</v>
      </c>
      <c r="AZ180" s="56">
        <f t="shared" si="161"/>
        <v>4.4097712805242217E-2</v>
      </c>
    </row>
    <row r="181" spans="1:52" x14ac:dyDescent="0.35">
      <c r="A181" s="5">
        <v>174</v>
      </c>
      <c r="B181" s="63">
        <f t="shared" si="136"/>
        <v>4.4999999999999998E-2</v>
      </c>
      <c r="C181" s="28">
        <f>B181+VLOOKUP(Rawdata!A176,Int_rate_movements,2,TRUE)</f>
        <v>4.4999999999999998E-2</v>
      </c>
      <c r="D181" s="28">
        <f>C181+VLOOKUP(Rawdata!B176,Int_rate_movements,2,TRUE)</f>
        <v>4.4999999999999998E-2</v>
      </c>
      <c r="E181" s="28">
        <f>D181+VLOOKUP(Rawdata!C176,Int_rate_movements,2,TRUE)</f>
        <v>4.4999999999999998E-2</v>
      </c>
      <c r="F181" s="28">
        <f>E181+VLOOKUP(Rawdata!D176,Int_rate_movements,2,TRUE)</f>
        <v>4.4999999999999998E-2</v>
      </c>
      <c r="G181" s="28">
        <f>F181+VLOOKUP(Rawdata!E176,Int_rate_movements,2,TRUE)</f>
        <v>4.4999999999999998E-2</v>
      </c>
      <c r="H181" s="28">
        <f>G181+VLOOKUP(Rawdata!F176,Int_rate_movements,2,TRUE)</f>
        <v>4.4999999999999998E-2</v>
      </c>
      <c r="I181" s="28">
        <f>H181+VLOOKUP(Rawdata!G176,Int_rate_movements,2,TRUE)</f>
        <v>4.4999999999999998E-2</v>
      </c>
      <c r="J181" s="28">
        <f>I181+VLOOKUP(Rawdata!H176,Int_rate_movements,2,TRUE)</f>
        <v>4.4999999999999998E-2</v>
      </c>
      <c r="K181" s="28">
        <f>J181+VLOOKUP(Rawdata!I176,Int_rate_movements,2,TRUE)</f>
        <v>4.4999999999999998E-2</v>
      </c>
      <c r="L181" s="28">
        <f>K181+VLOOKUP(Rawdata!J176,Int_rate_movements,2,TRUE)</f>
        <v>4.4999999999999998E-2</v>
      </c>
      <c r="M181" s="28">
        <f>L181+VLOOKUP(Rawdata!K176,Int_rate_movements,2,TRUE)</f>
        <v>4.7500000000000001E-2</v>
      </c>
      <c r="N181" s="28">
        <f>M181+VLOOKUP(Rawdata!L176,Int_rate_movements,2,TRUE)</f>
        <v>4.7500000000000001E-2</v>
      </c>
      <c r="O181" s="28">
        <f>N181+VLOOKUP(Rawdata!M176,Int_rate_movements,2,TRUE)</f>
        <v>4.7500000000000001E-2</v>
      </c>
      <c r="P181" s="28">
        <f>O181+VLOOKUP(Rawdata!N176,Int_rate_movements,2,TRUE)</f>
        <v>4.7500000000000001E-2</v>
      </c>
      <c r="Q181" s="28">
        <f>P181+VLOOKUP(Rawdata!O176,Int_rate_movements,2,TRUE)</f>
        <v>4.7500000000000001E-2</v>
      </c>
      <c r="R181" s="28">
        <f>Q181+VLOOKUP(Rawdata!P176,Int_rate_movements,2,TRUE)</f>
        <v>4.7500000000000001E-2</v>
      </c>
      <c r="S181" s="28">
        <f>R181+VLOOKUP(Rawdata!Q176,Int_rate_movements,2,TRUE)</f>
        <v>4.7500000000000001E-2</v>
      </c>
      <c r="T181" s="28">
        <f>S181+VLOOKUP(Rawdata!R176,Int_rate_movements,2,TRUE)</f>
        <v>4.7500000000000001E-2</v>
      </c>
      <c r="U181" s="28">
        <f>T181+VLOOKUP(Rawdata!S176,Int_rate_movements,2,TRUE)</f>
        <v>4.4999999999999998E-2</v>
      </c>
      <c r="V181" s="28">
        <f>U181+VLOOKUP(Rawdata!T176,Int_rate_movements,2,TRUE)</f>
        <v>4.4999999999999998E-2</v>
      </c>
      <c r="W181" s="28">
        <f>V181+VLOOKUP(Rawdata!U176,Int_rate_movements,2,TRUE)</f>
        <v>4.4999999999999998E-2</v>
      </c>
      <c r="X181" s="28">
        <f>W181+VLOOKUP(Rawdata!V176,Int_rate_movements,2,TRUE)</f>
        <v>4.4999999999999998E-2</v>
      </c>
      <c r="Y181" s="28">
        <f>X181+VLOOKUP(Rawdata!W176,Int_rate_movements,2,TRUE)</f>
        <v>4.4999999999999998E-2</v>
      </c>
      <c r="Z181" s="35">
        <f>Y181+VLOOKUP(Rawdata!X176,Int_rate_movements,2,TRUE)</f>
        <v>4.4999999999999998E-2</v>
      </c>
      <c r="AB181" s="55">
        <f t="shared" si="137"/>
        <v>4.4097712805242217E-2</v>
      </c>
      <c r="AC181" s="55">
        <f t="shared" si="138"/>
        <v>4.4097712805242217E-2</v>
      </c>
      <c r="AD181" s="55">
        <f t="shared" si="139"/>
        <v>4.4097712805242217E-2</v>
      </c>
      <c r="AE181" s="55">
        <f t="shared" si="140"/>
        <v>4.4097712805242217E-2</v>
      </c>
      <c r="AF181" s="55">
        <f t="shared" si="141"/>
        <v>4.4097712805242217E-2</v>
      </c>
      <c r="AG181" s="55">
        <f t="shared" si="142"/>
        <v>4.4097712805242217E-2</v>
      </c>
      <c r="AH181" s="55">
        <f t="shared" si="143"/>
        <v>4.4097712805242217E-2</v>
      </c>
      <c r="AI181" s="55">
        <f t="shared" si="144"/>
        <v>4.4097712805242217E-2</v>
      </c>
      <c r="AJ181" s="55">
        <f t="shared" si="145"/>
        <v>4.4097712805242217E-2</v>
      </c>
      <c r="AK181" s="55">
        <f t="shared" si="146"/>
        <v>4.4097712805242217E-2</v>
      </c>
      <c r="AL181" s="55">
        <f t="shared" si="147"/>
        <v>4.4097712805242217E-2</v>
      </c>
      <c r="AM181" s="55">
        <f t="shared" si="148"/>
        <v>4.6496219905550085E-2</v>
      </c>
      <c r="AN181" s="55">
        <f t="shared" si="149"/>
        <v>4.6496219905550085E-2</v>
      </c>
      <c r="AO181" s="55">
        <f t="shared" si="150"/>
        <v>4.6496219905550085E-2</v>
      </c>
      <c r="AP181" s="55">
        <f t="shared" si="151"/>
        <v>4.6496219905550085E-2</v>
      </c>
      <c r="AQ181" s="55">
        <f t="shared" si="152"/>
        <v>4.6496219905550085E-2</v>
      </c>
      <c r="AR181" s="55">
        <f t="shared" si="153"/>
        <v>4.6496219905550085E-2</v>
      </c>
      <c r="AS181" s="55">
        <f t="shared" si="154"/>
        <v>4.6496219905550085E-2</v>
      </c>
      <c r="AT181" s="55">
        <f t="shared" si="155"/>
        <v>4.6496219905550085E-2</v>
      </c>
      <c r="AU181" s="55">
        <f t="shared" si="156"/>
        <v>4.4097712805242217E-2</v>
      </c>
      <c r="AV181" s="55">
        <f t="shared" si="157"/>
        <v>4.4097712805242217E-2</v>
      </c>
      <c r="AW181" s="55">
        <f t="shared" si="158"/>
        <v>4.4097712805242217E-2</v>
      </c>
      <c r="AX181" s="55">
        <f t="shared" si="159"/>
        <v>4.4097712805242217E-2</v>
      </c>
      <c r="AY181" s="55">
        <f t="shared" si="160"/>
        <v>4.4097712805242217E-2</v>
      </c>
      <c r="AZ181" s="56">
        <f t="shared" si="161"/>
        <v>4.4097712805242217E-2</v>
      </c>
    </row>
    <row r="182" spans="1:52" x14ac:dyDescent="0.35">
      <c r="A182" s="27">
        <v>175</v>
      </c>
      <c r="B182" s="63">
        <f t="shared" si="136"/>
        <v>4.4999999999999998E-2</v>
      </c>
      <c r="C182" s="28">
        <f>B182+VLOOKUP(Rawdata!A177,Int_rate_movements,2,TRUE)</f>
        <v>4.4999999999999998E-2</v>
      </c>
      <c r="D182" s="28">
        <f>C182+VLOOKUP(Rawdata!B177,Int_rate_movements,2,TRUE)</f>
        <v>4.4999999999999998E-2</v>
      </c>
      <c r="E182" s="28">
        <f>D182+VLOOKUP(Rawdata!C177,Int_rate_movements,2,TRUE)</f>
        <v>4.4999999999999998E-2</v>
      </c>
      <c r="F182" s="28">
        <f>E182+VLOOKUP(Rawdata!D177,Int_rate_movements,2,TRUE)</f>
        <v>4.4999999999999998E-2</v>
      </c>
      <c r="G182" s="28">
        <f>F182+VLOOKUP(Rawdata!E177,Int_rate_movements,2,TRUE)</f>
        <v>4.4999999999999998E-2</v>
      </c>
      <c r="H182" s="28">
        <f>G182+VLOOKUP(Rawdata!F177,Int_rate_movements,2,TRUE)</f>
        <v>4.4999999999999998E-2</v>
      </c>
      <c r="I182" s="28">
        <f>H182+VLOOKUP(Rawdata!G177,Int_rate_movements,2,TRUE)</f>
        <v>4.4999999999999998E-2</v>
      </c>
      <c r="J182" s="28">
        <f>I182+VLOOKUP(Rawdata!H177,Int_rate_movements,2,TRUE)</f>
        <v>4.4999999999999998E-2</v>
      </c>
      <c r="K182" s="28">
        <f>J182+VLOOKUP(Rawdata!I177,Int_rate_movements,2,TRUE)</f>
        <v>4.4999999999999998E-2</v>
      </c>
      <c r="L182" s="28">
        <f>K182+VLOOKUP(Rawdata!J177,Int_rate_movements,2,TRUE)</f>
        <v>4.4999999999999998E-2</v>
      </c>
      <c r="M182" s="28">
        <f>L182+VLOOKUP(Rawdata!K177,Int_rate_movements,2,TRUE)</f>
        <v>4.2499999999999996E-2</v>
      </c>
      <c r="N182" s="28">
        <f>M182+VLOOKUP(Rawdata!L177,Int_rate_movements,2,TRUE)</f>
        <v>4.2499999999999996E-2</v>
      </c>
      <c r="O182" s="28">
        <f>N182+VLOOKUP(Rawdata!M177,Int_rate_movements,2,TRUE)</f>
        <v>4.2499999999999996E-2</v>
      </c>
      <c r="P182" s="28">
        <f>O182+VLOOKUP(Rawdata!N177,Int_rate_movements,2,TRUE)</f>
        <v>4.2499999999999996E-2</v>
      </c>
      <c r="Q182" s="28">
        <f>P182+VLOOKUP(Rawdata!O177,Int_rate_movements,2,TRUE)</f>
        <v>4.2499999999999996E-2</v>
      </c>
      <c r="R182" s="28">
        <f>Q182+VLOOKUP(Rawdata!P177,Int_rate_movements,2,TRUE)</f>
        <v>4.2499999999999996E-2</v>
      </c>
      <c r="S182" s="28">
        <f>R182+VLOOKUP(Rawdata!Q177,Int_rate_movements,2,TRUE)</f>
        <v>4.2499999999999996E-2</v>
      </c>
      <c r="T182" s="28">
        <f>S182+VLOOKUP(Rawdata!R177,Int_rate_movements,2,TRUE)</f>
        <v>4.2499999999999996E-2</v>
      </c>
      <c r="U182" s="28">
        <f>T182+VLOOKUP(Rawdata!S177,Int_rate_movements,2,TRUE)</f>
        <v>4.2499999999999996E-2</v>
      </c>
      <c r="V182" s="28">
        <f>U182+VLOOKUP(Rawdata!T177,Int_rate_movements,2,TRUE)</f>
        <v>4.2499999999999996E-2</v>
      </c>
      <c r="W182" s="28">
        <f>V182+VLOOKUP(Rawdata!U177,Int_rate_movements,2,TRUE)</f>
        <v>4.2499999999999996E-2</v>
      </c>
      <c r="X182" s="28">
        <f>W182+VLOOKUP(Rawdata!V177,Int_rate_movements,2,TRUE)</f>
        <v>4.2499999999999996E-2</v>
      </c>
      <c r="Y182" s="28">
        <f>X182+VLOOKUP(Rawdata!W177,Int_rate_movements,2,TRUE)</f>
        <v>4.2499999999999996E-2</v>
      </c>
      <c r="Z182" s="35">
        <f>Y182+VLOOKUP(Rawdata!X177,Int_rate_movements,2,TRUE)</f>
        <v>4.2499999999999996E-2</v>
      </c>
      <c r="AB182" s="55">
        <f t="shared" si="137"/>
        <v>4.4097712805242217E-2</v>
      </c>
      <c r="AC182" s="55">
        <f t="shared" si="138"/>
        <v>4.4097712805242217E-2</v>
      </c>
      <c r="AD182" s="55">
        <f t="shared" si="139"/>
        <v>4.4097712805242217E-2</v>
      </c>
      <c r="AE182" s="55">
        <f t="shared" si="140"/>
        <v>4.4097712805242217E-2</v>
      </c>
      <c r="AF182" s="55">
        <f t="shared" si="141"/>
        <v>4.4097712805242217E-2</v>
      </c>
      <c r="AG182" s="55">
        <f t="shared" si="142"/>
        <v>4.4097712805242217E-2</v>
      </c>
      <c r="AH182" s="55">
        <f t="shared" si="143"/>
        <v>4.4097712805242217E-2</v>
      </c>
      <c r="AI182" s="55">
        <f t="shared" si="144"/>
        <v>4.4097712805242217E-2</v>
      </c>
      <c r="AJ182" s="55">
        <f t="shared" si="145"/>
        <v>4.4097712805242217E-2</v>
      </c>
      <c r="AK182" s="55">
        <f t="shared" si="146"/>
        <v>4.4097712805242217E-2</v>
      </c>
      <c r="AL182" s="55">
        <f t="shared" si="147"/>
        <v>4.4097712805242217E-2</v>
      </c>
      <c r="AM182" s="55">
        <f t="shared" si="148"/>
        <v>4.1693940041970023E-2</v>
      </c>
      <c r="AN182" s="55">
        <f t="shared" si="149"/>
        <v>4.1693940041970023E-2</v>
      </c>
      <c r="AO182" s="55">
        <f t="shared" si="150"/>
        <v>4.1693940041970023E-2</v>
      </c>
      <c r="AP182" s="55">
        <f t="shared" si="151"/>
        <v>4.1693940041970023E-2</v>
      </c>
      <c r="AQ182" s="55">
        <f t="shared" si="152"/>
        <v>4.1693940041970023E-2</v>
      </c>
      <c r="AR182" s="55">
        <f t="shared" si="153"/>
        <v>4.1693940041970023E-2</v>
      </c>
      <c r="AS182" s="55">
        <f t="shared" si="154"/>
        <v>4.1693940041970023E-2</v>
      </c>
      <c r="AT182" s="55">
        <f t="shared" si="155"/>
        <v>4.1693940041970023E-2</v>
      </c>
      <c r="AU182" s="55">
        <f t="shared" si="156"/>
        <v>4.1693940041970023E-2</v>
      </c>
      <c r="AV182" s="55">
        <f t="shared" si="157"/>
        <v>4.1693940041970023E-2</v>
      </c>
      <c r="AW182" s="55">
        <f t="shared" si="158"/>
        <v>4.1693940041970023E-2</v>
      </c>
      <c r="AX182" s="55">
        <f t="shared" si="159"/>
        <v>4.1693940041970023E-2</v>
      </c>
      <c r="AY182" s="55">
        <f t="shared" si="160"/>
        <v>4.1693940041970023E-2</v>
      </c>
      <c r="AZ182" s="56">
        <f t="shared" si="161"/>
        <v>4.1693940041970023E-2</v>
      </c>
    </row>
    <row r="183" spans="1:52" x14ac:dyDescent="0.35">
      <c r="A183" s="5">
        <v>176</v>
      </c>
      <c r="B183" s="63">
        <f t="shared" si="136"/>
        <v>4.4999999999999998E-2</v>
      </c>
      <c r="C183" s="28">
        <f>B183+VLOOKUP(Rawdata!A178,Int_rate_movements,2,TRUE)</f>
        <v>4.7500000000000001E-2</v>
      </c>
      <c r="D183" s="28">
        <f>C183+VLOOKUP(Rawdata!B178,Int_rate_movements,2,TRUE)</f>
        <v>4.7500000000000001E-2</v>
      </c>
      <c r="E183" s="28">
        <f>D183+VLOOKUP(Rawdata!C178,Int_rate_movements,2,TRUE)</f>
        <v>4.7500000000000001E-2</v>
      </c>
      <c r="F183" s="28">
        <f>E183+VLOOKUP(Rawdata!D178,Int_rate_movements,2,TRUE)</f>
        <v>4.2500000000000003E-2</v>
      </c>
      <c r="G183" s="28">
        <f>F183+VLOOKUP(Rawdata!E178,Int_rate_movements,2,TRUE)</f>
        <v>4.2500000000000003E-2</v>
      </c>
      <c r="H183" s="28">
        <f>G183+VLOOKUP(Rawdata!F178,Int_rate_movements,2,TRUE)</f>
        <v>4.2500000000000003E-2</v>
      </c>
      <c r="I183" s="28">
        <f>H183+VLOOKUP(Rawdata!G178,Int_rate_movements,2,TRUE)</f>
        <v>4.2500000000000003E-2</v>
      </c>
      <c r="J183" s="28">
        <f>I183+VLOOKUP(Rawdata!H178,Int_rate_movements,2,TRUE)</f>
        <v>4.2500000000000003E-2</v>
      </c>
      <c r="K183" s="28">
        <f>J183+VLOOKUP(Rawdata!I178,Int_rate_movements,2,TRUE)</f>
        <v>0.04</v>
      </c>
      <c r="L183" s="28">
        <f>K183+VLOOKUP(Rawdata!J178,Int_rate_movements,2,TRUE)</f>
        <v>0.04</v>
      </c>
      <c r="M183" s="28">
        <f>L183+VLOOKUP(Rawdata!K178,Int_rate_movements,2,TRUE)</f>
        <v>0.04</v>
      </c>
      <c r="N183" s="28">
        <f>M183+VLOOKUP(Rawdata!L178,Int_rate_movements,2,TRUE)</f>
        <v>0.04</v>
      </c>
      <c r="O183" s="28">
        <f>N183+VLOOKUP(Rawdata!M178,Int_rate_movements,2,TRUE)</f>
        <v>0.04</v>
      </c>
      <c r="P183" s="28">
        <f>O183+VLOOKUP(Rawdata!N178,Int_rate_movements,2,TRUE)</f>
        <v>0.04</v>
      </c>
      <c r="Q183" s="28">
        <f>P183+VLOOKUP(Rawdata!O178,Int_rate_movements,2,TRUE)</f>
        <v>0.04</v>
      </c>
      <c r="R183" s="28">
        <f>Q183+VLOOKUP(Rawdata!P178,Int_rate_movements,2,TRUE)</f>
        <v>0.04</v>
      </c>
      <c r="S183" s="28">
        <f>R183+VLOOKUP(Rawdata!Q178,Int_rate_movements,2,TRUE)</f>
        <v>0.04</v>
      </c>
      <c r="T183" s="28">
        <f>S183+VLOOKUP(Rawdata!R178,Int_rate_movements,2,TRUE)</f>
        <v>0.04</v>
      </c>
      <c r="U183" s="28">
        <f>T183+VLOOKUP(Rawdata!S178,Int_rate_movements,2,TRUE)</f>
        <v>0.04</v>
      </c>
      <c r="V183" s="28">
        <f>U183+VLOOKUP(Rawdata!T178,Int_rate_movements,2,TRUE)</f>
        <v>0.04</v>
      </c>
      <c r="W183" s="28">
        <f>V183+VLOOKUP(Rawdata!U178,Int_rate_movements,2,TRUE)</f>
        <v>0.04</v>
      </c>
      <c r="X183" s="28">
        <f>W183+VLOOKUP(Rawdata!V178,Int_rate_movements,2,TRUE)</f>
        <v>0.04</v>
      </c>
      <c r="Y183" s="28">
        <f>X183+VLOOKUP(Rawdata!W178,Int_rate_movements,2,TRUE)</f>
        <v>0.04</v>
      </c>
      <c r="Z183" s="35">
        <f>Y183+VLOOKUP(Rawdata!X178,Int_rate_movements,2,TRUE)</f>
        <v>4.2500000000000003E-2</v>
      </c>
      <c r="AB183" s="55">
        <f t="shared" si="137"/>
        <v>4.4097712805242217E-2</v>
      </c>
      <c r="AC183" s="55">
        <f t="shared" si="138"/>
        <v>4.6496219905550085E-2</v>
      </c>
      <c r="AD183" s="55">
        <f t="shared" si="139"/>
        <v>4.6496219905550085E-2</v>
      </c>
      <c r="AE183" s="55">
        <f t="shared" si="140"/>
        <v>4.6496219905550085E-2</v>
      </c>
      <c r="AF183" s="55">
        <f t="shared" si="141"/>
        <v>4.1693940041970023E-2</v>
      </c>
      <c r="AG183" s="55">
        <f t="shared" si="142"/>
        <v>4.1693940041970023E-2</v>
      </c>
      <c r="AH183" s="55">
        <f t="shared" si="143"/>
        <v>4.1693940041970023E-2</v>
      </c>
      <c r="AI183" s="55">
        <f t="shared" si="144"/>
        <v>4.1693940041970023E-2</v>
      </c>
      <c r="AJ183" s="55">
        <f t="shared" si="145"/>
        <v>4.1693940041970023E-2</v>
      </c>
      <c r="AK183" s="55">
        <f t="shared" si="146"/>
        <v>3.9284877386386974E-2</v>
      </c>
      <c r="AL183" s="55">
        <f t="shared" si="147"/>
        <v>3.9284877386386974E-2</v>
      </c>
      <c r="AM183" s="55">
        <f t="shared" si="148"/>
        <v>3.9284877386386974E-2</v>
      </c>
      <c r="AN183" s="55">
        <f t="shared" si="149"/>
        <v>3.9284877386386974E-2</v>
      </c>
      <c r="AO183" s="55">
        <f t="shared" si="150"/>
        <v>3.9284877386386974E-2</v>
      </c>
      <c r="AP183" s="55">
        <f t="shared" si="151"/>
        <v>3.9284877386386974E-2</v>
      </c>
      <c r="AQ183" s="55">
        <f t="shared" si="152"/>
        <v>3.9284877386386974E-2</v>
      </c>
      <c r="AR183" s="55">
        <f t="shared" si="153"/>
        <v>3.9284877386386974E-2</v>
      </c>
      <c r="AS183" s="55">
        <f t="shared" si="154"/>
        <v>3.9284877386386974E-2</v>
      </c>
      <c r="AT183" s="55">
        <f t="shared" si="155"/>
        <v>3.9284877386386974E-2</v>
      </c>
      <c r="AU183" s="55">
        <f t="shared" si="156"/>
        <v>3.9284877386386974E-2</v>
      </c>
      <c r="AV183" s="55">
        <f t="shared" si="157"/>
        <v>3.9284877386386974E-2</v>
      </c>
      <c r="AW183" s="55">
        <f t="shared" si="158"/>
        <v>3.9284877386386974E-2</v>
      </c>
      <c r="AX183" s="55">
        <f t="shared" si="159"/>
        <v>3.9284877386386974E-2</v>
      </c>
      <c r="AY183" s="55">
        <f t="shared" si="160"/>
        <v>3.9284877386386974E-2</v>
      </c>
      <c r="AZ183" s="56">
        <f t="shared" si="161"/>
        <v>4.1693940041970023E-2</v>
      </c>
    </row>
    <row r="184" spans="1:52" x14ac:dyDescent="0.35">
      <c r="A184" s="27">
        <v>177</v>
      </c>
      <c r="B184" s="63">
        <f t="shared" si="136"/>
        <v>4.4999999999999998E-2</v>
      </c>
      <c r="C184" s="28">
        <f>B184+VLOOKUP(Rawdata!A179,Int_rate_movements,2,TRUE)</f>
        <v>4.4999999999999998E-2</v>
      </c>
      <c r="D184" s="28">
        <f>C184+VLOOKUP(Rawdata!B179,Int_rate_movements,2,TRUE)</f>
        <v>4.4999999999999998E-2</v>
      </c>
      <c r="E184" s="28">
        <f>D184+VLOOKUP(Rawdata!C179,Int_rate_movements,2,TRUE)</f>
        <v>4.4999999999999998E-2</v>
      </c>
      <c r="F184" s="28">
        <f>E184+VLOOKUP(Rawdata!D179,Int_rate_movements,2,TRUE)</f>
        <v>4.4999999999999998E-2</v>
      </c>
      <c r="G184" s="28">
        <f>F184+VLOOKUP(Rawdata!E179,Int_rate_movements,2,TRUE)</f>
        <v>4.7500000000000001E-2</v>
      </c>
      <c r="H184" s="28">
        <f>G184+VLOOKUP(Rawdata!F179,Int_rate_movements,2,TRUE)</f>
        <v>4.7500000000000001E-2</v>
      </c>
      <c r="I184" s="28">
        <f>H184+VLOOKUP(Rawdata!G179,Int_rate_movements,2,TRUE)</f>
        <v>4.7500000000000001E-2</v>
      </c>
      <c r="J184" s="28">
        <f>I184+VLOOKUP(Rawdata!H179,Int_rate_movements,2,TRUE)</f>
        <v>4.4999999999999998E-2</v>
      </c>
      <c r="K184" s="28">
        <f>J184+VLOOKUP(Rawdata!I179,Int_rate_movements,2,TRUE)</f>
        <v>4.4999999999999998E-2</v>
      </c>
      <c r="L184" s="28">
        <f>K184+VLOOKUP(Rawdata!J179,Int_rate_movements,2,TRUE)</f>
        <v>4.4999999999999998E-2</v>
      </c>
      <c r="M184" s="28">
        <f>L184+VLOOKUP(Rawdata!K179,Int_rate_movements,2,TRUE)</f>
        <v>4.4999999999999998E-2</v>
      </c>
      <c r="N184" s="28">
        <f>M184+VLOOKUP(Rawdata!L179,Int_rate_movements,2,TRUE)</f>
        <v>4.4999999999999998E-2</v>
      </c>
      <c r="O184" s="28">
        <f>N184+VLOOKUP(Rawdata!M179,Int_rate_movements,2,TRUE)</f>
        <v>4.4999999999999998E-2</v>
      </c>
      <c r="P184" s="28">
        <f>O184+VLOOKUP(Rawdata!N179,Int_rate_movements,2,TRUE)</f>
        <v>4.4999999999999998E-2</v>
      </c>
      <c r="Q184" s="28">
        <f>P184+VLOOKUP(Rawdata!O179,Int_rate_movements,2,TRUE)</f>
        <v>4.4999999999999998E-2</v>
      </c>
      <c r="R184" s="28">
        <f>Q184+VLOOKUP(Rawdata!P179,Int_rate_movements,2,TRUE)</f>
        <v>4.4999999999999998E-2</v>
      </c>
      <c r="S184" s="28">
        <f>R184+VLOOKUP(Rawdata!Q179,Int_rate_movements,2,TRUE)</f>
        <v>4.4999999999999998E-2</v>
      </c>
      <c r="T184" s="28">
        <f>S184+VLOOKUP(Rawdata!R179,Int_rate_movements,2,TRUE)</f>
        <v>4.4999999999999998E-2</v>
      </c>
      <c r="U184" s="28">
        <f>T184+VLOOKUP(Rawdata!S179,Int_rate_movements,2,TRUE)</f>
        <v>0.04</v>
      </c>
      <c r="V184" s="28">
        <f>U184+VLOOKUP(Rawdata!T179,Int_rate_movements,2,TRUE)</f>
        <v>0.04</v>
      </c>
      <c r="W184" s="28">
        <f>V184+VLOOKUP(Rawdata!U179,Int_rate_movements,2,TRUE)</f>
        <v>3.7499999999999999E-2</v>
      </c>
      <c r="X184" s="28">
        <f>W184+VLOOKUP(Rawdata!V179,Int_rate_movements,2,TRUE)</f>
        <v>3.7499999999999999E-2</v>
      </c>
      <c r="Y184" s="28">
        <f>X184+VLOOKUP(Rawdata!W179,Int_rate_movements,2,TRUE)</f>
        <v>3.7499999999999999E-2</v>
      </c>
      <c r="Z184" s="35">
        <f>Y184+VLOOKUP(Rawdata!X179,Int_rate_movements,2,TRUE)</f>
        <v>3.7499999999999999E-2</v>
      </c>
      <c r="AB184" s="55">
        <f t="shared" si="137"/>
        <v>4.4097712805242217E-2</v>
      </c>
      <c r="AC184" s="55">
        <f t="shared" si="138"/>
        <v>4.4097712805242217E-2</v>
      </c>
      <c r="AD184" s="55">
        <f t="shared" si="139"/>
        <v>4.4097712805242217E-2</v>
      </c>
      <c r="AE184" s="55">
        <f t="shared" si="140"/>
        <v>4.4097712805242217E-2</v>
      </c>
      <c r="AF184" s="55">
        <f t="shared" si="141"/>
        <v>4.4097712805242217E-2</v>
      </c>
      <c r="AG184" s="55">
        <f t="shared" si="142"/>
        <v>4.6496219905550085E-2</v>
      </c>
      <c r="AH184" s="55">
        <f t="shared" si="143"/>
        <v>4.6496219905550085E-2</v>
      </c>
      <c r="AI184" s="55">
        <f t="shared" si="144"/>
        <v>4.6496219905550085E-2</v>
      </c>
      <c r="AJ184" s="55">
        <f t="shared" si="145"/>
        <v>4.4097712805242217E-2</v>
      </c>
      <c r="AK184" s="55">
        <f t="shared" si="146"/>
        <v>4.4097712805242217E-2</v>
      </c>
      <c r="AL184" s="55">
        <f t="shared" si="147"/>
        <v>4.4097712805242217E-2</v>
      </c>
      <c r="AM184" s="55">
        <f t="shared" si="148"/>
        <v>4.4097712805242217E-2</v>
      </c>
      <c r="AN184" s="55">
        <f t="shared" si="149"/>
        <v>4.4097712805242217E-2</v>
      </c>
      <c r="AO184" s="55">
        <f t="shared" si="150"/>
        <v>4.4097712805242217E-2</v>
      </c>
      <c r="AP184" s="55">
        <f t="shared" si="151"/>
        <v>4.4097712805242217E-2</v>
      </c>
      <c r="AQ184" s="55">
        <f t="shared" si="152"/>
        <v>4.4097712805242217E-2</v>
      </c>
      <c r="AR184" s="55">
        <f t="shared" si="153"/>
        <v>4.4097712805242217E-2</v>
      </c>
      <c r="AS184" s="55">
        <f t="shared" si="154"/>
        <v>4.4097712805242217E-2</v>
      </c>
      <c r="AT184" s="55">
        <f t="shared" si="155"/>
        <v>4.4097712805242217E-2</v>
      </c>
      <c r="AU184" s="55">
        <f t="shared" si="156"/>
        <v>3.9284877386386974E-2</v>
      </c>
      <c r="AV184" s="55">
        <f t="shared" si="157"/>
        <v>3.9284877386386974E-2</v>
      </c>
      <c r="AW184" s="55">
        <f t="shared" si="158"/>
        <v>3.6870500439066589E-2</v>
      </c>
      <c r="AX184" s="55">
        <f t="shared" si="159"/>
        <v>3.6870500439066589E-2</v>
      </c>
      <c r="AY184" s="55">
        <f t="shared" si="160"/>
        <v>3.6870500439066589E-2</v>
      </c>
      <c r="AZ184" s="56">
        <f t="shared" si="161"/>
        <v>3.6870500439066589E-2</v>
      </c>
    </row>
    <row r="185" spans="1:52" x14ac:dyDescent="0.35">
      <c r="A185" s="5">
        <v>178</v>
      </c>
      <c r="B185" s="63">
        <f t="shared" si="136"/>
        <v>4.4999999999999998E-2</v>
      </c>
      <c r="C185" s="28">
        <f>B185+VLOOKUP(Rawdata!A180,Int_rate_movements,2,TRUE)</f>
        <v>4.4999999999999998E-2</v>
      </c>
      <c r="D185" s="28">
        <f>C185+VLOOKUP(Rawdata!B180,Int_rate_movements,2,TRUE)</f>
        <v>0.04</v>
      </c>
      <c r="E185" s="28">
        <f>D185+VLOOKUP(Rawdata!C180,Int_rate_movements,2,TRUE)</f>
        <v>0.04</v>
      </c>
      <c r="F185" s="28">
        <f>E185+VLOOKUP(Rawdata!D180,Int_rate_movements,2,TRUE)</f>
        <v>0.04</v>
      </c>
      <c r="G185" s="28">
        <f>F185+VLOOKUP(Rawdata!E180,Int_rate_movements,2,TRUE)</f>
        <v>0.04</v>
      </c>
      <c r="H185" s="28">
        <f>G185+VLOOKUP(Rawdata!F180,Int_rate_movements,2,TRUE)</f>
        <v>3.5000000000000003E-2</v>
      </c>
      <c r="I185" s="28">
        <f>H185+VLOOKUP(Rawdata!G180,Int_rate_movements,2,TRUE)</f>
        <v>3.5000000000000003E-2</v>
      </c>
      <c r="J185" s="28">
        <f>I185+VLOOKUP(Rawdata!H180,Int_rate_movements,2,TRUE)</f>
        <v>3.5000000000000003E-2</v>
      </c>
      <c r="K185" s="28">
        <f>J185+VLOOKUP(Rawdata!I180,Int_rate_movements,2,TRUE)</f>
        <v>3.5000000000000003E-2</v>
      </c>
      <c r="L185" s="28">
        <f>K185+VLOOKUP(Rawdata!J180,Int_rate_movements,2,TRUE)</f>
        <v>3.5000000000000003E-2</v>
      </c>
      <c r="M185" s="28">
        <f>L185+VLOOKUP(Rawdata!K180,Int_rate_movements,2,TRUE)</f>
        <v>3.5000000000000003E-2</v>
      </c>
      <c r="N185" s="28">
        <f>M185+VLOOKUP(Rawdata!L180,Int_rate_movements,2,TRUE)</f>
        <v>3.5000000000000003E-2</v>
      </c>
      <c r="O185" s="28">
        <f>N185+VLOOKUP(Rawdata!M180,Int_rate_movements,2,TRUE)</f>
        <v>3.5000000000000003E-2</v>
      </c>
      <c r="P185" s="28">
        <f>O185+VLOOKUP(Rawdata!N180,Int_rate_movements,2,TRUE)</f>
        <v>3.5000000000000003E-2</v>
      </c>
      <c r="Q185" s="28">
        <f>P185+VLOOKUP(Rawdata!O180,Int_rate_movements,2,TRUE)</f>
        <v>3.5000000000000003E-2</v>
      </c>
      <c r="R185" s="28">
        <f>Q185+VLOOKUP(Rawdata!P180,Int_rate_movements,2,TRUE)</f>
        <v>3.5000000000000003E-2</v>
      </c>
      <c r="S185" s="28">
        <f>R185+VLOOKUP(Rawdata!Q180,Int_rate_movements,2,TRUE)</f>
        <v>3.5000000000000003E-2</v>
      </c>
      <c r="T185" s="28">
        <f>S185+VLOOKUP(Rawdata!R180,Int_rate_movements,2,TRUE)</f>
        <v>3.5000000000000003E-2</v>
      </c>
      <c r="U185" s="28">
        <f>T185+VLOOKUP(Rawdata!S180,Int_rate_movements,2,TRUE)</f>
        <v>3.5000000000000003E-2</v>
      </c>
      <c r="V185" s="28">
        <f>U185+VLOOKUP(Rawdata!T180,Int_rate_movements,2,TRUE)</f>
        <v>3.5000000000000003E-2</v>
      </c>
      <c r="W185" s="28">
        <f>V185+VLOOKUP(Rawdata!U180,Int_rate_movements,2,TRUE)</f>
        <v>3.5000000000000003E-2</v>
      </c>
      <c r="X185" s="28">
        <f>W185+VLOOKUP(Rawdata!V180,Int_rate_movements,2,TRUE)</f>
        <v>3.5000000000000003E-2</v>
      </c>
      <c r="Y185" s="28">
        <f>X185+VLOOKUP(Rawdata!W180,Int_rate_movements,2,TRUE)</f>
        <v>3.5000000000000003E-2</v>
      </c>
      <c r="Z185" s="35">
        <f>Y185+VLOOKUP(Rawdata!X180,Int_rate_movements,2,TRUE)</f>
        <v>3.5000000000000003E-2</v>
      </c>
      <c r="AB185" s="55">
        <f t="shared" si="137"/>
        <v>4.4097712805242217E-2</v>
      </c>
      <c r="AC185" s="55">
        <f t="shared" si="138"/>
        <v>4.4097712805242217E-2</v>
      </c>
      <c r="AD185" s="55">
        <f t="shared" si="139"/>
        <v>3.9284877386386974E-2</v>
      </c>
      <c r="AE185" s="55">
        <f t="shared" si="140"/>
        <v>3.9284877386386974E-2</v>
      </c>
      <c r="AF185" s="55">
        <f t="shared" si="141"/>
        <v>3.9284877386386974E-2</v>
      </c>
      <c r="AG185" s="55">
        <f t="shared" si="142"/>
        <v>3.9284877386386974E-2</v>
      </c>
      <c r="AH185" s="55">
        <f t="shared" si="143"/>
        <v>3.4450784628919706E-2</v>
      </c>
      <c r="AI185" s="55">
        <f t="shared" si="144"/>
        <v>3.4450784628919706E-2</v>
      </c>
      <c r="AJ185" s="55">
        <f t="shared" si="145"/>
        <v>3.4450784628919706E-2</v>
      </c>
      <c r="AK185" s="55">
        <f t="shared" si="146"/>
        <v>3.4450784628919706E-2</v>
      </c>
      <c r="AL185" s="55">
        <f t="shared" si="147"/>
        <v>3.4450784628919706E-2</v>
      </c>
      <c r="AM185" s="55">
        <f t="shared" si="148"/>
        <v>3.4450784628919706E-2</v>
      </c>
      <c r="AN185" s="55">
        <f t="shared" si="149"/>
        <v>3.4450784628919706E-2</v>
      </c>
      <c r="AO185" s="55">
        <f t="shared" si="150"/>
        <v>3.4450784628919706E-2</v>
      </c>
      <c r="AP185" s="55">
        <f t="shared" si="151"/>
        <v>3.4450784628919706E-2</v>
      </c>
      <c r="AQ185" s="55">
        <f t="shared" si="152"/>
        <v>3.4450784628919706E-2</v>
      </c>
      <c r="AR185" s="55">
        <f t="shared" si="153"/>
        <v>3.4450784628919706E-2</v>
      </c>
      <c r="AS185" s="55">
        <f t="shared" si="154"/>
        <v>3.4450784628919706E-2</v>
      </c>
      <c r="AT185" s="55">
        <f t="shared" si="155"/>
        <v>3.4450784628919706E-2</v>
      </c>
      <c r="AU185" s="55">
        <f t="shared" si="156"/>
        <v>3.4450784628919706E-2</v>
      </c>
      <c r="AV185" s="55">
        <f t="shared" si="157"/>
        <v>3.4450784628919706E-2</v>
      </c>
      <c r="AW185" s="55">
        <f t="shared" si="158"/>
        <v>3.4450784628919706E-2</v>
      </c>
      <c r="AX185" s="55">
        <f t="shared" si="159"/>
        <v>3.4450784628919706E-2</v>
      </c>
      <c r="AY185" s="55">
        <f t="shared" si="160"/>
        <v>3.4450784628919706E-2</v>
      </c>
      <c r="AZ185" s="56">
        <f t="shared" si="161"/>
        <v>3.4450784628919706E-2</v>
      </c>
    </row>
    <row r="186" spans="1:52" x14ac:dyDescent="0.35">
      <c r="A186" s="27">
        <v>179</v>
      </c>
      <c r="B186" s="63">
        <f t="shared" si="136"/>
        <v>4.4999999999999998E-2</v>
      </c>
      <c r="C186" s="28">
        <f>B186+VLOOKUP(Rawdata!A181,Int_rate_movements,2,TRUE)</f>
        <v>4.4999999999999998E-2</v>
      </c>
      <c r="D186" s="28">
        <f>C186+VLOOKUP(Rawdata!B181,Int_rate_movements,2,TRUE)</f>
        <v>4.4999999999999998E-2</v>
      </c>
      <c r="E186" s="28">
        <f>D186+VLOOKUP(Rawdata!C181,Int_rate_movements,2,TRUE)</f>
        <v>4.4999999999999998E-2</v>
      </c>
      <c r="F186" s="28">
        <f>E186+VLOOKUP(Rawdata!D181,Int_rate_movements,2,TRUE)</f>
        <v>4.4999999999999998E-2</v>
      </c>
      <c r="G186" s="28">
        <f>F186+VLOOKUP(Rawdata!E181,Int_rate_movements,2,TRUE)</f>
        <v>4.4999999999999998E-2</v>
      </c>
      <c r="H186" s="28">
        <f>G186+VLOOKUP(Rawdata!F181,Int_rate_movements,2,TRUE)</f>
        <v>4.4999999999999998E-2</v>
      </c>
      <c r="I186" s="28">
        <f>H186+VLOOKUP(Rawdata!G181,Int_rate_movements,2,TRUE)</f>
        <v>4.4999999999999998E-2</v>
      </c>
      <c r="J186" s="28">
        <f>I186+VLOOKUP(Rawdata!H181,Int_rate_movements,2,TRUE)</f>
        <v>4.4999999999999998E-2</v>
      </c>
      <c r="K186" s="28">
        <f>J186+VLOOKUP(Rawdata!I181,Int_rate_movements,2,TRUE)</f>
        <v>4.4999999999999998E-2</v>
      </c>
      <c r="L186" s="28">
        <f>K186+VLOOKUP(Rawdata!J181,Int_rate_movements,2,TRUE)</f>
        <v>4.4999999999999998E-2</v>
      </c>
      <c r="M186" s="28">
        <f>L186+VLOOKUP(Rawdata!K181,Int_rate_movements,2,TRUE)</f>
        <v>4.4999999999999998E-2</v>
      </c>
      <c r="N186" s="28">
        <f>M186+VLOOKUP(Rawdata!L181,Int_rate_movements,2,TRUE)</f>
        <v>4.4999999999999998E-2</v>
      </c>
      <c r="O186" s="28">
        <f>N186+VLOOKUP(Rawdata!M181,Int_rate_movements,2,TRUE)</f>
        <v>4.4999999999999998E-2</v>
      </c>
      <c r="P186" s="28">
        <f>O186+VLOOKUP(Rawdata!N181,Int_rate_movements,2,TRUE)</f>
        <v>4.4999999999999998E-2</v>
      </c>
      <c r="Q186" s="28">
        <f>P186+VLOOKUP(Rawdata!O181,Int_rate_movements,2,TRUE)</f>
        <v>4.4999999999999998E-2</v>
      </c>
      <c r="R186" s="28">
        <f>Q186+VLOOKUP(Rawdata!P181,Int_rate_movements,2,TRUE)</f>
        <v>4.2499999999999996E-2</v>
      </c>
      <c r="S186" s="28">
        <f>R186+VLOOKUP(Rawdata!Q181,Int_rate_movements,2,TRUE)</f>
        <v>4.2499999999999996E-2</v>
      </c>
      <c r="T186" s="28">
        <f>S186+VLOOKUP(Rawdata!R181,Int_rate_movements,2,TRUE)</f>
        <v>4.2499999999999996E-2</v>
      </c>
      <c r="U186" s="28">
        <f>T186+VLOOKUP(Rawdata!S181,Int_rate_movements,2,TRUE)</f>
        <v>4.2499999999999996E-2</v>
      </c>
      <c r="V186" s="28">
        <f>U186+VLOOKUP(Rawdata!T181,Int_rate_movements,2,TRUE)</f>
        <v>4.2499999999999996E-2</v>
      </c>
      <c r="W186" s="28">
        <f>V186+VLOOKUP(Rawdata!U181,Int_rate_movements,2,TRUE)</f>
        <v>3.7499999999999999E-2</v>
      </c>
      <c r="X186" s="28">
        <f>W186+VLOOKUP(Rawdata!V181,Int_rate_movements,2,TRUE)</f>
        <v>3.7499999999999999E-2</v>
      </c>
      <c r="Y186" s="28">
        <f>X186+VLOOKUP(Rawdata!W181,Int_rate_movements,2,TRUE)</f>
        <v>3.7499999999999999E-2</v>
      </c>
      <c r="Z186" s="35">
        <f>Y186+VLOOKUP(Rawdata!X181,Int_rate_movements,2,TRUE)</f>
        <v>3.7499999999999999E-2</v>
      </c>
      <c r="AB186" s="55">
        <f t="shared" si="137"/>
        <v>4.4097712805242217E-2</v>
      </c>
      <c r="AC186" s="55">
        <f t="shared" si="138"/>
        <v>4.4097712805242217E-2</v>
      </c>
      <c r="AD186" s="55">
        <f t="shared" si="139"/>
        <v>4.4097712805242217E-2</v>
      </c>
      <c r="AE186" s="55">
        <f t="shared" si="140"/>
        <v>4.4097712805242217E-2</v>
      </c>
      <c r="AF186" s="55">
        <f t="shared" si="141"/>
        <v>4.4097712805242217E-2</v>
      </c>
      <c r="AG186" s="55">
        <f t="shared" si="142"/>
        <v>4.4097712805242217E-2</v>
      </c>
      <c r="AH186" s="55">
        <f t="shared" si="143"/>
        <v>4.4097712805242217E-2</v>
      </c>
      <c r="AI186" s="55">
        <f t="shared" si="144"/>
        <v>4.4097712805242217E-2</v>
      </c>
      <c r="AJ186" s="55">
        <f t="shared" si="145"/>
        <v>4.4097712805242217E-2</v>
      </c>
      <c r="AK186" s="55">
        <f t="shared" si="146"/>
        <v>4.4097712805242217E-2</v>
      </c>
      <c r="AL186" s="55">
        <f t="shared" si="147"/>
        <v>4.4097712805242217E-2</v>
      </c>
      <c r="AM186" s="55">
        <f t="shared" si="148"/>
        <v>4.4097712805242217E-2</v>
      </c>
      <c r="AN186" s="55">
        <f t="shared" si="149"/>
        <v>4.4097712805242217E-2</v>
      </c>
      <c r="AO186" s="55">
        <f t="shared" si="150"/>
        <v>4.4097712805242217E-2</v>
      </c>
      <c r="AP186" s="55">
        <f t="shared" si="151"/>
        <v>4.4097712805242217E-2</v>
      </c>
      <c r="AQ186" s="55">
        <f t="shared" si="152"/>
        <v>4.4097712805242217E-2</v>
      </c>
      <c r="AR186" s="55">
        <f t="shared" si="153"/>
        <v>4.1693940041970023E-2</v>
      </c>
      <c r="AS186" s="55">
        <f t="shared" si="154"/>
        <v>4.1693940041970023E-2</v>
      </c>
      <c r="AT186" s="55">
        <f t="shared" si="155"/>
        <v>4.1693940041970023E-2</v>
      </c>
      <c r="AU186" s="55">
        <f t="shared" si="156"/>
        <v>4.1693940041970023E-2</v>
      </c>
      <c r="AV186" s="55">
        <f t="shared" si="157"/>
        <v>4.1693940041970023E-2</v>
      </c>
      <c r="AW186" s="55">
        <f t="shared" si="158"/>
        <v>3.6870500439066589E-2</v>
      </c>
      <c r="AX186" s="55">
        <f t="shared" si="159"/>
        <v>3.6870500439066589E-2</v>
      </c>
      <c r="AY186" s="55">
        <f t="shared" si="160"/>
        <v>3.6870500439066589E-2</v>
      </c>
      <c r="AZ186" s="56">
        <f t="shared" si="161"/>
        <v>3.6870500439066589E-2</v>
      </c>
    </row>
    <row r="187" spans="1:52" x14ac:dyDescent="0.35">
      <c r="A187" s="5">
        <v>180</v>
      </c>
      <c r="B187" s="63">
        <f t="shared" si="136"/>
        <v>4.4999999999999998E-2</v>
      </c>
      <c r="C187" s="28">
        <f>B187+VLOOKUP(Rawdata!A182,Int_rate_movements,2,TRUE)</f>
        <v>4.4999999999999998E-2</v>
      </c>
      <c r="D187" s="28">
        <f>C187+VLOOKUP(Rawdata!B182,Int_rate_movements,2,TRUE)</f>
        <v>4.4999999999999998E-2</v>
      </c>
      <c r="E187" s="28">
        <f>D187+VLOOKUP(Rawdata!C182,Int_rate_movements,2,TRUE)</f>
        <v>4.4999999999999998E-2</v>
      </c>
      <c r="F187" s="28">
        <f>E187+VLOOKUP(Rawdata!D182,Int_rate_movements,2,TRUE)</f>
        <v>4.4999999999999998E-2</v>
      </c>
      <c r="G187" s="28">
        <f>F187+VLOOKUP(Rawdata!E182,Int_rate_movements,2,TRUE)</f>
        <v>4.4999999999999998E-2</v>
      </c>
      <c r="H187" s="28">
        <f>G187+VLOOKUP(Rawdata!F182,Int_rate_movements,2,TRUE)</f>
        <v>4.4999999999999998E-2</v>
      </c>
      <c r="I187" s="28">
        <f>H187+VLOOKUP(Rawdata!G182,Int_rate_movements,2,TRUE)</f>
        <v>4.4999999999999998E-2</v>
      </c>
      <c r="J187" s="28">
        <f>I187+VLOOKUP(Rawdata!H182,Int_rate_movements,2,TRUE)</f>
        <v>4.4999999999999998E-2</v>
      </c>
      <c r="K187" s="28">
        <f>J187+VLOOKUP(Rawdata!I182,Int_rate_movements,2,TRUE)</f>
        <v>4.7500000000000001E-2</v>
      </c>
      <c r="L187" s="28">
        <f>K187+VLOOKUP(Rawdata!J182,Int_rate_movements,2,TRUE)</f>
        <v>4.7500000000000001E-2</v>
      </c>
      <c r="M187" s="28">
        <f>L187+VLOOKUP(Rawdata!K182,Int_rate_movements,2,TRUE)</f>
        <v>5.2499999999999998E-2</v>
      </c>
      <c r="N187" s="28">
        <f>M187+VLOOKUP(Rawdata!L182,Int_rate_movements,2,TRUE)</f>
        <v>5.2499999999999998E-2</v>
      </c>
      <c r="O187" s="28">
        <f>N187+VLOOKUP(Rawdata!M182,Int_rate_movements,2,TRUE)</f>
        <v>5.2499999999999998E-2</v>
      </c>
      <c r="P187" s="28">
        <f>O187+VLOOKUP(Rawdata!N182,Int_rate_movements,2,TRUE)</f>
        <v>5.2499999999999998E-2</v>
      </c>
      <c r="Q187" s="28">
        <f>P187+VLOOKUP(Rawdata!O182,Int_rate_movements,2,TRUE)</f>
        <v>5.2499999999999998E-2</v>
      </c>
      <c r="R187" s="28">
        <f>Q187+VLOOKUP(Rawdata!P182,Int_rate_movements,2,TRUE)</f>
        <v>5.2499999999999998E-2</v>
      </c>
      <c r="S187" s="28">
        <f>R187+VLOOKUP(Rawdata!Q182,Int_rate_movements,2,TRUE)</f>
        <v>4.9999999999999996E-2</v>
      </c>
      <c r="T187" s="28">
        <f>S187+VLOOKUP(Rawdata!R182,Int_rate_movements,2,TRUE)</f>
        <v>4.9999999999999996E-2</v>
      </c>
      <c r="U187" s="28">
        <f>T187+VLOOKUP(Rawdata!S182,Int_rate_movements,2,TRUE)</f>
        <v>5.2499999999999998E-2</v>
      </c>
      <c r="V187" s="28">
        <f>U187+VLOOKUP(Rawdata!T182,Int_rate_movements,2,TRUE)</f>
        <v>5.2499999999999998E-2</v>
      </c>
      <c r="W187" s="28">
        <f>V187+VLOOKUP(Rawdata!U182,Int_rate_movements,2,TRUE)</f>
        <v>5.2499999999999998E-2</v>
      </c>
      <c r="X187" s="28">
        <f>W187+VLOOKUP(Rawdata!V182,Int_rate_movements,2,TRUE)</f>
        <v>5.2499999999999998E-2</v>
      </c>
      <c r="Y187" s="28">
        <f>X187+VLOOKUP(Rawdata!W182,Int_rate_movements,2,TRUE)</f>
        <v>5.2499999999999998E-2</v>
      </c>
      <c r="Z187" s="35">
        <f>Y187+VLOOKUP(Rawdata!X182,Int_rate_movements,2,TRUE)</f>
        <v>5.2499999999999998E-2</v>
      </c>
      <c r="AB187" s="55">
        <f t="shared" si="137"/>
        <v>4.4097712805242217E-2</v>
      </c>
      <c r="AC187" s="55">
        <f t="shared" si="138"/>
        <v>4.4097712805242217E-2</v>
      </c>
      <c r="AD187" s="55">
        <f t="shared" si="139"/>
        <v>4.4097712805242217E-2</v>
      </c>
      <c r="AE187" s="55">
        <f t="shared" si="140"/>
        <v>4.4097712805242217E-2</v>
      </c>
      <c r="AF187" s="55">
        <f t="shared" si="141"/>
        <v>4.4097712805242217E-2</v>
      </c>
      <c r="AG187" s="55">
        <f t="shared" si="142"/>
        <v>4.4097712805242217E-2</v>
      </c>
      <c r="AH187" s="55">
        <f t="shared" si="143"/>
        <v>4.4097712805242217E-2</v>
      </c>
      <c r="AI187" s="55">
        <f t="shared" si="144"/>
        <v>4.4097712805242217E-2</v>
      </c>
      <c r="AJ187" s="55">
        <f t="shared" si="145"/>
        <v>4.4097712805242217E-2</v>
      </c>
      <c r="AK187" s="55">
        <f t="shared" si="146"/>
        <v>4.6496219905550085E-2</v>
      </c>
      <c r="AL187" s="55">
        <f t="shared" si="147"/>
        <v>4.6496219905550085E-2</v>
      </c>
      <c r="AM187" s="55">
        <f t="shared" si="148"/>
        <v>5.1277533193896829E-2</v>
      </c>
      <c r="AN187" s="55">
        <f t="shared" si="149"/>
        <v>5.1277533193896829E-2</v>
      </c>
      <c r="AO187" s="55">
        <f t="shared" si="150"/>
        <v>5.1277533193896829E-2</v>
      </c>
      <c r="AP187" s="55">
        <f t="shared" si="151"/>
        <v>5.1277533193896829E-2</v>
      </c>
      <c r="AQ187" s="55">
        <f t="shared" si="152"/>
        <v>5.1277533193896829E-2</v>
      </c>
      <c r="AR187" s="55">
        <f t="shared" si="153"/>
        <v>5.1277533193896829E-2</v>
      </c>
      <c r="AS187" s="55">
        <f t="shared" si="154"/>
        <v>4.8889485403780242E-2</v>
      </c>
      <c r="AT187" s="55">
        <f t="shared" si="155"/>
        <v>4.8889485403780242E-2</v>
      </c>
      <c r="AU187" s="55">
        <f t="shared" si="156"/>
        <v>5.1277533193896829E-2</v>
      </c>
      <c r="AV187" s="55">
        <f t="shared" si="157"/>
        <v>5.1277533193896829E-2</v>
      </c>
      <c r="AW187" s="55">
        <f t="shared" si="158"/>
        <v>5.1277533193896829E-2</v>
      </c>
      <c r="AX187" s="55">
        <f t="shared" si="159"/>
        <v>5.1277533193896829E-2</v>
      </c>
      <c r="AY187" s="55">
        <f t="shared" si="160"/>
        <v>5.1277533193896829E-2</v>
      </c>
      <c r="AZ187" s="56">
        <f t="shared" si="161"/>
        <v>5.1277533193896829E-2</v>
      </c>
    </row>
    <row r="188" spans="1:52" x14ac:dyDescent="0.35">
      <c r="A188" s="27">
        <v>181</v>
      </c>
      <c r="B188" s="63">
        <f t="shared" si="136"/>
        <v>4.4999999999999998E-2</v>
      </c>
      <c r="C188" s="28">
        <f>B188+VLOOKUP(Rawdata!A183,Int_rate_movements,2,TRUE)</f>
        <v>4.4999999999999998E-2</v>
      </c>
      <c r="D188" s="28">
        <f>C188+VLOOKUP(Rawdata!B183,Int_rate_movements,2,TRUE)</f>
        <v>4.4999999999999998E-2</v>
      </c>
      <c r="E188" s="28">
        <f>D188+VLOOKUP(Rawdata!C183,Int_rate_movements,2,TRUE)</f>
        <v>4.4999999999999998E-2</v>
      </c>
      <c r="F188" s="28">
        <f>E188+VLOOKUP(Rawdata!D183,Int_rate_movements,2,TRUE)</f>
        <v>4.4999999999999998E-2</v>
      </c>
      <c r="G188" s="28">
        <f>F188+VLOOKUP(Rawdata!E183,Int_rate_movements,2,TRUE)</f>
        <v>4.4999999999999998E-2</v>
      </c>
      <c r="H188" s="28">
        <f>G188+VLOOKUP(Rawdata!F183,Int_rate_movements,2,TRUE)</f>
        <v>4.2499999999999996E-2</v>
      </c>
      <c r="I188" s="28">
        <f>H188+VLOOKUP(Rawdata!G183,Int_rate_movements,2,TRUE)</f>
        <v>4.2499999999999996E-2</v>
      </c>
      <c r="J188" s="28">
        <f>I188+VLOOKUP(Rawdata!H183,Int_rate_movements,2,TRUE)</f>
        <v>4.2499999999999996E-2</v>
      </c>
      <c r="K188" s="28">
        <f>J188+VLOOKUP(Rawdata!I183,Int_rate_movements,2,TRUE)</f>
        <v>4.2499999999999996E-2</v>
      </c>
      <c r="L188" s="28">
        <f>K188+VLOOKUP(Rawdata!J183,Int_rate_movements,2,TRUE)</f>
        <v>4.2499999999999996E-2</v>
      </c>
      <c r="M188" s="28">
        <f>L188+VLOOKUP(Rawdata!K183,Int_rate_movements,2,TRUE)</f>
        <v>4.2499999999999996E-2</v>
      </c>
      <c r="N188" s="28">
        <f>M188+VLOOKUP(Rawdata!L183,Int_rate_movements,2,TRUE)</f>
        <v>4.2499999999999996E-2</v>
      </c>
      <c r="O188" s="28">
        <f>N188+VLOOKUP(Rawdata!M183,Int_rate_movements,2,TRUE)</f>
        <v>4.2499999999999996E-2</v>
      </c>
      <c r="P188" s="28">
        <f>O188+VLOOKUP(Rawdata!N183,Int_rate_movements,2,TRUE)</f>
        <v>4.2499999999999996E-2</v>
      </c>
      <c r="Q188" s="28">
        <f>P188+VLOOKUP(Rawdata!O183,Int_rate_movements,2,TRUE)</f>
        <v>4.2499999999999996E-2</v>
      </c>
      <c r="R188" s="28">
        <f>Q188+VLOOKUP(Rawdata!P183,Int_rate_movements,2,TRUE)</f>
        <v>4.2499999999999996E-2</v>
      </c>
      <c r="S188" s="28">
        <f>R188+VLOOKUP(Rawdata!Q183,Int_rate_movements,2,TRUE)</f>
        <v>4.2499999999999996E-2</v>
      </c>
      <c r="T188" s="28">
        <f>S188+VLOOKUP(Rawdata!R183,Int_rate_movements,2,TRUE)</f>
        <v>4.2499999999999996E-2</v>
      </c>
      <c r="U188" s="28">
        <f>T188+VLOOKUP(Rawdata!S183,Int_rate_movements,2,TRUE)</f>
        <v>4.2499999999999996E-2</v>
      </c>
      <c r="V188" s="28">
        <f>U188+VLOOKUP(Rawdata!T183,Int_rate_movements,2,TRUE)</f>
        <v>4.2499999999999996E-2</v>
      </c>
      <c r="W188" s="28">
        <f>V188+VLOOKUP(Rawdata!U183,Int_rate_movements,2,TRUE)</f>
        <v>4.2499999999999996E-2</v>
      </c>
      <c r="X188" s="28">
        <f>W188+VLOOKUP(Rawdata!V183,Int_rate_movements,2,TRUE)</f>
        <v>4.2499999999999996E-2</v>
      </c>
      <c r="Y188" s="28">
        <f>X188+VLOOKUP(Rawdata!W183,Int_rate_movements,2,TRUE)</f>
        <v>4.2499999999999996E-2</v>
      </c>
      <c r="Z188" s="35">
        <f>Y188+VLOOKUP(Rawdata!X183,Int_rate_movements,2,TRUE)</f>
        <v>4.2499999999999996E-2</v>
      </c>
      <c r="AB188" s="55">
        <f t="shared" si="137"/>
        <v>4.4097712805242217E-2</v>
      </c>
      <c r="AC188" s="55">
        <f t="shared" si="138"/>
        <v>4.4097712805242217E-2</v>
      </c>
      <c r="AD188" s="55">
        <f t="shared" si="139"/>
        <v>4.4097712805242217E-2</v>
      </c>
      <c r="AE188" s="55">
        <f t="shared" si="140"/>
        <v>4.4097712805242217E-2</v>
      </c>
      <c r="AF188" s="55">
        <f t="shared" si="141"/>
        <v>4.4097712805242217E-2</v>
      </c>
      <c r="AG188" s="55">
        <f t="shared" si="142"/>
        <v>4.4097712805242217E-2</v>
      </c>
      <c r="AH188" s="55">
        <f t="shared" si="143"/>
        <v>4.1693940041970023E-2</v>
      </c>
      <c r="AI188" s="55">
        <f t="shared" si="144"/>
        <v>4.1693940041970023E-2</v>
      </c>
      <c r="AJ188" s="55">
        <f t="shared" si="145"/>
        <v>4.1693940041970023E-2</v>
      </c>
      <c r="AK188" s="55">
        <f t="shared" si="146"/>
        <v>4.1693940041970023E-2</v>
      </c>
      <c r="AL188" s="55">
        <f t="shared" si="147"/>
        <v>4.1693940041970023E-2</v>
      </c>
      <c r="AM188" s="55">
        <f t="shared" si="148"/>
        <v>4.1693940041970023E-2</v>
      </c>
      <c r="AN188" s="55">
        <f t="shared" si="149"/>
        <v>4.1693940041970023E-2</v>
      </c>
      <c r="AO188" s="55">
        <f t="shared" si="150"/>
        <v>4.1693940041970023E-2</v>
      </c>
      <c r="AP188" s="55">
        <f t="shared" si="151"/>
        <v>4.1693940041970023E-2</v>
      </c>
      <c r="AQ188" s="55">
        <f t="shared" si="152"/>
        <v>4.1693940041970023E-2</v>
      </c>
      <c r="AR188" s="55">
        <f t="shared" si="153"/>
        <v>4.1693940041970023E-2</v>
      </c>
      <c r="AS188" s="55">
        <f t="shared" si="154"/>
        <v>4.1693940041970023E-2</v>
      </c>
      <c r="AT188" s="55">
        <f t="shared" si="155"/>
        <v>4.1693940041970023E-2</v>
      </c>
      <c r="AU188" s="55">
        <f t="shared" si="156"/>
        <v>4.1693940041970023E-2</v>
      </c>
      <c r="AV188" s="55">
        <f t="shared" si="157"/>
        <v>4.1693940041970023E-2</v>
      </c>
      <c r="AW188" s="55">
        <f t="shared" si="158"/>
        <v>4.1693940041970023E-2</v>
      </c>
      <c r="AX188" s="55">
        <f t="shared" si="159"/>
        <v>4.1693940041970023E-2</v>
      </c>
      <c r="AY188" s="55">
        <f t="shared" si="160"/>
        <v>4.1693940041970023E-2</v>
      </c>
      <c r="AZ188" s="56">
        <f t="shared" si="161"/>
        <v>4.1693940041970023E-2</v>
      </c>
    </row>
    <row r="189" spans="1:52" x14ac:dyDescent="0.35">
      <c r="A189" s="5">
        <v>182</v>
      </c>
      <c r="B189" s="63">
        <f t="shared" si="136"/>
        <v>4.4999999999999998E-2</v>
      </c>
      <c r="C189" s="28">
        <f>B189+VLOOKUP(Rawdata!A184,Int_rate_movements,2,TRUE)</f>
        <v>0.04</v>
      </c>
      <c r="D189" s="28">
        <f>C189+VLOOKUP(Rawdata!B184,Int_rate_movements,2,TRUE)</f>
        <v>0.04</v>
      </c>
      <c r="E189" s="28">
        <f>D189+VLOOKUP(Rawdata!C184,Int_rate_movements,2,TRUE)</f>
        <v>0.04</v>
      </c>
      <c r="F189" s="28">
        <f>E189+VLOOKUP(Rawdata!D184,Int_rate_movements,2,TRUE)</f>
        <v>0.04</v>
      </c>
      <c r="G189" s="28">
        <f>F189+VLOOKUP(Rawdata!E184,Int_rate_movements,2,TRUE)</f>
        <v>0.04</v>
      </c>
      <c r="H189" s="28">
        <f>G189+VLOOKUP(Rawdata!F184,Int_rate_movements,2,TRUE)</f>
        <v>0.04</v>
      </c>
      <c r="I189" s="28">
        <f>H189+VLOOKUP(Rawdata!G184,Int_rate_movements,2,TRUE)</f>
        <v>4.2500000000000003E-2</v>
      </c>
      <c r="J189" s="28">
        <f>I189+VLOOKUP(Rawdata!H184,Int_rate_movements,2,TRUE)</f>
        <v>4.2500000000000003E-2</v>
      </c>
      <c r="K189" s="28">
        <f>J189+VLOOKUP(Rawdata!I184,Int_rate_movements,2,TRUE)</f>
        <v>4.2500000000000003E-2</v>
      </c>
      <c r="L189" s="28">
        <f>K189+VLOOKUP(Rawdata!J184,Int_rate_movements,2,TRUE)</f>
        <v>4.2500000000000003E-2</v>
      </c>
      <c r="M189" s="28">
        <f>L189+VLOOKUP(Rawdata!K184,Int_rate_movements,2,TRUE)</f>
        <v>3.7500000000000006E-2</v>
      </c>
      <c r="N189" s="28">
        <f>M189+VLOOKUP(Rawdata!L184,Int_rate_movements,2,TRUE)</f>
        <v>3.7500000000000006E-2</v>
      </c>
      <c r="O189" s="28">
        <f>N189+VLOOKUP(Rawdata!M184,Int_rate_movements,2,TRUE)</f>
        <v>3.5000000000000003E-2</v>
      </c>
      <c r="P189" s="28">
        <f>O189+VLOOKUP(Rawdata!N184,Int_rate_movements,2,TRUE)</f>
        <v>3.5000000000000003E-2</v>
      </c>
      <c r="Q189" s="28">
        <f>P189+VLOOKUP(Rawdata!O184,Int_rate_movements,2,TRUE)</f>
        <v>3.5000000000000003E-2</v>
      </c>
      <c r="R189" s="28">
        <f>Q189+VLOOKUP(Rawdata!P184,Int_rate_movements,2,TRUE)</f>
        <v>3.2500000000000001E-2</v>
      </c>
      <c r="S189" s="28">
        <f>R189+VLOOKUP(Rawdata!Q184,Int_rate_movements,2,TRUE)</f>
        <v>3.2500000000000001E-2</v>
      </c>
      <c r="T189" s="28">
        <f>S189+VLOOKUP(Rawdata!R184,Int_rate_movements,2,TRUE)</f>
        <v>3.2500000000000001E-2</v>
      </c>
      <c r="U189" s="28">
        <f>T189+VLOOKUP(Rawdata!S184,Int_rate_movements,2,TRUE)</f>
        <v>3.2500000000000001E-2</v>
      </c>
      <c r="V189" s="28">
        <f>U189+VLOOKUP(Rawdata!T184,Int_rate_movements,2,TRUE)</f>
        <v>3.2500000000000001E-2</v>
      </c>
      <c r="W189" s="28">
        <f>V189+VLOOKUP(Rawdata!U184,Int_rate_movements,2,TRUE)</f>
        <v>3.2500000000000001E-2</v>
      </c>
      <c r="X189" s="28">
        <f>W189+VLOOKUP(Rawdata!V184,Int_rate_movements,2,TRUE)</f>
        <v>3.7499999999999999E-2</v>
      </c>
      <c r="Y189" s="28">
        <f>X189+VLOOKUP(Rawdata!W184,Int_rate_movements,2,TRUE)</f>
        <v>3.7499999999999999E-2</v>
      </c>
      <c r="Z189" s="35">
        <f>Y189+VLOOKUP(Rawdata!X184,Int_rate_movements,2,TRUE)</f>
        <v>3.7499999999999999E-2</v>
      </c>
      <c r="AB189" s="55">
        <f t="shared" si="137"/>
        <v>4.4097712805242217E-2</v>
      </c>
      <c r="AC189" s="55">
        <f t="shared" si="138"/>
        <v>3.9284877386386974E-2</v>
      </c>
      <c r="AD189" s="55">
        <f t="shared" si="139"/>
        <v>3.9284877386386974E-2</v>
      </c>
      <c r="AE189" s="55">
        <f t="shared" si="140"/>
        <v>3.9284877386386974E-2</v>
      </c>
      <c r="AF189" s="55">
        <f t="shared" si="141"/>
        <v>3.9284877386386974E-2</v>
      </c>
      <c r="AG189" s="55">
        <f t="shared" si="142"/>
        <v>3.9284877386386974E-2</v>
      </c>
      <c r="AH189" s="55">
        <f t="shared" si="143"/>
        <v>3.9284877386386974E-2</v>
      </c>
      <c r="AI189" s="55">
        <f t="shared" si="144"/>
        <v>4.1693940041970023E-2</v>
      </c>
      <c r="AJ189" s="55">
        <f t="shared" si="145"/>
        <v>4.1693940041970023E-2</v>
      </c>
      <c r="AK189" s="55">
        <f t="shared" si="146"/>
        <v>4.1693940041970023E-2</v>
      </c>
      <c r="AL189" s="55">
        <f t="shared" si="147"/>
        <v>4.1693940041970023E-2</v>
      </c>
      <c r="AM189" s="55">
        <f t="shared" si="148"/>
        <v>3.6870500439066589E-2</v>
      </c>
      <c r="AN189" s="55">
        <f t="shared" si="149"/>
        <v>3.6870500439066589E-2</v>
      </c>
      <c r="AO189" s="55">
        <f t="shared" si="150"/>
        <v>3.4450784628919706E-2</v>
      </c>
      <c r="AP189" s="55">
        <f t="shared" si="151"/>
        <v>3.4450784628919706E-2</v>
      </c>
      <c r="AQ189" s="55">
        <f t="shared" si="152"/>
        <v>3.4450784628919706E-2</v>
      </c>
      <c r="AR189" s="55">
        <f t="shared" si="153"/>
        <v>3.2025705211555788E-2</v>
      </c>
      <c r="AS189" s="55">
        <f t="shared" si="154"/>
        <v>3.2025705211555788E-2</v>
      </c>
      <c r="AT189" s="55">
        <f t="shared" si="155"/>
        <v>3.2025705211555788E-2</v>
      </c>
      <c r="AU189" s="55">
        <f t="shared" si="156"/>
        <v>3.2025705211555788E-2</v>
      </c>
      <c r="AV189" s="55">
        <f t="shared" si="157"/>
        <v>3.2025705211555788E-2</v>
      </c>
      <c r="AW189" s="55">
        <f t="shared" si="158"/>
        <v>3.2025705211555788E-2</v>
      </c>
      <c r="AX189" s="55">
        <f t="shared" si="159"/>
        <v>3.6870500439066589E-2</v>
      </c>
      <c r="AY189" s="55">
        <f t="shared" si="160"/>
        <v>3.6870500439066589E-2</v>
      </c>
      <c r="AZ189" s="56">
        <f t="shared" si="161"/>
        <v>3.6870500439066589E-2</v>
      </c>
    </row>
    <row r="190" spans="1:52" x14ac:dyDescent="0.35">
      <c r="A190" s="27">
        <v>183</v>
      </c>
      <c r="B190" s="63">
        <f t="shared" si="136"/>
        <v>4.4999999999999998E-2</v>
      </c>
      <c r="C190" s="28">
        <f>B190+VLOOKUP(Rawdata!A185,Int_rate_movements,2,TRUE)</f>
        <v>4.4999999999999998E-2</v>
      </c>
      <c r="D190" s="28">
        <f>C190+VLOOKUP(Rawdata!B185,Int_rate_movements,2,TRUE)</f>
        <v>4.4999999999999998E-2</v>
      </c>
      <c r="E190" s="28">
        <f>D190+VLOOKUP(Rawdata!C185,Int_rate_movements,2,TRUE)</f>
        <v>4.4999999999999998E-2</v>
      </c>
      <c r="F190" s="28">
        <f>E190+VLOOKUP(Rawdata!D185,Int_rate_movements,2,TRUE)</f>
        <v>4.4999999999999998E-2</v>
      </c>
      <c r="G190" s="28">
        <f>F190+VLOOKUP(Rawdata!E185,Int_rate_movements,2,TRUE)</f>
        <v>4.4999999999999998E-2</v>
      </c>
      <c r="H190" s="28">
        <f>G190+VLOOKUP(Rawdata!F185,Int_rate_movements,2,TRUE)</f>
        <v>4.4999999999999998E-2</v>
      </c>
      <c r="I190" s="28">
        <f>H190+VLOOKUP(Rawdata!G185,Int_rate_movements,2,TRUE)</f>
        <v>4.4999999999999998E-2</v>
      </c>
      <c r="J190" s="28">
        <f>I190+VLOOKUP(Rawdata!H185,Int_rate_movements,2,TRUE)</f>
        <v>4.4999999999999998E-2</v>
      </c>
      <c r="K190" s="28">
        <f>J190+VLOOKUP(Rawdata!I185,Int_rate_movements,2,TRUE)</f>
        <v>4.4999999999999998E-2</v>
      </c>
      <c r="L190" s="28">
        <f>K190+VLOOKUP(Rawdata!J185,Int_rate_movements,2,TRUE)</f>
        <v>4.4999999999999998E-2</v>
      </c>
      <c r="M190" s="28">
        <f>L190+VLOOKUP(Rawdata!K185,Int_rate_movements,2,TRUE)</f>
        <v>4.2499999999999996E-2</v>
      </c>
      <c r="N190" s="28">
        <f>M190+VLOOKUP(Rawdata!L185,Int_rate_movements,2,TRUE)</f>
        <v>4.2499999999999996E-2</v>
      </c>
      <c r="O190" s="28">
        <f>N190+VLOOKUP(Rawdata!M185,Int_rate_movements,2,TRUE)</f>
        <v>4.2499999999999996E-2</v>
      </c>
      <c r="P190" s="28">
        <f>O190+VLOOKUP(Rawdata!N185,Int_rate_movements,2,TRUE)</f>
        <v>4.7499999999999994E-2</v>
      </c>
      <c r="Q190" s="28">
        <f>P190+VLOOKUP(Rawdata!O185,Int_rate_movements,2,TRUE)</f>
        <v>4.7499999999999994E-2</v>
      </c>
      <c r="R190" s="28">
        <f>Q190+VLOOKUP(Rawdata!P185,Int_rate_movements,2,TRUE)</f>
        <v>4.7499999999999994E-2</v>
      </c>
      <c r="S190" s="28">
        <f>R190+VLOOKUP(Rawdata!Q185,Int_rate_movements,2,TRUE)</f>
        <v>4.7499999999999994E-2</v>
      </c>
      <c r="T190" s="28">
        <f>S190+VLOOKUP(Rawdata!R185,Int_rate_movements,2,TRUE)</f>
        <v>4.7499999999999994E-2</v>
      </c>
      <c r="U190" s="28">
        <f>T190+VLOOKUP(Rawdata!S185,Int_rate_movements,2,TRUE)</f>
        <v>4.7499999999999994E-2</v>
      </c>
      <c r="V190" s="28">
        <f>U190+VLOOKUP(Rawdata!T185,Int_rate_movements,2,TRUE)</f>
        <v>4.7499999999999994E-2</v>
      </c>
      <c r="W190" s="28">
        <f>V190+VLOOKUP(Rawdata!U185,Int_rate_movements,2,TRUE)</f>
        <v>4.7499999999999994E-2</v>
      </c>
      <c r="X190" s="28">
        <f>W190+VLOOKUP(Rawdata!V185,Int_rate_movements,2,TRUE)</f>
        <v>4.4999999999999991E-2</v>
      </c>
      <c r="Y190" s="28">
        <f>X190+VLOOKUP(Rawdata!W185,Int_rate_movements,2,TRUE)</f>
        <v>4.4999999999999991E-2</v>
      </c>
      <c r="Z190" s="35">
        <f>Y190+VLOOKUP(Rawdata!X185,Int_rate_movements,2,TRUE)</f>
        <v>4.4999999999999991E-2</v>
      </c>
      <c r="AB190" s="55">
        <f t="shared" si="137"/>
        <v>4.4097712805242217E-2</v>
      </c>
      <c r="AC190" s="55">
        <f t="shared" si="138"/>
        <v>4.4097712805242217E-2</v>
      </c>
      <c r="AD190" s="55">
        <f t="shared" si="139"/>
        <v>4.4097712805242217E-2</v>
      </c>
      <c r="AE190" s="55">
        <f t="shared" si="140"/>
        <v>4.4097712805242217E-2</v>
      </c>
      <c r="AF190" s="55">
        <f t="shared" si="141"/>
        <v>4.4097712805242217E-2</v>
      </c>
      <c r="AG190" s="55">
        <f t="shared" si="142"/>
        <v>4.4097712805242217E-2</v>
      </c>
      <c r="AH190" s="55">
        <f t="shared" si="143"/>
        <v>4.4097712805242217E-2</v>
      </c>
      <c r="AI190" s="55">
        <f t="shared" si="144"/>
        <v>4.4097712805242217E-2</v>
      </c>
      <c r="AJ190" s="55">
        <f t="shared" si="145"/>
        <v>4.4097712805242217E-2</v>
      </c>
      <c r="AK190" s="55">
        <f t="shared" si="146"/>
        <v>4.4097712805242217E-2</v>
      </c>
      <c r="AL190" s="55">
        <f t="shared" si="147"/>
        <v>4.4097712805242217E-2</v>
      </c>
      <c r="AM190" s="55">
        <f t="shared" si="148"/>
        <v>4.1693940041970023E-2</v>
      </c>
      <c r="AN190" s="55">
        <f t="shared" si="149"/>
        <v>4.1693940041970023E-2</v>
      </c>
      <c r="AO190" s="55">
        <f t="shared" si="150"/>
        <v>4.1693940041970023E-2</v>
      </c>
      <c r="AP190" s="55">
        <f t="shared" si="151"/>
        <v>4.6496219905550085E-2</v>
      </c>
      <c r="AQ190" s="55">
        <f t="shared" si="152"/>
        <v>4.6496219905550085E-2</v>
      </c>
      <c r="AR190" s="55">
        <f t="shared" si="153"/>
        <v>4.6496219905550085E-2</v>
      </c>
      <c r="AS190" s="55">
        <f t="shared" si="154"/>
        <v>4.6496219905550085E-2</v>
      </c>
      <c r="AT190" s="55">
        <f t="shared" si="155"/>
        <v>4.6496219905550085E-2</v>
      </c>
      <c r="AU190" s="55">
        <f t="shared" si="156"/>
        <v>4.6496219905550085E-2</v>
      </c>
      <c r="AV190" s="55">
        <f t="shared" si="157"/>
        <v>4.6496219905550085E-2</v>
      </c>
      <c r="AW190" s="55">
        <f t="shared" si="158"/>
        <v>4.6496219905550085E-2</v>
      </c>
      <c r="AX190" s="55">
        <f t="shared" si="159"/>
        <v>4.4097712805242217E-2</v>
      </c>
      <c r="AY190" s="55">
        <f t="shared" si="160"/>
        <v>4.4097712805242217E-2</v>
      </c>
      <c r="AZ190" s="56">
        <f t="shared" si="161"/>
        <v>4.4097712805242217E-2</v>
      </c>
    </row>
    <row r="191" spans="1:52" x14ac:dyDescent="0.35">
      <c r="A191" s="5">
        <v>184</v>
      </c>
      <c r="B191" s="63">
        <f t="shared" si="136"/>
        <v>4.4999999999999998E-2</v>
      </c>
      <c r="C191" s="28">
        <f>B191+VLOOKUP(Rawdata!A186,Int_rate_movements,2,TRUE)</f>
        <v>4.4999999999999998E-2</v>
      </c>
      <c r="D191" s="28">
        <f>C191+VLOOKUP(Rawdata!B186,Int_rate_movements,2,TRUE)</f>
        <v>4.4999999999999998E-2</v>
      </c>
      <c r="E191" s="28">
        <f>D191+VLOOKUP(Rawdata!C186,Int_rate_movements,2,TRUE)</f>
        <v>4.4999999999999998E-2</v>
      </c>
      <c r="F191" s="28">
        <f>E191+VLOOKUP(Rawdata!D186,Int_rate_movements,2,TRUE)</f>
        <v>4.4999999999999998E-2</v>
      </c>
      <c r="G191" s="28">
        <f>F191+VLOOKUP(Rawdata!E186,Int_rate_movements,2,TRUE)</f>
        <v>4.4999999999999998E-2</v>
      </c>
      <c r="H191" s="28">
        <f>G191+VLOOKUP(Rawdata!F186,Int_rate_movements,2,TRUE)</f>
        <v>4.4999999999999998E-2</v>
      </c>
      <c r="I191" s="28">
        <f>H191+VLOOKUP(Rawdata!G186,Int_rate_movements,2,TRUE)</f>
        <v>4.4999999999999998E-2</v>
      </c>
      <c r="J191" s="28">
        <f>I191+VLOOKUP(Rawdata!H186,Int_rate_movements,2,TRUE)</f>
        <v>4.7500000000000001E-2</v>
      </c>
      <c r="K191" s="28">
        <f>J191+VLOOKUP(Rawdata!I186,Int_rate_movements,2,TRUE)</f>
        <v>4.7500000000000001E-2</v>
      </c>
      <c r="L191" s="28">
        <f>K191+VLOOKUP(Rawdata!J186,Int_rate_movements,2,TRUE)</f>
        <v>4.7500000000000001E-2</v>
      </c>
      <c r="M191" s="28">
        <f>L191+VLOOKUP(Rawdata!K186,Int_rate_movements,2,TRUE)</f>
        <v>4.7500000000000001E-2</v>
      </c>
      <c r="N191" s="28">
        <f>M191+VLOOKUP(Rawdata!L186,Int_rate_movements,2,TRUE)</f>
        <v>4.7500000000000001E-2</v>
      </c>
      <c r="O191" s="28">
        <f>N191+VLOOKUP(Rawdata!M186,Int_rate_movements,2,TRUE)</f>
        <v>4.4999999999999998E-2</v>
      </c>
      <c r="P191" s="28">
        <f>O191+VLOOKUP(Rawdata!N186,Int_rate_movements,2,TRUE)</f>
        <v>4.4999999999999998E-2</v>
      </c>
      <c r="Q191" s="28">
        <f>P191+VLOOKUP(Rawdata!O186,Int_rate_movements,2,TRUE)</f>
        <v>4.4999999999999998E-2</v>
      </c>
      <c r="R191" s="28">
        <f>Q191+VLOOKUP(Rawdata!P186,Int_rate_movements,2,TRUE)</f>
        <v>4.4999999999999998E-2</v>
      </c>
      <c r="S191" s="28">
        <f>R191+VLOOKUP(Rawdata!Q186,Int_rate_movements,2,TRUE)</f>
        <v>4.4999999999999998E-2</v>
      </c>
      <c r="T191" s="28">
        <f>S191+VLOOKUP(Rawdata!R186,Int_rate_movements,2,TRUE)</f>
        <v>4.4999999999999998E-2</v>
      </c>
      <c r="U191" s="28">
        <f>T191+VLOOKUP(Rawdata!S186,Int_rate_movements,2,TRUE)</f>
        <v>4.2499999999999996E-2</v>
      </c>
      <c r="V191" s="28">
        <f>U191+VLOOKUP(Rawdata!T186,Int_rate_movements,2,TRUE)</f>
        <v>4.2499999999999996E-2</v>
      </c>
      <c r="W191" s="28">
        <f>V191+VLOOKUP(Rawdata!U186,Int_rate_movements,2,TRUE)</f>
        <v>4.2499999999999996E-2</v>
      </c>
      <c r="X191" s="28">
        <f>W191+VLOOKUP(Rawdata!V186,Int_rate_movements,2,TRUE)</f>
        <v>4.4999999999999998E-2</v>
      </c>
      <c r="Y191" s="28">
        <f>X191+VLOOKUP(Rawdata!W186,Int_rate_movements,2,TRUE)</f>
        <v>4.4999999999999998E-2</v>
      </c>
      <c r="Z191" s="35">
        <f>Y191+VLOOKUP(Rawdata!X186,Int_rate_movements,2,TRUE)</f>
        <v>4.4999999999999998E-2</v>
      </c>
      <c r="AB191" s="55">
        <f t="shared" si="137"/>
        <v>4.4097712805242217E-2</v>
      </c>
      <c r="AC191" s="55">
        <f t="shared" si="138"/>
        <v>4.4097712805242217E-2</v>
      </c>
      <c r="AD191" s="55">
        <f t="shared" si="139"/>
        <v>4.4097712805242217E-2</v>
      </c>
      <c r="AE191" s="55">
        <f t="shared" si="140"/>
        <v>4.4097712805242217E-2</v>
      </c>
      <c r="AF191" s="55">
        <f t="shared" si="141"/>
        <v>4.4097712805242217E-2</v>
      </c>
      <c r="AG191" s="55">
        <f t="shared" si="142"/>
        <v>4.4097712805242217E-2</v>
      </c>
      <c r="AH191" s="55">
        <f t="shared" si="143"/>
        <v>4.4097712805242217E-2</v>
      </c>
      <c r="AI191" s="55">
        <f t="shared" si="144"/>
        <v>4.4097712805242217E-2</v>
      </c>
      <c r="AJ191" s="55">
        <f t="shared" si="145"/>
        <v>4.6496219905550085E-2</v>
      </c>
      <c r="AK191" s="55">
        <f t="shared" si="146"/>
        <v>4.6496219905550085E-2</v>
      </c>
      <c r="AL191" s="55">
        <f t="shared" si="147"/>
        <v>4.6496219905550085E-2</v>
      </c>
      <c r="AM191" s="55">
        <f t="shared" si="148"/>
        <v>4.6496219905550085E-2</v>
      </c>
      <c r="AN191" s="55">
        <f t="shared" si="149"/>
        <v>4.6496219905550085E-2</v>
      </c>
      <c r="AO191" s="55">
        <f t="shared" si="150"/>
        <v>4.4097712805242217E-2</v>
      </c>
      <c r="AP191" s="55">
        <f t="shared" si="151"/>
        <v>4.4097712805242217E-2</v>
      </c>
      <c r="AQ191" s="55">
        <f t="shared" si="152"/>
        <v>4.4097712805242217E-2</v>
      </c>
      <c r="AR191" s="55">
        <f t="shared" si="153"/>
        <v>4.4097712805242217E-2</v>
      </c>
      <c r="AS191" s="55">
        <f t="shared" si="154"/>
        <v>4.4097712805242217E-2</v>
      </c>
      <c r="AT191" s="55">
        <f t="shared" si="155"/>
        <v>4.4097712805242217E-2</v>
      </c>
      <c r="AU191" s="55">
        <f t="shared" si="156"/>
        <v>4.1693940041970023E-2</v>
      </c>
      <c r="AV191" s="55">
        <f t="shared" si="157"/>
        <v>4.1693940041970023E-2</v>
      </c>
      <c r="AW191" s="55">
        <f t="shared" si="158"/>
        <v>4.1693940041970023E-2</v>
      </c>
      <c r="AX191" s="55">
        <f t="shared" si="159"/>
        <v>4.4097712805242217E-2</v>
      </c>
      <c r="AY191" s="55">
        <f t="shared" si="160"/>
        <v>4.4097712805242217E-2</v>
      </c>
      <c r="AZ191" s="56">
        <f t="shared" si="161"/>
        <v>4.4097712805242217E-2</v>
      </c>
    </row>
    <row r="192" spans="1:52" x14ac:dyDescent="0.35">
      <c r="A192" s="27">
        <v>185</v>
      </c>
      <c r="B192" s="63">
        <f t="shared" si="136"/>
        <v>4.4999999999999998E-2</v>
      </c>
      <c r="C192" s="28">
        <f>B192+VLOOKUP(Rawdata!A187,Int_rate_movements,2,TRUE)</f>
        <v>4.4999999999999998E-2</v>
      </c>
      <c r="D192" s="28">
        <f>C192+VLOOKUP(Rawdata!B187,Int_rate_movements,2,TRUE)</f>
        <v>4.4999999999999998E-2</v>
      </c>
      <c r="E192" s="28">
        <f>D192+VLOOKUP(Rawdata!C187,Int_rate_movements,2,TRUE)</f>
        <v>4.4999999999999998E-2</v>
      </c>
      <c r="F192" s="28">
        <f>E192+VLOOKUP(Rawdata!D187,Int_rate_movements,2,TRUE)</f>
        <v>4.4999999999999998E-2</v>
      </c>
      <c r="G192" s="28">
        <f>F192+VLOOKUP(Rawdata!E187,Int_rate_movements,2,TRUE)</f>
        <v>4.4999999999999998E-2</v>
      </c>
      <c r="H192" s="28">
        <f>G192+VLOOKUP(Rawdata!F187,Int_rate_movements,2,TRUE)</f>
        <v>4.4999999999999998E-2</v>
      </c>
      <c r="I192" s="28">
        <f>H192+VLOOKUP(Rawdata!G187,Int_rate_movements,2,TRUE)</f>
        <v>4.4999999999999998E-2</v>
      </c>
      <c r="J192" s="28">
        <f>I192+VLOOKUP(Rawdata!H187,Int_rate_movements,2,TRUE)</f>
        <v>4.4999999999999998E-2</v>
      </c>
      <c r="K192" s="28">
        <f>J192+VLOOKUP(Rawdata!I187,Int_rate_movements,2,TRUE)</f>
        <v>4.4999999999999998E-2</v>
      </c>
      <c r="L192" s="28">
        <f>K192+VLOOKUP(Rawdata!J187,Int_rate_movements,2,TRUE)</f>
        <v>4.2499999999999996E-2</v>
      </c>
      <c r="M192" s="28">
        <f>L192+VLOOKUP(Rawdata!K187,Int_rate_movements,2,TRUE)</f>
        <v>4.2499999999999996E-2</v>
      </c>
      <c r="N192" s="28">
        <f>M192+VLOOKUP(Rawdata!L187,Int_rate_movements,2,TRUE)</f>
        <v>4.2499999999999996E-2</v>
      </c>
      <c r="O192" s="28">
        <f>N192+VLOOKUP(Rawdata!M187,Int_rate_movements,2,TRUE)</f>
        <v>4.2499999999999996E-2</v>
      </c>
      <c r="P192" s="28">
        <f>O192+VLOOKUP(Rawdata!N187,Int_rate_movements,2,TRUE)</f>
        <v>4.2499999999999996E-2</v>
      </c>
      <c r="Q192" s="28">
        <f>P192+VLOOKUP(Rawdata!O187,Int_rate_movements,2,TRUE)</f>
        <v>4.2499999999999996E-2</v>
      </c>
      <c r="R192" s="28">
        <f>Q192+VLOOKUP(Rawdata!P187,Int_rate_movements,2,TRUE)</f>
        <v>4.2499999999999996E-2</v>
      </c>
      <c r="S192" s="28">
        <f>R192+VLOOKUP(Rawdata!Q187,Int_rate_movements,2,TRUE)</f>
        <v>4.2499999999999996E-2</v>
      </c>
      <c r="T192" s="28">
        <f>S192+VLOOKUP(Rawdata!R187,Int_rate_movements,2,TRUE)</f>
        <v>4.2499999999999996E-2</v>
      </c>
      <c r="U192" s="28">
        <f>T192+VLOOKUP(Rawdata!S187,Int_rate_movements,2,TRUE)</f>
        <v>4.2499999999999996E-2</v>
      </c>
      <c r="V192" s="28">
        <f>U192+VLOOKUP(Rawdata!T187,Int_rate_movements,2,TRUE)</f>
        <v>4.2499999999999996E-2</v>
      </c>
      <c r="W192" s="28">
        <f>V192+VLOOKUP(Rawdata!U187,Int_rate_movements,2,TRUE)</f>
        <v>4.2499999999999996E-2</v>
      </c>
      <c r="X192" s="28">
        <f>W192+VLOOKUP(Rawdata!V187,Int_rate_movements,2,TRUE)</f>
        <v>4.2499999999999996E-2</v>
      </c>
      <c r="Y192" s="28">
        <f>X192+VLOOKUP(Rawdata!W187,Int_rate_movements,2,TRUE)</f>
        <v>4.2499999999999996E-2</v>
      </c>
      <c r="Z192" s="35">
        <f>Y192+VLOOKUP(Rawdata!X187,Int_rate_movements,2,TRUE)</f>
        <v>4.2499999999999996E-2</v>
      </c>
      <c r="AB192" s="55">
        <f t="shared" si="137"/>
        <v>4.4097712805242217E-2</v>
      </c>
      <c r="AC192" s="55">
        <f t="shared" si="138"/>
        <v>4.4097712805242217E-2</v>
      </c>
      <c r="AD192" s="55">
        <f t="shared" si="139"/>
        <v>4.4097712805242217E-2</v>
      </c>
      <c r="AE192" s="55">
        <f t="shared" si="140"/>
        <v>4.4097712805242217E-2</v>
      </c>
      <c r="AF192" s="55">
        <f t="shared" si="141"/>
        <v>4.4097712805242217E-2</v>
      </c>
      <c r="AG192" s="55">
        <f t="shared" si="142"/>
        <v>4.4097712805242217E-2</v>
      </c>
      <c r="AH192" s="55">
        <f t="shared" si="143"/>
        <v>4.4097712805242217E-2</v>
      </c>
      <c r="AI192" s="55">
        <f t="shared" si="144"/>
        <v>4.4097712805242217E-2</v>
      </c>
      <c r="AJ192" s="55">
        <f t="shared" si="145"/>
        <v>4.4097712805242217E-2</v>
      </c>
      <c r="AK192" s="55">
        <f t="shared" si="146"/>
        <v>4.4097712805242217E-2</v>
      </c>
      <c r="AL192" s="55">
        <f t="shared" si="147"/>
        <v>4.1693940041970023E-2</v>
      </c>
      <c r="AM192" s="55">
        <f t="shared" si="148"/>
        <v>4.1693940041970023E-2</v>
      </c>
      <c r="AN192" s="55">
        <f t="shared" si="149"/>
        <v>4.1693940041970023E-2</v>
      </c>
      <c r="AO192" s="55">
        <f t="shared" si="150"/>
        <v>4.1693940041970023E-2</v>
      </c>
      <c r="AP192" s="55">
        <f t="shared" si="151"/>
        <v>4.1693940041970023E-2</v>
      </c>
      <c r="AQ192" s="55">
        <f t="shared" si="152"/>
        <v>4.1693940041970023E-2</v>
      </c>
      <c r="AR192" s="55">
        <f t="shared" si="153"/>
        <v>4.1693940041970023E-2</v>
      </c>
      <c r="AS192" s="55">
        <f t="shared" si="154"/>
        <v>4.1693940041970023E-2</v>
      </c>
      <c r="AT192" s="55">
        <f t="shared" si="155"/>
        <v>4.1693940041970023E-2</v>
      </c>
      <c r="AU192" s="55">
        <f t="shared" si="156"/>
        <v>4.1693940041970023E-2</v>
      </c>
      <c r="AV192" s="55">
        <f t="shared" si="157"/>
        <v>4.1693940041970023E-2</v>
      </c>
      <c r="AW192" s="55">
        <f t="shared" si="158"/>
        <v>4.1693940041970023E-2</v>
      </c>
      <c r="AX192" s="55">
        <f t="shared" si="159"/>
        <v>4.1693940041970023E-2</v>
      </c>
      <c r="AY192" s="55">
        <f t="shared" si="160"/>
        <v>4.1693940041970023E-2</v>
      </c>
      <c r="AZ192" s="56">
        <f t="shared" si="161"/>
        <v>4.1693940041970023E-2</v>
      </c>
    </row>
    <row r="193" spans="1:52" x14ac:dyDescent="0.35">
      <c r="A193" s="5">
        <v>186</v>
      </c>
      <c r="B193" s="63">
        <f t="shared" si="136"/>
        <v>4.4999999999999998E-2</v>
      </c>
      <c r="C193" s="28">
        <f>B193+VLOOKUP(Rawdata!A188,Int_rate_movements,2,TRUE)</f>
        <v>4.4999999999999998E-2</v>
      </c>
      <c r="D193" s="28">
        <f>C193+VLOOKUP(Rawdata!B188,Int_rate_movements,2,TRUE)</f>
        <v>4.4999999999999998E-2</v>
      </c>
      <c r="E193" s="28">
        <f>D193+VLOOKUP(Rawdata!C188,Int_rate_movements,2,TRUE)</f>
        <v>4.9999999999999996E-2</v>
      </c>
      <c r="F193" s="28">
        <f>E193+VLOOKUP(Rawdata!D188,Int_rate_movements,2,TRUE)</f>
        <v>5.2499999999999998E-2</v>
      </c>
      <c r="G193" s="28">
        <f>F193+VLOOKUP(Rawdata!E188,Int_rate_movements,2,TRUE)</f>
        <v>5.2499999999999998E-2</v>
      </c>
      <c r="H193" s="28">
        <f>G193+VLOOKUP(Rawdata!F188,Int_rate_movements,2,TRUE)</f>
        <v>5.2499999999999998E-2</v>
      </c>
      <c r="I193" s="28">
        <f>H193+VLOOKUP(Rawdata!G188,Int_rate_movements,2,TRUE)</f>
        <v>5.7499999999999996E-2</v>
      </c>
      <c r="J193" s="28">
        <f>I193+VLOOKUP(Rawdata!H188,Int_rate_movements,2,TRUE)</f>
        <v>5.7499999999999996E-2</v>
      </c>
      <c r="K193" s="28">
        <f>J193+VLOOKUP(Rawdata!I188,Int_rate_movements,2,TRUE)</f>
        <v>5.7499999999999996E-2</v>
      </c>
      <c r="L193" s="28">
        <f>K193+VLOOKUP(Rawdata!J188,Int_rate_movements,2,TRUE)</f>
        <v>5.7499999999999996E-2</v>
      </c>
      <c r="M193" s="28">
        <f>L193+VLOOKUP(Rawdata!K188,Int_rate_movements,2,TRUE)</f>
        <v>5.7499999999999996E-2</v>
      </c>
      <c r="N193" s="28">
        <f>M193+VLOOKUP(Rawdata!L188,Int_rate_movements,2,TRUE)</f>
        <v>5.7499999999999996E-2</v>
      </c>
      <c r="O193" s="28">
        <f>N193+VLOOKUP(Rawdata!M188,Int_rate_movements,2,TRUE)</f>
        <v>5.7499999999999996E-2</v>
      </c>
      <c r="P193" s="28">
        <f>O193+VLOOKUP(Rawdata!N188,Int_rate_movements,2,TRUE)</f>
        <v>5.7499999999999996E-2</v>
      </c>
      <c r="Q193" s="28">
        <f>P193+VLOOKUP(Rawdata!O188,Int_rate_movements,2,TRUE)</f>
        <v>5.7499999999999996E-2</v>
      </c>
      <c r="R193" s="28">
        <f>Q193+VLOOKUP(Rawdata!P188,Int_rate_movements,2,TRUE)</f>
        <v>5.4999999999999993E-2</v>
      </c>
      <c r="S193" s="28">
        <f>R193+VLOOKUP(Rawdata!Q188,Int_rate_movements,2,TRUE)</f>
        <v>5.4999999999999993E-2</v>
      </c>
      <c r="T193" s="28">
        <f>S193+VLOOKUP(Rawdata!R188,Int_rate_movements,2,TRUE)</f>
        <v>5.4999999999999993E-2</v>
      </c>
      <c r="U193" s="28">
        <f>T193+VLOOKUP(Rawdata!S188,Int_rate_movements,2,TRUE)</f>
        <v>5.4999999999999993E-2</v>
      </c>
      <c r="V193" s="28">
        <f>U193+VLOOKUP(Rawdata!T188,Int_rate_movements,2,TRUE)</f>
        <v>5.4999999999999993E-2</v>
      </c>
      <c r="W193" s="28">
        <f>V193+VLOOKUP(Rawdata!U188,Int_rate_movements,2,TRUE)</f>
        <v>5.4999999999999993E-2</v>
      </c>
      <c r="X193" s="28">
        <f>W193+VLOOKUP(Rawdata!V188,Int_rate_movements,2,TRUE)</f>
        <v>4.9999999999999996E-2</v>
      </c>
      <c r="Y193" s="28">
        <f>X193+VLOOKUP(Rawdata!W188,Int_rate_movements,2,TRUE)</f>
        <v>5.4999999999999993E-2</v>
      </c>
      <c r="Z193" s="35">
        <f>Y193+VLOOKUP(Rawdata!X188,Int_rate_movements,2,TRUE)</f>
        <v>5.9999999999999991E-2</v>
      </c>
      <c r="AB193" s="55">
        <f t="shared" si="137"/>
        <v>4.4097712805242217E-2</v>
      </c>
      <c r="AC193" s="55">
        <f t="shared" si="138"/>
        <v>4.4097712805242217E-2</v>
      </c>
      <c r="AD193" s="55">
        <f t="shared" si="139"/>
        <v>4.4097712805242217E-2</v>
      </c>
      <c r="AE193" s="55">
        <f t="shared" si="140"/>
        <v>4.8889485403780242E-2</v>
      </c>
      <c r="AF193" s="55">
        <f t="shared" si="141"/>
        <v>5.1277533193896829E-2</v>
      </c>
      <c r="AG193" s="55">
        <f t="shared" si="142"/>
        <v>5.1277533193896829E-2</v>
      </c>
      <c r="AH193" s="55">
        <f t="shared" si="143"/>
        <v>5.1277533193896829E-2</v>
      </c>
      <c r="AI193" s="55">
        <f t="shared" si="144"/>
        <v>5.603807040042863E-2</v>
      </c>
      <c r="AJ193" s="55">
        <f t="shared" si="145"/>
        <v>5.603807040042863E-2</v>
      </c>
      <c r="AK193" s="55">
        <f t="shared" si="146"/>
        <v>5.603807040042863E-2</v>
      </c>
      <c r="AL193" s="55">
        <f t="shared" si="147"/>
        <v>5.603807040042863E-2</v>
      </c>
      <c r="AM193" s="55">
        <f t="shared" si="148"/>
        <v>5.603807040042863E-2</v>
      </c>
      <c r="AN193" s="55">
        <f t="shared" si="149"/>
        <v>5.603807040042863E-2</v>
      </c>
      <c r="AO193" s="55">
        <f t="shared" si="150"/>
        <v>5.603807040042863E-2</v>
      </c>
      <c r="AP193" s="55">
        <f t="shared" si="151"/>
        <v>5.603807040042863E-2</v>
      </c>
      <c r="AQ193" s="55">
        <f t="shared" si="152"/>
        <v>5.603807040042863E-2</v>
      </c>
      <c r="AR193" s="55">
        <f t="shared" si="153"/>
        <v>5.3660387004516252E-2</v>
      </c>
      <c r="AS193" s="55">
        <f t="shared" si="154"/>
        <v>5.3660387004516252E-2</v>
      </c>
      <c r="AT193" s="55">
        <f t="shared" si="155"/>
        <v>5.3660387004516252E-2</v>
      </c>
      <c r="AU193" s="55">
        <f t="shared" si="156"/>
        <v>5.3660387004516252E-2</v>
      </c>
      <c r="AV193" s="55">
        <f t="shared" si="157"/>
        <v>5.3660387004516252E-2</v>
      </c>
      <c r="AW193" s="55">
        <f t="shared" si="158"/>
        <v>5.3660387004516252E-2</v>
      </c>
      <c r="AX193" s="55">
        <f t="shared" si="159"/>
        <v>4.8889485403780242E-2</v>
      </c>
      <c r="AY193" s="55">
        <f t="shared" si="160"/>
        <v>5.3660387004516252E-2</v>
      </c>
      <c r="AZ193" s="56">
        <f t="shared" si="161"/>
        <v>5.8410606784116581E-2</v>
      </c>
    </row>
    <row r="194" spans="1:52" x14ac:dyDescent="0.35">
      <c r="A194" s="27">
        <v>187</v>
      </c>
      <c r="B194" s="63">
        <f t="shared" si="136"/>
        <v>4.4999999999999998E-2</v>
      </c>
      <c r="C194" s="28">
        <f>B194+VLOOKUP(Rawdata!A189,Int_rate_movements,2,TRUE)</f>
        <v>4.2499999999999996E-2</v>
      </c>
      <c r="D194" s="28">
        <f>C194+VLOOKUP(Rawdata!B189,Int_rate_movements,2,TRUE)</f>
        <v>4.2499999999999996E-2</v>
      </c>
      <c r="E194" s="28">
        <f>D194+VLOOKUP(Rawdata!C189,Int_rate_movements,2,TRUE)</f>
        <v>4.2499999999999996E-2</v>
      </c>
      <c r="F194" s="28">
        <f>E194+VLOOKUP(Rawdata!D189,Int_rate_movements,2,TRUE)</f>
        <v>4.2499999999999996E-2</v>
      </c>
      <c r="G194" s="28">
        <f>F194+VLOOKUP(Rawdata!E189,Int_rate_movements,2,TRUE)</f>
        <v>4.2499999999999996E-2</v>
      </c>
      <c r="H194" s="28">
        <f>G194+VLOOKUP(Rawdata!F189,Int_rate_movements,2,TRUE)</f>
        <v>3.9999999999999994E-2</v>
      </c>
      <c r="I194" s="28">
        <f>H194+VLOOKUP(Rawdata!G189,Int_rate_movements,2,TRUE)</f>
        <v>3.7499999999999992E-2</v>
      </c>
      <c r="J194" s="28">
        <f>I194+VLOOKUP(Rawdata!H189,Int_rate_movements,2,TRUE)</f>
        <v>3.7499999999999992E-2</v>
      </c>
      <c r="K194" s="28">
        <f>J194+VLOOKUP(Rawdata!I189,Int_rate_movements,2,TRUE)</f>
        <v>3.7499999999999992E-2</v>
      </c>
      <c r="L194" s="28">
        <f>K194+VLOOKUP(Rawdata!J189,Int_rate_movements,2,TRUE)</f>
        <v>3.7499999999999992E-2</v>
      </c>
      <c r="M194" s="28">
        <f>L194+VLOOKUP(Rawdata!K189,Int_rate_movements,2,TRUE)</f>
        <v>3.7499999999999992E-2</v>
      </c>
      <c r="N194" s="28">
        <f>M194+VLOOKUP(Rawdata!L189,Int_rate_movements,2,TRUE)</f>
        <v>3.9999999999999994E-2</v>
      </c>
      <c r="O194" s="28">
        <f>N194+VLOOKUP(Rawdata!M189,Int_rate_movements,2,TRUE)</f>
        <v>3.9999999999999994E-2</v>
      </c>
      <c r="P194" s="28">
        <f>O194+VLOOKUP(Rawdata!N189,Int_rate_movements,2,TRUE)</f>
        <v>3.9999999999999994E-2</v>
      </c>
      <c r="Q194" s="28">
        <f>P194+VLOOKUP(Rawdata!O189,Int_rate_movements,2,TRUE)</f>
        <v>3.9999999999999994E-2</v>
      </c>
      <c r="R194" s="28">
        <f>Q194+VLOOKUP(Rawdata!P189,Int_rate_movements,2,TRUE)</f>
        <v>3.9999999999999994E-2</v>
      </c>
      <c r="S194" s="28">
        <f>R194+VLOOKUP(Rawdata!Q189,Int_rate_movements,2,TRUE)</f>
        <v>3.9999999999999994E-2</v>
      </c>
      <c r="T194" s="28">
        <f>S194+VLOOKUP(Rawdata!R189,Int_rate_movements,2,TRUE)</f>
        <v>3.9999999999999994E-2</v>
      </c>
      <c r="U194" s="28">
        <f>T194+VLOOKUP(Rawdata!S189,Int_rate_movements,2,TRUE)</f>
        <v>3.9999999999999994E-2</v>
      </c>
      <c r="V194" s="28">
        <f>U194+VLOOKUP(Rawdata!T189,Int_rate_movements,2,TRUE)</f>
        <v>3.7499999999999992E-2</v>
      </c>
      <c r="W194" s="28">
        <f>V194+VLOOKUP(Rawdata!U189,Int_rate_movements,2,TRUE)</f>
        <v>3.9999999999999994E-2</v>
      </c>
      <c r="X194" s="28">
        <f>W194+VLOOKUP(Rawdata!V189,Int_rate_movements,2,TRUE)</f>
        <v>3.9999999999999994E-2</v>
      </c>
      <c r="Y194" s="28">
        <f>X194+VLOOKUP(Rawdata!W189,Int_rate_movements,2,TRUE)</f>
        <v>4.2499999999999996E-2</v>
      </c>
      <c r="Z194" s="35">
        <f>Y194+VLOOKUP(Rawdata!X189,Int_rate_movements,2,TRUE)</f>
        <v>4.2499999999999996E-2</v>
      </c>
      <c r="AB194" s="55">
        <f t="shared" si="137"/>
        <v>4.4097712805242217E-2</v>
      </c>
      <c r="AC194" s="55">
        <f t="shared" si="138"/>
        <v>4.1693940041970023E-2</v>
      </c>
      <c r="AD194" s="55">
        <f t="shared" si="139"/>
        <v>4.1693940041970023E-2</v>
      </c>
      <c r="AE194" s="55">
        <f t="shared" si="140"/>
        <v>4.1693940041970023E-2</v>
      </c>
      <c r="AF194" s="55">
        <f t="shared" si="141"/>
        <v>4.1693940041970023E-2</v>
      </c>
      <c r="AG194" s="55">
        <f t="shared" si="142"/>
        <v>4.1693940041970023E-2</v>
      </c>
      <c r="AH194" s="55">
        <f t="shared" si="143"/>
        <v>3.9284877386386974E-2</v>
      </c>
      <c r="AI194" s="55">
        <f t="shared" si="144"/>
        <v>3.6870500439066589E-2</v>
      </c>
      <c r="AJ194" s="55">
        <f t="shared" si="145"/>
        <v>3.6870500439066589E-2</v>
      </c>
      <c r="AK194" s="55">
        <f t="shared" si="146"/>
        <v>3.6870500439066589E-2</v>
      </c>
      <c r="AL194" s="55">
        <f t="shared" si="147"/>
        <v>3.6870500439066589E-2</v>
      </c>
      <c r="AM194" s="55">
        <f t="shared" si="148"/>
        <v>3.6870500439066589E-2</v>
      </c>
      <c r="AN194" s="55">
        <f t="shared" si="149"/>
        <v>3.9284877386386974E-2</v>
      </c>
      <c r="AO194" s="55">
        <f t="shared" si="150"/>
        <v>3.9284877386386974E-2</v>
      </c>
      <c r="AP194" s="55">
        <f t="shared" si="151"/>
        <v>3.9284877386386974E-2</v>
      </c>
      <c r="AQ194" s="55">
        <f t="shared" si="152"/>
        <v>3.9284877386386974E-2</v>
      </c>
      <c r="AR194" s="55">
        <f t="shared" si="153"/>
        <v>3.9284877386386974E-2</v>
      </c>
      <c r="AS194" s="55">
        <f t="shared" si="154"/>
        <v>3.9284877386386974E-2</v>
      </c>
      <c r="AT194" s="55">
        <f t="shared" si="155"/>
        <v>3.9284877386386974E-2</v>
      </c>
      <c r="AU194" s="55">
        <f t="shared" si="156"/>
        <v>3.9284877386386974E-2</v>
      </c>
      <c r="AV194" s="55">
        <f t="shared" si="157"/>
        <v>3.6870500439066589E-2</v>
      </c>
      <c r="AW194" s="55">
        <f t="shared" si="158"/>
        <v>3.9284877386386974E-2</v>
      </c>
      <c r="AX194" s="55">
        <f t="shared" si="159"/>
        <v>3.9284877386386974E-2</v>
      </c>
      <c r="AY194" s="55">
        <f t="shared" si="160"/>
        <v>4.1693940041970023E-2</v>
      </c>
      <c r="AZ194" s="56">
        <f t="shared" si="161"/>
        <v>4.1693940041970023E-2</v>
      </c>
    </row>
    <row r="195" spans="1:52" x14ac:dyDescent="0.35">
      <c r="A195" s="5">
        <v>188</v>
      </c>
      <c r="B195" s="63">
        <f t="shared" si="136"/>
        <v>4.4999999999999998E-2</v>
      </c>
      <c r="C195" s="28">
        <f>B195+VLOOKUP(Rawdata!A190,Int_rate_movements,2,TRUE)</f>
        <v>4.4999999999999998E-2</v>
      </c>
      <c r="D195" s="28">
        <f>C195+VLOOKUP(Rawdata!B190,Int_rate_movements,2,TRUE)</f>
        <v>4.4999999999999998E-2</v>
      </c>
      <c r="E195" s="28">
        <f>D195+VLOOKUP(Rawdata!C190,Int_rate_movements,2,TRUE)</f>
        <v>4.4999999999999998E-2</v>
      </c>
      <c r="F195" s="28">
        <f>E195+VLOOKUP(Rawdata!D190,Int_rate_movements,2,TRUE)</f>
        <v>4.4999999999999998E-2</v>
      </c>
      <c r="G195" s="28">
        <f>F195+VLOOKUP(Rawdata!E190,Int_rate_movements,2,TRUE)</f>
        <v>4.4999999999999998E-2</v>
      </c>
      <c r="H195" s="28">
        <f>G195+VLOOKUP(Rawdata!F190,Int_rate_movements,2,TRUE)</f>
        <v>4.4999999999999998E-2</v>
      </c>
      <c r="I195" s="28">
        <f>H195+VLOOKUP(Rawdata!G190,Int_rate_movements,2,TRUE)</f>
        <v>4.4999999999999998E-2</v>
      </c>
      <c r="J195" s="28">
        <f>I195+VLOOKUP(Rawdata!H190,Int_rate_movements,2,TRUE)</f>
        <v>4.4999999999999998E-2</v>
      </c>
      <c r="K195" s="28">
        <f>J195+VLOOKUP(Rawdata!I190,Int_rate_movements,2,TRUE)</f>
        <v>4.4999999999999998E-2</v>
      </c>
      <c r="L195" s="28">
        <f>K195+VLOOKUP(Rawdata!J190,Int_rate_movements,2,TRUE)</f>
        <v>4.4999999999999998E-2</v>
      </c>
      <c r="M195" s="28">
        <f>L195+VLOOKUP(Rawdata!K190,Int_rate_movements,2,TRUE)</f>
        <v>4.4999999999999998E-2</v>
      </c>
      <c r="N195" s="28">
        <f>M195+VLOOKUP(Rawdata!L190,Int_rate_movements,2,TRUE)</f>
        <v>4.4999999999999998E-2</v>
      </c>
      <c r="O195" s="28">
        <f>N195+VLOOKUP(Rawdata!M190,Int_rate_movements,2,TRUE)</f>
        <v>4.4999999999999998E-2</v>
      </c>
      <c r="P195" s="28">
        <f>O195+VLOOKUP(Rawdata!N190,Int_rate_movements,2,TRUE)</f>
        <v>4.4999999999999998E-2</v>
      </c>
      <c r="Q195" s="28">
        <f>P195+VLOOKUP(Rawdata!O190,Int_rate_movements,2,TRUE)</f>
        <v>4.2499999999999996E-2</v>
      </c>
      <c r="R195" s="28">
        <f>Q195+VLOOKUP(Rawdata!P190,Int_rate_movements,2,TRUE)</f>
        <v>4.2499999999999996E-2</v>
      </c>
      <c r="S195" s="28">
        <f>R195+VLOOKUP(Rawdata!Q190,Int_rate_movements,2,TRUE)</f>
        <v>4.2499999999999996E-2</v>
      </c>
      <c r="T195" s="28">
        <f>S195+VLOOKUP(Rawdata!R190,Int_rate_movements,2,TRUE)</f>
        <v>4.2499999999999996E-2</v>
      </c>
      <c r="U195" s="28">
        <f>T195+VLOOKUP(Rawdata!S190,Int_rate_movements,2,TRUE)</f>
        <v>4.4999999999999998E-2</v>
      </c>
      <c r="V195" s="28">
        <f>U195+VLOOKUP(Rawdata!T190,Int_rate_movements,2,TRUE)</f>
        <v>4.2499999999999996E-2</v>
      </c>
      <c r="W195" s="28">
        <f>V195+VLOOKUP(Rawdata!U190,Int_rate_movements,2,TRUE)</f>
        <v>4.2499999999999996E-2</v>
      </c>
      <c r="X195" s="28">
        <f>W195+VLOOKUP(Rawdata!V190,Int_rate_movements,2,TRUE)</f>
        <v>3.9999999999999994E-2</v>
      </c>
      <c r="Y195" s="28">
        <f>X195+VLOOKUP(Rawdata!W190,Int_rate_movements,2,TRUE)</f>
        <v>3.9999999999999994E-2</v>
      </c>
      <c r="Z195" s="35">
        <f>Y195+VLOOKUP(Rawdata!X190,Int_rate_movements,2,TRUE)</f>
        <v>3.4999999999999996E-2</v>
      </c>
      <c r="AB195" s="55">
        <f t="shared" si="137"/>
        <v>4.4097712805242217E-2</v>
      </c>
      <c r="AC195" s="55">
        <f t="shared" si="138"/>
        <v>4.4097712805242217E-2</v>
      </c>
      <c r="AD195" s="55">
        <f t="shared" si="139"/>
        <v>4.4097712805242217E-2</v>
      </c>
      <c r="AE195" s="55">
        <f t="shared" si="140"/>
        <v>4.4097712805242217E-2</v>
      </c>
      <c r="AF195" s="55">
        <f t="shared" si="141"/>
        <v>4.4097712805242217E-2</v>
      </c>
      <c r="AG195" s="55">
        <f t="shared" si="142"/>
        <v>4.4097712805242217E-2</v>
      </c>
      <c r="AH195" s="55">
        <f t="shared" si="143"/>
        <v>4.4097712805242217E-2</v>
      </c>
      <c r="AI195" s="55">
        <f t="shared" si="144"/>
        <v>4.4097712805242217E-2</v>
      </c>
      <c r="AJ195" s="55">
        <f t="shared" si="145"/>
        <v>4.4097712805242217E-2</v>
      </c>
      <c r="AK195" s="55">
        <f t="shared" si="146"/>
        <v>4.4097712805242217E-2</v>
      </c>
      <c r="AL195" s="55">
        <f t="shared" si="147"/>
        <v>4.4097712805242217E-2</v>
      </c>
      <c r="AM195" s="55">
        <f t="shared" si="148"/>
        <v>4.4097712805242217E-2</v>
      </c>
      <c r="AN195" s="55">
        <f t="shared" si="149"/>
        <v>4.4097712805242217E-2</v>
      </c>
      <c r="AO195" s="55">
        <f t="shared" si="150"/>
        <v>4.4097712805242217E-2</v>
      </c>
      <c r="AP195" s="55">
        <f t="shared" si="151"/>
        <v>4.4097712805242217E-2</v>
      </c>
      <c r="AQ195" s="55">
        <f t="shared" si="152"/>
        <v>4.1693940041970023E-2</v>
      </c>
      <c r="AR195" s="55">
        <f t="shared" si="153"/>
        <v>4.1693940041970023E-2</v>
      </c>
      <c r="AS195" s="55">
        <f t="shared" si="154"/>
        <v>4.1693940041970023E-2</v>
      </c>
      <c r="AT195" s="55">
        <f t="shared" si="155"/>
        <v>4.1693940041970023E-2</v>
      </c>
      <c r="AU195" s="55">
        <f t="shared" si="156"/>
        <v>4.4097712805242217E-2</v>
      </c>
      <c r="AV195" s="55">
        <f t="shared" si="157"/>
        <v>4.1693940041970023E-2</v>
      </c>
      <c r="AW195" s="55">
        <f t="shared" si="158"/>
        <v>4.1693940041970023E-2</v>
      </c>
      <c r="AX195" s="55">
        <f t="shared" si="159"/>
        <v>3.9284877386386974E-2</v>
      </c>
      <c r="AY195" s="55">
        <f t="shared" si="160"/>
        <v>3.9284877386386974E-2</v>
      </c>
      <c r="AZ195" s="56">
        <f t="shared" si="161"/>
        <v>3.4450784628919706E-2</v>
      </c>
    </row>
    <row r="196" spans="1:52" x14ac:dyDescent="0.35">
      <c r="A196" s="27">
        <v>189</v>
      </c>
      <c r="B196" s="63">
        <f t="shared" si="136"/>
        <v>4.4999999999999998E-2</v>
      </c>
      <c r="C196" s="28">
        <f>B196+VLOOKUP(Rawdata!A191,Int_rate_movements,2,TRUE)</f>
        <v>4.4999999999999998E-2</v>
      </c>
      <c r="D196" s="28">
        <f>C196+VLOOKUP(Rawdata!B191,Int_rate_movements,2,TRUE)</f>
        <v>4.4999999999999998E-2</v>
      </c>
      <c r="E196" s="28">
        <f>D196+VLOOKUP(Rawdata!C191,Int_rate_movements,2,TRUE)</f>
        <v>4.7500000000000001E-2</v>
      </c>
      <c r="F196" s="28">
        <f>E196+VLOOKUP(Rawdata!D191,Int_rate_movements,2,TRUE)</f>
        <v>4.7500000000000001E-2</v>
      </c>
      <c r="G196" s="28">
        <f>F196+VLOOKUP(Rawdata!E191,Int_rate_movements,2,TRUE)</f>
        <v>4.7500000000000001E-2</v>
      </c>
      <c r="H196" s="28">
        <f>G196+VLOOKUP(Rawdata!F191,Int_rate_movements,2,TRUE)</f>
        <v>4.7500000000000001E-2</v>
      </c>
      <c r="I196" s="28">
        <f>H196+VLOOKUP(Rawdata!G191,Int_rate_movements,2,TRUE)</f>
        <v>4.7500000000000001E-2</v>
      </c>
      <c r="J196" s="28">
        <f>I196+VLOOKUP(Rawdata!H191,Int_rate_movements,2,TRUE)</f>
        <v>4.7500000000000001E-2</v>
      </c>
      <c r="K196" s="28">
        <f>J196+VLOOKUP(Rawdata!I191,Int_rate_movements,2,TRUE)</f>
        <v>4.7500000000000001E-2</v>
      </c>
      <c r="L196" s="28">
        <f>K196+VLOOKUP(Rawdata!J191,Int_rate_movements,2,TRUE)</f>
        <v>4.7500000000000001E-2</v>
      </c>
      <c r="M196" s="28">
        <f>L196+VLOOKUP(Rawdata!K191,Int_rate_movements,2,TRUE)</f>
        <v>4.7500000000000001E-2</v>
      </c>
      <c r="N196" s="28">
        <f>M196+VLOOKUP(Rawdata!L191,Int_rate_movements,2,TRUE)</f>
        <v>4.7500000000000001E-2</v>
      </c>
      <c r="O196" s="28">
        <f>N196+VLOOKUP(Rawdata!M191,Int_rate_movements,2,TRUE)</f>
        <v>4.7500000000000001E-2</v>
      </c>
      <c r="P196" s="28">
        <f>O196+VLOOKUP(Rawdata!N191,Int_rate_movements,2,TRUE)</f>
        <v>4.7500000000000001E-2</v>
      </c>
      <c r="Q196" s="28">
        <f>P196+VLOOKUP(Rawdata!O191,Int_rate_movements,2,TRUE)</f>
        <v>4.7500000000000001E-2</v>
      </c>
      <c r="R196" s="28">
        <f>Q196+VLOOKUP(Rawdata!P191,Int_rate_movements,2,TRUE)</f>
        <v>4.7500000000000001E-2</v>
      </c>
      <c r="S196" s="28">
        <f>R196+VLOOKUP(Rawdata!Q191,Int_rate_movements,2,TRUE)</f>
        <v>4.7500000000000001E-2</v>
      </c>
      <c r="T196" s="28">
        <f>S196+VLOOKUP(Rawdata!R191,Int_rate_movements,2,TRUE)</f>
        <v>4.7500000000000001E-2</v>
      </c>
      <c r="U196" s="28">
        <f>T196+VLOOKUP(Rawdata!S191,Int_rate_movements,2,TRUE)</f>
        <v>4.7500000000000001E-2</v>
      </c>
      <c r="V196" s="28">
        <f>U196+VLOOKUP(Rawdata!T191,Int_rate_movements,2,TRUE)</f>
        <v>4.7500000000000001E-2</v>
      </c>
      <c r="W196" s="28">
        <f>V196+VLOOKUP(Rawdata!U191,Int_rate_movements,2,TRUE)</f>
        <v>4.7500000000000001E-2</v>
      </c>
      <c r="X196" s="28">
        <f>W196+VLOOKUP(Rawdata!V191,Int_rate_movements,2,TRUE)</f>
        <v>0.05</v>
      </c>
      <c r="Y196" s="28">
        <f>X196+VLOOKUP(Rawdata!W191,Int_rate_movements,2,TRUE)</f>
        <v>0.05</v>
      </c>
      <c r="Z196" s="35">
        <f>Y196+VLOOKUP(Rawdata!X191,Int_rate_movements,2,TRUE)</f>
        <v>4.5000000000000005E-2</v>
      </c>
      <c r="AB196" s="55">
        <f t="shared" si="137"/>
        <v>4.4097712805242217E-2</v>
      </c>
      <c r="AC196" s="55">
        <f t="shared" si="138"/>
        <v>4.4097712805242217E-2</v>
      </c>
      <c r="AD196" s="55">
        <f t="shared" si="139"/>
        <v>4.4097712805242217E-2</v>
      </c>
      <c r="AE196" s="55">
        <f t="shared" si="140"/>
        <v>4.6496219905550085E-2</v>
      </c>
      <c r="AF196" s="55">
        <f t="shared" si="141"/>
        <v>4.6496219905550085E-2</v>
      </c>
      <c r="AG196" s="55">
        <f t="shared" si="142"/>
        <v>4.6496219905550085E-2</v>
      </c>
      <c r="AH196" s="55">
        <f t="shared" si="143"/>
        <v>4.6496219905550085E-2</v>
      </c>
      <c r="AI196" s="55">
        <f t="shared" si="144"/>
        <v>4.6496219905550085E-2</v>
      </c>
      <c r="AJ196" s="55">
        <f t="shared" si="145"/>
        <v>4.6496219905550085E-2</v>
      </c>
      <c r="AK196" s="55">
        <f t="shared" si="146"/>
        <v>4.6496219905550085E-2</v>
      </c>
      <c r="AL196" s="55">
        <f t="shared" si="147"/>
        <v>4.6496219905550085E-2</v>
      </c>
      <c r="AM196" s="55">
        <f t="shared" si="148"/>
        <v>4.6496219905550085E-2</v>
      </c>
      <c r="AN196" s="55">
        <f t="shared" si="149"/>
        <v>4.6496219905550085E-2</v>
      </c>
      <c r="AO196" s="55">
        <f t="shared" si="150"/>
        <v>4.6496219905550085E-2</v>
      </c>
      <c r="AP196" s="55">
        <f t="shared" si="151"/>
        <v>4.6496219905550085E-2</v>
      </c>
      <c r="AQ196" s="55">
        <f t="shared" si="152"/>
        <v>4.6496219905550085E-2</v>
      </c>
      <c r="AR196" s="55">
        <f t="shared" si="153"/>
        <v>4.6496219905550085E-2</v>
      </c>
      <c r="AS196" s="55">
        <f t="shared" si="154"/>
        <v>4.6496219905550085E-2</v>
      </c>
      <c r="AT196" s="55">
        <f t="shared" si="155"/>
        <v>4.6496219905550085E-2</v>
      </c>
      <c r="AU196" s="55">
        <f t="shared" si="156"/>
        <v>4.6496219905550085E-2</v>
      </c>
      <c r="AV196" s="55">
        <f t="shared" si="157"/>
        <v>4.6496219905550085E-2</v>
      </c>
      <c r="AW196" s="55">
        <f t="shared" si="158"/>
        <v>4.6496219905550085E-2</v>
      </c>
      <c r="AX196" s="55">
        <f t="shared" si="159"/>
        <v>4.8889485403780242E-2</v>
      </c>
      <c r="AY196" s="55">
        <f t="shared" si="160"/>
        <v>4.8889485403780242E-2</v>
      </c>
      <c r="AZ196" s="56">
        <f t="shared" si="161"/>
        <v>4.4097712805242217E-2</v>
      </c>
    </row>
    <row r="197" spans="1:52" x14ac:dyDescent="0.35">
      <c r="A197" s="5">
        <v>190</v>
      </c>
      <c r="B197" s="63">
        <f t="shared" si="136"/>
        <v>4.4999999999999998E-2</v>
      </c>
      <c r="C197" s="28">
        <f>B197+VLOOKUP(Rawdata!A192,Int_rate_movements,2,TRUE)</f>
        <v>4.4999999999999998E-2</v>
      </c>
      <c r="D197" s="28">
        <f>C197+VLOOKUP(Rawdata!B192,Int_rate_movements,2,TRUE)</f>
        <v>4.4999999999999998E-2</v>
      </c>
      <c r="E197" s="28">
        <f>D197+VLOOKUP(Rawdata!C192,Int_rate_movements,2,TRUE)</f>
        <v>4.4999999999999998E-2</v>
      </c>
      <c r="F197" s="28">
        <f>E197+VLOOKUP(Rawdata!D192,Int_rate_movements,2,TRUE)</f>
        <v>4.4999999999999998E-2</v>
      </c>
      <c r="G197" s="28">
        <f>F197+VLOOKUP(Rawdata!E192,Int_rate_movements,2,TRUE)</f>
        <v>4.4999999999999998E-2</v>
      </c>
      <c r="H197" s="28">
        <f>G197+VLOOKUP(Rawdata!F192,Int_rate_movements,2,TRUE)</f>
        <v>4.4999999999999998E-2</v>
      </c>
      <c r="I197" s="28">
        <f>H197+VLOOKUP(Rawdata!G192,Int_rate_movements,2,TRUE)</f>
        <v>4.4999999999999998E-2</v>
      </c>
      <c r="J197" s="28">
        <f>I197+VLOOKUP(Rawdata!H192,Int_rate_movements,2,TRUE)</f>
        <v>4.4999999999999998E-2</v>
      </c>
      <c r="K197" s="28">
        <f>J197+VLOOKUP(Rawdata!I192,Int_rate_movements,2,TRUE)</f>
        <v>4.2499999999999996E-2</v>
      </c>
      <c r="L197" s="28">
        <f>K197+VLOOKUP(Rawdata!J192,Int_rate_movements,2,TRUE)</f>
        <v>4.2499999999999996E-2</v>
      </c>
      <c r="M197" s="28">
        <f>L197+VLOOKUP(Rawdata!K192,Int_rate_movements,2,TRUE)</f>
        <v>4.2499999999999996E-2</v>
      </c>
      <c r="N197" s="28">
        <f>M197+VLOOKUP(Rawdata!L192,Int_rate_movements,2,TRUE)</f>
        <v>4.7499999999999994E-2</v>
      </c>
      <c r="O197" s="28">
        <f>N197+VLOOKUP(Rawdata!M192,Int_rate_movements,2,TRUE)</f>
        <v>4.7499999999999994E-2</v>
      </c>
      <c r="P197" s="28">
        <f>O197+VLOOKUP(Rawdata!N192,Int_rate_movements,2,TRUE)</f>
        <v>4.4999999999999991E-2</v>
      </c>
      <c r="Q197" s="28">
        <f>P197+VLOOKUP(Rawdata!O192,Int_rate_movements,2,TRUE)</f>
        <v>4.4999999999999991E-2</v>
      </c>
      <c r="R197" s="28">
        <f>Q197+VLOOKUP(Rawdata!P192,Int_rate_movements,2,TRUE)</f>
        <v>4.7499999999999994E-2</v>
      </c>
      <c r="S197" s="28">
        <f>R197+VLOOKUP(Rawdata!Q192,Int_rate_movements,2,TRUE)</f>
        <v>4.9999999999999996E-2</v>
      </c>
      <c r="T197" s="28">
        <f>S197+VLOOKUP(Rawdata!R192,Int_rate_movements,2,TRUE)</f>
        <v>4.9999999999999996E-2</v>
      </c>
      <c r="U197" s="28">
        <f>T197+VLOOKUP(Rawdata!S192,Int_rate_movements,2,TRUE)</f>
        <v>4.9999999999999996E-2</v>
      </c>
      <c r="V197" s="28">
        <f>U197+VLOOKUP(Rawdata!T192,Int_rate_movements,2,TRUE)</f>
        <v>4.9999999999999996E-2</v>
      </c>
      <c r="W197" s="28">
        <f>V197+VLOOKUP(Rawdata!U192,Int_rate_movements,2,TRUE)</f>
        <v>4.9999999999999996E-2</v>
      </c>
      <c r="X197" s="28">
        <f>W197+VLOOKUP(Rawdata!V192,Int_rate_movements,2,TRUE)</f>
        <v>4.9999999999999996E-2</v>
      </c>
      <c r="Y197" s="28">
        <f>X197+VLOOKUP(Rawdata!W192,Int_rate_movements,2,TRUE)</f>
        <v>4.9999999999999996E-2</v>
      </c>
      <c r="Z197" s="35">
        <f>Y197+VLOOKUP(Rawdata!X192,Int_rate_movements,2,TRUE)</f>
        <v>4.9999999999999996E-2</v>
      </c>
      <c r="AB197" s="55">
        <f t="shared" si="137"/>
        <v>4.4097712805242217E-2</v>
      </c>
      <c r="AC197" s="55">
        <f t="shared" si="138"/>
        <v>4.4097712805242217E-2</v>
      </c>
      <c r="AD197" s="55">
        <f t="shared" si="139"/>
        <v>4.4097712805242217E-2</v>
      </c>
      <c r="AE197" s="55">
        <f t="shared" si="140"/>
        <v>4.4097712805242217E-2</v>
      </c>
      <c r="AF197" s="55">
        <f t="shared" si="141"/>
        <v>4.4097712805242217E-2</v>
      </c>
      <c r="AG197" s="55">
        <f t="shared" si="142"/>
        <v>4.4097712805242217E-2</v>
      </c>
      <c r="AH197" s="55">
        <f t="shared" si="143"/>
        <v>4.4097712805242217E-2</v>
      </c>
      <c r="AI197" s="55">
        <f t="shared" si="144"/>
        <v>4.4097712805242217E-2</v>
      </c>
      <c r="AJ197" s="55">
        <f t="shared" si="145"/>
        <v>4.4097712805242217E-2</v>
      </c>
      <c r="AK197" s="55">
        <f t="shared" si="146"/>
        <v>4.1693940041970023E-2</v>
      </c>
      <c r="AL197" s="55">
        <f t="shared" si="147"/>
        <v>4.1693940041970023E-2</v>
      </c>
      <c r="AM197" s="55">
        <f t="shared" si="148"/>
        <v>4.1693940041970023E-2</v>
      </c>
      <c r="AN197" s="55">
        <f t="shared" si="149"/>
        <v>4.6496219905550085E-2</v>
      </c>
      <c r="AO197" s="55">
        <f t="shared" si="150"/>
        <v>4.6496219905550085E-2</v>
      </c>
      <c r="AP197" s="55">
        <f t="shared" si="151"/>
        <v>4.4097712805242217E-2</v>
      </c>
      <c r="AQ197" s="55">
        <f t="shared" si="152"/>
        <v>4.4097712805242217E-2</v>
      </c>
      <c r="AR197" s="55">
        <f t="shared" si="153"/>
        <v>4.6496219905550085E-2</v>
      </c>
      <c r="AS197" s="55">
        <f t="shared" si="154"/>
        <v>4.8889485403780242E-2</v>
      </c>
      <c r="AT197" s="55">
        <f t="shared" si="155"/>
        <v>4.8889485403780242E-2</v>
      </c>
      <c r="AU197" s="55">
        <f t="shared" si="156"/>
        <v>4.8889485403780242E-2</v>
      </c>
      <c r="AV197" s="55">
        <f t="shared" si="157"/>
        <v>4.8889485403780242E-2</v>
      </c>
      <c r="AW197" s="55">
        <f t="shared" si="158"/>
        <v>4.8889485403780242E-2</v>
      </c>
      <c r="AX197" s="55">
        <f t="shared" si="159"/>
        <v>4.8889485403780242E-2</v>
      </c>
      <c r="AY197" s="55">
        <f t="shared" si="160"/>
        <v>4.8889485403780242E-2</v>
      </c>
      <c r="AZ197" s="56">
        <f t="shared" si="161"/>
        <v>4.8889485403780242E-2</v>
      </c>
    </row>
    <row r="198" spans="1:52" x14ac:dyDescent="0.35">
      <c r="A198" s="27">
        <v>191</v>
      </c>
      <c r="B198" s="63">
        <f t="shared" si="136"/>
        <v>4.4999999999999998E-2</v>
      </c>
      <c r="C198" s="28">
        <f>B198+VLOOKUP(Rawdata!A193,Int_rate_movements,2,TRUE)</f>
        <v>4.4999999999999998E-2</v>
      </c>
      <c r="D198" s="28">
        <f>C198+VLOOKUP(Rawdata!B193,Int_rate_movements,2,TRUE)</f>
        <v>4.7500000000000001E-2</v>
      </c>
      <c r="E198" s="28">
        <f>D198+VLOOKUP(Rawdata!C193,Int_rate_movements,2,TRUE)</f>
        <v>4.7500000000000001E-2</v>
      </c>
      <c r="F198" s="28">
        <f>E198+VLOOKUP(Rawdata!D193,Int_rate_movements,2,TRUE)</f>
        <v>4.7500000000000001E-2</v>
      </c>
      <c r="G198" s="28">
        <f>F198+VLOOKUP(Rawdata!E193,Int_rate_movements,2,TRUE)</f>
        <v>4.7500000000000001E-2</v>
      </c>
      <c r="H198" s="28">
        <f>G198+VLOOKUP(Rawdata!F193,Int_rate_movements,2,TRUE)</f>
        <v>4.7500000000000001E-2</v>
      </c>
      <c r="I198" s="28">
        <f>H198+VLOOKUP(Rawdata!G193,Int_rate_movements,2,TRUE)</f>
        <v>0.05</v>
      </c>
      <c r="J198" s="28">
        <f>I198+VLOOKUP(Rawdata!H193,Int_rate_movements,2,TRUE)</f>
        <v>0.05</v>
      </c>
      <c r="K198" s="28">
        <f>J198+VLOOKUP(Rawdata!I193,Int_rate_movements,2,TRUE)</f>
        <v>0.05</v>
      </c>
      <c r="L198" s="28">
        <f>K198+VLOOKUP(Rawdata!J193,Int_rate_movements,2,TRUE)</f>
        <v>0.05</v>
      </c>
      <c r="M198" s="28">
        <f>L198+VLOOKUP(Rawdata!K193,Int_rate_movements,2,TRUE)</f>
        <v>0.05</v>
      </c>
      <c r="N198" s="28">
        <f>M198+VLOOKUP(Rawdata!L193,Int_rate_movements,2,TRUE)</f>
        <v>0.05</v>
      </c>
      <c r="O198" s="28">
        <f>N198+VLOOKUP(Rawdata!M193,Int_rate_movements,2,TRUE)</f>
        <v>0.05</v>
      </c>
      <c r="P198" s="28">
        <f>O198+VLOOKUP(Rawdata!N193,Int_rate_movements,2,TRUE)</f>
        <v>0.05</v>
      </c>
      <c r="Q198" s="28">
        <f>P198+VLOOKUP(Rawdata!O193,Int_rate_movements,2,TRUE)</f>
        <v>0.05</v>
      </c>
      <c r="R198" s="28">
        <f>Q198+VLOOKUP(Rawdata!P193,Int_rate_movements,2,TRUE)</f>
        <v>0.05</v>
      </c>
      <c r="S198" s="28">
        <f>R198+VLOOKUP(Rawdata!Q193,Int_rate_movements,2,TRUE)</f>
        <v>0.05</v>
      </c>
      <c r="T198" s="28">
        <f>S198+VLOOKUP(Rawdata!R193,Int_rate_movements,2,TRUE)</f>
        <v>4.5000000000000005E-2</v>
      </c>
      <c r="U198" s="28">
        <f>T198+VLOOKUP(Rawdata!S193,Int_rate_movements,2,TRUE)</f>
        <v>4.5000000000000005E-2</v>
      </c>
      <c r="V198" s="28">
        <f>U198+VLOOKUP(Rawdata!T193,Int_rate_movements,2,TRUE)</f>
        <v>4.5000000000000005E-2</v>
      </c>
      <c r="W198" s="28">
        <f>V198+VLOOKUP(Rawdata!U193,Int_rate_movements,2,TRUE)</f>
        <v>4.5000000000000005E-2</v>
      </c>
      <c r="X198" s="28">
        <f>W198+VLOOKUP(Rawdata!V193,Int_rate_movements,2,TRUE)</f>
        <v>4.2500000000000003E-2</v>
      </c>
      <c r="Y198" s="28">
        <f>X198+VLOOKUP(Rawdata!W193,Int_rate_movements,2,TRUE)</f>
        <v>4.2500000000000003E-2</v>
      </c>
      <c r="Z198" s="35">
        <f>Y198+VLOOKUP(Rawdata!X193,Int_rate_movements,2,TRUE)</f>
        <v>4.2500000000000003E-2</v>
      </c>
      <c r="AB198" s="55">
        <f t="shared" si="137"/>
        <v>4.4097712805242217E-2</v>
      </c>
      <c r="AC198" s="55">
        <f t="shared" si="138"/>
        <v>4.4097712805242217E-2</v>
      </c>
      <c r="AD198" s="55">
        <f t="shared" si="139"/>
        <v>4.6496219905550085E-2</v>
      </c>
      <c r="AE198" s="55">
        <f t="shared" si="140"/>
        <v>4.6496219905550085E-2</v>
      </c>
      <c r="AF198" s="55">
        <f t="shared" si="141"/>
        <v>4.6496219905550085E-2</v>
      </c>
      <c r="AG198" s="55">
        <f t="shared" si="142"/>
        <v>4.6496219905550085E-2</v>
      </c>
      <c r="AH198" s="55">
        <f t="shared" si="143"/>
        <v>4.6496219905550085E-2</v>
      </c>
      <c r="AI198" s="55">
        <f t="shared" si="144"/>
        <v>4.8889485403780242E-2</v>
      </c>
      <c r="AJ198" s="55">
        <f t="shared" si="145"/>
        <v>4.8889485403780242E-2</v>
      </c>
      <c r="AK198" s="55">
        <f t="shared" si="146"/>
        <v>4.8889485403780242E-2</v>
      </c>
      <c r="AL198" s="55">
        <f t="shared" si="147"/>
        <v>4.8889485403780242E-2</v>
      </c>
      <c r="AM198" s="55">
        <f t="shared" si="148"/>
        <v>4.8889485403780242E-2</v>
      </c>
      <c r="AN198" s="55">
        <f t="shared" si="149"/>
        <v>4.8889485403780242E-2</v>
      </c>
      <c r="AO198" s="55">
        <f t="shared" si="150"/>
        <v>4.8889485403780242E-2</v>
      </c>
      <c r="AP198" s="55">
        <f t="shared" si="151"/>
        <v>4.8889485403780242E-2</v>
      </c>
      <c r="AQ198" s="55">
        <f t="shared" si="152"/>
        <v>4.8889485403780242E-2</v>
      </c>
      <c r="AR198" s="55">
        <f t="shared" si="153"/>
        <v>4.8889485403780242E-2</v>
      </c>
      <c r="AS198" s="55">
        <f t="shared" si="154"/>
        <v>4.8889485403780242E-2</v>
      </c>
      <c r="AT198" s="55">
        <f t="shared" si="155"/>
        <v>4.4097712805242217E-2</v>
      </c>
      <c r="AU198" s="55">
        <f t="shared" si="156"/>
        <v>4.4097712805242217E-2</v>
      </c>
      <c r="AV198" s="55">
        <f t="shared" si="157"/>
        <v>4.4097712805242217E-2</v>
      </c>
      <c r="AW198" s="55">
        <f t="shared" si="158"/>
        <v>4.4097712805242217E-2</v>
      </c>
      <c r="AX198" s="55">
        <f t="shared" si="159"/>
        <v>4.1693940041970023E-2</v>
      </c>
      <c r="AY198" s="55">
        <f t="shared" si="160"/>
        <v>4.1693940041970023E-2</v>
      </c>
      <c r="AZ198" s="56">
        <f t="shared" si="161"/>
        <v>4.1693940041970023E-2</v>
      </c>
    </row>
    <row r="199" spans="1:52" x14ac:dyDescent="0.35">
      <c r="A199" s="5">
        <v>192</v>
      </c>
      <c r="B199" s="63">
        <f t="shared" si="136"/>
        <v>4.4999999999999998E-2</v>
      </c>
      <c r="C199" s="28">
        <f>B199+VLOOKUP(Rawdata!A194,Int_rate_movements,2,TRUE)</f>
        <v>4.2499999999999996E-2</v>
      </c>
      <c r="D199" s="28">
        <f>C199+VLOOKUP(Rawdata!B194,Int_rate_movements,2,TRUE)</f>
        <v>4.2499999999999996E-2</v>
      </c>
      <c r="E199" s="28">
        <f>D199+VLOOKUP(Rawdata!C194,Int_rate_movements,2,TRUE)</f>
        <v>4.2499999999999996E-2</v>
      </c>
      <c r="F199" s="28">
        <f>E199+VLOOKUP(Rawdata!D194,Int_rate_movements,2,TRUE)</f>
        <v>4.2499999999999996E-2</v>
      </c>
      <c r="G199" s="28">
        <f>F199+VLOOKUP(Rawdata!E194,Int_rate_movements,2,TRUE)</f>
        <v>4.2499999999999996E-2</v>
      </c>
      <c r="H199" s="28">
        <f>G199+VLOOKUP(Rawdata!F194,Int_rate_movements,2,TRUE)</f>
        <v>4.2499999999999996E-2</v>
      </c>
      <c r="I199" s="28">
        <f>H199+VLOOKUP(Rawdata!G194,Int_rate_movements,2,TRUE)</f>
        <v>4.2499999999999996E-2</v>
      </c>
      <c r="J199" s="28">
        <f>I199+VLOOKUP(Rawdata!H194,Int_rate_movements,2,TRUE)</f>
        <v>4.2499999999999996E-2</v>
      </c>
      <c r="K199" s="28">
        <f>J199+VLOOKUP(Rawdata!I194,Int_rate_movements,2,TRUE)</f>
        <v>4.2499999999999996E-2</v>
      </c>
      <c r="L199" s="28">
        <f>K199+VLOOKUP(Rawdata!J194,Int_rate_movements,2,TRUE)</f>
        <v>4.2499999999999996E-2</v>
      </c>
      <c r="M199" s="28">
        <f>L199+VLOOKUP(Rawdata!K194,Int_rate_movements,2,TRUE)</f>
        <v>3.7499999999999999E-2</v>
      </c>
      <c r="N199" s="28">
        <f>M199+VLOOKUP(Rawdata!L194,Int_rate_movements,2,TRUE)</f>
        <v>3.4999999999999996E-2</v>
      </c>
      <c r="O199" s="28">
        <f>N199+VLOOKUP(Rawdata!M194,Int_rate_movements,2,TRUE)</f>
        <v>3.4999999999999996E-2</v>
      </c>
      <c r="P199" s="28">
        <f>O199+VLOOKUP(Rawdata!N194,Int_rate_movements,2,TRUE)</f>
        <v>3.9999999999999994E-2</v>
      </c>
      <c r="Q199" s="28">
        <f>P199+VLOOKUP(Rawdata!O194,Int_rate_movements,2,TRUE)</f>
        <v>3.9999999999999994E-2</v>
      </c>
      <c r="R199" s="28">
        <f>Q199+VLOOKUP(Rawdata!P194,Int_rate_movements,2,TRUE)</f>
        <v>3.9999999999999994E-2</v>
      </c>
      <c r="S199" s="28">
        <f>R199+VLOOKUP(Rawdata!Q194,Int_rate_movements,2,TRUE)</f>
        <v>3.9999999999999994E-2</v>
      </c>
      <c r="T199" s="28">
        <f>S199+VLOOKUP(Rawdata!R194,Int_rate_movements,2,TRUE)</f>
        <v>4.2499999999999996E-2</v>
      </c>
      <c r="U199" s="28">
        <f>T199+VLOOKUP(Rawdata!S194,Int_rate_movements,2,TRUE)</f>
        <v>4.2499999999999996E-2</v>
      </c>
      <c r="V199" s="28">
        <f>U199+VLOOKUP(Rawdata!T194,Int_rate_movements,2,TRUE)</f>
        <v>3.9999999999999994E-2</v>
      </c>
      <c r="W199" s="28">
        <f>V199+VLOOKUP(Rawdata!U194,Int_rate_movements,2,TRUE)</f>
        <v>3.9999999999999994E-2</v>
      </c>
      <c r="X199" s="28">
        <f>W199+VLOOKUP(Rawdata!V194,Int_rate_movements,2,TRUE)</f>
        <v>3.9999999999999994E-2</v>
      </c>
      <c r="Y199" s="28">
        <f>X199+VLOOKUP(Rawdata!W194,Int_rate_movements,2,TRUE)</f>
        <v>4.2499999999999996E-2</v>
      </c>
      <c r="Z199" s="35">
        <f>Y199+VLOOKUP(Rawdata!X194,Int_rate_movements,2,TRUE)</f>
        <v>4.2499999999999996E-2</v>
      </c>
      <c r="AB199" s="55">
        <f t="shared" si="137"/>
        <v>4.4097712805242217E-2</v>
      </c>
      <c r="AC199" s="55">
        <f t="shared" si="138"/>
        <v>4.1693940041970023E-2</v>
      </c>
      <c r="AD199" s="55">
        <f t="shared" si="139"/>
        <v>4.1693940041970023E-2</v>
      </c>
      <c r="AE199" s="55">
        <f t="shared" si="140"/>
        <v>4.1693940041970023E-2</v>
      </c>
      <c r="AF199" s="55">
        <f t="shared" si="141"/>
        <v>4.1693940041970023E-2</v>
      </c>
      <c r="AG199" s="55">
        <f t="shared" si="142"/>
        <v>4.1693940041970023E-2</v>
      </c>
      <c r="AH199" s="55">
        <f t="shared" si="143"/>
        <v>4.1693940041970023E-2</v>
      </c>
      <c r="AI199" s="55">
        <f t="shared" si="144"/>
        <v>4.1693940041970023E-2</v>
      </c>
      <c r="AJ199" s="55">
        <f t="shared" si="145"/>
        <v>4.1693940041970023E-2</v>
      </c>
      <c r="AK199" s="55">
        <f t="shared" si="146"/>
        <v>4.1693940041970023E-2</v>
      </c>
      <c r="AL199" s="55">
        <f t="shared" si="147"/>
        <v>4.1693940041970023E-2</v>
      </c>
      <c r="AM199" s="55">
        <f t="shared" si="148"/>
        <v>3.6870500439066589E-2</v>
      </c>
      <c r="AN199" s="55">
        <f t="shared" si="149"/>
        <v>3.4450784628919706E-2</v>
      </c>
      <c r="AO199" s="55">
        <f t="shared" si="150"/>
        <v>3.4450784628919706E-2</v>
      </c>
      <c r="AP199" s="55">
        <f t="shared" si="151"/>
        <v>3.9284877386386974E-2</v>
      </c>
      <c r="AQ199" s="55">
        <f t="shared" si="152"/>
        <v>3.9284877386386974E-2</v>
      </c>
      <c r="AR199" s="55">
        <f t="shared" si="153"/>
        <v>3.9284877386386974E-2</v>
      </c>
      <c r="AS199" s="55">
        <f t="shared" si="154"/>
        <v>3.9284877386386974E-2</v>
      </c>
      <c r="AT199" s="55">
        <f t="shared" si="155"/>
        <v>4.1693940041970023E-2</v>
      </c>
      <c r="AU199" s="55">
        <f t="shared" si="156"/>
        <v>4.1693940041970023E-2</v>
      </c>
      <c r="AV199" s="55">
        <f t="shared" si="157"/>
        <v>3.9284877386386974E-2</v>
      </c>
      <c r="AW199" s="55">
        <f t="shared" si="158"/>
        <v>3.9284877386386974E-2</v>
      </c>
      <c r="AX199" s="55">
        <f t="shared" si="159"/>
        <v>3.9284877386386974E-2</v>
      </c>
      <c r="AY199" s="55">
        <f t="shared" si="160"/>
        <v>4.1693940041970023E-2</v>
      </c>
      <c r="AZ199" s="56">
        <f t="shared" si="161"/>
        <v>4.1693940041970023E-2</v>
      </c>
    </row>
    <row r="200" spans="1:52" x14ac:dyDescent="0.35">
      <c r="A200" s="27">
        <v>193</v>
      </c>
      <c r="B200" s="63">
        <f t="shared" ref="B200:B207" si="162">Base_int_rate</f>
        <v>4.4999999999999998E-2</v>
      </c>
      <c r="C200" s="28">
        <f>B200+VLOOKUP(Rawdata!A195,Int_rate_movements,2,TRUE)</f>
        <v>4.4999999999999998E-2</v>
      </c>
      <c r="D200" s="28">
        <f>C200+VLOOKUP(Rawdata!B195,Int_rate_movements,2,TRUE)</f>
        <v>4.4999999999999998E-2</v>
      </c>
      <c r="E200" s="28">
        <f>D200+VLOOKUP(Rawdata!C195,Int_rate_movements,2,TRUE)</f>
        <v>4.4999999999999998E-2</v>
      </c>
      <c r="F200" s="28">
        <f>E200+VLOOKUP(Rawdata!D195,Int_rate_movements,2,TRUE)</f>
        <v>4.4999999999999998E-2</v>
      </c>
      <c r="G200" s="28">
        <f>F200+VLOOKUP(Rawdata!E195,Int_rate_movements,2,TRUE)</f>
        <v>4.4999999999999998E-2</v>
      </c>
      <c r="H200" s="28">
        <f>G200+VLOOKUP(Rawdata!F195,Int_rate_movements,2,TRUE)</f>
        <v>4.4999999999999998E-2</v>
      </c>
      <c r="I200" s="28">
        <f>H200+VLOOKUP(Rawdata!G195,Int_rate_movements,2,TRUE)</f>
        <v>4.4999999999999998E-2</v>
      </c>
      <c r="J200" s="28">
        <f>I200+VLOOKUP(Rawdata!H195,Int_rate_movements,2,TRUE)</f>
        <v>4.4999999999999998E-2</v>
      </c>
      <c r="K200" s="28">
        <f>J200+VLOOKUP(Rawdata!I195,Int_rate_movements,2,TRUE)</f>
        <v>4.4999999999999998E-2</v>
      </c>
      <c r="L200" s="28">
        <f>K200+VLOOKUP(Rawdata!J195,Int_rate_movements,2,TRUE)</f>
        <v>4.4999999999999998E-2</v>
      </c>
      <c r="M200" s="28">
        <f>L200+VLOOKUP(Rawdata!K195,Int_rate_movements,2,TRUE)</f>
        <v>4.4999999999999998E-2</v>
      </c>
      <c r="N200" s="28">
        <f>M200+VLOOKUP(Rawdata!L195,Int_rate_movements,2,TRUE)</f>
        <v>4.4999999999999998E-2</v>
      </c>
      <c r="O200" s="28">
        <f>N200+VLOOKUP(Rawdata!M195,Int_rate_movements,2,TRUE)</f>
        <v>4.4999999999999998E-2</v>
      </c>
      <c r="P200" s="28">
        <f>O200+VLOOKUP(Rawdata!N195,Int_rate_movements,2,TRUE)</f>
        <v>4.4999999999999998E-2</v>
      </c>
      <c r="Q200" s="28">
        <f>P200+VLOOKUP(Rawdata!O195,Int_rate_movements,2,TRUE)</f>
        <v>4.4999999999999998E-2</v>
      </c>
      <c r="R200" s="28">
        <f>Q200+VLOOKUP(Rawdata!P195,Int_rate_movements,2,TRUE)</f>
        <v>4.4999999999999998E-2</v>
      </c>
      <c r="S200" s="28">
        <f>R200+VLOOKUP(Rawdata!Q195,Int_rate_movements,2,TRUE)</f>
        <v>4.4999999999999998E-2</v>
      </c>
      <c r="T200" s="28">
        <f>S200+VLOOKUP(Rawdata!R195,Int_rate_movements,2,TRUE)</f>
        <v>4.4999999999999998E-2</v>
      </c>
      <c r="U200" s="28">
        <f>T200+VLOOKUP(Rawdata!S195,Int_rate_movements,2,TRUE)</f>
        <v>4.4999999999999998E-2</v>
      </c>
      <c r="V200" s="28">
        <f>U200+VLOOKUP(Rawdata!T195,Int_rate_movements,2,TRUE)</f>
        <v>4.4999999999999998E-2</v>
      </c>
      <c r="W200" s="28">
        <f>V200+VLOOKUP(Rawdata!U195,Int_rate_movements,2,TRUE)</f>
        <v>4.4999999999999998E-2</v>
      </c>
      <c r="X200" s="28">
        <f>W200+VLOOKUP(Rawdata!V195,Int_rate_movements,2,TRUE)</f>
        <v>4.4999999999999998E-2</v>
      </c>
      <c r="Y200" s="28">
        <f>X200+VLOOKUP(Rawdata!W195,Int_rate_movements,2,TRUE)</f>
        <v>4.4999999999999998E-2</v>
      </c>
      <c r="Z200" s="35">
        <f>Y200+VLOOKUP(Rawdata!X195,Int_rate_movements,2,TRUE)</f>
        <v>4.4999999999999998E-2</v>
      </c>
      <c r="AB200" s="55">
        <f t="shared" ref="AB200:AB207" si="163">Var_freq*((1+B200)^(1/Var_freq)-1)</f>
        <v>4.4097712805242217E-2</v>
      </c>
      <c r="AC200" s="55">
        <f t="shared" ref="AC200:AC207" si="164">Var_freq*((1+C200)^(1/Var_freq)-1)</f>
        <v>4.4097712805242217E-2</v>
      </c>
      <c r="AD200" s="55">
        <f t="shared" ref="AD200:AD207" si="165">Var_freq*((1+D200)^(1/Var_freq)-1)</f>
        <v>4.4097712805242217E-2</v>
      </c>
      <c r="AE200" s="55">
        <f t="shared" ref="AE200:AE207" si="166">Var_freq*((1+E200)^(1/Var_freq)-1)</f>
        <v>4.4097712805242217E-2</v>
      </c>
      <c r="AF200" s="55">
        <f t="shared" ref="AF200:AF207" si="167">Var_freq*((1+F200)^(1/Var_freq)-1)</f>
        <v>4.4097712805242217E-2</v>
      </c>
      <c r="AG200" s="55">
        <f t="shared" ref="AG200:AG207" si="168">Var_freq*((1+G200)^(1/Var_freq)-1)</f>
        <v>4.4097712805242217E-2</v>
      </c>
      <c r="AH200" s="55">
        <f t="shared" ref="AH200:AH207" si="169">Var_freq*((1+H200)^(1/Var_freq)-1)</f>
        <v>4.4097712805242217E-2</v>
      </c>
      <c r="AI200" s="55">
        <f t="shared" ref="AI200:AI207" si="170">Var_freq*((1+I200)^(1/Var_freq)-1)</f>
        <v>4.4097712805242217E-2</v>
      </c>
      <c r="AJ200" s="55">
        <f t="shared" ref="AJ200:AJ207" si="171">Var_freq*((1+J200)^(1/Var_freq)-1)</f>
        <v>4.4097712805242217E-2</v>
      </c>
      <c r="AK200" s="55">
        <f t="shared" ref="AK200:AK207" si="172">Var_freq*((1+K200)^(1/Var_freq)-1)</f>
        <v>4.4097712805242217E-2</v>
      </c>
      <c r="AL200" s="55">
        <f t="shared" ref="AL200:AL207" si="173">Var_freq*((1+L200)^(1/Var_freq)-1)</f>
        <v>4.4097712805242217E-2</v>
      </c>
      <c r="AM200" s="55">
        <f t="shared" ref="AM200:AM207" si="174">Var_freq*((1+M200)^(1/Var_freq)-1)</f>
        <v>4.4097712805242217E-2</v>
      </c>
      <c r="AN200" s="55">
        <f t="shared" ref="AN200:AN207" si="175">Var_freq*((1+N200)^(1/Var_freq)-1)</f>
        <v>4.4097712805242217E-2</v>
      </c>
      <c r="AO200" s="55">
        <f t="shared" ref="AO200:AO207" si="176">Var_freq*((1+O200)^(1/Var_freq)-1)</f>
        <v>4.4097712805242217E-2</v>
      </c>
      <c r="AP200" s="55">
        <f t="shared" ref="AP200:AP207" si="177">Var_freq*((1+P200)^(1/Var_freq)-1)</f>
        <v>4.4097712805242217E-2</v>
      </c>
      <c r="AQ200" s="55">
        <f t="shared" ref="AQ200:AQ207" si="178">Var_freq*((1+Q200)^(1/Var_freq)-1)</f>
        <v>4.4097712805242217E-2</v>
      </c>
      <c r="AR200" s="55">
        <f t="shared" ref="AR200:AR207" si="179">Var_freq*((1+R200)^(1/Var_freq)-1)</f>
        <v>4.4097712805242217E-2</v>
      </c>
      <c r="AS200" s="55">
        <f t="shared" ref="AS200:AS207" si="180">Var_freq*((1+S200)^(1/Var_freq)-1)</f>
        <v>4.4097712805242217E-2</v>
      </c>
      <c r="AT200" s="55">
        <f t="shared" ref="AT200:AT207" si="181">Var_freq*((1+T200)^(1/Var_freq)-1)</f>
        <v>4.4097712805242217E-2</v>
      </c>
      <c r="AU200" s="55">
        <f t="shared" ref="AU200:AU207" si="182">Var_freq*((1+U200)^(1/Var_freq)-1)</f>
        <v>4.4097712805242217E-2</v>
      </c>
      <c r="AV200" s="55">
        <f t="shared" ref="AV200:AV207" si="183">Var_freq*((1+V200)^(1/Var_freq)-1)</f>
        <v>4.4097712805242217E-2</v>
      </c>
      <c r="AW200" s="55">
        <f t="shared" ref="AW200:AW207" si="184">Var_freq*((1+W200)^(1/Var_freq)-1)</f>
        <v>4.4097712805242217E-2</v>
      </c>
      <c r="AX200" s="55">
        <f t="shared" ref="AX200:AX207" si="185">Var_freq*((1+X200)^(1/Var_freq)-1)</f>
        <v>4.4097712805242217E-2</v>
      </c>
      <c r="AY200" s="55">
        <f t="shared" ref="AY200:AY207" si="186">Var_freq*((1+Y200)^(1/Var_freq)-1)</f>
        <v>4.4097712805242217E-2</v>
      </c>
      <c r="AZ200" s="56">
        <f t="shared" ref="AZ200:AZ207" si="187">Var_freq*((1+Z200)^(1/Var_freq)-1)</f>
        <v>4.4097712805242217E-2</v>
      </c>
    </row>
    <row r="201" spans="1:52" x14ac:dyDescent="0.35">
      <c r="A201" s="5">
        <v>194</v>
      </c>
      <c r="B201" s="63">
        <f t="shared" si="162"/>
        <v>4.4999999999999998E-2</v>
      </c>
      <c r="C201" s="28">
        <f>B201+VLOOKUP(Rawdata!A196,Int_rate_movements,2,TRUE)</f>
        <v>4.4999999999999998E-2</v>
      </c>
      <c r="D201" s="28">
        <f>C201+VLOOKUP(Rawdata!B196,Int_rate_movements,2,TRUE)</f>
        <v>0.04</v>
      </c>
      <c r="E201" s="28">
        <f>D201+VLOOKUP(Rawdata!C196,Int_rate_movements,2,TRUE)</f>
        <v>0.04</v>
      </c>
      <c r="F201" s="28">
        <f>E201+VLOOKUP(Rawdata!D196,Int_rate_movements,2,TRUE)</f>
        <v>3.7499999999999999E-2</v>
      </c>
      <c r="G201" s="28">
        <f>F201+VLOOKUP(Rawdata!E196,Int_rate_movements,2,TRUE)</f>
        <v>3.7499999999999999E-2</v>
      </c>
      <c r="H201" s="28">
        <f>G201+VLOOKUP(Rawdata!F196,Int_rate_movements,2,TRUE)</f>
        <v>3.7499999999999999E-2</v>
      </c>
      <c r="I201" s="28">
        <f>H201+VLOOKUP(Rawdata!G196,Int_rate_movements,2,TRUE)</f>
        <v>3.4999999999999996E-2</v>
      </c>
      <c r="J201" s="28">
        <f>I201+VLOOKUP(Rawdata!H196,Int_rate_movements,2,TRUE)</f>
        <v>3.4999999999999996E-2</v>
      </c>
      <c r="K201" s="28">
        <f>J201+VLOOKUP(Rawdata!I196,Int_rate_movements,2,TRUE)</f>
        <v>3.4999999999999996E-2</v>
      </c>
      <c r="L201" s="28">
        <f>K201+VLOOKUP(Rawdata!J196,Int_rate_movements,2,TRUE)</f>
        <v>3.4999999999999996E-2</v>
      </c>
      <c r="M201" s="28">
        <f>L201+VLOOKUP(Rawdata!K196,Int_rate_movements,2,TRUE)</f>
        <v>3.2499999999999994E-2</v>
      </c>
      <c r="N201" s="28">
        <f>M201+VLOOKUP(Rawdata!L196,Int_rate_movements,2,TRUE)</f>
        <v>3.2499999999999994E-2</v>
      </c>
      <c r="O201" s="28">
        <f>N201+VLOOKUP(Rawdata!M196,Int_rate_movements,2,TRUE)</f>
        <v>3.2499999999999994E-2</v>
      </c>
      <c r="P201" s="28">
        <f>O201+VLOOKUP(Rawdata!N196,Int_rate_movements,2,TRUE)</f>
        <v>3.2499999999999994E-2</v>
      </c>
      <c r="Q201" s="28">
        <f>P201+VLOOKUP(Rawdata!O196,Int_rate_movements,2,TRUE)</f>
        <v>3.2499999999999994E-2</v>
      </c>
      <c r="R201" s="28">
        <f>Q201+VLOOKUP(Rawdata!P196,Int_rate_movements,2,TRUE)</f>
        <v>3.2499999999999994E-2</v>
      </c>
      <c r="S201" s="28">
        <f>R201+VLOOKUP(Rawdata!Q196,Int_rate_movements,2,TRUE)</f>
        <v>3.2499999999999994E-2</v>
      </c>
      <c r="T201" s="28">
        <f>S201+VLOOKUP(Rawdata!R196,Int_rate_movements,2,TRUE)</f>
        <v>3.2499999999999994E-2</v>
      </c>
      <c r="U201" s="28">
        <f>T201+VLOOKUP(Rawdata!S196,Int_rate_movements,2,TRUE)</f>
        <v>3.2499999999999994E-2</v>
      </c>
      <c r="V201" s="28">
        <f>U201+VLOOKUP(Rawdata!T196,Int_rate_movements,2,TRUE)</f>
        <v>3.2499999999999994E-2</v>
      </c>
      <c r="W201" s="28">
        <f>V201+VLOOKUP(Rawdata!U196,Int_rate_movements,2,TRUE)</f>
        <v>3.2499999999999994E-2</v>
      </c>
      <c r="X201" s="28">
        <f>W201+VLOOKUP(Rawdata!V196,Int_rate_movements,2,TRUE)</f>
        <v>3.2499999999999994E-2</v>
      </c>
      <c r="Y201" s="28">
        <f>X201+VLOOKUP(Rawdata!W196,Int_rate_movements,2,TRUE)</f>
        <v>3.2499999999999994E-2</v>
      </c>
      <c r="Z201" s="35">
        <f>Y201+VLOOKUP(Rawdata!X196,Int_rate_movements,2,TRUE)</f>
        <v>3.2499999999999994E-2</v>
      </c>
      <c r="AB201" s="55">
        <f t="shared" si="163"/>
        <v>4.4097712805242217E-2</v>
      </c>
      <c r="AC201" s="55">
        <f t="shared" si="164"/>
        <v>4.4097712805242217E-2</v>
      </c>
      <c r="AD201" s="55">
        <f t="shared" si="165"/>
        <v>3.9284877386386974E-2</v>
      </c>
      <c r="AE201" s="55">
        <f t="shared" si="166"/>
        <v>3.9284877386386974E-2</v>
      </c>
      <c r="AF201" s="55">
        <f t="shared" si="167"/>
        <v>3.6870500439066589E-2</v>
      </c>
      <c r="AG201" s="55">
        <f t="shared" si="168"/>
        <v>3.6870500439066589E-2</v>
      </c>
      <c r="AH201" s="55">
        <f t="shared" si="169"/>
        <v>3.6870500439066589E-2</v>
      </c>
      <c r="AI201" s="55">
        <f t="shared" si="170"/>
        <v>3.4450784628919706E-2</v>
      </c>
      <c r="AJ201" s="55">
        <f t="shared" si="171"/>
        <v>3.4450784628919706E-2</v>
      </c>
      <c r="AK201" s="55">
        <f t="shared" si="172"/>
        <v>3.4450784628919706E-2</v>
      </c>
      <c r="AL201" s="55">
        <f t="shared" si="173"/>
        <v>3.4450784628919706E-2</v>
      </c>
      <c r="AM201" s="55">
        <f t="shared" si="174"/>
        <v>3.2025705211555788E-2</v>
      </c>
      <c r="AN201" s="55">
        <f t="shared" si="175"/>
        <v>3.2025705211555788E-2</v>
      </c>
      <c r="AO201" s="55">
        <f t="shared" si="176"/>
        <v>3.2025705211555788E-2</v>
      </c>
      <c r="AP201" s="55">
        <f t="shared" si="177"/>
        <v>3.2025705211555788E-2</v>
      </c>
      <c r="AQ201" s="55">
        <f t="shared" si="178"/>
        <v>3.2025705211555788E-2</v>
      </c>
      <c r="AR201" s="55">
        <f t="shared" si="179"/>
        <v>3.2025705211555788E-2</v>
      </c>
      <c r="AS201" s="55">
        <f t="shared" si="180"/>
        <v>3.2025705211555788E-2</v>
      </c>
      <c r="AT201" s="55">
        <f t="shared" si="181"/>
        <v>3.2025705211555788E-2</v>
      </c>
      <c r="AU201" s="55">
        <f t="shared" si="182"/>
        <v>3.2025705211555788E-2</v>
      </c>
      <c r="AV201" s="55">
        <f t="shared" si="183"/>
        <v>3.2025705211555788E-2</v>
      </c>
      <c r="AW201" s="55">
        <f t="shared" si="184"/>
        <v>3.2025705211555788E-2</v>
      </c>
      <c r="AX201" s="55">
        <f t="shared" si="185"/>
        <v>3.2025705211555788E-2</v>
      </c>
      <c r="AY201" s="55">
        <f t="shared" si="186"/>
        <v>3.2025705211555788E-2</v>
      </c>
      <c r="AZ201" s="56">
        <f t="shared" si="187"/>
        <v>3.2025705211555788E-2</v>
      </c>
    </row>
    <row r="202" spans="1:52" x14ac:dyDescent="0.35">
      <c r="A202" s="27">
        <v>195</v>
      </c>
      <c r="B202" s="63">
        <f t="shared" si="162"/>
        <v>4.4999999999999998E-2</v>
      </c>
      <c r="C202" s="28">
        <f>B202+VLOOKUP(Rawdata!A197,Int_rate_movements,2,TRUE)</f>
        <v>4.4999999999999998E-2</v>
      </c>
      <c r="D202" s="28">
        <f>C202+VLOOKUP(Rawdata!B197,Int_rate_movements,2,TRUE)</f>
        <v>4.4999999999999998E-2</v>
      </c>
      <c r="E202" s="28">
        <f>D202+VLOOKUP(Rawdata!C197,Int_rate_movements,2,TRUE)</f>
        <v>4.4999999999999998E-2</v>
      </c>
      <c r="F202" s="28">
        <f>E202+VLOOKUP(Rawdata!D197,Int_rate_movements,2,TRUE)</f>
        <v>0.04</v>
      </c>
      <c r="G202" s="28">
        <f>F202+VLOOKUP(Rawdata!E197,Int_rate_movements,2,TRUE)</f>
        <v>0.04</v>
      </c>
      <c r="H202" s="28">
        <f>G202+VLOOKUP(Rawdata!F197,Int_rate_movements,2,TRUE)</f>
        <v>3.7499999999999999E-2</v>
      </c>
      <c r="I202" s="28">
        <f>H202+VLOOKUP(Rawdata!G197,Int_rate_movements,2,TRUE)</f>
        <v>3.7499999999999999E-2</v>
      </c>
      <c r="J202" s="28">
        <f>I202+VLOOKUP(Rawdata!H197,Int_rate_movements,2,TRUE)</f>
        <v>3.7499999999999999E-2</v>
      </c>
      <c r="K202" s="28">
        <f>J202+VLOOKUP(Rawdata!I197,Int_rate_movements,2,TRUE)</f>
        <v>3.7499999999999999E-2</v>
      </c>
      <c r="L202" s="28">
        <f>K202+VLOOKUP(Rawdata!J197,Int_rate_movements,2,TRUE)</f>
        <v>3.7499999999999999E-2</v>
      </c>
      <c r="M202" s="28">
        <f>L202+VLOOKUP(Rawdata!K197,Int_rate_movements,2,TRUE)</f>
        <v>3.7499999999999999E-2</v>
      </c>
      <c r="N202" s="28">
        <f>M202+VLOOKUP(Rawdata!L197,Int_rate_movements,2,TRUE)</f>
        <v>3.7499999999999999E-2</v>
      </c>
      <c r="O202" s="28">
        <f>N202+VLOOKUP(Rawdata!M197,Int_rate_movements,2,TRUE)</f>
        <v>3.7499999999999999E-2</v>
      </c>
      <c r="P202" s="28">
        <f>O202+VLOOKUP(Rawdata!N197,Int_rate_movements,2,TRUE)</f>
        <v>3.7499999999999999E-2</v>
      </c>
      <c r="Q202" s="28">
        <f>P202+VLOOKUP(Rawdata!O197,Int_rate_movements,2,TRUE)</f>
        <v>3.4999999999999996E-2</v>
      </c>
      <c r="R202" s="28">
        <f>Q202+VLOOKUP(Rawdata!P197,Int_rate_movements,2,TRUE)</f>
        <v>3.4999999999999996E-2</v>
      </c>
      <c r="S202" s="28">
        <f>R202+VLOOKUP(Rawdata!Q197,Int_rate_movements,2,TRUE)</f>
        <v>3.4999999999999996E-2</v>
      </c>
      <c r="T202" s="28">
        <f>S202+VLOOKUP(Rawdata!R197,Int_rate_movements,2,TRUE)</f>
        <v>3.4999999999999996E-2</v>
      </c>
      <c r="U202" s="28">
        <f>T202+VLOOKUP(Rawdata!S197,Int_rate_movements,2,TRUE)</f>
        <v>3.4999999999999996E-2</v>
      </c>
      <c r="V202" s="28">
        <f>U202+VLOOKUP(Rawdata!T197,Int_rate_movements,2,TRUE)</f>
        <v>3.4999999999999996E-2</v>
      </c>
      <c r="W202" s="28">
        <f>V202+VLOOKUP(Rawdata!U197,Int_rate_movements,2,TRUE)</f>
        <v>3.4999999999999996E-2</v>
      </c>
      <c r="X202" s="28">
        <f>W202+VLOOKUP(Rawdata!V197,Int_rate_movements,2,TRUE)</f>
        <v>3.4999999999999996E-2</v>
      </c>
      <c r="Y202" s="28">
        <f>X202+VLOOKUP(Rawdata!W197,Int_rate_movements,2,TRUE)</f>
        <v>3.4999999999999996E-2</v>
      </c>
      <c r="Z202" s="35">
        <f>Y202+VLOOKUP(Rawdata!X197,Int_rate_movements,2,TRUE)</f>
        <v>3.4999999999999996E-2</v>
      </c>
      <c r="AB202" s="55">
        <f t="shared" si="163"/>
        <v>4.4097712805242217E-2</v>
      </c>
      <c r="AC202" s="55">
        <f t="shared" si="164"/>
        <v>4.4097712805242217E-2</v>
      </c>
      <c r="AD202" s="55">
        <f t="shared" si="165"/>
        <v>4.4097712805242217E-2</v>
      </c>
      <c r="AE202" s="55">
        <f t="shared" si="166"/>
        <v>4.4097712805242217E-2</v>
      </c>
      <c r="AF202" s="55">
        <f t="shared" si="167"/>
        <v>3.9284877386386974E-2</v>
      </c>
      <c r="AG202" s="55">
        <f t="shared" si="168"/>
        <v>3.9284877386386974E-2</v>
      </c>
      <c r="AH202" s="55">
        <f t="shared" si="169"/>
        <v>3.6870500439066589E-2</v>
      </c>
      <c r="AI202" s="55">
        <f t="shared" si="170"/>
        <v>3.6870500439066589E-2</v>
      </c>
      <c r="AJ202" s="55">
        <f t="shared" si="171"/>
        <v>3.6870500439066589E-2</v>
      </c>
      <c r="AK202" s="55">
        <f t="shared" si="172"/>
        <v>3.6870500439066589E-2</v>
      </c>
      <c r="AL202" s="55">
        <f t="shared" si="173"/>
        <v>3.6870500439066589E-2</v>
      </c>
      <c r="AM202" s="55">
        <f t="shared" si="174"/>
        <v>3.6870500439066589E-2</v>
      </c>
      <c r="AN202" s="55">
        <f t="shared" si="175"/>
        <v>3.6870500439066589E-2</v>
      </c>
      <c r="AO202" s="55">
        <f t="shared" si="176"/>
        <v>3.6870500439066589E-2</v>
      </c>
      <c r="AP202" s="55">
        <f t="shared" si="177"/>
        <v>3.6870500439066589E-2</v>
      </c>
      <c r="AQ202" s="55">
        <f t="shared" si="178"/>
        <v>3.4450784628919706E-2</v>
      </c>
      <c r="AR202" s="55">
        <f t="shared" si="179"/>
        <v>3.4450784628919706E-2</v>
      </c>
      <c r="AS202" s="55">
        <f t="shared" si="180"/>
        <v>3.4450784628919706E-2</v>
      </c>
      <c r="AT202" s="55">
        <f t="shared" si="181"/>
        <v>3.4450784628919706E-2</v>
      </c>
      <c r="AU202" s="55">
        <f t="shared" si="182"/>
        <v>3.4450784628919706E-2</v>
      </c>
      <c r="AV202" s="55">
        <f t="shared" si="183"/>
        <v>3.4450784628919706E-2</v>
      </c>
      <c r="AW202" s="55">
        <f t="shared" si="184"/>
        <v>3.4450784628919706E-2</v>
      </c>
      <c r="AX202" s="55">
        <f t="shared" si="185"/>
        <v>3.4450784628919706E-2</v>
      </c>
      <c r="AY202" s="55">
        <f t="shared" si="186"/>
        <v>3.4450784628919706E-2</v>
      </c>
      <c r="AZ202" s="56">
        <f t="shared" si="187"/>
        <v>3.4450784628919706E-2</v>
      </c>
    </row>
    <row r="203" spans="1:52" x14ac:dyDescent="0.35">
      <c r="A203" s="5">
        <v>196</v>
      </c>
      <c r="B203" s="63">
        <f t="shared" si="162"/>
        <v>4.4999999999999998E-2</v>
      </c>
      <c r="C203" s="28">
        <f>B203+VLOOKUP(Rawdata!A198,Int_rate_movements,2,TRUE)</f>
        <v>4.4999999999999998E-2</v>
      </c>
      <c r="D203" s="28">
        <f>C203+VLOOKUP(Rawdata!B198,Int_rate_movements,2,TRUE)</f>
        <v>4.4999999999999998E-2</v>
      </c>
      <c r="E203" s="28">
        <f>D203+VLOOKUP(Rawdata!C198,Int_rate_movements,2,TRUE)</f>
        <v>4.4999999999999998E-2</v>
      </c>
      <c r="F203" s="28">
        <f>E203+VLOOKUP(Rawdata!D198,Int_rate_movements,2,TRUE)</f>
        <v>4.4999999999999998E-2</v>
      </c>
      <c r="G203" s="28">
        <f>F203+VLOOKUP(Rawdata!E198,Int_rate_movements,2,TRUE)</f>
        <v>4.4999999999999998E-2</v>
      </c>
      <c r="H203" s="28">
        <f>G203+VLOOKUP(Rawdata!F198,Int_rate_movements,2,TRUE)</f>
        <v>4.4999999999999998E-2</v>
      </c>
      <c r="I203" s="28">
        <f>H203+VLOOKUP(Rawdata!G198,Int_rate_movements,2,TRUE)</f>
        <v>4.4999999999999998E-2</v>
      </c>
      <c r="J203" s="28">
        <f>I203+VLOOKUP(Rawdata!H198,Int_rate_movements,2,TRUE)</f>
        <v>4.4999999999999998E-2</v>
      </c>
      <c r="K203" s="28">
        <f>J203+VLOOKUP(Rawdata!I198,Int_rate_movements,2,TRUE)</f>
        <v>4.4999999999999998E-2</v>
      </c>
      <c r="L203" s="28">
        <f>K203+VLOOKUP(Rawdata!J198,Int_rate_movements,2,TRUE)</f>
        <v>4.4999999999999998E-2</v>
      </c>
      <c r="M203" s="28">
        <f>L203+VLOOKUP(Rawdata!K198,Int_rate_movements,2,TRUE)</f>
        <v>4.4999999999999998E-2</v>
      </c>
      <c r="N203" s="28">
        <f>M203+VLOOKUP(Rawdata!L198,Int_rate_movements,2,TRUE)</f>
        <v>4.4999999999999998E-2</v>
      </c>
      <c r="O203" s="28">
        <f>N203+VLOOKUP(Rawdata!M198,Int_rate_movements,2,TRUE)</f>
        <v>4.4999999999999998E-2</v>
      </c>
      <c r="P203" s="28">
        <f>O203+VLOOKUP(Rawdata!N198,Int_rate_movements,2,TRUE)</f>
        <v>4.4999999999999998E-2</v>
      </c>
      <c r="Q203" s="28">
        <f>P203+VLOOKUP(Rawdata!O198,Int_rate_movements,2,TRUE)</f>
        <v>4.2499999999999996E-2</v>
      </c>
      <c r="R203" s="28">
        <f>Q203+VLOOKUP(Rawdata!P198,Int_rate_movements,2,TRUE)</f>
        <v>4.4999999999999998E-2</v>
      </c>
      <c r="S203" s="28">
        <f>R203+VLOOKUP(Rawdata!Q198,Int_rate_movements,2,TRUE)</f>
        <v>4.4999999999999998E-2</v>
      </c>
      <c r="T203" s="28">
        <f>S203+VLOOKUP(Rawdata!R198,Int_rate_movements,2,TRUE)</f>
        <v>4.7500000000000001E-2</v>
      </c>
      <c r="U203" s="28">
        <f>T203+VLOOKUP(Rawdata!S198,Int_rate_movements,2,TRUE)</f>
        <v>4.7500000000000001E-2</v>
      </c>
      <c r="V203" s="28">
        <f>U203+VLOOKUP(Rawdata!T198,Int_rate_movements,2,TRUE)</f>
        <v>4.7500000000000001E-2</v>
      </c>
      <c r="W203" s="28">
        <f>V203+VLOOKUP(Rawdata!U198,Int_rate_movements,2,TRUE)</f>
        <v>4.7500000000000001E-2</v>
      </c>
      <c r="X203" s="28">
        <f>W203+VLOOKUP(Rawdata!V198,Int_rate_movements,2,TRUE)</f>
        <v>4.7500000000000001E-2</v>
      </c>
      <c r="Y203" s="28">
        <f>X203+VLOOKUP(Rawdata!W198,Int_rate_movements,2,TRUE)</f>
        <v>4.7500000000000001E-2</v>
      </c>
      <c r="Z203" s="35">
        <f>Y203+VLOOKUP(Rawdata!X198,Int_rate_movements,2,TRUE)</f>
        <v>4.7500000000000001E-2</v>
      </c>
      <c r="AB203" s="55">
        <f t="shared" si="163"/>
        <v>4.4097712805242217E-2</v>
      </c>
      <c r="AC203" s="55">
        <f t="shared" si="164"/>
        <v>4.4097712805242217E-2</v>
      </c>
      <c r="AD203" s="55">
        <f t="shared" si="165"/>
        <v>4.4097712805242217E-2</v>
      </c>
      <c r="AE203" s="55">
        <f t="shared" si="166"/>
        <v>4.4097712805242217E-2</v>
      </c>
      <c r="AF203" s="55">
        <f t="shared" si="167"/>
        <v>4.4097712805242217E-2</v>
      </c>
      <c r="AG203" s="55">
        <f t="shared" si="168"/>
        <v>4.4097712805242217E-2</v>
      </c>
      <c r="AH203" s="55">
        <f t="shared" si="169"/>
        <v>4.4097712805242217E-2</v>
      </c>
      <c r="AI203" s="55">
        <f t="shared" si="170"/>
        <v>4.4097712805242217E-2</v>
      </c>
      <c r="AJ203" s="55">
        <f t="shared" si="171"/>
        <v>4.4097712805242217E-2</v>
      </c>
      <c r="AK203" s="55">
        <f t="shared" si="172"/>
        <v>4.4097712805242217E-2</v>
      </c>
      <c r="AL203" s="55">
        <f t="shared" si="173"/>
        <v>4.4097712805242217E-2</v>
      </c>
      <c r="AM203" s="55">
        <f t="shared" si="174"/>
        <v>4.4097712805242217E-2</v>
      </c>
      <c r="AN203" s="55">
        <f t="shared" si="175"/>
        <v>4.4097712805242217E-2</v>
      </c>
      <c r="AO203" s="55">
        <f t="shared" si="176"/>
        <v>4.4097712805242217E-2</v>
      </c>
      <c r="AP203" s="55">
        <f t="shared" si="177"/>
        <v>4.4097712805242217E-2</v>
      </c>
      <c r="AQ203" s="55">
        <f t="shared" si="178"/>
        <v>4.1693940041970023E-2</v>
      </c>
      <c r="AR203" s="55">
        <f t="shared" si="179"/>
        <v>4.4097712805242217E-2</v>
      </c>
      <c r="AS203" s="55">
        <f t="shared" si="180"/>
        <v>4.4097712805242217E-2</v>
      </c>
      <c r="AT203" s="55">
        <f t="shared" si="181"/>
        <v>4.6496219905550085E-2</v>
      </c>
      <c r="AU203" s="55">
        <f t="shared" si="182"/>
        <v>4.6496219905550085E-2</v>
      </c>
      <c r="AV203" s="55">
        <f t="shared" si="183"/>
        <v>4.6496219905550085E-2</v>
      </c>
      <c r="AW203" s="55">
        <f t="shared" si="184"/>
        <v>4.6496219905550085E-2</v>
      </c>
      <c r="AX203" s="55">
        <f t="shared" si="185"/>
        <v>4.6496219905550085E-2</v>
      </c>
      <c r="AY203" s="55">
        <f t="shared" si="186"/>
        <v>4.6496219905550085E-2</v>
      </c>
      <c r="AZ203" s="56">
        <f t="shared" si="187"/>
        <v>4.6496219905550085E-2</v>
      </c>
    </row>
    <row r="204" spans="1:52" x14ac:dyDescent="0.35">
      <c r="A204" s="27">
        <v>197</v>
      </c>
      <c r="B204" s="63">
        <f t="shared" si="162"/>
        <v>4.4999999999999998E-2</v>
      </c>
      <c r="C204" s="28">
        <f>B204+VLOOKUP(Rawdata!A199,Int_rate_movements,2,TRUE)</f>
        <v>4.4999999999999998E-2</v>
      </c>
      <c r="D204" s="28">
        <f>C204+VLOOKUP(Rawdata!B199,Int_rate_movements,2,TRUE)</f>
        <v>4.4999999999999998E-2</v>
      </c>
      <c r="E204" s="28">
        <f>D204+VLOOKUP(Rawdata!C199,Int_rate_movements,2,TRUE)</f>
        <v>4.4999999999999998E-2</v>
      </c>
      <c r="F204" s="28">
        <f>E204+VLOOKUP(Rawdata!D199,Int_rate_movements,2,TRUE)</f>
        <v>4.4999999999999998E-2</v>
      </c>
      <c r="G204" s="28">
        <f>F204+VLOOKUP(Rawdata!E199,Int_rate_movements,2,TRUE)</f>
        <v>4.4999999999999998E-2</v>
      </c>
      <c r="H204" s="28">
        <f>G204+VLOOKUP(Rawdata!F199,Int_rate_movements,2,TRUE)</f>
        <v>4.4999999999999998E-2</v>
      </c>
      <c r="I204" s="28">
        <f>H204+VLOOKUP(Rawdata!G199,Int_rate_movements,2,TRUE)</f>
        <v>4.4999999999999998E-2</v>
      </c>
      <c r="J204" s="28">
        <f>I204+VLOOKUP(Rawdata!H199,Int_rate_movements,2,TRUE)</f>
        <v>4.4999999999999998E-2</v>
      </c>
      <c r="K204" s="28">
        <f>J204+VLOOKUP(Rawdata!I199,Int_rate_movements,2,TRUE)</f>
        <v>4.7500000000000001E-2</v>
      </c>
      <c r="L204" s="28">
        <f>K204+VLOOKUP(Rawdata!J199,Int_rate_movements,2,TRUE)</f>
        <v>4.7500000000000001E-2</v>
      </c>
      <c r="M204" s="28">
        <f>L204+VLOOKUP(Rawdata!K199,Int_rate_movements,2,TRUE)</f>
        <v>4.7500000000000001E-2</v>
      </c>
      <c r="N204" s="28">
        <f>M204+VLOOKUP(Rawdata!L199,Int_rate_movements,2,TRUE)</f>
        <v>4.7500000000000001E-2</v>
      </c>
      <c r="O204" s="28">
        <f>N204+VLOOKUP(Rawdata!M199,Int_rate_movements,2,TRUE)</f>
        <v>4.7500000000000001E-2</v>
      </c>
      <c r="P204" s="28">
        <f>O204+VLOOKUP(Rawdata!N199,Int_rate_movements,2,TRUE)</f>
        <v>4.7500000000000001E-2</v>
      </c>
      <c r="Q204" s="28">
        <f>P204+VLOOKUP(Rawdata!O199,Int_rate_movements,2,TRUE)</f>
        <v>4.7500000000000001E-2</v>
      </c>
      <c r="R204" s="28">
        <f>Q204+VLOOKUP(Rawdata!P199,Int_rate_movements,2,TRUE)</f>
        <v>4.7500000000000001E-2</v>
      </c>
      <c r="S204" s="28">
        <f>R204+VLOOKUP(Rawdata!Q199,Int_rate_movements,2,TRUE)</f>
        <v>4.7500000000000001E-2</v>
      </c>
      <c r="T204" s="28">
        <f>S204+VLOOKUP(Rawdata!R199,Int_rate_movements,2,TRUE)</f>
        <v>4.7500000000000001E-2</v>
      </c>
      <c r="U204" s="28">
        <f>T204+VLOOKUP(Rawdata!S199,Int_rate_movements,2,TRUE)</f>
        <v>4.7500000000000001E-2</v>
      </c>
      <c r="V204" s="28">
        <f>U204+VLOOKUP(Rawdata!T199,Int_rate_movements,2,TRUE)</f>
        <v>4.7500000000000001E-2</v>
      </c>
      <c r="W204" s="28">
        <f>V204+VLOOKUP(Rawdata!U199,Int_rate_movements,2,TRUE)</f>
        <v>4.7500000000000001E-2</v>
      </c>
      <c r="X204" s="28">
        <f>W204+VLOOKUP(Rawdata!V199,Int_rate_movements,2,TRUE)</f>
        <v>4.7500000000000001E-2</v>
      </c>
      <c r="Y204" s="28">
        <f>X204+VLOOKUP(Rawdata!W199,Int_rate_movements,2,TRUE)</f>
        <v>4.7500000000000001E-2</v>
      </c>
      <c r="Z204" s="35">
        <f>Y204+VLOOKUP(Rawdata!X199,Int_rate_movements,2,TRUE)</f>
        <v>4.7500000000000001E-2</v>
      </c>
      <c r="AB204" s="55">
        <f t="shared" si="163"/>
        <v>4.4097712805242217E-2</v>
      </c>
      <c r="AC204" s="55">
        <f t="shared" si="164"/>
        <v>4.4097712805242217E-2</v>
      </c>
      <c r="AD204" s="55">
        <f t="shared" si="165"/>
        <v>4.4097712805242217E-2</v>
      </c>
      <c r="AE204" s="55">
        <f t="shared" si="166"/>
        <v>4.4097712805242217E-2</v>
      </c>
      <c r="AF204" s="55">
        <f t="shared" si="167"/>
        <v>4.4097712805242217E-2</v>
      </c>
      <c r="AG204" s="55">
        <f t="shared" si="168"/>
        <v>4.4097712805242217E-2</v>
      </c>
      <c r="AH204" s="55">
        <f t="shared" si="169"/>
        <v>4.4097712805242217E-2</v>
      </c>
      <c r="AI204" s="55">
        <f t="shared" si="170"/>
        <v>4.4097712805242217E-2</v>
      </c>
      <c r="AJ204" s="55">
        <f t="shared" si="171"/>
        <v>4.4097712805242217E-2</v>
      </c>
      <c r="AK204" s="55">
        <f t="shared" si="172"/>
        <v>4.6496219905550085E-2</v>
      </c>
      <c r="AL204" s="55">
        <f t="shared" si="173"/>
        <v>4.6496219905550085E-2</v>
      </c>
      <c r="AM204" s="55">
        <f t="shared" si="174"/>
        <v>4.6496219905550085E-2</v>
      </c>
      <c r="AN204" s="55">
        <f t="shared" si="175"/>
        <v>4.6496219905550085E-2</v>
      </c>
      <c r="AO204" s="55">
        <f t="shared" si="176"/>
        <v>4.6496219905550085E-2</v>
      </c>
      <c r="AP204" s="55">
        <f t="shared" si="177"/>
        <v>4.6496219905550085E-2</v>
      </c>
      <c r="AQ204" s="55">
        <f t="shared" si="178"/>
        <v>4.6496219905550085E-2</v>
      </c>
      <c r="AR204" s="55">
        <f t="shared" si="179"/>
        <v>4.6496219905550085E-2</v>
      </c>
      <c r="AS204" s="55">
        <f t="shared" si="180"/>
        <v>4.6496219905550085E-2</v>
      </c>
      <c r="AT204" s="55">
        <f t="shared" si="181"/>
        <v>4.6496219905550085E-2</v>
      </c>
      <c r="AU204" s="55">
        <f t="shared" si="182"/>
        <v>4.6496219905550085E-2</v>
      </c>
      <c r="AV204" s="55">
        <f t="shared" si="183"/>
        <v>4.6496219905550085E-2</v>
      </c>
      <c r="AW204" s="55">
        <f t="shared" si="184"/>
        <v>4.6496219905550085E-2</v>
      </c>
      <c r="AX204" s="55">
        <f t="shared" si="185"/>
        <v>4.6496219905550085E-2</v>
      </c>
      <c r="AY204" s="55">
        <f t="shared" si="186"/>
        <v>4.6496219905550085E-2</v>
      </c>
      <c r="AZ204" s="56">
        <f t="shared" si="187"/>
        <v>4.6496219905550085E-2</v>
      </c>
    </row>
    <row r="205" spans="1:52" x14ac:dyDescent="0.35">
      <c r="A205" s="5">
        <v>198</v>
      </c>
      <c r="B205" s="63">
        <f t="shared" si="162"/>
        <v>4.4999999999999998E-2</v>
      </c>
      <c r="C205" s="28">
        <f>B205+VLOOKUP(Rawdata!A200,Int_rate_movements,2,TRUE)</f>
        <v>4.4999999999999998E-2</v>
      </c>
      <c r="D205" s="28">
        <f>C205+VLOOKUP(Rawdata!B200,Int_rate_movements,2,TRUE)</f>
        <v>4.4999999999999998E-2</v>
      </c>
      <c r="E205" s="28">
        <f>D205+VLOOKUP(Rawdata!C200,Int_rate_movements,2,TRUE)</f>
        <v>4.4999999999999998E-2</v>
      </c>
      <c r="F205" s="28">
        <f>E205+VLOOKUP(Rawdata!D200,Int_rate_movements,2,TRUE)</f>
        <v>4.4999999999999998E-2</v>
      </c>
      <c r="G205" s="28">
        <f>F205+VLOOKUP(Rawdata!E200,Int_rate_movements,2,TRUE)</f>
        <v>4.4999999999999998E-2</v>
      </c>
      <c r="H205" s="28">
        <f>G205+VLOOKUP(Rawdata!F200,Int_rate_movements,2,TRUE)</f>
        <v>4.4999999999999998E-2</v>
      </c>
      <c r="I205" s="28">
        <f>H205+VLOOKUP(Rawdata!G200,Int_rate_movements,2,TRUE)</f>
        <v>4.4999999999999998E-2</v>
      </c>
      <c r="J205" s="28">
        <f>I205+VLOOKUP(Rawdata!H200,Int_rate_movements,2,TRUE)</f>
        <v>4.4999999999999998E-2</v>
      </c>
      <c r="K205" s="28">
        <f>J205+VLOOKUP(Rawdata!I200,Int_rate_movements,2,TRUE)</f>
        <v>4.4999999999999998E-2</v>
      </c>
      <c r="L205" s="28">
        <f>K205+VLOOKUP(Rawdata!J200,Int_rate_movements,2,TRUE)</f>
        <v>4.4999999999999998E-2</v>
      </c>
      <c r="M205" s="28">
        <f>L205+VLOOKUP(Rawdata!K200,Int_rate_movements,2,TRUE)</f>
        <v>4.4999999999999998E-2</v>
      </c>
      <c r="N205" s="28">
        <f>M205+VLOOKUP(Rawdata!L200,Int_rate_movements,2,TRUE)</f>
        <v>4.4999999999999998E-2</v>
      </c>
      <c r="O205" s="28">
        <f>N205+VLOOKUP(Rawdata!M200,Int_rate_movements,2,TRUE)</f>
        <v>4.4999999999999998E-2</v>
      </c>
      <c r="P205" s="28">
        <f>O205+VLOOKUP(Rawdata!N200,Int_rate_movements,2,TRUE)</f>
        <v>4.4999999999999998E-2</v>
      </c>
      <c r="Q205" s="28">
        <f>P205+VLOOKUP(Rawdata!O200,Int_rate_movements,2,TRUE)</f>
        <v>4.4999999999999998E-2</v>
      </c>
      <c r="R205" s="28">
        <f>Q205+VLOOKUP(Rawdata!P200,Int_rate_movements,2,TRUE)</f>
        <v>4.4999999999999998E-2</v>
      </c>
      <c r="S205" s="28">
        <f>R205+VLOOKUP(Rawdata!Q200,Int_rate_movements,2,TRUE)</f>
        <v>4.4999999999999998E-2</v>
      </c>
      <c r="T205" s="28">
        <f>S205+VLOOKUP(Rawdata!R200,Int_rate_movements,2,TRUE)</f>
        <v>4.4999999999999998E-2</v>
      </c>
      <c r="U205" s="28">
        <f>T205+VLOOKUP(Rawdata!S200,Int_rate_movements,2,TRUE)</f>
        <v>4.2499999999999996E-2</v>
      </c>
      <c r="V205" s="28">
        <f>U205+VLOOKUP(Rawdata!T200,Int_rate_movements,2,TRUE)</f>
        <v>4.2499999999999996E-2</v>
      </c>
      <c r="W205" s="28">
        <f>V205+VLOOKUP(Rawdata!U200,Int_rate_movements,2,TRUE)</f>
        <v>4.2499999999999996E-2</v>
      </c>
      <c r="X205" s="28">
        <f>W205+VLOOKUP(Rawdata!V200,Int_rate_movements,2,TRUE)</f>
        <v>4.2499999999999996E-2</v>
      </c>
      <c r="Y205" s="28">
        <f>X205+VLOOKUP(Rawdata!W200,Int_rate_movements,2,TRUE)</f>
        <v>4.2499999999999996E-2</v>
      </c>
      <c r="Z205" s="35">
        <f>Y205+VLOOKUP(Rawdata!X200,Int_rate_movements,2,TRUE)</f>
        <v>4.2499999999999996E-2</v>
      </c>
      <c r="AB205" s="55">
        <f t="shared" si="163"/>
        <v>4.4097712805242217E-2</v>
      </c>
      <c r="AC205" s="55">
        <f t="shared" si="164"/>
        <v>4.4097712805242217E-2</v>
      </c>
      <c r="AD205" s="55">
        <f t="shared" si="165"/>
        <v>4.4097712805242217E-2</v>
      </c>
      <c r="AE205" s="55">
        <f t="shared" si="166"/>
        <v>4.4097712805242217E-2</v>
      </c>
      <c r="AF205" s="55">
        <f t="shared" si="167"/>
        <v>4.4097712805242217E-2</v>
      </c>
      <c r="AG205" s="55">
        <f t="shared" si="168"/>
        <v>4.4097712805242217E-2</v>
      </c>
      <c r="AH205" s="55">
        <f t="shared" si="169"/>
        <v>4.4097712805242217E-2</v>
      </c>
      <c r="AI205" s="55">
        <f t="shared" si="170"/>
        <v>4.4097712805242217E-2</v>
      </c>
      <c r="AJ205" s="55">
        <f t="shared" si="171"/>
        <v>4.4097712805242217E-2</v>
      </c>
      <c r="AK205" s="55">
        <f t="shared" si="172"/>
        <v>4.4097712805242217E-2</v>
      </c>
      <c r="AL205" s="55">
        <f t="shared" si="173"/>
        <v>4.4097712805242217E-2</v>
      </c>
      <c r="AM205" s="55">
        <f t="shared" si="174"/>
        <v>4.4097712805242217E-2</v>
      </c>
      <c r="AN205" s="55">
        <f t="shared" si="175"/>
        <v>4.4097712805242217E-2</v>
      </c>
      <c r="AO205" s="55">
        <f t="shared" si="176"/>
        <v>4.4097712805242217E-2</v>
      </c>
      <c r="AP205" s="55">
        <f t="shared" si="177"/>
        <v>4.4097712805242217E-2</v>
      </c>
      <c r="AQ205" s="55">
        <f t="shared" si="178"/>
        <v>4.4097712805242217E-2</v>
      </c>
      <c r="AR205" s="55">
        <f t="shared" si="179"/>
        <v>4.4097712805242217E-2</v>
      </c>
      <c r="AS205" s="55">
        <f t="shared" si="180"/>
        <v>4.4097712805242217E-2</v>
      </c>
      <c r="AT205" s="55">
        <f t="shared" si="181"/>
        <v>4.4097712805242217E-2</v>
      </c>
      <c r="AU205" s="55">
        <f t="shared" si="182"/>
        <v>4.1693940041970023E-2</v>
      </c>
      <c r="AV205" s="55">
        <f t="shared" si="183"/>
        <v>4.1693940041970023E-2</v>
      </c>
      <c r="AW205" s="55">
        <f t="shared" si="184"/>
        <v>4.1693940041970023E-2</v>
      </c>
      <c r="AX205" s="55">
        <f t="shared" si="185"/>
        <v>4.1693940041970023E-2</v>
      </c>
      <c r="AY205" s="55">
        <f t="shared" si="186"/>
        <v>4.1693940041970023E-2</v>
      </c>
      <c r="AZ205" s="56">
        <f t="shared" si="187"/>
        <v>4.1693940041970023E-2</v>
      </c>
    </row>
    <row r="206" spans="1:52" x14ac:dyDescent="0.35">
      <c r="A206" s="27">
        <v>199</v>
      </c>
      <c r="B206" s="63">
        <f t="shared" si="162"/>
        <v>4.4999999999999998E-2</v>
      </c>
      <c r="C206" s="28">
        <f>B206+VLOOKUP(Rawdata!A201,Int_rate_movements,2,TRUE)</f>
        <v>4.4999999999999998E-2</v>
      </c>
      <c r="D206" s="28">
        <f>C206+VLOOKUP(Rawdata!B201,Int_rate_movements,2,TRUE)</f>
        <v>4.7500000000000001E-2</v>
      </c>
      <c r="E206" s="28">
        <f>D206+VLOOKUP(Rawdata!C201,Int_rate_movements,2,TRUE)</f>
        <v>4.7500000000000001E-2</v>
      </c>
      <c r="F206" s="28">
        <f>E206+VLOOKUP(Rawdata!D201,Int_rate_movements,2,TRUE)</f>
        <v>4.4999999999999998E-2</v>
      </c>
      <c r="G206" s="28">
        <f>F206+VLOOKUP(Rawdata!E201,Int_rate_movements,2,TRUE)</f>
        <v>4.4999999999999998E-2</v>
      </c>
      <c r="H206" s="28">
        <f>G206+VLOOKUP(Rawdata!F201,Int_rate_movements,2,TRUE)</f>
        <v>4.2499999999999996E-2</v>
      </c>
      <c r="I206" s="28">
        <f>H206+VLOOKUP(Rawdata!G201,Int_rate_movements,2,TRUE)</f>
        <v>4.4999999999999998E-2</v>
      </c>
      <c r="J206" s="28">
        <f>I206+VLOOKUP(Rawdata!H201,Int_rate_movements,2,TRUE)</f>
        <v>4.4999999999999998E-2</v>
      </c>
      <c r="K206" s="28">
        <f>J206+VLOOKUP(Rawdata!I201,Int_rate_movements,2,TRUE)</f>
        <v>4.4999999999999998E-2</v>
      </c>
      <c r="L206" s="28">
        <f>K206+VLOOKUP(Rawdata!J201,Int_rate_movements,2,TRUE)</f>
        <v>4.4999999999999998E-2</v>
      </c>
      <c r="M206" s="28">
        <f>L206+VLOOKUP(Rawdata!K201,Int_rate_movements,2,TRUE)</f>
        <v>4.4999999999999998E-2</v>
      </c>
      <c r="N206" s="28">
        <f>M206+VLOOKUP(Rawdata!L201,Int_rate_movements,2,TRUE)</f>
        <v>4.4999999999999998E-2</v>
      </c>
      <c r="O206" s="28">
        <f>N206+VLOOKUP(Rawdata!M201,Int_rate_movements,2,TRUE)</f>
        <v>4.4999999999999998E-2</v>
      </c>
      <c r="P206" s="28">
        <f>O206+VLOOKUP(Rawdata!N201,Int_rate_movements,2,TRUE)</f>
        <v>4.4999999999999998E-2</v>
      </c>
      <c r="Q206" s="28">
        <f>P206+VLOOKUP(Rawdata!O201,Int_rate_movements,2,TRUE)</f>
        <v>4.4999999999999998E-2</v>
      </c>
      <c r="R206" s="28">
        <f>Q206+VLOOKUP(Rawdata!P201,Int_rate_movements,2,TRUE)</f>
        <v>4.4999999999999998E-2</v>
      </c>
      <c r="S206" s="28">
        <f>R206+VLOOKUP(Rawdata!Q201,Int_rate_movements,2,TRUE)</f>
        <v>4.4999999999999998E-2</v>
      </c>
      <c r="T206" s="28">
        <f>S206+VLOOKUP(Rawdata!R201,Int_rate_movements,2,TRUE)</f>
        <v>4.4999999999999998E-2</v>
      </c>
      <c r="U206" s="28">
        <f>T206+VLOOKUP(Rawdata!S201,Int_rate_movements,2,TRUE)</f>
        <v>4.4999999999999998E-2</v>
      </c>
      <c r="V206" s="28">
        <f>U206+VLOOKUP(Rawdata!T201,Int_rate_movements,2,TRUE)</f>
        <v>4.4999999999999998E-2</v>
      </c>
      <c r="W206" s="28">
        <f>V206+VLOOKUP(Rawdata!U201,Int_rate_movements,2,TRUE)</f>
        <v>4.9999999999999996E-2</v>
      </c>
      <c r="X206" s="28">
        <f>W206+VLOOKUP(Rawdata!V201,Int_rate_movements,2,TRUE)</f>
        <v>4.9999999999999996E-2</v>
      </c>
      <c r="Y206" s="28">
        <f>X206+VLOOKUP(Rawdata!W201,Int_rate_movements,2,TRUE)</f>
        <v>5.4999999999999993E-2</v>
      </c>
      <c r="Z206" s="35">
        <f>Y206+VLOOKUP(Rawdata!X201,Int_rate_movements,2,TRUE)</f>
        <v>5.4999999999999993E-2</v>
      </c>
      <c r="AB206" s="55">
        <f t="shared" si="163"/>
        <v>4.4097712805242217E-2</v>
      </c>
      <c r="AC206" s="55">
        <f t="shared" si="164"/>
        <v>4.4097712805242217E-2</v>
      </c>
      <c r="AD206" s="55">
        <f t="shared" si="165"/>
        <v>4.6496219905550085E-2</v>
      </c>
      <c r="AE206" s="55">
        <f t="shared" si="166"/>
        <v>4.6496219905550085E-2</v>
      </c>
      <c r="AF206" s="55">
        <f t="shared" si="167"/>
        <v>4.4097712805242217E-2</v>
      </c>
      <c r="AG206" s="55">
        <f t="shared" si="168"/>
        <v>4.4097712805242217E-2</v>
      </c>
      <c r="AH206" s="55">
        <f t="shared" si="169"/>
        <v>4.1693940041970023E-2</v>
      </c>
      <c r="AI206" s="55">
        <f t="shared" si="170"/>
        <v>4.4097712805242217E-2</v>
      </c>
      <c r="AJ206" s="55">
        <f t="shared" si="171"/>
        <v>4.4097712805242217E-2</v>
      </c>
      <c r="AK206" s="55">
        <f t="shared" si="172"/>
        <v>4.4097712805242217E-2</v>
      </c>
      <c r="AL206" s="55">
        <f t="shared" si="173"/>
        <v>4.4097712805242217E-2</v>
      </c>
      <c r="AM206" s="55">
        <f t="shared" si="174"/>
        <v>4.4097712805242217E-2</v>
      </c>
      <c r="AN206" s="55">
        <f t="shared" si="175"/>
        <v>4.4097712805242217E-2</v>
      </c>
      <c r="AO206" s="55">
        <f t="shared" si="176"/>
        <v>4.4097712805242217E-2</v>
      </c>
      <c r="AP206" s="55">
        <f t="shared" si="177"/>
        <v>4.4097712805242217E-2</v>
      </c>
      <c r="AQ206" s="55">
        <f t="shared" si="178"/>
        <v>4.4097712805242217E-2</v>
      </c>
      <c r="AR206" s="55">
        <f t="shared" si="179"/>
        <v>4.4097712805242217E-2</v>
      </c>
      <c r="AS206" s="55">
        <f t="shared" si="180"/>
        <v>4.4097712805242217E-2</v>
      </c>
      <c r="AT206" s="55">
        <f t="shared" si="181"/>
        <v>4.4097712805242217E-2</v>
      </c>
      <c r="AU206" s="55">
        <f t="shared" si="182"/>
        <v>4.4097712805242217E-2</v>
      </c>
      <c r="AV206" s="55">
        <f t="shared" si="183"/>
        <v>4.4097712805242217E-2</v>
      </c>
      <c r="AW206" s="55">
        <f t="shared" si="184"/>
        <v>4.8889485403780242E-2</v>
      </c>
      <c r="AX206" s="55">
        <f t="shared" si="185"/>
        <v>4.8889485403780242E-2</v>
      </c>
      <c r="AY206" s="55">
        <f t="shared" si="186"/>
        <v>5.3660387004516252E-2</v>
      </c>
      <c r="AZ206" s="56">
        <f t="shared" si="187"/>
        <v>5.3660387004516252E-2</v>
      </c>
    </row>
    <row r="207" spans="1:52" x14ac:dyDescent="0.35">
      <c r="A207" s="5">
        <v>200</v>
      </c>
      <c r="B207" s="63">
        <f t="shared" si="162"/>
        <v>4.4999999999999998E-2</v>
      </c>
      <c r="C207" s="28">
        <f>B207+VLOOKUP(Rawdata!A202,Int_rate_movements,2,TRUE)</f>
        <v>4.4999999999999998E-2</v>
      </c>
      <c r="D207" s="28">
        <f>C207+VLOOKUP(Rawdata!B202,Int_rate_movements,2,TRUE)</f>
        <v>4.4999999999999998E-2</v>
      </c>
      <c r="E207" s="28">
        <f>D207+VLOOKUP(Rawdata!C202,Int_rate_movements,2,TRUE)</f>
        <v>4.4999999999999998E-2</v>
      </c>
      <c r="F207" s="28">
        <f>E207+VLOOKUP(Rawdata!D202,Int_rate_movements,2,TRUE)</f>
        <v>4.4999999999999998E-2</v>
      </c>
      <c r="G207" s="28">
        <f>F207+VLOOKUP(Rawdata!E202,Int_rate_movements,2,TRUE)</f>
        <v>4.4999999999999998E-2</v>
      </c>
      <c r="H207" s="28">
        <f>G207+VLOOKUP(Rawdata!F202,Int_rate_movements,2,TRUE)</f>
        <v>4.4999999999999998E-2</v>
      </c>
      <c r="I207" s="28">
        <f>H207+VLOOKUP(Rawdata!G202,Int_rate_movements,2,TRUE)</f>
        <v>4.4999999999999998E-2</v>
      </c>
      <c r="J207" s="28">
        <f>I207+VLOOKUP(Rawdata!H202,Int_rate_movements,2,TRUE)</f>
        <v>0.04</v>
      </c>
      <c r="K207" s="28">
        <f>J207+VLOOKUP(Rawdata!I202,Int_rate_movements,2,TRUE)</f>
        <v>0.04</v>
      </c>
      <c r="L207" s="28">
        <f>K207+VLOOKUP(Rawdata!J202,Int_rate_movements,2,TRUE)</f>
        <v>0.04</v>
      </c>
      <c r="M207" s="28">
        <f>L207+VLOOKUP(Rawdata!K202,Int_rate_movements,2,TRUE)</f>
        <v>4.2500000000000003E-2</v>
      </c>
      <c r="N207" s="28">
        <f>M207+VLOOKUP(Rawdata!L202,Int_rate_movements,2,TRUE)</f>
        <v>4.2500000000000003E-2</v>
      </c>
      <c r="O207" s="28">
        <f>N207+VLOOKUP(Rawdata!M202,Int_rate_movements,2,TRUE)</f>
        <v>4.2500000000000003E-2</v>
      </c>
      <c r="P207" s="28">
        <f>O207+VLOOKUP(Rawdata!N202,Int_rate_movements,2,TRUE)</f>
        <v>4.2500000000000003E-2</v>
      </c>
      <c r="Q207" s="28">
        <f>P207+VLOOKUP(Rawdata!O202,Int_rate_movements,2,TRUE)</f>
        <v>4.2500000000000003E-2</v>
      </c>
      <c r="R207" s="28">
        <f>Q207+VLOOKUP(Rawdata!P202,Int_rate_movements,2,TRUE)</f>
        <v>4.2500000000000003E-2</v>
      </c>
      <c r="S207" s="28">
        <f>R207+VLOOKUP(Rawdata!Q202,Int_rate_movements,2,TRUE)</f>
        <v>4.7500000000000001E-2</v>
      </c>
      <c r="T207" s="28">
        <f>S207+VLOOKUP(Rawdata!R202,Int_rate_movements,2,TRUE)</f>
        <v>4.7500000000000001E-2</v>
      </c>
      <c r="U207" s="28">
        <f>T207+VLOOKUP(Rawdata!S202,Int_rate_movements,2,TRUE)</f>
        <v>4.2500000000000003E-2</v>
      </c>
      <c r="V207" s="28">
        <f>U207+VLOOKUP(Rawdata!T202,Int_rate_movements,2,TRUE)</f>
        <v>4.2500000000000003E-2</v>
      </c>
      <c r="W207" s="28">
        <f>V207+VLOOKUP(Rawdata!U202,Int_rate_movements,2,TRUE)</f>
        <v>4.2500000000000003E-2</v>
      </c>
      <c r="X207" s="28">
        <f>W207+VLOOKUP(Rawdata!V202,Int_rate_movements,2,TRUE)</f>
        <v>4.2500000000000003E-2</v>
      </c>
      <c r="Y207" s="28">
        <f>X207+VLOOKUP(Rawdata!W202,Int_rate_movements,2,TRUE)</f>
        <v>4.2500000000000003E-2</v>
      </c>
      <c r="Z207" s="35">
        <f>Y207+VLOOKUP(Rawdata!X202,Int_rate_movements,2,TRUE)</f>
        <v>4.2500000000000003E-2</v>
      </c>
      <c r="AB207" s="55">
        <f t="shared" si="163"/>
        <v>4.4097712805242217E-2</v>
      </c>
      <c r="AC207" s="55">
        <f t="shared" si="164"/>
        <v>4.4097712805242217E-2</v>
      </c>
      <c r="AD207" s="55">
        <f t="shared" si="165"/>
        <v>4.4097712805242217E-2</v>
      </c>
      <c r="AE207" s="55">
        <f t="shared" si="166"/>
        <v>4.4097712805242217E-2</v>
      </c>
      <c r="AF207" s="55">
        <f t="shared" si="167"/>
        <v>4.4097712805242217E-2</v>
      </c>
      <c r="AG207" s="55">
        <f t="shared" si="168"/>
        <v>4.4097712805242217E-2</v>
      </c>
      <c r="AH207" s="55">
        <f t="shared" si="169"/>
        <v>4.4097712805242217E-2</v>
      </c>
      <c r="AI207" s="55">
        <f t="shared" si="170"/>
        <v>4.4097712805242217E-2</v>
      </c>
      <c r="AJ207" s="55">
        <f t="shared" si="171"/>
        <v>3.9284877386386974E-2</v>
      </c>
      <c r="AK207" s="55">
        <f t="shared" si="172"/>
        <v>3.9284877386386974E-2</v>
      </c>
      <c r="AL207" s="55">
        <f t="shared" si="173"/>
        <v>3.9284877386386974E-2</v>
      </c>
      <c r="AM207" s="55">
        <f t="shared" si="174"/>
        <v>4.1693940041970023E-2</v>
      </c>
      <c r="AN207" s="55">
        <f t="shared" si="175"/>
        <v>4.1693940041970023E-2</v>
      </c>
      <c r="AO207" s="55">
        <f t="shared" si="176"/>
        <v>4.1693940041970023E-2</v>
      </c>
      <c r="AP207" s="55">
        <f t="shared" si="177"/>
        <v>4.1693940041970023E-2</v>
      </c>
      <c r="AQ207" s="55">
        <f t="shared" si="178"/>
        <v>4.1693940041970023E-2</v>
      </c>
      <c r="AR207" s="55">
        <f t="shared" si="179"/>
        <v>4.1693940041970023E-2</v>
      </c>
      <c r="AS207" s="55">
        <f t="shared" si="180"/>
        <v>4.6496219905550085E-2</v>
      </c>
      <c r="AT207" s="55">
        <f t="shared" si="181"/>
        <v>4.6496219905550085E-2</v>
      </c>
      <c r="AU207" s="55">
        <f t="shared" si="182"/>
        <v>4.1693940041970023E-2</v>
      </c>
      <c r="AV207" s="55">
        <f t="shared" si="183"/>
        <v>4.1693940041970023E-2</v>
      </c>
      <c r="AW207" s="55">
        <f t="shared" si="184"/>
        <v>4.1693940041970023E-2</v>
      </c>
      <c r="AX207" s="55">
        <f t="shared" si="185"/>
        <v>4.1693940041970023E-2</v>
      </c>
      <c r="AY207" s="55">
        <f t="shared" si="186"/>
        <v>4.1693940041970023E-2</v>
      </c>
      <c r="AZ207" s="56">
        <f t="shared" si="187"/>
        <v>4.1693940041970023E-2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CO205"/>
  <sheetViews>
    <sheetView zoomScale="70" zoomScaleNormal="70" workbookViewId="0"/>
  </sheetViews>
  <sheetFormatPr defaultRowHeight="14.5" x14ac:dyDescent="0.35"/>
  <cols>
    <col min="1" max="1" width="12.81640625" customWidth="1"/>
    <col min="2" max="2" width="9.54296875" customWidth="1"/>
    <col min="3" max="9" width="9.54296875" style="10" customWidth="1"/>
    <col min="10" max="25" width="9.54296875" customWidth="1"/>
    <col min="26" max="26" width="14.90625" style="34" customWidth="1"/>
    <col min="27" max="27" width="11.81640625" customWidth="1"/>
    <col min="28" max="29" width="15.26953125" customWidth="1"/>
    <col min="30" max="30" width="15.26953125" style="17" customWidth="1"/>
    <col min="31" max="31" width="15.81640625" customWidth="1"/>
    <col min="32" max="32" width="11.81640625" customWidth="1"/>
    <col min="33" max="33" width="17.81640625" customWidth="1"/>
    <col min="34" max="34" width="17.26953125" customWidth="1"/>
    <col min="35" max="35" width="18.36328125" customWidth="1"/>
    <col min="36" max="36" width="11.81640625" customWidth="1"/>
    <col min="37" max="37" width="19.7265625" customWidth="1"/>
    <col min="38" max="38" width="11.81640625" customWidth="1"/>
    <col min="39" max="39" width="23.453125" customWidth="1"/>
    <col min="40" max="78" width="11.81640625" customWidth="1"/>
    <col min="79" max="92" width="11.7265625" customWidth="1"/>
    <col min="93" max="93" width="13.7265625" customWidth="1"/>
  </cols>
  <sheetData>
    <row r="1" spans="1:93" x14ac:dyDescent="0.35">
      <c r="A1" s="20" t="s">
        <v>95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6"/>
      <c r="AC1" s="17" t="s">
        <v>65</v>
      </c>
      <c r="AD1" s="17">
        <f>COUNTIF(AD6:AD205,"ERROR")</f>
        <v>0</v>
      </c>
      <c r="AH1" t="s">
        <v>17</v>
      </c>
      <c r="AI1" s="73">
        <f>AVERAGE(AI6:AI205)</f>
        <v>965.41005000000007</v>
      </c>
    </row>
    <row r="2" spans="1:93" s="17" customFormat="1" ht="28.5" customHeight="1" x14ac:dyDescent="0.35">
      <c r="A2" s="77"/>
      <c r="B2" s="77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37"/>
      <c r="AH2" t="s">
        <v>71</v>
      </c>
      <c r="AI2" s="73">
        <f>MIN(AI6:AI205)</f>
        <v>761.71</v>
      </c>
    </row>
    <row r="3" spans="1:93" x14ac:dyDescent="0.35">
      <c r="B3" s="81" t="s">
        <v>94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H3" t="s">
        <v>72</v>
      </c>
      <c r="AI3" s="73">
        <f>MAX(AI6:AI205)</f>
        <v>1132.8</v>
      </c>
    </row>
    <row r="4" spans="1:93" x14ac:dyDescent="0.35">
      <c r="B4" s="20" t="s">
        <v>61</v>
      </c>
      <c r="AB4" s="78" t="s">
        <v>26</v>
      </c>
      <c r="AC4" s="78"/>
      <c r="AD4" s="78"/>
      <c r="AE4" s="78"/>
      <c r="AG4" s="79" t="s">
        <v>33</v>
      </c>
      <c r="AH4" s="79"/>
      <c r="AI4" s="79"/>
    </row>
    <row r="5" spans="1:93" ht="57" customHeight="1" x14ac:dyDescent="0.35">
      <c r="A5" s="20" t="s">
        <v>15</v>
      </c>
      <c r="B5" s="57">
        <v>1</v>
      </c>
      <c r="C5" s="10">
        <f t="shared" ref="C5:Z5" si="0">IF(B5+1&gt;Dep_term*12,"Mortgage starts",B5+1)</f>
        <v>2</v>
      </c>
      <c r="D5" s="10">
        <f t="shared" si="0"/>
        <v>3</v>
      </c>
      <c r="E5" s="10">
        <f t="shared" si="0"/>
        <v>4</v>
      </c>
      <c r="F5" s="10">
        <f t="shared" si="0"/>
        <v>5</v>
      </c>
      <c r="G5" s="10">
        <f t="shared" si="0"/>
        <v>6</v>
      </c>
      <c r="H5" s="10">
        <f t="shared" si="0"/>
        <v>7</v>
      </c>
      <c r="I5" s="10">
        <f t="shared" si="0"/>
        <v>8</v>
      </c>
      <c r="J5" s="10">
        <f t="shared" si="0"/>
        <v>9</v>
      </c>
      <c r="K5" s="10">
        <f t="shared" si="0"/>
        <v>10</v>
      </c>
      <c r="L5" s="10">
        <f t="shared" si="0"/>
        <v>11</v>
      </c>
      <c r="M5" s="10">
        <f t="shared" si="0"/>
        <v>12</v>
      </c>
      <c r="N5" s="10">
        <f t="shared" si="0"/>
        <v>13</v>
      </c>
      <c r="O5" s="10">
        <f t="shared" si="0"/>
        <v>14</v>
      </c>
      <c r="P5" s="10">
        <f t="shared" si="0"/>
        <v>15</v>
      </c>
      <c r="Q5" s="10">
        <f t="shared" si="0"/>
        <v>16</v>
      </c>
      <c r="R5" s="10">
        <f t="shared" si="0"/>
        <v>17</v>
      </c>
      <c r="S5" s="10">
        <f t="shared" si="0"/>
        <v>18</v>
      </c>
      <c r="T5" s="10">
        <f t="shared" si="0"/>
        <v>19</v>
      </c>
      <c r="U5" s="10">
        <f t="shared" si="0"/>
        <v>20</v>
      </c>
      <c r="V5" s="10">
        <f t="shared" si="0"/>
        <v>21</v>
      </c>
      <c r="W5" s="10">
        <f t="shared" si="0"/>
        <v>22</v>
      </c>
      <c r="X5" s="10">
        <f t="shared" si="0"/>
        <v>23</v>
      </c>
      <c r="Y5" s="10">
        <f t="shared" si="0"/>
        <v>24</v>
      </c>
      <c r="Z5" s="58" t="str">
        <f t="shared" si="0"/>
        <v>Mortgage starts</v>
      </c>
      <c r="AA5" s="26"/>
      <c r="AB5" s="10" t="s">
        <v>62</v>
      </c>
      <c r="AC5" s="9" t="s">
        <v>83</v>
      </c>
      <c r="AD5" s="53" t="s">
        <v>89</v>
      </c>
      <c r="AE5" s="26" t="s">
        <v>27</v>
      </c>
      <c r="AF5" s="26"/>
      <c r="AG5" s="26" t="s">
        <v>34</v>
      </c>
      <c r="AH5" s="26" t="s">
        <v>35</v>
      </c>
      <c r="AI5" s="26" t="s">
        <v>87</v>
      </c>
      <c r="AJ5" s="10"/>
      <c r="AK5" s="9" t="s">
        <v>69</v>
      </c>
      <c r="AM5" s="80" t="s">
        <v>66</v>
      </c>
      <c r="AN5" s="80"/>
      <c r="AO5" s="10"/>
      <c r="AP5" s="10"/>
      <c r="AQ5" s="10"/>
      <c r="AR5" s="10"/>
      <c r="AS5" s="10"/>
      <c r="AV5" s="10"/>
      <c r="AW5" s="10"/>
      <c r="AX5" s="10"/>
      <c r="AY5" s="10"/>
      <c r="AZ5" s="10"/>
      <c r="BA5" s="10"/>
      <c r="BB5" s="10"/>
      <c r="BE5" s="10"/>
      <c r="BF5" s="10"/>
      <c r="BG5" s="10"/>
      <c r="BH5" s="10"/>
      <c r="BI5" s="10"/>
      <c r="BJ5" s="10"/>
      <c r="BK5" s="10"/>
      <c r="BN5" s="10"/>
      <c r="BO5" s="10"/>
      <c r="BP5" s="10"/>
      <c r="BQ5" s="10"/>
      <c r="BR5" s="10"/>
      <c r="BS5" s="10"/>
      <c r="BT5" s="10"/>
      <c r="BW5" s="10"/>
      <c r="BX5" s="10"/>
      <c r="BY5" s="10"/>
      <c r="BZ5" s="10"/>
      <c r="CA5" s="10"/>
      <c r="CB5" s="10"/>
      <c r="CC5" s="10"/>
      <c r="CF5" s="10"/>
      <c r="CG5" s="10"/>
      <c r="CH5" s="10"/>
      <c r="CI5" s="10"/>
      <c r="CJ5" s="10"/>
      <c r="CK5" s="10"/>
      <c r="CL5" s="10"/>
    </row>
    <row r="6" spans="1:93" x14ac:dyDescent="0.35">
      <c r="A6" s="27">
        <v>1</v>
      </c>
      <c r="B6" s="57">
        <f t="shared" ref="B6:B37" si="1">Deposit_mon</f>
        <v>1000</v>
      </c>
      <c r="C6" s="16">
        <f>ROUND(B6*(1+'Interest rate projection'!AB8/Var_freq)+IF(C$5="Mortgage Starts",0,Deposit_mon),2)</f>
        <v>2003.67</v>
      </c>
      <c r="D6" s="16">
        <f>ROUND(C6*(1+'Interest rate projection'!AC8/Var_freq)+IF(D$5="Mortgage Starts",0,Deposit_mon),2)</f>
        <v>3011.03</v>
      </c>
      <c r="E6" s="16">
        <f>ROUND(D6*(1+'Interest rate projection'!AD8/Var_freq)+IF(E$5="Mortgage Starts",0,Deposit_mon),2)</f>
        <v>4022.09</v>
      </c>
      <c r="F6" s="16">
        <f>ROUND(E6*(1+'Interest rate projection'!AE8/Var_freq)+IF(F$5="Mortgage Starts",0,Deposit_mon),2)</f>
        <v>5036.87</v>
      </c>
      <c r="G6" s="16">
        <f>ROUND(F6*(1+'Interest rate projection'!AF8/Var_freq)+IF(G$5="Mortgage Starts",0,Deposit_mon),2)</f>
        <v>6054.37</v>
      </c>
      <c r="H6" s="16">
        <f>ROUND(G6*(1+'Interest rate projection'!AG8/Var_freq)+IF(H$5="Mortgage Starts",0,Deposit_mon),2)</f>
        <v>7075.41</v>
      </c>
      <c r="I6" s="16">
        <f>ROUND(H6*(1+'Interest rate projection'!AH8/Var_freq)+IF(I$5="Mortgage Starts",0,Deposit_mon),2)</f>
        <v>8099.99</v>
      </c>
      <c r="J6" s="16">
        <f>ROUND(I6*(1+'Interest rate projection'!AI8/Var_freq)+IF(J$5="Mortgage Starts",0,Deposit_mon),2)</f>
        <v>9128.1299999999992</v>
      </c>
      <c r="K6" s="16">
        <f>ROUND(J6*(1+'Interest rate projection'!AJ8/Var_freq)+IF(K$5="Mortgage Starts",0,Deposit_mon),2)</f>
        <v>10159.85</v>
      </c>
      <c r="L6" s="16">
        <f>ROUND(K6*(1+'Interest rate projection'!AK8/Var_freq)+IF(L$5="Mortgage Starts",0,Deposit_mon),2)</f>
        <v>11195.15</v>
      </c>
      <c r="M6" s="16">
        <f>ROUND(L6*(1+'Interest rate projection'!AL8/Var_freq)+IF(M$5="Mortgage Starts",0,Deposit_mon),2)</f>
        <v>12234.05</v>
      </c>
      <c r="N6" s="16">
        <f>ROUND(M6*(1+'Interest rate projection'!AM8/Var_freq)+IF(N$5="Mortgage Starts",0,Deposit_mon),2)</f>
        <v>13276.56</v>
      </c>
      <c r="O6" s="16">
        <f>ROUND(N6*(1+'Interest rate projection'!AN8/Var_freq)+IF(O$5="Mortgage Starts",0,Deposit_mon),2)</f>
        <v>14322.69</v>
      </c>
      <c r="P6" s="16">
        <f>ROUND(O6*(1+'Interest rate projection'!AO8/Var_freq)+IF(P$5="Mortgage Starts",0,Deposit_mon),2)</f>
        <v>15372.45</v>
      </c>
      <c r="Q6" s="16">
        <f>ROUND(P6*(1+'Interest rate projection'!AP8/Var_freq)+IF(Q$5="Mortgage Starts",0,Deposit_mon),2)</f>
        <v>16425.86</v>
      </c>
      <c r="R6" s="16">
        <f>ROUND(Q6*(1+'Interest rate projection'!AQ8/Var_freq)+IF(R$5="Mortgage Starts",0,Deposit_mon),2)</f>
        <v>17482.93</v>
      </c>
      <c r="S6" s="16">
        <f>ROUND(R6*(1+'Interest rate projection'!AR8/Var_freq)+IF(S$5="Mortgage Starts",0,Deposit_mon),2)</f>
        <v>18543.669999999998</v>
      </c>
      <c r="T6" s="16">
        <f>ROUND(S6*(1+'Interest rate projection'!AS8/Var_freq)+IF(T$5="Mortgage Starts",0,Deposit_mon),2)</f>
        <v>19608.099999999999</v>
      </c>
      <c r="U6" s="16">
        <f>ROUND(T6*(1+'Interest rate projection'!AT8/Var_freq)+IF(U$5="Mortgage Starts",0,Deposit_mon),2)</f>
        <v>20676.23</v>
      </c>
      <c r="V6" s="16">
        <f>ROUND(U6*(1+'Interest rate projection'!AU8/Var_freq)+IF(V$5="Mortgage Starts",0,Deposit_mon),2)</f>
        <v>21748.07</v>
      </c>
      <c r="W6" s="16">
        <f>ROUND(V6*(1+'Interest rate projection'!AV8/Var_freq)+IF(W$5="Mortgage Starts",0,Deposit_mon),2)</f>
        <v>22823.63</v>
      </c>
      <c r="X6" s="16">
        <f>ROUND(W6*(1+'Interest rate projection'!AW8/Var_freq)+IF(X$5="Mortgage Starts",0,Deposit_mon),2)</f>
        <v>23902.93</v>
      </c>
      <c r="Y6" s="16">
        <f>ROUND(X6*(1+'Interest rate projection'!AX8/Var_freq)+IF(Y$5="Mortgage Starts",0,Deposit_mon),2)</f>
        <v>24985.98</v>
      </c>
      <c r="Z6" s="57">
        <f>ROUND(Y6*(1+'Interest rate projection'!AY8/Var_freq)+IF(Z$5="Mortgage Starts",0,Deposit_mon),2)</f>
        <v>25072.79</v>
      </c>
      <c r="AA6" s="9"/>
      <c r="AB6" s="38">
        <f>'Interest rate projection'!Z8</f>
        <v>4.2499999999999996E-2</v>
      </c>
      <c r="AC6" s="38">
        <f>'Interest rate projection'!AZ8</f>
        <v>4.1693940041970023E-2</v>
      </c>
      <c r="AD6" s="59" t="str">
        <f t="shared" ref="AD6:AD37" si="2">IF(ROUND(AB6,6)=ROUND((1+AC6/Var_freq)^Var_freq-1,6),"OK","ERROR")</f>
        <v>OK</v>
      </c>
      <c r="AE6" s="39">
        <f t="shared" ref="AE6:AE37" si="3">(1-(1+AB6)^-Mort_term)/AC6</f>
        <v>15.511529757864551</v>
      </c>
      <c r="AF6" s="39"/>
      <c r="AG6" s="73">
        <f>Z6</f>
        <v>25072.79</v>
      </c>
      <c r="AH6" s="73">
        <f>House_price-AG6</f>
        <v>174927.21</v>
      </c>
      <c r="AI6" s="74">
        <f t="shared" ref="AI6:AI37" si="4">ROUND(AH6/AE6/Var_freq,2)</f>
        <v>939.77</v>
      </c>
      <c r="AJ6" s="9"/>
      <c r="AK6" s="73">
        <f>'Fixed rate projection'!$AE$3-('Variable rate projection'!AI6*Product_term*Var_freq)</f>
        <v>21138</v>
      </c>
      <c r="AL6" s="9"/>
      <c r="AM6" s="8"/>
      <c r="AN6" s="10"/>
      <c r="AO6" s="9"/>
      <c r="AP6" s="10"/>
      <c r="AQ6" s="9"/>
      <c r="AR6" s="9"/>
      <c r="AS6" s="9"/>
      <c r="AT6" s="9"/>
      <c r="AU6" s="9"/>
      <c r="AV6" s="8"/>
      <c r="AW6" s="10"/>
      <c r="AX6" s="9"/>
      <c r="AY6" s="10"/>
      <c r="AZ6" s="9"/>
      <c r="BA6" s="9"/>
      <c r="BB6" s="9"/>
      <c r="BC6" s="9"/>
      <c r="BD6" s="9"/>
      <c r="BE6" s="8"/>
      <c r="BF6" s="10"/>
      <c r="BG6" s="9"/>
      <c r="BH6" s="10"/>
      <c r="BI6" s="9"/>
      <c r="BJ6" s="9"/>
      <c r="BK6" s="9"/>
      <c r="BL6" s="9"/>
      <c r="BM6" s="9"/>
      <c r="BN6" s="8"/>
      <c r="BO6" s="10"/>
      <c r="BP6" s="9"/>
      <c r="BQ6" s="10"/>
      <c r="BR6" s="9"/>
      <c r="BS6" s="9"/>
      <c r="BT6" s="9"/>
      <c r="BU6" s="9"/>
      <c r="BV6" s="9"/>
      <c r="BW6" s="8"/>
      <c r="BX6" s="10"/>
      <c r="BY6" s="9"/>
      <c r="BZ6" s="10"/>
      <c r="CA6" s="9"/>
      <c r="CB6" s="9"/>
      <c r="CC6" s="9"/>
      <c r="CD6" s="9"/>
      <c r="CE6" s="9"/>
      <c r="CF6" s="8"/>
      <c r="CG6" s="10"/>
      <c r="CH6" s="9"/>
      <c r="CI6" s="10"/>
      <c r="CJ6" s="9"/>
      <c r="CK6" s="9"/>
      <c r="CL6" s="9"/>
      <c r="CM6" s="9"/>
      <c r="CN6" s="9"/>
      <c r="CO6" s="9"/>
    </row>
    <row r="7" spans="1:93" x14ac:dyDescent="0.35">
      <c r="A7" s="5">
        <v>2</v>
      </c>
      <c r="B7" s="57">
        <f t="shared" si="1"/>
        <v>1000</v>
      </c>
      <c r="C7" s="16">
        <f>ROUND(B7*(1+'Interest rate projection'!AB9/Var_freq)+IF(C$5="Mortgage Starts",0,Deposit_mon),2)</f>
        <v>2003.67</v>
      </c>
      <c r="D7" s="16">
        <f>ROUND(C7*(1+'Interest rate projection'!AC9/Var_freq)+IF(D$5="Mortgage Starts",0,Deposit_mon),2)</f>
        <v>3011.03</v>
      </c>
      <c r="E7" s="16">
        <f>ROUND(D7*(1+'Interest rate projection'!AD9/Var_freq)+IF(E$5="Mortgage Starts",0,Deposit_mon),2)</f>
        <v>4022.09</v>
      </c>
      <c r="F7" s="16">
        <f>ROUND(E7*(1+'Interest rate projection'!AE9/Var_freq)+IF(F$5="Mortgage Starts",0,Deposit_mon),2)</f>
        <v>5036.87</v>
      </c>
      <c r="G7" s="16">
        <f>ROUND(F7*(1+'Interest rate projection'!AF9/Var_freq)+IF(G$5="Mortgage Starts",0,Deposit_mon),2)</f>
        <v>6055.38</v>
      </c>
      <c r="H7" s="16">
        <f>ROUND(G7*(1+'Interest rate projection'!AG9/Var_freq)+IF(H$5="Mortgage Starts",0,Deposit_mon),2)</f>
        <v>7077.63</v>
      </c>
      <c r="I7" s="16">
        <f>ROUND(H7*(1+'Interest rate projection'!AH9/Var_freq)+IF(I$5="Mortgage Starts",0,Deposit_mon),2)</f>
        <v>8103.64</v>
      </c>
      <c r="J7" s="16">
        <f>ROUND(I7*(1+'Interest rate projection'!AI9/Var_freq)+IF(J$5="Mortgage Starts",0,Deposit_mon),2)</f>
        <v>9131.7999999999993</v>
      </c>
      <c r="K7" s="16">
        <f>ROUND(J7*(1+'Interest rate projection'!AJ9/Var_freq)+IF(K$5="Mortgage Starts",0,Deposit_mon),2)</f>
        <v>10163.530000000001</v>
      </c>
      <c r="L7" s="16">
        <f>ROUND(K7*(1+'Interest rate projection'!AK9/Var_freq)+IF(L$5="Mortgage Starts",0,Deposit_mon),2)</f>
        <v>11196.8</v>
      </c>
      <c r="M7" s="16">
        <f>ROUND(L7*(1+'Interest rate projection'!AL9/Var_freq)+IF(M$5="Mortgage Starts",0,Deposit_mon),2)</f>
        <v>12233.46</v>
      </c>
      <c r="N7" s="16">
        <f>ROUND(M7*(1+'Interest rate projection'!AM9/Var_freq)+IF(N$5="Mortgage Starts",0,Deposit_mon),2)</f>
        <v>13271.05</v>
      </c>
      <c r="O7" s="16">
        <f>ROUND(N7*(1+'Interest rate projection'!AN9/Var_freq)+IF(O$5="Mortgage Starts",0,Deposit_mon),2)</f>
        <v>14311.83</v>
      </c>
      <c r="P7" s="16">
        <f>ROUND(O7*(1+'Interest rate projection'!AO9/Var_freq)+IF(P$5="Mortgage Starts",0,Deposit_mon),2)</f>
        <v>15355.8</v>
      </c>
      <c r="Q7" s="16">
        <f>ROUND(P7*(1+'Interest rate projection'!AP9/Var_freq)+IF(Q$5="Mortgage Starts",0,Deposit_mon),2)</f>
        <v>16402.98</v>
      </c>
      <c r="R7" s="16">
        <f>ROUND(Q7*(1+'Interest rate projection'!AQ9/Var_freq)+IF(R$5="Mortgage Starts",0,Deposit_mon),2)</f>
        <v>17453.38</v>
      </c>
      <c r="S7" s="16">
        <f>ROUND(R7*(1+'Interest rate projection'!AR9/Var_freq)+IF(S$5="Mortgage Starts",0,Deposit_mon),2)</f>
        <v>18507.009999999998</v>
      </c>
      <c r="T7" s="16">
        <f>ROUND(S7*(1+'Interest rate projection'!AS9/Var_freq)+IF(T$5="Mortgage Starts",0,Deposit_mon),2)</f>
        <v>19563.87</v>
      </c>
      <c r="U7" s="16">
        <f>ROUND(T7*(1+'Interest rate projection'!AT9/Var_freq)+IF(U$5="Mortgage Starts",0,Deposit_mon),2)</f>
        <v>20623.98</v>
      </c>
      <c r="V7" s="16">
        <f>ROUND(U7*(1+'Interest rate projection'!AU9/Var_freq)+IF(V$5="Mortgage Starts",0,Deposit_mon),2)</f>
        <v>21687.35</v>
      </c>
      <c r="W7" s="16">
        <f>ROUND(V7*(1+'Interest rate projection'!AV9/Var_freq)+IF(W$5="Mortgage Starts",0,Deposit_mon),2)</f>
        <v>22753.99</v>
      </c>
      <c r="X7" s="16">
        <f>ROUND(W7*(1+'Interest rate projection'!AW9/Var_freq)+IF(X$5="Mortgage Starts",0,Deposit_mon),2)</f>
        <v>23823.9</v>
      </c>
      <c r="Y7" s="16">
        <f>ROUND(X7*(1+'Interest rate projection'!AX9/Var_freq)+IF(Y$5="Mortgage Starts",0,Deposit_mon),2)</f>
        <v>24897.1</v>
      </c>
      <c r="Z7" s="57">
        <f>ROUND(Y7*(1+'Interest rate projection'!AY9/Var_freq)+IF(Z$5="Mortgage Starts",0,Deposit_mon),2)</f>
        <v>24973.599999999999</v>
      </c>
      <c r="AA7" s="12"/>
      <c r="AB7" s="38">
        <f>'Interest rate projection'!Z9</f>
        <v>3.7499999999999992E-2</v>
      </c>
      <c r="AC7" s="38">
        <f>'Interest rate projection'!AZ9</f>
        <v>3.6870500439066589E-2</v>
      </c>
      <c r="AD7" s="59" t="str">
        <f t="shared" si="2"/>
        <v>OK</v>
      </c>
      <c r="AE7" s="39">
        <f t="shared" si="3"/>
        <v>16.317113717606386</v>
      </c>
      <c r="AF7" s="10"/>
      <c r="AG7" s="73">
        <f t="shared" ref="AG7:AG70" si="5">Z7</f>
        <v>24973.599999999999</v>
      </c>
      <c r="AH7" s="73">
        <f t="shared" ref="AH7:AH70" si="6">House_price-AG7</f>
        <v>175026.4</v>
      </c>
      <c r="AI7" s="74">
        <f t="shared" si="4"/>
        <v>893.88</v>
      </c>
      <c r="AJ7" s="9"/>
      <c r="AK7" s="73">
        <f>'Fixed rate projection'!$AE$3-('Variable rate projection'!AI7*Product_term*Var_freq)</f>
        <v>34905</v>
      </c>
      <c r="AM7" s="50" t="s">
        <v>68</v>
      </c>
      <c r="AN7" s="73">
        <f>MIN(AK6:AK205)</f>
        <v>-36771</v>
      </c>
      <c r="AO7" s="11"/>
      <c r="AP7" s="11"/>
      <c r="AQ7" s="11"/>
      <c r="AR7" s="12"/>
      <c r="AS7" s="12"/>
      <c r="AT7" s="13"/>
      <c r="AV7" s="14"/>
      <c r="AW7" s="10"/>
      <c r="AX7" s="11"/>
      <c r="AY7" s="11"/>
      <c r="AZ7" s="11"/>
      <c r="BA7" s="12"/>
      <c r="BB7" s="12"/>
      <c r="BC7" s="13"/>
      <c r="BE7" s="14"/>
      <c r="BF7" s="10"/>
      <c r="BG7" s="11"/>
      <c r="BH7" s="11"/>
      <c r="BI7" s="11"/>
      <c r="BJ7" s="12"/>
      <c r="BK7" s="12"/>
      <c r="BL7" s="13"/>
      <c r="BN7" s="14"/>
      <c r="BO7" s="10"/>
      <c r="BP7" s="11"/>
      <c r="BQ7" s="11"/>
      <c r="BR7" s="11"/>
      <c r="BS7" s="12"/>
      <c r="BT7" s="12"/>
      <c r="BU7" s="13"/>
      <c r="BW7" s="14"/>
      <c r="BX7" s="10"/>
      <c r="BY7" s="11"/>
      <c r="BZ7" s="11"/>
      <c r="CA7" s="11"/>
      <c r="CB7" s="12"/>
      <c r="CC7" s="12"/>
      <c r="CD7" s="13"/>
      <c r="CF7" s="14"/>
      <c r="CG7" s="10"/>
      <c r="CH7" s="11"/>
      <c r="CI7" s="11"/>
      <c r="CJ7" s="11"/>
      <c r="CK7" s="12"/>
      <c r="CL7" s="12"/>
      <c r="CM7" s="13"/>
      <c r="CO7" s="13"/>
    </row>
    <row r="8" spans="1:93" x14ac:dyDescent="0.35">
      <c r="A8" s="27">
        <v>3</v>
      </c>
      <c r="B8" s="57">
        <f t="shared" si="1"/>
        <v>1000</v>
      </c>
      <c r="C8" s="16">
        <f>ROUND(B8*(1+'Interest rate projection'!AB10/Var_freq)+IF(C$5="Mortgage Starts",0,Deposit_mon),2)</f>
        <v>2003.67</v>
      </c>
      <c r="D8" s="16">
        <f>ROUND(C8*(1+'Interest rate projection'!AC10/Var_freq)+IF(D$5="Mortgage Starts",0,Deposit_mon),2)</f>
        <v>3011.03</v>
      </c>
      <c r="E8" s="16">
        <f>ROUND(D8*(1+'Interest rate projection'!AD10/Var_freq)+IF(E$5="Mortgage Starts",0,Deposit_mon),2)</f>
        <v>4022.09</v>
      </c>
      <c r="F8" s="16">
        <f>ROUND(E8*(1+'Interest rate projection'!AE10/Var_freq)+IF(F$5="Mortgage Starts",0,Deposit_mon),2)</f>
        <v>5036.87</v>
      </c>
      <c r="G8" s="16">
        <f>ROUND(F8*(1+'Interest rate projection'!AF10/Var_freq)+IF(G$5="Mortgage Starts",0,Deposit_mon),2)</f>
        <v>6055.38</v>
      </c>
      <c r="H8" s="16">
        <f>ROUND(G8*(1+'Interest rate projection'!AG10/Var_freq)+IF(H$5="Mortgage Starts",0,Deposit_mon),2)</f>
        <v>7077.63</v>
      </c>
      <c r="I8" s="16">
        <f>ROUND(H8*(1+'Interest rate projection'!AH10/Var_freq)+IF(I$5="Mortgage Starts",0,Deposit_mon),2)</f>
        <v>8103.64</v>
      </c>
      <c r="J8" s="16">
        <f>ROUND(I8*(1+'Interest rate projection'!AI10/Var_freq)+IF(J$5="Mortgage Starts",0,Deposit_mon),2)</f>
        <v>9133.42</v>
      </c>
      <c r="K8" s="16">
        <f>ROUND(J8*(1+'Interest rate projection'!AJ10/Var_freq)+IF(K$5="Mortgage Starts",0,Deposit_mon),2)</f>
        <v>10166.98</v>
      </c>
      <c r="L8" s="16">
        <f>ROUND(K8*(1+'Interest rate projection'!AK10/Var_freq)+IF(L$5="Mortgage Starts",0,Deposit_mon),2)</f>
        <v>11204.34</v>
      </c>
      <c r="M8" s="16">
        <f>ROUND(L8*(1+'Interest rate projection'!AL10/Var_freq)+IF(M$5="Mortgage Starts",0,Deposit_mon),2)</f>
        <v>12245.51</v>
      </c>
      <c r="N8" s="16">
        <f>ROUND(M8*(1+'Interest rate projection'!AM10/Var_freq)+IF(N$5="Mortgage Starts",0,Deposit_mon),2)</f>
        <v>13290.51</v>
      </c>
      <c r="O8" s="16">
        <f>ROUND(N8*(1+'Interest rate projection'!AN10/Var_freq)+IF(O$5="Mortgage Starts",0,Deposit_mon),2)</f>
        <v>14339.35</v>
      </c>
      <c r="P8" s="16">
        <f>ROUND(O8*(1+'Interest rate projection'!AO10/Var_freq)+IF(P$5="Mortgage Starts",0,Deposit_mon),2)</f>
        <v>15389.17</v>
      </c>
      <c r="Q8" s="16">
        <f>ROUND(P8*(1+'Interest rate projection'!AP10/Var_freq)+IF(Q$5="Mortgage Starts",0,Deposit_mon),2)</f>
        <v>16445.72</v>
      </c>
      <c r="R8" s="16">
        <f>ROUND(Q8*(1+'Interest rate projection'!AQ10/Var_freq)+IF(R$5="Mortgage Starts",0,Deposit_mon),2)</f>
        <v>17506.150000000001</v>
      </c>
      <c r="S8" s="16">
        <f>ROUND(R8*(1+'Interest rate projection'!AR10/Var_freq)+IF(S$5="Mortgage Starts",0,Deposit_mon),2)</f>
        <v>18570.48</v>
      </c>
      <c r="T8" s="16">
        <f>ROUND(S8*(1+'Interest rate projection'!AS10/Var_freq)+IF(T$5="Mortgage Starts",0,Deposit_mon),2)</f>
        <v>19631.27</v>
      </c>
      <c r="U8" s="16">
        <f>ROUND(T8*(1+'Interest rate projection'!AT10/Var_freq)+IF(U$5="Mortgage Starts",0,Deposit_mon),2)</f>
        <v>20695.54</v>
      </c>
      <c r="V8" s="16">
        <f>ROUND(U8*(1+'Interest rate projection'!AU10/Var_freq)+IF(V$5="Mortgage Starts",0,Deposit_mon),2)</f>
        <v>21763.29</v>
      </c>
      <c r="W8" s="16">
        <f>ROUND(V8*(1+'Interest rate projection'!AV10/Var_freq)+IF(W$5="Mortgage Starts",0,Deposit_mon),2)</f>
        <v>22834.54</v>
      </c>
      <c r="X8" s="16">
        <f>ROUND(W8*(1+'Interest rate projection'!AW10/Var_freq)+IF(X$5="Mortgage Starts",0,Deposit_mon),2)</f>
        <v>23909.29</v>
      </c>
      <c r="Y8" s="16">
        <f>ROUND(X8*(1+'Interest rate projection'!AX10/Var_freq)+IF(Y$5="Mortgage Starts",0,Deposit_mon),2)</f>
        <v>24987.56</v>
      </c>
      <c r="Z8" s="57">
        <f>ROUND(Y8*(1+'Interest rate projection'!AY10/Var_freq)+IF(Z$5="Mortgage Starts",0,Deposit_mon),2)</f>
        <v>25069.360000000001</v>
      </c>
      <c r="AA8" s="12"/>
      <c r="AB8" s="38">
        <f>'Interest rate projection'!Z10</f>
        <v>0.04</v>
      </c>
      <c r="AC8" s="38">
        <f>'Interest rate projection'!AZ10</f>
        <v>3.9284877386386974E-2</v>
      </c>
      <c r="AD8" s="59" t="str">
        <f t="shared" si="2"/>
        <v>OK</v>
      </c>
      <c r="AE8" s="39">
        <f t="shared" si="3"/>
        <v>15.906456614335044</v>
      </c>
      <c r="AF8" s="10"/>
      <c r="AG8" s="73">
        <f t="shared" si="5"/>
        <v>25069.360000000001</v>
      </c>
      <c r="AH8" s="73">
        <f t="shared" si="6"/>
        <v>174930.64</v>
      </c>
      <c r="AI8" s="74">
        <f t="shared" si="4"/>
        <v>916.46</v>
      </c>
      <c r="AJ8" s="9"/>
      <c r="AK8" s="73">
        <f>'Fixed rate projection'!$AE$3-('Variable rate projection'!AI8*Product_term*Var_freq)</f>
        <v>28131</v>
      </c>
      <c r="AM8" s="50" t="s">
        <v>67</v>
      </c>
      <c r="AN8" s="73">
        <f>MAX(AK6:AK205)</f>
        <v>74556</v>
      </c>
      <c r="AO8" s="11"/>
      <c r="AP8" s="11"/>
      <c r="AQ8" s="11"/>
      <c r="AR8" s="12"/>
      <c r="AS8" s="12"/>
      <c r="AT8" s="13"/>
      <c r="AV8" s="14"/>
      <c r="AW8" s="10"/>
      <c r="AX8" s="11"/>
      <c r="AY8" s="11"/>
      <c r="AZ8" s="11"/>
      <c r="BA8" s="12"/>
      <c r="BB8" s="12"/>
      <c r="BC8" s="13"/>
      <c r="BE8" s="14"/>
      <c r="BF8" s="10"/>
      <c r="BG8" s="11"/>
      <c r="BH8" s="11"/>
      <c r="BI8" s="11"/>
      <c r="BJ8" s="12"/>
      <c r="BK8" s="12"/>
      <c r="BL8" s="13"/>
      <c r="BN8" s="14"/>
      <c r="BO8" s="10"/>
      <c r="BP8" s="11"/>
      <c r="BQ8" s="11"/>
      <c r="BR8" s="11"/>
      <c r="BS8" s="12"/>
      <c r="BT8" s="12"/>
      <c r="BU8" s="13"/>
      <c r="BW8" s="14"/>
      <c r="BX8" s="10"/>
      <c r="BY8" s="11"/>
      <c r="BZ8" s="11"/>
      <c r="CA8" s="11"/>
      <c r="CB8" s="12"/>
      <c r="CC8" s="12"/>
      <c r="CD8" s="13"/>
      <c r="CF8" s="14"/>
      <c r="CG8" s="10"/>
      <c r="CH8" s="11"/>
      <c r="CI8" s="11"/>
      <c r="CJ8" s="11"/>
      <c r="CK8" s="12"/>
      <c r="CL8" s="12"/>
      <c r="CM8" s="13"/>
      <c r="CO8" s="13"/>
    </row>
    <row r="9" spans="1:93" x14ac:dyDescent="0.35">
      <c r="A9" s="5">
        <v>4</v>
      </c>
      <c r="B9" s="57">
        <f t="shared" si="1"/>
        <v>1000</v>
      </c>
      <c r="C9" s="16">
        <f>ROUND(B9*(1+'Interest rate projection'!AB11/Var_freq)+IF(C$5="Mortgage Starts",0,Deposit_mon),2)</f>
        <v>2003.67</v>
      </c>
      <c r="D9" s="16">
        <f>ROUND(C9*(1+'Interest rate projection'!AC11/Var_freq)+IF(D$5="Mortgage Starts",0,Deposit_mon),2)</f>
        <v>3011.03</v>
      </c>
      <c r="E9" s="16">
        <f>ROUND(D9*(1+'Interest rate projection'!AD11/Var_freq)+IF(E$5="Mortgage Starts",0,Deposit_mon),2)</f>
        <v>4022.09</v>
      </c>
      <c r="F9" s="16">
        <f>ROUND(E9*(1+'Interest rate projection'!AE11/Var_freq)+IF(F$5="Mortgage Starts",0,Deposit_mon),2)</f>
        <v>5036.87</v>
      </c>
      <c r="G9" s="16">
        <f>ROUND(F9*(1+'Interest rate projection'!AF11/Var_freq)+IF(G$5="Mortgage Starts",0,Deposit_mon),2)</f>
        <v>6055.38</v>
      </c>
      <c r="H9" s="16">
        <f>ROUND(G9*(1+'Interest rate projection'!AG11/Var_freq)+IF(H$5="Mortgage Starts",0,Deposit_mon),2)</f>
        <v>7077.63</v>
      </c>
      <c r="I9" s="16">
        <f>ROUND(H9*(1+'Interest rate projection'!AH11/Var_freq)+IF(I$5="Mortgage Starts",0,Deposit_mon),2)</f>
        <v>8103.64</v>
      </c>
      <c r="J9" s="16">
        <f>ROUND(I9*(1+'Interest rate projection'!AI11/Var_freq)+IF(J$5="Mortgage Starts",0,Deposit_mon),2)</f>
        <v>9133.42</v>
      </c>
      <c r="K9" s="16">
        <f>ROUND(J9*(1+'Interest rate projection'!AJ11/Var_freq)+IF(K$5="Mortgage Starts",0,Deposit_mon),2)</f>
        <v>10170.629999999999</v>
      </c>
      <c r="L9" s="16">
        <f>ROUND(K9*(1+'Interest rate projection'!AK11/Var_freq)+IF(L$5="Mortgage Starts",0,Deposit_mon),2)</f>
        <v>11214.09</v>
      </c>
      <c r="M9" s="16">
        <f>ROUND(L9*(1+'Interest rate projection'!AL11/Var_freq)+IF(M$5="Mortgage Starts",0,Deposit_mon),2)</f>
        <v>12262.01</v>
      </c>
      <c r="N9" s="16">
        <f>ROUND(M9*(1+'Interest rate projection'!AM11/Var_freq)+IF(N$5="Mortgage Starts",0,Deposit_mon),2)</f>
        <v>13314.41</v>
      </c>
      <c r="O9" s="16">
        <f>ROUND(N9*(1+'Interest rate projection'!AN11/Var_freq)+IF(O$5="Mortgage Starts",0,Deposit_mon),2)</f>
        <v>14371.3</v>
      </c>
      <c r="P9" s="16">
        <f>ROUND(O9*(1+'Interest rate projection'!AO11/Var_freq)+IF(P$5="Mortgage Starts",0,Deposit_mon),2)</f>
        <v>15432.71</v>
      </c>
      <c r="Q9" s="16">
        <f>ROUND(P9*(1+'Interest rate projection'!AP11/Var_freq)+IF(Q$5="Mortgage Starts",0,Deposit_mon),2)</f>
        <v>16498.66</v>
      </c>
      <c r="R9" s="16">
        <f>ROUND(Q9*(1+'Interest rate projection'!AQ11/Var_freq)+IF(R$5="Mortgage Starts",0,Deposit_mon),2)</f>
        <v>17569.16</v>
      </c>
      <c r="S9" s="16">
        <f>ROUND(R9*(1+'Interest rate projection'!AR11/Var_freq)+IF(S$5="Mortgage Starts",0,Deposit_mon),2)</f>
        <v>18644.240000000002</v>
      </c>
      <c r="T9" s="16">
        <f>ROUND(S9*(1+'Interest rate projection'!AS11/Var_freq)+IF(T$5="Mortgage Starts",0,Deposit_mon),2)</f>
        <v>19720.2</v>
      </c>
      <c r="U9" s="16">
        <f>ROUND(T9*(1+'Interest rate projection'!AT11/Var_freq)+IF(U$5="Mortgage Starts",0,Deposit_mon),2)</f>
        <v>20800.54</v>
      </c>
      <c r="V9" s="16">
        <f>ROUND(U9*(1+'Interest rate projection'!AU11/Var_freq)+IF(V$5="Mortgage Starts",0,Deposit_mon),2)</f>
        <v>21885.279999999999</v>
      </c>
      <c r="W9" s="16">
        <f>ROUND(V9*(1+'Interest rate projection'!AV11/Var_freq)+IF(W$5="Mortgage Starts",0,Deposit_mon),2)</f>
        <v>22965.7</v>
      </c>
      <c r="X9" s="16">
        <f>ROUND(W9*(1+'Interest rate projection'!AW11/Var_freq)+IF(X$5="Mortgage Starts",0,Deposit_mon),2)</f>
        <v>24050.09</v>
      </c>
      <c r="Y9" s="16">
        <f>ROUND(X9*(1+'Interest rate projection'!AX11/Var_freq)+IF(Y$5="Mortgage Starts",0,Deposit_mon),2)</f>
        <v>25138.47</v>
      </c>
      <c r="Z9" s="57">
        <f>ROUND(Y9*(1+'Interest rate projection'!AY11/Var_freq)+IF(Z$5="Mortgage Starts",0,Deposit_mon),2)</f>
        <v>25230.85</v>
      </c>
      <c r="AA9" s="12"/>
      <c r="AB9" s="38">
        <f>'Interest rate projection'!Z11</f>
        <v>0.04</v>
      </c>
      <c r="AC9" s="38">
        <f>'Interest rate projection'!AZ11</f>
        <v>3.9284877386386974E-2</v>
      </c>
      <c r="AD9" s="59" t="str">
        <f t="shared" si="2"/>
        <v>OK</v>
      </c>
      <c r="AE9" s="39">
        <f t="shared" si="3"/>
        <v>15.906456614335044</v>
      </c>
      <c r="AF9" s="10"/>
      <c r="AG9" s="73">
        <f t="shared" si="5"/>
        <v>25230.85</v>
      </c>
      <c r="AH9" s="73">
        <f t="shared" si="6"/>
        <v>174769.15</v>
      </c>
      <c r="AI9" s="74">
        <f t="shared" si="4"/>
        <v>915.61</v>
      </c>
      <c r="AJ9" s="9"/>
      <c r="AK9" s="73">
        <f>'Fixed rate projection'!$AE$3-('Variable rate projection'!AI9*Product_term*Var_freq)</f>
        <v>28386</v>
      </c>
      <c r="AM9" s="50" t="s">
        <v>17</v>
      </c>
      <c r="AN9" s="73">
        <f>AVERAGE(AK6:AK205)</f>
        <v>13445.985000000001</v>
      </c>
      <c r="AO9" s="11"/>
      <c r="AP9" s="11"/>
      <c r="AQ9" s="11"/>
      <c r="AR9" s="12"/>
      <c r="AS9" s="12"/>
      <c r="AT9" s="13"/>
      <c r="AV9" s="14"/>
      <c r="AW9" s="10"/>
      <c r="AX9" s="11"/>
      <c r="AY9" s="11"/>
      <c r="AZ9" s="11"/>
      <c r="BA9" s="12"/>
      <c r="BB9" s="12"/>
      <c r="BC9" s="13"/>
      <c r="BE9" s="14"/>
      <c r="BF9" s="10"/>
      <c r="BG9" s="11"/>
      <c r="BH9" s="11"/>
      <c r="BI9" s="11"/>
      <c r="BJ9" s="12"/>
      <c r="BK9" s="12"/>
      <c r="BL9" s="13"/>
      <c r="BN9" s="14"/>
      <c r="BO9" s="10"/>
      <c r="BP9" s="11"/>
      <c r="BQ9" s="11"/>
      <c r="BR9" s="11"/>
      <c r="BS9" s="12"/>
      <c r="BT9" s="12"/>
      <c r="BU9" s="13"/>
      <c r="BW9" s="14"/>
      <c r="BX9" s="10"/>
      <c r="BY9" s="11"/>
      <c r="BZ9" s="11"/>
      <c r="CA9" s="11"/>
      <c r="CB9" s="12"/>
      <c r="CC9" s="12"/>
      <c r="CD9" s="13"/>
      <c r="CF9" s="14"/>
      <c r="CG9" s="10"/>
      <c r="CH9" s="11"/>
      <c r="CI9" s="11"/>
      <c r="CJ9" s="11"/>
      <c r="CK9" s="12"/>
      <c r="CL9" s="12"/>
      <c r="CM9" s="13"/>
      <c r="CO9" s="13"/>
    </row>
    <row r="10" spans="1:93" x14ac:dyDescent="0.35">
      <c r="A10" s="27">
        <v>5</v>
      </c>
      <c r="B10" s="57">
        <f t="shared" si="1"/>
        <v>1000</v>
      </c>
      <c r="C10" s="16">
        <f>ROUND(B10*(1+'Interest rate projection'!AB12/Var_freq)+IF(C$5="Mortgage Starts",0,Deposit_mon),2)</f>
        <v>2003.67</v>
      </c>
      <c r="D10" s="16">
        <f>ROUND(C10*(1+'Interest rate projection'!AC12/Var_freq)+IF(D$5="Mortgage Starts",0,Deposit_mon),2)</f>
        <v>3011.03</v>
      </c>
      <c r="E10" s="16">
        <f>ROUND(D10*(1+'Interest rate projection'!AD12/Var_freq)+IF(E$5="Mortgage Starts",0,Deposit_mon),2)</f>
        <v>4022.09</v>
      </c>
      <c r="F10" s="16">
        <f>ROUND(E10*(1+'Interest rate projection'!AE12/Var_freq)+IF(F$5="Mortgage Starts",0,Deposit_mon),2)</f>
        <v>5036.0600000000004</v>
      </c>
      <c r="G10" s="16">
        <f>ROUND(F10*(1+'Interest rate projection'!AF12/Var_freq)+IF(G$5="Mortgage Starts",0,Deposit_mon),2)</f>
        <v>6053.56</v>
      </c>
      <c r="H10" s="16">
        <f>ROUND(G10*(1+'Interest rate projection'!AG12/Var_freq)+IF(H$5="Mortgage Starts",0,Deposit_mon),2)</f>
        <v>7074.59</v>
      </c>
      <c r="I10" s="16">
        <f>ROUND(H10*(1+'Interest rate projection'!AH12/Var_freq)+IF(I$5="Mortgage Starts",0,Deposit_mon),2)</f>
        <v>8099.17</v>
      </c>
      <c r="J10" s="16">
        <f>ROUND(I10*(1+'Interest rate projection'!AI12/Var_freq)+IF(J$5="Mortgage Starts",0,Deposit_mon),2)</f>
        <v>9127.31</v>
      </c>
      <c r="K10" s="16">
        <f>ROUND(J10*(1+'Interest rate projection'!AJ12/Var_freq)+IF(K$5="Mortgage Starts",0,Deposit_mon),2)</f>
        <v>10159.02</v>
      </c>
      <c r="L10" s="16">
        <f>ROUND(K10*(1+'Interest rate projection'!AK12/Var_freq)+IF(L$5="Mortgage Starts",0,Deposit_mon),2)</f>
        <v>11194.32</v>
      </c>
      <c r="M10" s="16">
        <f>ROUND(L10*(1+'Interest rate projection'!AL12/Var_freq)+IF(M$5="Mortgage Starts",0,Deposit_mon),2)</f>
        <v>12233.21</v>
      </c>
      <c r="N10" s="16">
        <f>ROUND(M10*(1+'Interest rate projection'!AM12/Var_freq)+IF(N$5="Mortgage Starts",0,Deposit_mon),2)</f>
        <v>13275.71</v>
      </c>
      <c r="O10" s="16">
        <f>ROUND(N10*(1+'Interest rate projection'!AN12/Var_freq)+IF(O$5="Mortgage Starts",0,Deposit_mon),2)</f>
        <v>14316.5</v>
      </c>
      <c r="P10" s="16">
        <f>ROUND(O10*(1+'Interest rate projection'!AO12/Var_freq)+IF(P$5="Mortgage Starts",0,Deposit_mon),2)</f>
        <v>15360.49</v>
      </c>
      <c r="Q10" s="16">
        <f>ROUND(P10*(1+'Interest rate projection'!AP12/Var_freq)+IF(Q$5="Mortgage Starts",0,Deposit_mon),2)</f>
        <v>16407.689999999999</v>
      </c>
      <c r="R10" s="16">
        <f>ROUND(Q10*(1+'Interest rate projection'!AQ12/Var_freq)+IF(R$5="Mortgage Starts",0,Deposit_mon),2)</f>
        <v>17458.099999999999</v>
      </c>
      <c r="S10" s="16">
        <f>ROUND(R10*(1+'Interest rate projection'!AR12/Var_freq)+IF(S$5="Mortgage Starts",0,Deposit_mon),2)</f>
        <v>18511.740000000002</v>
      </c>
      <c r="T10" s="16">
        <f>ROUND(S10*(1+'Interest rate projection'!AS12/Var_freq)+IF(T$5="Mortgage Starts",0,Deposit_mon),2)</f>
        <v>19568.62</v>
      </c>
      <c r="U10" s="16">
        <f>ROUND(T10*(1+'Interest rate projection'!AT12/Var_freq)+IF(U$5="Mortgage Starts",0,Deposit_mon),2)</f>
        <v>20628.75</v>
      </c>
      <c r="V10" s="16">
        <f>ROUND(U10*(1+'Interest rate projection'!AU12/Var_freq)+IF(V$5="Mortgage Starts",0,Deposit_mon),2)</f>
        <v>21692.13</v>
      </c>
      <c r="W10" s="16">
        <f>ROUND(V10*(1+'Interest rate projection'!AV12/Var_freq)+IF(W$5="Mortgage Starts",0,Deposit_mon),2)</f>
        <v>22758.78</v>
      </c>
      <c r="X10" s="16">
        <f>ROUND(W10*(1+'Interest rate projection'!AW12/Var_freq)+IF(X$5="Mortgage Starts",0,Deposit_mon),2)</f>
        <v>23824.12</v>
      </c>
      <c r="Y10" s="16">
        <f>ROUND(X10*(1+'Interest rate projection'!AX12/Var_freq)+IF(Y$5="Mortgage Starts",0,Deposit_mon),2)</f>
        <v>24892.52</v>
      </c>
      <c r="Z10" s="57">
        <f>ROUND(Y10*(1+'Interest rate projection'!AY12/Var_freq)+IF(Z$5="Mortgage Starts",0,Deposit_mon),2)</f>
        <v>24963.98</v>
      </c>
      <c r="AA10" s="12"/>
      <c r="AB10" s="38">
        <f>'Interest rate projection'!Z12</f>
        <v>3.4999999999999996E-2</v>
      </c>
      <c r="AC10" s="38">
        <f>'Interest rate projection'!AZ12</f>
        <v>3.4450784628919706E-2</v>
      </c>
      <c r="AD10" s="59" t="str">
        <f t="shared" si="2"/>
        <v>OK</v>
      </c>
      <c r="AE10" s="39">
        <f t="shared" si="3"/>
        <v>16.744263358395965</v>
      </c>
      <c r="AF10" s="10"/>
      <c r="AG10" s="73">
        <f t="shared" si="5"/>
        <v>24963.98</v>
      </c>
      <c r="AH10" s="73">
        <f t="shared" si="6"/>
        <v>175036.02</v>
      </c>
      <c r="AI10" s="74">
        <f t="shared" si="4"/>
        <v>871.12</v>
      </c>
      <c r="AJ10" s="9"/>
      <c r="AK10" s="73">
        <f>'Fixed rate projection'!$AE$3-('Variable rate projection'!AI10*Product_term*Var_freq)</f>
        <v>41733</v>
      </c>
      <c r="AM10" s="14"/>
      <c r="AN10" s="10"/>
      <c r="AO10" s="11"/>
      <c r="AP10" s="11"/>
      <c r="AQ10" s="11"/>
      <c r="AR10" s="12"/>
      <c r="AS10" s="12"/>
      <c r="AT10" s="13"/>
      <c r="AV10" s="14"/>
      <c r="AW10" s="10"/>
      <c r="AX10" s="11"/>
      <c r="AY10" s="11"/>
      <c r="AZ10" s="11"/>
      <c r="BA10" s="12"/>
      <c r="BB10" s="12"/>
      <c r="BC10" s="13"/>
      <c r="BE10" s="14"/>
      <c r="BF10" s="10"/>
      <c r="BG10" s="11"/>
      <c r="BH10" s="11"/>
      <c r="BI10" s="11"/>
      <c r="BJ10" s="12"/>
      <c r="BK10" s="12"/>
      <c r="BL10" s="13"/>
      <c r="BN10" s="14"/>
      <c r="BO10" s="10"/>
      <c r="BP10" s="11"/>
      <c r="BQ10" s="11"/>
      <c r="BR10" s="11"/>
      <c r="BS10" s="12"/>
      <c r="BT10" s="12"/>
      <c r="BU10" s="13"/>
      <c r="BW10" s="14"/>
      <c r="BX10" s="10"/>
      <c r="BY10" s="11"/>
      <c r="BZ10" s="11"/>
      <c r="CA10" s="11"/>
      <c r="CB10" s="12"/>
      <c r="CC10" s="12"/>
      <c r="CD10" s="13"/>
      <c r="CF10" s="14"/>
      <c r="CG10" s="10"/>
      <c r="CH10" s="11"/>
      <c r="CI10" s="11"/>
      <c r="CJ10" s="11"/>
      <c r="CK10" s="12"/>
      <c r="CL10" s="12"/>
      <c r="CM10" s="13"/>
      <c r="CO10" s="13"/>
    </row>
    <row r="11" spans="1:93" x14ac:dyDescent="0.35">
      <c r="A11" s="5">
        <v>6</v>
      </c>
      <c r="B11" s="57">
        <f t="shared" si="1"/>
        <v>1000</v>
      </c>
      <c r="C11" s="16">
        <f>ROUND(B11*(1+'Interest rate projection'!AB13/Var_freq)+IF(C$5="Mortgage Starts",0,Deposit_mon),2)</f>
        <v>2003.67</v>
      </c>
      <c r="D11" s="16">
        <f>ROUND(C11*(1+'Interest rate projection'!AC13/Var_freq)+IF(D$5="Mortgage Starts",0,Deposit_mon),2)</f>
        <v>3011.03</v>
      </c>
      <c r="E11" s="16">
        <f>ROUND(D11*(1+'Interest rate projection'!AD13/Var_freq)+IF(E$5="Mortgage Starts",0,Deposit_mon),2)</f>
        <v>4022.09</v>
      </c>
      <c r="F11" s="16">
        <f>ROUND(E11*(1+'Interest rate projection'!AE13/Var_freq)+IF(F$5="Mortgage Starts",0,Deposit_mon),2)</f>
        <v>5036.87</v>
      </c>
      <c r="G11" s="16">
        <f>ROUND(F11*(1+'Interest rate projection'!AF13/Var_freq)+IF(G$5="Mortgage Starts",0,Deposit_mon),2)</f>
        <v>6055.38</v>
      </c>
      <c r="H11" s="16">
        <f>ROUND(G11*(1+'Interest rate projection'!AG13/Var_freq)+IF(H$5="Mortgage Starts",0,Deposit_mon),2)</f>
        <v>7077.63</v>
      </c>
      <c r="I11" s="16">
        <f>ROUND(H11*(1+'Interest rate projection'!AH13/Var_freq)+IF(I$5="Mortgage Starts",0,Deposit_mon),2)</f>
        <v>8103.64</v>
      </c>
      <c r="J11" s="16">
        <f>ROUND(I11*(1+'Interest rate projection'!AI13/Var_freq)+IF(J$5="Mortgage Starts",0,Deposit_mon),2)</f>
        <v>9133.42</v>
      </c>
      <c r="K11" s="16">
        <f>ROUND(J11*(1+'Interest rate projection'!AJ13/Var_freq)+IF(K$5="Mortgage Starts",0,Deposit_mon),2)</f>
        <v>10166.98</v>
      </c>
      <c r="L11" s="16">
        <f>ROUND(K11*(1+'Interest rate projection'!AK13/Var_freq)+IF(L$5="Mortgage Starts",0,Deposit_mon),2)</f>
        <v>11204.34</v>
      </c>
      <c r="M11" s="16">
        <f>ROUND(L11*(1+'Interest rate projection'!AL13/Var_freq)+IF(M$5="Mortgage Starts",0,Deposit_mon),2)</f>
        <v>12243.27</v>
      </c>
      <c r="N11" s="16">
        <f>ROUND(M11*(1+'Interest rate projection'!AM13/Var_freq)+IF(N$5="Mortgage Starts",0,Deposit_mon),2)</f>
        <v>13285.81</v>
      </c>
      <c r="O11" s="16">
        <f>ROUND(N11*(1+'Interest rate projection'!AN13/Var_freq)+IF(O$5="Mortgage Starts",0,Deposit_mon),2)</f>
        <v>14331.97</v>
      </c>
      <c r="P11" s="16">
        <f>ROUND(O11*(1+'Interest rate projection'!AO13/Var_freq)+IF(P$5="Mortgage Starts",0,Deposit_mon),2)</f>
        <v>15381.77</v>
      </c>
      <c r="Q11" s="16">
        <f>ROUND(P11*(1+'Interest rate projection'!AP13/Var_freq)+IF(Q$5="Mortgage Starts",0,Deposit_mon),2)</f>
        <v>16435.21</v>
      </c>
      <c r="R11" s="16">
        <f>ROUND(Q11*(1+'Interest rate projection'!AQ13/Var_freq)+IF(R$5="Mortgage Starts",0,Deposit_mon),2)</f>
        <v>17492.310000000001</v>
      </c>
      <c r="S11" s="16">
        <f>ROUND(R11*(1+'Interest rate projection'!AR13/Var_freq)+IF(S$5="Mortgage Starts",0,Deposit_mon),2)</f>
        <v>18553.09</v>
      </c>
      <c r="T11" s="16">
        <f>ROUND(S11*(1+'Interest rate projection'!AS13/Var_freq)+IF(T$5="Mortgage Starts",0,Deposit_mon),2)</f>
        <v>19617.55</v>
      </c>
      <c r="U11" s="16">
        <f>ROUND(T11*(1+'Interest rate projection'!AT13/Var_freq)+IF(U$5="Mortgage Starts",0,Deposit_mon),2)</f>
        <v>20685.71</v>
      </c>
      <c r="V11" s="16">
        <f>ROUND(U11*(1+'Interest rate projection'!AU13/Var_freq)+IF(V$5="Mortgage Starts",0,Deposit_mon),2)</f>
        <v>21761.73</v>
      </c>
      <c r="W11" s="16">
        <f>ROUND(V11*(1+'Interest rate projection'!AV13/Var_freq)+IF(W$5="Mortgage Starts",0,Deposit_mon),2)</f>
        <v>22841.7</v>
      </c>
      <c r="X11" s="16">
        <f>ROUND(W11*(1+'Interest rate projection'!AW13/Var_freq)+IF(X$5="Mortgage Starts",0,Deposit_mon),2)</f>
        <v>23925.64</v>
      </c>
      <c r="Y11" s="16">
        <f>ROUND(X11*(1+'Interest rate projection'!AX13/Var_freq)+IF(Y$5="Mortgage Starts",0,Deposit_mon),2)</f>
        <v>25013.56</v>
      </c>
      <c r="Z11" s="57">
        <f>ROUND(Y11*(1+'Interest rate projection'!AY13/Var_freq)+IF(Z$5="Mortgage Starts",0,Deposit_mon),2)</f>
        <v>25105.48</v>
      </c>
      <c r="AA11" s="12"/>
      <c r="AB11" s="38">
        <f>'Interest rate projection'!Z13</f>
        <v>4.4999999999999998E-2</v>
      </c>
      <c r="AC11" s="38">
        <f>'Interest rate projection'!AZ13</f>
        <v>4.4097712805242217E-2</v>
      </c>
      <c r="AD11" s="59" t="str">
        <f t="shared" si="2"/>
        <v>OK</v>
      </c>
      <c r="AE11" s="39">
        <f t="shared" si="3"/>
        <v>15.131610255367837</v>
      </c>
      <c r="AF11" s="10"/>
      <c r="AG11" s="73">
        <f t="shared" si="5"/>
        <v>25105.48</v>
      </c>
      <c r="AH11" s="73">
        <f t="shared" si="6"/>
        <v>174894.52</v>
      </c>
      <c r="AI11" s="74">
        <f t="shared" si="4"/>
        <v>963.19</v>
      </c>
      <c r="AJ11" s="9"/>
      <c r="AK11" s="73">
        <f>'Fixed rate projection'!$AE$3-('Variable rate projection'!AI11*Product_term*Var_freq)</f>
        <v>14112</v>
      </c>
      <c r="AM11" s="14" t="s">
        <v>70</v>
      </c>
      <c r="AN11" s="12">
        <f>COUNTIF(AK6:AK205,"&lt;0")/COUNT(AK6:AK205)</f>
        <v>0.255</v>
      </c>
      <c r="AO11" s="11"/>
      <c r="AP11" s="11"/>
      <c r="AQ11" s="11"/>
      <c r="AR11" s="12"/>
      <c r="AS11" s="12"/>
      <c r="AT11" s="13"/>
      <c r="AV11" s="14"/>
      <c r="AW11" s="10"/>
      <c r="AX11" s="11"/>
      <c r="AY11" s="11"/>
      <c r="AZ11" s="11"/>
      <c r="BA11" s="12"/>
      <c r="BB11" s="12"/>
      <c r="BC11" s="13"/>
      <c r="BE11" s="14"/>
      <c r="BF11" s="10"/>
      <c r="BG11" s="11"/>
      <c r="BH11" s="11"/>
      <c r="BI11" s="11"/>
      <c r="BJ11" s="12"/>
      <c r="BK11" s="12"/>
      <c r="BL11" s="13"/>
      <c r="BN11" s="14"/>
      <c r="BO11" s="10"/>
      <c r="BP11" s="11"/>
      <c r="BQ11" s="11"/>
      <c r="BR11" s="11"/>
      <c r="BS11" s="12"/>
      <c r="BT11" s="12"/>
      <c r="BU11" s="13"/>
      <c r="BW11" s="14"/>
      <c r="BX11" s="10"/>
      <c r="BY11" s="11"/>
      <c r="BZ11" s="11"/>
      <c r="CA11" s="11"/>
      <c r="CB11" s="12"/>
      <c r="CC11" s="12"/>
      <c r="CD11" s="13"/>
      <c r="CF11" s="14"/>
      <c r="CG11" s="10"/>
      <c r="CH11" s="11"/>
      <c r="CI11" s="11"/>
      <c r="CJ11" s="11"/>
      <c r="CK11" s="12"/>
      <c r="CL11" s="12"/>
      <c r="CM11" s="13"/>
      <c r="CO11" s="13"/>
    </row>
    <row r="12" spans="1:93" x14ac:dyDescent="0.35">
      <c r="A12" s="27">
        <v>7</v>
      </c>
      <c r="B12" s="57">
        <f t="shared" si="1"/>
        <v>1000</v>
      </c>
      <c r="C12" s="16">
        <f>ROUND(B12*(1+'Interest rate projection'!AB14/Var_freq)+IF(C$5="Mortgage Starts",0,Deposit_mon),2)</f>
        <v>2003.67</v>
      </c>
      <c r="D12" s="16">
        <f>ROUND(C12*(1+'Interest rate projection'!AC14/Var_freq)+IF(D$5="Mortgage Starts",0,Deposit_mon),2)</f>
        <v>3011.03</v>
      </c>
      <c r="E12" s="16">
        <f>ROUND(D12*(1+'Interest rate projection'!AD14/Var_freq)+IF(E$5="Mortgage Starts",0,Deposit_mon),2)</f>
        <v>4022.09</v>
      </c>
      <c r="F12" s="16">
        <f>ROUND(E12*(1+'Interest rate projection'!AE14/Var_freq)+IF(F$5="Mortgage Starts",0,Deposit_mon),2)</f>
        <v>5036.87</v>
      </c>
      <c r="G12" s="16">
        <f>ROUND(F12*(1+'Interest rate projection'!AF14/Var_freq)+IF(G$5="Mortgage Starts",0,Deposit_mon),2)</f>
        <v>6055.38</v>
      </c>
      <c r="H12" s="16">
        <f>ROUND(G12*(1+'Interest rate projection'!AG14/Var_freq)+IF(H$5="Mortgage Starts",0,Deposit_mon),2)</f>
        <v>7077.63</v>
      </c>
      <c r="I12" s="16">
        <f>ROUND(H12*(1+'Interest rate projection'!AH14/Var_freq)+IF(I$5="Mortgage Starts",0,Deposit_mon),2)</f>
        <v>8103.64</v>
      </c>
      <c r="J12" s="16">
        <f>ROUND(I12*(1+'Interest rate projection'!AI14/Var_freq)+IF(J$5="Mortgage Starts",0,Deposit_mon),2)</f>
        <v>9133.42</v>
      </c>
      <c r="K12" s="16">
        <f>ROUND(J12*(1+'Interest rate projection'!AJ14/Var_freq)+IF(K$5="Mortgage Starts",0,Deposit_mon),2)</f>
        <v>10168.81</v>
      </c>
      <c r="L12" s="16">
        <f>ROUND(K12*(1+'Interest rate projection'!AK14/Var_freq)+IF(L$5="Mortgage Starts",0,Deposit_mon),2)</f>
        <v>11208.21</v>
      </c>
      <c r="M12" s="16">
        <f>ROUND(L12*(1+'Interest rate projection'!AL14/Var_freq)+IF(M$5="Mortgage Starts",0,Deposit_mon),2)</f>
        <v>12251.64</v>
      </c>
      <c r="N12" s="16">
        <f>ROUND(M12*(1+'Interest rate projection'!AM14/Var_freq)+IF(N$5="Mortgage Starts",0,Deposit_mon),2)</f>
        <v>13299.11</v>
      </c>
      <c r="O12" s="16">
        <f>ROUND(N12*(1+'Interest rate projection'!AN14/Var_freq)+IF(O$5="Mortgage Starts",0,Deposit_mon),2)</f>
        <v>14350.64</v>
      </c>
      <c r="P12" s="16">
        <f>ROUND(O12*(1+'Interest rate projection'!AO14/Var_freq)+IF(P$5="Mortgage Starts",0,Deposit_mon),2)</f>
        <v>15406.24</v>
      </c>
      <c r="Q12" s="16">
        <f>ROUND(P12*(1+'Interest rate projection'!AP14/Var_freq)+IF(Q$5="Mortgage Starts",0,Deposit_mon),2)</f>
        <v>16465.93</v>
      </c>
      <c r="R12" s="16">
        <f>ROUND(Q12*(1+'Interest rate projection'!AQ14/Var_freq)+IF(R$5="Mortgage Starts",0,Deposit_mon),2)</f>
        <v>17529.73</v>
      </c>
      <c r="S12" s="16">
        <f>ROUND(R12*(1+'Interest rate projection'!AR14/Var_freq)+IF(S$5="Mortgage Starts",0,Deposit_mon),2)</f>
        <v>18597.650000000001</v>
      </c>
      <c r="T12" s="16">
        <f>ROUND(S12*(1+'Interest rate projection'!AS14/Var_freq)+IF(T$5="Mortgage Starts",0,Deposit_mon),2)</f>
        <v>19669.71</v>
      </c>
      <c r="U12" s="16">
        <f>ROUND(T12*(1+'Interest rate projection'!AT14/Var_freq)+IF(U$5="Mortgage Starts",0,Deposit_mon),2)</f>
        <v>20745.919999999998</v>
      </c>
      <c r="V12" s="16">
        <f>ROUND(U12*(1+'Interest rate projection'!AU14/Var_freq)+IF(V$5="Mortgage Starts",0,Deposit_mon),2)</f>
        <v>21826.3</v>
      </c>
      <c r="W12" s="16">
        <f>ROUND(V12*(1+'Interest rate projection'!AV14/Var_freq)+IF(W$5="Mortgage Starts",0,Deposit_mon),2)</f>
        <v>22910.87</v>
      </c>
      <c r="X12" s="16">
        <f>ROUND(W12*(1+'Interest rate projection'!AW14/Var_freq)+IF(X$5="Mortgage Starts",0,Deposit_mon),2)</f>
        <v>23999.64</v>
      </c>
      <c r="Y12" s="16">
        <f>ROUND(X12*(1+'Interest rate projection'!AX14/Var_freq)+IF(Y$5="Mortgage Starts",0,Deposit_mon),2)</f>
        <v>25092.63</v>
      </c>
      <c r="Z12" s="57">
        <f>ROUND(Y12*(1+'Interest rate projection'!AY14/Var_freq)+IF(Z$5="Mortgage Starts",0,Deposit_mon),2)</f>
        <v>25189.86</v>
      </c>
      <c r="AA12" s="12"/>
      <c r="AB12" s="38">
        <f>'Interest rate projection'!Z14</f>
        <v>4.7500000000000001E-2</v>
      </c>
      <c r="AC12" s="38">
        <f>'Interest rate projection'!AZ14</f>
        <v>4.6496219905550085E-2</v>
      </c>
      <c r="AD12" s="59" t="str">
        <f t="shared" si="2"/>
        <v>OK</v>
      </c>
      <c r="AE12" s="39">
        <f t="shared" si="3"/>
        <v>14.766012404082064</v>
      </c>
      <c r="AF12" s="10"/>
      <c r="AG12" s="73">
        <f t="shared" si="5"/>
        <v>25189.86</v>
      </c>
      <c r="AH12" s="73">
        <f t="shared" si="6"/>
        <v>174810.14</v>
      </c>
      <c r="AI12" s="74">
        <f t="shared" si="4"/>
        <v>986.56</v>
      </c>
      <c r="AJ12" s="9"/>
      <c r="AK12" s="73">
        <f>'Fixed rate projection'!$AE$3-('Variable rate projection'!AI12*Product_term*Var_freq)</f>
        <v>7101</v>
      </c>
      <c r="AM12" s="14"/>
      <c r="AN12" s="10"/>
      <c r="AO12" s="11"/>
      <c r="AP12" s="11"/>
      <c r="AQ12" s="11"/>
      <c r="AR12" s="12"/>
      <c r="AS12" s="12"/>
      <c r="AT12" s="13"/>
      <c r="AV12" s="14"/>
      <c r="AW12" s="10"/>
      <c r="AX12" s="11"/>
      <c r="AY12" s="11"/>
      <c r="AZ12" s="11"/>
      <c r="BA12" s="12"/>
      <c r="BB12" s="12"/>
      <c r="BC12" s="13"/>
      <c r="BE12" s="14"/>
      <c r="BF12" s="10"/>
      <c r="BG12" s="11"/>
      <c r="BH12" s="11"/>
      <c r="BI12" s="11"/>
      <c r="BJ12" s="12"/>
      <c r="BK12" s="12"/>
      <c r="BL12" s="13"/>
      <c r="BN12" s="14"/>
      <c r="BO12" s="10"/>
      <c r="BP12" s="11"/>
      <c r="BQ12" s="11"/>
      <c r="BR12" s="11"/>
      <c r="BS12" s="12"/>
      <c r="BT12" s="12"/>
      <c r="BU12" s="13"/>
      <c r="BW12" s="14"/>
      <c r="BX12" s="10"/>
      <c r="BY12" s="11"/>
      <c r="BZ12" s="11"/>
      <c r="CA12" s="11"/>
      <c r="CB12" s="12"/>
      <c r="CC12" s="12"/>
      <c r="CD12" s="13"/>
      <c r="CF12" s="14"/>
      <c r="CG12" s="10"/>
      <c r="CH12" s="11"/>
      <c r="CI12" s="11"/>
      <c r="CJ12" s="11"/>
      <c r="CK12" s="12"/>
      <c r="CL12" s="12"/>
      <c r="CM12" s="13"/>
      <c r="CO12" s="13"/>
    </row>
    <row r="13" spans="1:93" x14ac:dyDescent="0.35">
      <c r="A13" s="5">
        <v>8</v>
      </c>
      <c r="B13" s="57">
        <f t="shared" si="1"/>
        <v>1000</v>
      </c>
      <c r="C13" s="16">
        <f>ROUND(B13*(1+'Interest rate projection'!AB15/Var_freq)+IF(C$5="Mortgage Starts",0,Deposit_mon),2)</f>
        <v>2003.67</v>
      </c>
      <c r="D13" s="16">
        <f>ROUND(C13*(1+'Interest rate projection'!AC15/Var_freq)+IF(D$5="Mortgage Starts",0,Deposit_mon),2)</f>
        <v>3011.03</v>
      </c>
      <c r="E13" s="16">
        <f>ROUND(D13*(1+'Interest rate projection'!AD15/Var_freq)+IF(E$5="Mortgage Starts",0,Deposit_mon),2)</f>
        <v>4022.09</v>
      </c>
      <c r="F13" s="16">
        <f>ROUND(E13*(1+'Interest rate projection'!AE15/Var_freq)+IF(F$5="Mortgage Starts",0,Deposit_mon),2)</f>
        <v>5036.87</v>
      </c>
      <c r="G13" s="16">
        <f>ROUND(F13*(1+'Interest rate projection'!AF15/Var_freq)+IF(G$5="Mortgage Starts",0,Deposit_mon),2)</f>
        <v>6055.38</v>
      </c>
      <c r="H13" s="16">
        <f>ROUND(G13*(1+'Interest rate projection'!AG15/Var_freq)+IF(H$5="Mortgage Starts",0,Deposit_mon),2)</f>
        <v>7077.63</v>
      </c>
      <c r="I13" s="16">
        <f>ROUND(H13*(1+'Interest rate projection'!AH15/Var_freq)+IF(I$5="Mortgage Starts",0,Deposit_mon),2)</f>
        <v>8103.64</v>
      </c>
      <c r="J13" s="16">
        <f>ROUND(I13*(1+'Interest rate projection'!AI15/Var_freq)+IF(J$5="Mortgage Starts",0,Deposit_mon),2)</f>
        <v>9133.42</v>
      </c>
      <c r="K13" s="16">
        <f>ROUND(J13*(1+'Interest rate projection'!AJ15/Var_freq)+IF(K$5="Mortgage Starts",0,Deposit_mon),2)</f>
        <v>10166.98</v>
      </c>
      <c r="L13" s="16">
        <f>ROUND(K13*(1+'Interest rate projection'!AK15/Var_freq)+IF(L$5="Mortgage Starts",0,Deposit_mon),2)</f>
        <v>11204.34</v>
      </c>
      <c r="M13" s="16">
        <f>ROUND(L13*(1+'Interest rate projection'!AL15/Var_freq)+IF(M$5="Mortgage Starts",0,Deposit_mon),2)</f>
        <v>12245.51</v>
      </c>
      <c r="N13" s="16">
        <f>ROUND(M13*(1+'Interest rate projection'!AM15/Var_freq)+IF(N$5="Mortgage Starts",0,Deposit_mon),2)</f>
        <v>13290.51</v>
      </c>
      <c r="O13" s="16">
        <f>ROUND(N13*(1+'Interest rate projection'!AN15/Var_freq)+IF(O$5="Mortgage Starts",0,Deposit_mon),2)</f>
        <v>14339.35</v>
      </c>
      <c r="P13" s="16">
        <f>ROUND(O13*(1+'Interest rate projection'!AO15/Var_freq)+IF(P$5="Mortgage Starts",0,Deposit_mon),2)</f>
        <v>15392.04</v>
      </c>
      <c r="Q13" s="16">
        <f>ROUND(P13*(1+'Interest rate projection'!AP15/Var_freq)+IF(Q$5="Mortgage Starts",0,Deposit_mon),2)</f>
        <v>16451.68</v>
      </c>
      <c r="R13" s="16">
        <f>ROUND(Q13*(1+'Interest rate projection'!AQ15/Var_freq)+IF(R$5="Mortgage Starts",0,Deposit_mon),2)</f>
        <v>17515.43</v>
      </c>
      <c r="S13" s="16">
        <f>ROUND(R13*(1+'Interest rate projection'!AR15/Var_freq)+IF(S$5="Mortgage Starts",0,Deposit_mon),2)</f>
        <v>18583.3</v>
      </c>
      <c r="T13" s="16">
        <f>ROUND(S13*(1+'Interest rate projection'!AS15/Var_freq)+IF(T$5="Mortgage Starts",0,Deposit_mon),2)</f>
        <v>19655.3</v>
      </c>
      <c r="U13" s="16">
        <f>ROUND(T13*(1+'Interest rate projection'!AT15/Var_freq)+IF(U$5="Mortgage Starts",0,Deposit_mon),2)</f>
        <v>20731.46</v>
      </c>
      <c r="V13" s="16">
        <f>ROUND(U13*(1+'Interest rate projection'!AU15/Var_freq)+IF(V$5="Mortgage Starts",0,Deposit_mon),2)</f>
        <v>21811.79</v>
      </c>
      <c r="W13" s="16">
        <f>ROUND(V13*(1+'Interest rate projection'!AV15/Var_freq)+IF(W$5="Mortgage Starts",0,Deposit_mon),2)</f>
        <v>22896.3</v>
      </c>
      <c r="X13" s="16">
        <f>ROUND(W13*(1+'Interest rate projection'!AW15/Var_freq)+IF(X$5="Mortgage Starts",0,Deposit_mon),2)</f>
        <v>23985.02</v>
      </c>
      <c r="Y13" s="16">
        <f>ROUND(X13*(1+'Interest rate projection'!AX15/Var_freq)+IF(Y$5="Mortgage Starts",0,Deposit_mon),2)</f>
        <v>25077.95</v>
      </c>
      <c r="Z13" s="57">
        <f>ROUND(Y13*(1+'Interest rate projection'!AY15/Var_freq)+IF(Z$5="Mortgage Starts",0,Deposit_mon),2)</f>
        <v>25175.119999999999</v>
      </c>
      <c r="AA13" s="12"/>
      <c r="AB13" s="38">
        <f>'Interest rate projection'!Z15</f>
        <v>4.7500000000000001E-2</v>
      </c>
      <c r="AC13" s="38">
        <f>'Interest rate projection'!AZ15</f>
        <v>4.6496219905550085E-2</v>
      </c>
      <c r="AD13" s="59" t="str">
        <f t="shared" si="2"/>
        <v>OK</v>
      </c>
      <c r="AE13" s="39">
        <f t="shared" si="3"/>
        <v>14.766012404082064</v>
      </c>
      <c r="AF13" s="10"/>
      <c r="AG13" s="73">
        <f t="shared" si="5"/>
        <v>25175.119999999999</v>
      </c>
      <c r="AH13" s="73">
        <f t="shared" si="6"/>
        <v>174824.88</v>
      </c>
      <c r="AI13" s="74">
        <f t="shared" si="4"/>
        <v>986.64</v>
      </c>
      <c r="AJ13" s="9"/>
      <c r="AK13" s="73">
        <f>'Fixed rate projection'!$AE$3-('Variable rate projection'!AI13*Product_term*Var_freq)</f>
        <v>7077</v>
      </c>
      <c r="AM13" s="14"/>
      <c r="AN13" s="10"/>
      <c r="AO13" s="11"/>
      <c r="AP13" s="11"/>
      <c r="AQ13" s="11"/>
      <c r="AR13" s="12"/>
      <c r="AS13" s="12"/>
      <c r="AT13" s="13"/>
      <c r="AV13" s="14"/>
      <c r="AW13" s="10"/>
      <c r="AX13" s="11"/>
      <c r="AY13" s="11"/>
      <c r="AZ13" s="11"/>
      <c r="BA13" s="12"/>
      <c r="BB13" s="12"/>
      <c r="BC13" s="13"/>
      <c r="BE13" s="14"/>
      <c r="BF13" s="10"/>
      <c r="BG13" s="11"/>
      <c r="BH13" s="11"/>
      <c r="BI13" s="11"/>
      <c r="BJ13" s="12"/>
      <c r="BK13" s="12"/>
      <c r="BL13" s="13"/>
      <c r="BN13" s="14"/>
      <c r="BO13" s="10"/>
      <c r="BP13" s="11"/>
      <c r="BQ13" s="11"/>
      <c r="BR13" s="11"/>
      <c r="BS13" s="12"/>
      <c r="BT13" s="12"/>
      <c r="BU13" s="13"/>
      <c r="BW13" s="14"/>
      <c r="BX13" s="10"/>
      <c r="BY13" s="11"/>
      <c r="BZ13" s="11"/>
      <c r="CA13" s="11"/>
      <c r="CB13" s="12"/>
      <c r="CC13" s="12"/>
      <c r="CD13" s="13"/>
      <c r="CF13" s="14"/>
      <c r="CG13" s="10"/>
      <c r="CH13" s="11"/>
      <c r="CI13" s="11"/>
      <c r="CJ13" s="11"/>
      <c r="CK13" s="12"/>
      <c r="CL13" s="12"/>
      <c r="CM13" s="13"/>
      <c r="CO13" s="13"/>
    </row>
    <row r="14" spans="1:93" ht="14.5" customHeight="1" x14ac:dyDescent="0.35">
      <c r="A14" s="27">
        <v>9</v>
      </c>
      <c r="B14" s="57">
        <f t="shared" si="1"/>
        <v>1000</v>
      </c>
      <c r="C14" s="16">
        <f>ROUND(B14*(1+'Interest rate projection'!AB16/Var_freq)+IF(C$5="Mortgage Starts",0,Deposit_mon),2)</f>
        <v>2003.67</v>
      </c>
      <c r="D14" s="16">
        <f>ROUND(C14*(1+'Interest rate projection'!AC16/Var_freq)+IF(D$5="Mortgage Starts",0,Deposit_mon),2)</f>
        <v>3011.03</v>
      </c>
      <c r="E14" s="16">
        <f>ROUND(D14*(1+'Interest rate projection'!AD16/Var_freq)+IF(E$5="Mortgage Starts",0,Deposit_mon),2)</f>
        <v>4022.09</v>
      </c>
      <c r="F14" s="16">
        <f>ROUND(E14*(1+'Interest rate projection'!AE16/Var_freq)+IF(F$5="Mortgage Starts",0,Deposit_mon),2)</f>
        <v>5036.87</v>
      </c>
      <c r="G14" s="16">
        <f>ROUND(F14*(1+'Interest rate projection'!AF16/Var_freq)+IF(G$5="Mortgage Starts",0,Deposit_mon),2)</f>
        <v>6055.38</v>
      </c>
      <c r="H14" s="16">
        <f>ROUND(G14*(1+'Interest rate projection'!AG16/Var_freq)+IF(H$5="Mortgage Starts",0,Deposit_mon),2)</f>
        <v>7076.42</v>
      </c>
      <c r="I14" s="16">
        <f>ROUND(H14*(1+'Interest rate projection'!AH16/Var_freq)+IF(I$5="Mortgage Starts",0,Deposit_mon),2)</f>
        <v>8099.59</v>
      </c>
      <c r="J14" s="16">
        <f>ROUND(I14*(1+'Interest rate projection'!AI16/Var_freq)+IF(J$5="Mortgage Starts",0,Deposit_mon),2)</f>
        <v>9126.11</v>
      </c>
      <c r="K14" s="16">
        <f>ROUND(J14*(1+'Interest rate projection'!AJ16/Var_freq)+IF(K$5="Mortgage Starts",0,Deposit_mon),2)</f>
        <v>10155.99</v>
      </c>
      <c r="L14" s="16">
        <f>ROUND(K14*(1+'Interest rate projection'!AK16/Var_freq)+IF(L$5="Mortgage Starts",0,Deposit_mon),2)</f>
        <v>11189.24</v>
      </c>
      <c r="M14" s="16">
        <f>ROUND(L14*(1+'Interest rate projection'!AL16/Var_freq)+IF(M$5="Mortgage Starts",0,Deposit_mon),2)</f>
        <v>12230.36</v>
      </c>
      <c r="N14" s="16">
        <f>ROUND(M14*(1+'Interest rate projection'!AM16/Var_freq)+IF(N$5="Mortgage Starts",0,Deposit_mon),2)</f>
        <v>13275.3</v>
      </c>
      <c r="O14" s="16">
        <f>ROUND(N14*(1+'Interest rate projection'!AN16/Var_freq)+IF(O$5="Mortgage Starts",0,Deposit_mon),2)</f>
        <v>14324.08</v>
      </c>
      <c r="P14" s="16">
        <f>ROUND(O14*(1+'Interest rate projection'!AO16/Var_freq)+IF(P$5="Mortgage Starts",0,Deposit_mon),2)</f>
        <v>15376.72</v>
      </c>
      <c r="Q14" s="16">
        <f>ROUND(P14*(1+'Interest rate projection'!AP16/Var_freq)+IF(Q$5="Mortgage Starts",0,Deposit_mon),2)</f>
        <v>16433.23</v>
      </c>
      <c r="R14" s="16">
        <f>ROUND(Q14*(1+'Interest rate projection'!AQ16/Var_freq)+IF(R$5="Mortgage Starts",0,Deposit_mon),2)</f>
        <v>17493.62</v>
      </c>
      <c r="S14" s="16">
        <f>ROUND(R14*(1+'Interest rate projection'!AR16/Var_freq)+IF(S$5="Mortgage Starts",0,Deposit_mon),2)</f>
        <v>18557.91</v>
      </c>
      <c r="T14" s="16">
        <f>ROUND(S14*(1+'Interest rate projection'!AS16/Var_freq)+IF(T$5="Mortgage Starts",0,Deposit_mon),2)</f>
        <v>19626.11</v>
      </c>
      <c r="U14" s="16">
        <f>ROUND(T14*(1+'Interest rate projection'!AT16/Var_freq)+IF(U$5="Mortgage Starts",0,Deposit_mon),2)</f>
        <v>20698.23</v>
      </c>
      <c r="V14" s="16">
        <f>ROUND(U14*(1+'Interest rate projection'!AU16/Var_freq)+IF(V$5="Mortgage Starts",0,Deposit_mon),2)</f>
        <v>21774.29</v>
      </c>
      <c r="W14" s="16">
        <f>ROUND(V14*(1+'Interest rate projection'!AV16/Var_freq)+IF(W$5="Mortgage Starts",0,Deposit_mon),2)</f>
        <v>22863</v>
      </c>
      <c r="X14" s="16">
        <f>ROUND(W14*(1+'Interest rate projection'!AW16/Var_freq)+IF(X$5="Mortgage Starts",0,Deposit_mon),2)</f>
        <v>23956.15</v>
      </c>
      <c r="Y14" s="16">
        <f>ROUND(X14*(1+'Interest rate projection'!AX16/Var_freq)+IF(Y$5="Mortgage Starts",0,Deposit_mon),2)</f>
        <v>25053.75</v>
      </c>
      <c r="Z14" s="57">
        <f>ROUND(Y14*(1+'Interest rate projection'!AY16/Var_freq)+IF(Z$5="Mortgage Starts",0,Deposit_mon),2)</f>
        <v>25155.82</v>
      </c>
      <c r="AA14" s="12"/>
      <c r="AB14" s="38">
        <f>'Interest rate projection'!Z16</f>
        <v>4.9999999999999989E-2</v>
      </c>
      <c r="AC14" s="38">
        <f>'Interest rate projection'!AZ16</f>
        <v>4.8889485403780242E-2</v>
      </c>
      <c r="AD14" s="59" t="str">
        <f t="shared" si="2"/>
        <v>OK</v>
      </c>
      <c r="AE14" s="39">
        <f t="shared" si="3"/>
        <v>14.4140856153857</v>
      </c>
      <c r="AF14" s="10"/>
      <c r="AG14" s="73">
        <f t="shared" si="5"/>
        <v>25155.82</v>
      </c>
      <c r="AH14" s="73">
        <f t="shared" si="6"/>
        <v>174844.18</v>
      </c>
      <c r="AI14" s="74">
        <f t="shared" si="4"/>
        <v>1010.84</v>
      </c>
      <c r="AJ14" s="9"/>
      <c r="AK14" s="73">
        <f>'Fixed rate projection'!$AE$3-('Variable rate projection'!AI14*Product_term*Var_freq)</f>
        <v>-183</v>
      </c>
      <c r="AM14" s="14"/>
      <c r="AN14" s="10"/>
      <c r="AO14" s="11"/>
      <c r="AP14" s="11"/>
      <c r="AQ14" s="11"/>
      <c r="AR14" s="12"/>
      <c r="AS14" s="12"/>
      <c r="AT14" s="13"/>
      <c r="AV14" s="14"/>
      <c r="AW14" s="10"/>
      <c r="AX14" s="11"/>
      <c r="AY14" s="11"/>
      <c r="AZ14" s="11"/>
      <c r="BA14" s="12"/>
      <c r="BB14" s="12"/>
      <c r="BC14" s="13"/>
      <c r="BE14" s="14"/>
      <c r="BF14" s="10"/>
      <c r="BG14" s="11"/>
      <c r="BH14" s="11"/>
      <c r="BI14" s="11"/>
      <c r="BJ14" s="12"/>
      <c r="BK14" s="12"/>
      <c r="BL14" s="13"/>
      <c r="BN14" s="14"/>
      <c r="BO14" s="10"/>
      <c r="BP14" s="11"/>
      <c r="BQ14" s="11"/>
      <c r="BR14" s="11"/>
      <c r="BS14" s="12"/>
      <c r="BT14" s="12"/>
      <c r="BU14" s="13"/>
      <c r="BW14" s="14"/>
      <c r="BX14" s="10"/>
      <c r="BY14" s="11"/>
      <c r="BZ14" s="11"/>
      <c r="CA14" s="11"/>
      <c r="CB14" s="12"/>
      <c r="CC14" s="12"/>
      <c r="CD14" s="13"/>
      <c r="CF14" s="14"/>
      <c r="CG14" s="10"/>
      <c r="CH14" s="11"/>
      <c r="CI14" s="11"/>
      <c r="CJ14" s="11"/>
      <c r="CK14" s="12"/>
      <c r="CL14" s="12"/>
      <c r="CM14" s="13"/>
      <c r="CO14" s="13"/>
    </row>
    <row r="15" spans="1:93" x14ac:dyDescent="0.35">
      <c r="A15" s="5">
        <v>10</v>
      </c>
      <c r="B15" s="57">
        <f t="shared" si="1"/>
        <v>1000</v>
      </c>
      <c r="C15" s="16">
        <f>ROUND(B15*(1+'Interest rate projection'!AB17/Var_freq)+IF(C$5="Mortgage Starts",0,Deposit_mon),2)</f>
        <v>2003.67</v>
      </c>
      <c r="D15" s="16">
        <f>ROUND(C15*(1+'Interest rate projection'!AC17/Var_freq)+IF(D$5="Mortgage Starts",0,Deposit_mon),2)</f>
        <v>3011.03</v>
      </c>
      <c r="E15" s="16">
        <f>ROUND(D15*(1+'Interest rate projection'!AD17/Var_freq)+IF(E$5="Mortgage Starts",0,Deposit_mon),2)</f>
        <v>4022.09</v>
      </c>
      <c r="F15" s="16">
        <f>ROUND(E15*(1+'Interest rate projection'!AE17/Var_freq)+IF(F$5="Mortgage Starts",0,Deposit_mon),2)</f>
        <v>5036.87</v>
      </c>
      <c r="G15" s="16">
        <f>ROUND(F15*(1+'Interest rate projection'!AF17/Var_freq)+IF(G$5="Mortgage Starts",0,Deposit_mon),2)</f>
        <v>6055.38</v>
      </c>
      <c r="H15" s="16">
        <f>ROUND(G15*(1+'Interest rate projection'!AG17/Var_freq)+IF(H$5="Mortgage Starts",0,Deposit_mon),2)</f>
        <v>7076.42</v>
      </c>
      <c r="I15" s="16">
        <f>ROUND(H15*(1+'Interest rate projection'!AH17/Var_freq)+IF(I$5="Mortgage Starts",0,Deposit_mon),2)</f>
        <v>8101.01</v>
      </c>
      <c r="J15" s="16">
        <f>ROUND(I15*(1+'Interest rate projection'!AI17/Var_freq)+IF(J$5="Mortgage Starts",0,Deposit_mon),2)</f>
        <v>9129.16</v>
      </c>
      <c r="K15" s="16">
        <f>ROUND(J15*(1+'Interest rate projection'!AJ17/Var_freq)+IF(K$5="Mortgage Starts",0,Deposit_mon),2)</f>
        <v>10160.879999999999</v>
      </c>
      <c r="L15" s="16">
        <f>ROUND(K15*(1+'Interest rate projection'!AK17/Var_freq)+IF(L$5="Mortgage Starts",0,Deposit_mon),2)</f>
        <v>11196.18</v>
      </c>
      <c r="M15" s="16">
        <f>ROUND(L15*(1+'Interest rate projection'!AL17/Var_freq)+IF(M$5="Mortgage Starts",0,Deposit_mon),2)</f>
        <v>12235.08</v>
      </c>
      <c r="N15" s="16">
        <f>ROUND(M15*(1+'Interest rate projection'!AM17/Var_freq)+IF(N$5="Mortgage Starts",0,Deposit_mon),2)</f>
        <v>13277.59</v>
      </c>
      <c r="O15" s="16">
        <f>ROUND(N15*(1+'Interest rate projection'!AN17/Var_freq)+IF(O$5="Mortgage Starts",0,Deposit_mon),2)</f>
        <v>14323.72</v>
      </c>
      <c r="P15" s="16">
        <f>ROUND(O15*(1+'Interest rate projection'!AO17/Var_freq)+IF(P$5="Mortgage Starts",0,Deposit_mon),2)</f>
        <v>15373.49</v>
      </c>
      <c r="Q15" s="16">
        <f>ROUND(P15*(1+'Interest rate projection'!AP17/Var_freq)+IF(Q$5="Mortgage Starts",0,Deposit_mon),2)</f>
        <v>16426.91</v>
      </c>
      <c r="R15" s="16">
        <f>ROUND(Q15*(1+'Interest rate projection'!AQ17/Var_freq)+IF(R$5="Mortgage Starts",0,Deposit_mon),2)</f>
        <v>17483.990000000002</v>
      </c>
      <c r="S15" s="16">
        <f>ROUND(R15*(1+'Interest rate projection'!AR17/Var_freq)+IF(S$5="Mortgage Starts",0,Deposit_mon),2)</f>
        <v>18544.740000000002</v>
      </c>
      <c r="T15" s="16">
        <f>ROUND(S15*(1+'Interest rate projection'!AS17/Var_freq)+IF(T$5="Mortgage Starts",0,Deposit_mon),2)</f>
        <v>19609.169999999998</v>
      </c>
      <c r="U15" s="16">
        <f>ROUND(T15*(1+'Interest rate projection'!AT17/Var_freq)+IF(U$5="Mortgage Starts",0,Deposit_mon),2)</f>
        <v>20677.3</v>
      </c>
      <c r="V15" s="16">
        <f>ROUND(U15*(1+'Interest rate projection'!AU17/Var_freq)+IF(V$5="Mortgage Starts",0,Deposit_mon),2)</f>
        <v>21757.42</v>
      </c>
      <c r="W15" s="16">
        <f>ROUND(V15*(1+'Interest rate projection'!AV17/Var_freq)+IF(W$5="Mortgage Starts",0,Deposit_mon),2)</f>
        <v>22841.72</v>
      </c>
      <c r="X15" s="16">
        <f>ROUND(W15*(1+'Interest rate projection'!AW17/Var_freq)+IF(X$5="Mortgage Starts",0,Deposit_mon),2)</f>
        <v>23930.22</v>
      </c>
      <c r="Y15" s="16">
        <f>ROUND(X15*(1+'Interest rate projection'!AX17/Var_freq)+IF(Y$5="Mortgage Starts",0,Deposit_mon),2)</f>
        <v>25032.48</v>
      </c>
      <c r="Z15" s="57">
        <f>ROUND(Y15*(1+'Interest rate projection'!AY17/Var_freq)+IF(Z$5="Mortgage Starts",0,Deposit_mon),2)</f>
        <v>25139.45</v>
      </c>
      <c r="AA15" s="12"/>
      <c r="AB15" s="38">
        <f>'Interest rate projection'!Z17</f>
        <v>5.2499999999999991E-2</v>
      </c>
      <c r="AC15" s="38">
        <f>'Interest rate projection'!AZ17</f>
        <v>5.1277533193896829E-2</v>
      </c>
      <c r="AD15" s="59" t="str">
        <f t="shared" si="2"/>
        <v>OK</v>
      </c>
      <c r="AE15" s="39">
        <f t="shared" si="3"/>
        <v>14.075212462503044</v>
      </c>
      <c r="AF15" s="10"/>
      <c r="AG15" s="73">
        <f t="shared" si="5"/>
        <v>25139.45</v>
      </c>
      <c r="AH15" s="73">
        <f t="shared" si="6"/>
        <v>174860.55</v>
      </c>
      <c r="AI15" s="74">
        <f t="shared" si="4"/>
        <v>1035.27</v>
      </c>
      <c r="AJ15" s="9"/>
      <c r="AK15" s="73">
        <f>'Fixed rate projection'!$AE$3-('Variable rate projection'!AI15*Product_term*Var_freq)</f>
        <v>-7512</v>
      </c>
      <c r="AM15" s="14"/>
      <c r="AN15" s="10"/>
      <c r="AO15" s="11"/>
      <c r="AP15" s="11"/>
      <c r="AQ15" s="11"/>
      <c r="AR15" s="12"/>
      <c r="AS15" s="12"/>
      <c r="AT15" s="13"/>
      <c r="AV15" s="14"/>
      <c r="AW15" s="10"/>
      <c r="AX15" s="11"/>
      <c r="AY15" s="11"/>
      <c r="AZ15" s="11"/>
      <c r="BA15" s="12"/>
      <c r="BB15" s="12"/>
      <c r="BC15" s="13"/>
      <c r="BE15" s="14"/>
      <c r="BF15" s="10"/>
      <c r="BG15" s="11"/>
      <c r="BH15" s="11"/>
      <c r="BI15" s="11"/>
      <c r="BJ15" s="12"/>
      <c r="BK15" s="12"/>
      <c r="BL15" s="13"/>
      <c r="BN15" s="14"/>
      <c r="BO15" s="10"/>
      <c r="BP15" s="11"/>
      <c r="BQ15" s="11"/>
      <c r="BR15" s="11"/>
      <c r="BS15" s="12"/>
      <c r="BT15" s="12"/>
      <c r="BU15" s="13"/>
      <c r="BW15" s="14"/>
      <c r="BX15" s="10"/>
      <c r="BY15" s="11"/>
      <c r="BZ15" s="11"/>
      <c r="CA15" s="11"/>
      <c r="CB15" s="12"/>
      <c r="CC15" s="12"/>
      <c r="CD15" s="13"/>
      <c r="CF15" s="14"/>
      <c r="CG15" s="10"/>
      <c r="CH15" s="11"/>
      <c r="CI15" s="11"/>
      <c r="CJ15" s="11"/>
      <c r="CK15" s="12"/>
      <c r="CL15" s="12"/>
      <c r="CM15" s="13"/>
      <c r="CO15" s="13"/>
    </row>
    <row r="16" spans="1:93" x14ac:dyDescent="0.35">
      <c r="A16" s="27">
        <v>11</v>
      </c>
      <c r="B16" s="57">
        <f t="shared" si="1"/>
        <v>1000</v>
      </c>
      <c r="C16" s="16">
        <f>ROUND(B16*(1+'Interest rate projection'!AB18/Var_freq)+IF(C$5="Mortgage Starts",0,Deposit_mon),2)</f>
        <v>2003.67</v>
      </c>
      <c r="D16" s="16">
        <f>ROUND(C16*(1+'Interest rate projection'!AC18/Var_freq)+IF(D$5="Mortgage Starts",0,Deposit_mon),2)</f>
        <v>3011.03</v>
      </c>
      <c r="E16" s="16">
        <f>ROUND(D16*(1+'Interest rate projection'!AD18/Var_freq)+IF(E$5="Mortgage Starts",0,Deposit_mon),2)</f>
        <v>4021.49</v>
      </c>
      <c r="F16" s="16">
        <f>ROUND(E16*(1+'Interest rate projection'!AE18/Var_freq)+IF(F$5="Mortgage Starts",0,Deposit_mon),2)</f>
        <v>5035.46</v>
      </c>
      <c r="G16" s="16">
        <f>ROUND(F16*(1+'Interest rate projection'!AF18/Var_freq)+IF(G$5="Mortgage Starts",0,Deposit_mon),2)</f>
        <v>6052.96</v>
      </c>
      <c r="H16" s="16">
        <f>ROUND(G16*(1+'Interest rate projection'!AG18/Var_freq)+IF(H$5="Mortgage Starts",0,Deposit_mon),2)</f>
        <v>7073.99</v>
      </c>
      <c r="I16" s="16">
        <f>ROUND(H16*(1+'Interest rate projection'!AH18/Var_freq)+IF(I$5="Mortgage Starts",0,Deposit_mon),2)</f>
        <v>8098.57</v>
      </c>
      <c r="J16" s="16">
        <f>ROUND(I16*(1+'Interest rate projection'!AI18/Var_freq)+IF(J$5="Mortgage Starts",0,Deposit_mon),2)</f>
        <v>9128.33</v>
      </c>
      <c r="K16" s="16">
        <f>ROUND(J16*(1+'Interest rate projection'!AJ18/Var_freq)+IF(K$5="Mortgage Starts",0,Deposit_mon),2)</f>
        <v>10161.870000000001</v>
      </c>
      <c r="L16" s="16">
        <f>ROUND(K16*(1+'Interest rate projection'!AK18/Var_freq)+IF(L$5="Mortgage Starts",0,Deposit_mon),2)</f>
        <v>11195.14</v>
      </c>
      <c r="M16" s="16">
        <f>ROUND(L16*(1+'Interest rate projection'!AL18/Var_freq)+IF(M$5="Mortgage Starts",0,Deposit_mon),2)</f>
        <v>12231.79</v>
      </c>
      <c r="N16" s="16">
        <f>ROUND(M16*(1+'Interest rate projection'!AM18/Var_freq)+IF(N$5="Mortgage Starts",0,Deposit_mon),2)</f>
        <v>13271.83</v>
      </c>
      <c r="O16" s="16">
        <f>ROUND(N16*(1+'Interest rate projection'!AN18/Var_freq)+IF(O$5="Mortgage Starts",0,Deposit_mon),2)</f>
        <v>14315.28</v>
      </c>
      <c r="P16" s="16">
        <f>ROUND(O16*(1+'Interest rate projection'!AO18/Var_freq)+IF(P$5="Mortgage Starts",0,Deposit_mon),2)</f>
        <v>15362.14</v>
      </c>
      <c r="Q16" s="16">
        <f>ROUND(P16*(1+'Interest rate projection'!AP18/Var_freq)+IF(Q$5="Mortgage Starts",0,Deposit_mon),2)</f>
        <v>16412.43</v>
      </c>
      <c r="R16" s="16">
        <f>ROUND(Q16*(1+'Interest rate projection'!AQ18/Var_freq)+IF(R$5="Mortgage Starts",0,Deposit_mon),2)</f>
        <v>17466.16</v>
      </c>
      <c r="S16" s="16">
        <f>ROUND(R16*(1+'Interest rate projection'!AR18/Var_freq)+IF(S$5="Mortgage Starts",0,Deposit_mon),2)</f>
        <v>18523.34</v>
      </c>
      <c r="T16" s="16">
        <f>ROUND(S16*(1+'Interest rate projection'!AS18/Var_freq)+IF(T$5="Mortgage Starts",0,Deposit_mon),2)</f>
        <v>19583.98</v>
      </c>
      <c r="U16" s="16">
        <f>ROUND(T16*(1+'Interest rate projection'!AT18/Var_freq)+IF(U$5="Mortgage Starts",0,Deposit_mon),2)</f>
        <v>20648.09</v>
      </c>
      <c r="V16" s="16">
        <f>ROUND(U16*(1+'Interest rate projection'!AU18/Var_freq)+IF(V$5="Mortgage Starts",0,Deposit_mon),2)</f>
        <v>21715.69</v>
      </c>
      <c r="W16" s="16">
        <f>ROUND(V16*(1+'Interest rate projection'!AV18/Var_freq)+IF(W$5="Mortgage Starts",0,Deposit_mon),2)</f>
        <v>22786.78</v>
      </c>
      <c r="X16" s="16">
        <f>ROUND(W16*(1+'Interest rate projection'!AW18/Var_freq)+IF(X$5="Mortgage Starts",0,Deposit_mon),2)</f>
        <v>23861.38</v>
      </c>
      <c r="Y16" s="16">
        <f>ROUND(X16*(1+'Interest rate projection'!AX18/Var_freq)+IF(Y$5="Mortgage Starts",0,Deposit_mon),2)</f>
        <v>24939.5</v>
      </c>
      <c r="Z16" s="57">
        <f>ROUND(Y16*(1+'Interest rate projection'!AY18/Var_freq)+IF(Z$5="Mortgage Starts",0,Deposit_mon),2)</f>
        <v>25021.15</v>
      </c>
      <c r="AA16" s="12"/>
      <c r="AB16" s="38">
        <f>'Interest rate projection'!Z18</f>
        <v>0.04</v>
      </c>
      <c r="AC16" s="38">
        <f>'Interest rate projection'!AZ18</f>
        <v>3.9284877386386974E-2</v>
      </c>
      <c r="AD16" s="59" t="str">
        <f t="shared" si="2"/>
        <v>OK</v>
      </c>
      <c r="AE16" s="39">
        <f t="shared" si="3"/>
        <v>15.906456614335044</v>
      </c>
      <c r="AF16" s="10"/>
      <c r="AG16" s="73">
        <f t="shared" si="5"/>
        <v>25021.15</v>
      </c>
      <c r="AH16" s="73">
        <f t="shared" si="6"/>
        <v>174978.85</v>
      </c>
      <c r="AI16" s="74">
        <f t="shared" si="4"/>
        <v>916.71</v>
      </c>
      <c r="AJ16" s="9"/>
      <c r="AK16" s="73">
        <f>'Fixed rate projection'!$AE$3-('Variable rate projection'!AI16*Product_term*Var_freq)</f>
        <v>28056</v>
      </c>
      <c r="AM16" s="14"/>
      <c r="AN16" s="10"/>
      <c r="AO16" s="11"/>
      <c r="AP16" s="11"/>
      <c r="AQ16" s="11"/>
      <c r="AR16" s="12"/>
      <c r="AS16" s="12"/>
      <c r="AT16" s="13"/>
      <c r="AV16" s="14"/>
      <c r="AW16" s="10"/>
      <c r="AX16" s="11"/>
      <c r="AY16" s="11"/>
      <c r="AZ16" s="11"/>
      <c r="BA16" s="12"/>
      <c r="BB16" s="12"/>
      <c r="BC16" s="13"/>
      <c r="BE16" s="14"/>
      <c r="BF16" s="10"/>
      <c r="BG16" s="11"/>
      <c r="BH16" s="11"/>
      <c r="BI16" s="11"/>
      <c r="BJ16" s="12"/>
      <c r="BK16" s="12"/>
      <c r="BL16" s="13"/>
      <c r="BN16" s="14"/>
      <c r="BO16" s="10"/>
      <c r="BP16" s="11"/>
      <c r="BQ16" s="11"/>
      <c r="BR16" s="11"/>
      <c r="BS16" s="12"/>
      <c r="BT16" s="12"/>
      <c r="BU16" s="13"/>
      <c r="BW16" s="14"/>
      <c r="BX16" s="10"/>
      <c r="BY16" s="11"/>
      <c r="BZ16" s="11"/>
      <c r="CA16" s="11"/>
      <c r="CB16" s="12"/>
      <c r="CC16" s="12"/>
      <c r="CD16" s="13"/>
      <c r="CF16" s="14"/>
      <c r="CG16" s="10"/>
      <c r="CH16" s="11"/>
      <c r="CI16" s="11"/>
      <c r="CJ16" s="11"/>
      <c r="CK16" s="12"/>
      <c r="CL16" s="12"/>
      <c r="CM16" s="13"/>
      <c r="CO16" s="13"/>
    </row>
    <row r="17" spans="1:93" x14ac:dyDescent="0.35">
      <c r="A17" s="5">
        <v>12</v>
      </c>
      <c r="B17" s="57">
        <f t="shared" si="1"/>
        <v>1000</v>
      </c>
      <c r="C17" s="16">
        <f>ROUND(B17*(1+'Interest rate projection'!AB19/Var_freq)+IF(C$5="Mortgage Starts",0,Deposit_mon),2)</f>
        <v>2003.67</v>
      </c>
      <c r="D17" s="16">
        <f>ROUND(C17*(1+'Interest rate projection'!AC19/Var_freq)+IF(D$5="Mortgage Starts",0,Deposit_mon),2)</f>
        <v>3011.03</v>
      </c>
      <c r="E17" s="16">
        <f>ROUND(D17*(1+'Interest rate projection'!AD19/Var_freq)+IF(E$5="Mortgage Starts",0,Deposit_mon),2)</f>
        <v>4023.3</v>
      </c>
      <c r="F17" s="16">
        <f>ROUND(E17*(1+'Interest rate projection'!AE19/Var_freq)+IF(F$5="Mortgage Starts",0,Deposit_mon),2)</f>
        <v>5039.6899999999996</v>
      </c>
      <c r="G17" s="16">
        <f>ROUND(F17*(1+'Interest rate projection'!AF19/Var_freq)+IF(G$5="Mortgage Starts",0,Deposit_mon),2)</f>
        <v>6060.22</v>
      </c>
      <c r="H17" s="16">
        <f>ROUND(G17*(1+'Interest rate projection'!AG19/Var_freq)+IF(H$5="Mortgage Starts",0,Deposit_mon),2)</f>
        <v>7087.32</v>
      </c>
      <c r="I17" s="16">
        <f>ROUND(H17*(1+'Interest rate projection'!AH19/Var_freq)+IF(I$5="Mortgage Starts",0,Deposit_mon),2)</f>
        <v>8119.01</v>
      </c>
      <c r="J17" s="16">
        <f>ROUND(I17*(1+'Interest rate projection'!AI19/Var_freq)+IF(J$5="Mortgage Starts",0,Deposit_mon),2)</f>
        <v>9155.32</v>
      </c>
      <c r="K17" s="16">
        <f>ROUND(J17*(1+'Interest rate projection'!AJ19/Var_freq)+IF(K$5="Mortgage Starts",0,Deposit_mon),2)</f>
        <v>10196.26</v>
      </c>
      <c r="L17" s="16">
        <f>ROUND(K17*(1+'Interest rate projection'!AK19/Var_freq)+IF(L$5="Mortgage Starts",0,Deposit_mon),2)</f>
        <v>11241.85</v>
      </c>
      <c r="M17" s="16">
        <f>ROUND(L17*(1+'Interest rate projection'!AL19/Var_freq)+IF(M$5="Mortgage Starts",0,Deposit_mon),2)</f>
        <v>12292.12</v>
      </c>
      <c r="N17" s="16">
        <f>ROUND(M17*(1+'Interest rate projection'!AM19/Var_freq)+IF(N$5="Mortgage Starts",0,Deposit_mon),2)</f>
        <v>13347.09</v>
      </c>
      <c r="O17" s="16">
        <f>ROUND(N17*(1+'Interest rate projection'!AN19/Var_freq)+IF(O$5="Mortgage Starts",0,Deposit_mon),2)</f>
        <v>14406.77</v>
      </c>
      <c r="P17" s="16">
        <f>ROUND(O17*(1+'Interest rate projection'!AO19/Var_freq)+IF(P$5="Mortgage Starts",0,Deposit_mon),2)</f>
        <v>15471.19</v>
      </c>
      <c r="Q17" s="16">
        <f>ROUND(P17*(1+'Interest rate projection'!AP19/Var_freq)+IF(Q$5="Mortgage Starts",0,Deposit_mon),2)</f>
        <v>16540.37</v>
      </c>
      <c r="R17" s="16">
        <f>ROUND(Q17*(1+'Interest rate projection'!AQ19/Var_freq)+IF(R$5="Mortgage Starts",0,Deposit_mon),2)</f>
        <v>17614.330000000002</v>
      </c>
      <c r="S17" s="16">
        <f>ROUND(R17*(1+'Interest rate projection'!AR19/Var_freq)+IF(S$5="Mortgage Starts",0,Deposit_mon),2)</f>
        <v>18700.07</v>
      </c>
      <c r="T17" s="16">
        <f>ROUND(S17*(1+'Interest rate projection'!AS19/Var_freq)+IF(T$5="Mortgage Starts",0,Deposit_mon),2)</f>
        <v>19791.09</v>
      </c>
      <c r="U17" s="16">
        <f>ROUND(T17*(1+'Interest rate projection'!AT19/Var_freq)+IF(U$5="Mortgage Starts",0,Deposit_mon),2)</f>
        <v>20891.330000000002</v>
      </c>
      <c r="V17" s="16">
        <f>ROUND(U17*(1+'Interest rate projection'!AU19/Var_freq)+IF(V$5="Mortgage Starts",0,Deposit_mon),2)</f>
        <v>21997.14</v>
      </c>
      <c r="W17" s="16">
        <f>ROUND(V17*(1+'Interest rate projection'!AV19/Var_freq)+IF(W$5="Mortgage Starts",0,Deposit_mon),2)</f>
        <v>23108.55</v>
      </c>
      <c r="X17" s="16">
        <f>ROUND(W17*(1+'Interest rate projection'!AW19/Var_freq)+IF(X$5="Mortgage Starts",0,Deposit_mon),2)</f>
        <v>24221.03</v>
      </c>
      <c r="Y17" s="16">
        <f>ROUND(X17*(1+'Interest rate projection'!AX19/Var_freq)+IF(Y$5="Mortgage Starts",0,Deposit_mon),2)</f>
        <v>25343.71</v>
      </c>
      <c r="Z17" s="57">
        <f>ROUND(Y17*(1+'Interest rate projection'!AY19/Var_freq)+IF(Z$5="Mortgage Starts",0,Deposit_mon),2)</f>
        <v>25472.07</v>
      </c>
      <c r="AA17" s="12"/>
      <c r="AB17" s="38">
        <f>'Interest rate projection'!Z19</f>
        <v>6.2499999999999993E-2</v>
      </c>
      <c r="AC17" s="38">
        <f>'Interest rate projection'!AZ19</f>
        <v>6.0778019397250027E-2</v>
      </c>
      <c r="AD17" s="59" t="str">
        <f t="shared" si="2"/>
        <v>OK</v>
      </c>
      <c r="AE17" s="39">
        <f t="shared" si="3"/>
        <v>12.838968481972367</v>
      </c>
      <c r="AF17" s="10"/>
      <c r="AG17" s="73">
        <f t="shared" si="5"/>
        <v>25472.07</v>
      </c>
      <c r="AH17" s="73">
        <f t="shared" si="6"/>
        <v>174527.93</v>
      </c>
      <c r="AI17" s="74">
        <f t="shared" si="4"/>
        <v>1132.8</v>
      </c>
      <c r="AJ17" s="9"/>
      <c r="AK17" s="73">
        <f>'Fixed rate projection'!$AE$3-('Variable rate projection'!AI17*Product_term*Var_freq)</f>
        <v>-36771</v>
      </c>
      <c r="AM17" s="14"/>
      <c r="AN17" s="10"/>
      <c r="AO17" s="11"/>
      <c r="AP17" s="11"/>
      <c r="AQ17" s="11"/>
      <c r="AR17" s="12"/>
      <c r="AS17" s="12"/>
      <c r="AT17" s="13"/>
      <c r="AV17" s="14"/>
      <c r="AW17" s="10"/>
      <c r="AX17" s="11"/>
      <c r="AY17" s="11"/>
      <c r="AZ17" s="11"/>
      <c r="BA17" s="12"/>
      <c r="BB17" s="12"/>
      <c r="BC17" s="13"/>
      <c r="BE17" s="14"/>
      <c r="BF17" s="10"/>
      <c r="BG17" s="11"/>
      <c r="BH17" s="11"/>
      <c r="BI17" s="11"/>
      <c r="BJ17" s="12"/>
      <c r="BK17" s="12"/>
      <c r="BL17" s="13"/>
      <c r="BN17" s="14"/>
      <c r="BO17" s="10"/>
      <c r="BP17" s="11"/>
      <c r="BQ17" s="11"/>
      <c r="BR17" s="11"/>
      <c r="BS17" s="12"/>
      <c r="BT17" s="12"/>
      <c r="BU17" s="13"/>
      <c r="BW17" s="14"/>
      <c r="BX17" s="10"/>
      <c r="BY17" s="11"/>
      <c r="BZ17" s="11"/>
      <c r="CA17" s="11"/>
      <c r="CB17" s="12"/>
      <c r="CC17" s="12"/>
      <c r="CD17" s="13"/>
      <c r="CF17" s="14"/>
      <c r="CG17" s="10"/>
      <c r="CH17" s="11"/>
      <c r="CI17" s="11"/>
      <c r="CJ17" s="11"/>
      <c r="CK17" s="12"/>
      <c r="CL17" s="12"/>
      <c r="CM17" s="13"/>
      <c r="CO17" s="13"/>
    </row>
    <row r="18" spans="1:93" x14ac:dyDescent="0.35">
      <c r="A18" s="27">
        <v>13</v>
      </c>
      <c r="B18" s="57">
        <f t="shared" si="1"/>
        <v>1000</v>
      </c>
      <c r="C18" s="16">
        <f>ROUND(B18*(1+'Interest rate projection'!AB20/Var_freq)+IF(C$5="Mortgage Starts",0,Deposit_mon),2)</f>
        <v>2003.67</v>
      </c>
      <c r="D18" s="16">
        <f>ROUND(C18*(1+'Interest rate projection'!AC20/Var_freq)+IF(D$5="Mortgage Starts",0,Deposit_mon),2)</f>
        <v>3011.03</v>
      </c>
      <c r="E18" s="16">
        <f>ROUND(D18*(1+'Interest rate projection'!AD20/Var_freq)+IF(E$5="Mortgage Starts",0,Deposit_mon),2)</f>
        <v>4022.09</v>
      </c>
      <c r="F18" s="16">
        <f>ROUND(E18*(1+'Interest rate projection'!AE20/Var_freq)+IF(F$5="Mortgage Starts",0,Deposit_mon),2)</f>
        <v>5036.87</v>
      </c>
      <c r="G18" s="16">
        <f>ROUND(F18*(1+'Interest rate projection'!AF20/Var_freq)+IF(G$5="Mortgage Starts",0,Deposit_mon),2)</f>
        <v>6055.38</v>
      </c>
      <c r="H18" s="16">
        <f>ROUND(G18*(1+'Interest rate projection'!AG20/Var_freq)+IF(H$5="Mortgage Starts",0,Deposit_mon),2)</f>
        <v>7077.63</v>
      </c>
      <c r="I18" s="16">
        <f>ROUND(H18*(1+'Interest rate projection'!AH20/Var_freq)+IF(I$5="Mortgage Starts",0,Deposit_mon),2)</f>
        <v>8103.64</v>
      </c>
      <c r="J18" s="16">
        <f>ROUND(I18*(1+'Interest rate projection'!AI20/Var_freq)+IF(J$5="Mortgage Starts",0,Deposit_mon),2)</f>
        <v>9133.42</v>
      </c>
      <c r="K18" s="16">
        <f>ROUND(J18*(1+'Interest rate projection'!AJ20/Var_freq)+IF(K$5="Mortgage Starts",0,Deposit_mon),2)</f>
        <v>10166.98</v>
      </c>
      <c r="L18" s="16">
        <f>ROUND(K18*(1+'Interest rate projection'!AK20/Var_freq)+IF(L$5="Mortgage Starts",0,Deposit_mon),2)</f>
        <v>11204.34</v>
      </c>
      <c r="M18" s="16">
        <f>ROUND(L18*(1+'Interest rate projection'!AL20/Var_freq)+IF(M$5="Mortgage Starts",0,Deposit_mon),2)</f>
        <v>12245.51</v>
      </c>
      <c r="N18" s="16">
        <f>ROUND(M18*(1+'Interest rate projection'!AM20/Var_freq)+IF(N$5="Mortgage Starts",0,Deposit_mon),2)</f>
        <v>13290.51</v>
      </c>
      <c r="O18" s="16">
        <f>ROUND(N18*(1+'Interest rate projection'!AN20/Var_freq)+IF(O$5="Mortgage Starts",0,Deposit_mon),2)</f>
        <v>14339.35</v>
      </c>
      <c r="P18" s="16">
        <f>ROUND(O18*(1+'Interest rate projection'!AO20/Var_freq)+IF(P$5="Mortgage Starts",0,Deposit_mon),2)</f>
        <v>15392.04</v>
      </c>
      <c r="Q18" s="16">
        <f>ROUND(P18*(1+'Interest rate projection'!AP20/Var_freq)+IF(Q$5="Mortgage Starts",0,Deposit_mon),2)</f>
        <v>16448.599999999999</v>
      </c>
      <c r="R18" s="16">
        <f>ROUND(Q18*(1+'Interest rate projection'!AQ20/Var_freq)+IF(R$5="Mortgage Starts",0,Deposit_mon),2)</f>
        <v>17509.05</v>
      </c>
      <c r="S18" s="16">
        <f>ROUND(R18*(1+'Interest rate projection'!AR20/Var_freq)+IF(S$5="Mortgage Starts",0,Deposit_mon),2)</f>
        <v>18573.39</v>
      </c>
      <c r="T18" s="16">
        <f>ROUND(S18*(1+'Interest rate projection'!AS20/Var_freq)+IF(T$5="Mortgage Starts",0,Deposit_mon),2)</f>
        <v>19641.64</v>
      </c>
      <c r="U18" s="16">
        <f>ROUND(T18*(1+'Interest rate projection'!AT20/Var_freq)+IF(U$5="Mortgage Starts",0,Deposit_mon),2)</f>
        <v>20717.75</v>
      </c>
      <c r="V18" s="16">
        <f>ROUND(U18*(1+'Interest rate projection'!AU20/Var_freq)+IF(V$5="Mortgage Starts",0,Deposit_mon),2)</f>
        <v>21798.02</v>
      </c>
      <c r="W18" s="16">
        <f>ROUND(V18*(1+'Interest rate projection'!AV20/Var_freq)+IF(W$5="Mortgage Starts",0,Deposit_mon),2)</f>
        <v>22882.48</v>
      </c>
      <c r="X18" s="16">
        <f>ROUND(W18*(1+'Interest rate projection'!AW20/Var_freq)+IF(X$5="Mortgage Starts",0,Deposit_mon),2)</f>
        <v>23966.57</v>
      </c>
      <c r="Y18" s="16">
        <f>ROUND(X18*(1+'Interest rate projection'!AX20/Var_freq)+IF(Y$5="Mortgage Starts",0,Deposit_mon),2)</f>
        <v>25054.639999999999</v>
      </c>
      <c r="Z18" s="57">
        <f>ROUND(Y18*(1+'Interest rate projection'!AY20/Var_freq)+IF(Z$5="Mortgage Starts",0,Deposit_mon),2)</f>
        <v>25146.71</v>
      </c>
      <c r="AA18" s="12"/>
      <c r="AB18" s="38">
        <f>'Interest rate projection'!Z20</f>
        <v>4.4999999999999998E-2</v>
      </c>
      <c r="AC18" s="38">
        <f>'Interest rate projection'!AZ20</f>
        <v>4.4097712805242217E-2</v>
      </c>
      <c r="AD18" s="59" t="str">
        <f t="shared" si="2"/>
        <v>OK</v>
      </c>
      <c r="AE18" s="39">
        <f t="shared" si="3"/>
        <v>15.131610255367837</v>
      </c>
      <c r="AF18" s="10"/>
      <c r="AG18" s="73">
        <f t="shared" si="5"/>
        <v>25146.71</v>
      </c>
      <c r="AH18" s="73">
        <f t="shared" si="6"/>
        <v>174853.29</v>
      </c>
      <c r="AI18" s="74">
        <f t="shared" si="4"/>
        <v>962.96</v>
      </c>
      <c r="AJ18" s="9"/>
      <c r="AK18" s="73">
        <f>'Fixed rate projection'!$AE$3-('Variable rate projection'!AI18*Product_term*Var_freq)</f>
        <v>14181</v>
      </c>
      <c r="AM18" s="14"/>
      <c r="AN18" s="10"/>
      <c r="AO18" s="11"/>
      <c r="AP18" s="11"/>
      <c r="AQ18" s="11"/>
      <c r="AR18" s="12"/>
      <c r="AS18" s="12"/>
      <c r="AT18" s="13"/>
      <c r="AV18" s="14"/>
      <c r="AW18" s="10"/>
      <c r="AX18" s="11"/>
      <c r="AY18" s="11"/>
      <c r="AZ18" s="11"/>
      <c r="BA18" s="12"/>
      <c r="BB18" s="12"/>
      <c r="BC18" s="13"/>
      <c r="BE18" s="14"/>
      <c r="BF18" s="10"/>
      <c r="BG18" s="11"/>
      <c r="BH18" s="11"/>
      <c r="BI18" s="11"/>
      <c r="BJ18" s="12"/>
      <c r="BK18" s="12"/>
      <c r="BL18" s="13"/>
      <c r="BN18" s="14"/>
      <c r="BO18" s="10"/>
      <c r="BP18" s="11"/>
      <c r="BQ18" s="11"/>
      <c r="BR18" s="11"/>
      <c r="BS18" s="12"/>
      <c r="BT18" s="12"/>
      <c r="BU18" s="13"/>
      <c r="BW18" s="14"/>
      <c r="BX18" s="10"/>
      <c r="BY18" s="11"/>
      <c r="BZ18" s="11"/>
      <c r="CA18" s="11"/>
      <c r="CB18" s="12"/>
      <c r="CC18" s="12"/>
      <c r="CD18" s="13"/>
      <c r="CF18" s="14"/>
      <c r="CG18" s="10"/>
      <c r="CH18" s="11"/>
      <c r="CI18" s="11"/>
      <c r="CJ18" s="11"/>
      <c r="CK18" s="12"/>
      <c r="CL18" s="12"/>
      <c r="CM18" s="13"/>
      <c r="CO18" s="13"/>
    </row>
    <row r="19" spans="1:93" x14ac:dyDescent="0.35">
      <c r="A19" s="5">
        <v>14</v>
      </c>
      <c r="B19" s="57">
        <f t="shared" si="1"/>
        <v>1000</v>
      </c>
      <c r="C19" s="16">
        <f>ROUND(B19*(1+'Interest rate projection'!AB21/Var_freq)+IF(C$5="Mortgage Starts",0,Deposit_mon),2)</f>
        <v>2003.67</v>
      </c>
      <c r="D19" s="16">
        <f>ROUND(C19*(1+'Interest rate projection'!AC21/Var_freq)+IF(D$5="Mortgage Starts",0,Deposit_mon),2)</f>
        <v>3011.03</v>
      </c>
      <c r="E19" s="16">
        <f>ROUND(D19*(1+'Interest rate projection'!AD21/Var_freq)+IF(E$5="Mortgage Starts",0,Deposit_mon),2)</f>
        <v>4022.09</v>
      </c>
      <c r="F19" s="16">
        <f>ROUND(E19*(1+'Interest rate projection'!AE21/Var_freq)+IF(F$5="Mortgage Starts",0,Deposit_mon),2)</f>
        <v>5036.87</v>
      </c>
      <c r="G19" s="16">
        <f>ROUND(F19*(1+'Interest rate projection'!AF21/Var_freq)+IF(G$5="Mortgage Starts",0,Deposit_mon),2)</f>
        <v>6055.38</v>
      </c>
      <c r="H19" s="16">
        <f>ROUND(G19*(1+'Interest rate projection'!AG21/Var_freq)+IF(H$5="Mortgage Starts",0,Deposit_mon),2)</f>
        <v>7077.63</v>
      </c>
      <c r="I19" s="16">
        <f>ROUND(H19*(1+'Interest rate projection'!AH21/Var_freq)+IF(I$5="Mortgage Starts",0,Deposit_mon),2)</f>
        <v>8103.64</v>
      </c>
      <c r="J19" s="16">
        <f>ROUND(I19*(1+'Interest rate projection'!AI21/Var_freq)+IF(J$5="Mortgage Starts",0,Deposit_mon),2)</f>
        <v>9133.42</v>
      </c>
      <c r="K19" s="16">
        <f>ROUND(J19*(1+'Interest rate projection'!AJ21/Var_freq)+IF(K$5="Mortgage Starts",0,Deposit_mon),2)</f>
        <v>10166.98</v>
      </c>
      <c r="L19" s="16">
        <f>ROUND(K19*(1+'Interest rate projection'!AK21/Var_freq)+IF(L$5="Mortgage Starts",0,Deposit_mon),2)</f>
        <v>11204.34</v>
      </c>
      <c r="M19" s="16">
        <f>ROUND(L19*(1+'Interest rate projection'!AL21/Var_freq)+IF(M$5="Mortgage Starts",0,Deposit_mon),2)</f>
        <v>12245.51</v>
      </c>
      <c r="N19" s="16">
        <f>ROUND(M19*(1+'Interest rate projection'!AM21/Var_freq)+IF(N$5="Mortgage Starts",0,Deposit_mon),2)</f>
        <v>13290.51</v>
      </c>
      <c r="O19" s="16">
        <f>ROUND(N19*(1+'Interest rate projection'!AN21/Var_freq)+IF(O$5="Mortgage Starts",0,Deposit_mon),2)</f>
        <v>14339.35</v>
      </c>
      <c r="P19" s="16">
        <f>ROUND(O19*(1+'Interest rate projection'!AO21/Var_freq)+IF(P$5="Mortgage Starts",0,Deposit_mon),2)</f>
        <v>15392.04</v>
      </c>
      <c r="Q19" s="16">
        <f>ROUND(P19*(1+'Interest rate projection'!AP21/Var_freq)+IF(Q$5="Mortgage Starts",0,Deposit_mon),2)</f>
        <v>16448.599999999999</v>
      </c>
      <c r="R19" s="16">
        <f>ROUND(Q19*(1+'Interest rate projection'!AQ21/Var_freq)+IF(R$5="Mortgage Starts",0,Deposit_mon),2)</f>
        <v>17509.05</v>
      </c>
      <c r="S19" s="16">
        <f>ROUND(R19*(1+'Interest rate projection'!AR21/Var_freq)+IF(S$5="Mortgage Starts",0,Deposit_mon),2)</f>
        <v>18573.39</v>
      </c>
      <c r="T19" s="16">
        <f>ROUND(S19*(1+'Interest rate projection'!AS21/Var_freq)+IF(T$5="Mortgage Starts",0,Deposit_mon),2)</f>
        <v>19641.64</v>
      </c>
      <c r="U19" s="16">
        <f>ROUND(T19*(1+'Interest rate projection'!AT21/Var_freq)+IF(U$5="Mortgage Starts",0,Deposit_mon),2)</f>
        <v>20713.82</v>
      </c>
      <c r="V19" s="16">
        <f>ROUND(U19*(1+'Interest rate projection'!AU21/Var_freq)+IF(V$5="Mortgage Starts",0,Deposit_mon),2)</f>
        <v>21789.94</v>
      </c>
      <c r="W19" s="16">
        <f>ROUND(V19*(1+'Interest rate projection'!AV21/Var_freq)+IF(W$5="Mortgage Starts",0,Deposit_mon),2)</f>
        <v>22870.01</v>
      </c>
      <c r="X19" s="16">
        <f>ROUND(W19*(1+'Interest rate projection'!AW21/Var_freq)+IF(X$5="Mortgage Starts",0,Deposit_mon),2)</f>
        <v>23954.05</v>
      </c>
      <c r="Y19" s="16">
        <f>ROUND(X19*(1+'Interest rate projection'!AX21/Var_freq)+IF(Y$5="Mortgage Starts",0,Deposit_mon),2)</f>
        <v>25046.86</v>
      </c>
      <c r="Z19" s="57">
        <f>ROUND(Y19*(1+'Interest rate projection'!AY21/Var_freq)+IF(Z$5="Mortgage Starts",0,Deposit_mon),2)</f>
        <v>25143.91</v>
      </c>
      <c r="AA19" s="12"/>
      <c r="AB19" s="38">
        <f>'Interest rate projection'!Z21</f>
        <v>4.7500000000000001E-2</v>
      </c>
      <c r="AC19" s="38">
        <f>'Interest rate projection'!AZ21</f>
        <v>4.6496219905550085E-2</v>
      </c>
      <c r="AD19" s="59" t="str">
        <f t="shared" si="2"/>
        <v>OK</v>
      </c>
      <c r="AE19" s="39">
        <f t="shared" si="3"/>
        <v>14.766012404082064</v>
      </c>
      <c r="AF19" s="10"/>
      <c r="AG19" s="73">
        <f t="shared" si="5"/>
        <v>25143.91</v>
      </c>
      <c r="AH19" s="73">
        <f t="shared" si="6"/>
        <v>174856.09</v>
      </c>
      <c r="AI19" s="74">
        <f t="shared" si="4"/>
        <v>986.82</v>
      </c>
      <c r="AJ19" s="9"/>
      <c r="AK19" s="73">
        <f>'Fixed rate projection'!$AE$3-('Variable rate projection'!AI19*Product_term*Var_freq)</f>
        <v>7023</v>
      </c>
      <c r="AM19" s="14"/>
      <c r="AN19" s="10"/>
      <c r="AO19" s="11"/>
      <c r="AP19" s="11"/>
      <c r="AQ19" s="11"/>
      <c r="AR19" s="12"/>
      <c r="AS19" s="12"/>
      <c r="AT19" s="13"/>
      <c r="AV19" s="14"/>
      <c r="AW19" s="10"/>
      <c r="AX19" s="11"/>
      <c r="AY19" s="11"/>
      <c r="AZ19" s="11"/>
      <c r="BA19" s="12"/>
      <c r="BB19" s="12"/>
      <c r="BC19" s="13"/>
      <c r="BE19" s="14"/>
      <c r="BF19" s="10"/>
      <c r="BG19" s="11"/>
      <c r="BH19" s="11"/>
      <c r="BI19" s="11"/>
      <c r="BJ19" s="12"/>
      <c r="BK19" s="12"/>
      <c r="BL19" s="13"/>
      <c r="BN19" s="14"/>
      <c r="BO19" s="10"/>
      <c r="BP19" s="11"/>
      <c r="BQ19" s="11"/>
      <c r="BR19" s="11"/>
      <c r="BS19" s="12"/>
      <c r="BT19" s="12"/>
      <c r="BU19" s="13"/>
      <c r="BW19" s="14"/>
      <c r="BX19" s="10"/>
      <c r="BY19" s="11"/>
      <c r="BZ19" s="11"/>
      <c r="CA19" s="11"/>
      <c r="CB19" s="12"/>
      <c r="CC19" s="12"/>
      <c r="CD19" s="13"/>
      <c r="CF19" s="14"/>
      <c r="CG19" s="10"/>
      <c r="CH19" s="11"/>
      <c r="CI19" s="11"/>
      <c r="CJ19" s="11"/>
      <c r="CK19" s="12"/>
      <c r="CL19" s="12"/>
      <c r="CM19" s="13"/>
      <c r="CO19" s="13"/>
    </row>
    <row r="20" spans="1:93" x14ac:dyDescent="0.35">
      <c r="A20" s="27">
        <v>15</v>
      </c>
      <c r="B20" s="57">
        <f t="shared" si="1"/>
        <v>1000</v>
      </c>
      <c r="C20" s="16">
        <f>ROUND(B20*(1+'Interest rate projection'!AB22/Var_freq)+IF(C$5="Mortgage Starts",0,Deposit_mon),2)</f>
        <v>2003.67</v>
      </c>
      <c r="D20" s="16">
        <f>ROUND(C20*(1+'Interest rate projection'!AC22/Var_freq)+IF(D$5="Mortgage Starts",0,Deposit_mon),2)</f>
        <v>3011.03</v>
      </c>
      <c r="E20" s="16">
        <f>ROUND(D20*(1+'Interest rate projection'!AD22/Var_freq)+IF(E$5="Mortgage Starts",0,Deposit_mon),2)</f>
        <v>4022.09</v>
      </c>
      <c r="F20" s="16">
        <f>ROUND(E20*(1+'Interest rate projection'!AE22/Var_freq)+IF(F$5="Mortgage Starts",0,Deposit_mon),2)</f>
        <v>5036.87</v>
      </c>
      <c r="G20" s="16">
        <f>ROUND(F20*(1+'Interest rate projection'!AF22/Var_freq)+IF(G$5="Mortgage Starts",0,Deposit_mon),2)</f>
        <v>6055.38</v>
      </c>
      <c r="H20" s="16">
        <f>ROUND(G20*(1+'Interest rate projection'!AG22/Var_freq)+IF(H$5="Mortgage Starts",0,Deposit_mon),2)</f>
        <v>7077.63</v>
      </c>
      <c r="I20" s="16">
        <f>ROUND(H20*(1+'Interest rate projection'!AH22/Var_freq)+IF(I$5="Mortgage Starts",0,Deposit_mon),2)</f>
        <v>8103.64</v>
      </c>
      <c r="J20" s="16">
        <f>ROUND(I20*(1+'Interest rate projection'!AI22/Var_freq)+IF(J$5="Mortgage Starts",0,Deposit_mon),2)</f>
        <v>9133.42</v>
      </c>
      <c r="K20" s="16">
        <f>ROUND(J20*(1+'Interest rate projection'!AJ22/Var_freq)+IF(K$5="Mortgage Starts",0,Deposit_mon),2)</f>
        <v>10165.15</v>
      </c>
      <c r="L20" s="16">
        <f>ROUND(K20*(1+'Interest rate projection'!AK22/Var_freq)+IF(L$5="Mortgage Starts",0,Deposit_mon),2)</f>
        <v>11204.54</v>
      </c>
      <c r="M20" s="16">
        <f>ROUND(L20*(1+'Interest rate projection'!AL22/Var_freq)+IF(M$5="Mortgage Starts",0,Deposit_mon),2)</f>
        <v>12247.95</v>
      </c>
      <c r="N20" s="16">
        <f>ROUND(M20*(1+'Interest rate projection'!AM22/Var_freq)+IF(N$5="Mortgage Starts",0,Deposit_mon),2)</f>
        <v>13295.41</v>
      </c>
      <c r="O20" s="16">
        <f>ROUND(N20*(1+'Interest rate projection'!AN22/Var_freq)+IF(O$5="Mortgage Starts",0,Deposit_mon),2)</f>
        <v>14346.93</v>
      </c>
      <c r="P20" s="16">
        <f>ROUND(O20*(1+'Interest rate projection'!AO22/Var_freq)+IF(P$5="Mortgage Starts",0,Deposit_mon),2)</f>
        <v>15402.52</v>
      </c>
      <c r="Q20" s="16">
        <f>ROUND(P20*(1+'Interest rate projection'!AP22/Var_freq)+IF(Q$5="Mortgage Starts",0,Deposit_mon),2)</f>
        <v>16462.2</v>
      </c>
      <c r="R20" s="16">
        <f>ROUND(Q20*(1+'Interest rate projection'!AQ22/Var_freq)+IF(R$5="Mortgage Starts",0,Deposit_mon),2)</f>
        <v>17525.990000000002</v>
      </c>
      <c r="S20" s="16">
        <f>ROUND(R20*(1+'Interest rate projection'!AR22/Var_freq)+IF(S$5="Mortgage Starts",0,Deposit_mon),2)</f>
        <v>18593.900000000001</v>
      </c>
      <c r="T20" s="16">
        <f>ROUND(S20*(1+'Interest rate projection'!AS22/Var_freq)+IF(T$5="Mortgage Starts",0,Deposit_mon),2)</f>
        <v>19665.95</v>
      </c>
      <c r="U20" s="16">
        <f>ROUND(T20*(1+'Interest rate projection'!AT22/Var_freq)+IF(U$5="Mortgage Starts",0,Deposit_mon),2)</f>
        <v>20742.150000000001</v>
      </c>
      <c r="V20" s="16">
        <f>ROUND(U20*(1+'Interest rate projection'!AU22/Var_freq)+IF(V$5="Mortgage Starts",0,Deposit_mon),2)</f>
        <v>21822.52</v>
      </c>
      <c r="W20" s="16">
        <f>ROUND(V20*(1+'Interest rate projection'!AV22/Var_freq)+IF(W$5="Mortgage Starts",0,Deposit_mon),2)</f>
        <v>22915.77</v>
      </c>
      <c r="X20" s="16">
        <f>ROUND(W20*(1+'Interest rate projection'!AW22/Var_freq)+IF(X$5="Mortgage Starts",0,Deposit_mon),2)</f>
        <v>24013.69</v>
      </c>
      <c r="Y20" s="16">
        <f>ROUND(X20*(1+'Interest rate projection'!AX22/Var_freq)+IF(Y$5="Mortgage Starts",0,Deposit_mon),2)</f>
        <v>25116.3</v>
      </c>
      <c r="Z20" s="57">
        <f>ROUND(Y20*(1+'Interest rate projection'!AY22/Var_freq)+IF(Z$5="Mortgage Starts",0,Deposit_mon),2)</f>
        <v>25223.63</v>
      </c>
      <c r="AA20" s="12"/>
      <c r="AB20" s="38">
        <f>'Interest rate projection'!Z22</f>
        <v>5.2499999999999991E-2</v>
      </c>
      <c r="AC20" s="38">
        <f>'Interest rate projection'!AZ22</f>
        <v>5.1277533193896829E-2</v>
      </c>
      <c r="AD20" s="59" t="str">
        <f t="shared" si="2"/>
        <v>OK</v>
      </c>
      <c r="AE20" s="39">
        <f t="shared" si="3"/>
        <v>14.075212462503044</v>
      </c>
      <c r="AF20" s="10"/>
      <c r="AG20" s="73">
        <f t="shared" si="5"/>
        <v>25223.63</v>
      </c>
      <c r="AH20" s="73">
        <f t="shared" si="6"/>
        <v>174776.37</v>
      </c>
      <c r="AI20" s="74">
        <f t="shared" si="4"/>
        <v>1034.78</v>
      </c>
      <c r="AJ20" s="9"/>
      <c r="AK20" s="73">
        <f>'Fixed rate projection'!$AE$3-('Variable rate projection'!AI20*Product_term*Var_freq)</f>
        <v>-7365</v>
      </c>
      <c r="AM20" s="14"/>
      <c r="AN20" s="10"/>
      <c r="AO20" s="11"/>
      <c r="AP20" s="11"/>
      <c r="AQ20" s="11"/>
      <c r="AR20" s="12"/>
      <c r="AS20" s="12"/>
      <c r="AT20" s="13"/>
      <c r="AV20" s="14"/>
      <c r="AW20" s="10"/>
      <c r="AX20" s="11"/>
      <c r="AY20" s="11"/>
      <c r="AZ20" s="11"/>
      <c r="BA20" s="12"/>
      <c r="BB20" s="12"/>
      <c r="BC20" s="13"/>
      <c r="BE20" s="14"/>
      <c r="BF20" s="10"/>
      <c r="BG20" s="11"/>
      <c r="BH20" s="11"/>
      <c r="BI20" s="11"/>
      <c r="BJ20" s="12"/>
      <c r="BK20" s="12"/>
      <c r="BL20" s="13"/>
      <c r="BN20" s="14"/>
      <c r="BO20" s="10"/>
      <c r="BP20" s="11"/>
      <c r="BQ20" s="11"/>
      <c r="BR20" s="11"/>
      <c r="BS20" s="12"/>
      <c r="BT20" s="12"/>
      <c r="BU20" s="13"/>
      <c r="BW20" s="14"/>
      <c r="BX20" s="10"/>
      <c r="BY20" s="11"/>
      <c r="BZ20" s="11"/>
      <c r="CA20" s="11"/>
      <c r="CB20" s="12"/>
      <c r="CC20" s="12"/>
      <c r="CD20" s="13"/>
      <c r="CF20" s="14"/>
      <c r="CG20" s="10"/>
      <c r="CH20" s="11"/>
      <c r="CI20" s="11"/>
      <c r="CJ20" s="11"/>
      <c r="CK20" s="12"/>
      <c r="CL20" s="12"/>
      <c r="CM20" s="13"/>
      <c r="CO20" s="13"/>
    </row>
    <row r="21" spans="1:93" x14ac:dyDescent="0.35">
      <c r="A21" s="5">
        <v>16</v>
      </c>
      <c r="B21" s="57">
        <f t="shared" si="1"/>
        <v>1000</v>
      </c>
      <c r="C21" s="16">
        <f>ROUND(B21*(1+'Interest rate projection'!AB23/Var_freq)+IF(C$5="Mortgage Starts",0,Deposit_mon),2)</f>
        <v>2003.67</v>
      </c>
      <c r="D21" s="16">
        <f>ROUND(C21*(1+'Interest rate projection'!AC23/Var_freq)+IF(D$5="Mortgage Starts",0,Deposit_mon),2)</f>
        <v>3011.43</v>
      </c>
      <c r="E21" s="16">
        <f>ROUND(D21*(1+'Interest rate projection'!AD23/Var_freq)+IF(E$5="Mortgage Starts",0,Deposit_mon),2)</f>
        <v>4023.7</v>
      </c>
      <c r="F21" s="16">
        <f>ROUND(E21*(1+'Interest rate projection'!AE23/Var_freq)+IF(F$5="Mortgage Starts",0,Deposit_mon),2)</f>
        <v>5040.09</v>
      </c>
      <c r="G21" s="16">
        <f>ROUND(F21*(1+'Interest rate projection'!AF23/Var_freq)+IF(G$5="Mortgage Starts",0,Deposit_mon),2)</f>
        <v>6060.62</v>
      </c>
      <c r="H21" s="16">
        <f>ROUND(G21*(1+'Interest rate projection'!AG23/Var_freq)+IF(H$5="Mortgage Starts",0,Deposit_mon),2)</f>
        <v>7085.31</v>
      </c>
      <c r="I21" s="16">
        <f>ROUND(H21*(1+'Interest rate projection'!AH23/Var_freq)+IF(I$5="Mortgage Starts",0,Deposit_mon),2)</f>
        <v>8114.18</v>
      </c>
      <c r="J21" s="16">
        <f>ROUND(I21*(1+'Interest rate projection'!AI23/Var_freq)+IF(J$5="Mortgage Starts",0,Deposit_mon),2)</f>
        <v>9147.24</v>
      </c>
      <c r="K21" s="16">
        <f>ROUND(J21*(1+'Interest rate projection'!AJ23/Var_freq)+IF(K$5="Mortgage Starts",0,Deposit_mon),2)</f>
        <v>10184.51</v>
      </c>
      <c r="L21" s="16">
        <f>ROUND(K21*(1+'Interest rate projection'!AK23/Var_freq)+IF(L$5="Mortgage Starts",0,Deposit_mon),2)</f>
        <v>11226</v>
      </c>
      <c r="M21" s="16">
        <f>ROUND(L21*(1+'Interest rate projection'!AL23/Var_freq)+IF(M$5="Mortgage Starts",0,Deposit_mon),2)</f>
        <v>12271.74</v>
      </c>
      <c r="N21" s="16">
        <f>ROUND(M21*(1+'Interest rate projection'!AM23/Var_freq)+IF(N$5="Mortgage Starts",0,Deposit_mon),2)</f>
        <v>13321.74</v>
      </c>
      <c r="O21" s="16">
        <f>ROUND(N21*(1+'Interest rate projection'!AN23/Var_freq)+IF(O$5="Mortgage Starts",0,Deposit_mon),2)</f>
        <v>14370.69</v>
      </c>
      <c r="P21" s="16">
        <f>ROUND(O21*(1+'Interest rate projection'!AO23/Var_freq)+IF(P$5="Mortgage Starts",0,Deposit_mon),2)</f>
        <v>15423.5</v>
      </c>
      <c r="Q21" s="16">
        <f>ROUND(P21*(1+'Interest rate projection'!AP23/Var_freq)+IF(Q$5="Mortgage Starts",0,Deposit_mon),2)</f>
        <v>16480.18</v>
      </c>
      <c r="R21" s="16">
        <f>ROUND(Q21*(1+'Interest rate projection'!AQ23/Var_freq)+IF(R$5="Mortgage Starts",0,Deposit_mon),2)</f>
        <v>17537.439999999999</v>
      </c>
      <c r="S21" s="16">
        <f>ROUND(R21*(1+'Interest rate projection'!AR23/Var_freq)+IF(S$5="Mortgage Starts",0,Deposit_mon),2)</f>
        <v>18598.37</v>
      </c>
      <c r="T21" s="16">
        <f>ROUND(S21*(1+'Interest rate projection'!AS23/Var_freq)+IF(T$5="Mortgage Starts",0,Deposit_mon),2)</f>
        <v>19662.990000000002</v>
      </c>
      <c r="U21" s="16">
        <f>ROUND(T21*(1+'Interest rate projection'!AT23/Var_freq)+IF(U$5="Mortgage Starts",0,Deposit_mon),2)</f>
        <v>20739.18</v>
      </c>
      <c r="V21" s="16">
        <f>ROUND(U21*(1+'Interest rate projection'!AU23/Var_freq)+IF(V$5="Mortgage Starts",0,Deposit_mon),2)</f>
        <v>21819.54</v>
      </c>
      <c r="W21" s="16">
        <f>ROUND(V21*(1+'Interest rate projection'!AV23/Var_freq)+IF(W$5="Mortgage Starts",0,Deposit_mon),2)</f>
        <v>22904.080000000002</v>
      </c>
      <c r="X21" s="16">
        <f>ROUND(W21*(1+'Interest rate projection'!AW23/Var_freq)+IF(X$5="Mortgage Starts",0,Deposit_mon),2)</f>
        <v>23992.83</v>
      </c>
      <c r="Y21" s="16">
        <f>ROUND(X21*(1+'Interest rate projection'!AX23/Var_freq)+IF(Y$5="Mortgage Starts",0,Deposit_mon),2)</f>
        <v>25085.79</v>
      </c>
      <c r="Z21" s="57">
        <f>ROUND(Y21*(1+'Interest rate projection'!AY23/Var_freq)+IF(Z$5="Mortgage Starts",0,Deposit_mon),2)</f>
        <v>25182.99</v>
      </c>
      <c r="AA21" s="12"/>
      <c r="AB21" s="38">
        <f>'Interest rate projection'!Z23</f>
        <v>4.7500000000000001E-2</v>
      </c>
      <c r="AC21" s="38">
        <f>'Interest rate projection'!AZ23</f>
        <v>4.6496219905550085E-2</v>
      </c>
      <c r="AD21" s="59" t="str">
        <f t="shared" si="2"/>
        <v>OK</v>
      </c>
      <c r="AE21" s="39">
        <f t="shared" si="3"/>
        <v>14.766012404082064</v>
      </c>
      <c r="AF21" s="10"/>
      <c r="AG21" s="73">
        <f t="shared" si="5"/>
        <v>25182.99</v>
      </c>
      <c r="AH21" s="73">
        <f t="shared" si="6"/>
        <v>174817.01</v>
      </c>
      <c r="AI21" s="74">
        <f t="shared" si="4"/>
        <v>986.6</v>
      </c>
      <c r="AJ21" s="9"/>
      <c r="AK21" s="73">
        <f>'Fixed rate projection'!$AE$3-('Variable rate projection'!AI21*Product_term*Var_freq)</f>
        <v>7089</v>
      </c>
      <c r="AM21" s="14"/>
      <c r="AN21" s="10"/>
      <c r="AO21" s="11"/>
      <c r="AP21" s="11"/>
      <c r="AQ21" s="11"/>
      <c r="AR21" s="12"/>
      <c r="AS21" s="12"/>
      <c r="AT21" s="13"/>
      <c r="AV21" s="14"/>
      <c r="AW21" s="10"/>
      <c r="AX21" s="11"/>
      <c r="AY21" s="11"/>
      <c r="AZ21" s="11"/>
      <c r="BA21" s="12"/>
      <c r="BB21" s="12"/>
      <c r="BC21" s="13"/>
      <c r="BE21" s="14"/>
      <c r="BF21" s="10"/>
      <c r="BG21" s="11"/>
      <c r="BH21" s="11"/>
      <c r="BI21" s="11"/>
      <c r="BJ21" s="12"/>
      <c r="BK21" s="12"/>
      <c r="BL21" s="13"/>
      <c r="BN21" s="14"/>
      <c r="BO21" s="10"/>
      <c r="BP21" s="11"/>
      <c r="BQ21" s="11"/>
      <c r="BR21" s="11"/>
      <c r="BS21" s="12"/>
      <c r="BT21" s="12"/>
      <c r="BU21" s="13"/>
      <c r="BW21" s="14"/>
      <c r="BX21" s="10"/>
      <c r="BY21" s="11"/>
      <c r="BZ21" s="11"/>
      <c r="CA21" s="11"/>
      <c r="CB21" s="12"/>
      <c r="CC21" s="12"/>
      <c r="CD21" s="13"/>
      <c r="CF21" s="14"/>
      <c r="CG21" s="10"/>
      <c r="CH21" s="11"/>
      <c r="CI21" s="11"/>
      <c r="CJ21" s="11"/>
      <c r="CK21" s="12"/>
      <c r="CL21" s="12"/>
      <c r="CM21" s="13"/>
      <c r="CO21" s="13"/>
    </row>
    <row r="22" spans="1:93" x14ac:dyDescent="0.35">
      <c r="A22" s="27">
        <v>17</v>
      </c>
      <c r="B22" s="57">
        <f t="shared" si="1"/>
        <v>1000</v>
      </c>
      <c r="C22" s="16">
        <f>ROUND(B22*(1+'Interest rate projection'!AB24/Var_freq)+IF(C$5="Mortgage Starts",0,Deposit_mon),2)</f>
        <v>2003.67</v>
      </c>
      <c r="D22" s="16">
        <f>ROUND(C22*(1+'Interest rate projection'!AC24/Var_freq)+IF(D$5="Mortgage Starts",0,Deposit_mon),2)</f>
        <v>3011.03</v>
      </c>
      <c r="E22" s="16">
        <f>ROUND(D22*(1+'Interest rate projection'!AD24/Var_freq)+IF(E$5="Mortgage Starts",0,Deposit_mon),2)</f>
        <v>4022.09</v>
      </c>
      <c r="F22" s="16">
        <f>ROUND(E22*(1+'Interest rate projection'!AE24/Var_freq)+IF(F$5="Mortgage Starts",0,Deposit_mon),2)</f>
        <v>5036.87</v>
      </c>
      <c r="G22" s="16">
        <f>ROUND(F22*(1+'Interest rate projection'!AF24/Var_freq)+IF(G$5="Mortgage Starts",0,Deposit_mon),2)</f>
        <v>6055.38</v>
      </c>
      <c r="H22" s="16">
        <f>ROUND(G22*(1+'Interest rate projection'!AG24/Var_freq)+IF(H$5="Mortgage Starts",0,Deposit_mon),2)</f>
        <v>7077.63</v>
      </c>
      <c r="I22" s="16">
        <f>ROUND(H22*(1+'Interest rate projection'!AH24/Var_freq)+IF(I$5="Mortgage Starts",0,Deposit_mon),2)</f>
        <v>8103.64</v>
      </c>
      <c r="J22" s="16">
        <f>ROUND(I22*(1+'Interest rate projection'!AI24/Var_freq)+IF(J$5="Mortgage Starts",0,Deposit_mon),2)</f>
        <v>9133.42</v>
      </c>
      <c r="K22" s="16">
        <f>ROUND(J22*(1+'Interest rate projection'!AJ24/Var_freq)+IF(K$5="Mortgage Starts",0,Deposit_mon),2)</f>
        <v>10166.98</v>
      </c>
      <c r="L22" s="16">
        <f>ROUND(K22*(1+'Interest rate projection'!AK24/Var_freq)+IF(L$5="Mortgage Starts",0,Deposit_mon),2)</f>
        <v>11204.34</v>
      </c>
      <c r="M22" s="16">
        <f>ROUND(L22*(1+'Interest rate projection'!AL24/Var_freq)+IF(M$5="Mortgage Starts",0,Deposit_mon),2)</f>
        <v>12245.51</v>
      </c>
      <c r="N22" s="16">
        <f>ROUND(M22*(1+'Interest rate projection'!AM24/Var_freq)+IF(N$5="Mortgage Starts",0,Deposit_mon),2)</f>
        <v>13288.06</v>
      </c>
      <c r="O22" s="16">
        <f>ROUND(N22*(1+'Interest rate projection'!AN24/Var_freq)+IF(O$5="Mortgage Starts",0,Deposit_mon),2)</f>
        <v>14334.23</v>
      </c>
      <c r="P22" s="16">
        <f>ROUND(O22*(1+'Interest rate projection'!AO24/Var_freq)+IF(P$5="Mortgage Starts",0,Deposit_mon),2)</f>
        <v>15384.03</v>
      </c>
      <c r="Q22" s="16">
        <f>ROUND(P22*(1+'Interest rate projection'!AP24/Var_freq)+IF(Q$5="Mortgage Starts",0,Deposit_mon),2)</f>
        <v>16431.3</v>
      </c>
      <c r="R22" s="16">
        <f>ROUND(Q22*(1+'Interest rate projection'!AQ24/Var_freq)+IF(R$5="Mortgage Starts",0,Deposit_mon),2)</f>
        <v>17481.79</v>
      </c>
      <c r="S22" s="16">
        <f>ROUND(R22*(1+'Interest rate projection'!AR24/Var_freq)+IF(S$5="Mortgage Starts",0,Deposit_mon),2)</f>
        <v>18535.5</v>
      </c>
      <c r="T22" s="16">
        <f>ROUND(S22*(1+'Interest rate projection'!AS24/Var_freq)+IF(T$5="Mortgage Starts",0,Deposit_mon),2)</f>
        <v>19592.45</v>
      </c>
      <c r="U22" s="16">
        <f>ROUND(T22*(1+'Interest rate projection'!AT24/Var_freq)+IF(U$5="Mortgage Starts",0,Deposit_mon),2)</f>
        <v>20656.59</v>
      </c>
      <c r="V22" s="16">
        <f>ROUND(U22*(1+'Interest rate projection'!AU24/Var_freq)+IF(V$5="Mortgage Starts",0,Deposit_mon),2)</f>
        <v>21724.21</v>
      </c>
      <c r="W22" s="16">
        <f>ROUND(V22*(1+'Interest rate projection'!AV24/Var_freq)+IF(W$5="Mortgage Starts",0,Deposit_mon),2)</f>
        <v>22795.33</v>
      </c>
      <c r="X22" s="16">
        <f>ROUND(W22*(1+'Interest rate projection'!AW24/Var_freq)+IF(X$5="Mortgage Starts",0,Deposit_mon),2)</f>
        <v>23869.96</v>
      </c>
      <c r="Y22" s="16">
        <f>ROUND(X22*(1+'Interest rate projection'!AX24/Var_freq)+IF(Y$5="Mortgage Starts",0,Deposit_mon),2)</f>
        <v>24948.1</v>
      </c>
      <c r="Z22" s="57">
        <f>ROUND(Y22*(1+'Interest rate projection'!AY24/Var_freq)+IF(Z$5="Mortgage Starts",0,Deposit_mon),2)</f>
        <v>25029.77</v>
      </c>
      <c r="AA22" s="12"/>
      <c r="AB22" s="38">
        <f>'Interest rate projection'!Z24</f>
        <v>0.04</v>
      </c>
      <c r="AC22" s="38">
        <f>'Interest rate projection'!AZ24</f>
        <v>3.9284877386386974E-2</v>
      </c>
      <c r="AD22" s="59" t="str">
        <f t="shared" si="2"/>
        <v>OK</v>
      </c>
      <c r="AE22" s="39">
        <f t="shared" si="3"/>
        <v>15.906456614335044</v>
      </c>
      <c r="AF22" s="10"/>
      <c r="AG22" s="73">
        <f t="shared" si="5"/>
        <v>25029.77</v>
      </c>
      <c r="AH22" s="73">
        <f t="shared" si="6"/>
        <v>174970.23</v>
      </c>
      <c r="AI22" s="74">
        <f t="shared" si="4"/>
        <v>916.66</v>
      </c>
      <c r="AJ22" s="9"/>
      <c r="AK22" s="73">
        <f>'Fixed rate projection'!$AE$3-('Variable rate projection'!AI22*Product_term*Var_freq)</f>
        <v>28071</v>
      </c>
      <c r="AM22" s="14"/>
      <c r="AN22" s="10"/>
      <c r="AO22" s="11"/>
      <c r="AP22" s="11"/>
      <c r="AQ22" s="11"/>
      <c r="AR22" s="12"/>
      <c r="AS22" s="12"/>
      <c r="AT22" s="13"/>
      <c r="AV22" s="14"/>
      <c r="AW22" s="10"/>
      <c r="AX22" s="11"/>
      <c r="AY22" s="11"/>
      <c r="AZ22" s="11"/>
      <c r="BA22" s="12"/>
      <c r="BB22" s="12"/>
      <c r="BC22" s="13"/>
      <c r="BE22" s="14"/>
      <c r="BF22" s="10"/>
      <c r="BG22" s="11"/>
      <c r="BH22" s="11"/>
      <c r="BI22" s="11"/>
      <c r="BJ22" s="12"/>
      <c r="BK22" s="12"/>
      <c r="BL22" s="13"/>
      <c r="BN22" s="14"/>
      <c r="BO22" s="10"/>
      <c r="BP22" s="11"/>
      <c r="BQ22" s="11"/>
      <c r="BR22" s="11"/>
      <c r="BS22" s="12"/>
      <c r="BT22" s="12"/>
      <c r="BU22" s="13"/>
      <c r="BW22" s="14"/>
      <c r="BX22" s="10"/>
      <c r="BY22" s="11"/>
      <c r="BZ22" s="11"/>
      <c r="CA22" s="11"/>
      <c r="CB22" s="12"/>
      <c r="CC22" s="12"/>
      <c r="CD22" s="13"/>
      <c r="CF22" s="14"/>
      <c r="CG22" s="10"/>
      <c r="CH22" s="11"/>
      <c r="CI22" s="11"/>
      <c r="CJ22" s="11"/>
      <c r="CK22" s="12"/>
      <c r="CL22" s="12"/>
      <c r="CM22" s="13"/>
      <c r="CO22" s="13"/>
    </row>
    <row r="23" spans="1:93" x14ac:dyDescent="0.35">
      <c r="A23" s="5">
        <v>18</v>
      </c>
      <c r="B23" s="57">
        <f t="shared" si="1"/>
        <v>1000</v>
      </c>
      <c r="C23" s="16">
        <f>ROUND(B23*(1+'Interest rate projection'!AB25/Var_freq)+IF(C$5="Mortgage Starts",0,Deposit_mon),2)</f>
        <v>2003.67</v>
      </c>
      <c r="D23" s="16">
        <f>ROUND(C23*(1+'Interest rate projection'!AC25/Var_freq)+IF(D$5="Mortgage Starts",0,Deposit_mon),2)</f>
        <v>3011.03</v>
      </c>
      <c r="E23" s="16">
        <f>ROUND(D23*(1+'Interest rate projection'!AD25/Var_freq)+IF(E$5="Mortgage Starts",0,Deposit_mon),2)</f>
        <v>4022.09</v>
      </c>
      <c r="F23" s="16">
        <f>ROUND(E23*(1+'Interest rate projection'!AE25/Var_freq)+IF(F$5="Mortgage Starts",0,Deposit_mon),2)</f>
        <v>5036.87</v>
      </c>
      <c r="G23" s="16">
        <f>ROUND(F23*(1+'Interest rate projection'!AF25/Var_freq)+IF(G$5="Mortgage Starts",0,Deposit_mon),2)</f>
        <v>6055.38</v>
      </c>
      <c r="H23" s="16">
        <f>ROUND(G23*(1+'Interest rate projection'!AG25/Var_freq)+IF(H$5="Mortgage Starts",0,Deposit_mon),2)</f>
        <v>7077.63</v>
      </c>
      <c r="I23" s="16">
        <f>ROUND(H23*(1+'Interest rate projection'!AH25/Var_freq)+IF(I$5="Mortgage Starts",0,Deposit_mon),2)</f>
        <v>8103.64</v>
      </c>
      <c r="J23" s="16">
        <f>ROUND(I23*(1+'Interest rate projection'!AI25/Var_freq)+IF(J$5="Mortgage Starts",0,Deposit_mon),2)</f>
        <v>9133.42</v>
      </c>
      <c r="K23" s="16">
        <f>ROUND(J23*(1+'Interest rate projection'!AJ25/Var_freq)+IF(K$5="Mortgage Starts",0,Deposit_mon),2)</f>
        <v>10166.98</v>
      </c>
      <c r="L23" s="16">
        <f>ROUND(K23*(1+'Interest rate projection'!AK25/Var_freq)+IF(L$5="Mortgage Starts",0,Deposit_mon),2)</f>
        <v>11204.34</v>
      </c>
      <c r="M23" s="16">
        <f>ROUND(L23*(1+'Interest rate projection'!AL25/Var_freq)+IF(M$5="Mortgage Starts",0,Deposit_mon),2)</f>
        <v>12245.51</v>
      </c>
      <c r="N23" s="16">
        <f>ROUND(M23*(1+'Interest rate projection'!AM25/Var_freq)+IF(N$5="Mortgage Starts",0,Deposit_mon),2)</f>
        <v>13290.51</v>
      </c>
      <c r="O23" s="16">
        <f>ROUND(N23*(1+'Interest rate projection'!AN25/Var_freq)+IF(O$5="Mortgage Starts",0,Deposit_mon),2)</f>
        <v>14342.01</v>
      </c>
      <c r="P23" s="16">
        <f>ROUND(O23*(1+'Interest rate projection'!AO25/Var_freq)+IF(P$5="Mortgage Starts",0,Deposit_mon),2)</f>
        <v>15397.58</v>
      </c>
      <c r="Q23" s="16">
        <f>ROUND(P23*(1+'Interest rate projection'!AP25/Var_freq)+IF(Q$5="Mortgage Starts",0,Deposit_mon),2)</f>
        <v>16457.240000000002</v>
      </c>
      <c r="R23" s="16">
        <f>ROUND(Q23*(1+'Interest rate projection'!AQ25/Var_freq)+IF(R$5="Mortgage Starts",0,Deposit_mon),2)</f>
        <v>17521.009999999998</v>
      </c>
      <c r="S23" s="16">
        <f>ROUND(R23*(1+'Interest rate projection'!AR25/Var_freq)+IF(S$5="Mortgage Starts",0,Deposit_mon),2)</f>
        <v>18588.900000000001</v>
      </c>
      <c r="T23" s="16">
        <f>ROUND(S23*(1+'Interest rate projection'!AS25/Var_freq)+IF(T$5="Mortgage Starts",0,Deposit_mon),2)</f>
        <v>19660.93</v>
      </c>
      <c r="U23" s="16">
        <f>ROUND(T23*(1+'Interest rate projection'!AT25/Var_freq)+IF(U$5="Mortgage Starts",0,Deposit_mon),2)</f>
        <v>20737.11</v>
      </c>
      <c r="V23" s="16">
        <f>ROUND(U23*(1+'Interest rate projection'!AU25/Var_freq)+IF(V$5="Mortgage Starts",0,Deposit_mon),2)</f>
        <v>21817.46</v>
      </c>
      <c r="W23" s="16">
        <f>ROUND(V23*(1+'Interest rate projection'!AV25/Var_freq)+IF(W$5="Mortgage Starts",0,Deposit_mon),2)</f>
        <v>22902</v>
      </c>
      <c r="X23" s="16">
        <f>ROUND(W23*(1+'Interest rate projection'!AW25/Var_freq)+IF(X$5="Mortgage Starts",0,Deposit_mon),2)</f>
        <v>23990.74</v>
      </c>
      <c r="Y23" s="16">
        <f>ROUND(X23*(1+'Interest rate projection'!AX25/Var_freq)+IF(Y$5="Mortgage Starts",0,Deposit_mon),2)</f>
        <v>25083.7</v>
      </c>
      <c r="Z23" s="57">
        <f>ROUND(Y23*(1+'Interest rate projection'!AY25/Var_freq)+IF(Z$5="Mortgage Starts",0,Deposit_mon),2)</f>
        <v>25180.89</v>
      </c>
      <c r="AA23" s="12"/>
      <c r="AB23" s="38">
        <f>'Interest rate projection'!Z25</f>
        <v>4.7500000000000001E-2</v>
      </c>
      <c r="AC23" s="38">
        <f>'Interest rate projection'!AZ25</f>
        <v>4.6496219905550085E-2</v>
      </c>
      <c r="AD23" s="59" t="str">
        <f t="shared" si="2"/>
        <v>OK</v>
      </c>
      <c r="AE23" s="39">
        <f t="shared" si="3"/>
        <v>14.766012404082064</v>
      </c>
      <c r="AF23" s="10"/>
      <c r="AG23" s="73">
        <f t="shared" si="5"/>
        <v>25180.89</v>
      </c>
      <c r="AH23" s="73">
        <f t="shared" si="6"/>
        <v>174819.11</v>
      </c>
      <c r="AI23" s="74">
        <f t="shared" si="4"/>
        <v>986.61</v>
      </c>
      <c r="AJ23" s="9"/>
      <c r="AK23" s="73">
        <f>'Fixed rate projection'!$AE$3-('Variable rate projection'!AI23*Product_term*Var_freq)</f>
        <v>7086</v>
      </c>
      <c r="AM23" s="14"/>
      <c r="AN23" s="10"/>
      <c r="AO23" s="11"/>
      <c r="AP23" s="11"/>
      <c r="AQ23" s="11"/>
      <c r="AR23" s="12"/>
      <c r="AS23" s="12"/>
      <c r="AT23" s="13"/>
      <c r="AV23" s="14"/>
      <c r="AW23" s="10"/>
      <c r="AX23" s="11"/>
      <c r="AY23" s="11"/>
      <c r="AZ23" s="11"/>
      <c r="BA23" s="12"/>
      <c r="BB23" s="12"/>
      <c r="BC23" s="13"/>
      <c r="BE23" s="14"/>
      <c r="BF23" s="10"/>
      <c r="BG23" s="11"/>
      <c r="BH23" s="11"/>
      <c r="BI23" s="11"/>
      <c r="BJ23" s="12"/>
      <c r="BK23" s="12"/>
      <c r="BL23" s="13"/>
      <c r="BN23" s="14"/>
      <c r="BO23" s="10"/>
      <c r="BP23" s="11"/>
      <c r="BQ23" s="11"/>
      <c r="BR23" s="11"/>
      <c r="BS23" s="12"/>
      <c r="BT23" s="12"/>
      <c r="BU23" s="13"/>
      <c r="BW23" s="14"/>
      <c r="BX23" s="10"/>
      <c r="BY23" s="11"/>
      <c r="BZ23" s="11"/>
      <c r="CA23" s="11"/>
      <c r="CB23" s="12"/>
      <c r="CC23" s="12"/>
      <c r="CD23" s="13"/>
      <c r="CF23" s="14"/>
      <c r="CG23" s="10"/>
      <c r="CH23" s="11"/>
      <c r="CI23" s="11"/>
      <c r="CJ23" s="11"/>
      <c r="CK23" s="12"/>
      <c r="CL23" s="12"/>
      <c r="CM23" s="13"/>
      <c r="CO23" s="13"/>
    </row>
    <row r="24" spans="1:93" x14ac:dyDescent="0.35">
      <c r="A24" s="27">
        <v>19</v>
      </c>
      <c r="B24" s="57">
        <f t="shared" si="1"/>
        <v>1000</v>
      </c>
      <c r="C24" s="16">
        <f>ROUND(B24*(1+'Interest rate projection'!AB26/Var_freq)+IF(C$5="Mortgage Starts",0,Deposit_mon),2)</f>
        <v>2003.67</v>
      </c>
      <c r="D24" s="16">
        <f>ROUND(C24*(1+'Interest rate projection'!AC26/Var_freq)+IF(D$5="Mortgage Starts",0,Deposit_mon),2)</f>
        <v>3011.03</v>
      </c>
      <c r="E24" s="16">
        <f>ROUND(D24*(1+'Interest rate projection'!AD26/Var_freq)+IF(E$5="Mortgage Starts",0,Deposit_mon),2)</f>
        <v>4022.09</v>
      </c>
      <c r="F24" s="16">
        <f>ROUND(E24*(1+'Interest rate projection'!AE26/Var_freq)+IF(F$5="Mortgage Starts",0,Deposit_mon),2)</f>
        <v>5038.4799999999996</v>
      </c>
      <c r="G24" s="16">
        <f>ROUND(F24*(1+'Interest rate projection'!AF26/Var_freq)+IF(G$5="Mortgage Starts",0,Deposit_mon),2)</f>
        <v>6059.01</v>
      </c>
      <c r="H24" s="16">
        <f>ROUND(G24*(1+'Interest rate projection'!AG26/Var_freq)+IF(H$5="Mortgage Starts",0,Deposit_mon),2)</f>
        <v>7083.7</v>
      </c>
      <c r="I24" s="16">
        <f>ROUND(H24*(1+'Interest rate projection'!AH26/Var_freq)+IF(I$5="Mortgage Starts",0,Deposit_mon),2)</f>
        <v>8115.38</v>
      </c>
      <c r="J24" s="16">
        <f>ROUND(I24*(1+'Interest rate projection'!AI26/Var_freq)+IF(J$5="Mortgage Starts",0,Deposit_mon),2)</f>
        <v>9153.2800000000007</v>
      </c>
      <c r="K24" s="16">
        <f>ROUND(J24*(1+'Interest rate projection'!AJ26/Var_freq)+IF(K$5="Mortgage Starts",0,Deposit_mon),2)</f>
        <v>10196.02</v>
      </c>
      <c r="L24" s="16">
        <f>ROUND(K24*(1+'Interest rate projection'!AK26/Var_freq)+IF(L$5="Mortgage Starts",0,Deposit_mon),2)</f>
        <v>11243.63</v>
      </c>
      <c r="M24" s="16">
        <f>ROUND(L24*(1+'Interest rate projection'!AL26/Var_freq)+IF(M$5="Mortgage Starts",0,Deposit_mon),2)</f>
        <v>12296.14</v>
      </c>
      <c r="N24" s="16">
        <f>ROUND(M24*(1+'Interest rate projection'!AM26/Var_freq)+IF(N$5="Mortgage Starts",0,Deposit_mon),2)</f>
        <v>13353.56</v>
      </c>
      <c r="O24" s="16">
        <f>ROUND(N24*(1+'Interest rate projection'!AN26/Var_freq)+IF(O$5="Mortgage Starts",0,Deposit_mon),2)</f>
        <v>14415.92</v>
      </c>
      <c r="P24" s="16">
        <f>ROUND(O24*(1+'Interest rate projection'!AO26/Var_freq)+IF(P$5="Mortgage Starts",0,Deposit_mon),2)</f>
        <v>15483.24</v>
      </c>
      <c r="Q24" s="16">
        <f>ROUND(P24*(1+'Interest rate projection'!AP26/Var_freq)+IF(Q$5="Mortgage Starts",0,Deposit_mon),2)</f>
        <v>16555.54</v>
      </c>
      <c r="R24" s="16">
        <f>ROUND(Q24*(1+'Interest rate projection'!AQ26/Var_freq)+IF(R$5="Mortgage Starts",0,Deposit_mon),2)</f>
        <v>17632.849999999999</v>
      </c>
      <c r="S24" s="16">
        <f>ROUND(R24*(1+'Interest rate projection'!AR26/Var_freq)+IF(S$5="Mortgage Starts",0,Deposit_mon),2)</f>
        <v>18715.189999999999</v>
      </c>
      <c r="T24" s="16">
        <f>ROUND(S24*(1+'Interest rate projection'!AS26/Var_freq)+IF(T$5="Mortgage Starts",0,Deposit_mon),2)</f>
        <v>19802.59</v>
      </c>
      <c r="U24" s="16">
        <f>ROUND(T24*(1+'Interest rate projection'!AT26/Var_freq)+IF(U$5="Mortgage Starts",0,Deposit_mon),2)</f>
        <v>20895.060000000001</v>
      </c>
      <c r="V24" s="16">
        <f>ROUND(U24*(1+'Interest rate projection'!AU26/Var_freq)+IF(V$5="Mortgage Starts",0,Deposit_mon),2)</f>
        <v>21992.639999999999</v>
      </c>
      <c r="W24" s="16">
        <f>ROUND(V24*(1+'Interest rate projection'!AV26/Var_freq)+IF(W$5="Mortgage Starts",0,Deposit_mon),2)</f>
        <v>23095.34</v>
      </c>
      <c r="X24" s="16">
        <f>ROUND(W24*(1+'Interest rate projection'!AW26/Var_freq)+IF(X$5="Mortgage Starts",0,Deposit_mon),2)</f>
        <v>24203.19</v>
      </c>
      <c r="Y24" s="16">
        <f>ROUND(X24*(1+'Interest rate projection'!AX26/Var_freq)+IF(Y$5="Mortgage Starts",0,Deposit_mon),2)</f>
        <v>25316.22</v>
      </c>
      <c r="Z24" s="57">
        <f>ROUND(Y24*(1+'Interest rate projection'!AY26/Var_freq)+IF(Z$5="Mortgage Starts",0,Deposit_mon),2)</f>
        <v>25434.44</v>
      </c>
      <c r="AA24" s="12"/>
      <c r="AB24" s="38">
        <f>'Interest rate projection'!Z26</f>
        <v>5.7499999999999996E-2</v>
      </c>
      <c r="AC24" s="38">
        <f>'Interest rate projection'!AZ26</f>
        <v>5.603807040042863E-2</v>
      </c>
      <c r="AD24" s="59" t="str">
        <f t="shared" si="2"/>
        <v>OK</v>
      </c>
      <c r="AE24" s="39">
        <f t="shared" si="3"/>
        <v>13.434312256020331</v>
      </c>
      <c r="AF24" s="10"/>
      <c r="AG24" s="73">
        <f t="shared" si="5"/>
        <v>25434.44</v>
      </c>
      <c r="AH24" s="73">
        <f t="shared" si="6"/>
        <v>174565.56</v>
      </c>
      <c r="AI24" s="74">
        <f t="shared" si="4"/>
        <v>1082.83</v>
      </c>
      <c r="AJ24" s="9"/>
      <c r="AK24" s="73">
        <f>'Fixed rate projection'!$AE$3-('Variable rate projection'!AI24*Product_term*Var_freq)</f>
        <v>-21780</v>
      </c>
      <c r="AM24" s="14"/>
      <c r="AN24" s="10"/>
      <c r="AO24" s="11"/>
      <c r="AP24" s="11"/>
      <c r="AQ24" s="11"/>
      <c r="AR24" s="12"/>
      <c r="AS24" s="12"/>
      <c r="AT24" s="13"/>
      <c r="AV24" s="14"/>
      <c r="AW24" s="10"/>
      <c r="AX24" s="11"/>
      <c r="AY24" s="11"/>
      <c r="AZ24" s="11"/>
      <c r="BA24" s="12"/>
      <c r="BB24" s="12"/>
      <c r="BC24" s="13"/>
      <c r="BE24" s="14"/>
      <c r="BF24" s="10"/>
      <c r="BG24" s="11"/>
      <c r="BH24" s="11"/>
      <c r="BI24" s="11"/>
      <c r="BJ24" s="12"/>
      <c r="BK24" s="12"/>
      <c r="BL24" s="13"/>
      <c r="BN24" s="14"/>
      <c r="BO24" s="10"/>
      <c r="BP24" s="11"/>
      <c r="BQ24" s="11"/>
      <c r="BR24" s="11"/>
      <c r="BS24" s="12"/>
      <c r="BT24" s="12"/>
      <c r="BU24" s="13"/>
      <c r="BW24" s="14"/>
      <c r="BX24" s="10"/>
      <c r="BY24" s="11"/>
      <c r="BZ24" s="11"/>
      <c r="CA24" s="11"/>
      <c r="CB24" s="12"/>
      <c r="CC24" s="12"/>
      <c r="CD24" s="13"/>
      <c r="CF24" s="14"/>
      <c r="CG24" s="10"/>
      <c r="CH24" s="11"/>
      <c r="CI24" s="11"/>
      <c r="CJ24" s="11"/>
      <c r="CK24" s="12"/>
      <c r="CL24" s="12"/>
      <c r="CM24" s="13"/>
      <c r="CO24" s="13"/>
    </row>
    <row r="25" spans="1:93" x14ac:dyDescent="0.35">
      <c r="A25" s="5">
        <v>20</v>
      </c>
      <c r="B25" s="57">
        <f t="shared" si="1"/>
        <v>1000</v>
      </c>
      <c r="C25" s="16">
        <f>ROUND(B25*(1+'Interest rate projection'!AB27/Var_freq)+IF(C$5="Mortgage Starts",0,Deposit_mon),2)</f>
        <v>2003.67</v>
      </c>
      <c r="D25" s="16">
        <f>ROUND(C25*(1+'Interest rate projection'!AC27/Var_freq)+IF(D$5="Mortgage Starts",0,Deposit_mon),2)</f>
        <v>3011.03</v>
      </c>
      <c r="E25" s="16">
        <f>ROUND(D25*(1+'Interest rate projection'!AD27/Var_freq)+IF(E$5="Mortgage Starts",0,Deposit_mon),2)</f>
        <v>4022.09</v>
      </c>
      <c r="F25" s="16">
        <f>ROUND(E25*(1+'Interest rate projection'!AE27/Var_freq)+IF(F$5="Mortgage Starts",0,Deposit_mon),2)</f>
        <v>5036.87</v>
      </c>
      <c r="G25" s="16">
        <f>ROUND(F25*(1+'Interest rate projection'!AF27/Var_freq)+IF(G$5="Mortgage Starts",0,Deposit_mon),2)</f>
        <v>6055.38</v>
      </c>
      <c r="H25" s="16">
        <f>ROUND(G25*(1+'Interest rate projection'!AG27/Var_freq)+IF(H$5="Mortgage Starts",0,Deposit_mon),2)</f>
        <v>7077.63</v>
      </c>
      <c r="I25" s="16">
        <f>ROUND(H25*(1+'Interest rate projection'!AH27/Var_freq)+IF(I$5="Mortgage Starts",0,Deposit_mon),2)</f>
        <v>8103.64</v>
      </c>
      <c r="J25" s="16">
        <f>ROUND(I25*(1+'Interest rate projection'!AI27/Var_freq)+IF(J$5="Mortgage Starts",0,Deposit_mon),2)</f>
        <v>9133.42</v>
      </c>
      <c r="K25" s="16">
        <f>ROUND(J25*(1+'Interest rate projection'!AJ27/Var_freq)+IF(K$5="Mortgage Starts",0,Deposit_mon),2)</f>
        <v>10166.98</v>
      </c>
      <c r="L25" s="16">
        <f>ROUND(K25*(1+'Interest rate projection'!AK27/Var_freq)+IF(L$5="Mortgage Starts",0,Deposit_mon),2)</f>
        <v>11204.34</v>
      </c>
      <c r="M25" s="16">
        <f>ROUND(L25*(1+'Interest rate projection'!AL27/Var_freq)+IF(M$5="Mortgage Starts",0,Deposit_mon),2)</f>
        <v>12245.51</v>
      </c>
      <c r="N25" s="16">
        <f>ROUND(M25*(1+'Interest rate projection'!AM27/Var_freq)+IF(N$5="Mortgage Starts",0,Deposit_mon),2)</f>
        <v>13290.51</v>
      </c>
      <c r="O25" s="16">
        <f>ROUND(N25*(1+'Interest rate projection'!AN27/Var_freq)+IF(O$5="Mortgage Starts",0,Deposit_mon),2)</f>
        <v>14344.66</v>
      </c>
      <c r="P25" s="16">
        <f>ROUND(O25*(1+'Interest rate projection'!AO27/Var_freq)+IF(P$5="Mortgage Starts",0,Deposit_mon),2)</f>
        <v>15403.1</v>
      </c>
      <c r="Q25" s="16">
        <f>ROUND(P25*(1+'Interest rate projection'!AP27/Var_freq)+IF(Q$5="Mortgage Starts",0,Deposit_mon),2)</f>
        <v>16465.849999999999</v>
      </c>
      <c r="R25" s="16">
        <f>ROUND(Q25*(1+'Interest rate projection'!AQ27/Var_freq)+IF(R$5="Mortgage Starts",0,Deposit_mon),2)</f>
        <v>17532.93</v>
      </c>
      <c r="S25" s="16">
        <f>ROUND(R25*(1+'Interest rate projection'!AR27/Var_freq)+IF(S$5="Mortgage Starts",0,Deposit_mon),2)</f>
        <v>18600.86</v>
      </c>
      <c r="T25" s="16">
        <f>ROUND(S25*(1+'Interest rate projection'!AS27/Var_freq)+IF(T$5="Mortgage Starts",0,Deposit_mon),2)</f>
        <v>19672.93</v>
      </c>
      <c r="U25" s="16">
        <f>ROUND(T25*(1+'Interest rate projection'!AT27/Var_freq)+IF(U$5="Mortgage Starts",0,Deposit_mon),2)</f>
        <v>20749.16</v>
      </c>
      <c r="V25" s="16">
        <f>ROUND(U25*(1+'Interest rate projection'!AU27/Var_freq)+IF(V$5="Mortgage Starts",0,Deposit_mon),2)</f>
        <v>21829.56</v>
      </c>
      <c r="W25" s="16">
        <f>ROUND(V25*(1+'Interest rate projection'!AV27/Var_freq)+IF(W$5="Mortgage Starts",0,Deposit_mon),2)</f>
        <v>22914.14</v>
      </c>
      <c r="X25" s="16">
        <f>ROUND(W25*(1+'Interest rate projection'!AW27/Var_freq)+IF(X$5="Mortgage Starts",0,Deposit_mon),2)</f>
        <v>24002.93</v>
      </c>
      <c r="Y25" s="16">
        <f>ROUND(X25*(1+'Interest rate projection'!AX27/Var_freq)+IF(Y$5="Mortgage Starts",0,Deposit_mon),2)</f>
        <v>25095.93</v>
      </c>
      <c r="Z25" s="57">
        <f>ROUND(Y25*(1+'Interest rate projection'!AY27/Var_freq)+IF(Z$5="Mortgage Starts",0,Deposit_mon),2)</f>
        <v>25193.17</v>
      </c>
      <c r="AA25" s="12"/>
      <c r="AB25" s="38">
        <f>'Interest rate projection'!Z27</f>
        <v>4.7499999999999994E-2</v>
      </c>
      <c r="AC25" s="38">
        <f>'Interest rate projection'!AZ27</f>
        <v>4.6496219905550085E-2</v>
      </c>
      <c r="AD25" s="59" t="str">
        <f t="shared" si="2"/>
        <v>OK</v>
      </c>
      <c r="AE25" s="39">
        <f t="shared" si="3"/>
        <v>14.766012404082064</v>
      </c>
      <c r="AF25" s="10"/>
      <c r="AG25" s="73">
        <f t="shared" si="5"/>
        <v>25193.17</v>
      </c>
      <c r="AH25" s="73">
        <f t="shared" si="6"/>
        <v>174806.83000000002</v>
      </c>
      <c r="AI25" s="74">
        <f t="shared" si="4"/>
        <v>986.54</v>
      </c>
      <c r="AJ25" s="9"/>
      <c r="AK25" s="73">
        <f>'Fixed rate projection'!$AE$3-('Variable rate projection'!AI25*Product_term*Var_freq)</f>
        <v>7107</v>
      </c>
      <c r="AM25" s="14"/>
      <c r="AN25" s="10"/>
      <c r="AO25" s="11"/>
      <c r="AP25" s="11"/>
      <c r="AQ25" s="11"/>
      <c r="AR25" s="12"/>
      <c r="AS25" s="12"/>
      <c r="AT25" s="13"/>
      <c r="AV25" s="14"/>
      <c r="AW25" s="10"/>
      <c r="AX25" s="11"/>
      <c r="AY25" s="11"/>
      <c r="AZ25" s="11"/>
      <c r="BA25" s="12"/>
      <c r="BB25" s="12"/>
      <c r="BC25" s="13"/>
      <c r="BE25" s="14"/>
      <c r="BF25" s="10"/>
      <c r="BG25" s="11"/>
      <c r="BH25" s="11"/>
      <c r="BI25" s="11"/>
      <c r="BJ25" s="12"/>
      <c r="BK25" s="12"/>
      <c r="BL25" s="13"/>
      <c r="BN25" s="14"/>
      <c r="BO25" s="10"/>
      <c r="BP25" s="11"/>
      <c r="BQ25" s="11"/>
      <c r="BR25" s="11"/>
      <c r="BS25" s="12"/>
      <c r="BT25" s="12"/>
      <c r="BU25" s="13"/>
      <c r="BW25" s="14"/>
      <c r="BX25" s="10"/>
      <c r="BY25" s="11"/>
      <c r="BZ25" s="11"/>
      <c r="CA25" s="11"/>
      <c r="CB25" s="12"/>
      <c r="CC25" s="12"/>
      <c r="CD25" s="13"/>
      <c r="CF25" s="14"/>
      <c r="CG25" s="10"/>
      <c r="CH25" s="11"/>
      <c r="CI25" s="11"/>
      <c r="CJ25" s="11"/>
      <c r="CK25" s="12"/>
      <c r="CL25" s="12"/>
      <c r="CM25" s="13"/>
      <c r="CO25" s="13"/>
    </row>
    <row r="26" spans="1:93" x14ac:dyDescent="0.35">
      <c r="A26" s="27">
        <v>21</v>
      </c>
      <c r="B26" s="57">
        <f t="shared" si="1"/>
        <v>1000</v>
      </c>
      <c r="C26" s="16">
        <f>ROUND(B26*(1+'Interest rate projection'!AB28/Var_freq)+IF(C$5="Mortgage Starts",0,Deposit_mon),2)</f>
        <v>2003.67</v>
      </c>
      <c r="D26" s="16">
        <f>ROUND(C26*(1+'Interest rate projection'!AC28/Var_freq)+IF(D$5="Mortgage Starts",0,Deposit_mon),2)</f>
        <v>3011.03</v>
      </c>
      <c r="E26" s="16">
        <f>ROUND(D26*(1+'Interest rate projection'!AD28/Var_freq)+IF(E$5="Mortgage Starts",0,Deposit_mon),2)</f>
        <v>4022.09</v>
      </c>
      <c r="F26" s="16">
        <f>ROUND(E26*(1+'Interest rate projection'!AE28/Var_freq)+IF(F$5="Mortgage Starts",0,Deposit_mon),2)</f>
        <v>5036.87</v>
      </c>
      <c r="G26" s="16">
        <f>ROUND(F26*(1+'Interest rate projection'!AF28/Var_freq)+IF(G$5="Mortgage Starts",0,Deposit_mon),2)</f>
        <v>6055.38</v>
      </c>
      <c r="H26" s="16">
        <f>ROUND(G26*(1+'Interest rate projection'!AG28/Var_freq)+IF(H$5="Mortgage Starts",0,Deposit_mon),2)</f>
        <v>7077.63</v>
      </c>
      <c r="I26" s="16">
        <f>ROUND(H26*(1+'Interest rate projection'!AH28/Var_freq)+IF(I$5="Mortgage Starts",0,Deposit_mon),2)</f>
        <v>8106.47</v>
      </c>
      <c r="J26" s="16">
        <f>ROUND(I26*(1+'Interest rate projection'!AI28/Var_freq)+IF(J$5="Mortgage Starts",0,Deposit_mon),2)</f>
        <v>9139.5</v>
      </c>
      <c r="K26" s="16">
        <f>ROUND(J26*(1+'Interest rate projection'!AJ28/Var_freq)+IF(K$5="Mortgage Starts",0,Deposit_mon),2)</f>
        <v>10178.549999999999</v>
      </c>
      <c r="L26" s="16">
        <f>ROUND(K26*(1+'Interest rate projection'!AK28/Var_freq)+IF(L$5="Mortgage Starts",0,Deposit_mon),2)</f>
        <v>11222.04</v>
      </c>
      <c r="M26" s="16">
        <f>ROUND(L26*(1+'Interest rate projection'!AL28/Var_freq)+IF(M$5="Mortgage Starts",0,Deposit_mon),2)</f>
        <v>12269.99</v>
      </c>
      <c r="N26" s="16">
        <f>ROUND(M26*(1+'Interest rate projection'!AM28/Var_freq)+IF(N$5="Mortgage Starts",0,Deposit_mon),2)</f>
        <v>13322.42</v>
      </c>
      <c r="O26" s="16">
        <f>ROUND(N26*(1+'Interest rate projection'!AN28/Var_freq)+IF(O$5="Mortgage Starts",0,Deposit_mon),2)</f>
        <v>14379.35</v>
      </c>
      <c r="P26" s="16">
        <f>ROUND(O26*(1+'Interest rate projection'!AO28/Var_freq)+IF(P$5="Mortgage Starts",0,Deposit_mon),2)</f>
        <v>15440.79</v>
      </c>
      <c r="Q26" s="16">
        <f>ROUND(P26*(1+'Interest rate projection'!AP28/Var_freq)+IF(Q$5="Mortgage Starts",0,Deposit_mon),2)</f>
        <v>16506.77</v>
      </c>
      <c r="R26" s="16">
        <f>ROUND(Q26*(1+'Interest rate projection'!AQ28/Var_freq)+IF(R$5="Mortgage Starts",0,Deposit_mon),2)</f>
        <v>17577.310000000001</v>
      </c>
      <c r="S26" s="16">
        <f>ROUND(R26*(1+'Interest rate projection'!AR28/Var_freq)+IF(S$5="Mortgage Starts",0,Deposit_mon),2)</f>
        <v>18652.419999999998</v>
      </c>
      <c r="T26" s="16">
        <f>ROUND(S26*(1+'Interest rate projection'!AS28/Var_freq)+IF(T$5="Mortgage Starts",0,Deposit_mon),2)</f>
        <v>19732.12</v>
      </c>
      <c r="U26" s="16">
        <f>ROUND(T26*(1+'Interest rate projection'!AT28/Var_freq)+IF(U$5="Mortgage Starts",0,Deposit_mon),2)</f>
        <v>20816.439999999999</v>
      </c>
      <c r="V26" s="16">
        <f>ROUND(U26*(1+'Interest rate projection'!AU28/Var_freq)+IF(V$5="Mortgage Starts",0,Deposit_mon),2)</f>
        <v>21905.39</v>
      </c>
      <c r="W26" s="16">
        <f>ROUND(V26*(1+'Interest rate projection'!AV28/Var_freq)+IF(W$5="Mortgage Starts",0,Deposit_mon),2)</f>
        <v>22998.99</v>
      </c>
      <c r="X26" s="16">
        <f>ROUND(W26*(1+'Interest rate projection'!AW28/Var_freq)+IF(X$5="Mortgage Starts",0,Deposit_mon),2)</f>
        <v>24097.27</v>
      </c>
      <c r="Y26" s="16">
        <f>ROUND(X26*(1+'Interest rate projection'!AX28/Var_freq)+IF(Y$5="Mortgage Starts",0,Deposit_mon),2)</f>
        <v>25200.240000000002</v>
      </c>
      <c r="Z26" s="57">
        <f>ROUND(Y26*(1+'Interest rate projection'!AY28/Var_freq)+IF(Z$5="Mortgage Starts",0,Deposit_mon),2)</f>
        <v>25307.919999999998</v>
      </c>
      <c r="AA26" s="12"/>
      <c r="AB26" s="38">
        <f>'Interest rate projection'!Z28</f>
        <v>5.2499999999999998E-2</v>
      </c>
      <c r="AC26" s="38">
        <f>'Interest rate projection'!AZ28</f>
        <v>5.1277533193896829E-2</v>
      </c>
      <c r="AD26" s="59" t="str">
        <f t="shared" si="2"/>
        <v>OK</v>
      </c>
      <c r="AE26" s="39">
        <f t="shared" si="3"/>
        <v>14.075212462503044</v>
      </c>
      <c r="AF26" s="10"/>
      <c r="AG26" s="73">
        <f t="shared" si="5"/>
        <v>25307.919999999998</v>
      </c>
      <c r="AH26" s="73">
        <f t="shared" si="6"/>
        <v>174692.08000000002</v>
      </c>
      <c r="AI26" s="74">
        <f t="shared" si="4"/>
        <v>1034.28</v>
      </c>
      <c r="AJ26" s="9"/>
      <c r="AK26" s="73">
        <f>'Fixed rate projection'!$AE$3-('Variable rate projection'!AI26*Product_term*Var_freq)</f>
        <v>-7215</v>
      </c>
      <c r="AM26" s="14"/>
      <c r="AN26" s="10"/>
      <c r="AO26" s="11"/>
      <c r="AP26" s="11"/>
      <c r="AQ26" s="11"/>
      <c r="AR26" s="12"/>
      <c r="AS26" s="12"/>
      <c r="AT26" s="13"/>
      <c r="AV26" s="14"/>
      <c r="AW26" s="10"/>
      <c r="AX26" s="11"/>
      <c r="AY26" s="11"/>
      <c r="AZ26" s="11"/>
      <c r="BA26" s="12"/>
      <c r="BB26" s="12"/>
      <c r="BC26" s="13"/>
      <c r="BE26" s="14"/>
      <c r="BF26" s="10"/>
      <c r="BG26" s="11"/>
      <c r="BH26" s="11"/>
      <c r="BI26" s="11"/>
      <c r="BJ26" s="12"/>
      <c r="BK26" s="12"/>
      <c r="BL26" s="13"/>
      <c r="BN26" s="14"/>
      <c r="BO26" s="10"/>
      <c r="BP26" s="11"/>
      <c r="BQ26" s="11"/>
      <c r="BR26" s="11"/>
      <c r="BS26" s="12"/>
      <c r="BT26" s="12"/>
      <c r="BU26" s="13"/>
      <c r="BW26" s="14"/>
      <c r="BX26" s="10"/>
      <c r="BY26" s="11"/>
      <c r="BZ26" s="11"/>
      <c r="CA26" s="11"/>
      <c r="CB26" s="12"/>
      <c r="CC26" s="12"/>
      <c r="CD26" s="13"/>
      <c r="CF26" s="14"/>
      <c r="CG26" s="10"/>
      <c r="CH26" s="11"/>
      <c r="CI26" s="11"/>
      <c r="CJ26" s="11"/>
      <c r="CK26" s="12"/>
      <c r="CL26" s="12"/>
      <c r="CM26" s="13"/>
      <c r="CO26" s="13"/>
    </row>
    <row r="27" spans="1:93" x14ac:dyDescent="0.35">
      <c r="A27" s="5">
        <v>22</v>
      </c>
      <c r="B27" s="57">
        <f t="shared" si="1"/>
        <v>1000</v>
      </c>
      <c r="C27" s="16">
        <f>ROUND(B27*(1+'Interest rate projection'!AB29/Var_freq)+IF(C$5="Mortgage Starts",0,Deposit_mon),2)</f>
        <v>2003.67</v>
      </c>
      <c r="D27" s="16">
        <f>ROUND(C27*(1+'Interest rate projection'!AC29/Var_freq)+IF(D$5="Mortgage Starts",0,Deposit_mon),2)</f>
        <v>3011.03</v>
      </c>
      <c r="E27" s="16">
        <f>ROUND(D27*(1+'Interest rate projection'!AD29/Var_freq)+IF(E$5="Mortgage Starts",0,Deposit_mon),2)</f>
        <v>4022.09</v>
      </c>
      <c r="F27" s="16">
        <f>ROUND(E27*(1+'Interest rate projection'!AE29/Var_freq)+IF(F$5="Mortgage Starts",0,Deposit_mon),2)</f>
        <v>5036.87</v>
      </c>
      <c r="G27" s="16">
        <f>ROUND(F27*(1+'Interest rate projection'!AF29/Var_freq)+IF(G$5="Mortgage Starts",0,Deposit_mon),2)</f>
        <v>6055.38</v>
      </c>
      <c r="H27" s="16">
        <f>ROUND(G27*(1+'Interest rate projection'!AG29/Var_freq)+IF(H$5="Mortgage Starts",0,Deposit_mon),2)</f>
        <v>7077.63</v>
      </c>
      <c r="I27" s="16">
        <f>ROUND(H27*(1+'Interest rate projection'!AH29/Var_freq)+IF(I$5="Mortgage Starts",0,Deposit_mon),2)</f>
        <v>8103.64</v>
      </c>
      <c r="J27" s="16">
        <f>ROUND(I27*(1+'Interest rate projection'!AI29/Var_freq)+IF(J$5="Mortgage Starts",0,Deposit_mon),2)</f>
        <v>9133.42</v>
      </c>
      <c r="K27" s="16">
        <f>ROUND(J27*(1+'Interest rate projection'!AJ29/Var_freq)+IF(K$5="Mortgage Starts",0,Deposit_mon),2)</f>
        <v>10166.98</v>
      </c>
      <c r="L27" s="16">
        <f>ROUND(K27*(1+'Interest rate projection'!AK29/Var_freq)+IF(L$5="Mortgage Starts",0,Deposit_mon),2)</f>
        <v>11204.34</v>
      </c>
      <c r="M27" s="16">
        <f>ROUND(L27*(1+'Interest rate projection'!AL29/Var_freq)+IF(M$5="Mortgage Starts",0,Deposit_mon),2)</f>
        <v>12245.51</v>
      </c>
      <c r="N27" s="16">
        <f>ROUND(M27*(1+'Interest rate projection'!AM29/Var_freq)+IF(N$5="Mortgage Starts",0,Deposit_mon),2)</f>
        <v>13290.51</v>
      </c>
      <c r="O27" s="16">
        <f>ROUND(N27*(1+'Interest rate projection'!AN29/Var_freq)+IF(O$5="Mortgage Starts",0,Deposit_mon),2)</f>
        <v>14339.35</v>
      </c>
      <c r="P27" s="16">
        <f>ROUND(O27*(1+'Interest rate projection'!AO29/Var_freq)+IF(P$5="Mortgage Starts",0,Deposit_mon),2)</f>
        <v>15392.04</v>
      </c>
      <c r="Q27" s="16">
        <f>ROUND(P27*(1+'Interest rate projection'!AP29/Var_freq)+IF(Q$5="Mortgage Starts",0,Deposit_mon),2)</f>
        <v>16448.599999999999</v>
      </c>
      <c r="R27" s="16">
        <f>ROUND(Q27*(1+'Interest rate projection'!AQ29/Var_freq)+IF(R$5="Mortgage Starts",0,Deposit_mon),2)</f>
        <v>17509.05</v>
      </c>
      <c r="S27" s="16">
        <f>ROUND(R27*(1+'Interest rate projection'!AR29/Var_freq)+IF(S$5="Mortgage Starts",0,Deposit_mon),2)</f>
        <v>18573.39</v>
      </c>
      <c r="T27" s="16">
        <f>ROUND(S27*(1+'Interest rate projection'!AS29/Var_freq)+IF(T$5="Mortgage Starts",0,Deposit_mon),2)</f>
        <v>19641.64</v>
      </c>
      <c r="U27" s="16">
        <f>ROUND(T27*(1+'Interest rate projection'!AT29/Var_freq)+IF(U$5="Mortgage Starts",0,Deposit_mon),2)</f>
        <v>20713.82</v>
      </c>
      <c r="V27" s="16">
        <f>ROUND(U27*(1+'Interest rate projection'!AU29/Var_freq)+IF(V$5="Mortgage Starts",0,Deposit_mon),2)</f>
        <v>21789.94</v>
      </c>
      <c r="W27" s="16">
        <f>ROUND(V27*(1+'Interest rate projection'!AV29/Var_freq)+IF(W$5="Mortgage Starts",0,Deposit_mon),2)</f>
        <v>22870.01</v>
      </c>
      <c r="X27" s="16">
        <f>ROUND(W27*(1+'Interest rate projection'!AW29/Var_freq)+IF(X$5="Mortgage Starts",0,Deposit_mon),2)</f>
        <v>23954.05</v>
      </c>
      <c r="Y27" s="16">
        <f>ROUND(X27*(1+'Interest rate projection'!AX29/Var_freq)+IF(Y$5="Mortgage Starts",0,Deposit_mon),2)</f>
        <v>25042.080000000002</v>
      </c>
      <c r="Z27" s="57">
        <f>ROUND(Y27*(1+'Interest rate projection'!AY29/Var_freq)+IF(Z$5="Mortgage Starts",0,Deposit_mon),2)</f>
        <v>25134.1</v>
      </c>
      <c r="AA27" s="12"/>
      <c r="AB27" s="38">
        <f>'Interest rate projection'!Z29</f>
        <v>4.4999999999999998E-2</v>
      </c>
      <c r="AC27" s="38">
        <f>'Interest rate projection'!AZ29</f>
        <v>4.4097712805242217E-2</v>
      </c>
      <c r="AD27" s="59" t="str">
        <f t="shared" si="2"/>
        <v>OK</v>
      </c>
      <c r="AE27" s="39">
        <f t="shared" si="3"/>
        <v>15.131610255367837</v>
      </c>
      <c r="AF27" s="10"/>
      <c r="AG27" s="73">
        <f t="shared" si="5"/>
        <v>25134.1</v>
      </c>
      <c r="AH27" s="73">
        <f t="shared" si="6"/>
        <v>174865.9</v>
      </c>
      <c r="AI27" s="74">
        <f t="shared" si="4"/>
        <v>963.03</v>
      </c>
      <c r="AJ27" s="9"/>
      <c r="AK27" s="73">
        <f>'Fixed rate projection'!$AE$3-('Variable rate projection'!AI27*Product_term*Var_freq)</f>
        <v>14160</v>
      </c>
      <c r="AM27" s="14"/>
      <c r="AN27" s="10"/>
      <c r="AO27" s="11"/>
      <c r="AP27" s="11"/>
      <c r="AQ27" s="11"/>
      <c r="AR27" s="12"/>
      <c r="AS27" s="12"/>
      <c r="AT27" s="13"/>
      <c r="AV27" s="14"/>
      <c r="AW27" s="10"/>
      <c r="AX27" s="11"/>
      <c r="AY27" s="11"/>
      <c r="AZ27" s="11"/>
      <c r="BA27" s="12"/>
      <c r="BB27" s="12"/>
      <c r="BC27" s="13"/>
      <c r="BE27" s="14"/>
      <c r="BF27" s="10"/>
      <c r="BG27" s="11"/>
      <c r="BH27" s="11"/>
      <c r="BI27" s="11"/>
      <c r="BJ27" s="12"/>
      <c r="BK27" s="12"/>
      <c r="BL27" s="13"/>
      <c r="BN27" s="14"/>
      <c r="BO27" s="10"/>
      <c r="BP27" s="11"/>
      <c r="BQ27" s="11"/>
      <c r="BR27" s="11"/>
      <c r="BS27" s="12"/>
      <c r="BT27" s="12"/>
      <c r="BU27" s="13"/>
      <c r="BW27" s="14"/>
      <c r="BX27" s="10"/>
      <c r="BY27" s="11"/>
      <c r="BZ27" s="11"/>
      <c r="CA27" s="11"/>
      <c r="CB27" s="12"/>
      <c r="CC27" s="12"/>
      <c r="CD27" s="13"/>
      <c r="CF27" s="14"/>
      <c r="CG27" s="10"/>
      <c r="CH27" s="11"/>
      <c r="CI27" s="11"/>
      <c r="CJ27" s="11"/>
      <c r="CK27" s="12"/>
      <c r="CL27" s="12"/>
      <c r="CM27" s="13"/>
      <c r="CO27" s="13"/>
    </row>
    <row r="28" spans="1:93" x14ac:dyDescent="0.35">
      <c r="A28" s="27">
        <v>23</v>
      </c>
      <c r="B28" s="57">
        <f t="shared" si="1"/>
        <v>1000</v>
      </c>
      <c r="C28" s="16">
        <f>ROUND(B28*(1+'Interest rate projection'!AB30/Var_freq)+IF(C$5="Mortgage Starts",0,Deposit_mon),2)</f>
        <v>2003.67</v>
      </c>
      <c r="D28" s="16">
        <f>ROUND(C28*(1+'Interest rate projection'!AC30/Var_freq)+IF(D$5="Mortgage Starts",0,Deposit_mon),2)</f>
        <v>3011.03</v>
      </c>
      <c r="E28" s="16">
        <f>ROUND(D28*(1+'Interest rate projection'!AD30/Var_freq)+IF(E$5="Mortgage Starts",0,Deposit_mon),2)</f>
        <v>4022.09</v>
      </c>
      <c r="F28" s="16">
        <f>ROUND(E28*(1+'Interest rate projection'!AE30/Var_freq)+IF(F$5="Mortgage Starts",0,Deposit_mon),2)</f>
        <v>5036.87</v>
      </c>
      <c r="G28" s="16">
        <f>ROUND(F28*(1+'Interest rate projection'!AF30/Var_freq)+IF(G$5="Mortgage Starts",0,Deposit_mon),2)</f>
        <v>6055.38</v>
      </c>
      <c r="H28" s="16">
        <f>ROUND(G28*(1+'Interest rate projection'!AG30/Var_freq)+IF(H$5="Mortgage Starts",0,Deposit_mon),2)</f>
        <v>7077.63</v>
      </c>
      <c r="I28" s="16">
        <f>ROUND(H28*(1+'Interest rate projection'!AH30/Var_freq)+IF(I$5="Mortgage Starts",0,Deposit_mon),2)</f>
        <v>8103.64</v>
      </c>
      <c r="J28" s="16">
        <f>ROUND(I28*(1+'Interest rate projection'!AI30/Var_freq)+IF(J$5="Mortgage Starts",0,Deposit_mon),2)</f>
        <v>9131.7999999999993</v>
      </c>
      <c r="K28" s="16">
        <f>ROUND(J28*(1+'Interest rate projection'!AJ30/Var_freq)+IF(K$5="Mortgage Starts",0,Deposit_mon),2)</f>
        <v>10163.530000000001</v>
      </c>
      <c r="L28" s="16">
        <f>ROUND(K28*(1+'Interest rate projection'!AK30/Var_freq)+IF(L$5="Mortgage Starts",0,Deposit_mon),2)</f>
        <v>11198.84</v>
      </c>
      <c r="M28" s="16">
        <f>ROUND(L28*(1+'Interest rate projection'!AL30/Var_freq)+IF(M$5="Mortgage Starts",0,Deposit_mon),2)</f>
        <v>12237.75</v>
      </c>
      <c r="N28" s="16">
        <f>ROUND(M28*(1+'Interest rate projection'!AM30/Var_freq)+IF(N$5="Mortgage Starts",0,Deposit_mon),2)</f>
        <v>13280.27</v>
      </c>
      <c r="O28" s="16">
        <f>ROUND(N28*(1+'Interest rate projection'!AN30/Var_freq)+IF(O$5="Mortgage Starts",0,Deposit_mon),2)</f>
        <v>14326.41</v>
      </c>
      <c r="P28" s="16">
        <f>ROUND(O28*(1+'Interest rate projection'!AO30/Var_freq)+IF(P$5="Mortgage Starts",0,Deposit_mon),2)</f>
        <v>15373.31</v>
      </c>
      <c r="Q28" s="16">
        <f>ROUND(P28*(1+'Interest rate projection'!AP30/Var_freq)+IF(Q$5="Mortgage Starts",0,Deposit_mon),2)</f>
        <v>16423.64</v>
      </c>
      <c r="R28" s="16">
        <f>ROUND(Q28*(1+'Interest rate projection'!AQ30/Var_freq)+IF(R$5="Mortgage Starts",0,Deposit_mon),2)</f>
        <v>17477.41</v>
      </c>
      <c r="S28" s="16">
        <f>ROUND(R28*(1+'Interest rate projection'!AR30/Var_freq)+IF(S$5="Mortgage Starts",0,Deposit_mon),2)</f>
        <v>18534.63</v>
      </c>
      <c r="T28" s="16">
        <f>ROUND(S28*(1+'Interest rate projection'!AS30/Var_freq)+IF(T$5="Mortgage Starts",0,Deposit_mon),2)</f>
        <v>19599.03</v>
      </c>
      <c r="U28" s="16">
        <f>ROUND(T28*(1+'Interest rate projection'!AT30/Var_freq)+IF(U$5="Mortgage Starts",0,Deposit_mon),2)</f>
        <v>20667.13</v>
      </c>
      <c r="V28" s="16">
        <f>ROUND(U28*(1+'Interest rate projection'!AU30/Var_freq)+IF(V$5="Mortgage Starts",0,Deposit_mon),2)</f>
        <v>21738.94</v>
      </c>
      <c r="W28" s="16">
        <f>ROUND(V28*(1+'Interest rate projection'!AV30/Var_freq)+IF(W$5="Mortgage Starts",0,Deposit_mon),2)</f>
        <v>22814.47</v>
      </c>
      <c r="X28" s="16">
        <f>ROUND(W28*(1+'Interest rate projection'!AW30/Var_freq)+IF(X$5="Mortgage Starts",0,Deposit_mon),2)</f>
        <v>23893.74</v>
      </c>
      <c r="Y28" s="16">
        <f>ROUND(X28*(1+'Interest rate projection'!AX30/Var_freq)+IF(Y$5="Mortgage Starts",0,Deposit_mon),2)</f>
        <v>24971.96</v>
      </c>
      <c r="Z28" s="57">
        <f>ROUND(Y28*(1+'Interest rate projection'!AY30/Var_freq)+IF(Z$5="Mortgage Starts",0,Deposit_mon),2)</f>
        <v>25053.71</v>
      </c>
      <c r="AA28" s="12"/>
      <c r="AB28" s="38">
        <f>'Interest rate projection'!Z30</f>
        <v>3.9999999999999994E-2</v>
      </c>
      <c r="AC28" s="38">
        <f>'Interest rate projection'!AZ30</f>
        <v>3.9284877386386974E-2</v>
      </c>
      <c r="AD28" s="59" t="str">
        <f t="shared" si="2"/>
        <v>OK</v>
      </c>
      <c r="AE28" s="39">
        <f t="shared" si="3"/>
        <v>15.906456614335044</v>
      </c>
      <c r="AF28" s="10"/>
      <c r="AG28" s="73">
        <f t="shared" si="5"/>
        <v>25053.71</v>
      </c>
      <c r="AH28" s="73">
        <f t="shared" si="6"/>
        <v>174946.29</v>
      </c>
      <c r="AI28" s="74">
        <f t="shared" si="4"/>
        <v>916.54</v>
      </c>
      <c r="AJ28" s="9"/>
      <c r="AK28" s="73">
        <f>'Fixed rate projection'!$AE$3-('Variable rate projection'!AI28*Product_term*Var_freq)</f>
        <v>28107</v>
      </c>
      <c r="AM28" s="14"/>
      <c r="AN28" s="10"/>
      <c r="AO28" s="11"/>
      <c r="AP28" s="11"/>
      <c r="AQ28" s="11"/>
      <c r="AR28" s="12"/>
      <c r="AS28" s="12"/>
      <c r="AT28" s="13"/>
      <c r="AV28" s="14"/>
      <c r="AW28" s="10"/>
      <c r="AX28" s="11"/>
      <c r="AY28" s="11"/>
      <c r="AZ28" s="11"/>
      <c r="BA28" s="12"/>
      <c r="BB28" s="12"/>
      <c r="BC28" s="13"/>
      <c r="BE28" s="14"/>
      <c r="BF28" s="10"/>
      <c r="BG28" s="11"/>
      <c r="BH28" s="11"/>
      <c r="BI28" s="11"/>
      <c r="BJ28" s="12"/>
      <c r="BK28" s="12"/>
      <c r="BL28" s="13"/>
      <c r="BN28" s="14"/>
      <c r="BO28" s="10"/>
      <c r="BP28" s="11"/>
      <c r="BQ28" s="11"/>
      <c r="BR28" s="11"/>
      <c r="BS28" s="12"/>
      <c r="BT28" s="12"/>
      <c r="BU28" s="13"/>
      <c r="BW28" s="14"/>
      <c r="BX28" s="10"/>
      <c r="BY28" s="11"/>
      <c r="BZ28" s="11"/>
      <c r="CA28" s="11"/>
      <c r="CB28" s="12"/>
      <c r="CC28" s="12"/>
      <c r="CD28" s="13"/>
      <c r="CF28" s="14"/>
      <c r="CG28" s="10"/>
      <c r="CH28" s="11"/>
      <c r="CI28" s="11"/>
      <c r="CJ28" s="11"/>
      <c r="CK28" s="12"/>
      <c r="CL28" s="12"/>
      <c r="CM28" s="13"/>
      <c r="CO28" s="13"/>
    </row>
    <row r="29" spans="1:93" x14ac:dyDescent="0.35">
      <c r="A29" s="5">
        <v>24</v>
      </c>
      <c r="B29" s="57">
        <f t="shared" si="1"/>
        <v>1000</v>
      </c>
      <c r="C29" s="16">
        <f>ROUND(B29*(1+'Interest rate projection'!AB31/Var_freq)+IF(C$5="Mortgage Starts",0,Deposit_mon),2)</f>
        <v>2003.67</v>
      </c>
      <c r="D29" s="16">
        <f>ROUND(C29*(1+'Interest rate projection'!AC31/Var_freq)+IF(D$5="Mortgage Starts",0,Deposit_mon),2)</f>
        <v>3011.03</v>
      </c>
      <c r="E29" s="16">
        <f>ROUND(D29*(1+'Interest rate projection'!AD31/Var_freq)+IF(E$5="Mortgage Starts",0,Deposit_mon),2)</f>
        <v>4022.09</v>
      </c>
      <c r="F29" s="16">
        <f>ROUND(E29*(1+'Interest rate projection'!AE31/Var_freq)+IF(F$5="Mortgage Starts",0,Deposit_mon),2)</f>
        <v>5036.87</v>
      </c>
      <c r="G29" s="16">
        <f>ROUND(F29*(1+'Interest rate projection'!AF31/Var_freq)+IF(G$5="Mortgage Starts",0,Deposit_mon),2)</f>
        <v>6054.37</v>
      </c>
      <c r="H29" s="16">
        <f>ROUND(G29*(1+'Interest rate projection'!AG31/Var_freq)+IF(H$5="Mortgage Starts",0,Deposit_mon),2)</f>
        <v>7075.41</v>
      </c>
      <c r="I29" s="16">
        <f>ROUND(H29*(1+'Interest rate projection'!AH31/Var_freq)+IF(I$5="Mortgage Starts",0,Deposit_mon),2)</f>
        <v>8101.41</v>
      </c>
      <c r="J29" s="16">
        <f>ROUND(I29*(1+'Interest rate projection'!AI31/Var_freq)+IF(J$5="Mortgage Starts",0,Deposit_mon),2)</f>
        <v>9131.18</v>
      </c>
      <c r="K29" s="16">
        <f>ROUND(J29*(1+'Interest rate projection'!AJ31/Var_freq)+IF(K$5="Mortgage Starts",0,Deposit_mon),2)</f>
        <v>10166.56</v>
      </c>
      <c r="L29" s="16">
        <f>ROUND(K29*(1+'Interest rate projection'!AK31/Var_freq)+IF(L$5="Mortgage Starts",0,Deposit_mon),2)</f>
        <v>11205.95</v>
      </c>
      <c r="M29" s="16">
        <f>ROUND(L29*(1+'Interest rate projection'!AL31/Var_freq)+IF(M$5="Mortgage Starts",0,Deposit_mon),2)</f>
        <v>12249.37</v>
      </c>
      <c r="N29" s="16">
        <f>ROUND(M29*(1+'Interest rate projection'!AM31/Var_freq)+IF(N$5="Mortgage Starts",0,Deposit_mon),2)</f>
        <v>13296.83</v>
      </c>
      <c r="O29" s="16">
        <f>ROUND(N29*(1+'Interest rate projection'!AN31/Var_freq)+IF(O$5="Mortgage Starts",0,Deposit_mon),2)</f>
        <v>14348.35</v>
      </c>
      <c r="P29" s="16">
        <f>ROUND(O29*(1+'Interest rate projection'!AO31/Var_freq)+IF(P$5="Mortgage Starts",0,Deposit_mon),2)</f>
        <v>15403.95</v>
      </c>
      <c r="Q29" s="16">
        <f>ROUND(P29*(1+'Interest rate projection'!AP31/Var_freq)+IF(Q$5="Mortgage Starts",0,Deposit_mon),2)</f>
        <v>16463.64</v>
      </c>
      <c r="R29" s="16">
        <f>ROUND(Q29*(1+'Interest rate projection'!AQ31/Var_freq)+IF(R$5="Mortgage Starts",0,Deposit_mon),2)</f>
        <v>17527.43</v>
      </c>
      <c r="S29" s="16">
        <f>ROUND(R29*(1+'Interest rate projection'!AR31/Var_freq)+IF(S$5="Mortgage Starts",0,Deposit_mon),2)</f>
        <v>18595.34</v>
      </c>
      <c r="T29" s="16">
        <f>ROUND(S29*(1+'Interest rate projection'!AS31/Var_freq)+IF(T$5="Mortgage Starts",0,Deposit_mon),2)</f>
        <v>19667.39</v>
      </c>
      <c r="U29" s="16">
        <f>ROUND(T29*(1+'Interest rate projection'!AT31/Var_freq)+IF(U$5="Mortgage Starts",0,Deposit_mon),2)</f>
        <v>20743.59</v>
      </c>
      <c r="V29" s="16">
        <f>ROUND(U29*(1+'Interest rate projection'!AU31/Var_freq)+IF(V$5="Mortgage Starts",0,Deposit_mon),2)</f>
        <v>21819.82</v>
      </c>
      <c r="W29" s="16">
        <f>ROUND(V29*(1+'Interest rate projection'!AV31/Var_freq)+IF(W$5="Mortgage Starts",0,Deposit_mon),2)</f>
        <v>22900</v>
      </c>
      <c r="X29" s="16">
        <f>ROUND(W29*(1+'Interest rate projection'!AW31/Var_freq)+IF(X$5="Mortgage Starts",0,Deposit_mon),2)</f>
        <v>23984.15</v>
      </c>
      <c r="Y29" s="16">
        <f>ROUND(X29*(1+'Interest rate projection'!AX31/Var_freq)+IF(Y$5="Mortgage Starts",0,Deposit_mon),2)</f>
        <v>25081.86</v>
      </c>
      <c r="Z29" s="57">
        <f>ROUND(Y29*(1+'Interest rate projection'!AY31/Var_freq)+IF(Z$5="Mortgage Starts",0,Deposit_mon),2)</f>
        <v>25184.05</v>
      </c>
      <c r="AA29" s="12"/>
      <c r="AB29" s="38">
        <f>'Interest rate projection'!Z31</f>
        <v>5.2499999999999998E-2</v>
      </c>
      <c r="AC29" s="38">
        <f>'Interest rate projection'!AZ31</f>
        <v>5.1277533193896829E-2</v>
      </c>
      <c r="AD29" s="59" t="str">
        <f t="shared" si="2"/>
        <v>OK</v>
      </c>
      <c r="AE29" s="39">
        <f t="shared" si="3"/>
        <v>14.075212462503044</v>
      </c>
      <c r="AF29" s="10"/>
      <c r="AG29" s="73">
        <f t="shared" si="5"/>
        <v>25184.05</v>
      </c>
      <c r="AH29" s="73">
        <f t="shared" si="6"/>
        <v>174815.95</v>
      </c>
      <c r="AI29" s="74">
        <f t="shared" si="4"/>
        <v>1035.01</v>
      </c>
      <c r="AJ29" s="9"/>
      <c r="AK29" s="73">
        <f>'Fixed rate projection'!$AE$3-('Variable rate projection'!AI29*Product_term*Var_freq)</f>
        <v>-7434</v>
      </c>
      <c r="AM29" s="14"/>
      <c r="AN29" s="10"/>
      <c r="AO29" s="11"/>
      <c r="AP29" s="11"/>
      <c r="AQ29" s="11"/>
      <c r="AR29" s="12"/>
      <c r="AS29" s="12"/>
      <c r="AT29" s="13"/>
      <c r="AV29" s="14"/>
      <c r="AW29" s="10"/>
      <c r="AX29" s="11"/>
      <c r="AY29" s="11"/>
      <c r="AZ29" s="11"/>
      <c r="BA29" s="12"/>
      <c r="BB29" s="12"/>
      <c r="BC29" s="13"/>
      <c r="BE29" s="14"/>
      <c r="BF29" s="10"/>
      <c r="BG29" s="11"/>
      <c r="BH29" s="11"/>
      <c r="BI29" s="11"/>
      <c r="BJ29" s="12"/>
      <c r="BK29" s="12"/>
      <c r="BL29" s="13"/>
      <c r="BN29" s="14"/>
      <c r="BO29" s="10"/>
      <c r="BP29" s="11"/>
      <c r="BQ29" s="11"/>
      <c r="BR29" s="11"/>
      <c r="BS29" s="12"/>
      <c r="BT29" s="12"/>
      <c r="BU29" s="13"/>
      <c r="BW29" s="14"/>
      <c r="BX29" s="10"/>
      <c r="BY29" s="11"/>
      <c r="BZ29" s="11"/>
      <c r="CA29" s="11"/>
      <c r="CB29" s="12"/>
      <c r="CC29" s="12"/>
      <c r="CD29" s="13"/>
      <c r="CF29" s="14"/>
      <c r="CG29" s="10"/>
      <c r="CH29" s="11"/>
      <c r="CI29" s="11"/>
      <c r="CJ29" s="11"/>
      <c r="CK29" s="12"/>
      <c r="CL29" s="12"/>
      <c r="CM29" s="13"/>
      <c r="CO29" s="13"/>
    </row>
    <row r="30" spans="1:93" x14ac:dyDescent="0.35">
      <c r="A30" s="27">
        <v>25</v>
      </c>
      <c r="B30" s="57">
        <f t="shared" si="1"/>
        <v>1000</v>
      </c>
      <c r="C30" s="16">
        <f>ROUND(B30*(1+'Interest rate projection'!AB32/Var_freq)+IF(C$5="Mortgage Starts",0,Deposit_mon),2)</f>
        <v>2003.67</v>
      </c>
      <c r="D30" s="16">
        <f>ROUND(C30*(1+'Interest rate projection'!AC32/Var_freq)+IF(D$5="Mortgage Starts",0,Deposit_mon),2)</f>
        <v>3011.03</v>
      </c>
      <c r="E30" s="16">
        <f>ROUND(D30*(1+'Interest rate projection'!AD32/Var_freq)+IF(E$5="Mortgage Starts",0,Deposit_mon),2)</f>
        <v>4022.09</v>
      </c>
      <c r="F30" s="16">
        <f>ROUND(E30*(1+'Interest rate projection'!AE32/Var_freq)+IF(F$5="Mortgage Starts",0,Deposit_mon),2)</f>
        <v>5036.87</v>
      </c>
      <c r="G30" s="16">
        <f>ROUND(F30*(1+'Interest rate projection'!AF32/Var_freq)+IF(G$5="Mortgage Starts",0,Deposit_mon),2)</f>
        <v>6055.38</v>
      </c>
      <c r="H30" s="16">
        <f>ROUND(G30*(1+'Interest rate projection'!AG32/Var_freq)+IF(H$5="Mortgage Starts",0,Deposit_mon),2)</f>
        <v>7077.63</v>
      </c>
      <c r="I30" s="16">
        <f>ROUND(H30*(1+'Interest rate projection'!AH32/Var_freq)+IF(I$5="Mortgage Starts",0,Deposit_mon),2)</f>
        <v>8103.64</v>
      </c>
      <c r="J30" s="16">
        <f>ROUND(I30*(1+'Interest rate projection'!AI32/Var_freq)+IF(J$5="Mortgage Starts",0,Deposit_mon),2)</f>
        <v>9133.42</v>
      </c>
      <c r="K30" s="16">
        <f>ROUND(J30*(1+'Interest rate projection'!AJ32/Var_freq)+IF(K$5="Mortgage Starts",0,Deposit_mon),2)</f>
        <v>10166.98</v>
      </c>
      <c r="L30" s="16">
        <f>ROUND(K30*(1+'Interest rate projection'!AK32/Var_freq)+IF(L$5="Mortgage Starts",0,Deposit_mon),2)</f>
        <v>11204.34</v>
      </c>
      <c r="M30" s="16">
        <f>ROUND(L30*(1+'Interest rate projection'!AL32/Var_freq)+IF(M$5="Mortgage Starts",0,Deposit_mon),2)</f>
        <v>12241.02</v>
      </c>
      <c r="N30" s="16">
        <f>ROUND(M30*(1+'Interest rate projection'!AM32/Var_freq)+IF(N$5="Mortgage Starts",0,Deposit_mon),2)</f>
        <v>13281.09</v>
      </c>
      <c r="O30" s="16">
        <f>ROUND(N30*(1+'Interest rate projection'!AN32/Var_freq)+IF(O$5="Mortgage Starts",0,Deposit_mon),2)</f>
        <v>14324.57</v>
      </c>
      <c r="P30" s="16">
        <f>ROUND(O30*(1+'Interest rate projection'!AO32/Var_freq)+IF(P$5="Mortgage Starts",0,Deposit_mon),2)</f>
        <v>15365.69</v>
      </c>
      <c r="Q30" s="16">
        <f>ROUND(P30*(1+'Interest rate projection'!AP32/Var_freq)+IF(Q$5="Mortgage Starts",0,Deposit_mon),2)</f>
        <v>16409.8</v>
      </c>
      <c r="R30" s="16">
        <f>ROUND(Q30*(1+'Interest rate projection'!AQ32/Var_freq)+IF(R$5="Mortgage Starts",0,Deposit_mon),2)</f>
        <v>17456.91</v>
      </c>
      <c r="S30" s="16">
        <f>ROUND(R30*(1+'Interest rate projection'!AR32/Var_freq)+IF(S$5="Mortgage Starts",0,Deposit_mon),2)</f>
        <v>18507.03</v>
      </c>
      <c r="T30" s="16">
        <f>ROUND(S30*(1+'Interest rate projection'!AS32/Var_freq)+IF(T$5="Mortgage Starts",0,Deposit_mon),2)</f>
        <v>19560.16</v>
      </c>
      <c r="U30" s="16">
        <f>ROUND(T30*(1+'Interest rate projection'!AT32/Var_freq)+IF(U$5="Mortgage Starts",0,Deposit_mon),2)</f>
        <v>20616.32</v>
      </c>
      <c r="V30" s="16">
        <f>ROUND(U30*(1+'Interest rate projection'!AU32/Var_freq)+IF(V$5="Mortgage Starts",0,Deposit_mon),2)</f>
        <v>21675.51</v>
      </c>
      <c r="W30" s="16">
        <f>ROUND(V30*(1+'Interest rate projection'!AV32/Var_freq)+IF(W$5="Mortgage Starts",0,Deposit_mon),2)</f>
        <v>22737.74</v>
      </c>
      <c r="X30" s="16">
        <f>ROUND(W30*(1+'Interest rate projection'!AW32/Var_freq)+IF(X$5="Mortgage Starts",0,Deposit_mon),2)</f>
        <v>23793.82</v>
      </c>
      <c r="Y30" s="16">
        <f>ROUND(X30*(1+'Interest rate projection'!AX32/Var_freq)+IF(Y$5="Mortgage Starts",0,Deposit_mon),2)</f>
        <v>24847.67</v>
      </c>
      <c r="Z30" s="57">
        <f>ROUND(Y30*(1+'Interest rate projection'!AY32/Var_freq)+IF(Z$5="Mortgage Starts",0,Deposit_mon),2)</f>
        <v>24893.79</v>
      </c>
      <c r="AA30" s="12"/>
      <c r="AB30" s="38">
        <f>'Interest rate projection'!Z32</f>
        <v>2.2500000000000003E-2</v>
      </c>
      <c r="AC30" s="38">
        <f>'Interest rate projection'!AZ32</f>
        <v>2.2271250424034328E-2</v>
      </c>
      <c r="AD30" s="59" t="str">
        <f t="shared" si="2"/>
        <v>OK</v>
      </c>
      <c r="AE30" s="39">
        <f t="shared" si="3"/>
        <v>19.157146591708916</v>
      </c>
      <c r="AF30" s="10"/>
      <c r="AG30" s="73">
        <f t="shared" si="5"/>
        <v>24893.79</v>
      </c>
      <c r="AH30" s="73">
        <f t="shared" si="6"/>
        <v>175106.21</v>
      </c>
      <c r="AI30" s="74">
        <f t="shared" si="4"/>
        <v>761.71</v>
      </c>
      <c r="AJ30" s="9"/>
      <c r="AK30" s="73">
        <f>'Fixed rate projection'!$AE$3-('Variable rate projection'!AI30*Product_term*Var_freq)</f>
        <v>74556</v>
      </c>
      <c r="AM30" s="14"/>
      <c r="AN30" s="10"/>
      <c r="AO30" s="11"/>
      <c r="AP30" s="11"/>
      <c r="AQ30" s="11"/>
      <c r="AR30" s="12"/>
      <c r="AS30" s="12"/>
      <c r="AT30" s="13"/>
      <c r="AV30" s="14"/>
      <c r="AW30" s="10"/>
      <c r="AX30" s="11"/>
      <c r="AY30" s="11"/>
      <c r="AZ30" s="11"/>
      <c r="BA30" s="12"/>
      <c r="BB30" s="12"/>
      <c r="BC30" s="13"/>
      <c r="BE30" s="14"/>
      <c r="BF30" s="10"/>
      <c r="BG30" s="11"/>
      <c r="BH30" s="11"/>
      <c r="BI30" s="11"/>
      <c r="BJ30" s="12"/>
      <c r="BK30" s="12"/>
      <c r="BL30" s="13"/>
      <c r="BN30" s="14"/>
      <c r="BO30" s="10"/>
      <c r="BP30" s="11"/>
      <c r="BQ30" s="11"/>
      <c r="BR30" s="11"/>
      <c r="BS30" s="12"/>
      <c r="BT30" s="12"/>
      <c r="BU30" s="13"/>
      <c r="BW30" s="14"/>
      <c r="BX30" s="10"/>
      <c r="BY30" s="11"/>
      <c r="BZ30" s="11"/>
      <c r="CA30" s="11"/>
      <c r="CB30" s="12"/>
      <c r="CC30" s="12"/>
      <c r="CD30" s="13"/>
      <c r="CF30" s="14"/>
      <c r="CG30" s="10"/>
      <c r="CH30" s="11"/>
      <c r="CI30" s="11"/>
      <c r="CJ30" s="11"/>
      <c r="CK30" s="12"/>
      <c r="CL30" s="12"/>
      <c r="CM30" s="13"/>
      <c r="CO30" s="13"/>
    </row>
    <row r="31" spans="1:93" x14ac:dyDescent="0.35">
      <c r="A31" s="5">
        <v>26</v>
      </c>
      <c r="B31" s="57">
        <f t="shared" si="1"/>
        <v>1000</v>
      </c>
      <c r="C31" s="16">
        <f>ROUND(B31*(1+'Interest rate projection'!AB33/Var_freq)+IF(C$5="Mortgage Starts",0,Deposit_mon),2)</f>
        <v>2003.67</v>
      </c>
      <c r="D31" s="16">
        <f>ROUND(C31*(1+'Interest rate projection'!AC33/Var_freq)+IF(D$5="Mortgage Starts",0,Deposit_mon),2)</f>
        <v>3011.03</v>
      </c>
      <c r="E31" s="16">
        <f>ROUND(D31*(1+'Interest rate projection'!AD33/Var_freq)+IF(E$5="Mortgage Starts",0,Deposit_mon),2)</f>
        <v>4022.09</v>
      </c>
      <c r="F31" s="16">
        <f>ROUND(E31*(1+'Interest rate projection'!AE33/Var_freq)+IF(F$5="Mortgage Starts",0,Deposit_mon),2)</f>
        <v>5036.87</v>
      </c>
      <c r="G31" s="16">
        <f>ROUND(F31*(1+'Interest rate projection'!AF33/Var_freq)+IF(G$5="Mortgage Starts",0,Deposit_mon),2)</f>
        <v>6055.38</v>
      </c>
      <c r="H31" s="16">
        <f>ROUND(G31*(1+'Interest rate projection'!AG33/Var_freq)+IF(H$5="Mortgage Starts",0,Deposit_mon),2)</f>
        <v>7077.63</v>
      </c>
      <c r="I31" s="16">
        <f>ROUND(H31*(1+'Interest rate projection'!AH33/Var_freq)+IF(I$5="Mortgage Starts",0,Deposit_mon),2)</f>
        <v>8103.64</v>
      </c>
      <c r="J31" s="16">
        <f>ROUND(I31*(1+'Interest rate projection'!AI33/Var_freq)+IF(J$5="Mortgage Starts",0,Deposit_mon),2)</f>
        <v>9133.42</v>
      </c>
      <c r="K31" s="16">
        <f>ROUND(J31*(1+'Interest rate projection'!AJ33/Var_freq)+IF(K$5="Mortgage Starts",0,Deposit_mon),2)</f>
        <v>10166.98</v>
      </c>
      <c r="L31" s="16">
        <f>ROUND(K31*(1+'Interest rate projection'!AK33/Var_freq)+IF(L$5="Mortgage Starts",0,Deposit_mon),2)</f>
        <v>11204.34</v>
      </c>
      <c r="M31" s="16">
        <f>ROUND(L31*(1+'Interest rate projection'!AL33/Var_freq)+IF(M$5="Mortgage Starts",0,Deposit_mon),2)</f>
        <v>12245.51</v>
      </c>
      <c r="N31" s="16">
        <f>ROUND(M31*(1+'Interest rate projection'!AM33/Var_freq)+IF(N$5="Mortgage Starts",0,Deposit_mon),2)</f>
        <v>13290.51</v>
      </c>
      <c r="O31" s="16">
        <f>ROUND(N31*(1+'Interest rate projection'!AN33/Var_freq)+IF(O$5="Mortgage Starts",0,Deposit_mon),2)</f>
        <v>14336.69</v>
      </c>
      <c r="P31" s="16">
        <f>ROUND(O31*(1+'Interest rate projection'!AO33/Var_freq)+IF(P$5="Mortgage Starts",0,Deposit_mon),2)</f>
        <v>15383.62</v>
      </c>
      <c r="Q31" s="16">
        <f>ROUND(P31*(1+'Interest rate projection'!AP33/Var_freq)+IF(Q$5="Mortgage Starts",0,Deposit_mon),2)</f>
        <v>16437.07</v>
      </c>
      <c r="R31" s="16">
        <f>ROUND(Q31*(1+'Interest rate projection'!AQ33/Var_freq)+IF(R$5="Mortgage Starts",0,Deposit_mon),2)</f>
        <v>17494.18</v>
      </c>
      <c r="S31" s="16">
        <f>ROUND(R31*(1+'Interest rate projection'!AR33/Var_freq)+IF(S$5="Mortgage Starts",0,Deposit_mon),2)</f>
        <v>18554.96</v>
      </c>
      <c r="T31" s="16">
        <f>ROUND(S31*(1+'Interest rate projection'!AS33/Var_freq)+IF(T$5="Mortgage Starts",0,Deposit_mon),2)</f>
        <v>19619.43</v>
      </c>
      <c r="U31" s="16">
        <f>ROUND(T31*(1+'Interest rate projection'!AT33/Var_freq)+IF(U$5="Mortgage Starts",0,Deposit_mon),2)</f>
        <v>20687.599999999999</v>
      </c>
      <c r="V31" s="16">
        <f>ROUND(U31*(1+'Interest rate projection'!AU33/Var_freq)+IF(V$5="Mortgage Starts",0,Deposit_mon),2)</f>
        <v>21759.48</v>
      </c>
      <c r="W31" s="16">
        <f>ROUND(V31*(1+'Interest rate projection'!AV33/Var_freq)+IF(W$5="Mortgage Starts",0,Deposit_mon),2)</f>
        <v>22835.08</v>
      </c>
      <c r="X31" s="16">
        <f>ROUND(W31*(1+'Interest rate projection'!AW33/Var_freq)+IF(X$5="Mortgage Starts",0,Deposit_mon),2)</f>
        <v>23914.42</v>
      </c>
      <c r="Y31" s="16">
        <f>ROUND(X31*(1+'Interest rate projection'!AX33/Var_freq)+IF(Y$5="Mortgage Starts",0,Deposit_mon),2)</f>
        <v>24997.51</v>
      </c>
      <c r="Z31" s="57">
        <f>ROUND(Y31*(1+'Interest rate projection'!AY33/Var_freq)+IF(Z$5="Mortgage Starts",0,Deposit_mon),2)</f>
        <v>25084.36</v>
      </c>
      <c r="AA31" s="12"/>
      <c r="AB31" s="38">
        <f>'Interest rate projection'!Z33</f>
        <v>4.2499999999999996E-2</v>
      </c>
      <c r="AC31" s="38">
        <f>'Interest rate projection'!AZ33</f>
        <v>4.1693940041970023E-2</v>
      </c>
      <c r="AD31" s="59" t="str">
        <f t="shared" si="2"/>
        <v>OK</v>
      </c>
      <c r="AE31" s="39">
        <f t="shared" si="3"/>
        <v>15.511529757864551</v>
      </c>
      <c r="AF31" s="10"/>
      <c r="AG31" s="73">
        <f t="shared" si="5"/>
        <v>25084.36</v>
      </c>
      <c r="AH31" s="73">
        <f t="shared" si="6"/>
        <v>174915.64</v>
      </c>
      <c r="AI31" s="74">
        <f t="shared" si="4"/>
        <v>939.71</v>
      </c>
      <c r="AJ31" s="9"/>
      <c r="AK31" s="73">
        <f>'Fixed rate projection'!$AE$3-('Variable rate projection'!AI31*Product_term*Var_freq)</f>
        <v>21156</v>
      </c>
      <c r="AM31" s="14"/>
      <c r="AN31" s="10"/>
      <c r="AO31" s="11"/>
      <c r="AP31" s="11"/>
      <c r="AQ31" s="11"/>
      <c r="AR31" s="12"/>
      <c r="AS31" s="12"/>
      <c r="AT31" s="13"/>
      <c r="AV31" s="14"/>
      <c r="AW31" s="10"/>
      <c r="AX31" s="11"/>
      <c r="AY31" s="11"/>
      <c r="AZ31" s="11"/>
      <c r="BA31" s="12"/>
      <c r="BB31" s="12"/>
      <c r="BC31" s="13"/>
      <c r="BE31" s="14"/>
      <c r="BF31" s="10"/>
      <c r="BG31" s="11"/>
      <c r="BH31" s="11"/>
      <c r="BI31" s="11"/>
      <c r="BJ31" s="12"/>
      <c r="BK31" s="12"/>
      <c r="BL31" s="13"/>
      <c r="BN31" s="14"/>
      <c r="BO31" s="10"/>
      <c r="BP31" s="11"/>
      <c r="BQ31" s="11"/>
      <c r="BR31" s="11"/>
      <c r="BS31" s="12"/>
      <c r="BT31" s="12"/>
      <c r="BU31" s="13"/>
      <c r="BW31" s="14"/>
      <c r="BX31" s="10"/>
      <c r="BY31" s="11"/>
      <c r="BZ31" s="11"/>
      <c r="CA31" s="11"/>
      <c r="CB31" s="12"/>
      <c r="CC31" s="12"/>
      <c r="CD31" s="13"/>
      <c r="CF31" s="14"/>
      <c r="CG31" s="10"/>
      <c r="CH31" s="11"/>
      <c r="CI31" s="11"/>
      <c r="CJ31" s="11"/>
      <c r="CK31" s="12"/>
      <c r="CL31" s="12"/>
      <c r="CM31" s="13"/>
      <c r="CO31" s="13"/>
    </row>
    <row r="32" spans="1:93" x14ac:dyDescent="0.35">
      <c r="A32" s="27">
        <v>27</v>
      </c>
      <c r="B32" s="57">
        <f t="shared" si="1"/>
        <v>1000</v>
      </c>
      <c r="C32" s="16">
        <f>ROUND(B32*(1+'Interest rate projection'!AB34/Var_freq)+IF(C$5="Mortgage Starts",0,Deposit_mon),2)</f>
        <v>2003.67</v>
      </c>
      <c r="D32" s="16">
        <f>ROUND(C32*(1+'Interest rate projection'!AC34/Var_freq)+IF(D$5="Mortgage Starts",0,Deposit_mon),2)</f>
        <v>3011.03</v>
      </c>
      <c r="E32" s="16">
        <f>ROUND(D32*(1+'Interest rate projection'!AD34/Var_freq)+IF(E$5="Mortgage Starts",0,Deposit_mon),2)</f>
        <v>4022.09</v>
      </c>
      <c r="F32" s="16">
        <f>ROUND(E32*(1+'Interest rate projection'!AE34/Var_freq)+IF(F$5="Mortgage Starts",0,Deposit_mon),2)</f>
        <v>5036.87</v>
      </c>
      <c r="G32" s="16">
        <f>ROUND(F32*(1+'Interest rate projection'!AF34/Var_freq)+IF(G$5="Mortgage Starts",0,Deposit_mon),2)</f>
        <v>6054.37</v>
      </c>
      <c r="H32" s="16">
        <f>ROUND(G32*(1+'Interest rate projection'!AG34/Var_freq)+IF(H$5="Mortgage Starts",0,Deposit_mon),2)</f>
        <v>7075.41</v>
      </c>
      <c r="I32" s="16">
        <f>ROUND(H32*(1+'Interest rate projection'!AH34/Var_freq)+IF(I$5="Mortgage Starts",0,Deposit_mon),2)</f>
        <v>8099.99</v>
      </c>
      <c r="J32" s="16">
        <f>ROUND(I32*(1+'Interest rate projection'!AI34/Var_freq)+IF(J$5="Mortgage Starts",0,Deposit_mon),2)</f>
        <v>9126.51</v>
      </c>
      <c r="K32" s="16">
        <f>ROUND(J32*(1+'Interest rate projection'!AJ34/Var_freq)+IF(K$5="Mortgage Starts",0,Deposit_mon),2)</f>
        <v>10156.39</v>
      </c>
      <c r="L32" s="16">
        <f>ROUND(K32*(1+'Interest rate projection'!AK34/Var_freq)+IF(L$5="Mortgage Starts",0,Deposit_mon),2)</f>
        <v>11189.64</v>
      </c>
      <c r="M32" s="16">
        <f>ROUND(L32*(1+'Interest rate projection'!AL34/Var_freq)+IF(M$5="Mortgage Starts",0,Deposit_mon),2)</f>
        <v>12226.27</v>
      </c>
      <c r="N32" s="16">
        <f>ROUND(M32*(1+'Interest rate projection'!AM34/Var_freq)+IF(N$5="Mortgage Starts",0,Deposit_mon),2)</f>
        <v>13266.3</v>
      </c>
      <c r="O32" s="16">
        <f>ROUND(N32*(1+'Interest rate projection'!AN34/Var_freq)+IF(O$5="Mortgage Starts",0,Deposit_mon),2)</f>
        <v>14309.73</v>
      </c>
      <c r="P32" s="16">
        <f>ROUND(O32*(1+'Interest rate projection'!AO34/Var_freq)+IF(P$5="Mortgage Starts",0,Deposit_mon),2)</f>
        <v>15356.58</v>
      </c>
      <c r="Q32" s="16">
        <f>ROUND(P32*(1+'Interest rate projection'!AP34/Var_freq)+IF(Q$5="Mortgage Starts",0,Deposit_mon),2)</f>
        <v>16406.849999999999</v>
      </c>
      <c r="R32" s="16">
        <f>ROUND(Q32*(1+'Interest rate projection'!AQ34/Var_freq)+IF(R$5="Mortgage Starts",0,Deposit_mon),2)</f>
        <v>17460.560000000001</v>
      </c>
      <c r="S32" s="16">
        <f>ROUND(R32*(1+'Interest rate projection'!AR34/Var_freq)+IF(S$5="Mortgage Starts",0,Deposit_mon),2)</f>
        <v>18517.72</v>
      </c>
      <c r="T32" s="16">
        <f>ROUND(S32*(1+'Interest rate projection'!AS34/Var_freq)+IF(T$5="Mortgage Starts",0,Deposit_mon),2)</f>
        <v>19578.34</v>
      </c>
      <c r="U32" s="16">
        <f>ROUND(T32*(1+'Interest rate projection'!AT34/Var_freq)+IF(U$5="Mortgage Starts",0,Deposit_mon),2)</f>
        <v>20642.43</v>
      </c>
      <c r="V32" s="16">
        <f>ROUND(U32*(1+'Interest rate projection'!AU34/Var_freq)+IF(V$5="Mortgage Starts",0,Deposit_mon),2)</f>
        <v>21710.01</v>
      </c>
      <c r="W32" s="16">
        <f>ROUND(V32*(1+'Interest rate projection'!AV34/Var_freq)+IF(W$5="Mortgage Starts",0,Deposit_mon),2)</f>
        <v>22781.08</v>
      </c>
      <c r="X32" s="16">
        <f>ROUND(W32*(1+'Interest rate projection'!AW34/Var_freq)+IF(X$5="Mortgage Starts",0,Deposit_mon),2)</f>
        <v>23855.66</v>
      </c>
      <c r="Y32" s="16">
        <f>ROUND(X32*(1+'Interest rate projection'!AX34/Var_freq)+IF(Y$5="Mortgage Starts",0,Deposit_mon),2)</f>
        <v>24933.759999999998</v>
      </c>
      <c r="Z32" s="57">
        <f>ROUND(Y32*(1+'Interest rate projection'!AY34/Var_freq)+IF(Z$5="Mortgage Starts",0,Deposit_mon),2)</f>
        <v>25015.39</v>
      </c>
      <c r="AA32" s="12"/>
      <c r="AB32" s="38">
        <f>'Interest rate projection'!Z34</f>
        <v>3.9999999999999994E-2</v>
      </c>
      <c r="AC32" s="38">
        <f>'Interest rate projection'!AZ34</f>
        <v>3.9284877386386974E-2</v>
      </c>
      <c r="AD32" s="59" t="str">
        <f t="shared" si="2"/>
        <v>OK</v>
      </c>
      <c r="AE32" s="39">
        <f t="shared" si="3"/>
        <v>15.906456614335044</v>
      </c>
      <c r="AF32" s="10"/>
      <c r="AG32" s="73">
        <f t="shared" si="5"/>
        <v>25015.39</v>
      </c>
      <c r="AH32" s="73">
        <f t="shared" si="6"/>
        <v>174984.61</v>
      </c>
      <c r="AI32" s="74">
        <f t="shared" si="4"/>
        <v>916.74</v>
      </c>
      <c r="AJ32" s="9"/>
      <c r="AK32" s="73">
        <f>'Fixed rate projection'!$AE$3-('Variable rate projection'!AI32*Product_term*Var_freq)</f>
        <v>28047</v>
      </c>
      <c r="AM32" s="14"/>
      <c r="AN32" s="10"/>
      <c r="AO32" s="11"/>
      <c r="AP32" s="11"/>
      <c r="AQ32" s="11"/>
      <c r="AR32" s="12"/>
      <c r="AS32" s="12"/>
      <c r="AT32" s="13"/>
      <c r="AV32" s="14"/>
      <c r="AW32" s="10"/>
      <c r="AX32" s="11"/>
      <c r="AY32" s="11"/>
      <c r="AZ32" s="11"/>
      <c r="BA32" s="12"/>
      <c r="BB32" s="12"/>
      <c r="BC32" s="13"/>
      <c r="BE32" s="14"/>
      <c r="BF32" s="10"/>
      <c r="BG32" s="11"/>
      <c r="BH32" s="11"/>
      <c r="BI32" s="11"/>
      <c r="BJ32" s="12"/>
      <c r="BK32" s="12"/>
      <c r="BL32" s="13"/>
      <c r="BN32" s="14"/>
      <c r="BO32" s="10"/>
      <c r="BP32" s="11"/>
      <c r="BQ32" s="11"/>
      <c r="BR32" s="11"/>
      <c r="BS32" s="12"/>
      <c r="BT32" s="12"/>
      <c r="BU32" s="13"/>
      <c r="BW32" s="14"/>
      <c r="BX32" s="10"/>
      <c r="BY32" s="11"/>
      <c r="BZ32" s="11"/>
      <c r="CA32" s="11"/>
      <c r="CB32" s="12"/>
      <c r="CC32" s="12"/>
      <c r="CD32" s="13"/>
      <c r="CF32" s="14"/>
      <c r="CG32" s="10"/>
      <c r="CH32" s="11"/>
      <c r="CI32" s="11"/>
      <c r="CJ32" s="11"/>
      <c r="CK32" s="12"/>
      <c r="CL32" s="12"/>
      <c r="CM32" s="13"/>
      <c r="CO32" s="13"/>
    </row>
    <row r="33" spans="1:93" x14ac:dyDescent="0.35">
      <c r="A33" s="5">
        <v>28</v>
      </c>
      <c r="B33" s="57">
        <f t="shared" si="1"/>
        <v>1000</v>
      </c>
      <c r="C33" s="16">
        <f>ROUND(B33*(1+'Interest rate projection'!AB35/Var_freq)+IF(C$5="Mortgage Starts",0,Deposit_mon),2)</f>
        <v>2003.67</v>
      </c>
      <c r="D33" s="16">
        <f>ROUND(C33*(1+'Interest rate projection'!AC35/Var_freq)+IF(D$5="Mortgage Starts",0,Deposit_mon),2)</f>
        <v>3011.03</v>
      </c>
      <c r="E33" s="16">
        <f>ROUND(D33*(1+'Interest rate projection'!AD35/Var_freq)+IF(E$5="Mortgage Starts",0,Deposit_mon),2)</f>
        <v>4022.09</v>
      </c>
      <c r="F33" s="16">
        <f>ROUND(E33*(1+'Interest rate projection'!AE35/Var_freq)+IF(F$5="Mortgage Starts",0,Deposit_mon),2)</f>
        <v>5036.87</v>
      </c>
      <c r="G33" s="16">
        <f>ROUND(F33*(1+'Interest rate projection'!AF35/Var_freq)+IF(G$5="Mortgage Starts",0,Deposit_mon),2)</f>
        <v>6055.38</v>
      </c>
      <c r="H33" s="16">
        <f>ROUND(G33*(1+'Interest rate projection'!AG35/Var_freq)+IF(H$5="Mortgage Starts",0,Deposit_mon),2)</f>
        <v>7077.63</v>
      </c>
      <c r="I33" s="16">
        <f>ROUND(H33*(1+'Interest rate projection'!AH35/Var_freq)+IF(I$5="Mortgage Starts",0,Deposit_mon),2)</f>
        <v>8102.22</v>
      </c>
      <c r="J33" s="16">
        <f>ROUND(I33*(1+'Interest rate projection'!AI35/Var_freq)+IF(J$5="Mortgage Starts",0,Deposit_mon),2)</f>
        <v>9130.3700000000008</v>
      </c>
      <c r="K33" s="16">
        <f>ROUND(J33*(1+'Interest rate projection'!AJ35/Var_freq)+IF(K$5="Mortgage Starts",0,Deposit_mon),2)</f>
        <v>10162.09</v>
      </c>
      <c r="L33" s="16">
        <f>ROUND(K33*(1+'Interest rate projection'!AK35/Var_freq)+IF(L$5="Mortgage Starts",0,Deposit_mon),2)</f>
        <v>11197.4</v>
      </c>
      <c r="M33" s="16">
        <f>ROUND(L33*(1+'Interest rate projection'!AL35/Var_freq)+IF(M$5="Mortgage Starts",0,Deposit_mon),2)</f>
        <v>12236.31</v>
      </c>
      <c r="N33" s="16">
        <f>ROUND(M33*(1+'Interest rate projection'!AM35/Var_freq)+IF(N$5="Mortgage Starts",0,Deposit_mon),2)</f>
        <v>13278.82</v>
      </c>
      <c r="O33" s="16">
        <f>ROUND(N33*(1+'Interest rate projection'!AN35/Var_freq)+IF(O$5="Mortgage Starts",0,Deposit_mon),2)</f>
        <v>14324.96</v>
      </c>
      <c r="P33" s="16">
        <f>ROUND(O33*(1+'Interest rate projection'!AO35/Var_freq)+IF(P$5="Mortgage Starts",0,Deposit_mon),2)</f>
        <v>15374.73</v>
      </c>
      <c r="Q33" s="16">
        <f>ROUND(P33*(1+'Interest rate projection'!AP35/Var_freq)+IF(Q$5="Mortgage Starts",0,Deposit_mon),2)</f>
        <v>16428.150000000001</v>
      </c>
      <c r="R33" s="16">
        <f>ROUND(Q33*(1+'Interest rate projection'!AQ35/Var_freq)+IF(R$5="Mortgage Starts",0,Deposit_mon),2)</f>
        <v>17485.23</v>
      </c>
      <c r="S33" s="16">
        <f>ROUND(R33*(1+'Interest rate projection'!AR35/Var_freq)+IF(S$5="Mortgage Starts",0,Deposit_mon),2)</f>
        <v>18552.98</v>
      </c>
      <c r="T33" s="16">
        <f>ROUND(S33*(1+'Interest rate projection'!AS35/Var_freq)+IF(T$5="Mortgage Starts",0,Deposit_mon),2)</f>
        <v>19617.439999999999</v>
      </c>
      <c r="U33" s="16">
        <f>ROUND(T33*(1+'Interest rate projection'!AT35/Var_freq)+IF(U$5="Mortgage Starts",0,Deposit_mon),2)</f>
        <v>20685.599999999999</v>
      </c>
      <c r="V33" s="16">
        <f>ROUND(U33*(1+'Interest rate projection'!AU35/Var_freq)+IF(V$5="Mortgage Starts",0,Deposit_mon),2)</f>
        <v>21757.47</v>
      </c>
      <c r="W33" s="16">
        <f>ROUND(V33*(1+'Interest rate projection'!AV35/Var_freq)+IF(W$5="Mortgage Starts",0,Deposit_mon),2)</f>
        <v>22833.07</v>
      </c>
      <c r="X33" s="16">
        <f>ROUND(W33*(1+'Interest rate projection'!AW35/Var_freq)+IF(X$5="Mortgage Starts",0,Deposit_mon),2)</f>
        <v>23912.400000000001</v>
      </c>
      <c r="Y33" s="16">
        <f>ROUND(X33*(1+'Interest rate projection'!AX35/Var_freq)+IF(Y$5="Mortgage Starts",0,Deposit_mon),2)</f>
        <v>24995.48</v>
      </c>
      <c r="Z33" s="57">
        <f>ROUND(Y33*(1+'Interest rate projection'!AY35/Var_freq)+IF(Z$5="Mortgage Starts",0,Deposit_mon),2)</f>
        <v>25082.33</v>
      </c>
      <c r="AA33" s="12"/>
      <c r="AB33" s="38">
        <f>'Interest rate projection'!Z35</f>
        <v>4.2499999999999996E-2</v>
      </c>
      <c r="AC33" s="38">
        <f>'Interest rate projection'!AZ35</f>
        <v>4.1693940041970023E-2</v>
      </c>
      <c r="AD33" s="59" t="str">
        <f t="shared" si="2"/>
        <v>OK</v>
      </c>
      <c r="AE33" s="39">
        <f t="shared" si="3"/>
        <v>15.511529757864551</v>
      </c>
      <c r="AF33" s="10"/>
      <c r="AG33" s="73">
        <f t="shared" si="5"/>
        <v>25082.33</v>
      </c>
      <c r="AH33" s="73">
        <f t="shared" si="6"/>
        <v>174917.66999999998</v>
      </c>
      <c r="AI33" s="74">
        <f t="shared" si="4"/>
        <v>939.72</v>
      </c>
      <c r="AJ33" s="9"/>
      <c r="AK33" s="73">
        <f>'Fixed rate projection'!$AE$3-('Variable rate projection'!AI33*Product_term*Var_freq)</f>
        <v>21153</v>
      </c>
      <c r="AM33" s="14"/>
      <c r="AN33" s="10"/>
      <c r="AO33" s="11"/>
      <c r="AP33" s="11"/>
      <c r="AQ33" s="11"/>
      <c r="AR33" s="12"/>
      <c r="AS33" s="12"/>
      <c r="AT33" s="13"/>
      <c r="AV33" s="14"/>
      <c r="AW33" s="10"/>
      <c r="AX33" s="11"/>
      <c r="AY33" s="11"/>
      <c r="AZ33" s="11"/>
      <c r="BA33" s="12"/>
      <c r="BB33" s="12"/>
      <c r="BC33" s="13"/>
      <c r="BE33" s="14"/>
      <c r="BF33" s="10"/>
      <c r="BG33" s="11"/>
      <c r="BH33" s="11"/>
      <c r="BI33" s="11"/>
      <c r="BJ33" s="12"/>
      <c r="BK33" s="12"/>
      <c r="BL33" s="13"/>
      <c r="BN33" s="14"/>
      <c r="BO33" s="10"/>
      <c r="BP33" s="11"/>
      <c r="BQ33" s="11"/>
      <c r="BR33" s="11"/>
      <c r="BS33" s="12"/>
      <c r="BT33" s="12"/>
      <c r="BU33" s="13"/>
      <c r="BW33" s="14"/>
      <c r="BX33" s="10"/>
      <c r="BY33" s="11"/>
      <c r="BZ33" s="11"/>
      <c r="CA33" s="11"/>
      <c r="CB33" s="12"/>
      <c r="CC33" s="12"/>
      <c r="CD33" s="13"/>
      <c r="CF33" s="14"/>
      <c r="CG33" s="10"/>
      <c r="CH33" s="11"/>
      <c r="CI33" s="11"/>
      <c r="CJ33" s="11"/>
      <c r="CK33" s="12"/>
      <c r="CL33" s="12"/>
      <c r="CM33" s="13"/>
      <c r="CO33" s="13"/>
    </row>
    <row r="34" spans="1:93" x14ac:dyDescent="0.35">
      <c r="A34" s="27">
        <v>29</v>
      </c>
      <c r="B34" s="57">
        <f t="shared" si="1"/>
        <v>1000</v>
      </c>
      <c r="C34" s="16">
        <f>ROUND(B34*(1+'Interest rate projection'!AB36/Var_freq)+IF(C$5="Mortgage Starts",0,Deposit_mon),2)</f>
        <v>2003.67</v>
      </c>
      <c r="D34" s="16">
        <f>ROUND(C34*(1+'Interest rate projection'!AC36/Var_freq)+IF(D$5="Mortgage Starts",0,Deposit_mon),2)</f>
        <v>3011.03</v>
      </c>
      <c r="E34" s="16">
        <f>ROUND(D34*(1+'Interest rate projection'!AD36/Var_freq)+IF(E$5="Mortgage Starts",0,Deposit_mon),2)</f>
        <v>4022.09</v>
      </c>
      <c r="F34" s="16">
        <f>ROUND(E34*(1+'Interest rate projection'!AE36/Var_freq)+IF(F$5="Mortgage Starts",0,Deposit_mon),2)</f>
        <v>5036.87</v>
      </c>
      <c r="G34" s="16">
        <f>ROUND(F34*(1+'Interest rate projection'!AF36/Var_freq)+IF(G$5="Mortgage Starts",0,Deposit_mon),2)</f>
        <v>6057.39</v>
      </c>
      <c r="H34" s="16">
        <f>ROUND(G34*(1+'Interest rate projection'!AG36/Var_freq)+IF(H$5="Mortgage Starts",0,Deposit_mon),2)</f>
        <v>7082.07</v>
      </c>
      <c r="I34" s="16">
        <f>ROUND(H34*(1+'Interest rate projection'!AH36/Var_freq)+IF(I$5="Mortgage Starts",0,Deposit_mon),2)</f>
        <v>8109.51</v>
      </c>
      <c r="J34" s="16">
        <f>ROUND(I34*(1+'Interest rate projection'!AI36/Var_freq)+IF(J$5="Mortgage Starts",0,Deposit_mon),2)</f>
        <v>9140.93</v>
      </c>
      <c r="K34" s="16">
        <f>ROUND(J34*(1+'Interest rate projection'!AJ36/Var_freq)+IF(K$5="Mortgage Starts",0,Deposit_mon),2)</f>
        <v>10176.35</v>
      </c>
      <c r="L34" s="16">
        <f>ROUND(K34*(1+'Interest rate projection'!AK36/Var_freq)+IF(L$5="Mortgage Starts",0,Deposit_mon),2)</f>
        <v>11215.78</v>
      </c>
      <c r="M34" s="16">
        <f>ROUND(L34*(1+'Interest rate projection'!AL36/Var_freq)+IF(M$5="Mortgage Starts",0,Deposit_mon),2)</f>
        <v>12257</v>
      </c>
      <c r="N34" s="16">
        <f>ROUND(M34*(1+'Interest rate projection'!AM36/Var_freq)+IF(N$5="Mortgage Starts",0,Deposit_mon),2)</f>
        <v>13302.04</v>
      </c>
      <c r="O34" s="16">
        <f>ROUND(N34*(1+'Interest rate projection'!AN36/Var_freq)+IF(O$5="Mortgage Starts",0,Deposit_mon),2)</f>
        <v>14350.92</v>
      </c>
      <c r="P34" s="16">
        <f>ROUND(O34*(1+'Interest rate projection'!AO36/Var_freq)+IF(P$5="Mortgage Starts",0,Deposit_mon),2)</f>
        <v>15403.66</v>
      </c>
      <c r="Q34" s="16">
        <f>ROUND(P34*(1+'Interest rate projection'!AP36/Var_freq)+IF(Q$5="Mortgage Starts",0,Deposit_mon),2)</f>
        <v>16460.27</v>
      </c>
      <c r="R34" s="16">
        <f>ROUND(Q34*(1+'Interest rate projection'!AQ36/Var_freq)+IF(R$5="Mortgage Starts",0,Deposit_mon),2)</f>
        <v>17520.759999999998</v>
      </c>
      <c r="S34" s="16">
        <f>ROUND(R34*(1+'Interest rate projection'!AR36/Var_freq)+IF(S$5="Mortgage Starts",0,Deposit_mon),2)</f>
        <v>18588.650000000001</v>
      </c>
      <c r="T34" s="16">
        <f>ROUND(S34*(1+'Interest rate projection'!AS36/Var_freq)+IF(T$5="Mortgage Starts",0,Deposit_mon),2)</f>
        <v>19660.68</v>
      </c>
      <c r="U34" s="16">
        <f>ROUND(T34*(1+'Interest rate projection'!AT36/Var_freq)+IF(U$5="Mortgage Starts",0,Deposit_mon),2)</f>
        <v>20736.86</v>
      </c>
      <c r="V34" s="16">
        <f>ROUND(U34*(1+'Interest rate projection'!AU36/Var_freq)+IF(V$5="Mortgage Starts",0,Deposit_mon),2)</f>
        <v>21817.21</v>
      </c>
      <c r="W34" s="16">
        <f>ROUND(V34*(1+'Interest rate projection'!AV36/Var_freq)+IF(W$5="Mortgage Starts",0,Deposit_mon),2)</f>
        <v>22910.44</v>
      </c>
      <c r="X34" s="16">
        <f>ROUND(W34*(1+'Interest rate projection'!AW36/Var_freq)+IF(X$5="Mortgage Starts",0,Deposit_mon),2)</f>
        <v>24003.78</v>
      </c>
      <c r="Y34" s="16">
        <f>ROUND(X34*(1+'Interest rate projection'!AX36/Var_freq)+IF(Y$5="Mortgage Starts",0,Deposit_mon),2)</f>
        <v>25106.35</v>
      </c>
      <c r="Z34" s="57">
        <f>ROUND(Y34*(1+'Interest rate projection'!AY36/Var_freq)+IF(Z$5="Mortgage Starts",0,Deposit_mon),2)</f>
        <v>25213.63</v>
      </c>
      <c r="AA34" s="12"/>
      <c r="AB34" s="38">
        <f>'Interest rate projection'!Z36</f>
        <v>4.7499999999999994E-2</v>
      </c>
      <c r="AC34" s="38">
        <f>'Interest rate projection'!AZ36</f>
        <v>4.6496219905550085E-2</v>
      </c>
      <c r="AD34" s="59" t="str">
        <f t="shared" si="2"/>
        <v>OK</v>
      </c>
      <c r="AE34" s="39">
        <f t="shared" si="3"/>
        <v>14.766012404082064</v>
      </c>
      <c r="AF34" s="10"/>
      <c r="AG34" s="73">
        <f t="shared" si="5"/>
        <v>25213.63</v>
      </c>
      <c r="AH34" s="73">
        <f t="shared" si="6"/>
        <v>174786.37</v>
      </c>
      <c r="AI34" s="74">
        <f t="shared" si="4"/>
        <v>986.42</v>
      </c>
      <c r="AJ34" s="9"/>
      <c r="AK34" s="73">
        <f>'Fixed rate projection'!$AE$3-('Variable rate projection'!AI34*Product_term*Var_freq)</f>
        <v>7143</v>
      </c>
      <c r="AM34" s="14"/>
      <c r="AN34" s="10"/>
      <c r="AO34" s="11"/>
      <c r="AP34" s="11"/>
      <c r="AQ34" s="11"/>
      <c r="AR34" s="12"/>
      <c r="AS34" s="12"/>
      <c r="AT34" s="13"/>
      <c r="AV34" s="14"/>
      <c r="AW34" s="10"/>
      <c r="AX34" s="11"/>
      <c r="AY34" s="11"/>
      <c r="AZ34" s="11"/>
      <c r="BA34" s="12"/>
      <c r="BB34" s="12"/>
      <c r="BC34" s="13"/>
      <c r="BE34" s="14"/>
      <c r="BF34" s="10"/>
      <c r="BG34" s="11"/>
      <c r="BH34" s="11"/>
      <c r="BI34" s="11"/>
      <c r="BJ34" s="12"/>
      <c r="BK34" s="12"/>
      <c r="BL34" s="13"/>
      <c r="BN34" s="14"/>
      <c r="BO34" s="10"/>
      <c r="BP34" s="11"/>
      <c r="BQ34" s="11"/>
      <c r="BR34" s="11"/>
      <c r="BS34" s="12"/>
      <c r="BT34" s="12"/>
      <c r="BU34" s="13"/>
      <c r="BW34" s="14"/>
      <c r="BX34" s="10"/>
      <c r="BY34" s="11"/>
      <c r="BZ34" s="11"/>
      <c r="CA34" s="11"/>
      <c r="CB34" s="12"/>
      <c r="CC34" s="12"/>
      <c r="CD34" s="13"/>
      <c r="CF34" s="14"/>
      <c r="CG34" s="10"/>
      <c r="CH34" s="11"/>
      <c r="CI34" s="11"/>
      <c r="CJ34" s="11"/>
      <c r="CK34" s="12"/>
      <c r="CL34" s="12"/>
      <c r="CM34" s="13"/>
      <c r="CO34" s="13"/>
    </row>
    <row r="35" spans="1:93" x14ac:dyDescent="0.35">
      <c r="A35" s="5">
        <v>30</v>
      </c>
      <c r="B35" s="57">
        <f t="shared" si="1"/>
        <v>1000</v>
      </c>
      <c r="C35" s="16">
        <f>ROUND(B35*(1+'Interest rate projection'!AB37/Var_freq)+IF(C$5="Mortgage Starts",0,Deposit_mon),2)</f>
        <v>2003.67</v>
      </c>
      <c r="D35" s="16">
        <f>ROUND(C35*(1+'Interest rate projection'!AC37/Var_freq)+IF(D$5="Mortgage Starts",0,Deposit_mon),2)</f>
        <v>3011.43</v>
      </c>
      <c r="E35" s="16">
        <f>ROUND(D35*(1+'Interest rate projection'!AD37/Var_freq)+IF(E$5="Mortgage Starts",0,Deposit_mon),2)</f>
        <v>4021.89</v>
      </c>
      <c r="F35" s="16">
        <f>ROUND(E35*(1+'Interest rate projection'!AE37/Var_freq)+IF(F$5="Mortgage Starts",0,Deposit_mon),2)</f>
        <v>5035.0600000000004</v>
      </c>
      <c r="G35" s="16">
        <f>ROUND(F35*(1+'Interest rate projection'!AF37/Var_freq)+IF(G$5="Mortgage Starts",0,Deposit_mon),2)</f>
        <v>6051.54</v>
      </c>
      <c r="H35" s="16">
        <f>ROUND(G35*(1+'Interest rate projection'!AG37/Var_freq)+IF(H$5="Mortgage Starts",0,Deposit_mon),2)</f>
        <v>7071.35</v>
      </c>
      <c r="I35" s="16">
        <f>ROUND(H35*(1+'Interest rate projection'!AH37/Var_freq)+IF(I$5="Mortgage Starts",0,Deposit_mon),2)</f>
        <v>8094.5</v>
      </c>
      <c r="J35" s="16">
        <f>ROUND(I35*(1+'Interest rate projection'!AI37/Var_freq)+IF(J$5="Mortgage Starts",0,Deposit_mon),2)</f>
        <v>9121</v>
      </c>
      <c r="K35" s="16">
        <f>ROUND(J35*(1+'Interest rate projection'!AJ37/Var_freq)+IF(K$5="Mortgage Starts",0,Deposit_mon),2)</f>
        <v>10150.86</v>
      </c>
      <c r="L35" s="16">
        <f>ROUND(K35*(1+'Interest rate projection'!AK37/Var_freq)+IF(L$5="Mortgage Starts",0,Deposit_mon),2)</f>
        <v>11180</v>
      </c>
      <c r="M35" s="16">
        <f>ROUND(L35*(1+'Interest rate projection'!AL37/Var_freq)+IF(M$5="Mortgage Starts",0,Deposit_mon),2)</f>
        <v>12212.1</v>
      </c>
      <c r="N35" s="16">
        <f>ROUND(M35*(1+'Interest rate projection'!AM37/Var_freq)+IF(N$5="Mortgage Starts",0,Deposit_mon),2)</f>
        <v>13247.16</v>
      </c>
      <c r="O35" s="16">
        <f>ROUND(N35*(1+'Interest rate projection'!AN37/Var_freq)+IF(O$5="Mortgage Starts",0,Deposit_mon),2)</f>
        <v>14285.19</v>
      </c>
      <c r="P35" s="16">
        <f>ROUND(O35*(1+'Interest rate projection'!AO37/Var_freq)+IF(P$5="Mortgage Starts",0,Deposit_mon),2)</f>
        <v>15326.2</v>
      </c>
      <c r="Q35" s="16">
        <f>ROUND(P35*(1+'Interest rate projection'!AP37/Var_freq)+IF(Q$5="Mortgage Starts",0,Deposit_mon),2)</f>
        <v>16373.29</v>
      </c>
      <c r="R35" s="16">
        <f>ROUND(Q35*(1+'Interest rate projection'!AQ37/Var_freq)+IF(R$5="Mortgage Starts",0,Deposit_mon),2)</f>
        <v>17423.599999999999</v>
      </c>
      <c r="S35" s="16">
        <f>ROUND(R35*(1+'Interest rate projection'!AR37/Var_freq)+IF(S$5="Mortgage Starts",0,Deposit_mon),2)</f>
        <v>18477.13</v>
      </c>
      <c r="T35" s="16">
        <f>ROUND(S35*(1+'Interest rate projection'!AS37/Var_freq)+IF(T$5="Mortgage Starts",0,Deposit_mon),2)</f>
        <v>19533.900000000001</v>
      </c>
      <c r="U35" s="16">
        <f>ROUND(T35*(1+'Interest rate projection'!AT37/Var_freq)+IF(U$5="Mortgage Starts",0,Deposit_mon),2)</f>
        <v>20593.919999999998</v>
      </c>
      <c r="V35" s="16">
        <f>ROUND(U35*(1+'Interest rate projection'!AU37/Var_freq)+IF(V$5="Mortgage Starts",0,Deposit_mon),2)</f>
        <v>21657.200000000001</v>
      </c>
      <c r="W35" s="16">
        <f>ROUND(V35*(1+'Interest rate projection'!AV37/Var_freq)+IF(W$5="Mortgage Starts",0,Deposit_mon),2)</f>
        <v>22723.74</v>
      </c>
      <c r="X35" s="16">
        <f>ROUND(W35*(1+'Interest rate projection'!AW37/Var_freq)+IF(X$5="Mortgage Starts",0,Deposit_mon),2)</f>
        <v>23793.56</v>
      </c>
      <c r="Y35" s="16">
        <f>ROUND(X35*(1+'Interest rate projection'!AX37/Var_freq)+IF(Y$5="Mortgage Starts",0,Deposit_mon),2)</f>
        <v>24866.67</v>
      </c>
      <c r="Z35" s="57">
        <f>ROUND(Y35*(1+'Interest rate projection'!AY37/Var_freq)+IF(Z$5="Mortgage Starts",0,Deposit_mon),2)</f>
        <v>24938.06</v>
      </c>
      <c r="AA35" s="12"/>
      <c r="AB35" s="38">
        <f>'Interest rate projection'!Z37</f>
        <v>3.5000000000000003E-2</v>
      </c>
      <c r="AC35" s="38">
        <f>'Interest rate projection'!AZ37</f>
        <v>3.4450784628919706E-2</v>
      </c>
      <c r="AD35" s="59" t="str">
        <f t="shared" si="2"/>
        <v>OK</v>
      </c>
      <c r="AE35" s="39">
        <f t="shared" si="3"/>
        <v>16.744263358395965</v>
      </c>
      <c r="AF35" s="10"/>
      <c r="AG35" s="73">
        <f t="shared" si="5"/>
        <v>24938.06</v>
      </c>
      <c r="AH35" s="73">
        <f t="shared" si="6"/>
        <v>175061.94</v>
      </c>
      <c r="AI35" s="74">
        <f t="shared" si="4"/>
        <v>871.25</v>
      </c>
      <c r="AJ35" s="9"/>
      <c r="AK35" s="73">
        <f>'Fixed rate projection'!$AE$3-('Variable rate projection'!AI35*Product_term*Var_freq)</f>
        <v>41694</v>
      </c>
      <c r="AM35" s="14"/>
      <c r="AN35" s="10"/>
      <c r="AO35" s="11"/>
      <c r="AP35" s="11"/>
      <c r="AQ35" s="11"/>
      <c r="AR35" s="12"/>
      <c r="AS35" s="12"/>
      <c r="AT35" s="13"/>
      <c r="AV35" s="14"/>
      <c r="AW35" s="10"/>
      <c r="AX35" s="11"/>
      <c r="AY35" s="11"/>
      <c r="AZ35" s="11"/>
      <c r="BA35" s="12"/>
      <c r="BB35" s="12"/>
      <c r="BC35" s="13"/>
      <c r="BE35" s="14"/>
      <c r="BF35" s="10"/>
      <c r="BG35" s="11"/>
      <c r="BH35" s="11"/>
      <c r="BI35" s="11"/>
      <c r="BJ35" s="12"/>
      <c r="BK35" s="12"/>
      <c r="BL35" s="13"/>
      <c r="BN35" s="14"/>
      <c r="BO35" s="10"/>
      <c r="BP35" s="11"/>
      <c r="BQ35" s="11"/>
      <c r="BR35" s="11"/>
      <c r="BS35" s="12"/>
      <c r="BT35" s="12"/>
      <c r="BU35" s="13"/>
      <c r="BW35" s="14"/>
      <c r="BX35" s="10"/>
      <c r="BY35" s="11"/>
      <c r="BZ35" s="11"/>
      <c r="CA35" s="11"/>
      <c r="CB35" s="12"/>
      <c r="CC35" s="12"/>
      <c r="CD35" s="13"/>
      <c r="CF35" s="14"/>
      <c r="CG35" s="10"/>
      <c r="CH35" s="11"/>
      <c r="CI35" s="11"/>
      <c r="CJ35" s="11"/>
      <c r="CK35" s="12"/>
      <c r="CL35" s="12"/>
      <c r="CM35" s="13"/>
      <c r="CO35" s="13"/>
    </row>
    <row r="36" spans="1:93" x14ac:dyDescent="0.35">
      <c r="A36" s="27">
        <v>31</v>
      </c>
      <c r="B36" s="57">
        <f t="shared" si="1"/>
        <v>1000</v>
      </c>
      <c r="C36" s="16">
        <f>ROUND(B36*(1+'Interest rate projection'!AB38/Var_freq)+IF(C$5="Mortgage Starts",0,Deposit_mon),2)</f>
        <v>2003.67</v>
      </c>
      <c r="D36" s="16">
        <f>ROUND(C36*(1+'Interest rate projection'!AC38/Var_freq)+IF(D$5="Mortgage Starts",0,Deposit_mon),2)</f>
        <v>3011.43</v>
      </c>
      <c r="E36" s="16">
        <f>ROUND(D36*(1+'Interest rate projection'!AD38/Var_freq)+IF(E$5="Mortgage Starts",0,Deposit_mon),2)</f>
        <v>4023.1</v>
      </c>
      <c r="F36" s="16">
        <f>ROUND(E36*(1+'Interest rate projection'!AE38/Var_freq)+IF(F$5="Mortgage Starts",0,Deposit_mon),2)</f>
        <v>5038.6899999999996</v>
      </c>
      <c r="G36" s="16">
        <f>ROUND(F36*(1+'Interest rate projection'!AF38/Var_freq)+IF(G$5="Mortgage Starts",0,Deposit_mon),2)</f>
        <v>6058.21</v>
      </c>
      <c r="H36" s="16">
        <f>ROUND(G36*(1+'Interest rate projection'!AG38/Var_freq)+IF(H$5="Mortgage Starts",0,Deposit_mon),2)</f>
        <v>7081.68</v>
      </c>
      <c r="I36" s="16">
        <f>ROUND(H36*(1+'Interest rate projection'!AH38/Var_freq)+IF(I$5="Mortgage Starts",0,Deposit_mon),2)</f>
        <v>8109.12</v>
      </c>
      <c r="J36" s="16">
        <f>ROUND(I36*(1+'Interest rate projection'!AI38/Var_freq)+IF(J$5="Mortgage Starts",0,Deposit_mon),2)</f>
        <v>9140.5400000000009</v>
      </c>
      <c r="K36" s="16">
        <f>ROUND(J36*(1+'Interest rate projection'!AJ38/Var_freq)+IF(K$5="Mortgage Starts",0,Deposit_mon),2)</f>
        <v>10174.129999999999</v>
      </c>
      <c r="L36" s="16">
        <f>ROUND(K36*(1+'Interest rate projection'!AK38/Var_freq)+IF(L$5="Mortgage Starts",0,Deposit_mon),2)</f>
        <v>11209.48</v>
      </c>
      <c r="M36" s="16">
        <f>ROUND(L36*(1+'Interest rate projection'!AL38/Var_freq)+IF(M$5="Mortgage Starts",0,Deposit_mon),2)</f>
        <v>12248.43</v>
      </c>
      <c r="N36" s="16">
        <f>ROUND(M36*(1+'Interest rate projection'!AM38/Var_freq)+IF(N$5="Mortgage Starts",0,Deposit_mon),2)</f>
        <v>13290.99</v>
      </c>
      <c r="O36" s="16">
        <f>ROUND(N36*(1+'Interest rate projection'!AN38/Var_freq)+IF(O$5="Mortgage Starts",0,Deposit_mon),2)</f>
        <v>14337.17</v>
      </c>
      <c r="P36" s="16">
        <f>ROUND(O36*(1+'Interest rate projection'!AO38/Var_freq)+IF(P$5="Mortgage Starts",0,Deposit_mon),2)</f>
        <v>15386.98</v>
      </c>
      <c r="Q36" s="16">
        <f>ROUND(P36*(1+'Interest rate projection'!AP38/Var_freq)+IF(Q$5="Mortgage Starts",0,Deposit_mon),2)</f>
        <v>16440.439999999999</v>
      </c>
      <c r="R36" s="16">
        <f>ROUND(Q36*(1+'Interest rate projection'!AQ38/Var_freq)+IF(R$5="Mortgage Starts",0,Deposit_mon),2)</f>
        <v>17497.560000000001</v>
      </c>
      <c r="S36" s="16">
        <f>ROUND(R36*(1+'Interest rate projection'!AR38/Var_freq)+IF(S$5="Mortgage Starts",0,Deposit_mon),2)</f>
        <v>18558.36</v>
      </c>
      <c r="T36" s="16">
        <f>ROUND(S36*(1+'Interest rate projection'!AS38/Var_freq)+IF(T$5="Mortgage Starts",0,Deposit_mon),2)</f>
        <v>19622.84</v>
      </c>
      <c r="U36" s="16">
        <f>ROUND(T36*(1+'Interest rate projection'!AT38/Var_freq)+IF(U$5="Mortgage Starts",0,Deposit_mon),2)</f>
        <v>20691.02</v>
      </c>
      <c r="V36" s="16">
        <f>ROUND(U36*(1+'Interest rate projection'!AU38/Var_freq)+IF(V$5="Mortgage Starts",0,Deposit_mon),2)</f>
        <v>21762.91</v>
      </c>
      <c r="W36" s="16">
        <f>ROUND(V36*(1+'Interest rate projection'!AV38/Var_freq)+IF(W$5="Mortgage Starts",0,Deposit_mon),2)</f>
        <v>22838.53</v>
      </c>
      <c r="X36" s="16">
        <f>ROUND(W36*(1+'Interest rate projection'!AW38/Var_freq)+IF(X$5="Mortgage Starts",0,Deposit_mon),2)</f>
        <v>23917.88</v>
      </c>
      <c r="Y36" s="16">
        <f>ROUND(X36*(1+'Interest rate projection'!AX38/Var_freq)+IF(Y$5="Mortgage Starts",0,Deposit_mon),2)</f>
        <v>25000.98</v>
      </c>
      <c r="Z36" s="57">
        <f>ROUND(Y36*(1+'Interest rate projection'!AY38/Var_freq)+IF(Z$5="Mortgage Starts",0,Deposit_mon),2)</f>
        <v>25087.85</v>
      </c>
      <c r="AA36" s="12"/>
      <c r="AB36" s="38">
        <f>'Interest rate projection'!Z38</f>
        <v>3.9999999999999994E-2</v>
      </c>
      <c r="AC36" s="38">
        <f>'Interest rate projection'!AZ38</f>
        <v>3.9284877386386974E-2</v>
      </c>
      <c r="AD36" s="59" t="str">
        <f t="shared" si="2"/>
        <v>OK</v>
      </c>
      <c r="AE36" s="39">
        <f t="shared" si="3"/>
        <v>15.906456614335044</v>
      </c>
      <c r="AF36" s="10"/>
      <c r="AG36" s="73">
        <f t="shared" si="5"/>
        <v>25087.85</v>
      </c>
      <c r="AH36" s="73">
        <f t="shared" si="6"/>
        <v>174912.15</v>
      </c>
      <c r="AI36" s="74">
        <f t="shared" si="4"/>
        <v>916.36</v>
      </c>
      <c r="AJ36" s="9"/>
      <c r="AK36" s="73">
        <f>'Fixed rate projection'!$AE$3-('Variable rate projection'!AI36*Product_term*Var_freq)</f>
        <v>28161</v>
      </c>
      <c r="AM36" s="14"/>
      <c r="AN36" s="10"/>
      <c r="AO36" s="11"/>
      <c r="AP36" s="11"/>
      <c r="AQ36" s="11"/>
      <c r="AR36" s="12"/>
      <c r="AS36" s="12"/>
      <c r="AT36" s="13"/>
      <c r="AV36" s="14"/>
      <c r="AW36" s="10"/>
      <c r="AX36" s="11"/>
      <c r="AY36" s="11"/>
      <c r="AZ36" s="11"/>
      <c r="BA36" s="12"/>
      <c r="BB36" s="12"/>
      <c r="BC36" s="13"/>
      <c r="BE36" s="14"/>
      <c r="BF36" s="10"/>
      <c r="BG36" s="11"/>
      <c r="BH36" s="11"/>
      <c r="BI36" s="11"/>
      <c r="BJ36" s="12"/>
      <c r="BK36" s="12"/>
      <c r="BL36" s="13"/>
      <c r="BN36" s="14"/>
      <c r="BO36" s="10"/>
      <c r="BP36" s="11"/>
      <c r="BQ36" s="11"/>
      <c r="BR36" s="11"/>
      <c r="BS36" s="12"/>
      <c r="BT36" s="12"/>
      <c r="BU36" s="13"/>
      <c r="BW36" s="14"/>
      <c r="BX36" s="10"/>
      <c r="BY36" s="11"/>
      <c r="BZ36" s="11"/>
      <c r="CA36" s="11"/>
      <c r="CB36" s="12"/>
      <c r="CC36" s="12"/>
      <c r="CD36" s="13"/>
      <c r="CF36" s="14"/>
      <c r="CG36" s="10"/>
      <c r="CH36" s="11"/>
      <c r="CI36" s="11"/>
      <c r="CJ36" s="11"/>
      <c r="CK36" s="12"/>
      <c r="CL36" s="12"/>
      <c r="CM36" s="13"/>
      <c r="CO36" s="13"/>
    </row>
    <row r="37" spans="1:93" x14ac:dyDescent="0.35">
      <c r="A37" s="5">
        <v>32</v>
      </c>
      <c r="B37" s="57">
        <f t="shared" si="1"/>
        <v>1000</v>
      </c>
      <c r="C37" s="16">
        <f>ROUND(B37*(1+'Interest rate projection'!AB39/Var_freq)+IF(C$5="Mortgage Starts",0,Deposit_mon),2)</f>
        <v>2003.67</v>
      </c>
      <c r="D37" s="16">
        <f>ROUND(C37*(1+'Interest rate projection'!AC39/Var_freq)+IF(D$5="Mortgage Starts",0,Deposit_mon),2)</f>
        <v>3011.03</v>
      </c>
      <c r="E37" s="16">
        <f>ROUND(D37*(1+'Interest rate projection'!AD39/Var_freq)+IF(E$5="Mortgage Starts",0,Deposit_mon),2)</f>
        <v>4022.09</v>
      </c>
      <c r="F37" s="16">
        <f>ROUND(E37*(1+'Interest rate projection'!AE39/Var_freq)+IF(F$5="Mortgage Starts",0,Deposit_mon),2)</f>
        <v>5036.87</v>
      </c>
      <c r="G37" s="16">
        <f>ROUND(F37*(1+'Interest rate projection'!AF39/Var_freq)+IF(G$5="Mortgage Starts",0,Deposit_mon),2)</f>
        <v>6056.39</v>
      </c>
      <c r="H37" s="16">
        <f>ROUND(G37*(1+'Interest rate projection'!AG39/Var_freq)+IF(H$5="Mortgage Starts",0,Deposit_mon),2)</f>
        <v>7079.86</v>
      </c>
      <c r="I37" s="16">
        <f>ROUND(H37*(1+'Interest rate projection'!AH39/Var_freq)+IF(I$5="Mortgage Starts",0,Deposit_mon),2)</f>
        <v>8107.29</v>
      </c>
      <c r="J37" s="16">
        <f>ROUND(I37*(1+'Interest rate projection'!AI39/Var_freq)+IF(J$5="Mortgage Starts",0,Deposit_mon),2)</f>
        <v>9138.7000000000007</v>
      </c>
      <c r="K37" s="16">
        <f>ROUND(J37*(1+'Interest rate projection'!AJ39/Var_freq)+IF(K$5="Mortgage Starts",0,Deposit_mon),2)</f>
        <v>10174.11</v>
      </c>
      <c r="L37" s="16">
        <f>ROUND(K37*(1+'Interest rate projection'!AK39/Var_freq)+IF(L$5="Mortgage Starts",0,Deposit_mon),2)</f>
        <v>11213.53</v>
      </c>
      <c r="M37" s="16">
        <f>ROUND(L37*(1+'Interest rate projection'!AL39/Var_freq)+IF(M$5="Mortgage Starts",0,Deposit_mon),2)</f>
        <v>12252.49</v>
      </c>
      <c r="N37" s="16">
        <f>ROUND(M37*(1+'Interest rate projection'!AM39/Var_freq)+IF(N$5="Mortgage Starts",0,Deposit_mon),2)</f>
        <v>13297.52</v>
      </c>
      <c r="O37" s="16">
        <f>ROUND(N37*(1+'Interest rate projection'!AN39/Var_freq)+IF(O$5="Mortgage Starts",0,Deposit_mon),2)</f>
        <v>14346.39</v>
      </c>
      <c r="P37" s="16">
        <f>ROUND(O37*(1+'Interest rate projection'!AO39/Var_freq)+IF(P$5="Mortgage Starts",0,Deposit_mon),2)</f>
        <v>15399.11</v>
      </c>
      <c r="Q37" s="16">
        <f>ROUND(P37*(1+'Interest rate projection'!AP39/Var_freq)+IF(Q$5="Mortgage Starts",0,Deposit_mon),2)</f>
        <v>16455.7</v>
      </c>
      <c r="R37" s="16">
        <f>ROUND(Q37*(1+'Interest rate projection'!AQ39/Var_freq)+IF(R$5="Mortgage Starts",0,Deposit_mon),2)</f>
        <v>17516.169999999998</v>
      </c>
      <c r="S37" s="16">
        <f>ROUND(R37*(1+'Interest rate projection'!AR39/Var_freq)+IF(S$5="Mortgage Starts",0,Deposit_mon),2)</f>
        <v>18580.54</v>
      </c>
      <c r="T37" s="16">
        <f>ROUND(S37*(1+'Interest rate projection'!AS39/Var_freq)+IF(T$5="Mortgage Starts",0,Deposit_mon),2)</f>
        <v>19648.82</v>
      </c>
      <c r="U37" s="16">
        <f>ROUND(T37*(1+'Interest rate projection'!AT39/Var_freq)+IF(U$5="Mortgage Starts",0,Deposit_mon),2)</f>
        <v>20717.09</v>
      </c>
      <c r="V37" s="16">
        <f>ROUND(U37*(1+'Interest rate projection'!AU39/Var_freq)+IF(V$5="Mortgage Starts",0,Deposit_mon),2)</f>
        <v>21789.07</v>
      </c>
      <c r="W37" s="16">
        <f>ROUND(V37*(1+'Interest rate projection'!AV39/Var_freq)+IF(W$5="Mortgage Starts",0,Deposit_mon),2)</f>
        <v>22864.78</v>
      </c>
      <c r="X37" s="16">
        <f>ROUND(W37*(1+'Interest rate projection'!AW39/Var_freq)+IF(X$5="Mortgage Starts",0,Deposit_mon),2)</f>
        <v>23948.799999999999</v>
      </c>
      <c r="Y37" s="16">
        <f>ROUND(X37*(1+'Interest rate projection'!AX39/Var_freq)+IF(Y$5="Mortgage Starts",0,Deposit_mon),2)</f>
        <v>25036.81</v>
      </c>
      <c r="Z37" s="57">
        <f>ROUND(Y37*(1+'Interest rate projection'!AY39/Var_freq)+IF(Z$5="Mortgage Starts",0,Deposit_mon),2)</f>
        <v>25128.82</v>
      </c>
      <c r="AA37" s="12"/>
      <c r="AB37" s="38">
        <f>'Interest rate projection'!Z39</f>
        <v>4.5000000000000005E-2</v>
      </c>
      <c r="AC37" s="38">
        <f>'Interest rate projection'!AZ39</f>
        <v>4.4097712805242217E-2</v>
      </c>
      <c r="AD37" s="59" t="str">
        <f t="shared" si="2"/>
        <v>OK</v>
      </c>
      <c r="AE37" s="39">
        <f t="shared" si="3"/>
        <v>15.131610255367837</v>
      </c>
      <c r="AF37" s="10"/>
      <c r="AG37" s="73">
        <f t="shared" si="5"/>
        <v>25128.82</v>
      </c>
      <c r="AH37" s="73">
        <f t="shared" si="6"/>
        <v>174871.18</v>
      </c>
      <c r="AI37" s="74">
        <f t="shared" si="4"/>
        <v>963.06</v>
      </c>
      <c r="AJ37" s="9"/>
      <c r="AK37" s="73">
        <f>'Fixed rate projection'!$AE$3-('Variable rate projection'!AI37*Product_term*Var_freq)</f>
        <v>14151</v>
      </c>
      <c r="AM37" s="14"/>
      <c r="AN37" s="10"/>
      <c r="AO37" s="11"/>
      <c r="AP37" s="11"/>
      <c r="AQ37" s="11"/>
      <c r="AR37" s="12"/>
      <c r="AS37" s="12"/>
      <c r="AT37" s="13"/>
      <c r="AV37" s="14"/>
      <c r="AW37" s="10"/>
      <c r="AX37" s="11"/>
      <c r="AY37" s="11"/>
      <c r="AZ37" s="11"/>
      <c r="BA37" s="12"/>
      <c r="BB37" s="12"/>
      <c r="BC37" s="13"/>
      <c r="BE37" s="14"/>
      <c r="BF37" s="10"/>
      <c r="BG37" s="11"/>
      <c r="BH37" s="11"/>
      <c r="BI37" s="11"/>
      <c r="BJ37" s="12"/>
      <c r="BK37" s="12"/>
      <c r="BL37" s="13"/>
      <c r="BN37" s="14"/>
      <c r="BO37" s="10"/>
      <c r="BP37" s="11"/>
      <c r="BQ37" s="11"/>
      <c r="BR37" s="11"/>
      <c r="BS37" s="12"/>
      <c r="BT37" s="12"/>
      <c r="BU37" s="13"/>
      <c r="BW37" s="14"/>
      <c r="BX37" s="10"/>
      <c r="BY37" s="11"/>
      <c r="BZ37" s="11"/>
      <c r="CA37" s="11"/>
      <c r="CB37" s="12"/>
      <c r="CC37" s="12"/>
      <c r="CD37" s="13"/>
      <c r="CF37" s="14"/>
      <c r="CG37" s="10"/>
      <c r="CH37" s="11"/>
      <c r="CI37" s="11"/>
      <c r="CJ37" s="11"/>
      <c r="CK37" s="12"/>
      <c r="CL37" s="12"/>
      <c r="CM37" s="13"/>
      <c r="CO37" s="13"/>
    </row>
    <row r="38" spans="1:93" x14ac:dyDescent="0.35">
      <c r="A38" s="27">
        <v>33</v>
      </c>
      <c r="B38" s="57">
        <f t="shared" ref="B38:B69" si="7">Deposit_mon</f>
        <v>1000</v>
      </c>
      <c r="C38" s="16">
        <f>ROUND(B38*(1+'Interest rate projection'!AB40/Var_freq)+IF(C$5="Mortgage Starts",0,Deposit_mon),2)</f>
        <v>2003.67</v>
      </c>
      <c r="D38" s="16">
        <f>ROUND(C38*(1+'Interest rate projection'!AC40/Var_freq)+IF(D$5="Mortgage Starts",0,Deposit_mon),2)</f>
        <v>3011.03</v>
      </c>
      <c r="E38" s="16">
        <f>ROUND(D38*(1+'Interest rate projection'!AD40/Var_freq)+IF(E$5="Mortgage Starts",0,Deposit_mon),2)</f>
        <v>4022.09</v>
      </c>
      <c r="F38" s="16">
        <f>ROUND(E38*(1+'Interest rate projection'!AE40/Var_freq)+IF(F$5="Mortgage Starts",0,Deposit_mon),2)</f>
        <v>5036.87</v>
      </c>
      <c r="G38" s="16">
        <f>ROUND(F38*(1+'Interest rate projection'!AF40/Var_freq)+IF(G$5="Mortgage Starts",0,Deposit_mon),2)</f>
        <v>6055.38</v>
      </c>
      <c r="H38" s="16">
        <f>ROUND(G38*(1+'Interest rate projection'!AG40/Var_freq)+IF(H$5="Mortgage Starts",0,Deposit_mon),2)</f>
        <v>7077.63</v>
      </c>
      <c r="I38" s="16">
        <f>ROUND(H38*(1+'Interest rate projection'!AH40/Var_freq)+IF(I$5="Mortgage Starts",0,Deposit_mon),2)</f>
        <v>8103.64</v>
      </c>
      <c r="J38" s="16">
        <f>ROUND(I38*(1+'Interest rate projection'!AI40/Var_freq)+IF(J$5="Mortgage Starts",0,Deposit_mon),2)</f>
        <v>9133.42</v>
      </c>
      <c r="K38" s="16">
        <f>ROUND(J38*(1+'Interest rate projection'!AJ40/Var_freq)+IF(K$5="Mortgage Starts",0,Deposit_mon),2)</f>
        <v>10166.98</v>
      </c>
      <c r="L38" s="16">
        <f>ROUND(K38*(1+'Interest rate projection'!AK40/Var_freq)+IF(L$5="Mortgage Starts",0,Deposit_mon),2)</f>
        <v>11204.34</v>
      </c>
      <c r="M38" s="16">
        <f>ROUND(L38*(1+'Interest rate projection'!AL40/Var_freq)+IF(M$5="Mortgage Starts",0,Deposit_mon),2)</f>
        <v>12241.02</v>
      </c>
      <c r="N38" s="16">
        <f>ROUND(M38*(1+'Interest rate projection'!AM40/Var_freq)+IF(N$5="Mortgage Starts",0,Deposit_mon),2)</f>
        <v>13281.09</v>
      </c>
      <c r="O38" s="16">
        <f>ROUND(N38*(1+'Interest rate projection'!AN40/Var_freq)+IF(O$5="Mortgage Starts",0,Deposit_mon),2)</f>
        <v>14324.57</v>
      </c>
      <c r="P38" s="16">
        <f>ROUND(O38*(1+'Interest rate projection'!AO40/Var_freq)+IF(P$5="Mortgage Starts",0,Deposit_mon),2)</f>
        <v>15371.46</v>
      </c>
      <c r="Q38" s="16">
        <f>ROUND(P38*(1+'Interest rate projection'!AP40/Var_freq)+IF(Q$5="Mortgage Starts",0,Deposit_mon),2)</f>
        <v>16421.78</v>
      </c>
      <c r="R38" s="16">
        <f>ROUND(Q38*(1+'Interest rate projection'!AQ40/Var_freq)+IF(R$5="Mortgage Starts",0,Deposit_mon),2)</f>
        <v>17475.54</v>
      </c>
      <c r="S38" s="16">
        <f>ROUND(R38*(1+'Interest rate projection'!AR40/Var_freq)+IF(S$5="Mortgage Starts",0,Deposit_mon),2)</f>
        <v>18532.75</v>
      </c>
      <c r="T38" s="16">
        <f>ROUND(S38*(1+'Interest rate projection'!AS40/Var_freq)+IF(T$5="Mortgage Starts",0,Deposit_mon),2)</f>
        <v>19593.419999999998</v>
      </c>
      <c r="U38" s="16">
        <f>ROUND(T38*(1+'Interest rate projection'!AT40/Var_freq)+IF(U$5="Mortgage Starts",0,Deposit_mon),2)</f>
        <v>20657.560000000001</v>
      </c>
      <c r="V38" s="16">
        <f>ROUND(U38*(1+'Interest rate projection'!AU40/Var_freq)+IF(V$5="Mortgage Starts",0,Deposit_mon),2)</f>
        <v>21716.87</v>
      </c>
      <c r="W38" s="16">
        <f>ROUND(V38*(1+'Interest rate projection'!AV40/Var_freq)+IF(W$5="Mortgage Starts",0,Deposit_mon),2)</f>
        <v>22779.22</v>
      </c>
      <c r="X38" s="16">
        <f>ROUND(W38*(1+'Interest rate projection'!AW40/Var_freq)+IF(X$5="Mortgage Starts",0,Deposit_mon),2)</f>
        <v>23844.62</v>
      </c>
      <c r="Y38" s="16">
        <f>ROUND(X38*(1+'Interest rate projection'!AX40/Var_freq)+IF(Y$5="Mortgage Starts",0,Deposit_mon),2)</f>
        <v>24913.08</v>
      </c>
      <c r="Z38" s="57">
        <f>ROUND(Y38*(1+'Interest rate projection'!AY40/Var_freq)+IF(Z$5="Mortgage Starts",0,Deposit_mon),2)</f>
        <v>24984.6</v>
      </c>
      <c r="AA38" s="12"/>
      <c r="AB38" s="38">
        <f>'Interest rate projection'!Z40</f>
        <v>3.7500000000000006E-2</v>
      </c>
      <c r="AC38" s="38">
        <f>'Interest rate projection'!AZ40</f>
        <v>3.6870500439066589E-2</v>
      </c>
      <c r="AD38" s="59" t="str">
        <f t="shared" ref="AD38:AD69" si="8">IF(ROUND(AB38,6)=ROUND((1+AC38/Var_freq)^Var_freq-1,6),"OK","ERROR")</f>
        <v>OK</v>
      </c>
      <c r="AE38" s="39">
        <f t="shared" ref="AE38:AE69" si="9">(1-(1+AB38)^-Mort_term)/AC38</f>
        <v>16.317113717606386</v>
      </c>
      <c r="AF38" s="10"/>
      <c r="AG38" s="73">
        <f t="shared" si="5"/>
        <v>24984.6</v>
      </c>
      <c r="AH38" s="73">
        <f t="shared" si="6"/>
        <v>175015.4</v>
      </c>
      <c r="AI38" s="74">
        <f t="shared" ref="AI38:AI69" si="10">ROUND(AH38/AE38/Var_freq,2)</f>
        <v>893.82</v>
      </c>
      <c r="AJ38" s="9"/>
      <c r="AK38" s="73">
        <f>'Fixed rate projection'!$AE$3-('Variable rate projection'!AI38*Product_term*Var_freq)</f>
        <v>34923</v>
      </c>
      <c r="AM38" s="14"/>
      <c r="AN38" s="10"/>
      <c r="AO38" s="11"/>
      <c r="AP38" s="11"/>
      <c r="AQ38" s="11"/>
      <c r="AR38" s="12"/>
      <c r="AS38" s="12"/>
      <c r="AT38" s="13"/>
      <c r="AV38" s="14"/>
      <c r="AW38" s="10"/>
      <c r="AX38" s="11"/>
      <c r="AY38" s="11"/>
      <c r="AZ38" s="11"/>
      <c r="BA38" s="12"/>
      <c r="BB38" s="12"/>
      <c r="BC38" s="13"/>
      <c r="BE38" s="14"/>
      <c r="BF38" s="10"/>
      <c r="BG38" s="11"/>
      <c r="BH38" s="11"/>
      <c r="BI38" s="11"/>
      <c r="BJ38" s="12"/>
      <c r="BK38" s="12"/>
      <c r="BL38" s="13"/>
      <c r="BN38" s="14"/>
      <c r="BO38" s="10"/>
      <c r="BP38" s="11"/>
      <c r="BQ38" s="11"/>
      <c r="BR38" s="11"/>
      <c r="BS38" s="12"/>
      <c r="BT38" s="12"/>
      <c r="BU38" s="13"/>
      <c r="BW38" s="14"/>
      <c r="BX38" s="10"/>
      <c r="BY38" s="11"/>
      <c r="BZ38" s="11"/>
      <c r="CA38" s="11"/>
      <c r="CB38" s="12"/>
      <c r="CC38" s="12"/>
      <c r="CD38" s="13"/>
      <c r="CF38" s="14"/>
      <c r="CG38" s="10"/>
      <c r="CH38" s="11"/>
      <c r="CI38" s="11"/>
      <c r="CJ38" s="11"/>
      <c r="CK38" s="12"/>
      <c r="CL38" s="12"/>
      <c r="CM38" s="13"/>
      <c r="CO38" s="13"/>
    </row>
    <row r="39" spans="1:93" x14ac:dyDescent="0.35">
      <c r="A39" s="5">
        <v>34</v>
      </c>
      <c r="B39" s="57">
        <f t="shared" si="7"/>
        <v>1000</v>
      </c>
      <c r="C39" s="16">
        <f>ROUND(B39*(1+'Interest rate projection'!AB41/Var_freq)+IF(C$5="Mortgage Starts",0,Deposit_mon),2)</f>
        <v>2003.67</v>
      </c>
      <c r="D39" s="16">
        <f>ROUND(C39*(1+'Interest rate projection'!AC41/Var_freq)+IF(D$5="Mortgage Starts",0,Deposit_mon),2)</f>
        <v>3011.03</v>
      </c>
      <c r="E39" s="16">
        <f>ROUND(D39*(1+'Interest rate projection'!AD41/Var_freq)+IF(E$5="Mortgage Starts",0,Deposit_mon),2)</f>
        <v>4022.09</v>
      </c>
      <c r="F39" s="16">
        <f>ROUND(E39*(1+'Interest rate projection'!AE41/Var_freq)+IF(F$5="Mortgage Starts",0,Deposit_mon),2)</f>
        <v>5036.87</v>
      </c>
      <c r="G39" s="16">
        <f>ROUND(F39*(1+'Interest rate projection'!AF41/Var_freq)+IF(G$5="Mortgage Starts",0,Deposit_mon),2)</f>
        <v>6055.38</v>
      </c>
      <c r="H39" s="16">
        <f>ROUND(G39*(1+'Interest rate projection'!AG41/Var_freq)+IF(H$5="Mortgage Starts",0,Deposit_mon),2)</f>
        <v>7080.05</v>
      </c>
      <c r="I39" s="16">
        <f>ROUND(H39*(1+'Interest rate projection'!AH41/Var_freq)+IF(I$5="Mortgage Starts",0,Deposit_mon),2)</f>
        <v>8108.9</v>
      </c>
      <c r="J39" s="16">
        <f>ROUND(I39*(1+'Interest rate projection'!AI41/Var_freq)+IF(J$5="Mortgage Starts",0,Deposit_mon),2)</f>
        <v>9141.94</v>
      </c>
      <c r="K39" s="16">
        <f>ROUND(J39*(1+'Interest rate projection'!AJ41/Var_freq)+IF(K$5="Mortgage Starts",0,Deposit_mon),2)</f>
        <v>10179.19</v>
      </c>
      <c r="L39" s="16">
        <f>ROUND(K39*(1+'Interest rate projection'!AK41/Var_freq)+IF(L$5="Mortgage Starts",0,Deposit_mon),2)</f>
        <v>11220.66</v>
      </c>
      <c r="M39" s="16">
        <f>ROUND(L39*(1+'Interest rate projection'!AL41/Var_freq)+IF(M$5="Mortgage Starts",0,Deposit_mon),2)</f>
        <v>12266.37</v>
      </c>
      <c r="N39" s="16">
        <f>ROUND(M39*(1+'Interest rate projection'!AM41/Var_freq)+IF(N$5="Mortgage Starts",0,Deposit_mon),2)</f>
        <v>13316.34</v>
      </c>
      <c r="O39" s="16">
        <f>ROUND(N39*(1+'Interest rate projection'!AN41/Var_freq)+IF(O$5="Mortgage Starts",0,Deposit_mon),2)</f>
        <v>14373.24</v>
      </c>
      <c r="P39" s="16">
        <f>ROUND(O39*(1+'Interest rate projection'!AO41/Var_freq)+IF(P$5="Mortgage Starts",0,Deposit_mon),2)</f>
        <v>15434.66</v>
      </c>
      <c r="Q39" s="16">
        <f>ROUND(P39*(1+'Interest rate projection'!AP41/Var_freq)+IF(Q$5="Mortgage Starts",0,Deposit_mon),2)</f>
        <v>16500.61</v>
      </c>
      <c r="R39" s="16">
        <f>ROUND(Q39*(1+'Interest rate projection'!AQ41/Var_freq)+IF(R$5="Mortgage Starts",0,Deposit_mon),2)</f>
        <v>17571.12</v>
      </c>
      <c r="S39" s="16">
        <f>ROUND(R39*(1+'Interest rate projection'!AR41/Var_freq)+IF(S$5="Mortgage Starts",0,Deposit_mon),2)</f>
        <v>18646.2</v>
      </c>
      <c r="T39" s="16">
        <f>ROUND(S39*(1+'Interest rate projection'!AS41/Var_freq)+IF(T$5="Mortgage Starts",0,Deposit_mon),2)</f>
        <v>19733.27</v>
      </c>
      <c r="U39" s="16">
        <f>ROUND(T39*(1+'Interest rate projection'!AT41/Var_freq)+IF(U$5="Mortgage Starts",0,Deposit_mon),2)</f>
        <v>20825.419999999998</v>
      </c>
      <c r="V39" s="16">
        <f>ROUND(U39*(1+'Interest rate projection'!AU41/Var_freq)+IF(V$5="Mortgage Starts",0,Deposit_mon),2)</f>
        <v>21922.67</v>
      </c>
      <c r="W39" s="16">
        <f>ROUND(V39*(1+'Interest rate projection'!AV41/Var_freq)+IF(W$5="Mortgage Starts",0,Deposit_mon),2)</f>
        <v>23025.05</v>
      </c>
      <c r="X39" s="16">
        <f>ROUND(W39*(1+'Interest rate projection'!AW41/Var_freq)+IF(X$5="Mortgage Starts",0,Deposit_mon),2)</f>
        <v>24137.13</v>
      </c>
      <c r="Y39" s="16">
        <f>ROUND(X39*(1+'Interest rate projection'!AX41/Var_freq)+IF(Y$5="Mortgage Starts",0,Deposit_mon),2)</f>
        <v>25254.62</v>
      </c>
      <c r="Z39" s="57">
        <f>ROUND(Y39*(1+'Interest rate projection'!AY41/Var_freq)+IF(Z$5="Mortgage Starts",0,Deposit_mon),2)</f>
        <v>25377.55</v>
      </c>
      <c r="AA39" s="12"/>
      <c r="AB39" s="38">
        <f>'Interest rate projection'!Z41</f>
        <v>0.06</v>
      </c>
      <c r="AC39" s="38">
        <f>'Interest rate projection'!AZ41</f>
        <v>5.8410606784116581E-2</v>
      </c>
      <c r="AD39" s="59" t="str">
        <f t="shared" si="8"/>
        <v>OK</v>
      </c>
      <c r="AE39" s="39">
        <f t="shared" si="9"/>
        <v>13.131200165937551</v>
      </c>
      <c r="AF39" s="10"/>
      <c r="AG39" s="73">
        <f t="shared" si="5"/>
        <v>25377.55</v>
      </c>
      <c r="AH39" s="73">
        <f t="shared" si="6"/>
        <v>174622.45</v>
      </c>
      <c r="AI39" s="74">
        <f t="shared" si="10"/>
        <v>1108.19</v>
      </c>
      <c r="AJ39" s="9"/>
      <c r="AK39" s="73">
        <f>'Fixed rate projection'!$AE$3-('Variable rate projection'!AI39*Product_term*Var_freq)</f>
        <v>-29388</v>
      </c>
      <c r="AM39" s="14"/>
      <c r="AN39" s="10"/>
      <c r="AO39" s="11"/>
      <c r="AP39" s="11"/>
      <c r="AQ39" s="11"/>
      <c r="AR39" s="12"/>
      <c r="AS39" s="12"/>
      <c r="AT39" s="13"/>
      <c r="AV39" s="14"/>
      <c r="AW39" s="10"/>
      <c r="AX39" s="11"/>
      <c r="AY39" s="11"/>
      <c r="AZ39" s="11"/>
      <c r="BA39" s="12"/>
      <c r="BB39" s="12"/>
      <c r="BC39" s="13"/>
      <c r="BE39" s="14"/>
      <c r="BF39" s="10"/>
      <c r="BG39" s="11"/>
      <c r="BH39" s="11"/>
      <c r="BI39" s="11"/>
      <c r="BJ39" s="12"/>
      <c r="BK39" s="12"/>
      <c r="BL39" s="13"/>
      <c r="BN39" s="14"/>
      <c r="BO39" s="10"/>
      <c r="BP39" s="11"/>
      <c r="BQ39" s="11"/>
      <c r="BR39" s="11"/>
      <c r="BS39" s="12"/>
      <c r="BT39" s="12"/>
      <c r="BU39" s="13"/>
      <c r="BW39" s="14"/>
      <c r="BX39" s="10"/>
      <c r="BY39" s="11"/>
      <c r="BZ39" s="11"/>
      <c r="CA39" s="11"/>
      <c r="CB39" s="12"/>
      <c r="CC39" s="12"/>
      <c r="CD39" s="13"/>
      <c r="CF39" s="14"/>
      <c r="CG39" s="10"/>
      <c r="CH39" s="11"/>
      <c r="CI39" s="11"/>
      <c r="CJ39" s="11"/>
      <c r="CK39" s="12"/>
      <c r="CL39" s="12"/>
      <c r="CM39" s="13"/>
      <c r="CO39" s="13"/>
    </row>
    <row r="40" spans="1:93" x14ac:dyDescent="0.35">
      <c r="A40" s="27">
        <v>35</v>
      </c>
      <c r="B40" s="57">
        <f t="shared" si="7"/>
        <v>1000</v>
      </c>
      <c r="C40" s="16">
        <f>ROUND(B40*(1+'Interest rate projection'!AB42/Var_freq)+IF(C$5="Mortgage Starts",0,Deposit_mon),2)</f>
        <v>2003.67</v>
      </c>
      <c r="D40" s="16">
        <f>ROUND(C40*(1+'Interest rate projection'!AC42/Var_freq)+IF(D$5="Mortgage Starts",0,Deposit_mon),2)</f>
        <v>3011.03</v>
      </c>
      <c r="E40" s="16">
        <f>ROUND(D40*(1+'Interest rate projection'!AD42/Var_freq)+IF(E$5="Mortgage Starts",0,Deposit_mon),2)</f>
        <v>4022.09</v>
      </c>
      <c r="F40" s="16">
        <f>ROUND(E40*(1+'Interest rate projection'!AE42/Var_freq)+IF(F$5="Mortgage Starts",0,Deposit_mon),2)</f>
        <v>5036.87</v>
      </c>
      <c r="G40" s="16">
        <f>ROUND(F40*(1+'Interest rate projection'!AF42/Var_freq)+IF(G$5="Mortgage Starts",0,Deposit_mon),2)</f>
        <v>6055.38</v>
      </c>
      <c r="H40" s="16">
        <f>ROUND(G40*(1+'Interest rate projection'!AG42/Var_freq)+IF(H$5="Mortgage Starts",0,Deposit_mon),2)</f>
        <v>7077.63</v>
      </c>
      <c r="I40" s="16">
        <f>ROUND(H40*(1+'Interest rate projection'!AH42/Var_freq)+IF(I$5="Mortgage Starts",0,Deposit_mon),2)</f>
        <v>8103.64</v>
      </c>
      <c r="J40" s="16">
        <f>ROUND(I40*(1+'Interest rate projection'!AI42/Var_freq)+IF(J$5="Mortgage Starts",0,Deposit_mon),2)</f>
        <v>9133.42</v>
      </c>
      <c r="K40" s="16">
        <f>ROUND(J40*(1+'Interest rate projection'!AJ42/Var_freq)+IF(K$5="Mortgage Starts",0,Deposit_mon),2)</f>
        <v>10166.98</v>
      </c>
      <c r="L40" s="16">
        <f>ROUND(K40*(1+'Interest rate projection'!AK42/Var_freq)+IF(L$5="Mortgage Starts",0,Deposit_mon),2)</f>
        <v>11204.34</v>
      </c>
      <c r="M40" s="16">
        <f>ROUND(L40*(1+'Interest rate projection'!AL42/Var_freq)+IF(M$5="Mortgage Starts",0,Deposit_mon),2)</f>
        <v>12245.51</v>
      </c>
      <c r="N40" s="16">
        <f>ROUND(M40*(1+'Interest rate projection'!AM42/Var_freq)+IF(N$5="Mortgage Starts",0,Deposit_mon),2)</f>
        <v>13290.51</v>
      </c>
      <c r="O40" s="16">
        <f>ROUND(N40*(1+'Interest rate projection'!AN42/Var_freq)+IF(O$5="Mortgage Starts",0,Deposit_mon),2)</f>
        <v>14336.69</v>
      </c>
      <c r="P40" s="16">
        <f>ROUND(O40*(1+'Interest rate projection'!AO42/Var_freq)+IF(P$5="Mortgage Starts",0,Deposit_mon),2)</f>
        <v>15386.5</v>
      </c>
      <c r="Q40" s="16">
        <f>ROUND(P40*(1+'Interest rate projection'!AP42/Var_freq)+IF(Q$5="Mortgage Starts",0,Deposit_mon),2)</f>
        <v>16439.96</v>
      </c>
      <c r="R40" s="16">
        <f>ROUND(Q40*(1+'Interest rate projection'!AQ42/Var_freq)+IF(R$5="Mortgage Starts",0,Deposit_mon),2)</f>
        <v>17500.37</v>
      </c>
      <c r="S40" s="16">
        <f>ROUND(R40*(1+'Interest rate projection'!AR42/Var_freq)+IF(S$5="Mortgage Starts",0,Deposit_mon),2)</f>
        <v>18564.68</v>
      </c>
      <c r="T40" s="16">
        <f>ROUND(S40*(1+'Interest rate projection'!AS42/Var_freq)+IF(T$5="Mortgage Starts",0,Deposit_mon),2)</f>
        <v>19629.18</v>
      </c>
      <c r="U40" s="16">
        <f>ROUND(T40*(1+'Interest rate projection'!AT42/Var_freq)+IF(U$5="Mortgage Starts",0,Deposit_mon),2)</f>
        <v>20697.38</v>
      </c>
      <c r="V40" s="16">
        <f>ROUND(U40*(1+'Interest rate projection'!AU42/Var_freq)+IF(V$5="Mortgage Starts",0,Deposit_mon),2)</f>
        <v>21769.29</v>
      </c>
      <c r="W40" s="16">
        <f>ROUND(V40*(1+'Interest rate projection'!AV42/Var_freq)+IF(W$5="Mortgage Starts",0,Deposit_mon),2)</f>
        <v>22844.93</v>
      </c>
      <c r="X40" s="16">
        <f>ROUND(W40*(1+'Interest rate projection'!AW42/Var_freq)+IF(X$5="Mortgage Starts",0,Deposit_mon),2)</f>
        <v>23928.880000000001</v>
      </c>
      <c r="Y40" s="16">
        <f>ROUND(X40*(1+'Interest rate projection'!AX42/Var_freq)+IF(Y$5="Mortgage Starts",0,Deposit_mon),2)</f>
        <v>25016.81</v>
      </c>
      <c r="Z40" s="57">
        <f>ROUND(Y40*(1+'Interest rate projection'!AY42/Var_freq)+IF(Z$5="Mortgage Starts",0,Deposit_mon),2)</f>
        <v>25108.74</v>
      </c>
      <c r="AA40" s="12"/>
      <c r="AB40" s="38">
        <f>'Interest rate projection'!Z42</f>
        <v>4.4999999999999998E-2</v>
      </c>
      <c r="AC40" s="38">
        <f>'Interest rate projection'!AZ42</f>
        <v>4.4097712805242217E-2</v>
      </c>
      <c r="AD40" s="59" t="str">
        <f t="shared" si="8"/>
        <v>OK</v>
      </c>
      <c r="AE40" s="39">
        <f t="shared" si="9"/>
        <v>15.131610255367837</v>
      </c>
      <c r="AF40" s="10"/>
      <c r="AG40" s="73">
        <f t="shared" si="5"/>
        <v>25108.74</v>
      </c>
      <c r="AH40" s="73">
        <f t="shared" si="6"/>
        <v>174891.26</v>
      </c>
      <c r="AI40" s="74">
        <f t="shared" si="10"/>
        <v>963.17</v>
      </c>
      <c r="AJ40" s="9"/>
      <c r="AK40" s="73">
        <f>'Fixed rate projection'!$AE$3-('Variable rate projection'!AI40*Product_term*Var_freq)</f>
        <v>14118</v>
      </c>
      <c r="AM40" s="14"/>
      <c r="AN40" s="10"/>
      <c r="AO40" s="11"/>
      <c r="AP40" s="11"/>
      <c r="AQ40" s="11"/>
      <c r="AR40" s="12"/>
      <c r="AS40" s="12"/>
      <c r="AT40" s="13"/>
      <c r="AV40" s="14"/>
      <c r="AW40" s="10"/>
      <c r="AX40" s="11"/>
      <c r="AY40" s="11"/>
      <c r="AZ40" s="11"/>
      <c r="BA40" s="12"/>
      <c r="BB40" s="12"/>
      <c r="BC40" s="13"/>
      <c r="BE40" s="14"/>
      <c r="BF40" s="10"/>
      <c r="BG40" s="11"/>
      <c r="BH40" s="11"/>
      <c r="BI40" s="11"/>
      <c r="BJ40" s="12"/>
      <c r="BK40" s="12"/>
      <c r="BL40" s="13"/>
      <c r="BN40" s="14"/>
      <c r="BO40" s="10"/>
      <c r="BP40" s="11"/>
      <c r="BQ40" s="11"/>
      <c r="BR40" s="11"/>
      <c r="BS40" s="12"/>
      <c r="BT40" s="12"/>
      <c r="BU40" s="13"/>
      <c r="BW40" s="14"/>
      <c r="BX40" s="10"/>
      <c r="BY40" s="11"/>
      <c r="BZ40" s="11"/>
      <c r="CA40" s="11"/>
      <c r="CB40" s="12"/>
      <c r="CC40" s="12"/>
      <c r="CD40" s="13"/>
      <c r="CF40" s="14"/>
      <c r="CG40" s="10"/>
      <c r="CH40" s="11"/>
      <c r="CI40" s="11"/>
      <c r="CJ40" s="11"/>
      <c r="CK40" s="12"/>
      <c r="CL40" s="12"/>
      <c r="CM40" s="13"/>
      <c r="CO40" s="13"/>
    </row>
    <row r="41" spans="1:93" x14ac:dyDescent="0.35">
      <c r="A41" s="5">
        <v>36</v>
      </c>
      <c r="B41" s="57">
        <f t="shared" si="7"/>
        <v>1000</v>
      </c>
      <c r="C41" s="16">
        <f>ROUND(B41*(1+'Interest rate projection'!AB43/Var_freq)+IF(C$5="Mortgage Starts",0,Deposit_mon),2)</f>
        <v>2003.67</v>
      </c>
      <c r="D41" s="16">
        <f>ROUND(C41*(1+'Interest rate projection'!AC43/Var_freq)+IF(D$5="Mortgage Starts",0,Deposit_mon),2)</f>
        <v>3011.03</v>
      </c>
      <c r="E41" s="16">
        <f>ROUND(D41*(1+'Interest rate projection'!AD43/Var_freq)+IF(E$5="Mortgage Starts",0,Deposit_mon),2)</f>
        <v>4022.09</v>
      </c>
      <c r="F41" s="16">
        <f>ROUND(E41*(1+'Interest rate projection'!AE43/Var_freq)+IF(F$5="Mortgage Starts",0,Deposit_mon),2)</f>
        <v>5036.87</v>
      </c>
      <c r="G41" s="16">
        <f>ROUND(F41*(1+'Interest rate projection'!AF43/Var_freq)+IF(G$5="Mortgage Starts",0,Deposit_mon),2)</f>
        <v>6055.38</v>
      </c>
      <c r="H41" s="16">
        <f>ROUND(G41*(1+'Interest rate projection'!AG43/Var_freq)+IF(H$5="Mortgage Starts",0,Deposit_mon),2)</f>
        <v>7077.63</v>
      </c>
      <c r="I41" s="16">
        <f>ROUND(H41*(1+'Interest rate projection'!AH43/Var_freq)+IF(I$5="Mortgage Starts",0,Deposit_mon),2)</f>
        <v>8103.64</v>
      </c>
      <c r="J41" s="16">
        <f>ROUND(I41*(1+'Interest rate projection'!AI43/Var_freq)+IF(J$5="Mortgage Starts",0,Deposit_mon),2)</f>
        <v>9133.42</v>
      </c>
      <c r="K41" s="16">
        <f>ROUND(J41*(1+'Interest rate projection'!AJ43/Var_freq)+IF(K$5="Mortgage Starts",0,Deposit_mon),2)</f>
        <v>10166.98</v>
      </c>
      <c r="L41" s="16">
        <f>ROUND(K41*(1+'Interest rate projection'!AK43/Var_freq)+IF(L$5="Mortgage Starts",0,Deposit_mon),2)</f>
        <v>11204.34</v>
      </c>
      <c r="M41" s="16">
        <f>ROUND(L41*(1+'Interest rate projection'!AL43/Var_freq)+IF(M$5="Mortgage Starts",0,Deposit_mon),2)</f>
        <v>12245.51</v>
      </c>
      <c r="N41" s="16">
        <f>ROUND(M41*(1+'Interest rate projection'!AM43/Var_freq)+IF(N$5="Mortgage Starts",0,Deposit_mon),2)</f>
        <v>13285.6</v>
      </c>
      <c r="O41" s="16">
        <f>ROUND(N41*(1+'Interest rate projection'!AN43/Var_freq)+IF(O$5="Mortgage Starts",0,Deposit_mon),2)</f>
        <v>14329.09</v>
      </c>
      <c r="P41" s="16">
        <f>ROUND(O41*(1+'Interest rate projection'!AO43/Var_freq)+IF(P$5="Mortgage Starts",0,Deposit_mon),2)</f>
        <v>15376</v>
      </c>
      <c r="Q41" s="16">
        <f>ROUND(P41*(1+'Interest rate projection'!AP43/Var_freq)+IF(Q$5="Mortgage Starts",0,Deposit_mon),2)</f>
        <v>16426.34</v>
      </c>
      <c r="R41" s="16">
        <f>ROUND(Q41*(1+'Interest rate projection'!AQ43/Var_freq)+IF(R$5="Mortgage Starts",0,Deposit_mon),2)</f>
        <v>17480.12</v>
      </c>
      <c r="S41" s="16">
        <f>ROUND(R41*(1+'Interest rate projection'!AR43/Var_freq)+IF(S$5="Mortgage Starts",0,Deposit_mon),2)</f>
        <v>18537.349999999999</v>
      </c>
      <c r="T41" s="16">
        <f>ROUND(S41*(1+'Interest rate projection'!AS43/Var_freq)+IF(T$5="Mortgage Starts",0,Deposit_mon),2)</f>
        <v>19598.04</v>
      </c>
      <c r="U41" s="16">
        <f>ROUND(T41*(1+'Interest rate projection'!AT43/Var_freq)+IF(U$5="Mortgage Starts",0,Deposit_mon),2)</f>
        <v>20662.2</v>
      </c>
      <c r="V41" s="16">
        <f>ROUND(U41*(1+'Interest rate projection'!AU43/Var_freq)+IF(V$5="Mortgage Starts",0,Deposit_mon),2)</f>
        <v>21729.84</v>
      </c>
      <c r="W41" s="16">
        <f>ROUND(V41*(1+'Interest rate projection'!AV43/Var_freq)+IF(W$5="Mortgage Starts",0,Deposit_mon),2)</f>
        <v>22800.98</v>
      </c>
      <c r="X41" s="16">
        <f>ROUND(W41*(1+'Interest rate projection'!AW43/Var_freq)+IF(X$5="Mortgage Starts",0,Deposit_mon),2)</f>
        <v>23875.62</v>
      </c>
      <c r="Y41" s="16">
        <f>ROUND(X41*(1+'Interest rate projection'!AX43/Var_freq)+IF(Y$5="Mortgage Starts",0,Deposit_mon),2)</f>
        <v>24953.78</v>
      </c>
      <c r="Z41" s="57">
        <f>ROUND(Y41*(1+'Interest rate projection'!AY43/Var_freq)+IF(Z$5="Mortgage Starts",0,Deposit_mon),2)</f>
        <v>25035.47</v>
      </c>
      <c r="AA41" s="12"/>
      <c r="AB41" s="38">
        <f>'Interest rate projection'!Z43</f>
        <v>0.04</v>
      </c>
      <c r="AC41" s="38">
        <f>'Interest rate projection'!AZ43</f>
        <v>3.9284877386386974E-2</v>
      </c>
      <c r="AD41" s="59" t="str">
        <f t="shared" si="8"/>
        <v>OK</v>
      </c>
      <c r="AE41" s="39">
        <f t="shared" si="9"/>
        <v>15.906456614335044</v>
      </c>
      <c r="AF41" s="10"/>
      <c r="AG41" s="73">
        <f t="shared" si="5"/>
        <v>25035.47</v>
      </c>
      <c r="AH41" s="73">
        <f t="shared" si="6"/>
        <v>174964.53</v>
      </c>
      <c r="AI41" s="74">
        <f t="shared" si="10"/>
        <v>916.63</v>
      </c>
      <c r="AJ41" s="9"/>
      <c r="AK41" s="73">
        <f>'Fixed rate projection'!$AE$3-('Variable rate projection'!AI41*Product_term*Var_freq)</f>
        <v>28080</v>
      </c>
      <c r="AM41" s="14"/>
      <c r="AN41" s="10"/>
      <c r="AO41" s="11"/>
      <c r="AP41" s="11"/>
      <c r="AQ41" s="11"/>
      <c r="AR41" s="12"/>
      <c r="AS41" s="12"/>
      <c r="AT41" s="13"/>
      <c r="AV41" s="14"/>
      <c r="AW41" s="10"/>
      <c r="AX41" s="11"/>
      <c r="AY41" s="11"/>
      <c r="AZ41" s="11"/>
      <c r="BA41" s="12"/>
      <c r="BB41" s="12"/>
      <c r="BC41" s="13"/>
      <c r="BE41" s="14"/>
      <c r="BF41" s="10"/>
      <c r="BG41" s="11"/>
      <c r="BH41" s="11"/>
      <c r="BI41" s="11"/>
      <c r="BJ41" s="12"/>
      <c r="BK41" s="12"/>
      <c r="BL41" s="13"/>
      <c r="BN41" s="14"/>
      <c r="BO41" s="10"/>
      <c r="BP41" s="11"/>
      <c r="BQ41" s="11"/>
      <c r="BR41" s="11"/>
      <c r="BS41" s="12"/>
      <c r="BT41" s="12"/>
      <c r="BU41" s="13"/>
      <c r="BW41" s="14"/>
      <c r="BX41" s="10"/>
      <c r="BY41" s="11"/>
      <c r="BZ41" s="11"/>
      <c r="CA41" s="11"/>
      <c r="CB41" s="12"/>
      <c r="CC41" s="12"/>
      <c r="CD41" s="13"/>
      <c r="CF41" s="14"/>
      <c r="CG41" s="10"/>
      <c r="CH41" s="11"/>
      <c r="CI41" s="11"/>
      <c r="CJ41" s="11"/>
      <c r="CK41" s="12"/>
      <c r="CL41" s="12"/>
      <c r="CM41" s="13"/>
      <c r="CO41" s="13"/>
    </row>
    <row r="42" spans="1:93" x14ac:dyDescent="0.35">
      <c r="A42" s="27">
        <v>37</v>
      </c>
      <c r="B42" s="57">
        <f t="shared" si="7"/>
        <v>1000</v>
      </c>
      <c r="C42" s="16">
        <f>ROUND(B42*(1+'Interest rate projection'!AB44/Var_freq)+IF(C$5="Mortgage Starts",0,Deposit_mon),2)</f>
        <v>2003.67</v>
      </c>
      <c r="D42" s="16">
        <f>ROUND(C42*(1+'Interest rate projection'!AC44/Var_freq)+IF(D$5="Mortgage Starts",0,Deposit_mon),2)</f>
        <v>3011.03</v>
      </c>
      <c r="E42" s="16">
        <f>ROUND(D42*(1+'Interest rate projection'!AD44/Var_freq)+IF(E$5="Mortgage Starts",0,Deposit_mon),2)</f>
        <v>4022.09</v>
      </c>
      <c r="F42" s="16">
        <f>ROUND(E42*(1+'Interest rate projection'!AE44/Var_freq)+IF(F$5="Mortgage Starts",0,Deposit_mon),2)</f>
        <v>5036.87</v>
      </c>
      <c r="G42" s="16">
        <f>ROUND(F42*(1+'Interest rate projection'!AF44/Var_freq)+IF(G$5="Mortgage Starts",0,Deposit_mon),2)</f>
        <v>6055.38</v>
      </c>
      <c r="H42" s="16">
        <f>ROUND(G42*(1+'Interest rate projection'!AG44/Var_freq)+IF(H$5="Mortgage Starts",0,Deposit_mon),2)</f>
        <v>7077.63</v>
      </c>
      <c r="I42" s="16">
        <f>ROUND(H42*(1+'Interest rate projection'!AH44/Var_freq)+IF(I$5="Mortgage Starts",0,Deposit_mon),2)</f>
        <v>8103.64</v>
      </c>
      <c r="J42" s="16">
        <f>ROUND(I42*(1+'Interest rate projection'!AI44/Var_freq)+IF(J$5="Mortgage Starts",0,Deposit_mon),2)</f>
        <v>9133.42</v>
      </c>
      <c r="K42" s="16">
        <f>ROUND(J42*(1+'Interest rate projection'!AJ44/Var_freq)+IF(K$5="Mortgage Starts",0,Deposit_mon),2)</f>
        <v>10166.98</v>
      </c>
      <c r="L42" s="16">
        <f>ROUND(K42*(1+'Interest rate projection'!AK44/Var_freq)+IF(L$5="Mortgage Starts",0,Deposit_mon),2)</f>
        <v>11202.31</v>
      </c>
      <c r="M42" s="16">
        <f>ROUND(L42*(1+'Interest rate projection'!AL44/Var_freq)+IF(M$5="Mortgage Starts",0,Deposit_mon),2)</f>
        <v>12241.23</v>
      </c>
      <c r="N42" s="16">
        <f>ROUND(M42*(1+'Interest rate projection'!AM44/Var_freq)+IF(N$5="Mortgage Starts",0,Deposit_mon),2)</f>
        <v>13283.76</v>
      </c>
      <c r="O42" s="16">
        <f>ROUND(N42*(1+'Interest rate projection'!AN44/Var_freq)+IF(O$5="Mortgage Starts",0,Deposit_mon),2)</f>
        <v>14329.91</v>
      </c>
      <c r="P42" s="16">
        <f>ROUND(O42*(1+'Interest rate projection'!AO44/Var_freq)+IF(P$5="Mortgage Starts",0,Deposit_mon),2)</f>
        <v>15379.7</v>
      </c>
      <c r="Q42" s="16">
        <f>ROUND(P42*(1+'Interest rate projection'!AP44/Var_freq)+IF(Q$5="Mortgage Starts",0,Deposit_mon),2)</f>
        <v>16433.14</v>
      </c>
      <c r="R42" s="16">
        <f>ROUND(Q42*(1+'Interest rate projection'!AQ44/Var_freq)+IF(R$5="Mortgage Starts",0,Deposit_mon),2)</f>
        <v>17490.240000000002</v>
      </c>
      <c r="S42" s="16">
        <f>ROUND(R42*(1+'Interest rate projection'!AR44/Var_freq)+IF(S$5="Mortgage Starts",0,Deposit_mon),2)</f>
        <v>18551.009999999998</v>
      </c>
      <c r="T42" s="16">
        <f>ROUND(S42*(1+'Interest rate projection'!AS44/Var_freq)+IF(T$5="Mortgage Starts",0,Deposit_mon),2)</f>
        <v>19615.47</v>
      </c>
      <c r="U42" s="16">
        <f>ROUND(T42*(1+'Interest rate projection'!AT44/Var_freq)+IF(U$5="Mortgage Starts",0,Deposit_mon),2)</f>
        <v>20683.62</v>
      </c>
      <c r="V42" s="16">
        <f>ROUND(U42*(1+'Interest rate projection'!AU44/Var_freq)+IF(V$5="Mortgage Starts",0,Deposit_mon),2)</f>
        <v>21755.49</v>
      </c>
      <c r="W42" s="16">
        <f>ROUND(V42*(1+'Interest rate projection'!AV44/Var_freq)+IF(W$5="Mortgage Starts",0,Deposit_mon),2)</f>
        <v>22831.08</v>
      </c>
      <c r="X42" s="16">
        <f>ROUND(W42*(1+'Interest rate projection'!AW44/Var_freq)+IF(X$5="Mortgage Starts",0,Deposit_mon),2)</f>
        <v>23910.41</v>
      </c>
      <c r="Y42" s="16">
        <f>ROUND(X42*(1+'Interest rate projection'!AX44/Var_freq)+IF(Y$5="Mortgage Starts",0,Deposit_mon),2)</f>
        <v>24993.49</v>
      </c>
      <c r="Z42" s="57">
        <f>ROUND(Y42*(1+'Interest rate projection'!AY44/Var_freq)+IF(Z$5="Mortgage Starts",0,Deposit_mon),2)</f>
        <v>25080.33</v>
      </c>
      <c r="AA42" s="12"/>
      <c r="AB42" s="38">
        <f>'Interest rate projection'!Z44</f>
        <v>4.2499999999999996E-2</v>
      </c>
      <c r="AC42" s="38">
        <f>'Interest rate projection'!AZ44</f>
        <v>4.1693940041970023E-2</v>
      </c>
      <c r="AD42" s="59" t="str">
        <f t="shared" si="8"/>
        <v>OK</v>
      </c>
      <c r="AE42" s="39">
        <f t="shared" si="9"/>
        <v>15.511529757864551</v>
      </c>
      <c r="AF42" s="10"/>
      <c r="AG42" s="73">
        <f t="shared" si="5"/>
        <v>25080.33</v>
      </c>
      <c r="AH42" s="73">
        <f t="shared" si="6"/>
        <v>174919.66999999998</v>
      </c>
      <c r="AI42" s="74">
        <f t="shared" si="10"/>
        <v>939.73</v>
      </c>
      <c r="AJ42" s="9"/>
      <c r="AK42" s="73">
        <f>'Fixed rate projection'!$AE$3-('Variable rate projection'!AI42*Product_term*Var_freq)</f>
        <v>21150</v>
      </c>
      <c r="AM42" s="14"/>
      <c r="AN42" s="10"/>
      <c r="AO42" s="11"/>
      <c r="AP42" s="11"/>
      <c r="AQ42" s="11"/>
      <c r="AR42" s="12"/>
      <c r="AS42" s="12"/>
      <c r="AT42" s="13"/>
      <c r="AV42" s="14"/>
      <c r="AW42" s="10"/>
      <c r="AX42" s="11"/>
      <c r="AY42" s="11"/>
      <c r="AZ42" s="11"/>
      <c r="BA42" s="12"/>
      <c r="BB42" s="12"/>
      <c r="BC42" s="13"/>
      <c r="BE42" s="14"/>
      <c r="BF42" s="10"/>
      <c r="BG42" s="11"/>
      <c r="BH42" s="11"/>
      <c r="BI42" s="11"/>
      <c r="BJ42" s="12"/>
      <c r="BK42" s="12"/>
      <c r="BL42" s="13"/>
      <c r="BN42" s="14"/>
      <c r="BO42" s="10"/>
      <c r="BP42" s="11"/>
      <c r="BQ42" s="11"/>
      <c r="BR42" s="11"/>
      <c r="BS42" s="12"/>
      <c r="BT42" s="12"/>
      <c r="BU42" s="13"/>
      <c r="BW42" s="14"/>
      <c r="BX42" s="10"/>
      <c r="BY42" s="11"/>
      <c r="BZ42" s="11"/>
      <c r="CA42" s="11"/>
      <c r="CB42" s="12"/>
      <c r="CC42" s="12"/>
      <c r="CD42" s="13"/>
      <c r="CF42" s="14"/>
      <c r="CG42" s="10"/>
      <c r="CH42" s="11"/>
      <c r="CI42" s="11"/>
      <c r="CJ42" s="11"/>
      <c r="CK42" s="12"/>
      <c r="CL42" s="12"/>
      <c r="CM42" s="13"/>
      <c r="CO42" s="13"/>
    </row>
    <row r="43" spans="1:93" x14ac:dyDescent="0.35">
      <c r="A43" s="5">
        <v>38</v>
      </c>
      <c r="B43" s="57">
        <f t="shared" si="7"/>
        <v>1000</v>
      </c>
      <c r="C43" s="16">
        <f>ROUND(B43*(1+'Interest rate projection'!AB45/Var_freq)+IF(C$5="Mortgage Starts",0,Deposit_mon),2)</f>
        <v>2003.67</v>
      </c>
      <c r="D43" s="16">
        <f>ROUND(C43*(1+'Interest rate projection'!AC45/Var_freq)+IF(D$5="Mortgage Starts",0,Deposit_mon),2)</f>
        <v>3011.03</v>
      </c>
      <c r="E43" s="16">
        <f>ROUND(D43*(1+'Interest rate projection'!AD45/Var_freq)+IF(E$5="Mortgage Starts",0,Deposit_mon),2)</f>
        <v>4023.3</v>
      </c>
      <c r="F43" s="16">
        <f>ROUND(E43*(1+'Interest rate projection'!AE45/Var_freq)+IF(F$5="Mortgage Starts",0,Deposit_mon),2)</f>
        <v>5039.6899999999996</v>
      </c>
      <c r="G43" s="16">
        <f>ROUND(F43*(1+'Interest rate projection'!AF45/Var_freq)+IF(G$5="Mortgage Starts",0,Deposit_mon),2)</f>
        <v>6060.22</v>
      </c>
      <c r="H43" s="16">
        <f>ROUND(G43*(1+'Interest rate projection'!AG45/Var_freq)+IF(H$5="Mortgage Starts",0,Deposit_mon),2)</f>
        <v>7086.12</v>
      </c>
      <c r="I43" s="16">
        <f>ROUND(H43*(1+'Interest rate projection'!AH45/Var_freq)+IF(I$5="Mortgage Starts",0,Deposit_mon),2)</f>
        <v>8116.4</v>
      </c>
      <c r="J43" s="16">
        <f>ROUND(I43*(1+'Interest rate projection'!AI45/Var_freq)+IF(J$5="Mortgage Starts",0,Deposit_mon),2)</f>
        <v>9151.08</v>
      </c>
      <c r="K43" s="16">
        <f>ROUND(J43*(1+'Interest rate projection'!AJ45/Var_freq)+IF(K$5="Mortgage Starts",0,Deposit_mon),2)</f>
        <v>10190.18</v>
      </c>
      <c r="L43" s="16">
        <f>ROUND(K43*(1+'Interest rate projection'!AK45/Var_freq)+IF(L$5="Mortgage Starts",0,Deposit_mon),2)</f>
        <v>11237.77</v>
      </c>
      <c r="M43" s="16">
        <f>ROUND(L43*(1+'Interest rate projection'!AL45/Var_freq)+IF(M$5="Mortgage Starts",0,Deposit_mon),2)</f>
        <v>12290.25</v>
      </c>
      <c r="N43" s="16">
        <f>ROUND(M43*(1+'Interest rate projection'!AM45/Var_freq)+IF(N$5="Mortgage Starts",0,Deposit_mon),2)</f>
        <v>13347.64</v>
      </c>
      <c r="O43" s="16">
        <f>ROUND(N43*(1+'Interest rate projection'!AN45/Var_freq)+IF(O$5="Mortgage Starts",0,Deposit_mon),2)</f>
        <v>14409.97</v>
      </c>
      <c r="P43" s="16">
        <f>ROUND(O43*(1+'Interest rate projection'!AO45/Var_freq)+IF(P$5="Mortgage Starts",0,Deposit_mon),2)</f>
        <v>15477.26</v>
      </c>
      <c r="Q43" s="16">
        <f>ROUND(P43*(1+'Interest rate projection'!AP45/Var_freq)+IF(Q$5="Mortgage Starts",0,Deposit_mon),2)</f>
        <v>16549.54</v>
      </c>
      <c r="R43" s="16">
        <f>ROUND(Q43*(1+'Interest rate projection'!AQ45/Var_freq)+IF(R$5="Mortgage Starts",0,Deposit_mon),2)</f>
        <v>17626.82</v>
      </c>
      <c r="S43" s="16">
        <f>ROUND(R43*(1+'Interest rate projection'!AR45/Var_freq)+IF(S$5="Mortgage Starts",0,Deposit_mon),2)</f>
        <v>18709.13</v>
      </c>
      <c r="T43" s="16">
        <f>ROUND(S43*(1+'Interest rate projection'!AS45/Var_freq)+IF(T$5="Mortgage Starts",0,Deposit_mon),2)</f>
        <v>19796.5</v>
      </c>
      <c r="U43" s="16">
        <f>ROUND(T43*(1+'Interest rate projection'!AT45/Var_freq)+IF(U$5="Mortgage Starts",0,Deposit_mon),2)</f>
        <v>20888.95</v>
      </c>
      <c r="V43" s="16">
        <f>ROUND(U43*(1+'Interest rate projection'!AU45/Var_freq)+IF(V$5="Mortgage Starts",0,Deposit_mon),2)</f>
        <v>21986.5</v>
      </c>
      <c r="W43" s="16">
        <f>ROUND(V43*(1+'Interest rate projection'!AV45/Var_freq)+IF(W$5="Mortgage Starts",0,Deposit_mon),2)</f>
        <v>23089.17</v>
      </c>
      <c r="X43" s="16">
        <f>ROUND(W43*(1+'Interest rate projection'!AW45/Var_freq)+IF(X$5="Mortgage Starts",0,Deposit_mon),2)</f>
        <v>24201.56</v>
      </c>
      <c r="Y43" s="16">
        <f>ROUND(X43*(1+'Interest rate projection'!AX45/Var_freq)+IF(Y$5="Mortgage Starts",0,Deposit_mon),2)</f>
        <v>25319.360000000001</v>
      </c>
      <c r="Z43" s="57">
        <f>ROUND(Y43*(1+'Interest rate projection'!AY45/Var_freq)+IF(Z$5="Mortgage Starts",0,Deposit_mon),2)</f>
        <v>25442.6</v>
      </c>
      <c r="AA43" s="12"/>
      <c r="AB43" s="38">
        <f>'Interest rate projection'!Z45</f>
        <v>0.06</v>
      </c>
      <c r="AC43" s="38">
        <f>'Interest rate projection'!AZ45</f>
        <v>5.8410606784116581E-2</v>
      </c>
      <c r="AD43" s="59" t="str">
        <f t="shared" si="8"/>
        <v>OK</v>
      </c>
      <c r="AE43" s="39">
        <f t="shared" si="9"/>
        <v>13.131200165937551</v>
      </c>
      <c r="AF43" s="10"/>
      <c r="AG43" s="73">
        <f t="shared" si="5"/>
        <v>25442.6</v>
      </c>
      <c r="AH43" s="73">
        <f t="shared" si="6"/>
        <v>174557.4</v>
      </c>
      <c r="AI43" s="74">
        <f t="shared" si="10"/>
        <v>1107.78</v>
      </c>
      <c r="AJ43" s="9"/>
      <c r="AK43" s="73">
        <f>'Fixed rate projection'!$AE$3-('Variable rate projection'!AI43*Product_term*Var_freq)</f>
        <v>-29265</v>
      </c>
      <c r="AM43" s="14"/>
      <c r="AN43" s="10"/>
      <c r="AO43" s="11"/>
      <c r="AP43" s="11"/>
      <c r="AQ43" s="11"/>
      <c r="AR43" s="12"/>
      <c r="AS43" s="12"/>
      <c r="AT43" s="13"/>
      <c r="AV43" s="14"/>
      <c r="AW43" s="10"/>
      <c r="AX43" s="11"/>
      <c r="AY43" s="11"/>
      <c r="AZ43" s="11"/>
      <c r="BA43" s="12"/>
      <c r="BB43" s="12"/>
      <c r="BC43" s="13"/>
      <c r="BE43" s="14"/>
      <c r="BF43" s="10"/>
      <c r="BG43" s="11"/>
      <c r="BH43" s="11"/>
      <c r="BI43" s="11"/>
      <c r="BJ43" s="12"/>
      <c r="BK43" s="12"/>
      <c r="BL43" s="13"/>
      <c r="BN43" s="14"/>
      <c r="BO43" s="10"/>
      <c r="BP43" s="11"/>
      <c r="BQ43" s="11"/>
      <c r="BR43" s="11"/>
      <c r="BS43" s="12"/>
      <c r="BT43" s="12"/>
      <c r="BU43" s="13"/>
      <c r="BW43" s="14"/>
      <c r="BX43" s="10"/>
      <c r="BY43" s="11"/>
      <c r="BZ43" s="11"/>
      <c r="CA43" s="11"/>
      <c r="CB43" s="12"/>
      <c r="CC43" s="12"/>
      <c r="CD43" s="13"/>
      <c r="CF43" s="14"/>
      <c r="CG43" s="10"/>
      <c r="CH43" s="11"/>
      <c r="CI43" s="11"/>
      <c r="CJ43" s="11"/>
      <c r="CK43" s="12"/>
      <c r="CL43" s="12"/>
      <c r="CM43" s="13"/>
      <c r="CO43" s="13"/>
    </row>
    <row r="44" spans="1:93" x14ac:dyDescent="0.35">
      <c r="A44" s="27">
        <v>39</v>
      </c>
      <c r="B44" s="57">
        <f t="shared" si="7"/>
        <v>1000</v>
      </c>
      <c r="C44" s="16">
        <f>ROUND(B44*(1+'Interest rate projection'!AB46/Var_freq)+IF(C$5="Mortgage Starts",0,Deposit_mon),2)</f>
        <v>2003.67</v>
      </c>
      <c r="D44" s="16">
        <f>ROUND(C44*(1+'Interest rate projection'!AC46/Var_freq)+IF(D$5="Mortgage Starts",0,Deposit_mon),2)</f>
        <v>3011.03</v>
      </c>
      <c r="E44" s="16">
        <f>ROUND(D44*(1+'Interest rate projection'!AD46/Var_freq)+IF(E$5="Mortgage Starts",0,Deposit_mon),2)</f>
        <v>4022.09</v>
      </c>
      <c r="F44" s="16">
        <f>ROUND(E44*(1+'Interest rate projection'!AE46/Var_freq)+IF(F$5="Mortgage Starts",0,Deposit_mon),2)</f>
        <v>5036.0600000000004</v>
      </c>
      <c r="G44" s="16">
        <f>ROUND(F44*(1+'Interest rate projection'!AF46/Var_freq)+IF(G$5="Mortgage Starts",0,Deposit_mon),2)</f>
        <v>6053.56</v>
      </c>
      <c r="H44" s="16">
        <f>ROUND(G44*(1+'Interest rate projection'!AG46/Var_freq)+IF(H$5="Mortgage Starts",0,Deposit_mon),2)</f>
        <v>7074.59</v>
      </c>
      <c r="I44" s="16">
        <f>ROUND(H44*(1+'Interest rate projection'!AH46/Var_freq)+IF(I$5="Mortgage Starts",0,Deposit_mon),2)</f>
        <v>8099.17</v>
      </c>
      <c r="J44" s="16">
        <f>ROUND(I44*(1+'Interest rate projection'!AI46/Var_freq)+IF(J$5="Mortgage Starts",0,Deposit_mon),2)</f>
        <v>9127.31</v>
      </c>
      <c r="K44" s="16">
        <f>ROUND(J44*(1+'Interest rate projection'!AJ46/Var_freq)+IF(K$5="Mortgage Starts",0,Deposit_mon),2)</f>
        <v>10159.02</v>
      </c>
      <c r="L44" s="16">
        <f>ROUND(K44*(1+'Interest rate projection'!AK46/Var_freq)+IF(L$5="Mortgage Starts",0,Deposit_mon),2)</f>
        <v>11194.32</v>
      </c>
      <c r="M44" s="16">
        <f>ROUND(L44*(1+'Interest rate projection'!AL46/Var_freq)+IF(M$5="Mortgage Starts",0,Deposit_mon),2)</f>
        <v>12233.21</v>
      </c>
      <c r="N44" s="16">
        <f>ROUND(M44*(1+'Interest rate projection'!AM46/Var_freq)+IF(N$5="Mortgage Starts",0,Deposit_mon),2)</f>
        <v>13275.71</v>
      </c>
      <c r="O44" s="16">
        <f>ROUND(N44*(1+'Interest rate projection'!AN46/Var_freq)+IF(O$5="Mortgage Starts",0,Deposit_mon),2)</f>
        <v>14321.84</v>
      </c>
      <c r="P44" s="16">
        <f>ROUND(O44*(1+'Interest rate projection'!AO46/Var_freq)+IF(P$5="Mortgage Starts",0,Deposit_mon),2)</f>
        <v>15371.6</v>
      </c>
      <c r="Q44" s="16">
        <f>ROUND(P44*(1+'Interest rate projection'!AP46/Var_freq)+IF(Q$5="Mortgage Starts",0,Deposit_mon),2)</f>
        <v>16425.009999999998</v>
      </c>
      <c r="R44" s="16">
        <f>ROUND(Q44*(1+'Interest rate projection'!AQ46/Var_freq)+IF(R$5="Mortgage Starts",0,Deposit_mon),2)</f>
        <v>17478.78</v>
      </c>
      <c r="S44" s="16">
        <f>ROUND(R44*(1+'Interest rate projection'!AR46/Var_freq)+IF(S$5="Mortgage Starts",0,Deposit_mon),2)</f>
        <v>18536</v>
      </c>
      <c r="T44" s="16">
        <f>ROUND(S44*(1+'Interest rate projection'!AS46/Var_freq)+IF(T$5="Mortgage Starts",0,Deposit_mon),2)</f>
        <v>19596.68</v>
      </c>
      <c r="U44" s="16">
        <f>ROUND(T44*(1+'Interest rate projection'!AT46/Var_freq)+IF(U$5="Mortgage Starts",0,Deposit_mon),2)</f>
        <v>20660.830000000002</v>
      </c>
      <c r="V44" s="16">
        <f>ROUND(U44*(1+'Interest rate projection'!AU46/Var_freq)+IF(V$5="Mortgage Starts",0,Deposit_mon),2)</f>
        <v>21728.47</v>
      </c>
      <c r="W44" s="16">
        <f>ROUND(V44*(1+'Interest rate projection'!AV46/Var_freq)+IF(W$5="Mortgage Starts",0,Deposit_mon),2)</f>
        <v>22803.97</v>
      </c>
      <c r="X44" s="16">
        <f>ROUND(W44*(1+'Interest rate projection'!AW46/Var_freq)+IF(X$5="Mortgage Starts",0,Deposit_mon),2)</f>
        <v>23883.200000000001</v>
      </c>
      <c r="Y44" s="16">
        <f>ROUND(X44*(1+'Interest rate projection'!AX46/Var_freq)+IF(Y$5="Mortgage Starts",0,Deposit_mon),2)</f>
        <v>24966.18</v>
      </c>
      <c r="Z44" s="57">
        <f>ROUND(Y44*(1+'Interest rate projection'!AY46/Var_freq)+IF(Z$5="Mortgage Starts",0,Deposit_mon),2)</f>
        <v>25052.92</v>
      </c>
      <c r="AA44" s="12"/>
      <c r="AB44" s="38">
        <f>'Interest rate projection'!Z46</f>
        <v>4.2499999999999996E-2</v>
      </c>
      <c r="AC44" s="38">
        <f>'Interest rate projection'!AZ46</f>
        <v>4.1693940041970023E-2</v>
      </c>
      <c r="AD44" s="59" t="str">
        <f t="shared" si="8"/>
        <v>OK</v>
      </c>
      <c r="AE44" s="39">
        <f t="shared" si="9"/>
        <v>15.511529757864551</v>
      </c>
      <c r="AF44" s="10"/>
      <c r="AG44" s="73">
        <f t="shared" si="5"/>
        <v>25052.92</v>
      </c>
      <c r="AH44" s="73">
        <f t="shared" si="6"/>
        <v>174947.08000000002</v>
      </c>
      <c r="AI44" s="74">
        <f t="shared" si="10"/>
        <v>939.88</v>
      </c>
      <c r="AJ44" s="9"/>
      <c r="AK44" s="73">
        <f>'Fixed rate projection'!$AE$3-('Variable rate projection'!AI44*Product_term*Var_freq)</f>
        <v>21105</v>
      </c>
      <c r="AM44" s="14"/>
      <c r="AN44" s="10"/>
      <c r="AO44" s="11"/>
      <c r="AP44" s="11"/>
      <c r="AQ44" s="11"/>
      <c r="AR44" s="12"/>
      <c r="AS44" s="12"/>
      <c r="AT44" s="13"/>
      <c r="AV44" s="14"/>
      <c r="AW44" s="10"/>
      <c r="AX44" s="11"/>
      <c r="AY44" s="11"/>
      <c r="AZ44" s="11"/>
      <c r="BA44" s="12"/>
      <c r="BB44" s="12"/>
      <c r="BC44" s="13"/>
      <c r="BE44" s="14"/>
      <c r="BF44" s="10"/>
      <c r="BG44" s="11"/>
      <c r="BH44" s="11"/>
      <c r="BI44" s="11"/>
      <c r="BJ44" s="12"/>
      <c r="BK44" s="12"/>
      <c r="BL44" s="13"/>
      <c r="BN44" s="14"/>
      <c r="BO44" s="10"/>
      <c r="BP44" s="11"/>
      <c r="BQ44" s="11"/>
      <c r="BR44" s="11"/>
      <c r="BS44" s="12"/>
      <c r="BT44" s="12"/>
      <c r="BU44" s="13"/>
      <c r="BW44" s="14"/>
      <c r="BX44" s="10"/>
      <c r="BY44" s="11"/>
      <c r="BZ44" s="11"/>
      <c r="CA44" s="11"/>
      <c r="CB44" s="12"/>
      <c r="CC44" s="12"/>
      <c r="CD44" s="13"/>
      <c r="CF44" s="14"/>
      <c r="CG44" s="10"/>
      <c r="CH44" s="11"/>
      <c r="CI44" s="11"/>
      <c r="CJ44" s="11"/>
      <c r="CK44" s="12"/>
      <c r="CL44" s="12"/>
      <c r="CM44" s="13"/>
      <c r="CO44" s="13"/>
    </row>
    <row r="45" spans="1:93" x14ac:dyDescent="0.35">
      <c r="A45" s="5">
        <v>40</v>
      </c>
      <c r="B45" s="57">
        <f t="shared" si="7"/>
        <v>1000</v>
      </c>
      <c r="C45" s="16">
        <f>ROUND(B45*(1+'Interest rate projection'!AB47/Var_freq)+IF(C$5="Mortgage Starts",0,Deposit_mon),2)</f>
        <v>2003.67</v>
      </c>
      <c r="D45" s="16">
        <f>ROUND(C45*(1+'Interest rate projection'!AC47/Var_freq)+IF(D$5="Mortgage Starts",0,Deposit_mon),2)</f>
        <v>3011.03</v>
      </c>
      <c r="E45" s="16">
        <f>ROUND(D45*(1+'Interest rate projection'!AD47/Var_freq)+IF(E$5="Mortgage Starts",0,Deposit_mon),2)</f>
        <v>4022.09</v>
      </c>
      <c r="F45" s="16">
        <f>ROUND(E45*(1+'Interest rate projection'!AE47/Var_freq)+IF(F$5="Mortgage Starts",0,Deposit_mon),2)</f>
        <v>5036.87</v>
      </c>
      <c r="G45" s="16">
        <f>ROUND(F45*(1+'Interest rate projection'!AF47/Var_freq)+IF(G$5="Mortgage Starts",0,Deposit_mon),2)</f>
        <v>6055.38</v>
      </c>
      <c r="H45" s="16">
        <f>ROUND(G45*(1+'Interest rate projection'!AG47/Var_freq)+IF(H$5="Mortgage Starts",0,Deposit_mon),2)</f>
        <v>7077.63</v>
      </c>
      <c r="I45" s="16">
        <f>ROUND(H45*(1+'Interest rate projection'!AH47/Var_freq)+IF(I$5="Mortgage Starts",0,Deposit_mon),2)</f>
        <v>8103.64</v>
      </c>
      <c r="J45" s="16">
        <f>ROUND(I45*(1+'Interest rate projection'!AI47/Var_freq)+IF(J$5="Mortgage Starts",0,Deposit_mon),2)</f>
        <v>9133.42</v>
      </c>
      <c r="K45" s="16">
        <f>ROUND(J45*(1+'Interest rate projection'!AJ47/Var_freq)+IF(K$5="Mortgage Starts",0,Deposit_mon),2)</f>
        <v>10165.15</v>
      </c>
      <c r="L45" s="16">
        <f>ROUND(K45*(1+'Interest rate projection'!AK47/Var_freq)+IF(L$5="Mortgage Starts",0,Deposit_mon),2)</f>
        <v>11200.47</v>
      </c>
      <c r="M45" s="16">
        <f>ROUND(L45*(1+'Interest rate projection'!AL47/Var_freq)+IF(M$5="Mortgage Starts",0,Deposit_mon),2)</f>
        <v>12239.39</v>
      </c>
      <c r="N45" s="16">
        <f>ROUND(M45*(1+'Interest rate projection'!AM47/Var_freq)+IF(N$5="Mortgage Starts",0,Deposit_mon),2)</f>
        <v>13281.92</v>
      </c>
      <c r="O45" s="16">
        <f>ROUND(N45*(1+'Interest rate projection'!AN47/Var_freq)+IF(O$5="Mortgage Starts",0,Deposit_mon),2)</f>
        <v>14328.07</v>
      </c>
      <c r="P45" s="16">
        <f>ROUND(O45*(1+'Interest rate projection'!AO47/Var_freq)+IF(P$5="Mortgage Starts",0,Deposit_mon),2)</f>
        <v>15377.85</v>
      </c>
      <c r="Q45" s="16">
        <f>ROUND(P45*(1+'Interest rate projection'!AP47/Var_freq)+IF(Q$5="Mortgage Starts",0,Deposit_mon),2)</f>
        <v>16431.28</v>
      </c>
      <c r="R45" s="16">
        <f>ROUND(Q45*(1+'Interest rate projection'!AQ47/Var_freq)+IF(R$5="Mortgage Starts",0,Deposit_mon),2)</f>
        <v>17488.37</v>
      </c>
      <c r="S45" s="16">
        <f>ROUND(R45*(1+'Interest rate projection'!AR47/Var_freq)+IF(S$5="Mortgage Starts",0,Deposit_mon),2)</f>
        <v>18549.13</v>
      </c>
      <c r="T45" s="16">
        <f>ROUND(S45*(1+'Interest rate projection'!AS47/Var_freq)+IF(T$5="Mortgage Starts",0,Deposit_mon),2)</f>
        <v>19613.580000000002</v>
      </c>
      <c r="U45" s="16">
        <f>ROUND(T45*(1+'Interest rate projection'!AT47/Var_freq)+IF(U$5="Mortgage Starts",0,Deposit_mon),2)</f>
        <v>20681.73</v>
      </c>
      <c r="V45" s="16">
        <f>ROUND(U45*(1+'Interest rate projection'!AU47/Var_freq)+IF(V$5="Mortgage Starts",0,Deposit_mon),2)</f>
        <v>21753.59</v>
      </c>
      <c r="W45" s="16">
        <f>ROUND(V45*(1+'Interest rate projection'!AV47/Var_freq)+IF(W$5="Mortgage Starts",0,Deposit_mon),2)</f>
        <v>22829.17</v>
      </c>
      <c r="X45" s="16">
        <f>ROUND(W45*(1+'Interest rate projection'!AW47/Var_freq)+IF(X$5="Mortgage Starts",0,Deposit_mon),2)</f>
        <v>23908.49</v>
      </c>
      <c r="Y45" s="16">
        <f>ROUND(X45*(1+'Interest rate projection'!AX47/Var_freq)+IF(Y$5="Mortgage Starts",0,Deposit_mon),2)</f>
        <v>24991.56</v>
      </c>
      <c r="Z45" s="57">
        <f>ROUND(Y45*(1+'Interest rate projection'!AY47/Var_freq)+IF(Z$5="Mortgage Starts",0,Deposit_mon),2)</f>
        <v>25078.39</v>
      </c>
      <c r="AA45" s="12"/>
      <c r="AB45" s="38">
        <f>'Interest rate projection'!Z47</f>
        <v>4.2499999999999996E-2</v>
      </c>
      <c r="AC45" s="38">
        <f>'Interest rate projection'!AZ47</f>
        <v>4.1693940041970023E-2</v>
      </c>
      <c r="AD45" s="59" t="str">
        <f t="shared" si="8"/>
        <v>OK</v>
      </c>
      <c r="AE45" s="39">
        <f t="shared" si="9"/>
        <v>15.511529757864551</v>
      </c>
      <c r="AF45" s="10"/>
      <c r="AG45" s="73">
        <f t="shared" si="5"/>
        <v>25078.39</v>
      </c>
      <c r="AH45" s="73">
        <f t="shared" si="6"/>
        <v>174921.61</v>
      </c>
      <c r="AI45" s="74">
        <f t="shared" si="10"/>
        <v>939.74</v>
      </c>
      <c r="AJ45" s="9"/>
      <c r="AK45" s="73">
        <f>'Fixed rate projection'!$AE$3-('Variable rate projection'!AI45*Product_term*Var_freq)</f>
        <v>21147</v>
      </c>
      <c r="AM45" s="14"/>
      <c r="AN45" s="10"/>
      <c r="AO45" s="11"/>
      <c r="AP45" s="11"/>
      <c r="AQ45" s="11"/>
      <c r="AR45" s="12"/>
      <c r="AS45" s="12"/>
      <c r="AT45" s="13"/>
      <c r="AV45" s="14"/>
      <c r="AW45" s="10"/>
      <c r="AX45" s="11"/>
      <c r="AY45" s="11"/>
      <c r="AZ45" s="11"/>
      <c r="BA45" s="12"/>
      <c r="BB45" s="12"/>
      <c r="BC45" s="13"/>
      <c r="BE45" s="14"/>
      <c r="BF45" s="10"/>
      <c r="BG45" s="11"/>
      <c r="BH45" s="11"/>
      <c r="BI45" s="11"/>
      <c r="BJ45" s="12"/>
      <c r="BK45" s="12"/>
      <c r="BL45" s="13"/>
      <c r="BN45" s="14"/>
      <c r="BO45" s="10"/>
      <c r="BP45" s="11"/>
      <c r="BQ45" s="11"/>
      <c r="BR45" s="11"/>
      <c r="BS45" s="12"/>
      <c r="BT45" s="12"/>
      <c r="BU45" s="13"/>
      <c r="BW45" s="14"/>
      <c r="BX45" s="10"/>
      <c r="BY45" s="11"/>
      <c r="BZ45" s="11"/>
      <c r="CA45" s="11"/>
      <c r="CB45" s="12"/>
      <c r="CC45" s="12"/>
      <c r="CD45" s="13"/>
      <c r="CF45" s="14"/>
      <c r="CG45" s="10"/>
      <c r="CH45" s="11"/>
      <c r="CI45" s="11"/>
      <c r="CJ45" s="11"/>
      <c r="CK45" s="12"/>
      <c r="CL45" s="12"/>
      <c r="CM45" s="13"/>
      <c r="CO45" s="13"/>
    </row>
    <row r="46" spans="1:93" x14ac:dyDescent="0.35">
      <c r="A46" s="27">
        <v>41</v>
      </c>
      <c r="B46" s="57">
        <f t="shared" si="7"/>
        <v>1000</v>
      </c>
      <c r="C46" s="16">
        <f>ROUND(B46*(1+'Interest rate projection'!AB48/Var_freq)+IF(C$5="Mortgage Starts",0,Deposit_mon),2)</f>
        <v>2003.67</v>
      </c>
      <c r="D46" s="16">
        <f>ROUND(C46*(1+'Interest rate projection'!AC48/Var_freq)+IF(D$5="Mortgage Starts",0,Deposit_mon),2)</f>
        <v>3011.03</v>
      </c>
      <c r="E46" s="16">
        <f>ROUND(D46*(1+'Interest rate projection'!AD48/Var_freq)+IF(E$5="Mortgage Starts",0,Deposit_mon),2)</f>
        <v>4022.7</v>
      </c>
      <c r="F46" s="16">
        <f>ROUND(E46*(1+'Interest rate projection'!AE48/Var_freq)+IF(F$5="Mortgage Starts",0,Deposit_mon),2)</f>
        <v>5038.29</v>
      </c>
      <c r="G46" s="16">
        <f>ROUND(F46*(1+'Interest rate projection'!AF48/Var_freq)+IF(G$5="Mortgage Starts",0,Deposit_mon),2)</f>
        <v>6057.81</v>
      </c>
      <c r="H46" s="16">
        <f>ROUND(G46*(1+'Interest rate projection'!AG48/Var_freq)+IF(H$5="Mortgage Starts",0,Deposit_mon),2)</f>
        <v>7081.28</v>
      </c>
      <c r="I46" s="16">
        <f>ROUND(H46*(1+'Interest rate projection'!AH48/Var_freq)+IF(I$5="Mortgage Starts",0,Deposit_mon),2)</f>
        <v>8108.72</v>
      </c>
      <c r="J46" s="16">
        <f>ROUND(I46*(1+'Interest rate projection'!AI48/Var_freq)+IF(J$5="Mortgage Starts",0,Deposit_mon),2)</f>
        <v>9140.14</v>
      </c>
      <c r="K46" s="16">
        <f>ROUND(J46*(1+'Interest rate projection'!AJ48/Var_freq)+IF(K$5="Mortgage Starts",0,Deposit_mon),2)</f>
        <v>10175.56</v>
      </c>
      <c r="L46" s="16">
        <f>ROUND(K46*(1+'Interest rate projection'!AK48/Var_freq)+IF(L$5="Mortgage Starts",0,Deposit_mon),2)</f>
        <v>11214.99</v>
      </c>
      <c r="M46" s="16">
        <f>ROUND(L46*(1+'Interest rate projection'!AL48/Var_freq)+IF(M$5="Mortgage Starts",0,Deposit_mon),2)</f>
        <v>12256.2</v>
      </c>
      <c r="N46" s="16">
        <f>ROUND(M46*(1+'Interest rate projection'!AM48/Var_freq)+IF(N$5="Mortgage Starts",0,Deposit_mon),2)</f>
        <v>13301.24</v>
      </c>
      <c r="O46" s="16">
        <f>ROUND(N46*(1+'Interest rate projection'!AN48/Var_freq)+IF(O$5="Mortgage Starts",0,Deposit_mon),2)</f>
        <v>14350.12</v>
      </c>
      <c r="P46" s="16">
        <f>ROUND(O46*(1+'Interest rate projection'!AO48/Var_freq)+IF(P$5="Mortgage Starts",0,Deposit_mon),2)</f>
        <v>15402.85</v>
      </c>
      <c r="Q46" s="16">
        <f>ROUND(P46*(1+'Interest rate projection'!AP48/Var_freq)+IF(Q$5="Mortgage Starts",0,Deposit_mon),2)</f>
        <v>16459.45</v>
      </c>
      <c r="R46" s="16">
        <f>ROUND(Q46*(1+'Interest rate projection'!AQ48/Var_freq)+IF(R$5="Mortgage Starts",0,Deposit_mon),2)</f>
        <v>17519.939999999999</v>
      </c>
      <c r="S46" s="16">
        <f>ROUND(R46*(1+'Interest rate projection'!AR48/Var_freq)+IF(S$5="Mortgage Starts",0,Deposit_mon),2)</f>
        <v>18584.32</v>
      </c>
      <c r="T46" s="16">
        <f>ROUND(S46*(1+'Interest rate projection'!AS48/Var_freq)+IF(T$5="Mortgage Starts",0,Deposit_mon),2)</f>
        <v>19652.61</v>
      </c>
      <c r="U46" s="16">
        <f>ROUND(T46*(1+'Interest rate projection'!AT48/Var_freq)+IF(U$5="Mortgage Starts",0,Deposit_mon),2)</f>
        <v>20724.830000000002</v>
      </c>
      <c r="V46" s="16">
        <f>ROUND(U46*(1+'Interest rate projection'!AU48/Var_freq)+IF(V$5="Mortgage Starts",0,Deposit_mon),2)</f>
        <v>21796.84</v>
      </c>
      <c r="W46" s="16">
        <f>ROUND(V46*(1+'Interest rate projection'!AV48/Var_freq)+IF(W$5="Mortgage Starts",0,Deposit_mon),2)</f>
        <v>22872.57</v>
      </c>
      <c r="X46" s="16">
        <f>ROUND(W46*(1+'Interest rate projection'!AW48/Var_freq)+IF(X$5="Mortgage Starts",0,Deposit_mon),2)</f>
        <v>23952.04</v>
      </c>
      <c r="Y46" s="16">
        <f>ROUND(X46*(1+'Interest rate projection'!AX48/Var_freq)+IF(Y$5="Mortgage Starts",0,Deposit_mon),2)</f>
        <v>25030.45</v>
      </c>
      <c r="Z46" s="57">
        <f>ROUND(Y46*(1+'Interest rate projection'!AY48/Var_freq)+IF(Z$5="Mortgage Starts",0,Deposit_mon),2)</f>
        <v>25112.39</v>
      </c>
      <c r="AA46" s="12"/>
      <c r="AB46" s="38">
        <f>'Interest rate projection'!Z48</f>
        <v>3.7499999999999992E-2</v>
      </c>
      <c r="AC46" s="38">
        <f>'Interest rate projection'!AZ48</f>
        <v>3.6870500439066589E-2</v>
      </c>
      <c r="AD46" s="59" t="str">
        <f t="shared" si="8"/>
        <v>OK</v>
      </c>
      <c r="AE46" s="39">
        <f t="shared" si="9"/>
        <v>16.317113717606386</v>
      </c>
      <c r="AF46" s="10"/>
      <c r="AG46" s="73">
        <f t="shared" si="5"/>
        <v>25112.39</v>
      </c>
      <c r="AH46" s="73">
        <f t="shared" si="6"/>
        <v>174887.61</v>
      </c>
      <c r="AI46" s="74">
        <f t="shared" si="10"/>
        <v>893.17</v>
      </c>
      <c r="AJ46" s="9"/>
      <c r="AK46" s="73">
        <f>'Fixed rate projection'!$AE$3-('Variable rate projection'!AI46*Product_term*Var_freq)</f>
        <v>35118</v>
      </c>
      <c r="AM46" s="14"/>
      <c r="AN46" s="10"/>
      <c r="AO46" s="11"/>
      <c r="AP46" s="11"/>
      <c r="AQ46" s="11"/>
      <c r="AR46" s="12"/>
      <c r="AS46" s="12"/>
      <c r="AT46" s="13"/>
      <c r="AV46" s="14"/>
      <c r="AW46" s="10"/>
      <c r="AX46" s="11"/>
      <c r="AY46" s="11"/>
      <c r="AZ46" s="11"/>
      <c r="BA46" s="12"/>
      <c r="BB46" s="12"/>
      <c r="BC46" s="13"/>
      <c r="BE46" s="14"/>
      <c r="BF46" s="10"/>
      <c r="BG46" s="11"/>
      <c r="BH46" s="11"/>
      <c r="BI46" s="11"/>
      <c r="BJ46" s="12"/>
      <c r="BK46" s="12"/>
      <c r="BL46" s="13"/>
      <c r="BN46" s="14"/>
      <c r="BO46" s="10"/>
      <c r="BP46" s="11"/>
      <c r="BQ46" s="11"/>
      <c r="BR46" s="11"/>
      <c r="BS46" s="12"/>
      <c r="BT46" s="12"/>
      <c r="BU46" s="13"/>
      <c r="BW46" s="14"/>
      <c r="BX46" s="10"/>
      <c r="BY46" s="11"/>
      <c r="BZ46" s="11"/>
      <c r="CA46" s="11"/>
      <c r="CB46" s="12"/>
      <c r="CC46" s="12"/>
      <c r="CD46" s="13"/>
      <c r="CF46" s="14"/>
      <c r="CG46" s="10"/>
      <c r="CH46" s="11"/>
      <c r="CI46" s="11"/>
      <c r="CJ46" s="11"/>
      <c r="CK46" s="12"/>
      <c r="CL46" s="12"/>
      <c r="CM46" s="13"/>
      <c r="CO46" s="13"/>
    </row>
    <row r="47" spans="1:93" x14ac:dyDescent="0.35">
      <c r="A47" s="5">
        <v>42</v>
      </c>
      <c r="B47" s="57">
        <f t="shared" si="7"/>
        <v>1000</v>
      </c>
      <c r="C47" s="16">
        <f>ROUND(B47*(1+'Interest rate projection'!AB49/Var_freq)+IF(C$5="Mortgage Starts",0,Deposit_mon),2)</f>
        <v>2003.67</v>
      </c>
      <c r="D47" s="16">
        <f>ROUND(C47*(1+'Interest rate projection'!AC49/Var_freq)+IF(D$5="Mortgage Starts",0,Deposit_mon),2)</f>
        <v>3011.03</v>
      </c>
      <c r="E47" s="16">
        <f>ROUND(D47*(1+'Interest rate projection'!AD49/Var_freq)+IF(E$5="Mortgage Starts",0,Deposit_mon),2)</f>
        <v>4022.09</v>
      </c>
      <c r="F47" s="16">
        <f>ROUND(E47*(1+'Interest rate projection'!AE49/Var_freq)+IF(F$5="Mortgage Starts",0,Deposit_mon),2)</f>
        <v>5036.87</v>
      </c>
      <c r="G47" s="16">
        <f>ROUND(F47*(1+'Interest rate projection'!AF49/Var_freq)+IF(G$5="Mortgage Starts",0,Deposit_mon),2)</f>
        <v>6055.38</v>
      </c>
      <c r="H47" s="16">
        <f>ROUND(G47*(1+'Interest rate projection'!AG49/Var_freq)+IF(H$5="Mortgage Starts",0,Deposit_mon),2)</f>
        <v>7077.63</v>
      </c>
      <c r="I47" s="16">
        <f>ROUND(H47*(1+'Interest rate projection'!AH49/Var_freq)+IF(I$5="Mortgage Starts",0,Deposit_mon),2)</f>
        <v>8103.64</v>
      </c>
      <c r="J47" s="16">
        <f>ROUND(I47*(1+'Interest rate projection'!AI49/Var_freq)+IF(J$5="Mortgage Starts",0,Deposit_mon),2)</f>
        <v>9133.42</v>
      </c>
      <c r="K47" s="16">
        <f>ROUND(J47*(1+'Interest rate projection'!AJ49/Var_freq)+IF(K$5="Mortgage Starts",0,Deposit_mon),2)</f>
        <v>10166.98</v>
      </c>
      <c r="L47" s="16">
        <f>ROUND(K47*(1+'Interest rate projection'!AK49/Var_freq)+IF(L$5="Mortgage Starts",0,Deposit_mon),2)</f>
        <v>11204.34</v>
      </c>
      <c r="M47" s="16">
        <f>ROUND(L47*(1+'Interest rate projection'!AL49/Var_freq)+IF(M$5="Mortgage Starts",0,Deposit_mon),2)</f>
        <v>12245.51</v>
      </c>
      <c r="N47" s="16">
        <f>ROUND(M47*(1+'Interest rate projection'!AM49/Var_freq)+IF(N$5="Mortgage Starts",0,Deposit_mon),2)</f>
        <v>13290.51</v>
      </c>
      <c r="O47" s="16">
        <f>ROUND(N47*(1+'Interest rate projection'!AN49/Var_freq)+IF(O$5="Mortgage Starts",0,Deposit_mon),2)</f>
        <v>14339.35</v>
      </c>
      <c r="P47" s="16">
        <f>ROUND(O47*(1+'Interest rate projection'!AO49/Var_freq)+IF(P$5="Mortgage Starts",0,Deposit_mon),2)</f>
        <v>15392.04</v>
      </c>
      <c r="Q47" s="16">
        <f>ROUND(P47*(1+'Interest rate projection'!AP49/Var_freq)+IF(Q$5="Mortgage Starts",0,Deposit_mon),2)</f>
        <v>16448.599999999999</v>
      </c>
      <c r="R47" s="16">
        <f>ROUND(Q47*(1+'Interest rate projection'!AQ49/Var_freq)+IF(R$5="Mortgage Starts",0,Deposit_mon),2)</f>
        <v>17509.05</v>
      </c>
      <c r="S47" s="16">
        <f>ROUND(R47*(1+'Interest rate projection'!AR49/Var_freq)+IF(S$5="Mortgage Starts",0,Deposit_mon),2)</f>
        <v>18573.39</v>
      </c>
      <c r="T47" s="16">
        <f>ROUND(S47*(1+'Interest rate projection'!AS49/Var_freq)+IF(T$5="Mortgage Starts",0,Deposit_mon),2)</f>
        <v>19641.64</v>
      </c>
      <c r="U47" s="16">
        <f>ROUND(T47*(1+'Interest rate projection'!AT49/Var_freq)+IF(U$5="Mortgage Starts",0,Deposit_mon),2)</f>
        <v>20713.82</v>
      </c>
      <c r="V47" s="16">
        <f>ROUND(U47*(1+'Interest rate projection'!AU49/Var_freq)+IF(V$5="Mortgage Starts",0,Deposit_mon),2)</f>
        <v>21789.94</v>
      </c>
      <c r="W47" s="16">
        <f>ROUND(V47*(1+'Interest rate projection'!AV49/Var_freq)+IF(W$5="Mortgage Starts",0,Deposit_mon),2)</f>
        <v>22870.01</v>
      </c>
      <c r="X47" s="16">
        <f>ROUND(W47*(1+'Interest rate projection'!AW49/Var_freq)+IF(X$5="Mortgage Starts",0,Deposit_mon),2)</f>
        <v>23954.05</v>
      </c>
      <c r="Y47" s="16">
        <f>ROUND(X47*(1+'Interest rate projection'!AX49/Var_freq)+IF(Y$5="Mortgage Starts",0,Deposit_mon),2)</f>
        <v>25042.080000000002</v>
      </c>
      <c r="Z47" s="57">
        <f>ROUND(Y47*(1+'Interest rate projection'!AY49/Var_freq)+IF(Z$5="Mortgage Starts",0,Deposit_mon),2)</f>
        <v>25134.1</v>
      </c>
      <c r="AA47" s="12"/>
      <c r="AB47" s="38">
        <f>'Interest rate projection'!Z49</f>
        <v>4.4999999999999998E-2</v>
      </c>
      <c r="AC47" s="38">
        <f>'Interest rate projection'!AZ49</f>
        <v>4.4097712805242217E-2</v>
      </c>
      <c r="AD47" s="59" t="str">
        <f t="shared" si="8"/>
        <v>OK</v>
      </c>
      <c r="AE47" s="39">
        <f t="shared" si="9"/>
        <v>15.131610255367837</v>
      </c>
      <c r="AF47" s="10"/>
      <c r="AG47" s="73">
        <f t="shared" si="5"/>
        <v>25134.1</v>
      </c>
      <c r="AH47" s="73">
        <f t="shared" si="6"/>
        <v>174865.9</v>
      </c>
      <c r="AI47" s="74">
        <f t="shared" si="10"/>
        <v>963.03</v>
      </c>
      <c r="AJ47" s="9"/>
      <c r="AK47" s="73">
        <f>'Fixed rate projection'!$AE$3-('Variable rate projection'!AI47*Product_term*Var_freq)</f>
        <v>14160</v>
      </c>
      <c r="AM47" s="14"/>
      <c r="AN47" s="10"/>
      <c r="AO47" s="11"/>
      <c r="AP47" s="11"/>
      <c r="AQ47" s="11"/>
      <c r="AR47" s="12"/>
      <c r="AS47" s="12"/>
      <c r="AT47" s="13"/>
      <c r="AV47" s="14"/>
      <c r="AW47" s="10"/>
      <c r="AX47" s="11"/>
      <c r="AY47" s="11"/>
      <c r="AZ47" s="11"/>
      <c r="BA47" s="12"/>
      <c r="BB47" s="12"/>
      <c r="BC47" s="13"/>
      <c r="BE47" s="14"/>
      <c r="BF47" s="10"/>
      <c r="BG47" s="11"/>
      <c r="BH47" s="11"/>
      <c r="BI47" s="11"/>
      <c r="BJ47" s="12"/>
      <c r="BK47" s="12"/>
      <c r="BL47" s="13"/>
      <c r="BN47" s="14"/>
      <c r="BO47" s="10"/>
      <c r="BP47" s="11"/>
      <c r="BQ47" s="11"/>
      <c r="BR47" s="11"/>
      <c r="BS47" s="12"/>
      <c r="BT47" s="12"/>
      <c r="BU47" s="13"/>
      <c r="BW47" s="14"/>
      <c r="BX47" s="10"/>
      <c r="BY47" s="11"/>
      <c r="BZ47" s="11"/>
      <c r="CA47" s="11"/>
      <c r="CB47" s="12"/>
      <c r="CC47" s="12"/>
      <c r="CD47" s="13"/>
      <c r="CF47" s="14"/>
      <c r="CG47" s="10"/>
      <c r="CH47" s="11"/>
      <c r="CI47" s="11"/>
      <c r="CJ47" s="11"/>
      <c r="CK47" s="12"/>
      <c r="CL47" s="12"/>
      <c r="CM47" s="13"/>
      <c r="CO47" s="13"/>
    </row>
    <row r="48" spans="1:93" x14ac:dyDescent="0.35">
      <c r="A48" s="27">
        <v>43</v>
      </c>
      <c r="B48" s="57">
        <f t="shared" si="7"/>
        <v>1000</v>
      </c>
      <c r="C48" s="16">
        <f>ROUND(B48*(1+'Interest rate projection'!AB50/Var_freq)+IF(C$5="Mortgage Starts",0,Deposit_mon),2)</f>
        <v>2003.67</v>
      </c>
      <c r="D48" s="16">
        <f>ROUND(C48*(1+'Interest rate projection'!AC50/Var_freq)+IF(D$5="Mortgage Starts",0,Deposit_mon),2)</f>
        <v>3010.63</v>
      </c>
      <c r="E48" s="16">
        <f>ROUND(D48*(1+'Interest rate projection'!AD50/Var_freq)+IF(E$5="Mortgage Starts",0,Deposit_mon),2)</f>
        <v>4021.09</v>
      </c>
      <c r="F48" s="16">
        <f>ROUND(E48*(1+'Interest rate projection'!AE50/Var_freq)+IF(F$5="Mortgage Starts",0,Deposit_mon),2)</f>
        <v>5035.0600000000004</v>
      </c>
      <c r="G48" s="16">
        <f>ROUND(F48*(1+'Interest rate projection'!AF50/Var_freq)+IF(G$5="Mortgage Starts",0,Deposit_mon),2)</f>
        <v>6052.55</v>
      </c>
      <c r="H48" s="16">
        <f>ROUND(G48*(1+'Interest rate projection'!AG50/Var_freq)+IF(H$5="Mortgage Starts",0,Deposit_mon),2)</f>
        <v>7073.58</v>
      </c>
      <c r="I48" s="16">
        <f>ROUND(H48*(1+'Interest rate projection'!AH50/Var_freq)+IF(I$5="Mortgage Starts",0,Deposit_mon),2)</f>
        <v>8098.16</v>
      </c>
      <c r="J48" s="16">
        <f>ROUND(I48*(1+'Interest rate projection'!AI50/Var_freq)+IF(J$5="Mortgage Starts",0,Deposit_mon),2)</f>
        <v>9126.2999999999993</v>
      </c>
      <c r="K48" s="16">
        <f>ROUND(J48*(1+'Interest rate projection'!AJ50/Var_freq)+IF(K$5="Mortgage Starts",0,Deposit_mon),2)</f>
        <v>10161.66</v>
      </c>
      <c r="L48" s="16">
        <f>ROUND(K48*(1+'Interest rate projection'!AK50/Var_freq)+IF(L$5="Mortgage Starts",0,Deposit_mon),2)</f>
        <v>11201.03</v>
      </c>
      <c r="M48" s="16">
        <f>ROUND(L48*(1+'Interest rate projection'!AL50/Var_freq)+IF(M$5="Mortgage Starts",0,Deposit_mon),2)</f>
        <v>12244.43</v>
      </c>
      <c r="N48" s="16">
        <f>ROUND(M48*(1+'Interest rate projection'!AM50/Var_freq)+IF(N$5="Mortgage Starts",0,Deposit_mon),2)</f>
        <v>13291.87</v>
      </c>
      <c r="O48" s="16">
        <f>ROUND(N48*(1+'Interest rate projection'!AN50/Var_freq)+IF(O$5="Mortgage Starts",0,Deposit_mon),2)</f>
        <v>14343.37</v>
      </c>
      <c r="P48" s="16">
        <f>ROUND(O48*(1+'Interest rate projection'!AO50/Var_freq)+IF(P$5="Mortgage Starts",0,Deposit_mon),2)</f>
        <v>15398.95</v>
      </c>
      <c r="Q48" s="16">
        <f>ROUND(P48*(1+'Interest rate projection'!AP50/Var_freq)+IF(Q$5="Mortgage Starts",0,Deposit_mon),2)</f>
        <v>16458.62</v>
      </c>
      <c r="R48" s="16">
        <f>ROUND(Q48*(1+'Interest rate projection'!AQ50/Var_freq)+IF(R$5="Mortgage Starts",0,Deposit_mon),2)</f>
        <v>17522.39</v>
      </c>
      <c r="S48" s="16">
        <f>ROUND(R48*(1+'Interest rate projection'!AR50/Var_freq)+IF(S$5="Mortgage Starts",0,Deposit_mon),2)</f>
        <v>18590.28</v>
      </c>
      <c r="T48" s="16">
        <f>ROUND(S48*(1+'Interest rate projection'!AS50/Var_freq)+IF(T$5="Mortgage Starts",0,Deposit_mon),2)</f>
        <v>19662.310000000001</v>
      </c>
      <c r="U48" s="16">
        <f>ROUND(T48*(1+'Interest rate projection'!AT50/Var_freq)+IF(U$5="Mortgage Starts",0,Deposit_mon),2)</f>
        <v>20738.5</v>
      </c>
      <c r="V48" s="16">
        <f>ROUND(U48*(1+'Interest rate projection'!AU50/Var_freq)+IF(V$5="Mortgage Starts",0,Deposit_mon),2)</f>
        <v>21818.86</v>
      </c>
      <c r="W48" s="16">
        <f>ROUND(V48*(1+'Interest rate projection'!AV50/Var_freq)+IF(W$5="Mortgage Starts",0,Deposit_mon),2)</f>
        <v>22903.4</v>
      </c>
      <c r="X48" s="16">
        <f>ROUND(W48*(1+'Interest rate projection'!AW50/Var_freq)+IF(X$5="Mortgage Starts",0,Deposit_mon),2)</f>
        <v>23992.14</v>
      </c>
      <c r="Y48" s="16">
        <f>ROUND(X48*(1+'Interest rate projection'!AX50/Var_freq)+IF(Y$5="Mortgage Starts",0,Deposit_mon),2)</f>
        <v>25085.1</v>
      </c>
      <c r="Z48" s="57">
        <f>ROUND(Y48*(1+'Interest rate projection'!AY50/Var_freq)+IF(Z$5="Mortgage Starts",0,Deposit_mon),2)</f>
        <v>25182.3</v>
      </c>
      <c r="AA48" s="12"/>
      <c r="AB48" s="38">
        <f>'Interest rate projection'!Z50</f>
        <v>4.7499999999999994E-2</v>
      </c>
      <c r="AC48" s="38">
        <f>'Interest rate projection'!AZ50</f>
        <v>4.6496219905550085E-2</v>
      </c>
      <c r="AD48" s="59" t="str">
        <f t="shared" si="8"/>
        <v>OK</v>
      </c>
      <c r="AE48" s="39">
        <f t="shared" si="9"/>
        <v>14.766012404082064</v>
      </c>
      <c r="AF48" s="10"/>
      <c r="AG48" s="73">
        <f t="shared" si="5"/>
        <v>25182.3</v>
      </c>
      <c r="AH48" s="73">
        <f t="shared" si="6"/>
        <v>174817.7</v>
      </c>
      <c r="AI48" s="74">
        <f t="shared" si="10"/>
        <v>986.6</v>
      </c>
      <c r="AJ48" s="9"/>
      <c r="AK48" s="73">
        <f>'Fixed rate projection'!$AE$3-('Variable rate projection'!AI48*Product_term*Var_freq)</f>
        <v>7089</v>
      </c>
      <c r="AM48" s="14"/>
      <c r="AN48" s="10"/>
      <c r="AO48" s="11"/>
      <c r="AP48" s="11"/>
      <c r="AQ48" s="11"/>
      <c r="AR48" s="12"/>
      <c r="AS48" s="12"/>
      <c r="AT48" s="13"/>
      <c r="AV48" s="14"/>
      <c r="AW48" s="10"/>
      <c r="AX48" s="11"/>
      <c r="AY48" s="11"/>
      <c r="AZ48" s="11"/>
      <c r="BA48" s="12"/>
      <c r="BB48" s="12"/>
      <c r="BC48" s="13"/>
      <c r="BE48" s="14"/>
      <c r="BF48" s="10"/>
      <c r="BG48" s="11"/>
      <c r="BH48" s="11"/>
      <c r="BI48" s="11"/>
      <c r="BJ48" s="12"/>
      <c r="BK48" s="12"/>
      <c r="BL48" s="13"/>
      <c r="BN48" s="14"/>
      <c r="BO48" s="10"/>
      <c r="BP48" s="11"/>
      <c r="BQ48" s="11"/>
      <c r="BR48" s="11"/>
      <c r="BS48" s="12"/>
      <c r="BT48" s="12"/>
      <c r="BU48" s="13"/>
      <c r="BW48" s="14"/>
      <c r="BX48" s="10"/>
      <c r="BY48" s="11"/>
      <c r="BZ48" s="11"/>
      <c r="CA48" s="11"/>
      <c r="CB48" s="12"/>
      <c r="CC48" s="12"/>
      <c r="CD48" s="13"/>
      <c r="CF48" s="14"/>
      <c r="CG48" s="10"/>
      <c r="CH48" s="11"/>
      <c r="CI48" s="11"/>
      <c r="CJ48" s="11"/>
      <c r="CK48" s="12"/>
      <c r="CL48" s="12"/>
      <c r="CM48" s="13"/>
      <c r="CO48" s="13"/>
    </row>
    <row r="49" spans="1:93" x14ac:dyDescent="0.35">
      <c r="A49" s="5">
        <v>44</v>
      </c>
      <c r="B49" s="57">
        <f t="shared" si="7"/>
        <v>1000</v>
      </c>
      <c r="C49" s="16">
        <f>ROUND(B49*(1+'Interest rate projection'!AB51/Var_freq)+IF(C$5="Mortgage Starts",0,Deposit_mon),2)</f>
        <v>2003.67</v>
      </c>
      <c r="D49" s="16">
        <f>ROUND(C49*(1+'Interest rate projection'!AC51/Var_freq)+IF(D$5="Mortgage Starts",0,Deposit_mon),2)</f>
        <v>3010.63</v>
      </c>
      <c r="E49" s="16">
        <f>ROUND(D49*(1+'Interest rate projection'!AD51/Var_freq)+IF(E$5="Mortgage Starts",0,Deposit_mon),2)</f>
        <v>4021.09</v>
      </c>
      <c r="F49" s="16">
        <f>ROUND(E49*(1+'Interest rate projection'!AE51/Var_freq)+IF(F$5="Mortgage Starts",0,Deposit_mon),2)</f>
        <v>5035.0600000000004</v>
      </c>
      <c r="G49" s="16">
        <f>ROUND(F49*(1+'Interest rate projection'!AF51/Var_freq)+IF(G$5="Mortgage Starts",0,Deposit_mon),2)</f>
        <v>6052.55</v>
      </c>
      <c r="H49" s="16">
        <f>ROUND(G49*(1+'Interest rate projection'!AG51/Var_freq)+IF(H$5="Mortgage Starts",0,Deposit_mon),2)</f>
        <v>7074.79</v>
      </c>
      <c r="I49" s="16">
        <f>ROUND(H49*(1+'Interest rate projection'!AH51/Var_freq)+IF(I$5="Mortgage Starts",0,Deposit_mon),2)</f>
        <v>8100.79</v>
      </c>
      <c r="J49" s="16">
        <f>ROUND(I49*(1+'Interest rate projection'!AI51/Var_freq)+IF(J$5="Mortgage Starts",0,Deposit_mon),2)</f>
        <v>9130.56</v>
      </c>
      <c r="K49" s="16">
        <f>ROUND(J49*(1+'Interest rate projection'!AJ51/Var_freq)+IF(K$5="Mortgage Starts",0,Deposit_mon),2)</f>
        <v>10164.11</v>
      </c>
      <c r="L49" s="16">
        <f>ROUND(K49*(1+'Interest rate projection'!AK51/Var_freq)+IF(L$5="Mortgage Starts",0,Deposit_mon),2)</f>
        <v>11201.46</v>
      </c>
      <c r="M49" s="16">
        <f>ROUND(L49*(1+'Interest rate projection'!AL51/Var_freq)+IF(M$5="Mortgage Starts",0,Deposit_mon),2)</f>
        <v>12242.62</v>
      </c>
      <c r="N49" s="16">
        <f>ROUND(M49*(1+'Interest rate projection'!AM51/Var_freq)+IF(N$5="Mortgage Starts",0,Deposit_mon),2)</f>
        <v>13287.61</v>
      </c>
      <c r="O49" s="16">
        <f>ROUND(N49*(1+'Interest rate projection'!AN51/Var_freq)+IF(O$5="Mortgage Starts",0,Deposit_mon),2)</f>
        <v>14336.44</v>
      </c>
      <c r="P49" s="16">
        <f>ROUND(O49*(1+'Interest rate projection'!AO51/Var_freq)+IF(P$5="Mortgage Starts",0,Deposit_mon),2)</f>
        <v>15391.99</v>
      </c>
      <c r="Q49" s="16">
        <f>ROUND(P49*(1+'Interest rate projection'!AP51/Var_freq)+IF(Q$5="Mortgage Starts",0,Deposit_mon),2)</f>
        <v>16451.63</v>
      </c>
      <c r="R49" s="16">
        <f>ROUND(Q49*(1+'Interest rate projection'!AQ51/Var_freq)+IF(R$5="Mortgage Starts",0,Deposit_mon),2)</f>
        <v>17515.37</v>
      </c>
      <c r="S49" s="16">
        <f>ROUND(R49*(1+'Interest rate projection'!AR51/Var_freq)+IF(S$5="Mortgage Starts",0,Deposit_mon),2)</f>
        <v>18583.240000000002</v>
      </c>
      <c r="T49" s="16">
        <f>ROUND(S49*(1+'Interest rate projection'!AS51/Var_freq)+IF(T$5="Mortgage Starts",0,Deposit_mon),2)</f>
        <v>19655.240000000002</v>
      </c>
      <c r="U49" s="16">
        <f>ROUND(T49*(1+'Interest rate projection'!AT51/Var_freq)+IF(U$5="Mortgage Starts",0,Deposit_mon),2)</f>
        <v>20731.400000000001</v>
      </c>
      <c r="V49" s="16">
        <f>ROUND(U49*(1+'Interest rate projection'!AU51/Var_freq)+IF(V$5="Mortgage Starts",0,Deposit_mon),2)</f>
        <v>21811.73</v>
      </c>
      <c r="W49" s="16">
        <f>ROUND(V49*(1+'Interest rate projection'!AV51/Var_freq)+IF(W$5="Mortgage Starts",0,Deposit_mon),2)</f>
        <v>22896.240000000002</v>
      </c>
      <c r="X49" s="16">
        <f>ROUND(W49*(1+'Interest rate projection'!AW51/Var_freq)+IF(X$5="Mortgage Starts",0,Deposit_mon),2)</f>
        <v>23984.959999999999</v>
      </c>
      <c r="Y49" s="16">
        <f>ROUND(X49*(1+'Interest rate projection'!AX51/Var_freq)+IF(Y$5="Mortgage Starts",0,Deposit_mon),2)</f>
        <v>25077.89</v>
      </c>
      <c r="Z49" s="57">
        <f>ROUND(Y49*(1+'Interest rate projection'!AY51/Var_freq)+IF(Z$5="Mortgage Starts",0,Deposit_mon),2)</f>
        <v>25175.06</v>
      </c>
      <c r="AA49" s="12"/>
      <c r="AB49" s="38">
        <f>'Interest rate projection'!Z51</f>
        <v>4.7500000000000001E-2</v>
      </c>
      <c r="AC49" s="38">
        <f>'Interest rate projection'!AZ51</f>
        <v>4.6496219905550085E-2</v>
      </c>
      <c r="AD49" s="59" t="str">
        <f t="shared" si="8"/>
        <v>OK</v>
      </c>
      <c r="AE49" s="39">
        <f t="shared" si="9"/>
        <v>14.766012404082064</v>
      </c>
      <c r="AF49" s="10"/>
      <c r="AG49" s="73">
        <f t="shared" si="5"/>
        <v>25175.06</v>
      </c>
      <c r="AH49" s="73">
        <f t="shared" si="6"/>
        <v>174824.94</v>
      </c>
      <c r="AI49" s="74">
        <f t="shared" si="10"/>
        <v>986.64</v>
      </c>
      <c r="AJ49" s="9"/>
      <c r="AK49" s="73">
        <f>'Fixed rate projection'!$AE$3-('Variable rate projection'!AI49*Product_term*Var_freq)</f>
        <v>7077</v>
      </c>
      <c r="AM49" s="14"/>
      <c r="AN49" s="10"/>
      <c r="AO49" s="11"/>
      <c r="AP49" s="11"/>
      <c r="AQ49" s="11"/>
      <c r="AR49" s="12"/>
      <c r="AS49" s="12"/>
      <c r="AT49" s="13"/>
      <c r="AV49" s="14"/>
      <c r="AW49" s="10"/>
      <c r="AX49" s="11"/>
      <c r="AY49" s="11"/>
      <c r="AZ49" s="11"/>
      <c r="BA49" s="12"/>
      <c r="BB49" s="12"/>
      <c r="BC49" s="13"/>
      <c r="BE49" s="14"/>
      <c r="BF49" s="10"/>
      <c r="BG49" s="11"/>
      <c r="BH49" s="11"/>
      <c r="BI49" s="11"/>
      <c r="BJ49" s="12"/>
      <c r="BK49" s="12"/>
      <c r="BL49" s="13"/>
      <c r="BN49" s="14"/>
      <c r="BO49" s="10"/>
      <c r="BP49" s="11"/>
      <c r="BQ49" s="11"/>
      <c r="BR49" s="11"/>
      <c r="BS49" s="12"/>
      <c r="BT49" s="12"/>
      <c r="BU49" s="13"/>
      <c r="BW49" s="14"/>
      <c r="BX49" s="10"/>
      <c r="BY49" s="11"/>
      <c r="BZ49" s="11"/>
      <c r="CA49" s="11"/>
      <c r="CB49" s="12"/>
      <c r="CC49" s="12"/>
      <c r="CD49" s="13"/>
      <c r="CF49" s="14"/>
      <c r="CG49" s="10"/>
      <c r="CH49" s="11"/>
      <c r="CI49" s="11"/>
      <c r="CJ49" s="11"/>
      <c r="CK49" s="12"/>
      <c r="CL49" s="12"/>
      <c r="CM49" s="13"/>
      <c r="CO49" s="13"/>
    </row>
    <row r="50" spans="1:93" x14ac:dyDescent="0.35">
      <c r="A50" s="27">
        <v>45</v>
      </c>
      <c r="B50" s="57">
        <f t="shared" si="7"/>
        <v>1000</v>
      </c>
      <c r="C50" s="16">
        <f>ROUND(B50*(1+'Interest rate projection'!AB52/Var_freq)+IF(C$5="Mortgage Starts",0,Deposit_mon),2)</f>
        <v>2003.67</v>
      </c>
      <c r="D50" s="16">
        <f>ROUND(C50*(1+'Interest rate projection'!AC52/Var_freq)+IF(D$5="Mortgage Starts",0,Deposit_mon),2)</f>
        <v>3011.03</v>
      </c>
      <c r="E50" s="16">
        <f>ROUND(D50*(1+'Interest rate projection'!AD52/Var_freq)+IF(E$5="Mortgage Starts",0,Deposit_mon),2)</f>
        <v>4022.09</v>
      </c>
      <c r="F50" s="16">
        <f>ROUND(E50*(1+'Interest rate projection'!AE52/Var_freq)+IF(F$5="Mortgage Starts",0,Deposit_mon),2)</f>
        <v>5036.87</v>
      </c>
      <c r="G50" s="16">
        <f>ROUND(F50*(1+'Interest rate projection'!AF52/Var_freq)+IF(G$5="Mortgage Starts",0,Deposit_mon),2)</f>
        <v>6054.37</v>
      </c>
      <c r="H50" s="16">
        <f>ROUND(G50*(1+'Interest rate projection'!AG52/Var_freq)+IF(H$5="Mortgage Starts",0,Deposit_mon),2)</f>
        <v>7075.41</v>
      </c>
      <c r="I50" s="16">
        <f>ROUND(H50*(1+'Interest rate projection'!AH52/Var_freq)+IF(I$5="Mortgage Starts",0,Deposit_mon),2)</f>
        <v>8099.99</v>
      </c>
      <c r="J50" s="16">
        <f>ROUND(I50*(1+'Interest rate projection'!AI52/Var_freq)+IF(J$5="Mortgage Starts",0,Deposit_mon),2)</f>
        <v>9128.1299999999992</v>
      </c>
      <c r="K50" s="16">
        <f>ROUND(J50*(1+'Interest rate projection'!AJ52/Var_freq)+IF(K$5="Mortgage Starts",0,Deposit_mon),2)</f>
        <v>10159.85</v>
      </c>
      <c r="L50" s="16">
        <f>ROUND(K50*(1+'Interest rate projection'!AK52/Var_freq)+IF(L$5="Mortgage Starts",0,Deposit_mon),2)</f>
        <v>11195.15</v>
      </c>
      <c r="M50" s="16">
        <f>ROUND(L50*(1+'Interest rate projection'!AL52/Var_freq)+IF(M$5="Mortgage Starts",0,Deposit_mon),2)</f>
        <v>12234.05</v>
      </c>
      <c r="N50" s="16">
        <f>ROUND(M50*(1+'Interest rate projection'!AM52/Var_freq)+IF(N$5="Mortgage Starts",0,Deposit_mon),2)</f>
        <v>13276.56</v>
      </c>
      <c r="O50" s="16">
        <f>ROUND(N50*(1+'Interest rate projection'!AN52/Var_freq)+IF(O$5="Mortgage Starts",0,Deposit_mon),2)</f>
        <v>14320.02</v>
      </c>
      <c r="P50" s="16">
        <f>ROUND(O50*(1+'Interest rate projection'!AO52/Var_freq)+IF(P$5="Mortgage Starts",0,Deposit_mon),2)</f>
        <v>15366.9</v>
      </c>
      <c r="Q50" s="16">
        <f>ROUND(P50*(1+'Interest rate projection'!AP52/Var_freq)+IF(Q$5="Mortgage Starts",0,Deposit_mon),2)</f>
        <v>16423.37</v>
      </c>
      <c r="R50" s="16">
        <f>ROUND(Q50*(1+'Interest rate projection'!AQ52/Var_freq)+IF(R$5="Mortgage Starts",0,Deposit_mon),2)</f>
        <v>17483.72</v>
      </c>
      <c r="S50" s="16">
        <f>ROUND(R50*(1+'Interest rate projection'!AR52/Var_freq)+IF(S$5="Mortgage Starts",0,Deposit_mon),2)</f>
        <v>18544.47</v>
      </c>
      <c r="T50" s="16">
        <f>ROUND(S50*(1+'Interest rate projection'!AS52/Var_freq)+IF(T$5="Mortgage Starts",0,Deposit_mon),2)</f>
        <v>19608.900000000001</v>
      </c>
      <c r="U50" s="16">
        <f>ROUND(T50*(1+'Interest rate projection'!AT52/Var_freq)+IF(U$5="Mortgage Starts",0,Deposit_mon),2)</f>
        <v>20677.03</v>
      </c>
      <c r="V50" s="16">
        <f>ROUND(U50*(1+'Interest rate projection'!AU52/Var_freq)+IF(V$5="Mortgage Starts",0,Deposit_mon),2)</f>
        <v>21748.87</v>
      </c>
      <c r="W50" s="16">
        <f>ROUND(V50*(1+'Interest rate projection'!AV52/Var_freq)+IF(W$5="Mortgage Starts",0,Deposit_mon),2)</f>
        <v>22824.44</v>
      </c>
      <c r="X50" s="16">
        <f>ROUND(W50*(1+'Interest rate projection'!AW52/Var_freq)+IF(X$5="Mortgage Starts",0,Deposit_mon),2)</f>
        <v>23903.74</v>
      </c>
      <c r="Y50" s="16">
        <f>ROUND(X50*(1+'Interest rate projection'!AX52/Var_freq)+IF(Y$5="Mortgage Starts",0,Deposit_mon),2)</f>
        <v>24986.79</v>
      </c>
      <c r="Z50" s="57">
        <f>ROUND(Y50*(1+'Interest rate projection'!AY52/Var_freq)+IF(Z$5="Mortgage Starts",0,Deposit_mon),2)</f>
        <v>25073.61</v>
      </c>
      <c r="AA50" s="12"/>
      <c r="AB50" s="38">
        <f>'Interest rate projection'!Z52</f>
        <v>4.2499999999999989E-2</v>
      </c>
      <c r="AC50" s="38">
        <f>'Interest rate projection'!AZ52</f>
        <v>4.1693940041970023E-2</v>
      </c>
      <c r="AD50" s="59" t="str">
        <f t="shared" si="8"/>
        <v>OK</v>
      </c>
      <c r="AE50" s="39">
        <f t="shared" si="9"/>
        <v>15.511529757864551</v>
      </c>
      <c r="AF50" s="10"/>
      <c r="AG50" s="73">
        <f t="shared" si="5"/>
        <v>25073.61</v>
      </c>
      <c r="AH50" s="73">
        <f t="shared" si="6"/>
        <v>174926.39</v>
      </c>
      <c r="AI50" s="74">
        <f t="shared" si="10"/>
        <v>939.77</v>
      </c>
      <c r="AJ50" s="9"/>
      <c r="AK50" s="73">
        <f>'Fixed rate projection'!$AE$3-('Variable rate projection'!AI50*Product_term*Var_freq)</f>
        <v>21138</v>
      </c>
      <c r="AM50" s="14"/>
      <c r="AN50" s="10"/>
      <c r="AO50" s="11"/>
      <c r="AP50" s="11"/>
      <c r="AQ50" s="11"/>
      <c r="AR50" s="12"/>
      <c r="AS50" s="12"/>
      <c r="AT50" s="13"/>
      <c r="AV50" s="14"/>
      <c r="AW50" s="10"/>
      <c r="AX50" s="11"/>
      <c r="AY50" s="11"/>
      <c r="AZ50" s="11"/>
      <c r="BA50" s="12"/>
      <c r="BB50" s="12"/>
      <c r="BC50" s="13"/>
      <c r="BE50" s="14"/>
      <c r="BF50" s="10"/>
      <c r="BG50" s="11"/>
      <c r="BH50" s="11"/>
      <c r="BI50" s="11"/>
      <c r="BJ50" s="12"/>
      <c r="BK50" s="12"/>
      <c r="BL50" s="13"/>
      <c r="BN50" s="14"/>
      <c r="BO50" s="10"/>
      <c r="BP50" s="11"/>
      <c r="BQ50" s="11"/>
      <c r="BR50" s="11"/>
      <c r="BS50" s="12"/>
      <c r="BT50" s="12"/>
      <c r="BU50" s="13"/>
      <c r="BW50" s="14"/>
      <c r="BX50" s="10"/>
      <c r="BY50" s="11"/>
      <c r="BZ50" s="11"/>
      <c r="CA50" s="11"/>
      <c r="CB50" s="12"/>
      <c r="CC50" s="12"/>
      <c r="CD50" s="13"/>
      <c r="CF50" s="14"/>
      <c r="CG50" s="10"/>
      <c r="CH50" s="11"/>
      <c r="CI50" s="11"/>
      <c r="CJ50" s="11"/>
      <c r="CK50" s="12"/>
      <c r="CL50" s="12"/>
      <c r="CM50" s="13"/>
      <c r="CO50" s="13"/>
    </row>
    <row r="51" spans="1:93" x14ac:dyDescent="0.35">
      <c r="A51" s="5">
        <v>46</v>
      </c>
      <c r="B51" s="57">
        <f t="shared" si="7"/>
        <v>1000</v>
      </c>
      <c r="C51" s="16">
        <f>ROUND(B51*(1+'Interest rate projection'!AB53/Var_freq)+IF(C$5="Mortgage Starts",0,Deposit_mon),2)</f>
        <v>2003.67</v>
      </c>
      <c r="D51" s="16">
        <f>ROUND(C51*(1+'Interest rate projection'!AC53/Var_freq)+IF(D$5="Mortgage Starts",0,Deposit_mon),2)</f>
        <v>3011.03</v>
      </c>
      <c r="E51" s="16">
        <f>ROUND(D51*(1+'Interest rate projection'!AD53/Var_freq)+IF(E$5="Mortgage Starts",0,Deposit_mon),2)</f>
        <v>4022.09</v>
      </c>
      <c r="F51" s="16">
        <f>ROUND(E51*(1+'Interest rate projection'!AE53/Var_freq)+IF(F$5="Mortgage Starts",0,Deposit_mon),2)</f>
        <v>5036.87</v>
      </c>
      <c r="G51" s="16">
        <f>ROUND(F51*(1+'Interest rate projection'!AF53/Var_freq)+IF(G$5="Mortgage Starts",0,Deposit_mon),2)</f>
        <v>6055.38</v>
      </c>
      <c r="H51" s="16">
        <f>ROUND(G51*(1+'Interest rate projection'!AG53/Var_freq)+IF(H$5="Mortgage Starts",0,Deposit_mon),2)</f>
        <v>7077.63</v>
      </c>
      <c r="I51" s="16">
        <f>ROUND(H51*(1+'Interest rate projection'!AH53/Var_freq)+IF(I$5="Mortgage Starts",0,Deposit_mon),2)</f>
        <v>8103.64</v>
      </c>
      <c r="J51" s="16">
        <f>ROUND(I51*(1+'Interest rate projection'!AI53/Var_freq)+IF(J$5="Mortgage Starts",0,Deposit_mon),2)</f>
        <v>9133.42</v>
      </c>
      <c r="K51" s="16">
        <f>ROUND(J51*(1+'Interest rate projection'!AJ53/Var_freq)+IF(K$5="Mortgage Starts",0,Deposit_mon),2)</f>
        <v>10166.98</v>
      </c>
      <c r="L51" s="16">
        <f>ROUND(K51*(1+'Interest rate projection'!AK53/Var_freq)+IF(L$5="Mortgage Starts",0,Deposit_mon),2)</f>
        <v>11206.37</v>
      </c>
      <c r="M51" s="16">
        <f>ROUND(L51*(1+'Interest rate projection'!AL53/Var_freq)+IF(M$5="Mortgage Starts",0,Deposit_mon),2)</f>
        <v>12249.79</v>
      </c>
      <c r="N51" s="16">
        <f>ROUND(M51*(1+'Interest rate projection'!AM53/Var_freq)+IF(N$5="Mortgage Starts",0,Deposit_mon),2)</f>
        <v>13297.25</v>
      </c>
      <c r="O51" s="16">
        <f>ROUND(N51*(1+'Interest rate projection'!AN53/Var_freq)+IF(O$5="Mortgage Starts",0,Deposit_mon),2)</f>
        <v>14348.77</v>
      </c>
      <c r="P51" s="16">
        <f>ROUND(O51*(1+'Interest rate projection'!AO53/Var_freq)+IF(P$5="Mortgage Starts",0,Deposit_mon),2)</f>
        <v>15398.62</v>
      </c>
      <c r="Q51" s="16">
        <f>ROUND(P51*(1+'Interest rate projection'!AP53/Var_freq)+IF(Q$5="Mortgage Starts",0,Deposit_mon),2)</f>
        <v>16452.12</v>
      </c>
      <c r="R51" s="16">
        <f>ROUND(Q51*(1+'Interest rate projection'!AQ53/Var_freq)+IF(R$5="Mortgage Starts",0,Deposit_mon),2)</f>
        <v>17509.28</v>
      </c>
      <c r="S51" s="16">
        <f>ROUND(R51*(1+'Interest rate projection'!AR53/Var_freq)+IF(S$5="Mortgage Starts",0,Deposit_mon),2)</f>
        <v>18570.12</v>
      </c>
      <c r="T51" s="16">
        <f>ROUND(S51*(1+'Interest rate projection'!AS53/Var_freq)+IF(T$5="Mortgage Starts",0,Deposit_mon),2)</f>
        <v>19634.64</v>
      </c>
      <c r="U51" s="16">
        <f>ROUND(T51*(1+'Interest rate projection'!AT53/Var_freq)+IF(U$5="Mortgage Starts",0,Deposit_mon),2)</f>
        <v>20702.86</v>
      </c>
      <c r="V51" s="16">
        <f>ROUND(U51*(1+'Interest rate projection'!AU53/Var_freq)+IF(V$5="Mortgage Starts",0,Deposit_mon),2)</f>
        <v>21774.79</v>
      </c>
      <c r="W51" s="16">
        <f>ROUND(V51*(1+'Interest rate projection'!AV53/Var_freq)+IF(W$5="Mortgage Starts",0,Deposit_mon),2)</f>
        <v>22850.45</v>
      </c>
      <c r="X51" s="16">
        <f>ROUND(W51*(1+'Interest rate projection'!AW53/Var_freq)+IF(X$5="Mortgage Starts",0,Deposit_mon),2)</f>
        <v>23929.84</v>
      </c>
      <c r="Y51" s="16">
        <f>ROUND(X51*(1+'Interest rate projection'!AX53/Var_freq)+IF(Y$5="Mortgage Starts",0,Deposit_mon),2)</f>
        <v>25012.98</v>
      </c>
      <c r="Z51" s="57">
        <f>ROUND(Y51*(1+'Interest rate projection'!AY53/Var_freq)+IF(Z$5="Mortgage Starts",0,Deposit_mon),2)</f>
        <v>25099.89</v>
      </c>
      <c r="AA51" s="12"/>
      <c r="AB51" s="38">
        <f>'Interest rate projection'!Z53</f>
        <v>4.2500000000000003E-2</v>
      </c>
      <c r="AC51" s="38">
        <f>'Interest rate projection'!AZ53</f>
        <v>4.1693940041970023E-2</v>
      </c>
      <c r="AD51" s="59" t="str">
        <f t="shared" si="8"/>
        <v>OK</v>
      </c>
      <c r="AE51" s="39">
        <f t="shared" si="9"/>
        <v>15.511529757864551</v>
      </c>
      <c r="AF51" s="10"/>
      <c r="AG51" s="73">
        <f t="shared" si="5"/>
        <v>25099.89</v>
      </c>
      <c r="AH51" s="73">
        <f t="shared" si="6"/>
        <v>174900.11</v>
      </c>
      <c r="AI51" s="74">
        <f t="shared" si="10"/>
        <v>939.62</v>
      </c>
      <c r="AJ51" s="9"/>
      <c r="AK51" s="73">
        <f>'Fixed rate projection'!$AE$3-('Variable rate projection'!AI51*Product_term*Var_freq)</f>
        <v>21183</v>
      </c>
      <c r="AM51" s="14"/>
      <c r="AN51" s="10"/>
      <c r="AO51" s="11"/>
      <c r="AP51" s="11"/>
      <c r="AQ51" s="11"/>
      <c r="AR51" s="12"/>
      <c r="AS51" s="12"/>
      <c r="AT51" s="13"/>
      <c r="AV51" s="14"/>
      <c r="AW51" s="10"/>
      <c r="AX51" s="11"/>
      <c r="AY51" s="11"/>
      <c r="AZ51" s="11"/>
      <c r="BA51" s="12"/>
      <c r="BB51" s="12"/>
      <c r="BC51" s="13"/>
      <c r="BE51" s="14"/>
      <c r="BF51" s="10"/>
      <c r="BG51" s="11"/>
      <c r="BH51" s="11"/>
      <c r="BI51" s="11"/>
      <c r="BJ51" s="12"/>
      <c r="BK51" s="12"/>
      <c r="BL51" s="13"/>
      <c r="BN51" s="14"/>
      <c r="BO51" s="10"/>
      <c r="BP51" s="11"/>
      <c r="BQ51" s="11"/>
      <c r="BR51" s="11"/>
      <c r="BS51" s="12"/>
      <c r="BT51" s="12"/>
      <c r="BU51" s="13"/>
      <c r="BW51" s="14"/>
      <c r="BX51" s="10"/>
      <c r="BY51" s="11"/>
      <c r="BZ51" s="11"/>
      <c r="CA51" s="11"/>
      <c r="CB51" s="12"/>
      <c r="CC51" s="12"/>
      <c r="CD51" s="13"/>
      <c r="CF51" s="14"/>
      <c r="CG51" s="10"/>
      <c r="CH51" s="11"/>
      <c r="CI51" s="11"/>
      <c r="CJ51" s="11"/>
      <c r="CK51" s="12"/>
      <c r="CL51" s="12"/>
      <c r="CM51" s="13"/>
      <c r="CO51" s="13"/>
    </row>
    <row r="52" spans="1:93" x14ac:dyDescent="0.35">
      <c r="A52" s="27">
        <v>47</v>
      </c>
      <c r="B52" s="57">
        <f t="shared" si="7"/>
        <v>1000</v>
      </c>
      <c r="C52" s="16">
        <f>ROUND(B52*(1+'Interest rate projection'!AB54/Var_freq)+IF(C$5="Mortgage Starts",0,Deposit_mon),2)</f>
        <v>2003.67</v>
      </c>
      <c r="D52" s="16">
        <f>ROUND(C52*(1+'Interest rate projection'!AC54/Var_freq)+IF(D$5="Mortgage Starts",0,Deposit_mon),2)</f>
        <v>3011.03</v>
      </c>
      <c r="E52" s="16">
        <f>ROUND(D52*(1+'Interest rate projection'!AD54/Var_freq)+IF(E$5="Mortgage Starts",0,Deposit_mon),2)</f>
        <v>4022.09</v>
      </c>
      <c r="F52" s="16">
        <f>ROUND(E52*(1+'Interest rate projection'!AE54/Var_freq)+IF(F$5="Mortgage Starts",0,Deposit_mon),2)</f>
        <v>5036.87</v>
      </c>
      <c r="G52" s="16">
        <f>ROUND(F52*(1+'Interest rate projection'!AF54/Var_freq)+IF(G$5="Mortgage Starts",0,Deposit_mon),2)</f>
        <v>6056.39</v>
      </c>
      <c r="H52" s="16">
        <f>ROUND(G52*(1+'Interest rate projection'!AG54/Var_freq)+IF(H$5="Mortgage Starts",0,Deposit_mon),2)</f>
        <v>7079.86</v>
      </c>
      <c r="I52" s="16">
        <f>ROUND(H52*(1+'Interest rate projection'!AH54/Var_freq)+IF(I$5="Mortgage Starts",0,Deposit_mon),2)</f>
        <v>8107.29</v>
      </c>
      <c r="J52" s="16">
        <f>ROUND(I52*(1+'Interest rate projection'!AI54/Var_freq)+IF(J$5="Mortgage Starts",0,Deposit_mon),2)</f>
        <v>9138.7000000000007</v>
      </c>
      <c r="K52" s="16">
        <f>ROUND(J52*(1+'Interest rate projection'!AJ54/Var_freq)+IF(K$5="Mortgage Starts",0,Deposit_mon),2)</f>
        <v>10174.11</v>
      </c>
      <c r="L52" s="16">
        <f>ROUND(K52*(1+'Interest rate projection'!AK54/Var_freq)+IF(L$5="Mortgage Starts",0,Deposit_mon),2)</f>
        <v>11213.53</v>
      </c>
      <c r="M52" s="16">
        <f>ROUND(L52*(1+'Interest rate projection'!AL54/Var_freq)+IF(M$5="Mortgage Starts",0,Deposit_mon),2)</f>
        <v>12256.98</v>
      </c>
      <c r="N52" s="16">
        <f>ROUND(M52*(1+'Interest rate projection'!AM54/Var_freq)+IF(N$5="Mortgage Starts",0,Deposit_mon),2)</f>
        <v>13304.47</v>
      </c>
      <c r="O52" s="16">
        <f>ROUND(N52*(1+'Interest rate projection'!AN54/Var_freq)+IF(O$5="Mortgage Starts",0,Deposit_mon),2)</f>
        <v>14356.02</v>
      </c>
      <c r="P52" s="16">
        <f>ROUND(O52*(1+'Interest rate projection'!AO54/Var_freq)+IF(P$5="Mortgage Starts",0,Deposit_mon),2)</f>
        <v>15405.9</v>
      </c>
      <c r="Q52" s="16">
        <f>ROUND(P52*(1+'Interest rate projection'!AP54/Var_freq)+IF(Q$5="Mortgage Starts",0,Deposit_mon),2)</f>
        <v>16459.43</v>
      </c>
      <c r="R52" s="16">
        <f>ROUND(Q52*(1+'Interest rate projection'!AQ54/Var_freq)+IF(R$5="Mortgage Starts",0,Deposit_mon),2)</f>
        <v>17516.62</v>
      </c>
      <c r="S52" s="16">
        <f>ROUND(R52*(1+'Interest rate projection'!AR54/Var_freq)+IF(S$5="Mortgage Starts",0,Deposit_mon),2)</f>
        <v>18577.48</v>
      </c>
      <c r="T52" s="16">
        <f>ROUND(S52*(1+'Interest rate projection'!AS54/Var_freq)+IF(T$5="Mortgage Starts",0,Deposit_mon),2)</f>
        <v>19642.03</v>
      </c>
      <c r="U52" s="16">
        <f>ROUND(T52*(1+'Interest rate projection'!AT54/Var_freq)+IF(U$5="Mortgage Starts",0,Deposit_mon),2)</f>
        <v>20710.28</v>
      </c>
      <c r="V52" s="16">
        <f>ROUND(U52*(1+'Interest rate projection'!AU54/Var_freq)+IF(V$5="Mortgage Starts",0,Deposit_mon),2)</f>
        <v>21782.240000000002</v>
      </c>
      <c r="W52" s="16">
        <f>ROUND(V52*(1+'Interest rate projection'!AV54/Var_freq)+IF(W$5="Mortgage Starts",0,Deposit_mon),2)</f>
        <v>22857.919999999998</v>
      </c>
      <c r="X52" s="16">
        <f>ROUND(W52*(1+'Interest rate projection'!AW54/Var_freq)+IF(X$5="Mortgage Starts",0,Deposit_mon),2)</f>
        <v>23937.34</v>
      </c>
      <c r="Y52" s="16">
        <f>ROUND(X52*(1+'Interest rate projection'!AX54/Var_freq)+IF(Y$5="Mortgage Starts",0,Deposit_mon),2)</f>
        <v>25020.51</v>
      </c>
      <c r="Z52" s="57">
        <f>ROUND(Y52*(1+'Interest rate projection'!AY54/Var_freq)+IF(Z$5="Mortgage Starts",0,Deposit_mon),2)</f>
        <v>25107.439999999999</v>
      </c>
      <c r="AA52" s="12"/>
      <c r="AB52" s="38">
        <f>'Interest rate projection'!Z54</f>
        <v>4.2500000000000003E-2</v>
      </c>
      <c r="AC52" s="38">
        <f>'Interest rate projection'!AZ54</f>
        <v>4.1693940041970023E-2</v>
      </c>
      <c r="AD52" s="59" t="str">
        <f t="shared" si="8"/>
        <v>OK</v>
      </c>
      <c r="AE52" s="39">
        <f t="shared" si="9"/>
        <v>15.511529757864551</v>
      </c>
      <c r="AF52" s="10"/>
      <c r="AG52" s="73">
        <f t="shared" si="5"/>
        <v>25107.439999999999</v>
      </c>
      <c r="AH52" s="73">
        <f t="shared" si="6"/>
        <v>174892.56</v>
      </c>
      <c r="AI52" s="74">
        <f t="shared" si="10"/>
        <v>939.58</v>
      </c>
      <c r="AJ52" s="9"/>
      <c r="AK52" s="73">
        <f>'Fixed rate projection'!$AE$3-('Variable rate projection'!AI52*Product_term*Var_freq)</f>
        <v>21195</v>
      </c>
      <c r="AM52" s="14"/>
      <c r="AN52" s="10"/>
      <c r="AO52" s="11"/>
      <c r="AP52" s="11"/>
      <c r="AQ52" s="11"/>
      <c r="AR52" s="12"/>
      <c r="AS52" s="12"/>
      <c r="AT52" s="13"/>
      <c r="AV52" s="14"/>
      <c r="AW52" s="10"/>
      <c r="AX52" s="11"/>
      <c r="AY52" s="11"/>
      <c r="AZ52" s="11"/>
      <c r="BA52" s="12"/>
      <c r="BB52" s="12"/>
      <c r="BC52" s="13"/>
      <c r="BE52" s="14"/>
      <c r="BF52" s="10"/>
      <c r="BG52" s="11"/>
      <c r="BH52" s="11"/>
      <c r="BI52" s="11"/>
      <c r="BJ52" s="12"/>
      <c r="BK52" s="12"/>
      <c r="BL52" s="13"/>
      <c r="BN52" s="14"/>
      <c r="BO52" s="10"/>
      <c r="BP52" s="11"/>
      <c r="BQ52" s="11"/>
      <c r="BR52" s="11"/>
      <c r="BS52" s="12"/>
      <c r="BT52" s="12"/>
      <c r="BU52" s="13"/>
      <c r="BW52" s="14"/>
      <c r="BX52" s="10"/>
      <c r="BY52" s="11"/>
      <c r="BZ52" s="11"/>
      <c r="CA52" s="11"/>
      <c r="CB52" s="12"/>
      <c r="CC52" s="12"/>
      <c r="CD52" s="13"/>
      <c r="CF52" s="14"/>
      <c r="CG52" s="10"/>
      <c r="CH52" s="11"/>
      <c r="CI52" s="11"/>
      <c r="CJ52" s="11"/>
      <c r="CK52" s="12"/>
      <c r="CL52" s="12"/>
      <c r="CM52" s="13"/>
      <c r="CO52" s="13"/>
    </row>
    <row r="53" spans="1:93" x14ac:dyDescent="0.35">
      <c r="A53" s="5">
        <v>48</v>
      </c>
      <c r="B53" s="57">
        <f t="shared" si="7"/>
        <v>1000</v>
      </c>
      <c r="C53" s="16">
        <f>ROUND(B53*(1+'Interest rate projection'!AB55/Var_freq)+IF(C$5="Mortgage Starts",0,Deposit_mon),2)</f>
        <v>2003.67</v>
      </c>
      <c r="D53" s="16">
        <f>ROUND(C53*(1+'Interest rate projection'!AC55/Var_freq)+IF(D$5="Mortgage Starts",0,Deposit_mon),2)</f>
        <v>3011.03</v>
      </c>
      <c r="E53" s="16">
        <f>ROUND(D53*(1+'Interest rate projection'!AD55/Var_freq)+IF(E$5="Mortgage Starts",0,Deposit_mon),2)</f>
        <v>4022.09</v>
      </c>
      <c r="F53" s="16">
        <f>ROUND(E53*(1+'Interest rate projection'!AE55/Var_freq)+IF(F$5="Mortgage Starts",0,Deposit_mon),2)</f>
        <v>5036.87</v>
      </c>
      <c r="G53" s="16">
        <f>ROUND(F53*(1+'Interest rate projection'!AF55/Var_freq)+IF(G$5="Mortgage Starts",0,Deposit_mon),2)</f>
        <v>6055.38</v>
      </c>
      <c r="H53" s="16">
        <f>ROUND(G53*(1+'Interest rate projection'!AG55/Var_freq)+IF(H$5="Mortgage Starts",0,Deposit_mon),2)</f>
        <v>7077.63</v>
      </c>
      <c r="I53" s="16">
        <f>ROUND(H53*(1+'Interest rate projection'!AH55/Var_freq)+IF(I$5="Mortgage Starts",0,Deposit_mon),2)</f>
        <v>8105.05</v>
      </c>
      <c r="J53" s="16">
        <f>ROUND(I53*(1+'Interest rate projection'!AI55/Var_freq)+IF(J$5="Mortgage Starts",0,Deposit_mon),2)</f>
        <v>9134.83</v>
      </c>
      <c r="K53" s="16">
        <f>ROUND(J53*(1+'Interest rate projection'!AJ55/Var_freq)+IF(K$5="Mortgage Starts",0,Deposit_mon),2)</f>
        <v>10168.4</v>
      </c>
      <c r="L53" s="16">
        <f>ROUND(K53*(1+'Interest rate projection'!AK55/Var_freq)+IF(L$5="Mortgage Starts",0,Deposit_mon),2)</f>
        <v>11205.77</v>
      </c>
      <c r="M53" s="16">
        <f>ROUND(L53*(1+'Interest rate projection'!AL55/Var_freq)+IF(M$5="Mortgage Starts",0,Deposit_mon),2)</f>
        <v>12246.95</v>
      </c>
      <c r="N53" s="16">
        <f>ROUND(M53*(1+'Interest rate projection'!AM55/Var_freq)+IF(N$5="Mortgage Starts",0,Deposit_mon),2)</f>
        <v>13291.96</v>
      </c>
      <c r="O53" s="16">
        <f>ROUND(N53*(1+'Interest rate projection'!AN55/Var_freq)+IF(O$5="Mortgage Starts",0,Deposit_mon),2)</f>
        <v>14340.81</v>
      </c>
      <c r="P53" s="16">
        <f>ROUND(O53*(1+'Interest rate projection'!AO55/Var_freq)+IF(P$5="Mortgage Starts",0,Deposit_mon),2)</f>
        <v>15393.51</v>
      </c>
      <c r="Q53" s="16">
        <f>ROUND(P53*(1+'Interest rate projection'!AP55/Var_freq)+IF(Q$5="Mortgage Starts",0,Deposit_mon),2)</f>
        <v>16450.080000000002</v>
      </c>
      <c r="R53" s="16">
        <f>ROUND(Q53*(1+'Interest rate projection'!AQ55/Var_freq)+IF(R$5="Mortgage Starts",0,Deposit_mon),2)</f>
        <v>17510.53</v>
      </c>
      <c r="S53" s="16">
        <f>ROUND(R53*(1+'Interest rate projection'!AR55/Var_freq)+IF(S$5="Mortgage Starts",0,Deposit_mon),2)</f>
        <v>18574.88</v>
      </c>
      <c r="T53" s="16">
        <f>ROUND(S53*(1+'Interest rate projection'!AS55/Var_freq)+IF(T$5="Mortgage Starts",0,Deposit_mon),2)</f>
        <v>19643.14</v>
      </c>
      <c r="U53" s="16">
        <f>ROUND(T53*(1+'Interest rate projection'!AT55/Var_freq)+IF(U$5="Mortgage Starts",0,Deposit_mon),2)</f>
        <v>20715.32</v>
      </c>
      <c r="V53" s="16">
        <f>ROUND(U53*(1+'Interest rate projection'!AU55/Var_freq)+IF(V$5="Mortgage Starts",0,Deposit_mon),2)</f>
        <v>21791.439999999999</v>
      </c>
      <c r="W53" s="16">
        <f>ROUND(V53*(1+'Interest rate projection'!AV55/Var_freq)+IF(W$5="Mortgage Starts",0,Deposit_mon),2)</f>
        <v>22871.52</v>
      </c>
      <c r="X53" s="16">
        <f>ROUND(W53*(1+'Interest rate projection'!AW55/Var_freq)+IF(X$5="Mortgage Starts",0,Deposit_mon),2)</f>
        <v>23955.57</v>
      </c>
      <c r="Y53" s="16">
        <f>ROUND(X53*(1+'Interest rate projection'!AX55/Var_freq)+IF(Y$5="Mortgage Starts",0,Deposit_mon),2)</f>
        <v>25043.599999999999</v>
      </c>
      <c r="Z53" s="57">
        <f>ROUND(Y53*(1+'Interest rate projection'!AY55/Var_freq)+IF(Z$5="Mortgage Starts",0,Deposit_mon),2)</f>
        <v>25135.63</v>
      </c>
      <c r="AA53" s="12"/>
      <c r="AB53" s="38">
        <f>'Interest rate projection'!Z55</f>
        <v>4.4999999999999998E-2</v>
      </c>
      <c r="AC53" s="38">
        <f>'Interest rate projection'!AZ55</f>
        <v>4.4097712805242217E-2</v>
      </c>
      <c r="AD53" s="59" t="str">
        <f t="shared" si="8"/>
        <v>OK</v>
      </c>
      <c r="AE53" s="39">
        <f t="shared" si="9"/>
        <v>15.131610255367837</v>
      </c>
      <c r="AF53" s="10"/>
      <c r="AG53" s="73">
        <f t="shared" si="5"/>
        <v>25135.63</v>
      </c>
      <c r="AH53" s="73">
        <f t="shared" si="6"/>
        <v>174864.37</v>
      </c>
      <c r="AI53" s="74">
        <f t="shared" si="10"/>
        <v>963.02</v>
      </c>
      <c r="AJ53" s="9"/>
      <c r="AK53" s="73">
        <f>'Fixed rate projection'!$AE$3-('Variable rate projection'!AI53*Product_term*Var_freq)</f>
        <v>14163</v>
      </c>
      <c r="AM53" s="14"/>
      <c r="AN53" s="10"/>
      <c r="AO53" s="11"/>
      <c r="AP53" s="11"/>
      <c r="AQ53" s="11"/>
      <c r="AR53" s="12"/>
      <c r="AS53" s="12"/>
      <c r="AT53" s="13"/>
      <c r="AV53" s="14"/>
      <c r="AW53" s="10"/>
      <c r="AX53" s="11"/>
      <c r="AY53" s="11"/>
      <c r="AZ53" s="11"/>
      <c r="BA53" s="12"/>
      <c r="BB53" s="12"/>
      <c r="BC53" s="13"/>
      <c r="BE53" s="14"/>
      <c r="BF53" s="10"/>
      <c r="BG53" s="11"/>
      <c r="BH53" s="11"/>
      <c r="BI53" s="11"/>
      <c r="BJ53" s="12"/>
      <c r="BK53" s="12"/>
      <c r="BL53" s="13"/>
      <c r="BN53" s="14"/>
      <c r="BO53" s="10"/>
      <c r="BP53" s="11"/>
      <c r="BQ53" s="11"/>
      <c r="BR53" s="11"/>
      <c r="BS53" s="12"/>
      <c r="BT53" s="12"/>
      <c r="BU53" s="13"/>
      <c r="BW53" s="14"/>
      <c r="BX53" s="10"/>
      <c r="BY53" s="11"/>
      <c r="BZ53" s="11"/>
      <c r="CA53" s="11"/>
      <c r="CB53" s="12"/>
      <c r="CC53" s="12"/>
      <c r="CD53" s="13"/>
      <c r="CF53" s="14"/>
      <c r="CG53" s="10"/>
      <c r="CH53" s="11"/>
      <c r="CI53" s="11"/>
      <c r="CJ53" s="11"/>
      <c r="CK53" s="12"/>
      <c r="CL53" s="12"/>
      <c r="CM53" s="13"/>
      <c r="CO53" s="13"/>
    </row>
    <row r="54" spans="1:93" x14ac:dyDescent="0.35">
      <c r="A54" s="27">
        <v>49</v>
      </c>
      <c r="B54" s="57">
        <f t="shared" si="7"/>
        <v>1000</v>
      </c>
      <c r="C54" s="16">
        <f>ROUND(B54*(1+'Interest rate projection'!AB56/Var_freq)+IF(C$5="Mortgage Starts",0,Deposit_mon),2)</f>
        <v>2003.67</v>
      </c>
      <c r="D54" s="16">
        <f>ROUND(C54*(1+'Interest rate projection'!AC56/Var_freq)+IF(D$5="Mortgage Starts",0,Deposit_mon),2)</f>
        <v>3011.03</v>
      </c>
      <c r="E54" s="16">
        <f>ROUND(D54*(1+'Interest rate projection'!AD56/Var_freq)+IF(E$5="Mortgage Starts",0,Deposit_mon),2)</f>
        <v>4022.09</v>
      </c>
      <c r="F54" s="16">
        <f>ROUND(E54*(1+'Interest rate projection'!AE56/Var_freq)+IF(F$5="Mortgage Starts",0,Deposit_mon),2)</f>
        <v>5036.87</v>
      </c>
      <c r="G54" s="16">
        <f>ROUND(F54*(1+'Interest rate projection'!AF56/Var_freq)+IF(G$5="Mortgage Starts",0,Deposit_mon),2)</f>
        <v>6055.38</v>
      </c>
      <c r="H54" s="16">
        <f>ROUND(G54*(1+'Interest rate projection'!AG56/Var_freq)+IF(H$5="Mortgage Starts",0,Deposit_mon),2)</f>
        <v>7077.63</v>
      </c>
      <c r="I54" s="16">
        <f>ROUND(H54*(1+'Interest rate projection'!AH56/Var_freq)+IF(I$5="Mortgage Starts",0,Deposit_mon),2)</f>
        <v>8103.64</v>
      </c>
      <c r="J54" s="16">
        <f>ROUND(I54*(1+'Interest rate projection'!AI56/Var_freq)+IF(J$5="Mortgage Starts",0,Deposit_mon),2)</f>
        <v>9133.42</v>
      </c>
      <c r="K54" s="16">
        <f>ROUND(J54*(1+'Interest rate projection'!AJ56/Var_freq)+IF(K$5="Mortgage Starts",0,Deposit_mon),2)</f>
        <v>10168.81</v>
      </c>
      <c r="L54" s="16">
        <f>ROUND(K54*(1+'Interest rate projection'!AK56/Var_freq)+IF(L$5="Mortgage Starts",0,Deposit_mon),2)</f>
        <v>11208.21</v>
      </c>
      <c r="M54" s="16">
        <f>ROUND(L54*(1+'Interest rate projection'!AL56/Var_freq)+IF(M$5="Mortgage Starts",0,Deposit_mon),2)</f>
        <v>12251.64</v>
      </c>
      <c r="N54" s="16">
        <f>ROUND(M54*(1+'Interest rate projection'!AM56/Var_freq)+IF(N$5="Mortgage Starts",0,Deposit_mon),2)</f>
        <v>13299.11</v>
      </c>
      <c r="O54" s="16">
        <f>ROUND(N54*(1+'Interest rate projection'!AN56/Var_freq)+IF(O$5="Mortgage Starts",0,Deposit_mon),2)</f>
        <v>14350.64</v>
      </c>
      <c r="P54" s="16">
        <f>ROUND(O54*(1+'Interest rate projection'!AO56/Var_freq)+IF(P$5="Mortgage Starts",0,Deposit_mon),2)</f>
        <v>15406.24</v>
      </c>
      <c r="Q54" s="16">
        <f>ROUND(P54*(1+'Interest rate projection'!AP56/Var_freq)+IF(Q$5="Mortgage Starts",0,Deposit_mon),2)</f>
        <v>16465.93</v>
      </c>
      <c r="R54" s="16">
        <f>ROUND(Q54*(1+'Interest rate projection'!AQ56/Var_freq)+IF(R$5="Mortgage Starts",0,Deposit_mon),2)</f>
        <v>17529.73</v>
      </c>
      <c r="S54" s="16">
        <f>ROUND(R54*(1+'Interest rate projection'!AR56/Var_freq)+IF(S$5="Mortgage Starts",0,Deposit_mon),2)</f>
        <v>18597.650000000001</v>
      </c>
      <c r="T54" s="16">
        <f>ROUND(S54*(1+'Interest rate projection'!AS56/Var_freq)+IF(T$5="Mortgage Starts",0,Deposit_mon),2)</f>
        <v>19669.71</v>
      </c>
      <c r="U54" s="16">
        <f>ROUND(T54*(1+'Interest rate projection'!AT56/Var_freq)+IF(U$5="Mortgage Starts",0,Deposit_mon),2)</f>
        <v>20745.919999999998</v>
      </c>
      <c r="V54" s="16">
        <f>ROUND(U54*(1+'Interest rate projection'!AU56/Var_freq)+IF(V$5="Mortgage Starts",0,Deposit_mon),2)</f>
        <v>21826.3</v>
      </c>
      <c r="W54" s="16">
        <f>ROUND(V54*(1+'Interest rate projection'!AV56/Var_freq)+IF(W$5="Mortgage Starts",0,Deposit_mon),2)</f>
        <v>22910.87</v>
      </c>
      <c r="X54" s="16">
        <f>ROUND(W54*(1+'Interest rate projection'!AW56/Var_freq)+IF(X$5="Mortgage Starts",0,Deposit_mon),2)</f>
        <v>23999.64</v>
      </c>
      <c r="Y54" s="16">
        <f>ROUND(X54*(1+'Interest rate projection'!AX56/Var_freq)+IF(Y$5="Mortgage Starts",0,Deposit_mon),2)</f>
        <v>25087.83</v>
      </c>
      <c r="Z54" s="57">
        <f>ROUND(Y54*(1+'Interest rate projection'!AY56/Var_freq)+IF(Z$5="Mortgage Starts",0,Deposit_mon),2)</f>
        <v>25175</v>
      </c>
      <c r="AA54" s="12"/>
      <c r="AB54" s="38">
        <f>'Interest rate projection'!Z56</f>
        <v>4.2499999999999996E-2</v>
      </c>
      <c r="AC54" s="38">
        <f>'Interest rate projection'!AZ56</f>
        <v>4.1693940041970023E-2</v>
      </c>
      <c r="AD54" s="59" t="str">
        <f t="shared" si="8"/>
        <v>OK</v>
      </c>
      <c r="AE54" s="39">
        <f t="shared" si="9"/>
        <v>15.511529757864551</v>
      </c>
      <c r="AF54" s="10"/>
      <c r="AG54" s="73">
        <f t="shared" si="5"/>
        <v>25175</v>
      </c>
      <c r="AH54" s="73">
        <f t="shared" si="6"/>
        <v>174825</v>
      </c>
      <c r="AI54" s="74">
        <f t="shared" si="10"/>
        <v>939.22</v>
      </c>
      <c r="AJ54" s="9"/>
      <c r="AK54" s="73">
        <f>'Fixed rate projection'!$AE$3-('Variable rate projection'!AI54*Product_term*Var_freq)</f>
        <v>21303</v>
      </c>
      <c r="AM54" s="14"/>
      <c r="AN54" s="10"/>
      <c r="AO54" s="11"/>
      <c r="AP54" s="11"/>
      <c r="AQ54" s="11"/>
      <c r="AR54" s="12"/>
      <c r="AS54" s="12"/>
      <c r="AT54" s="13"/>
      <c r="AV54" s="14"/>
      <c r="AW54" s="10"/>
      <c r="AX54" s="11"/>
      <c r="AY54" s="11"/>
      <c r="AZ54" s="11"/>
      <c r="BA54" s="12"/>
      <c r="BB54" s="12"/>
      <c r="BC54" s="13"/>
      <c r="BE54" s="14"/>
      <c r="BF54" s="10"/>
      <c r="BG54" s="11"/>
      <c r="BH54" s="11"/>
      <c r="BI54" s="11"/>
      <c r="BJ54" s="12"/>
      <c r="BK54" s="12"/>
      <c r="BL54" s="13"/>
      <c r="BN54" s="14"/>
      <c r="BO54" s="10"/>
      <c r="BP54" s="11"/>
      <c r="BQ54" s="11"/>
      <c r="BR54" s="11"/>
      <c r="BS54" s="12"/>
      <c r="BT54" s="12"/>
      <c r="BU54" s="13"/>
      <c r="BW54" s="14"/>
      <c r="BX54" s="10"/>
      <c r="BY54" s="11"/>
      <c r="BZ54" s="11"/>
      <c r="CA54" s="11"/>
      <c r="CB54" s="12"/>
      <c r="CC54" s="12"/>
      <c r="CD54" s="13"/>
      <c r="CF54" s="14"/>
      <c r="CG54" s="10"/>
      <c r="CH54" s="11"/>
      <c r="CI54" s="11"/>
      <c r="CJ54" s="11"/>
      <c r="CK54" s="12"/>
      <c r="CL54" s="12"/>
      <c r="CM54" s="13"/>
      <c r="CO54" s="13"/>
    </row>
    <row r="55" spans="1:93" x14ac:dyDescent="0.35">
      <c r="A55" s="5">
        <v>50</v>
      </c>
      <c r="B55" s="57">
        <f t="shared" si="7"/>
        <v>1000</v>
      </c>
      <c r="C55" s="16">
        <f>ROUND(B55*(1+'Interest rate projection'!AB57/Var_freq)+IF(C$5="Mortgage Starts",0,Deposit_mon),2)</f>
        <v>2003.67</v>
      </c>
      <c r="D55" s="16">
        <f>ROUND(C55*(1+'Interest rate projection'!AC57/Var_freq)+IF(D$5="Mortgage Starts",0,Deposit_mon),2)</f>
        <v>3011.03</v>
      </c>
      <c r="E55" s="16">
        <f>ROUND(D55*(1+'Interest rate projection'!AD57/Var_freq)+IF(E$5="Mortgage Starts",0,Deposit_mon),2)</f>
        <v>4021.49</v>
      </c>
      <c r="F55" s="16">
        <f>ROUND(E55*(1+'Interest rate projection'!AE57/Var_freq)+IF(F$5="Mortgage Starts",0,Deposit_mon),2)</f>
        <v>5035.46</v>
      </c>
      <c r="G55" s="16">
        <f>ROUND(F55*(1+'Interest rate projection'!AF57/Var_freq)+IF(G$5="Mortgage Starts",0,Deposit_mon),2)</f>
        <v>6052.96</v>
      </c>
      <c r="H55" s="16">
        <f>ROUND(G55*(1+'Interest rate projection'!AG57/Var_freq)+IF(H$5="Mortgage Starts",0,Deposit_mon),2)</f>
        <v>7073.99</v>
      </c>
      <c r="I55" s="16">
        <f>ROUND(H55*(1+'Interest rate projection'!AH57/Var_freq)+IF(I$5="Mortgage Starts",0,Deposit_mon),2)</f>
        <v>8098.57</v>
      </c>
      <c r="J55" s="16">
        <f>ROUND(I55*(1+'Interest rate projection'!AI57/Var_freq)+IF(J$5="Mortgage Starts",0,Deposit_mon),2)</f>
        <v>9123.4500000000007</v>
      </c>
      <c r="K55" s="16">
        <f>ROUND(J55*(1+'Interest rate projection'!AJ57/Var_freq)+IF(K$5="Mortgage Starts",0,Deposit_mon),2)</f>
        <v>10151.48</v>
      </c>
      <c r="L55" s="16">
        <f>ROUND(K55*(1+'Interest rate projection'!AK57/Var_freq)+IF(L$5="Mortgage Starts",0,Deposit_mon),2)</f>
        <v>11186.75</v>
      </c>
      <c r="M55" s="16">
        <f>ROUND(L55*(1+'Interest rate projection'!AL57/Var_freq)+IF(M$5="Mortgage Starts",0,Deposit_mon),2)</f>
        <v>12225.62</v>
      </c>
      <c r="N55" s="16">
        <f>ROUND(M55*(1+'Interest rate projection'!AM57/Var_freq)+IF(N$5="Mortgage Starts",0,Deposit_mon),2)</f>
        <v>13270.55</v>
      </c>
      <c r="O55" s="16">
        <f>ROUND(N55*(1+'Interest rate projection'!AN57/Var_freq)+IF(O$5="Mortgage Starts",0,Deposit_mon),2)</f>
        <v>14319.32</v>
      </c>
      <c r="P55" s="16">
        <f>ROUND(O55*(1+'Interest rate projection'!AO57/Var_freq)+IF(P$5="Mortgage Starts",0,Deposit_mon),2)</f>
        <v>15371.94</v>
      </c>
      <c r="Q55" s="16">
        <f>ROUND(P55*(1+'Interest rate projection'!AP57/Var_freq)+IF(Q$5="Mortgage Starts",0,Deposit_mon),2)</f>
        <v>16428.43</v>
      </c>
      <c r="R55" s="16">
        <f>ROUND(Q55*(1+'Interest rate projection'!AQ57/Var_freq)+IF(R$5="Mortgage Starts",0,Deposit_mon),2)</f>
        <v>17488.8</v>
      </c>
      <c r="S55" s="16">
        <f>ROUND(R55*(1+'Interest rate projection'!AR57/Var_freq)+IF(S$5="Mortgage Starts",0,Deposit_mon),2)</f>
        <v>18553.07</v>
      </c>
      <c r="T55" s="16">
        <f>ROUND(S55*(1+'Interest rate projection'!AS57/Var_freq)+IF(T$5="Mortgage Starts",0,Deposit_mon),2)</f>
        <v>19621.25</v>
      </c>
      <c r="U55" s="16">
        <f>ROUND(T55*(1+'Interest rate projection'!AT57/Var_freq)+IF(U$5="Mortgage Starts",0,Deposit_mon),2)</f>
        <v>20693.349999999999</v>
      </c>
      <c r="V55" s="16">
        <f>ROUND(U55*(1+'Interest rate projection'!AU57/Var_freq)+IF(V$5="Mortgage Starts",0,Deposit_mon),2)</f>
        <v>21769.39</v>
      </c>
      <c r="W55" s="16">
        <f>ROUND(V55*(1+'Interest rate projection'!AV57/Var_freq)+IF(W$5="Mortgage Starts",0,Deposit_mon),2)</f>
        <v>22849.39</v>
      </c>
      <c r="X55" s="16">
        <f>ROUND(W55*(1+'Interest rate projection'!AW57/Var_freq)+IF(X$5="Mortgage Starts",0,Deposit_mon),2)</f>
        <v>23933.360000000001</v>
      </c>
      <c r="Y55" s="16">
        <f>ROUND(X55*(1+'Interest rate projection'!AX57/Var_freq)+IF(Y$5="Mortgage Starts",0,Deposit_mon),2)</f>
        <v>25021.31</v>
      </c>
      <c r="Z55" s="57">
        <f>ROUND(Y55*(1+'Interest rate projection'!AY57/Var_freq)+IF(Z$5="Mortgage Starts",0,Deposit_mon),2)</f>
        <v>25123.25</v>
      </c>
      <c r="AA55" s="12"/>
      <c r="AB55" s="38">
        <f>'Interest rate projection'!Z57</f>
        <v>4.9999999999999996E-2</v>
      </c>
      <c r="AC55" s="38">
        <f>'Interest rate projection'!AZ57</f>
        <v>4.8889485403780242E-2</v>
      </c>
      <c r="AD55" s="59" t="str">
        <f t="shared" si="8"/>
        <v>OK</v>
      </c>
      <c r="AE55" s="39">
        <f t="shared" si="9"/>
        <v>14.4140856153857</v>
      </c>
      <c r="AF55" s="10"/>
      <c r="AG55" s="73">
        <f t="shared" si="5"/>
        <v>25123.25</v>
      </c>
      <c r="AH55" s="73">
        <f t="shared" si="6"/>
        <v>174876.75</v>
      </c>
      <c r="AI55" s="74">
        <f t="shared" si="10"/>
        <v>1011.03</v>
      </c>
      <c r="AJ55" s="9"/>
      <c r="AK55" s="73">
        <f>'Fixed rate projection'!$AE$3-('Variable rate projection'!AI55*Product_term*Var_freq)</f>
        <v>-240</v>
      </c>
      <c r="AM55" s="14"/>
      <c r="AN55" s="10"/>
      <c r="AO55" s="11"/>
      <c r="AP55" s="11"/>
      <c r="AQ55" s="11"/>
      <c r="AR55" s="12"/>
      <c r="AS55" s="12"/>
      <c r="AT55" s="13"/>
      <c r="AV55" s="14"/>
      <c r="AW55" s="10"/>
      <c r="AX55" s="11"/>
      <c r="AY55" s="11"/>
      <c r="AZ55" s="11"/>
      <c r="BA55" s="12"/>
      <c r="BB55" s="12"/>
      <c r="BC55" s="13"/>
      <c r="BE55" s="14"/>
      <c r="BF55" s="10"/>
      <c r="BG55" s="11"/>
      <c r="BH55" s="11"/>
      <c r="BI55" s="11"/>
      <c r="BJ55" s="12"/>
      <c r="BK55" s="12"/>
      <c r="BL55" s="13"/>
      <c r="BN55" s="14"/>
      <c r="BO55" s="10"/>
      <c r="BP55" s="11"/>
      <c r="BQ55" s="11"/>
      <c r="BR55" s="11"/>
      <c r="BS55" s="12"/>
      <c r="BT55" s="12"/>
      <c r="BU55" s="13"/>
      <c r="BW55" s="14"/>
      <c r="BX55" s="10"/>
      <c r="BY55" s="11"/>
      <c r="BZ55" s="11"/>
      <c r="CA55" s="11"/>
      <c r="CB55" s="12"/>
      <c r="CC55" s="12"/>
      <c r="CD55" s="13"/>
      <c r="CF55" s="14"/>
      <c r="CG55" s="10"/>
      <c r="CH55" s="11"/>
      <c r="CI55" s="11"/>
      <c r="CJ55" s="11"/>
      <c r="CK55" s="12"/>
      <c r="CL55" s="12"/>
      <c r="CM55" s="13"/>
      <c r="CO55" s="13"/>
    </row>
    <row r="56" spans="1:93" x14ac:dyDescent="0.35">
      <c r="A56" s="27">
        <v>51</v>
      </c>
      <c r="B56" s="57">
        <f t="shared" si="7"/>
        <v>1000</v>
      </c>
      <c r="C56" s="16">
        <f>ROUND(B56*(1+'Interest rate projection'!AB58/Var_freq)+IF(C$5="Mortgage Starts",0,Deposit_mon),2)</f>
        <v>2003.67</v>
      </c>
      <c r="D56" s="16">
        <f>ROUND(C56*(1+'Interest rate projection'!AC58/Var_freq)+IF(D$5="Mortgage Starts",0,Deposit_mon),2)</f>
        <v>3011.03</v>
      </c>
      <c r="E56" s="16">
        <f>ROUND(D56*(1+'Interest rate projection'!AD58/Var_freq)+IF(E$5="Mortgage Starts",0,Deposit_mon),2)</f>
        <v>4022.09</v>
      </c>
      <c r="F56" s="16">
        <f>ROUND(E56*(1+'Interest rate projection'!AE58/Var_freq)+IF(F$5="Mortgage Starts",0,Deposit_mon),2)</f>
        <v>5036.87</v>
      </c>
      <c r="G56" s="16">
        <f>ROUND(F56*(1+'Interest rate projection'!AF58/Var_freq)+IF(G$5="Mortgage Starts",0,Deposit_mon),2)</f>
        <v>6055.38</v>
      </c>
      <c r="H56" s="16">
        <f>ROUND(G56*(1+'Interest rate projection'!AG58/Var_freq)+IF(H$5="Mortgage Starts",0,Deposit_mon),2)</f>
        <v>7077.63</v>
      </c>
      <c r="I56" s="16">
        <f>ROUND(H56*(1+'Interest rate projection'!AH58/Var_freq)+IF(I$5="Mortgage Starts",0,Deposit_mon),2)</f>
        <v>8103.64</v>
      </c>
      <c r="J56" s="16">
        <f>ROUND(I56*(1+'Interest rate projection'!AI58/Var_freq)+IF(J$5="Mortgage Starts",0,Deposit_mon),2)</f>
        <v>9133.42</v>
      </c>
      <c r="K56" s="16">
        <f>ROUND(J56*(1+'Interest rate projection'!AJ58/Var_freq)+IF(K$5="Mortgage Starts",0,Deposit_mon),2)</f>
        <v>10166.98</v>
      </c>
      <c r="L56" s="16">
        <f>ROUND(K56*(1+'Interest rate projection'!AK58/Var_freq)+IF(L$5="Mortgage Starts",0,Deposit_mon),2)</f>
        <v>11204.34</v>
      </c>
      <c r="M56" s="16">
        <f>ROUND(L56*(1+'Interest rate projection'!AL58/Var_freq)+IF(M$5="Mortgage Starts",0,Deposit_mon),2)</f>
        <v>12245.51</v>
      </c>
      <c r="N56" s="16">
        <f>ROUND(M56*(1+'Interest rate projection'!AM58/Var_freq)+IF(N$5="Mortgage Starts",0,Deposit_mon),2)</f>
        <v>13290.51</v>
      </c>
      <c r="O56" s="16">
        <f>ROUND(N56*(1+'Interest rate projection'!AN58/Var_freq)+IF(O$5="Mortgage Starts",0,Deposit_mon),2)</f>
        <v>14339.35</v>
      </c>
      <c r="P56" s="16">
        <f>ROUND(O56*(1+'Interest rate projection'!AO58/Var_freq)+IF(P$5="Mortgage Starts",0,Deposit_mon),2)</f>
        <v>15392.04</v>
      </c>
      <c r="Q56" s="16">
        <f>ROUND(P56*(1+'Interest rate projection'!AP58/Var_freq)+IF(Q$5="Mortgage Starts",0,Deposit_mon),2)</f>
        <v>16448.599999999999</v>
      </c>
      <c r="R56" s="16">
        <f>ROUND(Q56*(1+'Interest rate projection'!AQ58/Var_freq)+IF(R$5="Mortgage Starts",0,Deposit_mon),2)</f>
        <v>17505.75</v>
      </c>
      <c r="S56" s="16">
        <f>ROUND(R56*(1+'Interest rate projection'!AR58/Var_freq)+IF(S$5="Mortgage Starts",0,Deposit_mon),2)</f>
        <v>18566.57</v>
      </c>
      <c r="T56" s="16">
        <f>ROUND(S56*(1+'Interest rate projection'!AS58/Var_freq)+IF(T$5="Mortgage Starts",0,Deposit_mon),2)</f>
        <v>19631.080000000002</v>
      </c>
      <c r="U56" s="16">
        <f>ROUND(T56*(1+'Interest rate projection'!AT58/Var_freq)+IF(U$5="Mortgage Starts",0,Deposit_mon),2)</f>
        <v>20699.29</v>
      </c>
      <c r="V56" s="16">
        <f>ROUND(U56*(1+'Interest rate projection'!AU58/Var_freq)+IF(V$5="Mortgage Starts",0,Deposit_mon),2)</f>
        <v>21771.21</v>
      </c>
      <c r="W56" s="16">
        <f>ROUND(V56*(1+'Interest rate projection'!AV58/Var_freq)+IF(W$5="Mortgage Starts",0,Deposit_mon),2)</f>
        <v>22846.85</v>
      </c>
      <c r="X56" s="16">
        <f>ROUND(W56*(1+'Interest rate projection'!AW58/Var_freq)+IF(X$5="Mortgage Starts",0,Deposit_mon),2)</f>
        <v>23926.23</v>
      </c>
      <c r="Y56" s="16">
        <f>ROUND(X56*(1+'Interest rate projection'!AX58/Var_freq)+IF(Y$5="Mortgage Starts",0,Deposit_mon),2)</f>
        <v>25004.560000000001</v>
      </c>
      <c r="Z56" s="57">
        <f>ROUND(Y56*(1+'Interest rate projection'!AY58/Var_freq)+IF(Z$5="Mortgage Starts",0,Deposit_mon),2)</f>
        <v>25086.42</v>
      </c>
      <c r="AA56" s="12"/>
      <c r="AB56" s="38">
        <f>'Interest rate projection'!Z58</f>
        <v>3.9999999999999994E-2</v>
      </c>
      <c r="AC56" s="38">
        <f>'Interest rate projection'!AZ58</f>
        <v>3.9284877386386974E-2</v>
      </c>
      <c r="AD56" s="59" t="str">
        <f t="shared" si="8"/>
        <v>OK</v>
      </c>
      <c r="AE56" s="39">
        <f t="shared" si="9"/>
        <v>15.906456614335044</v>
      </c>
      <c r="AF56" s="10"/>
      <c r="AG56" s="73">
        <f t="shared" si="5"/>
        <v>25086.42</v>
      </c>
      <c r="AH56" s="73">
        <f t="shared" si="6"/>
        <v>174913.58000000002</v>
      </c>
      <c r="AI56" s="74">
        <f t="shared" si="10"/>
        <v>916.37</v>
      </c>
      <c r="AJ56" s="9"/>
      <c r="AK56" s="73">
        <f>'Fixed rate projection'!$AE$3-('Variable rate projection'!AI56*Product_term*Var_freq)</f>
        <v>28158</v>
      </c>
      <c r="AM56" s="14"/>
      <c r="AN56" s="10"/>
      <c r="AO56" s="11"/>
      <c r="AP56" s="11"/>
      <c r="AQ56" s="11"/>
      <c r="AR56" s="12"/>
      <c r="AS56" s="12"/>
      <c r="AT56" s="13"/>
      <c r="AV56" s="14"/>
      <c r="AW56" s="10"/>
      <c r="AX56" s="11"/>
      <c r="AY56" s="11"/>
      <c r="AZ56" s="11"/>
      <c r="BA56" s="12"/>
      <c r="BB56" s="12"/>
      <c r="BC56" s="13"/>
      <c r="BE56" s="14"/>
      <c r="BF56" s="10"/>
      <c r="BG56" s="11"/>
      <c r="BH56" s="11"/>
      <c r="BI56" s="11"/>
      <c r="BJ56" s="12"/>
      <c r="BK56" s="12"/>
      <c r="BL56" s="13"/>
      <c r="BN56" s="14"/>
      <c r="BO56" s="10"/>
      <c r="BP56" s="11"/>
      <c r="BQ56" s="11"/>
      <c r="BR56" s="11"/>
      <c r="BS56" s="12"/>
      <c r="BT56" s="12"/>
      <c r="BU56" s="13"/>
      <c r="BW56" s="14"/>
      <c r="BX56" s="10"/>
      <c r="BY56" s="11"/>
      <c r="BZ56" s="11"/>
      <c r="CA56" s="11"/>
      <c r="CB56" s="12"/>
      <c r="CC56" s="12"/>
      <c r="CD56" s="13"/>
      <c r="CF56" s="14"/>
      <c r="CG56" s="10"/>
      <c r="CH56" s="11"/>
      <c r="CI56" s="11"/>
      <c r="CJ56" s="11"/>
      <c r="CK56" s="12"/>
      <c r="CL56" s="12"/>
      <c r="CM56" s="13"/>
      <c r="CO56" s="13"/>
    </row>
    <row r="57" spans="1:93" x14ac:dyDescent="0.35">
      <c r="A57" s="5">
        <v>52</v>
      </c>
      <c r="B57" s="57">
        <f t="shared" si="7"/>
        <v>1000</v>
      </c>
      <c r="C57" s="16">
        <f>ROUND(B57*(1+'Interest rate projection'!AB59/Var_freq)+IF(C$5="Mortgage Starts",0,Deposit_mon),2)</f>
        <v>2003.67</v>
      </c>
      <c r="D57" s="16">
        <f>ROUND(C57*(1+'Interest rate projection'!AC59/Var_freq)+IF(D$5="Mortgage Starts",0,Deposit_mon),2)</f>
        <v>3011.03</v>
      </c>
      <c r="E57" s="16">
        <f>ROUND(D57*(1+'Interest rate projection'!AD59/Var_freq)+IF(E$5="Mortgage Starts",0,Deposit_mon),2)</f>
        <v>4022.09</v>
      </c>
      <c r="F57" s="16">
        <f>ROUND(E57*(1+'Interest rate projection'!AE59/Var_freq)+IF(F$5="Mortgage Starts",0,Deposit_mon),2)</f>
        <v>5036.87</v>
      </c>
      <c r="G57" s="16">
        <f>ROUND(F57*(1+'Interest rate projection'!AF59/Var_freq)+IF(G$5="Mortgage Starts",0,Deposit_mon),2)</f>
        <v>6055.38</v>
      </c>
      <c r="H57" s="16">
        <f>ROUND(G57*(1+'Interest rate projection'!AG59/Var_freq)+IF(H$5="Mortgage Starts",0,Deposit_mon),2)</f>
        <v>7077.63</v>
      </c>
      <c r="I57" s="16">
        <f>ROUND(H57*(1+'Interest rate projection'!AH59/Var_freq)+IF(I$5="Mortgage Starts",0,Deposit_mon),2)</f>
        <v>8103.64</v>
      </c>
      <c r="J57" s="16">
        <f>ROUND(I57*(1+'Interest rate projection'!AI59/Var_freq)+IF(J$5="Mortgage Starts",0,Deposit_mon),2)</f>
        <v>9133.42</v>
      </c>
      <c r="K57" s="16">
        <f>ROUND(J57*(1+'Interest rate projection'!AJ59/Var_freq)+IF(K$5="Mortgage Starts",0,Deposit_mon),2)</f>
        <v>10166.98</v>
      </c>
      <c r="L57" s="16">
        <f>ROUND(K57*(1+'Interest rate projection'!AK59/Var_freq)+IF(L$5="Mortgage Starts",0,Deposit_mon),2)</f>
        <v>11202.31</v>
      </c>
      <c r="M57" s="16">
        <f>ROUND(L57*(1+'Interest rate projection'!AL59/Var_freq)+IF(M$5="Mortgage Starts",0,Deposit_mon),2)</f>
        <v>12243.48</v>
      </c>
      <c r="N57" s="16">
        <f>ROUND(M57*(1+'Interest rate projection'!AM59/Var_freq)+IF(N$5="Mortgage Starts",0,Deposit_mon),2)</f>
        <v>13288.47</v>
      </c>
      <c r="O57" s="16">
        <f>ROUND(N57*(1+'Interest rate projection'!AN59/Var_freq)+IF(O$5="Mortgage Starts",0,Deposit_mon),2)</f>
        <v>14337.3</v>
      </c>
      <c r="P57" s="16">
        <f>ROUND(O57*(1+'Interest rate projection'!AO59/Var_freq)+IF(P$5="Mortgage Starts",0,Deposit_mon),2)</f>
        <v>15389.99</v>
      </c>
      <c r="Q57" s="16">
        <f>ROUND(P57*(1+'Interest rate projection'!AP59/Var_freq)+IF(Q$5="Mortgage Starts",0,Deposit_mon),2)</f>
        <v>16446.55</v>
      </c>
      <c r="R57" s="16">
        <f>ROUND(Q57*(1+'Interest rate projection'!AQ59/Var_freq)+IF(R$5="Mortgage Starts",0,Deposit_mon),2)</f>
        <v>17506.990000000002</v>
      </c>
      <c r="S57" s="16">
        <f>ROUND(R57*(1+'Interest rate projection'!AR59/Var_freq)+IF(S$5="Mortgage Starts",0,Deposit_mon),2)</f>
        <v>18574.82</v>
      </c>
      <c r="T57" s="16">
        <f>ROUND(S57*(1+'Interest rate projection'!AS59/Var_freq)+IF(T$5="Mortgage Starts",0,Deposit_mon),2)</f>
        <v>19646.79</v>
      </c>
      <c r="U57" s="16">
        <f>ROUND(T57*(1+'Interest rate projection'!AT59/Var_freq)+IF(U$5="Mortgage Starts",0,Deposit_mon),2)</f>
        <v>20730.740000000002</v>
      </c>
      <c r="V57" s="16">
        <f>ROUND(U57*(1+'Interest rate projection'!AU59/Var_freq)+IF(V$5="Mortgage Starts",0,Deposit_mon),2)</f>
        <v>21819.33</v>
      </c>
      <c r="W57" s="16">
        <f>ROUND(V57*(1+'Interest rate projection'!AV59/Var_freq)+IF(W$5="Mortgage Starts",0,Deposit_mon),2)</f>
        <v>22912.57</v>
      </c>
      <c r="X57" s="16">
        <f>ROUND(W57*(1+'Interest rate projection'!AW59/Var_freq)+IF(X$5="Mortgage Starts",0,Deposit_mon),2)</f>
        <v>24015.03</v>
      </c>
      <c r="Y57" s="16">
        <f>ROUND(X57*(1+'Interest rate projection'!AX59/Var_freq)+IF(Y$5="Mortgage Starts",0,Deposit_mon),2)</f>
        <v>25117.65</v>
      </c>
      <c r="Z57" s="57">
        <f>ROUND(Y57*(1+'Interest rate projection'!AY59/Var_freq)+IF(Z$5="Mortgage Starts",0,Deposit_mon),2)</f>
        <v>25224.98</v>
      </c>
      <c r="AA57" s="12"/>
      <c r="AB57" s="38">
        <f>'Interest rate projection'!Z59</f>
        <v>5.2499999999999998E-2</v>
      </c>
      <c r="AC57" s="38">
        <f>'Interest rate projection'!AZ59</f>
        <v>5.1277533193896829E-2</v>
      </c>
      <c r="AD57" s="59" t="str">
        <f t="shared" si="8"/>
        <v>OK</v>
      </c>
      <c r="AE57" s="39">
        <f t="shared" si="9"/>
        <v>14.075212462503044</v>
      </c>
      <c r="AF57" s="10"/>
      <c r="AG57" s="73">
        <f t="shared" si="5"/>
        <v>25224.98</v>
      </c>
      <c r="AH57" s="73">
        <f t="shared" si="6"/>
        <v>174775.02</v>
      </c>
      <c r="AI57" s="74">
        <f t="shared" si="10"/>
        <v>1034.77</v>
      </c>
      <c r="AJ57" s="9"/>
      <c r="AK57" s="73">
        <f>'Fixed rate projection'!$AE$3-('Variable rate projection'!AI57*Product_term*Var_freq)</f>
        <v>-7362</v>
      </c>
      <c r="AM57" s="14"/>
      <c r="AN57" s="10"/>
      <c r="AO57" s="11"/>
      <c r="AP57" s="11"/>
      <c r="AQ57" s="11"/>
      <c r="AR57" s="12"/>
      <c r="AS57" s="12"/>
      <c r="AT57" s="13"/>
      <c r="AV57" s="14"/>
      <c r="AW57" s="10"/>
      <c r="AX57" s="11"/>
      <c r="AY57" s="11"/>
      <c r="AZ57" s="11"/>
      <c r="BA57" s="12"/>
      <c r="BB57" s="12"/>
      <c r="BC57" s="13"/>
      <c r="BE57" s="14"/>
      <c r="BF57" s="10"/>
      <c r="BG57" s="11"/>
      <c r="BH57" s="11"/>
      <c r="BI57" s="11"/>
      <c r="BJ57" s="12"/>
      <c r="BK57" s="12"/>
      <c r="BL57" s="13"/>
      <c r="BN57" s="14"/>
      <c r="BO57" s="10"/>
      <c r="BP57" s="11"/>
      <c r="BQ57" s="11"/>
      <c r="BR57" s="11"/>
      <c r="BS57" s="12"/>
      <c r="BT57" s="12"/>
      <c r="BU57" s="13"/>
      <c r="BW57" s="14"/>
      <c r="BX57" s="10"/>
      <c r="BY57" s="11"/>
      <c r="BZ57" s="11"/>
      <c r="CA57" s="11"/>
      <c r="CB57" s="12"/>
      <c r="CC57" s="12"/>
      <c r="CD57" s="13"/>
      <c r="CF57" s="14"/>
      <c r="CG57" s="10"/>
      <c r="CH57" s="11"/>
      <c r="CI57" s="11"/>
      <c r="CJ57" s="11"/>
      <c r="CK57" s="12"/>
      <c r="CL57" s="12"/>
      <c r="CM57" s="13"/>
      <c r="CO57" s="13"/>
    </row>
    <row r="58" spans="1:93" x14ac:dyDescent="0.35">
      <c r="A58" s="27">
        <v>53</v>
      </c>
      <c r="B58" s="57">
        <f t="shared" si="7"/>
        <v>1000</v>
      </c>
      <c r="C58" s="16">
        <f>ROUND(B58*(1+'Interest rate projection'!AB60/Var_freq)+IF(C$5="Mortgage Starts",0,Deposit_mon),2)</f>
        <v>2003.67</v>
      </c>
      <c r="D58" s="16">
        <f>ROUND(C58*(1+'Interest rate projection'!AC60/Var_freq)+IF(D$5="Mortgage Starts",0,Deposit_mon),2)</f>
        <v>3011.03</v>
      </c>
      <c r="E58" s="16">
        <f>ROUND(D58*(1+'Interest rate projection'!AD60/Var_freq)+IF(E$5="Mortgage Starts",0,Deposit_mon),2)</f>
        <v>4022.7</v>
      </c>
      <c r="F58" s="16">
        <f>ROUND(E58*(1+'Interest rate projection'!AE60/Var_freq)+IF(F$5="Mortgage Starts",0,Deposit_mon),2)</f>
        <v>5038.29</v>
      </c>
      <c r="G58" s="16">
        <f>ROUND(F58*(1+'Interest rate projection'!AF60/Var_freq)+IF(G$5="Mortgage Starts",0,Deposit_mon),2)</f>
        <v>6057.81</v>
      </c>
      <c r="H58" s="16">
        <f>ROUND(G58*(1+'Interest rate projection'!AG60/Var_freq)+IF(H$5="Mortgage Starts",0,Deposit_mon),2)</f>
        <v>7081.28</v>
      </c>
      <c r="I58" s="16">
        <f>ROUND(H58*(1+'Interest rate projection'!AH60/Var_freq)+IF(I$5="Mortgage Starts",0,Deposit_mon),2)</f>
        <v>8108.72</v>
      </c>
      <c r="J58" s="16">
        <f>ROUND(I58*(1+'Interest rate projection'!AI60/Var_freq)+IF(J$5="Mortgage Starts",0,Deposit_mon),2)</f>
        <v>9138.52</v>
      </c>
      <c r="K58" s="16">
        <f>ROUND(J58*(1+'Interest rate projection'!AJ60/Var_freq)+IF(K$5="Mortgage Starts",0,Deposit_mon),2)</f>
        <v>10172.1</v>
      </c>
      <c r="L58" s="16">
        <f>ROUND(K58*(1+'Interest rate projection'!AK60/Var_freq)+IF(L$5="Mortgage Starts",0,Deposit_mon),2)</f>
        <v>11209.48</v>
      </c>
      <c r="M58" s="16">
        <f>ROUND(L58*(1+'Interest rate projection'!AL60/Var_freq)+IF(M$5="Mortgage Starts",0,Deposit_mon),2)</f>
        <v>12250.67</v>
      </c>
      <c r="N58" s="16">
        <f>ROUND(M58*(1+'Interest rate projection'!AM60/Var_freq)+IF(N$5="Mortgage Starts",0,Deposit_mon),2)</f>
        <v>13295.69</v>
      </c>
      <c r="O58" s="16">
        <f>ROUND(N58*(1+'Interest rate projection'!AN60/Var_freq)+IF(O$5="Mortgage Starts",0,Deposit_mon),2)</f>
        <v>14344.55</v>
      </c>
      <c r="P58" s="16">
        <f>ROUND(O58*(1+'Interest rate projection'!AO60/Var_freq)+IF(P$5="Mortgage Starts",0,Deposit_mon),2)</f>
        <v>15397.26</v>
      </c>
      <c r="Q58" s="16">
        <f>ROUND(P58*(1+'Interest rate projection'!AP60/Var_freq)+IF(Q$5="Mortgage Starts",0,Deposit_mon),2)</f>
        <v>16453.84</v>
      </c>
      <c r="R58" s="16">
        <f>ROUND(Q58*(1+'Interest rate projection'!AQ60/Var_freq)+IF(R$5="Mortgage Starts",0,Deposit_mon),2)</f>
        <v>17514.3</v>
      </c>
      <c r="S58" s="16">
        <f>ROUND(R58*(1+'Interest rate projection'!AR60/Var_freq)+IF(S$5="Mortgage Starts",0,Deposit_mon),2)</f>
        <v>18578.66</v>
      </c>
      <c r="T58" s="16">
        <f>ROUND(S58*(1+'Interest rate projection'!AS60/Var_freq)+IF(T$5="Mortgage Starts",0,Deposit_mon),2)</f>
        <v>19646.93</v>
      </c>
      <c r="U58" s="16">
        <f>ROUND(T58*(1+'Interest rate projection'!AT60/Var_freq)+IF(U$5="Mortgage Starts",0,Deposit_mon),2)</f>
        <v>20719.13</v>
      </c>
      <c r="V58" s="16">
        <f>ROUND(U58*(1+'Interest rate projection'!AU60/Var_freq)+IF(V$5="Mortgage Starts",0,Deposit_mon),2)</f>
        <v>21795.27</v>
      </c>
      <c r="W58" s="16">
        <f>ROUND(V58*(1+'Interest rate projection'!AV60/Var_freq)+IF(W$5="Mortgage Starts",0,Deposit_mon),2)</f>
        <v>22875.360000000001</v>
      </c>
      <c r="X58" s="16">
        <f>ROUND(W58*(1+'Interest rate projection'!AW60/Var_freq)+IF(X$5="Mortgage Starts",0,Deposit_mon),2)</f>
        <v>23959.42</v>
      </c>
      <c r="Y58" s="16">
        <f>ROUND(X58*(1+'Interest rate projection'!AX60/Var_freq)+IF(Y$5="Mortgage Starts",0,Deposit_mon),2)</f>
        <v>25052.26</v>
      </c>
      <c r="Z58" s="57">
        <f>ROUND(Y58*(1+'Interest rate projection'!AY60/Var_freq)+IF(Z$5="Mortgage Starts",0,Deposit_mon),2)</f>
        <v>25149.33</v>
      </c>
      <c r="AA58" s="12"/>
      <c r="AB58" s="38">
        <f>'Interest rate projection'!Z60</f>
        <v>4.7500000000000001E-2</v>
      </c>
      <c r="AC58" s="38">
        <f>'Interest rate projection'!AZ60</f>
        <v>4.6496219905550085E-2</v>
      </c>
      <c r="AD58" s="59" t="str">
        <f t="shared" si="8"/>
        <v>OK</v>
      </c>
      <c r="AE58" s="39">
        <f t="shared" si="9"/>
        <v>14.766012404082064</v>
      </c>
      <c r="AF58" s="10"/>
      <c r="AG58" s="73">
        <f t="shared" si="5"/>
        <v>25149.33</v>
      </c>
      <c r="AH58" s="73">
        <f t="shared" si="6"/>
        <v>174850.66999999998</v>
      </c>
      <c r="AI58" s="74">
        <f t="shared" si="10"/>
        <v>986.79</v>
      </c>
      <c r="AJ58" s="9"/>
      <c r="AK58" s="73">
        <f>'Fixed rate projection'!$AE$3-('Variable rate projection'!AI58*Product_term*Var_freq)</f>
        <v>7032</v>
      </c>
      <c r="AM58" s="14"/>
      <c r="AN58" s="10"/>
      <c r="AO58" s="11"/>
      <c r="AP58" s="11"/>
      <c r="AQ58" s="11"/>
      <c r="AR58" s="12"/>
      <c r="AS58" s="12"/>
      <c r="AT58" s="13"/>
      <c r="AV58" s="14"/>
      <c r="AW58" s="10"/>
      <c r="AX58" s="11"/>
      <c r="AY58" s="11"/>
      <c r="AZ58" s="11"/>
      <c r="BA58" s="12"/>
      <c r="BB58" s="12"/>
      <c r="BC58" s="13"/>
      <c r="BE58" s="14"/>
      <c r="BF58" s="10"/>
      <c r="BG58" s="11"/>
      <c r="BH58" s="11"/>
      <c r="BI58" s="11"/>
      <c r="BJ58" s="12"/>
      <c r="BK58" s="12"/>
      <c r="BL58" s="13"/>
      <c r="BN58" s="14"/>
      <c r="BO58" s="10"/>
      <c r="BP58" s="11"/>
      <c r="BQ58" s="11"/>
      <c r="BR58" s="11"/>
      <c r="BS58" s="12"/>
      <c r="BT58" s="12"/>
      <c r="BU58" s="13"/>
      <c r="BW58" s="14"/>
      <c r="BX58" s="10"/>
      <c r="BY58" s="11"/>
      <c r="BZ58" s="11"/>
      <c r="CA58" s="11"/>
      <c r="CB58" s="12"/>
      <c r="CC58" s="12"/>
      <c r="CD58" s="13"/>
      <c r="CF58" s="14"/>
      <c r="CG58" s="10"/>
      <c r="CH58" s="11"/>
      <c r="CI58" s="11"/>
      <c r="CJ58" s="11"/>
      <c r="CK58" s="12"/>
      <c r="CL58" s="12"/>
      <c r="CM58" s="13"/>
      <c r="CO58" s="13"/>
    </row>
    <row r="59" spans="1:93" x14ac:dyDescent="0.35">
      <c r="A59" s="5">
        <v>54</v>
      </c>
      <c r="B59" s="57">
        <f t="shared" si="7"/>
        <v>1000</v>
      </c>
      <c r="C59" s="16">
        <f>ROUND(B59*(1+'Interest rate projection'!AB61/Var_freq)+IF(C$5="Mortgage Starts",0,Deposit_mon),2)</f>
        <v>2003.67</v>
      </c>
      <c r="D59" s="16">
        <f>ROUND(C59*(1+'Interest rate projection'!AC61/Var_freq)+IF(D$5="Mortgage Starts",0,Deposit_mon),2)</f>
        <v>3011.43</v>
      </c>
      <c r="E59" s="16">
        <f>ROUND(D59*(1+'Interest rate projection'!AD61/Var_freq)+IF(E$5="Mortgage Starts",0,Deposit_mon),2)</f>
        <v>4023.7</v>
      </c>
      <c r="F59" s="16">
        <f>ROUND(E59*(1+'Interest rate projection'!AE61/Var_freq)+IF(F$5="Mortgage Starts",0,Deposit_mon),2)</f>
        <v>5041.6899999999996</v>
      </c>
      <c r="G59" s="16">
        <f>ROUND(F59*(1+'Interest rate projection'!AF61/Var_freq)+IF(G$5="Mortgage Starts",0,Deposit_mon),2)</f>
        <v>6064.23</v>
      </c>
      <c r="H59" s="16">
        <f>ROUND(G59*(1+'Interest rate projection'!AG61/Var_freq)+IF(H$5="Mortgage Starts",0,Deposit_mon),2)</f>
        <v>7088.94</v>
      </c>
      <c r="I59" s="16">
        <f>ROUND(H59*(1+'Interest rate projection'!AH61/Var_freq)+IF(I$5="Mortgage Starts",0,Deposit_mon),2)</f>
        <v>8117.82</v>
      </c>
      <c r="J59" s="16">
        <f>ROUND(I59*(1+'Interest rate projection'!AI61/Var_freq)+IF(J$5="Mortgage Starts",0,Deposit_mon),2)</f>
        <v>9150.89</v>
      </c>
      <c r="K59" s="16">
        <f>ROUND(J59*(1+'Interest rate projection'!AJ61/Var_freq)+IF(K$5="Mortgage Starts",0,Deposit_mon),2)</f>
        <v>10188.17</v>
      </c>
      <c r="L59" s="16">
        <f>ROUND(K59*(1+'Interest rate projection'!AK61/Var_freq)+IF(L$5="Mortgage Starts",0,Deposit_mon),2)</f>
        <v>11229.68</v>
      </c>
      <c r="M59" s="16">
        <f>ROUND(L59*(1+'Interest rate projection'!AL61/Var_freq)+IF(M$5="Mortgage Starts",0,Deposit_mon),2)</f>
        <v>12270.95</v>
      </c>
      <c r="N59" s="16">
        <f>ROUND(M59*(1+'Interest rate projection'!AM61/Var_freq)+IF(N$5="Mortgage Starts",0,Deposit_mon),2)</f>
        <v>13316.04</v>
      </c>
      <c r="O59" s="16">
        <f>ROUND(N59*(1+'Interest rate projection'!AN61/Var_freq)+IF(O$5="Mortgage Starts",0,Deposit_mon),2)</f>
        <v>14367.64</v>
      </c>
      <c r="P59" s="16">
        <f>ROUND(O59*(1+'Interest rate projection'!AO61/Var_freq)+IF(P$5="Mortgage Starts",0,Deposit_mon),2)</f>
        <v>15423.31</v>
      </c>
      <c r="Q59" s="16">
        <f>ROUND(P59*(1+'Interest rate projection'!AP61/Var_freq)+IF(Q$5="Mortgage Starts",0,Deposit_mon),2)</f>
        <v>16483.07</v>
      </c>
      <c r="R59" s="16">
        <f>ROUND(Q59*(1+'Interest rate projection'!AQ61/Var_freq)+IF(R$5="Mortgage Starts",0,Deposit_mon),2)</f>
        <v>17546.939999999999</v>
      </c>
      <c r="S59" s="16">
        <f>ROUND(R59*(1+'Interest rate projection'!AR61/Var_freq)+IF(S$5="Mortgage Starts",0,Deposit_mon),2)</f>
        <v>18614.93</v>
      </c>
      <c r="T59" s="16">
        <f>ROUND(S59*(1+'Interest rate projection'!AS61/Var_freq)+IF(T$5="Mortgage Starts",0,Deposit_mon),2)</f>
        <v>19687.060000000001</v>
      </c>
      <c r="U59" s="16">
        <f>ROUND(T59*(1+'Interest rate projection'!AT61/Var_freq)+IF(U$5="Mortgage Starts",0,Deposit_mon),2)</f>
        <v>20763.34</v>
      </c>
      <c r="V59" s="16">
        <f>ROUND(U59*(1+'Interest rate projection'!AU61/Var_freq)+IF(V$5="Mortgage Starts",0,Deposit_mon),2)</f>
        <v>21843.79</v>
      </c>
      <c r="W59" s="16">
        <f>ROUND(V59*(1+'Interest rate projection'!AV61/Var_freq)+IF(W$5="Mortgage Starts",0,Deposit_mon),2)</f>
        <v>22932.78</v>
      </c>
      <c r="X59" s="16">
        <f>ROUND(W59*(1+'Interest rate projection'!AW61/Var_freq)+IF(X$5="Mortgage Starts",0,Deposit_mon),2)</f>
        <v>24026.21</v>
      </c>
      <c r="Y59" s="16">
        <f>ROUND(X59*(1+'Interest rate projection'!AX61/Var_freq)+IF(Y$5="Mortgage Starts",0,Deposit_mon),2)</f>
        <v>25124.1</v>
      </c>
      <c r="Z59" s="57">
        <f>ROUND(Y59*(1+'Interest rate projection'!AY61/Var_freq)+IF(Z$5="Mortgage Starts",0,Deposit_mon),2)</f>
        <v>25226.46</v>
      </c>
      <c r="AA59" s="12"/>
      <c r="AB59" s="38">
        <f>'Interest rate projection'!Z61</f>
        <v>5.000000000000001E-2</v>
      </c>
      <c r="AC59" s="38">
        <f>'Interest rate projection'!AZ61</f>
        <v>4.8889485403780242E-2</v>
      </c>
      <c r="AD59" s="59" t="str">
        <f t="shared" si="8"/>
        <v>OK</v>
      </c>
      <c r="AE59" s="39">
        <f t="shared" si="9"/>
        <v>14.4140856153857</v>
      </c>
      <c r="AF59" s="10"/>
      <c r="AG59" s="73">
        <f t="shared" si="5"/>
        <v>25226.46</v>
      </c>
      <c r="AH59" s="73">
        <f t="shared" si="6"/>
        <v>174773.54</v>
      </c>
      <c r="AI59" s="74">
        <f t="shared" si="10"/>
        <v>1010.43</v>
      </c>
      <c r="AJ59" s="9"/>
      <c r="AK59" s="73">
        <f>'Fixed rate projection'!$AE$3-('Variable rate projection'!AI59*Product_term*Var_freq)</f>
        <v>-60</v>
      </c>
      <c r="AM59" s="14"/>
      <c r="AN59" s="10"/>
      <c r="AO59" s="11"/>
      <c r="AP59" s="11"/>
      <c r="AQ59" s="11"/>
      <c r="AR59" s="12"/>
      <c r="AS59" s="12"/>
      <c r="AT59" s="13"/>
      <c r="AV59" s="14"/>
      <c r="AW59" s="10"/>
      <c r="AX59" s="11"/>
      <c r="AY59" s="11"/>
      <c r="AZ59" s="11"/>
      <c r="BA59" s="12"/>
      <c r="BB59" s="12"/>
      <c r="BC59" s="13"/>
      <c r="BE59" s="14"/>
      <c r="BF59" s="10"/>
      <c r="BG59" s="11"/>
      <c r="BH59" s="11"/>
      <c r="BI59" s="11"/>
      <c r="BJ59" s="12"/>
      <c r="BK59" s="12"/>
      <c r="BL59" s="13"/>
      <c r="BN59" s="14"/>
      <c r="BO59" s="10"/>
      <c r="BP59" s="11"/>
      <c r="BQ59" s="11"/>
      <c r="BR59" s="11"/>
      <c r="BS59" s="12"/>
      <c r="BT59" s="12"/>
      <c r="BU59" s="13"/>
      <c r="BW59" s="14"/>
      <c r="BX59" s="10"/>
      <c r="BY59" s="11"/>
      <c r="BZ59" s="11"/>
      <c r="CA59" s="11"/>
      <c r="CB59" s="12"/>
      <c r="CC59" s="12"/>
      <c r="CD59" s="13"/>
      <c r="CF59" s="14"/>
      <c r="CG59" s="10"/>
      <c r="CH59" s="11"/>
      <c r="CI59" s="11"/>
      <c r="CJ59" s="11"/>
      <c r="CK59" s="12"/>
      <c r="CL59" s="12"/>
      <c r="CM59" s="13"/>
      <c r="CO59" s="13"/>
    </row>
    <row r="60" spans="1:93" x14ac:dyDescent="0.35">
      <c r="A60" s="27">
        <v>55</v>
      </c>
      <c r="B60" s="57">
        <f t="shared" si="7"/>
        <v>1000</v>
      </c>
      <c r="C60" s="16">
        <f>ROUND(B60*(1+'Interest rate projection'!AB62/Var_freq)+IF(C$5="Mortgage Starts",0,Deposit_mon),2)</f>
        <v>2003.67</v>
      </c>
      <c r="D60" s="16">
        <f>ROUND(C60*(1+'Interest rate projection'!AC62/Var_freq)+IF(D$5="Mortgage Starts",0,Deposit_mon),2)</f>
        <v>3011.03</v>
      </c>
      <c r="E60" s="16">
        <f>ROUND(D60*(1+'Interest rate projection'!AD62/Var_freq)+IF(E$5="Mortgage Starts",0,Deposit_mon),2)</f>
        <v>4022.09</v>
      </c>
      <c r="F60" s="16">
        <f>ROUND(E60*(1+'Interest rate projection'!AE62/Var_freq)+IF(F$5="Mortgage Starts",0,Deposit_mon),2)</f>
        <v>5036.87</v>
      </c>
      <c r="G60" s="16">
        <f>ROUND(F60*(1+'Interest rate projection'!AF62/Var_freq)+IF(G$5="Mortgage Starts",0,Deposit_mon),2)</f>
        <v>6055.38</v>
      </c>
      <c r="H60" s="16">
        <f>ROUND(G60*(1+'Interest rate projection'!AG62/Var_freq)+IF(H$5="Mortgage Starts",0,Deposit_mon),2)</f>
        <v>7078.84</v>
      </c>
      <c r="I60" s="16">
        <f>ROUND(H60*(1+'Interest rate projection'!AH62/Var_freq)+IF(I$5="Mortgage Starts",0,Deposit_mon),2)</f>
        <v>8106.27</v>
      </c>
      <c r="J60" s="16">
        <f>ROUND(I60*(1+'Interest rate projection'!AI62/Var_freq)+IF(J$5="Mortgage Starts",0,Deposit_mon),2)</f>
        <v>9137.68</v>
      </c>
      <c r="K60" s="16">
        <f>ROUND(J60*(1+'Interest rate projection'!AJ62/Var_freq)+IF(K$5="Mortgage Starts",0,Deposit_mon),2)</f>
        <v>10173.09</v>
      </c>
      <c r="L60" s="16">
        <f>ROUND(K60*(1+'Interest rate projection'!AK62/Var_freq)+IF(L$5="Mortgage Starts",0,Deposit_mon),2)</f>
        <v>11212.51</v>
      </c>
      <c r="M60" s="16">
        <f>ROUND(L60*(1+'Interest rate projection'!AL62/Var_freq)+IF(M$5="Mortgage Starts",0,Deposit_mon),2)</f>
        <v>12255.95</v>
      </c>
      <c r="N60" s="16">
        <f>ROUND(M60*(1+'Interest rate projection'!AM62/Var_freq)+IF(N$5="Mortgage Starts",0,Deposit_mon),2)</f>
        <v>13303.44</v>
      </c>
      <c r="O60" s="16">
        <f>ROUND(N60*(1+'Interest rate projection'!AN62/Var_freq)+IF(O$5="Mortgage Starts",0,Deposit_mon),2)</f>
        <v>14354.99</v>
      </c>
      <c r="P60" s="16">
        <f>ROUND(O60*(1+'Interest rate projection'!AO62/Var_freq)+IF(P$5="Mortgage Starts",0,Deposit_mon),2)</f>
        <v>15410.61</v>
      </c>
      <c r="Q60" s="16">
        <f>ROUND(P60*(1+'Interest rate projection'!AP62/Var_freq)+IF(Q$5="Mortgage Starts",0,Deposit_mon),2)</f>
        <v>16470.32</v>
      </c>
      <c r="R60" s="16">
        <f>ROUND(Q60*(1+'Interest rate projection'!AQ62/Var_freq)+IF(R$5="Mortgage Starts",0,Deposit_mon),2)</f>
        <v>17534.14</v>
      </c>
      <c r="S60" s="16">
        <f>ROUND(R60*(1+'Interest rate projection'!AR62/Var_freq)+IF(S$5="Mortgage Starts",0,Deposit_mon),2)</f>
        <v>18602.080000000002</v>
      </c>
      <c r="T60" s="16">
        <f>ROUND(S60*(1+'Interest rate projection'!AS62/Var_freq)+IF(T$5="Mortgage Starts",0,Deposit_mon),2)</f>
        <v>19674.16</v>
      </c>
      <c r="U60" s="16">
        <f>ROUND(T60*(1+'Interest rate projection'!AT62/Var_freq)+IF(U$5="Mortgage Starts",0,Deposit_mon),2)</f>
        <v>20750.39</v>
      </c>
      <c r="V60" s="16">
        <f>ROUND(U60*(1+'Interest rate projection'!AU62/Var_freq)+IF(V$5="Mortgage Starts",0,Deposit_mon),2)</f>
        <v>21830.79</v>
      </c>
      <c r="W60" s="16">
        <f>ROUND(V60*(1+'Interest rate projection'!AV62/Var_freq)+IF(W$5="Mortgage Starts",0,Deposit_mon),2)</f>
        <v>22915.38</v>
      </c>
      <c r="X60" s="16">
        <f>ROUND(W60*(1+'Interest rate projection'!AW62/Var_freq)+IF(X$5="Mortgage Starts",0,Deposit_mon),2)</f>
        <v>24004.17</v>
      </c>
      <c r="Y60" s="16">
        <f>ROUND(X60*(1+'Interest rate projection'!AX62/Var_freq)+IF(Y$5="Mortgage Starts",0,Deposit_mon),2)</f>
        <v>25097.18</v>
      </c>
      <c r="Z60" s="57">
        <f>ROUND(Y60*(1+'Interest rate projection'!AY62/Var_freq)+IF(Z$5="Mortgage Starts",0,Deposit_mon),2)</f>
        <v>25194.42</v>
      </c>
      <c r="AA60" s="12"/>
      <c r="AB60" s="38">
        <f>'Interest rate projection'!Z62</f>
        <v>4.7500000000000001E-2</v>
      </c>
      <c r="AC60" s="38">
        <f>'Interest rate projection'!AZ62</f>
        <v>4.6496219905550085E-2</v>
      </c>
      <c r="AD60" s="59" t="str">
        <f t="shared" si="8"/>
        <v>OK</v>
      </c>
      <c r="AE60" s="39">
        <f t="shared" si="9"/>
        <v>14.766012404082064</v>
      </c>
      <c r="AF60" s="10"/>
      <c r="AG60" s="73">
        <f t="shared" si="5"/>
        <v>25194.42</v>
      </c>
      <c r="AH60" s="73">
        <f t="shared" si="6"/>
        <v>174805.58000000002</v>
      </c>
      <c r="AI60" s="74">
        <f t="shared" si="10"/>
        <v>986.53</v>
      </c>
      <c r="AJ60" s="9"/>
      <c r="AK60" s="73">
        <f>'Fixed rate projection'!$AE$3-('Variable rate projection'!AI60*Product_term*Var_freq)</f>
        <v>7110</v>
      </c>
      <c r="AM60" s="14"/>
      <c r="AN60" s="10"/>
      <c r="AO60" s="11"/>
      <c r="AP60" s="11"/>
      <c r="AQ60" s="11"/>
      <c r="AR60" s="12"/>
      <c r="AS60" s="12"/>
      <c r="AT60" s="13"/>
      <c r="AV60" s="14"/>
      <c r="AW60" s="10"/>
      <c r="AX60" s="11"/>
      <c r="AY60" s="11"/>
      <c r="AZ60" s="11"/>
      <c r="BA60" s="12"/>
      <c r="BB60" s="12"/>
      <c r="BC60" s="13"/>
      <c r="BE60" s="14"/>
      <c r="BF60" s="10"/>
      <c r="BG60" s="11"/>
      <c r="BH60" s="11"/>
      <c r="BI60" s="11"/>
      <c r="BJ60" s="12"/>
      <c r="BK60" s="12"/>
      <c r="BL60" s="13"/>
      <c r="BN60" s="14"/>
      <c r="BO60" s="10"/>
      <c r="BP60" s="11"/>
      <c r="BQ60" s="11"/>
      <c r="BR60" s="11"/>
      <c r="BS60" s="12"/>
      <c r="BT60" s="12"/>
      <c r="BU60" s="13"/>
      <c r="BW60" s="14"/>
      <c r="BX60" s="10"/>
      <c r="BY60" s="11"/>
      <c r="BZ60" s="11"/>
      <c r="CA60" s="11"/>
      <c r="CB60" s="12"/>
      <c r="CC60" s="12"/>
      <c r="CD60" s="13"/>
      <c r="CF60" s="14"/>
      <c r="CG60" s="10"/>
      <c r="CH60" s="11"/>
      <c r="CI60" s="11"/>
      <c r="CJ60" s="11"/>
      <c r="CK60" s="12"/>
      <c r="CL60" s="12"/>
      <c r="CM60" s="13"/>
      <c r="CO60" s="13"/>
    </row>
    <row r="61" spans="1:93" x14ac:dyDescent="0.35">
      <c r="A61" s="5">
        <v>56</v>
      </c>
      <c r="B61" s="57">
        <f t="shared" si="7"/>
        <v>1000</v>
      </c>
      <c r="C61" s="16">
        <f>ROUND(B61*(1+'Interest rate projection'!AB63/Var_freq)+IF(C$5="Mortgage Starts",0,Deposit_mon),2)</f>
        <v>2003.67</v>
      </c>
      <c r="D61" s="16">
        <f>ROUND(C61*(1+'Interest rate projection'!AC63/Var_freq)+IF(D$5="Mortgage Starts",0,Deposit_mon),2)</f>
        <v>3011.03</v>
      </c>
      <c r="E61" s="16">
        <f>ROUND(D61*(1+'Interest rate projection'!AD63/Var_freq)+IF(E$5="Mortgage Starts",0,Deposit_mon),2)</f>
        <v>4022.7</v>
      </c>
      <c r="F61" s="16">
        <f>ROUND(E61*(1+'Interest rate projection'!AE63/Var_freq)+IF(F$5="Mortgage Starts",0,Deposit_mon),2)</f>
        <v>5038.29</v>
      </c>
      <c r="G61" s="16">
        <f>ROUND(F61*(1+'Interest rate projection'!AF63/Var_freq)+IF(G$5="Mortgage Starts",0,Deposit_mon),2)</f>
        <v>6057.81</v>
      </c>
      <c r="H61" s="16">
        <f>ROUND(G61*(1+'Interest rate projection'!AG63/Var_freq)+IF(H$5="Mortgage Starts",0,Deposit_mon),2)</f>
        <v>7081.28</v>
      </c>
      <c r="I61" s="16">
        <f>ROUND(H61*(1+'Interest rate projection'!AH63/Var_freq)+IF(I$5="Mortgage Starts",0,Deposit_mon),2)</f>
        <v>8108.72</v>
      </c>
      <c r="J61" s="16">
        <f>ROUND(I61*(1+'Interest rate projection'!AI63/Var_freq)+IF(J$5="Mortgage Starts",0,Deposit_mon),2)</f>
        <v>9140.14</v>
      </c>
      <c r="K61" s="16">
        <f>ROUND(J61*(1+'Interest rate projection'!AJ63/Var_freq)+IF(K$5="Mortgage Starts",0,Deposit_mon),2)</f>
        <v>10177.379999999999</v>
      </c>
      <c r="L61" s="16">
        <f>ROUND(K61*(1+'Interest rate projection'!AK63/Var_freq)+IF(L$5="Mortgage Starts",0,Deposit_mon),2)</f>
        <v>11218.84</v>
      </c>
      <c r="M61" s="16">
        <f>ROUND(L61*(1+'Interest rate projection'!AL63/Var_freq)+IF(M$5="Mortgage Starts",0,Deposit_mon),2)</f>
        <v>12266.78</v>
      </c>
      <c r="N61" s="16">
        <f>ROUND(M61*(1+'Interest rate projection'!AM63/Var_freq)+IF(N$5="Mortgage Starts",0,Deposit_mon),2)</f>
        <v>13319.2</v>
      </c>
      <c r="O61" s="16">
        <f>ROUND(N61*(1+'Interest rate projection'!AN63/Var_freq)+IF(O$5="Mortgage Starts",0,Deposit_mon),2)</f>
        <v>14376.11</v>
      </c>
      <c r="P61" s="16">
        <f>ROUND(O61*(1+'Interest rate projection'!AO63/Var_freq)+IF(P$5="Mortgage Starts",0,Deposit_mon),2)</f>
        <v>15443.24</v>
      </c>
      <c r="Q61" s="16">
        <f>ROUND(P61*(1+'Interest rate projection'!AP63/Var_freq)+IF(Q$5="Mortgage Starts",0,Deposit_mon),2)</f>
        <v>16515.36</v>
      </c>
      <c r="R61" s="16">
        <f>ROUND(Q61*(1+'Interest rate projection'!AQ63/Var_freq)+IF(R$5="Mortgage Starts",0,Deposit_mon),2)</f>
        <v>17585.93</v>
      </c>
      <c r="S61" s="16">
        <f>ROUND(R61*(1+'Interest rate projection'!AR63/Var_freq)+IF(S$5="Mortgage Starts",0,Deposit_mon),2)</f>
        <v>18661.080000000002</v>
      </c>
      <c r="T61" s="16">
        <f>ROUND(S61*(1+'Interest rate projection'!AS63/Var_freq)+IF(T$5="Mortgage Starts",0,Deposit_mon),2)</f>
        <v>19740.82</v>
      </c>
      <c r="U61" s="16">
        <f>ROUND(T61*(1+'Interest rate projection'!AT63/Var_freq)+IF(U$5="Mortgage Starts",0,Deposit_mon),2)</f>
        <v>20825.18</v>
      </c>
      <c r="V61" s="16">
        <f>ROUND(U61*(1+'Interest rate projection'!AU63/Var_freq)+IF(V$5="Mortgage Starts",0,Deposit_mon),2)</f>
        <v>21914.17</v>
      </c>
      <c r="W61" s="16">
        <f>ROUND(V61*(1+'Interest rate projection'!AV63/Var_freq)+IF(W$5="Mortgage Starts",0,Deposit_mon),2)</f>
        <v>23007.81</v>
      </c>
      <c r="X61" s="16">
        <f>ROUND(W61*(1+'Interest rate projection'!AW63/Var_freq)+IF(X$5="Mortgage Starts",0,Deposit_mon),2)</f>
        <v>24106.13</v>
      </c>
      <c r="Y61" s="16">
        <f>ROUND(X61*(1+'Interest rate projection'!AX63/Var_freq)+IF(Y$5="Mortgage Starts",0,Deposit_mon),2)</f>
        <v>25209.14</v>
      </c>
      <c r="Z61" s="57">
        <f>ROUND(Y61*(1+'Interest rate projection'!AY63/Var_freq)+IF(Z$5="Mortgage Starts",0,Deposit_mon),2)</f>
        <v>25316.86</v>
      </c>
      <c r="AA61" s="12"/>
      <c r="AB61" s="38">
        <f>'Interest rate projection'!Z63</f>
        <v>5.2500000000000005E-2</v>
      </c>
      <c r="AC61" s="38">
        <f>'Interest rate projection'!AZ63</f>
        <v>5.1277533193896829E-2</v>
      </c>
      <c r="AD61" s="59" t="str">
        <f t="shared" si="8"/>
        <v>OK</v>
      </c>
      <c r="AE61" s="39">
        <f t="shared" si="9"/>
        <v>14.075212462503044</v>
      </c>
      <c r="AF61" s="10"/>
      <c r="AG61" s="73">
        <f t="shared" si="5"/>
        <v>25316.86</v>
      </c>
      <c r="AH61" s="73">
        <f t="shared" si="6"/>
        <v>174683.14</v>
      </c>
      <c r="AI61" s="74">
        <f t="shared" si="10"/>
        <v>1034.22</v>
      </c>
      <c r="AJ61" s="9"/>
      <c r="AK61" s="73">
        <f>'Fixed rate projection'!$AE$3-('Variable rate projection'!AI61*Product_term*Var_freq)</f>
        <v>-7197</v>
      </c>
      <c r="AM61" s="14"/>
      <c r="AN61" s="10"/>
      <c r="AO61" s="11"/>
      <c r="AP61" s="11"/>
      <c r="AQ61" s="11"/>
      <c r="AR61" s="12"/>
      <c r="AS61" s="12"/>
      <c r="AT61" s="13"/>
      <c r="AV61" s="14"/>
      <c r="AW61" s="10"/>
      <c r="AX61" s="11"/>
      <c r="AY61" s="11"/>
      <c r="AZ61" s="11"/>
      <c r="BA61" s="12"/>
      <c r="BB61" s="12"/>
      <c r="BC61" s="13"/>
      <c r="BE61" s="14"/>
      <c r="BF61" s="10"/>
      <c r="BG61" s="11"/>
      <c r="BH61" s="11"/>
      <c r="BI61" s="11"/>
      <c r="BJ61" s="12"/>
      <c r="BK61" s="12"/>
      <c r="BL61" s="13"/>
      <c r="BN61" s="14"/>
      <c r="BO61" s="10"/>
      <c r="BP61" s="11"/>
      <c r="BQ61" s="11"/>
      <c r="BR61" s="11"/>
      <c r="BS61" s="12"/>
      <c r="BT61" s="12"/>
      <c r="BU61" s="13"/>
      <c r="BW61" s="14"/>
      <c r="BX61" s="10"/>
      <c r="BY61" s="11"/>
      <c r="BZ61" s="11"/>
      <c r="CA61" s="11"/>
      <c r="CB61" s="12"/>
      <c r="CC61" s="12"/>
      <c r="CD61" s="13"/>
      <c r="CF61" s="14"/>
      <c r="CG61" s="10"/>
      <c r="CH61" s="11"/>
      <c r="CI61" s="11"/>
      <c r="CJ61" s="11"/>
      <c r="CK61" s="12"/>
      <c r="CL61" s="12"/>
      <c r="CM61" s="13"/>
      <c r="CO61" s="13"/>
    </row>
    <row r="62" spans="1:93" x14ac:dyDescent="0.35">
      <c r="A62" s="27">
        <v>57</v>
      </c>
      <c r="B62" s="57">
        <f t="shared" si="7"/>
        <v>1000</v>
      </c>
      <c r="C62" s="16">
        <f>ROUND(B62*(1+'Interest rate projection'!AB64/Var_freq)+IF(C$5="Mortgage Starts",0,Deposit_mon),2)</f>
        <v>2003.67</v>
      </c>
      <c r="D62" s="16">
        <f>ROUND(C62*(1+'Interest rate projection'!AC64/Var_freq)+IF(D$5="Mortgage Starts",0,Deposit_mon),2)</f>
        <v>3011.03</v>
      </c>
      <c r="E62" s="16">
        <f>ROUND(D62*(1+'Interest rate projection'!AD64/Var_freq)+IF(E$5="Mortgage Starts",0,Deposit_mon),2)</f>
        <v>4022.09</v>
      </c>
      <c r="F62" s="16">
        <f>ROUND(E62*(1+'Interest rate projection'!AE64/Var_freq)+IF(F$5="Mortgage Starts",0,Deposit_mon),2)</f>
        <v>5036.87</v>
      </c>
      <c r="G62" s="16">
        <f>ROUND(F62*(1+'Interest rate projection'!AF64/Var_freq)+IF(G$5="Mortgage Starts",0,Deposit_mon),2)</f>
        <v>6055.38</v>
      </c>
      <c r="H62" s="16">
        <f>ROUND(G62*(1+'Interest rate projection'!AG64/Var_freq)+IF(H$5="Mortgage Starts",0,Deposit_mon),2)</f>
        <v>7077.63</v>
      </c>
      <c r="I62" s="16">
        <f>ROUND(H62*(1+'Interest rate projection'!AH64/Var_freq)+IF(I$5="Mortgage Starts",0,Deposit_mon),2)</f>
        <v>8103.64</v>
      </c>
      <c r="J62" s="16">
        <f>ROUND(I62*(1+'Interest rate projection'!AI64/Var_freq)+IF(J$5="Mortgage Starts",0,Deposit_mon),2)</f>
        <v>9133.42</v>
      </c>
      <c r="K62" s="16">
        <f>ROUND(J62*(1+'Interest rate projection'!AJ64/Var_freq)+IF(K$5="Mortgage Starts",0,Deposit_mon),2)</f>
        <v>10166.98</v>
      </c>
      <c r="L62" s="16">
        <f>ROUND(K62*(1+'Interest rate projection'!AK64/Var_freq)+IF(L$5="Mortgage Starts",0,Deposit_mon),2)</f>
        <v>11204.34</v>
      </c>
      <c r="M62" s="16">
        <f>ROUND(L62*(1+'Interest rate projection'!AL64/Var_freq)+IF(M$5="Mortgage Starts",0,Deposit_mon),2)</f>
        <v>12245.51</v>
      </c>
      <c r="N62" s="16">
        <f>ROUND(M62*(1+'Interest rate projection'!AM64/Var_freq)+IF(N$5="Mortgage Starts",0,Deposit_mon),2)</f>
        <v>13290.51</v>
      </c>
      <c r="O62" s="16">
        <f>ROUND(N62*(1+'Interest rate projection'!AN64/Var_freq)+IF(O$5="Mortgage Starts",0,Deposit_mon),2)</f>
        <v>14339.35</v>
      </c>
      <c r="P62" s="16">
        <f>ROUND(O62*(1+'Interest rate projection'!AO64/Var_freq)+IF(P$5="Mortgage Starts",0,Deposit_mon),2)</f>
        <v>15392.04</v>
      </c>
      <c r="Q62" s="16">
        <f>ROUND(P62*(1+'Interest rate projection'!AP64/Var_freq)+IF(Q$5="Mortgage Starts",0,Deposit_mon),2)</f>
        <v>16448.599999999999</v>
      </c>
      <c r="R62" s="16">
        <f>ROUND(Q62*(1+'Interest rate projection'!AQ64/Var_freq)+IF(R$5="Mortgage Starts",0,Deposit_mon),2)</f>
        <v>17509.05</v>
      </c>
      <c r="S62" s="16">
        <f>ROUND(R62*(1+'Interest rate projection'!AR64/Var_freq)+IF(S$5="Mortgage Starts",0,Deposit_mon),2)</f>
        <v>18573.39</v>
      </c>
      <c r="T62" s="16">
        <f>ROUND(S62*(1+'Interest rate projection'!AS64/Var_freq)+IF(T$5="Mortgage Starts",0,Deposit_mon),2)</f>
        <v>19641.64</v>
      </c>
      <c r="U62" s="16">
        <f>ROUND(T62*(1+'Interest rate projection'!AT64/Var_freq)+IF(U$5="Mortgage Starts",0,Deposit_mon),2)</f>
        <v>20713.82</v>
      </c>
      <c r="V62" s="16">
        <f>ROUND(U62*(1+'Interest rate projection'!AU64/Var_freq)+IF(V$5="Mortgage Starts",0,Deposit_mon),2)</f>
        <v>21789.94</v>
      </c>
      <c r="W62" s="16">
        <f>ROUND(V62*(1+'Interest rate projection'!AV64/Var_freq)+IF(W$5="Mortgage Starts",0,Deposit_mon),2)</f>
        <v>22870.01</v>
      </c>
      <c r="X62" s="16">
        <f>ROUND(W62*(1+'Interest rate projection'!AW64/Var_freq)+IF(X$5="Mortgage Starts",0,Deposit_mon),2)</f>
        <v>23954.05</v>
      </c>
      <c r="Y62" s="16">
        <f>ROUND(X62*(1+'Interest rate projection'!AX64/Var_freq)+IF(Y$5="Mortgage Starts",0,Deposit_mon),2)</f>
        <v>25037.279999999999</v>
      </c>
      <c r="Z62" s="57">
        <f>ROUND(Y62*(1+'Interest rate projection'!AY64/Var_freq)+IF(Z$5="Mortgage Starts",0,Deposit_mon),2)</f>
        <v>25119.25</v>
      </c>
      <c r="AA62" s="12"/>
      <c r="AB62" s="38">
        <f>'Interest rate projection'!Z64</f>
        <v>3.9999999999999994E-2</v>
      </c>
      <c r="AC62" s="38">
        <f>'Interest rate projection'!AZ64</f>
        <v>3.9284877386386974E-2</v>
      </c>
      <c r="AD62" s="59" t="str">
        <f t="shared" si="8"/>
        <v>OK</v>
      </c>
      <c r="AE62" s="39">
        <f t="shared" si="9"/>
        <v>15.906456614335044</v>
      </c>
      <c r="AF62" s="10"/>
      <c r="AG62" s="73">
        <f t="shared" si="5"/>
        <v>25119.25</v>
      </c>
      <c r="AH62" s="73">
        <f t="shared" si="6"/>
        <v>174880.75</v>
      </c>
      <c r="AI62" s="74">
        <f t="shared" si="10"/>
        <v>916.19</v>
      </c>
      <c r="AJ62" s="9"/>
      <c r="AK62" s="73">
        <f>'Fixed rate projection'!$AE$3-('Variable rate projection'!AI62*Product_term*Var_freq)</f>
        <v>28212</v>
      </c>
      <c r="AM62" s="14"/>
      <c r="AN62" s="10"/>
      <c r="AO62" s="11"/>
      <c r="AP62" s="11"/>
      <c r="AQ62" s="11"/>
      <c r="AR62" s="12"/>
      <c r="AS62" s="12"/>
      <c r="AT62" s="13"/>
      <c r="AV62" s="14"/>
      <c r="AW62" s="10"/>
      <c r="AX62" s="11"/>
      <c r="AY62" s="11"/>
      <c r="AZ62" s="11"/>
      <c r="BA62" s="12"/>
      <c r="BB62" s="12"/>
      <c r="BC62" s="13"/>
      <c r="BE62" s="14"/>
      <c r="BF62" s="10"/>
      <c r="BG62" s="11"/>
      <c r="BH62" s="11"/>
      <c r="BI62" s="11"/>
      <c r="BJ62" s="12"/>
      <c r="BK62" s="12"/>
      <c r="BL62" s="13"/>
      <c r="BN62" s="14"/>
      <c r="BO62" s="10"/>
      <c r="BP62" s="11"/>
      <c r="BQ62" s="11"/>
      <c r="BR62" s="11"/>
      <c r="BS62" s="12"/>
      <c r="BT62" s="12"/>
      <c r="BU62" s="13"/>
      <c r="BW62" s="14"/>
      <c r="BX62" s="10"/>
      <c r="BY62" s="11"/>
      <c r="BZ62" s="11"/>
      <c r="CA62" s="11"/>
      <c r="CB62" s="12"/>
      <c r="CC62" s="12"/>
      <c r="CD62" s="13"/>
      <c r="CF62" s="14"/>
      <c r="CG62" s="10"/>
      <c r="CH62" s="11"/>
      <c r="CI62" s="11"/>
      <c r="CJ62" s="11"/>
      <c r="CK62" s="12"/>
      <c r="CL62" s="12"/>
      <c r="CM62" s="13"/>
      <c r="CO62" s="13"/>
    </row>
    <row r="63" spans="1:93" x14ac:dyDescent="0.35">
      <c r="A63" s="5">
        <v>58</v>
      </c>
      <c r="B63" s="57">
        <f t="shared" si="7"/>
        <v>1000</v>
      </c>
      <c r="C63" s="16">
        <f>ROUND(B63*(1+'Interest rate projection'!AB65/Var_freq)+IF(C$5="Mortgage Starts",0,Deposit_mon),2)</f>
        <v>2003.67</v>
      </c>
      <c r="D63" s="16">
        <f>ROUND(C63*(1+'Interest rate projection'!AC65/Var_freq)+IF(D$5="Mortgage Starts",0,Deposit_mon),2)</f>
        <v>3011.03</v>
      </c>
      <c r="E63" s="16">
        <f>ROUND(D63*(1+'Interest rate projection'!AD65/Var_freq)+IF(E$5="Mortgage Starts",0,Deposit_mon),2)</f>
        <v>4020.89</v>
      </c>
      <c r="F63" s="16">
        <f>ROUND(E63*(1+'Interest rate projection'!AE65/Var_freq)+IF(F$5="Mortgage Starts",0,Deposit_mon),2)</f>
        <v>5034.05</v>
      </c>
      <c r="G63" s="16">
        <f>ROUND(F63*(1+'Interest rate projection'!AF65/Var_freq)+IF(G$5="Mortgage Starts",0,Deposit_mon),2)</f>
        <v>6050.53</v>
      </c>
      <c r="H63" s="16">
        <f>ROUND(G63*(1+'Interest rate projection'!AG65/Var_freq)+IF(H$5="Mortgage Starts",0,Deposit_mon),2)</f>
        <v>7070.34</v>
      </c>
      <c r="I63" s="16">
        <f>ROUND(H63*(1+'Interest rate projection'!AH65/Var_freq)+IF(I$5="Mortgage Starts",0,Deposit_mon),2)</f>
        <v>8093.49</v>
      </c>
      <c r="J63" s="16">
        <f>ROUND(I63*(1+'Interest rate projection'!AI65/Var_freq)+IF(J$5="Mortgage Starts",0,Deposit_mon),2)</f>
        <v>9119.99</v>
      </c>
      <c r="K63" s="16">
        <f>ROUND(J63*(1+'Interest rate projection'!AJ65/Var_freq)+IF(K$5="Mortgage Starts",0,Deposit_mon),2)</f>
        <v>10149.85</v>
      </c>
      <c r="L63" s="16">
        <f>ROUND(K63*(1+'Interest rate projection'!AK65/Var_freq)+IF(L$5="Mortgage Starts",0,Deposit_mon),2)</f>
        <v>11183.08</v>
      </c>
      <c r="M63" s="16">
        <f>ROUND(L63*(1+'Interest rate projection'!AL65/Var_freq)+IF(M$5="Mortgage Starts",0,Deposit_mon),2)</f>
        <v>12219.69</v>
      </c>
      <c r="N63" s="16">
        <f>ROUND(M63*(1+'Interest rate projection'!AM65/Var_freq)+IF(N$5="Mortgage Starts",0,Deposit_mon),2)</f>
        <v>13259.69</v>
      </c>
      <c r="O63" s="16">
        <f>ROUND(N63*(1+'Interest rate projection'!AN65/Var_freq)+IF(O$5="Mortgage Starts",0,Deposit_mon),2)</f>
        <v>14303.1</v>
      </c>
      <c r="P63" s="16">
        <f>ROUND(O63*(1+'Interest rate projection'!AO65/Var_freq)+IF(P$5="Mortgage Starts",0,Deposit_mon),2)</f>
        <v>15349.92</v>
      </c>
      <c r="Q63" s="16">
        <f>ROUND(P63*(1+'Interest rate projection'!AP65/Var_freq)+IF(Q$5="Mortgage Starts",0,Deposit_mon),2)</f>
        <v>16400.169999999998</v>
      </c>
      <c r="R63" s="16">
        <f>ROUND(Q63*(1+'Interest rate projection'!AQ65/Var_freq)+IF(R$5="Mortgage Starts",0,Deposit_mon),2)</f>
        <v>17453.86</v>
      </c>
      <c r="S63" s="16">
        <f>ROUND(R63*(1+'Interest rate projection'!AR65/Var_freq)+IF(S$5="Mortgage Starts",0,Deposit_mon),2)</f>
        <v>18511</v>
      </c>
      <c r="T63" s="16">
        <f>ROUND(S63*(1+'Interest rate projection'!AS65/Var_freq)+IF(T$5="Mortgage Starts",0,Deposit_mon),2)</f>
        <v>19571.599999999999</v>
      </c>
      <c r="U63" s="16">
        <f>ROUND(T63*(1+'Interest rate projection'!AT65/Var_freq)+IF(U$5="Mortgage Starts",0,Deposit_mon),2)</f>
        <v>20635.669999999998</v>
      </c>
      <c r="V63" s="16">
        <f>ROUND(U63*(1+'Interest rate projection'!AU65/Var_freq)+IF(V$5="Mortgage Starts",0,Deposit_mon),2)</f>
        <v>21703.23</v>
      </c>
      <c r="W63" s="16">
        <f>ROUND(V63*(1+'Interest rate projection'!AV65/Var_freq)+IF(W$5="Mortgage Starts",0,Deposit_mon),2)</f>
        <v>22774.28</v>
      </c>
      <c r="X63" s="16">
        <f>ROUND(W63*(1+'Interest rate projection'!AW65/Var_freq)+IF(X$5="Mortgage Starts",0,Deposit_mon),2)</f>
        <v>23848.84</v>
      </c>
      <c r="Y63" s="16">
        <f>ROUND(X63*(1+'Interest rate projection'!AX65/Var_freq)+IF(Y$5="Mortgage Starts",0,Deposit_mon),2)</f>
        <v>24917.31</v>
      </c>
      <c r="Z63" s="57">
        <f>ROUND(Y63*(1+'Interest rate projection'!AY65/Var_freq)+IF(Z$5="Mortgage Starts",0,Deposit_mon),2)</f>
        <v>24988.85</v>
      </c>
      <c r="AA63" s="12"/>
      <c r="AB63" s="38">
        <f>'Interest rate projection'!Z65</f>
        <v>3.5000000000000003E-2</v>
      </c>
      <c r="AC63" s="38">
        <f>'Interest rate projection'!AZ65</f>
        <v>3.4450784628919706E-2</v>
      </c>
      <c r="AD63" s="59" t="str">
        <f t="shared" si="8"/>
        <v>OK</v>
      </c>
      <c r="AE63" s="39">
        <f t="shared" si="9"/>
        <v>16.744263358395965</v>
      </c>
      <c r="AF63" s="10"/>
      <c r="AG63" s="73">
        <f t="shared" si="5"/>
        <v>24988.85</v>
      </c>
      <c r="AH63" s="73">
        <f t="shared" si="6"/>
        <v>175011.15</v>
      </c>
      <c r="AI63" s="74">
        <f t="shared" si="10"/>
        <v>871</v>
      </c>
      <c r="AJ63" s="9"/>
      <c r="AK63" s="73">
        <f>'Fixed rate projection'!$AE$3-('Variable rate projection'!AI63*Product_term*Var_freq)</f>
        <v>41769</v>
      </c>
      <c r="AM63" s="14"/>
      <c r="AN63" s="10"/>
      <c r="AO63" s="11"/>
      <c r="AP63" s="11"/>
      <c r="AQ63" s="11"/>
      <c r="AR63" s="12"/>
      <c r="AS63" s="12"/>
      <c r="AT63" s="13"/>
      <c r="AV63" s="14"/>
      <c r="AW63" s="10"/>
      <c r="AX63" s="11"/>
      <c r="AY63" s="11"/>
      <c r="AZ63" s="11"/>
      <c r="BA63" s="12"/>
      <c r="BB63" s="12"/>
      <c r="BC63" s="13"/>
      <c r="BE63" s="14"/>
      <c r="BF63" s="10"/>
      <c r="BG63" s="11"/>
      <c r="BH63" s="11"/>
      <c r="BI63" s="11"/>
      <c r="BJ63" s="12"/>
      <c r="BK63" s="12"/>
      <c r="BL63" s="13"/>
      <c r="BN63" s="14"/>
      <c r="BO63" s="10"/>
      <c r="BP63" s="11"/>
      <c r="BQ63" s="11"/>
      <c r="BR63" s="11"/>
      <c r="BS63" s="12"/>
      <c r="BT63" s="12"/>
      <c r="BU63" s="13"/>
      <c r="BW63" s="14"/>
      <c r="BX63" s="10"/>
      <c r="BY63" s="11"/>
      <c r="BZ63" s="11"/>
      <c r="CA63" s="11"/>
      <c r="CB63" s="12"/>
      <c r="CC63" s="12"/>
      <c r="CD63" s="13"/>
      <c r="CF63" s="14"/>
      <c r="CG63" s="10"/>
      <c r="CH63" s="11"/>
      <c r="CI63" s="11"/>
      <c r="CJ63" s="11"/>
      <c r="CK63" s="12"/>
      <c r="CL63" s="12"/>
      <c r="CM63" s="13"/>
      <c r="CO63" s="13"/>
    </row>
    <row r="64" spans="1:93" x14ac:dyDescent="0.35">
      <c r="A64" s="27">
        <v>59</v>
      </c>
      <c r="B64" s="57">
        <f t="shared" si="7"/>
        <v>1000</v>
      </c>
      <c r="C64" s="16">
        <f>ROUND(B64*(1+'Interest rate projection'!AB66/Var_freq)+IF(C$5="Mortgage Starts",0,Deposit_mon),2)</f>
        <v>2003.67</v>
      </c>
      <c r="D64" s="16">
        <f>ROUND(C64*(1+'Interest rate projection'!AC66/Var_freq)+IF(D$5="Mortgage Starts",0,Deposit_mon),2)</f>
        <v>3011.03</v>
      </c>
      <c r="E64" s="16">
        <f>ROUND(D64*(1+'Interest rate projection'!AD66/Var_freq)+IF(E$5="Mortgage Starts",0,Deposit_mon),2)</f>
        <v>4021.49</v>
      </c>
      <c r="F64" s="16">
        <f>ROUND(E64*(1+'Interest rate projection'!AE66/Var_freq)+IF(F$5="Mortgage Starts",0,Deposit_mon),2)</f>
        <v>5035.46</v>
      </c>
      <c r="G64" s="16">
        <f>ROUND(F64*(1+'Interest rate projection'!AF66/Var_freq)+IF(G$5="Mortgage Starts",0,Deposit_mon),2)</f>
        <v>6052.96</v>
      </c>
      <c r="H64" s="16">
        <f>ROUND(G64*(1+'Interest rate projection'!AG66/Var_freq)+IF(H$5="Mortgage Starts",0,Deposit_mon),2)</f>
        <v>7073.99</v>
      </c>
      <c r="I64" s="16">
        <f>ROUND(H64*(1+'Interest rate projection'!AH66/Var_freq)+IF(I$5="Mortgage Starts",0,Deposit_mon),2)</f>
        <v>8097.15</v>
      </c>
      <c r="J64" s="16">
        <f>ROUND(I64*(1+'Interest rate projection'!AI66/Var_freq)+IF(J$5="Mortgage Starts",0,Deposit_mon),2)</f>
        <v>9126.91</v>
      </c>
      <c r="K64" s="16">
        <f>ROUND(J64*(1+'Interest rate projection'!AJ66/Var_freq)+IF(K$5="Mortgage Starts",0,Deposit_mon),2)</f>
        <v>10160.450000000001</v>
      </c>
      <c r="L64" s="16">
        <f>ROUND(K64*(1+'Interest rate projection'!AK66/Var_freq)+IF(L$5="Mortgage Starts",0,Deposit_mon),2)</f>
        <v>11201.84</v>
      </c>
      <c r="M64" s="16">
        <f>ROUND(L64*(1+'Interest rate projection'!AL66/Var_freq)+IF(M$5="Mortgage Starts",0,Deposit_mon),2)</f>
        <v>12247.48</v>
      </c>
      <c r="N64" s="16">
        <f>ROUND(M64*(1+'Interest rate projection'!AM66/Var_freq)+IF(N$5="Mortgage Starts",0,Deposit_mon),2)</f>
        <v>13297.38</v>
      </c>
      <c r="O64" s="16">
        <f>ROUND(N64*(1+'Interest rate projection'!AN66/Var_freq)+IF(O$5="Mortgage Starts",0,Deposit_mon),2)</f>
        <v>14351.56</v>
      </c>
      <c r="P64" s="16">
        <f>ROUND(O64*(1+'Interest rate projection'!AO66/Var_freq)+IF(P$5="Mortgage Starts",0,Deposit_mon),2)</f>
        <v>15410.03</v>
      </c>
      <c r="Q64" s="16">
        <f>ROUND(P64*(1+'Interest rate projection'!AP66/Var_freq)+IF(Q$5="Mortgage Starts",0,Deposit_mon),2)</f>
        <v>16472.810000000001</v>
      </c>
      <c r="R64" s="16">
        <f>ROUND(Q64*(1+'Interest rate projection'!AQ66/Var_freq)+IF(R$5="Mortgage Starts",0,Deposit_mon),2)</f>
        <v>17539.919999999998</v>
      </c>
      <c r="S64" s="16">
        <f>ROUND(R64*(1+'Interest rate projection'!AR66/Var_freq)+IF(S$5="Mortgage Starts",0,Deposit_mon),2)</f>
        <v>18611.38</v>
      </c>
      <c r="T64" s="16">
        <f>ROUND(S64*(1+'Interest rate projection'!AS66/Var_freq)+IF(T$5="Mortgage Starts",0,Deposit_mon),2)</f>
        <v>19687.21</v>
      </c>
      <c r="U64" s="16">
        <f>ROUND(T64*(1+'Interest rate projection'!AT66/Var_freq)+IF(U$5="Mortgage Starts",0,Deposit_mon),2)</f>
        <v>20767.419999999998</v>
      </c>
      <c r="V64" s="16">
        <f>ROUND(U64*(1+'Interest rate projection'!AU66/Var_freq)+IF(V$5="Mortgage Starts",0,Deposit_mon),2)</f>
        <v>21852.03</v>
      </c>
      <c r="W64" s="16">
        <f>ROUND(V64*(1+'Interest rate projection'!AV66/Var_freq)+IF(W$5="Mortgage Starts",0,Deposit_mon),2)</f>
        <v>22941.06</v>
      </c>
      <c r="X64" s="16">
        <f>ROUND(W64*(1+'Interest rate projection'!AW66/Var_freq)+IF(X$5="Mortgage Starts",0,Deposit_mon),2)</f>
        <v>24029.95</v>
      </c>
      <c r="Y64" s="16">
        <f>ROUND(X64*(1+'Interest rate projection'!AX66/Var_freq)+IF(Y$5="Mortgage Starts",0,Deposit_mon),2)</f>
        <v>25123.06</v>
      </c>
      <c r="Z64" s="57">
        <f>ROUND(Y64*(1+'Interest rate projection'!AY66/Var_freq)+IF(Z$5="Mortgage Starts",0,Deposit_mon),2)</f>
        <v>25215.38</v>
      </c>
      <c r="AA64" s="12"/>
      <c r="AB64" s="38">
        <f>'Interest rate projection'!Z66</f>
        <v>4.4999999999999984E-2</v>
      </c>
      <c r="AC64" s="38">
        <f>'Interest rate projection'!AZ66</f>
        <v>4.4097712805242217E-2</v>
      </c>
      <c r="AD64" s="59" t="str">
        <f t="shared" si="8"/>
        <v>OK</v>
      </c>
      <c r="AE64" s="39">
        <f t="shared" si="9"/>
        <v>15.131610255367837</v>
      </c>
      <c r="AF64" s="10"/>
      <c r="AG64" s="73">
        <f t="shared" si="5"/>
        <v>25215.38</v>
      </c>
      <c r="AH64" s="73">
        <f t="shared" si="6"/>
        <v>174784.62</v>
      </c>
      <c r="AI64" s="74">
        <f t="shared" si="10"/>
        <v>962.58</v>
      </c>
      <c r="AJ64" s="9"/>
      <c r="AK64" s="73">
        <f>'Fixed rate projection'!$AE$3-('Variable rate projection'!AI64*Product_term*Var_freq)</f>
        <v>14295</v>
      </c>
      <c r="AM64" s="14"/>
      <c r="AN64" s="10"/>
      <c r="AO64" s="11"/>
      <c r="AP64" s="11"/>
      <c r="AQ64" s="11"/>
      <c r="AR64" s="12"/>
      <c r="AS64" s="12"/>
      <c r="AT64" s="13"/>
      <c r="AV64" s="14"/>
      <c r="AW64" s="10"/>
      <c r="AX64" s="11"/>
      <c r="AY64" s="11"/>
      <c r="AZ64" s="11"/>
      <c r="BA64" s="12"/>
      <c r="BB64" s="12"/>
      <c r="BC64" s="13"/>
      <c r="BE64" s="14"/>
      <c r="BF64" s="10"/>
      <c r="BG64" s="11"/>
      <c r="BH64" s="11"/>
      <c r="BI64" s="11"/>
      <c r="BJ64" s="12"/>
      <c r="BK64" s="12"/>
      <c r="BL64" s="13"/>
      <c r="BN64" s="14"/>
      <c r="BO64" s="10"/>
      <c r="BP64" s="11"/>
      <c r="BQ64" s="11"/>
      <c r="BR64" s="11"/>
      <c r="BS64" s="12"/>
      <c r="BT64" s="12"/>
      <c r="BU64" s="13"/>
      <c r="BW64" s="14"/>
      <c r="BX64" s="10"/>
      <c r="BY64" s="11"/>
      <c r="BZ64" s="11"/>
      <c r="CA64" s="11"/>
      <c r="CB64" s="12"/>
      <c r="CC64" s="12"/>
      <c r="CD64" s="13"/>
      <c r="CF64" s="14"/>
      <c r="CG64" s="10"/>
      <c r="CH64" s="11"/>
      <c r="CI64" s="11"/>
      <c r="CJ64" s="11"/>
      <c r="CK64" s="12"/>
      <c r="CL64" s="12"/>
      <c r="CM64" s="13"/>
      <c r="CO64" s="13"/>
    </row>
    <row r="65" spans="1:93" x14ac:dyDescent="0.35">
      <c r="A65" s="5">
        <v>60</v>
      </c>
      <c r="B65" s="57">
        <f t="shared" si="7"/>
        <v>1000</v>
      </c>
      <c r="C65" s="16">
        <f>ROUND(B65*(1+'Interest rate projection'!AB67/Var_freq)+IF(C$5="Mortgage Starts",0,Deposit_mon),2)</f>
        <v>2003.67</v>
      </c>
      <c r="D65" s="16">
        <f>ROUND(C65*(1+'Interest rate projection'!AC67/Var_freq)+IF(D$5="Mortgage Starts",0,Deposit_mon),2)</f>
        <v>3011.03</v>
      </c>
      <c r="E65" s="16">
        <f>ROUND(D65*(1+'Interest rate projection'!AD67/Var_freq)+IF(E$5="Mortgage Starts",0,Deposit_mon),2)</f>
        <v>4022.09</v>
      </c>
      <c r="F65" s="16">
        <f>ROUND(E65*(1+'Interest rate projection'!AE67/Var_freq)+IF(F$5="Mortgage Starts",0,Deposit_mon),2)</f>
        <v>5038.4799999999996</v>
      </c>
      <c r="G65" s="16">
        <f>ROUND(F65*(1+'Interest rate projection'!AF67/Var_freq)+IF(G$5="Mortgage Starts",0,Deposit_mon),2)</f>
        <v>6059.01</v>
      </c>
      <c r="H65" s="16">
        <f>ROUND(G65*(1+'Interest rate projection'!AG67/Var_freq)+IF(H$5="Mortgage Starts",0,Deposit_mon),2)</f>
        <v>7083.7</v>
      </c>
      <c r="I65" s="16">
        <f>ROUND(H65*(1+'Interest rate projection'!AH67/Var_freq)+IF(I$5="Mortgage Starts",0,Deposit_mon),2)</f>
        <v>8112.56</v>
      </c>
      <c r="J65" s="16">
        <f>ROUND(I65*(1+'Interest rate projection'!AI67/Var_freq)+IF(J$5="Mortgage Starts",0,Deposit_mon),2)</f>
        <v>9145.61</v>
      </c>
      <c r="K65" s="16">
        <f>ROUND(J65*(1+'Interest rate projection'!AJ67/Var_freq)+IF(K$5="Mortgage Starts",0,Deposit_mon),2)</f>
        <v>10182.870000000001</v>
      </c>
      <c r="L65" s="16">
        <f>ROUND(K65*(1+'Interest rate projection'!AK67/Var_freq)+IF(L$5="Mortgage Starts",0,Deposit_mon),2)</f>
        <v>11224.36</v>
      </c>
      <c r="M65" s="16">
        <f>ROUND(L65*(1+'Interest rate projection'!AL67/Var_freq)+IF(M$5="Mortgage Starts",0,Deposit_mon),2)</f>
        <v>12270.09</v>
      </c>
      <c r="N65" s="16">
        <f>ROUND(M65*(1+'Interest rate projection'!AM67/Var_freq)+IF(N$5="Mortgage Starts",0,Deposit_mon),2)</f>
        <v>13320.08</v>
      </c>
      <c r="O65" s="16">
        <f>ROUND(N65*(1+'Interest rate projection'!AN67/Var_freq)+IF(O$5="Mortgage Starts",0,Deposit_mon),2)</f>
        <v>14374.35</v>
      </c>
      <c r="P65" s="16">
        <f>ROUND(O65*(1+'Interest rate projection'!AO67/Var_freq)+IF(P$5="Mortgage Starts",0,Deposit_mon),2)</f>
        <v>15432.91</v>
      </c>
      <c r="Q65" s="16">
        <f>ROUND(P65*(1+'Interest rate projection'!AP67/Var_freq)+IF(Q$5="Mortgage Starts",0,Deposit_mon),2)</f>
        <v>16495.79</v>
      </c>
      <c r="R65" s="16">
        <f>ROUND(Q65*(1+'Interest rate projection'!AQ67/Var_freq)+IF(R$5="Mortgage Starts",0,Deposit_mon),2)</f>
        <v>17563</v>
      </c>
      <c r="S65" s="16">
        <f>ROUND(R65*(1+'Interest rate projection'!AR67/Var_freq)+IF(S$5="Mortgage Starts",0,Deposit_mon),2)</f>
        <v>18634.55</v>
      </c>
      <c r="T65" s="16">
        <f>ROUND(S65*(1+'Interest rate projection'!AS67/Var_freq)+IF(T$5="Mortgage Starts",0,Deposit_mon),2)</f>
        <v>19710.47</v>
      </c>
      <c r="U65" s="16">
        <f>ROUND(T65*(1+'Interest rate projection'!AT67/Var_freq)+IF(U$5="Mortgage Starts",0,Deposit_mon),2)</f>
        <v>20790.77</v>
      </c>
      <c r="V65" s="16">
        <f>ROUND(U65*(1+'Interest rate projection'!AU67/Var_freq)+IF(V$5="Mortgage Starts",0,Deposit_mon),2)</f>
        <v>21875.47</v>
      </c>
      <c r="W65" s="16">
        <f>ROUND(V65*(1+'Interest rate projection'!AV67/Var_freq)+IF(W$5="Mortgage Starts",0,Deposit_mon),2)</f>
        <v>22964.59</v>
      </c>
      <c r="X65" s="16">
        <f>ROUND(W65*(1+'Interest rate projection'!AW67/Var_freq)+IF(X$5="Mortgage Starts",0,Deposit_mon),2)</f>
        <v>24058.15</v>
      </c>
      <c r="Y65" s="16">
        <f>ROUND(X65*(1+'Interest rate projection'!AX67/Var_freq)+IF(Y$5="Mortgage Starts",0,Deposit_mon),2)</f>
        <v>25156.17</v>
      </c>
      <c r="Z65" s="57">
        <f>ROUND(Y65*(1+'Interest rate projection'!AY67/Var_freq)+IF(Z$5="Mortgage Starts",0,Deposit_mon),2)</f>
        <v>25258.66</v>
      </c>
      <c r="AA65" s="12"/>
      <c r="AB65" s="38">
        <f>'Interest rate projection'!Z67</f>
        <v>4.9999999999999996E-2</v>
      </c>
      <c r="AC65" s="38">
        <f>'Interest rate projection'!AZ67</f>
        <v>4.8889485403780242E-2</v>
      </c>
      <c r="AD65" s="59" t="str">
        <f t="shared" si="8"/>
        <v>OK</v>
      </c>
      <c r="AE65" s="39">
        <f t="shared" si="9"/>
        <v>14.4140856153857</v>
      </c>
      <c r="AF65" s="10"/>
      <c r="AG65" s="73">
        <f t="shared" si="5"/>
        <v>25258.66</v>
      </c>
      <c r="AH65" s="73">
        <f t="shared" si="6"/>
        <v>174741.34</v>
      </c>
      <c r="AI65" s="74">
        <f t="shared" si="10"/>
        <v>1010.25</v>
      </c>
      <c r="AJ65" s="9"/>
      <c r="AK65" s="73">
        <f>'Fixed rate projection'!$AE$3-('Variable rate projection'!AI65*Product_term*Var_freq)</f>
        <v>-6</v>
      </c>
      <c r="AM65" s="14"/>
      <c r="AN65" s="10"/>
      <c r="AO65" s="11"/>
      <c r="AP65" s="11"/>
      <c r="AQ65" s="11"/>
      <c r="AR65" s="12"/>
      <c r="AS65" s="12"/>
      <c r="AT65" s="13"/>
      <c r="AV65" s="14"/>
      <c r="AW65" s="10"/>
      <c r="AX65" s="11"/>
      <c r="AY65" s="11"/>
      <c r="AZ65" s="11"/>
      <c r="BA65" s="12"/>
      <c r="BB65" s="12"/>
      <c r="BC65" s="13"/>
      <c r="BE65" s="14"/>
      <c r="BF65" s="10"/>
      <c r="BG65" s="11"/>
      <c r="BH65" s="11"/>
      <c r="BI65" s="11"/>
      <c r="BJ65" s="12"/>
      <c r="BK65" s="12"/>
      <c r="BL65" s="13"/>
      <c r="BN65" s="14"/>
      <c r="BO65" s="10"/>
      <c r="BP65" s="11"/>
      <c r="BQ65" s="11"/>
      <c r="BR65" s="11"/>
      <c r="BS65" s="12"/>
      <c r="BT65" s="12"/>
      <c r="BU65" s="13"/>
      <c r="BW65" s="14"/>
      <c r="BX65" s="10"/>
      <c r="BY65" s="11"/>
      <c r="BZ65" s="11"/>
      <c r="CA65" s="11"/>
      <c r="CB65" s="12"/>
      <c r="CC65" s="12"/>
      <c r="CD65" s="13"/>
      <c r="CF65" s="14"/>
      <c r="CG65" s="10"/>
      <c r="CH65" s="11"/>
      <c r="CI65" s="11"/>
      <c r="CJ65" s="11"/>
      <c r="CK65" s="12"/>
      <c r="CL65" s="12"/>
      <c r="CM65" s="13"/>
      <c r="CO65" s="13"/>
    </row>
    <row r="66" spans="1:93" x14ac:dyDescent="0.35">
      <c r="A66" s="27">
        <v>61</v>
      </c>
      <c r="B66" s="57">
        <f t="shared" si="7"/>
        <v>1000</v>
      </c>
      <c r="C66" s="16">
        <f>ROUND(B66*(1+'Interest rate projection'!AB68/Var_freq)+IF(C$5="Mortgage Starts",0,Deposit_mon),2)</f>
        <v>2003.67</v>
      </c>
      <c r="D66" s="16">
        <f>ROUND(C66*(1+'Interest rate projection'!AC68/Var_freq)+IF(D$5="Mortgage Starts",0,Deposit_mon),2)</f>
        <v>3011.03</v>
      </c>
      <c r="E66" s="16">
        <f>ROUND(D66*(1+'Interest rate projection'!AD68/Var_freq)+IF(E$5="Mortgage Starts",0,Deposit_mon),2)</f>
        <v>4022.09</v>
      </c>
      <c r="F66" s="16">
        <f>ROUND(E66*(1+'Interest rate projection'!AE68/Var_freq)+IF(F$5="Mortgage Starts",0,Deposit_mon),2)</f>
        <v>5036.87</v>
      </c>
      <c r="G66" s="16">
        <f>ROUND(F66*(1+'Interest rate projection'!AF68/Var_freq)+IF(G$5="Mortgage Starts",0,Deposit_mon),2)</f>
        <v>6056.39</v>
      </c>
      <c r="H66" s="16">
        <f>ROUND(G66*(1+'Interest rate projection'!AG68/Var_freq)+IF(H$5="Mortgage Starts",0,Deposit_mon),2)</f>
        <v>7079.86</v>
      </c>
      <c r="I66" s="16">
        <f>ROUND(H66*(1+'Interest rate projection'!AH68/Var_freq)+IF(I$5="Mortgage Starts",0,Deposit_mon),2)</f>
        <v>8107.29</v>
      </c>
      <c r="J66" s="16">
        <f>ROUND(I66*(1+'Interest rate projection'!AI68/Var_freq)+IF(J$5="Mortgage Starts",0,Deposit_mon),2)</f>
        <v>9140.32</v>
      </c>
      <c r="K66" s="16">
        <f>ROUND(J66*(1+'Interest rate projection'!AJ68/Var_freq)+IF(K$5="Mortgage Starts",0,Deposit_mon),2)</f>
        <v>10177.56</v>
      </c>
      <c r="L66" s="16">
        <f>ROUND(K66*(1+'Interest rate projection'!AK68/Var_freq)+IF(L$5="Mortgage Starts",0,Deposit_mon),2)</f>
        <v>11219.02</v>
      </c>
      <c r="M66" s="16">
        <f>ROUND(L66*(1+'Interest rate projection'!AL68/Var_freq)+IF(M$5="Mortgage Starts",0,Deposit_mon),2)</f>
        <v>12264.73</v>
      </c>
      <c r="N66" s="16">
        <f>ROUND(M66*(1+'Interest rate projection'!AM68/Var_freq)+IF(N$5="Mortgage Starts",0,Deposit_mon),2)</f>
        <v>13314.7</v>
      </c>
      <c r="O66" s="16">
        <f>ROUND(N66*(1+'Interest rate projection'!AN68/Var_freq)+IF(O$5="Mortgage Starts",0,Deposit_mon),2)</f>
        <v>14368.95</v>
      </c>
      <c r="P66" s="16">
        <f>ROUND(O66*(1+'Interest rate projection'!AO68/Var_freq)+IF(P$5="Mortgage Starts",0,Deposit_mon),2)</f>
        <v>15427.49</v>
      </c>
      <c r="Q66" s="16">
        <f>ROUND(P66*(1+'Interest rate projection'!AP68/Var_freq)+IF(Q$5="Mortgage Starts",0,Deposit_mon),2)</f>
        <v>16490.34</v>
      </c>
      <c r="R66" s="16">
        <f>ROUND(Q66*(1+'Interest rate projection'!AQ68/Var_freq)+IF(R$5="Mortgage Starts",0,Deposit_mon),2)</f>
        <v>17557.52</v>
      </c>
      <c r="S66" s="16">
        <f>ROUND(R66*(1+'Interest rate projection'!AR68/Var_freq)+IF(S$5="Mortgage Starts",0,Deposit_mon),2)</f>
        <v>18629.05</v>
      </c>
      <c r="T66" s="16">
        <f>ROUND(S66*(1+'Interest rate projection'!AS68/Var_freq)+IF(T$5="Mortgage Starts",0,Deposit_mon),2)</f>
        <v>19704.95</v>
      </c>
      <c r="U66" s="16">
        <f>ROUND(T66*(1+'Interest rate projection'!AT68/Var_freq)+IF(U$5="Mortgage Starts",0,Deposit_mon),2)</f>
        <v>20785.23</v>
      </c>
      <c r="V66" s="16">
        <f>ROUND(U66*(1+'Interest rate projection'!AU68/Var_freq)+IF(V$5="Mortgage Starts",0,Deposit_mon),2)</f>
        <v>21878.18</v>
      </c>
      <c r="W66" s="16">
        <f>ROUND(V66*(1+'Interest rate projection'!AV68/Var_freq)+IF(W$5="Mortgage Starts",0,Deposit_mon),2)</f>
        <v>22976.01</v>
      </c>
      <c r="X66" s="16">
        <f>ROUND(W66*(1+'Interest rate projection'!AW68/Var_freq)+IF(X$5="Mortgage Starts",0,Deposit_mon),2)</f>
        <v>24078.75</v>
      </c>
      <c r="Y66" s="16">
        <f>ROUND(X66*(1+'Interest rate projection'!AX68/Var_freq)+IF(Y$5="Mortgage Starts",0,Deposit_mon),2)</f>
        <v>25186.42</v>
      </c>
      <c r="Z66" s="57">
        <f>ROUND(Y66*(1+'Interest rate projection'!AY68/Var_freq)+IF(Z$5="Mortgage Starts",0,Deposit_mon),2)</f>
        <v>25299.05</v>
      </c>
      <c r="AA66" s="12"/>
      <c r="AB66" s="38">
        <f>'Interest rate projection'!Z68</f>
        <v>5.5E-2</v>
      </c>
      <c r="AC66" s="38">
        <f>'Interest rate projection'!AZ68</f>
        <v>5.3660387004516252E-2</v>
      </c>
      <c r="AD66" s="59" t="str">
        <f t="shared" si="8"/>
        <v>OK</v>
      </c>
      <c r="AE66" s="39">
        <f t="shared" si="9"/>
        <v>13.748806844025127</v>
      </c>
      <c r="AF66" s="10"/>
      <c r="AG66" s="73">
        <f t="shared" si="5"/>
        <v>25299.05</v>
      </c>
      <c r="AH66" s="73">
        <f t="shared" si="6"/>
        <v>174700.95</v>
      </c>
      <c r="AI66" s="74">
        <f t="shared" si="10"/>
        <v>1058.8900000000001</v>
      </c>
      <c r="AJ66" s="9"/>
      <c r="AK66" s="73">
        <f>'Fixed rate projection'!$AE$3-('Variable rate projection'!AI66*Product_term*Var_freq)</f>
        <v>-14598.000000000058</v>
      </c>
      <c r="AM66" s="14"/>
      <c r="AN66" s="10"/>
      <c r="AO66" s="11"/>
      <c r="AP66" s="11"/>
      <c r="AQ66" s="11"/>
      <c r="AR66" s="12"/>
      <c r="AS66" s="12"/>
      <c r="AT66" s="13"/>
      <c r="AV66" s="14"/>
      <c r="AW66" s="10"/>
      <c r="AX66" s="11"/>
      <c r="AY66" s="11"/>
      <c r="AZ66" s="11"/>
      <c r="BA66" s="12"/>
      <c r="BB66" s="12"/>
      <c r="BC66" s="13"/>
      <c r="BE66" s="14"/>
      <c r="BF66" s="10"/>
      <c r="BG66" s="11"/>
      <c r="BH66" s="11"/>
      <c r="BI66" s="11"/>
      <c r="BJ66" s="12"/>
      <c r="BK66" s="12"/>
      <c r="BL66" s="13"/>
      <c r="BN66" s="14"/>
      <c r="BO66" s="10"/>
      <c r="BP66" s="11"/>
      <c r="BQ66" s="11"/>
      <c r="BR66" s="11"/>
      <c r="BS66" s="12"/>
      <c r="BT66" s="12"/>
      <c r="BU66" s="13"/>
      <c r="BW66" s="14"/>
      <c r="BX66" s="10"/>
      <c r="BY66" s="11"/>
      <c r="BZ66" s="11"/>
      <c r="CA66" s="11"/>
      <c r="CB66" s="12"/>
      <c r="CC66" s="12"/>
      <c r="CD66" s="13"/>
      <c r="CF66" s="14"/>
      <c r="CG66" s="10"/>
      <c r="CH66" s="11"/>
      <c r="CI66" s="11"/>
      <c r="CJ66" s="11"/>
      <c r="CK66" s="12"/>
      <c r="CL66" s="12"/>
      <c r="CM66" s="13"/>
      <c r="CO66" s="13"/>
    </row>
    <row r="67" spans="1:93" x14ac:dyDescent="0.35">
      <c r="A67" s="5">
        <v>62</v>
      </c>
      <c r="B67" s="57">
        <f t="shared" si="7"/>
        <v>1000</v>
      </c>
      <c r="C67" s="16">
        <f>ROUND(B67*(1+'Interest rate projection'!AB69/Var_freq)+IF(C$5="Mortgage Starts",0,Deposit_mon),2)</f>
        <v>2003.67</v>
      </c>
      <c r="D67" s="16">
        <f>ROUND(C67*(1+'Interest rate projection'!AC69/Var_freq)+IF(D$5="Mortgage Starts",0,Deposit_mon),2)</f>
        <v>3011.03</v>
      </c>
      <c r="E67" s="16">
        <f>ROUND(D67*(1+'Interest rate projection'!AD69/Var_freq)+IF(E$5="Mortgage Starts",0,Deposit_mon),2)</f>
        <v>4022.09</v>
      </c>
      <c r="F67" s="16">
        <f>ROUND(E67*(1+'Interest rate projection'!AE69/Var_freq)+IF(F$5="Mortgage Starts",0,Deposit_mon),2)</f>
        <v>5035.26</v>
      </c>
      <c r="G67" s="16">
        <f>ROUND(F67*(1+'Interest rate projection'!AF69/Var_freq)+IF(G$5="Mortgage Starts",0,Deposit_mon),2)</f>
        <v>6051.74</v>
      </c>
      <c r="H67" s="16">
        <f>ROUND(G67*(1+'Interest rate projection'!AG69/Var_freq)+IF(H$5="Mortgage Starts",0,Deposit_mon),2)</f>
        <v>7071.55</v>
      </c>
      <c r="I67" s="16">
        <f>ROUND(H67*(1+'Interest rate projection'!AH69/Var_freq)+IF(I$5="Mortgage Starts",0,Deposit_mon),2)</f>
        <v>8094.7</v>
      </c>
      <c r="J67" s="16">
        <f>ROUND(I67*(1+'Interest rate projection'!AI69/Var_freq)+IF(J$5="Mortgage Starts",0,Deposit_mon),2)</f>
        <v>9121.2000000000007</v>
      </c>
      <c r="K67" s="16">
        <f>ROUND(J67*(1+'Interest rate projection'!AJ69/Var_freq)+IF(K$5="Mortgage Starts",0,Deposit_mon),2)</f>
        <v>10151.06</v>
      </c>
      <c r="L67" s="16">
        <f>ROUND(K67*(1+'Interest rate projection'!AK69/Var_freq)+IF(L$5="Mortgage Starts",0,Deposit_mon),2)</f>
        <v>11184.29</v>
      </c>
      <c r="M67" s="16">
        <f>ROUND(L67*(1+'Interest rate projection'!AL69/Var_freq)+IF(M$5="Mortgage Starts",0,Deposit_mon),2)</f>
        <v>12220.9</v>
      </c>
      <c r="N67" s="16">
        <f>ROUND(M67*(1+'Interest rate projection'!AM69/Var_freq)+IF(N$5="Mortgage Starts",0,Deposit_mon),2)</f>
        <v>13260.91</v>
      </c>
      <c r="O67" s="16">
        <f>ROUND(N67*(1+'Interest rate projection'!AN69/Var_freq)+IF(O$5="Mortgage Starts",0,Deposit_mon),2)</f>
        <v>14301.65</v>
      </c>
      <c r="P67" s="16">
        <f>ROUND(O67*(1+'Interest rate projection'!AO69/Var_freq)+IF(P$5="Mortgage Starts",0,Deposit_mon),2)</f>
        <v>15345.59</v>
      </c>
      <c r="Q67" s="16">
        <f>ROUND(P67*(1+'Interest rate projection'!AP69/Var_freq)+IF(Q$5="Mortgage Starts",0,Deposit_mon),2)</f>
        <v>16392.740000000002</v>
      </c>
      <c r="R67" s="16">
        <f>ROUND(Q67*(1+'Interest rate projection'!AQ69/Var_freq)+IF(R$5="Mortgage Starts",0,Deposit_mon),2)</f>
        <v>17439.8</v>
      </c>
      <c r="S67" s="16">
        <f>ROUND(R67*(1+'Interest rate projection'!AR69/Var_freq)+IF(S$5="Mortgage Starts",0,Deposit_mon),2)</f>
        <v>18489.87</v>
      </c>
      <c r="T67" s="16">
        <f>ROUND(S67*(1+'Interest rate projection'!AS69/Var_freq)+IF(T$5="Mortgage Starts",0,Deposit_mon),2)</f>
        <v>19542.95</v>
      </c>
      <c r="U67" s="16">
        <f>ROUND(T67*(1+'Interest rate projection'!AT69/Var_freq)+IF(U$5="Mortgage Starts",0,Deposit_mon),2)</f>
        <v>20599.060000000001</v>
      </c>
      <c r="V67" s="16">
        <f>ROUND(U67*(1+'Interest rate projection'!AU69/Var_freq)+IF(V$5="Mortgage Starts",0,Deposit_mon),2)</f>
        <v>21658.2</v>
      </c>
      <c r="W67" s="16">
        <f>ROUND(V67*(1+'Interest rate projection'!AV69/Var_freq)+IF(W$5="Mortgage Starts",0,Deposit_mon),2)</f>
        <v>22720.38</v>
      </c>
      <c r="X67" s="16">
        <f>ROUND(W67*(1+'Interest rate projection'!AW69/Var_freq)+IF(X$5="Mortgage Starts",0,Deposit_mon),2)</f>
        <v>23785.61</v>
      </c>
      <c r="Y67" s="16">
        <f>ROUND(X67*(1+'Interest rate projection'!AX69/Var_freq)+IF(Y$5="Mortgage Starts",0,Deposit_mon),2)</f>
        <v>24853.9</v>
      </c>
      <c r="Z67" s="57">
        <f>ROUND(Y67*(1+'Interest rate projection'!AY69/Var_freq)+IF(Z$5="Mortgage Starts",0,Deposit_mon),2)</f>
        <v>24935.27</v>
      </c>
      <c r="AA67" s="12"/>
      <c r="AB67" s="38">
        <f>'Interest rate projection'!Z69</f>
        <v>3.9999999999999994E-2</v>
      </c>
      <c r="AC67" s="38">
        <f>'Interest rate projection'!AZ69</f>
        <v>3.9284877386386974E-2</v>
      </c>
      <c r="AD67" s="59" t="str">
        <f t="shared" si="8"/>
        <v>OK</v>
      </c>
      <c r="AE67" s="39">
        <f t="shared" si="9"/>
        <v>15.906456614335044</v>
      </c>
      <c r="AF67" s="10"/>
      <c r="AG67" s="73">
        <f t="shared" si="5"/>
        <v>24935.27</v>
      </c>
      <c r="AH67" s="73">
        <f t="shared" si="6"/>
        <v>175064.73</v>
      </c>
      <c r="AI67" s="74">
        <f t="shared" si="10"/>
        <v>917.16</v>
      </c>
      <c r="AJ67" s="9"/>
      <c r="AK67" s="73">
        <f>'Fixed rate projection'!$AE$3-('Variable rate projection'!AI67*Product_term*Var_freq)</f>
        <v>27921</v>
      </c>
      <c r="AM67" s="14"/>
      <c r="AN67" s="10"/>
      <c r="AO67" s="11"/>
      <c r="AP67" s="11"/>
      <c r="AQ67" s="11"/>
      <c r="AR67" s="12"/>
      <c r="AS67" s="12"/>
      <c r="AT67" s="13"/>
      <c r="AV67" s="14"/>
      <c r="AW67" s="10"/>
      <c r="AX67" s="11"/>
      <c r="AY67" s="11"/>
      <c r="AZ67" s="11"/>
      <c r="BA67" s="12"/>
      <c r="BB67" s="12"/>
      <c r="BC67" s="13"/>
      <c r="BE67" s="14"/>
      <c r="BF67" s="10"/>
      <c r="BG67" s="11"/>
      <c r="BH67" s="11"/>
      <c r="BI67" s="11"/>
      <c r="BJ67" s="12"/>
      <c r="BK67" s="12"/>
      <c r="BL67" s="13"/>
      <c r="BN67" s="14"/>
      <c r="BO67" s="10"/>
      <c r="BP67" s="11"/>
      <c r="BQ67" s="11"/>
      <c r="BR67" s="11"/>
      <c r="BS67" s="12"/>
      <c r="BT67" s="12"/>
      <c r="BU67" s="13"/>
      <c r="BW67" s="14"/>
      <c r="BX67" s="10"/>
      <c r="BY67" s="11"/>
      <c r="BZ67" s="11"/>
      <c r="CA67" s="11"/>
      <c r="CB67" s="12"/>
      <c r="CC67" s="12"/>
      <c r="CD67" s="13"/>
      <c r="CF67" s="14"/>
      <c r="CG67" s="10"/>
      <c r="CH67" s="11"/>
      <c r="CI67" s="11"/>
      <c r="CJ67" s="11"/>
      <c r="CK67" s="12"/>
      <c r="CL67" s="12"/>
      <c r="CM67" s="13"/>
      <c r="CO67" s="13"/>
    </row>
    <row r="68" spans="1:93" x14ac:dyDescent="0.35">
      <c r="A68" s="27">
        <v>63</v>
      </c>
      <c r="B68" s="57">
        <f t="shared" si="7"/>
        <v>1000</v>
      </c>
      <c r="C68" s="16">
        <f>ROUND(B68*(1+'Interest rate projection'!AB70/Var_freq)+IF(C$5="Mortgage Starts",0,Deposit_mon),2)</f>
        <v>2003.67</v>
      </c>
      <c r="D68" s="16">
        <f>ROUND(C68*(1+'Interest rate projection'!AC70/Var_freq)+IF(D$5="Mortgage Starts",0,Deposit_mon),2)</f>
        <v>3011.03</v>
      </c>
      <c r="E68" s="16">
        <f>ROUND(D68*(1+'Interest rate projection'!AD70/Var_freq)+IF(E$5="Mortgage Starts",0,Deposit_mon),2)</f>
        <v>4020.89</v>
      </c>
      <c r="F68" s="16">
        <f>ROUND(E68*(1+'Interest rate projection'!AE70/Var_freq)+IF(F$5="Mortgage Starts",0,Deposit_mon),2)</f>
        <v>5034.05</v>
      </c>
      <c r="G68" s="16">
        <f>ROUND(F68*(1+'Interest rate projection'!AF70/Var_freq)+IF(G$5="Mortgage Starts",0,Deposit_mon),2)</f>
        <v>6050.53</v>
      </c>
      <c r="H68" s="16">
        <f>ROUND(G68*(1+'Interest rate projection'!AG70/Var_freq)+IF(H$5="Mortgage Starts",0,Deposit_mon),2)</f>
        <v>7070.34</v>
      </c>
      <c r="I68" s="16">
        <f>ROUND(H68*(1+'Interest rate projection'!AH70/Var_freq)+IF(I$5="Mortgage Starts",0,Deposit_mon),2)</f>
        <v>8093.49</v>
      </c>
      <c r="J68" s="16">
        <f>ROUND(I68*(1+'Interest rate projection'!AI70/Var_freq)+IF(J$5="Mortgage Starts",0,Deposit_mon),2)</f>
        <v>9119.99</v>
      </c>
      <c r="K68" s="16">
        <f>ROUND(J68*(1+'Interest rate projection'!AJ70/Var_freq)+IF(K$5="Mortgage Starts",0,Deposit_mon),2)</f>
        <v>10153.5</v>
      </c>
      <c r="L68" s="16">
        <f>ROUND(K68*(1+'Interest rate projection'!AK70/Var_freq)+IF(L$5="Mortgage Starts",0,Deposit_mon),2)</f>
        <v>11190.81</v>
      </c>
      <c r="M68" s="16">
        <f>ROUND(L68*(1+'Interest rate projection'!AL70/Var_freq)+IF(M$5="Mortgage Starts",0,Deposit_mon),2)</f>
        <v>12231.93</v>
      </c>
      <c r="N68" s="16">
        <f>ROUND(M68*(1+'Interest rate projection'!AM70/Var_freq)+IF(N$5="Mortgage Starts",0,Deposit_mon),2)</f>
        <v>13276.88</v>
      </c>
      <c r="O68" s="16">
        <f>ROUND(N68*(1+'Interest rate projection'!AN70/Var_freq)+IF(O$5="Mortgage Starts",0,Deposit_mon),2)</f>
        <v>14325.67</v>
      </c>
      <c r="P68" s="16">
        <f>ROUND(O68*(1+'Interest rate projection'!AO70/Var_freq)+IF(P$5="Mortgage Starts",0,Deposit_mon),2)</f>
        <v>15378.31</v>
      </c>
      <c r="Q68" s="16">
        <f>ROUND(P68*(1+'Interest rate projection'!AP70/Var_freq)+IF(Q$5="Mortgage Starts",0,Deposit_mon),2)</f>
        <v>16434.82</v>
      </c>
      <c r="R68" s="16">
        <f>ROUND(Q68*(1+'Interest rate projection'!AQ70/Var_freq)+IF(R$5="Mortgage Starts",0,Deposit_mon),2)</f>
        <v>17495.21</v>
      </c>
      <c r="S68" s="16">
        <f>ROUND(R68*(1+'Interest rate projection'!AR70/Var_freq)+IF(S$5="Mortgage Starts",0,Deposit_mon),2)</f>
        <v>18559.5</v>
      </c>
      <c r="T68" s="16">
        <f>ROUND(S68*(1+'Interest rate projection'!AS70/Var_freq)+IF(T$5="Mortgage Starts",0,Deposit_mon),2)</f>
        <v>19623.98</v>
      </c>
      <c r="U68" s="16">
        <f>ROUND(T68*(1+'Interest rate projection'!AT70/Var_freq)+IF(U$5="Mortgage Starts",0,Deposit_mon),2)</f>
        <v>20696.09</v>
      </c>
      <c r="V68" s="16">
        <f>ROUND(U68*(1+'Interest rate projection'!AU70/Var_freq)+IF(V$5="Mortgage Starts",0,Deposit_mon),2)</f>
        <v>21772.14</v>
      </c>
      <c r="W68" s="16">
        <f>ROUND(V68*(1+'Interest rate projection'!AV70/Var_freq)+IF(W$5="Mortgage Starts",0,Deposit_mon),2)</f>
        <v>22852.15</v>
      </c>
      <c r="X68" s="16">
        <f>ROUND(W68*(1+'Interest rate projection'!AW70/Var_freq)+IF(X$5="Mortgage Starts",0,Deposit_mon),2)</f>
        <v>23936.13</v>
      </c>
      <c r="Y68" s="16">
        <f>ROUND(X68*(1+'Interest rate projection'!AX70/Var_freq)+IF(Y$5="Mortgage Starts",0,Deposit_mon),2)</f>
        <v>25019.3</v>
      </c>
      <c r="Z68" s="57">
        <f>ROUND(Y68*(1+'Interest rate projection'!AY70/Var_freq)+IF(Z$5="Mortgage Starts",0,Deposit_mon),2)</f>
        <v>25106.23</v>
      </c>
      <c r="AA68" s="12"/>
      <c r="AB68" s="38">
        <f>'Interest rate projection'!Z70</f>
        <v>4.2499999999999996E-2</v>
      </c>
      <c r="AC68" s="38">
        <f>'Interest rate projection'!AZ70</f>
        <v>4.1693940041970023E-2</v>
      </c>
      <c r="AD68" s="59" t="str">
        <f t="shared" si="8"/>
        <v>OK</v>
      </c>
      <c r="AE68" s="39">
        <f t="shared" si="9"/>
        <v>15.511529757864551</v>
      </c>
      <c r="AF68" s="10"/>
      <c r="AG68" s="73">
        <f t="shared" si="5"/>
        <v>25106.23</v>
      </c>
      <c r="AH68" s="73">
        <f t="shared" si="6"/>
        <v>174893.77</v>
      </c>
      <c r="AI68" s="74">
        <f t="shared" si="10"/>
        <v>939.59</v>
      </c>
      <c r="AJ68" s="9"/>
      <c r="AK68" s="73">
        <f>'Fixed rate projection'!$AE$3-('Variable rate projection'!AI68*Product_term*Var_freq)</f>
        <v>21192</v>
      </c>
      <c r="AM68" s="14"/>
      <c r="AN68" s="10"/>
      <c r="AO68" s="11"/>
      <c r="AP68" s="11"/>
      <c r="AQ68" s="11"/>
      <c r="AR68" s="12"/>
      <c r="AS68" s="12"/>
      <c r="AT68" s="13"/>
      <c r="AV68" s="14"/>
      <c r="AW68" s="10"/>
      <c r="AX68" s="11"/>
      <c r="AY68" s="11"/>
      <c r="AZ68" s="11"/>
      <c r="BA68" s="12"/>
      <c r="BB68" s="12"/>
      <c r="BC68" s="13"/>
      <c r="BE68" s="14"/>
      <c r="BF68" s="10"/>
      <c r="BG68" s="11"/>
      <c r="BH68" s="11"/>
      <c r="BI68" s="11"/>
      <c r="BJ68" s="12"/>
      <c r="BK68" s="12"/>
      <c r="BL68" s="13"/>
      <c r="BN68" s="14"/>
      <c r="BO68" s="10"/>
      <c r="BP68" s="11"/>
      <c r="BQ68" s="11"/>
      <c r="BR68" s="11"/>
      <c r="BS68" s="12"/>
      <c r="BT68" s="12"/>
      <c r="BU68" s="13"/>
      <c r="BW68" s="14"/>
      <c r="BX68" s="10"/>
      <c r="BY68" s="11"/>
      <c r="BZ68" s="11"/>
      <c r="CA68" s="11"/>
      <c r="CB68" s="12"/>
      <c r="CC68" s="12"/>
      <c r="CD68" s="13"/>
      <c r="CF68" s="14"/>
      <c r="CG68" s="10"/>
      <c r="CH68" s="11"/>
      <c r="CI68" s="11"/>
      <c r="CJ68" s="11"/>
      <c r="CK68" s="12"/>
      <c r="CL68" s="12"/>
      <c r="CM68" s="13"/>
      <c r="CO68" s="13"/>
    </row>
    <row r="69" spans="1:93" x14ac:dyDescent="0.35">
      <c r="A69" s="5">
        <v>64</v>
      </c>
      <c r="B69" s="57">
        <f t="shared" si="7"/>
        <v>1000</v>
      </c>
      <c r="C69" s="16">
        <f>ROUND(B69*(1+'Interest rate projection'!AB71/Var_freq)+IF(C$5="Mortgage Starts",0,Deposit_mon),2)</f>
        <v>2003.67</v>
      </c>
      <c r="D69" s="16">
        <f>ROUND(C69*(1+'Interest rate projection'!AC71/Var_freq)+IF(D$5="Mortgage Starts",0,Deposit_mon),2)</f>
        <v>3011.03</v>
      </c>
      <c r="E69" s="16">
        <f>ROUND(D69*(1+'Interest rate projection'!AD71/Var_freq)+IF(E$5="Mortgage Starts",0,Deposit_mon),2)</f>
        <v>4022.09</v>
      </c>
      <c r="F69" s="16">
        <f>ROUND(E69*(1+'Interest rate projection'!AE71/Var_freq)+IF(F$5="Mortgage Starts",0,Deposit_mon),2)</f>
        <v>5035.26</v>
      </c>
      <c r="G69" s="16">
        <f>ROUND(F69*(1+'Interest rate projection'!AF71/Var_freq)+IF(G$5="Mortgage Starts",0,Deposit_mon),2)</f>
        <v>6051.74</v>
      </c>
      <c r="H69" s="16">
        <f>ROUND(G69*(1+'Interest rate projection'!AG71/Var_freq)+IF(H$5="Mortgage Starts",0,Deposit_mon),2)</f>
        <v>7070.33</v>
      </c>
      <c r="I69" s="16">
        <f>ROUND(H69*(1+'Interest rate projection'!AH71/Var_freq)+IF(I$5="Mortgage Starts",0,Deposit_mon),2)</f>
        <v>8092.05</v>
      </c>
      <c r="J69" s="16">
        <f>ROUND(I69*(1+'Interest rate projection'!AI71/Var_freq)+IF(J$5="Mortgage Starts",0,Deposit_mon),2)</f>
        <v>9113.65</v>
      </c>
      <c r="K69" s="16">
        <f>ROUND(J69*(1+'Interest rate projection'!AJ71/Var_freq)+IF(K$5="Mortgage Starts",0,Deposit_mon),2)</f>
        <v>10137.969999999999</v>
      </c>
      <c r="L69" s="16">
        <f>ROUND(K69*(1+'Interest rate projection'!AK71/Var_freq)+IF(L$5="Mortgage Starts",0,Deposit_mon),2)</f>
        <v>11165.03</v>
      </c>
      <c r="M69" s="16">
        <f>ROUND(L69*(1+'Interest rate projection'!AL71/Var_freq)+IF(M$5="Mortgage Starts",0,Deposit_mon),2)</f>
        <v>12199.34</v>
      </c>
      <c r="N69" s="16">
        <f>ROUND(M69*(1+'Interest rate projection'!AM71/Var_freq)+IF(N$5="Mortgage Starts",0,Deposit_mon),2)</f>
        <v>13236.82</v>
      </c>
      <c r="O69" s="16">
        <f>ROUND(N69*(1+'Interest rate projection'!AN71/Var_freq)+IF(O$5="Mortgage Starts",0,Deposit_mon),2)</f>
        <v>14277.49</v>
      </c>
      <c r="P69" s="16">
        <f>ROUND(O69*(1+'Interest rate projection'!AO71/Var_freq)+IF(P$5="Mortgage Starts",0,Deposit_mon),2)</f>
        <v>15321.36</v>
      </c>
      <c r="Q69" s="16">
        <f>ROUND(P69*(1+'Interest rate projection'!AP71/Var_freq)+IF(Q$5="Mortgage Starts",0,Deposit_mon),2)</f>
        <v>16368.44</v>
      </c>
      <c r="R69" s="16">
        <f>ROUND(Q69*(1+'Interest rate projection'!AQ71/Var_freq)+IF(R$5="Mortgage Starts",0,Deposit_mon),2)</f>
        <v>17418.73</v>
      </c>
      <c r="S69" s="16">
        <f>ROUND(R69*(1+'Interest rate projection'!AR71/Var_freq)+IF(S$5="Mortgage Starts",0,Deposit_mon),2)</f>
        <v>18472.25</v>
      </c>
      <c r="T69" s="16">
        <f>ROUND(S69*(1+'Interest rate projection'!AS71/Var_freq)+IF(T$5="Mortgage Starts",0,Deposit_mon),2)</f>
        <v>19525.28</v>
      </c>
      <c r="U69" s="16">
        <f>ROUND(T69*(1+'Interest rate projection'!AT71/Var_freq)+IF(U$5="Mortgage Starts",0,Deposit_mon),2)</f>
        <v>20581.34</v>
      </c>
      <c r="V69" s="16">
        <f>ROUND(U69*(1+'Interest rate projection'!AU71/Var_freq)+IF(V$5="Mortgage Starts",0,Deposit_mon),2)</f>
        <v>21640.43</v>
      </c>
      <c r="W69" s="16">
        <f>ROUND(V69*(1+'Interest rate projection'!AV71/Var_freq)+IF(W$5="Mortgage Starts",0,Deposit_mon),2)</f>
        <v>22702.560000000001</v>
      </c>
      <c r="X69" s="16">
        <f>ROUND(W69*(1+'Interest rate projection'!AW71/Var_freq)+IF(X$5="Mortgage Starts",0,Deposit_mon),2)</f>
        <v>23767.74</v>
      </c>
      <c r="Y69" s="16">
        <f>ROUND(X69*(1+'Interest rate projection'!AX71/Var_freq)+IF(Y$5="Mortgage Starts",0,Deposit_mon),2)</f>
        <v>24835.97</v>
      </c>
      <c r="Z69" s="57">
        <f>ROUND(Y69*(1+'Interest rate projection'!AY71/Var_freq)+IF(Z$5="Mortgage Starts",0,Deposit_mon),2)</f>
        <v>24907.27</v>
      </c>
      <c r="AA69" s="12"/>
      <c r="AB69" s="38">
        <f>'Interest rate projection'!Z71</f>
        <v>3.4999999999999996E-2</v>
      </c>
      <c r="AC69" s="38">
        <f>'Interest rate projection'!AZ71</f>
        <v>3.4450784628919706E-2</v>
      </c>
      <c r="AD69" s="59" t="str">
        <f t="shared" si="8"/>
        <v>OK</v>
      </c>
      <c r="AE69" s="39">
        <f t="shared" si="9"/>
        <v>16.744263358395965</v>
      </c>
      <c r="AF69" s="10"/>
      <c r="AG69" s="73">
        <f t="shared" si="5"/>
        <v>24907.27</v>
      </c>
      <c r="AH69" s="73">
        <f t="shared" si="6"/>
        <v>175092.73</v>
      </c>
      <c r="AI69" s="74">
        <f t="shared" si="10"/>
        <v>871.41</v>
      </c>
      <c r="AJ69" s="9"/>
      <c r="AK69" s="73">
        <f>'Fixed rate projection'!$AE$3-('Variable rate projection'!AI69*Product_term*Var_freq)</f>
        <v>41646</v>
      </c>
      <c r="AM69" s="14"/>
      <c r="AN69" s="10"/>
      <c r="AO69" s="11"/>
      <c r="AP69" s="11"/>
      <c r="AQ69" s="11"/>
      <c r="AR69" s="12"/>
      <c r="AS69" s="12"/>
      <c r="AT69" s="13"/>
      <c r="AV69" s="14"/>
      <c r="AW69" s="10"/>
      <c r="AX69" s="11"/>
      <c r="AY69" s="11"/>
      <c r="AZ69" s="11"/>
      <c r="BA69" s="12"/>
      <c r="BB69" s="12"/>
      <c r="BC69" s="13"/>
      <c r="BE69" s="14"/>
      <c r="BF69" s="10"/>
      <c r="BG69" s="11"/>
      <c r="BH69" s="11"/>
      <c r="BI69" s="11"/>
      <c r="BJ69" s="12"/>
      <c r="BK69" s="12"/>
      <c r="BL69" s="13"/>
      <c r="BN69" s="14"/>
      <c r="BO69" s="10"/>
      <c r="BP69" s="11"/>
      <c r="BQ69" s="11"/>
      <c r="BR69" s="11"/>
      <c r="BS69" s="12"/>
      <c r="BT69" s="12"/>
      <c r="BU69" s="13"/>
      <c r="BW69" s="14"/>
      <c r="BX69" s="10"/>
      <c r="BY69" s="11"/>
      <c r="BZ69" s="11"/>
      <c r="CA69" s="11"/>
      <c r="CB69" s="12"/>
      <c r="CC69" s="12"/>
      <c r="CD69" s="13"/>
      <c r="CF69" s="14"/>
      <c r="CG69" s="10"/>
      <c r="CH69" s="11"/>
      <c r="CI69" s="11"/>
      <c r="CJ69" s="11"/>
      <c r="CK69" s="12"/>
      <c r="CL69" s="12"/>
      <c r="CM69" s="13"/>
      <c r="CO69" s="13"/>
    </row>
    <row r="70" spans="1:93" x14ac:dyDescent="0.35">
      <c r="A70" s="27">
        <v>65</v>
      </c>
      <c r="B70" s="57">
        <f t="shared" ref="B70:B101" si="11">Deposit_mon</f>
        <v>1000</v>
      </c>
      <c r="C70" s="16">
        <f>ROUND(B70*(1+'Interest rate projection'!AB72/Var_freq)+IF(C$5="Mortgage Starts",0,Deposit_mon),2)</f>
        <v>2003.67</v>
      </c>
      <c r="D70" s="16">
        <f>ROUND(C70*(1+'Interest rate projection'!AC72/Var_freq)+IF(D$5="Mortgage Starts",0,Deposit_mon),2)</f>
        <v>3011.03</v>
      </c>
      <c r="E70" s="16">
        <f>ROUND(D70*(1+'Interest rate projection'!AD72/Var_freq)+IF(E$5="Mortgage Starts",0,Deposit_mon),2)</f>
        <v>4022.09</v>
      </c>
      <c r="F70" s="16">
        <f>ROUND(E70*(1+'Interest rate projection'!AE72/Var_freq)+IF(F$5="Mortgage Starts",0,Deposit_mon),2)</f>
        <v>5036.87</v>
      </c>
      <c r="G70" s="16">
        <f>ROUND(F70*(1+'Interest rate projection'!AF72/Var_freq)+IF(G$5="Mortgage Starts",0,Deposit_mon),2)</f>
        <v>6055.38</v>
      </c>
      <c r="H70" s="16">
        <f>ROUND(G70*(1+'Interest rate projection'!AG72/Var_freq)+IF(H$5="Mortgage Starts",0,Deposit_mon),2)</f>
        <v>7077.63</v>
      </c>
      <c r="I70" s="16">
        <f>ROUND(H70*(1+'Interest rate projection'!AH72/Var_freq)+IF(I$5="Mortgage Starts",0,Deposit_mon),2)</f>
        <v>8103.64</v>
      </c>
      <c r="J70" s="16">
        <f>ROUND(I70*(1+'Interest rate projection'!AI72/Var_freq)+IF(J$5="Mortgage Starts",0,Deposit_mon),2)</f>
        <v>9133.42</v>
      </c>
      <c r="K70" s="16">
        <f>ROUND(J70*(1+'Interest rate projection'!AJ72/Var_freq)+IF(K$5="Mortgage Starts",0,Deposit_mon),2)</f>
        <v>10166.98</v>
      </c>
      <c r="L70" s="16">
        <f>ROUND(K70*(1+'Interest rate projection'!AK72/Var_freq)+IF(L$5="Mortgage Starts",0,Deposit_mon),2)</f>
        <v>11204.34</v>
      </c>
      <c r="M70" s="16">
        <f>ROUND(L70*(1+'Interest rate projection'!AL72/Var_freq)+IF(M$5="Mortgage Starts",0,Deposit_mon),2)</f>
        <v>12245.51</v>
      </c>
      <c r="N70" s="16">
        <f>ROUND(M70*(1+'Interest rate projection'!AM72/Var_freq)+IF(N$5="Mortgage Starts",0,Deposit_mon),2)</f>
        <v>13290.51</v>
      </c>
      <c r="O70" s="16">
        <f>ROUND(N70*(1+'Interest rate projection'!AN72/Var_freq)+IF(O$5="Mortgage Starts",0,Deposit_mon),2)</f>
        <v>14339.35</v>
      </c>
      <c r="P70" s="16">
        <f>ROUND(O70*(1+'Interest rate projection'!AO72/Var_freq)+IF(P$5="Mortgage Starts",0,Deposit_mon),2)</f>
        <v>15392.04</v>
      </c>
      <c r="Q70" s="16">
        <f>ROUND(P70*(1+'Interest rate projection'!AP72/Var_freq)+IF(Q$5="Mortgage Starts",0,Deposit_mon),2)</f>
        <v>16448.599999999999</v>
      </c>
      <c r="R70" s="16">
        <f>ROUND(Q70*(1+'Interest rate projection'!AQ72/Var_freq)+IF(R$5="Mortgage Starts",0,Deposit_mon),2)</f>
        <v>17509.05</v>
      </c>
      <c r="S70" s="16">
        <f>ROUND(R70*(1+'Interest rate projection'!AR72/Var_freq)+IF(S$5="Mortgage Starts",0,Deposit_mon),2)</f>
        <v>18573.39</v>
      </c>
      <c r="T70" s="16">
        <f>ROUND(S70*(1+'Interest rate projection'!AS72/Var_freq)+IF(T$5="Mortgage Starts",0,Deposit_mon),2)</f>
        <v>19649.060000000001</v>
      </c>
      <c r="U70" s="16">
        <f>ROUND(T70*(1+'Interest rate projection'!AT72/Var_freq)+IF(U$5="Mortgage Starts",0,Deposit_mon),2)</f>
        <v>20729.11</v>
      </c>
      <c r="V70" s="16">
        <f>ROUND(U70*(1+'Interest rate projection'!AU72/Var_freq)+IF(V$5="Mortgage Starts",0,Deposit_mon),2)</f>
        <v>21813.56</v>
      </c>
      <c r="W70" s="16">
        <f>ROUND(V70*(1+'Interest rate projection'!AV72/Var_freq)+IF(W$5="Mortgage Starts",0,Deposit_mon),2)</f>
        <v>22902.43</v>
      </c>
      <c r="X70" s="16">
        <f>ROUND(W70*(1+'Interest rate projection'!AW72/Var_freq)+IF(X$5="Mortgage Starts",0,Deposit_mon),2)</f>
        <v>23986.59</v>
      </c>
      <c r="Y70" s="16">
        <f>ROUND(X70*(1+'Interest rate projection'!AX72/Var_freq)+IF(Y$5="Mortgage Starts",0,Deposit_mon),2)</f>
        <v>25074.74</v>
      </c>
      <c r="Z70" s="57">
        <f>ROUND(Y70*(1+'Interest rate projection'!AY72/Var_freq)+IF(Z$5="Mortgage Starts",0,Deposit_mon),2)</f>
        <v>25166.880000000001</v>
      </c>
      <c r="AA70" s="12"/>
      <c r="AB70" s="38">
        <f>'Interest rate projection'!Z72</f>
        <v>4.4999999999999998E-2</v>
      </c>
      <c r="AC70" s="38">
        <f>'Interest rate projection'!AZ72</f>
        <v>4.4097712805242217E-2</v>
      </c>
      <c r="AD70" s="59" t="str">
        <f t="shared" ref="AD70:AD101" si="12">IF(ROUND(AB70,6)=ROUND((1+AC70/Var_freq)^Var_freq-1,6),"OK","ERROR")</f>
        <v>OK</v>
      </c>
      <c r="AE70" s="39">
        <f t="shared" ref="AE70:AE101" si="13">(1-(1+AB70)^-Mort_term)/AC70</f>
        <v>15.131610255367837</v>
      </c>
      <c r="AF70" s="10"/>
      <c r="AG70" s="73">
        <f t="shared" si="5"/>
        <v>25166.880000000001</v>
      </c>
      <c r="AH70" s="73">
        <f t="shared" si="6"/>
        <v>174833.12</v>
      </c>
      <c r="AI70" s="74">
        <f t="shared" ref="AI70:AI101" si="14">ROUND(AH70/AE70/Var_freq,2)</f>
        <v>962.85</v>
      </c>
      <c r="AJ70" s="9"/>
      <c r="AK70" s="73">
        <f>'Fixed rate projection'!$AE$3-('Variable rate projection'!AI70*Product_term*Var_freq)</f>
        <v>14214</v>
      </c>
      <c r="AM70" s="14"/>
      <c r="AN70" s="10"/>
      <c r="AO70" s="11"/>
      <c r="AP70" s="11"/>
      <c r="AQ70" s="11"/>
      <c r="AR70" s="12"/>
      <c r="AS70" s="12"/>
      <c r="AT70" s="13"/>
      <c r="AV70" s="14"/>
      <c r="AW70" s="10"/>
      <c r="AX70" s="11"/>
      <c r="AY70" s="11"/>
      <c r="AZ70" s="11"/>
      <c r="BA70" s="12"/>
      <c r="BB70" s="12"/>
      <c r="BC70" s="13"/>
      <c r="BE70" s="14"/>
      <c r="BF70" s="10"/>
      <c r="BG70" s="11"/>
      <c r="BH70" s="11"/>
      <c r="BI70" s="11"/>
      <c r="BJ70" s="12"/>
      <c r="BK70" s="12"/>
      <c r="BL70" s="13"/>
      <c r="BN70" s="14"/>
      <c r="BO70" s="10"/>
      <c r="BP70" s="11"/>
      <c r="BQ70" s="11"/>
      <c r="BR70" s="11"/>
      <c r="BS70" s="12"/>
      <c r="BT70" s="12"/>
      <c r="BU70" s="13"/>
      <c r="BW70" s="14"/>
      <c r="BX70" s="10"/>
      <c r="BY70" s="11"/>
      <c r="BZ70" s="11"/>
      <c r="CA70" s="11"/>
      <c r="CB70" s="12"/>
      <c r="CC70" s="12"/>
      <c r="CD70" s="13"/>
      <c r="CF70" s="14"/>
      <c r="CG70" s="10"/>
      <c r="CH70" s="11"/>
      <c r="CI70" s="11"/>
      <c r="CJ70" s="11"/>
      <c r="CK70" s="12"/>
      <c r="CL70" s="12"/>
      <c r="CM70" s="13"/>
      <c r="CO70" s="13"/>
    </row>
    <row r="71" spans="1:93" x14ac:dyDescent="0.35">
      <c r="A71" s="5">
        <v>66</v>
      </c>
      <c r="B71" s="57">
        <f t="shared" si="11"/>
        <v>1000</v>
      </c>
      <c r="C71" s="16">
        <f>ROUND(B71*(1+'Interest rate projection'!AB73/Var_freq)+IF(C$5="Mortgage Starts",0,Deposit_mon),2)</f>
        <v>2003.67</v>
      </c>
      <c r="D71" s="16">
        <f>ROUND(C71*(1+'Interest rate projection'!AC73/Var_freq)+IF(D$5="Mortgage Starts",0,Deposit_mon),2)</f>
        <v>3011.03</v>
      </c>
      <c r="E71" s="16">
        <f>ROUND(D71*(1+'Interest rate projection'!AD73/Var_freq)+IF(E$5="Mortgage Starts",0,Deposit_mon),2)</f>
        <v>4022.09</v>
      </c>
      <c r="F71" s="16">
        <f>ROUND(E71*(1+'Interest rate projection'!AE73/Var_freq)+IF(F$5="Mortgage Starts",0,Deposit_mon),2)</f>
        <v>5036.87</v>
      </c>
      <c r="G71" s="16">
        <f>ROUND(F71*(1+'Interest rate projection'!AF73/Var_freq)+IF(G$5="Mortgage Starts",0,Deposit_mon),2)</f>
        <v>6055.38</v>
      </c>
      <c r="H71" s="16">
        <f>ROUND(G71*(1+'Interest rate projection'!AG73/Var_freq)+IF(H$5="Mortgage Starts",0,Deposit_mon),2)</f>
        <v>7077.63</v>
      </c>
      <c r="I71" s="16">
        <f>ROUND(H71*(1+'Interest rate projection'!AH73/Var_freq)+IF(I$5="Mortgage Starts",0,Deposit_mon),2)</f>
        <v>8103.64</v>
      </c>
      <c r="J71" s="16">
        <f>ROUND(I71*(1+'Interest rate projection'!AI73/Var_freq)+IF(J$5="Mortgage Starts",0,Deposit_mon),2)</f>
        <v>9133.42</v>
      </c>
      <c r="K71" s="16">
        <f>ROUND(J71*(1+'Interest rate projection'!AJ73/Var_freq)+IF(K$5="Mortgage Starts",0,Deposit_mon),2)</f>
        <v>10166.98</v>
      </c>
      <c r="L71" s="16">
        <f>ROUND(K71*(1+'Interest rate projection'!AK73/Var_freq)+IF(L$5="Mortgage Starts",0,Deposit_mon),2)</f>
        <v>11204.34</v>
      </c>
      <c r="M71" s="16">
        <f>ROUND(L71*(1+'Interest rate projection'!AL73/Var_freq)+IF(M$5="Mortgage Starts",0,Deposit_mon),2)</f>
        <v>12245.51</v>
      </c>
      <c r="N71" s="16">
        <f>ROUND(M71*(1+'Interest rate projection'!AM73/Var_freq)+IF(N$5="Mortgage Starts",0,Deposit_mon),2)</f>
        <v>13290.51</v>
      </c>
      <c r="O71" s="16">
        <f>ROUND(N71*(1+'Interest rate projection'!AN73/Var_freq)+IF(O$5="Mortgage Starts",0,Deposit_mon),2)</f>
        <v>14339.35</v>
      </c>
      <c r="P71" s="16">
        <f>ROUND(O71*(1+'Interest rate projection'!AO73/Var_freq)+IF(P$5="Mortgage Starts",0,Deposit_mon),2)</f>
        <v>15386.29</v>
      </c>
      <c r="Q71" s="16">
        <f>ROUND(P71*(1+'Interest rate projection'!AP73/Var_freq)+IF(Q$5="Mortgage Starts",0,Deposit_mon),2)</f>
        <v>16436.66</v>
      </c>
      <c r="R71" s="16">
        <f>ROUND(Q71*(1+'Interest rate projection'!AQ73/Var_freq)+IF(R$5="Mortgage Starts",0,Deposit_mon),2)</f>
        <v>17490.47</v>
      </c>
      <c r="S71" s="16">
        <f>ROUND(R71*(1+'Interest rate projection'!AR73/Var_freq)+IF(S$5="Mortgage Starts",0,Deposit_mon),2)</f>
        <v>18551.240000000002</v>
      </c>
      <c r="T71" s="16">
        <f>ROUND(S71*(1+'Interest rate projection'!AS73/Var_freq)+IF(T$5="Mortgage Starts",0,Deposit_mon),2)</f>
        <v>19615.7</v>
      </c>
      <c r="U71" s="16">
        <f>ROUND(T71*(1+'Interest rate projection'!AT73/Var_freq)+IF(U$5="Mortgage Starts",0,Deposit_mon),2)</f>
        <v>20683.849999999999</v>
      </c>
      <c r="V71" s="16">
        <f>ROUND(U71*(1+'Interest rate projection'!AU73/Var_freq)+IF(V$5="Mortgage Starts",0,Deposit_mon),2)</f>
        <v>21755.72</v>
      </c>
      <c r="W71" s="16">
        <f>ROUND(V71*(1+'Interest rate projection'!AV73/Var_freq)+IF(W$5="Mortgage Starts",0,Deposit_mon),2)</f>
        <v>22831.31</v>
      </c>
      <c r="X71" s="16">
        <f>ROUND(W71*(1+'Interest rate projection'!AW73/Var_freq)+IF(X$5="Mortgage Starts",0,Deposit_mon),2)</f>
        <v>23910.639999999999</v>
      </c>
      <c r="Y71" s="16">
        <f>ROUND(X71*(1+'Interest rate projection'!AX73/Var_freq)+IF(Y$5="Mortgage Starts",0,Deposit_mon),2)</f>
        <v>24993.72</v>
      </c>
      <c r="Z71" s="57">
        <f>ROUND(Y71*(1+'Interest rate projection'!AY73/Var_freq)+IF(Z$5="Mortgage Starts",0,Deposit_mon),2)</f>
        <v>25080.560000000001</v>
      </c>
      <c r="AA71" s="12"/>
      <c r="AB71" s="38">
        <f>'Interest rate projection'!Z73</f>
        <v>4.2500000000000003E-2</v>
      </c>
      <c r="AC71" s="38">
        <f>'Interest rate projection'!AZ73</f>
        <v>4.1693940041970023E-2</v>
      </c>
      <c r="AD71" s="59" t="str">
        <f t="shared" si="12"/>
        <v>OK</v>
      </c>
      <c r="AE71" s="39">
        <f t="shared" si="13"/>
        <v>15.511529757864551</v>
      </c>
      <c r="AF71" s="10"/>
      <c r="AG71" s="73">
        <f t="shared" ref="AG71:AG134" si="15">Z71</f>
        <v>25080.560000000001</v>
      </c>
      <c r="AH71" s="73">
        <f t="shared" ref="AH71:AH134" si="16">House_price-AG71</f>
        <v>174919.44</v>
      </c>
      <c r="AI71" s="74">
        <f t="shared" si="14"/>
        <v>939.73</v>
      </c>
      <c r="AJ71" s="9"/>
      <c r="AK71" s="73">
        <f>'Fixed rate projection'!$AE$3-('Variable rate projection'!AI71*Product_term*Var_freq)</f>
        <v>21150</v>
      </c>
      <c r="AM71" s="14"/>
      <c r="AN71" s="10"/>
      <c r="AO71" s="11"/>
      <c r="AP71" s="11"/>
      <c r="AQ71" s="11"/>
      <c r="AR71" s="12"/>
      <c r="AS71" s="12"/>
      <c r="AT71" s="13"/>
      <c r="AV71" s="14"/>
      <c r="AW71" s="10"/>
      <c r="AX71" s="11"/>
      <c r="AY71" s="11"/>
      <c r="AZ71" s="11"/>
      <c r="BA71" s="12"/>
      <c r="BB71" s="12"/>
      <c r="BC71" s="13"/>
      <c r="BE71" s="14"/>
      <c r="BF71" s="10"/>
      <c r="BG71" s="11"/>
      <c r="BH71" s="11"/>
      <c r="BI71" s="11"/>
      <c r="BJ71" s="12"/>
      <c r="BK71" s="12"/>
      <c r="BL71" s="13"/>
      <c r="BN71" s="14"/>
      <c r="BO71" s="10"/>
      <c r="BP71" s="11"/>
      <c r="BQ71" s="11"/>
      <c r="BR71" s="11"/>
      <c r="BS71" s="12"/>
      <c r="BT71" s="12"/>
      <c r="BU71" s="13"/>
      <c r="BW71" s="14"/>
      <c r="BX71" s="10"/>
      <c r="BY71" s="11"/>
      <c r="BZ71" s="11"/>
      <c r="CA71" s="11"/>
      <c r="CB71" s="12"/>
      <c r="CC71" s="12"/>
      <c r="CD71" s="13"/>
      <c r="CF71" s="14"/>
      <c r="CG71" s="10"/>
      <c r="CH71" s="11"/>
      <c r="CI71" s="11"/>
      <c r="CJ71" s="11"/>
      <c r="CK71" s="12"/>
      <c r="CL71" s="12"/>
      <c r="CM71" s="13"/>
      <c r="CO71" s="13"/>
    </row>
    <row r="72" spans="1:93" x14ac:dyDescent="0.35">
      <c r="A72" s="27">
        <v>67</v>
      </c>
      <c r="B72" s="57">
        <f t="shared" si="11"/>
        <v>1000</v>
      </c>
      <c r="C72" s="16">
        <f>ROUND(B72*(1+'Interest rate projection'!AB74/Var_freq)+IF(C$5="Mortgage Starts",0,Deposit_mon),2)</f>
        <v>2003.67</v>
      </c>
      <c r="D72" s="16">
        <f>ROUND(C72*(1+'Interest rate projection'!AC74/Var_freq)+IF(D$5="Mortgage Starts",0,Deposit_mon),2)</f>
        <v>3011.03</v>
      </c>
      <c r="E72" s="16">
        <f>ROUND(D72*(1+'Interest rate projection'!AD74/Var_freq)+IF(E$5="Mortgage Starts",0,Deposit_mon),2)</f>
        <v>4022.09</v>
      </c>
      <c r="F72" s="16">
        <f>ROUND(E72*(1+'Interest rate projection'!AE74/Var_freq)+IF(F$5="Mortgage Starts",0,Deposit_mon),2)</f>
        <v>5036.87</v>
      </c>
      <c r="G72" s="16">
        <f>ROUND(F72*(1+'Interest rate projection'!AF74/Var_freq)+IF(G$5="Mortgage Starts",0,Deposit_mon),2)</f>
        <v>6055.38</v>
      </c>
      <c r="H72" s="16">
        <f>ROUND(G72*(1+'Interest rate projection'!AG74/Var_freq)+IF(H$5="Mortgage Starts",0,Deposit_mon),2)</f>
        <v>7077.63</v>
      </c>
      <c r="I72" s="16">
        <f>ROUND(H72*(1+'Interest rate projection'!AH74/Var_freq)+IF(I$5="Mortgage Starts",0,Deposit_mon),2)</f>
        <v>8103.64</v>
      </c>
      <c r="J72" s="16">
        <f>ROUND(I72*(1+'Interest rate projection'!AI74/Var_freq)+IF(J$5="Mortgage Starts",0,Deposit_mon),2)</f>
        <v>9133.42</v>
      </c>
      <c r="K72" s="16">
        <f>ROUND(J72*(1+'Interest rate projection'!AJ74/Var_freq)+IF(K$5="Mortgage Starts",0,Deposit_mon),2)</f>
        <v>10166.98</v>
      </c>
      <c r="L72" s="16">
        <f>ROUND(K72*(1+'Interest rate projection'!AK74/Var_freq)+IF(L$5="Mortgage Starts",0,Deposit_mon),2)</f>
        <v>11204.34</v>
      </c>
      <c r="M72" s="16">
        <f>ROUND(L72*(1+'Interest rate projection'!AL74/Var_freq)+IF(M$5="Mortgage Starts",0,Deposit_mon),2)</f>
        <v>12245.51</v>
      </c>
      <c r="N72" s="16">
        <f>ROUND(M72*(1+'Interest rate projection'!AM74/Var_freq)+IF(N$5="Mortgage Starts",0,Deposit_mon),2)</f>
        <v>13290.51</v>
      </c>
      <c r="O72" s="16">
        <f>ROUND(N72*(1+'Interest rate projection'!AN74/Var_freq)+IF(O$5="Mortgage Starts",0,Deposit_mon),2)</f>
        <v>14339.35</v>
      </c>
      <c r="P72" s="16">
        <f>ROUND(O72*(1+'Interest rate projection'!AO74/Var_freq)+IF(P$5="Mortgage Starts",0,Deposit_mon),2)</f>
        <v>15394.91</v>
      </c>
      <c r="Q72" s="16">
        <f>ROUND(P72*(1+'Interest rate projection'!AP74/Var_freq)+IF(Q$5="Mortgage Starts",0,Deposit_mon),2)</f>
        <v>16454.560000000001</v>
      </c>
      <c r="R72" s="16">
        <f>ROUND(Q72*(1+'Interest rate projection'!AQ74/Var_freq)+IF(R$5="Mortgage Starts",0,Deposit_mon),2)</f>
        <v>17515.03</v>
      </c>
      <c r="S72" s="16">
        <f>ROUND(R72*(1+'Interest rate projection'!AR74/Var_freq)+IF(S$5="Mortgage Starts",0,Deposit_mon),2)</f>
        <v>18575.89</v>
      </c>
      <c r="T72" s="16">
        <f>ROUND(S72*(1+'Interest rate projection'!AS74/Var_freq)+IF(T$5="Mortgage Starts",0,Deposit_mon),2)</f>
        <v>19640.43</v>
      </c>
      <c r="U72" s="16">
        <f>ROUND(T72*(1+'Interest rate projection'!AT74/Var_freq)+IF(U$5="Mortgage Starts",0,Deposit_mon),2)</f>
        <v>20708.669999999998</v>
      </c>
      <c r="V72" s="16">
        <f>ROUND(U72*(1+'Interest rate projection'!AU74/Var_freq)+IF(V$5="Mortgage Starts",0,Deposit_mon),2)</f>
        <v>21780.62</v>
      </c>
      <c r="W72" s="16">
        <f>ROUND(V72*(1+'Interest rate projection'!AV74/Var_freq)+IF(W$5="Mortgage Starts",0,Deposit_mon),2)</f>
        <v>22856.3</v>
      </c>
      <c r="X72" s="16">
        <f>ROUND(W72*(1+'Interest rate projection'!AW74/Var_freq)+IF(X$5="Mortgage Starts",0,Deposit_mon),2)</f>
        <v>23935.71</v>
      </c>
      <c r="Y72" s="16">
        <f>ROUND(X72*(1+'Interest rate projection'!AX74/Var_freq)+IF(Y$5="Mortgage Starts",0,Deposit_mon),2)</f>
        <v>25018.87</v>
      </c>
      <c r="Z72" s="57">
        <f>ROUND(Y72*(1+'Interest rate projection'!AY74/Var_freq)+IF(Z$5="Mortgage Starts",0,Deposit_mon),2)</f>
        <v>25105.8</v>
      </c>
      <c r="AA72" s="12"/>
      <c r="AB72" s="38">
        <f>'Interest rate projection'!Z74</f>
        <v>4.2499999999999996E-2</v>
      </c>
      <c r="AC72" s="38">
        <f>'Interest rate projection'!AZ74</f>
        <v>4.1693940041970023E-2</v>
      </c>
      <c r="AD72" s="59" t="str">
        <f t="shared" si="12"/>
        <v>OK</v>
      </c>
      <c r="AE72" s="39">
        <f t="shared" si="13"/>
        <v>15.511529757864551</v>
      </c>
      <c r="AF72" s="10"/>
      <c r="AG72" s="73">
        <f t="shared" si="15"/>
        <v>25105.8</v>
      </c>
      <c r="AH72" s="73">
        <f t="shared" si="16"/>
        <v>174894.2</v>
      </c>
      <c r="AI72" s="74">
        <f t="shared" si="14"/>
        <v>939.59</v>
      </c>
      <c r="AJ72" s="9"/>
      <c r="AK72" s="73">
        <f>'Fixed rate projection'!$AE$3-('Variable rate projection'!AI72*Product_term*Var_freq)</f>
        <v>21192</v>
      </c>
      <c r="AM72" s="14"/>
      <c r="AN72" s="10"/>
      <c r="AO72" s="11"/>
      <c r="AP72" s="11"/>
      <c r="AQ72" s="11"/>
      <c r="AR72" s="12"/>
      <c r="AS72" s="12"/>
      <c r="AT72" s="13"/>
      <c r="AV72" s="14"/>
      <c r="AW72" s="10"/>
      <c r="AX72" s="11"/>
      <c r="AY72" s="11"/>
      <c r="AZ72" s="11"/>
      <c r="BA72" s="12"/>
      <c r="BB72" s="12"/>
      <c r="BC72" s="13"/>
      <c r="BE72" s="14"/>
      <c r="BF72" s="10"/>
      <c r="BG72" s="11"/>
      <c r="BH72" s="11"/>
      <c r="BI72" s="11"/>
      <c r="BJ72" s="12"/>
      <c r="BK72" s="12"/>
      <c r="BL72" s="13"/>
      <c r="BN72" s="14"/>
      <c r="BO72" s="10"/>
      <c r="BP72" s="11"/>
      <c r="BQ72" s="11"/>
      <c r="BR72" s="11"/>
      <c r="BS72" s="12"/>
      <c r="BT72" s="12"/>
      <c r="BU72" s="13"/>
      <c r="BW72" s="14"/>
      <c r="BX72" s="10"/>
      <c r="BY72" s="11"/>
      <c r="BZ72" s="11"/>
      <c r="CA72" s="11"/>
      <c r="CB72" s="12"/>
      <c r="CC72" s="12"/>
      <c r="CD72" s="13"/>
      <c r="CF72" s="14"/>
      <c r="CG72" s="10"/>
      <c r="CH72" s="11"/>
      <c r="CI72" s="11"/>
      <c r="CJ72" s="11"/>
      <c r="CK72" s="12"/>
      <c r="CL72" s="12"/>
      <c r="CM72" s="13"/>
      <c r="CO72" s="13"/>
    </row>
    <row r="73" spans="1:93" x14ac:dyDescent="0.35">
      <c r="A73" s="5">
        <v>68</v>
      </c>
      <c r="B73" s="57">
        <f t="shared" si="11"/>
        <v>1000</v>
      </c>
      <c r="C73" s="16">
        <f>ROUND(B73*(1+'Interest rate projection'!AB75/Var_freq)+IF(C$5="Mortgage Starts",0,Deposit_mon),2)</f>
        <v>2003.67</v>
      </c>
      <c r="D73" s="16">
        <f>ROUND(C73*(1+'Interest rate projection'!AC75/Var_freq)+IF(D$5="Mortgage Starts",0,Deposit_mon),2)</f>
        <v>3011.03</v>
      </c>
      <c r="E73" s="16">
        <f>ROUND(D73*(1+'Interest rate projection'!AD75/Var_freq)+IF(E$5="Mortgage Starts",0,Deposit_mon),2)</f>
        <v>4022.09</v>
      </c>
      <c r="F73" s="16">
        <f>ROUND(E73*(1+'Interest rate projection'!AE75/Var_freq)+IF(F$5="Mortgage Starts",0,Deposit_mon),2)</f>
        <v>5036.87</v>
      </c>
      <c r="G73" s="16">
        <f>ROUND(F73*(1+'Interest rate projection'!AF75/Var_freq)+IF(G$5="Mortgage Starts",0,Deposit_mon),2)</f>
        <v>6055.38</v>
      </c>
      <c r="H73" s="16">
        <f>ROUND(G73*(1+'Interest rate projection'!AG75/Var_freq)+IF(H$5="Mortgage Starts",0,Deposit_mon),2)</f>
        <v>7077.63</v>
      </c>
      <c r="I73" s="16">
        <f>ROUND(H73*(1+'Interest rate projection'!AH75/Var_freq)+IF(I$5="Mortgage Starts",0,Deposit_mon),2)</f>
        <v>8103.64</v>
      </c>
      <c r="J73" s="16">
        <f>ROUND(I73*(1+'Interest rate projection'!AI75/Var_freq)+IF(J$5="Mortgage Starts",0,Deposit_mon),2)</f>
        <v>9133.42</v>
      </c>
      <c r="K73" s="16">
        <f>ROUND(J73*(1+'Interest rate projection'!AJ75/Var_freq)+IF(K$5="Mortgage Starts",0,Deposit_mon),2)</f>
        <v>10166.98</v>
      </c>
      <c r="L73" s="16">
        <f>ROUND(K73*(1+'Interest rate projection'!AK75/Var_freq)+IF(L$5="Mortgage Starts",0,Deposit_mon),2)</f>
        <v>11204.34</v>
      </c>
      <c r="M73" s="16">
        <f>ROUND(L73*(1+'Interest rate projection'!AL75/Var_freq)+IF(M$5="Mortgage Starts",0,Deposit_mon),2)</f>
        <v>12245.51</v>
      </c>
      <c r="N73" s="16">
        <f>ROUND(M73*(1+'Interest rate projection'!AM75/Var_freq)+IF(N$5="Mortgage Starts",0,Deposit_mon),2)</f>
        <v>13290.51</v>
      </c>
      <c r="O73" s="16">
        <f>ROUND(N73*(1+'Interest rate projection'!AN75/Var_freq)+IF(O$5="Mortgage Starts",0,Deposit_mon),2)</f>
        <v>14339.35</v>
      </c>
      <c r="P73" s="16">
        <f>ROUND(O73*(1+'Interest rate projection'!AO75/Var_freq)+IF(P$5="Mortgage Starts",0,Deposit_mon),2)</f>
        <v>15397.77</v>
      </c>
      <c r="Q73" s="16">
        <f>ROUND(P73*(1+'Interest rate projection'!AP75/Var_freq)+IF(Q$5="Mortgage Starts",0,Deposit_mon),2)</f>
        <v>16460.5</v>
      </c>
      <c r="R73" s="16">
        <f>ROUND(Q73*(1+'Interest rate projection'!AQ75/Var_freq)+IF(R$5="Mortgage Starts",0,Deposit_mon),2)</f>
        <v>17527.560000000001</v>
      </c>
      <c r="S73" s="16">
        <f>ROUND(R73*(1+'Interest rate projection'!AR75/Var_freq)+IF(S$5="Mortgage Starts",0,Deposit_mon),2)</f>
        <v>18598.97</v>
      </c>
      <c r="T73" s="16">
        <f>ROUND(S73*(1+'Interest rate projection'!AS75/Var_freq)+IF(T$5="Mortgage Starts",0,Deposit_mon),2)</f>
        <v>19674.740000000002</v>
      </c>
      <c r="U73" s="16">
        <f>ROUND(T73*(1+'Interest rate projection'!AT75/Var_freq)+IF(U$5="Mortgage Starts",0,Deposit_mon),2)</f>
        <v>20758.810000000001</v>
      </c>
      <c r="V73" s="16">
        <f>ROUND(U73*(1+'Interest rate projection'!AU75/Var_freq)+IF(V$5="Mortgage Starts",0,Deposit_mon),2)</f>
        <v>21847.52</v>
      </c>
      <c r="W73" s="16">
        <f>ROUND(V73*(1+'Interest rate projection'!AV75/Var_freq)+IF(W$5="Mortgage Starts",0,Deposit_mon),2)</f>
        <v>22940.880000000001</v>
      </c>
      <c r="X73" s="16">
        <f>ROUND(W73*(1+'Interest rate projection'!AW75/Var_freq)+IF(X$5="Mortgage Starts",0,Deposit_mon),2)</f>
        <v>24038.91</v>
      </c>
      <c r="Y73" s="16">
        <f>ROUND(X73*(1+'Interest rate projection'!AX75/Var_freq)+IF(Y$5="Mortgage Starts",0,Deposit_mon),2)</f>
        <v>25141.63</v>
      </c>
      <c r="Z73" s="57">
        <f>ROUND(Y73*(1+'Interest rate projection'!AY75/Var_freq)+IF(Z$5="Mortgage Starts",0,Deposit_mon),2)</f>
        <v>25249.06</v>
      </c>
      <c r="AA73" s="12"/>
      <c r="AB73" s="38">
        <f>'Interest rate projection'!Z75</f>
        <v>5.2499999999999998E-2</v>
      </c>
      <c r="AC73" s="38">
        <f>'Interest rate projection'!AZ75</f>
        <v>5.1277533193896829E-2</v>
      </c>
      <c r="AD73" s="59" t="str">
        <f t="shared" si="12"/>
        <v>OK</v>
      </c>
      <c r="AE73" s="39">
        <f t="shared" si="13"/>
        <v>14.075212462503044</v>
      </c>
      <c r="AF73" s="10"/>
      <c r="AG73" s="73">
        <f t="shared" si="15"/>
        <v>25249.06</v>
      </c>
      <c r="AH73" s="73">
        <f t="shared" si="16"/>
        <v>174750.94</v>
      </c>
      <c r="AI73" s="74">
        <f t="shared" si="14"/>
        <v>1034.6300000000001</v>
      </c>
      <c r="AJ73" s="9"/>
      <c r="AK73" s="73">
        <f>'Fixed rate projection'!$AE$3-('Variable rate projection'!AI73*Product_term*Var_freq)</f>
        <v>-7320.0000000000582</v>
      </c>
      <c r="AM73" s="14"/>
      <c r="AN73" s="10"/>
      <c r="AO73" s="11"/>
      <c r="AP73" s="11"/>
      <c r="AQ73" s="11"/>
      <c r="AR73" s="12"/>
      <c r="AS73" s="12"/>
      <c r="AT73" s="13"/>
      <c r="AV73" s="14"/>
      <c r="AW73" s="10"/>
      <c r="AX73" s="11"/>
      <c r="AY73" s="11"/>
      <c r="AZ73" s="11"/>
      <c r="BA73" s="12"/>
      <c r="BB73" s="12"/>
      <c r="BC73" s="13"/>
      <c r="BE73" s="14"/>
      <c r="BF73" s="10"/>
      <c r="BG73" s="11"/>
      <c r="BH73" s="11"/>
      <c r="BI73" s="11"/>
      <c r="BJ73" s="12"/>
      <c r="BK73" s="12"/>
      <c r="BL73" s="13"/>
      <c r="BN73" s="14"/>
      <c r="BO73" s="10"/>
      <c r="BP73" s="11"/>
      <c r="BQ73" s="11"/>
      <c r="BR73" s="11"/>
      <c r="BS73" s="12"/>
      <c r="BT73" s="12"/>
      <c r="BU73" s="13"/>
      <c r="BW73" s="14"/>
      <c r="BX73" s="10"/>
      <c r="BY73" s="11"/>
      <c r="BZ73" s="11"/>
      <c r="CA73" s="11"/>
      <c r="CB73" s="12"/>
      <c r="CC73" s="12"/>
      <c r="CD73" s="13"/>
      <c r="CF73" s="14"/>
      <c r="CG73" s="10"/>
      <c r="CH73" s="11"/>
      <c r="CI73" s="11"/>
      <c r="CJ73" s="11"/>
      <c r="CK73" s="12"/>
      <c r="CL73" s="12"/>
      <c r="CM73" s="13"/>
      <c r="CO73" s="13"/>
    </row>
    <row r="74" spans="1:93" x14ac:dyDescent="0.35">
      <c r="A74" s="27">
        <v>69</v>
      </c>
      <c r="B74" s="57">
        <f t="shared" si="11"/>
        <v>1000</v>
      </c>
      <c r="C74" s="16">
        <f>ROUND(B74*(1+'Interest rate projection'!AB76/Var_freq)+IF(C$5="Mortgage Starts",0,Deposit_mon),2)</f>
        <v>2003.67</v>
      </c>
      <c r="D74" s="16">
        <f>ROUND(C74*(1+'Interest rate projection'!AC76/Var_freq)+IF(D$5="Mortgage Starts",0,Deposit_mon),2)</f>
        <v>3011.03</v>
      </c>
      <c r="E74" s="16">
        <f>ROUND(D74*(1+'Interest rate projection'!AD76/Var_freq)+IF(E$5="Mortgage Starts",0,Deposit_mon),2)</f>
        <v>4022.09</v>
      </c>
      <c r="F74" s="16">
        <f>ROUND(E74*(1+'Interest rate projection'!AE76/Var_freq)+IF(F$5="Mortgage Starts",0,Deposit_mon),2)</f>
        <v>5036.87</v>
      </c>
      <c r="G74" s="16">
        <f>ROUND(F74*(1+'Interest rate projection'!AF76/Var_freq)+IF(G$5="Mortgage Starts",0,Deposit_mon),2)</f>
        <v>6056.39</v>
      </c>
      <c r="H74" s="16">
        <f>ROUND(G74*(1+'Interest rate projection'!AG76/Var_freq)+IF(H$5="Mortgage Starts",0,Deposit_mon),2)</f>
        <v>7077.43</v>
      </c>
      <c r="I74" s="16">
        <f>ROUND(H74*(1+'Interest rate projection'!AH76/Var_freq)+IF(I$5="Mortgage Starts",0,Deposit_mon),2)</f>
        <v>8102.02</v>
      </c>
      <c r="J74" s="16">
        <f>ROUND(I74*(1+'Interest rate projection'!AI76/Var_freq)+IF(J$5="Mortgage Starts",0,Deposit_mon),2)</f>
        <v>9130.17</v>
      </c>
      <c r="K74" s="16">
        <f>ROUND(J74*(1+'Interest rate projection'!AJ76/Var_freq)+IF(K$5="Mortgage Starts",0,Deposit_mon),2)</f>
        <v>10161.89</v>
      </c>
      <c r="L74" s="16">
        <f>ROUND(K74*(1+'Interest rate projection'!AK76/Var_freq)+IF(L$5="Mortgage Starts",0,Deposit_mon),2)</f>
        <v>11197.2</v>
      </c>
      <c r="M74" s="16">
        <f>ROUND(L74*(1+'Interest rate projection'!AL76/Var_freq)+IF(M$5="Mortgage Starts",0,Deposit_mon),2)</f>
        <v>12236.1</v>
      </c>
      <c r="N74" s="16">
        <f>ROUND(M74*(1+'Interest rate projection'!AM76/Var_freq)+IF(N$5="Mortgage Starts",0,Deposit_mon),2)</f>
        <v>13278.61</v>
      </c>
      <c r="O74" s="16">
        <f>ROUND(N74*(1+'Interest rate projection'!AN76/Var_freq)+IF(O$5="Mortgage Starts",0,Deposit_mon),2)</f>
        <v>14324.75</v>
      </c>
      <c r="P74" s="16">
        <f>ROUND(O74*(1+'Interest rate projection'!AO76/Var_freq)+IF(P$5="Mortgage Starts",0,Deposit_mon),2)</f>
        <v>15374.52</v>
      </c>
      <c r="Q74" s="16">
        <f>ROUND(P74*(1+'Interest rate projection'!AP76/Var_freq)+IF(Q$5="Mortgage Starts",0,Deposit_mon),2)</f>
        <v>16427.939999999999</v>
      </c>
      <c r="R74" s="16">
        <f>ROUND(Q74*(1+'Interest rate projection'!AQ76/Var_freq)+IF(R$5="Mortgage Starts",0,Deposit_mon),2)</f>
        <v>17485.02</v>
      </c>
      <c r="S74" s="16">
        <f>ROUND(R74*(1+'Interest rate projection'!AR76/Var_freq)+IF(S$5="Mortgage Starts",0,Deposit_mon),2)</f>
        <v>18545.77</v>
      </c>
      <c r="T74" s="16">
        <f>ROUND(S74*(1+'Interest rate projection'!AS76/Var_freq)+IF(T$5="Mortgage Starts",0,Deposit_mon),2)</f>
        <v>19610.21</v>
      </c>
      <c r="U74" s="16">
        <f>ROUND(T74*(1+'Interest rate projection'!AT76/Var_freq)+IF(U$5="Mortgage Starts",0,Deposit_mon),2)</f>
        <v>20678.349999999999</v>
      </c>
      <c r="V74" s="16">
        <f>ROUND(U74*(1+'Interest rate projection'!AU76/Var_freq)+IF(V$5="Mortgage Starts",0,Deposit_mon),2)</f>
        <v>21750.2</v>
      </c>
      <c r="W74" s="16">
        <f>ROUND(V74*(1+'Interest rate projection'!AV76/Var_freq)+IF(W$5="Mortgage Starts",0,Deposit_mon),2)</f>
        <v>22821.4</v>
      </c>
      <c r="X74" s="16">
        <f>ROUND(W74*(1+'Interest rate projection'!AW76/Var_freq)+IF(X$5="Mortgage Starts",0,Deposit_mon),2)</f>
        <v>23896.11</v>
      </c>
      <c r="Y74" s="16">
        <f>ROUND(X74*(1+'Interest rate projection'!AX76/Var_freq)+IF(Y$5="Mortgage Starts",0,Deposit_mon),2)</f>
        <v>24974.34</v>
      </c>
      <c r="Z74" s="57">
        <f>ROUND(Y74*(1+'Interest rate projection'!AY76/Var_freq)+IF(Z$5="Mortgage Starts",0,Deposit_mon),2)</f>
        <v>25061.11</v>
      </c>
      <c r="AA74" s="12"/>
      <c r="AB74" s="38">
        <f>'Interest rate projection'!Z76</f>
        <v>0.04</v>
      </c>
      <c r="AC74" s="38">
        <f>'Interest rate projection'!AZ76</f>
        <v>3.9284877386386974E-2</v>
      </c>
      <c r="AD74" s="59" t="str">
        <f t="shared" si="12"/>
        <v>OK</v>
      </c>
      <c r="AE74" s="39">
        <f t="shared" si="13"/>
        <v>15.906456614335044</v>
      </c>
      <c r="AF74" s="10"/>
      <c r="AG74" s="73">
        <f t="shared" si="15"/>
        <v>25061.11</v>
      </c>
      <c r="AH74" s="73">
        <f t="shared" si="16"/>
        <v>174938.89</v>
      </c>
      <c r="AI74" s="74">
        <f t="shared" si="14"/>
        <v>916.5</v>
      </c>
      <c r="AJ74" s="9"/>
      <c r="AK74" s="73">
        <f>'Fixed rate projection'!$AE$3-('Variable rate projection'!AI74*Product_term*Var_freq)</f>
        <v>28119</v>
      </c>
      <c r="AM74" s="14"/>
      <c r="AN74" s="10"/>
      <c r="AO74" s="11"/>
      <c r="AP74" s="11"/>
      <c r="AQ74" s="11"/>
      <c r="AR74" s="12"/>
      <c r="AS74" s="12"/>
      <c r="AT74" s="13"/>
      <c r="AV74" s="14"/>
      <c r="AW74" s="10"/>
      <c r="AX74" s="11"/>
      <c r="AY74" s="11"/>
      <c r="AZ74" s="11"/>
      <c r="BA74" s="12"/>
      <c r="BB74" s="12"/>
      <c r="BC74" s="13"/>
      <c r="BE74" s="14"/>
      <c r="BF74" s="10"/>
      <c r="BG74" s="11"/>
      <c r="BH74" s="11"/>
      <c r="BI74" s="11"/>
      <c r="BJ74" s="12"/>
      <c r="BK74" s="12"/>
      <c r="BL74" s="13"/>
      <c r="BN74" s="14"/>
      <c r="BO74" s="10"/>
      <c r="BP74" s="11"/>
      <c r="BQ74" s="11"/>
      <c r="BR74" s="11"/>
      <c r="BS74" s="12"/>
      <c r="BT74" s="12"/>
      <c r="BU74" s="13"/>
      <c r="BW74" s="14"/>
      <c r="BX74" s="10"/>
      <c r="BY74" s="11"/>
      <c r="BZ74" s="11"/>
      <c r="CA74" s="11"/>
      <c r="CB74" s="12"/>
      <c r="CC74" s="12"/>
      <c r="CD74" s="13"/>
      <c r="CF74" s="14"/>
      <c r="CG74" s="10"/>
      <c r="CH74" s="11"/>
      <c r="CI74" s="11"/>
      <c r="CJ74" s="11"/>
      <c r="CK74" s="12"/>
      <c r="CL74" s="12"/>
      <c r="CM74" s="13"/>
      <c r="CO74" s="13"/>
    </row>
    <row r="75" spans="1:93" x14ac:dyDescent="0.35">
      <c r="A75" s="5">
        <v>70</v>
      </c>
      <c r="B75" s="57">
        <f t="shared" si="11"/>
        <v>1000</v>
      </c>
      <c r="C75" s="16">
        <f>ROUND(B75*(1+'Interest rate projection'!AB77/Var_freq)+IF(C$5="Mortgage Starts",0,Deposit_mon),2)</f>
        <v>2003.67</v>
      </c>
      <c r="D75" s="16">
        <f>ROUND(C75*(1+'Interest rate projection'!AC77/Var_freq)+IF(D$5="Mortgage Starts",0,Deposit_mon),2)</f>
        <v>3011.03</v>
      </c>
      <c r="E75" s="16">
        <f>ROUND(D75*(1+'Interest rate projection'!AD77/Var_freq)+IF(E$5="Mortgage Starts",0,Deposit_mon),2)</f>
        <v>4023.3</v>
      </c>
      <c r="F75" s="16">
        <f>ROUND(E75*(1+'Interest rate projection'!AE77/Var_freq)+IF(F$5="Mortgage Starts",0,Deposit_mon),2)</f>
        <v>5039.6899999999996</v>
      </c>
      <c r="G75" s="16">
        <f>ROUND(F75*(1+'Interest rate projection'!AF77/Var_freq)+IF(G$5="Mortgage Starts",0,Deposit_mon),2)</f>
        <v>6060.22</v>
      </c>
      <c r="H75" s="16">
        <f>ROUND(G75*(1+'Interest rate projection'!AG77/Var_freq)+IF(H$5="Mortgage Starts",0,Deposit_mon),2)</f>
        <v>7084.91</v>
      </c>
      <c r="I75" s="16">
        <f>ROUND(H75*(1+'Interest rate projection'!AH77/Var_freq)+IF(I$5="Mortgage Starts",0,Deposit_mon),2)</f>
        <v>8113.77</v>
      </c>
      <c r="J75" s="16">
        <f>ROUND(I75*(1+'Interest rate projection'!AI77/Var_freq)+IF(J$5="Mortgage Starts",0,Deposit_mon),2)</f>
        <v>9146.83</v>
      </c>
      <c r="K75" s="16">
        <f>ROUND(J75*(1+'Interest rate projection'!AJ77/Var_freq)+IF(K$5="Mortgage Starts",0,Deposit_mon),2)</f>
        <v>10184.1</v>
      </c>
      <c r="L75" s="16">
        <f>ROUND(K75*(1+'Interest rate projection'!AK77/Var_freq)+IF(L$5="Mortgage Starts",0,Deposit_mon),2)</f>
        <v>11225.59</v>
      </c>
      <c r="M75" s="16">
        <f>ROUND(L75*(1+'Interest rate projection'!AL77/Var_freq)+IF(M$5="Mortgage Starts",0,Deposit_mon),2)</f>
        <v>12271.32</v>
      </c>
      <c r="N75" s="16">
        <f>ROUND(M75*(1+'Interest rate projection'!AM77/Var_freq)+IF(N$5="Mortgage Starts",0,Deposit_mon),2)</f>
        <v>13318.87</v>
      </c>
      <c r="O75" s="16">
        <f>ROUND(N75*(1+'Interest rate projection'!AN77/Var_freq)+IF(O$5="Mortgage Starts",0,Deposit_mon),2)</f>
        <v>14370.48</v>
      </c>
      <c r="P75" s="16">
        <f>ROUND(O75*(1+'Interest rate projection'!AO77/Var_freq)+IF(P$5="Mortgage Starts",0,Deposit_mon),2)</f>
        <v>15426.16</v>
      </c>
      <c r="Q75" s="16">
        <f>ROUND(P75*(1+'Interest rate projection'!AP77/Var_freq)+IF(Q$5="Mortgage Starts",0,Deposit_mon),2)</f>
        <v>16485.93</v>
      </c>
      <c r="R75" s="16">
        <f>ROUND(Q75*(1+'Interest rate projection'!AQ77/Var_freq)+IF(R$5="Mortgage Starts",0,Deposit_mon),2)</f>
        <v>17549.810000000001</v>
      </c>
      <c r="S75" s="16">
        <f>ROUND(R75*(1+'Interest rate projection'!AR77/Var_freq)+IF(S$5="Mortgage Starts",0,Deposit_mon),2)</f>
        <v>18617.810000000001</v>
      </c>
      <c r="T75" s="16">
        <f>ROUND(S75*(1+'Interest rate projection'!AS77/Var_freq)+IF(T$5="Mortgage Starts",0,Deposit_mon),2)</f>
        <v>19689.95</v>
      </c>
      <c r="U75" s="16">
        <f>ROUND(T75*(1+'Interest rate projection'!AT77/Var_freq)+IF(U$5="Mortgage Starts",0,Deposit_mon),2)</f>
        <v>20766.240000000002</v>
      </c>
      <c r="V75" s="16">
        <f>ROUND(U75*(1+'Interest rate projection'!AU77/Var_freq)+IF(V$5="Mortgage Starts",0,Deposit_mon),2)</f>
        <v>21846.7</v>
      </c>
      <c r="W75" s="16">
        <f>ROUND(V75*(1+'Interest rate projection'!AV77/Var_freq)+IF(W$5="Mortgage Starts",0,Deposit_mon),2)</f>
        <v>22922.61</v>
      </c>
      <c r="X75" s="16">
        <f>ROUND(W75*(1+'Interest rate projection'!AW77/Var_freq)+IF(X$5="Mortgage Starts",0,Deposit_mon),2)</f>
        <v>24002.25</v>
      </c>
      <c r="Y75" s="16">
        <f>ROUND(X75*(1+'Interest rate projection'!AX77/Var_freq)+IF(Y$5="Mortgage Starts",0,Deposit_mon),2)</f>
        <v>25085.65</v>
      </c>
      <c r="Z75" s="57">
        <f>ROUND(Y75*(1+'Interest rate projection'!AY77/Var_freq)+IF(Z$5="Mortgage Starts",0,Deposit_mon),2)</f>
        <v>25172.81</v>
      </c>
      <c r="AA75" s="12"/>
      <c r="AB75" s="38">
        <f>'Interest rate projection'!Z77</f>
        <v>4.2499999999999996E-2</v>
      </c>
      <c r="AC75" s="38">
        <f>'Interest rate projection'!AZ77</f>
        <v>4.1693940041970023E-2</v>
      </c>
      <c r="AD75" s="59" t="str">
        <f t="shared" si="12"/>
        <v>OK</v>
      </c>
      <c r="AE75" s="39">
        <f t="shared" si="13"/>
        <v>15.511529757864551</v>
      </c>
      <c r="AF75" s="10"/>
      <c r="AG75" s="73">
        <f t="shared" si="15"/>
        <v>25172.81</v>
      </c>
      <c r="AH75" s="73">
        <f t="shared" si="16"/>
        <v>174827.19</v>
      </c>
      <c r="AI75" s="74">
        <f t="shared" si="14"/>
        <v>939.23</v>
      </c>
      <c r="AJ75" s="9"/>
      <c r="AK75" s="73">
        <f>'Fixed rate projection'!$AE$3-('Variable rate projection'!AI75*Product_term*Var_freq)</f>
        <v>21300</v>
      </c>
      <c r="AM75" s="14"/>
      <c r="AN75" s="10"/>
      <c r="AO75" s="11"/>
      <c r="AP75" s="11"/>
      <c r="AQ75" s="11"/>
      <c r="AR75" s="12"/>
      <c r="AS75" s="12"/>
      <c r="AT75" s="13"/>
      <c r="AV75" s="14"/>
      <c r="AW75" s="10"/>
      <c r="AX75" s="11"/>
      <c r="AY75" s="11"/>
      <c r="AZ75" s="11"/>
      <c r="BA75" s="12"/>
      <c r="BB75" s="12"/>
      <c r="BC75" s="13"/>
      <c r="BE75" s="14"/>
      <c r="BF75" s="10"/>
      <c r="BG75" s="11"/>
      <c r="BH75" s="11"/>
      <c r="BI75" s="11"/>
      <c r="BJ75" s="12"/>
      <c r="BK75" s="12"/>
      <c r="BL75" s="13"/>
      <c r="BN75" s="14"/>
      <c r="BO75" s="10"/>
      <c r="BP75" s="11"/>
      <c r="BQ75" s="11"/>
      <c r="BR75" s="11"/>
      <c r="BS75" s="12"/>
      <c r="BT75" s="12"/>
      <c r="BU75" s="13"/>
      <c r="BW75" s="14"/>
      <c r="BX75" s="10"/>
      <c r="BY75" s="11"/>
      <c r="BZ75" s="11"/>
      <c r="CA75" s="11"/>
      <c r="CB75" s="12"/>
      <c r="CC75" s="12"/>
      <c r="CD75" s="13"/>
      <c r="CF75" s="14"/>
      <c r="CG75" s="10"/>
      <c r="CH75" s="11"/>
      <c r="CI75" s="11"/>
      <c r="CJ75" s="11"/>
      <c r="CK75" s="12"/>
      <c r="CL75" s="12"/>
      <c r="CM75" s="13"/>
      <c r="CO75" s="13"/>
    </row>
    <row r="76" spans="1:93" x14ac:dyDescent="0.35">
      <c r="A76" s="27">
        <v>71</v>
      </c>
      <c r="B76" s="57">
        <f t="shared" si="11"/>
        <v>1000</v>
      </c>
      <c r="C76" s="16">
        <f>ROUND(B76*(1+'Interest rate projection'!AB78/Var_freq)+IF(C$5="Mortgage Starts",0,Deposit_mon),2)</f>
        <v>2003.67</v>
      </c>
      <c r="D76" s="16">
        <f>ROUND(C76*(1+'Interest rate projection'!AC78/Var_freq)+IF(D$5="Mortgage Starts",0,Deposit_mon),2)</f>
        <v>3011.03</v>
      </c>
      <c r="E76" s="16">
        <f>ROUND(D76*(1+'Interest rate projection'!AD78/Var_freq)+IF(E$5="Mortgage Starts",0,Deposit_mon),2)</f>
        <v>4022.09</v>
      </c>
      <c r="F76" s="16">
        <f>ROUND(E76*(1+'Interest rate projection'!AE78/Var_freq)+IF(F$5="Mortgage Starts",0,Deposit_mon),2)</f>
        <v>5036.87</v>
      </c>
      <c r="G76" s="16">
        <f>ROUND(F76*(1+'Interest rate projection'!AF78/Var_freq)+IF(G$5="Mortgage Starts",0,Deposit_mon),2)</f>
        <v>6055.38</v>
      </c>
      <c r="H76" s="16">
        <f>ROUND(G76*(1+'Interest rate projection'!AG78/Var_freq)+IF(H$5="Mortgage Starts",0,Deposit_mon),2)</f>
        <v>7077.63</v>
      </c>
      <c r="I76" s="16">
        <f>ROUND(H76*(1+'Interest rate projection'!AH78/Var_freq)+IF(I$5="Mortgage Starts",0,Deposit_mon),2)</f>
        <v>8103.64</v>
      </c>
      <c r="J76" s="16">
        <f>ROUND(I76*(1+'Interest rate projection'!AI78/Var_freq)+IF(J$5="Mortgage Starts",0,Deposit_mon),2)</f>
        <v>9135.0400000000009</v>
      </c>
      <c r="K76" s="16">
        <f>ROUND(J76*(1+'Interest rate projection'!AJ78/Var_freq)+IF(K$5="Mortgage Starts",0,Deposit_mon),2)</f>
        <v>10170.44</v>
      </c>
      <c r="L76" s="16">
        <f>ROUND(K76*(1+'Interest rate projection'!AK78/Var_freq)+IF(L$5="Mortgage Starts",0,Deposit_mon),2)</f>
        <v>11209.85</v>
      </c>
      <c r="M76" s="16">
        <f>ROUND(L76*(1+'Interest rate projection'!AL78/Var_freq)+IF(M$5="Mortgage Starts",0,Deposit_mon),2)</f>
        <v>12253.28</v>
      </c>
      <c r="N76" s="16">
        <f>ROUND(M76*(1+'Interest rate projection'!AM78/Var_freq)+IF(N$5="Mortgage Starts",0,Deposit_mon),2)</f>
        <v>13305.64</v>
      </c>
      <c r="O76" s="16">
        <f>ROUND(N76*(1+'Interest rate projection'!AN78/Var_freq)+IF(O$5="Mortgage Starts",0,Deposit_mon),2)</f>
        <v>14362.5</v>
      </c>
      <c r="P76" s="16">
        <f>ROUND(O76*(1+'Interest rate projection'!AO78/Var_freq)+IF(P$5="Mortgage Starts",0,Deposit_mon),2)</f>
        <v>15423.87</v>
      </c>
      <c r="Q76" s="16">
        <f>ROUND(P76*(1+'Interest rate projection'!AP78/Var_freq)+IF(Q$5="Mortgage Starts",0,Deposit_mon),2)</f>
        <v>16489.78</v>
      </c>
      <c r="R76" s="16">
        <f>ROUND(Q76*(1+'Interest rate projection'!AQ78/Var_freq)+IF(R$5="Mortgage Starts",0,Deposit_mon),2)</f>
        <v>17560.240000000002</v>
      </c>
      <c r="S76" s="16">
        <f>ROUND(R76*(1+'Interest rate projection'!AR78/Var_freq)+IF(S$5="Mortgage Starts",0,Deposit_mon),2)</f>
        <v>18635.28</v>
      </c>
      <c r="T76" s="16">
        <f>ROUND(S76*(1+'Interest rate projection'!AS78/Var_freq)+IF(T$5="Mortgage Starts",0,Deposit_mon),2)</f>
        <v>19714.91</v>
      </c>
      <c r="U76" s="16">
        <f>ROUND(T76*(1+'Interest rate projection'!AT78/Var_freq)+IF(U$5="Mortgage Starts",0,Deposit_mon),2)</f>
        <v>20799.150000000001</v>
      </c>
      <c r="V76" s="16">
        <f>ROUND(U76*(1+'Interest rate projection'!AU78/Var_freq)+IF(V$5="Mortgage Starts",0,Deposit_mon),2)</f>
        <v>21888.03</v>
      </c>
      <c r="W76" s="16">
        <f>ROUND(V76*(1+'Interest rate projection'!AV78/Var_freq)+IF(W$5="Mortgage Starts",0,Deposit_mon),2)</f>
        <v>22981.56</v>
      </c>
      <c r="X76" s="16">
        <f>ROUND(W76*(1+'Interest rate projection'!AW78/Var_freq)+IF(X$5="Mortgage Starts",0,Deposit_mon),2)</f>
        <v>24079.759999999998</v>
      </c>
      <c r="Y76" s="16">
        <f>ROUND(X76*(1+'Interest rate projection'!AX78/Var_freq)+IF(Y$5="Mortgage Starts",0,Deposit_mon),2)</f>
        <v>25182.66</v>
      </c>
      <c r="Z76" s="57">
        <f>ROUND(Y76*(1+'Interest rate projection'!AY78/Var_freq)+IF(Z$5="Mortgage Starts",0,Deposit_mon),2)</f>
        <v>25290.27</v>
      </c>
      <c r="AA76" s="12"/>
      <c r="AB76" s="38">
        <f>'Interest rate projection'!Z78</f>
        <v>5.2499999999999998E-2</v>
      </c>
      <c r="AC76" s="38">
        <f>'Interest rate projection'!AZ78</f>
        <v>5.1277533193896829E-2</v>
      </c>
      <c r="AD76" s="59" t="str">
        <f t="shared" si="12"/>
        <v>OK</v>
      </c>
      <c r="AE76" s="39">
        <f t="shared" si="13"/>
        <v>14.075212462503044</v>
      </c>
      <c r="AF76" s="10"/>
      <c r="AG76" s="73">
        <f t="shared" si="15"/>
        <v>25290.27</v>
      </c>
      <c r="AH76" s="73">
        <f t="shared" si="16"/>
        <v>174709.73</v>
      </c>
      <c r="AI76" s="74">
        <f t="shared" si="14"/>
        <v>1034.3800000000001</v>
      </c>
      <c r="AJ76" s="9"/>
      <c r="AK76" s="73">
        <f>'Fixed rate projection'!$AE$3-('Variable rate projection'!AI76*Product_term*Var_freq)</f>
        <v>-7245.0000000000582</v>
      </c>
      <c r="AM76" s="14"/>
      <c r="AN76" s="10"/>
      <c r="AO76" s="11"/>
      <c r="AP76" s="11"/>
      <c r="AQ76" s="11"/>
      <c r="AR76" s="12"/>
      <c r="AS76" s="12"/>
      <c r="AT76" s="13"/>
      <c r="AV76" s="14"/>
      <c r="AW76" s="10"/>
      <c r="AX76" s="11"/>
      <c r="AY76" s="11"/>
      <c r="AZ76" s="11"/>
      <c r="BA76" s="12"/>
      <c r="BB76" s="12"/>
      <c r="BC76" s="13"/>
      <c r="BE76" s="14"/>
      <c r="BF76" s="10"/>
      <c r="BG76" s="11"/>
      <c r="BH76" s="11"/>
      <c r="BI76" s="11"/>
      <c r="BJ76" s="12"/>
      <c r="BK76" s="12"/>
      <c r="BL76" s="13"/>
      <c r="BN76" s="14"/>
      <c r="BO76" s="10"/>
      <c r="BP76" s="11"/>
      <c r="BQ76" s="11"/>
      <c r="BR76" s="11"/>
      <c r="BS76" s="12"/>
      <c r="BT76" s="12"/>
      <c r="BU76" s="13"/>
      <c r="BW76" s="14"/>
      <c r="BX76" s="10"/>
      <c r="BY76" s="11"/>
      <c r="BZ76" s="11"/>
      <c r="CA76" s="11"/>
      <c r="CB76" s="12"/>
      <c r="CC76" s="12"/>
      <c r="CD76" s="13"/>
      <c r="CF76" s="14"/>
      <c r="CG76" s="10"/>
      <c r="CH76" s="11"/>
      <c r="CI76" s="11"/>
      <c r="CJ76" s="11"/>
      <c r="CK76" s="12"/>
      <c r="CL76" s="12"/>
      <c r="CM76" s="13"/>
      <c r="CO76" s="13"/>
    </row>
    <row r="77" spans="1:93" x14ac:dyDescent="0.35">
      <c r="A77" s="5">
        <v>72</v>
      </c>
      <c r="B77" s="57">
        <f t="shared" si="11"/>
        <v>1000</v>
      </c>
      <c r="C77" s="16">
        <f>ROUND(B77*(1+'Interest rate projection'!AB79/Var_freq)+IF(C$5="Mortgage Starts",0,Deposit_mon),2)</f>
        <v>2003.67</v>
      </c>
      <c r="D77" s="16">
        <f>ROUND(C77*(1+'Interest rate projection'!AC79/Var_freq)+IF(D$5="Mortgage Starts",0,Deposit_mon),2)</f>
        <v>3011.03</v>
      </c>
      <c r="E77" s="16">
        <f>ROUND(D77*(1+'Interest rate projection'!AD79/Var_freq)+IF(E$5="Mortgage Starts",0,Deposit_mon),2)</f>
        <v>4022.09</v>
      </c>
      <c r="F77" s="16">
        <f>ROUND(E77*(1+'Interest rate projection'!AE79/Var_freq)+IF(F$5="Mortgage Starts",0,Deposit_mon),2)</f>
        <v>5036.87</v>
      </c>
      <c r="G77" s="16">
        <f>ROUND(F77*(1+'Interest rate projection'!AF79/Var_freq)+IF(G$5="Mortgage Starts",0,Deposit_mon),2)</f>
        <v>6055.38</v>
      </c>
      <c r="H77" s="16">
        <f>ROUND(G77*(1+'Interest rate projection'!AG79/Var_freq)+IF(H$5="Mortgage Starts",0,Deposit_mon),2)</f>
        <v>7077.63</v>
      </c>
      <c r="I77" s="16">
        <f>ROUND(H77*(1+'Interest rate projection'!AH79/Var_freq)+IF(I$5="Mortgage Starts",0,Deposit_mon),2)</f>
        <v>8103.64</v>
      </c>
      <c r="J77" s="16">
        <f>ROUND(I77*(1+'Interest rate projection'!AI79/Var_freq)+IF(J$5="Mortgage Starts",0,Deposit_mon),2)</f>
        <v>9133.42</v>
      </c>
      <c r="K77" s="16">
        <f>ROUND(J77*(1+'Interest rate projection'!AJ79/Var_freq)+IF(K$5="Mortgage Starts",0,Deposit_mon),2)</f>
        <v>10166.98</v>
      </c>
      <c r="L77" s="16">
        <f>ROUND(K77*(1+'Interest rate projection'!AK79/Var_freq)+IF(L$5="Mortgage Starts",0,Deposit_mon),2)</f>
        <v>11204.34</v>
      </c>
      <c r="M77" s="16">
        <f>ROUND(L77*(1+'Interest rate projection'!AL79/Var_freq)+IF(M$5="Mortgage Starts",0,Deposit_mon),2)</f>
        <v>12249.99</v>
      </c>
      <c r="N77" s="16">
        <f>ROUND(M77*(1+'Interest rate projection'!AM79/Var_freq)+IF(N$5="Mortgage Starts",0,Deposit_mon),2)</f>
        <v>13299.9</v>
      </c>
      <c r="O77" s="16">
        <f>ROUND(N77*(1+'Interest rate projection'!AN79/Var_freq)+IF(O$5="Mortgage Starts",0,Deposit_mon),2)</f>
        <v>14354.09</v>
      </c>
      <c r="P77" s="16">
        <f>ROUND(O77*(1+'Interest rate projection'!AO79/Var_freq)+IF(P$5="Mortgage Starts",0,Deposit_mon),2)</f>
        <v>15412.57</v>
      </c>
      <c r="Q77" s="16">
        <f>ROUND(P77*(1+'Interest rate projection'!AP79/Var_freq)+IF(Q$5="Mortgage Starts",0,Deposit_mon),2)</f>
        <v>16475.36</v>
      </c>
      <c r="R77" s="16">
        <f>ROUND(Q77*(1+'Interest rate projection'!AQ79/Var_freq)+IF(R$5="Mortgage Starts",0,Deposit_mon),2)</f>
        <v>17542.48</v>
      </c>
      <c r="S77" s="16">
        <f>ROUND(R77*(1+'Interest rate projection'!AR79/Var_freq)+IF(S$5="Mortgage Starts",0,Deposit_mon),2)</f>
        <v>18617.439999999999</v>
      </c>
      <c r="T77" s="16">
        <f>ROUND(S77*(1+'Interest rate projection'!AS79/Var_freq)+IF(T$5="Mortgage Starts",0,Deposit_mon),2)</f>
        <v>19696.990000000002</v>
      </c>
      <c r="U77" s="16">
        <f>ROUND(T77*(1+'Interest rate projection'!AT79/Var_freq)+IF(U$5="Mortgage Starts",0,Deposit_mon),2)</f>
        <v>20781.16</v>
      </c>
      <c r="V77" s="16">
        <f>ROUND(U77*(1+'Interest rate projection'!AU79/Var_freq)+IF(V$5="Mortgage Starts",0,Deposit_mon),2)</f>
        <v>21869.96</v>
      </c>
      <c r="W77" s="16">
        <f>ROUND(V77*(1+'Interest rate projection'!AV79/Var_freq)+IF(W$5="Mortgage Starts",0,Deposit_mon),2)</f>
        <v>22963.41</v>
      </c>
      <c r="X77" s="16">
        <f>ROUND(W77*(1+'Interest rate projection'!AW79/Var_freq)+IF(X$5="Mortgage Starts",0,Deposit_mon),2)</f>
        <v>24052.39</v>
      </c>
      <c r="Y77" s="16">
        <f>ROUND(X77*(1+'Interest rate projection'!AX79/Var_freq)+IF(Y$5="Mortgage Starts",0,Deposit_mon),2)</f>
        <v>25145.59</v>
      </c>
      <c r="Z77" s="57">
        <f>ROUND(Y77*(1+'Interest rate projection'!AY79/Var_freq)+IF(Z$5="Mortgage Starts",0,Deposit_mon),2)</f>
        <v>25243.02</v>
      </c>
      <c r="AA77" s="12"/>
      <c r="AB77" s="38">
        <f>'Interest rate projection'!Z79</f>
        <v>4.7500000000000001E-2</v>
      </c>
      <c r="AC77" s="38">
        <f>'Interest rate projection'!AZ79</f>
        <v>4.6496219905550085E-2</v>
      </c>
      <c r="AD77" s="59" t="str">
        <f t="shared" si="12"/>
        <v>OK</v>
      </c>
      <c r="AE77" s="39">
        <f t="shared" si="13"/>
        <v>14.766012404082064</v>
      </c>
      <c r="AF77" s="10"/>
      <c r="AG77" s="73">
        <f t="shared" si="15"/>
        <v>25243.02</v>
      </c>
      <c r="AH77" s="73">
        <f t="shared" si="16"/>
        <v>174756.98</v>
      </c>
      <c r="AI77" s="74">
        <f t="shared" si="14"/>
        <v>986.26</v>
      </c>
      <c r="AJ77" s="9"/>
      <c r="AK77" s="73">
        <f>'Fixed rate projection'!$AE$3-('Variable rate projection'!AI77*Product_term*Var_freq)</f>
        <v>7191</v>
      </c>
      <c r="AM77" s="14"/>
      <c r="AN77" s="10"/>
      <c r="AO77" s="11"/>
      <c r="AP77" s="11"/>
      <c r="AQ77" s="11"/>
      <c r="AR77" s="12"/>
      <c r="AS77" s="12"/>
      <c r="AT77" s="13"/>
      <c r="AV77" s="14"/>
      <c r="AW77" s="10"/>
      <c r="AX77" s="11"/>
      <c r="AY77" s="11"/>
      <c r="AZ77" s="11"/>
      <c r="BA77" s="12"/>
      <c r="BB77" s="12"/>
      <c r="BC77" s="13"/>
      <c r="BE77" s="14"/>
      <c r="BF77" s="10"/>
      <c r="BG77" s="11"/>
      <c r="BH77" s="11"/>
      <c r="BI77" s="11"/>
      <c r="BJ77" s="12"/>
      <c r="BK77" s="12"/>
      <c r="BL77" s="13"/>
      <c r="BN77" s="14"/>
      <c r="BO77" s="10"/>
      <c r="BP77" s="11"/>
      <c r="BQ77" s="11"/>
      <c r="BR77" s="11"/>
      <c r="BS77" s="12"/>
      <c r="BT77" s="12"/>
      <c r="BU77" s="13"/>
      <c r="BW77" s="14"/>
      <c r="BX77" s="10"/>
      <c r="BY77" s="11"/>
      <c r="BZ77" s="11"/>
      <c r="CA77" s="11"/>
      <c r="CB77" s="12"/>
      <c r="CC77" s="12"/>
      <c r="CD77" s="13"/>
      <c r="CF77" s="14"/>
      <c r="CG77" s="10"/>
      <c r="CH77" s="11"/>
      <c r="CI77" s="11"/>
      <c r="CJ77" s="11"/>
      <c r="CK77" s="12"/>
      <c r="CL77" s="12"/>
      <c r="CM77" s="13"/>
      <c r="CO77" s="13"/>
    </row>
    <row r="78" spans="1:93" x14ac:dyDescent="0.35">
      <c r="A78" s="27">
        <v>73</v>
      </c>
      <c r="B78" s="57">
        <f t="shared" si="11"/>
        <v>1000</v>
      </c>
      <c r="C78" s="16">
        <f>ROUND(B78*(1+'Interest rate projection'!AB80/Var_freq)+IF(C$5="Mortgage Starts",0,Deposit_mon),2)</f>
        <v>2003.67</v>
      </c>
      <c r="D78" s="16">
        <f>ROUND(C78*(1+'Interest rate projection'!AC80/Var_freq)+IF(D$5="Mortgage Starts",0,Deposit_mon),2)</f>
        <v>3011.03</v>
      </c>
      <c r="E78" s="16">
        <f>ROUND(D78*(1+'Interest rate projection'!AD80/Var_freq)+IF(E$5="Mortgage Starts",0,Deposit_mon),2)</f>
        <v>4022.09</v>
      </c>
      <c r="F78" s="16">
        <f>ROUND(E78*(1+'Interest rate projection'!AE80/Var_freq)+IF(F$5="Mortgage Starts",0,Deposit_mon),2)</f>
        <v>5036.87</v>
      </c>
      <c r="G78" s="16">
        <f>ROUND(F78*(1+'Interest rate projection'!AF80/Var_freq)+IF(G$5="Mortgage Starts",0,Deposit_mon),2)</f>
        <v>6056.39</v>
      </c>
      <c r="H78" s="16">
        <f>ROUND(G78*(1+'Interest rate projection'!AG80/Var_freq)+IF(H$5="Mortgage Starts",0,Deposit_mon),2)</f>
        <v>7079.86</v>
      </c>
      <c r="I78" s="16">
        <f>ROUND(H78*(1+'Interest rate projection'!AH80/Var_freq)+IF(I$5="Mortgage Starts",0,Deposit_mon),2)</f>
        <v>8107.29</v>
      </c>
      <c r="J78" s="16">
        <f>ROUND(I78*(1+'Interest rate projection'!AI80/Var_freq)+IF(J$5="Mortgage Starts",0,Deposit_mon),2)</f>
        <v>9138.7000000000007</v>
      </c>
      <c r="K78" s="16">
        <f>ROUND(J78*(1+'Interest rate projection'!AJ80/Var_freq)+IF(K$5="Mortgage Starts",0,Deposit_mon),2)</f>
        <v>10174.11</v>
      </c>
      <c r="L78" s="16">
        <f>ROUND(K78*(1+'Interest rate projection'!AK80/Var_freq)+IF(L$5="Mortgage Starts",0,Deposit_mon),2)</f>
        <v>11213.53</v>
      </c>
      <c r="M78" s="16">
        <f>ROUND(L78*(1+'Interest rate projection'!AL80/Var_freq)+IF(M$5="Mortgage Starts",0,Deposit_mon),2)</f>
        <v>12256.98</v>
      </c>
      <c r="N78" s="16">
        <f>ROUND(M78*(1+'Interest rate projection'!AM80/Var_freq)+IF(N$5="Mortgage Starts",0,Deposit_mon),2)</f>
        <v>13304.47</v>
      </c>
      <c r="O78" s="16">
        <f>ROUND(N78*(1+'Interest rate projection'!AN80/Var_freq)+IF(O$5="Mortgage Starts",0,Deposit_mon),2)</f>
        <v>14356.02</v>
      </c>
      <c r="P78" s="16">
        <f>ROUND(O78*(1+'Interest rate projection'!AO80/Var_freq)+IF(P$5="Mortgage Starts",0,Deposit_mon),2)</f>
        <v>15414.51</v>
      </c>
      <c r="Q78" s="16">
        <f>ROUND(P78*(1+'Interest rate projection'!AP80/Var_freq)+IF(Q$5="Mortgage Starts",0,Deposit_mon),2)</f>
        <v>16477.310000000001</v>
      </c>
      <c r="R78" s="16">
        <f>ROUND(Q78*(1+'Interest rate projection'!AQ80/Var_freq)+IF(R$5="Mortgage Starts",0,Deposit_mon),2)</f>
        <v>17544.439999999999</v>
      </c>
      <c r="S78" s="16">
        <f>ROUND(R78*(1+'Interest rate projection'!AR80/Var_freq)+IF(S$5="Mortgage Starts",0,Deposit_mon),2)</f>
        <v>18615.919999999998</v>
      </c>
      <c r="T78" s="16">
        <f>ROUND(S78*(1+'Interest rate projection'!AS80/Var_freq)+IF(T$5="Mortgage Starts",0,Deposit_mon),2)</f>
        <v>19691.759999999998</v>
      </c>
      <c r="U78" s="16">
        <f>ROUND(T78*(1+'Interest rate projection'!AT80/Var_freq)+IF(U$5="Mortgage Starts",0,Deposit_mon),2)</f>
        <v>20771.990000000002</v>
      </c>
      <c r="V78" s="16">
        <f>ROUND(U78*(1+'Interest rate projection'!AU80/Var_freq)+IF(V$5="Mortgage Starts",0,Deposit_mon),2)</f>
        <v>21856.62</v>
      </c>
      <c r="W78" s="16">
        <f>ROUND(V78*(1+'Interest rate projection'!AV80/Var_freq)+IF(W$5="Mortgage Starts",0,Deposit_mon),2)</f>
        <v>22945.67</v>
      </c>
      <c r="X78" s="16">
        <f>ROUND(W78*(1+'Interest rate projection'!AW80/Var_freq)+IF(X$5="Mortgage Starts",0,Deposit_mon),2)</f>
        <v>24039.15</v>
      </c>
      <c r="Y78" s="16">
        <f>ROUND(X78*(1+'Interest rate projection'!AX80/Var_freq)+IF(Y$5="Mortgage Starts",0,Deposit_mon),2)</f>
        <v>25137.09</v>
      </c>
      <c r="Z78" s="57">
        <f>ROUND(Y78*(1+'Interest rate projection'!AY80/Var_freq)+IF(Z$5="Mortgage Starts",0,Deposit_mon),2)</f>
        <v>25239.5</v>
      </c>
      <c r="AA78" s="12"/>
      <c r="AB78" s="38">
        <f>'Interest rate projection'!Z80</f>
        <v>5.2500000000000005E-2</v>
      </c>
      <c r="AC78" s="38">
        <f>'Interest rate projection'!AZ80</f>
        <v>5.1277533193896829E-2</v>
      </c>
      <c r="AD78" s="59" t="str">
        <f t="shared" si="12"/>
        <v>OK</v>
      </c>
      <c r="AE78" s="39">
        <f t="shared" si="13"/>
        <v>14.075212462503044</v>
      </c>
      <c r="AF78" s="10"/>
      <c r="AG78" s="73">
        <f t="shared" si="15"/>
        <v>25239.5</v>
      </c>
      <c r="AH78" s="73">
        <f t="shared" si="16"/>
        <v>174760.5</v>
      </c>
      <c r="AI78" s="74">
        <f t="shared" si="14"/>
        <v>1034.68</v>
      </c>
      <c r="AJ78" s="9"/>
      <c r="AK78" s="73">
        <f>'Fixed rate projection'!$AE$3-('Variable rate projection'!AI78*Product_term*Var_freq)</f>
        <v>-7335</v>
      </c>
      <c r="AM78" s="14"/>
      <c r="AN78" s="10"/>
      <c r="AO78" s="11"/>
      <c r="AP78" s="11"/>
      <c r="AQ78" s="11"/>
      <c r="AR78" s="12"/>
      <c r="AS78" s="12"/>
      <c r="AT78" s="13"/>
      <c r="AV78" s="14"/>
      <c r="AW78" s="10"/>
      <c r="AX78" s="11"/>
      <c r="AY78" s="11"/>
      <c r="AZ78" s="11"/>
      <c r="BA78" s="12"/>
      <c r="BB78" s="12"/>
      <c r="BC78" s="13"/>
      <c r="BE78" s="14"/>
      <c r="BF78" s="10"/>
      <c r="BG78" s="11"/>
      <c r="BH78" s="11"/>
      <c r="BI78" s="11"/>
      <c r="BJ78" s="12"/>
      <c r="BK78" s="12"/>
      <c r="BL78" s="13"/>
      <c r="BN78" s="14"/>
      <c r="BO78" s="10"/>
      <c r="BP78" s="11"/>
      <c r="BQ78" s="11"/>
      <c r="BR78" s="11"/>
      <c r="BS78" s="12"/>
      <c r="BT78" s="12"/>
      <c r="BU78" s="13"/>
      <c r="BW78" s="14"/>
      <c r="BX78" s="10"/>
      <c r="BY78" s="11"/>
      <c r="BZ78" s="11"/>
      <c r="CA78" s="11"/>
      <c r="CB78" s="12"/>
      <c r="CC78" s="12"/>
      <c r="CD78" s="13"/>
      <c r="CF78" s="14"/>
      <c r="CG78" s="10"/>
      <c r="CH78" s="11"/>
      <c r="CI78" s="11"/>
      <c r="CJ78" s="11"/>
      <c r="CK78" s="12"/>
      <c r="CL78" s="12"/>
      <c r="CM78" s="13"/>
      <c r="CO78" s="13"/>
    </row>
    <row r="79" spans="1:93" x14ac:dyDescent="0.35">
      <c r="A79" s="5">
        <v>74</v>
      </c>
      <c r="B79" s="57">
        <f t="shared" si="11"/>
        <v>1000</v>
      </c>
      <c r="C79" s="16">
        <f>ROUND(B79*(1+'Interest rate projection'!AB81/Var_freq)+IF(C$5="Mortgage Starts",0,Deposit_mon),2)</f>
        <v>2003.67</v>
      </c>
      <c r="D79" s="16">
        <f>ROUND(C79*(1+'Interest rate projection'!AC81/Var_freq)+IF(D$5="Mortgage Starts",0,Deposit_mon),2)</f>
        <v>3011.03</v>
      </c>
      <c r="E79" s="16">
        <f>ROUND(D79*(1+'Interest rate projection'!AD81/Var_freq)+IF(E$5="Mortgage Starts",0,Deposit_mon),2)</f>
        <v>4022.09</v>
      </c>
      <c r="F79" s="16">
        <f>ROUND(E79*(1+'Interest rate projection'!AE81/Var_freq)+IF(F$5="Mortgage Starts",0,Deposit_mon),2)</f>
        <v>5036.87</v>
      </c>
      <c r="G79" s="16">
        <f>ROUND(F79*(1+'Interest rate projection'!AF81/Var_freq)+IF(G$5="Mortgage Starts",0,Deposit_mon),2)</f>
        <v>6055.38</v>
      </c>
      <c r="H79" s="16">
        <f>ROUND(G79*(1+'Interest rate projection'!AG81/Var_freq)+IF(H$5="Mortgage Starts",0,Deposit_mon),2)</f>
        <v>7077.63</v>
      </c>
      <c r="I79" s="16">
        <f>ROUND(H79*(1+'Interest rate projection'!AH81/Var_freq)+IF(I$5="Mortgage Starts",0,Deposit_mon),2)</f>
        <v>8103.64</v>
      </c>
      <c r="J79" s="16">
        <f>ROUND(I79*(1+'Interest rate projection'!AI81/Var_freq)+IF(J$5="Mortgage Starts",0,Deposit_mon),2)</f>
        <v>9133.42</v>
      </c>
      <c r="K79" s="16">
        <f>ROUND(J79*(1+'Interest rate projection'!AJ81/Var_freq)+IF(K$5="Mortgage Starts",0,Deposit_mon),2)</f>
        <v>10166.98</v>
      </c>
      <c r="L79" s="16">
        <f>ROUND(K79*(1+'Interest rate projection'!AK81/Var_freq)+IF(L$5="Mortgage Starts",0,Deposit_mon),2)</f>
        <v>11204.34</v>
      </c>
      <c r="M79" s="16">
        <f>ROUND(L79*(1+'Interest rate projection'!AL81/Var_freq)+IF(M$5="Mortgage Starts",0,Deposit_mon),2)</f>
        <v>12245.51</v>
      </c>
      <c r="N79" s="16">
        <f>ROUND(M79*(1+'Interest rate projection'!AM81/Var_freq)+IF(N$5="Mortgage Starts",0,Deposit_mon),2)</f>
        <v>13290.51</v>
      </c>
      <c r="O79" s="16">
        <f>ROUND(N79*(1+'Interest rate projection'!AN81/Var_freq)+IF(O$5="Mortgage Starts",0,Deposit_mon),2)</f>
        <v>14339.35</v>
      </c>
      <c r="P79" s="16">
        <f>ROUND(O79*(1+'Interest rate projection'!AO81/Var_freq)+IF(P$5="Mortgage Starts",0,Deposit_mon),2)</f>
        <v>15392.04</v>
      </c>
      <c r="Q79" s="16">
        <f>ROUND(P79*(1+'Interest rate projection'!AP81/Var_freq)+IF(Q$5="Mortgage Starts",0,Deposit_mon),2)</f>
        <v>16448.599999999999</v>
      </c>
      <c r="R79" s="16">
        <f>ROUND(Q79*(1+'Interest rate projection'!AQ81/Var_freq)+IF(R$5="Mortgage Starts",0,Deposit_mon),2)</f>
        <v>17509.05</v>
      </c>
      <c r="S79" s="16">
        <f>ROUND(R79*(1+'Interest rate projection'!AR81/Var_freq)+IF(S$5="Mortgage Starts",0,Deposit_mon),2)</f>
        <v>18573.39</v>
      </c>
      <c r="T79" s="16">
        <f>ROUND(S79*(1+'Interest rate projection'!AS81/Var_freq)+IF(T$5="Mortgage Starts",0,Deposit_mon),2)</f>
        <v>19645.36</v>
      </c>
      <c r="U79" s="16">
        <f>ROUND(T79*(1+'Interest rate projection'!AT81/Var_freq)+IF(U$5="Mortgage Starts",0,Deposit_mon),2)</f>
        <v>20721.48</v>
      </c>
      <c r="V79" s="16">
        <f>ROUND(U79*(1+'Interest rate projection'!AU81/Var_freq)+IF(V$5="Mortgage Starts",0,Deposit_mon),2)</f>
        <v>21801.77</v>
      </c>
      <c r="W79" s="16">
        <f>ROUND(V79*(1+'Interest rate projection'!AV81/Var_freq)+IF(W$5="Mortgage Starts",0,Deposit_mon),2)</f>
        <v>22886.240000000002</v>
      </c>
      <c r="X79" s="16">
        <f>ROUND(W79*(1+'Interest rate projection'!AW81/Var_freq)+IF(X$5="Mortgage Starts",0,Deposit_mon),2)</f>
        <v>23970.34</v>
      </c>
      <c r="Y79" s="16">
        <f>ROUND(X79*(1+'Interest rate projection'!AX81/Var_freq)+IF(Y$5="Mortgage Starts",0,Deposit_mon),2)</f>
        <v>25058.43</v>
      </c>
      <c r="Z79" s="57">
        <f>ROUND(Y79*(1+'Interest rate projection'!AY81/Var_freq)+IF(Z$5="Mortgage Starts",0,Deposit_mon),2)</f>
        <v>25150.51</v>
      </c>
      <c r="AA79" s="12"/>
      <c r="AB79" s="38">
        <f>'Interest rate projection'!Z81</f>
        <v>4.4999999999999998E-2</v>
      </c>
      <c r="AC79" s="38">
        <f>'Interest rate projection'!AZ81</f>
        <v>4.4097712805242217E-2</v>
      </c>
      <c r="AD79" s="59" t="str">
        <f t="shared" si="12"/>
        <v>OK</v>
      </c>
      <c r="AE79" s="39">
        <f t="shared" si="13"/>
        <v>15.131610255367837</v>
      </c>
      <c r="AF79" s="10"/>
      <c r="AG79" s="73">
        <f t="shared" si="15"/>
        <v>25150.51</v>
      </c>
      <c r="AH79" s="73">
        <f t="shared" si="16"/>
        <v>174849.49</v>
      </c>
      <c r="AI79" s="74">
        <f t="shared" si="14"/>
        <v>962.94</v>
      </c>
      <c r="AJ79" s="9"/>
      <c r="AK79" s="73">
        <f>'Fixed rate projection'!$AE$3-('Variable rate projection'!AI79*Product_term*Var_freq)</f>
        <v>14187</v>
      </c>
      <c r="AM79" s="14"/>
      <c r="AN79" s="10"/>
      <c r="AO79" s="11"/>
      <c r="AP79" s="11"/>
      <c r="AQ79" s="11"/>
      <c r="AR79" s="12"/>
      <c r="AS79" s="12"/>
      <c r="AT79" s="13"/>
      <c r="AV79" s="14"/>
      <c r="AW79" s="10"/>
      <c r="AX79" s="11"/>
      <c r="AY79" s="11"/>
      <c r="AZ79" s="11"/>
      <c r="BA79" s="12"/>
      <c r="BB79" s="12"/>
      <c r="BC79" s="13"/>
      <c r="BE79" s="14"/>
      <c r="BF79" s="10"/>
      <c r="BG79" s="11"/>
      <c r="BH79" s="11"/>
      <c r="BI79" s="11"/>
      <c r="BJ79" s="12"/>
      <c r="BK79" s="12"/>
      <c r="BL79" s="13"/>
      <c r="BN79" s="14"/>
      <c r="BO79" s="10"/>
      <c r="BP79" s="11"/>
      <c r="BQ79" s="11"/>
      <c r="BR79" s="11"/>
      <c r="BS79" s="12"/>
      <c r="BT79" s="12"/>
      <c r="BU79" s="13"/>
      <c r="BW79" s="14"/>
      <c r="BX79" s="10"/>
      <c r="BY79" s="11"/>
      <c r="BZ79" s="11"/>
      <c r="CA79" s="11"/>
      <c r="CB79" s="12"/>
      <c r="CC79" s="12"/>
      <c r="CD79" s="13"/>
      <c r="CF79" s="14"/>
      <c r="CG79" s="10"/>
      <c r="CH79" s="11"/>
      <c r="CI79" s="11"/>
      <c r="CJ79" s="11"/>
      <c r="CK79" s="12"/>
      <c r="CL79" s="12"/>
      <c r="CM79" s="13"/>
      <c r="CO79" s="13"/>
    </row>
    <row r="80" spans="1:93" x14ac:dyDescent="0.35">
      <c r="A80" s="27">
        <v>75</v>
      </c>
      <c r="B80" s="57">
        <f t="shared" si="11"/>
        <v>1000</v>
      </c>
      <c r="C80" s="16">
        <f>ROUND(B80*(1+'Interest rate projection'!AB82/Var_freq)+IF(C$5="Mortgage Starts",0,Deposit_mon),2)</f>
        <v>2003.67</v>
      </c>
      <c r="D80" s="16">
        <f>ROUND(C80*(1+'Interest rate projection'!AC82/Var_freq)+IF(D$5="Mortgage Starts",0,Deposit_mon),2)</f>
        <v>3011.43</v>
      </c>
      <c r="E80" s="16">
        <f>ROUND(D80*(1+'Interest rate projection'!AD82/Var_freq)+IF(E$5="Mortgage Starts",0,Deposit_mon),2)</f>
        <v>4023.1</v>
      </c>
      <c r="F80" s="16">
        <f>ROUND(E80*(1+'Interest rate projection'!AE82/Var_freq)+IF(F$5="Mortgage Starts",0,Deposit_mon),2)</f>
        <v>5038.6899999999996</v>
      </c>
      <c r="G80" s="16">
        <f>ROUND(F80*(1+'Interest rate projection'!AF82/Var_freq)+IF(G$5="Mortgage Starts",0,Deposit_mon),2)</f>
        <v>6058.21</v>
      </c>
      <c r="H80" s="16">
        <f>ROUND(G80*(1+'Interest rate projection'!AG82/Var_freq)+IF(H$5="Mortgage Starts",0,Deposit_mon),2)</f>
        <v>7081.68</v>
      </c>
      <c r="I80" s="16">
        <f>ROUND(H80*(1+'Interest rate projection'!AH82/Var_freq)+IF(I$5="Mortgage Starts",0,Deposit_mon),2)</f>
        <v>8109.12</v>
      </c>
      <c r="J80" s="16">
        <f>ROUND(I80*(1+'Interest rate projection'!AI82/Var_freq)+IF(J$5="Mortgage Starts",0,Deposit_mon),2)</f>
        <v>9140.5400000000009</v>
      </c>
      <c r="K80" s="16">
        <f>ROUND(J80*(1+'Interest rate projection'!AJ82/Var_freq)+IF(K$5="Mortgage Starts",0,Deposit_mon),2)</f>
        <v>10175.959999999999</v>
      </c>
      <c r="L80" s="16">
        <f>ROUND(K80*(1+'Interest rate projection'!AK82/Var_freq)+IF(L$5="Mortgage Starts",0,Deposit_mon),2)</f>
        <v>11215.39</v>
      </c>
      <c r="M80" s="16">
        <f>ROUND(L80*(1+'Interest rate projection'!AL82/Var_freq)+IF(M$5="Mortgage Starts",0,Deposit_mon),2)</f>
        <v>12258.85</v>
      </c>
      <c r="N80" s="16">
        <f>ROUND(M80*(1+'Interest rate projection'!AM82/Var_freq)+IF(N$5="Mortgage Starts",0,Deposit_mon),2)</f>
        <v>13306.35</v>
      </c>
      <c r="O80" s="16">
        <f>ROUND(N80*(1+'Interest rate projection'!AN82/Var_freq)+IF(O$5="Mortgage Starts",0,Deposit_mon),2)</f>
        <v>14357.91</v>
      </c>
      <c r="P80" s="16">
        <f>ROUND(O80*(1+'Interest rate projection'!AO82/Var_freq)+IF(P$5="Mortgage Starts",0,Deposit_mon),2)</f>
        <v>15413.54</v>
      </c>
      <c r="Q80" s="16">
        <f>ROUND(P80*(1+'Interest rate projection'!AP82/Var_freq)+IF(Q$5="Mortgage Starts",0,Deposit_mon),2)</f>
        <v>16476.34</v>
      </c>
      <c r="R80" s="16">
        <f>ROUND(Q80*(1+'Interest rate projection'!AQ82/Var_freq)+IF(R$5="Mortgage Starts",0,Deposit_mon),2)</f>
        <v>17543.47</v>
      </c>
      <c r="S80" s="16">
        <f>ROUND(R80*(1+'Interest rate projection'!AR82/Var_freq)+IF(S$5="Mortgage Starts",0,Deposit_mon),2)</f>
        <v>18614.939999999999</v>
      </c>
      <c r="T80" s="16">
        <f>ROUND(S80*(1+'Interest rate projection'!AS82/Var_freq)+IF(T$5="Mortgage Starts",0,Deposit_mon),2)</f>
        <v>19690.78</v>
      </c>
      <c r="U80" s="16">
        <f>ROUND(T80*(1+'Interest rate projection'!AT82/Var_freq)+IF(U$5="Mortgage Starts",0,Deposit_mon),2)</f>
        <v>20771</v>
      </c>
      <c r="V80" s="16">
        <f>ROUND(U80*(1+'Interest rate projection'!AU82/Var_freq)+IF(V$5="Mortgage Starts",0,Deposit_mon),2)</f>
        <v>21855.62</v>
      </c>
      <c r="W80" s="16">
        <f>ROUND(V80*(1+'Interest rate projection'!AV82/Var_freq)+IF(W$5="Mortgage Starts",0,Deposit_mon),2)</f>
        <v>22944.66</v>
      </c>
      <c r="X80" s="16">
        <f>ROUND(W80*(1+'Interest rate projection'!AW82/Var_freq)+IF(X$5="Mortgage Starts",0,Deposit_mon),2)</f>
        <v>24038.14</v>
      </c>
      <c r="Y80" s="16">
        <f>ROUND(X80*(1+'Interest rate projection'!AX82/Var_freq)+IF(Y$5="Mortgage Starts",0,Deposit_mon),2)</f>
        <v>25136.07</v>
      </c>
      <c r="Z80" s="57">
        <f>ROUND(Y80*(1+'Interest rate projection'!AY82/Var_freq)+IF(Z$5="Mortgage Starts",0,Deposit_mon),2)</f>
        <v>25238.48</v>
      </c>
      <c r="AA80" s="12"/>
      <c r="AB80" s="38">
        <f>'Interest rate projection'!Z82</f>
        <v>0.05</v>
      </c>
      <c r="AC80" s="38">
        <f>'Interest rate projection'!AZ82</f>
        <v>4.8889485403780242E-2</v>
      </c>
      <c r="AD80" s="59" t="str">
        <f t="shared" si="12"/>
        <v>OK</v>
      </c>
      <c r="AE80" s="39">
        <f t="shared" si="13"/>
        <v>14.4140856153857</v>
      </c>
      <c r="AF80" s="10"/>
      <c r="AG80" s="73">
        <f t="shared" si="15"/>
        <v>25238.48</v>
      </c>
      <c r="AH80" s="73">
        <f t="shared" si="16"/>
        <v>174761.52</v>
      </c>
      <c r="AI80" s="74">
        <f t="shared" si="14"/>
        <v>1010.36</v>
      </c>
      <c r="AJ80" s="9"/>
      <c r="AK80" s="73">
        <f>'Fixed rate projection'!$AE$3-('Variable rate projection'!AI80*Product_term*Var_freq)</f>
        <v>-39</v>
      </c>
      <c r="AM80" s="14"/>
      <c r="AN80" s="10"/>
      <c r="AO80" s="11"/>
      <c r="AP80" s="11"/>
      <c r="AQ80" s="11"/>
      <c r="AR80" s="12"/>
      <c r="AS80" s="12"/>
      <c r="AT80" s="13"/>
      <c r="AV80" s="14"/>
      <c r="AW80" s="10"/>
      <c r="AX80" s="11"/>
      <c r="AY80" s="11"/>
      <c r="AZ80" s="11"/>
      <c r="BA80" s="12"/>
      <c r="BB80" s="12"/>
      <c r="BC80" s="13"/>
      <c r="BE80" s="14"/>
      <c r="BF80" s="10"/>
      <c r="BG80" s="11"/>
      <c r="BH80" s="11"/>
      <c r="BI80" s="11"/>
      <c r="BJ80" s="12"/>
      <c r="BK80" s="12"/>
      <c r="BL80" s="13"/>
      <c r="BN80" s="14"/>
      <c r="BO80" s="10"/>
      <c r="BP80" s="11"/>
      <c r="BQ80" s="11"/>
      <c r="BR80" s="11"/>
      <c r="BS80" s="12"/>
      <c r="BT80" s="12"/>
      <c r="BU80" s="13"/>
      <c r="BW80" s="14"/>
      <c r="BX80" s="10"/>
      <c r="BY80" s="11"/>
      <c r="BZ80" s="11"/>
      <c r="CA80" s="11"/>
      <c r="CB80" s="12"/>
      <c r="CC80" s="12"/>
      <c r="CD80" s="13"/>
      <c r="CF80" s="14"/>
      <c r="CG80" s="10"/>
      <c r="CH80" s="11"/>
      <c r="CI80" s="11"/>
      <c r="CJ80" s="11"/>
      <c r="CK80" s="12"/>
      <c r="CL80" s="12"/>
      <c r="CM80" s="13"/>
      <c r="CO80" s="13"/>
    </row>
    <row r="81" spans="1:93" x14ac:dyDescent="0.35">
      <c r="A81" s="5">
        <v>76</v>
      </c>
      <c r="B81" s="57">
        <f t="shared" si="11"/>
        <v>1000</v>
      </c>
      <c r="C81" s="16">
        <f>ROUND(B81*(1+'Interest rate projection'!AB83/Var_freq)+IF(C$5="Mortgage Starts",0,Deposit_mon),2)</f>
        <v>2003.67</v>
      </c>
      <c r="D81" s="16">
        <f>ROUND(C81*(1+'Interest rate projection'!AC83/Var_freq)+IF(D$5="Mortgage Starts",0,Deposit_mon),2)</f>
        <v>3011.03</v>
      </c>
      <c r="E81" s="16">
        <f>ROUND(D81*(1+'Interest rate projection'!AD83/Var_freq)+IF(E$5="Mortgage Starts",0,Deposit_mon),2)</f>
        <v>4022.09</v>
      </c>
      <c r="F81" s="16">
        <f>ROUND(E81*(1+'Interest rate projection'!AE83/Var_freq)+IF(F$5="Mortgage Starts",0,Deposit_mon),2)</f>
        <v>5036.87</v>
      </c>
      <c r="G81" s="16">
        <f>ROUND(F81*(1+'Interest rate projection'!AF83/Var_freq)+IF(G$5="Mortgage Starts",0,Deposit_mon),2)</f>
        <v>6055.38</v>
      </c>
      <c r="H81" s="16">
        <f>ROUND(G81*(1+'Interest rate projection'!AG83/Var_freq)+IF(H$5="Mortgage Starts",0,Deposit_mon),2)</f>
        <v>7077.63</v>
      </c>
      <c r="I81" s="16">
        <f>ROUND(H81*(1+'Interest rate projection'!AH83/Var_freq)+IF(I$5="Mortgage Starts",0,Deposit_mon),2)</f>
        <v>8103.64</v>
      </c>
      <c r="J81" s="16">
        <f>ROUND(I81*(1+'Interest rate projection'!AI83/Var_freq)+IF(J$5="Mortgage Starts",0,Deposit_mon),2)</f>
        <v>9133.42</v>
      </c>
      <c r="K81" s="16">
        <f>ROUND(J81*(1+'Interest rate projection'!AJ83/Var_freq)+IF(K$5="Mortgage Starts",0,Deposit_mon),2)</f>
        <v>10166.98</v>
      </c>
      <c r="L81" s="16">
        <f>ROUND(K81*(1+'Interest rate projection'!AK83/Var_freq)+IF(L$5="Mortgage Starts",0,Deposit_mon),2)</f>
        <v>11204.34</v>
      </c>
      <c r="M81" s="16">
        <f>ROUND(L81*(1+'Interest rate projection'!AL83/Var_freq)+IF(M$5="Mortgage Starts",0,Deposit_mon),2)</f>
        <v>12245.51</v>
      </c>
      <c r="N81" s="16">
        <f>ROUND(M81*(1+'Interest rate projection'!AM83/Var_freq)+IF(N$5="Mortgage Starts",0,Deposit_mon),2)</f>
        <v>13290.51</v>
      </c>
      <c r="O81" s="16">
        <f>ROUND(N81*(1+'Interest rate projection'!AN83/Var_freq)+IF(O$5="Mortgage Starts",0,Deposit_mon),2)</f>
        <v>14342.01</v>
      </c>
      <c r="P81" s="16">
        <f>ROUND(O81*(1+'Interest rate projection'!AO83/Var_freq)+IF(P$5="Mortgage Starts",0,Deposit_mon),2)</f>
        <v>15403.3</v>
      </c>
      <c r="Q81" s="16">
        <f>ROUND(P81*(1+'Interest rate projection'!AP83/Var_freq)+IF(Q$5="Mortgage Starts",0,Deposit_mon),2)</f>
        <v>16469.12</v>
      </c>
      <c r="R81" s="16">
        <f>ROUND(Q81*(1+'Interest rate projection'!AQ83/Var_freq)+IF(R$5="Mortgage Starts",0,Deposit_mon),2)</f>
        <v>17539.490000000002</v>
      </c>
      <c r="S81" s="16">
        <f>ROUND(R81*(1+'Interest rate projection'!AR83/Var_freq)+IF(S$5="Mortgage Starts",0,Deposit_mon),2)</f>
        <v>18614.439999999999</v>
      </c>
      <c r="T81" s="16">
        <f>ROUND(S81*(1+'Interest rate projection'!AS83/Var_freq)+IF(T$5="Mortgage Starts",0,Deposit_mon),2)</f>
        <v>19697.68</v>
      </c>
      <c r="U81" s="16">
        <f>ROUND(T81*(1+'Interest rate projection'!AT83/Var_freq)+IF(U$5="Mortgage Starts",0,Deposit_mon),2)</f>
        <v>20785.759999999998</v>
      </c>
      <c r="V81" s="16">
        <f>ROUND(U81*(1+'Interest rate projection'!AU83/Var_freq)+IF(V$5="Mortgage Starts",0,Deposit_mon),2)</f>
        <v>21878.71</v>
      </c>
      <c r="W81" s="16">
        <f>ROUND(V81*(1+'Interest rate projection'!AV83/Var_freq)+IF(W$5="Mortgage Starts",0,Deposit_mon),2)</f>
        <v>22976.55</v>
      </c>
      <c r="X81" s="16">
        <f>ROUND(W81*(1+'Interest rate projection'!AW83/Var_freq)+IF(X$5="Mortgage Starts",0,Deposit_mon),2)</f>
        <v>24079.29</v>
      </c>
      <c r="Y81" s="16">
        <f>ROUND(X81*(1+'Interest rate projection'!AX83/Var_freq)+IF(Y$5="Mortgage Starts",0,Deposit_mon),2)</f>
        <v>25186.97</v>
      </c>
      <c r="Z81" s="57">
        <f>ROUND(Y81*(1+'Interest rate projection'!AY83/Var_freq)+IF(Z$5="Mortgage Starts",0,Deposit_mon),2)</f>
        <v>25299.599999999999</v>
      </c>
      <c r="AA81" s="12"/>
      <c r="AB81" s="38">
        <f>'Interest rate projection'!Z83</f>
        <v>5.5E-2</v>
      </c>
      <c r="AC81" s="38">
        <f>'Interest rate projection'!AZ83</f>
        <v>5.3660387004516252E-2</v>
      </c>
      <c r="AD81" s="59" t="str">
        <f t="shared" si="12"/>
        <v>OK</v>
      </c>
      <c r="AE81" s="39">
        <f t="shared" si="13"/>
        <v>13.748806844025127</v>
      </c>
      <c r="AF81" s="10"/>
      <c r="AG81" s="73">
        <f t="shared" si="15"/>
        <v>25299.599999999999</v>
      </c>
      <c r="AH81" s="73">
        <f t="shared" si="16"/>
        <v>174700.4</v>
      </c>
      <c r="AI81" s="74">
        <f t="shared" si="14"/>
        <v>1058.8800000000001</v>
      </c>
      <c r="AJ81" s="9"/>
      <c r="AK81" s="73">
        <f>'Fixed rate projection'!$AE$3-('Variable rate projection'!AI81*Product_term*Var_freq)</f>
        <v>-14595.000000000058</v>
      </c>
      <c r="AM81" s="14"/>
      <c r="AN81" s="10"/>
      <c r="AO81" s="11"/>
      <c r="AP81" s="11"/>
      <c r="AQ81" s="11"/>
      <c r="AR81" s="12"/>
      <c r="AS81" s="12"/>
      <c r="AT81" s="13"/>
      <c r="AV81" s="14"/>
      <c r="AW81" s="10"/>
      <c r="AX81" s="11"/>
      <c r="AY81" s="11"/>
      <c r="AZ81" s="11"/>
      <c r="BA81" s="12"/>
      <c r="BB81" s="12"/>
      <c r="BC81" s="13"/>
      <c r="BE81" s="14"/>
      <c r="BF81" s="10"/>
      <c r="BG81" s="11"/>
      <c r="BH81" s="11"/>
      <c r="BI81" s="11"/>
      <c r="BJ81" s="12"/>
      <c r="BK81" s="12"/>
      <c r="BL81" s="13"/>
      <c r="BN81" s="14"/>
      <c r="BO81" s="10"/>
      <c r="BP81" s="11"/>
      <c r="BQ81" s="11"/>
      <c r="BR81" s="11"/>
      <c r="BS81" s="12"/>
      <c r="BT81" s="12"/>
      <c r="BU81" s="13"/>
      <c r="BW81" s="14"/>
      <c r="BX81" s="10"/>
      <c r="BY81" s="11"/>
      <c r="BZ81" s="11"/>
      <c r="CA81" s="11"/>
      <c r="CB81" s="12"/>
      <c r="CC81" s="12"/>
      <c r="CD81" s="13"/>
      <c r="CF81" s="14"/>
      <c r="CG81" s="10"/>
      <c r="CH81" s="11"/>
      <c r="CI81" s="11"/>
      <c r="CJ81" s="11"/>
      <c r="CK81" s="12"/>
      <c r="CL81" s="12"/>
      <c r="CM81" s="13"/>
      <c r="CO81" s="13"/>
    </row>
    <row r="82" spans="1:93" x14ac:dyDescent="0.35">
      <c r="A82" s="27">
        <v>77</v>
      </c>
      <c r="B82" s="57">
        <f t="shared" si="11"/>
        <v>1000</v>
      </c>
      <c r="C82" s="16">
        <f>ROUND(B82*(1+'Interest rate projection'!AB84/Var_freq)+IF(C$5="Mortgage Starts",0,Deposit_mon),2)</f>
        <v>2003.67</v>
      </c>
      <c r="D82" s="16">
        <f>ROUND(C82*(1+'Interest rate projection'!AC84/Var_freq)+IF(D$5="Mortgage Starts",0,Deposit_mon),2)</f>
        <v>3011.03</v>
      </c>
      <c r="E82" s="16">
        <f>ROUND(D82*(1+'Interest rate projection'!AD84/Var_freq)+IF(E$5="Mortgage Starts",0,Deposit_mon),2)</f>
        <v>4022.09</v>
      </c>
      <c r="F82" s="16">
        <f>ROUND(E82*(1+'Interest rate projection'!AE84/Var_freq)+IF(F$5="Mortgage Starts",0,Deposit_mon),2)</f>
        <v>5036.87</v>
      </c>
      <c r="G82" s="16">
        <f>ROUND(F82*(1+'Interest rate projection'!AF84/Var_freq)+IF(G$5="Mortgage Starts",0,Deposit_mon),2)</f>
        <v>6054.37</v>
      </c>
      <c r="H82" s="16">
        <f>ROUND(G82*(1+'Interest rate projection'!AG84/Var_freq)+IF(H$5="Mortgage Starts",0,Deposit_mon),2)</f>
        <v>7075.41</v>
      </c>
      <c r="I82" s="16">
        <f>ROUND(H82*(1+'Interest rate projection'!AH84/Var_freq)+IF(I$5="Mortgage Starts",0,Deposit_mon),2)</f>
        <v>8099.99</v>
      </c>
      <c r="J82" s="16">
        <f>ROUND(I82*(1+'Interest rate projection'!AI84/Var_freq)+IF(J$5="Mortgage Starts",0,Deposit_mon),2)</f>
        <v>9128.1299999999992</v>
      </c>
      <c r="K82" s="16">
        <f>ROUND(J82*(1+'Interest rate projection'!AJ84/Var_freq)+IF(K$5="Mortgage Starts",0,Deposit_mon),2)</f>
        <v>10159.85</v>
      </c>
      <c r="L82" s="16">
        <f>ROUND(K82*(1+'Interest rate projection'!AK84/Var_freq)+IF(L$5="Mortgage Starts",0,Deposit_mon),2)</f>
        <v>11195.15</v>
      </c>
      <c r="M82" s="16">
        <f>ROUND(L82*(1+'Interest rate projection'!AL84/Var_freq)+IF(M$5="Mortgage Starts",0,Deposit_mon),2)</f>
        <v>12234.05</v>
      </c>
      <c r="N82" s="16">
        <f>ROUND(M82*(1+'Interest rate projection'!AM84/Var_freq)+IF(N$5="Mortgage Starts",0,Deposit_mon),2)</f>
        <v>13279.01</v>
      </c>
      <c r="O82" s="16">
        <f>ROUND(N82*(1+'Interest rate projection'!AN84/Var_freq)+IF(O$5="Mortgage Starts",0,Deposit_mon),2)</f>
        <v>14327.81</v>
      </c>
      <c r="P82" s="16">
        <f>ROUND(O82*(1+'Interest rate projection'!AO84/Var_freq)+IF(P$5="Mortgage Starts",0,Deposit_mon),2)</f>
        <v>15380.46</v>
      </c>
      <c r="Q82" s="16">
        <f>ROUND(P82*(1+'Interest rate projection'!AP84/Var_freq)+IF(Q$5="Mortgage Starts",0,Deposit_mon),2)</f>
        <v>16436.98</v>
      </c>
      <c r="R82" s="16">
        <f>ROUND(Q82*(1+'Interest rate projection'!AQ84/Var_freq)+IF(R$5="Mortgage Starts",0,Deposit_mon),2)</f>
        <v>17497.38</v>
      </c>
      <c r="S82" s="16">
        <f>ROUND(R82*(1+'Interest rate projection'!AR84/Var_freq)+IF(S$5="Mortgage Starts",0,Deposit_mon),2)</f>
        <v>18568.669999999998</v>
      </c>
      <c r="T82" s="16">
        <f>ROUND(S82*(1+'Interest rate projection'!AS84/Var_freq)+IF(T$5="Mortgage Starts",0,Deposit_mon),2)</f>
        <v>19644.32</v>
      </c>
      <c r="U82" s="16">
        <f>ROUND(T82*(1+'Interest rate projection'!AT84/Var_freq)+IF(U$5="Mortgage Starts",0,Deposit_mon),2)</f>
        <v>20724.349999999999</v>
      </c>
      <c r="V82" s="16">
        <f>ROUND(U82*(1+'Interest rate projection'!AU84/Var_freq)+IF(V$5="Mortgage Starts",0,Deposit_mon),2)</f>
        <v>21808.78</v>
      </c>
      <c r="W82" s="16">
        <f>ROUND(V82*(1+'Interest rate projection'!AV84/Var_freq)+IF(W$5="Mortgage Starts",0,Deposit_mon),2)</f>
        <v>22897.63</v>
      </c>
      <c r="X82" s="16">
        <f>ROUND(W82*(1+'Interest rate projection'!AW84/Var_freq)+IF(X$5="Mortgage Starts",0,Deposit_mon),2)</f>
        <v>23990.92</v>
      </c>
      <c r="Y82" s="16">
        <f>ROUND(X82*(1+'Interest rate projection'!AX84/Var_freq)+IF(Y$5="Mortgage Starts",0,Deposit_mon),2)</f>
        <v>25088.66</v>
      </c>
      <c r="Z82" s="57">
        <f>ROUND(Y82*(1+'Interest rate projection'!AY84/Var_freq)+IF(Z$5="Mortgage Starts",0,Deposit_mon),2)</f>
        <v>25195.87</v>
      </c>
      <c r="AA82" s="12"/>
      <c r="AB82" s="38">
        <f>'Interest rate projection'!Z84</f>
        <v>5.2499999999999998E-2</v>
      </c>
      <c r="AC82" s="38">
        <f>'Interest rate projection'!AZ84</f>
        <v>5.1277533193896829E-2</v>
      </c>
      <c r="AD82" s="59" t="str">
        <f t="shared" si="12"/>
        <v>OK</v>
      </c>
      <c r="AE82" s="39">
        <f t="shared" si="13"/>
        <v>14.075212462503044</v>
      </c>
      <c r="AF82" s="10"/>
      <c r="AG82" s="73">
        <f t="shared" si="15"/>
        <v>25195.87</v>
      </c>
      <c r="AH82" s="73">
        <f t="shared" si="16"/>
        <v>174804.13</v>
      </c>
      <c r="AI82" s="74">
        <f t="shared" si="14"/>
        <v>1034.94</v>
      </c>
      <c r="AJ82" s="9"/>
      <c r="AK82" s="73">
        <f>'Fixed rate projection'!$AE$3-('Variable rate projection'!AI82*Product_term*Var_freq)</f>
        <v>-7413</v>
      </c>
      <c r="AM82" s="14"/>
      <c r="AN82" s="10"/>
      <c r="AO82" s="11"/>
      <c r="AP82" s="11"/>
      <c r="AQ82" s="11"/>
      <c r="AR82" s="12"/>
      <c r="AS82" s="12"/>
      <c r="AT82" s="13"/>
      <c r="AV82" s="14"/>
      <c r="AW82" s="10"/>
      <c r="AX82" s="11"/>
      <c r="AY82" s="11"/>
      <c r="AZ82" s="11"/>
      <c r="BA82" s="12"/>
      <c r="BB82" s="12"/>
      <c r="BC82" s="13"/>
      <c r="BE82" s="14"/>
      <c r="BF82" s="10"/>
      <c r="BG82" s="11"/>
      <c r="BH82" s="11"/>
      <c r="BI82" s="11"/>
      <c r="BJ82" s="12"/>
      <c r="BK82" s="12"/>
      <c r="BL82" s="13"/>
      <c r="BN82" s="14"/>
      <c r="BO82" s="10"/>
      <c r="BP82" s="11"/>
      <c r="BQ82" s="11"/>
      <c r="BR82" s="11"/>
      <c r="BS82" s="12"/>
      <c r="BT82" s="12"/>
      <c r="BU82" s="13"/>
      <c r="BW82" s="14"/>
      <c r="BX82" s="10"/>
      <c r="BY82" s="11"/>
      <c r="BZ82" s="11"/>
      <c r="CA82" s="11"/>
      <c r="CB82" s="12"/>
      <c r="CC82" s="12"/>
      <c r="CD82" s="13"/>
      <c r="CF82" s="14"/>
      <c r="CG82" s="10"/>
      <c r="CH82" s="11"/>
      <c r="CI82" s="11"/>
      <c r="CJ82" s="11"/>
      <c r="CK82" s="12"/>
      <c r="CL82" s="12"/>
      <c r="CM82" s="13"/>
      <c r="CO82" s="13"/>
    </row>
    <row r="83" spans="1:93" x14ac:dyDescent="0.35">
      <c r="A83" s="5">
        <v>78</v>
      </c>
      <c r="B83" s="57">
        <f t="shared" si="11"/>
        <v>1000</v>
      </c>
      <c r="C83" s="16">
        <f>ROUND(B83*(1+'Interest rate projection'!AB85/Var_freq)+IF(C$5="Mortgage Starts",0,Deposit_mon),2)</f>
        <v>2003.67</v>
      </c>
      <c r="D83" s="16">
        <f>ROUND(C83*(1+'Interest rate projection'!AC85/Var_freq)+IF(D$5="Mortgage Starts",0,Deposit_mon),2)</f>
        <v>3011.03</v>
      </c>
      <c r="E83" s="16">
        <f>ROUND(D83*(1+'Interest rate projection'!AD85/Var_freq)+IF(E$5="Mortgage Starts",0,Deposit_mon),2)</f>
        <v>4022.09</v>
      </c>
      <c r="F83" s="16">
        <f>ROUND(E83*(1+'Interest rate projection'!AE85/Var_freq)+IF(F$5="Mortgage Starts",0,Deposit_mon),2)</f>
        <v>5036.87</v>
      </c>
      <c r="G83" s="16">
        <f>ROUND(F83*(1+'Interest rate projection'!AF85/Var_freq)+IF(G$5="Mortgage Starts",0,Deposit_mon),2)</f>
        <v>6055.38</v>
      </c>
      <c r="H83" s="16">
        <f>ROUND(G83*(1+'Interest rate projection'!AG85/Var_freq)+IF(H$5="Mortgage Starts",0,Deposit_mon),2)</f>
        <v>7077.63</v>
      </c>
      <c r="I83" s="16">
        <f>ROUND(H83*(1+'Interest rate projection'!AH85/Var_freq)+IF(I$5="Mortgage Starts",0,Deposit_mon),2)</f>
        <v>8103.64</v>
      </c>
      <c r="J83" s="16">
        <f>ROUND(I83*(1+'Interest rate projection'!AI85/Var_freq)+IF(J$5="Mortgage Starts",0,Deposit_mon),2)</f>
        <v>9133.42</v>
      </c>
      <c r="K83" s="16">
        <f>ROUND(J83*(1+'Interest rate projection'!AJ85/Var_freq)+IF(K$5="Mortgage Starts",0,Deposit_mon),2)</f>
        <v>10166.98</v>
      </c>
      <c r="L83" s="16">
        <f>ROUND(K83*(1+'Interest rate projection'!AK85/Var_freq)+IF(L$5="Mortgage Starts",0,Deposit_mon),2)</f>
        <v>11204.34</v>
      </c>
      <c r="M83" s="16">
        <f>ROUND(L83*(1+'Interest rate projection'!AL85/Var_freq)+IF(M$5="Mortgage Starts",0,Deposit_mon),2)</f>
        <v>12245.51</v>
      </c>
      <c r="N83" s="16">
        <f>ROUND(M83*(1+'Interest rate projection'!AM85/Var_freq)+IF(N$5="Mortgage Starts",0,Deposit_mon),2)</f>
        <v>13290.51</v>
      </c>
      <c r="O83" s="16">
        <f>ROUND(N83*(1+'Interest rate projection'!AN85/Var_freq)+IF(O$5="Mortgage Starts",0,Deposit_mon),2)</f>
        <v>14339.35</v>
      </c>
      <c r="P83" s="16">
        <f>ROUND(O83*(1+'Interest rate projection'!AO85/Var_freq)+IF(P$5="Mortgage Starts",0,Deposit_mon),2)</f>
        <v>15392.04</v>
      </c>
      <c r="Q83" s="16">
        <f>ROUND(P83*(1+'Interest rate projection'!AP85/Var_freq)+IF(Q$5="Mortgage Starts",0,Deposit_mon),2)</f>
        <v>16445.52</v>
      </c>
      <c r="R83" s="16">
        <f>ROUND(Q83*(1+'Interest rate projection'!AQ85/Var_freq)+IF(R$5="Mortgage Starts",0,Deposit_mon),2)</f>
        <v>17502.66</v>
      </c>
      <c r="S83" s="16">
        <f>ROUND(R83*(1+'Interest rate projection'!AR85/Var_freq)+IF(S$5="Mortgage Starts",0,Deposit_mon),2)</f>
        <v>18563.47</v>
      </c>
      <c r="T83" s="16">
        <f>ROUND(S83*(1+'Interest rate projection'!AS85/Var_freq)+IF(T$5="Mortgage Starts",0,Deposit_mon),2)</f>
        <v>19627.97</v>
      </c>
      <c r="U83" s="16">
        <f>ROUND(T83*(1+'Interest rate projection'!AT85/Var_freq)+IF(U$5="Mortgage Starts",0,Deposit_mon),2)</f>
        <v>20696.169999999998</v>
      </c>
      <c r="V83" s="16">
        <f>ROUND(U83*(1+'Interest rate projection'!AU85/Var_freq)+IF(V$5="Mortgage Starts",0,Deposit_mon),2)</f>
        <v>21768.080000000002</v>
      </c>
      <c r="W83" s="16">
        <f>ROUND(V83*(1+'Interest rate projection'!AV85/Var_freq)+IF(W$5="Mortgage Starts",0,Deposit_mon),2)</f>
        <v>22843.71</v>
      </c>
      <c r="X83" s="16">
        <f>ROUND(W83*(1+'Interest rate projection'!AW85/Var_freq)+IF(X$5="Mortgage Starts",0,Deposit_mon),2)</f>
        <v>23927.66</v>
      </c>
      <c r="Y83" s="16">
        <f>ROUND(X83*(1+'Interest rate projection'!AX85/Var_freq)+IF(Y$5="Mortgage Starts",0,Deposit_mon),2)</f>
        <v>25015.59</v>
      </c>
      <c r="Z83" s="57">
        <f>ROUND(Y83*(1+'Interest rate projection'!AY85/Var_freq)+IF(Z$5="Mortgage Starts",0,Deposit_mon),2)</f>
        <v>25107.52</v>
      </c>
      <c r="AA83" s="12"/>
      <c r="AB83" s="38">
        <f>'Interest rate projection'!Z85</f>
        <v>4.4999999999999998E-2</v>
      </c>
      <c r="AC83" s="38">
        <f>'Interest rate projection'!AZ85</f>
        <v>4.4097712805242217E-2</v>
      </c>
      <c r="AD83" s="59" t="str">
        <f t="shared" si="12"/>
        <v>OK</v>
      </c>
      <c r="AE83" s="39">
        <f t="shared" si="13"/>
        <v>15.131610255367837</v>
      </c>
      <c r="AF83" s="10"/>
      <c r="AG83" s="73">
        <f t="shared" si="15"/>
        <v>25107.52</v>
      </c>
      <c r="AH83" s="73">
        <f t="shared" si="16"/>
        <v>174892.48</v>
      </c>
      <c r="AI83" s="74">
        <f t="shared" si="14"/>
        <v>963.17</v>
      </c>
      <c r="AJ83" s="9"/>
      <c r="AK83" s="73">
        <f>'Fixed rate projection'!$AE$3-('Variable rate projection'!AI83*Product_term*Var_freq)</f>
        <v>14118</v>
      </c>
      <c r="AM83" s="14"/>
      <c r="AN83" s="10"/>
      <c r="AO83" s="11"/>
      <c r="AP83" s="11"/>
      <c r="AQ83" s="11"/>
      <c r="AR83" s="12"/>
      <c r="AS83" s="12"/>
      <c r="AT83" s="13"/>
      <c r="AV83" s="14"/>
      <c r="AW83" s="10"/>
      <c r="AX83" s="11"/>
      <c r="AY83" s="11"/>
      <c r="AZ83" s="11"/>
      <c r="BA83" s="12"/>
      <c r="BB83" s="12"/>
      <c r="BC83" s="13"/>
      <c r="BE83" s="14"/>
      <c r="BF83" s="10"/>
      <c r="BG83" s="11"/>
      <c r="BH83" s="11"/>
      <c r="BI83" s="11"/>
      <c r="BJ83" s="12"/>
      <c r="BK83" s="12"/>
      <c r="BL83" s="13"/>
      <c r="BN83" s="14"/>
      <c r="BO83" s="10"/>
      <c r="BP83" s="11"/>
      <c r="BQ83" s="11"/>
      <c r="BR83" s="11"/>
      <c r="BS83" s="12"/>
      <c r="BT83" s="12"/>
      <c r="BU83" s="13"/>
      <c r="BW83" s="14"/>
      <c r="BX83" s="10"/>
      <c r="BY83" s="11"/>
      <c r="BZ83" s="11"/>
      <c r="CA83" s="11"/>
      <c r="CB83" s="12"/>
      <c r="CC83" s="12"/>
      <c r="CD83" s="13"/>
      <c r="CF83" s="14"/>
      <c r="CG83" s="10"/>
      <c r="CH83" s="11"/>
      <c r="CI83" s="11"/>
      <c r="CJ83" s="11"/>
      <c r="CK83" s="12"/>
      <c r="CL83" s="12"/>
      <c r="CM83" s="13"/>
      <c r="CO83" s="13"/>
    </row>
    <row r="84" spans="1:93" x14ac:dyDescent="0.35">
      <c r="A84" s="27">
        <v>79</v>
      </c>
      <c r="B84" s="57">
        <f t="shared" si="11"/>
        <v>1000</v>
      </c>
      <c r="C84" s="16">
        <f>ROUND(B84*(1+'Interest rate projection'!AB86/Var_freq)+IF(C$5="Mortgage Starts",0,Deposit_mon),2)</f>
        <v>2003.67</v>
      </c>
      <c r="D84" s="16">
        <f>ROUND(C84*(1+'Interest rate projection'!AC86/Var_freq)+IF(D$5="Mortgage Starts",0,Deposit_mon),2)</f>
        <v>3011.03</v>
      </c>
      <c r="E84" s="16">
        <f>ROUND(D84*(1+'Interest rate projection'!AD86/Var_freq)+IF(E$5="Mortgage Starts",0,Deposit_mon),2)</f>
        <v>4022.09</v>
      </c>
      <c r="F84" s="16">
        <f>ROUND(E84*(1+'Interest rate projection'!AE86/Var_freq)+IF(F$5="Mortgage Starts",0,Deposit_mon),2)</f>
        <v>5036.87</v>
      </c>
      <c r="G84" s="16">
        <f>ROUND(F84*(1+'Interest rate projection'!AF86/Var_freq)+IF(G$5="Mortgage Starts",0,Deposit_mon),2)</f>
        <v>6055.38</v>
      </c>
      <c r="H84" s="16">
        <f>ROUND(G84*(1+'Interest rate projection'!AG86/Var_freq)+IF(H$5="Mortgage Starts",0,Deposit_mon),2)</f>
        <v>7077.63</v>
      </c>
      <c r="I84" s="16">
        <f>ROUND(H84*(1+'Interest rate projection'!AH86/Var_freq)+IF(I$5="Mortgage Starts",0,Deposit_mon),2)</f>
        <v>8103.64</v>
      </c>
      <c r="J84" s="16">
        <f>ROUND(I84*(1+'Interest rate projection'!AI86/Var_freq)+IF(J$5="Mortgage Starts",0,Deposit_mon),2)</f>
        <v>9133.42</v>
      </c>
      <c r="K84" s="16">
        <f>ROUND(J84*(1+'Interest rate projection'!AJ86/Var_freq)+IF(K$5="Mortgage Starts",0,Deposit_mon),2)</f>
        <v>10166.98</v>
      </c>
      <c r="L84" s="16">
        <f>ROUND(K84*(1+'Interest rate projection'!AK86/Var_freq)+IF(L$5="Mortgage Starts",0,Deposit_mon),2)</f>
        <v>11204.34</v>
      </c>
      <c r="M84" s="16">
        <f>ROUND(L84*(1+'Interest rate projection'!AL86/Var_freq)+IF(M$5="Mortgage Starts",0,Deposit_mon),2)</f>
        <v>12245.51</v>
      </c>
      <c r="N84" s="16">
        <f>ROUND(M84*(1+'Interest rate projection'!AM86/Var_freq)+IF(N$5="Mortgage Starts",0,Deposit_mon),2)</f>
        <v>13290.51</v>
      </c>
      <c r="O84" s="16">
        <f>ROUND(N84*(1+'Interest rate projection'!AN86/Var_freq)+IF(O$5="Mortgage Starts",0,Deposit_mon),2)</f>
        <v>14339.35</v>
      </c>
      <c r="P84" s="16">
        <f>ROUND(O84*(1+'Interest rate projection'!AO86/Var_freq)+IF(P$5="Mortgage Starts",0,Deposit_mon),2)</f>
        <v>15392.04</v>
      </c>
      <c r="Q84" s="16">
        <f>ROUND(P84*(1+'Interest rate projection'!AP86/Var_freq)+IF(Q$5="Mortgage Starts",0,Deposit_mon),2)</f>
        <v>16448.599999999999</v>
      </c>
      <c r="R84" s="16">
        <f>ROUND(Q84*(1+'Interest rate projection'!AQ86/Var_freq)+IF(R$5="Mortgage Starts",0,Deposit_mon),2)</f>
        <v>17509.05</v>
      </c>
      <c r="S84" s="16">
        <f>ROUND(R84*(1+'Interest rate projection'!AR86/Var_freq)+IF(S$5="Mortgage Starts",0,Deposit_mon),2)</f>
        <v>18573.39</v>
      </c>
      <c r="T84" s="16">
        <f>ROUND(S84*(1+'Interest rate projection'!AS86/Var_freq)+IF(T$5="Mortgage Starts",0,Deposit_mon),2)</f>
        <v>19649.060000000001</v>
      </c>
      <c r="U84" s="16">
        <f>ROUND(T84*(1+'Interest rate projection'!AT86/Var_freq)+IF(U$5="Mortgage Starts",0,Deposit_mon),2)</f>
        <v>20736.919999999998</v>
      </c>
      <c r="V84" s="16">
        <f>ROUND(U84*(1+'Interest rate projection'!AU86/Var_freq)+IF(V$5="Mortgage Starts",0,Deposit_mon),2)</f>
        <v>21829.65</v>
      </c>
      <c r="W84" s="16">
        <f>ROUND(V84*(1+'Interest rate projection'!AV86/Var_freq)+IF(W$5="Mortgage Starts",0,Deposit_mon),2)</f>
        <v>22927.27</v>
      </c>
      <c r="X84" s="16">
        <f>ROUND(W84*(1+'Interest rate projection'!AW86/Var_freq)+IF(X$5="Mortgage Starts",0,Deposit_mon),2)</f>
        <v>24029.79</v>
      </c>
      <c r="Y84" s="16">
        <f>ROUND(X84*(1+'Interest rate projection'!AX86/Var_freq)+IF(Y$5="Mortgage Starts",0,Deposit_mon),2)</f>
        <v>25137.24</v>
      </c>
      <c r="Z84" s="57">
        <f>ROUND(Y84*(1+'Interest rate projection'!AY86/Var_freq)+IF(Z$5="Mortgage Starts",0,Deposit_mon),2)</f>
        <v>25249.65</v>
      </c>
      <c r="AA84" s="12"/>
      <c r="AB84" s="38">
        <f>'Interest rate projection'!Z86</f>
        <v>5.4999999999999993E-2</v>
      </c>
      <c r="AC84" s="38">
        <f>'Interest rate projection'!AZ86</f>
        <v>5.3660387004516252E-2</v>
      </c>
      <c r="AD84" s="59" t="str">
        <f t="shared" si="12"/>
        <v>OK</v>
      </c>
      <c r="AE84" s="39">
        <f t="shared" si="13"/>
        <v>13.748806844025127</v>
      </c>
      <c r="AF84" s="10"/>
      <c r="AG84" s="73">
        <f t="shared" si="15"/>
        <v>25249.65</v>
      </c>
      <c r="AH84" s="73">
        <f t="shared" si="16"/>
        <v>174750.35</v>
      </c>
      <c r="AI84" s="74">
        <f t="shared" si="14"/>
        <v>1059.18</v>
      </c>
      <c r="AJ84" s="9"/>
      <c r="AK84" s="73">
        <f>'Fixed rate projection'!$AE$3-('Variable rate projection'!AI84*Product_term*Var_freq)</f>
        <v>-14685</v>
      </c>
      <c r="AM84" s="14"/>
      <c r="AN84" s="10"/>
      <c r="AO84" s="11"/>
      <c r="AP84" s="11"/>
      <c r="AQ84" s="11"/>
      <c r="AR84" s="12"/>
      <c r="AS84" s="12"/>
      <c r="AT84" s="13"/>
      <c r="AV84" s="14"/>
      <c r="AW84" s="10"/>
      <c r="AX84" s="11"/>
      <c r="AY84" s="11"/>
      <c r="AZ84" s="11"/>
      <c r="BA84" s="12"/>
      <c r="BB84" s="12"/>
      <c r="BC84" s="13"/>
      <c r="BE84" s="14"/>
      <c r="BF84" s="10"/>
      <c r="BG84" s="11"/>
      <c r="BH84" s="11"/>
      <c r="BI84" s="11"/>
      <c r="BJ84" s="12"/>
      <c r="BK84" s="12"/>
      <c r="BL84" s="13"/>
      <c r="BN84" s="14"/>
      <c r="BO84" s="10"/>
      <c r="BP84" s="11"/>
      <c r="BQ84" s="11"/>
      <c r="BR84" s="11"/>
      <c r="BS84" s="12"/>
      <c r="BT84" s="12"/>
      <c r="BU84" s="13"/>
      <c r="BW84" s="14"/>
      <c r="BX84" s="10"/>
      <c r="BY84" s="11"/>
      <c r="BZ84" s="11"/>
      <c r="CA84" s="11"/>
      <c r="CB84" s="12"/>
      <c r="CC84" s="12"/>
      <c r="CD84" s="13"/>
      <c r="CF84" s="14"/>
      <c r="CG84" s="10"/>
      <c r="CH84" s="11"/>
      <c r="CI84" s="11"/>
      <c r="CJ84" s="11"/>
      <c r="CK84" s="12"/>
      <c r="CL84" s="12"/>
      <c r="CM84" s="13"/>
      <c r="CO84" s="13"/>
    </row>
    <row r="85" spans="1:93" x14ac:dyDescent="0.35">
      <c r="A85" s="5">
        <v>80</v>
      </c>
      <c r="B85" s="57">
        <f t="shared" si="11"/>
        <v>1000</v>
      </c>
      <c r="C85" s="16">
        <f>ROUND(B85*(1+'Interest rate projection'!AB87/Var_freq)+IF(C$5="Mortgage Starts",0,Deposit_mon),2)</f>
        <v>2003.67</v>
      </c>
      <c r="D85" s="16">
        <f>ROUND(C85*(1+'Interest rate projection'!AC87/Var_freq)+IF(D$5="Mortgage Starts",0,Deposit_mon),2)</f>
        <v>3011.03</v>
      </c>
      <c r="E85" s="16">
        <f>ROUND(D85*(1+'Interest rate projection'!AD87/Var_freq)+IF(E$5="Mortgage Starts",0,Deposit_mon),2)</f>
        <v>4022.09</v>
      </c>
      <c r="F85" s="16">
        <f>ROUND(E85*(1+'Interest rate projection'!AE87/Var_freq)+IF(F$5="Mortgage Starts",0,Deposit_mon),2)</f>
        <v>5036.87</v>
      </c>
      <c r="G85" s="16">
        <f>ROUND(F85*(1+'Interest rate projection'!AF87/Var_freq)+IF(G$5="Mortgage Starts",0,Deposit_mon),2)</f>
        <v>6055.38</v>
      </c>
      <c r="H85" s="16">
        <f>ROUND(G85*(1+'Interest rate projection'!AG87/Var_freq)+IF(H$5="Mortgage Starts",0,Deposit_mon),2)</f>
        <v>7077.63</v>
      </c>
      <c r="I85" s="16">
        <f>ROUND(H85*(1+'Interest rate projection'!AH87/Var_freq)+IF(I$5="Mortgage Starts",0,Deposit_mon),2)</f>
        <v>8103.64</v>
      </c>
      <c r="J85" s="16">
        <f>ROUND(I85*(1+'Interest rate projection'!AI87/Var_freq)+IF(J$5="Mortgage Starts",0,Deposit_mon),2)</f>
        <v>9133.42</v>
      </c>
      <c r="K85" s="16">
        <f>ROUND(J85*(1+'Interest rate projection'!AJ87/Var_freq)+IF(K$5="Mortgage Starts",0,Deposit_mon),2)</f>
        <v>10166.98</v>
      </c>
      <c r="L85" s="16">
        <f>ROUND(K85*(1+'Interest rate projection'!AK87/Var_freq)+IF(L$5="Mortgage Starts",0,Deposit_mon),2)</f>
        <v>11208.4</v>
      </c>
      <c r="M85" s="16">
        <f>ROUND(L85*(1+'Interest rate projection'!AL87/Var_freq)+IF(M$5="Mortgage Starts",0,Deposit_mon),2)</f>
        <v>12254.06</v>
      </c>
      <c r="N85" s="16">
        <f>ROUND(M85*(1+'Interest rate projection'!AM87/Var_freq)+IF(N$5="Mortgage Starts",0,Deposit_mon),2)</f>
        <v>13303.98</v>
      </c>
      <c r="O85" s="16">
        <f>ROUND(N85*(1+'Interest rate projection'!AN87/Var_freq)+IF(O$5="Mortgage Starts",0,Deposit_mon),2)</f>
        <v>14355.53</v>
      </c>
      <c r="P85" s="16">
        <f>ROUND(O85*(1+'Interest rate projection'!AO87/Var_freq)+IF(P$5="Mortgage Starts",0,Deposit_mon),2)</f>
        <v>15411.15</v>
      </c>
      <c r="Q85" s="16">
        <f>ROUND(P85*(1+'Interest rate projection'!AP87/Var_freq)+IF(Q$5="Mortgage Starts",0,Deposit_mon),2)</f>
        <v>16470.86</v>
      </c>
      <c r="R85" s="16">
        <f>ROUND(Q85*(1+'Interest rate projection'!AQ87/Var_freq)+IF(R$5="Mortgage Starts",0,Deposit_mon),2)</f>
        <v>17534.68</v>
      </c>
      <c r="S85" s="16">
        <f>ROUND(R85*(1+'Interest rate projection'!AR87/Var_freq)+IF(S$5="Mortgage Starts",0,Deposit_mon),2)</f>
        <v>18606.12</v>
      </c>
      <c r="T85" s="16">
        <f>ROUND(S85*(1+'Interest rate projection'!AS87/Var_freq)+IF(T$5="Mortgage Starts",0,Deposit_mon),2)</f>
        <v>19681.919999999998</v>
      </c>
      <c r="U85" s="16">
        <f>ROUND(T85*(1+'Interest rate projection'!AT87/Var_freq)+IF(U$5="Mortgage Starts",0,Deposit_mon),2)</f>
        <v>20762.11</v>
      </c>
      <c r="V85" s="16">
        <f>ROUND(U85*(1+'Interest rate projection'!AU87/Var_freq)+IF(V$5="Mortgage Starts",0,Deposit_mon),2)</f>
        <v>21846.7</v>
      </c>
      <c r="W85" s="16">
        <f>ROUND(V85*(1+'Interest rate projection'!AV87/Var_freq)+IF(W$5="Mortgage Starts",0,Deposit_mon),2)</f>
        <v>22935.71</v>
      </c>
      <c r="X85" s="16">
        <f>ROUND(W85*(1+'Interest rate projection'!AW87/Var_freq)+IF(X$5="Mortgage Starts",0,Deposit_mon),2)</f>
        <v>24029.15</v>
      </c>
      <c r="Y85" s="16">
        <f>ROUND(X85*(1+'Interest rate projection'!AX87/Var_freq)+IF(Y$5="Mortgage Starts",0,Deposit_mon),2)</f>
        <v>25127.05</v>
      </c>
      <c r="Z85" s="57">
        <f>ROUND(Y85*(1+'Interest rate projection'!AY87/Var_freq)+IF(Z$5="Mortgage Starts",0,Deposit_mon),2)</f>
        <v>25229.42</v>
      </c>
      <c r="AA85" s="12"/>
      <c r="AB85" s="38">
        <f>'Interest rate projection'!Z87</f>
        <v>4.9999999999999996E-2</v>
      </c>
      <c r="AC85" s="38">
        <f>'Interest rate projection'!AZ87</f>
        <v>4.8889485403780242E-2</v>
      </c>
      <c r="AD85" s="59" t="str">
        <f t="shared" si="12"/>
        <v>OK</v>
      </c>
      <c r="AE85" s="39">
        <f t="shared" si="13"/>
        <v>14.4140856153857</v>
      </c>
      <c r="AF85" s="10"/>
      <c r="AG85" s="73">
        <f t="shared" si="15"/>
        <v>25229.42</v>
      </c>
      <c r="AH85" s="73">
        <f t="shared" si="16"/>
        <v>174770.58000000002</v>
      </c>
      <c r="AI85" s="74">
        <f t="shared" si="14"/>
        <v>1010.42</v>
      </c>
      <c r="AJ85" s="9"/>
      <c r="AK85" s="73">
        <f>'Fixed rate projection'!$AE$3-('Variable rate projection'!AI85*Product_term*Var_freq)</f>
        <v>-57</v>
      </c>
      <c r="AM85" s="14"/>
      <c r="AN85" s="10"/>
      <c r="AO85" s="11"/>
      <c r="AP85" s="11"/>
      <c r="AQ85" s="11"/>
      <c r="AR85" s="12"/>
      <c r="AS85" s="12"/>
      <c r="AT85" s="13"/>
      <c r="AV85" s="14"/>
      <c r="AW85" s="10"/>
      <c r="AX85" s="11"/>
      <c r="AY85" s="11"/>
      <c r="AZ85" s="11"/>
      <c r="BA85" s="12"/>
      <c r="BB85" s="12"/>
      <c r="BC85" s="13"/>
      <c r="BE85" s="14"/>
      <c r="BF85" s="10"/>
      <c r="BG85" s="11"/>
      <c r="BH85" s="11"/>
      <c r="BI85" s="11"/>
      <c r="BJ85" s="12"/>
      <c r="BK85" s="12"/>
      <c r="BL85" s="13"/>
      <c r="BN85" s="14"/>
      <c r="BO85" s="10"/>
      <c r="BP85" s="11"/>
      <c r="BQ85" s="11"/>
      <c r="BR85" s="11"/>
      <c r="BS85" s="12"/>
      <c r="BT85" s="12"/>
      <c r="BU85" s="13"/>
      <c r="BW85" s="14"/>
      <c r="BX85" s="10"/>
      <c r="BY85" s="11"/>
      <c r="BZ85" s="11"/>
      <c r="CA85" s="11"/>
      <c r="CB85" s="12"/>
      <c r="CC85" s="12"/>
      <c r="CD85" s="13"/>
      <c r="CF85" s="14"/>
      <c r="CG85" s="10"/>
      <c r="CH85" s="11"/>
      <c r="CI85" s="11"/>
      <c r="CJ85" s="11"/>
      <c r="CK85" s="12"/>
      <c r="CL85" s="12"/>
      <c r="CM85" s="13"/>
      <c r="CO85" s="13"/>
    </row>
    <row r="86" spans="1:93" x14ac:dyDescent="0.35">
      <c r="A86" s="27">
        <v>81</v>
      </c>
      <c r="B86" s="57">
        <f t="shared" si="11"/>
        <v>1000</v>
      </c>
      <c r="C86" s="16">
        <f>ROUND(B86*(1+'Interest rate projection'!AB88/Var_freq)+IF(C$5="Mortgage Starts",0,Deposit_mon),2)</f>
        <v>2003.67</v>
      </c>
      <c r="D86" s="16">
        <f>ROUND(C86*(1+'Interest rate projection'!AC88/Var_freq)+IF(D$5="Mortgage Starts",0,Deposit_mon),2)</f>
        <v>3011.03</v>
      </c>
      <c r="E86" s="16">
        <f>ROUND(D86*(1+'Interest rate projection'!AD88/Var_freq)+IF(E$5="Mortgage Starts",0,Deposit_mon),2)</f>
        <v>4021.49</v>
      </c>
      <c r="F86" s="16">
        <f>ROUND(E86*(1+'Interest rate projection'!AE88/Var_freq)+IF(F$5="Mortgage Starts",0,Deposit_mon),2)</f>
        <v>5035.46</v>
      </c>
      <c r="G86" s="16">
        <f>ROUND(F86*(1+'Interest rate projection'!AF88/Var_freq)+IF(G$5="Mortgage Starts",0,Deposit_mon),2)</f>
        <v>6052.96</v>
      </c>
      <c r="H86" s="16">
        <f>ROUND(G86*(1+'Interest rate projection'!AG88/Var_freq)+IF(H$5="Mortgage Starts",0,Deposit_mon),2)</f>
        <v>7073.99</v>
      </c>
      <c r="I86" s="16">
        <f>ROUND(H86*(1+'Interest rate projection'!AH88/Var_freq)+IF(I$5="Mortgage Starts",0,Deposit_mon),2)</f>
        <v>8098.57</v>
      </c>
      <c r="J86" s="16">
        <f>ROUND(I86*(1+'Interest rate projection'!AI88/Var_freq)+IF(J$5="Mortgage Starts",0,Deposit_mon),2)</f>
        <v>9126.7099999999991</v>
      </c>
      <c r="K86" s="16">
        <f>ROUND(J86*(1+'Interest rate projection'!AJ88/Var_freq)+IF(K$5="Mortgage Starts",0,Deposit_mon),2)</f>
        <v>10158.42</v>
      </c>
      <c r="L86" s="16">
        <f>ROUND(K86*(1+'Interest rate projection'!AK88/Var_freq)+IF(L$5="Mortgage Starts",0,Deposit_mon),2)</f>
        <v>11197.78</v>
      </c>
      <c r="M86" s="16">
        <f>ROUND(L86*(1+'Interest rate projection'!AL88/Var_freq)+IF(M$5="Mortgage Starts",0,Deposit_mon),2)</f>
        <v>12241.17</v>
      </c>
      <c r="N86" s="16">
        <f>ROUND(M86*(1+'Interest rate projection'!AM88/Var_freq)+IF(N$5="Mortgage Starts",0,Deposit_mon),2)</f>
        <v>13288.6</v>
      </c>
      <c r="O86" s="16">
        <f>ROUND(N86*(1+'Interest rate projection'!AN88/Var_freq)+IF(O$5="Mortgage Starts",0,Deposit_mon),2)</f>
        <v>14340.09</v>
      </c>
      <c r="P86" s="16">
        <f>ROUND(O86*(1+'Interest rate projection'!AO88/Var_freq)+IF(P$5="Mortgage Starts",0,Deposit_mon),2)</f>
        <v>15395.65</v>
      </c>
      <c r="Q86" s="16">
        <f>ROUND(P86*(1+'Interest rate projection'!AP88/Var_freq)+IF(Q$5="Mortgage Starts",0,Deposit_mon),2)</f>
        <v>16455.3</v>
      </c>
      <c r="R86" s="16">
        <f>ROUND(Q86*(1+'Interest rate projection'!AQ88/Var_freq)+IF(R$5="Mortgage Starts",0,Deposit_mon),2)</f>
        <v>17519.060000000001</v>
      </c>
      <c r="S86" s="16">
        <f>ROUND(R86*(1+'Interest rate projection'!AR88/Var_freq)+IF(S$5="Mortgage Starts",0,Deposit_mon),2)</f>
        <v>18586.939999999999</v>
      </c>
      <c r="T86" s="16">
        <f>ROUND(S86*(1+'Interest rate projection'!AS88/Var_freq)+IF(T$5="Mortgage Starts",0,Deposit_mon),2)</f>
        <v>19658.96</v>
      </c>
      <c r="U86" s="16">
        <f>ROUND(T86*(1+'Interest rate projection'!AT88/Var_freq)+IF(U$5="Mortgage Starts",0,Deposit_mon),2)</f>
        <v>20735.13</v>
      </c>
      <c r="V86" s="16">
        <f>ROUND(U86*(1+'Interest rate projection'!AU88/Var_freq)+IF(V$5="Mortgage Starts",0,Deposit_mon),2)</f>
        <v>21815.47</v>
      </c>
      <c r="W86" s="16">
        <f>ROUND(V86*(1+'Interest rate projection'!AV88/Var_freq)+IF(W$5="Mortgage Starts",0,Deposit_mon),2)</f>
        <v>22904.35</v>
      </c>
      <c r="X86" s="16">
        <f>ROUND(W86*(1+'Interest rate projection'!AW88/Var_freq)+IF(X$5="Mortgage Starts",0,Deposit_mon),2)</f>
        <v>23997.67</v>
      </c>
      <c r="Y86" s="16">
        <f>ROUND(X86*(1+'Interest rate projection'!AX88/Var_freq)+IF(Y$5="Mortgage Starts",0,Deposit_mon),2)</f>
        <v>25095.439999999999</v>
      </c>
      <c r="Z86" s="57">
        <f>ROUND(Y86*(1+'Interest rate projection'!AY88/Var_freq)+IF(Z$5="Mortgage Starts",0,Deposit_mon),2)</f>
        <v>25197.68</v>
      </c>
      <c r="AA86" s="12"/>
      <c r="AB86" s="38">
        <f>'Interest rate projection'!Z88</f>
        <v>4.9999999999999996E-2</v>
      </c>
      <c r="AC86" s="38">
        <f>'Interest rate projection'!AZ88</f>
        <v>4.8889485403780242E-2</v>
      </c>
      <c r="AD86" s="59" t="str">
        <f t="shared" si="12"/>
        <v>OK</v>
      </c>
      <c r="AE86" s="39">
        <f t="shared" si="13"/>
        <v>14.4140856153857</v>
      </c>
      <c r="AF86" s="10"/>
      <c r="AG86" s="73">
        <f t="shared" si="15"/>
        <v>25197.68</v>
      </c>
      <c r="AH86" s="73">
        <f t="shared" si="16"/>
        <v>174802.32</v>
      </c>
      <c r="AI86" s="74">
        <f t="shared" si="14"/>
        <v>1010.6</v>
      </c>
      <c r="AJ86" s="9"/>
      <c r="AK86" s="73">
        <f>'Fixed rate projection'!$AE$3-('Variable rate projection'!AI86*Product_term*Var_freq)</f>
        <v>-111</v>
      </c>
      <c r="AM86" s="14"/>
      <c r="AN86" s="10"/>
      <c r="AO86" s="11"/>
      <c r="AP86" s="11"/>
      <c r="AQ86" s="11"/>
      <c r="AR86" s="12"/>
      <c r="AS86" s="12"/>
      <c r="AT86" s="13"/>
      <c r="AV86" s="14"/>
      <c r="AW86" s="10"/>
      <c r="AX86" s="11"/>
      <c r="AY86" s="11"/>
      <c r="AZ86" s="11"/>
      <c r="BA86" s="12"/>
      <c r="BB86" s="12"/>
      <c r="BC86" s="13"/>
      <c r="BE86" s="14"/>
      <c r="BF86" s="10"/>
      <c r="BG86" s="11"/>
      <c r="BH86" s="11"/>
      <c r="BI86" s="11"/>
      <c r="BJ86" s="12"/>
      <c r="BK86" s="12"/>
      <c r="BL86" s="13"/>
      <c r="BN86" s="14"/>
      <c r="BO86" s="10"/>
      <c r="BP86" s="11"/>
      <c r="BQ86" s="11"/>
      <c r="BR86" s="11"/>
      <c r="BS86" s="12"/>
      <c r="BT86" s="12"/>
      <c r="BU86" s="13"/>
      <c r="BW86" s="14"/>
      <c r="BX86" s="10"/>
      <c r="BY86" s="11"/>
      <c r="BZ86" s="11"/>
      <c r="CA86" s="11"/>
      <c r="CB86" s="12"/>
      <c r="CC86" s="12"/>
      <c r="CD86" s="13"/>
      <c r="CF86" s="14"/>
      <c r="CG86" s="10"/>
      <c r="CH86" s="11"/>
      <c r="CI86" s="11"/>
      <c r="CJ86" s="11"/>
      <c r="CK86" s="12"/>
      <c r="CL86" s="12"/>
      <c r="CM86" s="13"/>
      <c r="CO86" s="13"/>
    </row>
    <row r="87" spans="1:93" x14ac:dyDescent="0.35">
      <c r="A87" s="5">
        <v>82</v>
      </c>
      <c r="B87" s="57">
        <f t="shared" si="11"/>
        <v>1000</v>
      </c>
      <c r="C87" s="16">
        <f>ROUND(B87*(1+'Interest rate projection'!AB89/Var_freq)+IF(C$5="Mortgage Starts",0,Deposit_mon),2)</f>
        <v>2003.67</v>
      </c>
      <c r="D87" s="16">
        <f>ROUND(C87*(1+'Interest rate projection'!AC89/Var_freq)+IF(D$5="Mortgage Starts",0,Deposit_mon),2)</f>
        <v>3011.03</v>
      </c>
      <c r="E87" s="16">
        <f>ROUND(D87*(1+'Interest rate projection'!AD89/Var_freq)+IF(E$5="Mortgage Starts",0,Deposit_mon),2)</f>
        <v>4022.09</v>
      </c>
      <c r="F87" s="16">
        <f>ROUND(E87*(1+'Interest rate projection'!AE89/Var_freq)+IF(F$5="Mortgage Starts",0,Deposit_mon),2)</f>
        <v>5036.87</v>
      </c>
      <c r="G87" s="16">
        <f>ROUND(F87*(1+'Interest rate projection'!AF89/Var_freq)+IF(G$5="Mortgage Starts",0,Deposit_mon),2)</f>
        <v>6055.38</v>
      </c>
      <c r="H87" s="16">
        <f>ROUND(G87*(1+'Interest rate projection'!AG89/Var_freq)+IF(H$5="Mortgage Starts",0,Deposit_mon),2)</f>
        <v>7075.2</v>
      </c>
      <c r="I87" s="16">
        <f>ROUND(H87*(1+'Interest rate projection'!AH89/Var_freq)+IF(I$5="Mortgage Starts",0,Deposit_mon),2)</f>
        <v>8098.36</v>
      </c>
      <c r="J87" s="16">
        <f>ROUND(I87*(1+'Interest rate projection'!AI89/Var_freq)+IF(J$5="Mortgage Starts",0,Deposit_mon),2)</f>
        <v>9126.5</v>
      </c>
      <c r="K87" s="16">
        <f>ROUND(J87*(1+'Interest rate projection'!AJ89/Var_freq)+IF(K$5="Mortgage Starts",0,Deposit_mon),2)</f>
        <v>10158.209999999999</v>
      </c>
      <c r="L87" s="16">
        <f>ROUND(K87*(1+'Interest rate projection'!AK89/Var_freq)+IF(L$5="Mortgage Starts",0,Deposit_mon),2)</f>
        <v>11193.5</v>
      </c>
      <c r="M87" s="16">
        <f>ROUND(L87*(1+'Interest rate projection'!AL89/Var_freq)+IF(M$5="Mortgage Starts",0,Deposit_mon),2)</f>
        <v>12232.39</v>
      </c>
      <c r="N87" s="16">
        <f>ROUND(M87*(1+'Interest rate projection'!AM89/Var_freq)+IF(N$5="Mortgage Starts",0,Deposit_mon),2)</f>
        <v>13274.89</v>
      </c>
      <c r="O87" s="16">
        <f>ROUND(N87*(1+'Interest rate projection'!AN89/Var_freq)+IF(O$5="Mortgage Starts",0,Deposit_mon),2)</f>
        <v>14315.68</v>
      </c>
      <c r="P87" s="16">
        <f>ROUND(O87*(1+'Interest rate projection'!AO89/Var_freq)+IF(P$5="Mortgage Starts",0,Deposit_mon),2)</f>
        <v>15359.67</v>
      </c>
      <c r="Q87" s="16">
        <f>ROUND(P87*(1+'Interest rate projection'!AP89/Var_freq)+IF(Q$5="Mortgage Starts",0,Deposit_mon),2)</f>
        <v>16409.95</v>
      </c>
      <c r="R87" s="16">
        <f>ROUND(Q87*(1+'Interest rate projection'!AQ89/Var_freq)+IF(R$5="Mortgage Starts",0,Deposit_mon),2)</f>
        <v>17463.669999999998</v>
      </c>
      <c r="S87" s="16">
        <f>ROUND(R87*(1+'Interest rate projection'!AR89/Var_freq)+IF(S$5="Mortgage Starts",0,Deposit_mon),2)</f>
        <v>18520.84</v>
      </c>
      <c r="T87" s="16">
        <f>ROUND(S87*(1+'Interest rate projection'!AS89/Var_freq)+IF(T$5="Mortgage Starts",0,Deposit_mon),2)</f>
        <v>19581.47</v>
      </c>
      <c r="U87" s="16">
        <f>ROUND(T87*(1+'Interest rate projection'!AT89/Var_freq)+IF(U$5="Mortgage Starts",0,Deposit_mon),2)</f>
        <v>20645.57</v>
      </c>
      <c r="V87" s="16">
        <f>ROUND(U87*(1+'Interest rate projection'!AU89/Var_freq)+IF(V$5="Mortgage Starts",0,Deposit_mon),2)</f>
        <v>21713.16</v>
      </c>
      <c r="W87" s="16">
        <f>ROUND(V87*(1+'Interest rate projection'!AV89/Var_freq)+IF(W$5="Mortgage Starts",0,Deposit_mon),2)</f>
        <v>22784.240000000002</v>
      </c>
      <c r="X87" s="16">
        <f>ROUND(W87*(1+'Interest rate projection'!AW89/Var_freq)+IF(X$5="Mortgage Starts",0,Deposit_mon),2)</f>
        <v>23849.65</v>
      </c>
      <c r="Y87" s="16">
        <f>ROUND(X87*(1+'Interest rate projection'!AX89/Var_freq)+IF(Y$5="Mortgage Starts",0,Deposit_mon),2)</f>
        <v>24918.12</v>
      </c>
      <c r="Z87" s="57">
        <f>ROUND(Y87*(1+'Interest rate projection'!AY89/Var_freq)+IF(Z$5="Mortgage Starts",0,Deposit_mon),2)</f>
        <v>24989.66</v>
      </c>
      <c r="AA87" s="12"/>
      <c r="AB87" s="38">
        <f>'Interest rate projection'!Z89</f>
        <v>3.500000000000001E-2</v>
      </c>
      <c r="AC87" s="38">
        <f>'Interest rate projection'!AZ89</f>
        <v>3.4450784628919706E-2</v>
      </c>
      <c r="AD87" s="59" t="str">
        <f t="shared" si="12"/>
        <v>OK</v>
      </c>
      <c r="AE87" s="39">
        <f t="shared" si="13"/>
        <v>16.744263358395965</v>
      </c>
      <c r="AF87" s="10"/>
      <c r="AG87" s="73">
        <f t="shared" si="15"/>
        <v>24989.66</v>
      </c>
      <c r="AH87" s="73">
        <f t="shared" si="16"/>
        <v>175010.34</v>
      </c>
      <c r="AI87" s="74">
        <f t="shared" si="14"/>
        <v>871</v>
      </c>
      <c r="AJ87" s="9"/>
      <c r="AK87" s="73">
        <f>'Fixed rate projection'!$AE$3-('Variable rate projection'!AI87*Product_term*Var_freq)</f>
        <v>41769</v>
      </c>
      <c r="AM87" s="14"/>
      <c r="AN87" s="10"/>
      <c r="AO87" s="11"/>
      <c r="AP87" s="11"/>
      <c r="AQ87" s="11"/>
      <c r="AR87" s="12"/>
      <c r="AS87" s="12"/>
      <c r="AT87" s="13"/>
      <c r="AV87" s="14"/>
      <c r="AW87" s="10"/>
      <c r="AX87" s="11"/>
      <c r="AY87" s="11"/>
      <c r="AZ87" s="11"/>
      <c r="BA87" s="12"/>
      <c r="BB87" s="12"/>
      <c r="BC87" s="13"/>
      <c r="BE87" s="14"/>
      <c r="BF87" s="10"/>
      <c r="BG87" s="11"/>
      <c r="BH87" s="11"/>
      <c r="BI87" s="11"/>
      <c r="BJ87" s="12"/>
      <c r="BK87" s="12"/>
      <c r="BL87" s="13"/>
      <c r="BN87" s="14"/>
      <c r="BO87" s="10"/>
      <c r="BP87" s="11"/>
      <c r="BQ87" s="11"/>
      <c r="BR87" s="11"/>
      <c r="BS87" s="12"/>
      <c r="BT87" s="12"/>
      <c r="BU87" s="13"/>
      <c r="BW87" s="14"/>
      <c r="BX87" s="10"/>
      <c r="BY87" s="11"/>
      <c r="BZ87" s="11"/>
      <c r="CA87" s="11"/>
      <c r="CB87" s="12"/>
      <c r="CC87" s="12"/>
      <c r="CD87" s="13"/>
      <c r="CF87" s="14"/>
      <c r="CG87" s="10"/>
      <c r="CH87" s="11"/>
      <c r="CI87" s="11"/>
      <c r="CJ87" s="11"/>
      <c r="CK87" s="12"/>
      <c r="CL87" s="12"/>
      <c r="CM87" s="13"/>
      <c r="CO87" s="13"/>
    </row>
    <row r="88" spans="1:93" x14ac:dyDescent="0.35">
      <c r="A88" s="27">
        <v>83</v>
      </c>
      <c r="B88" s="57">
        <f t="shared" si="11"/>
        <v>1000</v>
      </c>
      <c r="C88" s="16">
        <f>ROUND(B88*(1+'Interest rate projection'!AB90/Var_freq)+IF(C$5="Mortgage Starts",0,Deposit_mon),2)</f>
        <v>2003.67</v>
      </c>
      <c r="D88" s="16">
        <f>ROUND(C88*(1+'Interest rate projection'!AC90/Var_freq)+IF(D$5="Mortgage Starts",0,Deposit_mon),2)</f>
        <v>3011.03</v>
      </c>
      <c r="E88" s="16">
        <f>ROUND(D88*(1+'Interest rate projection'!AD90/Var_freq)+IF(E$5="Mortgage Starts",0,Deposit_mon),2)</f>
        <v>4020.89</v>
      </c>
      <c r="F88" s="16">
        <f>ROUND(E88*(1+'Interest rate projection'!AE90/Var_freq)+IF(F$5="Mortgage Starts",0,Deposit_mon),2)</f>
        <v>5034.05</v>
      </c>
      <c r="G88" s="16">
        <f>ROUND(F88*(1+'Interest rate projection'!AF90/Var_freq)+IF(G$5="Mortgage Starts",0,Deposit_mon),2)</f>
        <v>6050.53</v>
      </c>
      <c r="H88" s="16">
        <f>ROUND(G88*(1+'Interest rate projection'!AG90/Var_freq)+IF(H$5="Mortgage Starts",0,Deposit_mon),2)</f>
        <v>7070.34</v>
      </c>
      <c r="I88" s="16">
        <f>ROUND(H88*(1+'Interest rate projection'!AH90/Var_freq)+IF(I$5="Mortgage Starts",0,Deposit_mon),2)</f>
        <v>8093.49</v>
      </c>
      <c r="J88" s="16">
        <f>ROUND(I88*(1+'Interest rate projection'!AI90/Var_freq)+IF(J$5="Mortgage Starts",0,Deposit_mon),2)</f>
        <v>9119.99</v>
      </c>
      <c r="K88" s="16">
        <f>ROUND(J88*(1+'Interest rate projection'!AJ90/Var_freq)+IF(K$5="Mortgage Starts",0,Deposit_mon),2)</f>
        <v>10151.68</v>
      </c>
      <c r="L88" s="16">
        <f>ROUND(K88*(1+'Interest rate projection'!AK90/Var_freq)+IF(L$5="Mortgage Starts",0,Deposit_mon),2)</f>
        <v>11186.95</v>
      </c>
      <c r="M88" s="16">
        <f>ROUND(L88*(1+'Interest rate projection'!AL90/Var_freq)+IF(M$5="Mortgage Starts",0,Deposit_mon),2)</f>
        <v>12228.06</v>
      </c>
      <c r="N88" s="16">
        <f>ROUND(M88*(1+'Interest rate projection'!AM90/Var_freq)+IF(N$5="Mortgage Starts",0,Deposit_mon),2)</f>
        <v>13273</v>
      </c>
      <c r="O88" s="16">
        <f>ROUND(N88*(1+'Interest rate projection'!AN90/Var_freq)+IF(O$5="Mortgage Starts",0,Deposit_mon),2)</f>
        <v>14321.78</v>
      </c>
      <c r="P88" s="16">
        <f>ROUND(O88*(1+'Interest rate projection'!AO90/Var_freq)+IF(P$5="Mortgage Starts",0,Deposit_mon),2)</f>
        <v>15374.41</v>
      </c>
      <c r="Q88" s="16">
        <f>ROUND(P88*(1+'Interest rate projection'!AP90/Var_freq)+IF(Q$5="Mortgage Starts",0,Deposit_mon),2)</f>
        <v>16430.91</v>
      </c>
      <c r="R88" s="16">
        <f>ROUND(Q88*(1+'Interest rate projection'!AQ90/Var_freq)+IF(R$5="Mortgage Starts",0,Deposit_mon),2)</f>
        <v>17491.29</v>
      </c>
      <c r="S88" s="16">
        <f>ROUND(R88*(1+'Interest rate projection'!AR90/Var_freq)+IF(S$5="Mortgage Starts",0,Deposit_mon),2)</f>
        <v>18555.57</v>
      </c>
      <c r="T88" s="16">
        <f>ROUND(S88*(1+'Interest rate projection'!AS90/Var_freq)+IF(T$5="Mortgage Starts",0,Deposit_mon),2)</f>
        <v>19623.759999999998</v>
      </c>
      <c r="U88" s="16">
        <f>ROUND(T88*(1+'Interest rate projection'!AT90/Var_freq)+IF(U$5="Mortgage Starts",0,Deposit_mon),2)</f>
        <v>20695.87</v>
      </c>
      <c r="V88" s="16">
        <f>ROUND(U88*(1+'Interest rate projection'!AU90/Var_freq)+IF(V$5="Mortgage Starts",0,Deposit_mon),2)</f>
        <v>21771.919999999998</v>
      </c>
      <c r="W88" s="16">
        <f>ROUND(V88*(1+'Interest rate projection'!AV90/Var_freq)+IF(W$5="Mortgage Starts",0,Deposit_mon),2)</f>
        <v>22851.93</v>
      </c>
      <c r="X88" s="16">
        <f>ROUND(W88*(1+'Interest rate projection'!AW90/Var_freq)+IF(X$5="Mortgage Starts",0,Deposit_mon),2)</f>
        <v>23935.91</v>
      </c>
      <c r="Y88" s="16">
        <f>ROUND(X88*(1+'Interest rate projection'!AX90/Var_freq)+IF(Y$5="Mortgage Starts",0,Deposit_mon),2)</f>
        <v>25023.87</v>
      </c>
      <c r="Z88" s="57">
        <f>ROUND(Y88*(1+'Interest rate projection'!AY90/Var_freq)+IF(Z$5="Mortgage Starts",0,Deposit_mon),2)</f>
        <v>25115.83</v>
      </c>
      <c r="AA88" s="12"/>
      <c r="AB88" s="38">
        <f>'Interest rate projection'!Z90</f>
        <v>4.5000000000000005E-2</v>
      </c>
      <c r="AC88" s="38">
        <f>'Interest rate projection'!AZ90</f>
        <v>4.4097712805242217E-2</v>
      </c>
      <c r="AD88" s="59" t="str">
        <f t="shared" si="12"/>
        <v>OK</v>
      </c>
      <c r="AE88" s="39">
        <f t="shared" si="13"/>
        <v>15.131610255367837</v>
      </c>
      <c r="AF88" s="10"/>
      <c r="AG88" s="73">
        <f t="shared" si="15"/>
        <v>25115.83</v>
      </c>
      <c r="AH88" s="73">
        <f t="shared" si="16"/>
        <v>174884.16999999998</v>
      </c>
      <c r="AI88" s="74">
        <f t="shared" si="14"/>
        <v>963.13</v>
      </c>
      <c r="AJ88" s="9"/>
      <c r="AK88" s="73">
        <f>'Fixed rate projection'!$AE$3-('Variable rate projection'!AI88*Product_term*Var_freq)</f>
        <v>14130</v>
      </c>
      <c r="AM88" s="14"/>
      <c r="AN88" s="10"/>
      <c r="AO88" s="11"/>
      <c r="AP88" s="11"/>
      <c r="AQ88" s="11"/>
      <c r="AR88" s="12"/>
      <c r="AS88" s="12"/>
      <c r="AT88" s="13"/>
      <c r="AV88" s="14"/>
      <c r="AW88" s="10"/>
      <c r="AX88" s="11"/>
      <c r="AY88" s="11"/>
      <c r="AZ88" s="11"/>
      <c r="BA88" s="12"/>
      <c r="BB88" s="12"/>
      <c r="BC88" s="13"/>
      <c r="BE88" s="14"/>
      <c r="BF88" s="10"/>
      <c r="BG88" s="11"/>
      <c r="BH88" s="11"/>
      <c r="BI88" s="11"/>
      <c r="BJ88" s="12"/>
      <c r="BK88" s="12"/>
      <c r="BL88" s="13"/>
      <c r="BN88" s="14"/>
      <c r="BO88" s="10"/>
      <c r="BP88" s="11"/>
      <c r="BQ88" s="11"/>
      <c r="BR88" s="11"/>
      <c r="BS88" s="12"/>
      <c r="BT88" s="12"/>
      <c r="BU88" s="13"/>
      <c r="BW88" s="14"/>
      <c r="BX88" s="10"/>
      <c r="BY88" s="11"/>
      <c r="BZ88" s="11"/>
      <c r="CA88" s="11"/>
      <c r="CB88" s="12"/>
      <c r="CC88" s="12"/>
      <c r="CD88" s="13"/>
      <c r="CF88" s="14"/>
      <c r="CG88" s="10"/>
      <c r="CH88" s="11"/>
      <c r="CI88" s="11"/>
      <c r="CJ88" s="11"/>
      <c r="CK88" s="12"/>
      <c r="CL88" s="12"/>
      <c r="CM88" s="13"/>
      <c r="CO88" s="13"/>
    </row>
    <row r="89" spans="1:93" x14ac:dyDescent="0.35">
      <c r="A89" s="5">
        <v>84</v>
      </c>
      <c r="B89" s="57">
        <f t="shared" si="11"/>
        <v>1000</v>
      </c>
      <c r="C89" s="16">
        <f>ROUND(B89*(1+'Interest rate projection'!AB91/Var_freq)+IF(C$5="Mortgage Starts",0,Deposit_mon),2)</f>
        <v>2003.67</v>
      </c>
      <c r="D89" s="16">
        <f>ROUND(C89*(1+'Interest rate projection'!AC91/Var_freq)+IF(D$5="Mortgage Starts",0,Deposit_mon),2)</f>
        <v>3011.03</v>
      </c>
      <c r="E89" s="16">
        <f>ROUND(D89*(1+'Interest rate projection'!AD91/Var_freq)+IF(E$5="Mortgage Starts",0,Deposit_mon),2)</f>
        <v>4022.09</v>
      </c>
      <c r="F89" s="16">
        <f>ROUND(E89*(1+'Interest rate projection'!AE91/Var_freq)+IF(F$5="Mortgage Starts",0,Deposit_mon),2)</f>
        <v>5036.87</v>
      </c>
      <c r="G89" s="16">
        <f>ROUND(F89*(1+'Interest rate projection'!AF91/Var_freq)+IF(G$5="Mortgage Starts",0,Deposit_mon),2)</f>
        <v>6055.38</v>
      </c>
      <c r="H89" s="16">
        <f>ROUND(G89*(1+'Interest rate projection'!AG91/Var_freq)+IF(H$5="Mortgage Starts",0,Deposit_mon),2)</f>
        <v>7077.63</v>
      </c>
      <c r="I89" s="16">
        <f>ROUND(H89*(1+'Interest rate projection'!AH91/Var_freq)+IF(I$5="Mortgage Starts",0,Deposit_mon),2)</f>
        <v>8103.64</v>
      </c>
      <c r="J89" s="16">
        <f>ROUND(I89*(1+'Interest rate projection'!AI91/Var_freq)+IF(J$5="Mortgage Starts",0,Deposit_mon),2)</f>
        <v>9133.42</v>
      </c>
      <c r="K89" s="16">
        <f>ROUND(J89*(1+'Interest rate projection'!AJ91/Var_freq)+IF(K$5="Mortgage Starts",0,Deposit_mon),2)</f>
        <v>10166.98</v>
      </c>
      <c r="L89" s="16">
        <f>ROUND(K89*(1+'Interest rate projection'!AK91/Var_freq)+IF(L$5="Mortgage Starts",0,Deposit_mon),2)</f>
        <v>11204.34</v>
      </c>
      <c r="M89" s="16">
        <f>ROUND(L89*(1+'Interest rate projection'!AL91/Var_freq)+IF(M$5="Mortgage Starts",0,Deposit_mon),2)</f>
        <v>12245.51</v>
      </c>
      <c r="N89" s="16">
        <f>ROUND(M89*(1+'Interest rate projection'!AM91/Var_freq)+IF(N$5="Mortgage Starts",0,Deposit_mon),2)</f>
        <v>13290.51</v>
      </c>
      <c r="O89" s="16">
        <f>ROUND(N89*(1+'Interest rate projection'!AN91/Var_freq)+IF(O$5="Mortgage Starts",0,Deposit_mon),2)</f>
        <v>14339.35</v>
      </c>
      <c r="P89" s="16">
        <f>ROUND(O89*(1+'Interest rate projection'!AO91/Var_freq)+IF(P$5="Mortgage Starts",0,Deposit_mon),2)</f>
        <v>15392.04</v>
      </c>
      <c r="Q89" s="16">
        <f>ROUND(P89*(1+'Interest rate projection'!AP91/Var_freq)+IF(Q$5="Mortgage Starts",0,Deposit_mon),2)</f>
        <v>16451.68</v>
      </c>
      <c r="R89" s="16">
        <f>ROUND(Q89*(1+'Interest rate projection'!AQ91/Var_freq)+IF(R$5="Mortgage Starts",0,Deposit_mon),2)</f>
        <v>17515.43</v>
      </c>
      <c r="S89" s="16">
        <f>ROUND(R89*(1+'Interest rate projection'!AR91/Var_freq)+IF(S$5="Mortgage Starts",0,Deposit_mon),2)</f>
        <v>18583.3</v>
      </c>
      <c r="T89" s="16">
        <f>ROUND(S89*(1+'Interest rate projection'!AS91/Var_freq)+IF(T$5="Mortgage Starts",0,Deposit_mon),2)</f>
        <v>19655.3</v>
      </c>
      <c r="U89" s="16">
        <f>ROUND(T89*(1+'Interest rate projection'!AT91/Var_freq)+IF(U$5="Mortgage Starts",0,Deposit_mon),2)</f>
        <v>20731.46</v>
      </c>
      <c r="V89" s="16">
        <f>ROUND(U89*(1+'Interest rate projection'!AU91/Var_freq)+IF(V$5="Mortgage Starts",0,Deposit_mon),2)</f>
        <v>21811.79</v>
      </c>
      <c r="W89" s="16">
        <f>ROUND(V89*(1+'Interest rate projection'!AV91/Var_freq)+IF(W$5="Mortgage Starts",0,Deposit_mon),2)</f>
        <v>22896.3</v>
      </c>
      <c r="X89" s="16">
        <f>ROUND(W89*(1+'Interest rate projection'!AW91/Var_freq)+IF(X$5="Mortgage Starts",0,Deposit_mon),2)</f>
        <v>23985.02</v>
      </c>
      <c r="Y89" s="16">
        <f>ROUND(X89*(1+'Interest rate projection'!AX91/Var_freq)+IF(Y$5="Mortgage Starts",0,Deposit_mon),2)</f>
        <v>25077.95</v>
      </c>
      <c r="Z89" s="57">
        <f>ROUND(Y89*(1+'Interest rate projection'!AY91/Var_freq)+IF(Z$5="Mortgage Starts",0,Deposit_mon),2)</f>
        <v>25175.119999999999</v>
      </c>
      <c r="AA89" s="12"/>
      <c r="AB89" s="38">
        <f>'Interest rate projection'!Z91</f>
        <v>4.7500000000000001E-2</v>
      </c>
      <c r="AC89" s="38">
        <f>'Interest rate projection'!AZ91</f>
        <v>4.6496219905550085E-2</v>
      </c>
      <c r="AD89" s="59" t="str">
        <f t="shared" si="12"/>
        <v>OK</v>
      </c>
      <c r="AE89" s="39">
        <f t="shared" si="13"/>
        <v>14.766012404082064</v>
      </c>
      <c r="AF89" s="10"/>
      <c r="AG89" s="73">
        <f t="shared" si="15"/>
        <v>25175.119999999999</v>
      </c>
      <c r="AH89" s="73">
        <f t="shared" si="16"/>
        <v>174824.88</v>
      </c>
      <c r="AI89" s="74">
        <f t="shared" si="14"/>
        <v>986.64</v>
      </c>
      <c r="AJ89" s="9"/>
      <c r="AK89" s="73">
        <f>'Fixed rate projection'!$AE$3-('Variable rate projection'!AI89*Product_term*Var_freq)</f>
        <v>7077</v>
      </c>
      <c r="AM89" s="14"/>
      <c r="AN89" s="10"/>
      <c r="AO89" s="11"/>
      <c r="AP89" s="11"/>
      <c r="AQ89" s="11"/>
      <c r="AR89" s="12"/>
      <c r="AS89" s="12"/>
      <c r="AT89" s="13"/>
      <c r="AV89" s="14"/>
      <c r="AW89" s="10"/>
      <c r="AX89" s="11"/>
      <c r="AY89" s="11"/>
      <c r="AZ89" s="11"/>
      <c r="BA89" s="12"/>
      <c r="BB89" s="12"/>
      <c r="BC89" s="13"/>
      <c r="BE89" s="14"/>
      <c r="BF89" s="10"/>
      <c r="BG89" s="11"/>
      <c r="BH89" s="11"/>
      <c r="BI89" s="11"/>
      <c r="BJ89" s="12"/>
      <c r="BK89" s="12"/>
      <c r="BL89" s="13"/>
      <c r="BN89" s="14"/>
      <c r="BO89" s="10"/>
      <c r="BP89" s="11"/>
      <c r="BQ89" s="11"/>
      <c r="BR89" s="11"/>
      <c r="BS89" s="12"/>
      <c r="BT89" s="12"/>
      <c r="BU89" s="13"/>
      <c r="BW89" s="14"/>
      <c r="BX89" s="10"/>
      <c r="BY89" s="11"/>
      <c r="BZ89" s="11"/>
      <c r="CA89" s="11"/>
      <c r="CB89" s="12"/>
      <c r="CC89" s="12"/>
      <c r="CD89" s="13"/>
      <c r="CF89" s="14"/>
      <c r="CG89" s="10"/>
      <c r="CH89" s="11"/>
      <c r="CI89" s="11"/>
      <c r="CJ89" s="11"/>
      <c r="CK89" s="12"/>
      <c r="CL89" s="12"/>
      <c r="CM89" s="13"/>
      <c r="CO89" s="13"/>
    </row>
    <row r="90" spans="1:93" x14ac:dyDescent="0.35">
      <c r="A90" s="27">
        <v>85</v>
      </c>
      <c r="B90" s="57">
        <f t="shared" si="11"/>
        <v>1000</v>
      </c>
      <c r="C90" s="16">
        <f>ROUND(B90*(1+'Interest rate projection'!AB92/Var_freq)+IF(C$5="Mortgage Starts",0,Deposit_mon),2)</f>
        <v>2003.67</v>
      </c>
      <c r="D90" s="16">
        <f>ROUND(C90*(1+'Interest rate projection'!AC92/Var_freq)+IF(D$5="Mortgage Starts",0,Deposit_mon),2)</f>
        <v>3011.03</v>
      </c>
      <c r="E90" s="16">
        <f>ROUND(D90*(1+'Interest rate projection'!AD92/Var_freq)+IF(E$5="Mortgage Starts",0,Deposit_mon),2)</f>
        <v>4022.09</v>
      </c>
      <c r="F90" s="16">
        <f>ROUND(E90*(1+'Interest rate projection'!AE92/Var_freq)+IF(F$5="Mortgage Starts",0,Deposit_mon),2)</f>
        <v>5036.87</v>
      </c>
      <c r="G90" s="16">
        <f>ROUND(F90*(1+'Interest rate projection'!AF92/Var_freq)+IF(G$5="Mortgage Starts",0,Deposit_mon),2)</f>
        <v>6056.39</v>
      </c>
      <c r="H90" s="16">
        <f>ROUND(G90*(1+'Interest rate projection'!AG92/Var_freq)+IF(H$5="Mortgage Starts",0,Deposit_mon),2)</f>
        <v>7079.86</v>
      </c>
      <c r="I90" s="16">
        <f>ROUND(H90*(1+'Interest rate projection'!AH92/Var_freq)+IF(I$5="Mortgage Starts",0,Deposit_mon),2)</f>
        <v>8107.29</v>
      </c>
      <c r="J90" s="16">
        <f>ROUND(I90*(1+'Interest rate projection'!AI92/Var_freq)+IF(J$5="Mortgage Starts",0,Deposit_mon),2)</f>
        <v>9138.7000000000007</v>
      </c>
      <c r="K90" s="16">
        <f>ROUND(J90*(1+'Interest rate projection'!AJ92/Var_freq)+IF(K$5="Mortgage Starts",0,Deposit_mon),2)</f>
        <v>10174.11</v>
      </c>
      <c r="L90" s="16">
        <f>ROUND(K90*(1+'Interest rate projection'!AK92/Var_freq)+IF(L$5="Mortgage Starts",0,Deposit_mon),2)</f>
        <v>11213.53</v>
      </c>
      <c r="M90" s="16">
        <f>ROUND(L90*(1+'Interest rate projection'!AL92/Var_freq)+IF(M$5="Mortgage Starts",0,Deposit_mon),2)</f>
        <v>12256.98</v>
      </c>
      <c r="N90" s="16">
        <f>ROUND(M90*(1+'Interest rate projection'!AM92/Var_freq)+IF(N$5="Mortgage Starts",0,Deposit_mon),2)</f>
        <v>13304.47</v>
      </c>
      <c r="O90" s="16">
        <f>ROUND(N90*(1+'Interest rate projection'!AN92/Var_freq)+IF(O$5="Mortgage Starts",0,Deposit_mon),2)</f>
        <v>14356.02</v>
      </c>
      <c r="P90" s="16">
        <f>ROUND(O90*(1+'Interest rate projection'!AO92/Var_freq)+IF(P$5="Mortgage Starts",0,Deposit_mon),2)</f>
        <v>15411.65</v>
      </c>
      <c r="Q90" s="16">
        <f>ROUND(P90*(1+'Interest rate projection'!AP92/Var_freq)+IF(Q$5="Mortgage Starts",0,Deposit_mon),2)</f>
        <v>16471.37</v>
      </c>
      <c r="R90" s="16">
        <f>ROUND(Q90*(1+'Interest rate projection'!AQ92/Var_freq)+IF(R$5="Mortgage Starts",0,Deposit_mon),2)</f>
        <v>17535.189999999999</v>
      </c>
      <c r="S90" s="16">
        <f>ROUND(R90*(1+'Interest rate projection'!AR92/Var_freq)+IF(S$5="Mortgage Starts",0,Deposit_mon),2)</f>
        <v>18603.13</v>
      </c>
      <c r="T90" s="16">
        <f>ROUND(S90*(1+'Interest rate projection'!AS92/Var_freq)+IF(T$5="Mortgage Starts",0,Deposit_mon),2)</f>
        <v>19675.21</v>
      </c>
      <c r="U90" s="16">
        <f>ROUND(T90*(1+'Interest rate projection'!AT92/Var_freq)+IF(U$5="Mortgage Starts",0,Deposit_mon),2)</f>
        <v>20751.45</v>
      </c>
      <c r="V90" s="16">
        <f>ROUND(U90*(1+'Interest rate projection'!AU92/Var_freq)+IF(V$5="Mortgage Starts",0,Deposit_mon),2)</f>
        <v>21831.86</v>
      </c>
      <c r="W90" s="16">
        <f>ROUND(V90*(1+'Interest rate projection'!AV92/Var_freq)+IF(W$5="Mortgage Starts",0,Deposit_mon),2)</f>
        <v>22916.45</v>
      </c>
      <c r="X90" s="16">
        <f>ROUND(W90*(1+'Interest rate projection'!AW92/Var_freq)+IF(X$5="Mortgage Starts",0,Deposit_mon),2)</f>
        <v>24005.24</v>
      </c>
      <c r="Y90" s="16">
        <f>ROUND(X90*(1+'Interest rate projection'!AX92/Var_freq)+IF(Y$5="Mortgage Starts",0,Deposit_mon),2)</f>
        <v>25098.25</v>
      </c>
      <c r="Z90" s="57">
        <f>ROUND(Y90*(1+'Interest rate projection'!AY92/Var_freq)+IF(Z$5="Mortgage Starts",0,Deposit_mon),2)</f>
        <v>25195.5</v>
      </c>
      <c r="AA90" s="12"/>
      <c r="AB90" s="38">
        <f>'Interest rate projection'!Z92</f>
        <v>4.7500000000000001E-2</v>
      </c>
      <c r="AC90" s="38">
        <f>'Interest rate projection'!AZ92</f>
        <v>4.6496219905550085E-2</v>
      </c>
      <c r="AD90" s="59" t="str">
        <f t="shared" si="12"/>
        <v>OK</v>
      </c>
      <c r="AE90" s="39">
        <f t="shared" si="13"/>
        <v>14.766012404082064</v>
      </c>
      <c r="AF90" s="10"/>
      <c r="AG90" s="73">
        <f t="shared" si="15"/>
        <v>25195.5</v>
      </c>
      <c r="AH90" s="73">
        <f t="shared" si="16"/>
        <v>174804.5</v>
      </c>
      <c r="AI90" s="74">
        <f t="shared" si="14"/>
        <v>986.53</v>
      </c>
      <c r="AJ90" s="9"/>
      <c r="AK90" s="73">
        <f>'Fixed rate projection'!$AE$3-('Variable rate projection'!AI90*Product_term*Var_freq)</f>
        <v>7110</v>
      </c>
      <c r="AM90" s="14"/>
      <c r="AN90" s="10"/>
      <c r="AO90" s="11"/>
      <c r="AP90" s="11"/>
      <c r="AQ90" s="11"/>
      <c r="AR90" s="12"/>
      <c r="AS90" s="12"/>
      <c r="AT90" s="13"/>
      <c r="AV90" s="14"/>
      <c r="AW90" s="10"/>
      <c r="AX90" s="11"/>
      <c r="AY90" s="11"/>
      <c r="AZ90" s="11"/>
      <c r="BA90" s="12"/>
      <c r="BB90" s="12"/>
      <c r="BC90" s="13"/>
      <c r="BE90" s="14"/>
      <c r="BF90" s="10"/>
      <c r="BG90" s="11"/>
      <c r="BH90" s="11"/>
      <c r="BI90" s="11"/>
      <c r="BJ90" s="12"/>
      <c r="BK90" s="12"/>
      <c r="BL90" s="13"/>
      <c r="BN90" s="14"/>
      <c r="BO90" s="10"/>
      <c r="BP90" s="11"/>
      <c r="BQ90" s="11"/>
      <c r="BR90" s="11"/>
      <c r="BS90" s="12"/>
      <c r="BT90" s="12"/>
      <c r="BU90" s="13"/>
      <c r="BW90" s="14"/>
      <c r="BX90" s="10"/>
      <c r="BY90" s="11"/>
      <c r="BZ90" s="11"/>
      <c r="CA90" s="11"/>
      <c r="CB90" s="12"/>
      <c r="CC90" s="12"/>
      <c r="CD90" s="13"/>
      <c r="CF90" s="14"/>
      <c r="CG90" s="10"/>
      <c r="CH90" s="11"/>
      <c r="CI90" s="11"/>
      <c r="CJ90" s="11"/>
      <c r="CK90" s="12"/>
      <c r="CL90" s="12"/>
      <c r="CM90" s="13"/>
      <c r="CO90" s="13"/>
    </row>
    <row r="91" spans="1:93" x14ac:dyDescent="0.35">
      <c r="A91" s="5">
        <v>86</v>
      </c>
      <c r="B91" s="57">
        <f t="shared" si="11"/>
        <v>1000</v>
      </c>
      <c r="C91" s="16">
        <f>ROUND(B91*(1+'Interest rate projection'!AB93/Var_freq)+IF(C$5="Mortgage Starts",0,Deposit_mon),2)</f>
        <v>2003.67</v>
      </c>
      <c r="D91" s="16">
        <f>ROUND(C91*(1+'Interest rate projection'!AC93/Var_freq)+IF(D$5="Mortgage Starts",0,Deposit_mon),2)</f>
        <v>3011.03</v>
      </c>
      <c r="E91" s="16">
        <f>ROUND(D91*(1+'Interest rate projection'!AD93/Var_freq)+IF(E$5="Mortgage Starts",0,Deposit_mon),2)</f>
        <v>4023.3</v>
      </c>
      <c r="F91" s="16">
        <f>ROUND(E91*(1+'Interest rate projection'!AE93/Var_freq)+IF(F$5="Mortgage Starts",0,Deposit_mon),2)</f>
        <v>5039.6899999999996</v>
      </c>
      <c r="G91" s="16">
        <f>ROUND(F91*(1+'Interest rate projection'!AF93/Var_freq)+IF(G$5="Mortgage Starts",0,Deposit_mon),2)</f>
        <v>6058.21</v>
      </c>
      <c r="H91" s="16">
        <f>ROUND(G91*(1+'Interest rate projection'!AG93/Var_freq)+IF(H$5="Mortgage Starts",0,Deposit_mon),2)</f>
        <v>7080.47</v>
      </c>
      <c r="I91" s="16">
        <f>ROUND(H91*(1+'Interest rate projection'!AH93/Var_freq)+IF(I$5="Mortgage Starts",0,Deposit_mon),2)</f>
        <v>8106.49</v>
      </c>
      <c r="J91" s="16">
        <f>ROUND(I91*(1+'Interest rate projection'!AI93/Var_freq)+IF(J$5="Mortgage Starts",0,Deposit_mon),2)</f>
        <v>9136.2800000000007</v>
      </c>
      <c r="K91" s="16">
        <f>ROUND(J91*(1+'Interest rate projection'!AJ93/Var_freq)+IF(K$5="Mortgage Starts",0,Deposit_mon),2)</f>
        <v>10169.85</v>
      </c>
      <c r="L91" s="16">
        <f>ROUND(K91*(1+'Interest rate projection'!AK93/Var_freq)+IF(L$5="Mortgage Starts",0,Deposit_mon),2)</f>
        <v>11207.22</v>
      </c>
      <c r="M91" s="16">
        <f>ROUND(L91*(1+'Interest rate projection'!AL93/Var_freq)+IF(M$5="Mortgage Starts",0,Deposit_mon),2)</f>
        <v>12248.4</v>
      </c>
      <c r="N91" s="16">
        <f>ROUND(M91*(1+'Interest rate projection'!AM93/Var_freq)+IF(N$5="Mortgage Starts",0,Deposit_mon),2)</f>
        <v>13293.41</v>
      </c>
      <c r="O91" s="16">
        <f>ROUND(N91*(1+'Interest rate projection'!AN93/Var_freq)+IF(O$5="Mortgage Starts",0,Deposit_mon),2)</f>
        <v>14342.26</v>
      </c>
      <c r="P91" s="16">
        <f>ROUND(O91*(1+'Interest rate projection'!AO93/Var_freq)+IF(P$5="Mortgage Starts",0,Deposit_mon),2)</f>
        <v>15394.97</v>
      </c>
      <c r="Q91" s="16">
        <f>ROUND(P91*(1+'Interest rate projection'!AP93/Var_freq)+IF(Q$5="Mortgage Starts",0,Deposit_mon),2)</f>
        <v>16451.54</v>
      </c>
      <c r="R91" s="16">
        <f>ROUND(Q91*(1+'Interest rate projection'!AQ93/Var_freq)+IF(R$5="Mortgage Starts",0,Deposit_mon),2)</f>
        <v>17512</v>
      </c>
      <c r="S91" s="16">
        <f>ROUND(R91*(1+'Interest rate projection'!AR93/Var_freq)+IF(S$5="Mortgage Starts",0,Deposit_mon),2)</f>
        <v>18576.349999999999</v>
      </c>
      <c r="T91" s="16">
        <f>ROUND(S91*(1+'Interest rate projection'!AS93/Var_freq)+IF(T$5="Mortgage Starts",0,Deposit_mon),2)</f>
        <v>19644.61</v>
      </c>
      <c r="U91" s="16">
        <f>ROUND(T91*(1+'Interest rate projection'!AT93/Var_freq)+IF(U$5="Mortgage Starts",0,Deposit_mon),2)</f>
        <v>20716.8</v>
      </c>
      <c r="V91" s="16">
        <f>ROUND(U91*(1+'Interest rate projection'!AU93/Var_freq)+IF(V$5="Mortgage Starts",0,Deposit_mon),2)</f>
        <v>21792.93</v>
      </c>
      <c r="W91" s="16">
        <f>ROUND(V91*(1+'Interest rate projection'!AV93/Var_freq)+IF(W$5="Mortgage Starts",0,Deposit_mon),2)</f>
        <v>22873.01</v>
      </c>
      <c r="X91" s="16">
        <f>ROUND(W91*(1+'Interest rate projection'!AW93/Var_freq)+IF(X$5="Mortgage Starts",0,Deposit_mon),2)</f>
        <v>23957.06</v>
      </c>
      <c r="Y91" s="16">
        <f>ROUND(X91*(1+'Interest rate projection'!AX93/Var_freq)+IF(Y$5="Mortgage Starts",0,Deposit_mon),2)</f>
        <v>25045.1</v>
      </c>
      <c r="Z91" s="57">
        <f>ROUND(Y91*(1+'Interest rate projection'!AY93/Var_freq)+IF(Z$5="Mortgage Starts",0,Deposit_mon),2)</f>
        <v>25137.14</v>
      </c>
      <c r="AA91" s="12"/>
      <c r="AB91" s="38">
        <f>'Interest rate projection'!Z93</f>
        <v>4.4999999999999998E-2</v>
      </c>
      <c r="AC91" s="38">
        <f>'Interest rate projection'!AZ93</f>
        <v>4.4097712805242217E-2</v>
      </c>
      <c r="AD91" s="59" t="str">
        <f t="shared" si="12"/>
        <v>OK</v>
      </c>
      <c r="AE91" s="39">
        <f t="shared" si="13"/>
        <v>15.131610255367837</v>
      </c>
      <c r="AF91" s="10"/>
      <c r="AG91" s="73">
        <f t="shared" si="15"/>
        <v>25137.14</v>
      </c>
      <c r="AH91" s="73">
        <f t="shared" si="16"/>
        <v>174862.86</v>
      </c>
      <c r="AI91" s="74">
        <f t="shared" si="14"/>
        <v>963.01</v>
      </c>
      <c r="AJ91" s="9"/>
      <c r="AK91" s="73">
        <f>'Fixed rate projection'!$AE$3-('Variable rate projection'!AI91*Product_term*Var_freq)</f>
        <v>14166</v>
      </c>
      <c r="AM91" s="14"/>
      <c r="AN91" s="10"/>
      <c r="AO91" s="11"/>
      <c r="AP91" s="11"/>
      <c r="AQ91" s="11"/>
      <c r="AR91" s="12"/>
      <c r="AS91" s="12"/>
      <c r="AT91" s="13"/>
      <c r="AV91" s="14"/>
      <c r="AW91" s="10"/>
      <c r="AX91" s="11"/>
      <c r="AY91" s="11"/>
      <c r="AZ91" s="11"/>
      <c r="BA91" s="12"/>
      <c r="BB91" s="12"/>
      <c r="BC91" s="13"/>
      <c r="BE91" s="14"/>
      <c r="BF91" s="10"/>
      <c r="BG91" s="11"/>
      <c r="BH91" s="11"/>
      <c r="BI91" s="11"/>
      <c r="BJ91" s="12"/>
      <c r="BK91" s="12"/>
      <c r="BL91" s="13"/>
      <c r="BN91" s="14"/>
      <c r="BO91" s="10"/>
      <c r="BP91" s="11"/>
      <c r="BQ91" s="11"/>
      <c r="BR91" s="11"/>
      <c r="BS91" s="12"/>
      <c r="BT91" s="12"/>
      <c r="BU91" s="13"/>
      <c r="BW91" s="14"/>
      <c r="BX91" s="10"/>
      <c r="BY91" s="11"/>
      <c r="BZ91" s="11"/>
      <c r="CA91" s="11"/>
      <c r="CB91" s="12"/>
      <c r="CC91" s="12"/>
      <c r="CD91" s="13"/>
      <c r="CF91" s="14"/>
      <c r="CG91" s="10"/>
      <c r="CH91" s="11"/>
      <c r="CI91" s="11"/>
      <c r="CJ91" s="11"/>
      <c r="CK91" s="12"/>
      <c r="CL91" s="12"/>
      <c r="CM91" s="13"/>
      <c r="CO91" s="13"/>
    </row>
    <row r="92" spans="1:93" x14ac:dyDescent="0.35">
      <c r="A92" s="27">
        <v>87</v>
      </c>
      <c r="B92" s="57">
        <f t="shared" si="11"/>
        <v>1000</v>
      </c>
      <c r="C92" s="16">
        <f>ROUND(B92*(1+'Interest rate projection'!AB94/Var_freq)+IF(C$5="Mortgage Starts",0,Deposit_mon),2)</f>
        <v>2003.67</v>
      </c>
      <c r="D92" s="16">
        <f>ROUND(C92*(1+'Interest rate projection'!AC94/Var_freq)+IF(D$5="Mortgage Starts",0,Deposit_mon),2)</f>
        <v>3011.03</v>
      </c>
      <c r="E92" s="16">
        <f>ROUND(D92*(1+'Interest rate projection'!AD94/Var_freq)+IF(E$5="Mortgage Starts",0,Deposit_mon),2)</f>
        <v>4022.09</v>
      </c>
      <c r="F92" s="16">
        <f>ROUND(E92*(1+'Interest rate projection'!AE94/Var_freq)+IF(F$5="Mortgage Starts",0,Deposit_mon),2)</f>
        <v>5036.87</v>
      </c>
      <c r="G92" s="16">
        <f>ROUND(F92*(1+'Interest rate projection'!AF94/Var_freq)+IF(G$5="Mortgage Starts",0,Deposit_mon),2)</f>
        <v>6055.38</v>
      </c>
      <c r="H92" s="16">
        <f>ROUND(G92*(1+'Interest rate projection'!AG94/Var_freq)+IF(H$5="Mortgage Starts",0,Deposit_mon),2)</f>
        <v>7077.63</v>
      </c>
      <c r="I92" s="16">
        <f>ROUND(H92*(1+'Interest rate projection'!AH94/Var_freq)+IF(I$5="Mortgage Starts",0,Deposit_mon),2)</f>
        <v>8103.64</v>
      </c>
      <c r="J92" s="16">
        <f>ROUND(I92*(1+'Interest rate projection'!AI94/Var_freq)+IF(J$5="Mortgage Starts",0,Deposit_mon),2)</f>
        <v>9133.42</v>
      </c>
      <c r="K92" s="16">
        <f>ROUND(J92*(1+'Interest rate projection'!AJ94/Var_freq)+IF(K$5="Mortgage Starts",0,Deposit_mon),2)</f>
        <v>10166.98</v>
      </c>
      <c r="L92" s="16">
        <f>ROUND(K92*(1+'Interest rate projection'!AK94/Var_freq)+IF(L$5="Mortgage Starts",0,Deposit_mon),2)</f>
        <v>11204.34</v>
      </c>
      <c r="M92" s="16">
        <f>ROUND(L92*(1+'Interest rate projection'!AL94/Var_freq)+IF(M$5="Mortgage Starts",0,Deposit_mon),2)</f>
        <v>12243.27</v>
      </c>
      <c r="N92" s="16">
        <f>ROUND(M92*(1+'Interest rate projection'!AM94/Var_freq)+IF(N$5="Mortgage Starts",0,Deposit_mon),2)</f>
        <v>13285.81</v>
      </c>
      <c r="O92" s="16">
        <f>ROUND(N92*(1+'Interest rate projection'!AN94/Var_freq)+IF(O$5="Mortgage Starts",0,Deposit_mon),2)</f>
        <v>14337.29</v>
      </c>
      <c r="P92" s="16">
        <f>ROUND(O92*(1+'Interest rate projection'!AO94/Var_freq)+IF(P$5="Mortgage Starts",0,Deposit_mon),2)</f>
        <v>15392.84</v>
      </c>
      <c r="Q92" s="16">
        <f>ROUND(P92*(1+'Interest rate projection'!AP94/Var_freq)+IF(Q$5="Mortgage Starts",0,Deposit_mon),2)</f>
        <v>16452.48</v>
      </c>
      <c r="R92" s="16">
        <f>ROUND(Q92*(1+'Interest rate projection'!AQ94/Var_freq)+IF(R$5="Mortgage Starts",0,Deposit_mon),2)</f>
        <v>17519.509999999998</v>
      </c>
      <c r="S92" s="16">
        <f>ROUND(R92*(1+'Interest rate projection'!AR94/Var_freq)+IF(S$5="Mortgage Starts",0,Deposit_mon),2)</f>
        <v>18590.89</v>
      </c>
      <c r="T92" s="16">
        <f>ROUND(S92*(1+'Interest rate projection'!AS94/Var_freq)+IF(T$5="Mortgage Starts",0,Deposit_mon),2)</f>
        <v>19666.63</v>
      </c>
      <c r="U92" s="16">
        <f>ROUND(T92*(1+'Interest rate projection'!AT94/Var_freq)+IF(U$5="Mortgage Starts",0,Deposit_mon),2)</f>
        <v>20746.75</v>
      </c>
      <c r="V92" s="16">
        <f>ROUND(U92*(1+'Interest rate projection'!AU94/Var_freq)+IF(V$5="Mortgage Starts",0,Deposit_mon),2)</f>
        <v>21831.27</v>
      </c>
      <c r="W92" s="16">
        <f>ROUND(V92*(1+'Interest rate projection'!AV94/Var_freq)+IF(W$5="Mortgage Starts",0,Deposit_mon),2)</f>
        <v>22911.5</v>
      </c>
      <c r="X92" s="16">
        <f>ROUND(W92*(1+'Interest rate projection'!AW94/Var_freq)+IF(X$5="Mortgage Starts",0,Deposit_mon),2)</f>
        <v>23995.7</v>
      </c>
      <c r="Y92" s="16">
        <f>ROUND(X92*(1+'Interest rate projection'!AX94/Var_freq)+IF(Y$5="Mortgage Starts",0,Deposit_mon),2)</f>
        <v>25083.88</v>
      </c>
      <c r="Z92" s="57">
        <f>ROUND(Y92*(1+'Interest rate projection'!AY94/Var_freq)+IF(Z$5="Mortgage Starts",0,Deposit_mon),2)</f>
        <v>25176.06</v>
      </c>
      <c r="AA92" s="12"/>
      <c r="AB92" s="38">
        <f>'Interest rate projection'!Z94</f>
        <v>4.4999999999999998E-2</v>
      </c>
      <c r="AC92" s="38">
        <f>'Interest rate projection'!AZ94</f>
        <v>4.4097712805242217E-2</v>
      </c>
      <c r="AD92" s="59" t="str">
        <f t="shared" si="12"/>
        <v>OK</v>
      </c>
      <c r="AE92" s="39">
        <f t="shared" si="13"/>
        <v>15.131610255367837</v>
      </c>
      <c r="AF92" s="10"/>
      <c r="AG92" s="73">
        <f t="shared" si="15"/>
        <v>25176.06</v>
      </c>
      <c r="AH92" s="73">
        <f t="shared" si="16"/>
        <v>174823.94</v>
      </c>
      <c r="AI92" s="74">
        <f t="shared" si="14"/>
        <v>962.8</v>
      </c>
      <c r="AJ92" s="9"/>
      <c r="AK92" s="73">
        <f>'Fixed rate projection'!$AE$3-('Variable rate projection'!AI92*Product_term*Var_freq)</f>
        <v>14229</v>
      </c>
      <c r="AM92" s="14"/>
      <c r="AN92" s="10"/>
      <c r="AO92" s="11"/>
      <c r="AP92" s="11"/>
      <c r="AQ92" s="11"/>
      <c r="AR92" s="12"/>
      <c r="AS92" s="12"/>
      <c r="AT92" s="13"/>
      <c r="AV92" s="14"/>
      <c r="AW92" s="10"/>
      <c r="AX92" s="11"/>
      <c r="AY92" s="11"/>
      <c r="AZ92" s="11"/>
      <c r="BA92" s="12"/>
      <c r="BB92" s="12"/>
      <c r="BC92" s="13"/>
      <c r="BE92" s="14"/>
      <c r="BF92" s="10"/>
      <c r="BG92" s="11"/>
      <c r="BH92" s="11"/>
      <c r="BI92" s="11"/>
      <c r="BJ92" s="12"/>
      <c r="BK92" s="12"/>
      <c r="BL92" s="13"/>
      <c r="BN92" s="14"/>
      <c r="BO92" s="10"/>
      <c r="BP92" s="11"/>
      <c r="BQ92" s="11"/>
      <c r="BR92" s="11"/>
      <c r="BS92" s="12"/>
      <c r="BT92" s="12"/>
      <c r="BU92" s="13"/>
      <c r="BW92" s="14"/>
      <c r="BX92" s="10"/>
      <c r="BY92" s="11"/>
      <c r="BZ92" s="11"/>
      <c r="CA92" s="11"/>
      <c r="CB92" s="12"/>
      <c r="CC92" s="12"/>
      <c r="CD92" s="13"/>
      <c r="CF92" s="14"/>
      <c r="CG92" s="10"/>
      <c r="CH92" s="11"/>
      <c r="CI92" s="11"/>
      <c r="CJ92" s="11"/>
      <c r="CK92" s="12"/>
      <c r="CL92" s="12"/>
      <c r="CM92" s="13"/>
      <c r="CO92" s="13"/>
    </row>
    <row r="93" spans="1:93" x14ac:dyDescent="0.35">
      <c r="A93" s="5">
        <v>88</v>
      </c>
      <c r="B93" s="57">
        <f t="shared" si="11"/>
        <v>1000</v>
      </c>
      <c r="C93" s="16">
        <f>ROUND(B93*(1+'Interest rate projection'!AB95/Var_freq)+IF(C$5="Mortgage Starts",0,Deposit_mon),2)</f>
        <v>2003.67</v>
      </c>
      <c r="D93" s="16">
        <f>ROUND(C93*(1+'Interest rate projection'!AC95/Var_freq)+IF(D$5="Mortgage Starts",0,Deposit_mon),2)</f>
        <v>3011.03</v>
      </c>
      <c r="E93" s="16">
        <f>ROUND(D93*(1+'Interest rate projection'!AD95/Var_freq)+IF(E$5="Mortgage Starts",0,Deposit_mon),2)</f>
        <v>4022.09</v>
      </c>
      <c r="F93" s="16">
        <f>ROUND(E93*(1+'Interest rate projection'!AE95/Var_freq)+IF(F$5="Mortgage Starts",0,Deposit_mon),2)</f>
        <v>5036.0600000000004</v>
      </c>
      <c r="G93" s="16">
        <f>ROUND(F93*(1+'Interest rate projection'!AF95/Var_freq)+IF(G$5="Mortgage Starts",0,Deposit_mon),2)</f>
        <v>6053.56</v>
      </c>
      <c r="H93" s="16">
        <f>ROUND(G93*(1+'Interest rate projection'!AG95/Var_freq)+IF(H$5="Mortgage Starts",0,Deposit_mon),2)</f>
        <v>7073.38</v>
      </c>
      <c r="I93" s="16">
        <f>ROUND(H93*(1+'Interest rate projection'!AH95/Var_freq)+IF(I$5="Mortgage Starts",0,Deposit_mon),2)</f>
        <v>8096.54</v>
      </c>
      <c r="J93" s="16">
        <f>ROUND(I93*(1+'Interest rate projection'!AI95/Var_freq)+IF(J$5="Mortgage Starts",0,Deposit_mon),2)</f>
        <v>9123.0499999999993</v>
      </c>
      <c r="K93" s="16">
        <f>ROUND(J93*(1+'Interest rate projection'!AJ95/Var_freq)+IF(K$5="Mortgage Starts",0,Deposit_mon),2)</f>
        <v>10152.92</v>
      </c>
      <c r="L93" s="16">
        <f>ROUND(K93*(1+'Interest rate projection'!AK95/Var_freq)+IF(L$5="Mortgage Starts",0,Deposit_mon),2)</f>
        <v>11186.16</v>
      </c>
      <c r="M93" s="16">
        <f>ROUND(L93*(1+'Interest rate projection'!AL95/Var_freq)+IF(M$5="Mortgage Starts",0,Deposit_mon),2)</f>
        <v>12222.78</v>
      </c>
      <c r="N93" s="16">
        <f>ROUND(M93*(1+'Interest rate projection'!AM95/Var_freq)+IF(N$5="Mortgage Starts",0,Deposit_mon),2)</f>
        <v>13262.79</v>
      </c>
      <c r="O93" s="16">
        <f>ROUND(N93*(1+'Interest rate projection'!AN95/Var_freq)+IF(O$5="Mortgage Starts",0,Deposit_mon),2)</f>
        <v>14306.21</v>
      </c>
      <c r="P93" s="16">
        <f>ROUND(O93*(1+'Interest rate projection'!AO95/Var_freq)+IF(P$5="Mortgage Starts",0,Deposit_mon),2)</f>
        <v>15353.04</v>
      </c>
      <c r="Q93" s="16">
        <f>ROUND(P93*(1+'Interest rate projection'!AP95/Var_freq)+IF(Q$5="Mortgage Starts",0,Deposit_mon),2)</f>
        <v>16403.3</v>
      </c>
      <c r="R93" s="16">
        <f>ROUND(Q93*(1+'Interest rate projection'!AQ95/Var_freq)+IF(R$5="Mortgage Starts",0,Deposit_mon),2)</f>
        <v>17457</v>
      </c>
      <c r="S93" s="16">
        <f>ROUND(R93*(1+'Interest rate projection'!AR95/Var_freq)+IF(S$5="Mortgage Starts",0,Deposit_mon),2)</f>
        <v>18521.150000000001</v>
      </c>
      <c r="T93" s="16">
        <f>ROUND(S93*(1+'Interest rate projection'!AS95/Var_freq)+IF(T$5="Mortgage Starts",0,Deposit_mon),2)</f>
        <v>19589.21</v>
      </c>
      <c r="U93" s="16">
        <f>ROUND(T93*(1+'Interest rate projection'!AT95/Var_freq)+IF(U$5="Mortgage Starts",0,Deposit_mon),2)</f>
        <v>20661.2</v>
      </c>
      <c r="V93" s="16">
        <f>ROUND(U93*(1+'Interest rate projection'!AU95/Var_freq)+IF(V$5="Mortgage Starts",0,Deposit_mon),2)</f>
        <v>21737.13</v>
      </c>
      <c r="W93" s="16">
        <f>ROUND(V93*(1+'Interest rate projection'!AV95/Var_freq)+IF(W$5="Mortgage Starts",0,Deposit_mon),2)</f>
        <v>22821.35</v>
      </c>
      <c r="X93" s="16">
        <f>ROUND(W93*(1+'Interest rate projection'!AW95/Var_freq)+IF(X$5="Mortgage Starts",0,Deposit_mon),2)</f>
        <v>23909.78</v>
      </c>
      <c r="Y93" s="16">
        <f>ROUND(X93*(1+'Interest rate projection'!AX95/Var_freq)+IF(Y$5="Mortgage Starts",0,Deposit_mon),2)</f>
        <v>25002.42</v>
      </c>
      <c r="Z93" s="57">
        <f>ROUND(Y93*(1+'Interest rate projection'!AY95/Var_freq)+IF(Z$5="Mortgage Starts",0,Deposit_mon),2)</f>
        <v>25099.3</v>
      </c>
      <c r="AA93" s="12"/>
      <c r="AB93" s="38">
        <f>'Interest rate projection'!Z95</f>
        <v>4.7499999999999994E-2</v>
      </c>
      <c r="AC93" s="38">
        <f>'Interest rate projection'!AZ95</f>
        <v>4.6496219905550085E-2</v>
      </c>
      <c r="AD93" s="59" t="str">
        <f t="shared" si="12"/>
        <v>OK</v>
      </c>
      <c r="AE93" s="39">
        <f t="shared" si="13"/>
        <v>14.766012404082064</v>
      </c>
      <c r="AF93" s="10"/>
      <c r="AG93" s="73">
        <f t="shared" si="15"/>
        <v>25099.3</v>
      </c>
      <c r="AH93" s="73">
        <f t="shared" si="16"/>
        <v>174900.7</v>
      </c>
      <c r="AI93" s="74">
        <f t="shared" si="14"/>
        <v>987.07</v>
      </c>
      <c r="AJ93" s="9"/>
      <c r="AK93" s="73">
        <f>'Fixed rate projection'!$AE$3-('Variable rate projection'!AI93*Product_term*Var_freq)</f>
        <v>6948</v>
      </c>
      <c r="AM93" s="14"/>
      <c r="AN93" s="10"/>
      <c r="AO93" s="11"/>
      <c r="AP93" s="11"/>
      <c r="AQ93" s="11"/>
      <c r="AR93" s="12"/>
      <c r="AS93" s="12"/>
      <c r="AT93" s="13"/>
      <c r="AV93" s="14"/>
      <c r="AW93" s="10"/>
      <c r="AX93" s="11"/>
      <c r="AY93" s="11"/>
      <c r="AZ93" s="11"/>
      <c r="BA93" s="12"/>
      <c r="BB93" s="12"/>
      <c r="BC93" s="13"/>
      <c r="BE93" s="14"/>
      <c r="BF93" s="10"/>
      <c r="BG93" s="11"/>
      <c r="BH93" s="11"/>
      <c r="BI93" s="11"/>
      <c r="BJ93" s="12"/>
      <c r="BK93" s="12"/>
      <c r="BL93" s="13"/>
      <c r="BN93" s="14"/>
      <c r="BO93" s="10"/>
      <c r="BP93" s="11"/>
      <c r="BQ93" s="11"/>
      <c r="BR93" s="11"/>
      <c r="BS93" s="12"/>
      <c r="BT93" s="12"/>
      <c r="BU93" s="13"/>
      <c r="BW93" s="14"/>
      <c r="BX93" s="10"/>
      <c r="BY93" s="11"/>
      <c r="BZ93" s="11"/>
      <c r="CA93" s="11"/>
      <c r="CB93" s="12"/>
      <c r="CC93" s="12"/>
      <c r="CD93" s="13"/>
      <c r="CF93" s="14"/>
      <c r="CG93" s="10"/>
      <c r="CH93" s="11"/>
      <c r="CI93" s="11"/>
      <c r="CJ93" s="11"/>
      <c r="CK93" s="12"/>
      <c r="CL93" s="12"/>
      <c r="CM93" s="13"/>
      <c r="CO93" s="13"/>
    </row>
    <row r="94" spans="1:93" x14ac:dyDescent="0.35">
      <c r="A94" s="27">
        <v>89</v>
      </c>
      <c r="B94" s="57">
        <f t="shared" si="11"/>
        <v>1000</v>
      </c>
      <c r="C94" s="16">
        <f>ROUND(B94*(1+'Interest rate projection'!AB96/Var_freq)+IF(C$5="Mortgage Starts",0,Deposit_mon),2)</f>
        <v>2003.67</v>
      </c>
      <c r="D94" s="16">
        <f>ROUND(C94*(1+'Interest rate projection'!AC96/Var_freq)+IF(D$5="Mortgage Starts",0,Deposit_mon),2)</f>
        <v>3011.03</v>
      </c>
      <c r="E94" s="16">
        <f>ROUND(D94*(1+'Interest rate projection'!AD96/Var_freq)+IF(E$5="Mortgage Starts",0,Deposit_mon),2)</f>
        <v>4022.09</v>
      </c>
      <c r="F94" s="16">
        <f>ROUND(E94*(1+'Interest rate projection'!AE96/Var_freq)+IF(F$5="Mortgage Starts",0,Deposit_mon),2)</f>
        <v>5036.87</v>
      </c>
      <c r="G94" s="16">
        <f>ROUND(F94*(1+'Interest rate projection'!AF96/Var_freq)+IF(G$5="Mortgage Starts",0,Deposit_mon),2)</f>
        <v>6055.38</v>
      </c>
      <c r="H94" s="16">
        <f>ROUND(G94*(1+'Interest rate projection'!AG96/Var_freq)+IF(H$5="Mortgage Starts",0,Deposit_mon),2)</f>
        <v>7077.63</v>
      </c>
      <c r="I94" s="16">
        <f>ROUND(H94*(1+'Interest rate projection'!AH96/Var_freq)+IF(I$5="Mortgage Starts",0,Deposit_mon),2)</f>
        <v>8103.64</v>
      </c>
      <c r="J94" s="16">
        <f>ROUND(I94*(1+'Interest rate projection'!AI96/Var_freq)+IF(J$5="Mortgage Starts",0,Deposit_mon),2)</f>
        <v>9131.7999999999993</v>
      </c>
      <c r="K94" s="16">
        <f>ROUND(J94*(1+'Interest rate projection'!AJ96/Var_freq)+IF(K$5="Mortgage Starts",0,Deposit_mon),2)</f>
        <v>10163.530000000001</v>
      </c>
      <c r="L94" s="16">
        <f>ROUND(K94*(1+'Interest rate projection'!AK96/Var_freq)+IF(L$5="Mortgage Starts",0,Deposit_mon),2)</f>
        <v>11198.84</v>
      </c>
      <c r="M94" s="16">
        <f>ROUND(L94*(1+'Interest rate projection'!AL96/Var_freq)+IF(M$5="Mortgage Starts",0,Deposit_mon),2)</f>
        <v>12237.75</v>
      </c>
      <c r="N94" s="16">
        <f>ROUND(M94*(1+'Interest rate projection'!AM96/Var_freq)+IF(N$5="Mortgage Starts",0,Deposit_mon),2)</f>
        <v>13280.27</v>
      </c>
      <c r="O94" s="16">
        <f>ROUND(N94*(1+'Interest rate projection'!AN96/Var_freq)+IF(O$5="Mortgage Starts",0,Deposit_mon),2)</f>
        <v>14326.41</v>
      </c>
      <c r="P94" s="16">
        <f>ROUND(O94*(1+'Interest rate projection'!AO96/Var_freq)+IF(P$5="Mortgage Starts",0,Deposit_mon),2)</f>
        <v>15376.19</v>
      </c>
      <c r="Q94" s="16">
        <f>ROUND(P94*(1+'Interest rate projection'!AP96/Var_freq)+IF(Q$5="Mortgage Starts",0,Deposit_mon),2)</f>
        <v>16432.689999999999</v>
      </c>
      <c r="R94" s="16">
        <f>ROUND(Q94*(1+'Interest rate projection'!AQ96/Var_freq)+IF(R$5="Mortgage Starts",0,Deposit_mon),2)</f>
        <v>17493.080000000002</v>
      </c>
      <c r="S94" s="16">
        <f>ROUND(R94*(1+'Interest rate projection'!AR96/Var_freq)+IF(S$5="Mortgage Starts",0,Deposit_mon),2)</f>
        <v>18557.36</v>
      </c>
      <c r="T94" s="16">
        <f>ROUND(S94*(1+'Interest rate projection'!AS96/Var_freq)+IF(T$5="Mortgage Starts",0,Deposit_mon),2)</f>
        <v>19618.11</v>
      </c>
      <c r="U94" s="16">
        <f>ROUND(T94*(1+'Interest rate projection'!AT96/Var_freq)+IF(U$5="Mortgage Starts",0,Deposit_mon),2)</f>
        <v>20682.330000000002</v>
      </c>
      <c r="V94" s="16">
        <f>ROUND(U94*(1+'Interest rate projection'!AU96/Var_freq)+IF(V$5="Mortgage Starts",0,Deposit_mon),2)</f>
        <v>21750.04</v>
      </c>
      <c r="W94" s="16">
        <f>ROUND(V94*(1+'Interest rate projection'!AV96/Var_freq)+IF(W$5="Mortgage Starts",0,Deposit_mon),2)</f>
        <v>22821.24</v>
      </c>
      <c r="X94" s="16">
        <f>ROUND(W94*(1+'Interest rate projection'!AW96/Var_freq)+IF(X$5="Mortgage Starts",0,Deposit_mon),2)</f>
        <v>23900.53</v>
      </c>
      <c r="Y94" s="16">
        <f>ROUND(X94*(1+'Interest rate projection'!AX96/Var_freq)+IF(Y$5="Mortgage Starts",0,Deposit_mon),2)</f>
        <v>24983.57</v>
      </c>
      <c r="Z94" s="57">
        <f>ROUND(Y94*(1+'Interest rate projection'!AY96/Var_freq)+IF(Z$5="Mortgage Starts",0,Deposit_mon),2)</f>
        <v>25070.38</v>
      </c>
      <c r="AA94" s="12"/>
      <c r="AB94" s="38">
        <f>'Interest rate projection'!Z96</f>
        <v>4.2500000000000003E-2</v>
      </c>
      <c r="AC94" s="38">
        <f>'Interest rate projection'!AZ96</f>
        <v>4.1693940041970023E-2</v>
      </c>
      <c r="AD94" s="59" t="str">
        <f t="shared" si="12"/>
        <v>OK</v>
      </c>
      <c r="AE94" s="39">
        <f t="shared" si="13"/>
        <v>15.511529757864551</v>
      </c>
      <c r="AF94" s="10"/>
      <c r="AG94" s="73">
        <f t="shared" si="15"/>
        <v>25070.38</v>
      </c>
      <c r="AH94" s="73">
        <f t="shared" si="16"/>
        <v>174929.62</v>
      </c>
      <c r="AI94" s="74">
        <f t="shared" si="14"/>
        <v>939.78</v>
      </c>
      <c r="AJ94" s="9"/>
      <c r="AK94" s="73">
        <f>'Fixed rate projection'!$AE$3-('Variable rate projection'!AI94*Product_term*Var_freq)</f>
        <v>21135</v>
      </c>
      <c r="AM94" s="14"/>
      <c r="AN94" s="10"/>
      <c r="AO94" s="11"/>
      <c r="AP94" s="11"/>
      <c r="AQ94" s="11"/>
      <c r="AR94" s="12"/>
      <c r="AS94" s="12"/>
      <c r="AT94" s="13"/>
      <c r="AV94" s="14"/>
      <c r="AW94" s="10"/>
      <c r="AX94" s="11"/>
      <c r="AY94" s="11"/>
      <c r="AZ94" s="11"/>
      <c r="BA94" s="12"/>
      <c r="BB94" s="12"/>
      <c r="BC94" s="13"/>
      <c r="BE94" s="14"/>
      <c r="BF94" s="10"/>
      <c r="BG94" s="11"/>
      <c r="BH94" s="11"/>
      <c r="BI94" s="11"/>
      <c r="BJ94" s="12"/>
      <c r="BK94" s="12"/>
      <c r="BL94" s="13"/>
      <c r="BN94" s="14"/>
      <c r="BO94" s="10"/>
      <c r="BP94" s="11"/>
      <c r="BQ94" s="11"/>
      <c r="BR94" s="11"/>
      <c r="BS94" s="12"/>
      <c r="BT94" s="12"/>
      <c r="BU94" s="13"/>
      <c r="BW94" s="14"/>
      <c r="BX94" s="10"/>
      <c r="BY94" s="11"/>
      <c r="BZ94" s="11"/>
      <c r="CA94" s="11"/>
      <c r="CB94" s="12"/>
      <c r="CC94" s="12"/>
      <c r="CD94" s="13"/>
      <c r="CF94" s="14"/>
      <c r="CG94" s="10"/>
      <c r="CH94" s="11"/>
      <c r="CI94" s="11"/>
      <c r="CJ94" s="11"/>
      <c r="CK94" s="12"/>
      <c r="CL94" s="12"/>
      <c r="CM94" s="13"/>
      <c r="CO94" s="13"/>
    </row>
    <row r="95" spans="1:93" x14ac:dyDescent="0.35">
      <c r="A95" s="5">
        <v>90</v>
      </c>
      <c r="B95" s="57">
        <f t="shared" si="11"/>
        <v>1000</v>
      </c>
      <c r="C95" s="16">
        <f>ROUND(B95*(1+'Interest rate projection'!AB97/Var_freq)+IF(C$5="Mortgage Starts",0,Deposit_mon),2)</f>
        <v>2003.67</v>
      </c>
      <c r="D95" s="16">
        <f>ROUND(C95*(1+'Interest rate projection'!AC97/Var_freq)+IF(D$5="Mortgage Starts",0,Deposit_mon),2)</f>
        <v>3011.03</v>
      </c>
      <c r="E95" s="16">
        <f>ROUND(D95*(1+'Interest rate projection'!AD97/Var_freq)+IF(E$5="Mortgage Starts",0,Deposit_mon),2)</f>
        <v>4022.09</v>
      </c>
      <c r="F95" s="16">
        <f>ROUND(E95*(1+'Interest rate projection'!AE97/Var_freq)+IF(F$5="Mortgage Starts",0,Deposit_mon),2)</f>
        <v>5036.87</v>
      </c>
      <c r="G95" s="16">
        <f>ROUND(F95*(1+'Interest rate projection'!AF97/Var_freq)+IF(G$5="Mortgage Starts",0,Deposit_mon),2)</f>
        <v>6055.38</v>
      </c>
      <c r="H95" s="16">
        <f>ROUND(G95*(1+'Interest rate projection'!AG97/Var_freq)+IF(H$5="Mortgage Starts",0,Deposit_mon),2)</f>
        <v>7077.63</v>
      </c>
      <c r="I95" s="16">
        <f>ROUND(H95*(1+'Interest rate projection'!AH97/Var_freq)+IF(I$5="Mortgage Starts",0,Deposit_mon),2)</f>
        <v>8103.64</v>
      </c>
      <c r="J95" s="16">
        <f>ROUND(I95*(1+'Interest rate projection'!AI97/Var_freq)+IF(J$5="Mortgage Starts",0,Deposit_mon),2)</f>
        <v>9133.42</v>
      </c>
      <c r="K95" s="16">
        <f>ROUND(J95*(1+'Interest rate projection'!AJ97/Var_freq)+IF(K$5="Mortgage Starts",0,Deposit_mon),2)</f>
        <v>10166.98</v>
      </c>
      <c r="L95" s="16">
        <f>ROUND(K95*(1+'Interest rate projection'!AK97/Var_freq)+IF(L$5="Mortgage Starts",0,Deposit_mon),2)</f>
        <v>11204.34</v>
      </c>
      <c r="M95" s="16">
        <f>ROUND(L95*(1+'Interest rate projection'!AL97/Var_freq)+IF(M$5="Mortgage Starts",0,Deposit_mon),2)</f>
        <v>12245.51</v>
      </c>
      <c r="N95" s="16">
        <f>ROUND(M95*(1+'Interest rate projection'!AM97/Var_freq)+IF(N$5="Mortgage Starts",0,Deposit_mon),2)</f>
        <v>13290.51</v>
      </c>
      <c r="O95" s="16">
        <f>ROUND(N95*(1+'Interest rate projection'!AN97/Var_freq)+IF(O$5="Mortgage Starts",0,Deposit_mon),2)</f>
        <v>14339.35</v>
      </c>
      <c r="P95" s="16">
        <f>ROUND(O95*(1+'Interest rate projection'!AO97/Var_freq)+IF(P$5="Mortgage Starts",0,Deposit_mon),2)</f>
        <v>15392.04</v>
      </c>
      <c r="Q95" s="16">
        <f>ROUND(P95*(1+'Interest rate projection'!AP97/Var_freq)+IF(Q$5="Mortgage Starts",0,Deposit_mon),2)</f>
        <v>16448.599999999999</v>
      </c>
      <c r="R95" s="16">
        <f>ROUND(Q95*(1+'Interest rate projection'!AQ97/Var_freq)+IF(R$5="Mortgage Starts",0,Deposit_mon),2)</f>
        <v>17509.05</v>
      </c>
      <c r="S95" s="16">
        <f>ROUND(R95*(1+'Interest rate projection'!AR97/Var_freq)+IF(S$5="Mortgage Starts",0,Deposit_mon),2)</f>
        <v>18573.39</v>
      </c>
      <c r="T95" s="16">
        <f>ROUND(S95*(1+'Interest rate projection'!AS97/Var_freq)+IF(T$5="Mortgage Starts",0,Deposit_mon),2)</f>
        <v>19641.64</v>
      </c>
      <c r="U95" s="16">
        <f>ROUND(T95*(1+'Interest rate projection'!AT97/Var_freq)+IF(U$5="Mortgage Starts",0,Deposit_mon),2)</f>
        <v>20713.82</v>
      </c>
      <c r="V95" s="16">
        <f>ROUND(U95*(1+'Interest rate projection'!AU97/Var_freq)+IF(V$5="Mortgage Starts",0,Deposit_mon),2)</f>
        <v>21789.94</v>
      </c>
      <c r="W95" s="16">
        <f>ROUND(V95*(1+'Interest rate projection'!AV97/Var_freq)+IF(W$5="Mortgage Starts",0,Deposit_mon),2)</f>
        <v>22870.01</v>
      </c>
      <c r="X95" s="16">
        <f>ROUND(W95*(1+'Interest rate projection'!AW97/Var_freq)+IF(X$5="Mortgage Starts",0,Deposit_mon),2)</f>
        <v>23954.05</v>
      </c>
      <c r="Y95" s="16">
        <f>ROUND(X95*(1+'Interest rate projection'!AX97/Var_freq)+IF(Y$5="Mortgage Starts",0,Deposit_mon),2)</f>
        <v>25046.86</v>
      </c>
      <c r="Z95" s="57">
        <f>ROUND(Y95*(1+'Interest rate projection'!AY97/Var_freq)+IF(Z$5="Mortgage Starts",0,Deposit_mon),2)</f>
        <v>25143.91</v>
      </c>
      <c r="AA95" s="12"/>
      <c r="AB95" s="38">
        <f>'Interest rate projection'!Z97</f>
        <v>0.05</v>
      </c>
      <c r="AC95" s="38">
        <f>'Interest rate projection'!AZ97</f>
        <v>4.8889485403780242E-2</v>
      </c>
      <c r="AD95" s="59" t="str">
        <f t="shared" si="12"/>
        <v>OK</v>
      </c>
      <c r="AE95" s="39">
        <f t="shared" si="13"/>
        <v>14.4140856153857</v>
      </c>
      <c r="AF95" s="10"/>
      <c r="AG95" s="73">
        <f t="shared" si="15"/>
        <v>25143.91</v>
      </c>
      <c r="AH95" s="73">
        <f t="shared" si="16"/>
        <v>174856.09</v>
      </c>
      <c r="AI95" s="74">
        <f t="shared" si="14"/>
        <v>1010.91</v>
      </c>
      <c r="AJ95" s="9"/>
      <c r="AK95" s="73">
        <f>'Fixed rate projection'!$AE$3-('Variable rate projection'!AI95*Product_term*Var_freq)</f>
        <v>-204</v>
      </c>
      <c r="AM95" s="14"/>
      <c r="AN95" s="10"/>
      <c r="AO95" s="11"/>
      <c r="AP95" s="11"/>
      <c r="AQ95" s="11"/>
      <c r="AR95" s="12"/>
      <c r="AS95" s="12"/>
      <c r="AT95" s="13"/>
      <c r="AV95" s="14"/>
      <c r="AW95" s="10"/>
      <c r="AX95" s="11"/>
      <c r="AY95" s="11"/>
      <c r="AZ95" s="11"/>
      <c r="BA95" s="12"/>
      <c r="BB95" s="12"/>
      <c r="BC95" s="13"/>
      <c r="BE95" s="14"/>
      <c r="BF95" s="10"/>
      <c r="BG95" s="11"/>
      <c r="BH95" s="11"/>
      <c r="BI95" s="11"/>
      <c r="BJ95" s="12"/>
      <c r="BK95" s="12"/>
      <c r="BL95" s="13"/>
      <c r="BN95" s="14"/>
      <c r="BO95" s="10"/>
      <c r="BP95" s="11"/>
      <c r="BQ95" s="11"/>
      <c r="BR95" s="11"/>
      <c r="BS95" s="12"/>
      <c r="BT95" s="12"/>
      <c r="BU95" s="13"/>
      <c r="BW95" s="14"/>
      <c r="BX95" s="10"/>
      <c r="BY95" s="11"/>
      <c r="BZ95" s="11"/>
      <c r="CA95" s="11"/>
      <c r="CB95" s="12"/>
      <c r="CC95" s="12"/>
      <c r="CD95" s="13"/>
      <c r="CF95" s="14"/>
      <c r="CG95" s="10"/>
      <c r="CH95" s="11"/>
      <c r="CI95" s="11"/>
      <c r="CJ95" s="11"/>
      <c r="CK95" s="12"/>
      <c r="CL95" s="12"/>
      <c r="CM95" s="13"/>
      <c r="CO95" s="13"/>
    </row>
    <row r="96" spans="1:93" x14ac:dyDescent="0.35">
      <c r="A96" s="27">
        <v>91</v>
      </c>
      <c r="B96" s="57">
        <f t="shared" si="11"/>
        <v>1000</v>
      </c>
      <c r="C96" s="16">
        <f>ROUND(B96*(1+'Interest rate projection'!AB98/Var_freq)+IF(C$5="Mortgage Starts",0,Deposit_mon),2)</f>
        <v>2003.67</v>
      </c>
      <c r="D96" s="16">
        <f>ROUND(C96*(1+'Interest rate projection'!AC98/Var_freq)+IF(D$5="Mortgage Starts",0,Deposit_mon),2)</f>
        <v>3011.03</v>
      </c>
      <c r="E96" s="16">
        <f>ROUND(D96*(1+'Interest rate projection'!AD98/Var_freq)+IF(E$5="Mortgage Starts",0,Deposit_mon),2)</f>
        <v>4021.49</v>
      </c>
      <c r="F96" s="16">
        <f>ROUND(E96*(1+'Interest rate projection'!AE98/Var_freq)+IF(F$5="Mortgage Starts",0,Deposit_mon),2)</f>
        <v>5035.46</v>
      </c>
      <c r="G96" s="16">
        <f>ROUND(F96*(1+'Interest rate projection'!AF98/Var_freq)+IF(G$5="Mortgage Starts",0,Deposit_mon),2)</f>
        <v>6052.96</v>
      </c>
      <c r="H96" s="16">
        <f>ROUND(G96*(1+'Interest rate projection'!AG98/Var_freq)+IF(H$5="Mortgage Starts",0,Deposit_mon),2)</f>
        <v>7073.99</v>
      </c>
      <c r="I96" s="16">
        <f>ROUND(H96*(1+'Interest rate projection'!AH98/Var_freq)+IF(I$5="Mortgage Starts",0,Deposit_mon),2)</f>
        <v>8098.57</v>
      </c>
      <c r="J96" s="16">
        <f>ROUND(I96*(1+'Interest rate projection'!AI98/Var_freq)+IF(J$5="Mortgage Starts",0,Deposit_mon),2)</f>
        <v>9126.7099999999991</v>
      </c>
      <c r="K96" s="16">
        <f>ROUND(J96*(1+'Interest rate projection'!AJ98/Var_freq)+IF(K$5="Mortgage Starts",0,Deposit_mon),2)</f>
        <v>10158.42</v>
      </c>
      <c r="L96" s="16">
        <f>ROUND(K96*(1+'Interest rate projection'!AK98/Var_freq)+IF(L$5="Mortgage Starts",0,Deposit_mon),2)</f>
        <v>11193.72</v>
      </c>
      <c r="M96" s="16">
        <f>ROUND(L96*(1+'Interest rate projection'!AL98/Var_freq)+IF(M$5="Mortgage Starts",0,Deposit_mon),2)</f>
        <v>12232.61</v>
      </c>
      <c r="N96" s="16">
        <f>ROUND(M96*(1+'Interest rate projection'!AM98/Var_freq)+IF(N$5="Mortgage Starts",0,Deposit_mon),2)</f>
        <v>13275.11</v>
      </c>
      <c r="O96" s="16">
        <f>ROUND(N96*(1+'Interest rate projection'!AN98/Var_freq)+IF(O$5="Mortgage Starts",0,Deposit_mon),2)</f>
        <v>14321.23</v>
      </c>
      <c r="P96" s="16">
        <f>ROUND(O96*(1+'Interest rate projection'!AO98/Var_freq)+IF(P$5="Mortgage Starts",0,Deposit_mon),2)</f>
        <v>15370.99</v>
      </c>
      <c r="Q96" s="16">
        <f>ROUND(P96*(1+'Interest rate projection'!AP98/Var_freq)+IF(Q$5="Mortgage Starts",0,Deposit_mon),2)</f>
        <v>16424.400000000001</v>
      </c>
      <c r="R96" s="16">
        <f>ROUND(Q96*(1+'Interest rate projection'!AQ98/Var_freq)+IF(R$5="Mortgage Starts",0,Deposit_mon),2)</f>
        <v>17481.47</v>
      </c>
      <c r="S96" s="16">
        <f>ROUND(R96*(1+'Interest rate projection'!AR98/Var_freq)+IF(S$5="Mortgage Starts",0,Deposit_mon),2)</f>
        <v>18542.21</v>
      </c>
      <c r="T96" s="16">
        <f>ROUND(S96*(1+'Interest rate projection'!AS98/Var_freq)+IF(T$5="Mortgage Starts",0,Deposit_mon),2)</f>
        <v>19606.63</v>
      </c>
      <c r="U96" s="16">
        <f>ROUND(T96*(1+'Interest rate projection'!AT98/Var_freq)+IF(U$5="Mortgage Starts",0,Deposit_mon),2)</f>
        <v>20674.75</v>
      </c>
      <c r="V96" s="16">
        <f>ROUND(U96*(1+'Interest rate projection'!AU98/Var_freq)+IF(V$5="Mortgage Starts",0,Deposit_mon),2)</f>
        <v>21746.58</v>
      </c>
      <c r="W96" s="16">
        <f>ROUND(V96*(1+'Interest rate projection'!AV98/Var_freq)+IF(W$5="Mortgage Starts",0,Deposit_mon),2)</f>
        <v>22822.14</v>
      </c>
      <c r="X96" s="16">
        <f>ROUND(W96*(1+'Interest rate projection'!AW98/Var_freq)+IF(X$5="Mortgage Starts",0,Deposit_mon),2)</f>
        <v>23901.439999999999</v>
      </c>
      <c r="Y96" s="16">
        <f>ROUND(X96*(1+'Interest rate projection'!AX98/Var_freq)+IF(Y$5="Mortgage Starts",0,Deposit_mon),2)</f>
        <v>24984.49</v>
      </c>
      <c r="Z96" s="57">
        <f>ROUND(Y96*(1+'Interest rate projection'!AY98/Var_freq)+IF(Z$5="Mortgage Starts",0,Deposit_mon),2)</f>
        <v>25071.3</v>
      </c>
      <c r="AA96" s="12"/>
      <c r="AB96" s="38">
        <f>'Interest rate projection'!Z98</f>
        <v>4.2499999999999996E-2</v>
      </c>
      <c r="AC96" s="38">
        <f>'Interest rate projection'!AZ98</f>
        <v>4.1693940041970023E-2</v>
      </c>
      <c r="AD96" s="59" t="str">
        <f t="shared" si="12"/>
        <v>OK</v>
      </c>
      <c r="AE96" s="39">
        <f t="shared" si="13"/>
        <v>15.511529757864551</v>
      </c>
      <c r="AF96" s="10"/>
      <c r="AG96" s="73">
        <f t="shared" si="15"/>
        <v>25071.3</v>
      </c>
      <c r="AH96" s="73">
        <f t="shared" si="16"/>
        <v>174928.7</v>
      </c>
      <c r="AI96" s="74">
        <f t="shared" si="14"/>
        <v>939.78</v>
      </c>
      <c r="AJ96" s="9"/>
      <c r="AK96" s="73">
        <f>'Fixed rate projection'!$AE$3-('Variable rate projection'!AI96*Product_term*Var_freq)</f>
        <v>21135</v>
      </c>
      <c r="AM96" s="14"/>
      <c r="AN96" s="10"/>
      <c r="AO96" s="11"/>
      <c r="AP96" s="11"/>
      <c r="AQ96" s="11"/>
      <c r="AR96" s="12"/>
      <c r="AS96" s="12"/>
      <c r="AT96" s="13"/>
      <c r="AV96" s="14"/>
      <c r="AW96" s="10"/>
      <c r="AX96" s="11"/>
      <c r="AY96" s="11"/>
      <c r="AZ96" s="11"/>
      <c r="BA96" s="12"/>
      <c r="BB96" s="12"/>
      <c r="BC96" s="13"/>
      <c r="BE96" s="14"/>
      <c r="BF96" s="10"/>
      <c r="BG96" s="11"/>
      <c r="BH96" s="11"/>
      <c r="BI96" s="11"/>
      <c r="BJ96" s="12"/>
      <c r="BK96" s="12"/>
      <c r="BL96" s="13"/>
      <c r="BN96" s="14"/>
      <c r="BO96" s="10"/>
      <c r="BP96" s="11"/>
      <c r="BQ96" s="11"/>
      <c r="BR96" s="11"/>
      <c r="BS96" s="12"/>
      <c r="BT96" s="12"/>
      <c r="BU96" s="13"/>
      <c r="BW96" s="14"/>
      <c r="BX96" s="10"/>
      <c r="BY96" s="11"/>
      <c r="BZ96" s="11"/>
      <c r="CA96" s="11"/>
      <c r="CB96" s="12"/>
      <c r="CC96" s="12"/>
      <c r="CD96" s="13"/>
      <c r="CF96" s="14"/>
      <c r="CG96" s="10"/>
      <c r="CH96" s="11"/>
      <c r="CI96" s="11"/>
      <c r="CJ96" s="11"/>
      <c r="CK96" s="12"/>
      <c r="CL96" s="12"/>
      <c r="CM96" s="13"/>
      <c r="CO96" s="13"/>
    </row>
    <row r="97" spans="1:93" x14ac:dyDescent="0.35">
      <c r="A97" s="5">
        <v>92</v>
      </c>
      <c r="B97" s="57">
        <f t="shared" si="11"/>
        <v>1000</v>
      </c>
      <c r="C97" s="16">
        <f>ROUND(B97*(1+'Interest rate projection'!AB99/Var_freq)+IF(C$5="Mortgage Starts",0,Deposit_mon),2)</f>
        <v>2003.67</v>
      </c>
      <c r="D97" s="16">
        <f>ROUND(C97*(1+'Interest rate projection'!AC99/Var_freq)+IF(D$5="Mortgage Starts",0,Deposit_mon),2)</f>
        <v>3011.03</v>
      </c>
      <c r="E97" s="16">
        <f>ROUND(D97*(1+'Interest rate projection'!AD99/Var_freq)+IF(E$5="Mortgage Starts",0,Deposit_mon),2)</f>
        <v>4022.7</v>
      </c>
      <c r="F97" s="16">
        <f>ROUND(E97*(1+'Interest rate projection'!AE99/Var_freq)+IF(F$5="Mortgage Starts",0,Deposit_mon),2)</f>
        <v>5036.68</v>
      </c>
      <c r="G97" s="16">
        <f>ROUND(F97*(1+'Interest rate projection'!AF99/Var_freq)+IF(G$5="Mortgage Starts",0,Deposit_mon),2)</f>
        <v>6054.18</v>
      </c>
      <c r="H97" s="16">
        <f>ROUND(G97*(1+'Interest rate projection'!AG99/Var_freq)+IF(H$5="Mortgage Starts",0,Deposit_mon),2)</f>
        <v>7075.22</v>
      </c>
      <c r="I97" s="16">
        <f>ROUND(H97*(1+'Interest rate projection'!AH99/Var_freq)+IF(I$5="Mortgage Starts",0,Deposit_mon),2)</f>
        <v>8098.38</v>
      </c>
      <c r="J97" s="16">
        <f>ROUND(I97*(1+'Interest rate projection'!AI99/Var_freq)+IF(J$5="Mortgage Starts",0,Deposit_mon),2)</f>
        <v>9124.89</v>
      </c>
      <c r="K97" s="16">
        <f>ROUND(J97*(1+'Interest rate projection'!AJ99/Var_freq)+IF(K$5="Mortgage Starts",0,Deposit_mon),2)</f>
        <v>10154.76</v>
      </c>
      <c r="L97" s="16">
        <f>ROUND(K97*(1+'Interest rate projection'!AK99/Var_freq)+IF(L$5="Mortgage Starts",0,Deposit_mon),2)</f>
        <v>11188</v>
      </c>
      <c r="M97" s="16">
        <f>ROUND(L97*(1+'Interest rate projection'!AL99/Var_freq)+IF(M$5="Mortgage Starts",0,Deposit_mon),2)</f>
        <v>12224.63</v>
      </c>
      <c r="N97" s="16">
        <f>ROUND(M97*(1+'Interest rate projection'!AM99/Var_freq)+IF(N$5="Mortgage Starts",0,Deposit_mon),2)</f>
        <v>13267.1</v>
      </c>
      <c r="O97" s="16">
        <f>ROUND(N97*(1+'Interest rate projection'!AN99/Var_freq)+IF(O$5="Mortgage Starts",0,Deposit_mon),2)</f>
        <v>14313.2</v>
      </c>
      <c r="P97" s="16">
        <f>ROUND(O97*(1+'Interest rate projection'!AO99/Var_freq)+IF(P$5="Mortgage Starts",0,Deposit_mon),2)</f>
        <v>15362.93</v>
      </c>
      <c r="Q97" s="16">
        <f>ROUND(P97*(1+'Interest rate projection'!AP99/Var_freq)+IF(Q$5="Mortgage Starts",0,Deposit_mon),2)</f>
        <v>16416.310000000001</v>
      </c>
      <c r="R97" s="16">
        <f>ROUND(Q97*(1+'Interest rate projection'!AQ99/Var_freq)+IF(R$5="Mortgage Starts",0,Deposit_mon),2)</f>
        <v>17476.64</v>
      </c>
      <c r="S97" s="16">
        <f>ROUND(R97*(1+'Interest rate projection'!AR99/Var_freq)+IF(S$5="Mortgage Starts",0,Deposit_mon),2)</f>
        <v>18533.849999999999</v>
      </c>
      <c r="T97" s="16">
        <f>ROUND(S97*(1+'Interest rate projection'!AS99/Var_freq)+IF(T$5="Mortgage Starts",0,Deposit_mon),2)</f>
        <v>19594.53</v>
      </c>
      <c r="U97" s="16">
        <f>ROUND(T97*(1+'Interest rate projection'!AT99/Var_freq)+IF(U$5="Mortgage Starts",0,Deposit_mon),2)</f>
        <v>20658.68</v>
      </c>
      <c r="V97" s="16">
        <f>ROUND(U97*(1+'Interest rate projection'!AU99/Var_freq)+IF(V$5="Mortgage Starts",0,Deposit_mon),2)</f>
        <v>21726.31</v>
      </c>
      <c r="W97" s="16">
        <f>ROUND(V97*(1+'Interest rate projection'!AV99/Var_freq)+IF(W$5="Mortgage Starts",0,Deposit_mon),2)</f>
        <v>22797.439999999999</v>
      </c>
      <c r="X97" s="16">
        <f>ROUND(W97*(1+'Interest rate projection'!AW99/Var_freq)+IF(X$5="Mortgage Starts",0,Deposit_mon),2)</f>
        <v>23872.07</v>
      </c>
      <c r="Y97" s="16">
        <f>ROUND(X97*(1+'Interest rate projection'!AX99/Var_freq)+IF(Y$5="Mortgage Starts",0,Deposit_mon),2)</f>
        <v>24950.22</v>
      </c>
      <c r="Z97" s="57">
        <f>ROUND(Y97*(1+'Interest rate projection'!AY99/Var_freq)+IF(Z$5="Mortgage Starts",0,Deposit_mon),2)</f>
        <v>25031.9</v>
      </c>
      <c r="AA97" s="12"/>
      <c r="AB97" s="38">
        <f>'Interest rate projection'!Z99</f>
        <v>4.0000000000000008E-2</v>
      </c>
      <c r="AC97" s="38">
        <f>'Interest rate projection'!AZ99</f>
        <v>3.9284877386386974E-2</v>
      </c>
      <c r="AD97" s="59" t="str">
        <f t="shared" si="12"/>
        <v>OK</v>
      </c>
      <c r="AE97" s="39">
        <f t="shared" si="13"/>
        <v>15.906456614335044</v>
      </c>
      <c r="AF97" s="10"/>
      <c r="AG97" s="73">
        <f t="shared" si="15"/>
        <v>25031.9</v>
      </c>
      <c r="AH97" s="73">
        <f t="shared" si="16"/>
        <v>174968.1</v>
      </c>
      <c r="AI97" s="74">
        <f t="shared" si="14"/>
        <v>916.65</v>
      </c>
      <c r="AJ97" s="9"/>
      <c r="AK97" s="73">
        <f>'Fixed rate projection'!$AE$3-('Variable rate projection'!AI97*Product_term*Var_freq)</f>
        <v>28074</v>
      </c>
      <c r="AM97" s="14"/>
      <c r="AN97" s="10"/>
      <c r="AO97" s="11"/>
      <c r="AP97" s="11"/>
      <c r="AQ97" s="11"/>
      <c r="AR97" s="12"/>
      <c r="AS97" s="12"/>
      <c r="AT97" s="13"/>
      <c r="AV97" s="14"/>
      <c r="AW97" s="10"/>
      <c r="AX97" s="11"/>
      <c r="AY97" s="11"/>
      <c r="AZ97" s="11"/>
      <c r="BA97" s="12"/>
      <c r="BB97" s="12"/>
      <c r="BC97" s="13"/>
      <c r="BE97" s="14"/>
      <c r="BF97" s="10"/>
      <c r="BG97" s="11"/>
      <c r="BH97" s="11"/>
      <c r="BI97" s="11"/>
      <c r="BJ97" s="12"/>
      <c r="BK97" s="12"/>
      <c r="BL97" s="13"/>
      <c r="BN97" s="14"/>
      <c r="BO97" s="10"/>
      <c r="BP97" s="11"/>
      <c r="BQ97" s="11"/>
      <c r="BR97" s="11"/>
      <c r="BS97" s="12"/>
      <c r="BT97" s="12"/>
      <c r="BU97" s="13"/>
      <c r="BW97" s="14"/>
      <c r="BX97" s="10"/>
      <c r="BY97" s="11"/>
      <c r="BZ97" s="11"/>
      <c r="CA97" s="11"/>
      <c r="CB97" s="12"/>
      <c r="CC97" s="12"/>
      <c r="CD97" s="13"/>
      <c r="CF97" s="14"/>
      <c r="CG97" s="10"/>
      <c r="CH97" s="11"/>
      <c r="CI97" s="11"/>
      <c r="CJ97" s="11"/>
      <c r="CK97" s="12"/>
      <c r="CL97" s="12"/>
      <c r="CM97" s="13"/>
      <c r="CO97" s="13"/>
    </row>
    <row r="98" spans="1:93" x14ac:dyDescent="0.35">
      <c r="A98" s="27">
        <v>93</v>
      </c>
      <c r="B98" s="57">
        <f t="shared" si="11"/>
        <v>1000</v>
      </c>
      <c r="C98" s="16">
        <f>ROUND(B98*(1+'Interest rate projection'!AB100/Var_freq)+IF(C$5="Mortgage Starts",0,Deposit_mon),2)</f>
        <v>2003.67</v>
      </c>
      <c r="D98" s="16">
        <f>ROUND(C98*(1+'Interest rate projection'!AC100/Var_freq)+IF(D$5="Mortgage Starts",0,Deposit_mon),2)</f>
        <v>3011.03</v>
      </c>
      <c r="E98" s="16">
        <f>ROUND(D98*(1+'Interest rate projection'!AD100/Var_freq)+IF(E$5="Mortgage Starts",0,Deposit_mon),2)</f>
        <v>4022.09</v>
      </c>
      <c r="F98" s="16">
        <f>ROUND(E98*(1+'Interest rate projection'!AE100/Var_freq)+IF(F$5="Mortgage Starts",0,Deposit_mon),2)</f>
        <v>5036.87</v>
      </c>
      <c r="G98" s="16">
        <f>ROUND(F98*(1+'Interest rate projection'!AF100/Var_freq)+IF(G$5="Mortgage Starts",0,Deposit_mon),2)</f>
        <v>6055.38</v>
      </c>
      <c r="H98" s="16">
        <f>ROUND(G98*(1+'Interest rate projection'!AG100/Var_freq)+IF(H$5="Mortgage Starts",0,Deposit_mon),2)</f>
        <v>7077.63</v>
      </c>
      <c r="I98" s="16">
        <f>ROUND(H98*(1+'Interest rate projection'!AH100/Var_freq)+IF(I$5="Mortgage Starts",0,Deposit_mon),2)</f>
        <v>8103.64</v>
      </c>
      <c r="J98" s="16">
        <f>ROUND(I98*(1+'Interest rate projection'!AI100/Var_freq)+IF(J$5="Mortgage Starts",0,Deposit_mon),2)</f>
        <v>9135.0400000000009</v>
      </c>
      <c r="K98" s="16">
        <f>ROUND(J98*(1+'Interest rate projection'!AJ100/Var_freq)+IF(K$5="Mortgage Starts",0,Deposit_mon),2)</f>
        <v>10170.44</v>
      </c>
      <c r="L98" s="16">
        <f>ROUND(K98*(1+'Interest rate projection'!AK100/Var_freq)+IF(L$5="Mortgage Starts",0,Deposit_mon),2)</f>
        <v>11209.85</v>
      </c>
      <c r="M98" s="16">
        <f>ROUND(L98*(1+'Interest rate projection'!AL100/Var_freq)+IF(M$5="Mortgage Starts",0,Deposit_mon),2)</f>
        <v>12253.28</v>
      </c>
      <c r="N98" s="16">
        <f>ROUND(M98*(1+'Interest rate projection'!AM100/Var_freq)+IF(N$5="Mortgage Starts",0,Deposit_mon),2)</f>
        <v>13300.76</v>
      </c>
      <c r="O98" s="16">
        <f>ROUND(N98*(1+'Interest rate projection'!AN100/Var_freq)+IF(O$5="Mortgage Starts",0,Deposit_mon),2)</f>
        <v>14352.3</v>
      </c>
      <c r="P98" s="16">
        <f>ROUND(O98*(1+'Interest rate projection'!AO100/Var_freq)+IF(P$5="Mortgage Starts",0,Deposit_mon),2)</f>
        <v>15407.91</v>
      </c>
      <c r="Q98" s="16">
        <f>ROUND(P98*(1+'Interest rate projection'!AP100/Var_freq)+IF(Q$5="Mortgage Starts",0,Deposit_mon),2)</f>
        <v>16467.61</v>
      </c>
      <c r="R98" s="16">
        <f>ROUND(Q98*(1+'Interest rate projection'!AQ100/Var_freq)+IF(R$5="Mortgage Starts",0,Deposit_mon),2)</f>
        <v>17531.419999999998</v>
      </c>
      <c r="S98" s="16">
        <f>ROUND(R98*(1+'Interest rate projection'!AR100/Var_freq)+IF(S$5="Mortgage Starts",0,Deposit_mon),2)</f>
        <v>18599.349999999999</v>
      </c>
      <c r="T98" s="16">
        <f>ROUND(S98*(1+'Interest rate projection'!AS100/Var_freq)+IF(T$5="Mortgage Starts",0,Deposit_mon),2)</f>
        <v>19671.419999999998</v>
      </c>
      <c r="U98" s="16">
        <f>ROUND(T98*(1+'Interest rate projection'!AT100/Var_freq)+IF(U$5="Mortgage Starts",0,Deposit_mon),2)</f>
        <v>20747.64</v>
      </c>
      <c r="V98" s="16">
        <f>ROUND(U98*(1+'Interest rate projection'!AU100/Var_freq)+IF(V$5="Mortgage Starts",0,Deposit_mon),2)</f>
        <v>21828.03</v>
      </c>
      <c r="W98" s="16">
        <f>ROUND(V98*(1+'Interest rate projection'!AV100/Var_freq)+IF(W$5="Mortgage Starts",0,Deposit_mon),2)</f>
        <v>22912.61</v>
      </c>
      <c r="X98" s="16">
        <f>ROUND(W98*(1+'Interest rate projection'!AW100/Var_freq)+IF(X$5="Mortgage Starts",0,Deposit_mon),2)</f>
        <v>24001.39</v>
      </c>
      <c r="Y98" s="16">
        <f>ROUND(X98*(1+'Interest rate projection'!AX100/Var_freq)+IF(Y$5="Mortgage Starts",0,Deposit_mon),2)</f>
        <v>25089.59</v>
      </c>
      <c r="Z98" s="57">
        <f>ROUND(Y98*(1+'Interest rate projection'!AY100/Var_freq)+IF(Z$5="Mortgage Starts",0,Deposit_mon),2)</f>
        <v>25181.79</v>
      </c>
      <c r="AA98" s="12"/>
      <c r="AB98" s="38">
        <f>'Interest rate projection'!Z100</f>
        <v>4.4999999999999998E-2</v>
      </c>
      <c r="AC98" s="38">
        <f>'Interest rate projection'!AZ100</f>
        <v>4.4097712805242217E-2</v>
      </c>
      <c r="AD98" s="59" t="str">
        <f t="shared" si="12"/>
        <v>OK</v>
      </c>
      <c r="AE98" s="39">
        <f t="shared" si="13"/>
        <v>15.131610255367837</v>
      </c>
      <c r="AF98" s="10"/>
      <c r="AG98" s="73">
        <f t="shared" si="15"/>
        <v>25181.79</v>
      </c>
      <c r="AH98" s="73">
        <f t="shared" si="16"/>
        <v>174818.21</v>
      </c>
      <c r="AI98" s="74">
        <f t="shared" si="14"/>
        <v>962.76</v>
      </c>
      <c r="AJ98" s="9"/>
      <c r="AK98" s="73">
        <f>'Fixed rate projection'!$AE$3-('Variable rate projection'!AI98*Product_term*Var_freq)</f>
        <v>14241</v>
      </c>
      <c r="AM98" s="14"/>
      <c r="AN98" s="10"/>
      <c r="AO98" s="11"/>
      <c r="AP98" s="11"/>
      <c r="AQ98" s="11"/>
      <c r="AR98" s="12"/>
      <c r="AS98" s="12"/>
      <c r="AT98" s="13"/>
      <c r="AV98" s="14"/>
      <c r="AW98" s="10"/>
      <c r="AX98" s="11"/>
      <c r="AY98" s="11"/>
      <c r="AZ98" s="11"/>
      <c r="BA98" s="12"/>
      <c r="BB98" s="12"/>
      <c r="BC98" s="13"/>
      <c r="BE98" s="14"/>
      <c r="BF98" s="10"/>
      <c r="BG98" s="11"/>
      <c r="BH98" s="11"/>
      <c r="BI98" s="11"/>
      <c r="BJ98" s="12"/>
      <c r="BK98" s="12"/>
      <c r="BL98" s="13"/>
      <c r="BN98" s="14"/>
      <c r="BO98" s="10"/>
      <c r="BP98" s="11"/>
      <c r="BQ98" s="11"/>
      <c r="BR98" s="11"/>
      <c r="BS98" s="12"/>
      <c r="BT98" s="12"/>
      <c r="BU98" s="13"/>
      <c r="BW98" s="14"/>
      <c r="BX98" s="10"/>
      <c r="BY98" s="11"/>
      <c r="BZ98" s="11"/>
      <c r="CA98" s="11"/>
      <c r="CB98" s="12"/>
      <c r="CC98" s="12"/>
      <c r="CD98" s="13"/>
      <c r="CF98" s="14"/>
      <c r="CG98" s="10"/>
      <c r="CH98" s="11"/>
      <c r="CI98" s="11"/>
      <c r="CJ98" s="11"/>
      <c r="CK98" s="12"/>
      <c r="CL98" s="12"/>
      <c r="CM98" s="13"/>
      <c r="CO98" s="13"/>
    </row>
    <row r="99" spans="1:93" x14ac:dyDescent="0.35">
      <c r="A99" s="5">
        <v>94</v>
      </c>
      <c r="B99" s="57">
        <f t="shared" si="11"/>
        <v>1000</v>
      </c>
      <c r="C99" s="16">
        <f>ROUND(B99*(1+'Interest rate projection'!AB101/Var_freq)+IF(C$5="Mortgage Starts",0,Deposit_mon),2)</f>
        <v>2003.67</v>
      </c>
      <c r="D99" s="16">
        <f>ROUND(C99*(1+'Interest rate projection'!AC101/Var_freq)+IF(D$5="Mortgage Starts",0,Deposit_mon),2)</f>
        <v>3011.43</v>
      </c>
      <c r="E99" s="16">
        <f>ROUND(D99*(1+'Interest rate projection'!AD101/Var_freq)+IF(E$5="Mortgage Starts",0,Deposit_mon),2)</f>
        <v>4023.1</v>
      </c>
      <c r="F99" s="16">
        <f>ROUND(E99*(1+'Interest rate projection'!AE101/Var_freq)+IF(F$5="Mortgage Starts",0,Deposit_mon),2)</f>
        <v>5038.6899999999996</v>
      </c>
      <c r="G99" s="16">
        <f>ROUND(F99*(1+'Interest rate projection'!AF101/Var_freq)+IF(G$5="Mortgage Starts",0,Deposit_mon),2)</f>
        <v>6058.21</v>
      </c>
      <c r="H99" s="16">
        <f>ROUND(G99*(1+'Interest rate projection'!AG101/Var_freq)+IF(H$5="Mortgage Starts",0,Deposit_mon),2)</f>
        <v>7082.89</v>
      </c>
      <c r="I99" s="16">
        <f>ROUND(H99*(1+'Interest rate projection'!AH101/Var_freq)+IF(I$5="Mortgage Starts",0,Deposit_mon),2)</f>
        <v>8114.56</v>
      </c>
      <c r="J99" s="16">
        <f>ROUND(I99*(1+'Interest rate projection'!AI101/Var_freq)+IF(J$5="Mortgage Starts",0,Deposit_mon),2)</f>
        <v>9150.85</v>
      </c>
      <c r="K99" s="16">
        <f>ROUND(J99*(1+'Interest rate projection'!AJ101/Var_freq)+IF(K$5="Mortgage Starts",0,Deposit_mon),2)</f>
        <v>10191.77</v>
      </c>
      <c r="L99" s="16">
        <f>ROUND(K99*(1+'Interest rate projection'!AK101/Var_freq)+IF(L$5="Mortgage Starts",0,Deposit_mon),2)</f>
        <v>11237.34</v>
      </c>
      <c r="M99" s="16">
        <f>ROUND(L99*(1+'Interest rate projection'!AL101/Var_freq)+IF(M$5="Mortgage Starts",0,Deposit_mon),2)</f>
        <v>12287.59</v>
      </c>
      <c r="N99" s="16">
        <f>ROUND(M99*(1+'Interest rate projection'!AM101/Var_freq)+IF(N$5="Mortgage Starts",0,Deposit_mon),2)</f>
        <v>13344.97</v>
      </c>
      <c r="O99" s="16">
        <f>ROUND(N99*(1+'Interest rate projection'!AN101/Var_freq)+IF(O$5="Mortgage Starts",0,Deposit_mon),2)</f>
        <v>14407.29</v>
      </c>
      <c r="P99" s="16">
        <f>ROUND(O99*(1+'Interest rate projection'!AO101/Var_freq)+IF(P$5="Mortgage Starts",0,Deposit_mon),2)</f>
        <v>15474.57</v>
      </c>
      <c r="Q99" s="16">
        <f>ROUND(P99*(1+'Interest rate projection'!AP101/Var_freq)+IF(Q$5="Mortgage Starts",0,Deposit_mon),2)</f>
        <v>16546.830000000002</v>
      </c>
      <c r="R99" s="16">
        <f>ROUND(Q99*(1+'Interest rate projection'!AQ101/Var_freq)+IF(R$5="Mortgage Starts",0,Deposit_mon),2)</f>
        <v>17624.099999999999</v>
      </c>
      <c r="S99" s="16">
        <f>ROUND(R99*(1+'Interest rate projection'!AR101/Var_freq)+IF(S$5="Mortgage Starts",0,Deposit_mon),2)</f>
        <v>18706.400000000001</v>
      </c>
      <c r="T99" s="16">
        <f>ROUND(S99*(1+'Interest rate projection'!AS101/Var_freq)+IF(T$5="Mortgage Starts",0,Deposit_mon),2)</f>
        <v>19797.45</v>
      </c>
      <c r="U99" s="16">
        <f>ROUND(T99*(1+'Interest rate projection'!AT101/Var_freq)+IF(U$5="Mortgage Starts",0,Deposit_mon),2)</f>
        <v>20893.82</v>
      </c>
      <c r="V99" s="16">
        <f>ROUND(U99*(1+'Interest rate projection'!AU101/Var_freq)+IF(V$5="Mortgage Starts",0,Deposit_mon),2)</f>
        <v>21995.52</v>
      </c>
      <c r="W99" s="16">
        <f>ROUND(V99*(1+'Interest rate projection'!AV101/Var_freq)+IF(W$5="Mortgage Starts",0,Deposit_mon),2)</f>
        <v>23102.58</v>
      </c>
      <c r="X99" s="16">
        <f>ROUND(W99*(1+'Interest rate projection'!AW101/Var_freq)+IF(X$5="Mortgage Starts",0,Deposit_mon),2)</f>
        <v>24215.03</v>
      </c>
      <c r="Y99" s="16">
        <f>ROUND(X99*(1+'Interest rate projection'!AX101/Var_freq)+IF(Y$5="Mortgage Starts",0,Deposit_mon),2)</f>
        <v>25332.9</v>
      </c>
      <c r="Z99" s="57">
        <f>ROUND(Y99*(1+'Interest rate projection'!AY101/Var_freq)+IF(Z$5="Mortgage Starts",0,Deposit_mon),2)</f>
        <v>25456.21</v>
      </c>
      <c r="AA99" s="12"/>
      <c r="AB99" s="38">
        <f>'Interest rate projection'!Z101</f>
        <v>6.0000000000000005E-2</v>
      </c>
      <c r="AC99" s="38">
        <f>'Interest rate projection'!AZ101</f>
        <v>5.8410606784116581E-2</v>
      </c>
      <c r="AD99" s="59" t="str">
        <f t="shared" si="12"/>
        <v>OK</v>
      </c>
      <c r="AE99" s="39">
        <f t="shared" si="13"/>
        <v>13.131200165937551</v>
      </c>
      <c r="AF99" s="10"/>
      <c r="AG99" s="73">
        <f t="shared" si="15"/>
        <v>25456.21</v>
      </c>
      <c r="AH99" s="73">
        <f t="shared" si="16"/>
        <v>174543.79</v>
      </c>
      <c r="AI99" s="74">
        <f t="shared" si="14"/>
        <v>1107.69</v>
      </c>
      <c r="AJ99" s="9"/>
      <c r="AK99" s="73">
        <f>'Fixed rate projection'!$AE$3-('Variable rate projection'!AI99*Product_term*Var_freq)</f>
        <v>-29238</v>
      </c>
      <c r="AM99" s="14"/>
      <c r="AN99" s="10"/>
      <c r="AO99" s="11"/>
      <c r="AP99" s="11"/>
      <c r="AQ99" s="11"/>
      <c r="AR99" s="12"/>
      <c r="AS99" s="12"/>
      <c r="AT99" s="13"/>
      <c r="AV99" s="14"/>
      <c r="AW99" s="10"/>
      <c r="AX99" s="11"/>
      <c r="AY99" s="11"/>
      <c r="AZ99" s="11"/>
      <c r="BA99" s="12"/>
      <c r="BB99" s="12"/>
      <c r="BC99" s="13"/>
      <c r="BE99" s="14"/>
      <c r="BF99" s="10"/>
      <c r="BG99" s="11"/>
      <c r="BH99" s="11"/>
      <c r="BI99" s="11"/>
      <c r="BJ99" s="12"/>
      <c r="BK99" s="12"/>
      <c r="BL99" s="13"/>
      <c r="BN99" s="14"/>
      <c r="BO99" s="10"/>
      <c r="BP99" s="11"/>
      <c r="BQ99" s="11"/>
      <c r="BR99" s="11"/>
      <c r="BS99" s="12"/>
      <c r="BT99" s="12"/>
      <c r="BU99" s="13"/>
      <c r="BW99" s="14"/>
      <c r="BX99" s="10"/>
      <c r="BY99" s="11"/>
      <c r="BZ99" s="11"/>
      <c r="CA99" s="11"/>
      <c r="CB99" s="12"/>
      <c r="CC99" s="12"/>
      <c r="CD99" s="13"/>
      <c r="CF99" s="14"/>
      <c r="CG99" s="10"/>
      <c r="CH99" s="11"/>
      <c r="CI99" s="11"/>
      <c r="CJ99" s="11"/>
      <c r="CK99" s="12"/>
      <c r="CL99" s="12"/>
      <c r="CM99" s="13"/>
      <c r="CO99" s="13"/>
    </row>
    <row r="100" spans="1:93" x14ac:dyDescent="0.35">
      <c r="A100" s="27">
        <v>95</v>
      </c>
      <c r="B100" s="57">
        <f t="shared" si="11"/>
        <v>1000</v>
      </c>
      <c r="C100" s="16">
        <f>ROUND(B100*(1+'Interest rate projection'!AB102/Var_freq)+IF(C$5="Mortgage Starts",0,Deposit_mon),2)</f>
        <v>2003.67</v>
      </c>
      <c r="D100" s="16">
        <f>ROUND(C100*(1+'Interest rate projection'!AC102/Var_freq)+IF(D$5="Mortgage Starts",0,Deposit_mon),2)</f>
        <v>3011.43</v>
      </c>
      <c r="E100" s="16">
        <f>ROUND(D100*(1+'Interest rate projection'!AD102/Var_freq)+IF(E$5="Mortgage Starts",0,Deposit_mon),2)</f>
        <v>4022.5</v>
      </c>
      <c r="F100" s="16">
        <f>ROUND(E100*(1+'Interest rate projection'!AE102/Var_freq)+IF(F$5="Mortgage Starts",0,Deposit_mon),2)</f>
        <v>5038.09</v>
      </c>
      <c r="G100" s="16">
        <f>ROUND(F100*(1+'Interest rate projection'!AF102/Var_freq)+IF(G$5="Mortgage Starts",0,Deposit_mon),2)</f>
        <v>6057.61</v>
      </c>
      <c r="H100" s="16">
        <f>ROUND(G100*(1+'Interest rate projection'!AG102/Var_freq)+IF(H$5="Mortgage Starts",0,Deposit_mon),2)</f>
        <v>7081.08</v>
      </c>
      <c r="I100" s="16">
        <f>ROUND(H100*(1+'Interest rate projection'!AH102/Var_freq)+IF(I$5="Mortgage Starts",0,Deposit_mon),2)</f>
        <v>8108.52</v>
      </c>
      <c r="J100" s="16">
        <f>ROUND(I100*(1+'Interest rate projection'!AI102/Var_freq)+IF(J$5="Mortgage Starts",0,Deposit_mon),2)</f>
        <v>9139.94</v>
      </c>
      <c r="K100" s="16">
        <f>ROUND(J100*(1+'Interest rate projection'!AJ102/Var_freq)+IF(K$5="Mortgage Starts",0,Deposit_mon),2)</f>
        <v>10175.35</v>
      </c>
      <c r="L100" s="16">
        <f>ROUND(K100*(1+'Interest rate projection'!AK102/Var_freq)+IF(L$5="Mortgage Starts",0,Deposit_mon),2)</f>
        <v>11214.78</v>
      </c>
      <c r="M100" s="16">
        <f>ROUND(L100*(1+'Interest rate projection'!AL102/Var_freq)+IF(M$5="Mortgage Starts",0,Deposit_mon),2)</f>
        <v>12258.23</v>
      </c>
      <c r="N100" s="16">
        <f>ROUND(M100*(1+'Interest rate projection'!AM102/Var_freq)+IF(N$5="Mortgage Starts",0,Deposit_mon),2)</f>
        <v>13305.73</v>
      </c>
      <c r="O100" s="16">
        <f>ROUND(N100*(1+'Interest rate projection'!AN102/Var_freq)+IF(O$5="Mortgage Starts",0,Deposit_mon),2)</f>
        <v>14357.29</v>
      </c>
      <c r="P100" s="16">
        <f>ROUND(O100*(1+'Interest rate projection'!AO102/Var_freq)+IF(P$5="Mortgage Starts",0,Deposit_mon),2)</f>
        <v>15412.92</v>
      </c>
      <c r="Q100" s="16">
        <f>ROUND(P100*(1+'Interest rate projection'!AP102/Var_freq)+IF(Q$5="Mortgage Starts",0,Deposit_mon),2)</f>
        <v>16469.560000000001</v>
      </c>
      <c r="R100" s="16">
        <f>ROUND(Q100*(1+'Interest rate projection'!AQ102/Var_freq)+IF(R$5="Mortgage Starts",0,Deposit_mon),2)</f>
        <v>17530.080000000002</v>
      </c>
      <c r="S100" s="16">
        <f>ROUND(R100*(1+'Interest rate projection'!AR102/Var_freq)+IF(S$5="Mortgage Starts",0,Deposit_mon),2)</f>
        <v>18594.5</v>
      </c>
      <c r="T100" s="16">
        <f>ROUND(S100*(1+'Interest rate projection'!AS102/Var_freq)+IF(T$5="Mortgage Starts",0,Deposit_mon),2)</f>
        <v>19662.830000000002</v>
      </c>
      <c r="U100" s="16">
        <f>ROUND(T100*(1+'Interest rate projection'!AT102/Var_freq)+IF(U$5="Mortgage Starts",0,Deposit_mon),2)</f>
        <v>20735.09</v>
      </c>
      <c r="V100" s="16">
        <f>ROUND(U100*(1+'Interest rate projection'!AU102/Var_freq)+IF(V$5="Mortgage Starts",0,Deposit_mon),2)</f>
        <v>21811.29</v>
      </c>
      <c r="W100" s="16">
        <f>ROUND(V100*(1+'Interest rate projection'!AV102/Var_freq)+IF(W$5="Mortgage Starts",0,Deposit_mon),2)</f>
        <v>22891.439999999999</v>
      </c>
      <c r="X100" s="16">
        <f>ROUND(W100*(1+'Interest rate projection'!AW102/Var_freq)+IF(X$5="Mortgage Starts",0,Deposit_mon),2)</f>
        <v>23975.56</v>
      </c>
      <c r="Y100" s="16">
        <f>ROUND(X100*(1+'Interest rate projection'!AX102/Var_freq)+IF(Y$5="Mortgage Starts",0,Deposit_mon),2)</f>
        <v>25063.67</v>
      </c>
      <c r="Z100" s="57">
        <f>ROUND(Y100*(1+'Interest rate projection'!AY102/Var_freq)+IF(Z$5="Mortgage Starts",0,Deposit_mon),2)</f>
        <v>25155.77</v>
      </c>
      <c r="AA100" s="12"/>
      <c r="AB100" s="38">
        <f>'Interest rate projection'!Z102</f>
        <v>4.4999999999999998E-2</v>
      </c>
      <c r="AC100" s="38">
        <f>'Interest rate projection'!AZ102</f>
        <v>4.4097712805242217E-2</v>
      </c>
      <c r="AD100" s="59" t="str">
        <f t="shared" si="12"/>
        <v>OK</v>
      </c>
      <c r="AE100" s="39">
        <f t="shared" si="13"/>
        <v>15.131610255367837</v>
      </c>
      <c r="AF100" s="10"/>
      <c r="AG100" s="73">
        <f t="shared" si="15"/>
        <v>25155.77</v>
      </c>
      <c r="AH100" s="73">
        <f t="shared" si="16"/>
        <v>174844.23</v>
      </c>
      <c r="AI100" s="74">
        <f t="shared" si="14"/>
        <v>962.91</v>
      </c>
      <c r="AJ100" s="9"/>
      <c r="AK100" s="73">
        <f>'Fixed rate projection'!$AE$3-('Variable rate projection'!AI100*Product_term*Var_freq)</f>
        <v>14196</v>
      </c>
      <c r="AM100" s="14"/>
      <c r="AN100" s="10"/>
      <c r="AO100" s="11"/>
      <c r="AP100" s="11"/>
      <c r="AQ100" s="11"/>
      <c r="AR100" s="12"/>
      <c r="AS100" s="12"/>
      <c r="AT100" s="13"/>
      <c r="AV100" s="14"/>
      <c r="AW100" s="10"/>
      <c r="AX100" s="11"/>
      <c r="AY100" s="11"/>
      <c r="AZ100" s="11"/>
      <c r="BA100" s="12"/>
      <c r="BB100" s="12"/>
      <c r="BC100" s="13"/>
      <c r="BE100" s="14"/>
      <c r="BF100" s="10"/>
      <c r="BG100" s="11"/>
      <c r="BH100" s="11"/>
      <c r="BI100" s="11"/>
      <c r="BJ100" s="12"/>
      <c r="BK100" s="12"/>
      <c r="BL100" s="13"/>
      <c r="BN100" s="14"/>
      <c r="BO100" s="10"/>
      <c r="BP100" s="11"/>
      <c r="BQ100" s="11"/>
      <c r="BR100" s="11"/>
      <c r="BS100" s="12"/>
      <c r="BT100" s="12"/>
      <c r="BU100" s="13"/>
      <c r="BW100" s="14"/>
      <c r="BX100" s="10"/>
      <c r="BY100" s="11"/>
      <c r="BZ100" s="11"/>
      <c r="CA100" s="11"/>
      <c r="CB100" s="12"/>
      <c r="CC100" s="12"/>
      <c r="CD100" s="13"/>
      <c r="CF100" s="14"/>
      <c r="CG100" s="10"/>
      <c r="CH100" s="11"/>
      <c r="CI100" s="11"/>
      <c r="CJ100" s="11"/>
      <c r="CK100" s="12"/>
      <c r="CL100" s="12"/>
      <c r="CM100" s="13"/>
      <c r="CO100" s="13"/>
    </row>
    <row r="101" spans="1:93" x14ac:dyDescent="0.35">
      <c r="A101" s="5">
        <v>96</v>
      </c>
      <c r="B101" s="57">
        <f t="shared" si="11"/>
        <v>1000</v>
      </c>
      <c r="C101" s="16">
        <f>ROUND(B101*(1+'Interest rate projection'!AB103/Var_freq)+IF(C$5="Mortgage Starts",0,Deposit_mon),2)</f>
        <v>2003.67</v>
      </c>
      <c r="D101" s="16">
        <f>ROUND(C101*(1+'Interest rate projection'!AC103/Var_freq)+IF(D$5="Mortgage Starts",0,Deposit_mon),2)</f>
        <v>3010.63</v>
      </c>
      <c r="E101" s="16">
        <f>ROUND(D101*(1+'Interest rate projection'!AD103/Var_freq)+IF(E$5="Mortgage Starts",0,Deposit_mon),2)</f>
        <v>4021.09</v>
      </c>
      <c r="F101" s="16">
        <f>ROUND(E101*(1+'Interest rate projection'!AE103/Var_freq)+IF(F$5="Mortgage Starts",0,Deposit_mon),2)</f>
        <v>5035.0600000000004</v>
      </c>
      <c r="G101" s="16">
        <f>ROUND(F101*(1+'Interest rate projection'!AF103/Var_freq)+IF(G$5="Mortgage Starts",0,Deposit_mon),2)</f>
        <v>6052.55</v>
      </c>
      <c r="H101" s="16">
        <f>ROUND(G101*(1+'Interest rate projection'!AG103/Var_freq)+IF(H$5="Mortgage Starts",0,Deposit_mon),2)</f>
        <v>7071.15</v>
      </c>
      <c r="I101" s="16">
        <f>ROUND(H101*(1+'Interest rate projection'!AH103/Var_freq)+IF(I$5="Mortgage Starts",0,Deposit_mon),2)</f>
        <v>8092.88</v>
      </c>
      <c r="J101" s="16">
        <f>ROUND(I101*(1+'Interest rate projection'!AI103/Var_freq)+IF(J$5="Mortgage Starts",0,Deposit_mon),2)</f>
        <v>9117.75</v>
      </c>
      <c r="K101" s="16">
        <f>ROUND(J101*(1+'Interest rate projection'!AJ103/Var_freq)+IF(K$5="Mortgage Starts",0,Deposit_mon),2)</f>
        <v>10145.76</v>
      </c>
      <c r="L101" s="16">
        <f>ROUND(K101*(1+'Interest rate projection'!AK103/Var_freq)+IF(L$5="Mortgage Starts",0,Deposit_mon),2)</f>
        <v>11176.93</v>
      </c>
      <c r="M101" s="16">
        <f>ROUND(L101*(1+'Interest rate projection'!AL103/Var_freq)+IF(M$5="Mortgage Starts",0,Deposit_mon),2)</f>
        <v>12211.27</v>
      </c>
      <c r="N101" s="16">
        <f>ROUND(M101*(1+'Interest rate projection'!AM103/Var_freq)+IF(N$5="Mortgage Starts",0,Deposit_mon),2)</f>
        <v>13248.79</v>
      </c>
      <c r="O101" s="16">
        <f>ROUND(N101*(1+'Interest rate projection'!AN103/Var_freq)+IF(O$5="Mortgage Starts",0,Deposit_mon),2)</f>
        <v>14289.5</v>
      </c>
      <c r="P101" s="16">
        <f>ROUND(O101*(1+'Interest rate projection'!AO103/Var_freq)+IF(P$5="Mortgage Starts",0,Deposit_mon),2)</f>
        <v>15333.41</v>
      </c>
      <c r="Q101" s="16">
        <f>ROUND(P101*(1+'Interest rate projection'!AP103/Var_freq)+IF(Q$5="Mortgage Starts",0,Deposit_mon),2)</f>
        <v>16380.52</v>
      </c>
      <c r="R101" s="16">
        <f>ROUND(Q101*(1+'Interest rate projection'!AQ103/Var_freq)+IF(R$5="Mortgage Starts",0,Deposit_mon),2)</f>
        <v>17430.849999999999</v>
      </c>
      <c r="S101" s="16">
        <f>ROUND(R101*(1+'Interest rate projection'!AR103/Var_freq)+IF(S$5="Mortgage Starts",0,Deposit_mon),2)</f>
        <v>18484.41</v>
      </c>
      <c r="T101" s="16">
        <f>ROUND(S101*(1+'Interest rate projection'!AS103/Var_freq)+IF(T$5="Mortgage Starts",0,Deposit_mon),2)</f>
        <v>19541.2</v>
      </c>
      <c r="U101" s="16">
        <f>ROUND(T101*(1+'Interest rate projection'!AT103/Var_freq)+IF(U$5="Mortgage Starts",0,Deposit_mon),2)</f>
        <v>20601.240000000002</v>
      </c>
      <c r="V101" s="16">
        <f>ROUND(U101*(1+'Interest rate projection'!AU103/Var_freq)+IF(V$5="Mortgage Starts",0,Deposit_mon),2)</f>
        <v>21664.54</v>
      </c>
      <c r="W101" s="16">
        <f>ROUND(V101*(1+'Interest rate projection'!AV103/Var_freq)+IF(W$5="Mortgage Starts",0,Deposit_mon),2)</f>
        <v>22735.46</v>
      </c>
      <c r="X101" s="16">
        <f>ROUND(W101*(1+'Interest rate projection'!AW103/Var_freq)+IF(X$5="Mortgage Starts",0,Deposit_mon),2)</f>
        <v>23814.45</v>
      </c>
      <c r="Y101" s="16">
        <f>ROUND(X101*(1+'Interest rate projection'!AX103/Var_freq)+IF(Y$5="Mortgage Starts",0,Deposit_mon),2)</f>
        <v>24897.19</v>
      </c>
      <c r="Z101" s="57">
        <f>ROUND(Y101*(1+'Interest rate projection'!AY103/Var_freq)+IF(Z$5="Mortgage Starts",0,Deposit_mon),2)</f>
        <v>24983.7</v>
      </c>
      <c r="AA101" s="12"/>
      <c r="AB101" s="38">
        <f>'Interest rate projection'!Z103</f>
        <v>4.2500000000000003E-2</v>
      </c>
      <c r="AC101" s="38">
        <f>'Interest rate projection'!AZ103</f>
        <v>4.1693940041970023E-2</v>
      </c>
      <c r="AD101" s="59" t="str">
        <f t="shared" si="12"/>
        <v>OK</v>
      </c>
      <c r="AE101" s="39">
        <f t="shared" si="13"/>
        <v>15.511529757864551</v>
      </c>
      <c r="AF101" s="10"/>
      <c r="AG101" s="73">
        <f t="shared" si="15"/>
        <v>24983.7</v>
      </c>
      <c r="AH101" s="73">
        <f t="shared" si="16"/>
        <v>175016.3</v>
      </c>
      <c r="AI101" s="74">
        <f t="shared" si="14"/>
        <v>940.25</v>
      </c>
      <c r="AJ101" s="9"/>
      <c r="AK101" s="73">
        <f>'Fixed rate projection'!$AE$3-('Variable rate projection'!AI101*Product_term*Var_freq)</f>
        <v>20994</v>
      </c>
      <c r="AM101" s="14"/>
      <c r="AN101" s="10"/>
      <c r="AO101" s="11"/>
      <c r="AP101" s="11"/>
      <c r="AQ101" s="11"/>
      <c r="AR101" s="12"/>
      <c r="AS101" s="12"/>
      <c r="AT101" s="13"/>
      <c r="AV101" s="14"/>
      <c r="AW101" s="10"/>
      <c r="AX101" s="11"/>
      <c r="AY101" s="11"/>
      <c r="AZ101" s="11"/>
      <c r="BA101" s="12"/>
      <c r="BB101" s="12"/>
      <c r="BC101" s="13"/>
      <c r="BE101" s="14"/>
      <c r="BF101" s="10"/>
      <c r="BG101" s="11"/>
      <c r="BH101" s="11"/>
      <c r="BI101" s="11"/>
      <c r="BJ101" s="12"/>
      <c r="BK101" s="12"/>
      <c r="BL101" s="13"/>
      <c r="BN101" s="14"/>
      <c r="BO101" s="10"/>
      <c r="BP101" s="11"/>
      <c r="BQ101" s="11"/>
      <c r="BR101" s="11"/>
      <c r="BS101" s="12"/>
      <c r="BT101" s="12"/>
      <c r="BU101" s="13"/>
      <c r="BW101" s="14"/>
      <c r="BX101" s="10"/>
      <c r="BY101" s="11"/>
      <c r="BZ101" s="11"/>
      <c r="CA101" s="11"/>
      <c r="CB101" s="12"/>
      <c r="CC101" s="12"/>
      <c r="CD101" s="13"/>
      <c r="CF101" s="14"/>
      <c r="CG101" s="10"/>
      <c r="CH101" s="11"/>
      <c r="CI101" s="11"/>
      <c r="CJ101" s="11"/>
      <c r="CK101" s="12"/>
      <c r="CL101" s="12"/>
      <c r="CM101" s="13"/>
      <c r="CO101" s="13"/>
    </row>
    <row r="102" spans="1:93" x14ac:dyDescent="0.35">
      <c r="A102" s="27">
        <v>97</v>
      </c>
      <c r="B102" s="57">
        <f t="shared" ref="B102:B133" si="17">Deposit_mon</f>
        <v>1000</v>
      </c>
      <c r="C102" s="16">
        <f>ROUND(B102*(1+'Interest rate projection'!AB104/Var_freq)+IF(C$5="Mortgage Starts",0,Deposit_mon),2)</f>
        <v>2003.67</v>
      </c>
      <c r="D102" s="16">
        <f>ROUND(C102*(1+'Interest rate projection'!AC104/Var_freq)+IF(D$5="Mortgage Starts",0,Deposit_mon),2)</f>
        <v>3011.03</v>
      </c>
      <c r="E102" s="16">
        <f>ROUND(D102*(1+'Interest rate projection'!AD104/Var_freq)+IF(E$5="Mortgage Starts",0,Deposit_mon),2)</f>
        <v>4022.09</v>
      </c>
      <c r="F102" s="16">
        <f>ROUND(E102*(1+'Interest rate projection'!AE104/Var_freq)+IF(F$5="Mortgage Starts",0,Deposit_mon),2)</f>
        <v>5036.87</v>
      </c>
      <c r="G102" s="16">
        <f>ROUND(F102*(1+'Interest rate projection'!AF104/Var_freq)+IF(G$5="Mortgage Starts",0,Deposit_mon),2)</f>
        <v>6055.38</v>
      </c>
      <c r="H102" s="16">
        <f>ROUND(G102*(1+'Interest rate projection'!AG104/Var_freq)+IF(H$5="Mortgage Starts",0,Deposit_mon),2)</f>
        <v>7077.63</v>
      </c>
      <c r="I102" s="16">
        <f>ROUND(H102*(1+'Interest rate projection'!AH104/Var_freq)+IF(I$5="Mortgage Starts",0,Deposit_mon),2)</f>
        <v>8103.64</v>
      </c>
      <c r="J102" s="16">
        <f>ROUND(I102*(1+'Interest rate projection'!AI104/Var_freq)+IF(J$5="Mortgage Starts",0,Deposit_mon),2)</f>
        <v>9133.42</v>
      </c>
      <c r="K102" s="16">
        <f>ROUND(J102*(1+'Interest rate projection'!AJ104/Var_freq)+IF(K$5="Mortgage Starts",0,Deposit_mon),2)</f>
        <v>10166.98</v>
      </c>
      <c r="L102" s="16">
        <f>ROUND(K102*(1+'Interest rate projection'!AK104/Var_freq)+IF(L$5="Mortgage Starts",0,Deposit_mon),2)</f>
        <v>11204.34</v>
      </c>
      <c r="M102" s="16">
        <f>ROUND(L102*(1+'Interest rate projection'!AL104/Var_freq)+IF(M$5="Mortgage Starts",0,Deposit_mon),2)</f>
        <v>12245.51</v>
      </c>
      <c r="N102" s="16">
        <f>ROUND(M102*(1+'Interest rate projection'!AM104/Var_freq)+IF(N$5="Mortgage Starts",0,Deposit_mon),2)</f>
        <v>13292.96</v>
      </c>
      <c r="O102" s="16">
        <f>ROUND(N102*(1+'Interest rate projection'!AN104/Var_freq)+IF(O$5="Mortgage Starts",0,Deposit_mon),2)</f>
        <v>14344.47</v>
      </c>
      <c r="P102" s="16">
        <f>ROUND(O102*(1+'Interest rate projection'!AO104/Var_freq)+IF(P$5="Mortgage Starts",0,Deposit_mon),2)</f>
        <v>15400.05</v>
      </c>
      <c r="Q102" s="16">
        <f>ROUND(P102*(1+'Interest rate projection'!AP104/Var_freq)+IF(Q$5="Mortgage Starts",0,Deposit_mon),2)</f>
        <v>16459.72</v>
      </c>
      <c r="R102" s="16">
        <f>ROUND(Q102*(1+'Interest rate projection'!AQ104/Var_freq)+IF(R$5="Mortgage Starts",0,Deposit_mon),2)</f>
        <v>17523.5</v>
      </c>
      <c r="S102" s="16">
        <f>ROUND(R102*(1+'Interest rate projection'!AR104/Var_freq)+IF(S$5="Mortgage Starts",0,Deposit_mon),2)</f>
        <v>18587.900000000001</v>
      </c>
      <c r="T102" s="16">
        <f>ROUND(S102*(1+'Interest rate projection'!AS104/Var_freq)+IF(T$5="Mortgage Starts",0,Deposit_mon),2)</f>
        <v>19656.21</v>
      </c>
      <c r="U102" s="16">
        <f>ROUND(T102*(1+'Interest rate projection'!AT104/Var_freq)+IF(U$5="Mortgage Starts",0,Deposit_mon),2)</f>
        <v>20728.439999999999</v>
      </c>
      <c r="V102" s="16">
        <f>ROUND(U102*(1+'Interest rate projection'!AU104/Var_freq)+IF(V$5="Mortgage Starts",0,Deposit_mon),2)</f>
        <v>21804.61</v>
      </c>
      <c r="W102" s="16">
        <f>ROUND(V102*(1+'Interest rate projection'!AV104/Var_freq)+IF(W$5="Mortgage Starts",0,Deposit_mon),2)</f>
        <v>22884.74</v>
      </c>
      <c r="X102" s="16">
        <f>ROUND(W102*(1+'Interest rate projection'!AW104/Var_freq)+IF(X$5="Mortgage Starts",0,Deposit_mon),2)</f>
        <v>23959.66</v>
      </c>
      <c r="Y102" s="16">
        <f>ROUND(X102*(1+'Interest rate projection'!AX104/Var_freq)+IF(Y$5="Mortgage Starts",0,Deposit_mon),2)</f>
        <v>25038.1</v>
      </c>
      <c r="Z102" s="57">
        <f>ROUND(Y102*(1+'Interest rate projection'!AY104/Var_freq)+IF(Z$5="Mortgage Starts",0,Deposit_mon),2)</f>
        <v>25120.07</v>
      </c>
      <c r="AA102" s="12"/>
      <c r="AB102" s="38">
        <f>'Interest rate projection'!Z104</f>
        <v>0.04</v>
      </c>
      <c r="AC102" s="38">
        <f>'Interest rate projection'!AZ104</f>
        <v>3.9284877386386974E-2</v>
      </c>
      <c r="AD102" s="59" t="str">
        <f t="shared" ref="AD102:AD133" si="18">IF(ROUND(AB102,6)=ROUND((1+AC102/Var_freq)^Var_freq-1,6),"OK","ERROR")</f>
        <v>OK</v>
      </c>
      <c r="AE102" s="39">
        <f t="shared" ref="AE102:AE133" si="19">(1-(1+AB102)^-Mort_term)/AC102</f>
        <v>15.906456614335044</v>
      </c>
      <c r="AF102" s="10"/>
      <c r="AG102" s="73">
        <f t="shared" si="15"/>
        <v>25120.07</v>
      </c>
      <c r="AH102" s="73">
        <f t="shared" si="16"/>
        <v>174879.93</v>
      </c>
      <c r="AI102" s="74">
        <f t="shared" ref="AI102:AI133" si="20">ROUND(AH102/AE102/Var_freq,2)</f>
        <v>916.19</v>
      </c>
      <c r="AJ102" s="9"/>
      <c r="AK102" s="73">
        <f>'Fixed rate projection'!$AE$3-('Variable rate projection'!AI102*Product_term*Var_freq)</f>
        <v>28212</v>
      </c>
      <c r="AM102" s="14"/>
      <c r="AN102" s="10"/>
      <c r="AO102" s="11"/>
      <c r="AP102" s="11"/>
      <c r="AQ102" s="11"/>
      <c r="AR102" s="12"/>
      <c r="AS102" s="12"/>
      <c r="AT102" s="13"/>
      <c r="AV102" s="14"/>
      <c r="AW102" s="10"/>
      <c r="AX102" s="11"/>
      <c r="AY102" s="11"/>
      <c r="AZ102" s="11"/>
      <c r="BA102" s="12"/>
      <c r="BB102" s="12"/>
      <c r="BC102" s="13"/>
      <c r="BE102" s="14"/>
      <c r="BF102" s="10"/>
      <c r="BG102" s="11"/>
      <c r="BH102" s="11"/>
      <c r="BI102" s="11"/>
      <c r="BJ102" s="12"/>
      <c r="BK102" s="12"/>
      <c r="BL102" s="13"/>
      <c r="BN102" s="14"/>
      <c r="BO102" s="10"/>
      <c r="BP102" s="11"/>
      <c r="BQ102" s="11"/>
      <c r="BR102" s="11"/>
      <c r="BS102" s="12"/>
      <c r="BT102" s="12"/>
      <c r="BU102" s="13"/>
      <c r="BW102" s="14"/>
      <c r="BX102" s="10"/>
      <c r="BY102" s="11"/>
      <c r="BZ102" s="11"/>
      <c r="CA102" s="11"/>
      <c r="CB102" s="12"/>
      <c r="CC102" s="12"/>
      <c r="CD102" s="13"/>
      <c r="CF102" s="14"/>
      <c r="CG102" s="10"/>
      <c r="CH102" s="11"/>
      <c r="CI102" s="11"/>
      <c r="CJ102" s="11"/>
      <c r="CK102" s="12"/>
      <c r="CL102" s="12"/>
      <c r="CM102" s="13"/>
      <c r="CO102" s="13"/>
    </row>
    <row r="103" spans="1:93" x14ac:dyDescent="0.35">
      <c r="A103" s="5">
        <v>98</v>
      </c>
      <c r="B103" s="57">
        <f t="shared" si="17"/>
        <v>1000</v>
      </c>
      <c r="C103" s="16">
        <f>ROUND(B103*(1+'Interest rate projection'!AB105/Var_freq)+IF(C$5="Mortgage Starts",0,Deposit_mon),2)</f>
        <v>2003.67</v>
      </c>
      <c r="D103" s="16">
        <f>ROUND(C103*(1+'Interest rate projection'!AC105/Var_freq)+IF(D$5="Mortgage Starts",0,Deposit_mon),2)</f>
        <v>3011.03</v>
      </c>
      <c r="E103" s="16">
        <f>ROUND(D103*(1+'Interest rate projection'!AD105/Var_freq)+IF(E$5="Mortgage Starts",0,Deposit_mon),2)</f>
        <v>4022.09</v>
      </c>
      <c r="F103" s="16">
        <f>ROUND(E103*(1+'Interest rate projection'!AE105/Var_freq)+IF(F$5="Mortgage Starts",0,Deposit_mon),2)</f>
        <v>5036.87</v>
      </c>
      <c r="G103" s="16">
        <f>ROUND(F103*(1+'Interest rate projection'!AF105/Var_freq)+IF(G$5="Mortgage Starts",0,Deposit_mon),2)</f>
        <v>6055.38</v>
      </c>
      <c r="H103" s="16">
        <f>ROUND(G103*(1+'Interest rate projection'!AG105/Var_freq)+IF(H$5="Mortgage Starts",0,Deposit_mon),2)</f>
        <v>7077.63</v>
      </c>
      <c r="I103" s="16">
        <f>ROUND(H103*(1+'Interest rate projection'!AH105/Var_freq)+IF(I$5="Mortgage Starts",0,Deposit_mon),2)</f>
        <v>8103.64</v>
      </c>
      <c r="J103" s="16">
        <f>ROUND(I103*(1+'Interest rate projection'!AI105/Var_freq)+IF(J$5="Mortgage Starts",0,Deposit_mon),2)</f>
        <v>9133.42</v>
      </c>
      <c r="K103" s="16">
        <f>ROUND(J103*(1+'Interest rate projection'!AJ105/Var_freq)+IF(K$5="Mortgage Starts",0,Deposit_mon),2)</f>
        <v>10165.15</v>
      </c>
      <c r="L103" s="16">
        <f>ROUND(K103*(1+'Interest rate projection'!AK105/Var_freq)+IF(L$5="Mortgage Starts",0,Deposit_mon),2)</f>
        <v>11200.47</v>
      </c>
      <c r="M103" s="16">
        <f>ROUND(L103*(1+'Interest rate projection'!AL105/Var_freq)+IF(M$5="Mortgage Starts",0,Deposit_mon),2)</f>
        <v>12234.88</v>
      </c>
      <c r="N103" s="16">
        <f>ROUND(M103*(1+'Interest rate projection'!AM105/Var_freq)+IF(N$5="Mortgage Starts",0,Deposit_mon),2)</f>
        <v>13272.47</v>
      </c>
      <c r="O103" s="16">
        <f>ROUND(N103*(1+'Interest rate projection'!AN105/Var_freq)+IF(O$5="Mortgage Starts",0,Deposit_mon),2)</f>
        <v>14313.25</v>
      </c>
      <c r="P103" s="16">
        <f>ROUND(O103*(1+'Interest rate projection'!AO105/Var_freq)+IF(P$5="Mortgage Starts",0,Deposit_mon),2)</f>
        <v>15357.23</v>
      </c>
      <c r="Q103" s="16">
        <f>ROUND(P103*(1+'Interest rate projection'!AP105/Var_freq)+IF(Q$5="Mortgage Starts",0,Deposit_mon),2)</f>
        <v>16404.419999999998</v>
      </c>
      <c r="R103" s="16">
        <f>ROUND(Q103*(1+'Interest rate projection'!AQ105/Var_freq)+IF(R$5="Mortgage Starts",0,Deposit_mon),2)</f>
        <v>17451.52</v>
      </c>
      <c r="S103" s="16">
        <f>ROUND(R103*(1+'Interest rate projection'!AR105/Var_freq)+IF(S$5="Mortgage Starts",0,Deposit_mon),2)</f>
        <v>18505.14</v>
      </c>
      <c r="T103" s="16">
        <f>ROUND(S103*(1+'Interest rate projection'!AS105/Var_freq)+IF(T$5="Mortgage Starts",0,Deposit_mon),2)</f>
        <v>19562</v>
      </c>
      <c r="U103" s="16">
        <f>ROUND(T103*(1+'Interest rate projection'!AT105/Var_freq)+IF(U$5="Mortgage Starts",0,Deposit_mon),2)</f>
        <v>20622.11</v>
      </c>
      <c r="V103" s="16">
        <f>ROUND(U103*(1+'Interest rate projection'!AU105/Var_freq)+IF(V$5="Mortgage Starts",0,Deposit_mon),2)</f>
        <v>21685.47</v>
      </c>
      <c r="W103" s="16">
        <f>ROUND(V103*(1+'Interest rate projection'!AV105/Var_freq)+IF(W$5="Mortgage Starts",0,Deposit_mon),2)</f>
        <v>22752.1</v>
      </c>
      <c r="X103" s="16">
        <f>ROUND(W103*(1+'Interest rate projection'!AW105/Var_freq)+IF(X$5="Mortgage Starts",0,Deposit_mon),2)</f>
        <v>23822.01</v>
      </c>
      <c r="Y103" s="16">
        <f>ROUND(X103*(1+'Interest rate projection'!AX105/Var_freq)+IF(Y$5="Mortgage Starts",0,Deposit_mon),2)</f>
        <v>24895.200000000001</v>
      </c>
      <c r="Z103" s="57">
        <f>ROUND(Y103*(1+'Interest rate projection'!AY105/Var_freq)+IF(Z$5="Mortgage Starts",0,Deposit_mon),2)</f>
        <v>24971.69</v>
      </c>
      <c r="AA103" s="12"/>
      <c r="AB103" s="38">
        <f>'Interest rate projection'!Z105</f>
        <v>3.7499999999999999E-2</v>
      </c>
      <c r="AC103" s="38">
        <f>'Interest rate projection'!AZ105</f>
        <v>3.6870500439066589E-2</v>
      </c>
      <c r="AD103" s="59" t="str">
        <f t="shared" si="18"/>
        <v>OK</v>
      </c>
      <c r="AE103" s="39">
        <f t="shared" si="19"/>
        <v>16.317113717606386</v>
      </c>
      <c r="AF103" s="10"/>
      <c r="AG103" s="73">
        <f t="shared" si="15"/>
        <v>24971.69</v>
      </c>
      <c r="AH103" s="73">
        <f t="shared" si="16"/>
        <v>175028.31</v>
      </c>
      <c r="AI103" s="74">
        <f t="shared" si="20"/>
        <v>893.89</v>
      </c>
      <c r="AJ103" s="9"/>
      <c r="AK103" s="73">
        <f>'Fixed rate projection'!$AE$3-('Variable rate projection'!AI103*Product_term*Var_freq)</f>
        <v>34902</v>
      </c>
      <c r="AM103" s="14"/>
      <c r="AN103" s="10"/>
      <c r="AO103" s="11"/>
      <c r="AP103" s="11"/>
      <c r="AQ103" s="11"/>
      <c r="AR103" s="12"/>
      <c r="AS103" s="12"/>
      <c r="AT103" s="13"/>
      <c r="AV103" s="14"/>
      <c r="AW103" s="10"/>
      <c r="AX103" s="11"/>
      <c r="AY103" s="11"/>
      <c r="AZ103" s="11"/>
      <c r="BA103" s="12"/>
      <c r="BB103" s="12"/>
      <c r="BC103" s="13"/>
      <c r="BE103" s="14"/>
      <c r="BF103" s="10"/>
      <c r="BG103" s="11"/>
      <c r="BH103" s="11"/>
      <c r="BI103" s="11"/>
      <c r="BJ103" s="12"/>
      <c r="BK103" s="12"/>
      <c r="BL103" s="13"/>
      <c r="BN103" s="14"/>
      <c r="BO103" s="10"/>
      <c r="BP103" s="11"/>
      <c r="BQ103" s="11"/>
      <c r="BR103" s="11"/>
      <c r="BS103" s="12"/>
      <c r="BT103" s="12"/>
      <c r="BU103" s="13"/>
      <c r="BW103" s="14"/>
      <c r="BX103" s="10"/>
      <c r="BY103" s="11"/>
      <c r="BZ103" s="11"/>
      <c r="CA103" s="11"/>
      <c r="CB103" s="12"/>
      <c r="CC103" s="12"/>
      <c r="CD103" s="13"/>
      <c r="CF103" s="14"/>
      <c r="CG103" s="10"/>
      <c r="CH103" s="11"/>
      <c r="CI103" s="11"/>
      <c r="CJ103" s="11"/>
      <c r="CK103" s="12"/>
      <c r="CL103" s="12"/>
      <c r="CM103" s="13"/>
      <c r="CO103" s="13"/>
    </row>
    <row r="104" spans="1:93" x14ac:dyDescent="0.35">
      <c r="A104" s="27">
        <v>99</v>
      </c>
      <c r="B104" s="57">
        <f t="shared" si="17"/>
        <v>1000</v>
      </c>
      <c r="C104" s="16">
        <f>ROUND(B104*(1+'Interest rate projection'!AB106/Var_freq)+IF(C$5="Mortgage Starts",0,Deposit_mon),2)</f>
        <v>2003.67</v>
      </c>
      <c r="D104" s="16">
        <f>ROUND(C104*(1+'Interest rate projection'!AC106/Var_freq)+IF(D$5="Mortgage Starts",0,Deposit_mon),2)</f>
        <v>3011.03</v>
      </c>
      <c r="E104" s="16">
        <f>ROUND(D104*(1+'Interest rate projection'!AD106/Var_freq)+IF(E$5="Mortgage Starts",0,Deposit_mon),2)</f>
        <v>4020.89</v>
      </c>
      <c r="F104" s="16">
        <f>ROUND(E104*(1+'Interest rate projection'!AE106/Var_freq)+IF(F$5="Mortgage Starts",0,Deposit_mon),2)</f>
        <v>5034.05</v>
      </c>
      <c r="G104" s="16">
        <f>ROUND(F104*(1+'Interest rate projection'!AF106/Var_freq)+IF(G$5="Mortgage Starts",0,Deposit_mon),2)</f>
        <v>6050.53</v>
      </c>
      <c r="H104" s="16">
        <f>ROUND(G104*(1+'Interest rate projection'!AG106/Var_freq)+IF(H$5="Mortgage Starts",0,Deposit_mon),2)</f>
        <v>7070.34</v>
      </c>
      <c r="I104" s="16">
        <f>ROUND(H104*(1+'Interest rate projection'!AH106/Var_freq)+IF(I$5="Mortgage Starts",0,Deposit_mon),2)</f>
        <v>8090.64</v>
      </c>
      <c r="J104" s="16">
        <f>ROUND(I104*(1+'Interest rate projection'!AI106/Var_freq)+IF(J$5="Mortgage Starts",0,Deposit_mon),2)</f>
        <v>9113.8700000000008</v>
      </c>
      <c r="K104" s="16">
        <f>ROUND(J104*(1+'Interest rate projection'!AJ106/Var_freq)+IF(K$5="Mortgage Starts",0,Deposit_mon),2)</f>
        <v>10140.030000000001</v>
      </c>
      <c r="L104" s="16">
        <f>ROUND(K104*(1+'Interest rate projection'!AK106/Var_freq)+IF(L$5="Mortgage Starts",0,Deposit_mon),2)</f>
        <v>11169.14</v>
      </c>
      <c r="M104" s="16">
        <f>ROUND(L104*(1+'Interest rate projection'!AL106/Var_freq)+IF(M$5="Mortgage Starts",0,Deposit_mon),2)</f>
        <v>12201.21</v>
      </c>
      <c r="N104" s="16">
        <f>ROUND(M104*(1+'Interest rate projection'!AM106/Var_freq)+IF(N$5="Mortgage Starts",0,Deposit_mon),2)</f>
        <v>13236.24</v>
      </c>
      <c r="O104" s="16">
        <f>ROUND(N104*(1+'Interest rate projection'!AN106/Var_freq)+IF(O$5="Mortgage Starts",0,Deposit_mon),2)</f>
        <v>14274.24</v>
      </c>
      <c r="P104" s="16">
        <f>ROUND(O104*(1+'Interest rate projection'!AO106/Var_freq)+IF(P$5="Mortgage Starts",0,Deposit_mon),2)</f>
        <v>15315.22</v>
      </c>
      <c r="Q104" s="16">
        <f>ROUND(P104*(1+'Interest rate projection'!AP106/Var_freq)+IF(Q$5="Mortgage Starts",0,Deposit_mon),2)</f>
        <v>16359.19</v>
      </c>
      <c r="R104" s="16">
        <f>ROUND(Q104*(1+'Interest rate projection'!AQ106/Var_freq)+IF(R$5="Mortgage Starts",0,Deposit_mon),2)</f>
        <v>17406.16</v>
      </c>
      <c r="S104" s="16">
        <f>ROUND(R104*(1+'Interest rate projection'!AR106/Var_freq)+IF(S$5="Mortgage Starts",0,Deposit_mon),2)</f>
        <v>18456.13</v>
      </c>
      <c r="T104" s="16">
        <f>ROUND(S104*(1+'Interest rate projection'!AS106/Var_freq)+IF(T$5="Mortgage Starts",0,Deposit_mon),2)</f>
        <v>19509.12</v>
      </c>
      <c r="U104" s="16">
        <f>ROUND(T104*(1+'Interest rate projection'!AT106/Var_freq)+IF(U$5="Mortgage Starts",0,Deposit_mon),2)</f>
        <v>20565.13</v>
      </c>
      <c r="V104" s="16">
        <f>ROUND(U104*(1+'Interest rate projection'!AU106/Var_freq)+IF(V$5="Mortgage Starts",0,Deposit_mon),2)</f>
        <v>21624.17</v>
      </c>
      <c r="W104" s="16">
        <f>ROUND(V104*(1+'Interest rate projection'!AV106/Var_freq)+IF(W$5="Mortgage Starts",0,Deposit_mon),2)</f>
        <v>22686.25</v>
      </c>
      <c r="X104" s="16">
        <f>ROUND(W104*(1+'Interest rate projection'!AW106/Var_freq)+IF(X$5="Mortgage Starts",0,Deposit_mon),2)</f>
        <v>23751.38</v>
      </c>
      <c r="Y104" s="16">
        <f>ROUND(X104*(1+'Interest rate projection'!AX106/Var_freq)+IF(Y$5="Mortgage Starts",0,Deposit_mon),2)</f>
        <v>24809.96</v>
      </c>
      <c r="Z104" s="57">
        <f>ROUND(Y104*(1+'Interest rate projection'!AY106/Var_freq)+IF(Z$5="Mortgage Starts",0,Deposit_mon),2)</f>
        <v>24871.15</v>
      </c>
      <c r="AA104" s="12"/>
      <c r="AB104" s="38">
        <f>'Interest rate projection'!Z106</f>
        <v>3.0000000000000002E-2</v>
      </c>
      <c r="AC104" s="38">
        <f>'Interest rate projection'!AZ106</f>
        <v>2.9595237267644237E-2</v>
      </c>
      <c r="AD104" s="59" t="str">
        <f t="shared" si="18"/>
        <v>OK</v>
      </c>
      <c r="AE104" s="39">
        <f t="shared" si="19"/>
        <v>17.651300647265352</v>
      </c>
      <c r="AF104" s="10"/>
      <c r="AG104" s="73">
        <f t="shared" si="15"/>
        <v>24871.15</v>
      </c>
      <c r="AH104" s="73">
        <f t="shared" si="16"/>
        <v>175128.85</v>
      </c>
      <c r="AI104" s="74">
        <f t="shared" si="20"/>
        <v>826.8</v>
      </c>
      <c r="AJ104" s="9"/>
      <c r="AK104" s="73">
        <f>'Fixed rate projection'!$AE$3-('Variable rate projection'!AI104*Product_term*Var_freq)</f>
        <v>55029</v>
      </c>
      <c r="AM104" s="14"/>
      <c r="AN104" s="10"/>
      <c r="AO104" s="11"/>
      <c r="AP104" s="11"/>
      <c r="AQ104" s="11"/>
      <c r="AR104" s="12"/>
      <c r="AS104" s="12"/>
      <c r="AT104" s="13"/>
      <c r="AV104" s="14"/>
      <c r="AW104" s="10"/>
      <c r="AX104" s="11"/>
      <c r="AY104" s="11"/>
      <c r="AZ104" s="11"/>
      <c r="BA104" s="12"/>
      <c r="BB104" s="12"/>
      <c r="BC104" s="13"/>
      <c r="BE104" s="14"/>
      <c r="BF104" s="10"/>
      <c r="BG104" s="11"/>
      <c r="BH104" s="11"/>
      <c r="BI104" s="11"/>
      <c r="BJ104" s="12"/>
      <c r="BK104" s="12"/>
      <c r="BL104" s="13"/>
      <c r="BN104" s="14"/>
      <c r="BO104" s="10"/>
      <c r="BP104" s="11"/>
      <c r="BQ104" s="11"/>
      <c r="BR104" s="11"/>
      <c r="BS104" s="12"/>
      <c r="BT104" s="12"/>
      <c r="BU104" s="13"/>
      <c r="BW104" s="14"/>
      <c r="BX104" s="10"/>
      <c r="BY104" s="11"/>
      <c r="BZ104" s="11"/>
      <c r="CA104" s="11"/>
      <c r="CB104" s="12"/>
      <c r="CC104" s="12"/>
      <c r="CD104" s="13"/>
      <c r="CF104" s="14"/>
      <c r="CG104" s="10"/>
      <c r="CH104" s="11"/>
      <c r="CI104" s="11"/>
      <c r="CJ104" s="11"/>
      <c r="CK104" s="12"/>
      <c r="CL104" s="12"/>
      <c r="CM104" s="13"/>
      <c r="CO104" s="13"/>
    </row>
    <row r="105" spans="1:93" x14ac:dyDescent="0.35">
      <c r="A105" s="5">
        <v>100</v>
      </c>
      <c r="B105" s="57">
        <f t="shared" si="17"/>
        <v>1000</v>
      </c>
      <c r="C105" s="16">
        <f>ROUND(B105*(1+'Interest rate projection'!AB107/Var_freq)+IF(C$5="Mortgage Starts",0,Deposit_mon),2)</f>
        <v>2003.67</v>
      </c>
      <c r="D105" s="16">
        <f>ROUND(C105*(1+'Interest rate projection'!AC107/Var_freq)+IF(D$5="Mortgage Starts",0,Deposit_mon),2)</f>
        <v>3011.03</v>
      </c>
      <c r="E105" s="16">
        <f>ROUND(D105*(1+'Interest rate projection'!AD107/Var_freq)+IF(E$5="Mortgage Starts",0,Deposit_mon),2)</f>
        <v>4023.3</v>
      </c>
      <c r="F105" s="16">
        <f>ROUND(E105*(1+'Interest rate projection'!AE107/Var_freq)+IF(F$5="Mortgage Starts",0,Deposit_mon),2)</f>
        <v>5039.6899999999996</v>
      </c>
      <c r="G105" s="16">
        <f>ROUND(F105*(1+'Interest rate projection'!AF107/Var_freq)+IF(G$5="Mortgage Starts",0,Deposit_mon),2)</f>
        <v>6060.22</v>
      </c>
      <c r="H105" s="16">
        <f>ROUND(G105*(1+'Interest rate projection'!AG107/Var_freq)+IF(H$5="Mortgage Starts",0,Deposit_mon),2)</f>
        <v>7084.91</v>
      </c>
      <c r="I105" s="16">
        <f>ROUND(H105*(1+'Interest rate projection'!AH107/Var_freq)+IF(I$5="Mortgage Starts",0,Deposit_mon),2)</f>
        <v>8113.77</v>
      </c>
      <c r="J105" s="16">
        <f>ROUND(I105*(1+'Interest rate projection'!AI107/Var_freq)+IF(J$5="Mortgage Starts",0,Deposit_mon),2)</f>
        <v>9146.83</v>
      </c>
      <c r="K105" s="16">
        <f>ROUND(J105*(1+'Interest rate projection'!AJ107/Var_freq)+IF(K$5="Mortgage Starts",0,Deposit_mon),2)</f>
        <v>10184.1</v>
      </c>
      <c r="L105" s="16">
        <f>ROUND(K105*(1+'Interest rate projection'!AK107/Var_freq)+IF(L$5="Mortgage Starts",0,Deposit_mon),2)</f>
        <v>11225.59</v>
      </c>
      <c r="M105" s="16">
        <f>ROUND(L105*(1+'Interest rate projection'!AL107/Var_freq)+IF(M$5="Mortgage Starts",0,Deposit_mon),2)</f>
        <v>12269.09</v>
      </c>
      <c r="N105" s="16">
        <f>ROUND(M105*(1+'Interest rate projection'!AM107/Var_freq)+IF(N$5="Mortgage Starts",0,Deposit_mon),2)</f>
        <v>13316.63</v>
      </c>
      <c r="O105" s="16">
        <f>ROUND(N105*(1+'Interest rate projection'!AN107/Var_freq)+IF(O$5="Mortgage Starts",0,Deposit_mon),2)</f>
        <v>14368.23</v>
      </c>
      <c r="P105" s="16">
        <f>ROUND(O105*(1+'Interest rate projection'!AO107/Var_freq)+IF(P$5="Mortgage Starts",0,Deposit_mon),2)</f>
        <v>15423.9</v>
      </c>
      <c r="Q105" s="16">
        <f>ROUND(P105*(1+'Interest rate projection'!AP107/Var_freq)+IF(Q$5="Mortgage Starts",0,Deposit_mon),2)</f>
        <v>16483.66</v>
      </c>
      <c r="R105" s="16">
        <f>ROUND(Q105*(1+'Interest rate projection'!AQ107/Var_freq)+IF(R$5="Mortgage Starts",0,Deposit_mon),2)</f>
        <v>17547.53</v>
      </c>
      <c r="S105" s="16">
        <f>ROUND(R105*(1+'Interest rate projection'!AR107/Var_freq)+IF(S$5="Mortgage Starts",0,Deposit_mon),2)</f>
        <v>18615.52</v>
      </c>
      <c r="T105" s="16">
        <f>ROUND(S105*(1+'Interest rate projection'!AS107/Var_freq)+IF(T$5="Mortgage Starts",0,Deposit_mon),2)</f>
        <v>19687.650000000001</v>
      </c>
      <c r="U105" s="16">
        <f>ROUND(T105*(1+'Interest rate projection'!AT107/Var_freq)+IF(U$5="Mortgage Starts",0,Deposit_mon),2)</f>
        <v>20763.93</v>
      </c>
      <c r="V105" s="16">
        <f>ROUND(U105*(1+'Interest rate projection'!AU107/Var_freq)+IF(V$5="Mortgage Starts",0,Deposit_mon),2)</f>
        <v>21840.23</v>
      </c>
      <c r="W105" s="16">
        <f>ROUND(V105*(1+'Interest rate projection'!AV107/Var_freq)+IF(W$5="Mortgage Starts",0,Deposit_mon),2)</f>
        <v>22920.49</v>
      </c>
      <c r="X105" s="16">
        <f>ROUND(W105*(1+'Interest rate projection'!AW107/Var_freq)+IF(X$5="Mortgage Starts",0,Deposit_mon),2)</f>
        <v>24004.720000000001</v>
      </c>
      <c r="Y105" s="16">
        <f>ROUND(X105*(1+'Interest rate projection'!AX107/Var_freq)+IF(Y$5="Mortgage Starts",0,Deposit_mon),2)</f>
        <v>25092.93</v>
      </c>
      <c r="Z105" s="57">
        <f>ROUND(Y105*(1+'Interest rate projection'!AY107/Var_freq)+IF(Z$5="Mortgage Starts",0,Deposit_mon),2)</f>
        <v>25185.14</v>
      </c>
      <c r="AA105" s="12"/>
      <c r="AB105" s="38">
        <f>'Interest rate projection'!Z107</f>
        <v>4.4999999999999991E-2</v>
      </c>
      <c r="AC105" s="38">
        <f>'Interest rate projection'!AZ107</f>
        <v>4.4097712805242217E-2</v>
      </c>
      <c r="AD105" s="59" t="str">
        <f t="shared" si="18"/>
        <v>OK</v>
      </c>
      <c r="AE105" s="39">
        <f t="shared" si="19"/>
        <v>15.131610255367837</v>
      </c>
      <c r="AF105" s="10"/>
      <c r="AG105" s="73">
        <f t="shared" si="15"/>
        <v>25185.14</v>
      </c>
      <c r="AH105" s="73">
        <f t="shared" si="16"/>
        <v>174814.86</v>
      </c>
      <c r="AI105" s="74">
        <f t="shared" si="20"/>
        <v>962.75</v>
      </c>
      <c r="AJ105" s="9"/>
      <c r="AK105" s="73">
        <f>'Fixed rate projection'!$AE$3-('Variable rate projection'!AI105*Product_term*Var_freq)</f>
        <v>14244</v>
      </c>
      <c r="AM105" s="14"/>
      <c r="AN105" s="10"/>
      <c r="AO105" s="11"/>
      <c r="AP105" s="11"/>
      <c r="AQ105" s="11"/>
      <c r="AR105" s="12"/>
      <c r="AS105" s="12"/>
      <c r="AT105" s="13"/>
      <c r="AV105" s="14"/>
      <c r="AW105" s="10"/>
      <c r="AX105" s="11"/>
      <c r="AY105" s="11"/>
      <c r="AZ105" s="11"/>
      <c r="BA105" s="12"/>
      <c r="BB105" s="12"/>
      <c r="BC105" s="13"/>
      <c r="BE105" s="14"/>
      <c r="BF105" s="10"/>
      <c r="BG105" s="11"/>
      <c r="BH105" s="11"/>
      <c r="BI105" s="11"/>
      <c r="BJ105" s="12"/>
      <c r="BK105" s="12"/>
      <c r="BL105" s="13"/>
      <c r="BN105" s="14"/>
      <c r="BO105" s="10"/>
      <c r="BP105" s="11"/>
      <c r="BQ105" s="11"/>
      <c r="BR105" s="11"/>
      <c r="BS105" s="12"/>
      <c r="BT105" s="12"/>
      <c r="BU105" s="13"/>
      <c r="BW105" s="14"/>
      <c r="BX105" s="10"/>
      <c r="BY105" s="11"/>
      <c r="BZ105" s="11"/>
      <c r="CA105" s="11"/>
      <c r="CB105" s="12"/>
      <c r="CC105" s="12"/>
      <c r="CD105" s="13"/>
      <c r="CF105" s="14"/>
      <c r="CG105" s="10"/>
      <c r="CH105" s="11"/>
      <c r="CI105" s="11"/>
      <c r="CJ105" s="11"/>
      <c r="CK105" s="12"/>
      <c r="CL105" s="12"/>
      <c r="CM105" s="13"/>
      <c r="CO105" s="13"/>
    </row>
    <row r="106" spans="1:93" x14ac:dyDescent="0.35">
      <c r="A106" s="27">
        <v>101</v>
      </c>
      <c r="B106" s="57">
        <f t="shared" si="17"/>
        <v>1000</v>
      </c>
      <c r="C106" s="16">
        <f>ROUND(B106*(1+'Interest rate projection'!AB108/Var_freq)+IF(C$5="Mortgage Starts",0,Deposit_mon),2)</f>
        <v>2003.67</v>
      </c>
      <c r="D106" s="16">
        <f>ROUND(C106*(1+'Interest rate projection'!AC108/Var_freq)+IF(D$5="Mortgage Starts",0,Deposit_mon),2)</f>
        <v>3011.03</v>
      </c>
      <c r="E106" s="16">
        <f>ROUND(D106*(1+'Interest rate projection'!AD108/Var_freq)+IF(E$5="Mortgage Starts",0,Deposit_mon),2)</f>
        <v>4022.09</v>
      </c>
      <c r="F106" s="16">
        <f>ROUND(E106*(1+'Interest rate projection'!AE108/Var_freq)+IF(F$5="Mortgage Starts",0,Deposit_mon),2)</f>
        <v>5036.87</v>
      </c>
      <c r="G106" s="16">
        <f>ROUND(F106*(1+'Interest rate projection'!AF108/Var_freq)+IF(G$5="Mortgage Starts",0,Deposit_mon),2)</f>
        <v>6055.38</v>
      </c>
      <c r="H106" s="16">
        <f>ROUND(G106*(1+'Interest rate projection'!AG108/Var_freq)+IF(H$5="Mortgage Starts",0,Deposit_mon),2)</f>
        <v>7076.42</v>
      </c>
      <c r="I106" s="16">
        <f>ROUND(H106*(1+'Interest rate projection'!AH108/Var_freq)+IF(I$5="Mortgage Starts",0,Deposit_mon),2)</f>
        <v>8101.01</v>
      </c>
      <c r="J106" s="16">
        <f>ROUND(I106*(1+'Interest rate projection'!AI108/Var_freq)+IF(J$5="Mortgage Starts",0,Deposit_mon),2)</f>
        <v>9127.5300000000007</v>
      </c>
      <c r="K106" s="16">
        <f>ROUND(J106*(1+'Interest rate projection'!AJ108/Var_freq)+IF(K$5="Mortgage Starts",0,Deposit_mon),2)</f>
        <v>10157.41</v>
      </c>
      <c r="L106" s="16">
        <f>ROUND(K106*(1+'Interest rate projection'!AK108/Var_freq)+IF(L$5="Mortgage Starts",0,Deposit_mon),2)</f>
        <v>11188.62</v>
      </c>
      <c r="M106" s="16">
        <f>ROUND(L106*(1+'Interest rate projection'!AL108/Var_freq)+IF(M$5="Mortgage Starts",0,Deposit_mon),2)</f>
        <v>12223</v>
      </c>
      <c r="N106" s="16">
        <f>ROUND(M106*(1+'Interest rate projection'!AM108/Var_freq)+IF(N$5="Mortgage Starts",0,Deposit_mon),2)</f>
        <v>13260.56</v>
      </c>
      <c r="O106" s="16">
        <f>ROUND(N106*(1+'Interest rate projection'!AN108/Var_freq)+IF(O$5="Mortgage Starts",0,Deposit_mon),2)</f>
        <v>14301.3</v>
      </c>
      <c r="P106" s="16">
        <f>ROUND(O106*(1+'Interest rate projection'!AO108/Var_freq)+IF(P$5="Mortgage Starts",0,Deposit_mon),2)</f>
        <v>15345.24</v>
      </c>
      <c r="Q106" s="16">
        <f>ROUND(P106*(1+'Interest rate projection'!AP108/Var_freq)+IF(Q$5="Mortgage Starts",0,Deposit_mon),2)</f>
        <v>16392.39</v>
      </c>
      <c r="R106" s="16">
        <f>ROUND(Q106*(1+'Interest rate projection'!AQ108/Var_freq)+IF(R$5="Mortgage Starts",0,Deposit_mon),2)</f>
        <v>17442.759999999998</v>
      </c>
      <c r="S106" s="16">
        <f>ROUND(R106*(1+'Interest rate projection'!AR108/Var_freq)+IF(S$5="Mortgage Starts",0,Deposit_mon),2)</f>
        <v>18496.349999999999</v>
      </c>
      <c r="T106" s="16">
        <f>ROUND(S106*(1+'Interest rate projection'!AS108/Var_freq)+IF(T$5="Mortgage Starts",0,Deposit_mon),2)</f>
        <v>19553.18</v>
      </c>
      <c r="U106" s="16">
        <f>ROUND(T106*(1+'Interest rate projection'!AT108/Var_freq)+IF(U$5="Mortgage Starts",0,Deposit_mon),2)</f>
        <v>20613.259999999998</v>
      </c>
      <c r="V106" s="16">
        <f>ROUND(U106*(1+'Interest rate projection'!AU108/Var_freq)+IF(V$5="Mortgage Starts",0,Deposit_mon),2)</f>
        <v>21676.6</v>
      </c>
      <c r="W106" s="16">
        <f>ROUND(V106*(1+'Interest rate projection'!AV108/Var_freq)+IF(W$5="Mortgage Starts",0,Deposit_mon),2)</f>
        <v>22743.200000000001</v>
      </c>
      <c r="X106" s="16">
        <f>ROUND(W106*(1+'Interest rate projection'!AW108/Var_freq)+IF(X$5="Mortgage Starts",0,Deposit_mon),2)</f>
        <v>23817.66</v>
      </c>
      <c r="Y106" s="16">
        <f>ROUND(X106*(1+'Interest rate projection'!AX108/Var_freq)+IF(Y$5="Mortgage Starts",0,Deposit_mon),2)</f>
        <v>24895.63</v>
      </c>
      <c r="Z106" s="57">
        <f>ROUND(Y106*(1+'Interest rate projection'!AY108/Var_freq)+IF(Z$5="Mortgage Starts",0,Deposit_mon),2)</f>
        <v>24977.13</v>
      </c>
      <c r="AA106" s="12"/>
      <c r="AB106" s="38">
        <f>'Interest rate projection'!Z108</f>
        <v>3.4999999999999996E-2</v>
      </c>
      <c r="AC106" s="38">
        <f>'Interest rate projection'!AZ108</f>
        <v>3.4450784628919706E-2</v>
      </c>
      <c r="AD106" s="59" t="str">
        <f t="shared" si="18"/>
        <v>OK</v>
      </c>
      <c r="AE106" s="39">
        <f t="shared" si="19"/>
        <v>16.744263358395965</v>
      </c>
      <c r="AF106" s="10"/>
      <c r="AG106" s="73">
        <f t="shared" si="15"/>
        <v>24977.13</v>
      </c>
      <c r="AH106" s="73">
        <f t="shared" si="16"/>
        <v>175022.87</v>
      </c>
      <c r="AI106" s="74">
        <f t="shared" si="20"/>
        <v>871.06</v>
      </c>
      <c r="AJ106" s="9"/>
      <c r="AK106" s="73">
        <f>'Fixed rate projection'!$AE$3-('Variable rate projection'!AI106*Product_term*Var_freq)</f>
        <v>41751</v>
      </c>
      <c r="AM106" s="14"/>
      <c r="AN106" s="10"/>
      <c r="AO106" s="11"/>
      <c r="AP106" s="11"/>
      <c r="AQ106" s="11"/>
      <c r="AR106" s="12"/>
      <c r="AS106" s="12"/>
      <c r="AT106" s="13"/>
      <c r="AV106" s="14"/>
      <c r="AW106" s="10"/>
      <c r="AX106" s="11"/>
      <c r="AY106" s="11"/>
      <c r="AZ106" s="11"/>
      <c r="BA106" s="12"/>
      <c r="BB106" s="12"/>
      <c r="BC106" s="13"/>
      <c r="BE106" s="14"/>
      <c r="BF106" s="10"/>
      <c r="BG106" s="11"/>
      <c r="BH106" s="11"/>
      <c r="BI106" s="11"/>
      <c r="BJ106" s="12"/>
      <c r="BK106" s="12"/>
      <c r="BL106" s="13"/>
      <c r="BN106" s="14"/>
      <c r="BO106" s="10"/>
      <c r="BP106" s="11"/>
      <c r="BQ106" s="11"/>
      <c r="BR106" s="11"/>
      <c r="BS106" s="12"/>
      <c r="BT106" s="12"/>
      <c r="BU106" s="13"/>
      <c r="BW106" s="14"/>
      <c r="BX106" s="10"/>
      <c r="BY106" s="11"/>
      <c r="BZ106" s="11"/>
      <c r="CA106" s="11"/>
      <c r="CB106" s="12"/>
      <c r="CC106" s="12"/>
      <c r="CD106" s="13"/>
      <c r="CF106" s="14"/>
      <c r="CG106" s="10"/>
      <c r="CH106" s="11"/>
      <c r="CI106" s="11"/>
      <c r="CJ106" s="11"/>
      <c r="CK106" s="12"/>
      <c r="CL106" s="12"/>
      <c r="CM106" s="13"/>
      <c r="CO106" s="13"/>
    </row>
    <row r="107" spans="1:93" x14ac:dyDescent="0.35">
      <c r="A107" s="5">
        <v>102</v>
      </c>
      <c r="B107" s="57">
        <f t="shared" si="17"/>
        <v>1000</v>
      </c>
      <c r="C107" s="16">
        <f>ROUND(B107*(1+'Interest rate projection'!AB109/Var_freq)+IF(C$5="Mortgage Starts",0,Deposit_mon),2)</f>
        <v>2003.67</v>
      </c>
      <c r="D107" s="16">
        <f>ROUND(C107*(1+'Interest rate projection'!AC109/Var_freq)+IF(D$5="Mortgage Starts",0,Deposit_mon),2)</f>
        <v>3011.03</v>
      </c>
      <c r="E107" s="16">
        <f>ROUND(D107*(1+'Interest rate projection'!AD109/Var_freq)+IF(E$5="Mortgage Starts",0,Deposit_mon),2)</f>
        <v>4022.09</v>
      </c>
      <c r="F107" s="16">
        <f>ROUND(E107*(1+'Interest rate projection'!AE109/Var_freq)+IF(F$5="Mortgage Starts",0,Deposit_mon),2)</f>
        <v>5036.87</v>
      </c>
      <c r="G107" s="16">
        <f>ROUND(F107*(1+'Interest rate projection'!AF109/Var_freq)+IF(G$5="Mortgage Starts",0,Deposit_mon),2)</f>
        <v>6055.38</v>
      </c>
      <c r="H107" s="16">
        <f>ROUND(G107*(1+'Interest rate projection'!AG109/Var_freq)+IF(H$5="Mortgage Starts",0,Deposit_mon),2)</f>
        <v>7077.63</v>
      </c>
      <c r="I107" s="16">
        <f>ROUND(H107*(1+'Interest rate projection'!AH109/Var_freq)+IF(I$5="Mortgage Starts",0,Deposit_mon),2)</f>
        <v>8103.64</v>
      </c>
      <c r="J107" s="16">
        <f>ROUND(I107*(1+'Interest rate projection'!AI109/Var_freq)+IF(J$5="Mortgage Starts",0,Deposit_mon),2)</f>
        <v>9133.42</v>
      </c>
      <c r="K107" s="16">
        <f>ROUND(J107*(1+'Interest rate projection'!AJ109/Var_freq)+IF(K$5="Mortgage Starts",0,Deposit_mon),2)</f>
        <v>10166.98</v>
      </c>
      <c r="L107" s="16">
        <f>ROUND(K107*(1+'Interest rate projection'!AK109/Var_freq)+IF(L$5="Mortgage Starts",0,Deposit_mon),2)</f>
        <v>11204.34</v>
      </c>
      <c r="M107" s="16">
        <f>ROUND(L107*(1+'Interest rate projection'!AL109/Var_freq)+IF(M$5="Mortgage Starts",0,Deposit_mon),2)</f>
        <v>12245.51</v>
      </c>
      <c r="N107" s="16">
        <f>ROUND(M107*(1+'Interest rate projection'!AM109/Var_freq)+IF(N$5="Mortgage Starts",0,Deposit_mon),2)</f>
        <v>13290.51</v>
      </c>
      <c r="O107" s="16">
        <f>ROUND(N107*(1+'Interest rate projection'!AN109/Var_freq)+IF(O$5="Mortgage Starts",0,Deposit_mon),2)</f>
        <v>14339.35</v>
      </c>
      <c r="P107" s="16">
        <f>ROUND(O107*(1+'Interest rate projection'!AO109/Var_freq)+IF(P$5="Mortgage Starts",0,Deposit_mon),2)</f>
        <v>15392.04</v>
      </c>
      <c r="Q107" s="16">
        <f>ROUND(P107*(1+'Interest rate projection'!AP109/Var_freq)+IF(Q$5="Mortgage Starts",0,Deposit_mon),2)</f>
        <v>16448.599999999999</v>
      </c>
      <c r="R107" s="16">
        <f>ROUND(Q107*(1+'Interest rate projection'!AQ109/Var_freq)+IF(R$5="Mortgage Starts",0,Deposit_mon),2)</f>
        <v>17509.05</v>
      </c>
      <c r="S107" s="16">
        <f>ROUND(R107*(1+'Interest rate projection'!AR109/Var_freq)+IF(S$5="Mortgage Starts",0,Deposit_mon),2)</f>
        <v>18573.39</v>
      </c>
      <c r="T107" s="16">
        <f>ROUND(S107*(1+'Interest rate projection'!AS109/Var_freq)+IF(T$5="Mortgage Starts",0,Deposit_mon),2)</f>
        <v>19641.64</v>
      </c>
      <c r="U107" s="16">
        <f>ROUND(T107*(1+'Interest rate projection'!AT109/Var_freq)+IF(U$5="Mortgage Starts",0,Deposit_mon),2)</f>
        <v>20713.82</v>
      </c>
      <c r="V107" s="16">
        <f>ROUND(U107*(1+'Interest rate projection'!AU109/Var_freq)+IF(V$5="Mortgage Starts",0,Deposit_mon),2)</f>
        <v>21781.63</v>
      </c>
      <c r="W107" s="16">
        <f>ROUND(V107*(1+'Interest rate projection'!AV109/Var_freq)+IF(W$5="Mortgage Starts",0,Deposit_mon),2)</f>
        <v>22852.94</v>
      </c>
      <c r="X107" s="16">
        <f>ROUND(W107*(1+'Interest rate projection'!AW109/Var_freq)+IF(X$5="Mortgage Starts",0,Deposit_mon),2)</f>
        <v>23927.75</v>
      </c>
      <c r="Y107" s="16">
        <f>ROUND(X107*(1+'Interest rate projection'!AX109/Var_freq)+IF(Y$5="Mortgage Starts",0,Deposit_mon),2)</f>
        <v>25006.080000000002</v>
      </c>
      <c r="Z107" s="57">
        <f>ROUND(Y107*(1+'Interest rate projection'!AY109/Var_freq)+IF(Z$5="Mortgage Starts",0,Deposit_mon),2)</f>
        <v>25097.97</v>
      </c>
      <c r="AB107" s="38">
        <f>'Interest rate projection'!Z109</f>
        <v>4.4999999999999998E-2</v>
      </c>
      <c r="AC107" s="38">
        <f>'Interest rate projection'!AZ109</f>
        <v>4.4097712805242217E-2</v>
      </c>
      <c r="AD107" s="59" t="str">
        <f t="shared" si="18"/>
        <v>OK</v>
      </c>
      <c r="AE107" s="39">
        <f t="shared" si="19"/>
        <v>15.131610255367837</v>
      </c>
      <c r="AG107" s="73">
        <f t="shared" si="15"/>
        <v>25097.97</v>
      </c>
      <c r="AH107" s="73">
        <f t="shared" si="16"/>
        <v>174902.03</v>
      </c>
      <c r="AI107" s="74">
        <f t="shared" si="20"/>
        <v>963.23</v>
      </c>
      <c r="AJ107" s="9"/>
      <c r="AK107" s="73">
        <f>'Fixed rate projection'!$AE$3-('Variable rate projection'!AI107*Product_term*Var_freq)</f>
        <v>14100</v>
      </c>
    </row>
    <row r="108" spans="1:93" x14ac:dyDescent="0.35">
      <c r="A108" s="27">
        <v>103</v>
      </c>
      <c r="B108" s="57">
        <f t="shared" si="17"/>
        <v>1000</v>
      </c>
      <c r="C108" s="16">
        <f>ROUND(B108*(1+'Interest rate projection'!AB110/Var_freq)+IF(C$5="Mortgage Starts",0,Deposit_mon),2)</f>
        <v>2003.67</v>
      </c>
      <c r="D108" s="16">
        <f>ROUND(C108*(1+'Interest rate projection'!AC110/Var_freq)+IF(D$5="Mortgage Starts",0,Deposit_mon),2)</f>
        <v>3011.03</v>
      </c>
      <c r="E108" s="16">
        <f>ROUND(D108*(1+'Interest rate projection'!AD110/Var_freq)+IF(E$5="Mortgage Starts",0,Deposit_mon),2)</f>
        <v>4022.09</v>
      </c>
      <c r="F108" s="16">
        <f>ROUND(E108*(1+'Interest rate projection'!AE110/Var_freq)+IF(F$5="Mortgage Starts",0,Deposit_mon),2)</f>
        <v>5036.87</v>
      </c>
      <c r="G108" s="16">
        <f>ROUND(F108*(1+'Interest rate projection'!AF110/Var_freq)+IF(G$5="Mortgage Starts",0,Deposit_mon),2)</f>
        <v>6055.38</v>
      </c>
      <c r="H108" s="16">
        <f>ROUND(G108*(1+'Interest rate projection'!AG110/Var_freq)+IF(H$5="Mortgage Starts",0,Deposit_mon),2)</f>
        <v>7077.63</v>
      </c>
      <c r="I108" s="16">
        <f>ROUND(H108*(1+'Interest rate projection'!AH110/Var_freq)+IF(I$5="Mortgage Starts",0,Deposit_mon),2)</f>
        <v>8105.05</v>
      </c>
      <c r="J108" s="16">
        <f>ROUND(I108*(1+'Interest rate projection'!AI110/Var_freq)+IF(J$5="Mortgage Starts",0,Deposit_mon),2)</f>
        <v>9136.4500000000007</v>
      </c>
      <c r="K108" s="16">
        <f>ROUND(J108*(1+'Interest rate projection'!AJ110/Var_freq)+IF(K$5="Mortgage Starts",0,Deposit_mon),2)</f>
        <v>10171.85</v>
      </c>
      <c r="L108" s="16">
        <f>ROUND(K108*(1+'Interest rate projection'!AK110/Var_freq)+IF(L$5="Mortgage Starts",0,Deposit_mon),2)</f>
        <v>11211.26</v>
      </c>
      <c r="M108" s="16">
        <f>ROUND(L108*(1+'Interest rate projection'!AL110/Var_freq)+IF(M$5="Mortgage Starts",0,Deposit_mon),2)</f>
        <v>12256.94</v>
      </c>
      <c r="N108" s="16">
        <f>ROUND(M108*(1+'Interest rate projection'!AM110/Var_freq)+IF(N$5="Mortgage Starts",0,Deposit_mon),2)</f>
        <v>13306.88</v>
      </c>
      <c r="O108" s="16">
        <f>ROUND(N108*(1+'Interest rate projection'!AN110/Var_freq)+IF(O$5="Mortgage Starts",0,Deposit_mon),2)</f>
        <v>14361.09</v>
      </c>
      <c r="P108" s="16">
        <f>ROUND(O108*(1+'Interest rate projection'!AO110/Var_freq)+IF(P$5="Mortgage Starts",0,Deposit_mon),2)</f>
        <v>15419.6</v>
      </c>
      <c r="Q108" s="16">
        <f>ROUND(P108*(1+'Interest rate projection'!AP110/Var_freq)+IF(Q$5="Mortgage Starts",0,Deposit_mon),2)</f>
        <v>16482.419999999998</v>
      </c>
      <c r="R108" s="16">
        <f>ROUND(Q108*(1+'Interest rate projection'!AQ110/Var_freq)+IF(R$5="Mortgage Starts",0,Deposit_mon),2)</f>
        <v>17549.57</v>
      </c>
      <c r="S108" s="16">
        <f>ROUND(R108*(1+'Interest rate projection'!AR110/Var_freq)+IF(S$5="Mortgage Starts",0,Deposit_mon),2)</f>
        <v>18621.07</v>
      </c>
      <c r="T108" s="16">
        <f>ROUND(S108*(1+'Interest rate projection'!AS110/Var_freq)+IF(T$5="Mortgage Starts",0,Deposit_mon),2)</f>
        <v>19696.93</v>
      </c>
      <c r="U108" s="16">
        <f>ROUND(T108*(1+'Interest rate projection'!AT110/Var_freq)+IF(U$5="Mortgage Starts",0,Deposit_mon),2)</f>
        <v>20777.18</v>
      </c>
      <c r="V108" s="16">
        <f>ROUND(U108*(1+'Interest rate projection'!AU110/Var_freq)+IF(V$5="Mortgage Starts",0,Deposit_mon),2)</f>
        <v>21861.83</v>
      </c>
      <c r="W108" s="16">
        <f>ROUND(V108*(1+'Interest rate projection'!AV110/Var_freq)+IF(W$5="Mortgage Starts",0,Deposit_mon),2)</f>
        <v>22946.54</v>
      </c>
      <c r="X108" s="16">
        <f>ROUND(W108*(1+'Interest rate projection'!AW110/Var_freq)+IF(X$5="Mortgage Starts",0,Deposit_mon),2)</f>
        <v>24035.45</v>
      </c>
      <c r="Y108" s="16">
        <f>ROUND(X108*(1+'Interest rate projection'!AX110/Var_freq)+IF(Y$5="Mortgage Starts",0,Deposit_mon),2)</f>
        <v>25128.58</v>
      </c>
      <c r="Z108" s="57">
        <f>ROUND(Y108*(1+'Interest rate projection'!AY110/Var_freq)+IF(Z$5="Mortgage Starts",0,Deposit_mon),2)</f>
        <v>25235.96</v>
      </c>
      <c r="AB108" s="38">
        <f>'Interest rate projection'!Z110</f>
        <v>5.2499999999999998E-2</v>
      </c>
      <c r="AC108" s="38">
        <f>'Interest rate projection'!AZ110</f>
        <v>5.1277533193896829E-2</v>
      </c>
      <c r="AD108" s="59" t="str">
        <f t="shared" si="18"/>
        <v>OK</v>
      </c>
      <c r="AE108" s="39">
        <f t="shared" si="19"/>
        <v>14.075212462503044</v>
      </c>
      <c r="AG108" s="73">
        <f t="shared" si="15"/>
        <v>25235.96</v>
      </c>
      <c r="AH108" s="73">
        <f t="shared" si="16"/>
        <v>174764.04</v>
      </c>
      <c r="AI108" s="74">
        <f t="shared" si="20"/>
        <v>1034.7</v>
      </c>
      <c r="AJ108" s="9"/>
      <c r="AK108" s="73">
        <f>'Fixed rate projection'!$AE$3-('Variable rate projection'!AI108*Product_term*Var_freq)</f>
        <v>-7341</v>
      </c>
    </row>
    <row r="109" spans="1:93" x14ac:dyDescent="0.35">
      <c r="A109" s="5">
        <v>104</v>
      </c>
      <c r="B109" s="57">
        <f t="shared" si="17"/>
        <v>1000</v>
      </c>
      <c r="C109" s="16">
        <f>ROUND(B109*(1+'Interest rate projection'!AB111/Var_freq)+IF(C$5="Mortgage Starts",0,Deposit_mon),2)</f>
        <v>2003.67</v>
      </c>
      <c r="D109" s="16">
        <f>ROUND(C109*(1+'Interest rate projection'!AC111/Var_freq)+IF(D$5="Mortgage Starts",0,Deposit_mon),2)</f>
        <v>3011.43</v>
      </c>
      <c r="E109" s="16">
        <f>ROUND(D109*(1+'Interest rate projection'!AD111/Var_freq)+IF(E$5="Mortgage Starts",0,Deposit_mon),2)</f>
        <v>4023.1</v>
      </c>
      <c r="F109" s="16">
        <f>ROUND(E109*(1+'Interest rate projection'!AE111/Var_freq)+IF(F$5="Mortgage Starts",0,Deposit_mon),2)</f>
        <v>5038.6899999999996</v>
      </c>
      <c r="G109" s="16">
        <f>ROUND(F109*(1+'Interest rate projection'!AF111/Var_freq)+IF(G$5="Mortgage Starts",0,Deposit_mon),2)</f>
        <v>6058.21</v>
      </c>
      <c r="H109" s="16">
        <f>ROUND(G109*(1+'Interest rate projection'!AG111/Var_freq)+IF(H$5="Mortgage Starts",0,Deposit_mon),2)</f>
        <v>7081.68</v>
      </c>
      <c r="I109" s="16">
        <f>ROUND(H109*(1+'Interest rate projection'!AH111/Var_freq)+IF(I$5="Mortgage Starts",0,Deposit_mon),2)</f>
        <v>8109.12</v>
      </c>
      <c r="J109" s="16">
        <f>ROUND(I109*(1+'Interest rate projection'!AI111/Var_freq)+IF(J$5="Mortgage Starts",0,Deposit_mon),2)</f>
        <v>9137.2999999999993</v>
      </c>
      <c r="K109" s="16">
        <f>ROUND(J109*(1+'Interest rate projection'!AJ111/Var_freq)+IF(K$5="Mortgage Starts",0,Deposit_mon),2)</f>
        <v>10169.049999999999</v>
      </c>
      <c r="L109" s="16">
        <f>ROUND(K109*(1+'Interest rate projection'!AK111/Var_freq)+IF(L$5="Mortgage Starts",0,Deposit_mon),2)</f>
        <v>11204.38</v>
      </c>
      <c r="M109" s="16">
        <f>ROUND(L109*(1+'Interest rate projection'!AL111/Var_freq)+IF(M$5="Mortgage Starts",0,Deposit_mon),2)</f>
        <v>12243.31</v>
      </c>
      <c r="N109" s="16">
        <f>ROUND(M109*(1+'Interest rate projection'!AM111/Var_freq)+IF(N$5="Mortgage Starts",0,Deposit_mon),2)</f>
        <v>13285.85</v>
      </c>
      <c r="O109" s="16">
        <f>ROUND(N109*(1+'Interest rate projection'!AN111/Var_freq)+IF(O$5="Mortgage Starts",0,Deposit_mon),2)</f>
        <v>14332.01</v>
      </c>
      <c r="P109" s="16">
        <f>ROUND(O109*(1+'Interest rate projection'!AO111/Var_freq)+IF(P$5="Mortgage Starts",0,Deposit_mon),2)</f>
        <v>15381.81</v>
      </c>
      <c r="Q109" s="16">
        <f>ROUND(P109*(1+'Interest rate projection'!AP111/Var_freq)+IF(Q$5="Mortgage Starts",0,Deposit_mon),2)</f>
        <v>16429.07</v>
      </c>
      <c r="R109" s="16">
        <f>ROUND(Q109*(1+'Interest rate projection'!AQ111/Var_freq)+IF(R$5="Mortgage Starts",0,Deposit_mon),2)</f>
        <v>17486.150000000001</v>
      </c>
      <c r="S109" s="16">
        <f>ROUND(R109*(1+'Interest rate projection'!AR111/Var_freq)+IF(S$5="Mortgage Starts",0,Deposit_mon),2)</f>
        <v>18546.91</v>
      </c>
      <c r="T109" s="16">
        <f>ROUND(S109*(1+'Interest rate projection'!AS111/Var_freq)+IF(T$5="Mortgage Starts",0,Deposit_mon),2)</f>
        <v>19611.349999999999</v>
      </c>
      <c r="U109" s="16">
        <f>ROUND(T109*(1+'Interest rate projection'!AT111/Var_freq)+IF(U$5="Mortgage Starts",0,Deposit_mon),2)</f>
        <v>20679.490000000002</v>
      </c>
      <c r="V109" s="16">
        <f>ROUND(U109*(1+'Interest rate projection'!AU111/Var_freq)+IF(V$5="Mortgage Starts",0,Deposit_mon),2)</f>
        <v>21751.34</v>
      </c>
      <c r="W109" s="16">
        <f>ROUND(V109*(1+'Interest rate projection'!AV111/Var_freq)+IF(W$5="Mortgage Starts",0,Deposit_mon),2)</f>
        <v>22826.91</v>
      </c>
      <c r="X109" s="16">
        <f>ROUND(W109*(1+'Interest rate projection'!AW111/Var_freq)+IF(X$5="Mortgage Starts",0,Deposit_mon),2)</f>
        <v>23906.22</v>
      </c>
      <c r="Y109" s="16">
        <f>ROUND(X109*(1+'Interest rate projection'!AX111/Var_freq)+IF(Y$5="Mortgage Starts",0,Deposit_mon),2)</f>
        <v>24994.07</v>
      </c>
      <c r="Z109" s="57">
        <f>ROUND(Y109*(1+'Interest rate projection'!AY111/Var_freq)+IF(Z$5="Mortgage Starts",0,Deposit_mon),2)</f>
        <v>25085.919999999998</v>
      </c>
      <c r="AB109" s="38">
        <f>'Interest rate projection'!Z111</f>
        <v>4.5000000000000005E-2</v>
      </c>
      <c r="AC109" s="38">
        <f>'Interest rate projection'!AZ111</f>
        <v>4.4097712805242217E-2</v>
      </c>
      <c r="AD109" s="59" t="str">
        <f t="shared" si="18"/>
        <v>OK</v>
      </c>
      <c r="AE109" s="39">
        <f t="shared" si="19"/>
        <v>15.131610255367837</v>
      </c>
      <c r="AG109" s="73">
        <f t="shared" si="15"/>
        <v>25085.919999999998</v>
      </c>
      <c r="AH109" s="73">
        <f t="shared" si="16"/>
        <v>174914.08000000002</v>
      </c>
      <c r="AI109" s="74">
        <f t="shared" si="20"/>
        <v>963.29</v>
      </c>
      <c r="AJ109" s="9"/>
      <c r="AK109" s="73">
        <f>'Fixed rate projection'!$AE$3-('Variable rate projection'!AI109*Product_term*Var_freq)</f>
        <v>14082</v>
      </c>
    </row>
    <row r="110" spans="1:93" x14ac:dyDescent="0.35">
      <c r="A110" s="27">
        <v>105</v>
      </c>
      <c r="B110" s="57">
        <f t="shared" si="17"/>
        <v>1000</v>
      </c>
      <c r="C110" s="16">
        <f>ROUND(B110*(1+'Interest rate projection'!AB112/Var_freq)+IF(C$5="Mortgage Starts",0,Deposit_mon),2)</f>
        <v>2003.67</v>
      </c>
      <c r="D110" s="16">
        <f>ROUND(C110*(1+'Interest rate projection'!AC112/Var_freq)+IF(D$5="Mortgage Starts",0,Deposit_mon),2)</f>
        <v>3011.03</v>
      </c>
      <c r="E110" s="16">
        <f>ROUND(D110*(1+'Interest rate projection'!AD112/Var_freq)+IF(E$5="Mortgage Starts",0,Deposit_mon),2)</f>
        <v>4022.09</v>
      </c>
      <c r="F110" s="16">
        <f>ROUND(E110*(1+'Interest rate projection'!AE112/Var_freq)+IF(F$5="Mortgage Starts",0,Deposit_mon),2)</f>
        <v>5038.4799999999996</v>
      </c>
      <c r="G110" s="16">
        <f>ROUND(F110*(1+'Interest rate projection'!AF112/Var_freq)+IF(G$5="Mortgage Starts",0,Deposit_mon),2)</f>
        <v>6059.01</v>
      </c>
      <c r="H110" s="16">
        <f>ROUND(G110*(1+'Interest rate projection'!AG112/Var_freq)+IF(H$5="Mortgage Starts",0,Deposit_mon),2)</f>
        <v>7083.7</v>
      </c>
      <c r="I110" s="16">
        <f>ROUND(H110*(1+'Interest rate projection'!AH112/Var_freq)+IF(I$5="Mortgage Starts",0,Deposit_mon),2)</f>
        <v>8113.97</v>
      </c>
      <c r="J110" s="16">
        <f>ROUND(I110*(1+'Interest rate projection'!AI112/Var_freq)+IF(J$5="Mortgage Starts",0,Deposit_mon),2)</f>
        <v>9148.64</v>
      </c>
      <c r="K110" s="16">
        <f>ROUND(J110*(1+'Interest rate projection'!AJ112/Var_freq)+IF(K$5="Mortgage Starts",0,Deposit_mon),2)</f>
        <v>10191.36</v>
      </c>
      <c r="L110" s="16">
        <f>ROUND(K110*(1+'Interest rate projection'!AK112/Var_freq)+IF(L$5="Mortgage Starts",0,Deposit_mon),2)</f>
        <v>11238.95</v>
      </c>
      <c r="M110" s="16">
        <f>ROUND(L110*(1+'Interest rate projection'!AL112/Var_freq)+IF(M$5="Mortgage Starts",0,Deposit_mon),2)</f>
        <v>12291.43</v>
      </c>
      <c r="N110" s="16">
        <f>ROUND(M110*(1+'Interest rate projection'!AM112/Var_freq)+IF(N$5="Mortgage Starts",0,Deposit_mon),2)</f>
        <v>13348.83</v>
      </c>
      <c r="O110" s="16">
        <f>ROUND(N110*(1+'Interest rate projection'!AN112/Var_freq)+IF(O$5="Mortgage Starts",0,Deposit_mon),2)</f>
        <v>14411.17</v>
      </c>
      <c r="P110" s="16">
        <f>ROUND(O110*(1+'Interest rate projection'!AO112/Var_freq)+IF(P$5="Mortgage Starts",0,Deposit_mon),2)</f>
        <v>15478.47</v>
      </c>
      <c r="Q110" s="16">
        <f>ROUND(P110*(1+'Interest rate projection'!AP112/Var_freq)+IF(Q$5="Mortgage Starts",0,Deposit_mon),2)</f>
        <v>16550.75</v>
      </c>
      <c r="R110" s="16">
        <f>ROUND(Q110*(1+'Interest rate projection'!AQ112/Var_freq)+IF(R$5="Mortgage Starts",0,Deposit_mon),2)</f>
        <v>17628.04</v>
      </c>
      <c r="S110" s="16">
        <f>ROUND(R110*(1+'Interest rate projection'!AR112/Var_freq)+IF(S$5="Mortgage Starts",0,Deposit_mon),2)</f>
        <v>18710.36</v>
      </c>
      <c r="T110" s="16">
        <f>ROUND(S110*(1+'Interest rate projection'!AS112/Var_freq)+IF(T$5="Mortgage Starts",0,Deposit_mon),2)</f>
        <v>19797.73</v>
      </c>
      <c r="U110" s="16">
        <f>ROUND(T110*(1+'Interest rate projection'!AT112/Var_freq)+IF(U$5="Mortgage Starts",0,Deposit_mon),2)</f>
        <v>20890.18</v>
      </c>
      <c r="V110" s="16">
        <f>ROUND(U110*(1+'Interest rate projection'!AU112/Var_freq)+IF(V$5="Mortgage Starts",0,Deposit_mon),2)</f>
        <v>21987.73</v>
      </c>
      <c r="W110" s="16">
        <f>ROUND(V110*(1+'Interest rate projection'!AV112/Var_freq)+IF(W$5="Mortgage Starts",0,Deposit_mon),2)</f>
        <v>23090.41</v>
      </c>
      <c r="X110" s="16">
        <f>ROUND(W110*(1+'Interest rate projection'!AW112/Var_freq)+IF(X$5="Mortgage Starts",0,Deposit_mon),2)</f>
        <v>24198.240000000002</v>
      </c>
      <c r="Y110" s="16">
        <f>ROUND(X110*(1+'Interest rate projection'!AX112/Var_freq)+IF(Y$5="Mortgage Starts",0,Deposit_mon),2)</f>
        <v>25311.24</v>
      </c>
      <c r="Z110" s="57">
        <f>ROUND(Y110*(1+'Interest rate projection'!AY112/Var_freq)+IF(Z$5="Mortgage Starts",0,Deposit_mon),2)</f>
        <v>25424.42</v>
      </c>
      <c r="AB110" s="38">
        <f>'Interest rate projection'!Z112</f>
        <v>5.4999999999999993E-2</v>
      </c>
      <c r="AC110" s="38">
        <f>'Interest rate projection'!AZ112</f>
        <v>5.3660387004516252E-2</v>
      </c>
      <c r="AD110" s="59" t="str">
        <f t="shared" si="18"/>
        <v>OK</v>
      </c>
      <c r="AE110" s="39">
        <f t="shared" si="19"/>
        <v>13.748806844025127</v>
      </c>
      <c r="AG110" s="73">
        <f t="shared" si="15"/>
        <v>25424.42</v>
      </c>
      <c r="AH110" s="73">
        <f t="shared" si="16"/>
        <v>174575.58000000002</v>
      </c>
      <c r="AI110" s="74">
        <f t="shared" si="20"/>
        <v>1058.1300000000001</v>
      </c>
      <c r="AJ110" s="9"/>
      <c r="AK110" s="73">
        <f>'Fixed rate projection'!$AE$3-('Variable rate projection'!AI110*Product_term*Var_freq)</f>
        <v>-14370.000000000058</v>
      </c>
    </row>
    <row r="111" spans="1:93" x14ac:dyDescent="0.35">
      <c r="A111" s="5">
        <v>106</v>
      </c>
      <c r="B111" s="57">
        <f t="shared" si="17"/>
        <v>1000</v>
      </c>
      <c r="C111" s="16">
        <f>ROUND(B111*(1+'Interest rate projection'!AB113/Var_freq)+IF(C$5="Mortgage Starts",0,Deposit_mon),2)</f>
        <v>2003.67</v>
      </c>
      <c r="D111" s="16">
        <f>ROUND(C111*(1+'Interest rate projection'!AC113/Var_freq)+IF(D$5="Mortgage Starts",0,Deposit_mon),2)</f>
        <v>3011.03</v>
      </c>
      <c r="E111" s="16">
        <f>ROUND(D111*(1+'Interest rate projection'!AD113/Var_freq)+IF(E$5="Mortgage Starts",0,Deposit_mon),2)</f>
        <v>4022.09</v>
      </c>
      <c r="F111" s="16">
        <f>ROUND(E111*(1+'Interest rate projection'!AE113/Var_freq)+IF(F$5="Mortgage Starts",0,Deposit_mon),2)</f>
        <v>5036.87</v>
      </c>
      <c r="G111" s="16">
        <f>ROUND(F111*(1+'Interest rate projection'!AF113/Var_freq)+IF(G$5="Mortgage Starts",0,Deposit_mon),2)</f>
        <v>6055.38</v>
      </c>
      <c r="H111" s="16">
        <f>ROUND(G111*(1+'Interest rate projection'!AG113/Var_freq)+IF(H$5="Mortgage Starts",0,Deposit_mon),2)</f>
        <v>7077.63</v>
      </c>
      <c r="I111" s="16">
        <f>ROUND(H111*(1+'Interest rate projection'!AH113/Var_freq)+IF(I$5="Mortgage Starts",0,Deposit_mon),2)</f>
        <v>8103.64</v>
      </c>
      <c r="J111" s="16">
        <f>ROUND(I111*(1+'Interest rate projection'!AI113/Var_freq)+IF(J$5="Mortgage Starts",0,Deposit_mon),2)</f>
        <v>9136.66</v>
      </c>
      <c r="K111" s="16">
        <f>ROUND(J111*(1+'Interest rate projection'!AJ113/Var_freq)+IF(K$5="Mortgage Starts",0,Deposit_mon),2)</f>
        <v>10173.879999999999</v>
      </c>
      <c r="L111" s="16">
        <f>ROUND(K111*(1+'Interest rate projection'!AK113/Var_freq)+IF(L$5="Mortgage Starts",0,Deposit_mon),2)</f>
        <v>11215.33</v>
      </c>
      <c r="M111" s="16">
        <f>ROUND(L111*(1+'Interest rate projection'!AL113/Var_freq)+IF(M$5="Mortgage Starts",0,Deposit_mon),2)</f>
        <v>12261.02</v>
      </c>
      <c r="N111" s="16">
        <f>ROUND(M111*(1+'Interest rate projection'!AM113/Var_freq)+IF(N$5="Mortgage Starts",0,Deposit_mon),2)</f>
        <v>13310.97</v>
      </c>
      <c r="O111" s="16">
        <f>ROUND(N111*(1+'Interest rate projection'!AN113/Var_freq)+IF(O$5="Mortgage Starts",0,Deposit_mon),2)</f>
        <v>14362.55</v>
      </c>
      <c r="P111" s="16">
        <f>ROUND(O111*(1+'Interest rate projection'!AO113/Var_freq)+IF(P$5="Mortgage Starts",0,Deposit_mon),2)</f>
        <v>15415.33</v>
      </c>
      <c r="Q111" s="16">
        <f>ROUND(P111*(1+'Interest rate projection'!AP113/Var_freq)+IF(Q$5="Mortgage Starts",0,Deposit_mon),2)</f>
        <v>16471.98</v>
      </c>
      <c r="R111" s="16">
        <f>ROUND(Q111*(1+'Interest rate projection'!AQ113/Var_freq)+IF(R$5="Mortgage Starts",0,Deposit_mon),2)</f>
        <v>17532.509999999998</v>
      </c>
      <c r="S111" s="16">
        <f>ROUND(R111*(1+'Interest rate projection'!AR113/Var_freq)+IF(S$5="Mortgage Starts",0,Deposit_mon),2)</f>
        <v>18596.939999999999</v>
      </c>
      <c r="T111" s="16">
        <f>ROUND(S111*(1+'Interest rate projection'!AS113/Var_freq)+IF(T$5="Mortgage Starts",0,Deposit_mon),2)</f>
        <v>19665.28</v>
      </c>
      <c r="U111" s="16">
        <f>ROUND(T111*(1+'Interest rate projection'!AT113/Var_freq)+IF(U$5="Mortgage Starts",0,Deposit_mon),2)</f>
        <v>20737.55</v>
      </c>
      <c r="V111" s="16">
        <f>ROUND(U111*(1+'Interest rate projection'!AU113/Var_freq)+IF(V$5="Mortgage Starts",0,Deposit_mon),2)</f>
        <v>21813.759999999998</v>
      </c>
      <c r="W111" s="16">
        <f>ROUND(V111*(1+'Interest rate projection'!AV113/Var_freq)+IF(W$5="Mortgage Starts",0,Deposit_mon),2)</f>
        <v>22893.919999999998</v>
      </c>
      <c r="X111" s="16">
        <f>ROUND(W111*(1+'Interest rate projection'!AW113/Var_freq)+IF(X$5="Mortgage Starts",0,Deposit_mon),2)</f>
        <v>23978.05</v>
      </c>
      <c r="Y111" s="16">
        <f>ROUND(X111*(1+'Interest rate projection'!AX113/Var_freq)+IF(Y$5="Mortgage Starts",0,Deposit_mon),2)</f>
        <v>25066.16</v>
      </c>
      <c r="Z111" s="57">
        <f>ROUND(Y111*(1+'Interest rate projection'!AY113/Var_freq)+IF(Z$5="Mortgage Starts",0,Deposit_mon),2)</f>
        <v>25158.27</v>
      </c>
      <c r="AB111" s="38">
        <f>'Interest rate projection'!Z113</f>
        <v>4.4999999999999991E-2</v>
      </c>
      <c r="AC111" s="38">
        <f>'Interest rate projection'!AZ113</f>
        <v>4.4097712805242217E-2</v>
      </c>
      <c r="AD111" s="59" t="str">
        <f t="shared" si="18"/>
        <v>OK</v>
      </c>
      <c r="AE111" s="39">
        <f t="shared" si="19"/>
        <v>15.131610255367837</v>
      </c>
      <c r="AG111" s="73">
        <f t="shared" si="15"/>
        <v>25158.27</v>
      </c>
      <c r="AH111" s="73">
        <f t="shared" si="16"/>
        <v>174841.73</v>
      </c>
      <c r="AI111" s="74">
        <f t="shared" si="20"/>
        <v>962.89</v>
      </c>
      <c r="AJ111" s="9"/>
      <c r="AK111" s="73">
        <f>'Fixed rate projection'!$AE$3-('Variable rate projection'!AI111*Product_term*Var_freq)</f>
        <v>14202</v>
      </c>
    </row>
    <row r="112" spans="1:93" x14ac:dyDescent="0.35">
      <c r="A112" s="27">
        <v>107</v>
      </c>
      <c r="B112" s="57">
        <f t="shared" si="17"/>
        <v>1000</v>
      </c>
      <c r="C112" s="16">
        <f>ROUND(B112*(1+'Interest rate projection'!AB114/Var_freq)+IF(C$5="Mortgage Starts",0,Deposit_mon),2)</f>
        <v>2003.67</v>
      </c>
      <c r="D112" s="16">
        <f>ROUND(C112*(1+'Interest rate projection'!AC114/Var_freq)+IF(D$5="Mortgage Starts",0,Deposit_mon),2)</f>
        <v>3011.03</v>
      </c>
      <c r="E112" s="16">
        <f>ROUND(D112*(1+'Interest rate projection'!AD114/Var_freq)+IF(E$5="Mortgage Starts",0,Deposit_mon),2)</f>
        <v>4022.09</v>
      </c>
      <c r="F112" s="16">
        <f>ROUND(E112*(1+'Interest rate projection'!AE114/Var_freq)+IF(F$5="Mortgage Starts",0,Deposit_mon),2)</f>
        <v>5035.26</v>
      </c>
      <c r="G112" s="16">
        <f>ROUND(F112*(1+'Interest rate projection'!AF114/Var_freq)+IF(G$5="Mortgage Starts",0,Deposit_mon),2)</f>
        <v>6051.74</v>
      </c>
      <c r="H112" s="16">
        <f>ROUND(G112*(1+'Interest rate projection'!AG114/Var_freq)+IF(H$5="Mortgage Starts",0,Deposit_mon),2)</f>
        <v>7071.55</v>
      </c>
      <c r="I112" s="16">
        <f>ROUND(H112*(1+'Interest rate projection'!AH114/Var_freq)+IF(I$5="Mortgage Starts",0,Deposit_mon),2)</f>
        <v>8094.7</v>
      </c>
      <c r="J112" s="16">
        <f>ROUND(I112*(1+'Interest rate projection'!AI114/Var_freq)+IF(J$5="Mortgage Starts",0,Deposit_mon),2)</f>
        <v>9121.2000000000007</v>
      </c>
      <c r="K112" s="16">
        <f>ROUND(J112*(1+'Interest rate projection'!AJ114/Var_freq)+IF(K$5="Mortgage Starts",0,Deposit_mon),2)</f>
        <v>10151.06</v>
      </c>
      <c r="L112" s="16">
        <f>ROUND(K112*(1+'Interest rate projection'!AK114/Var_freq)+IF(L$5="Mortgage Starts",0,Deposit_mon),2)</f>
        <v>11184.29</v>
      </c>
      <c r="M112" s="16">
        <f>ROUND(L112*(1+'Interest rate projection'!AL114/Var_freq)+IF(M$5="Mortgage Starts",0,Deposit_mon),2)</f>
        <v>12220.9</v>
      </c>
      <c r="N112" s="16">
        <f>ROUND(M112*(1+'Interest rate projection'!AM114/Var_freq)+IF(N$5="Mortgage Starts",0,Deposit_mon),2)</f>
        <v>13260.91</v>
      </c>
      <c r="O112" s="16">
        <f>ROUND(N112*(1+'Interest rate projection'!AN114/Var_freq)+IF(O$5="Mortgage Starts",0,Deposit_mon),2)</f>
        <v>14304.32</v>
      </c>
      <c r="P112" s="16">
        <f>ROUND(O112*(1+'Interest rate projection'!AO114/Var_freq)+IF(P$5="Mortgage Starts",0,Deposit_mon),2)</f>
        <v>15354.02</v>
      </c>
      <c r="Q112" s="16">
        <f>ROUND(P112*(1+'Interest rate projection'!AP114/Var_freq)+IF(Q$5="Mortgage Starts",0,Deposit_mon),2)</f>
        <v>16410.439999999999</v>
      </c>
      <c r="R112" s="16">
        <f>ROUND(Q112*(1+'Interest rate projection'!AQ114/Var_freq)+IF(R$5="Mortgage Starts",0,Deposit_mon),2)</f>
        <v>17470.75</v>
      </c>
      <c r="S112" s="16">
        <f>ROUND(R112*(1+'Interest rate projection'!AR114/Var_freq)+IF(S$5="Mortgage Starts",0,Deposit_mon),2)</f>
        <v>18534.95</v>
      </c>
      <c r="T112" s="16">
        <f>ROUND(S112*(1+'Interest rate projection'!AS114/Var_freq)+IF(T$5="Mortgage Starts",0,Deposit_mon),2)</f>
        <v>19603.060000000001</v>
      </c>
      <c r="U112" s="16">
        <f>ROUND(T112*(1+'Interest rate projection'!AT114/Var_freq)+IF(U$5="Mortgage Starts",0,Deposit_mon),2)</f>
        <v>20675.099999999999</v>
      </c>
      <c r="V112" s="16">
        <f>ROUND(U112*(1+'Interest rate projection'!AU114/Var_freq)+IF(V$5="Mortgage Starts",0,Deposit_mon),2)</f>
        <v>21751.08</v>
      </c>
      <c r="W112" s="16">
        <f>ROUND(V112*(1+'Interest rate projection'!AV114/Var_freq)+IF(W$5="Mortgage Starts",0,Deposit_mon),2)</f>
        <v>22831.01</v>
      </c>
      <c r="X112" s="16">
        <f>ROUND(W112*(1+'Interest rate projection'!AW114/Var_freq)+IF(X$5="Mortgage Starts",0,Deposit_mon),2)</f>
        <v>23914.91</v>
      </c>
      <c r="Y112" s="16">
        <f>ROUND(X112*(1+'Interest rate projection'!AX114/Var_freq)+IF(Y$5="Mortgage Starts",0,Deposit_mon),2)</f>
        <v>25002.79</v>
      </c>
      <c r="Z112" s="57">
        <f>ROUND(Y112*(1+'Interest rate projection'!AY114/Var_freq)+IF(Z$5="Mortgage Starts",0,Deposit_mon),2)</f>
        <v>25094.67</v>
      </c>
      <c r="AB112" s="38">
        <f>'Interest rate projection'!Z114</f>
        <v>4.5000000000000005E-2</v>
      </c>
      <c r="AC112" s="38">
        <f>'Interest rate projection'!AZ114</f>
        <v>4.4097712805242217E-2</v>
      </c>
      <c r="AD112" s="59" t="str">
        <f t="shared" si="18"/>
        <v>OK</v>
      </c>
      <c r="AE112" s="39">
        <f t="shared" si="19"/>
        <v>15.131610255367837</v>
      </c>
      <c r="AG112" s="73">
        <f t="shared" si="15"/>
        <v>25094.67</v>
      </c>
      <c r="AH112" s="73">
        <f t="shared" si="16"/>
        <v>174905.33000000002</v>
      </c>
      <c r="AI112" s="74">
        <f t="shared" si="20"/>
        <v>963.24</v>
      </c>
      <c r="AJ112" s="9"/>
      <c r="AK112" s="73">
        <f>'Fixed rate projection'!$AE$3-('Variable rate projection'!AI112*Product_term*Var_freq)</f>
        <v>14097</v>
      </c>
    </row>
    <row r="113" spans="1:37" x14ac:dyDescent="0.35">
      <c r="A113" s="5">
        <v>108</v>
      </c>
      <c r="B113" s="57">
        <f t="shared" si="17"/>
        <v>1000</v>
      </c>
      <c r="C113" s="16">
        <f>ROUND(B113*(1+'Interest rate projection'!AB115/Var_freq)+IF(C$5="Mortgage Starts",0,Deposit_mon),2)</f>
        <v>2003.67</v>
      </c>
      <c r="D113" s="16">
        <f>ROUND(C113*(1+'Interest rate projection'!AC115/Var_freq)+IF(D$5="Mortgage Starts",0,Deposit_mon),2)</f>
        <v>3011.03</v>
      </c>
      <c r="E113" s="16">
        <f>ROUND(D113*(1+'Interest rate projection'!AD115/Var_freq)+IF(E$5="Mortgage Starts",0,Deposit_mon),2)</f>
        <v>4023.3</v>
      </c>
      <c r="F113" s="16">
        <f>ROUND(E113*(1+'Interest rate projection'!AE115/Var_freq)+IF(F$5="Mortgage Starts",0,Deposit_mon),2)</f>
        <v>5039.6899999999996</v>
      </c>
      <c r="G113" s="16">
        <f>ROUND(F113*(1+'Interest rate projection'!AF115/Var_freq)+IF(G$5="Mortgage Starts",0,Deposit_mon),2)</f>
        <v>6060.22</v>
      </c>
      <c r="H113" s="16">
        <f>ROUND(G113*(1+'Interest rate projection'!AG115/Var_freq)+IF(H$5="Mortgage Starts",0,Deposit_mon),2)</f>
        <v>7084.91</v>
      </c>
      <c r="I113" s="16">
        <f>ROUND(H113*(1+'Interest rate projection'!AH115/Var_freq)+IF(I$5="Mortgage Starts",0,Deposit_mon),2)</f>
        <v>8113.77</v>
      </c>
      <c r="J113" s="16">
        <f>ROUND(I113*(1+'Interest rate projection'!AI115/Var_freq)+IF(J$5="Mortgage Starts",0,Deposit_mon),2)</f>
        <v>9146.83</v>
      </c>
      <c r="K113" s="16">
        <f>ROUND(J113*(1+'Interest rate projection'!AJ115/Var_freq)+IF(K$5="Mortgage Starts",0,Deposit_mon),2)</f>
        <v>10184.1</v>
      </c>
      <c r="L113" s="16">
        <f>ROUND(K113*(1+'Interest rate projection'!AK115/Var_freq)+IF(L$5="Mortgage Starts",0,Deposit_mon),2)</f>
        <v>11225.59</v>
      </c>
      <c r="M113" s="16">
        <f>ROUND(L113*(1+'Interest rate projection'!AL115/Var_freq)+IF(M$5="Mortgage Starts",0,Deposit_mon),2)</f>
        <v>12271.32</v>
      </c>
      <c r="N113" s="16">
        <f>ROUND(M113*(1+'Interest rate projection'!AM115/Var_freq)+IF(N$5="Mortgage Starts",0,Deposit_mon),2)</f>
        <v>13321.31</v>
      </c>
      <c r="O113" s="16">
        <f>ROUND(N113*(1+'Interest rate projection'!AN115/Var_freq)+IF(O$5="Mortgage Starts",0,Deposit_mon),2)</f>
        <v>14375.58</v>
      </c>
      <c r="P113" s="16">
        <f>ROUND(O113*(1+'Interest rate projection'!AO115/Var_freq)+IF(P$5="Mortgage Starts",0,Deposit_mon),2)</f>
        <v>15434.15</v>
      </c>
      <c r="Q113" s="16">
        <f>ROUND(P113*(1+'Interest rate projection'!AP115/Var_freq)+IF(Q$5="Mortgage Starts",0,Deposit_mon),2)</f>
        <v>16500.099999999999</v>
      </c>
      <c r="R113" s="16">
        <f>ROUND(Q113*(1+'Interest rate projection'!AQ115/Var_freq)+IF(R$5="Mortgage Starts",0,Deposit_mon),2)</f>
        <v>17570.61</v>
      </c>
      <c r="S113" s="16">
        <f>ROUND(R113*(1+'Interest rate projection'!AR115/Var_freq)+IF(S$5="Mortgage Starts",0,Deposit_mon),2)</f>
        <v>18645.689999999999</v>
      </c>
      <c r="T113" s="16">
        <f>ROUND(S113*(1+'Interest rate projection'!AS115/Var_freq)+IF(T$5="Mortgage Starts",0,Deposit_mon),2)</f>
        <v>19725.37</v>
      </c>
      <c r="U113" s="16">
        <f>ROUND(T113*(1+'Interest rate projection'!AT115/Var_freq)+IF(U$5="Mortgage Starts",0,Deposit_mon),2)</f>
        <v>20809.66</v>
      </c>
      <c r="V113" s="16">
        <f>ROUND(U113*(1+'Interest rate projection'!AU115/Var_freq)+IF(V$5="Mortgage Starts",0,Deposit_mon),2)</f>
        <v>21898.58</v>
      </c>
      <c r="W113" s="16">
        <f>ROUND(V113*(1+'Interest rate projection'!AV115/Var_freq)+IF(W$5="Mortgage Starts",0,Deposit_mon),2)</f>
        <v>22992.16</v>
      </c>
      <c r="X113" s="16">
        <f>ROUND(W113*(1+'Interest rate projection'!AW115/Var_freq)+IF(X$5="Mortgage Starts",0,Deposit_mon),2)</f>
        <v>24090.41</v>
      </c>
      <c r="Y113" s="16">
        <f>ROUND(X113*(1+'Interest rate projection'!AX115/Var_freq)+IF(Y$5="Mortgage Starts",0,Deposit_mon),2)</f>
        <v>25188.560000000001</v>
      </c>
      <c r="Z113" s="57">
        <f>ROUND(Y113*(1+'Interest rate projection'!AY115/Var_freq)+IF(Z$5="Mortgage Starts",0,Deposit_mon),2)</f>
        <v>25291.18</v>
      </c>
      <c r="AB113" s="38">
        <f>'Interest rate projection'!Z115</f>
        <v>4.9999999999999996E-2</v>
      </c>
      <c r="AC113" s="38">
        <f>'Interest rate projection'!AZ115</f>
        <v>4.8889485403780242E-2</v>
      </c>
      <c r="AD113" s="59" t="str">
        <f t="shared" si="18"/>
        <v>OK</v>
      </c>
      <c r="AE113" s="39">
        <f t="shared" si="19"/>
        <v>14.4140856153857</v>
      </c>
      <c r="AG113" s="73">
        <f t="shared" si="15"/>
        <v>25291.18</v>
      </c>
      <c r="AH113" s="73">
        <f t="shared" si="16"/>
        <v>174708.82</v>
      </c>
      <c r="AI113" s="74">
        <f t="shared" si="20"/>
        <v>1010.06</v>
      </c>
      <c r="AJ113" s="9"/>
      <c r="AK113" s="73">
        <f>'Fixed rate projection'!$AE$3-('Variable rate projection'!AI113*Product_term*Var_freq)</f>
        <v>51</v>
      </c>
    </row>
    <row r="114" spans="1:37" x14ac:dyDescent="0.35">
      <c r="A114" s="27">
        <v>109</v>
      </c>
      <c r="B114" s="57">
        <f t="shared" si="17"/>
        <v>1000</v>
      </c>
      <c r="C114" s="16">
        <f>ROUND(B114*(1+'Interest rate projection'!AB116/Var_freq)+IF(C$5="Mortgage Starts",0,Deposit_mon),2)</f>
        <v>2003.67</v>
      </c>
      <c r="D114" s="16">
        <f>ROUND(C114*(1+'Interest rate projection'!AC116/Var_freq)+IF(D$5="Mortgage Starts",0,Deposit_mon),2)</f>
        <v>3010.23</v>
      </c>
      <c r="E114" s="16">
        <f>ROUND(D114*(1+'Interest rate projection'!AD116/Var_freq)+IF(E$5="Mortgage Starts",0,Deposit_mon),2)</f>
        <v>4020.08</v>
      </c>
      <c r="F114" s="16">
        <f>ROUND(E114*(1+'Interest rate projection'!AE116/Var_freq)+IF(F$5="Mortgage Starts",0,Deposit_mon),2)</f>
        <v>5033.24</v>
      </c>
      <c r="G114" s="16">
        <f>ROUND(F114*(1+'Interest rate projection'!AF116/Var_freq)+IF(G$5="Mortgage Starts",0,Deposit_mon),2)</f>
        <v>6049.72</v>
      </c>
      <c r="H114" s="16">
        <f>ROUND(G114*(1+'Interest rate projection'!AG116/Var_freq)+IF(H$5="Mortgage Starts",0,Deposit_mon),2)</f>
        <v>7069.53</v>
      </c>
      <c r="I114" s="16">
        <f>ROUND(H114*(1+'Interest rate projection'!AH116/Var_freq)+IF(I$5="Mortgage Starts",0,Deposit_mon),2)</f>
        <v>8092.67</v>
      </c>
      <c r="J114" s="16">
        <f>ROUND(I114*(1+'Interest rate projection'!AI116/Var_freq)+IF(J$5="Mortgage Starts",0,Deposit_mon),2)</f>
        <v>9119.16</v>
      </c>
      <c r="K114" s="16">
        <f>ROUND(J114*(1+'Interest rate projection'!AJ116/Var_freq)+IF(K$5="Mortgage Starts",0,Deposit_mon),2)</f>
        <v>10149.01</v>
      </c>
      <c r="L114" s="16">
        <f>ROUND(K114*(1+'Interest rate projection'!AK116/Var_freq)+IF(L$5="Mortgage Starts",0,Deposit_mon),2)</f>
        <v>11182.24</v>
      </c>
      <c r="M114" s="16">
        <f>ROUND(L114*(1+'Interest rate projection'!AL116/Var_freq)+IF(M$5="Mortgage Starts",0,Deposit_mon),2)</f>
        <v>12218.85</v>
      </c>
      <c r="N114" s="16">
        <f>ROUND(M114*(1+'Interest rate projection'!AM116/Var_freq)+IF(N$5="Mortgage Starts",0,Deposit_mon),2)</f>
        <v>13263.75</v>
      </c>
      <c r="O114" s="16">
        <f>ROUND(N114*(1+'Interest rate projection'!AN116/Var_freq)+IF(O$5="Mortgage Starts",0,Deposit_mon),2)</f>
        <v>14312.49</v>
      </c>
      <c r="P114" s="16">
        <f>ROUND(O114*(1+'Interest rate projection'!AO116/Var_freq)+IF(P$5="Mortgage Starts",0,Deposit_mon),2)</f>
        <v>15365.09</v>
      </c>
      <c r="Q114" s="16">
        <f>ROUND(P114*(1+'Interest rate projection'!AP116/Var_freq)+IF(Q$5="Mortgage Starts",0,Deposit_mon),2)</f>
        <v>16421.55</v>
      </c>
      <c r="R114" s="16">
        <f>ROUND(Q114*(1+'Interest rate projection'!AQ116/Var_freq)+IF(R$5="Mortgage Starts",0,Deposit_mon),2)</f>
        <v>17481.900000000001</v>
      </c>
      <c r="S114" s="16">
        <f>ROUND(R114*(1+'Interest rate projection'!AR116/Var_freq)+IF(S$5="Mortgage Starts",0,Deposit_mon),2)</f>
        <v>18546.14</v>
      </c>
      <c r="T114" s="16">
        <f>ROUND(S114*(1+'Interest rate projection'!AS116/Var_freq)+IF(T$5="Mortgage Starts",0,Deposit_mon),2)</f>
        <v>19614.29</v>
      </c>
      <c r="U114" s="16">
        <f>ROUND(T114*(1+'Interest rate projection'!AT116/Var_freq)+IF(U$5="Mortgage Starts",0,Deposit_mon),2)</f>
        <v>20686.37</v>
      </c>
      <c r="V114" s="16">
        <f>ROUND(U114*(1+'Interest rate projection'!AU116/Var_freq)+IF(V$5="Mortgage Starts",0,Deposit_mon),2)</f>
        <v>21762.39</v>
      </c>
      <c r="W114" s="16">
        <f>ROUND(V114*(1+'Interest rate projection'!AV116/Var_freq)+IF(W$5="Mortgage Starts",0,Deposit_mon),2)</f>
        <v>22833.63</v>
      </c>
      <c r="X114" s="16">
        <f>ROUND(W114*(1+'Interest rate projection'!AW116/Var_freq)+IF(X$5="Mortgage Starts",0,Deposit_mon),2)</f>
        <v>23908.38</v>
      </c>
      <c r="Y114" s="16">
        <f>ROUND(X114*(1+'Interest rate projection'!AX116/Var_freq)+IF(Y$5="Mortgage Starts",0,Deposit_mon),2)</f>
        <v>24986.65</v>
      </c>
      <c r="Z114" s="57">
        <f>ROUND(Y114*(1+'Interest rate projection'!AY116/Var_freq)+IF(Z$5="Mortgage Starts",0,Deposit_mon),2)</f>
        <v>25068.45</v>
      </c>
      <c r="AB114" s="38">
        <f>'Interest rate projection'!Z116</f>
        <v>0.04</v>
      </c>
      <c r="AC114" s="38">
        <f>'Interest rate projection'!AZ116</f>
        <v>3.9284877386386974E-2</v>
      </c>
      <c r="AD114" s="59" t="str">
        <f t="shared" si="18"/>
        <v>OK</v>
      </c>
      <c r="AE114" s="39">
        <f t="shared" si="19"/>
        <v>15.906456614335044</v>
      </c>
      <c r="AG114" s="73">
        <f t="shared" si="15"/>
        <v>25068.45</v>
      </c>
      <c r="AH114" s="73">
        <f t="shared" si="16"/>
        <v>174931.55</v>
      </c>
      <c r="AI114" s="74">
        <f t="shared" si="20"/>
        <v>916.46</v>
      </c>
      <c r="AJ114" s="9"/>
      <c r="AK114" s="73">
        <f>'Fixed rate projection'!$AE$3-('Variable rate projection'!AI114*Product_term*Var_freq)</f>
        <v>28131</v>
      </c>
    </row>
    <row r="115" spans="1:37" x14ac:dyDescent="0.35">
      <c r="A115" s="5">
        <v>110</v>
      </c>
      <c r="B115" s="57">
        <f t="shared" si="17"/>
        <v>1000</v>
      </c>
      <c r="C115" s="16">
        <f>ROUND(B115*(1+'Interest rate projection'!AB117/Var_freq)+IF(C$5="Mortgage Starts",0,Deposit_mon),2)</f>
        <v>2003.67</v>
      </c>
      <c r="D115" s="16">
        <f>ROUND(C115*(1+'Interest rate projection'!AC117/Var_freq)+IF(D$5="Mortgage Starts",0,Deposit_mon),2)</f>
        <v>3011.03</v>
      </c>
      <c r="E115" s="16">
        <f>ROUND(D115*(1+'Interest rate projection'!AD117/Var_freq)+IF(E$5="Mortgage Starts",0,Deposit_mon),2)</f>
        <v>4022.09</v>
      </c>
      <c r="F115" s="16">
        <f>ROUND(E115*(1+'Interest rate projection'!AE117/Var_freq)+IF(F$5="Mortgage Starts",0,Deposit_mon),2)</f>
        <v>5036.87</v>
      </c>
      <c r="G115" s="16">
        <f>ROUND(F115*(1+'Interest rate projection'!AF117/Var_freq)+IF(G$5="Mortgage Starts",0,Deposit_mon),2)</f>
        <v>6056.39</v>
      </c>
      <c r="H115" s="16">
        <f>ROUND(G115*(1+'Interest rate projection'!AG117/Var_freq)+IF(H$5="Mortgage Starts",0,Deposit_mon),2)</f>
        <v>7079.86</v>
      </c>
      <c r="I115" s="16">
        <f>ROUND(H115*(1+'Interest rate projection'!AH117/Var_freq)+IF(I$5="Mortgage Starts",0,Deposit_mon),2)</f>
        <v>8107.29</v>
      </c>
      <c r="J115" s="16">
        <f>ROUND(I115*(1+'Interest rate projection'!AI117/Var_freq)+IF(J$5="Mortgage Starts",0,Deposit_mon),2)</f>
        <v>9138.7000000000007</v>
      </c>
      <c r="K115" s="16">
        <f>ROUND(J115*(1+'Interest rate projection'!AJ117/Var_freq)+IF(K$5="Mortgage Starts",0,Deposit_mon),2)</f>
        <v>10174.11</v>
      </c>
      <c r="L115" s="16">
        <f>ROUND(K115*(1+'Interest rate projection'!AK117/Var_freq)+IF(L$5="Mortgage Starts",0,Deposit_mon),2)</f>
        <v>11213.53</v>
      </c>
      <c r="M115" s="16">
        <f>ROUND(L115*(1+'Interest rate projection'!AL117/Var_freq)+IF(M$5="Mortgage Starts",0,Deposit_mon),2)</f>
        <v>12256.98</v>
      </c>
      <c r="N115" s="16">
        <f>ROUND(M115*(1+'Interest rate projection'!AM117/Var_freq)+IF(N$5="Mortgage Starts",0,Deposit_mon),2)</f>
        <v>13299.57</v>
      </c>
      <c r="O115" s="16">
        <f>ROUND(N115*(1+'Interest rate projection'!AN117/Var_freq)+IF(O$5="Mortgage Starts",0,Deposit_mon),2)</f>
        <v>14345.78</v>
      </c>
      <c r="P115" s="16">
        <f>ROUND(O115*(1+'Interest rate projection'!AO117/Var_freq)+IF(P$5="Mortgage Starts",0,Deposit_mon),2)</f>
        <v>15395.62</v>
      </c>
      <c r="Q115" s="16">
        <f>ROUND(P115*(1+'Interest rate projection'!AP117/Var_freq)+IF(Q$5="Mortgage Starts",0,Deposit_mon),2)</f>
        <v>16452.2</v>
      </c>
      <c r="R115" s="16">
        <f>ROUND(Q115*(1+'Interest rate projection'!AQ117/Var_freq)+IF(R$5="Mortgage Starts",0,Deposit_mon),2)</f>
        <v>17512.66</v>
      </c>
      <c r="S115" s="16">
        <f>ROUND(R115*(1+'Interest rate projection'!AR117/Var_freq)+IF(S$5="Mortgage Starts",0,Deposit_mon),2)</f>
        <v>18569.990000000002</v>
      </c>
      <c r="T115" s="16">
        <f>ROUND(S115*(1+'Interest rate projection'!AS117/Var_freq)+IF(T$5="Mortgage Starts",0,Deposit_mon),2)</f>
        <v>19630.78</v>
      </c>
      <c r="U115" s="16">
        <f>ROUND(T115*(1+'Interest rate projection'!AT117/Var_freq)+IF(U$5="Mortgage Starts",0,Deposit_mon),2)</f>
        <v>20687.14</v>
      </c>
      <c r="V115" s="16">
        <f>ROUND(U115*(1+'Interest rate projection'!AU117/Var_freq)+IF(V$5="Mortgage Starts",0,Deposit_mon),2)</f>
        <v>21746.53</v>
      </c>
      <c r="W115" s="16">
        <f>ROUND(V115*(1+'Interest rate projection'!AV117/Var_freq)+IF(W$5="Mortgage Starts",0,Deposit_mon),2)</f>
        <v>22808.959999999999</v>
      </c>
      <c r="X115" s="16">
        <f>ROUND(W115*(1+'Interest rate projection'!AW117/Var_freq)+IF(X$5="Mortgage Starts",0,Deposit_mon),2)</f>
        <v>23874.44</v>
      </c>
      <c r="Y115" s="16">
        <f>ROUND(X115*(1+'Interest rate projection'!AX117/Var_freq)+IF(Y$5="Mortgage Starts",0,Deposit_mon),2)</f>
        <v>24942.98</v>
      </c>
      <c r="Z115" s="57">
        <f>ROUND(Y115*(1+'Interest rate projection'!AY117/Var_freq)+IF(Z$5="Mortgage Starts",0,Deposit_mon),2)</f>
        <v>25014.59</v>
      </c>
      <c r="AB115" s="38">
        <f>'Interest rate projection'!Z117</f>
        <v>3.500000000000001E-2</v>
      </c>
      <c r="AC115" s="38">
        <f>'Interest rate projection'!AZ117</f>
        <v>3.4450784628919706E-2</v>
      </c>
      <c r="AD115" s="59" t="str">
        <f t="shared" si="18"/>
        <v>OK</v>
      </c>
      <c r="AE115" s="39">
        <f t="shared" si="19"/>
        <v>16.744263358395965</v>
      </c>
      <c r="AG115" s="73">
        <f t="shared" si="15"/>
        <v>25014.59</v>
      </c>
      <c r="AH115" s="73">
        <f t="shared" si="16"/>
        <v>174985.41</v>
      </c>
      <c r="AI115" s="74">
        <f t="shared" si="20"/>
        <v>870.87</v>
      </c>
      <c r="AJ115" s="9"/>
      <c r="AK115" s="73">
        <f>'Fixed rate projection'!$AE$3-('Variable rate projection'!AI115*Product_term*Var_freq)</f>
        <v>41808</v>
      </c>
    </row>
    <row r="116" spans="1:37" x14ac:dyDescent="0.35">
      <c r="A116" s="27">
        <v>111</v>
      </c>
      <c r="B116" s="57">
        <f t="shared" si="17"/>
        <v>1000</v>
      </c>
      <c r="C116" s="16">
        <f>ROUND(B116*(1+'Interest rate projection'!AB118/Var_freq)+IF(C$5="Mortgage Starts",0,Deposit_mon),2)</f>
        <v>2003.67</v>
      </c>
      <c r="D116" s="16">
        <f>ROUND(C116*(1+'Interest rate projection'!AC118/Var_freq)+IF(D$5="Mortgage Starts",0,Deposit_mon),2)</f>
        <v>3011.03</v>
      </c>
      <c r="E116" s="16">
        <f>ROUND(D116*(1+'Interest rate projection'!AD118/Var_freq)+IF(E$5="Mortgage Starts",0,Deposit_mon),2)</f>
        <v>4022.09</v>
      </c>
      <c r="F116" s="16">
        <f>ROUND(E116*(1+'Interest rate projection'!AE118/Var_freq)+IF(F$5="Mortgage Starts",0,Deposit_mon),2)</f>
        <v>5036.87</v>
      </c>
      <c r="G116" s="16">
        <f>ROUND(F116*(1+'Interest rate projection'!AF118/Var_freq)+IF(G$5="Mortgage Starts",0,Deposit_mon),2)</f>
        <v>6055.38</v>
      </c>
      <c r="H116" s="16">
        <f>ROUND(G116*(1+'Interest rate projection'!AG118/Var_freq)+IF(H$5="Mortgage Starts",0,Deposit_mon),2)</f>
        <v>7077.63</v>
      </c>
      <c r="I116" s="16">
        <f>ROUND(H116*(1+'Interest rate projection'!AH118/Var_freq)+IF(I$5="Mortgage Starts",0,Deposit_mon),2)</f>
        <v>8103.64</v>
      </c>
      <c r="J116" s="16">
        <f>ROUND(I116*(1+'Interest rate projection'!AI118/Var_freq)+IF(J$5="Mortgage Starts",0,Deposit_mon),2)</f>
        <v>9133.42</v>
      </c>
      <c r="K116" s="16">
        <f>ROUND(J116*(1+'Interest rate projection'!AJ118/Var_freq)+IF(K$5="Mortgage Starts",0,Deposit_mon),2)</f>
        <v>10165.15</v>
      </c>
      <c r="L116" s="16">
        <f>ROUND(K116*(1+'Interest rate projection'!AK118/Var_freq)+IF(L$5="Mortgage Starts",0,Deposit_mon),2)</f>
        <v>11200.47</v>
      </c>
      <c r="M116" s="16">
        <f>ROUND(L116*(1+'Interest rate projection'!AL118/Var_freq)+IF(M$5="Mortgage Starts",0,Deposit_mon),2)</f>
        <v>12237.14</v>
      </c>
      <c r="N116" s="16">
        <f>ROUND(M116*(1+'Interest rate projection'!AM118/Var_freq)+IF(N$5="Mortgage Starts",0,Deposit_mon),2)</f>
        <v>13277.2</v>
      </c>
      <c r="O116" s="16">
        <f>ROUND(N116*(1+'Interest rate projection'!AN118/Var_freq)+IF(O$5="Mortgage Starts",0,Deposit_mon),2)</f>
        <v>14320.67</v>
      </c>
      <c r="P116" s="16">
        <f>ROUND(O116*(1+'Interest rate projection'!AO118/Var_freq)+IF(P$5="Mortgage Starts",0,Deposit_mon),2)</f>
        <v>15367.55</v>
      </c>
      <c r="Q116" s="16">
        <f>ROUND(P116*(1+'Interest rate projection'!AP118/Var_freq)+IF(Q$5="Mortgage Starts",0,Deposit_mon),2)</f>
        <v>16417.86</v>
      </c>
      <c r="R116" s="16">
        <f>ROUND(Q116*(1+'Interest rate projection'!AQ118/Var_freq)+IF(R$5="Mortgage Starts",0,Deposit_mon),2)</f>
        <v>17471.61</v>
      </c>
      <c r="S116" s="16">
        <f>ROUND(R116*(1+'Interest rate projection'!AR118/Var_freq)+IF(S$5="Mortgage Starts",0,Deposit_mon),2)</f>
        <v>18521.77</v>
      </c>
      <c r="T116" s="16">
        <f>ROUND(S116*(1+'Interest rate projection'!AS118/Var_freq)+IF(T$5="Mortgage Starts",0,Deposit_mon),2)</f>
        <v>19574.939999999999</v>
      </c>
      <c r="U116" s="16">
        <f>ROUND(T116*(1+'Interest rate projection'!AT118/Var_freq)+IF(U$5="Mortgage Starts",0,Deposit_mon),2)</f>
        <v>20631.14</v>
      </c>
      <c r="V116" s="16">
        <f>ROUND(U116*(1+'Interest rate projection'!AU118/Var_freq)+IF(V$5="Mortgage Starts",0,Deposit_mon),2)</f>
        <v>21690.37</v>
      </c>
      <c r="W116" s="16">
        <f>ROUND(V116*(1+'Interest rate projection'!AV118/Var_freq)+IF(W$5="Mortgage Starts",0,Deposit_mon),2)</f>
        <v>22752.639999999999</v>
      </c>
      <c r="X116" s="16">
        <f>ROUND(W116*(1+'Interest rate projection'!AW118/Var_freq)+IF(X$5="Mortgage Starts",0,Deposit_mon),2)</f>
        <v>23817.96</v>
      </c>
      <c r="Y116" s="16">
        <f>ROUND(X116*(1+'Interest rate projection'!AX118/Var_freq)+IF(Y$5="Mortgage Starts",0,Deposit_mon),2)</f>
        <v>24881.53</v>
      </c>
      <c r="Z116" s="57">
        <f>ROUND(Y116*(1+'Interest rate projection'!AY118/Var_freq)+IF(Z$5="Mortgage Starts",0,Deposit_mon),2)</f>
        <v>24947.93</v>
      </c>
      <c r="AB116" s="38">
        <f>'Interest rate projection'!Z118</f>
        <v>3.2499999999999994E-2</v>
      </c>
      <c r="AC116" s="38">
        <f>'Interest rate projection'!AZ118</f>
        <v>3.2025705211555788E-2</v>
      </c>
      <c r="AD116" s="59" t="str">
        <f t="shared" si="18"/>
        <v>OK</v>
      </c>
      <c r="AE116" s="39">
        <f t="shared" si="19"/>
        <v>17.188709573985651</v>
      </c>
      <c r="AG116" s="73">
        <f t="shared" si="15"/>
        <v>24947.93</v>
      </c>
      <c r="AH116" s="73">
        <f t="shared" si="16"/>
        <v>175052.07</v>
      </c>
      <c r="AI116" s="74">
        <f t="shared" si="20"/>
        <v>848.68</v>
      </c>
      <c r="AJ116" s="9"/>
      <c r="AK116" s="73">
        <f>'Fixed rate projection'!$AE$3-('Variable rate projection'!AI116*Product_term*Var_freq)</f>
        <v>48465</v>
      </c>
    </row>
    <row r="117" spans="1:37" x14ac:dyDescent="0.35">
      <c r="A117" s="5">
        <v>112</v>
      </c>
      <c r="B117" s="57">
        <f t="shared" si="17"/>
        <v>1000</v>
      </c>
      <c r="C117" s="16">
        <f>ROUND(B117*(1+'Interest rate projection'!AB119/Var_freq)+IF(C$5="Mortgage Starts",0,Deposit_mon),2)</f>
        <v>2003.67</v>
      </c>
      <c r="D117" s="16">
        <f>ROUND(C117*(1+'Interest rate projection'!AC119/Var_freq)+IF(D$5="Mortgage Starts",0,Deposit_mon),2)</f>
        <v>3011.03</v>
      </c>
      <c r="E117" s="16">
        <f>ROUND(D117*(1+'Interest rate projection'!AD119/Var_freq)+IF(E$5="Mortgage Starts",0,Deposit_mon),2)</f>
        <v>4022.09</v>
      </c>
      <c r="F117" s="16">
        <f>ROUND(E117*(1+'Interest rate projection'!AE119/Var_freq)+IF(F$5="Mortgage Starts",0,Deposit_mon),2)</f>
        <v>5036.87</v>
      </c>
      <c r="G117" s="16">
        <f>ROUND(F117*(1+'Interest rate projection'!AF119/Var_freq)+IF(G$5="Mortgage Starts",0,Deposit_mon),2)</f>
        <v>6055.38</v>
      </c>
      <c r="H117" s="16">
        <f>ROUND(G117*(1+'Interest rate projection'!AG119/Var_freq)+IF(H$5="Mortgage Starts",0,Deposit_mon),2)</f>
        <v>7077.63</v>
      </c>
      <c r="I117" s="16">
        <f>ROUND(H117*(1+'Interest rate projection'!AH119/Var_freq)+IF(I$5="Mortgage Starts",0,Deposit_mon),2)</f>
        <v>8103.64</v>
      </c>
      <c r="J117" s="16">
        <f>ROUND(I117*(1+'Interest rate projection'!AI119/Var_freq)+IF(J$5="Mortgage Starts",0,Deposit_mon),2)</f>
        <v>9133.42</v>
      </c>
      <c r="K117" s="16">
        <f>ROUND(J117*(1+'Interest rate projection'!AJ119/Var_freq)+IF(K$5="Mortgage Starts",0,Deposit_mon),2)</f>
        <v>10166.98</v>
      </c>
      <c r="L117" s="16">
        <f>ROUND(K117*(1+'Interest rate projection'!AK119/Var_freq)+IF(L$5="Mortgage Starts",0,Deposit_mon),2)</f>
        <v>11204.34</v>
      </c>
      <c r="M117" s="16">
        <f>ROUND(L117*(1+'Interest rate projection'!AL119/Var_freq)+IF(M$5="Mortgage Starts",0,Deposit_mon),2)</f>
        <v>12245.51</v>
      </c>
      <c r="N117" s="16">
        <f>ROUND(M117*(1+'Interest rate projection'!AM119/Var_freq)+IF(N$5="Mortgage Starts",0,Deposit_mon),2)</f>
        <v>13290.51</v>
      </c>
      <c r="O117" s="16">
        <f>ROUND(N117*(1+'Interest rate projection'!AN119/Var_freq)+IF(O$5="Mortgage Starts",0,Deposit_mon),2)</f>
        <v>14339.35</v>
      </c>
      <c r="P117" s="16">
        <f>ROUND(O117*(1+'Interest rate projection'!AO119/Var_freq)+IF(P$5="Mortgage Starts",0,Deposit_mon),2)</f>
        <v>15394.91</v>
      </c>
      <c r="Q117" s="16">
        <f>ROUND(P117*(1+'Interest rate projection'!AP119/Var_freq)+IF(Q$5="Mortgage Starts",0,Deposit_mon),2)</f>
        <v>16454.560000000001</v>
      </c>
      <c r="R117" s="16">
        <f>ROUND(Q117*(1+'Interest rate projection'!AQ119/Var_freq)+IF(R$5="Mortgage Starts",0,Deposit_mon),2)</f>
        <v>17518.32</v>
      </c>
      <c r="S117" s="16">
        <f>ROUND(R117*(1+'Interest rate projection'!AR119/Var_freq)+IF(S$5="Mortgage Starts",0,Deposit_mon),2)</f>
        <v>18586.2</v>
      </c>
      <c r="T117" s="16">
        <f>ROUND(S117*(1+'Interest rate projection'!AS119/Var_freq)+IF(T$5="Mortgage Starts",0,Deposit_mon),2)</f>
        <v>19658.22</v>
      </c>
      <c r="U117" s="16">
        <f>ROUND(T117*(1+'Interest rate projection'!AT119/Var_freq)+IF(U$5="Mortgage Starts",0,Deposit_mon),2)</f>
        <v>20742.22</v>
      </c>
      <c r="V117" s="16">
        <f>ROUND(U117*(1+'Interest rate projection'!AU119/Var_freq)+IF(V$5="Mortgage Starts",0,Deposit_mon),2)</f>
        <v>21830.85</v>
      </c>
      <c r="W117" s="16">
        <f>ROUND(V117*(1+'Interest rate projection'!AV119/Var_freq)+IF(W$5="Mortgage Starts",0,Deposit_mon),2)</f>
        <v>22924.14</v>
      </c>
      <c r="X117" s="16">
        <f>ROUND(W117*(1+'Interest rate projection'!AW119/Var_freq)+IF(X$5="Mortgage Starts",0,Deposit_mon),2)</f>
        <v>24022.1</v>
      </c>
      <c r="Y117" s="16">
        <f>ROUND(X117*(1+'Interest rate projection'!AX119/Var_freq)+IF(Y$5="Mortgage Starts",0,Deposit_mon),2)</f>
        <v>25124.75</v>
      </c>
      <c r="Z117" s="57">
        <f>ROUND(Y117*(1+'Interest rate projection'!AY119/Var_freq)+IF(Z$5="Mortgage Starts",0,Deposit_mon),2)</f>
        <v>25232.11</v>
      </c>
      <c r="AB117" s="38">
        <f>'Interest rate projection'!Z119</f>
        <v>5.2499999999999998E-2</v>
      </c>
      <c r="AC117" s="38">
        <f>'Interest rate projection'!AZ119</f>
        <v>5.1277533193896829E-2</v>
      </c>
      <c r="AD117" s="59" t="str">
        <f t="shared" si="18"/>
        <v>OK</v>
      </c>
      <c r="AE117" s="39">
        <f t="shared" si="19"/>
        <v>14.075212462503044</v>
      </c>
      <c r="AG117" s="73">
        <f t="shared" si="15"/>
        <v>25232.11</v>
      </c>
      <c r="AH117" s="73">
        <f t="shared" si="16"/>
        <v>174767.89</v>
      </c>
      <c r="AI117" s="74">
        <f t="shared" si="20"/>
        <v>1034.73</v>
      </c>
      <c r="AJ117" s="9"/>
      <c r="AK117" s="73">
        <f>'Fixed rate projection'!$AE$3-('Variable rate projection'!AI117*Product_term*Var_freq)</f>
        <v>-7350</v>
      </c>
    </row>
    <row r="118" spans="1:37" x14ac:dyDescent="0.35">
      <c r="A118" s="27">
        <v>113</v>
      </c>
      <c r="B118" s="57">
        <f t="shared" si="17"/>
        <v>1000</v>
      </c>
      <c r="C118" s="16">
        <f>ROUND(B118*(1+'Interest rate projection'!AB120/Var_freq)+IF(C$5="Mortgage Starts",0,Deposit_mon),2)</f>
        <v>2003.67</v>
      </c>
      <c r="D118" s="16">
        <f>ROUND(C118*(1+'Interest rate projection'!AC120/Var_freq)+IF(D$5="Mortgage Starts",0,Deposit_mon),2)</f>
        <v>3011.03</v>
      </c>
      <c r="E118" s="16">
        <f>ROUND(D118*(1+'Interest rate projection'!AD120/Var_freq)+IF(E$5="Mortgage Starts",0,Deposit_mon),2)</f>
        <v>4022.09</v>
      </c>
      <c r="F118" s="16">
        <f>ROUND(E118*(1+'Interest rate projection'!AE120/Var_freq)+IF(F$5="Mortgage Starts",0,Deposit_mon),2)</f>
        <v>5036.87</v>
      </c>
      <c r="G118" s="16">
        <f>ROUND(F118*(1+'Interest rate projection'!AF120/Var_freq)+IF(G$5="Mortgage Starts",0,Deposit_mon),2)</f>
        <v>6055.38</v>
      </c>
      <c r="H118" s="16">
        <f>ROUND(G118*(1+'Interest rate projection'!AG120/Var_freq)+IF(H$5="Mortgage Starts",0,Deposit_mon),2)</f>
        <v>7077.63</v>
      </c>
      <c r="I118" s="16">
        <f>ROUND(H118*(1+'Interest rate projection'!AH120/Var_freq)+IF(I$5="Mortgage Starts",0,Deposit_mon),2)</f>
        <v>8103.64</v>
      </c>
      <c r="J118" s="16">
        <f>ROUND(I118*(1+'Interest rate projection'!AI120/Var_freq)+IF(J$5="Mortgage Starts",0,Deposit_mon),2)</f>
        <v>9133.42</v>
      </c>
      <c r="K118" s="16">
        <f>ROUND(J118*(1+'Interest rate projection'!AJ120/Var_freq)+IF(K$5="Mortgage Starts",0,Deposit_mon),2)</f>
        <v>10166.98</v>
      </c>
      <c r="L118" s="16">
        <f>ROUND(K118*(1+'Interest rate projection'!AK120/Var_freq)+IF(L$5="Mortgage Starts",0,Deposit_mon),2)</f>
        <v>11204.34</v>
      </c>
      <c r="M118" s="16">
        <f>ROUND(L118*(1+'Interest rate projection'!AL120/Var_freq)+IF(M$5="Mortgage Starts",0,Deposit_mon),2)</f>
        <v>12245.51</v>
      </c>
      <c r="N118" s="16">
        <f>ROUND(M118*(1+'Interest rate projection'!AM120/Var_freq)+IF(N$5="Mortgage Starts",0,Deposit_mon),2)</f>
        <v>13290.51</v>
      </c>
      <c r="O118" s="16">
        <f>ROUND(N118*(1+'Interest rate projection'!AN120/Var_freq)+IF(O$5="Mortgage Starts",0,Deposit_mon),2)</f>
        <v>14339.35</v>
      </c>
      <c r="P118" s="16">
        <f>ROUND(O118*(1+'Interest rate projection'!AO120/Var_freq)+IF(P$5="Mortgage Starts",0,Deposit_mon),2)</f>
        <v>15392.04</v>
      </c>
      <c r="Q118" s="16">
        <f>ROUND(P118*(1+'Interest rate projection'!AP120/Var_freq)+IF(Q$5="Mortgage Starts",0,Deposit_mon),2)</f>
        <v>16448.599999999999</v>
      </c>
      <c r="R118" s="16">
        <f>ROUND(Q118*(1+'Interest rate projection'!AQ120/Var_freq)+IF(R$5="Mortgage Starts",0,Deposit_mon),2)</f>
        <v>17509.05</v>
      </c>
      <c r="S118" s="16">
        <f>ROUND(R118*(1+'Interest rate projection'!AR120/Var_freq)+IF(S$5="Mortgage Starts",0,Deposit_mon),2)</f>
        <v>18573.39</v>
      </c>
      <c r="T118" s="16">
        <f>ROUND(S118*(1+'Interest rate projection'!AS120/Var_freq)+IF(T$5="Mortgage Starts",0,Deposit_mon),2)</f>
        <v>19641.64</v>
      </c>
      <c r="U118" s="16">
        <f>ROUND(T118*(1+'Interest rate projection'!AT120/Var_freq)+IF(U$5="Mortgage Starts",0,Deposit_mon),2)</f>
        <v>20713.82</v>
      </c>
      <c r="V118" s="16">
        <f>ROUND(U118*(1+'Interest rate projection'!AU120/Var_freq)+IF(V$5="Mortgage Starts",0,Deposit_mon),2)</f>
        <v>21789.94</v>
      </c>
      <c r="W118" s="16">
        <f>ROUND(V118*(1+'Interest rate projection'!AV120/Var_freq)+IF(W$5="Mortgage Starts",0,Deposit_mon),2)</f>
        <v>22870.01</v>
      </c>
      <c r="X118" s="16">
        <f>ROUND(W118*(1+'Interest rate projection'!AW120/Var_freq)+IF(X$5="Mortgage Starts",0,Deposit_mon),2)</f>
        <v>23954.05</v>
      </c>
      <c r="Y118" s="16">
        <f>ROUND(X118*(1+'Interest rate projection'!AX120/Var_freq)+IF(Y$5="Mortgage Starts",0,Deposit_mon),2)</f>
        <v>25042.080000000002</v>
      </c>
      <c r="Z118" s="57">
        <f>ROUND(Y118*(1+'Interest rate projection'!AY120/Var_freq)+IF(Z$5="Mortgage Starts",0,Deposit_mon),2)</f>
        <v>25134.1</v>
      </c>
      <c r="AB118" s="38">
        <f>'Interest rate projection'!Z120</f>
        <v>4.4999999999999998E-2</v>
      </c>
      <c r="AC118" s="38">
        <f>'Interest rate projection'!AZ120</f>
        <v>4.4097712805242217E-2</v>
      </c>
      <c r="AD118" s="59" t="str">
        <f t="shared" si="18"/>
        <v>OK</v>
      </c>
      <c r="AE118" s="39">
        <f t="shared" si="19"/>
        <v>15.131610255367837</v>
      </c>
      <c r="AG118" s="73">
        <f t="shared" si="15"/>
        <v>25134.1</v>
      </c>
      <c r="AH118" s="73">
        <f t="shared" si="16"/>
        <v>174865.9</v>
      </c>
      <c r="AI118" s="74">
        <f t="shared" si="20"/>
        <v>963.03</v>
      </c>
      <c r="AJ118" s="9"/>
      <c r="AK118" s="73">
        <f>'Fixed rate projection'!$AE$3-('Variable rate projection'!AI118*Product_term*Var_freq)</f>
        <v>14160</v>
      </c>
    </row>
    <row r="119" spans="1:37" x14ac:dyDescent="0.35">
      <c r="A119" s="5">
        <v>114</v>
      </c>
      <c r="B119" s="57">
        <f t="shared" si="17"/>
        <v>1000</v>
      </c>
      <c r="C119" s="16">
        <f>ROUND(B119*(1+'Interest rate projection'!AB121/Var_freq)+IF(C$5="Mortgage Starts",0,Deposit_mon),2)</f>
        <v>2003.67</v>
      </c>
      <c r="D119" s="16">
        <f>ROUND(C119*(1+'Interest rate projection'!AC121/Var_freq)+IF(D$5="Mortgage Starts",0,Deposit_mon),2)</f>
        <v>3011.03</v>
      </c>
      <c r="E119" s="16">
        <f>ROUND(D119*(1+'Interest rate projection'!AD121/Var_freq)+IF(E$5="Mortgage Starts",0,Deposit_mon),2)</f>
        <v>4022.09</v>
      </c>
      <c r="F119" s="16">
        <f>ROUND(E119*(1+'Interest rate projection'!AE121/Var_freq)+IF(F$5="Mortgage Starts",0,Deposit_mon),2)</f>
        <v>5036.87</v>
      </c>
      <c r="G119" s="16">
        <f>ROUND(F119*(1+'Interest rate projection'!AF121/Var_freq)+IF(G$5="Mortgage Starts",0,Deposit_mon),2)</f>
        <v>6055.38</v>
      </c>
      <c r="H119" s="16">
        <f>ROUND(G119*(1+'Interest rate projection'!AG121/Var_freq)+IF(H$5="Mortgage Starts",0,Deposit_mon),2)</f>
        <v>7077.63</v>
      </c>
      <c r="I119" s="16">
        <f>ROUND(H119*(1+'Interest rate projection'!AH121/Var_freq)+IF(I$5="Mortgage Starts",0,Deposit_mon),2)</f>
        <v>8103.64</v>
      </c>
      <c r="J119" s="16">
        <f>ROUND(I119*(1+'Interest rate projection'!AI121/Var_freq)+IF(J$5="Mortgage Starts",0,Deposit_mon),2)</f>
        <v>9135.0400000000009</v>
      </c>
      <c r="K119" s="16">
        <f>ROUND(J119*(1+'Interest rate projection'!AJ121/Var_freq)+IF(K$5="Mortgage Starts",0,Deposit_mon),2)</f>
        <v>10170.44</v>
      </c>
      <c r="L119" s="16">
        <f>ROUND(K119*(1+'Interest rate projection'!AK121/Var_freq)+IF(L$5="Mortgage Starts",0,Deposit_mon),2)</f>
        <v>11209.85</v>
      </c>
      <c r="M119" s="16">
        <f>ROUND(L119*(1+'Interest rate projection'!AL121/Var_freq)+IF(M$5="Mortgage Starts",0,Deposit_mon),2)</f>
        <v>12255.52</v>
      </c>
      <c r="N119" s="16">
        <f>ROUND(M119*(1+'Interest rate projection'!AM121/Var_freq)+IF(N$5="Mortgage Starts",0,Deposit_mon),2)</f>
        <v>13305.45</v>
      </c>
      <c r="O119" s="16">
        <f>ROUND(N119*(1+'Interest rate projection'!AN121/Var_freq)+IF(O$5="Mortgage Starts",0,Deposit_mon),2)</f>
        <v>14359.66</v>
      </c>
      <c r="P119" s="16">
        <f>ROUND(O119*(1+'Interest rate projection'!AO121/Var_freq)+IF(P$5="Mortgage Starts",0,Deposit_mon),2)</f>
        <v>15418.16</v>
      </c>
      <c r="Q119" s="16">
        <f>ROUND(P119*(1+'Interest rate projection'!AP121/Var_freq)+IF(Q$5="Mortgage Starts",0,Deposit_mon),2)</f>
        <v>16480.98</v>
      </c>
      <c r="R119" s="16">
        <f>ROUND(Q119*(1+'Interest rate projection'!AQ121/Var_freq)+IF(R$5="Mortgage Starts",0,Deposit_mon),2)</f>
        <v>17548.13</v>
      </c>
      <c r="S119" s="16">
        <f>ROUND(R119*(1+'Interest rate projection'!AR121/Var_freq)+IF(S$5="Mortgage Starts",0,Deposit_mon),2)</f>
        <v>18619.62</v>
      </c>
      <c r="T119" s="16">
        <f>ROUND(S119*(1+'Interest rate projection'!AS121/Var_freq)+IF(T$5="Mortgage Starts",0,Deposit_mon),2)</f>
        <v>19695.48</v>
      </c>
      <c r="U119" s="16">
        <f>ROUND(T119*(1+'Interest rate projection'!AT121/Var_freq)+IF(U$5="Mortgage Starts",0,Deposit_mon),2)</f>
        <v>20775.72</v>
      </c>
      <c r="V119" s="16">
        <f>ROUND(U119*(1+'Interest rate projection'!AU121/Var_freq)+IF(V$5="Mortgage Starts",0,Deposit_mon),2)</f>
        <v>21860.36</v>
      </c>
      <c r="W119" s="16">
        <f>ROUND(V119*(1+'Interest rate projection'!AV121/Var_freq)+IF(W$5="Mortgage Starts",0,Deposit_mon),2)</f>
        <v>22953.77</v>
      </c>
      <c r="X119" s="16">
        <f>ROUND(W119*(1+'Interest rate projection'!AW121/Var_freq)+IF(X$5="Mortgage Starts",0,Deposit_mon),2)</f>
        <v>24051.85</v>
      </c>
      <c r="Y119" s="16">
        <f>ROUND(X119*(1+'Interest rate projection'!AX121/Var_freq)+IF(Y$5="Mortgage Starts",0,Deposit_mon),2)</f>
        <v>25154.63</v>
      </c>
      <c r="Z119" s="57">
        <f>ROUND(Y119*(1+'Interest rate projection'!AY121/Var_freq)+IF(Z$5="Mortgage Starts",0,Deposit_mon),2)</f>
        <v>25262.12</v>
      </c>
      <c r="AB119" s="38">
        <f>'Interest rate projection'!Z121</f>
        <v>5.2500000000000005E-2</v>
      </c>
      <c r="AC119" s="38">
        <f>'Interest rate projection'!AZ121</f>
        <v>5.1277533193896829E-2</v>
      </c>
      <c r="AD119" s="59" t="str">
        <f t="shared" si="18"/>
        <v>OK</v>
      </c>
      <c r="AE119" s="39">
        <f t="shared" si="19"/>
        <v>14.075212462503044</v>
      </c>
      <c r="AG119" s="73">
        <f t="shared" si="15"/>
        <v>25262.12</v>
      </c>
      <c r="AH119" s="73">
        <f t="shared" si="16"/>
        <v>174737.88</v>
      </c>
      <c r="AI119" s="74">
        <f t="shared" si="20"/>
        <v>1034.55</v>
      </c>
      <c r="AJ119" s="9"/>
      <c r="AK119" s="73">
        <f>'Fixed rate projection'!$AE$3-('Variable rate projection'!AI119*Product_term*Var_freq)</f>
        <v>-7296</v>
      </c>
    </row>
    <row r="120" spans="1:37" x14ac:dyDescent="0.35">
      <c r="A120" s="27">
        <v>115</v>
      </c>
      <c r="B120" s="57">
        <f t="shared" si="17"/>
        <v>1000</v>
      </c>
      <c r="C120" s="16">
        <f>ROUND(B120*(1+'Interest rate projection'!AB122/Var_freq)+IF(C$5="Mortgage Starts",0,Deposit_mon),2)</f>
        <v>2003.67</v>
      </c>
      <c r="D120" s="16">
        <f>ROUND(C120*(1+'Interest rate projection'!AC122/Var_freq)+IF(D$5="Mortgage Starts",0,Deposit_mon),2)</f>
        <v>3011.03</v>
      </c>
      <c r="E120" s="16">
        <f>ROUND(D120*(1+'Interest rate projection'!AD122/Var_freq)+IF(E$5="Mortgage Starts",0,Deposit_mon),2)</f>
        <v>4022.09</v>
      </c>
      <c r="F120" s="16">
        <f>ROUND(E120*(1+'Interest rate projection'!AE122/Var_freq)+IF(F$5="Mortgage Starts",0,Deposit_mon),2)</f>
        <v>5036.87</v>
      </c>
      <c r="G120" s="16">
        <f>ROUND(F120*(1+'Interest rate projection'!AF122/Var_freq)+IF(G$5="Mortgage Starts",0,Deposit_mon),2)</f>
        <v>6055.38</v>
      </c>
      <c r="H120" s="16">
        <f>ROUND(G120*(1+'Interest rate projection'!AG122/Var_freq)+IF(H$5="Mortgage Starts",0,Deposit_mon),2)</f>
        <v>7076.42</v>
      </c>
      <c r="I120" s="16">
        <f>ROUND(H120*(1+'Interest rate projection'!AH122/Var_freq)+IF(I$5="Mortgage Starts",0,Deposit_mon),2)</f>
        <v>8101.01</v>
      </c>
      <c r="J120" s="16">
        <f>ROUND(I120*(1+'Interest rate projection'!AI122/Var_freq)+IF(J$5="Mortgage Starts",0,Deposit_mon),2)</f>
        <v>9129.16</v>
      </c>
      <c r="K120" s="16">
        <f>ROUND(J120*(1+'Interest rate projection'!AJ122/Var_freq)+IF(K$5="Mortgage Starts",0,Deposit_mon),2)</f>
        <v>10160.879999999999</v>
      </c>
      <c r="L120" s="16">
        <f>ROUND(K120*(1+'Interest rate projection'!AK122/Var_freq)+IF(L$5="Mortgage Starts",0,Deposit_mon),2)</f>
        <v>11196.18</v>
      </c>
      <c r="M120" s="16">
        <f>ROUND(L120*(1+'Interest rate projection'!AL122/Var_freq)+IF(M$5="Mortgage Starts",0,Deposit_mon),2)</f>
        <v>12235.08</v>
      </c>
      <c r="N120" s="16">
        <f>ROUND(M120*(1+'Interest rate projection'!AM122/Var_freq)+IF(N$5="Mortgage Starts",0,Deposit_mon),2)</f>
        <v>13277.59</v>
      </c>
      <c r="O120" s="16">
        <f>ROUND(N120*(1+'Interest rate projection'!AN122/Var_freq)+IF(O$5="Mortgage Starts",0,Deposit_mon),2)</f>
        <v>14323.72</v>
      </c>
      <c r="P120" s="16">
        <f>ROUND(O120*(1+'Interest rate projection'!AO122/Var_freq)+IF(P$5="Mortgage Starts",0,Deposit_mon),2)</f>
        <v>15373.49</v>
      </c>
      <c r="Q120" s="16">
        <f>ROUND(P120*(1+'Interest rate projection'!AP122/Var_freq)+IF(Q$5="Mortgage Starts",0,Deposit_mon),2)</f>
        <v>16426.91</v>
      </c>
      <c r="R120" s="16">
        <f>ROUND(Q120*(1+'Interest rate projection'!AQ122/Var_freq)+IF(R$5="Mortgage Starts",0,Deposit_mon),2)</f>
        <v>17480.689999999999</v>
      </c>
      <c r="S120" s="16">
        <f>ROUND(R120*(1+'Interest rate projection'!AR122/Var_freq)+IF(S$5="Mortgage Starts",0,Deposit_mon),2)</f>
        <v>18541.43</v>
      </c>
      <c r="T120" s="16">
        <f>ROUND(S120*(1+'Interest rate projection'!AS122/Var_freq)+IF(T$5="Mortgage Starts",0,Deposit_mon),2)</f>
        <v>19605.849999999999</v>
      </c>
      <c r="U120" s="16">
        <f>ROUND(T120*(1+'Interest rate projection'!AT122/Var_freq)+IF(U$5="Mortgage Starts",0,Deposit_mon),2)</f>
        <v>20673.97</v>
      </c>
      <c r="V120" s="16">
        <f>ROUND(U120*(1+'Interest rate projection'!AU122/Var_freq)+IF(V$5="Mortgage Starts",0,Deposit_mon),2)</f>
        <v>21745.8</v>
      </c>
      <c r="W120" s="16">
        <f>ROUND(V120*(1+'Interest rate projection'!AV122/Var_freq)+IF(W$5="Mortgage Starts",0,Deposit_mon),2)</f>
        <v>22821.360000000001</v>
      </c>
      <c r="X120" s="16">
        <f>ROUND(W120*(1+'Interest rate projection'!AW122/Var_freq)+IF(X$5="Mortgage Starts",0,Deposit_mon),2)</f>
        <v>23900.65</v>
      </c>
      <c r="Y120" s="16">
        <f>ROUND(X120*(1+'Interest rate projection'!AX122/Var_freq)+IF(Y$5="Mortgage Starts",0,Deposit_mon),2)</f>
        <v>24983.69</v>
      </c>
      <c r="Z120" s="57">
        <f>ROUND(Y120*(1+'Interest rate projection'!AY122/Var_freq)+IF(Z$5="Mortgage Starts",0,Deposit_mon),2)</f>
        <v>25070.5</v>
      </c>
      <c r="AB120" s="38">
        <f>'Interest rate projection'!Z122</f>
        <v>4.2499999999999996E-2</v>
      </c>
      <c r="AC120" s="38">
        <f>'Interest rate projection'!AZ122</f>
        <v>4.1693940041970023E-2</v>
      </c>
      <c r="AD120" s="59" t="str">
        <f t="shared" si="18"/>
        <v>OK</v>
      </c>
      <c r="AE120" s="39">
        <f t="shared" si="19"/>
        <v>15.511529757864551</v>
      </c>
      <c r="AG120" s="73">
        <f t="shared" si="15"/>
        <v>25070.5</v>
      </c>
      <c r="AH120" s="73">
        <f t="shared" si="16"/>
        <v>174929.5</v>
      </c>
      <c r="AI120" s="74">
        <f t="shared" si="20"/>
        <v>939.78</v>
      </c>
      <c r="AJ120" s="9"/>
      <c r="AK120" s="73">
        <f>'Fixed rate projection'!$AE$3-('Variable rate projection'!AI120*Product_term*Var_freq)</f>
        <v>21135</v>
      </c>
    </row>
    <row r="121" spans="1:37" x14ac:dyDescent="0.35">
      <c r="A121" s="5">
        <v>116</v>
      </c>
      <c r="B121" s="57">
        <f t="shared" si="17"/>
        <v>1000</v>
      </c>
      <c r="C121" s="16">
        <f>ROUND(B121*(1+'Interest rate projection'!AB123/Var_freq)+IF(C$5="Mortgage Starts",0,Deposit_mon),2)</f>
        <v>2003.67</v>
      </c>
      <c r="D121" s="16">
        <f>ROUND(C121*(1+'Interest rate projection'!AC123/Var_freq)+IF(D$5="Mortgage Starts",0,Deposit_mon),2)</f>
        <v>3011.03</v>
      </c>
      <c r="E121" s="16">
        <f>ROUND(D121*(1+'Interest rate projection'!AD123/Var_freq)+IF(E$5="Mortgage Starts",0,Deposit_mon),2)</f>
        <v>4022.09</v>
      </c>
      <c r="F121" s="16">
        <f>ROUND(E121*(1+'Interest rate projection'!AE123/Var_freq)+IF(F$5="Mortgage Starts",0,Deposit_mon),2)</f>
        <v>5036.87</v>
      </c>
      <c r="G121" s="16">
        <f>ROUND(F121*(1+'Interest rate projection'!AF123/Var_freq)+IF(G$5="Mortgage Starts",0,Deposit_mon),2)</f>
        <v>6055.38</v>
      </c>
      <c r="H121" s="16">
        <f>ROUND(G121*(1+'Interest rate projection'!AG123/Var_freq)+IF(H$5="Mortgage Starts",0,Deposit_mon),2)</f>
        <v>7077.63</v>
      </c>
      <c r="I121" s="16">
        <f>ROUND(H121*(1+'Interest rate projection'!AH123/Var_freq)+IF(I$5="Mortgage Starts",0,Deposit_mon),2)</f>
        <v>8103.64</v>
      </c>
      <c r="J121" s="16">
        <f>ROUND(I121*(1+'Interest rate projection'!AI123/Var_freq)+IF(J$5="Mortgage Starts",0,Deposit_mon),2)</f>
        <v>9135.0400000000009</v>
      </c>
      <c r="K121" s="16">
        <f>ROUND(J121*(1+'Interest rate projection'!AJ123/Var_freq)+IF(K$5="Mortgage Starts",0,Deposit_mon),2)</f>
        <v>10172.26</v>
      </c>
      <c r="L121" s="16">
        <f>ROUND(K121*(1+'Interest rate projection'!AK123/Var_freq)+IF(L$5="Mortgage Starts",0,Deposit_mon),2)</f>
        <v>11213.7</v>
      </c>
      <c r="M121" s="16">
        <f>ROUND(L121*(1+'Interest rate projection'!AL123/Var_freq)+IF(M$5="Mortgage Starts",0,Deposit_mon),2)</f>
        <v>12259.39</v>
      </c>
      <c r="N121" s="16">
        <f>ROUND(M121*(1+'Interest rate projection'!AM123/Var_freq)+IF(N$5="Mortgage Starts",0,Deposit_mon),2)</f>
        <v>13309.34</v>
      </c>
      <c r="O121" s="16">
        <f>ROUND(N121*(1+'Interest rate projection'!AN123/Var_freq)+IF(O$5="Mortgage Starts",0,Deposit_mon),2)</f>
        <v>14360.91</v>
      </c>
      <c r="P121" s="16">
        <f>ROUND(O121*(1+'Interest rate projection'!AO123/Var_freq)+IF(P$5="Mortgage Starts",0,Deposit_mon),2)</f>
        <v>15416.55</v>
      </c>
      <c r="Q121" s="16">
        <f>ROUND(P121*(1+'Interest rate projection'!AP123/Var_freq)+IF(Q$5="Mortgage Starts",0,Deposit_mon),2)</f>
        <v>16476.28</v>
      </c>
      <c r="R121" s="16">
        <f>ROUND(Q121*(1+'Interest rate projection'!AQ123/Var_freq)+IF(R$5="Mortgage Starts",0,Deposit_mon),2)</f>
        <v>17540.12</v>
      </c>
      <c r="S121" s="16">
        <f>ROUND(R121*(1+'Interest rate projection'!AR123/Var_freq)+IF(S$5="Mortgage Starts",0,Deposit_mon),2)</f>
        <v>18608.080000000002</v>
      </c>
      <c r="T121" s="16">
        <f>ROUND(S121*(1+'Interest rate projection'!AS123/Var_freq)+IF(T$5="Mortgage Starts",0,Deposit_mon),2)</f>
        <v>19680.18</v>
      </c>
      <c r="U121" s="16">
        <f>ROUND(T121*(1+'Interest rate projection'!AT123/Var_freq)+IF(U$5="Mortgage Starts",0,Deposit_mon),2)</f>
        <v>20756.43</v>
      </c>
      <c r="V121" s="16">
        <f>ROUND(U121*(1+'Interest rate projection'!AU123/Var_freq)+IF(V$5="Mortgage Starts",0,Deposit_mon),2)</f>
        <v>21836.85</v>
      </c>
      <c r="W121" s="16">
        <f>ROUND(V121*(1+'Interest rate projection'!AV123/Var_freq)+IF(W$5="Mortgage Starts",0,Deposit_mon),2)</f>
        <v>22921.46</v>
      </c>
      <c r="X121" s="16">
        <f>ROUND(W121*(1+'Interest rate projection'!AW123/Var_freq)+IF(X$5="Mortgage Starts",0,Deposit_mon),2)</f>
        <v>24010.27</v>
      </c>
      <c r="Y121" s="16">
        <f>ROUND(X121*(1+'Interest rate projection'!AX123/Var_freq)+IF(Y$5="Mortgage Starts",0,Deposit_mon),2)</f>
        <v>25103.3</v>
      </c>
      <c r="Z121" s="57">
        <f>ROUND(Y121*(1+'Interest rate projection'!AY123/Var_freq)+IF(Z$5="Mortgage Starts",0,Deposit_mon),2)</f>
        <v>25200.57</v>
      </c>
      <c r="AB121" s="38">
        <f>'Interest rate projection'!Z123</f>
        <v>5.2499999999999998E-2</v>
      </c>
      <c r="AC121" s="38">
        <f>'Interest rate projection'!AZ123</f>
        <v>5.1277533193896829E-2</v>
      </c>
      <c r="AD121" s="59" t="str">
        <f t="shared" si="18"/>
        <v>OK</v>
      </c>
      <c r="AE121" s="39">
        <f t="shared" si="19"/>
        <v>14.075212462503044</v>
      </c>
      <c r="AG121" s="73">
        <f t="shared" si="15"/>
        <v>25200.57</v>
      </c>
      <c r="AH121" s="73">
        <f t="shared" si="16"/>
        <v>174799.43</v>
      </c>
      <c r="AI121" s="74">
        <f t="shared" si="20"/>
        <v>1034.9100000000001</v>
      </c>
      <c r="AJ121" s="9"/>
      <c r="AK121" s="73">
        <f>'Fixed rate projection'!$AE$3-('Variable rate projection'!AI121*Product_term*Var_freq)</f>
        <v>-7404.0000000000582</v>
      </c>
    </row>
    <row r="122" spans="1:37" x14ac:dyDescent="0.35">
      <c r="A122" s="27">
        <v>117</v>
      </c>
      <c r="B122" s="57">
        <f t="shared" si="17"/>
        <v>1000</v>
      </c>
      <c r="C122" s="16">
        <f>ROUND(B122*(1+'Interest rate projection'!AB124/Var_freq)+IF(C$5="Mortgage Starts",0,Deposit_mon),2)</f>
        <v>2003.67</v>
      </c>
      <c r="D122" s="16">
        <f>ROUND(C122*(1+'Interest rate projection'!AC124/Var_freq)+IF(D$5="Mortgage Starts",0,Deposit_mon),2)</f>
        <v>3011.03</v>
      </c>
      <c r="E122" s="16">
        <f>ROUND(D122*(1+'Interest rate projection'!AD124/Var_freq)+IF(E$5="Mortgage Starts",0,Deposit_mon),2)</f>
        <v>4022.09</v>
      </c>
      <c r="F122" s="16">
        <f>ROUND(E122*(1+'Interest rate projection'!AE124/Var_freq)+IF(F$5="Mortgage Starts",0,Deposit_mon),2)</f>
        <v>5037.67</v>
      </c>
      <c r="G122" s="16">
        <f>ROUND(F122*(1+'Interest rate projection'!AF124/Var_freq)+IF(G$5="Mortgage Starts",0,Deposit_mon),2)</f>
        <v>6058.19</v>
      </c>
      <c r="H122" s="16">
        <f>ROUND(G122*(1+'Interest rate projection'!AG124/Var_freq)+IF(H$5="Mortgage Starts",0,Deposit_mon),2)</f>
        <v>7082.87</v>
      </c>
      <c r="I122" s="16">
        <f>ROUND(H122*(1+'Interest rate projection'!AH124/Var_freq)+IF(I$5="Mortgage Starts",0,Deposit_mon),2)</f>
        <v>8111.73</v>
      </c>
      <c r="J122" s="16">
        <f>ROUND(I122*(1+'Interest rate projection'!AI124/Var_freq)+IF(J$5="Mortgage Starts",0,Deposit_mon),2)</f>
        <v>9144.7800000000007</v>
      </c>
      <c r="K122" s="16">
        <f>ROUND(J122*(1+'Interest rate projection'!AJ124/Var_freq)+IF(K$5="Mortgage Starts",0,Deposit_mon),2)</f>
        <v>10180.209999999999</v>
      </c>
      <c r="L122" s="16">
        <f>ROUND(K122*(1+'Interest rate projection'!AK124/Var_freq)+IF(L$5="Mortgage Starts",0,Deposit_mon),2)</f>
        <v>11219.66</v>
      </c>
      <c r="M122" s="16">
        <f>ROUND(L122*(1+'Interest rate projection'!AL124/Var_freq)+IF(M$5="Mortgage Starts",0,Deposit_mon),2)</f>
        <v>12263.13</v>
      </c>
      <c r="N122" s="16">
        <f>ROUND(M122*(1+'Interest rate projection'!AM124/Var_freq)+IF(N$5="Mortgage Starts",0,Deposit_mon),2)</f>
        <v>13310.65</v>
      </c>
      <c r="O122" s="16">
        <f>ROUND(N122*(1+'Interest rate projection'!AN124/Var_freq)+IF(O$5="Mortgage Starts",0,Deposit_mon),2)</f>
        <v>14359.56</v>
      </c>
      <c r="P122" s="16">
        <f>ROUND(O122*(1+'Interest rate projection'!AO124/Var_freq)+IF(P$5="Mortgage Starts",0,Deposit_mon),2)</f>
        <v>15412.33</v>
      </c>
      <c r="Q122" s="16">
        <f>ROUND(P122*(1+'Interest rate projection'!AP124/Var_freq)+IF(Q$5="Mortgage Starts",0,Deposit_mon),2)</f>
        <v>16465.88</v>
      </c>
      <c r="R122" s="16">
        <f>ROUND(Q122*(1+'Interest rate projection'!AQ124/Var_freq)+IF(R$5="Mortgage Starts",0,Deposit_mon),2)</f>
        <v>17523.09</v>
      </c>
      <c r="S122" s="16">
        <f>ROUND(R122*(1+'Interest rate projection'!AR124/Var_freq)+IF(S$5="Mortgage Starts",0,Deposit_mon),2)</f>
        <v>18583.97</v>
      </c>
      <c r="T122" s="16">
        <f>ROUND(S122*(1+'Interest rate projection'!AS124/Var_freq)+IF(T$5="Mortgage Starts",0,Deposit_mon),2)</f>
        <v>19644.810000000001</v>
      </c>
      <c r="U122" s="16">
        <f>ROUND(T122*(1+'Interest rate projection'!AT124/Var_freq)+IF(U$5="Mortgage Starts",0,Deposit_mon),2)</f>
        <v>20709.12</v>
      </c>
      <c r="V122" s="16">
        <f>ROUND(U122*(1+'Interest rate projection'!AU124/Var_freq)+IF(V$5="Mortgage Starts",0,Deposit_mon),2)</f>
        <v>21776.92</v>
      </c>
      <c r="W122" s="16">
        <f>ROUND(V122*(1+'Interest rate projection'!AV124/Var_freq)+IF(W$5="Mortgage Starts",0,Deposit_mon),2)</f>
        <v>22848.21</v>
      </c>
      <c r="X122" s="16">
        <f>ROUND(W122*(1+'Interest rate projection'!AW124/Var_freq)+IF(X$5="Mortgage Starts",0,Deposit_mon),2)</f>
        <v>23927.599999999999</v>
      </c>
      <c r="Y122" s="16">
        <f>ROUND(X122*(1+'Interest rate projection'!AX124/Var_freq)+IF(Y$5="Mortgage Starts",0,Deposit_mon),2)</f>
        <v>25015.53</v>
      </c>
      <c r="Z122" s="57">
        <f>ROUND(Y122*(1+'Interest rate projection'!AY124/Var_freq)+IF(Z$5="Mortgage Starts",0,Deposit_mon),2)</f>
        <v>25107.46</v>
      </c>
      <c r="AB122" s="38">
        <f>'Interest rate projection'!Z124</f>
        <v>4.4999999999999998E-2</v>
      </c>
      <c r="AC122" s="38">
        <f>'Interest rate projection'!AZ124</f>
        <v>4.4097712805242217E-2</v>
      </c>
      <c r="AD122" s="59" t="str">
        <f t="shared" si="18"/>
        <v>OK</v>
      </c>
      <c r="AE122" s="39">
        <f t="shared" si="19"/>
        <v>15.131610255367837</v>
      </c>
      <c r="AG122" s="73">
        <f t="shared" si="15"/>
        <v>25107.46</v>
      </c>
      <c r="AH122" s="73">
        <f t="shared" si="16"/>
        <v>174892.54</v>
      </c>
      <c r="AI122" s="74">
        <f t="shared" si="20"/>
        <v>963.17</v>
      </c>
      <c r="AJ122" s="9"/>
      <c r="AK122" s="73">
        <f>'Fixed rate projection'!$AE$3-('Variable rate projection'!AI122*Product_term*Var_freq)</f>
        <v>14118</v>
      </c>
    </row>
    <row r="123" spans="1:37" x14ac:dyDescent="0.35">
      <c r="A123" s="5">
        <v>118</v>
      </c>
      <c r="B123" s="57">
        <f t="shared" si="17"/>
        <v>1000</v>
      </c>
      <c r="C123" s="16">
        <f>ROUND(B123*(1+'Interest rate projection'!AB125/Var_freq)+IF(C$5="Mortgage Starts",0,Deposit_mon),2)</f>
        <v>2003.67</v>
      </c>
      <c r="D123" s="16">
        <f>ROUND(C123*(1+'Interest rate projection'!AC125/Var_freq)+IF(D$5="Mortgage Starts",0,Deposit_mon),2)</f>
        <v>3011.03</v>
      </c>
      <c r="E123" s="16">
        <f>ROUND(D123*(1+'Interest rate projection'!AD125/Var_freq)+IF(E$5="Mortgage Starts",0,Deposit_mon),2)</f>
        <v>4022.09</v>
      </c>
      <c r="F123" s="16">
        <f>ROUND(E123*(1+'Interest rate projection'!AE125/Var_freq)+IF(F$5="Mortgage Starts",0,Deposit_mon),2)</f>
        <v>5036.87</v>
      </c>
      <c r="G123" s="16">
        <f>ROUND(F123*(1+'Interest rate projection'!AF125/Var_freq)+IF(G$5="Mortgage Starts",0,Deposit_mon),2)</f>
        <v>6055.38</v>
      </c>
      <c r="H123" s="16">
        <f>ROUND(G123*(1+'Interest rate projection'!AG125/Var_freq)+IF(H$5="Mortgage Starts",0,Deposit_mon),2)</f>
        <v>7080.05</v>
      </c>
      <c r="I123" s="16">
        <f>ROUND(H123*(1+'Interest rate projection'!AH125/Var_freq)+IF(I$5="Mortgage Starts",0,Deposit_mon),2)</f>
        <v>8108.9</v>
      </c>
      <c r="J123" s="16">
        <f>ROUND(I123*(1+'Interest rate projection'!AI125/Var_freq)+IF(J$5="Mortgage Starts",0,Deposit_mon),2)</f>
        <v>9141.94</v>
      </c>
      <c r="K123" s="16">
        <f>ROUND(J123*(1+'Interest rate projection'!AJ125/Var_freq)+IF(K$5="Mortgage Starts",0,Deposit_mon),2)</f>
        <v>10175.530000000001</v>
      </c>
      <c r="L123" s="16">
        <f>ROUND(K123*(1+'Interest rate projection'!AK125/Var_freq)+IF(L$5="Mortgage Starts",0,Deposit_mon),2)</f>
        <v>11212.92</v>
      </c>
      <c r="M123" s="16">
        <f>ROUND(L123*(1+'Interest rate projection'!AL125/Var_freq)+IF(M$5="Mortgage Starts",0,Deposit_mon),2)</f>
        <v>12254.13</v>
      </c>
      <c r="N123" s="16">
        <f>ROUND(M123*(1+'Interest rate projection'!AM125/Var_freq)+IF(N$5="Mortgage Starts",0,Deposit_mon),2)</f>
        <v>13299.16</v>
      </c>
      <c r="O123" s="16">
        <f>ROUND(N123*(1+'Interest rate projection'!AN125/Var_freq)+IF(O$5="Mortgage Starts",0,Deposit_mon),2)</f>
        <v>14348.03</v>
      </c>
      <c r="P123" s="16">
        <f>ROUND(O123*(1+'Interest rate projection'!AO125/Var_freq)+IF(P$5="Mortgage Starts",0,Deposit_mon),2)</f>
        <v>15400.76</v>
      </c>
      <c r="Q123" s="16">
        <f>ROUND(P123*(1+'Interest rate projection'!AP125/Var_freq)+IF(Q$5="Mortgage Starts",0,Deposit_mon),2)</f>
        <v>16457.349999999999</v>
      </c>
      <c r="R123" s="16">
        <f>ROUND(Q123*(1+'Interest rate projection'!AQ125/Var_freq)+IF(R$5="Mortgage Starts",0,Deposit_mon),2)</f>
        <v>17517.830000000002</v>
      </c>
      <c r="S123" s="16">
        <f>ROUND(R123*(1+'Interest rate projection'!AR125/Var_freq)+IF(S$5="Mortgage Starts",0,Deposit_mon),2)</f>
        <v>18582.2</v>
      </c>
      <c r="T123" s="16">
        <f>ROUND(S123*(1+'Interest rate projection'!AS125/Var_freq)+IF(T$5="Mortgage Starts",0,Deposit_mon),2)</f>
        <v>19650.490000000002</v>
      </c>
      <c r="U123" s="16">
        <f>ROUND(T123*(1+'Interest rate projection'!AT125/Var_freq)+IF(U$5="Mortgage Starts",0,Deposit_mon),2)</f>
        <v>20722.7</v>
      </c>
      <c r="V123" s="16">
        <f>ROUND(U123*(1+'Interest rate projection'!AU125/Var_freq)+IF(V$5="Mortgage Starts",0,Deposit_mon),2)</f>
        <v>21798.85</v>
      </c>
      <c r="W123" s="16">
        <f>ROUND(V123*(1+'Interest rate projection'!AV125/Var_freq)+IF(W$5="Mortgage Starts",0,Deposit_mon),2)</f>
        <v>22874.59</v>
      </c>
      <c r="X123" s="16">
        <f>ROUND(W123*(1+'Interest rate projection'!AW125/Var_freq)+IF(X$5="Mortgage Starts",0,Deposit_mon),2)</f>
        <v>23954.07</v>
      </c>
      <c r="Y123" s="16">
        <f>ROUND(X123*(1+'Interest rate projection'!AX125/Var_freq)+IF(Y$5="Mortgage Starts",0,Deposit_mon),2)</f>
        <v>25037.3</v>
      </c>
      <c r="Z123" s="57">
        <f>ROUND(Y123*(1+'Interest rate projection'!AY125/Var_freq)+IF(Z$5="Mortgage Starts",0,Deposit_mon),2)</f>
        <v>25124.29</v>
      </c>
      <c r="AB123" s="38">
        <f>'Interest rate projection'!Z125</f>
        <v>4.2499999999999996E-2</v>
      </c>
      <c r="AC123" s="38">
        <f>'Interest rate projection'!AZ125</f>
        <v>4.1693940041970023E-2</v>
      </c>
      <c r="AD123" s="59" t="str">
        <f t="shared" si="18"/>
        <v>OK</v>
      </c>
      <c r="AE123" s="39">
        <f t="shared" si="19"/>
        <v>15.511529757864551</v>
      </c>
      <c r="AG123" s="73">
        <f t="shared" si="15"/>
        <v>25124.29</v>
      </c>
      <c r="AH123" s="73">
        <f t="shared" si="16"/>
        <v>174875.71</v>
      </c>
      <c r="AI123" s="74">
        <f t="shared" si="20"/>
        <v>939.49</v>
      </c>
      <c r="AJ123" s="9"/>
      <c r="AK123" s="73">
        <f>'Fixed rate projection'!$AE$3-('Variable rate projection'!AI123*Product_term*Var_freq)</f>
        <v>21222</v>
      </c>
    </row>
    <row r="124" spans="1:37" x14ac:dyDescent="0.35">
      <c r="A124" s="27">
        <v>119</v>
      </c>
      <c r="B124" s="57">
        <f t="shared" si="17"/>
        <v>1000</v>
      </c>
      <c r="C124" s="16">
        <f>ROUND(B124*(1+'Interest rate projection'!AB126/Var_freq)+IF(C$5="Mortgage Starts",0,Deposit_mon),2)</f>
        <v>2003.67</v>
      </c>
      <c r="D124" s="16">
        <f>ROUND(C124*(1+'Interest rate projection'!AC126/Var_freq)+IF(D$5="Mortgage Starts",0,Deposit_mon),2)</f>
        <v>3011.03</v>
      </c>
      <c r="E124" s="16">
        <f>ROUND(D124*(1+'Interest rate projection'!AD126/Var_freq)+IF(E$5="Mortgage Starts",0,Deposit_mon),2)</f>
        <v>4022.09</v>
      </c>
      <c r="F124" s="16">
        <f>ROUND(E124*(1+'Interest rate projection'!AE126/Var_freq)+IF(F$5="Mortgage Starts",0,Deposit_mon),2)</f>
        <v>5038.4799999999996</v>
      </c>
      <c r="G124" s="16">
        <f>ROUND(F124*(1+'Interest rate projection'!AF126/Var_freq)+IF(G$5="Mortgage Starts",0,Deposit_mon),2)</f>
        <v>6059.01</v>
      </c>
      <c r="H124" s="16">
        <f>ROUND(G124*(1+'Interest rate projection'!AG126/Var_freq)+IF(H$5="Mortgage Starts",0,Deposit_mon),2)</f>
        <v>7083.7</v>
      </c>
      <c r="I124" s="16">
        <f>ROUND(H124*(1+'Interest rate projection'!AH126/Var_freq)+IF(I$5="Mortgage Starts",0,Deposit_mon),2)</f>
        <v>8112.56</v>
      </c>
      <c r="J124" s="16">
        <f>ROUND(I124*(1+'Interest rate projection'!AI126/Var_freq)+IF(J$5="Mortgage Starts",0,Deposit_mon),2)</f>
        <v>9145.61</v>
      </c>
      <c r="K124" s="16">
        <f>ROUND(J124*(1+'Interest rate projection'!AJ126/Var_freq)+IF(K$5="Mortgage Starts",0,Deposit_mon),2)</f>
        <v>10182.870000000001</v>
      </c>
      <c r="L124" s="16">
        <f>ROUND(K124*(1+'Interest rate projection'!AK126/Var_freq)+IF(L$5="Mortgage Starts",0,Deposit_mon),2)</f>
        <v>11224.36</v>
      </c>
      <c r="M124" s="16">
        <f>ROUND(L124*(1+'Interest rate projection'!AL126/Var_freq)+IF(M$5="Mortgage Starts",0,Deposit_mon),2)</f>
        <v>12270.09</v>
      </c>
      <c r="N124" s="16">
        <f>ROUND(M124*(1+'Interest rate projection'!AM126/Var_freq)+IF(N$5="Mortgage Starts",0,Deposit_mon),2)</f>
        <v>13320.08</v>
      </c>
      <c r="O124" s="16">
        <f>ROUND(N124*(1+'Interest rate projection'!AN126/Var_freq)+IF(O$5="Mortgage Starts",0,Deposit_mon),2)</f>
        <v>14374.35</v>
      </c>
      <c r="P124" s="16">
        <f>ROUND(O124*(1+'Interest rate projection'!AO126/Var_freq)+IF(P$5="Mortgage Starts",0,Deposit_mon),2)</f>
        <v>15435.77</v>
      </c>
      <c r="Q124" s="16">
        <f>ROUND(P124*(1+'Interest rate projection'!AP126/Var_freq)+IF(Q$5="Mortgage Starts",0,Deposit_mon),2)</f>
        <v>16501.73</v>
      </c>
      <c r="R124" s="16">
        <f>ROUND(Q124*(1+'Interest rate projection'!AQ126/Var_freq)+IF(R$5="Mortgage Starts",0,Deposit_mon),2)</f>
        <v>17568.96</v>
      </c>
      <c r="S124" s="16">
        <f>ROUND(R124*(1+'Interest rate projection'!AR126/Var_freq)+IF(S$5="Mortgage Starts",0,Deposit_mon),2)</f>
        <v>18640.54</v>
      </c>
      <c r="T124" s="16">
        <f>ROUND(S124*(1+'Interest rate projection'!AS126/Var_freq)+IF(T$5="Mortgage Starts",0,Deposit_mon),2)</f>
        <v>19716.48</v>
      </c>
      <c r="U124" s="16">
        <f>ROUND(T124*(1+'Interest rate projection'!AT126/Var_freq)+IF(U$5="Mortgage Starts",0,Deposit_mon),2)</f>
        <v>20796.810000000001</v>
      </c>
      <c r="V124" s="16">
        <f>ROUND(U124*(1+'Interest rate projection'!AU126/Var_freq)+IF(V$5="Mortgage Starts",0,Deposit_mon),2)</f>
        <v>21877.39</v>
      </c>
      <c r="W124" s="16">
        <f>ROUND(V124*(1+'Interest rate projection'!AV126/Var_freq)+IF(W$5="Mortgage Starts",0,Deposit_mon),2)</f>
        <v>22970.87</v>
      </c>
      <c r="X124" s="16">
        <f>ROUND(W124*(1+'Interest rate projection'!AW126/Var_freq)+IF(X$5="Mortgage Starts",0,Deposit_mon),2)</f>
        <v>24069.03</v>
      </c>
      <c r="Y124" s="16">
        <f>ROUND(X124*(1+'Interest rate projection'!AX126/Var_freq)+IF(Y$5="Mortgage Starts",0,Deposit_mon),2)</f>
        <v>25171.88</v>
      </c>
      <c r="Z124" s="57">
        <f>ROUND(Y124*(1+'Interest rate projection'!AY126/Var_freq)+IF(Z$5="Mortgage Starts",0,Deposit_mon),2)</f>
        <v>25279.439999999999</v>
      </c>
      <c r="AB124" s="38">
        <f>'Interest rate projection'!Z126</f>
        <v>5.2499999999999991E-2</v>
      </c>
      <c r="AC124" s="38">
        <f>'Interest rate projection'!AZ126</f>
        <v>5.1277533193896829E-2</v>
      </c>
      <c r="AD124" s="59" t="str">
        <f t="shared" si="18"/>
        <v>OK</v>
      </c>
      <c r="AE124" s="39">
        <f t="shared" si="19"/>
        <v>14.075212462503044</v>
      </c>
      <c r="AG124" s="73">
        <f t="shared" si="15"/>
        <v>25279.439999999999</v>
      </c>
      <c r="AH124" s="73">
        <f t="shared" si="16"/>
        <v>174720.56</v>
      </c>
      <c r="AI124" s="74">
        <f t="shared" si="20"/>
        <v>1034.45</v>
      </c>
      <c r="AJ124" s="9"/>
      <c r="AK124" s="73">
        <f>'Fixed rate projection'!$AE$3-('Variable rate projection'!AI124*Product_term*Var_freq)</f>
        <v>-7266</v>
      </c>
    </row>
    <row r="125" spans="1:37" x14ac:dyDescent="0.35">
      <c r="A125" s="5">
        <v>120</v>
      </c>
      <c r="B125" s="57">
        <f t="shared" si="17"/>
        <v>1000</v>
      </c>
      <c r="C125" s="16">
        <f>ROUND(B125*(1+'Interest rate projection'!AB127/Var_freq)+IF(C$5="Mortgage Starts",0,Deposit_mon),2)</f>
        <v>2003.67</v>
      </c>
      <c r="D125" s="16">
        <f>ROUND(C125*(1+'Interest rate projection'!AC127/Var_freq)+IF(D$5="Mortgage Starts",0,Deposit_mon),2)</f>
        <v>3011.03</v>
      </c>
      <c r="E125" s="16">
        <f>ROUND(D125*(1+'Interest rate projection'!AD127/Var_freq)+IF(E$5="Mortgage Starts",0,Deposit_mon),2)</f>
        <v>4022.09</v>
      </c>
      <c r="F125" s="16">
        <f>ROUND(E125*(1+'Interest rate projection'!AE127/Var_freq)+IF(F$5="Mortgage Starts",0,Deposit_mon),2)</f>
        <v>5036.87</v>
      </c>
      <c r="G125" s="16">
        <f>ROUND(F125*(1+'Interest rate projection'!AF127/Var_freq)+IF(G$5="Mortgage Starts",0,Deposit_mon),2)</f>
        <v>6055.38</v>
      </c>
      <c r="H125" s="16">
        <f>ROUND(G125*(1+'Interest rate projection'!AG127/Var_freq)+IF(H$5="Mortgage Starts",0,Deposit_mon),2)</f>
        <v>7077.63</v>
      </c>
      <c r="I125" s="16">
        <f>ROUND(H125*(1+'Interest rate projection'!AH127/Var_freq)+IF(I$5="Mortgage Starts",0,Deposit_mon),2)</f>
        <v>8103.64</v>
      </c>
      <c r="J125" s="16">
        <f>ROUND(I125*(1+'Interest rate projection'!AI127/Var_freq)+IF(J$5="Mortgage Starts",0,Deposit_mon),2)</f>
        <v>9133.42</v>
      </c>
      <c r="K125" s="16">
        <f>ROUND(J125*(1+'Interest rate projection'!AJ127/Var_freq)+IF(K$5="Mortgage Starts",0,Deposit_mon),2)</f>
        <v>10166.98</v>
      </c>
      <c r="L125" s="16">
        <f>ROUND(K125*(1+'Interest rate projection'!AK127/Var_freq)+IF(L$5="Mortgage Starts",0,Deposit_mon),2)</f>
        <v>11202.31</v>
      </c>
      <c r="M125" s="16">
        <f>ROUND(L125*(1+'Interest rate projection'!AL127/Var_freq)+IF(M$5="Mortgage Starts",0,Deposit_mon),2)</f>
        <v>12241.23</v>
      </c>
      <c r="N125" s="16">
        <f>ROUND(M125*(1+'Interest rate projection'!AM127/Var_freq)+IF(N$5="Mortgage Starts",0,Deposit_mon),2)</f>
        <v>13283.76</v>
      </c>
      <c r="O125" s="16">
        <f>ROUND(N125*(1+'Interest rate projection'!AN127/Var_freq)+IF(O$5="Mortgage Starts",0,Deposit_mon),2)</f>
        <v>14329.91</v>
      </c>
      <c r="P125" s="16">
        <f>ROUND(O125*(1+'Interest rate projection'!AO127/Var_freq)+IF(P$5="Mortgage Starts",0,Deposit_mon),2)</f>
        <v>15376.82</v>
      </c>
      <c r="Q125" s="16">
        <f>ROUND(P125*(1+'Interest rate projection'!AP127/Var_freq)+IF(Q$5="Mortgage Starts",0,Deposit_mon),2)</f>
        <v>16427.16</v>
      </c>
      <c r="R125" s="16">
        <f>ROUND(Q125*(1+'Interest rate projection'!AQ127/Var_freq)+IF(R$5="Mortgage Starts",0,Deposit_mon),2)</f>
        <v>17480.939999999999</v>
      </c>
      <c r="S125" s="16">
        <f>ROUND(R125*(1+'Interest rate projection'!AR127/Var_freq)+IF(S$5="Mortgage Starts",0,Deposit_mon),2)</f>
        <v>18538.169999999998</v>
      </c>
      <c r="T125" s="16">
        <f>ROUND(S125*(1+'Interest rate projection'!AS127/Var_freq)+IF(T$5="Mortgage Starts",0,Deposit_mon),2)</f>
        <v>19598.86</v>
      </c>
      <c r="U125" s="16">
        <f>ROUND(T125*(1+'Interest rate projection'!AT127/Var_freq)+IF(U$5="Mortgage Starts",0,Deposit_mon),2)</f>
        <v>20663.02</v>
      </c>
      <c r="V125" s="16">
        <f>ROUND(U125*(1+'Interest rate projection'!AU127/Var_freq)+IF(V$5="Mortgage Starts",0,Deposit_mon),2)</f>
        <v>21730.67</v>
      </c>
      <c r="W125" s="16">
        <f>ROUND(V125*(1+'Interest rate projection'!AV127/Var_freq)+IF(W$5="Mortgage Starts",0,Deposit_mon),2)</f>
        <v>22801.81</v>
      </c>
      <c r="X125" s="16">
        <f>ROUND(W125*(1+'Interest rate projection'!AW127/Var_freq)+IF(X$5="Mortgage Starts",0,Deposit_mon),2)</f>
        <v>23876.46</v>
      </c>
      <c r="Y125" s="16">
        <f>ROUND(X125*(1+'Interest rate projection'!AX127/Var_freq)+IF(Y$5="Mortgage Starts",0,Deposit_mon),2)</f>
        <v>24954.63</v>
      </c>
      <c r="Z125" s="57">
        <f>ROUND(Y125*(1+'Interest rate projection'!AY127/Var_freq)+IF(Z$5="Mortgage Starts",0,Deposit_mon),2)</f>
        <v>25036.32</v>
      </c>
      <c r="AB125" s="38">
        <f>'Interest rate projection'!Z127</f>
        <v>3.9999999999999994E-2</v>
      </c>
      <c r="AC125" s="38">
        <f>'Interest rate projection'!AZ127</f>
        <v>3.9284877386386974E-2</v>
      </c>
      <c r="AD125" s="59" t="str">
        <f t="shared" si="18"/>
        <v>OK</v>
      </c>
      <c r="AE125" s="39">
        <f t="shared" si="19"/>
        <v>15.906456614335044</v>
      </c>
      <c r="AG125" s="73">
        <f t="shared" si="15"/>
        <v>25036.32</v>
      </c>
      <c r="AH125" s="73">
        <f t="shared" si="16"/>
        <v>174963.68</v>
      </c>
      <c r="AI125" s="74">
        <f t="shared" si="20"/>
        <v>916.63</v>
      </c>
      <c r="AJ125" s="9"/>
      <c r="AK125" s="73">
        <f>'Fixed rate projection'!$AE$3-('Variable rate projection'!AI125*Product_term*Var_freq)</f>
        <v>28080</v>
      </c>
    </row>
    <row r="126" spans="1:37" x14ac:dyDescent="0.35">
      <c r="A126" s="27">
        <v>121</v>
      </c>
      <c r="B126" s="57">
        <f t="shared" si="17"/>
        <v>1000</v>
      </c>
      <c r="C126" s="16">
        <f>ROUND(B126*(1+'Interest rate projection'!AB128/Var_freq)+IF(C$5="Mortgage Starts",0,Deposit_mon),2)</f>
        <v>2003.67</v>
      </c>
      <c r="D126" s="16">
        <f>ROUND(C126*(1+'Interest rate projection'!AC128/Var_freq)+IF(D$5="Mortgage Starts",0,Deposit_mon),2)</f>
        <v>3011.03</v>
      </c>
      <c r="E126" s="16">
        <f>ROUND(D126*(1+'Interest rate projection'!AD128/Var_freq)+IF(E$5="Mortgage Starts",0,Deposit_mon),2)</f>
        <v>4022.09</v>
      </c>
      <c r="F126" s="16">
        <f>ROUND(E126*(1+'Interest rate projection'!AE128/Var_freq)+IF(F$5="Mortgage Starts",0,Deposit_mon),2)</f>
        <v>5036.87</v>
      </c>
      <c r="G126" s="16">
        <f>ROUND(F126*(1+'Interest rate projection'!AF128/Var_freq)+IF(G$5="Mortgage Starts",0,Deposit_mon),2)</f>
        <v>6054.37</v>
      </c>
      <c r="H126" s="16">
        <f>ROUND(G126*(1+'Interest rate projection'!AG128/Var_freq)+IF(H$5="Mortgage Starts",0,Deposit_mon),2)</f>
        <v>7075.41</v>
      </c>
      <c r="I126" s="16">
        <f>ROUND(H126*(1+'Interest rate projection'!AH128/Var_freq)+IF(I$5="Mortgage Starts",0,Deposit_mon),2)</f>
        <v>8099.99</v>
      </c>
      <c r="J126" s="16">
        <f>ROUND(I126*(1+'Interest rate projection'!AI128/Var_freq)+IF(J$5="Mortgage Starts",0,Deposit_mon),2)</f>
        <v>9128.1299999999992</v>
      </c>
      <c r="K126" s="16">
        <f>ROUND(J126*(1+'Interest rate projection'!AJ128/Var_freq)+IF(K$5="Mortgage Starts",0,Deposit_mon),2)</f>
        <v>10159.85</v>
      </c>
      <c r="L126" s="16">
        <f>ROUND(K126*(1+'Interest rate projection'!AK128/Var_freq)+IF(L$5="Mortgage Starts",0,Deposit_mon),2)</f>
        <v>11195.15</v>
      </c>
      <c r="M126" s="16">
        <f>ROUND(L126*(1+'Interest rate projection'!AL128/Var_freq)+IF(M$5="Mortgage Starts",0,Deposit_mon),2)</f>
        <v>12236.29</v>
      </c>
      <c r="N126" s="16">
        <f>ROUND(M126*(1+'Interest rate projection'!AM128/Var_freq)+IF(N$5="Mortgage Starts",0,Deposit_mon),2)</f>
        <v>13281.26</v>
      </c>
      <c r="O126" s="16">
        <f>ROUND(N126*(1+'Interest rate projection'!AN128/Var_freq)+IF(O$5="Mortgage Starts",0,Deposit_mon),2)</f>
        <v>14330.07</v>
      </c>
      <c r="P126" s="16">
        <f>ROUND(O126*(1+'Interest rate projection'!AO128/Var_freq)+IF(P$5="Mortgage Starts",0,Deposit_mon),2)</f>
        <v>15382.73</v>
      </c>
      <c r="Q126" s="16">
        <f>ROUND(P126*(1+'Interest rate projection'!AP128/Var_freq)+IF(Q$5="Mortgage Starts",0,Deposit_mon),2)</f>
        <v>16439.259999999998</v>
      </c>
      <c r="R126" s="16">
        <f>ROUND(Q126*(1+'Interest rate projection'!AQ128/Var_freq)+IF(R$5="Mortgage Starts",0,Deposit_mon),2)</f>
        <v>17499.669999999998</v>
      </c>
      <c r="S126" s="16">
        <f>ROUND(R126*(1+'Interest rate projection'!AR128/Var_freq)+IF(S$5="Mortgage Starts",0,Deposit_mon),2)</f>
        <v>18563.98</v>
      </c>
      <c r="T126" s="16">
        <f>ROUND(S126*(1+'Interest rate projection'!AS128/Var_freq)+IF(T$5="Mortgage Starts",0,Deposit_mon),2)</f>
        <v>19632.2</v>
      </c>
      <c r="U126" s="16">
        <f>ROUND(T126*(1+'Interest rate projection'!AT128/Var_freq)+IF(U$5="Mortgage Starts",0,Deposit_mon),2)</f>
        <v>20704.34</v>
      </c>
      <c r="V126" s="16">
        <f>ROUND(U126*(1+'Interest rate projection'!AU128/Var_freq)+IF(V$5="Mortgage Starts",0,Deposit_mon),2)</f>
        <v>21780.42</v>
      </c>
      <c r="W126" s="16">
        <f>ROUND(V126*(1+'Interest rate projection'!AV128/Var_freq)+IF(W$5="Mortgage Starts",0,Deposit_mon),2)</f>
        <v>22860.46</v>
      </c>
      <c r="X126" s="16">
        <f>ROUND(W126*(1+'Interest rate projection'!AW128/Var_freq)+IF(X$5="Mortgage Starts",0,Deposit_mon),2)</f>
        <v>23944.47</v>
      </c>
      <c r="Y126" s="16">
        <f>ROUND(X126*(1+'Interest rate projection'!AX128/Var_freq)+IF(Y$5="Mortgage Starts",0,Deposit_mon),2)</f>
        <v>25032.46</v>
      </c>
      <c r="Z126" s="57">
        <f>ROUND(Y126*(1+'Interest rate projection'!AY128/Var_freq)+IF(Z$5="Mortgage Starts",0,Deposit_mon),2)</f>
        <v>25129.45</v>
      </c>
      <c r="AB126" s="38">
        <f>'Interest rate projection'!Z128</f>
        <v>4.7500000000000001E-2</v>
      </c>
      <c r="AC126" s="38">
        <f>'Interest rate projection'!AZ128</f>
        <v>4.6496219905550085E-2</v>
      </c>
      <c r="AD126" s="59" t="str">
        <f t="shared" si="18"/>
        <v>OK</v>
      </c>
      <c r="AE126" s="39">
        <f t="shared" si="19"/>
        <v>14.766012404082064</v>
      </c>
      <c r="AG126" s="73">
        <f t="shared" si="15"/>
        <v>25129.45</v>
      </c>
      <c r="AH126" s="73">
        <f t="shared" si="16"/>
        <v>174870.55</v>
      </c>
      <c r="AI126" s="74">
        <f t="shared" si="20"/>
        <v>986.9</v>
      </c>
      <c r="AJ126" s="9"/>
      <c r="AK126" s="73">
        <f>'Fixed rate projection'!$AE$3-('Variable rate projection'!AI126*Product_term*Var_freq)</f>
        <v>6999</v>
      </c>
    </row>
    <row r="127" spans="1:37" x14ac:dyDescent="0.35">
      <c r="A127" s="5">
        <v>122</v>
      </c>
      <c r="B127" s="57">
        <f t="shared" si="17"/>
        <v>1000</v>
      </c>
      <c r="C127" s="16">
        <f>ROUND(B127*(1+'Interest rate projection'!AB129/Var_freq)+IF(C$5="Mortgage Starts",0,Deposit_mon),2)</f>
        <v>2003.67</v>
      </c>
      <c r="D127" s="16">
        <f>ROUND(C127*(1+'Interest rate projection'!AC129/Var_freq)+IF(D$5="Mortgage Starts",0,Deposit_mon),2)</f>
        <v>3011.43</v>
      </c>
      <c r="E127" s="16">
        <f>ROUND(D127*(1+'Interest rate projection'!AD129/Var_freq)+IF(E$5="Mortgage Starts",0,Deposit_mon),2)</f>
        <v>4023.1</v>
      </c>
      <c r="F127" s="16">
        <f>ROUND(E127*(1+'Interest rate projection'!AE129/Var_freq)+IF(F$5="Mortgage Starts",0,Deposit_mon),2)</f>
        <v>5037.08</v>
      </c>
      <c r="G127" s="16">
        <f>ROUND(F127*(1+'Interest rate projection'!AF129/Var_freq)+IF(G$5="Mortgage Starts",0,Deposit_mon),2)</f>
        <v>6054.58</v>
      </c>
      <c r="H127" s="16">
        <f>ROUND(G127*(1+'Interest rate projection'!AG129/Var_freq)+IF(H$5="Mortgage Starts",0,Deposit_mon),2)</f>
        <v>7075.62</v>
      </c>
      <c r="I127" s="16">
        <f>ROUND(H127*(1+'Interest rate projection'!AH129/Var_freq)+IF(I$5="Mortgage Starts",0,Deposit_mon),2)</f>
        <v>8100.2</v>
      </c>
      <c r="J127" s="16">
        <f>ROUND(I127*(1+'Interest rate projection'!AI129/Var_freq)+IF(J$5="Mortgage Starts",0,Deposit_mon),2)</f>
        <v>9128.34</v>
      </c>
      <c r="K127" s="16">
        <f>ROUND(J127*(1+'Interest rate projection'!AJ129/Var_freq)+IF(K$5="Mortgage Starts",0,Deposit_mon),2)</f>
        <v>10160.06</v>
      </c>
      <c r="L127" s="16">
        <f>ROUND(K127*(1+'Interest rate projection'!AK129/Var_freq)+IF(L$5="Mortgage Starts",0,Deposit_mon),2)</f>
        <v>11195.36</v>
      </c>
      <c r="M127" s="16">
        <f>ROUND(L127*(1+'Interest rate projection'!AL129/Var_freq)+IF(M$5="Mortgage Starts",0,Deposit_mon),2)</f>
        <v>12234.26</v>
      </c>
      <c r="N127" s="16">
        <f>ROUND(M127*(1+'Interest rate projection'!AM129/Var_freq)+IF(N$5="Mortgage Starts",0,Deposit_mon),2)</f>
        <v>13276.77</v>
      </c>
      <c r="O127" s="16">
        <f>ROUND(N127*(1+'Interest rate projection'!AN129/Var_freq)+IF(O$5="Mortgage Starts",0,Deposit_mon),2)</f>
        <v>14322.9</v>
      </c>
      <c r="P127" s="16">
        <f>ROUND(O127*(1+'Interest rate projection'!AO129/Var_freq)+IF(P$5="Mortgage Starts",0,Deposit_mon),2)</f>
        <v>15372.66</v>
      </c>
      <c r="Q127" s="16">
        <f>ROUND(P127*(1+'Interest rate projection'!AP129/Var_freq)+IF(Q$5="Mortgage Starts",0,Deposit_mon),2)</f>
        <v>16426.07</v>
      </c>
      <c r="R127" s="16">
        <f>ROUND(Q127*(1+'Interest rate projection'!AQ129/Var_freq)+IF(R$5="Mortgage Starts",0,Deposit_mon),2)</f>
        <v>17486.43</v>
      </c>
      <c r="S127" s="16">
        <f>ROUND(R127*(1+'Interest rate projection'!AR129/Var_freq)+IF(S$5="Mortgage Starts",0,Deposit_mon),2)</f>
        <v>18550.689999999999</v>
      </c>
      <c r="T127" s="16">
        <f>ROUND(S127*(1+'Interest rate projection'!AS129/Var_freq)+IF(T$5="Mortgage Starts",0,Deposit_mon),2)</f>
        <v>19626.27</v>
      </c>
      <c r="U127" s="16">
        <f>ROUND(T127*(1+'Interest rate projection'!AT129/Var_freq)+IF(U$5="Mortgage Starts",0,Deposit_mon),2)</f>
        <v>20698.39</v>
      </c>
      <c r="V127" s="16">
        <f>ROUND(U127*(1+'Interest rate projection'!AU129/Var_freq)+IF(V$5="Mortgage Starts",0,Deposit_mon),2)</f>
        <v>21774.45</v>
      </c>
      <c r="W127" s="16">
        <f>ROUND(V127*(1+'Interest rate projection'!AV129/Var_freq)+IF(W$5="Mortgage Starts",0,Deposit_mon),2)</f>
        <v>22854.47</v>
      </c>
      <c r="X127" s="16">
        <f>ROUND(W127*(1+'Interest rate projection'!AW129/Var_freq)+IF(X$5="Mortgage Starts",0,Deposit_mon),2)</f>
        <v>23938.46</v>
      </c>
      <c r="Y127" s="16">
        <f>ROUND(X127*(1+'Interest rate projection'!AX129/Var_freq)+IF(Y$5="Mortgage Starts",0,Deposit_mon),2)</f>
        <v>25026.43</v>
      </c>
      <c r="Z127" s="57">
        <f>ROUND(Y127*(1+'Interest rate projection'!AY129/Var_freq)+IF(Z$5="Mortgage Starts",0,Deposit_mon),2)</f>
        <v>25118.400000000001</v>
      </c>
      <c r="AB127" s="38">
        <f>'Interest rate projection'!Z129</f>
        <v>4.7500000000000007E-2</v>
      </c>
      <c r="AC127" s="38">
        <f>'Interest rate projection'!AZ129</f>
        <v>4.6496219905550085E-2</v>
      </c>
      <c r="AD127" s="59" t="str">
        <f t="shared" si="18"/>
        <v>OK</v>
      </c>
      <c r="AE127" s="39">
        <f t="shared" si="19"/>
        <v>14.766012404082064</v>
      </c>
      <c r="AG127" s="73">
        <f t="shared" si="15"/>
        <v>25118.400000000001</v>
      </c>
      <c r="AH127" s="73">
        <f t="shared" si="16"/>
        <v>174881.6</v>
      </c>
      <c r="AI127" s="74">
        <f t="shared" si="20"/>
        <v>986.96</v>
      </c>
      <c r="AJ127" s="9"/>
      <c r="AK127" s="73">
        <f>'Fixed rate projection'!$AE$3-('Variable rate projection'!AI127*Product_term*Var_freq)</f>
        <v>6981</v>
      </c>
    </row>
    <row r="128" spans="1:37" x14ac:dyDescent="0.35">
      <c r="A128" s="27">
        <v>123</v>
      </c>
      <c r="B128" s="57">
        <f t="shared" si="17"/>
        <v>1000</v>
      </c>
      <c r="C128" s="16">
        <f>ROUND(B128*(1+'Interest rate projection'!AB130/Var_freq)+IF(C$5="Mortgage Starts",0,Deposit_mon),2)</f>
        <v>2003.67</v>
      </c>
      <c r="D128" s="16">
        <f>ROUND(C128*(1+'Interest rate projection'!AC130/Var_freq)+IF(D$5="Mortgage Starts",0,Deposit_mon),2)</f>
        <v>3011.03</v>
      </c>
      <c r="E128" s="16">
        <f>ROUND(D128*(1+'Interest rate projection'!AD130/Var_freq)+IF(E$5="Mortgage Starts",0,Deposit_mon),2)</f>
        <v>4022.09</v>
      </c>
      <c r="F128" s="16">
        <f>ROUND(E128*(1+'Interest rate projection'!AE130/Var_freq)+IF(F$5="Mortgage Starts",0,Deposit_mon),2)</f>
        <v>5036.87</v>
      </c>
      <c r="G128" s="16">
        <f>ROUND(F128*(1+'Interest rate projection'!AF130/Var_freq)+IF(G$5="Mortgage Starts",0,Deposit_mon),2)</f>
        <v>6055.38</v>
      </c>
      <c r="H128" s="16">
        <f>ROUND(G128*(1+'Interest rate projection'!AG130/Var_freq)+IF(H$5="Mortgage Starts",0,Deposit_mon),2)</f>
        <v>7077.63</v>
      </c>
      <c r="I128" s="16">
        <f>ROUND(H128*(1+'Interest rate projection'!AH130/Var_freq)+IF(I$5="Mortgage Starts",0,Deposit_mon),2)</f>
        <v>8105.05</v>
      </c>
      <c r="J128" s="16">
        <f>ROUND(I128*(1+'Interest rate projection'!AI130/Var_freq)+IF(J$5="Mortgage Starts",0,Deposit_mon),2)</f>
        <v>9134.83</v>
      </c>
      <c r="K128" s="16">
        <f>ROUND(J128*(1+'Interest rate projection'!AJ130/Var_freq)+IF(K$5="Mortgage Starts",0,Deposit_mon),2)</f>
        <v>10168.4</v>
      </c>
      <c r="L128" s="16">
        <f>ROUND(K128*(1+'Interest rate projection'!AK130/Var_freq)+IF(L$5="Mortgage Starts",0,Deposit_mon),2)</f>
        <v>11205.77</v>
      </c>
      <c r="M128" s="16">
        <f>ROUND(L128*(1+'Interest rate projection'!AL130/Var_freq)+IF(M$5="Mortgage Starts",0,Deposit_mon),2)</f>
        <v>12246.95</v>
      </c>
      <c r="N128" s="16">
        <f>ROUND(M128*(1+'Interest rate projection'!AM130/Var_freq)+IF(N$5="Mortgage Starts",0,Deposit_mon),2)</f>
        <v>13291.96</v>
      </c>
      <c r="O128" s="16">
        <f>ROUND(N128*(1+'Interest rate projection'!AN130/Var_freq)+IF(O$5="Mortgage Starts",0,Deposit_mon),2)</f>
        <v>14343.46</v>
      </c>
      <c r="P128" s="16">
        <f>ROUND(O128*(1+'Interest rate projection'!AO130/Var_freq)+IF(P$5="Mortgage Starts",0,Deposit_mon),2)</f>
        <v>15399.04</v>
      </c>
      <c r="Q128" s="16">
        <f>ROUND(P128*(1+'Interest rate projection'!AP130/Var_freq)+IF(Q$5="Mortgage Starts",0,Deposit_mon),2)</f>
        <v>16458.71</v>
      </c>
      <c r="R128" s="16">
        <f>ROUND(Q128*(1+'Interest rate projection'!AQ130/Var_freq)+IF(R$5="Mortgage Starts",0,Deposit_mon),2)</f>
        <v>17522.48</v>
      </c>
      <c r="S128" s="16">
        <f>ROUND(R128*(1+'Interest rate projection'!AR130/Var_freq)+IF(S$5="Mortgage Starts",0,Deposit_mon),2)</f>
        <v>18590.37</v>
      </c>
      <c r="T128" s="16">
        <f>ROUND(S128*(1+'Interest rate projection'!AS130/Var_freq)+IF(T$5="Mortgage Starts",0,Deposit_mon),2)</f>
        <v>19662.400000000001</v>
      </c>
      <c r="U128" s="16">
        <f>ROUND(T128*(1+'Interest rate projection'!AT130/Var_freq)+IF(U$5="Mortgage Starts",0,Deposit_mon),2)</f>
        <v>20738.59</v>
      </c>
      <c r="V128" s="16">
        <f>ROUND(U128*(1+'Interest rate projection'!AU130/Var_freq)+IF(V$5="Mortgage Starts",0,Deposit_mon),2)</f>
        <v>21818.95</v>
      </c>
      <c r="W128" s="16">
        <f>ROUND(V128*(1+'Interest rate projection'!AV130/Var_freq)+IF(W$5="Mortgage Starts",0,Deposit_mon),2)</f>
        <v>22903.49</v>
      </c>
      <c r="X128" s="16">
        <f>ROUND(W128*(1+'Interest rate projection'!AW130/Var_freq)+IF(X$5="Mortgage Starts",0,Deposit_mon),2)</f>
        <v>23992.23</v>
      </c>
      <c r="Y128" s="16">
        <f>ROUND(X128*(1+'Interest rate projection'!AX130/Var_freq)+IF(Y$5="Mortgage Starts",0,Deposit_mon),2)</f>
        <v>25089.98</v>
      </c>
      <c r="Z128" s="57">
        <f>ROUND(Y128*(1+'Interest rate projection'!AY130/Var_freq)+IF(Z$5="Mortgage Starts",0,Deposit_mon),2)</f>
        <v>25192.2</v>
      </c>
      <c r="AB128" s="38">
        <f>'Interest rate projection'!Z130</f>
        <v>0.05</v>
      </c>
      <c r="AC128" s="38">
        <f>'Interest rate projection'!AZ130</f>
        <v>4.8889485403780242E-2</v>
      </c>
      <c r="AD128" s="59" t="str">
        <f t="shared" si="18"/>
        <v>OK</v>
      </c>
      <c r="AE128" s="39">
        <f t="shared" si="19"/>
        <v>14.4140856153857</v>
      </c>
      <c r="AG128" s="73">
        <f t="shared" si="15"/>
        <v>25192.2</v>
      </c>
      <c r="AH128" s="73">
        <f t="shared" si="16"/>
        <v>174807.8</v>
      </c>
      <c r="AI128" s="74">
        <f t="shared" si="20"/>
        <v>1010.63</v>
      </c>
      <c r="AJ128" s="9"/>
      <c r="AK128" s="73">
        <f>'Fixed rate projection'!$AE$3-('Variable rate projection'!AI128*Product_term*Var_freq)</f>
        <v>-120</v>
      </c>
    </row>
    <row r="129" spans="1:37" x14ac:dyDescent="0.35">
      <c r="A129" s="5">
        <v>124</v>
      </c>
      <c r="B129" s="57">
        <f t="shared" si="17"/>
        <v>1000</v>
      </c>
      <c r="C129" s="16">
        <f>ROUND(B129*(1+'Interest rate projection'!AB131/Var_freq)+IF(C$5="Mortgage Starts",0,Deposit_mon),2)</f>
        <v>2003.67</v>
      </c>
      <c r="D129" s="16">
        <f>ROUND(C129*(1+'Interest rate projection'!AC131/Var_freq)+IF(D$5="Mortgage Starts",0,Deposit_mon),2)</f>
        <v>3011.03</v>
      </c>
      <c r="E129" s="16">
        <f>ROUND(D129*(1+'Interest rate projection'!AD131/Var_freq)+IF(E$5="Mortgage Starts",0,Deposit_mon),2)</f>
        <v>4022.09</v>
      </c>
      <c r="F129" s="16">
        <f>ROUND(E129*(1+'Interest rate projection'!AE131/Var_freq)+IF(F$5="Mortgage Starts",0,Deposit_mon),2)</f>
        <v>5036.87</v>
      </c>
      <c r="G129" s="16">
        <f>ROUND(F129*(1+'Interest rate projection'!AF131/Var_freq)+IF(G$5="Mortgage Starts",0,Deposit_mon),2)</f>
        <v>6055.38</v>
      </c>
      <c r="H129" s="16">
        <f>ROUND(G129*(1+'Interest rate projection'!AG131/Var_freq)+IF(H$5="Mortgage Starts",0,Deposit_mon),2)</f>
        <v>7077.63</v>
      </c>
      <c r="I129" s="16">
        <f>ROUND(H129*(1+'Interest rate projection'!AH131/Var_freq)+IF(I$5="Mortgage Starts",0,Deposit_mon),2)</f>
        <v>8103.64</v>
      </c>
      <c r="J129" s="16">
        <f>ROUND(I129*(1+'Interest rate projection'!AI131/Var_freq)+IF(J$5="Mortgage Starts",0,Deposit_mon),2)</f>
        <v>9133.42</v>
      </c>
      <c r="K129" s="16">
        <f>ROUND(J129*(1+'Interest rate projection'!AJ131/Var_freq)+IF(K$5="Mortgage Starts",0,Deposit_mon),2)</f>
        <v>10166.98</v>
      </c>
      <c r="L129" s="16">
        <f>ROUND(K129*(1+'Interest rate projection'!AK131/Var_freq)+IF(L$5="Mortgage Starts",0,Deposit_mon),2)</f>
        <v>11204.34</v>
      </c>
      <c r="M129" s="16">
        <f>ROUND(L129*(1+'Interest rate projection'!AL131/Var_freq)+IF(M$5="Mortgage Starts",0,Deposit_mon),2)</f>
        <v>12245.51</v>
      </c>
      <c r="N129" s="16">
        <f>ROUND(M129*(1+'Interest rate projection'!AM131/Var_freq)+IF(N$5="Mortgage Starts",0,Deposit_mon),2)</f>
        <v>13290.51</v>
      </c>
      <c r="O129" s="16">
        <f>ROUND(N129*(1+'Interest rate projection'!AN131/Var_freq)+IF(O$5="Mortgage Starts",0,Deposit_mon),2)</f>
        <v>14339.35</v>
      </c>
      <c r="P129" s="16">
        <f>ROUND(O129*(1+'Interest rate projection'!AO131/Var_freq)+IF(P$5="Mortgage Starts",0,Deposit_mon),2)</f>
        <v>15392.04</v>
      </c>
      <c r="Q129" s="16">
        <f>ROUND(P129*(1+'Interest rate projection'!AP131/Var_freq)+IF(Q$5="Mortgage Starts",0,Deposit_mon),2)</f>
        <v>16448.599999999999</v>
      </c>
      <c r="R129" s="16">
        <f>ROUND(Q129*(1+'Interest rate projection'!AQ131/Var_freq)+IF(R$5="Mortgage Starts",0,Deposit_mon),2)</f>
        <v>17509.05</v>
      </c>
      <c r="S129" s="16">
        <f>ROUND(R129*(1+'Interest rate projection'!AR131/Var_freq)+IF(S$5="Mortgage Starts",0,Deposit_mon),2)</f>
        <v>18573.39</v>
      </c>
      <c r="T129" s="16">
        <f>ROUND(S129*(1+'Interest rate projection'!AS131/Var_freq)+IF(T$5="Mortgage Starts",0,Deposit_mon),2)</f>
        <v>19641.64</v>
      </c>
      <c r="U129" s="16">
        <f>ROUND(T129*(1+'Interest rate projection'!AT131/Var_freq)+IF(U$5="Mortgage Starts",0,Deposit_mon),2)</f>
        <v>20709.88</v>
      </c>
      <c r="V129" s="16">
        <f>ROUND(U129*(1+'Interest rate projection'!AU131/Var_freq)+IF(V$5="Mortgage Starts",0,Deposit_mon),2)</f>
        <v>21781.84</v>
      </c>
      <c r="W129" s="16">
        <f>ROUND(V129*(1+'Interest rate projection'!AV131/Var_freq)+IF(W$5="Mortgage Starts",0,Deposit_mon),2)</f>
        <v>22857.52</v>
      </c>
      <c r="X129" s="16">
        <f>ROUND(W129*(1+'Interest rate projection'!AW131/Var_freq)+IF(X$5="Mortgage Starts",0,Deposit_mon),2)</f>
        <v>23936.94</v>
      </c>
      <c r="Y129" s="16">
        <f>ROUND(X129*(1+'Interest rate projection'!AX131/Var_freq)+IF(Y$5="Mortgage Starts",0,Deposit_mon),2)</f>
        <v>25020.11</v>
      </c>
      <c r="Z129" s="57">
        <f>ROUND(Y129*(1+'Interest rate projection'!AY131/Var_freq)+IF(Z$5="Mortgage Starts",0,Deposit_mon),2)</f>
        <v>25107.040000000001</v>
      </c>
      <c r="AB129" s="38">
        <f>'Interest rate projection'!Z131</f>
        <v>4.2499999999999996E-2</v>
      </c>
      <c r="AC129" s="38">
        <f>'Interest rate projection'!AZ131</f>
        <v>4.1693940041970023E-2</v>
      </c>
      <c r="AD129" s="59" t="str">
        <f t="shared" si="18"/>
        <v>OK</v>
      </c>
      <c r="AE129" s="39">
        <f t="shared" si="19"/>
        <v>15.511529757864551</v>
      </c>
      <c r="AG129" s="73">
        <f t="shared" si="15"/>
        <v>25107.040000000001</v>
      </c>
      <c r="AH129" s="73">
        <f t="shared" si="16"/>
        <v>174892.96</v>
      </c>
      <c r="AI129" s="74">
        <f t="shared" si="20"/>
        <v>939.59</v>
      </c>
      <c r="AJ129" s="9"/>
      <c r="AK129" s="73">
        <f>'Fixed rate projection'!$AE$3-('Variable rate projection'!AI129*Product_term*Var_freq)</f>
        <v>21192</v>
      </c>
    </row>
    <row r="130" spans="1:37" x14ac:dyDescent="0.35">
      <c r="A130" s="27">
        <v>125</v>
      </c>
      <c r="B130" s="57">
        <f t="shared" si="17"/>
        <v>1000</v>
      </c>
      <c r="C130" s="16">
        <f>ROUND(B130*(1+'Interest rate projection'!AB132/Var_freq)+IF(C$5="Mortgage Starts",0,Deposit_mon),2)</f>
        <v>2003.67</v>
      </c>
      <c r="D130" s="16">
        <f>ROUND(C130*(1+'Interest rate projection'!AC132/Var_freq)+IF(D$5="Mortgage Starts",0,Deposit_mon),2)</f>
        <v>3011.03</v>
      </c>
      <c r="E130" s="16">
        <f>ROUND(D130*(1+'Interest rate projection'!AD132/Var_freq)+IF(E$5="Mortgage Starts",0,Deposit_mon),2)</f>
        <v>4022.7</v>
      </c>
      <c r="F130" s="16">
        <f>ROUND(E130*(1+'Interest rate projection'!AE132/Var_freq)+IF(F$5="Mortgage Starts",0,Deposit_mon),2)</f>
        <v>5038.29</v>
      </c>
      <c r="G130" s="16">
        <f>ROUND(F130*(1+'Interest rate projection'!AF132/Var_freq)+IF(G$5="Mortgage Starts",0,Deposit_mon),2)</f>
        <v>6057.81</v>
      </c>
      <c r="H130" s="16">
        <f>ROUND(G130*(1+'Interest rate projection'!AG132/Var_freq)+IF(H$5="Mortgage Starts",0,Deposit_mon),2)</f>
        <v>7081.28</v>
      </c>
      <c r="I130" s="16">
        <f>ROUND(H130*(1+'Interest rate projection'!AH132/Var_freq)+IF(I$5="Mortgage Starts",0,Deposit_mon),2)</f>
        <v>8108.72</v>
      </c>
      <c r="J130" s="16">
        <f>ROUND(I130*(1+'Interest rate projection'!AI132/Var_freq)+IF(J$5="Mortgage Starts",0,Deposit_mon),2)</f>
        <v>9140.14</v>
      </c>
      <c r="K130" s="16">
        <f>ROUND(J130*(1+'Interest rate projection'!AJ132/Var_freq)+IF(K$5="Mortgage Starts",0,Deposit_mon),2)</f>
        <v>10175.56</v>
      </c>
      <c r="L130" s="16">
        <f>ROUND(K130*(1+'Interest rate projection'!AK132/Var_freq)+IF(L$5="Mortgage Starts",0,Deposit_mon),2)</f>
        <v>11214.99</v>
      </c>
      <c r="M130" s="16">
        <f>ROUND(L130*(1+'Interest rate projection'!AL132/Var_freq)+IF(M$5="Mortgage Starts",0,Deposit_mon),2)</f>
        <v>12258.44</v>
      </c>
      <c r="N130" s="16">
        <f>ROUND(M130*(1+'Interest rate projection'!AM132/Var_freq)+IF(N$5="Mortgage Starts",0,Deposit_mon),2)</f>
        <v>13305.94</v>
      </c>
      <c r="O130" s="16">
        <f>ROUND(N130*(1+'Interest rate projection'!AN132/Var_freq)+IF(O$5="Mortgage Starts",0,Deposit_mon),2)</f>
        <v>14357.5</v>
      </c>
      <c r="P130" s="16">
        <f>ROUND(O130*(1+'Interest rate projection'!AO132/Var_freq)+IF(P$5="Mortgage Starts",0,Deposit_mon),2)</f>
        <v>15413.13</v>
      </c>
      <c r="Q130" s="16">
        <f>ROUND(P130*(1+'Interest rate projection'!AP132/Var_freq)+IF(Q$5="Mortgage Starts",0,Deposit_mon),2)</f>
        <v>16472.849999999999</v>
      </c>
      <c r="R130" s="16">
        <f>ROUND(Q130*(1+'Interest rate projection'!AQ132/Var_freq)+IF(R$5="Mortgage Starts",0,Deposit_mon),2)</f>
        <v>17543.240000000002</v>
      </c>
      <c r="S130" s="16">
        <f>ROUND(R130*(1+'Interest rate projection'!AR132/Var_freq)+IF(S$5="Mortgage Starts",0,Deposit_mon),2)</f>
        <v>18618.2</v>
      </c>
      <c r="T130" s="16">
        <f>ROUND(S130*(1+'Interest rate projection'!AS132/Var_freq)+IF(T$5="Mortgage Starts",0,Deposit_mon),2)</f>
        <v>19701.45</v>
      </c>
      <c r="U130" s="16">
        <f>ROUND(T130*(1+'Interest rate projection'!AT132/Var_freq)+IF(U$5="Mortgage Starts",0,Deposit_mon),2)</f>
        <v>20789.55</v>
      </c>
      <c r="V130" s="16">
        <f>ROUND(U130*(1+'Interest rate projection'!AU132/Var_freq)+IF(V$5="Mortgage Starts",0,Deposit_mon),2)</f>
        <v>21878.39</v>
      </c>
      <c r="W130" s="16">
        <f>ROUND(V130*(1+'Interest rate projection'!AV132/Var_freq)+IF(W$5="Mortgage Starts",0,Deposit_mon),2)</f>
        <v>22971.88</v>
      </c>
      <c r="X130" s="16">
        <f>ROUND(W130*(1+'Interest rate projection'!AW132/Var_freq)+IF(X$5="Mortgage Starts",0,Deposit_mon),2)</f>
        <v>24070.04</v>
      </c>
      <c r="Y130" s="16">
        <f>ROUND(X130*(1+'Interest rate projection'!AX132/Var_freq)+IF(Y$5="Mortgage Starts",0,Deposit_mon),2)</f>
        <v>25172.89</v>
      </c>
      <c r="Z130" s="57">
        <f>ROUND(Y130*(1+'Interest rate projection'!AY132/Var_freq)+IF(Z$5="Mortgage Starts",0,Deposit_mon),2)</f>
        <v>25280.46</v>
      </c>
      <c r="AB130" s="38">
        <f>'Interest rate projection'!Z132</f>
        <v>5.2499999999999998E-2</v>
      </c>
      <c r="AC130" s="38">
        <f>'Interest rate projection'!AZ132</f>
        <v>5.1277533193896829E-2</v>
      </c>
      <c r="AD130" s="59" t="str">
        <f t="shared" si="18"/>
        <v>OK</v>
      </c>
      <c r="AE130" s="39">
        <f t="shared" si="19"/>
        <v>14.075212462503044</v>
      </c>
      <c r="AG130" s="73">
        <f t="shared" si="15"/>
        <v>25280.46</v>
      </c>
      <c r="AH130" s="73">
        <f t="shared" si="16"/>
        <v>174719.54</v>
      </c>
      <c r="AI130" s="74">
        <f t="shared" si="20"/>
        <v>1034.44</v>
      </c>
      <c r="AJ130" s="9"/>
      <c r="AK130" s="73">
        <f>'Fixed rate projection'!$AE$3-('Variable rate projection'!AI130*Product_term*Var_freq)</f>
        <v>-7263</v>
      </c>
    </row>
    <row r="131" spans="1:37" x14ac:dyDescent="0.35">
      <c r="A131" s="5">
        <v>126</v>
      </c>
      <c r="B131" s="57">
        <f t="shared" si="17"/>
        <v>1000</v>
      </c>
      <c r="C131" s="16">
        <f>ROUND(B131*(1+'Interest rate projection'!AB133/Var_freq)+IF(C$5="Mortgage Starts",0,Deposit_mon),2)</f>
        <v>2003.67</v>
      </c>
      <c r="D131" s="16">
        <f>ROUND(C131*(1+'Interest rate projection'!AC133/Var_freq)+IF(D$5="Mortgage Starts",0,Deposit_mon),2)</f>
        <v>3011.03</v>
      </c>
      <c r="E131" s="16">
        <f>ROUND(D131*(1+'Interest rate projection'!AD133/Var_freq)+IF(E$5="Mortgage Starts",0,Deposit_mon),2)</f>
        <v>4022.09</v>
      </c>
      <c r="F131" s="16">
        <f>ROUND(E131*(1+'Interest rate projection'!AE133/Var_freq)+IF(F$5="Mortgage Starts",0,Deposit_mon),2)</f>
        <v>5036.87</v>
      </c>
      <c r="G131" s="16">
        <f>ROUND(F131*(1+'Interest rate projection'!AF133/Var_freq)+IF(G$5="Mortgage Starts",0,Deposit_mon),2)</f>
        <v>6055.38</v>
      </c>
      <c r="H131" s="16">
        <f>ROUND(G131*(1+'Interest rate projection'!AG133/Var_freq)+IF(H$5="Mortgage Starts",0,Deposit_mon),2)</f>
        <v>7077.63</v>
      </c>
      <c r="I131" s="16">
        <f>ROUND(H131*(1+'Interest rate projection'!AH133/Var_freq)+IF(I$5="Mortgage Starts",0,Deposit_mon),2)</f>
        <v>8103.64</v>
      </c>
      <c r="J131" s="16">
        <f>ROUND(I131*(1+'Interest rate projection'!AI133/Var_freq)+IF(J$5="Mortgage Starts",0,Deposit_mon),2)</f>
        <v>9131.7999999999993</v>
      </c>
      <c r="K131" s="16">
        <f>ROUND(J131*(1+'Interest rate projection'!AJ133/Var_freq)+IF(K$5="Mortgage Starts",0,Deposit_mon),2)</f>
        <v>10163.530000000001</v>
      </c>
      <c r="L131" s="16">
        <f>ROUND(K131*(1+'Interest rate projection'!AK133/Var_freq)+IF(L$5="Mortgage Starts",0,Deposit_mon),2)</f>
        <v>11198.84</v>
      </c>
      <c r="M131" s="16">
        <f>ROUND(L131*(1+'Interest rate projection'!AL133/Var_freq)+IF(M$5="Mortgage Starts",0,Deposit_mon),2)</f>
        <v>12237.75</v>
      </c>
      <c r="N131" s="16">
        <f>ROUND(M131*(1+'Interest rate projection'!AM133/Var_freq)+IF(N$5="Mortgage Starts",0,Deposit_mon),2)</f>
        <v>13280.27</v>
      </c>
      <c r="O131" s="16">
        <f>ROUND(N131*(1+'Interest rate projection'!AN133/Var_freq)+IF(O$5="Mortgage Starts",0,Deposit_mon),2)</f>
        <v>14323.75</v>
      </c>
      <c r="P131" s="16">
        <f>ROUND(O131*(1+'Interest rate projection'!AO133/Var_freq)+IF(P$5="Mortgage Starts",0,Deposit_mon),2)</f>
        <v>15370.64</v>
      </c>
      <c r="Q131" s="16">
        <f>ROUND(P131*(1+'Interest rate projection'!AP133/Var_freq)+IF(Q$5="Mortgage Starts",0,Deposit_mon),2)</f>
        <v>16420.96</v>
      </c>
      <c r="R131" s="16">
        <f>ROUND(Q131*(1+'Interest rate projection'!AQ133/Var_freq)+IF(R$5="Mortgage Starts",0,Deposit_mon),2)</f>
        <v>17474.72</v>
      </c>
      <c r="S131" s="16">
        <f>ROUND(R131*(1+'Interest rate projection'!AR133/Var_freq)+IF(S$5="Mortgage Starts",0,Deposit_mon),2)</f>
        <v>18531.93</v>
      </c>
      <c r="T131" s="16">
        <f>ROUND(S131*(1+'Interest rate projection'!AS133/Var_freq)+IF(T$5="Mortgage Starts",0,Deposit_mon),2)</f>
        <v>19592.599999999999</v>
      </c>
      <c r="U131" s="16">
        <f>ROUND(T131*(1+'Interest rate projection'!AT133/Var_freq)+IF(U$5="Mortgage Starts",0,Deposit_mon),2)</f>
        <v>20656.740000000002</v>
      </c>
      <c r="V131" s="16">
        <f>ROUND(U131*(1+'Interest rate projection'!AU133/Var_freq)+IF(V$5="Mortgage Starts",0,Deposit_mon),2)</f>
        <v>21724.36</v>
      </c>
      <c r="W131" s="16">
        <f>ROUND(V131*(1+'Interest rate projection'!AV133/Var_freq)+IF(W$5="Mortgage Starts",0,Deposit_mon),2)</f>
        <v>22795.48</v>
      </c>
      <c r="X131" s="16">
        <f>ROUND(W131*(1+'Interest rate projection'!AW133/Var_freq)+IF(X$5="Mortgage Starts",0,Deposit_mon),2)</f>
        <v>23870.11</v>
      </c>
      <c r="Y131" s="16">
        <f>ROUND(X131*(1+'Interest rate projection'!AX133/Var_freq)+IF(Y$5="Mortgage Starts",0,Deposit_mon),2)</f>
        <v>24948.25</v>
      </c>
      <c r="Z131" s="57">
        <f>ROUND(Y131*(1+'Interest rate projection'!AY133/Var_freq)+IF(Z$5="Mortgage Starts",0,Deposit_mon),2)</f>
        <v>25029.919999999998</v>
      </c>
      <c r="AB131" s="38">
        <f>'Interest rate projection'!Z133</f>
        <v>3.9999999999999994E-2</v>
      </c>
      <c r="AC131" s="38">
        <f>'Interest rate projection'!AZ133</f>
        <v>3.9284877386386974E-2</v>
      </c>
      <c r="AD131" s="59" t="str">
        <f t="shared" si="18"/>
        <v>OK</v>
      </c>
      <c r="AE131" s="39">
        <f t="shared" si="19"/>
        <v>15.906456614335044</v>
      </c>
      <c r="AG131" s="73">
        <f t="shared" si="15"/>
        <v>25029.919999999998</v>
      </c>
      <c r="AH131" s="73">
        <f t="shared" si="16"/>
        <v>174970.08000000002</v>
      </c>
      <c r="AI131" s="74">
        <f t="shared" si="20"/>
        <v>916.66</v>
      </c>
      <c r="AJ131" s="9"/>
      <c r="AK131" s="73">
        <f>'Fixed rate projection'!$AE$3-('Variable rate projection'!AI131*Product_term*Var_freq)</f>
        <v>28071</v>
      </c>
    </row>
    <row r="132" spans="1:37" x14ac:dyDescent="0.35">
      <c r="A132" s="27">
        <v>127</v>
      </c>
      <c r="B132" s="57">
        <f t="shared" si="17"/>
        <v>1000</v>
      </c>
      <c r="C132" s="16">
        <f>ROUND(B132*(1+'Interest rate projection'!AB134/Var_freq)+IF(C$5="Mortgage Starts",0,Deposit_mon),2)</f>
        <v>2003.67</v>
      </c>
      <c r="D132" s="16">
        <f>ROUND(C132*(1+'Interest rate projection'!AC134/Var_freq)+IF(D$5="Mortgage Starts",0,Deposit_mon),2)</f>
        <v>3011.03</v>
      </c>
      <c r="E132" s="16">
        <f>ROUND(D132*(1+'Interest rate projection'!AD134/Var_freq)+IF(E$5="Mortgage Starts",0,Deposit_mon),2)</f>
        <v>4022.09</v>
      </c>
      <c r="F132" s="16">
        <f>ROUND(E132*(1+'Interest rate projection'!AE134/Var_freq)+IF(F$5="Mortgage Starts",0,Deposit_mon),2)</f>
        <v>5036.87</v>
      </c>
      <c r="G132" s="16">
        <f>ROUND(F132*(1+'Interest rate projection'!AF134/Var_freq)+IF(G$5="Mortgage Starts",0,Deposit_mon),2)</f>
        <v>6055.38</v>
      </c>
      <c r="H132" s="16">
        <f>ROUND(G132*(1+'Interest rate projection'!AG134/Var_freq)+IF(H$5="Mortgage Starts",0,Deposit_mon),2)</f>
        <v>7078.84</v>
      </c>
      <c r="I132" s="16">
        <f>ROUND(H132*(1+'Interest rate projection'!AH134/Var_freq)+IF(I$5="Mortgage Starts",0,Deposit_mon),2)</f>
        <v>8106.27</v>
      </c>
      <c r="J132" s="16">
        <f>ROUND(I132*(1+'Interest rate projection'!AI134/Var_freq)+IF(J$5="Mortgage Starts",0,Deposit_mon),2)</f>
        <v>9137.68</v>
      </c>
      <c r="K132" s="16">
        <f>ROUND(J132*(1+'Interest rate projection'!AJ134/Var_freq)+IF(K$5="Mortgage Starts",0,Deposit_mon),2)</f>
        <v>10173.09</v>
      </c>
      <c r="L132" s="16">
        <f>ROUND(K132*(1+'Interest rate projection'!AK134/Var_freq)+IF(L$5="Mortgage Starts",0,Deposit_mon),2)</f>
        <v>11212.51</v>
      </c>
      <c r="M132" s="16">
        <f>ROUND(L132*(1+'Interest rate projection'!AL134/Var_freq)+IF(M$5="Mortgage Starts",0,Deposit_mon),2)</f>
        <v>12255.95</v>
      </c>
      <c r="N132" s="16">
        <f>ROUND(M132*(1+'Interest rate projection'!AM134/Var_freq)+IF(N$5="Mortgage Starts",0,Deposit_mon),2)</f>
        <v>13300.99</v>
      </c>
      <c r="O132" s="16">
        <f>ROUND(N132*(1+'Interest rate projection'!AN134/Var_freq)+IF(O$5="Mortgage Starts",0,Deposit_mon),2)</f>
        <v>14347.2</v>
      </c>
      <c r="P132" s="16">
        <f>ROUND(O132*(1+'Interest rate projection'!AO134/Var_freq)+IF(P$5="Mortgage Starts",0,Deposit_mon),2)</f>
        <v>15402.79</v>
      </c>
      <c r="Q132" s="16">
        <f>ROUND(P132*(1+'Interest rate projection'!AP134/Var_freq)+IF(Q$5="Mortgage Starts",0,Deposit_mon),2)</f>
        <v>16462.47</v>
      </c>
      <c r="R132" s="16">
        <f>ROUND(Q132*(1+'Interest rate projection'!AQ134/Var_freq)+IF(R$5="Mortgage Starts",0,Deposit_mon),2)</f>
        <v>17526.259999999998</v>
      </c>
      <c r="S132" s="16">
        <f>ROUND(R132*(1+'Interest rate projection'!AR134/Var_freq)+IF(S$5="Mortgage Starts",0,Deposit_mon),2)</f>
        <v>18601.150000000001</v>
      </c>
      <c r="T132" s="16">
        <f>ROUND(S132*(1+'Interest rate projection'!AS134/Var_freq)+IF(T$5="Mortgage Starts",0,Deposit_mon),2)</f>
        <v>19680.64</v>
      </c>
      <c r="U132" s="16">
        <f>ROUND(T132*(1+'Interest rate projection'!AT134/Var_freq)+IF(U$5="Mortgage Starts",0,Deposit_mon),2)</f>
        <v>20764.740000000002</v>
      </c>
      <c r="V132" s="16">
        <f>ROUND(U132*(1+'Interest rate projection'!AU134/Var_freq)+IF(V$5="Mortgage Starts",0,Deposit_mon),2)</f>
        <v>21853.47</v>
      </c>
      <c r="W132" s="16">
        <f>ROUND(V132*(1+'Interest rate projection'!AV134/Var_freq)+IF(W$5="Mortgage Starts",0,Deposit_mon),2)</f>
        <v>22946.85</v>
      </c>
      <c r="X132" s="16">
        <f>ROUND(W132*(1+'Interest rate projection'!AW134/Var_freq)+IF(X$5="Mortgage Starts",0,Deposit_mon),2)</f>
        <v>24044.9</v>
      </c>
      <c r="Y132" s="16">
        <f>ROUND(X132*(1+'Interest rate projection'!AX134/Var_freq)+IF(Y$5="Mortgage Starts",0,Deposit_mon),2)</f>
        <v>25147.65</v>
      </c>
      <c r="Z132" s="57">
        <f>ROUND(Y132*(1+'Interest rate projection'!AY134/Var_freq)+IF(Z$5="Mortgage Starts",0,Deposit_mon),2)</f>
        <v>25255.11</v>
      </c>
      <c r="AB132" s="38">
        <f>'Interest rate projection'!Z134</f>
        <v>5.4999999999999993E-2</v>
      </c>
      <c r="AC132" s="38">
        <f>'Interest rate projection'!AZ134</f>
        <v>5.3660387004516252E-2</v>
      </c>
      <c r="AD132" s="59" t="str">
        <f t="shared" si="18"/>
        <v>OK</v>
      </c>
      <c r="AE132" s="39">
        <f t="shared" si="19"/>
        <v>13.748806844025127</v>
      </c>
      <c r="AG132" s="73">
        <f t="shared" si="15"/>
        <v>25255.11</v>
      </c>
      <c r="AH132" s="73">
        <f t="shared" si="16"/>
        <v>174744.89</v>
      </c>
      <c r="AI132" s="74">
        <f t="shared" si="20"/>
        <v>1059.1500000000001</v>
      </c>
      <c r="AJ132" s="9"/>
      <c r="AK132" s="73">
        <f>'Fixed rate projection'!$AE$3-('Variable rate projection'!AI132*Product_term*Var_freq)</f>
        <v>-14676.000000000058</v>
      </c>
    </row>
    <row r="133" spans="1:37" x14ac:dyDescent="0.35">
      <c r="A133" s="5">
        <v>128</v>
      </c>
      <c r="B133" s="57">
        <f t="shared" si="17"/>
        <v>1000</v>
      </c>
      <c r="C133" s="16">
        <f>ROUND(B133*(1+'Interest rate projection'!AB135/Var_freq)+IF(C$5="Mortgage Starts",0,Deposit_mon),2)</f>
        <v>2003.67</v>
      </c>
      <c r="D133" s="16">
        <f>ROUND(C133*(1+'Interest rate projection'!AC135/Var_freq)+IF(D$5="Mortgage Starts",0,Deposit_mon),2)</f>
        <v>3011.03</v>
      </c>
      <c r="E133" s="16">
        <f>ROUND(D133*(1+'Interest rate projection'!AD135/Var_freq)+IF(E$5="Mortgage Starts",0,Deposit_mon),2)</f>
        <v>4022.09</v>
      </c>
      <c r="F133" s="16">
        <f>ROUND(E133*(1+'Interest rate projection'!AE135/Var_freq)+IF(F$5="Mortgage Starts",0,Deposit_mon),2)</f>
        <v>5036.87</v>
      </c>
      <c r="G133" s="16">
        <f>ROUND(F133*(1+'Interest rate projection'!AF135/Var_freq)+IF(G$5="Mortgage Starts",0,Deposit_mon),2)</f>
        <v>6056.39</v>
      </c>
      <c r="H133" s="16">
        <f>ROUND(G133*(1+'Interest rate projection'!AG135/Var_freq)+IF(H$5="Mortgage Starts",0,Deposit_mon),2)</f>
        <v>7079.86</v>
      </c>
      <c r="I133" s="16">
        <f>ROUND(H133*(1+'Interest rate projection'!AH135/Var_freq)+IF(I$5="Mortgage Starts",0,Deposit_mon),2)</f>
        <v>8107.29</v>
      </c>
      <c r="J133" s="16">
        <f>ROUND(I133*(1+'Interest rate projection'!AI135/Var_freq)+IF(J$5="Mortgage Starts",0,Deposit_mon),2)</f>
        <v>9138.7000000000007</v>
      </c>
      <c r="K133" s="16">
        <f>ROUND(J133*(1+'Interest rate projection'!AJ135/Var_freq)+IF(K$5="Mortgage Starts",0,Deposit_mon),2)</f>
        <v>10174.11</v>
      </c>
      <c r="L133" s="16">
        <f>ROUND(K133*(1+'Interest rate projection'!AK135/Var_freq)+IF(L$5="Mortgage Starts",0,Deposit_mon),2)</f>
        <v>11213.53</v>
      </c>
      <c r="M133" s="16">
        <f>ROUND(L133*(1+'Interest rate projection'!AL135/Var_freq)+IF(M$5="Mortgage Starts",0,Deposit_mon),2)</f>
        <v>12256.98</v>
      </c>
      <c r="N133" s="16">
        <f>ROUND(M133*(1+'Interest rate projection'!AM135/Var_freq)+IF(N$5="Mortgage Starts",0,Deposit_mon),2)</f>
        <v>13304.47</v>
      </c>
      <c r="O133" s="16">
        <f>ROUND(N133*(1+'Interest rate projection'!AN135/Var_freq)+IF(O$5="Mortgage Starts",0,Deposit_mon),2)</f>
        <v>14356.02</v>
      </c>
      <c r="P133" s="16">
        <f>ROUND(O133*(1+'Interest rate projection'!AO135/Var_freq)+IF(P$5="Mortgage Starts",0,Deposit_mon),2)</f>
        <v>15411.65</v>
      </c>
      <c r="Q133" s="16">
        <f>ROUND(P133*(1+'Interest rate projection'!AP135/Var_freq)+IF(Q$5="Mortgage Starts",0,Deposit_mon),2)</f>
        <v>16471.37</v>
      </c>
      <c r="R133" s="16">
        <f>ROUND(Q133*(1+'Interest rate projection'!AQ135/Var_freq)+IF(R$5="Mortgage Starts",0,Deposit_mon),2)</f>
        <v>17535.189999999999</v>
      </c>
      <c r="S133" s="16">
        <f>ROUND(R133*(1+'Interest rate projection'!AR135/Var_freq)+IF(S$5="Mortgage Starts",0,Deposit_mon),2)</f>
        <v>18603.13</v>
      </c>
      <c r="T133" s="16">
        <f>ROUND(S133*(1+'Interest rate projection'!AS135/Var_freq)+IF(T$5="Mortgage Starts",0,Deposit_mon),2)</f>
        <v>19675.21</v>
      </c>
      <c r="U133" s="16">
        <f>ROUND(T133*(1+'Interest rate projection'!AT135/Var_freq)+IF(U$5="Mortgage Starts",0,Deposit_mon),2)</f>
        <v>20751.45</v>
      </c>
      <c r="V133" s="16">
        <f>ROUND(U133*(1+'Interest rate projection'!AU135/Var_freq)+IF(V$5="Mortgage Starts",0,Deposit_mon),2)</f>
        <v>21831.86</v>
      </c>
      <c r="W133" s="16">
        <f>ROUND(V133*(1+'Interest rate projection'!AV135/Var_freq)+IF(W$5="Mortgage Starts",0,Deposit_mon),2)</f>
        <v>22916.45</v>
      </c>
      <c r="X133" s="16">
        <f>ROUND(W133*(1+'Interest rate projection'!AW135/Var_freq)+IF(X$5="Mortgage Starts",0,Deposit_mon),2)</f>
        <v>24005.24</v>
      </c>
      <c r="Y133" s="16">
        <f>ROUND(X133*(1+'Interest rate projection'!AX135/Var_freq)+IF(Y$5="Mortgage Starts",0,Deposit_mon),2)</f>
        <v>25103.040000000001</v>
      </c>
      <c r="Z133" s="57">
        <f>ROUND(Y133*(1+'Interest rate projection'!AY135/Var_freq)+IF(Z$5="Mortgage Starts",0,Deposit_mon),2)</f>
        <v>25205.31</v>
      </c>
      <c r="AB133" s="38">
        <f>'Interest rate projection'!Z135</f>
        <v>0.05</v>
      </c>
      <c r="AC133" s="38">
        <f>'Interest rate projection'!AZ135</f>
        <v>4.8889485403780242E-2</v>
      </c>
      <c r="AD133" s="59" t="str">
        <f t="shared" si="18"/>
        <v>OK</v>
      </c>
      <c r="AE133" s="39">
        <f t="shared" si="19"/>
        <v>14.4140856153857</v>
      </c>
      <c r="AG133" s="73">
        <f t="shared" si="15"/>
        <v>25205.31</v>
      </c>
      <c r="AH133" s="73">
        <f t="shared" si="16"/>
        <v>174794.69</v>
      </c>
      <c r="AI133" s="74">
        <f t="shared" si="20"/>
        <v>1010.55</v>
      </c>
      <c r="AJ133" s="9"/>
      <c r="AK133" s="73">
        <f>'Fixed rate projection'!$AE$3-('Variable rate projection'!AI133*Product_term*Var_freq)</f>
        <v>-96</v>
      </c>
    </row>
    <row r="134" spans="1:37" x14ac:dyDescent="0.35">
      <c r="A134" s="27">
        <v>129</v>
      </c>
      <c r="B134" s="57">
        <f t="shared" ref="B134:B165" si="21">Deposit_mon</f>
        <v>1000</v>
      </c>
      <c r="C134" s="16">
        <f>ROUND(B134*(1+'Interest rate projection'!AB136/Var_freq)+IF(C$5="Mortgage Starts",0,Deposit_mon),2)</f>
        <v>2003.67</v>
      </c>
      <c r="D134" s="16">
        <f>ROUND(C134*(1+'Interest rate projection'!AC136/Var_freq)+IF(D$5="Mortgage Starts",0,Deposit_mon),2)</f>
        <v>3011.03</v>
      </c>
      <c r="E134" s="16">
        <f>ROUND(D134*(1+'Interest rate projection'!AD136/Var_freq)+IF(E$5="Mortgage Starts",0,Deposit_mon),2)</f>
        <v>4022.09</v>
      </c>
      <c r="F134" s="16">
        <f>ROUND(E134*(1+'Interest rate projection'!AE136/Var_freq)+IF(F$5="Mortgage Starts",0,Deposit_mon),2)</f>
        <v>5036.87</v>
      </c>
      <c r="G134" s="16">
        <f>ROUND(F134*(1+'Interest rate projection'!AF136/Var_freq)+IF(G$5="Mortgage Starts",0,Deposit_mon),2)</f>
        <v>6055.38</v>
      </c>
      <c r="H134" s="16">
        <f>ROUND(G134*(1+'Interest rate projection'!AG136/Var_freq)+IF(H$5="Mortgage Starts",0,Deposit_mon),2)</f>
        <v>7077.63</v>
      </c>
      <c r="I134" s="16">
        <f>ROUND(H134*(1+'Interest rate projection'!AH136/Var_freq)+IF(I$5="Mortgage Starts",0,Deposit_mon),2)</f>
        <v>8103.64</v>
      </c>
      <c r="J134" s="16">
        <f>ROUND(I134*(1+'Interest rate projection'!AI136/Var_freq)+IF(J$5="Mortgage Starts",0,Deposit_mon),2)</f>
        <v>9133.42</v>
      </c>
      <c r="K134" s="16">
        <f>ROUND(J134*(1+'Interest rate projection'!AJ136/Var_freq)+IF(K$5="Mortgage Starts",0,Deposit_mon),2)</f>
        <v>10168.81</v>
      </c>
      <c r="L134" s="16">
        <f>ROUND(K134*(1+'Interest rate projection'!AK136/Var_freq)+IF(L$5="Mortgage Starts",0,Deposit_mon),2)</f>
        <v>11208.21</v>
      </c>
      <c r="M134" s="16">
        <f>ROUND(L134*(1+'Interest rate projection'!AL136/Var_freq)+IF(M$5="Mortgage Starts",0,Deposit_mon),2)</f>
        <v>12251.64</v>
      </c>
      <c r="N134" s="16">
        <f>ROUND(M134*(1+'Interest rate projection'!AM136/Var_freq)+IF(N$5="Mortgage Starts",0,Deposit_mon),2)</f>
        <v>13296.66</v>
      </c>
      <c r="O134" s="16">
        <f>ROUND(N134*(1+'Interest rate projection'!AN136/Var_freq)+IF(O$5="Mortgage Starts",0,Deposit_mon),2)</f>
        <v>14345.52</v>
      </c>
      <c r="P134" s="16">
        <f>ROUND(O134*(1+'Interest rate projection'!AO136/Var_freq)+IF(P$5="Mortgage Starts",0,Deposit_mon),2)</f>
        <v>15398.24</v>
      </c>
      <c r="Q134" s="16">
        <f>ROUND(P134*(1+'Interest rate projection'!AP136/Var_freq)+IF(Q$5="Mortgage Starts",0,Deposit_mon),2)</f>
        <v>16448.650000000001</v>
      </c>
      <c r="R134" s="16">
        <f>ROUND(Q134*(1+'Interest rate projection'!AQ136/Var_freq)+IF(R$5="Mortgage Starts",0,Deposit_mon),2)</f>
        <v>17502.5</v>
      </c>
      <c r="S134" s="16">
        <f>ROUND(R134*(1+'Interest rate projection'!AR136/Var_freq)+IF(S$5="Mortgage Starts",0,Deposit_mon),2)</f>
        <v>18559.8</v>
      </c>
      <c r="T134" s="16">
        <f>ROUND(S134*(1+'Interest rate projection'!AS136/Var_freq)+IF(T$5="Mortgage Starts",0,Deposit_mon),2)</f>
        <v>19620.560000000001</v>
      </c>
      <c r="U134" s="16">
        <f>ROUND(T134*(1+'Interest rate projection'!AT136/Var_freq)+IF(U$5="Mortgage Starts",0,Deposit_mon),2)</f>
        <v>20684.79</v>
      </c>
      <c r="V134" s="16">
        <f>ROUND(U134*(1+'Interest rate projection'!AU136/Var_freq)+IF(V$5="Mortgage Starts",0,Deposit_mon),2)</f>
        <v>21752.51</v>
      </c>
      <c r="W134" s="16">
        <f>ROUND(V134*(1+'Interest rate projection'!AV136/Var_freq)+IF(W$5="Mortgage Starts",0,Deposit_mon),2)</f>
        <v>22823.72</v>
      </c>
      <c r="X134" s="16">
        <f>ROUND(W134*(1+'Interest rate projection'!AW136/Var_freq)+IF(X$5="Mortgage Starts",0,Deposit_mon),2)</f>
        <v>23898.44</v>
      </c>
      <c r="Y134" s="16">
        <f>ROUND(X134*(1+'Interest rate projection'!AX136/Var_freq)+IF(Y$5="Mortgage Starts",0,Deposit_mon),2)</f>
        <v>24976.68</v>
      </c>
      <c r="Z134" s="57">
        <f>ROUND(Y134*(1+'Interest rate projection'!AY136/Var_freq)+IF(Z$5="Mortgage Starts",0,Deposit_mon),2)</f>
        <v>25058.45</v>
      </c>
      <c r="AB134" s="38">
        <f>'Interest rate projection'!Z136</f>
        <v>0.04</v>
      </c>
      <c r="AC134" s="38">
        <f>'Interest rate projection'!AZ136</f>
        <v>3.9284877386386974E-2</v>
      </c>
      <c r="AD134" s="59" t="str">
        <f t="shared" ref="AD134:AD165" si="22">IF(ROUND(AB134,6)=ROUND((1+AC134/Var_freq)^Var_freq-1,6),"OK","ERROR")</f>
        <v>OK</v>
      </c>
      <c r="AE134" s="39">
        <f t="shared" ref="AE134:AE165" si="23">(1-(1+AB134)^-Mort_term)/AC134</f>
        <v>15.906456614335044</v>
      </c>
      <c r="AG134" s="73">
        <f t="shared" si="15"/>
        <v>25058.45</v>
      </c>
      <c r="AH134" s="73">
        <f t="shared" si="16"/>
        <v>174941.55</v>
      </c>
      <c r="AI134" s="74">
        <f t="shared" ref="AI134:AI165" si="24">ROUND(AH134/AE134/Var_freq,2)</f>
        <v>916.51</v>
      </c>
      <c r="AJ134" s="9"/>
      <c r="AK134" s="73">
        <f>'Fixed rate projection'!$AE$3-('Variable rate projection'!AI134*Product_term*Var_freq)</f>
        <v>28116</v>
      </c>
    </row>
    <row r="135" spans="1:37" x14ac:dyDescent="0.35">
      <c r="A135" s="5">
        <v>130</v>
      </c>
      <c r="B135" s="57">
        <f t="shared" si="21"/>
        <v>1000</v>
      </c>
      <c r="C135" s="16">
        <f>ROUND(B135*(1+'Interest rate projection'!AB137/Var_freq)+IF(C$5="Mortgage Starts",0,Deposit_mon),2)</f>
        <v>2003.67</v>
      </c>
      <c r="D135" s="16">
        <f>ROUND(C135*(1+'Interest rate projection'!AC137/Var_freq)+IF(D$5="Mortgage Starts",0,Deposit_mon),2)</f>
        <v>3011.03</v>
      </c>
      <c r="E135" s="16">
        <f>ROUND(D135*(1+'Interest rate projection'!AD137/Var_freq)+IF(E$5="Mortgage Starts",0,Deposit_mon),2)</f>
        <v>4022.09</v>
      </c>
      <c r="F135" s="16">
        <f>ROUND(E135*(1+'Interest rate projection'!AE137/Var_freq)+IF(F$5="Mortgage Starts",0,Deposit_mon),2)</f>
        <v>5036.0600000000004</v>
      </c>
      <c r="G135" s="16">
        <f>ROUND(F135*(1+'Interest rate projection'!AF137/Var_freq)+IF(G$5="Mortgage Starts",0,Deposit_mon),2)</f>
        <v>6053.56</v>
      </c>
      <c r="H135" s="16">
        <f>ROUND(G135*(1+'Interest rate projection'!AG137/Var_freq)+IF(H$5="Mortgage Starts",0,Deposit_mon),2)</f>
        <v>7074.59</v>
      </c>
      <c r="I135" s="16">
        <f>ROUND(H135*(1+'Interest rate projection'!AH137/Var_freq)+IF(I$5="Mortgage Starts",0,Deposit_mon),2)</f>
        <v>8099.17</v>
      </c>
      <c r="J135" s="16">
        <f>ROUND(I135*(1+'Interest rate projection'!AI137/Var_freq)+IF(J$5="Mortgage Starts",0,Deposit_mon),2)</f>
        <v>9127.31</v>
      </c>
      <c r="K135" s="16">
        <f>ROUND(J135*(1+'Interest rate projection'!AJ137/Var_freq)+IF(K$5="Mortgage Starts",0,Deposit_mon),2)</f>
        <v>10159.02</v>
      </c>
      <c r="L135" s="16">
        <f>ROUND(K135*(1+'Interest rate projection'!AK137/Var_freq)+IF(L$5="Mortgage Starts",0,Deposit_mon),2)</f>
        <v>11194.32</v>
      </c>
      <c r="M135" s="16">
        <f>ROUND(L135*(1+'Interest rate projection'!AL137/Var_freq)+IF(M$5="Mortgage Starts",0,Deposit_mon),2)</f>
        <v>12233.21</v>
      </c>
      <c r="N135" s="16">
        <f>ROUND(M135*(1+'Interest rate projection'!AM137/Var_freq)+IF(N$5="Mortgage Starts",0,Deposit_mon),2)</f>
        <v>13275.71</v>
      </c>
      <c r="O135" s="16">
        <f>ROUND(N135*(1+'Interest rate projection'!AN137/Var_freq)+IF(O$5="Mortgage Starts",0,Deposit_mon),2)</f>
        <v>14321.84</v>
      </c>
      <c r="P135" s="16">
        <f>ROUND(O135*(1+'Interest rate projection'!AO137/Var_freq)+IF(P$5="Mortgage Starts",0,Deposit_mon),2)</f>
        <v>15371.6</v>
      </c>
      <c r="Q135" s="16">
        <f>ROUND(P135*(1+'Interest rate projection'!AP137/Var_freq)+IF(Q$5="Mortgage Starts",0,Deposit_mon),2)</f>
        <v>16425.009999999998</v>
      </c>
      <c r="R135" s="16">
        <f>ROUND(Q135*(1+'Interest rate projection'!AQ137/Var_freq)+IF(R$5="Mortgage Starts",0,Deposit_mon),2)</f>
        <v>17482.080000000002</v>
      </c>
      <c r="S135" s="16">
        <f>ROUND(R135*(1+'Interest rate projection'!AR137/Var_freq)+IF(S$5="Mortgage Starts",0,Deposit_mon),2)</f>
        <v>18542.82</v>
      </c>
      <c r="T135" s="16">
        <f>ROUND(S135*(1+'Interest rate projection'!AS137/Var_freq)+IF(T$5="Mortgage Starts",0,Deposit_mon),2)</f>
        <v>19607.25</v>
      </c>
      <c r="U135" s="16">
        <f>ROUND(T135*(1+'Interest rate projection'!AT137/Var_freq)+IF(U$5="Mortgage Starts",0,Deposit_mon),2)</f>
        <v>20675.38</v>
      </c>
      <c r="V135" s="16">
        <f>ROUND(U135*(1+'Interest rate projection'!AU137/Var_freq)+IF(V$5="Mortgage Starts",0,Deposit_mon),2)</f>
        <v>21747.22</v>
      </c>
      <c r="W135" s="16">
        <f>ROUND(V135*(1+'Interest rate projection'!AV137/Var_freq)+IF(W$5="Mortgage Starts",0,Deposit_mon),2)</f>
        <v>22822.78</v>
      </c>
      <c r="X135" s="16">
        <f>ROUND(W135*(1+'Interest rate projection'!AW137/Var_freq)+IF(X$5="Mortgage Starts",0,Deposit_mon),2)</f>
        <v>23902.080000000002</v>
      </c>
      <c r="Y135" s="16">
        <f>ROUND(X135*(1+'Interest rate projection'!AX137/Var_freq)+IF(Y$5="Mortgage Starts",0,Deposit_mon),2)</f>
        <v>24985.13</v>
      </c>
      <c r="Z135" s="57">
        <f>ROUND(Y135*(1+'Interest rate projection'!AY137/Var_freq)+IF(Z$5="Mortgage Starts",0,Deposit_mon),2)</f>
        <v>25071.94</v>
      </c>
      <c r="AB135" s="38">
        <f>'Interest rate projection'!Z137</f>
        <v>4.2499999999999996E-2</v>
      </c>
      <c r="AC135" s="38">
        <f>'Interest rate projection'!AZ137</f>
        <v>4.1693940041970023E-2</v>
      </c>
      <c r="AD135" s="59" t="str">
        <f t="shared" si="22"/>
        <v>OK</v>
      </c>
      <c r="AE135" s="39">
        <f t="shared" si="23"/>
        <v>15.511529757864551</v>
      </c>
      <c r="AG135" s="73">
        <f t="shared" ref="AG135:AG198" si="25">Z135</f>
        <v>25071.94</v>
      </c>
      <c r="AH135" s="73">
        <f t="shared" ref="AH135:AH198" si="26">House_price-AG135</f>
        <v>174928.06</v>
      </c>
      <c r="AI135" s="74">
        <f t="shared" si="24"/>
        <v>939.77</v>
      </c>
      <c r="AJ135" s="9"/>
      <c r="AK135" s="73">
        <f>'Fixed rate projection'!$AE$3-('Variable rate projection'!AI135*Product_term*Var_freq)</f>
        <v>21138</v>
      </c>
    </row>
    <row r="136" spans="1:37" x14ac:dyDescent="0.35">
      <c r="A136" s="27">
        <v>131</v>
      </c>
      <c r="B136" s="57">
        <f t="shared" si="21"/>
        <v>1000</v>
      </c>
      <c r="C136" s="16">
        <f>ROUND(B136*(1+'Interest rate projection'!AB138/Var_freq)+IF(C$5="Mortgage Starts",0,Deposit_mon),2)</f>
        <v>2003.67</v>
      </c>
      <c r="D136" s="16">
        <f>ROUND(C136*(1+'Interest rate projection'!AC138/Var_freq)+IF(D$5="Mortgage Starts",0,Deposit_mon),2)</f>
        <v>3011.03</v>
      </c>
      <c r="E136" s="16">
        <f>ROUND(D136*(1+'Interest rate projection'!AD138/Var_freq)+IF(E$5="Mortgage Starts",0,Deposit_mon),2)</f>
        <v>4022.09</v>
      </c>
      <c r="F136" s="16">
        <f>ROUND(E136*(1+'Interest rate projection'!AE138/Var_freq)+IF(F$5="Mortgage Starts",0,Deposit_mon),2)</f>
        <v>5036.87</v>
      </c>
      <c r="G136" s="16">
        <f>ROUND(F136*(1+'Interest rate projection'!AF138/Var_freq)+IF(G$5="Mortgage Starts",0,Deposit_mon),2)</f>
        <v>6055.38</v>
      </c>
      <c r="H136" s="16">
        <f>ROUND(G136*(1+'Interest rate projection'!AG138/Var_freq)+IF(H$5="Mortgage Starts",0,Deposit_mon),2)</f>
        <v>7077.63</v>
      </c>
      <c r="I136" s="16">
        <f>ROUND(H136*(1+'Interest rate projection'!AH138/Var_freq)+IF(I$5="Mortgage Starts",0,Deposit_mon),2)</f>
        <v>8103.64</v>
      </c>
      <c r="J136" s="16">
        <f>ROUND(I136*(1+'Interest rate projection'!AI138/Var_freq)+IF(J$5="Mortgage Starts",0,Deposit_mon),2)</f>
        <v>9133.42</v>
      </c>
      <c r="K136" s="16">
        <f>ROUND(J136*(1+'Interest rate projection'!AJ138/Var_freq)+IF(K$5="Mortgage Starts",0,Deposit_mon),2)</f>
        <v>10166.98</v>
      </c>
      <c r="L136" s="16">
        <f>ROUND(K136*(1+'Interest rate projection'!AK138/Var_freq)+IF(L$5="Mortgage Starts",0,Deposit_mon),2)</f>
        <v>11204.34</v>
      </c>
      <c r="M136" s="16">
        <f>ROUND(L136*(1+'Interest rate projection'!AL138/Var_freq)+IF(M$5="Mortgage Starts",0,Deposit_mon),2)</f>
        <v>12243.27</v>
      </c>
      <c r="N136" s="16">
        <f>ROUND(M136*(1+'Interest rate projection'!AM138/Var_freq)+IF(N$5="Mortgage Starts",0,Deposit_mon),2)</f>
        <v>13285.81</v>
      </c>
      <c r="O136" s="16">
        <f>ROUND(N136*(1+'Interest rate projection'!AN138/Var_freq)+IF(O$5="Mortgage Starts",0,Deposit_mon),2)</f>
        <v>14337.29</v>
      </c>
      <c r="P136" s="16">
        <f>ROUND(O136*(1+'Interest rate projection'!AO138/Var_freq)+IF(P$5="Mortgage Starts",0,Deposit_mon),2)</f>
        <v>15395.7</v>
      </c>
      <c r="Q136" s="16">
        <f>ROUND(P136*(1+'Interest rate projection'!AP138/Var_freq)+IF(Q$5="Mortgage Starts",0,Deposit_mon),2)</f>
        <v>16458.419999999998</v>
      </c>
      <c r="R136" s="16">
        <f>ROUND(Q136*(1+'Interest rate projection'!AQ138/Var_freq)+IF(R$5="Mortgage Starts",0,Deposit_mon),2)</f>
        <v>17525.47</v>
      </c>
      <c r="S136" s="16">
        <f>ROUND(R136*(1+'Interest rate projection'!AR138/Var_freq)+IF(S$5="Mortgage Starts",0,Deposit_mon),2)</f>
        <v>18596.87</v>
      </c>
      <c r="T136" s="16">
        <f>ROUND(S136*(1+'Interest rate projection'!AS138/Var_freq)+IF(T$5="Mortgage Starts",0,Deposit_mon),2)</f>
        <v>19672.64</v>
      </c>
      <c r="U136" s="16">
        <f>ROUND(T136*(1+'Interest rate projection'!AT138/Var_freq)+IF(U$5="Mortgage Starts",0,Deposit_mon),2)</f>
        <v>20752.79</v>
      </c>
      <c r="V136" s="16">
        <f>ROUND(U136*(1+'Interest rate projection'!AU138/Var_freq)+IF(V$5="Mortgage Starts",0,Deposit_mon),2)</f>
        <v>21837.34</v>
      </c>
      <c r="W136" s="16">
        <f>ROUND(V136*(1+'Interest rate projection'!AV138/Var_freq)+IF(W$5="Mortgage Starts",0,Deposit_mon),2)</f>
        <v>22926.31</v>
      </c>
      <c r="X136" s="16">
        <f>ROUND(W136*(1+'Interest rate projection'!AW138/Var_freq)+IF(X$5="Mortgage Starts",0,Deposit_mon),2)</f>
        <v>24019.71</v>
      </c>
      <c r="Y136" s="16">
        <f>ROUND(X136*(1+'Interest rate projection'!AX138/Var_freq)+IF(Y$5="Mortgage Starts",0,Deposit_mon),2)</f>
        <v>25117.57</v>
      </c>
      <c r="Z136" s="57">
        <f>ROUND(Y136*(1+'Interest rate projection'!AY138/Var_freq)+IF(Z$5="Mortgage Starts",0,Deposit_mon),2)</f>
        <v>25219.9</v>
      </c>
      <c r="AB136" s="38">
        <f>'Interest rate projection'!Z138</f>
        <v>4.9999999999999996E-2</v>
      </c>
      <c r="AC136" s="38">
        <f>'Interest rate projection'!AZ138</f>
        <v>4.8889485403780242E-2</v>
      </c>
      <c r="AD136" s="59" t="str">
        <f t="shared" si="22"/>
        <v>OK</v>
      </c>
      <c r="AE136" s="39">
        <f t="shared" si="23"/>
        <v>14.4140856153857</v>
      </c>
      <c r="AG136" s="73">
        <f t="shared" si="25"/>
        <v>25219.9</v>
      </c>
      <c r="AH136" s="73">
        <f t="shared" si="26"/>
        <v>174780.1</v>
      </c>
      <c r="AI136" s="74">
        <f t="shared" si="24"/>
        <v>1010.47</v>
      </c>
      <c r="AJ136" s="9"/>
      <c r="AK136" s="73">
        <f>'Fixed rate projection'!$AE$3-('Variable rate projection'!AI136*Product_term*Var_freq)</f>
        <v>-72</v>
      </c>
    </row>
    <row r="137" spans="1:37" x14ac:dyDescent="0.35">
      <c r="A137" s="5">
        <v>132</v>
      </c>
      <c r="B137" s="57">
        <f t="shared" si="21"/>
        <v>1000</v>
      </c>
      <c r="C137" s="16">
        <f>ROUND(B137*(1+'Interest rate projection'!AB139/Var_freq)+IF(C$5="Mortgage Starts",0,Deposit_mon),2)</f>
        <v>2003.67</v>
      </c>
      <c r="D137" s="16">
        <f>ROUND(C137*(1+'Interest rate projection'!AC139/Var_freq)+IF(D$5="Mortgage Starts",0,Deposit_mon),2)</f>
        <v>3011.03</v>
      </c>
      <c r="E137" s="16">
        <f>ROUND(D137*(1+'Interest rate projection'!AD139/Var_freq)+IF(E$5="Mortgage Starts",0,Deposit_mon),2)</f>
        <v>4023.3</v>
      </c>
      <c r="F137" s="16">
        <f>ROUND(E137*(1+'Interest rate projection'!AE139/Var_freq)+IF(F$5="Mortgage Starts",0,Deposit_mon),2)</f>
        <v>5041.29</v>
      </c>
      <c r="G137" s="16">
        <f>ROUND(F137*(1+'Interest rate projection'!AF139/Var_freq)+IF(G$5="Mortgage Starts",0,Deposit_mon),2)</f>
        <v>6063.83</v>
      </c>
      <c r="H137" s="16">
        <f>ROUND(G137*(1+'Interest rate projection'!AG139/Var_freq)+IF(H$5="Mortgage Starts",0,Deposit_mon),2)</f>
        <v>7090.95</v>
      </c>
      <c r="I137" s="16">
        <f>ROUND(H137*(1+'Interest rate projection'!AH139/Var_freq)+IF(I$5="Mortgage Starts",0,Deposit_mon),2)</f>
        <v>8124.06</v>
      </c>
      <c r="J137" s="16">
        <f>ROUND(I137*(1+'Interest rate projection'!AI139/Var_freq)+IF(J$5="Mortgage Starts",0,Deposit_mon),2)</f>
        <v>9162</v>
      </c>
      <c r="K137" s="16">
        <f>ROUND(J137*(1+'Interest rate projection'!AJ139/Var_freq)+IF(K$5="Mortgage Starts",0,Deposit_mon),2)</f>
        <v>10204.790000000001</v>
      </c>
      <c r="L137" s="16">
        <f>ROUND(K137*(1+'Interest rate projection'!AK139/Var_freq)+IF(L$5="Mortgage Starts",0,Deposit_mon),2)</f>
        <v>11252.44</v>
      </c>
      <c r="M137" s="16">
        <f>ROUND(L137*(1+'Interest rate projection'!AL139/Var_freq)+IF(M$5="Mortgage Starts",0,Deposit_mon),2)</f>
        <v>12304.99</v>
      </c>
      <c r="N137" s="16">
        <f>ROUND(M137*(1+'Interest rate projection'!AM139/Var_freq)+IF(N$5="Mortgage Starts",0,Deposit_mon),2)</f>
        <v>13362.45</v>
      </c>
      <c r="O137" s="16">
        <f>ROUND(N137*(1+'Interest rate projection'!AN139/Var_freq)+IF(O$5="Mortgage Starts",0,Deposit_mon),2)</f>
        <v>14424.85</v>
      </c>
      <c r="P137" s="16">
        <f>ROUND(O137*(1+'Interest rate projection'!AO139/Var_freq)+IF(P$5="Mortgage Starts",0,Deposit_mon),2)</f>
        <v>15492.21</v>
      </c>
      <c r="Q137" s="16">
        <f>ROUND(P137*(1+'Interest rate projection'!AP139/Var_freq)+IF(Q$5="Mortgage Starts",0,Deposit_mon),2)</f>
        <v>16564.560000000001</v>
      </c>
      <c r="R137" s="16">
        <f>ROUND(Q137*(1+'Interest rate projection'!AQ139/Var_freq)+IF(R$5="Mortgage Starts",0,Deposit_mon),2)</f>
        <v>17641.91</v>
      </c>
      <c r="S137" s="16">
        <f>ROUND(R137*(1+'Interest rate projection'!AR139/Var_freq)+IF(S$5="Mortgage Starts",0,Deposit_mon),2)</f>
        <v>18724.29</v>
      </c>
      <c r="T137" s="16">
        <f>ROUND(S137*(1+'Interest rate projection'!AS139/Var_freq)+IF(T$5="Mortgage Starts",0,Deposit_mon),2)</f>
        <v>19815.43</v>
      </c>
      <c r="U137" s="16">
        <f>ROUND(T137*(1+'Interest rate projection'!AT139/Var_freq)+IF(U$5="Mortgage Starts",0,Deposit_mon),2)</f>
        <v>20911.88</v>
      </c>
      <c r="V137" s="16">
        <f>ROUND(U137*(1+'Interest rate projection'!AU139/Var_freq)+IF(V$5="Mortgage Starts",0,Deposit_mon),2)</f>
        <v>22013.67</v>
      </c>
      <c r="W137" s="16">
        <f>ROUND(V137*(1+'Interest rate projection'!AV139/Var_freq)+IF(W$5="Mortgage Starts",0,Deposit_mon),2)</f>
        <v>23120.82</v>
      </c>
      <c r="X137" s="16">
        <f>ROUND(W137*(1+'Interest rate projection'!AW139/Var_freq)+IF(X$5="Mortgage Starts",0,Deposit_mon),2)</f>
        <v>24237.919999999998</v>
      </c>
      <c r="Y137" s="16">
        <f>ROUND(X137*(1+'Interest rate projection'!AX139/Var_freq)+IF(Y$5="Mortgage Starts",0,Deposit_mon),2)</f>
        <v>25360.68</v>
      </c>
      <c r="Z137" s="57">
        <f>ROUND(Y137*(1+'Interest rate projection'!AY139/Var_freq)+IF(Z$5="Mortgage Starts",0,Deposit_mon),2)</f>
        <v>25489.13</v>
      </c>
      <c r="AB137" s="38">
        <f>'Interest rate projection'!Z139</f>
        <v>6.25E-2</v>
      </c>
      <c r="AC137" s="38">
        <f>'Interest rate projection'!AZ139</f>
        <v>6.0778019397250027E-2</v>
      </c>
      <c r="AD137" s="59" t="str">
        <f t="shared" si="22"/>
        <v>OK</v>
      </c>
      <c r="AE137" s="39">
        <f t="shared" si="23"/>
        <v>12.838968481972367</v>
      </c>
      <c r="AG137" s="73">
        <f t="shared" si="25"/>
        <v>25489.13</v>
      </c>
      <c r="AH137" s="73">
        <f t="shared" si="26"/>
        <v>174510.87</v>
      </c>
      <c r="AI137" s="74">
        <f t="shared" si="24"/>
        <v>1132.69</v>
      </c>
      <c r="AJ137" s="9"/>
      <c r="AK137" s="73">
        <f>'Fixed rate projection'!$AE$3-('Variable rate projection'!AI137*Product_term*Var_freq)</f>
        <v>-36738</v>
      </c>
    </row>
    <row r="138" spans="1:37" x14ac:dyDescent="0.35">
      <c r="A138" s="27">
        <v>133</v>
      </c>
      <c r="B138" s="57">
        <f t="shared" si="21"/>
        <v>1000</v>
      </c>
      <c r="C138" s="16">
        <f>ROUND(B138*(1+'Interest rate projection'!AB140/Var_freq)+IF(C$5="Mortgage Starts",0,Deposit_mon),2)</f>
        <v>2003.67</v>
      </c>
      <c r="D138" s="16">
        <f>ROUND(C138*(1+'Interest rate projection'!AC140/Var_freq)+IF(D$5="Mortgage Starts",0,Deposit_mon),2)</f>
        <v>3011.03</v>
      </c>
      <c r="E138" s="16">
        <f>ROUND(D138*(1+'Interest rate projection'!AD140/Var_freq)+IF(E$5="Mortgage Starts",0,Deposit_mon),2)</f>
        <v>4022.09</v>
      </c>
      <c r="F138" s="16">
        <f>ROUND(E138*(1+'Interest rate projection'!AE140/Var_freq)+IF(F$5="Mortgage Starts",0,Deposit_mon),2)</f>
        <v>5036.87</v>
      </c>
      <c r="G138" s="16">
        <f>ROUND(F138*(1+'Interest rate projection'!AF140/Var_freq)+IF(G$5="Mortgage Starts",0,Deposit_mon),2)</f>
        <v>6055.38</v>
      </c>
      <c r="H138" s="16">
        <f>ROUND(G138*(1+'Interest rate projection'!AG140/Var_freq)+IF(H$5="Mortgage Starts",0,Deposit_mon),2)</f>
        <v>7077.63</v>
      </c>
      <c r="I138" s="16">
        <f>ROUND(H138*(1+'Interest rate projection'!AH140/Var_freq)+IF(I$5="Mortgage Starts",0,Deposit_mon),2)</f>
        <v>8102.22</v>
      </c>
      <c r="J138" s="16">
        <f>ROUND(I138*(1+'Interest rate projection'!AI140/Var_freq)+IF(J$5="Mortgage Starts",0,Deposit_mon),2)</f>
        <v>9130.3700000000008</v>
      </c>
      <c r="K138" s="16">
        <f>ROUND(J138*(1+'Interest rate projection'!AJ140/Var_freq)+IF(K$5="Mortgage Starts",0,Deposit_mon),2)</f>
        <v>10162.09</v>
      </c>
      <c r="L138" s="16">
        <f>ROUND(K138*(1+'Interest rate projection'!AK140/Var_freq)+IF(L$5="Mortgage Starts",0,Deposit_mon),2)</f>
        <v>11199.43</v>
      </c>
      <c r="M138" s="16">
        <f>ROUND(L138*(1+'Interest rate projection'!AL140/Var_freq)+IF(M$5="Mortgage Starts",0,Deposit_mon),2)</f>
        <v>12240.59</v>
      </c>
      <c r="N138" s="16">
        <f>ROUND(M138*(1+'Interest rate projection'!AM140/Var_freq)+IF(N$5="Mortgage Starts",0,Deposit_mon),2)</f>
        <v>13285.57</v>
      </c>
      <c r="O138" s="16">
        <f>ROUND(N138*(1+'Interest rate projection'!AN140/Var_freq)+IF(O$5="Mortgage Starts",0,Deposit_mon),2)</f>
        <v>14334.39</v>
      </c>
      <c r="P138" s="16">
        <f>ROUND(O138*(1+'Interest rate projection'!AO140/Var_freq)+IF(P$5="Mortgage Starts",0,Deposit_mon),2)</f>
        <v>15387.07</v>
      </c>
      <c r="Q138" s="16">
        <f>ROUND(P138*(1+'Interest rate projection'!AP140/Var_freq)+IF(Q$5="Mortgage Starts",0,Deposit_mon),2)</f>
        <v>16443.61</v>
      </c>
      <c r="R138" s="16">
        <f>ROUND(Q138*(1+'Interest rate projection'!AQ140/Var_freq)+IF(R$5="Mortgage Starts",0,Deposit_mon),2)</f>
        <v>17504.04</v>
      </c>
      <c r="S138" s="16">
        <f>ROUND(R138*(1+'Interest rate projection'!AR140/Var_freq)+IF(S$5="Mortgage Starts",0,Deposit_mon),2)</f>
        <v>18568.36</v>
      </c>
      <c r="T138" s="16">
        <f>ROUND(S138*(1+'Interest rate projection'!AS140/Var_freq)+IF(T$5="Mortgage Starts",0,Deposit_mon),2)</f>
        <v>19636.599999999999</v>
      </c>
      <c r="U138" s="16">
        <f>ROUND(T138*(1+'Interest rate projection'!AT140/Var_freq)+IF(U$5="Mortgage Starts",0,Deposit_mon),2)</f>
        <v>20708.759999999998</v>
      </c>
      <c r="V138" s="16">
        <f>ROUND(U138*(1+'Interest rate projection'!AU140/Var_freq)+IF(V$5="Mortgage Starts",0,Deposit_mon),2)</f>
        <v>21784.86</v>
      </c>
      <c r="W138" s="16">
        <f>ROUND(V138*(1+'Interest rate projection'!AV140/Var_freq)+IF(W$5="Mortgage Starts",0,Deposit_mon),2)</f>
        <v>22864.92</v>
      </c>
      <c r="X138" s="16">
        <f>ROUND(W138*(1+'Interest rate projection'!AW140/Var_freq)+IF(X$5="Mortgage Starts",0,Deposit_mon),2)</f>
        <v>23948.94</v>
      </c>
      <c r="Y138" s="16">
        <f>ROUND(X138*(1+'Interest rate projection'!AX140/Var_freq)+IF(Y$5="Mortgage Starts",0,Deposit_mon),2)</f>
        <v>25036.95</v>
      </c>
      <c r="Z138" s="57">
        <f>ROUND(Y138*(1+'Interest rate projection'!AY140/Var_freq)+IF(Z$5="Mortgage Starts",0,Deposit_mon),2)</f>
        <v>25128.959999999999</v>
      </c>
      <c r="AB138" s="38">
        <f>'Interest rate projection'!Z140</f>
        <v>4.4999999999999998E-2</v>
      </c>
      <c r="AC138" s="38">
        <f>'Interest rate projection'!AZ140</f>
        <v>4.4097712805242217E-2</v>
      </c>
      <c r="AD138" s="59" t="str">
        <f t="shared" si="22"/>
        <v>OK</v>
      </c>
      <c r="AE138" s="39">
        <f t="shared" si="23"/>
        <v>15.131610255367837</v>
      </c>
      <c r="AG138" s="73">
        <f t="shared" si="25"/>
        <v>25128.959999999999</v>
      </c>
      <c r="AH138" s="73">
        <f t="shared" si="26"/>
        <v>174871.04000000001</v>
      </c>
      <c r="AI138" s="74">
        <f t="shared" si="24"/>
        <v>963.06</v>
      </c>
      <c r="AJ138" s="9"/>
      <c r="AK138" s="73">
        <f>'Fixed rate projection'!$AE$3-('Variable rate projection'!AI138*Product_term*Var_freq)</f>
        <v>14151</v>
      </c>
    </row>
    <row r="139" spans="1:37" x14ac:dyDescent="0.35">
      <c r="A139" s="5">
        <v>134</v>
      </c>
      <c r="B139" s="57">
        <f t="shared" si="21"/>
        <v>1000</v>
      </c>
      <c r="C139" s="16">
        <f>ROUND(B139*(1+'Interest rate projection'!AB141/Var_freq)+IF(C$5="Mortgage Starts",0,Deposit_mon),2)</f>
        <v>2003.67</v>
      </c>
      <c r="D139" s="16">
        <f>ROUND(C139*(1+'Interest rate projection'!AC141/Var_freq)+IF(D$5="Mortgage Starts",0,Deposit_mon),2)</f>
        <v>3011.03</v>
      </c>
      <c r="E139" s="16">
        <f>ROUND(D139*(1+'Interest rate projection'!AD141/Var_freq)+IF(E$5="Mortgage Starts",0,Deposit_mon),2)</f>
        <v>4022.09</v>
      </c>
      <c r="F139" s="16">
        <f>ROUND(E139*(1+'Interest rate projection'!AE141/Var_freq)+IF(F$5="Mortgage Starts",0,Deposit_mon),2)</f>
        <v>5036.87</v>
      </c>
      <c r="G139" s="16">
        <f>ROUND(F139*(1+'Interest rate projection'!AF141/Var_freq)+IF(G$5="Mortgage Starts",0,Deposit_mon),2)</f>
        <v>6054.37</v>
      </c>
      <c r="H139" s="16">
        <f>ROUND(G139*(1+'Interest rate projection'!AG141/Var_freq)+IF(H$5="Mortgage Starts",0,Deposit_mon),2)</f>
        <v>7075.41</v>
      </c>
      <c r="I139" s="16">
        <f>ROUND(H139*(1+'Interest rate projection'!AH141/Var_freq)+IF(I$5="Mortgage Starts",0,Deposit_mon),2)</f>
        <v>8099.99</v>
      </c>
      <c r="J139" s="16">
        <f>ROUND(I139*(1+'Interest rate projection'!AI141/Var_freq)+IF(J$5="Mortgage Starts",0,Deposit_mon),2)</f>
        <v>9128.1299999999992</v>
      </c>
      <c r="K139" s="16">
        <f>ROUND(J139*(1+'Interest rate projection'!AJ141/Var_freq)+IF(K$5="Mortgage Starts",0,Deposit_mon),2)</f>
        <v>10159.85</v>
      </c>
      <c r="L139" s="16">
        <f>ROUND(K139*(1+'Interest rate projection'!AK141/Var_freq)+IF(L$5="Mortgage Starts",0,Deposit_mon),2)</f>
        <v>11195.15</v>
      </c>
      <c r="M139" s="16">
        <f>ROUND(L139*(1+'Interest rate projection'!AL141/Var_freq)+IF(M$5="Mortgage Starts",0,Deposit_mon),2)</f>
        <v>12234.05</v>
      </c>
      <c r="N139" s="16">
        <f>ROUND(M139*(1+'Interest rate projection'!AM141/Var_freq)+IF(N$5="Mortgage Starts",0,Deposit_mon),2)</f>
        <v>13276.56</v>
      </c>
      <c r="O139" s="16">
        <f>ROUND(N139*(1+'Interest rate projection'!AN141/Var_freq)+IF(O$5="Mortgage Starts",0,Deposit_mon),2)</f>
        <v>14322.69</v>
      </c>
      <c r="P139" s="16">
        <f>ROUND(O139*(1+'Interest rate projection'!AO141/Var_freq)+IF(P$5="Mortgage Starts",0,Deposit_mon),2)</f>
        <v>15372.45</v>
      </c>
      <c r="Q139" s="16">
        <f>ROUND(P139*(1+'Interest rate projection'!AP141/Var_freq)+IF(Q$5="Mortgage Starts",0,Deposit_mon),2)</f>
        <v>16425.86</v>
      </c>
      <c r="R139" s="16">
        <f>ROUND(Q139*(1+'Interest rate projection'!AQ141/Var_freq)+IF(R$5="Mortgage Starts",0,Deposit_mon),2)</f>
        <v>17482.93</v>
      </c>
      <c r="S139" s="16">
        <f>ROUND(R139*(1+'Interest rate projection'!AR141/Var_freq)+IF(S$5="Mortgage Starts",0,Deposit_mon),2)</f>
        <v>18543.669999999998</v>
      </c>
      <c r="T139" s="16">
        <f>ROUND(S139*(1+'Interest rate projection'!AS141/Var_freq)+IF(T$5="Mortgage Starts",0,Deposit_mon),2)</f>
        <v>19608.099999999999</v>
      </c>
      <c r="U139" s="16">
        <f>ROUND(T139*(1+'Interest rate projection'!AT141/Var_freq)+IF(U$5="Mortgage Starts",0,Deposit_mon),2)</f>
        <v>20676.23</v>
      </c>
      <c r="V139" s="16">
        <f>ROUND(U139*(1+'Interest rate projection'!AU141/Var_freq)+IF(V$5="Mortgage Starts",0,Deposit_mon),2)</f>
        <v>21748.07</v>
      </c>
      <c r="W139" s="16">
        <f>ROUND(V139*(1+'Interest rate projection'!AV141/Var_freq)+IF(W$5="Mortgage Starts",0,Deposit_mon),2)</f>
        <v>22823.63</v>
      </c>
      <c r="X139" s="16">
        <f>ROUND(W139*(1+'Interest rate projection'!AW141/Var_freq)+IF(X$5="Mortgage Starts",0,Deposit_mon),2)</f>
        <v>23902.93</v>
      </c>
      <c r="Y139" s="16">
        <f>ROUND(X139*(1+'Interest rate projection'!AX141/Var_freq)+IF(Y$5="Mortgage Starts",0,Deposit_mon),2)</f>
        <v>24985.98</v>
      </c>
      <c r="Z139" s="57">
        <f>ROUND(Y139*(1+'Interest rate projection'!AY141/Var_freq)+IF(Z$5="Mortgage Starts",0,Deposit_mon),2)</f>
        <v>25072.79</v>
      </c>
      <c r="AB139" s="38">
        <f>'Interest rate projection'!Z141</f>
        <v>4.2499999999999996E-2</v>
      </c>
      <c r="AC139" s="38">
        <f>'Interest rate projection'!AZ141</f>
        <v>4.1693940041970023E-2</v>
      </c>
      <c r="AD139" s="59" t="str">
        <f t="shared" si="22"/>
        <v>OK</v>
      </c>
      <c r="AE139" s="39">
        <f t="shared" si="23"/>
        <v>15.511529757864551</v>
      </c>
      <c r="AG139" s="73">
        <f t="shared" si="25"/>
        <v>25072.79</v>
      </c>
      <c r="AH139" s="73">
        <f t="shared" si="26"/>
        <v>174927.21</v>
      </c>
      <c r="AI139" s="74">
        <f t="shared" si="24"/>
        <v>939.77</v>
      </c>
      <c r="AJ139" s="9"/>
      <c r="AK139" s="73">
        <f>'Fixed rate projection'!$AE$3-('Variable rate projection'!AI139*Product_term*Var_freq)</f>
        <v>21138</v>
      </c>
    </row>
    <row r="140" spans="1:37" x14ac:dyDescent="0.35">
      <c r="A140" s="27">
        <v>135</v>
      </c>
      <c r="B140" s="57">
        <f t="shared" si="21"/>
        <v>1000</v>
      </c>
      <c r="C140" s="16">
        <f>ROUND(B140*(1+'Interest rate projection'!AB142/Var_freq)+IF(C$5="Mortgage Starts",0,Deposit_mon),2)</f>
        <v>2003.67</v>
      </c>
      <c r="D140" s="16">
        <f>ROUND(C140*(1+'Interest rate projection'!AC142/Var_freq)+IF(D$5="Mortgage Starts",0,Deposit_mon),2)</f>
        <v>3011.03</v>
      </c>
      <c r="E140" s="16">
        <f>ROUND(D140*(1+'Interest rate projection'!AD142/Var_freq)+IF(E$5="Mortgage Starts",0,Deposit_mon),2)</f>
        <v>4022.7</v>
      </c>
      <c r="F140" s="16">
        <f>ROUND(E140*(1+'Interest rate projection'!AE142/Var_freq)+IF(F$5="Mortgage Starts",0,Deposit_mon),2)</f>
        <v>5038.29</v>
      </c>
      <c r="G140" s="16">
        <f>ROUND(F140*(1+'Interest rate projection'!AF142/Var_freq)+IF(G$5="Mortgage Starts",0,Deposit_mon),2)</f>
        <v>6057.81</v>
      </c>
      <c r="H140" s="16">
        <f>ROUND(G140*(1+'Interest rate projection'!AG142/Var_freq)+IF(H$5="Mortgage Starts",0,Deposit_mon),2)</f>
        <v>7078.86</v>
      </c>
      <c r="I140" s="16">
        <f>ROUND(H140*(1+'Interest rate projection'!AH142/Var_freq)+IF(I$5="Mortgage Starts",0,Deposit_mon),2)</f>
        <v>8103.46</v>
      </c>
      <c r="J140" s="16">
        <f>ROUND(I140*(1+'Interest rate projection'!AI142/Var_freq)+IF(J$5="Mortgage Starts",0,Deposit_mon),2)</f>
        <v>9131.6200000000008</v>
      </c>
      <c r="K140" s="16">
        <f>ROUND(J140*(1+'Interest rate projection'!AJ142/Var_freq)+IF(K$5="Mortgage Starts",0,Deposit_mon),2)</f>
        <v>10163.35</v>
      </c>
      <c r="L140" s="16">
        <f>ROUND(K140*(1+'Interest rate projection'!AK142/Var_freq)+IF(L$5="Mortgage Starts",0,Deposit_mon),2)</f>
        <v>11198.66</v>
      </c>
      <c r="M140" s="16">
        <f>ROUND(L140*(1+'Interest rate projection'!AL142/Var_freq)+IF(M$5="Mortgage Starts",0,Deposit_mon),2)</f>
        <v>12237.57</v>
      </c>
      <c r="N140" s="16">
        <f>ROUND(M140*(1+'Interest rate projection'!AM142/Var_freq)+IF(N$5="Mortgage Starts",0,Deposit_mon),2)</f>
        <v>13280.09</v>
      </c>
      <c r="O140" s="16">
        <f>ROUND(N140*(1+'Interest rate projection'!AN142/Var_freq)+IF(O$5="Mortgage Starts",0,Deposit_mon),2)</f>
        <v>14326.23</v>
      </c>
      <c r="P140" s="16">
        <f>ROUND(O140*(1+'Interest rate projection'!AO142/Var_freq)+IF(P$5="Mortgage Starts",0,Deposit_mon),2)</f>
        <v>15376.01</v>
      </c>
      <c r="Q140" s="16">
        <f>ROUND(P140*(1+'Interest rate projection'!AP142/Var_freq)+IF(Q$5="Mortgage Starts",0,Deposit_mon),2)</f>
        <v>16429.43</v>
      </c>
      <c r="R140" s="16">
        <f>ROUND(Q140*(1+'Interest rate projection'!AQ142/Var_freq)+IF(R$5="Mortgage Starts",0,Deposit_mon),2)</f>
        <v>17486.509999999998</v>
      </c>
      <c r="S140" s="16">
        <f>ROUND(R140*(1+'Interest rate projection'!AR142/Var_freq)+IF(S$5="Mortgage Starts",0,Deposit_mon),2)</f>
        <v>18547.27</v>
      </c>
      <c r="T140" s="16">
        <f>ROUND(S140*(1+'Interest rate projection'!AS142/Var_freq)+IF(T$5="Mortgage Starts",0,Deposit_mon),2)</f>
        <v>19619.13</v>
      </c>
      <c r="U140" s="16">
        <f>ROUND(T140*(1+'Interest rate projection'!AT142/Var_freq)+IF(U$5="Mortgage Starts",0,Deposit_mon),2)</f>
        <v>20695.150000000001</v>
      </c>
      <c r="V140" s="16">
        <f>ROUND(U140*(1+'Interest rate projection'!AU142/Var_freq)+IF(V$5="Mortgage Starts",0,Deposit_mon),2)</f>
        <v>21779.46</v>
      </c>
      <c r="W140" s="16">
        <f>ROUND(V140*(1+'Interest rate projection'!AV142/Var_freq)+IF(W$5="Mortgage Starts",0,Deposit_mon),2)</f>
        <v>22868.19</v>
      </c>
      <c r="X140" s="16">
        <f>ROUND(W140*(1+'Interest rate projection'!AW142/Var_freq)+IF(X$5="Mortgage Starts",0,Deposit_mon),2)</f>
        <v>23961.360000000001</v>
      </c>
      <c r="Y140" s="16">
        <f>ROUND(X140*(1+'Interest rate projection'!AX142/Var_freq)+IF(Y$5="Mortgage Starts",0,Deposit_mon),2)</f>
        <v>25058.98</v>
      </c>
      <c r="Z140" s="57">
        <f>ROUND(Y140*(1+'Interest rate projection'!AY142/Var_freq)+IF(Z$5="Mortgage Starts",0,Deposit_mon),2)</f>
        <v>25161.07</v>
      </c>
      <c r="AB140" s="38">
        <f>'Interest rate projection'!Z142</f>
        <v>0.05</v>
      </c>
      <c r="AC140" s="38">
        <f>'Interest rate projection'!AZ142</f>
        <v>4.8889485403780242E-2</v>
      </c>
      <c r="AD140" s="59" t="str">
        <f t="shared" si="22"/>
        <v>OK</v>
      </c>
      <c r="AE140" s="39">
        <f t="shared" si="23"/>
        <v>14.4140856153857</v>
      </c>
      <c r="AG140" s="73">
        <f t="shared" si="25"/>
        <v>25161.07</v>
      </c>
      <c r="AH140" s="73">
        <f t="shared" si="26"/>
        <v>174838.93</v>
      </c>
      <c r="AI140" s="74">
        <f t="shared" si="24"/>
        <v>1010.81</v>
      </c>
      <c r="AJ140" s="9"/>
      <c r="AK140" s="73">
        <f>'Fixed rate projection'!$AE$3-('Variable rate projection'!AI140*Product_term*Var_freq)</f>
        <v>-174</v>
      </c>
    </row>
    <row r="141" spans="1:37" x14ac:dyDescent="0.35">
      <c r="A141" s="5">
        <v>136</v>
      </c>
      <c r="B141" s="57">
        <f t="shared" si="21"/>
        <v>1000</v>
      </c>
      <c r="C141" s="16">
        <f>ROUND(B141*(1+'Interest rate projection'!AB143/Var_freq)+IF(C$5="Mortgage Starts",0,Deposit_mon),2)</f>
        <v>2003.67</v>
      </c>
      <c r="D141" s="16">
        <f>ROUND(C141*(1+'Interest rate projection'!AC143/Var_freq)+IF(D$5="Mortgage Starts",0,Deposit_mon),2)</f>
        <v>3011.03</v>
      </c>
      <c r="E141" s="16">
        <f>ROUND(D141*(1+'Interest rate projection'!AD143/Var_freq)+IF(E$5="Mortgage Starts",0,Deposit_mon),2)</f>
        <v>4022.09</v>
      </c>
      <c r="F141" s="16">
        <f>ROUND(E141*(1+'Interest rate projection'!AE143/Var_freq)+IF(F$5="Mortgage Starts",0,Deposit_mon),2)</f>
        <v>5036.87</v>
      </c>
      <c r="G141" s="16">
        <f>ROUND(F141*(1+'Interest rate projection'!AF143/Var_freq)+IF(G$5="Mortgage Starts",0,Deposit_mon),2)</f>
        <v>6055.38</v>
      </c>
      <c r="H141" s="16">
        <f>ROUND(G141*(1+'Interest rate projection'!AG143/Var_freq)+IF(H$5="Mortgage Starts",0,Deposit_mon),2)</f>
        <v>7077.63</v>
      </c>
      <c r="I141" s="16">
        <f>ROUND(H141*(1+'Interest rate projection'!AH143/Var_freq)+IF(I$5="Mortgage Starts",0,Deposit_mon),2)</f>
        <v>8103.64</v>
      </c>
      <c r="J141" s="16">
        <f>ROUND(I141*(1+'Interest rate projection'!AI143/Var_freq)+IF(J$5="Mortgage Starts",0,Deposit_mon),2)</f>
        <v>9133.42</v>
      </c>
      <c r="K141" s="16">
        <f>ROUND(J141*(1+'Interest rate projection'!AJ143/Var_freq)+IF(K$5="Mortgage Starts",0,Deposit_mon),2)</f>
        <v>10166.98</v>
      </c>
      <c r="L141" s="16">
        <f>ROUND(K141*(1+'Interest rate projection'!AK143/Var_freq)+IF(L$5="Mortgage Starts",0,Deposit_mon),2)</f>
        <v>11204.34</v>
      </c>
      <c r="M141" s="16">
        <f>ROUND(L141*(1+'Interest rate projection'!AL143/Var_freq)+IF(M$5="Mortgage Starts",0,Deposit_mon),2)</f>
        <v>12245.51</v>
      </c>
      <c r="N141" s="16">
        <f>ROUND(M141*(1+'Interest rate projection'!AM143/Var_freq)+IF(N$5="Mortgage Starts",0,Deposit_mon),2)</f>
        <v>13290.51</v>
      </c>
      <c r="O141" s="16">
        <f>ROUND(N141*(1+'Interest rate projection'!AN143/Var_freq)+IF(O$5="Mortgage Starts",0,Deposit_mon),2)</f>
        <v>14339.35</v>
      </c>
      <c r="P141" s="16">
        <f>ROUND(O141*(1+'Interest rate projection'!AO143/Var_freq)+IF(P$5="Mortgage Starts",0,Deposit_mon),2)</f>
        <v>15392.04</v>
      </c>
      <c r="Q141" s="16">
        <f>ROUND(P141*(1+'Interest rate projection'!AP143/Var_freq)+IF(Q$5="Mortgage Starts",0,Deposit_mon),2)</f>
        <v>16448.599999999999</v>
      </c>
      <c r="R141" s="16">
        <f>ROUND(Q141*(1+'Interest rate projection'!AQ143/Var_freq)+IF(R$5="Mortgage Starts",0,Deposit_mon),2)</f>
        <v>17509.05</v>
      </c>
      <c r="S141" s="16">
        <f>ROUND(R141*(1+'Interest rate projection'!AR143/Var_freq)+IF(S$5="Mortgage Starts",0,Deposit_mon),2)</f>
        <v>18573.39</v>
      </c>
      <c r="T141" s="16">
        <f>ROUND(S141*(1+'Interest rate projection'!AS143/Var_freq)+IF(T$5="Mortgage Starts",0,Deposit_mon),2)</f>
        <v>19641.64</v>
      </c>
      <c r="U141" s="16">
        <f>ROUND(T141*(1+'Interest rate projection'!AT143/Var_freq)+IF(U$5="Mortgage Starts",0,Deposit_mon),2)</f>
        <v>20713.82</v>
      </c>
      <c r="V141" s="16">
        <f>ROUND(U141*(1+'Interest rate projection'!AU143/Var_freq)+IF(V$5="Mortgage Starts",0,Deposit_mon),2)</f>
        <v>21789.94</v>
      </c>
      <c r="W141" s="16">
        <f>ROUND(V141*(1+'Interest rate projection'!AV143/Var_freq)+IF(W$5="Mortgage Starts",0,Deposit_mon),2)</f>
        <v>22861.27</v>
      </c>
      <c r="X141" s="16">
        <f>ROUND(W141*(1+'Interest rate projection'!AW143/Var_freq)+IF(X$5="Mortgage Starts",0,Deposit_mon),2)</f>
        <v>23936.11</v>
      </c>
      <c r="Y141" s="16">
        <f>ROUND(X141*(1+'Interest rate projection'!AX143/Var_freq)+IF(Y$5="Mortgage Starts",0,Deposit_mon),2)</f>
        <v>25014.47</v>
      </c>
      <c r="Z141" s="57">
        <f>ROUND(Y141*(1+'Interest rate projection'!AY143/Var_freq)+IF(Z$5="Mortgage Starts",0,Deposit_mon),2)</f>
        <v>25096.36</v>
      </c>
      <c r="AB141" s="38">
        <f>'Interest rate projection'!Z143</f>
        <v>0.04</v>
      </c>
      <c r="AC141" s="38">
        <f>'Interest rate projection'!AZ143</f>
        <v>3.9284877386386974E-2</v>
      </c>
      <c r="AD141" s="59" t="str">
        <f t="shared" si="22"/>
        <v>OK</v>
      </c>
      <c r="AE141" s="39">
        <f t="shared" si="23"/>
        <v>15.906456614335044</v>
      </c>
      <c r="AG141" s="73">
        <f t="shared" si="25"/>
        <v>25096.36</v>
      </c>
      <c r="AH141" s="73">
        <f t="shared" si="26"/>
        <v>174903.64</v>
      </c>
      <c r="AI141" s="74">
        <f t="shared" si="24"/>
        <v>916.31</v>
      </c>
      <c r="AJ141" s="9"/>
      <c r="AK141" s="73">
        <f>'Fixed rate projection'!$AE$3-('Variable rate projection'!AI141*Product_term*Var_freq)</f>
        <v>28176</v>
      </c>
    </row>
    <row r="142" spans="1:37" x14ac:dyDescent="0.35">
      <c r="A142" s="27">
        <v>137</v>
      </c>
      <c r="B142" s="57">
        <f t="shared" si="21"/>
        <v>1000</v>
      </c>
      <c r="C142" s="16">
        <f>ROUND(B142*(1+'Interest rate projection'!AB144/Var_freq)+IF(C$5="Mortgage Starts",0,Deposit_mon),2)</f>
        <v>2003.67</v>
      </c>
      <c r="D142" s="16">
        <f>ROUND(C142*(1+'Interest rate projection'!AC144/Var_freq)+IF(D$5="Mortgage Starts",0,Deposit_mon),2)</f>
        <v>3011.03</v>
      </c>
      <c r="E142" s="16">
        <f>ROUND(D142*(1+'Interest rate projection'!AD144/Var_freq)+IF(E$5="Mortgage Starts",0,Deposit_mon),2)</f>
        <v>4022.09</v>
      </c>
      <c r="F142" s="16">
        <f>ROUND(E142*(1+'Interest rate projection'!AE144/Var_freq)+IF(F$5="Mortgage Starts",0,Deposit_mon),2)</f>
        <v>5036.87</v>
      </c>
      <c r="G142" s="16">
        <f>ROUND(F142*(1+'Interest rate projection'!AF144/Var_freq)+IF(G$5="Mortgage Starts",0,Deposit_mon),2)</f>
        <v>6055.38</v>
      </c>
      <c r="H142" s="16">
        <f>ROUND(G142*(1+'Interest rate projection'!AG144/Var_freq)+IF(H$5="Mortgage Starts",0,Deposit_mon),2)</f>
        <v>7077.63</v>
      </c>
      <c r="I142" s="16">
        <f>ROUND(H142*(1+'Interest rate projection'!AH144/Var_freq)+IF(I$5="Mortgage Starts",0,Deposit_mon),2)</f>
        <v>8103.64</v>
      </c>
      <c r="J142" s="16">
        <f>ROUND(I142*(1+'Interest rate projection'!AI144/Var_freq)+IF(J$5="Mortgage Starts",0,Deposit_mon),2)</f>
        <v>9133.42</v>
      </c>
      <c r="K142" s="16">
        <f>ROUND(J142*(1+'Interest rate projection'!AJ144/Var_freq)+IF(K$5="Mortgage Starts",0,Deposit_mon),2)</f>
        <v>10166.98</v>
      </c>
      <c r="L142" s="16">
        <f>ROUND(K142*(1+'Interest rate projection'!AK144/Var_freq)+IF(L$5="Mortgage Starts",0,Deposit_mon),2)</f>
        <v>11204.34</v>
      </c>
      <c r="M142" s="16">
        <f>ROUND(L142*(1+'Interest rate projection'!AL144/Var_freq)+IF(M$5="Mortgage Starts",0,Deposit_mon),2)</f>
        <v>12245.51</v>
      </c>
      <c r="N142" s="16">
        <f>ROUND(M142*(1+'Interest rate projection'!AM144/Var_freq)+IF(N$5="Mortgage Starts",0,Deposit_mon),2)</f>
        <v>13290.51</v>
      </c>
      <c r="O142" s="16">
        <f>ROUND(N142*(1+'Interest rate projection'!AN144/Var_freq)+IF(O$5="Mortgage Starts",0,Deposit_mon),2)</f>
        <v>14339.35</v>
      </c>
      <c r="P142" s="16">
        <f>ROUND(O142*(1+'Interest rate projection'!AO144/Var_freq)+IF(P$5="Mortgage Starts",0,Deposit_mon),2)</f>
        <v>15392.04</v>
      </c>
      <c r="Q142" s="16">
        <f>ROUND(P142*(1+'Interest rate projection'!AP144/Var_freq)+IF(Q$5="Mortgage Starts",0,Deposit_mon),2)</f>
        <v>16448.599999999999</v>
      </c>
      <c r="R142" s="16">
        <f>ROUND(Q142*(1+'Interest rate projection'!AQ144/Var_freq)+IF(R$5="Mortgage Starts",0,Deposit_mon),2)</f>
        <v>17509.05</v>
      </c>
      <c r="S142" s="16">
        <f>ROUND(R142*(1+'Interest rate projection'!AR144/Var_freq)+IF(S$5="Mortgage Starts",0,Deposit_mon),2)</f>
        <v>18573.39</v>
      </c>
      <c r="T142" s="16">
        <f>ROUND(S142*(1+'Interest rate projection'!AS144/Var_freq)+IF(T$5="Mortgage Starts",0,Deposit_mon),2)</f>
        <v>19634.189999999999</v>
      </c>
      <c r="U142" s="16">
        <f>ROUND(T142*(1+'Interest rate projection'!AT144/Var_freq)+IF(U$5="Mortgage Starts",0,Deposit_mon),2)</f>
        <v>20698.47</v>
      </c>
      <c r="V142" s="16">
        <f>ROUND(U142*(1+'Interest rate projection'!AU144/Var_freq)+IF(V$5="Mortgage Starts",0,Deposit_mon),2)</f>
        <v>21766.23</v>
      </c>
      <c r="W142" s="16">
        <f>ROUND(V142*(1+'Interest rate projection'!AV144/Var_freq)+IF(W$5="Mortgage Starts",0,Deposit_mon),2)</f>
        <v>22837.49</v>
      </c>
      <c r="X142" s="16">
        <f>ROUND(W142*(1+'Interest rate projection'!AW144/Var_freq)+IF(X$5="Mortgage Starts",0,Deposit_mon),2)</f>
        <v>23912.25</v>
      </c>
      <c r="Y142" s="16">
        <f>ROUND(X142*(1+'Interest rate projection'!AX144/Var_freq)+IF(Y$5="Mortgage Starts",0,Deposit_mon),2)</f>
        <v>24990.53</v>
      </c>
      <c r="Z142" s="57">
        <f>ROUND(Y142*(1+'Interest rate projection'!AY144/Var_freq)+IF(Z$5="Mortgage Starts",0,Deposit_mon),2)</f>
        <v>25072.34</v>
      </c>
      <c r="AB142" s="38">
        <f>'Interest rate projection'!Z144</f>
        <v>4.4999999999999998E-2</v>
      </c>
      <c r="AC142" s="38">
        <f>'Interest rate projection'!AZ144</f>
        <v>4.4097712805242217E-2</v>
      </c>
      <c r="AD142" s="59" t="str">
        <f t="shared" si="22"/>
        <v>OK</v>
      </c>
      <c r="AE142" s="39">
        <f t="shared" si="23"/>
        <v>15.131610255367837</v>
      </c>
      <c r="AG142" s="73">
        <f t="shared" si="25"/>
        <v>25072.34</v>
      </c>
      <c r="AH142" s="73">
        <f t="shared" si="26"/>
        <v>174927.66</v>
      </c>
      <c r="AI142" s="74">
        <f t="shared" si="24"/>
        <v>963.37</v>
      </c>
      <c r="AJ142" s="9"/>
      <c r="AK142" s="73">
        <f>'Fixed rate projection'!$AE$3-('Variable rate projection'!AI142*Product_term*Var_freq)</f>
        <v>14058</v>
      </c>
    </row>
    <row r="143" spans="1:37" x14ac:dyDescent="0.35">
      <c r="A143" s="5">
        <v>138</v>
      </c>
      <c r="B143" s="57">
        <f t="shared" si="21"/>
        <v>1000</v>
      </c>
      <c r="C143" s="16">
        <f>ROUND(B143*(1+'Interest rate projection'!AB145/Var_freq)+IF(C$5="Mortgage Starts",0,Deposit_mon),2)</f>
        <v>2003.67</v>
      </c>
      <c r="D143" s="16">
        <f>ROUND(C143*(1+'Interest rate projection'!AC145/Var_freq)+IF(D$5="Mortgage Starts",0,Deposit_mon),2)</f>
        <v>3011.03</v>
      </c>
      <c r="E143" s="16">
        <f>ROUND(D143*(1+'Interest rate projection'!AD145/Var_freq)+IF(E$5="Mortgage Starts",0,Deposit_mon),2)</f>
        <v>4022.09</v>
      </c>
      <c r="F143" s="16">
        <f>ROUND(E143*(1+'Interest rate projection'!AE145/Var_freq)+IF(F$5="Mortgage Starts",0,Deposit_mon),2)</f>
        <v>5036.87</v>
      </c>
      <c r="G143" s="16">
        <f>ROUND(F143*(1+'Interest rate projection'!AF145/Var_freq)+IF(G$5="Mortgage Starts",0,Deposit_mon),2)</f>
        <v>6055.38</v>
      </c>
      <c r="H143" s="16">
        <f>ROUND(G143*(1+'Interest rate projection'!AG145/Var_freq)+IF(H$5="Mortgage Starts",0,Deposit_mon),2)</f>
        <v>7077.63</v>
      </c>
      <c r="I143" s="16">
        <f>ROUND(H143*(1+'Interest rate projection'!AH145/Var_freq)+IF(I$5="Mortgage Starts",0,Deposit_mon),2)</f>
        <v>8103.64</v>
      </c>
      <c r="J143" s="16">
        <f>ROUND(I143*(1+'Interest rate projection'!AI145/Var_freq)+IF(J$5="Mortgage Starts",0,Deposit_mon),2)</f>
        <v>9133.42</v>
      </c>
      <c r="K143" s="16">
        <f>ROUND(J143*(1+'Interest rate projection'!AJ145/Var_freq)+IF(K$5="Mortgage Starts",0,Deposit_mon),2)</f>
        <v>10166.98</v>
      </c>
      <c r="L143" s="16">
        <f>ROUND(K143*(1+'Interest rate projection'!AK145/Var_freq)+IF(L$5="Mortgage Starts",0,Deposit_mon),2)</f>
        <v>11204.34</v>
      </c>
      <c r="M143" s="16">
        <f>ROUND(L143*(1+'Interest rate projection'!AL145/Var_freq)+IF(M$5="Mortgage Starts",0,Deposit_mon),2)</f>
        <v>12245.51</v>
      </c>
      <c r="N143" s="16">
        <f>ROUND(M143*(1+'Interest rate projection'!AM145/Var_freq)+IF(N$5="Mortgage Starts",0,Deposit_mon),2)</f>
        <v>13290.51</v>
      </c>
      <c r="O143" s="16">
        <f>ROUND(N143*(1+'Interest rate projection'!AN145/Var_freq)+IF(O$5="Mortgage Starts",0,Deposit_mon),2)</f>
        <v>14339.35</v>
      </c>
      <c r="P143" s="16">
        <f>ROUND(O143*(1+'Interest rate projection'!AO145/Var_freq)+IF(P$5="Mortgage Starts",0,Deposit_mon),2)</f>
        <v>15386.29</v>
      </c>
      <c r="Q143" s="16">
        <f>ROUND(P143*(1+'Interest rate projection'!AP145/Var_freq)+IF(Q$5="Mortgage Starts",0,Deposit_mon),2)</f>
        <v>16436.66</v>
      </c>
      <c r="R143" s="16">
        <f>ROUND(Q143*(1+'Interest rate projection'!AQ145/Var_freq)+IF(R$5="Mortgage Starts",0,Deposit_mon),2)</f>
        <v>17493.77</v>
      </c>
      <c r="S143" s="16">
        <f>ROUND(R143*(1+'Interest rate projection'!AR145/Var_freq)+IF(S$5="Mortgage Starts",0,Deposit_mon),2)</f>
        <v>18554.55</v>
      </c>
      <c r="T143" s="16">
        <f>ROUND(S143*(1+'Interest rate projection'!AS145/Var_freq)+IF(T$5="Mortgage Starts",0,Deposit_mon),2)</f>
        <v>19619.02</v>
      </c>
      <c r="U143" s="16">
        <f>ROUND(T143*(1+'Interest rate projection'!AT145/Var_freq)+IF(U$5="Mortgage Starts",0,Deposit_mon),2)</f>
        <v>20687.189999999999</v>
      </c>
      <c r="V143" s="16">
        <f>ROUND(U143*(1+'Interest rate projection'!AU145/Var_freq)+IF(V$5="Mortgage Starts",0,Deposit_mon),2)</f>
        <v>21759.07</v>
      </c>
      <c r="W143" s="16">
        <f>ROUND(V143*(1+'Interest rate projection'!AV145/Var_freq)+IF(W$5="Mortgage Starts",0,Deposit_mon),2)</f>
        <v>22830.3</v>
      </c>
      <c r="X143" s="16">
        <f>ROUND(W143*(1+'Interest rate projection'!AW145/Var_freq)+IF(X$5="Mortgage Starts",0,Deposit_mon),2)</f>
        <v>23905.040000000001</v>
      </c>
      <c r="Y143" s="16">
        <f>ROUND(X143*(1+'Interest rate projection'!AX145/Var_freq)+IF(Y$5="Mortgage Starts",0,Deposit_mon),2)</f>
        <v>24992.89</v>
      </c>
      <c r="Z143" s="57">
        <f>ROUND(Y143*(1+'Interest rate projection'!AY145/Var_freq)+IF(Z$5="Mortgage Starts",0,Deposit_mon),2)</f>
        <v>25084.73</v>
      </c>
      <c r="AB143" s="38">
        <f>'Interest rate projection'!Z145</f>
        <v>4.4999999999999998E-2</v>
      </c>
      <c r="AC143" s="38">
        <f>'Interest rate projection'!AZ145</f>
        <v>4.4097712805242217E-2</v>
      </c>
      <c r="AD143" s="59" t="str">
        <f t="shared" si="22"/>
        <v>OK</v>
      </c>
      <c r="AE143" s="39">
        <f t="shared" si="23"/>
        <v>15.131610255367837</v>
      </c>
      <c r="AG143" s="73">
        <f t="shared" si="25"/>
        <v>25084.73</v>
      </c>
      <c r="AH143" s="73">
        <f t="shared" si="26"/>
        <v>174915.27</v>
      </c>
      <c r="AI143" s="74">
        <f t="shared" si="24"/>
        <v>963.3</v>
      </c>
      <c r="AJ143" s="9"/>
      <c r="AK143" s="73">
        <f>'Fixed rate projection'!$AE$3-('Variable rate projection'!AI143*Product_term*Var_freq)</f>
        <v>14079</v>
      </c>
    </row>
    <row r="144" spans="1:37" x14ac:dyDescent="0.35">
      <c r="A144" s="27">
        <v>139</v>
      </c>
      <c r="B144" s="57">
        <f t="shared" si="21"/>
        <v>1000</v>
      </c>
      <c r="C144" s="16">
        <f>ROUND(B144*(1+'Interest rate projection'!AB146/Var_freq)+IF(C$5="Mortgage Starts",0,Deposit_mon),2)</f>
        <v>2003.67</v>
      </c>
      <c r="D144" s="16">
        <f>ROUND(C144*(1+'Interest rate projection'!AC146/Var_freq)+IF(D$5="Mortgage Starts",0,Deposit_mon),2)</f>
        <v>3011.03</v>
      </c>
      <c r="E144" s="16">
        <f>ROUND(D144*(1+'Interest rate projection'!AD146/Var_freq)+IF(E$5="Mortgage Starts",0,Deposit_mon),2)</f>
        <v>4022.09</v>
      </c>
      <c r="F144" s="16">
        <f>ROUND(E144*(1+'Interest rate projection'!AE146/Var_freq)+IF(F$5="Mortgage Starts",0,Deposit_mon),2)</f>
        <v>5036.87</v>
      </c>
      <c r="G144" s="16">
        <f>ROUND(F144*(1+'Interest rate projection'!AF146/Var_freq)+IF(G$5="Mortgage Starts",0,Deposit_mon),2)</f>
        <v>6055.38</v>
      </c>
      <c r="H144" s="16">
        <f>ROUND(G144*(1+'Interest rate projection'!AG146/Var_freq)+IF(H$5="Mortgage Starts",0,Deposit_mon),2)</f>
        <v>7077.63</v>
      </c>
      <c r="I144" s="16">
        <f>ROUND(H144*(1+'Interest rate projection'!AH146/Var_freq)+IF(I$5="Mortgage Starts",0,Deposit_mon),2)</f>
        <v>8103.64</v>
      </c>
      <c r="J144" s="16">
        <f>ROUND(I144*(1+'Interest rate projection'!AI146/Var_freq)+IF(J$5="Mortgage Starts",0,Deposit_mon),2)</f>
        <v>9133.42</v>
      </c>
      <c r="K144" s="16">
        <f>ROUND(J144*(1+'Interest rate projection'!AJ146/Var_freq)+IF(K$5="Mortgage Starts",0,Deposit_mon),2)</f>
        <v>10166.98</v>
      </c>
      <c r="L144" s="16">
        <f>ROUND(K144*(1+'Interest rate projection'!AK146/Var_freq)+IF(L$5="Mortgage Starts",0,Deposit_mon),2)</f>
        <v>11204.34</v>
      </c>
      <c r="M144" s="16">
        <f>ROUND(L144*(1+'Interest rate projection'!AL146/Var_freq)+IF(M$5="Mortgage Starts",0,Deposit_mon),2)</f>
        <v>12245.51</v>
      </c>
      <c r="N144" s="16">
        <f>ROUND(M144*(1+'Interest rate projection'!AM146/Var_freq)+IF(N$5="Mortgage Starts",0,Deposit_mon),2)</f>
        <v>13290.51</v>
      </c>
      <c r="O144" s="16">
        <f>ROUND(N144*(1+'Interest rate projection'!AN146/Var_freq)+IF(O$5="Mortgage Starts",0,Deposit_mon),2)</f>
        <v>14339.35</v>
      </c>
      <c r="P144" s="16">
        <f>ROUND(O144*(1+'Interest rate projection'!AO146/Var_freq)+IF(P$5="Mortgage Starts",0,Deposit_mon),2)</f>
        <v>15392.04</v>
      </c>
      <c r="Q144" s="16">
        <f>ROUND(P144*(1+'Interest rate projection'!AP146/Var_freq)+IF(Q$5="Mortgage Starts",0,Deposit_mon),2)</f>
        <v>16448.599999999999</v>
      </c>
      <c r="R144" s="16">
        <f>ROUND(Q144*(1+'Interest rate projection'!AQ146/Var_freq)+IF(R$5="Mortgage Starts",0,Deposit_mon),2)</f>
        <v>17509.05</v>
      </c>
      <c r="S144" s="16">
        <f>ROUND(R144*(1+'Interest rate projection'!AR146/Var_freq)+IF(S$5="Mortgage Starts",0,Deposit_mon),2)</f>
        <v>18573.39</v>
      </c>
      <c r="T144" s="16">
        <f>ROUND(S144*(1+'Interest rate projection'!AS146/Var_freq)+IF(T$5="Mortgage Starts",0,Deposit_mon),2)</f>
        <v>19641.64</v>
      </c>
      <c r="U144" s="16">
        <f>ROUND(T144*(1+'Interest rate projection'!AT146/Var_freq)+IF(U$5="Mortgage Starts",0,Deposit_mon),2)</f>
        <v>20713.82</v>
      </c>
      <c r="V144" s="16">
        <f>ROUND(U144*(1+'Interest rate projection'!AU146/Var_freq)+IF(V$5="Mortgage Starts",0,Deposit_mon),2)</f>
        <v>21789.94</v>
      </c>
      <c r="W144" s="16">
        <f>ROUND(V144*(1+'Interest rate projection'!AV146/Var_freq)+IF(W$5="Mortgage Starts",0,Deposit_mon),2)</f>
        <v>22870.01</v>
      </c>
      <c r="X144" s="16">
        <f>ROUND(W144*(1+'Interest rate projection'!AW146/Var_freq)+IF(X$5="Mortgage Starts",0,Deposit_mon),2)</f>
        <v>23958.62</v>
      </c>
      <c r="Y144" s="16">
        <f>ROUND(X144*(1+'Interest rate projection'!AX146/Var_freq)+IF(Y$5="Mortgage Starts",0,Deposit_mon),2)</f>
        <v>25051.45</v>
      </c>
      <c r="Z144" s="57">
        <f>ROUND(Y144*(1+'Interest rate projection'!AY146/Var_freq)+IF(Z$5="Mortgage Starts",0,Deposit_mon),2)</f>
        <v>25148.52</v>
      </c>
      <c r="AB144" s="38">
        <f>'Interest rate projection'!Z146</f>
        <v>4.7500000000000001E-2</v>
      </c>
      <c r="AC144" s="38">
        <f>'Interest rate projection'!AZ146</f>
        <v>4.6496219905550085E-2</v>
      </c>
      <c r="AD144" s="59" t="str">
        <f t="shared" si="22"/>
        <v>OK</v>
      </c>
      <c r="AE144" s="39">
        <f t="shared" si="23"/>
        <v>14.766012404082064</v>
      </c>
      <c r="AG144" s="73">
        <f t="shared" si="25"/>
        <v>25148.52</v>
      </c>
      <c r="AH144" s="73">
        <f t="shared" si="26"/>
        <v>174851.48</v>
      </c>
      <c r="AI144" s="74">
        <f t="shared" si="24"/>
        <v>986.79</v>
      </c>
      <c r="AJ144" s="9"/>
      <c r="AK144" s="73">
        <f>'Fixed rate projection'!$AE$3-('Variable rate projection'!AI144*Product_term*Var_freq)</f>
        <v>7032</v>
      </c>
    </row>
    <row r="145" spans="1:37" x14ac:dyDescent="0.35">
      <c r="A145" s="5">
        <v>140</v>
      </c>
      <c r="B145" s="57">
        <f t="shared" si="21"/>
        <v>1000</v>
      </c>
      <c r="C145" s="16">
        <f>ROUND(B145*(1+'Interest rate projection'!AB147/Var_freq)+IF(C$5="Mortgage Starts",0,Deposit_mon),2)</f>
        <v>2003.67</v>
      </c>
      <c r="D145" s="16">
        <f>ROUND(C145*(1+'Interest rate projection'!AC147/Var_freq)+IF(D$5="Mortgage Starts",0,Deposit_mon),2)</f>
        <v>3011.03</v>
      </c>
      <c r="E145" s="16">
        <f>ROUND(D145*(1+'Interest rate projection'!AD147/Var_freq)+IF(E$5="Mortgage Starts",0,Deposit_mon),2)</f>
        <v>4022.09</v>
      </c>
      <c r="F145" s="16">
        <f>ROUND(E145*(1+'Interest rate projection'!AE147/Var_freq)+IF(F$5="Mortgage Starts",0,Deposit_mon),2)</f>
        <v>5036.87</v>
      </c>
      <c r="G145" s="16">
        <f>ROUND(F145*(1+'Interest rate projection'!AF147/Var_freq)+IF(G$5="Mortgage Starts",0,Deposit_mon),2)</f>
        <v>6055.38</v>
      </c>
      <c r="H145" s="16">
        <f>ROUND(G145*(1+'Interest rate projection'!AG147/Var_freq)+IF(H$5="Mortgage Starts",0,Deposit_mon),2)</f>
        <v>7077.63</v>
      </c>
      <c r="I145" s="16">
        <f>ROUND(H145*(1+'Interest rate projection'!AH147/Var_freq)+IF(I$5="Mortgage Starts",0,Deposit_mon),2)</f>
        <v>8103.64</v>
      </c>
      <c r="J145" s="16">
        <f>ROUND(I145*(1+'Interest rate projection'!AI147/Var_freq)+IF(J$5="Mortgage Starts",0,Deposit_mon),2)</f>
        <v>9133.42</v>
      </c>
      <c r="K145" s="16">
        <f>ROUND(J145*(1+'Interest rate projection'!AJ147/Var_freq)+IF(K$5="Mortgage Starts",0,Deposit_mon),2)</f>
        <v>10166.98</v>
      </c>
      <c r="L145" s="16">
        <f>ROUND(K145*(1+'Interest rate projection'!AK147/Var_freq)+IF(L$5="Mortgage Starts",0,Deposit_mon),2)</f>
        <v>11204.34</v>
      </c>
      <c r="M145" s="16">
        <f>ROUND(L145*(1+'Interest rate projection'!AL147/Var_freq)+IF(M$5="Mortgage Starts",0,Deposit_mon),2)</f>
        <v>12245.51</v>
      </c>
      <c r="N145" s="16">
        <f>ROUND(M145*(1+'Interest rate projection'!AM147/Var_freq)+IF(N$5="Mortgage Starts",0,Deposit_mon),2)</f>
        <v>13290.51</v>
      </c>
      <c r="O145" s="16">
        <f>ROUND(N145*(1+'Interest rate projection'!AN147/Var_freq)+IF(O$5="Mortgage Starts",0,Deposit_mon),2)</f>
        <v>14339.35</v>
      </c>
      <c r="P145" s="16">
        <f>ROUND(O145*(1+'Interest rate projection'!AO147/Var_freq)+IF(P$5="Mortgage Starts",0,Deposit_mon),2)</f>
        <v>15389.17</v>
      </c>
      <c r="Q145" s="16">
        <f>ROUND(P145*(1+'Interest rate projection'!AP147/Var_freq)+IF(Q$5="Mortgage Starts",0,Deposit_mon),2)</f>
        <v>16442.64</v>
      </c>
      <c r="R145" s="16">
        <f>ROUND(Q145*(1+'Interest rate projection'!AQ147/Var_freq)+IF(R$5="Mortgage Starts",0,Deposit_mon),2)</f>
        <v>17499.77</v>
      </c>
      <c r="S145" s="16">
        <f>ROUND(R145*(1+'Interest rate projection'!AR147/Var_freq)+IF(S$5="Mortgage Starts",0,Deposit_mon),2)</f>
        <v>18560.57</v>
      </c>
      <c r="T145" s="16">
        <f>ROUND(S145*(1+'Interest rate projection'!AS147/Var_freq)+IF(T$5="Mortgage Starts",0,Deposit_mon),2)</f>
        <v>19625.060000000001</v>
      </c>
      <c r="U145" s="16">
        <f>ROUND(T145*(1+'Interest rate projection'!AT147/Var_freq)+IF(U$5="Mortgage Starts",0,Deposit_mon),2)</f>
        <v>20693.25</v>
      </c>
      <c r="V145" s="16">
        <f>ROUND(U145*(1+'Interest rate projection'!AU147/Var_freq)+IF(V$5="Mortgage Starts",0,Deposit_mon),2)</f>
        <v>21765.15</v>
      </c>
      <c r="W145" s="16">
        <f>ROUND(V145*(1+'Interest rate projection'!AV147/Var_freq)+IF(W$5="Mortgage Starts",0,Deposit_mon),2)</f>
        <v>22840.77</v>
      </c>
      <c r="X145" s="16">
        <f>ROUND(W145*(1+'Interest rate projection'!AW147/Var_freq)+IF(X$5="Mortgage Starts",0,Deposit_mon),2)</f>
        <v>23920.13</v>
      </c>
      <c r="Y145" s="16">
        <f>ROUND(X145*(1+'Interest rate projection'!AX147/Var_freq)+IF(Y$5="Mortgage Starts",0,Deposit_mon),2)</f>
        <v>25003.24</v>
      </c>
      <c r="Z145" s="57">
        <f>ROUND(Y145*(1+'Interest rate projection'!AY147/Var_freq)+IF(Z$5="Mortgage Starts",0,Deposit_mon),2)</f>
        <v>25090.11</v>
      </c>
      <c r="AB145" s="38">
        <f>'Interest rate projection'!Z147</f>
        <v>4.2499999999999996E-2</v>
      </c>
      <c r="AC145" s="38">
        <f>'Interest rate projection'!AZ147</f>
        <v>4.1693940041970023E-2</v>
      </c>
      <c r="AD145" s="59" t="str">
        <f t="shared" si="22"/>
        <v>OK</v>
      </c>
      <c r="AE145" s="39">
        <f t="shared" si="23"/>
        <v>15.511529757864551</v>
      </c>
      <c r="AG145" s="73">
        <f t="shared" si="25"/>
        <v>25090.11</v>
      </c>
      <c r="AH145" s="73">
        <f t="shared" si="26"/>
        <v>174909.89</v>
      </c>
      <c r="AI145" s="74">
        <f t="shared" si="24"/>
        <v>939.68</v>
      </c>
      <c r="AJ145" s="9"/>
      <c r="AK145" s="73">
        <f>'Fixed rate projection'!$AE$3-('Variable rate projection'!AI145*Product_term*Var_freq)</f>
        <v>21165</v>
      </c>
    </row>
    <row r="146" spans="1:37" x14ac:dyDescent="0.35">
      <c r="A146" s="27">
        <v>141</v>
      </c>
      <c r="B146" s="57">
        <f t="shared" si="21"/>
        <v>1000</v>
      </c>
      <c r="C146" s="16">
        <f>ROUND(B146*(1+'Interest rate projection'!AB148/Var_freq)+IF(C$5="Mortgage Starts",0,Deposit_mon),2)</f>
        <v>2003.67</v>
      </c>
      <c r="D146" s="16">
        <f>ROUND(C146*(1+'Interest rate projection'!AC148/Var_freq)+IF(D$5="Mortgage Starts",0,Deposit_mon),2)</f>
        <v>3011.03</v>
      </c>
      <c r="E146" s="16">
        <f>ROUND(D146*(1+'Interest rate projection'!AD148/Var_freq)+IF(E$5="Mortgage Starts",0,Deposit_mon),2)</f>
        <v>4022.09</v>
      </c>
      <c r="F146" s="16">
        <f>ROUND(E146*(1+'Interest rate projection'!AE148/Var_freq)+IF(F$5="Mortgage Starts",0,Deposit_mon),2)</f>
        <v>5036.87</v>
      </c>
      <c r="G146" s="16">
        <f>ROUND(F146*(1+'Interest rate projection'!AF148/Var_freq)+IF(G$5="Mortgage Starts",0,Deposit_mon),2)</f>
        <v>6055.38</v>
      </c>
      <c r="H146" s="16">
        <f>ROUND(G146*(1+'Interest rate projection'!AG148/Var_freq)+IF(H$5="Mortgage Starts",0,Deposit_mon),2)</f>
        <v>7077.63</v>
      </c>
      <c r="I146" s="16">
        <f>ROUND(H146*(1+'Interest rate projection'!AH148/Var_freq)+IF(I$5="Mortgage Starts",0,Deposit_mon),2)</f>
        <v>8103.64</v>
      </c>
      <c r="J146" s="16">
        <f>ROUND(I146*(1+'Interest rate projection'!AI148/Var_freq)+IF(J$5="Mortgage Starts",0,Deposit_mon),2)</f>
        <v>9133.42</v>
      </c>
      <c r="K146" s="16">
        <f>ROUND(J146*(1+'Interest rate projection'!AJ148/Var_freq)+IF(K$5="Mortgage Starts",0,Deposit_mon),2)</f>
        <v>10166.98</v>
      </c>
      <c r="L146" s="16">
        <f>ROUND(K146*(1+'Interest rate projection'!AK148/Var_freq)+IF(L$5="Mortgage Starts",0,Deposit_mon),2)</f>
        <v>11204.34</v>
      </c>
      <c r="M146" s="16">
        <f>ROUND(L146*(1+'Interest rate projection'!AL148/Var_freq)+IF(M$5="Mortgage Starts",0,Deposit_mon),2)</f>
        <v>12245.51</v>
      </c>
      <c r="N146" s="16">
        <f>ROUND(M146*(1+'Interest rate projection'!AM148/Var_freq)+IF(N$5="Mortgage Starts",0,Deposit_mon),2)</f>
        <v>13290.51</v>
      </c>
      <c r="O146" s="16">
        <f>ROUND(N146*(1+'Interest rate projection'!AN148/Var_freq)+IF(O$5="Mortgage Starts",0,Deposit_mon),2)</f>
        <v>14339.35</v>
      </c>
      <c r="P146" s="16">
        <f>ROUND(O146*(1+'Interest rate projection'!AO148/Var_freq)+IF(P$5="Mortgage Starts",0,Deposit_mon),2)</f>
        <v>15392.04</v>
      </c>
      <c r="Q146" s="16">
        <f>ROUND(P146*(1+'Interest rate projection'!AP148/Var_freq)+IF(Q$5="Mortgage Starts",0,Deposit_mon),2)</f>
        <v>16448.599999999999</v>
      </c>
      <c r="R146" s="16">
        <f>ROUND(Q146*(1+'Interest rate projection'!AQ148/Var_freq)+IF(R$5="Mortgage Starts",0,Deposit_mon),2)</f>
        <v>17509.05</v>
      </c>
      <c r="S146" s="16">
        <f>ROUND(R146*(1+'Interest rate projection'!AR148/Var_freq)+IF(S$5="Mortgage Starts",0,Deposit_mon),2)</f>
        <v>18573.39</v>
      </c>
      <c r="T146" s="16">
        <f>ROUND(S146*(1+'Interest rate projection'!AS148/Var_freq)+IF(T$5="Mortgage Starts",0,Deposit_mon),2)</f>
        <v>19641.64</v>
      </c>
      <c r="U146" s="16">
        <f>ROUND(T146*(1+'Interest rate projection'!AT148/Var_freq)+IF(U$5="Mortgage Starts",0,Deposit_mon),2)</f>
        <v>20705.939999999999</v>
      </c>
      <c r="V146" s="16">
        <f>ROUND(U146*(1+'Interest rate projection'!AU148/Var_freq)+IF(V$5="Mortgage Starts",0,Deposit_mon),2)</f>
        <v>21773.73</v>
      </c>
      <c r="W146" s="16">
        <f>ROUND(V146*(1+'Interest rate projection'!AV148/Var_freq)+IF(W$5="Mortgage Starts",0,Deposit_mon),2)</f>
        <v>22845.01</v>
      </c>
      <c r="X146" s="16">
        <f>ROUND(W146*(1+'Interest rate projection'!AW148/Var_freq)+IF(X$5="Mortgage Starts",0,Deposit_mon),2)</f>
        <v>23928.959999999999</v>
      </c>
      <c r="Y146" s="16">
        <f>ROUND(X146*(1+'Interest rate projection'!AX148/Var_freq)+IF(Y$5="Mortgage Starts",0,Deposit_mon),2)</f>
        <v>25016.89</v>
      </c>
      <c r="Z146" s="57">
        <f>ROUND(Y146*(1+'Interest rate projection'!AY148/Var_freq)+IF(Z$5="Mortgage Starts",0,Deposit_mon),2)</f>
        <v>25108.82</v>
      </c>
      <c r="AB146" s="38">
        <f>'Interest rate projection'!Z148</f>
        <v>4.4999999999999998E-2</v>
      </c>
      <c r="AC146" s="38">
        <f>'Interest rate projection'!AZ148</f>
        <v>4.4097712805242217E-2</v>
      </c>
      <c r="AD146" s="59" t="str">
        <f t="shared" si="22"/>
        <v>OK</v>
      </c>
      <c r="AE146" s="39">
        <f t="shared" si="23"/>
        <v>15.131610255367837</v>
      </c>
      <c r="AG146" s="73">
        <f t="shared" si="25"/>
        <v>25108.82</v>
      </c>
      <c r="AH146" s="73">
        <f t="shared" si="26"/>
        <v>174891.18</v>
      </c>
      <c r="AI146" s="74">
        <f t="shared" si="24"/>
        <v>963.17</v>
      </c>
      <c r="AJ146" s="9"/>
      <c r="AK146" s="73">
        <f>'Fixed rate projection'!$AE$3-('Variable rate projection'!AI146*Product_term*Var_freq)</f>
        <v>14118</v>
      </c>
    </row>
    <row r="147" spans="1:37" x14ac:dyDescent="0.35">
      <c r="A147" s="5">
        <v>142</v>
      </c>
      <c r="B147" s="57">
        <f t="shared" si="21"/>
        <v>1000</v>
      </c>
      <c r="C147" s="16">
        <f>ROUND(B147*(1+'Interest rate projection'!AB149/Var_freq)+IF(C$5="Mortgage Starts",0,Deposit_mon),2)</f>
        <v>2003.67</v>
      </c>
      <c r="D147" s="16">
        <f>ROUND(C147*(1+'Interest rate projection'!AC149/Var_freq)+IF(D$5="Mortgage Starts",0,Deposit_mon),2)</f>
        <v>3011.03</v>
      </c>
      <c r="E147" s="16">
        <f>ROUND(D147*(1+'Interest rate projection'!AD149/Var_freq)+IF(E$5="Mortgage Starts",0,Deposit_mon),2)</f>
        <v>4022.09</v>
      </c>
      <c r="F147" s="16">
        <f>ROUND(E147*(1+'Interest rate projection'!AE149/Var_freq)+IF(F$5="Mortgage Starts",0,Deposit_mon),2)</f>
        <v>5036.87</v>
      </c>
      <c r="G147" s="16">
        <f>ROUND(F147*(1+'Interest rate projection'!AF149/Var_freq)+IF(G$5="Mortgage Starts",0,Deposit_mon),2)</f>
        <v>6055.38</v>
      </c>
      <c r="H147" s="16">
        <f>ROUND(G147*(1+'Interest rate projection'!AG149/Var_freq)+IF(H$5="Mortgage Starts",0,Deposit_mon),2)</f>
        <v>7077.63</v>
      </c>
      <c r="I147" s="16">
        <f>ROUND(H147*(1+'Interest rate projection'!AH149/Var_freq)+IF(I$5="Mortgage Starts",0,Deposit_mon),2)</f>
        <v>8103.64</v>
      </c>
      <c r="J147" s="16">
        <f>ROUND(I147*(1+'Interest rate projection'!AI149/Var_freq)+IF(J$5="Mortgage Starts",0,Deposit_mon),2)</f>
        <v>9133.42</v>
      </c>
      <c r="K147" s="16">
        <f>ROUND(J147*(1+'Interest rate projection'!AJ149/Var_freq)+IF(K$5="Mortgage Starts",0,Deposit_mon),2)</f>
        <v>10166.98</v>
      </c>
      <c r="L147" s="16">
        <f>ROUND(K147*(1+'Interest rate projection'!AK149/Var_freq)+IF(L$5="Mortgage Starts",0,Deposit_mon),2)</f>
        <v>11204.34</v>
      </c>
      <c r="M147" s="16">
        <f>ROUND(L147*(1+'Interest rate projection'!AL149/Var_freq)+IF(M$5="Mortgage Starts",0,Deposit_mon),2)</f>
        <v>12245.51</v>
      </c>
      <c r="N147" s="16">
        <f>ROUND(M147*(1+'Interest rate projection'!AM149/Var_freq)+IF(N$5="Mortgage Starts",0,Deposit_mon),2)</f>
        <v>13290.51</v>
      </c>
      <c r="O147" s="16">
        <f>ROUND(N147*(1+'Interest rate projection'!AN149/Var_freq)+IF(O$5="Mortgage Starts",0,Deposit_mon),2)</f>
        <v>14339.35</v>
      </c>
      <c r="P147" s="16">
        <f>ROUND(O147*(1+'Interest rate projection'!AO149/Var_freq)+IF(P$5="Mortgage Starts",0,Deposit_mon),2)</f>
        <v>15392.04</v>
      </c>
      <c r="Q147" s="16">
        <f>ROUND(P147*(1+'Interest rate projection'!AP149/Var_freq)+IF(Q$5="Mortgage Starts",0,Deposit_mon),2)</f>
        <v>16448.599999999999</v>
      </c>
      <c r="R147" s="16">
        <f>ROUND(Q147*(1+'Interest rate projection'!AQ149/Var_freq)+IF(R$5="Mortgage Starts",0,Deposit_mon),2)</f>
        <v>17509.05</v>
      </c>
      <c r="S147" s="16">
        <f>ROUND(R147*(1+'Interest rate projection'!AR149/Var_freq)+IF(S$5="Mortgage Starts",0,Deposit_mon),2)</f>
        <v>18573.39</v>
      </c>
      <c r="T147" s="16">
        <f>ROUND(S147*(1+'Interest rate projection'!AS149/Var_freq)+IF(T$5="Mortgage Starts",0,Deposit_mon),2)</f>
        <v>19641.64</v>
      </c>
      <c r="U147" s="16">
        <f>ROUND(T147*(1+'Interest rate projection'!AT149/Var_freq)+IF(U$5="Mortgage Starts",0,Deposit_mon),2)</f>
        <v>20713.82</v>
      </c>
      <c r="V147" s="16">
        <f>ROUND(U147*(1+'Interest rate projection'!AU149/Var_freq)+IF(V$5="Mortgage Starts",0,Deposit_mon),2)</f>
        <v>21794.080000000002</v>
      </c>
      <c r="W147" s="16">
        <f>ROUND(V147*(1+'Interest rate projection'!AV149/Var_freq)+IF(W$5="Mortgage Starts",0,Deposit_mon),2)</f>
        <v>22878.53</v>
      </c>
      <c r="X147" s="16">
        <f>ROUND(W147*(1+'Interest rate projection'!AW149/Var_freq)+IF(X$5="Mortgage Starts",0,Deposit_mon),2)</f>
        <v>23971.74</v>
      </c>
      <c r="Y147" s="16">
        <f>ROUND(X147*(1+'Interest rate projection'!AX149/Var_freq)+IF(Y$5="Mortgage Starts",0,Deposit_mon),2)</f>
        <v>25069.4</v>
      </c>
      <c r="Z147" s="57">
        <f>ROUND(Y147*(1+'Interest rate projection'!AY149/Var_freq)+IF(Z$5="Mortgage Starts",0,Deposit_mon),2)</f>
        <v>25166.54</v>
      </c>
      <c r="AB147" s="38">
        <f>'Interest rate projection'!Z149</f>
        <v>4.7500000000000001E-2</v>
      </c>
      <c r="AC147" s="38">
        <f>'Interest rate projection'!AZ149</f>
        <v>4.6496219905550085E-2</v>
      </c>
      <c r="AD147" s="59" t="str">
        <f t="shared" si="22"/>
        <v>OK</v>
      </c>
      <c r="AE147" s="39">
        <f t="shared" si="23"/>
        <v>14.766012404082064</v>
      </c>
      <c r="AG147" s="73">
        <f t="shared" si="25"/>
        <v>25166.54</v>
      </c>
      <c r="AH147" s="73">
        <f t="shared" si="26"/>
        <v>174833.46</v>
      </c>
      <c r="AI147" s="74">
        <f t="shared" si="24"/>
        <v>986.69</v>
      </c>
      <c r="AJ147" s="9"/>
      <c r="AK147" s="73">
        <f>'Fixed rate projection'!$AE$3-('Variable rate projection'!AI147*Product_term*Var_freq)</f>
        <v>7062</v>
      </c>
    </row>
    <row r="148" spans="1:37" x14ac:dyDescent="0.35">
      <c r="A148" s="27">
        <v>143</v>
      </c>
      <c r="B148" s="57">
        <f t="shared" si="21"/>
        <v>1000</v>
      </c>
      <c r="C148" s="16">
        <f>ROUND(B148*(1+'Interest rate projection'!AB150/Var_freq)+IF(C$5="Mortgage Starts",0,Deposit_mon),2)</f>
        <v>2003.67</v>
      </c>
      <c r="D148" s="16">
        <f>ROUND(C148*(1+'Interest rate projection'!AC150/Var_freq)+IF(D$5="Mortgage Starts",0,Deposit_mon),2)</f>
        <v>3011.03</v>
      </c>
      <c r="E148" s="16">
        <f>ROUND(D148*(1+'Interest rate projection'!AD150/Var_freq)+IF(E$5="Mortgage Starts",0,Deposit_mon),2)</f>
        <v>4022.09</v>
      </c>
      <c r="F148" s="16">
        <f>ROUND(E148*(1+'Interest rate projection'!AE150/Var_freq)+IF(F$5="Mortgage Starts",0,Deposit_mon),2)</f>
        <v>5036.87</v>
      </c>
      <c r="G148" s="16">
        <f>ROUND(F148*(1+'Interest rate projection'!AF150/Var_freq)+IF(G$5="Mortgage Starts",0,Deposit_mon),2)</f>
        <v>6055.38</v>
      </c>
      <c r="H148" s="16">
        <f>ROUND(G148*(1+'Interest rate projection'!AG150/Var_freq)+IF(H$5="Mortgage Starts",0,Deposit_mon),2)</f>
        <v>7077.63</v>
      </c>
      <c r="I148" s="16">
        <f>ROUND(H148*(1+'Interest rate projection'!AH150/Var_freq)+IF(I$5="Mortgage Starts",0,Deposit_mon),2)</f>
        <v>8103.64</v>
      </c>
      <c r="J148" s="16">
        <f>ROUND(I148*(1+'Interest rate projection'!AI150/Var_freq)+IF(J$5="Mortgage Starts",0,Deposit_mon),2)</f>
        <v>9133.42</v>
      </c>
      <c r="K148" s="16">
        <f>ROUND(J148*(1+'Interest rate projection'!AJ150/Var_freq)+IF(K$5="Mortgage Starts",0,Deposit_mon),2)</f>
        <v>10166.98</v>
      </c>
      <c r="L148" s="16">
        <f>ROUND(K148*(1+'Interest rate projection'!AK150/Var_freq)+IF(L$5="Mortgage Starts",0,Deposit_mon),2)</f>
        <v>11204.34</v>
      </c>
      <c r="M148" s="16">
        <f>ROUND(L148*(1+'Interest rate projection'!AL150/Var_freq)+IF(M$5="Mortgage Starts",0,Deposit_mon),2)</f>
        <v>12245.51</v>
      </c>
      <c r="N148" s="16">
        <f>ROUND(M148*(1+'Interest rate projection'!AM150/Var_freq)+IF(N$5="Mortgage Starts",0,Deposit_mon),2)</f>
        <v>13290.51</v>
      </c>
      <c r="O148" s="16">
        <f>ROUND(N148*(1+'Interest rate projection'!AN150/Var_freq)+IF(O$5="Mortgage Starts",0,Deposit_mon),2)</f>
        <v>14339.35</v>
      </c>
      <c r="P148" s="16">
        <f>ROUND(O148*(1+'Interest rate projection'!AO150/Var_freq)+IF(P$5="Mortgage Starts",0,Deposit_mon),2)</f>
        <v>15392.04</v>
      </c>
      <c r="Q148" s="16">
        <f>ROUND(P148*(1+'Interest rate projection'!AP150/Var_freq)+IF(Q$5="Mortgage Starts",0,Deposit_mon),2)</f>
        <v>16448.599999999999</v>
      </c>
      <c r="R148" s="16">
        <f>ROUND(Q148*(1+'Interest rate projection'!AQ150/Var_freq)+IF(R$5="Mortgage Starts",0,Deposit_mon),2)</f>
        <v>17509.05</v>
      </c>
      <c r="S148" s="16">
        <f>ROUND(R148*(1+'Interest rate projection'!AR150/Var_freq)+IF(S$5="Mortgage Starts",0,Deposit_mon),2)</f>
        <v>18573.39</v>
      </c>
      <c r="T148" s="16">
        <f>ROUND(S148*(1+'Interest rate projection'!AS150/Var_freq)+IF(T$5="Mortgage Starts",0,Deposit_mon),2)</f>
        <v>19641.64</v>
      </c>
      <c r="U148" s="16">
        <f>ROUND(T148*(1+'Interest rate projection'!AT150/Var_freq)+IF(U$5="Mortgage Starts",0,Deposit_mon),2)</f>
        <v>20713.82</v>
      </c>
      <c r="V148" s="16">
        <f>ROUND(U148*(1+'Interest rate projection'!AU150/Var_freq)+IF(V$5="Mortgage Starts",0,Deposit_mon),2)</f>
        <v>21789.94</v>
      </c>
      <c r="W148" s="16">
        <f>ROUND(V148*(1+'Interest rate projection'!AV150/Var_freq)+IF(W$5="Mortgage Starts",0,Deposit_mon),2)</f>
        <v>22874.37</v>
      </c>
      <c r="X148" s="16">
        <f>ROUND(W148*(1+'Interest rate projection'!AW150/Var_freq)+IF(X$5="Mortgage Starts",0,Deposit_mon),2)</f>
        <v>23963</v>
      </c>
      <c r="Y148" s="16">
        <f>ROUND(X148*(1+'Interest rate projection'!AX150/Var_freq)+IF(Y$5="Mortgage Starts",0,Deposit_mon),2)</f>
        <v>25055.85</v>
      </c>
      <c r="Z148" s="57">
        <f>ROUND(Y148*(1+'Interest rate projection'!AY150/Var_freq)+IF(Z$5="Mortgage Starts",0,Deposit_mon),2)</f>
        <v>25152.93</v>
      </c>
      <c r="AB148" s="38">
        <f>'Interest rate projection'!Z150</f>
        <v>4.7500000000000001E-2</v>
      </c>
      <c r="AC148" s="38">
        <f>'Interest rate projection'!AZ150</f>
        <v>4.6496219905550085E-2</v>
      </c>
      <c r="AD148" s="59" t="str">
        <f t="shared" si="22"/>
        <v>OK</v>
      </c>
      <c r="AE148" s="39">
        <f t="shared" si="23"/>
        <v>14.766012404082064</v>
      </c>
      <c r="AG148" s="73">
        <f t="shared" si="25"/>
        <v>25152.93</v>
      </c>
      <c r="AH148" s="73">
        <f t="shared" si="26"/>
        <v>174847.07</v>
      </c>
      <c r="AI148" s="74">
        <f t="shared" si="24"/>
        <v>986.77</v>
      </c>
      <c r="AJ148" s="9"/>
      <c r="AK148" s="73">
        <f>'Fixed rate projection'!$AE$3-('Variable rate projection'!AI148*Product_term*Var_freq)</f>
        <v>7038</v>
      </c>
    </row>
    <row r="149" spans="1:37" x14ac:dyDescent="0.35">
      <c r="A149" s="5">
        <v>144</v>
      </c>
      <c r="B149" s="57">
        <f t="shared" si="21"/>
        <v>1000</v>
      </c>
      <c r="C149" s="16">
        <f>ROUND(B149*(1+'Interest rate projection'!AB151/Var_freq)+IF(C$5="Mortgage Starts",0,Deposit_mon),2)</f>
        <v>2003.67</v>
      </c>
      <c r="D149" s="16">
        <f>ROUND(C149*(1+'Interest rate projection'!AC151/Var_freq)+IF(D$5="Mortgage Starts",0,Deposit_mon),2)</f>
        <v>3011.03</v>
      </c>
      <c r="E149" s="16">
        <f>ROUND(D149*(1+'Interest rate projection'!AD151/Var_freq)+IF(E$5="Mortgage Starts",0,Deposit_mon),2)</f>
        <v>4022.09</v>
      </c>
      <c r="F149" s="16">
        <f>ROUND(E149*(1+'Interest rate projection'!AE151/Var_freq)+IF(F$5="Mortgage Starts",0,Deposit_mon),2)</f>
        <v>5036.87</v>
      </c>
      <c r="G149" s="16">
        <f>ROUND(F149*(1+'Interest rate projection'!AF151/Var_freq)+IF(G$5="Mortgage Starts",0,Deposit_mon),2)</f>
        <v>6055.38</v>
      </c>
      <c r="H149" s="16">
        <f>ROUND(G149*(1+'Interest rate projection'!AG151/Var_freq)+IF(H$5="Mortgage Starts",0,Deposit_mon),2)</f>
        <v>7078.84</v>
      </c>
      <c r="I149" s="16">
        <f>ROUND(H149*(1+'Interest rate projection'!AH151/Var_freq)+IF(I$5="Mortgage Starts",0,Deposit_mon),2)</f>
        <v>8106.27</v>
      </c>
      <c r="J149" s="16">
        <f>ROUND(I149*(1+'Interest rate projection'!AI151/Var_freq)+IF(J$5="Mortgage Starts",0,Deposit_mon),2)</f>
        <v>9137.68</v>
      </c>
      <c r="K149" s="16">
        <f>ROUND(J149*(1+'Interest rate projection'!AJ151/Var_freq)+IF(K$5="Mortgage Starts",0,Deposit_mon),2)</f>
        <v>10173.09</v>
      </c>
      <c r="L149" s="16">
        <f>ROUND(K149*(1+'Interest rate projection'!AK151/Var_freq)+IF(L$5="Mortgage Starts",0,Deposit_mon),2)</f>
        <v>11210.47</v>
      </c>
      <c r="M149" s="16">
        <f>ROUND(L149*(1+'Interest rate projection'!AL151/Var_freq)+IF(M$5="Mortgage Starts",0,Deposit_mon),2)</f>
        <v>12251.67</v>
      </c>
      <c r="N149" s="16">
        <f>ROUND(M149*(1+'Interest rate projection'!AM151/Var_freq)+IF(N$5="Mortgage Starts",0,Deposit_mon),2)</f>
        <v>13296.69</v>
      </c>
      <c r="O149" s="16">
        <f>ROUND(N149*(1+'Interest rate projection'!AN151/Var_freq)+IF(O$5="Mortgage Starts",0,Deposit_mon),2)</f>
        <v>14345.55</v>
      </c>
      <c r="P149" s="16">
        <f>ROUND(O149*(1+'Interest rate projection'!AO151/Var_freq)+IF(P$5="Mortgage Starts",0,Deposit_mon),2)</f>
        <v>15398.27</v>
      </c>
      <c r="Q149" s="16">
        <f>ROUND(P149*(1+'Interest rate projection'!AP151/Var_freq)+IF(Q$5="Mortgage Starts",0,Deposit_mon),2)</f>
        <v>16454.86</v>
      </c>
      <c r="R149" s="16">
        <f>ROUND(Q149*(1+'Interest rate projection'!AQ151/Var_freq)+IF(R$5="Mortgage Starts",0,Deposit_mon),2)</f>
        <v>17515.330000000002</v>
      </c>
      <c r="S149" s="16">
        <f>ROUND(R149*(1+'Interest rate projection'!AR151/Var_freq)+IF(S$5="Mortgage Starts",0,Deposit_mon),2)</f>
        <v>18579.7</v>
      </c>
      <c r="T149" s="16">
        <f>ROUND(S149*(1+'Interest rate projection'!AS151/Var_freq)+IF(T$5="Mortgage Starts",0,Deposit_mon),2)</f>
        <v>19647.98</v>
      </c>
      <c r="U149" s="16">
        <f>ROUND(T149*(1+'Interest rate projection'!AT151/Var_freq)+IF(U$5="Mortgage Starts",0,Deposit_mon),2)</f>
        <v>20720.18</v>
      </c>
      <c r="V149" s="16">
        <f>ROUND(U149*(1+'Interest rate projection'!AU151/Var_freq)+IF(V$5="Mortgage Starts",0,Deposit_mon),2)</f>
        <v>21800.46</v>
      </c>
      <c r="W149" s="16">
        <f>ROUND(V149*(1+'Interest rate projection'!AV151/Var_freq)+IF(W$5="Mortgage Starts",0,Deposit_mon),2)</f>
        <v>22884.93</v>
      </c>
      <c r="X149" s="16">
        <f>ROUND(W149*(1+'Interest rate projection'!AW151/Var_freq)+IF(X$5="Mortgage Starts",0,Deposit_mon),2)</f>
        <v>23973.599999999999</v>
      </c>
      <c r="Y149" s="16">
        <f>ROUND(X149*(1+'Interest rate projection'!AX151/Var_freq)+IF(Y$5="Mortgage Starts",0,Deposit_mon),2)</f>
        <v>25066.49</v>
      </c>
      <c r="Z149" s="57">
        <f>ROUND(Y149*(1+'Interest rate projection'!AY151/Var_freq)+IF(Z$5="Mortgage Starts",0,Deposit_mon),2)</f>
        <v>25158.6</v>
      </c>
      <c r="AB149" s="38">
        <f>'Interest rate projection'!Z151</f>
        <v>4.4999999999999998E-2</v>
      </c>
      <c r="AC149" s="38">
        <f>'Interest rate projection'!AZ151</f>
        <v>4.4097712805242217E-2</v>
      </c>
      <c r="AD149" s="59" t="str">
        <f t="shared" si="22"/>
        <v>OK</v>
      </c>
      <c r="AE149" s="39">
        <f t="shared" si="23"/>
        <v>15.131610255367837</v>
      </c>
      <c r="AG149" s="73">
        <f t="shared" si="25"/>
        <v>25158.6</v>
      </c>
      <c r="AH149" s="73">
        <f t="shared" si="26"/>
        <v>174841.4</v>
      </c>
      <c r="AI149" s="74">
        <f t="shared" si="24"/>
        <v>962.89</v>
      </c>
      <c r="AJ149" s="9"/>
      <c r="AK149" s="73">
        <f>'Fixed rate projection'!$AE$3-('Variable rate projection'!AI149*Product_term*Var_freq)</f>
        <v>14202</v>
      </c>
    </row>
    <row r="150" spans="1:37" x14ac:dyDescent="0.35">
      <c r="A150" s="27">
        <v>145</v>
      </c>
      <c r="B150" s="57">
        <f t="shared" si="21"/>
        <v>1000</v>
      </c>
      <c r="C150" s="16">
        <f>ROUND(B150*(1+'Interest rate projection'!AB152/Var_freq)+IF(C$5="Mortgage Starts",0,Deposit_mon),2)</f>
        <v>2003.67</v>
      </c>
      <c r="D150" s="16">
        <f>ROUND(C150*(1+'Interest rate projection'!AC152/Var_freq)+IF(D$5="Mortgage Starts",0,Deposit_mon),2)</f>
        <v>3011.03</v>
      </c>
      <c r="E150" s="16">
        <f>ROUND(D150*(1+'Interest rate projection'!AD152/Var_freq)+IF(E$5="Mortgage Starts",0,Deposit_mon),2)</f>
        <v>4022.09</v>
      </c>
      <c r="F150" s="16">
        <f>ROUND(E150*(1+'Interest rate projection'!AE152/Var_freq)+IF(F$5="Mortgage Starts",0,Deposit_mon),2)</f>
        <v>5036.87</v>
      </c>
      <c r="G150" s="16">
        <f>ROUND(F150*(1+'Interest rate projection'!AF152/Var_freq)+IF(G$5="Mortgage Starts",0,Deposit_mon),2)</f>
        <v>6056.39</v>
      </c>
      <c r="H150" s="16">
        <f>ROUND(G150*(1+'Interest rate projection'!AG152/Var_freq)+IF(H$5="Mortgage Starts",0,Deposit_mon),2)</f>
        <v>7079.86</v>
      </c>
      <c r="I150" s="16">
        <f>ROUND(H150*(1+'Interest rate projection'!AH152/Var_freq)+IF(I$5="Mortgage Starts",0,Deposit_mon),2)</f>
        <v>8107.29</v>
      </c>
      <c r="J150" s="16">
        <f>ROUND(I150*(1+'Interest rate projection'!AI152/Var_freq)+IF(J$5="Mortgage Starts",0,Deposit_mon),2)</f>
        <v>9138.7000000000007</v>
      </c>
      <c r="K150" s="16">
        <f>ROUND(J150*(1+'Interest rate projection'!AJ152/Var_freq)+IF(K$5="Mortgage Starts",0,Deposit_mon),2)</f>
        <v>10177.75</v>
      </c>
      <c r="L150" s="16">
        <f>ROUND(K150*(1+'Interest rate projection'!AK152/Var_freq)+IF(L$5="Mortgage Starts",0,Deposit_mon),2)</f>
        <v>11223.26</v>
      </c>
      <c r="M150" s="16">
        <f>ROUND(L150*(1+'Interest rate projection'!AL152/Var_freq)+IF(M$5="Mortgage Starts",0,Deposit_mon),2)</f>
        <v>12273.45</v>
      </c>
      <c r="N150" s="16">
        <f>ROUND(M150*(1+'Interest rate projection'!AM152/Var_freq)+IF(N$5="Mortgage Starts",0,Deposit_mon),2)</f>
        <v>13328.33</v>
      </c>
      <c r="O150" s="16">
        <f>ROUND(N150*(1+'Interest rate projection'!AN152/Var_freq)+IF(O$5="Mortgage Starts",0,Deposit_mon),2)</f>
        <v>14387.93</v>
      </c>
      <c r="P150" s="16">
        <f>ROUND(O150*(1+'Interest rate projection'!AO152/Var_freq)+IF(P$5="Mortgage Starts",0,Deposit_mon),2)</f>
        <v>15452.27</v>
      </c>
      <c r="Q150" s="16">
        <f>ROUND(P150*(1+'Interest rate projection'!AP152/Var_freq)+IF(Q$5="Mortgage Starts",0,Deposit_mon),2)</f>
        <v>16521.37</v>
      </c>
      <c r="R150" s="16">
        <f>ROUND(Q150*(1+'Interest rate projection'!AQ152/Var_freq)+IF(R$5="Mortgage Starts",0,Deposit_mon),2)</f>
        <v>17591.97</v>
      </c>
      <c r="S150" s="16">
        <f>ROUND(R150*(1+'Interest rate projection'!AR152/Var_freq)+IF(S$5="Mortgage Starts",0,Deposit_mon),2)</f>
        <v>18667.14</v>
      </c>
      <c r="T150" s="16">
        <f>ROUND(S150*(1+'Interest rate projection'!AS152/Var_freq)+IF(T$5="Mortgage Starts",0,Deposit_mon),2)</f>
        <v>19746.91</v>
      </c>
      <c r="U150" s="16">
        <f>ROUND(T150*(1+'Interest rate projection'!AT152/Var_freq)+IF(U$5="Mortgage Starts",0,Deposit_mon),2)</f>
        <v>20831.29</v>
      </c>
      <c r="V150" s="16">
        <f>ROUND(U150*(1+'Interest rate projection'!AU152/Var_freq)+IF(V$5="Mortgage Starts",0,Deposit_mon),2)</f>
        <v>21920.3</v>
      </c>
      <c r="W150" s="16">
        <f>ROUND(V150*(1+'Interest rate projection'!AV152/Var_freq)+IF(W$5="Mortgage Starts",0,Deposit_mon),2)</f>
        <v>23013.97</v>
      </c>
      <c r="X150" s="16">
        <f>ROUND(W150*(1+'Interest rate projection'!AW152/Var_freq)+IF(X$5="Mortgage Starts",0,Deposit_mon),2)</f>
        <v>24112.31</v>
      </c>
      <c r="Y150" s="16">
        <f>ROUND(X150*(1+'Interest rate projection'!AX152/Var_freq)+IF(Y$5="Mortgage Starts",0,Deposit_mon),2)</f>
        <v>25215.34</v>
      </c>
      <c r="Z150" s="57">
        <f>ROUND(Y150*(1+'Interest rate projection'!AY152/Var_freq)+IF(Z$5="Mortgage Starts",0,Deposit_mon),2)</f>
        <v>25323.09</v>
      </c>
      <c r="AB150" s="38">
        <f>'Interest rate projection'!Z152</f>
        <v>5.2499999999999998E-2</v>
      </c>
      <c r="AC150" s="38">
        <f>'Interest rate projection'!AZ152</f>
        <v>5.1277533193896829E-2</v>
      </c>
      <c r="AD150" s="59" t="str">
        <f t="shared" si="22"/>
        <v>OK</v>
      </c>
      <c r="AE150" s="39">
        <f t="shared" si="23"/>
        <v>14.075212462503044</v>
      </c>
      <c r="AG150" s="73">
        <f t="shared" si="25"/>
        <v>25323.09</v>
      </c>
      <c r="AH150" s="73">
        <f t="shared" si="26"/>
        <v>174676.91</v>
      </c>
      <c r="AI150" s="74">
        <f t="shared" si="24"/>
        <v>1034.19</v>
      </c>
      <c r="AJ150" s="9"/>
      <c r="AK150" s="73">
        <f>'Fixed rate projection'!$AE$3-('Variable rate projection'!AI150*Product_term*Var_freq)</f>
        <v>-7188</v>
      </c>
    </row>
    <row r="151" spans="1:37" x14ac:dyDescent="0.35">
      <c r="A151" s="5">
        <v>146</v>
      </c>
      <c r="B151" s="57">
        <f t="shared" si="21"/>
        <v>1000</v>
      </c>
      <c r="C151" s="16">
        <f>ROUND(B151*(1+'Interest rate projection'!AB153/Var_freq)+IF(C$5="Mortgage Starts",0,Deposit_mon),2)</f>
        <v>2003.67</v>
      </c>
      <c r="D151" s="16">
        <f>ROUND(C151*(1+'Interest rate projection'!AC153/Var_freq)+IF(D$5="Mortgage Starts",0,Deposit_mon),2)</f>
        <v>3011.03</v>
      </c>
      <c r="E151" s="16">
        <f>ROUND(D151*(1+'Interest rate projection'!AD153/Var_freq)+IF(E$5="Mortgage Starts",0,Deposit_mon),2)</f>
        <v>4022.09</v>
      </c>
      <c r="F151" s="16">
        <f>ROUND(E151*(1+'Interest rate projection'!AE153/Var_freq)+IF(F$5="Mortgage Starts",0,Deposit_mon),2)</f>
        <v>5036.87</v>
      </c>
      <c r="G151" s="16">
        <f>ROUND(F151*(1+'Interest rate projection'!AF153/Var_freq)+IF(G$5="Mortgage Starts",0,Deposit_mon),2)</f>
        <v>6055.38</v>
      </c>
      <c r="H151" s="16">
        <f>ROUND(G151*(1+'Interest rate projection'!AG153/Var_freq)+IF(H$5="Mortgage Starts",0,Deposit_mon),2)</f>
        <v>7077.63</v>
      </c>
      <c r="I151" s="16">
        <f>ROUND(H151*(1+'Interest rate projection'!AH153/Var_freq)+IF(I$5="Mortgage Starts",0,Deposit_mon),2)</f>
        <v>8103.64</v>
      </c>
      <c r="J151" s="16">
        <f>ROUND(I151*(1+'Interest rate projection'!AI153/Var_freq)+IF(J$5="Mortgage Starts",0,Deposit_mon),2)</f>
        <v>9130.17</v>
      </c>
      <c r="K151" s="16">
        <f>ROUND(J151*(1+'Interest rate projection'!AJ153/Var_freq)+IF(K$5="Mortgage Starts",0,Deposit_mon),2)</f>
        <v>10160.06</v>
      </c>
      <c r="L151" s="16">
        <f>ROUND(K151*(1+'Interest rate projection'!AK153/Var_freq)+IF(L$5="Mortgage Starts",0,Deposit_mon),2)</f>
        <v>11193.32</v>
      </c>
      <c r="M151" s="16">
        <f>ROUND(L151*(1+'Interest rate projection'!AL153/Var_freq)+IF(M$5="Mortgage Starts",0,Deposit_mon),2)</f>
        <v>12229.96</v>
      </c>
      <c r="N151" s="16">
        <f>ROUND(M151*(1+'Interest rate projection'!AM153/Var_freq)+IF(N$5="Mortgage Starts",0,Deposit_mon),2)</f>
        <v>13270</v>
      </c>
      <c r="O151" s="16">
        <f>ROUND(N151*(1+'Interest rate projection'!AN153/Var_freq)+IF(O$5="Mortgage Starts",0,Deposit_mon),2)</f>
        <v>14310.77</v>
      </c>
      <c r="P151" s="16">
        <f>ROUND(O151*(1+'Interest rate projection'!AO153/Var_freq)+IF(P$5="Mortgage Starts",0,Deposit_mon),2)</f>
        <v>15354.74</v>
      </c>
      <c r="Q151" s="16">
        <f>ROUND(P151*(1+'Interest rate projection'!AP153/Var_freq)+IF(Q$5="Mortgage Starts",0,Deposit_mon),2)</f>
        <v>16401.919999999998</v>
      </c>
      <c r="R151" s="16">
        <f>ROUND(Q151*(1+'Interest rate projection'!AQ153/Var_freq)+IF(R$5="Mortgage Starts",0,Deposit_mon),2)</f>
        <v>17452.32</v>
      </c>
      <c r="S151" s="16">
        <f>ROUND(R151*(1+'Interest rate projection'!AR153/Var_freq)+IF(S$5="Mortgage Starts",0,Deposit_mon),2)</f>
        <v>18505.939999999999</v>
      </c>
      <c r="T151" s="16">
        <f>ROUND(S151*(1+'Interest rate projection'!AS153/Var_freq)+IF(T$5="Mortgage Starts",0,Deposit_mon),2)</f>
        <v>19562.8</v>
      </c>
      <c r="U151" s="16">
        <f>ROUND(T151*(1+'Interest rate projection'!AT153/Var_freq)+IF(U$5="Mortgage Starts",0,Deposit_mon),2)</f>
        <v>20622.91</v>
      </c>
      <c r="V151" s="16">
        <f>ROUND(U151*(1+'Interest rate projection'!AU153/Var_freq)+IF(V$5="Mortgage Starts",0,Deposit_mon),2)</f>
        <v>21686.27</v>
      </c>
      <c r="W151" s="16">
        <f>ROUND(V151*(1+'Interest rate projection'!AV153/Var_freq)+IF(W$5="Mortgage Starts",0,Deposit_mon),2)</f>
        <v>22752.9</v>
      </c>
      <c r="X151" s="16">
        <f>ROUND(W151*(1+'Interest rate projection'!AW153/Var_freq)+IF(X$5="Mortgage Starts",0,Deposit_mon),2)</f>
        <v>23822.81</v>
      </c>
      <c r="Y151" s="16">
        <f>ROUND(X151*(1+'Interest rate projection'!AX153/Var_freq)+IF(Y$5="Mortgage Starts",0,Deposit_mon),2)</f>
        <v>24896.01</v>
      </c>
      <c r="Z151" s="57">
        <f>ROUND(Y151*(1+'Interest rate projection'!AY153/Var_freq)+IF(Z$5="Mortgage Starts",0,Deposit_mon),2)</f>
        <v>24972.5</v>
      </c>
      <c r="AB151" s="38">
        <f>'Interest rate projection'!Z153</f>
        <v>3.7499999999999999E-2</v>
      </c>
      <c r="AC151" s="38">
        <f>'Interest rate projection'!AZ153</f>
        <v>3.6870500439066589E-2</v>
      </c>
      <c r="AD151" s="59" t="str">
        <f t="shared" si="22"/>
        <v>OK</v>
      </c>
      <c r="AE151" s="39">
        <f t="shared" si="23"/>
        <v>16.317113717606386</v>
      </c>
      <c r="AG151" s="73">
        <f t="shared" si="25"/>
        <v>24972.5</v>
      </c>
      <c r="AH151" s="73">
        <f t="shared" si="26"/>
        <v>175027.5</v>
      </c>
      <c r="AI151" s="74">
        <f t="shared" si="24"/>
        <v>893.89</v>
      </c>
      <c r="AJ151" s="9"/>
      <c r="AK151" s="73">
        <f>'Fixed rate projection'!$AE$3-('Variable rate projection'!AI151*Product_term*Var_freq)</f>
        <v>34902</v>
      </c>
    </row>
    <row r="152" spans="1:37" x14ac:dyDescent="0.35">
      <c r="A152" s="27">
        <v>147</v>
      </c>
      <c r="B152" s="57">
        <f t="shared" si="21"/>
        <v>1000</v>
      </c>
      <c r="C152" s="16">
        <f>ROUND(B152*(1+'Interest rate projection'!AB154/Var_freq)+IF(C$5="Mortgage Starts",0,Deposit_mon),2)</f>
        <v>2003.67</v>
      </c>
      <c r="D152" s="16">
        <f>ROUND(C152*(1+'Interest rate projection'!AC154/Var_freq)+IF(D$5="Mortgage Starts",0,Deposit_mon),2)</f>
        <v>3011.43</v>
      </c>
      <c r="E152" s="16">
        <f>ROUND(D152*(1+'Interest rate projection'!AD154/Var_freq)+IF(E$5="Mortgage Starts",0,Deposit_mon),2)</f>
        <v>4023.1</v>
      </c>
      <c r="F152" s="16">
        <f>ROUND(E152*(1+'Interest rate projection'!AE154/Var_freq)+IF(F$5="Mortgage Starts",0,Deposit_mon),2)</f>
        <v>5038.6899999999996</v>
      </c>
      <c r="G152" s="16">
        <f>ROUND(F152*(1+'Interest rate projection'!AF154/Var_freq)+IF(G$5="Mortgage Starts",0,Deposit_mon),2)</f>
        <v>6058.21</v>
      </c>
      <c r="H152" s="16">
        <f>ROUND(G152*(1+'Interest rate projection'!AG154/Var_freq)+IF(H$5="Mortgage Starts",0,Deposit_mon),2)</f>
        <v>7081.68</v>
      </c>
      <c r="I152" s="16">
        <f>ROUND(H152*(1+'Interest rate projection'!AH154/Var_freq)+IF(I$5="Mortgage Starts",0,Deposit_mon),2)</f>
        <v>8109.12</v>
      </c>
      <c r="J152" s="16">
        <f>ROUND(I152*(1+'Interest rate projection'!AI154/Var_freq)+IF(J$5="Mortgage Starts",0,Deposit_mon),2)</f>
        <v>9140.5400000000009</v>
      </c>
      <c r="K152" s="16">
        <f>ROUND(J152*(1+'Interest rate projection'!AJ154/Var_freq)+IF(K$5="Mortgage Starts",0,Deposit_mon),2)</f>
        <v>10175.959999999999</v>
      </c>
      <c r="L152" s="16">
        <f>ROUND(K152*(1+'Interest rate projection'!AK154/Var_freq)+IF(L$5="Mortgage Starts",0,Deposit_mon),2)</f>
        <v>11215.39</v>
      </c>
      <c r="M152" s="16">
        <f>ROUND(L152*(1+'Interest rate projection'!AL154/Var_freq)+IF(M$5="Mortgage Starts",0,Deposit_mon),2)</f>
        <v>12258.85</v>
      </c>
      <c r="N152" s="16">
        <f>ROUND(M152*(1+'Interest rate projection'!AM154/Var_freq)+IF(N$5="Mortgage Starts",0,Deposit_mon),2)</f>
        <v>13306.35</v>
      </c>
      <c r="O152" s="16">
        <f>ROUND(N152*(1+'Interest rate projection'!AN154/Var_freq)+IF(O$5="Mortgage Starts",0,Deposit_mon),2)</f>
        <v>14357.91</v>
      </c>
      <c r="P152" s="16">
        <f>ROUND(O152*(1+'Interest rate projection'!AO154/Var_freq)+IF(P$5="Mortgage Starts",0,Deposit_mon),2)</f>
        <v>15407.8</v>
      </c>
      <c r="Q152" s="16">
        <f>ROUND(P152*(1+'Interest rate projection'!AP154/Var_freq)+IF(Q$5="Mortgage Starts",0,Deposit_mon),2)</f>
        <v>16461.330000000002</v>
      </c>
      <c r="R152" s="16">
        <f>ROUND(Q152*(1+'Interest rate projection'!AQ154/Var_freq)+IF(R$5="Mortgage Starts",0,Deposit_mon),2)</f>
        <v>17518.52</v>
      </c>
      <c r="S152" s="16">
        <f>ROUND(R152*(1+'Interest rate projection'!AR154/Var_freq)+IF(S$5="Mortgage Starts",0,Deposit_mon),2)</f>
        <v>18579.39</v>
      </c>
      <c r="T152" s="16">
        <f>ROUND(S152*(1+'Interest rate projection'!AS154/Var_freq)+IF(T$5="Mortgage Starts",0,Deposit_mon),2)</f>
        <v>19643.939999999999</v>
      </c>
      <c r="U152" s="16">
        <f>ROUND(T152*(1+'Interest rate projection'!AT154/Var_freq)+IF(U$5="Mortgage Starts",0,Deposit_mon),2)</f>
        <v>20712.189999999999</v>
      </c>
      <c r="V152" s="16">
        <f>ROUND(U152*(1+'Interest rate projection'!AU154/Var_freq)+IF(V$5="Mortgage Starts",0,Deposit_mon),2)</f>
        <v>21784.15</v>
      </c>
      <c r="W152" s="16">
        <f>ROUND(V152*(1+'Interest rate projection'!AV154/Var_freq)+IF(W$5="Mortgage Starts",0,Deposit_mon),2)</f>
        <v>22864.2</v>
      </c>
      <c r="X152" s="16">
        <f>ROUND(W152*(1+'Interest rate projection'!AW154/Var_freq)+IF(X$5="Mortgage Starts",0,Deposit_mon),2)</f>
        <v>23948.22</v>
      </c>
      <c r="Y152" s="16">
        <f>ROUND(X152*(1+'Interest rate projection'!AX154/Var_freq)+IF(Y$5="Mortgage Starts",0,Deposit_mon),2)</f>
        <v>25036.23</v>
      </c>
      <c r="Z152" s="57">
        <f>ROUND(Y152*(1+'Interest rate projection'!AY154/Var_freq)+IF(Z$5="Mortgage Starts",0,Deposit_mon),2)</f>
        <v>25128.23</v>
      </c>
      <c r="AB152" s="38">
        <f>'Interest rate projection'!Z154</f>
        <v>4.5000000000000005E-2</v>
      </c>
      <c r="AC152" s="38">
        <f>'Interest rate projection'!AZ154</f>
        <v>4.4097712805242217E-2</v>
      </c>
      <c r="AD152" s="59" t="str">
        <f t="shared" si="22"/>
        <v>OK</v>
      </c>
      <c r="AE152" s="39">
        <f t="shared" si="23"/>
        <v>15.131610255367837</v>
      </c>
      <c r="AG152" s="73">
        <f t="shared" si="25"/>
        <v>25128.23</v>
      </c>
      <c r="AH152" s="73">
        <f t="shared" si="26"/>
        <v>174871.77</v>
      </c>
      <c r="AI152" s="74">
        <f t="shared" si="24"/>
        <v>963.06</v>
      </c>
      <c r="AJ152" s="9"/>
      <c r="AK152" s="73">
        <f>'Fixed rate projection'!$AE$3-('Variable rate projection'!AI152*Product_term*Var_freq)</f>
        <v>14151</v>
      </c>
    </row>
    <row r="153" spans="1:37" x14ac:dyDescent="0.35">
      <c r="A153" s="5">
        <v>148</v>
      </c>
      <c r="B153" s="57">
        <f t="shared" si="21"/>
        <v>1000</v>
      </c>
      <c r="C153" s="16">
        <f>ROUND(B153*(1+'Interest rate projection'!AB155/Var_freq)+IF(C$5="Mortgage Starts",0,Deposit_mon),2)</f>
        <v>2003.67</v>
      </c>
      <c r="D153" s="16">
        <f>ROUND(C153*(1+'Interest rate projection'!AC155/Var_freq)+IF(D$5="Mortgage Starts",0,Deposit_mon),2)</f>
        <v>3011.03</v>
      </c>
      <c r="E153" s="16">
        <f>ROUND(D153*(1+'Interest rate projection'!AD155/Var_freq)+IF(E$5="Mortgage Starts",0,Deposit_mon),2)</f>
        <v>4022.09</v>
      </c>
      <c r="F153" s="16">
        <f>ROUND(E153*(1+'Interest rate projection'!AE155/Var_freq)+IF(F$5="Mortgage Starts",0,Deposit_mon),2)</f>
        <v>5036.0600000000004</v>
      </c>
      <c r="G153" s="16">
        <f>ROUND(F153*(1+'Interest rate projection'!AF155/Var_freq)+IF(G$5="Mortgage Starts",0,Deposit_mon),2)</f>
        <v>6053.56</v>
      </c>
      <c r="H153" s="16">
        <f>ROUND(G153*(1+'Interest rate projection'!AG155/Var_freq)+IF(H$5="Mortgage Starts",0,Deposit_mon),2)</f>
        <v>7074.59</v>
      </c>
      <c r="I153" s="16">
        <f>ROUND(H153*(1+'Interest rate projection'!AH155/Var_freq)+IF(I$5="Mortgage Starts",0,Deposit_mon),2)</f>
        <v>8099.17</v>
      </c>
      <c r="J153" s="16">
        <f>ROUND(I153*(1+'Interest rate projection'!AI155/Var_freq)+IF(J$5="Mortgage Starts",0,Deposit_mon),2)</f>
        <v>9127.31</v>
      </c>
      <c r="K153" s="16">
        <f>ROUND(J153*(1+'Interest rate projection'!AJ155/Var_freq)+IF(K$5="Mortgage Starts",0,Deposit_mon),2)</f>
        <v>10159.02</v>
      </c>
      <c r="L153" s="16">
        <f>ROUND(K153*(1+'Interest rate projection'!AK155/Var_freq)+IF(L$5="Mortgage Starts",0,Deposit_mon),2)</f>
        <v>11194.32</v>
      </c>
      <c r="M153" s="16">
        <f>ROUND(L153*(1+'Interest rate projection'!AL155/Var_freq)+IF(M$5="Mortgage Starts",0,Deposit_mon),2)</f>
        <v>12228.72</v>
      </c>
      <c r="N153" s="16">
        <f>ROUND(M153*(1+'Interest rate projection'!AM155/Var_freq)+IF(N$5="Mortgage Starts",0,Deposit_mon),2)</f>
        <v>13266.29</v>
      </c>
      <c r="O153" s="16">
        <f>ROUND(N153*(1+'Interest rate projection'!AN155/Var_freq)+IF(O$5="Mortgage Starts",0,Deposit_mon),2)</f>
        <v>14309.72</v>
      </c>
      <c r="P153" s="16">
        <f>ROUND(O153*(1+'Interest rate projection'!AO155/Var_freq)+IF(P$5="Mortgage Starts",0,Deposit_mon),2)</f>
        <v>15356.57</v>
      </c>
      <c r="Q153" s="16">
        <f>ROUND(P153*(1+'Interest rate projection'!AP155/Var_freq)+IF(Q$5="Mortgage Starts",0,Deposit_mon),2)</f>
        <v>16406.84</v>
      </c>
      <c r="R153" s="16">
        <f>ROUND(Q153*(1+'Interest rate projection'!AQ155/Var_freq)+IF(R$5="Mortgage Starts",0,Deposit_mon),2)</f>
        <v>17460.55</v>
      </c>
      <c r="S153" s="16">
        <f>ROUND(R153*(1+'Interest rate projection'!AR155/Var_freq)+IF(S$5="Mortgage Starts",0,Deposit_mon),2)</f>
        <v>18517.71</v>
      </c>
      <c r="T153" s="16">
        <f>ROUND(S153*(1+'Interest rate projection'!AS155/Var_freq)+IF(T$5="Mortgage Starts",0,Deposit_mon),2)</f>
        <v>19578.330000000002</v>
      </c>
      <c r="U153" s="16">
        <f>ROUND(T153*(1+'Interest rate projection'!AT155/Var_freq)+IF(U$5="Mortgage Starts",0,Deposit_mon),2)</f>
        <v>20642.419999999998</v>
      </c>
      <c r="V153" s="16">
        <f>ROUND(U153*(1+'Interest rate projection'!AU155/Var_freq)+IF(V$5="Mortgage Starts",0,Deposit_mon),2)</f>
        <v>21710</v>
      </c>
      <c r="W153" s="16">
        <f>ROUND(V153*(1+'Interest rate projection'!AV155/Var_freq)+IF(W$5="Mortgage Starts",0,Deposit_mon),2)</f>
        <v>22781.07</v>
      </c>
      <c r="X153" s="16">
        <f>ROUND(W153*(1+'Interest rate projection'!AW155/Var_freq)+IF(X$5="Mortgage Starts",0,Deposit_mon),2)</f>
        <v>23855.65</v>
      </c>
      <c r="Y153" s="16">
        <f>ROUND(X153*(1+'Interest rate projection'!AX155/Var_freq)+IF(Y$5="Mortgage Starts",0,Deposit_mon),2)</f>
        <v>24928.95</v>
      </c>
      <c r="Z153" s="57">
        <f>ROUND(Y153*(1+'Interest rate projection'!AY155/Var_freq)+IF(Z$5="Mortgage Starts",0,Deposit_mon),2)</f>
        <v>25000.52</v>
      </c>
      <c r="AB153" s="38">
        <f>'Interest rate projection'!Z155</f>
        <v>3.4999999999999996E-2</v>
      </c>
      <c r="AC153" s="38">
        <f>'Interest rate projection'!AZ155</f>
        <v>3.4450784628919706E-2</v>
      </c>
      <c r="AD153" s="59" t="str">
        <f t="shared" si="22"/>
        <v>OK</v>
      </c>
      <c r="AE153" s="39">
        <f t="shared" si="23"/>
        <v>16.744263358395965</v>
      </c>
      <c r="AG153" s="73">
        <f t="shared" si="25"/>
        <v>25000.52</v>
      </c>
      <c r="AH153" s="73">
        <f t="shared" si="26"/>
        <v>174999.48</v>
      </c>
      <c r="AI153" s="74">
        <f t="shared" si="24"/>
        <v>870.94</v>
      </c>
      <c r="AJ153" s="9"/>
      <c r="AK153" s="73">
        <f>'Fixed rate projection'!$AE$3-('Variable rate projection'!AI153*Product_term*Var_freq)</f>
        <v>41787</v>
      </c>
    </row>
    <row r="154" spans="1:37" x14ac:dyDescent="0.35">
      <c r="A154" s="27">
        <v>149</v>
      </c>
      <c r="B154" s="57">
        <f t="shared" si="21"/>
        <v>1000</v>
      </c>
      <c r="C154" s="16">
        <f>ROUND(B154*(1+'Interest rate projection'!AB156/Var_freq)+IF(C$5="Mortgage Starts",0,Deposit_mon),2)</f>
        <v>2003.67</v>
      </c>
      <c r="D154" s="16">
        <f>ROUND(C154*(1+'Interest rate projection'!AC156/Var_freq)+IF(D$5="Mortgage Starts",0,Deposit_mon),2)</f>
        <v>3011.03</v>
      </c>
      <c r="E154" s="16">
        <f>ROUND(D154*(1+'Interest rate projection'!AD156/Var_freq)+IF(E$5="Mortgage Starts",0,Deposit_mon),2)</f>
        <v>4022.09</v>
      </c>
      <c r="F154" s="16">
        <f>ROUND(E154*(1+'Interest rate projection'!AE156/Var_freq)+IF(F$5="Mortgage Starts",0,Deposit_mon),2)</f>
        <v>5036.87</v>
      </c>
      <c r="G154" s="16">
        <f>ROUND(F154*(1+'Interest rate projection'!AF156/Var_freq)+IF(G$5="Mortgage Starts",0,Deposit_mon),2)</f>
        <v>6055.38</v>
      </c>
      <c r="H154" s="16">
        <f>ROUND(G154*(1+'Interest rate projection'!AG156/Var_freq)+IF(H$5="Mortgage Starts",0,Deposit_mon),2)</f>
        <v>7078.84</v>
      </c>
      <c r="I154" s="16">
        <f>ROUND(H154*(1+'Interest rate projection'!AH156/Var_freq)+IF(I$5="Mortgage Starts",0,Deposit_mon),2)</f>
        <v>8106.27</v>
      </c>
      <c r="J154" s="16">
        <f>ROUND(I154*(1+'Interest rate projection'!AI156/Var_freq)+IF(J$5="Mortgage Starts",0,Deposit_mon),2)</f>
        <v>9137.68</v>
      </c>
      <c r="K154" s="16">
        <f>ROUND(J154*(1+'Interest rate projection'!AJ156/Var_freq)+IF(K$5="Mortgage Starts",0,Deposit_mon),2)</f>
        <v>10173.09</v>
      </c>
      <c r="L154" s="16">
        <f>ROUND(K154*(1+'Interest rate projection'!AK156/Var_freq)+IF(L$5="Mortgage Starts",0,Deposit_mon),2)</f>
        <v>11212.51</v>
      </c>
      <c r="M154" s="16">
        <f>ROUND(L154*(1+'Interest rate projection'!AL156/Var_freq)+IF(M$5="Mortgage Starts",0,Deposit_mon),2)</f>
        <v>12255.95</v>
      </c>
      <c r="N154" s="16">
        <f>ROUND(M154*(1+'Interest rate projection'!AM156/Var_freq)+IF(N$5="Mortgage Starts",0,Deposit_mon),2)</f>
        <v>13308.32</v>
      </c>
      <c r="O154" s="16">
        <f>ROUND(N154*(1+'Interest rate projection'!AN156/Var_freq)+IF(O$5="Mortgage Starts",0,Deposit_mon),2)</f>
        <v>14365.19</v>
      </c>
      <c r="P154" s="16">
        <f>ROUND(O154*(1+'Interest rate projection'!AO156/Var_freq)+IF(P$5="Mortgage Starts",0,Deposit_mon),2)</f>
        <v>15420.85</v>
      </c>
      <c r="Q154" s="16">
        <f>ROUND(P154*(1+'Interest rate projection'!AP156/Var_freq)+IF(Q$5="Mortgage Starts",0,Deposit_mon),2)</f>
        <v>16480.599999999999</v>
      </c>
      <c r="R154" s="16">
        <f>ROUND(Q154*(1+'Interest rate projection'!AQ156/Var_freq)+IF(R$5="Mortgage Starts",0,Deposit_mon),2)</f>
        <v>17544.46</v>
      </c>
      <c r="S154" s="16">
        <f>ROUND(R154*(1+'Interest rate projection'!AR156/Var_freq)+IF(S$5="Mortgage Starts",0,Deposit_mon),2)</f>
        <v>18612.439999999999</v>
      </c>
      <c r="T154" s="16">
        <f>ROUND(S154*(1+'Interest rate projection'!AS156/Var_freq)+IF(T$5="Mortgage Starts",0,Deposit_mon),2)</f>
        <v>19684.560000000001</v>
      </c>
      <c r="U154" s="16">
        <f>ROUND(T154*(1+'Interest rate projection'!AT156/Var_freq)+IF(U$5="Mortgage Starts",0,Deposit_mon),2)</f>
        <v>20760.830000000002</v>
      </c>
      <c r="V154" s="16">
        <f>ROUND(U154*(1+'Interest rate projection'!AU156/Var_freq)+IF(V$5="Mortgage Starts",0,Deposit_mon),2)</f>
        <v>21841.27</v>
      </c>
      <c r="W154" s="16">
        <f>ROUND(V154*(1+'Interest rate projection'!AV156/Var_freq)+IF(W$5="Mortgage Starts",0,Deposit_mon),2)</f>
        <v>22925.9</v>
      </c>
      <c r="X154" s="16">
        <f>ROUND(W154*(1+'Interest rate projection'!AW156/Var_freq)+IF(X$5="Mortgage Starts",0,Deposit_mon),2)</f>
        <v>24014.73</v>
      </c>
      <c r="Y154" s="16">
        <f>ROUND(X154*(1+'Interest rate projection'!AX156/Var_freq)+IF(Y$5="Mortgage Starts",0,Deposit_mon),2)</f>
        <v>25107.78</v>
      </c>
      <c r="Z154" s="57">
        <f>ROUND(Y154*(1+'Interest rate projection'!AY156/Var_freq)+IF(Z$5="Mortgage Starts",0,Deposit_mon),2)</f>
        <v>25205.06</v>
      </c>
      <c r="AB154" s="38">
        <f>'Interest rate projection'!Z156</f>
        <v>4.7500000000000001E-2</v>
      </c>
      <c r="AC154" s="38">
        <f>'Interest rate projection'!AZ156</f>
        <v>4.6496219905550085E-2</v>
      </c>
      <c r="AD154" s="59" t="str">
        <f t="shared" si="22"/>
        <v>OK</v>
      </c>
      <c r="AE154" s="39">
        <f t="shared" si="23"/>
        <v>14.766012404082064</v>
      </c>
      <c r="AG154" s="73">
        <f t="shared" si="25"/>
        <v>25205.06</v>
      </c>
      <c r="AH154" s="73">
        <f t="shared" si="26"/>
        <v>174794.94</v>
      </c>
      <c r="AI154" s="74">
        <f t="shared" si="24"/>
        <v>986.47</v>
      </c>
      <c r="AJ154" s="9"/>
      <c r="AK154" s="73">
        <f>'Fixed rate projection'!$AE$3-('Variable rate projection'!AI154*Product_term*Var_freq)</f>
        <v>7128</v>
      </c>
    </row>
    <row r="155" spans="1:37" x14ac:dyDescent="0.35">
      <c r="A155" s="5">
        <v>150</v>
      </c>
      <c r="B155" s="57">
        <f t="shared" si="21"/>
        <v>1000</v>
      </c>
      <c r="C155" s="16">
        <f>ROUND(B155*(1+'Interest rate projection'!AB157/Var_freq)+IF(C$5="Mortgage Starts",0,Deposit_mon),2)</f>
        <v>2003.67</v>
      </c>
      <c r="D155" s="16">
        <f>ROUND(C155*(1+'Interest rate projection'!AC157/Var_freq)+IF(D$5="Mortgage Starts",0,Deposit_mon),2)</f>
        <v>3011.03</v>
      </c>
      <c r="E155" s="16">
        <f>ROUND(D155*(1+'Interest rate projection'!AD157/Var_freq)+IF(E$5="Mortgage Starts",0,Deposit_mon),2)</f>
        <v>4021.49</v>
      </c>
      <c r="F155" s="16">
        <f>ROUND(E155*(1+'Interest rate projection'!AE157/Var_freq)+IF(F$5="Mortgage Starts",0,Deposit_mon),2)</f>
        <v>5035.46</v>
      </c>
      <c r="G155" s="16">
        <f>ROUND(F155*(1+'Interest rate projection'!AF157/Var_freq)+IF(G$5="Mortgage Starts",0,Deposit_mon),2)</f>
        <v>6052.96</v>
      </c>
      <c r="H155" s="16">
        <f>ROUND(G155*(1+'Interest rate projection'!AG157/Var_freq)+IF(H$5="Mortgage Starts",0,Deposit_mon),2)</f>
        <v>7073.99</v>
      </c>
      <c r="I155" s="16">
        <f>ROUND(H155*(1+'Interest rate projection'!AH157/Var_freq)+IF(I$5="Mortgage Starts",0,Deposit_mon),2)</f>
        <v>8099.99</v>
      </c>
      <c r="J155" s="16">
        <f>ROUND(I155*(1+'Interest rate projection'!AI157/Var_freq)+IF(J$5="Mortgage Starts",0,Deposit_mon),2)</f>
        <v>9129.76</v>
      </c>
      <c r="K155" s="16">
        <f>ROUND(J155*(1+'Interest rate projection'!AJ157/Var_freq)+IF(K$5="Mortgage Starts",0,Deposit_mon),2)</f>
        <v>10163.31</v>
      </c>
      <c r="L155" s="16">
        <f>ROUND(K155*(1+'Interest rate projection'!AK157/Var_freq)+IF(L$5="Mortgage Starts",0,Deposit_mon),2)</f>
        <v>11200.66</v>
      </c>
      <c r="M155" s="16">
        <f>ROUND(L155*(1+'Interest rate projection'!AL157/Var_freq)+IF(M$5="Mortgage Starts",0,Deposit_mon),2)</f>
        <v>12241.82</v>
      </c>
      <c r="N155" s="16">
        <f>ROUND(M155*(1+'Interest rate projection'!AM157/Var_freq)+IF(N$5="Mortgage Starts",0,Deposit_mon),2)</f>
        <v>13286.81</v>
      </c>
      <c r="O155" s="16">
        <f>ROUND(N155*(1+'Interest rate projection'!AN157/Var_freq)+IF(O$5="Mortgage Starts",0,Deposit_mon),2)</f>
        <v>14335.64</v>
      </c>
      <c r="P155" s="16">
        <f>ROUND(O155*(1+'Interest rate projection'!AO157/Var_freq)+IF(P$5="Mortgage Starts",0,Deposit_mon),2)</f>
        <v>15388.32</v>
      </c>
      <c r="Q155" s="16">
        <f>ROUND(P155*(1+'Interest rate projection'!AP157/Var_freq)+IF(Q$5="Mortgage Starts",0,Deposit_mon),2)</f>
        <v>16451.009999999998</v>
      </c>
      <c r="R155" s="16">
        <f>ROUND(Q155*(1+'Interest rate projection'!AQ157/Var_freq)+IF(R$5="Mortgage Starts",0,Deposit_mon),2)</f>
        <v>17518.03</v>
      </c>
      <c r="S155" s="16">
        <f>ROUND(R155*(1+'Interest rate projection'!AR157/Var_freq)+IF(S$5="Mortgage Starts",0,Deposit_mon),2)</f>
        <v>18589.400000000001</v>
      </c>
      <c r="T155" s="16">
        <f>ROUND(S155*(1+'Interest rate projection'!AS157/Var_freq)+IF(T$5="Mortgage Starts",0,Deposit_mon),2)</f>
        <v>19665.14</v>
      </c>
      <c r="U155" s="16">
        <f>ROUND(T155*(1+'Interest rate projection'!AT157/Var_freq)+IF(U$5="Mortgage Starts",0,Deposit_mon),2)</f>
        <v>20745.259999999998</v>
      </c>
      <c r="V155" s="16">
        <f>ROUND(U155*(1+'Interest rate projection'!AU157/Var_freq)+IF(V$5="Mortgage Starts",0,Deposit_mon),2)</f>
        <v>21829.78</v>
      </c>
      <c r="W155" s="16">
        <f>ROUND(V155*(1+'Interest rate projection'!AV157/Var_freq)+IF(W$5="Mortgage Starts",0,Deposit_mon),2)</f>
        <v>22918.720000000001</v>
      </c>
      <c r="X155" s="16">
        <f>ROUND(W155*(1+'Interest rate projection'!AW157/Var_freq)+IF(X$5="Mortgage Starts",0,Deposit_mon),2)</f>
        <v>24012.09</v>
      </c>
      <c r="Y155" s="16">
        <f>ROUND(X155*(1+'Interest rate projection'!AX157/Var_freq)+IF(Y$5="Mortgage Starts",0,Deposit_mon),2)</f>
        <v>25109.919999999998</v>
      </c>
      <c r="Z155" s="57">
        <f>ROUND(Y155*(1+'Interest rate projection'!AY157/Var_freq)+IF(Z$5="Mortgage Starts",0,Deposit_mon),2)</f>
        <v>25212.22</v>
      </c>
      <c r="AB155" s="38">
        <f>'Interest rate projection'!Z157</f>
        <v>4.4999999999999998E-2</v>
      </c>
      <c r="AC155" s="38">
        <f>'Interest rate projection'!AZ157</f>
        <v>4.4097712805242217E-2</v>
      </c>
      <c r="AD155" s="59" t="str">
        <f t="shared" si="22"/>
        <v>OK</v>
      </c>
      <c r="AE155" s="39">
        <f t="shared" si="23"/>
        <v>15.131610255367837</v>
      </c>
      <c r="AG155" s="73">
        <f t="shared" si="25"/>
        <v>25212.22</v>
      </c>
      <c r="AH155" s="73">
        <f t="shared" si="26"/>
        <v>174787.78</v>
      </c>
      <c r="AI155" s="74">
        <f t="shared" si="24"/>
        <v>962.6</v>
      </c>
      <c r="AJ155" s="9"/>
      <c r="AK155" s="73">
        <f>'Fixed rate projection'!$AE$3-('Variable rate projection'!AI155*Product_term*Var_freq)</f>
        <v>14289</v>
      </c>
    </row>
    <row r="156" spans="1:37" x14ac:dyDescent="0.35">
      <c r="A156" s="27">
        <v>151</v>
      </c>
      <c r="B156" s="57">
        <f t="shared" si="21"/>
        <v>1000</v>
      </c>
      <c r="C156" s="16">
        <f>ROUND(B156*(1+'Interest rate projection'!AB158/Var_freq)+IF(C$5="Mortgage Starts",0,Deposit_mon),2)</f>
        <v>2003.67</v>
      </c>
      <c r="D156" s="16">
        <f>ROUND(C156*(1+'Interest rate projection'!AC158/Var_freq)+IF(D$5="Mortgage Starts",0,Deposit_mon),2)</f>
        <v>3011.43</v>
      </c>
      <c r="E156" s="16">
        <f>ROUND(D156*(1+'Interest rate projection'!AD158/Var_freq)+IF(E$5="Mortgage Starts",0,Deposit_mon),2)</f>
        <v>4023.1</v>
      </c>
      <c r="F156" s="16">
        <f>ROUND(E156*(1+'Interest rate projection'!AE158/Var_freq)+IF(F$5="Mortgage Starts",0,Deposit_mon),2)</f>
        <v>5038.6899999999996</v>
      </c>
      <c r="G156" s="16">
        <f>ROUND(F156*(1+'Interest rate projection'!AF158/Var_freq)+IF(G$5="Mortgage Starts",0,Deposit_mon),2)</f>
        <v>6059.22</v>
      </c>
      <c r="H156" s="16">
        <f>ROUND(G156*(1+'Interest rate projection'!AG158/Var_freq)+IF(H$5="Mortgage Starts",0,Deposit_mon),2)</f>
        <v>7083.91</v>
      </c>
      <c r="I156" s="16">
        <f>ROUND(H156*(1+'Interest rate projection'!AH158/Var_freq)+IF(I$5="Mortgage Starts",0,Deposit_mon),2)</f>
        <v>8112.77</v>
      </c>
      <c r="J156" s="16">
        <f>ROUND(I156*(1+'Interest rate projection'!AI158/Var_freq)+IF(J$5="Mortgage Starts",0,Deposit_mon),2)</f>
        <v>9147.44</v>
      </c>
      <c r="K156" s="16">
        <f>ROUND(J156*(1+'Interest rate projection'!AJ158/Var_freq)+IF(K$5="Mortgage Starts",0,Deposit_mon),2)</f>
        <v>10186.530000000001</v>
      </c>
      <c r="L156" s="16">
        <f>ROUND(K156*(1+'Interest rate projection'!AK158/Var_freq)+IF(L$5="Mortgage Starts",0,Deposit_mon),2)</f>
        <v>11230.06</v>
      </c>
      <c r="M156" s="16">
        <f>ROUND(L156*(1+'Interest rate projection'!AL158/Var_freq)+IF(M$5="Mortgage Starts",0,Deposit_mon),2)</f>
        <v>12278.05</v>
      </c>
      <c r="N156" s="16">
        <f>ROUND(M156*(1+'Interest rate projection'!AM158/Var_freq)+IF(N$5="Mortgage Starts",0,Deposit_mon),2)</f>
        <v>13330.52</v>
      </c>
      <c r="O156" s="16">
        <f>ROUND(N156*(1+'Interest rate projection'!AN158/Var_freq)+IF(O$5="Mortgage Starts",0,Deposit_mon),2)</f>
        <v>14387.48</v>
      </c>
      <c r="P156" s="16">
        <f>ROUND(O156*(1+'Interest rate projection'!AO158/Var_freq)+IF(P$5="Mortgage Starts",0,Deposit_mon),2)</f>
        <v>15448.96</v>
      </c>
      <c r="Q156" s="16">
        <f>ROUND(P156*(1+'Interest rate projection'!AP158/Var_freq)+IF(Q$5="Mortgage Starts",0,Deposit_mon),2)</f>
        <v>16514.98</v>
      </c>
      <c r="R156" s="16">
        <f>ROUND(Q156*(1+'Interest rate projection'!AQ158/Var_freq)+IF(R$5="Mortgage Starts",0,Deposit_mon),2)</f>
        <v>17585.55</v>
      </c>
      <c r="S156" s="16">
        <f>ROUND(R156*(1+'Interest rate projection'!AR158/Var_freq)+IF(S$5="Mortgage Starts",0,Deposit_mon),2)</f>
        <v>18660.7</v>
      </c>
      <c r="T156" s="16">
        <f>ROUND(S156*(1+'Interest rate projection'!AS158/Var_freq)+IF(T$5="Mortgage Starts",0,Deposit_mon),2)</f>
        <v>19736.73</v>
      </c>
      <c r="U156" s="16">
        <f>ROUND(T156*(1+'Interest rate projection'!AT158/Var_freq)+IF(U$5="Mortgage Starts",0,Deposit_mon),2)</f>
        <v>20817.14</v>
      </c>
      <c r="V156" s="16">
        <f>ROUND(U156*(1+'Interest rate projection'!AU158/Var_freq)+IF(V$5="Mortgage Starts",0,Deposit_mon),2)</f>
        <v>21901.95</v>
      </c>
      <c r="W156" s="16">
        <f>ROUND(V156*(1+'Interest rate projection'!AV158/Var_freq)+IF(W$5="Mortgage Starts",0,Deposit_mon),2)</f>
        <v>22991.18</v>
      </c>
      <c r="X156" s="16">
        <f>ROUND(W156*(1+'Interest rate projection'!AW158/Var_freq)+IF(X$5="Mortgage Starts",0,Deposit_mon),2)</f>
        <v>24084.85</v>
      </c>
      <c r="Y156" s="16">
        <f>ROUND(X156*(1+'Interest rate projection'!AX158/Var_freq)+IF(Y$5="Mortgage Starts",0,Deposit_mon),2)</f>
        <v>25173.360000000001</v>
      </c>
      <c r="Z156" s="57">
        <f>ROUND(Y156*(1+'Interest rate projection'!AY158/Var_freq)+IF(Z$5="Mortgage Starts",0,Deposit_mon),2)</f>
        <v>25265.87</v>
      </c>
      <c r="AB156" s="38">
        <f>'Interest rate projection'!Z158</f>
        <v>4.5000000000000005E-2</v>
      </c>
      <c r="AC156" s="38">
        <f>'Interest rate projection'!AZ158</f>
        <v>4.4097712805242217E-2</v>
      </c>
      <c r="AD156" s="59" t="str">
        <f t="shared" si="22"/>
        <v>OK</v>
      </c>
      <c r="AE156" s="39">
        <f t="shared" si="23"/>
        <v>15.131610255367837</v>
      </c>
      <c r="AG156" s="73">
        <f t="shared" si="25"/>
        <v>25265.87</v>
      </c>
      <c r="AH156" s="73">
        <f t="shared" si="26"/>
        <v>174734.13</v>
      </c>
      <c r="AI156" s="74">
        <f t="shared" si="24"/>
        <v>962.3</v>
      </c>
      <c r="AJ156" s="9"/>
      <c r="AK156" s="73">
        <f>'Fixed rate projection'!$AE$3-('Variable rate projection'!AI156*Product_term*Var_freq)</f>
        <v>14379</v>
      </c>
    </row>
    <row r="157" spans="1:37" x14ac:dyDescent="0.35">
      <c r="A157" s="5">
        <v>152</v>
      </c>
      <c r="B157" s="57">
        <f t="shared" si="21"/>
        <v>1000</v>
      </c>
      <c r="C157" s="16">
        <f>ROUND(B157*(1+'Interest rate projection'!AB159/Var_freq)+IF(C$5="Mortgage Starts",0,Deposit_mon),2)</f>
        <v>2003.67</v>
      </c>
      <c r="D157" s="16">
        <f>ROUND(C157*(1+'Interest rate projection'!AC159/Var_freq)+IF(D$5="Mortgage Starts",0,Deposit_mon),2)</f>
        <v>3011.03</v>
      </c>
      <c r="E157" s="16">
        <f>ROUND(D157*(1+'Interest rate projection'!AD159/Var_freq)+IF(E$5="Mortgage Starts",0,Deposit_mon),2)</f>
        <v>4022.09</v>
      </c>
      <c r="F157" s="16">
        <f>ROUND(E157*(1+'Interest rate projection'!AE159/Var_freq)+IF(F$5="Mortgage Starts",0,Deposit_mon),2)</f>
        <v>5036.87</v>
      </c>
      <c r="G157" s="16">
        <f>ROUND(F157*(1+'Interest rate projection'!AF159/Var_freq)+IF(G$5="Mortgage Starts",0,Deposit_mon),2)</f>
        <v>6055.38</v>
      </c>
      <c r="H157" s="16">
        <f>ROUND(G157*(1+'Interest rate projection'!AG159/Var_freq)+IF(H$5="Mortgage Starts",0,Deposit_mon),2)</f>
        <v>7077.63</v>
      </c>
      <c r="I157" s="16">
        <f>ROUND(H157*(1+'Interest rate projection'!AH159/Var_freq)+IF(I$5="Mortgage Starts",0,Deposit_mon),2)</f>
        <v>8103.64</v>
      </c>
      <c r="J157" s="16">
        <f>ROUND(I157*(1+'Interest rate projection'!AI159/Var_freq)+IF(J$5="Mortgage Starts",0,Deposit_mon),2)</f>
        <v>9133.42</v>
      </c>
      <c r="K157" s="16">
        <f>ROUND(J157*(1+'Interest rate projection'!AJ159/Var_freq)+IF(K$5="Mortgage Starts",0,Deposit_mon),2)</f>
        <v>10166.98</v>
      </c>
      <c r="L157" s="16">
        <f>ROUND(K157*(1+'Interest rate projection'!AK159/Var_freq)+IF(L$5="Mortgage Starts",0,Deposit_mon),2)</f>
        <v>11204.34</v>
      </c>
      <c r="M157" s="16">
        <f>ROUND(L157*(1+'Interest rate projection'!AL159/Var_freq)+IF(M$5="Mortgage Starts",0,Deposit_mon),2)</f>
        <v>12245.51</v>
      </c>
      <c r="N157" s="16">
        <f>ROUND(M157*(1+'Interest rate projection'!AM159/Var_freq)+IF(N$5="Mortgage Starts",0,Deposit_mon),2)</f>
        <v>13295.4</v>
      </c>
      <c r="O157" s="16">
        <f>ROUND(N157*(1+'Interest rate projection'!AN159/Var_freq)+IF(O$5="Mortgage Starts",0,Deposit_mon),2)</f>
        <v>14349.57</v>
      </c>
      <c r="P157" s="16">
        <f>ROUND(O157*(1+'Interest rate projection'!AO159/Var_freq)+IF(P$5="Mortgage Starts",0,Deposit_mon),2)</f>
        <v>15408.03</v>
      </c>
      <c r="Q157" s="16">
        <f>ROUND(P157*(1+'Interest rate projection'!AP159/Var_freq)+IF(Q$5="Mortgage Starts",0,Deposit_mon),2)</f>
        <v>16470.8</v>
      </c>
      <c r="R157" s="16">
        <f>ROUND(Q157*(1+'Interest rate projection'!AQ159/Var_freq)+IF(R$5="Mortgage Starts",0,Deposit_mon),2)</f>
        <v>17541.18</v>
      </c>
      <c r="S157" s="16">
        <f>ROUND(R157*(1+'Interest rate projection'!AR159/Var_freq)+IF(S$5="Mortgage Starts",0,Deposit_mon),2)</f>
        <v>18616.14</v>
      </c>
      <c r="T157" s="16">
        <f>ROUND(S157*(1+'Interest rate projection'!AS159/Var_freq)+IF(T$5="Mortgage Starts",0,Deposit_mon),2)</f>
        <v>19695.689999999999</v>
      </c>
      <c r="U157" s="16">
        <f>ROUND(T157*(1+'Interest rate projection'!AT159/Var_freq)+IF(U$5="Mortgage Starts",0,Deposit_mon),2)</f>
        <v>20779.849999999999</v>
      </c>
      <c r="V157" s="16">
        <f>ROUND(U157*(1+'Interest rate projection'!AU159/Var_freq)+IF(V$5="Mortgage Starts",0,Deposit_mon),2)</f>
        <v>21868.639999999999</v>
      </c>
      <c r="W157" s="16">
        <f>ROUND(V157*(1+'Interest rate projection'!AV159/Var_freq)+IF(W$5="Mortgage Starts",0,Deposit_mon),2)</f>
        <v>22962.09</v>
      </c>
      <c r="X157" s="16">
        <f>ROUND(W157*(1+'Interest rate projection'!AW159/Var_freq)+IF(X$5="Mortgage Starts",0,Deposit_mon),2)</f>
        <v>24055.64</v>
      </c>
      <c r="Y157" s="16">
        <f>ROUND(X157*(1+'Interest rate projection'!AX159/Var_freq)+IF(Y$5="Mortgage Starts",0,Deposit_mon),2)</f>
        <v>25153.65</v>
      </c>
      <c r="Z157" s="57">
        <f>ROUND(Y157*(1+'Interest rate projection'!AY159/Var_freq)+IF(Z$5="Mortgage Starts",0,Deposit_mon),2)</f>
        <v>25256.13</v>
      </c>
      <c r="AB157" s="38">
        <f>'Interest rate projection'!Z159</f>
        <v>4.9999999999999996E-2</v>
      </c>
      <c r="AC157" s="38">
        <f>'Interest rate projection'!AZ159</f>
        <v>4.8889485403780242E-2</v>
      </c>
      <c r="AD157" s="59" t="str">
        <f t="shared" si="22"/>
        <v>OK</v>
      </c>
      <c r="AE157" s="39">
        <f t="shared" si="23"/>
        <v>14.4140856153857</v>
      </c>
      <c r="AG157" s="73">
        <f t="shared" si="25"/>
        <v>25256.13</v>
      </c>
      <c r="AH157" s="73">
        <f t="shared" si="26"/>
        <v>174743.87</v>
      </c>
      <c r="AI157" s="74">
        <f t="shared" si="24"/>
        <v>1010.26</v>
      </c>
      <c r="AJ157" s="9"/>
      <c r="AK157" s="73">
        <f>'Fixed rate projection'!$AE$3-('Variable rate projection'!AI157*Product_term*Var_freq)</f>
        <v>-9</v>
      </c>
    </row>
    <row r="158" spans="1:37" x14ac:dyDescent="0.35">
      <c r="A158" s="27">
        <v>153</v>
      </c>
      <c r="B158" s="57">
        <f t="shared" si="21"/>
        <v>1000</v>
      </c>
      <c r="C158" s="16">
        <f>ROUND(B158*(1+'Interest rate projection'!AB160/Var_freq)+IF(C$5="Mortgage Starts",0,Deposit_mon),2)</f>
        <v>2003.67</v>
      </c>
      <c r="D158" s="16">
        <f>ROUND(C158*(1+'Interest rate projection'!AC160/Var_freq)+IF(D$5="Mortgage Starts",0,Deposit_mon),2)</f>
        <v>3011.03</v>
      </c>
      <c r="E158" s="16">
        <f>ROUND(D158*(1+'Interest rate projection'!AD160/Var_freq)+IF(E$5="Mortgage Starts",0,Deposit_mon),2)</f>
        <v>4022.09</v>
      </c>
      <c r="F158" s="16">
        <f>ROUND(E158*(1+'Interest rate projection'!AE160/Var_freq)+IF(F$5="Mortgage Starts",0,Deposit_mon),2)</f>
        <v>5037.67</v>
      </c>
      <c r="G158" s="16">
        <f>ROUND(F158*(1+'Interest rate projection'!AF160/Var_freq)+IF(G$5="Mortgage Starts",0,Deposit_mon),2)</f>
        <v>6056.18</v>
      </c>
      <c r="H158" s="16">
        <f>ROUND(G158*(1+'Interest rate projection'!AG160/Var_freq)+IF(H$5="Mortgage Starts",0,Deposit_mon),2)</f>
        <v>7078.44</v>
      </c>
      <c r="I158" s="16">
        <f>ROUND(H158*(1+'Interest rate projection'!AH160/Var_freq)+IF(I$5="Mortgage Starts",0,Deposit_mon),2)</f>
        <v>8105.87</v>
      </c>
      <c r="J158" s="16">
        <f>ROUND(I158*(1+'Interest rate projection'!AI160/Var_freq)+IF(J$5="Mortgage Starts",0,Deposit_mon),2)</f>
        <v>9137.2800000000007</v>
      </c>
      <c r="K158" s="16">
        <f>ROUND(J158*(1+'Interest rate projection'!AJ160/Var_freq)+IF(K$5="Mortgage Starts",0,Deposit_mon),2)</f>
        <v>10169.030000000001</v>
      </c>
      <c r="L158" s="16">
        <f>ROUND(K158*(1+'Interest rate projection'!AK160/Var_freq)+IF(L$5="Mortgage Starts",0,Deposit_mon),2)</f>
        <v>11204.36</v>
      </c>
      <c r="M158" s="16">
        <f>ROUND(L158*(1+'Interest rate projection'!AL160/Var_freq)+IF(M$5="Mortgage Starts",0,Deposit_mon),2)</f>
        <v>12243.29</v>
      </c>
      <c r="N158" s="16">
        <f>ROUND(M158*(1+'Interest rate projection'!AM160/Var_freq)+IF(N$5="Mortgage Starts",0,Deposit_mon),2)</f>
        <v>13285.83</v>
      </c>
      <c r="O158" s="16">
        <f>ROUND(N158*(1+'Interest rate projection'!AN160/Var_freq)+IF(O$5="Mortgage Starts",0,Deposit_mon),2)</f>
        <v>14331.99</v>
      </c>
      <c r="P158" s="16">
        <f>ROUND(O158*(1+'Interest rate projection'!AO160/Var_freq)+IF(P$5="Mortgage Starts",0,Deposit_mon),2)</f>
        <v>15381.79</v>
      </c>
      <c r="Q158" s="16">
        <f>ROUND(P158*(1+'Interest rate projection'!AP160/Var_freq)+IF(Q$5="Mortgage Starts",0,Deposit_mon),2)</f>
        <v>16432.150000000001</v>
      </c>
      <c r="R158" s="16">
        <f>ROUND(Q158*(1+'Interest rate projection'!AQ160/Var_freq)+IF(R$5="Mortgage Starts",0,Deposit_mon),2)</f>
        <v>17485.939999999999</v>
      </c>
      <c r="S158" s="16">
        <f>ROUND(R158*(1+'Interest rate projection'!AR160/Var_freq)+IF(S$5="Mortgage Starts",0,Deposit_mon),2)</f>
        <v>18543.18</v>
      </c>
      <c r="T158" s="16">
        <f>ROUND(S158*(1+'Interest rate projection'!AS160/Var_freq)+IF(T$5="Mortgage Starts",0,Deposit_mon),2)</f>
        <v>19603.89</v>
      </c>
      <c r="U158" s="16">
        <f>ROUND(T158*(1+'Interest rate projection'!AT160/Var_freq)+IF(U$5="Mortgage Starts",0,Deposit_mon),2)</f>
        <v>20668.07</v>
      </c>
      <c r="V158" s="16">
        <f>ROUND(U158*(1+'Interest rate projection'!AU160/Var_freq)+IF(V$5="Mortgage Starts",0,Deposit_mon),2)</f>
        <v>21735.73</v>
      </c>
      <c r="W158" s="16">
        <f>ROUND(V158*(1+'Interest rate projection'!AV160/Var_freq)+IF(W$5="Mortgage Starts",0,Deposit_mon),2)</f>
        <v>22806.89</v>
      </c>
      <c r="X158" s="16">
        <f>ROUND(W158*(1+'Interest rate projection'!AW160/Var_freq)+IF(X$5="Mortgage Starts",0,Deposit_mon),2)</f>
        <v>23881.55</v>
      </c>
      <c r="Y158" s="16">
        <f>ROUND(X158*(1+'Interest rate projection'!AX160/Var_freq)+IF(Y$5="Mortgage Starts",0,Deposit_mon),2)</f>
        <v>24959.73</v>
      </c>
      <c r="Z158" s="57">
        <f>ROUND(Y158*(1+'Interest rate projection'!AY160/Var_freq)+IF(Z$5="Mortgage Starts",0,Deposit_mon),2)</f>
        <v>25041.439999999999</v>
      </c>
      <c r="AB158" s="38">
        <f>'Interest rate projection'!Z160</f>
        <v>0.04</v>
      </c>
      <c r="AC158" s="38">
        <f>'Interest rate projection'!AZ160</f>
        <v>3.9284877386386974E-2</v>
      </c>
      <c r="AD158" s="59" t="str">
        <f t="shared" si="22"/>
        <v>OK</v>
      </c>
      <c r="AE158" s="39">
        <f t="shared" si="23"/>
        <v>15.906456614335044</v>
      </c>
      <c r="AG158" s="73">
        <f t="shared" si="25"/>
        <v>25041.439999999999</v>
      </c>
      <c r="AH158" s="73">
        <f t="shared" si="26"/>
        <v>174958.56</v>
      </c>
      <c r="AI158" s="74">
        <f t="shared" si="24"/>
        <v>916.6</v>
      </c>
      <c r="AJ158" s="9"/>
      <c r="AK158" s="73">
        <f>'Fixed rate projection'!$AE$3-('Variable rate projection'!AI158*Product_term*Var_freq)</f>
        <v>28089</v>
      </c>
    </row>
    <row r="159" spans="1:37" x14ac:dyDescent="0.35">
      <c r="A159" s="5">
        <v>154</v>
      </c>
      <c r="B159" s="57">
        <f t="shared" si="21"/>
        <v>1000</v>
      </c>
      <c r="C159" s="16">
        <f>ROUND(B159*(1+'Interest rate projection'!AB161/Var_freq)+IF(C$5="Mortgage Starts",0,Deposit_mon),2)</f>
        <v>2003.67</v>
      </c>
      <c r="D159" s="16">
        <f>ROUND(C159*(1+'Interest rate projection'!AC161/Var_freq)+IF(D$5="Mortgage Starts",0,Deposit_mon),2)</f>
        <v>3011.03</v>
      </c>
      <c r="E159" s="16">
        <f>ROUND(D159*(1+'Interest rate projection'!AD161/Var_freq)+IF(E$5="Mortgage Starts",0,Deposit_mon),2)</f>
        <v>4022.09</v>
      </c>
      <c r="F159" s="16">
        <f>ROUND(E159*(1+'Interest rate projection'!AE161/Var_freq)+IF(F$5="Mortgage Starts",0,Deposit_mon),2)</f>
        <v>5036.87</v>
      </c>
      <c r="G159" s="16">
        <f>ROUND(F159*(1+'Interest rate projection'!AF161/Var_freq)+IF(G$5="Mortgage Starts",0,Deposit_mon),2)</f>
        <v>6055.38</v>
      </c>
      <c r="H159" s="16">
        <f>ROUND(G159*(1+'Interest rate projection'!AG161/Var_freq)+IF(H$5="Mortgage Starts",0,Deposit_mon),2)</f>
        <v>7077.63</v>
      </c>
      <c r="I159" s="16">
        <f>ROUND(H159*(1+'Interest rate projection'!AH161/Var_freq)+IF(I$5="Mortgage Starts",0,Deposit_mon),2)</f>
        <v>8103.64</v>
      </c>
      <c r="J159" s="16">
        <f>ROUND(I159*(1+'Interest rate projection'!AI161/Var_freq)+IF(J$5="Mortgage Starts",0,Deposit_mon),2)</f>
        <v>9133.42</v>
      </c>
      <c r="K159" s="16">
        <f>ROUND(J159*(1+'Interest rate projection'!AJ161/Var_freq)+IF(K$5="Mortgage Starts",0,Deposit_mon),2)</f>
        <v>10166.98</v>
      </c>
      <c r="L159" s="16">
        <f>ROUND(K159*(1+'Interest rate projection'!AK161/Var_freq)+IF(L$5="Mortgage Starts",0,Deposit_mon),2)</f>
        <v>11204.34</v>
      </c>
      <c r="M159" s="16">
        <f>ROUND(L159*(1+'Interest rate projection'!AL161/Var_freq)+IF(M$5="Mortgage Starts",0,Deposit_mon),2)</f>
        <v>12245.51</v>
      </c>
      <c r="N159" s="16">
        <f>ROUND(M159*(1+'Interest rate projection'!AM161/Var_freq)+IF(N$5="Mortgage Starts",0,Deposit_mon),2)</f>
        <v>13290.51</v>
      </c>
      <c r="O159" s="16">
        <f>ROUND(N159*(1+'Interest rate projection'!AN161/Var_freq)+IF(O$5="Mortgage Starts",0,Deposit_mon),2)</f>
        <v>14339.35</v>
      </c>
      <c r="P159" s="16">
        <f>ROUND(O159*(1+'Interest rate projection'!AO161/Var_freq)+IF(P$5="Mortgage Starts",0,Deposit_mon),2)</f>
        <v>15392.04</v>
      </c>
      <c r="Q159" s="16">
        <f>ROUND(P159*(1+'Interest rate projection'!AP161/Var_freq)+IF(Q$5="Mortgage Starts",0,Deposit_mon),2)</f>
        <v>16448.599999999999</v>
      </c>
      <c r="R159" s="16">
        <f>ROUND(Q159*(1+'Interest rate projection'!AQ161/Var_freq)+IF(R$5="Mortgage Starts",0,Deposit_mon),2)</f>
        <v>17509.05</v>
      </c>
      <c r="S159" s="16">
        <f>ROUND(R159*(1+'Interest rate projection'!AR161/Var_freq)+IF(S$5="Mortgage Starts",0,Deposit_mon),2)</f>
        <v>18573.39</v>
      </c>
      <c r="T159" s="16">
        <f>ROUND(S159*(1+'Interest rate projection'!AS161/Var_freq)+IF(T$5="Mortgage Starts",0,Deposit_mon),2)</f>
        <v>19641.64</v>
      </c>
      <c r="U159" s="16">
        <f>ROUND(T159*(1+'Interest rate projection'!AT161/Var_freq)+IF(U$5="Mortgage Starts",0,Deposit_mon),2)</f>
        <v>20713.82</v>
      </c>
      <c r="V159" s="16">
        <f>ROUND(U159*(1+'Interest rate projection'!AU161/Var_freq)+IF(V$5="Mortgage Starts",0,Deposit_mon),2)</f>
        <v>21789.94</v>
      </c>
      <c r="W159" s="16">
        <f>ROUND(V159*(1+'Interest rate projection'!AV161/Var_freq)+IF(W$5="Mortgage Starts",0,Deposit_mon),2)</f>
        <v>22870.01</v>
      </c>
      <c r="X159" s="16">
        <f>ROUND(W159*(1+'Interest rate projection'!AW161/Var_freq)+IF(X$5="Mortgage Starts",0,Deposit_mon),2)</f>
        <v>23954.05</v>
      </c>
      <c r="Y159" s="16">
        <f>ROUND(X159*(1+'Interest rate projection'!AX161/Var_freq)+IF(Y$5="Mortgage Starts",0,Deposit_mon),2)</f>
        <v>25042.080000000002</v>
      </c>
      <c r="Z159" s="57">
        <f>ROUND(Y159*(1+'Interest rate projection'!AY161/Var_freq)+IF(Z$5="Mortgage Starts",0,Deposit_mon),2)</f>
        <v>25134.1</v>
      </c>
      <c r="AB159" s="38">
        <f>'Interest rate projection'!Z161</f>
        <v>4.4999999999999998E-2</v>
      </c>
      <c r="AC159" s="38">
        <f>'Interest rate projection'!AZ161</f>
        <v>4.4097712805242217E-2</v>
      </c>
      <c r="AD159" s="59" t="str">
        <f t="shared" si="22"/>
        <v>OK</v>
      </c>
      <c r="AE159" s="39">
        <f t="shared" si="23"/>
        <v>15.131610255367837</v>
      </c>
      <c r="AG159" s="73">
        <f t="shared" si="25"/>
        <v>25134.1</v>
      </c>
      <c r="AH159" s="73">
        <f t="shared" si="26"/>
        <v>174865.9</v>
      </c>
      <c r="AI159" s="74">
        <f t="shared" si="24"/>
        <v>963.03</v>
      </c>
      <c r="AJ159" s="9"/>
      <c r="AK159" s="73">
        <f>'Fixed rate projection'!$AE$3-('Variable rate projection'!AI159*Product_term*Var_freq)</f>
        <v>14160</v>
      </c>
    </row>
    <row r="160" spans="1:37" x14ac:dyDescent="0.35">
      <c r="A160" s="27">
        <v>155</v>
      </c>
      <c r="B160" s="57">
        <f t="shared" si="21"/>
        <v>1000</v>
      </c>
      <c r="C160" s="16">
        <f>ROUND(B160*(1+'Interest rate projection'!AB162/Var_freq)+IF(C$5="Mortgage Starts",0,Deposit_mon),2)</f>
        <v>2003.67</v>
      </c>
      <c r="D160" s="16">
        <f>ROUND(C160*(1+'Interest rate projection'!AC162/Var_freq)+IF(D$5="Mortgage Starts",0,Deposit_mon),2)</f>
        <v>3011.03</v>
      </c>
      <c r="E160" s="16">
        <f>ROUND(D160*(1+'Interest rate projection'!AD162/Var_freq)+IF(E$5="Mortgage Starts",0,Deposit_mon),2)</f>
        <v>4022.09</v>
      </c>
      <c r="F160" s="16">
        <f>ROUND(E160*(1+'Interest rate projection'!AE162/Var_freq)+IF(F$5="Mortgage Starts",0,Deposit_mon),2)</f>
        <v>5036.87</v>
      </c>
      <c r="G160" s="16">
        <f>ROUND(F160*(1+'Interest rate projection'!AF162/Var_freq)+IF(G$5="Mortgage Starts",0,Deposit_mon),2)</f>
        <v>6055.38</v>
      </c>
      <c r="H160" s="16">
        <f>ROUND(G160*(1+'Interest rate projection'!AG162/Var_freq)+IF(H$5="Mortgage Starts",0,Deposit_mon),2)</f>
        <v>7080.05</v>
      </c>
      <c r="I160" s="16">
        <f>ROUND(H160*(1+'Interest rate projection'!AH162/Var_freq)+IF(I$5="Mortgage Starts",0,Deposit_mon),2)</f>
        <v>8108.9</v>
      </c>
      <c r="J160" s="16">
        <f>ROUND(I160*(1+'Interest rate projection'!AI162/Var_freq)+IF(J$5="Mortgage Starts",0,Deposit_mon),2)</f>
        <v>9141.94</v>
      </c>
      <c r="K160" s="16">
        <f>ROUND(J160*(1+'Interest rate projection'!AJ162/Var_freq)+IF(K$5="Mortgage Starts",0,Deposit_mon),2)</f>
        <v>10179.19</v>
      </c>
      <c r="L160" s="16">
        <f>ROUND(K160*(1+'Interest rate projection'!AK162/Var_freq)+IF(L$5="Mortgage Starts",0,Deposit_mon),2)</f>
        <v>11220.66</v>
      </c>
      <c r="M160" s="16">
        <f>ROUND(L160*(1+'Interest rate projection'!AL162/Var_freq)+IF(M$5="Mortgage Starts",0,Deposit_mon),2)</f>
        <v>12266.37</v>
      </c>
      <c r="N160" s="16">
        <f>ROUND(M160*(1+'Interest rate projection'!AM162/Var_freq)+IF(N$5="Mortgage Starts",0,Deposit_mon),2)</f>
        <v>13318.79</v>
      </c>
      <c r="O160" s="16">
        <f>ROUND(N160*(1+'Interest rate projection'!AN162/Var_freq)+IF(O$5="Mortgage Starts",0,Deposit_mon),2)</f>
        <v>14375.7</v>
      </c>
      <c r="P160" s="16">
        <f>ROUND(O160*(1+'Interest rate projection'!AO162/Var_freq)+IF(P$5="Mortgage Starts",0,Deposit_mon),2)</f>
        <v>15437.13</v>
      </c>
      <c r="Q160" s="16">
        <f>ROUND(P160*(1+'Interest rate projection'!AP162/Var_freq)+IF(Q$5="Mortgage Starts",0,Deposit_mon),2)</f>
        <v>16503.09</v>
      </c>
      <c r="R160" s="16">
        <f>ROUND(Q160*(1+'Interest rate projection'!AQ162/Var_freq)+IF(R$5="Mortgage Starts",0,Deposit_mon),2)</f>
        <v>17573.61</v>
      </c>
      <c r="S160" s="16">
        <f>ROUND(R160*(1+'Interest rate projection'!AR162/Var_freq)+IF(S$5="Mortgage Starts",0,Deposit_mon),2)</f>
        <v>18648.7</v>
      </c>
      <c r="T160" s="16">
        <f>ROUND(S160*(1+'Interest rate projection'!AS162/Var_freq)+IF(T$5="Mortgage Starts",0,Deposit_mon),2)</f>
        <v>19728.39</v>
      </c>
      <c r="U160" s="16">
        <f>ROUND(T160*(1+'Interest rate projection'!AT162/Var_freq)+IF(U$5="Mortgage Starts",0,Deposit_mon),2)</f>
        <v>20812.689999999999</v>
      </c>
      <c r="V160" s="16">
        <f>ROUND(U160*(1+'Interest rate projection'!AU162/Var_freq)+IF(V$5="Mortgage Starts",0,Deposit_mon),2)</f>
        <v>21901.63</v>
      </c>
      <c r="W160" s="16">
        <f>ROUND(V160*(1+'Interest rate projection'!AV162/Var_freq)+IF(W$5="Mortgage Starts",0,Deposit_mon),2)</f>
        <v>22995.22</v>
      </c>
      <c r="X160" s="16">
        <f>ROUND(W160*(1+'Interest rate projection'!AW162/Var_freq)+IF(X$5="Mortgage Starts",0,Deposit_mon),2)</f>
        <v>24093.48</v>
      </c>
      <c r="Y160" s="16">
        <f>ROUND(X160*(1+'Interest rate projection'!AX162/Var_freq)+IF(Y$5="Mortgage Starts",0,Deposit_mon),2)</f>
        <v>25196.43</v>
      </c>
      <c r="Z160" s="57">
        <f>ROUND(Y160*(1+'Interest rate projection'!AY162/Var_freq)+IF(Z$5="Mortgage Starts",0,Deposit_mon),2)</f>
        <v>25314.09</v>
      </c>
      <c r="AB160" s="38">
        <f>'Interest rate projection'!Z162</f>
        <v>5.7499999999999996E-2</v>
      </c>
      <c r="AC160" s="38">
        <f>'Interest rate projection'!AZ162</f>
        <v>5.603807040042863E-2</v>
      </c>
      <c r="AD160" s="59" t="str">
        <f t="shared" si="22"/>
        <v>OK</v>
      </c>
      <c r="AE160" s="39">
        <f t="shared" si="23"/>
        <v>13.434312256020331</v>
      </c>
      <c r="AG160" s="73">
        <f t="shared" si="25"/>
        <v>25314.09</v>
      </c>
      <c r="AH160" s="73">
        <f t="shared" si="26"/>
        <v>174685.91</v>
      </c>
      <c r="AI160" s="74">
        <f t="shared" si="24"/>
        <v>1083.58</v>
      </c>
      <c r="AJ160" s="9"/>
      <c r="AK160" s="73">
        <f>'Fixed rate projection'!$AE$3-('Variable rate projection'!AI160*Product_term*Var_freq)</f>
        <v>-22005</v>
      </c>
    </row>
    <row r="161" spans="1:37" x14ac:dyDescent="0.35">
      <c r="A161" s="5">
        <v>156</v>
      </c>
      <c r="B161" s="57">
        <f t="shared" si="21"/>
        <v>1000</v>
      </c>
      <c r="C161" s="16">
        <f>ROUND(B161*(1+'Interest rate projection'!AB163/Var_freq)+IF(C$5="Mortgage Starts",0,Deposit_mon),2)</f>
        <v>2003.67</v>
      </c>
      <c r="D161" s="16">
        <f>ROUND(C161*(1+'Interest rate projection'!AC163/Var_freq)+IF(D$5="Mortgage Starts",0,Deposit_mon),2)</f>
        <v>3011.03</v>
      </c>
      <c r="E161" s="16">
        <f>ROUND(D161*(1+'Interest rate projection'!AD163/Var_freq)+IF(E$5="Mortgage Starts",0,Deposit_mon),2)</f>
        <v>4022.09</v>
      </c>
      <c r="F161" s="16">
        <f>ROUND(E161*(1+'Interest rate projection'!AE163/Var_freq)+IF(F$5="Mortgage Starts",0,Deposit_mon),2)</f>
        <v>5036.87</v>
      </c>
      <c r="G161" s="16">
        <f>ROUND(F161*(1+'Interest rate projection'!AF163/Var_freq)+IF(G$5="Mortgage Starts",0,Deposit_mon),2)</f>
        <v>6055.38</v>
      </c>
      <c r="H161" s="16">
        <f>ROUND(G161*(1+'Interest rate projection'!AG163/Var_freq)+IF(H$5="Mortgage Starts",0,Deposit_mon),2)</f>
        <v>7077.63</v>
      </c>
      <c r="I161" s="16">
        <f>ROUND(H161*(1+'Interest rate projection'!AH163/Var_freq)+IF(I$5="Mortgage Starts",0,Deposit_mon),2)</f>
        <v>8103.64</v>
      </c>
      <c r="J161" s="16">
        <f>ROUND(I161*(1+'Interest rate projection'!AI163/Var_freq)+IF(J$5="Mortgage Starts",0,Deposit_mon),2)</f>
        <v>9133.42</v>
      </c>
      <c r="K161" s="16">
        <f>ROUND(J161*(1+'Interest rate projection'!AJ163/Var_freq)+IF(K$5="Mortgage Starts",0,Deposit_mon),2)</f>
        <v>10166.98</v>
      </c>
      <c r="L161" s="16">
        <f>ROUND(K161*(1+'Interest rate projection'!AK163/Var_freq)+IF(L$5="Mortgage Starts",0,Deposit_mon),2)</f>
        <v>11204.34</v>
      </c>
      <c r="M161" s="16">
        <f>ROUND(L161*(1+'Interest rate projection'!AL163/Var_freq)+IF(M$5="Mortgage Starts",0,Deposit_mon),2)</f>
        <v>12245.51</v>
      </c>
      <c r="N161" s="16">
        <f>ROUND(M161*(1+'Interest rate projection'!AM163/Var_freq)+IF(N$5="Mortgage Starts",0,Deposit_mon),2)</f>
        <v>13290.51</v>
      </c>
      <c r="O161" s="16">
        <f>ROUND(N161*(1+'Interest rate projection'!AN163/Var_freq)+IF(O$5="Mortgage Starts",0,Deposit_mon),2)</f>
        <v>14339.35</v>
      </c>
      <c r="P161" s="16">
        <f>ROUND(O161*(1+'Interest rate projection'!AO163/Var_freq)+IF(P$5="Mortgage Starts",0,Deposit_mon),2)</f>
        <v>15392.04</v>
      </c>
      <c r="Q161" s="16">
        <f>ROUND(P161*(1+'Interest rate projection'!AP163/Var_freq)+IF(Q$5="Mortgage Starts",0,Deposit_mon),2)</f>
        <v>16448.599999999999</v>
      </c>
      <c r="R161" s="16">
        <f>ROUND(Q161*(1+'Interest rate projection'!AQ163/Var_freq)+IF(R$5="Mortgage Starts",0,Deposit_mon),2)</f>
        <v>17509.05</v>
      </c>
      <c r="S161" s="16">
        <f>ROUND(R161*(1+'Interest rate projection'!AR163/Var_freq)+IF(S$5="Mortgage Starts",0,Deposit_mon),2)</f>
        <v>18573.39</v>
      </c>
      <c r="T161" s="16">
        <f>ROUND(S161*(1+'Interest rate projection'!AS163/Var_freq)+IF(T$5="Mortgage Starts",0,Deposit_mon),2)</f>
        <v>19641.64</v>
      </c>
      <c r="U161" s="16">
        <f>ROUND(T161*(1+'Interest rate projection'!AT163/Var_freq)+IF(U$5="Mortgage Starts",0,Deposit_mon),2)</f>
        <v>20713.82</v>
      </c>
      <c r="V161" s="16">
        <f>ROUND(U161*(1+'Interest rate projection'!AU163/Var_freq)+IF(V$5="Mortgage Starts",0,Deposit_mon),2)</f>
        <v>21789.94</v>
      </c>
      <c r="W161" s="16">
        <f>ROUND(V161*(1+'Interest rate projection'!AV163/Var_freq)+IF(W$5="Mortgage Starts",0,Deposit_mon),2)</f>
        <v>22870.01</v>
      </c>
      <c r="X161" s="16">
        <f>ROUND(W161*(1+'Interest rate projection'!AW163/Var_freq)+IF(X$5="Mortgage Starts",0,Deposit_mon),2)</f>
        <v>23954.05</v>
      </c>
      <c r="Y161" s="16">
        <f>ROUND(X161*(1+'Interest rate projection'!AX163/Var_freq)+IF(Y$5="Mortgage Starts",0,Deposit_mon),2)</f>
        <v>25042.080000000002</v>
      </c>
      <c r="Z161" s="57">
        <f>ROUND(Y161*(1+'Interest rate projection'!AY163/Var_freq)+IF(Z$5="Mortgage Starts",0,Deposit_mon),2)</f>
        <v>25134.1</v>
      </c>
      <c r="AB161" s="38">
        <f>'Interest rate projection'!Z163</f>
        <v>4.4999999999999998E-2</v>
      </c>
      <c r="AC161" s="38">
        <f>'Interest rate projection'!AZ163</f>
        <v>4.4097712805242217E-2</v>
      </c>
      <c r="AD161" s="59" t="str">
        <f t="shared" si="22"/>
        <v>OK</v>
      </c>
      <c r="AE161" s="39">
        <f t="shared" si="23"/>
        <v>15.131610255367837</v>
      </c>
      <c r="AG161" s="73">
        <f t="shared" si="25"/>
        <v>25134.1</v>
      </c>
      <c r="AH161" s="73">
        <f t="shared" si="26"/>
        <v>174865.9</v>
      </c>
      <c r="AI161" s="74">
        <f t="shared" si="24"/>
        <v>963.03</v>
      </c>
      <c r="AJ161" s="9"/>
      <c r="AK161" s="73">
        <f>'Fixed rate projection'!$AE$3-('Variable rate projection'!AI161*Product_term*Var_freq)</f>
        <v>14160</v>
      </c>
    </row>
    <row r="162" spans="1:37" x14ac:dyDescent="0.35">
      <c r="A162" s="27">
        <v>157</v>
      </c>
      <c r="B162" s="57">
        <f t="shared" si="21"/>
        <v>1000</v>
      </c>
      <c r="C162" s="16">
        <f>ROUND(B162*(1+'Interest rate projection'!AB164/Var_freq)+IF(C$5="Mortgage Starts",0,Deposit_mon),2)</f>
        <v>2003.67</v>
      </c>
      <c r="D162" s="16">
        <f>ROUND(C162*(1+'Interest rate projection'!AC164/Var_freq)+IF(D$5="Mortgage Starts",0,Deposit_mon),2)</f>
        <v>3011.03</v>
      </c>
      <c r="E162" s="16">
        <f>ROUND(D162*(1+'Interest rate projection'!AD164/Var_freq)+IF(E$5="Mortgage Starts",0,Deposit_mon),2)</f>
        <v>4022.09</v>
      </c>
      <c r="F162" s="16">
        <f>ROUND(E162*(1+'Interest rate projection'!AE164/Var_freq)+IF(F$5="Mortgage Starts",0,Deposit_mon),2)</f>
        <v>5036.87</v>
      </c>
      <c r="G162" s="16">
        <f>ROUND(F162*(1+'Interest rate projection'!AF164/Var_freq)+IF(G$5="Mortgage Starts",0,Deposit_mon),2)</f>
        <v>6055.38</v>
      </c>
      <c r="H162" s="16">
        <f>ROUND(G162*(1+'Interest rate projection'!AG164/Var_freq)+IF(H$5="Mortgage Starts",0,Deposit_mon),2)</f>
        <v>7077.63</v>
      </c>
      <c r="I162" s="16">
        <f>ROUND(H162*(1+'Interest rate projection'!AH164/Var_freq)+IF(I$5="Mortgage Starts",0,Deposit_mon),2)</f>
        <v>8103.64</v>
      </c>
      <c r="J162" s="16">
        <f>ROUND(I162*(1+'Interest rate projection'!AI164/Var_freq)+IF(J$5="Mortgage Starts",0,Deposit_mon),2)</f>
        <v>9133.42</v>
      </c>
      <c r="K162" s="16">
        <f>ROUND(J162*(1+'Interest rate projection'!AJ164/Var_freq)+IF(K$5="Mortgage Starts",0,Deposit_mon),2)</f>
        <v>10166.98</v>
      </c>
      <c r="L162" s="16">
        <f>ROUND(K162*(1+'Interest rate projection'!AK164/Var_freq)+IF(L$5="Mortgage Starts",0,Deposit_mon),2)</f>
        <v>11202.31</v>
      </c>
      <c r="M162" s="16">
        <f>ROUND(L162*(1+'Interest rate projection'!AL164/Var_freq)+IF(M$5="Mortgage Starts",0,Deposit_mon),2)</f>
        <v>12241.23</v>
      </c>
      <c r="N162" s="16">
        <f>ROUND(M162*(1+'Interest rate projection'!AM164/Var_freq)+IF(N$5="Mortgage Starts",0,Deposit_mon),2)</f>
        <v>13283.76</v>
      </c>
      <c r="O162" s="16">
        <f>ROUND(N162*(1+'Interest rate projection'!AN164/Var_freq)+IF(O$5="Mortgage Starts",0,Deposit_mon),2)</f>
        <v>14332.58</v>
      </c>
      <c r="P162" s="16">
        <f>ROUND(O162*(1+'Interest rate projection'!AO164/Var_freq)+IF(P$5="Mortgage Starts",0,Deposit_mon),2)</f>
        <v>15385.25</v>
      </c>
      <c r="Q162" s="16">
        <f>ROUND(P162*(1+'Interest rate projection'!AP164/Var_freq)+IF(Q$5="Mortgage Starts",0,Deposit_mon),2)</f>
        <v>16441.79</v>
      </c>
      <c r="R162" s="16">
        <f>ROUND(Q162*(1+'Interest rate projection'!AQ164/Var_freq)+IF(R$5="Mortgage Starts",0,Deposit_mon),2)</f>
        <v>17502.21</v>
      </c>
      <c r="S162" s="16">
        <f>ROUND(R162*(1+'Interest rate projection'!AR164/Var_freq)+IF(S$5="Mortgage Starts",0,Deposit_mon),2)</f>
        <v>18566.53</v>
      </c>
      <c r="T162" s="16">
        <f>ROUND(S162*(1+'Interest rate projection'!AS164/Var_freq)+IF(T$5="Mortgage Starts",0,Deposit_mon),2)</f>
        <v>19634.759999999998</v>
      </c>
      <c r="U162" s="16">
        <f>ROUND(T162*(1+'Interest rate projection'!AT164/Var_freq)+IF(U$5="Mortgage Starts",0,Deposit_mon),2)</f>
        <v>20706.91</v>
      </c>
      <c r="V162" s="16">
        <f>ROUND(U162*(1+'Interest rate projection'!AU164/Var_freq)+IF(V$5="Mortgage Starts",0,Deposit_mon),2)</f>
        <v>21783</v>
      </c>
      <c r="W162" s="16">
        <f>ROUND(V162*(1+'Interest rate projection'!AV164/Var_freq)+IF(W$5="Mortgage Starts",0,Deposit_mon),2)</f>
        <v>22863.05</v>
      </c>
      <c r="X162" s="16">
        <f>ROUND(W162*(1+'Interest rate projection'!AW164/Var_freq)+IF(X$5="Mortgage Starts",0,Deposit_mon),2)</f>
        <v>23947.07</v>
      </c>
      <c r="Y162" s="16">
        <f>ROUND(X162*(1+'Interest rate projection'!AX164/Var_freq)+IF(Y$5="Mortgage Starts",0,Deposit_mon),2)</f>
        <v>25035.07</v>
      </c>
      <c r="Z162" s="57">
        <f>ROUND(Y162*(1+'Interest rate projection'!AY164/Var_freq)+IF(Z$5="Mortgage Starts",0,Deposit_mon),2)</f>
        <v>25127.07</v>
      </c>
      <c r="AB162" s="38">
        <f>'Interest rate projection'!Z164</f>
        <v>4.4999999999999998E-2</v>
      </c>
      <c r="AC162" s="38">
        <f>'Interest rate projection'!AZ164</f>
        <v>4.4097712805242217E-2</v>
      </c>
      <c r="AD162" s="59" t="str">
        <f t="shared" si="22"/>
        <v>OK</v>
      </c>
      <c r="AE162" s="39">
        <f t="shared" si="23"/>
        <v>15.131610255367837</v>
      </c>
      <c r="AG162" s="73">
        <f t="shared" si="25"/>
        <v>25127.07</v>
      </c>
      <c r="AH162" s="73">
        <f t="shared" si="26"/>
        <v>174872.93</v>
      </c>
      <c r="AI162" s="74">
        <f t="shared" si="24"/>
        <v>963.07</v>
      </c>
      <c r="AJ162" s="9"/>
      <c r="AK162" s="73">
        <f>'Fixed rate projection'!$AE$3-('Variable rate projection'!AI162*Product_term*Var_freq)</f>
        <v>14148</v>
      </c>
    </row>
    <row r="163" spans="1:37" x14ac:dyDescent="0.35">
      <c r="A163" s="5">
        <v>158</v>
      </c>
      <c r="B163" s="57">
        <f t="shared" si="21"/>
        <v>1000</v>
      </c>
      <c r="C163" s="16">
        <f>ROUND(B163*(1+'Interest rate projection'!AB165/Var_freq)+IF(C$5="Mortgage Starts",0,Deposit_mon),2)</f>
        <v>2003.67</v>
      </c>
      <c r="D163" s="16">
        <f>ROUND(C163*(1+'Interest rate projection'!AC165/Var_freq)+IF(D$5="Mortgage Starts",0,Deposit_mon),2)</f>
        <v>3011.03</v>
      </c>
      <c r="E163" s="16">
        <f>ROUND(D163*(1+'Interest rate projection'!AD165/Var_freq)+IF(E$5="Mortgage Starts",0,Deposit_mon),2)</f>
        <v>4022.09</v>
      </c>
      <c r="F163" s="16">
        <f>ROUND(E163*(1+'Interest rate projection'!AE165/Var_freq)+IF(F$5="Mortgage Starts",0,Deposit_mon),2)</f>
        <v>5036.0600000000004</v>
      </c>
      <c r="G163" s="16">
        <f>ROUND(F163*(1+'Interest rate projection'!AF165/Var_freq)+IF(G$5="Mortgage Starts",0,Deposit_mon),2)</f>
        <v>6053.56</v>
      </c>
      <c r="H163" s="16">
        <f>ROUND(G163*(1+'Interest rate projection'!AG165/Var_freq)+IF(H$5="Mortgage Starts",0,Deposit_mon),2)</f>
        <v>7074.59</v>
      </c>
      <c r="I163" s="16">
        <f>ROUND(H163*(1+'Interest rate projection'!AH165/Var_freq)+IF(I$5="Mortgage Starts",0,Deposit_mon),2)</f>
        <v>8099.17</v>
      </c>
      <c r="J163" s="16">
        <f>ROUND(I163*(1+'Interest rate projection'!AI165/Var_freq)+IF(J$5="Mortgage Starts",0,Deposit_mon),2)</f>
        <v>9127.31</v>
      </c>
      <c r="K163" s="16">
        <f>ROUND(J163*(1+'Interest rate projection'!AJ165/Var_freq)+IF(K$5="Mortgage Starts",0,Deposit_mon),2)</f>
        <v>10157.19</v>
      </c>
      <c r="L163" s="16">
        <f>ROUND(K163*(1+'Interest rate projection'!AK165/Var_freq)+IF(L$5="Mortgage Starts",0,Deposit_mon),2)</f>
        <v>11190.44</v>
      </c>
      <c r="M163" s="16">
        <f>ROUND(L163*(1+'Interest rate projection'!AL165/Var_freq)+IF(M$5="Mortgage Starts",0,Deposit_mon),2)</f>
        <v>12227.07</v>
      </c>
      <c r="N163" s="16">
        <f>ROUND(M163*(1+'Interest rate projection'!AM165/Var_freq)+IF(N$5="Mortgage Starts",0,Deposit_mon),2)</f>
        <v>13264.64</v>
      </c>
      <c r="O163" s="16">
        <f>ROUND(N163*(1+'Interest rate projection'!AN165/Var_freq)+IF(O$5="Mortgage Starts",0,Deposit_mon),2)</f>
        <v>14305.4</v>
      </c>
      <c r="P163" s="16">
        <f>ROUND(O163*(1+'Interest rate projection'!AO165/Var_freq)+IF(P$5="Mortgage Starts",0,Deposit_mon),2)</f>
        <v>15349.35</v>
      </c>
      <c r="Q163" s="16">
        <f>ROUND(P163*(1+'Interest rate projection'!AP165/Var_freq)+IF(Q$5="Mortgage Starts",0,Deposit_mon),2)</f>
        <v>16396.509999999998</v>
      </c>
      <c r="R163" s="16">
        <f>ROUND(Q163*(1+'Interest rate projection'!AQ165/Var_freq)+IF(R$5="Mortgage Starts",0,Deposit_mon),2)</f>
        <v>17446.89</v>
      </c>
      <c r="S163" s="16">
        <f>ROUND(R163*(1+'Interest rate projection'!AR165/Var_freq)+IF(S$5="Mortgage Starts",0,Deposit_mon),2)</f>
        <v>18496.98</v>
      </c>
      <c r="T163" s="16">
        <f>ROUND(S163*(1+'Interest rate projection'!AS165/Var_freq)+IF(T$5="Mortgage Starts",0,Deposit_mon),2)</f>
        <v>19550.080000000002</v>
      </c>
      <c r="U163" s="16">
        <f>ROUND(T163*(1+'Interest rate projection'!AT165/Var_freq)+IF(U$5="Mortgage Starts",0,Deposit_mon),2)</f>
        <v>20606.21</v>
      </c>
      <c r="V163" s="16">
        <f>ROUND(U163*(1+'Interest rate projection'!AU165/Var_freq)+IF(V$5="Mortgage Starts",0,Deposit_mon),2)</f>
        <v>21665.37</v>
      </c>
      <c r="W163" s="16">
        <f>ROUND(V163*(1+'Interest rate projection'!AV165/Var_freq)+IF(W$5="Mortgage Starts",0,Deposit_mon),2)</f>
        <v>22727.57</v>
      </c>
      <c r="X163" s="16">
        <f>ROUND(W163*(1+'Interest rate projection'!AW165/Var_freq)+IF(X$5="Mortgage Starts",0,Deposit_mon),2)</f>
        <v>23792.82</v>
      </c>
      <c r="Y163" s="16">
        <f>ROUND(X163*(1+'Interest rate projection'!AX165/Var_freq)+IF(Y$5="Mortgage Starts",0,Deposit_mon),2)</f>
        <v>24861.13</v>
      </c>
      <c r="Z163" s="57">
        <f>ROUND(Y163*(1+'Interest rate projection'!AY165/Var_freq)+IF(Z$5="Mortgage Starts",0,Deposit_mon),2)</f>
        <v>24932.5</v>
      </c>
      <c r="AB163" s="38">
        <f>'Interest rate projection'!Z165</f>
        <v>3.4999999999999989E-2</v>
      </c>
      <c r="AC163" s="38">
        <f>'Interest rate projection'!AZ165</f>
        <v>3.4450784628919706E-2</v>
      </c>
      <c r="AD163" s="59" t="str">
        <f t="shared" si="22"/>
        <v>OK</v>
      </c>
      <c r="AE163" s="39">
        <f t="shared" si="23"/>
        <v>16.744263358395965</v>
      </c>
      <c r="AG163" s="73">
        <f t="shared" si="25"/>
        <v>24932.5</v>
      </c>
      <c r="AH163" s="73">
        <f t="shared" si="26"/>
        <v>175067.5</v>
      </c>
      <c r="AI163" s="74">
        <f t="shared" si="24"/>
        <v>871.28</v>
      </c>
      <c r="AJ163" s="9"/>
      <c r="AK163" s="73">
        <f>'Fixed rate projection'!$AE$3-('Variable rate projection'!AI163*Product_term*Var_freq)</f>
        <v>41685</v>
      </c>
    </row>
    <row r="164" spans="1:37" x14ac:dyDescent="0.35">
      <c r="A164" s="27">
        <v>159</v>
      </c>
      <c r="B164" s="57">
        <f t="shared" si="21"/>
        <v>1000</v>
      </c>
      <c r="C164" s="16">
        <f>ROUND(B164*(1+'Interest rate projection'!AB166/Var_freq)+IF(C$5="Mortgage Starts",0,Deposit_mon),2)</f>
        <v>2003.67</v>
      </c>
      <c r="D164" s="16">
        <f>ROUND(C164*(1+'Interest rate projection'!AC166/Var_freq)+IF(D$5="Mortgage Starts",0,Deposit_mon),2)</f>
        <v>3011.03</v>
      </c>
      <c r="E164" s="16">
        <f>ROUND(D164*(1+'Interest rate projection'!AD166/Var_freq)+IF(E$5="Mortgage Starts",0,Deposit_mon),2)</f>
        <v>4022.09</v>
      </c>
      <c r="F164" s="16">
        <f>ROUND(E164*(1+'Interest rate projection'!AE166/Var_freq)+IF(F$5="Mortgage Starts",0,Deposit_mon),2)</f>
        <v>5037.67</v>
      </c>
      <c r="G164" s="16">
        <f>ROUND(F164*(1+'Interest rate projection'!AF166/Var_freq)+IF(G$5="Mortgage Starts",0,Deposit_mon),2)</f>
        <v>6057.19</v>
      </c>
      <c r="H164" s="16">
        <f>ROUND(G164*(1+'Interest rate projection'!AG166/Var_freq)+IF(H$5="Mortgage Starts",0,Deposit_mon),2)</f>
        <v>7080.66</v>
      </c>
      <c r="I164" s="16">
        <f>ROUND(H164*(1+'Interest rate projection'!AH166/Var_freq)+IF(I$5="Mortgage Starts",0,Deposit_mon),2)</f>
        <v>8108.1</v>
      </c>
      <c r="J164" s="16">
        <f>ROUND(I164*(1+'Interest rate projection'!AI166/Var_freq)+IF(J$5="Mortgage Starts",0,Deposit_mon),2)</f>
        <v>9139.52</v>
      </c>
      <c r="K164" s="16">
        <f>ROUND(J164*(1+'Interest rate projection'!AJ166/Var_freq)+IF(K$5="Mortgage Starts",0,Deposit_mon),2)</f>
        <v>10174.93</v>
      </c>
      <c r="L164" s="16">
        <f>ROUND(K164*(1+'Interest rate projection'!AK166/Var_freq)+IF(L$5="Mortgage Starts",0,Deposit_mon),2)</f>
        <v>11214.35</v>
      </c>
      <c r="M164" s="16">
        <f>ROUND(L164*(1+'Interest rate projection'!AL166/Var_freq)+IF(M$5="Mortgage Starts",0,Deposit_mon),2)</f>
        <v>12257.8</v>
      </c>
      <c r="N164" s="16">
        <f>ROUND(M164*(1+'Interest rate projection'!AM166/Var_freq)+IF(N$5="Mortgage Starts",0,Deposit_mon),2)</f>
        <v>13305.3</v>
      </c>
      <c r="O164" s="16">
        <f>ROUND(N164*(1+'Interest rate projection'!AN166/Var_freq)+IF(O$5="Mortgage Starts",0,Deposit_mon),2)</f>
        <v>14356.85</v>
      </c>
      <c r="P164" s="16">
        <f>ROUND(O164*(1+'Interest rate projection'!AO166/Var_freq)+IF(P$5="Mortgage Starts",0,Deposit_mon),2)</f>
        <v>15412.48</v>
      </c>
      <c r="Q164" s="16">
        <f>ROUND(P164*(1+'Interest rate projection'!AP166/Var_freq)+IF(Q$5="Mortgage Starts",0,Deposit_mon),2)</f>
        <v>16472.2</v>
      </c>
      <c r="R164" s="16">
        <f>ROUND(Q164*(1+'Interest rate projection'!AQ166/Var_freq)+IF(R$5="Mortgage Starts",0,Deposit_mon),2)</f>
        <v>17536.02</v>
      </c>
      <c r="S164" s="16">
        <f>ROUND(R164*(1+'Interest rate projection'!AR166/Var_freq)+IF(S$5="Mortgage Starts",0,Deposit_mon),2)</f>
        <v>18603.97</v>
      </c>
      <c r="T164" s="16">
        <f>ROUND(S164*(1+'Interest rate projection'!AS166/Var_freq)+IF(T$5="Mortgage Starts",0,Deposit_mon),2)</f>
        <v>19676.05</v>
      </c>
      <c r="U164" s="16">
        <f>ROUND(T164*(1+'Interest rate projection'!AT166/Var_freq)+IF(U$5="Mortgage Starts",0,Deposit_mon),2)</f>
        <v>20752.29</v>
      </c>
      <c r="V164" s="16">
        <f>ROUND(U164*(1+'Interest rate projection'!AU166/Var_freq)+IF(V$5="Mortgage Starts",0,Deposit_mon),2)</f>
        <v>21832.7</v>
      </c>
      <c r="W164" s="16">
        <f>ROUND(V164*(1+'Interest rate projection'!AV166/Var_freq)+IF(W$5="Mortgage Starts",0,Deposit_mon),2)</f>
        <v>22917.29</v>
      </c>
      <c r="X164" s="16">
        <f>ROUND(W164*(1+'Interest rate projection'!AW166/Var_freq)+IF(X$5="Mortgage Starts",0,Deposit_mon),2)</f>
        <v>24006.09</v>
      </c>
      <c r="Y164" s="16">
        <f>ROUND(X164*(1+'Interest rate projection'!AX166/Var_freq)+IF(Y$5="Mortgage Starts",0,Deposit_mon),2)</f>
        <v>25103.89</v>
      </c>
      <c r="Z164" s="57">
        <f>ROUND(Y164*(1+'Interest rate projection'!AY166/Var_freq)+IF(Z$5="Mortgage Starts",0,Deposit_mon),2)</f>
        <v>25206.17</v>
      </c>
      <c r="AB164" s="38">
        <f>'Interest rate projection'!Z166</f>
        <v>0.05</v>
      </c>
      <c r="AC164" s="38">
        <f>'Interest rate projection'!AZ166</f>
        <v>4.8889485403780242E-2</v>
      </c>
      <c r="AD164" s="59" t="str">
        <f t="shared" si="22"/>
        <v>OK</v>
      </c>
      <c r="AE164" s="39">
        <f t="shared" si="23"/>
        <v>14.4140856153857</v>
      </c>
      <c r="AG164" s="73">
        <f t="shared" si="25"/>
        <v>25206.17</v>
      </c>
      <c r="AH164" s="73">
        <f t="shared" si="26"/>
        <v>174793.83000000002</v>
      </c>
      <c r="AI164" s="74">
        <f t="shared" si="24"/>
        <v>1010.55</v>
      </c>
      <c r="AJ164" s="9"/>
      <c r="AK164" s="73">
        <f>'Fixed rate projection'!$AE$3-('Variable rate projection'!AI164*Product_term*Var_freq)</f>
        <v>-96</v>
      </c>
    </row>
    <row r="165" spans="1:37" x14ac:dyDescent="0.35">
      <c r="A165" s="5">
        <v>160</v>
      </c>
      <c r="B165" s="57">
        <f t="shared" si="21"/>
        <v>1000</v>
      </c>
      <c r="C165" s="16">
        <f>ROUND(B165*(1+'Interest rate projection'!AB167/Var_freq)+IF(C$5="Mortgage Starts",0,Deposit_mon),2)</f>
        <v>2003.67</v>
      </c>
      <c r="D165" s="16">
        <f>ROUND(C165*(1+'Interest rate projection'!AC167/Var_freq)+IF(D$5="Mortgage Starts",0,Deposit_mon),2)</f>
        <v>3011.03</v>
      </c>
      <c r="E165" s="16">
        <f>ROUND(D165*(1+'Interest rate projection'!AD167/Var_freq)+IF(E$5="Mortgage Starts",0,Deposit_mon),2)</f>
        <v>4023.3</v>
      </c>
      <c r="F165" s="16">
        <f>ROUND(E165*(1+'Interest rate projection'!AE167/Var_freq)+IF(F$5="Mortgage Starts",0,Deposit_mon),2)</f>
        <v>5039.6899999999996</v>
      </c>
      <c r="G165" s="16">
        <f>ROUND(F165*(1+'Interest rate projection'!AF167/Var_freq)+IF(G$5="Mortgage Starts",0,Deposit_mon),2)</f>
        <v>6060.22</v>
      </c>
      <c r="H165" s="16">
        <f>ROUND(G165*(1+'Interest rate projection'!AG167/Var_freq)+IF(H$5="Mortgage Starts",0,Deposit_mon),2)</f>
        <v>7084.91</v>
      </c>
      <c r="I165" s="16">
        <f>ROUND(H165*(1+'Interest rate projection'!AH167/Var_freq)+IF(I$5="Mortgage Starts",0,Deposit_mon),2)</f>
        <v>8113.77</v>
      </c>
      <c r="J165" s="16">
        <f>ROUND(I165*(1+'Interest rate projection'!AI167/Var_freq)+IF(J$5="Mortgage Starts",0,Deposit_mon),2)</f>
        <v>9146.83</v>
      </c>
      <c r="K165" s="16">
        <f>ROUND(J165*(1+'Interest rate projection'!AJ167/Var_freq)+IF(K$5="Mortgage Starts",0,Deposit_mon),2)</f>
        <v>10187.73</v>
      </c>
      <c r="L165" s="16">
        <f>ROUND(K165*(1+'Interest rate projection'!AK167/Var_freq)+IF(L$5="Mortgage Starts",0,Deposit_mon),2)</f>
        <v>11233.29</v>
      </c>
      <c r="M165" s="16">
        <f>ROUND(L165*(1+'Interest rate projection'!AL167/Var_freq)+IF(M$5="Mortgage Starts",0,Deposit_mon),2)</f>
        <v>12283.52</v>
      </c>
      <c r="N165" s="16">
        <f>ROUND(M165*(1+'Interest rate projection'!AM167/Var_freq)+IF(N$5="Mortgage Starts",0,Deposit_mon),2)</f>
        <v>13338.45</v>
      </c>
      <c r="O165" s="16">
        <f>ROUND(N165*(1+'Interest rate projection'!AN167/Var_freq)+IF(O$5="Mortgage Starts",0,Deposit_mon),2)</f>
        <v>14398.1</v>
      </c>
      <c r="P165" s="16">
        <f>ROUND(O165*(1+'Interest rate projection'!AO167/Var_freq)+IF(P$5="Mortgage Starts",0,Deposit_mon),2)</f>
        <v>15462.48</v>
      </c>
      <c r="Q165" s="16">
        <f>ROUND(P165*(1+'Interest rate projection'!AP167/Var_freq)+IF(Q$5="Mortgage Starts",0,Deposit_mon),2)</f>
        <v>16531.62</v>
      </c>
      <c r="R165" s="16">
        <f>ROUND(Q165*(1+'Interest rate projection'!AQ167/Var_freq)+IF(R$5="Mortgage Starts",0,Deposit_mon),2)</f>
        <v>17605.54</v>
      </c>
      <c r="S165" s="16">
        <f>ROUND(R165*(1+'Interest rate projection'!AR167/Var_freq)+IF(S$5="Mortgage Starts",0,Deposit_mon),2)</f>
        <v>18684.27</v>
      </c>
      <c r="T165" s="16">
        <f>ROUND(S165*(1+'Interest rate projection'!AS167/Var_freq)+IF(T$5="Mortgage Starts",0,Deposit_mon),2)</f>
        <v>19767.82</v>
      </c>
      <c r="U165" s="16">
        <f>ROUND(T165*(1+'Interest rate projection'!AT167/Var_freq)+IF(U$5="Mortgage Starts",0,Deposit_mon),2)</f>
        <v>20856.22</v>
      </c>
      <c r="V165" s="16">
        <f>ROUND(U165*(1+'Interest rate projection'!AU167/Var_freq)+IF(V$5="Mortgage Starts",0,Deposit_mon),2)</f>
        <v>21949.48</v>
      </c>
      <c r="W165" s="16">
        <f>ROUND(V165*(1+'Interest rate projection'!AV167/Var_freq)+IF(W$5="Mortgage Starts",0,Deposit_mon),2)</f>
        <v>23047.63</v>
      </c>
      <c r="X165" s="16">
        <f>ROUND(W165*(1+'Interest rate projection'!AW167/Var_freq)+IF(X$5="Mortgage Starts",0,Deposit_mon),2)</f>
        <v>24150.69</v>
      </c>
      <c r="Y165" s="16">
        <f>ROUND(X165*(1+'Interest rate projection'!AX167/Var_freq)+IF(Y$5="Mortgage Starts",0,Deposit_mon),2)</f>
        <v>25253.89</v>
      </c>
      <c r="Z165" s="57">
        <f>ROUND(Y165*(1+'Interest rate projection'!AY167/Var_freq)+IF(Z$5="Mortgage Starts",0,Deposit_mon),2)</f>
        <v>25361.8</v>
      </c>
      <c r="AB165" s="38">
        <f>'Interest rate projection'!Z167</f>
        <v>5.2499999999999991E-2</v>
      </c>
      <c r="AC165" s="38">
        <f>'Interest rate projection'!AZ167</f>
        <v>5.1277533193896829E-2</v>
      </c>
      <c r="AD165" s="59" t="str">
        <f t="shared" si="22"/>
        <v>OK</v>
      </c>
      <c r="AE165" s="39">
        <f t="shared" si="23"/>
        <v>14.075212462503044</v>
      </c>
      <c r="AG165" s="73">
        <f t="shared" si="25"/>
        <v>25361.8</v>
      </c>
      <c r="AH165" s="73">
        <f t="shared" si="26"/>
        <v>174638.2</v>
      </c>
      <c r="AI165" s="74">
        <f t="shared" si="24"/>
        <v>1033.96</v>
      </c>
      <c r="AJ165" s="9"/>
      <c r="AK165" s="73">
        <f>'Fixed rate projection'!$AE$3-('Variable rate projection'!AI165*Product_term*Var_freq)</f>
        <v>-7119</v>
      </c>
    </row>
    <row r="166" spans="1:37" x14ac:dyDescent="0.35">
      <c r="A166" s="27">
        <v>161</v>
      </c>
      <c r="B166" s="57">
        <f t="shared" ref="B166:B197" si="27">Deposit_mon</f>
        <v>1000</v>
      </c>
      <c r="C166" s="16">
        <f>ROUND(B166*(1+'Interest rate projection'!AB168/Var_freq)+IF(C$5="Mortgage Starts",0,Deposit_mon),2)</f>
        <v>2003.67</v>
      </c>
      <c r="D166" s="16">
        <f>ROUND(C166*(1+'Interest rate projection'!AC168/Var_freq)+IF(D$5="Mortgage Starts",0,Deposit_mon),2)</f>
        <v>3011.83</v>
      </c>
      <c r="E166" s="16">
        <f>ROUND(D166*(1+'Interest rate projection'!AD168/Var_freq)+IF(E$5="Mortgage Starts",0,Deposit_mon),2)</f>
        <v>4024.1</v>
      </c>
      <c r="F166" s="16">
        <f>ROUND(E166*(1+'Interest rate projection'!AE168/Var_freq)+IF(F$5="Mortgage Starts",0,Deposit_mon),2)</f>
        <v>5040.49</v>
      </c>
      <c r="G166" s="16">
        <f>ROUND(F166*(1+'Interest rate projection'!AF168/Var_freq)+IF(G$5="Mortgage Starts",0,Deposit_mon),2)</f>
        <v>6061.03</v>
      </c>
      <c r="H166" s="16">
        <f>ROUND(G166*(1+'Interest rate projection'!AG168/Var_freq)+IF(H$5="Mortgage Starts",0,Deposit_mon),2)</f>
        <v>7085.72</v>
      </c>
      <c r="I166" s="16">
        <f>ROUND(H166*(1+'Interest rate projection'!AH168/Var_freq)+IF(I$5="Mortgage Starts",0,Deposit_mon),2)</f>
        <v>8114.59</v>
      </c>
      <c r="J166" s="16">
        <f>ROUND(I166*(1+'Interest rate projection'!AI168/Var_freq)+IF(J$5="Mortgage Starts",0,Deposit_mon),2)</f>
        <v>9150.8799999999992</v>
      </c>
      <c r="K166" s="16">
        <f>ROUND(J166*(1+'Interest rate projection'!AJ168/Var_freq)+IF(K$5="Mortgage Starts",0,Deposit_mon),2)</f>
        <v>10191.799999999999</v>
      </c>
      <c r="L166" s="16">
        <f>ROUND(K166*(1+'Interest rate projection'!AK168/Var_freq)+IF(L$5="Mortgage Starts",0,Deposit_mon),2)</f>
        <v>11237.37</v>
      </c>
      <c r="M166" s="16">
        <f>ROUND(L166*(1+'Interest rate projection'!AL168/Var_freq)+IF(M$5="Mortgage Starts",0,Deposit_mon),2)</f>
        <v>12287.62</v>
      </c>
      <c r="N166" s="16">
        <f>ROUND(M166*(1+'Interest rate projection'!AM168/Var_freq)+IF(N$5="Mortgage Starts",0,Deposit_mon),2)</f>
        <v>13342.57</v>
      </c>
      <c r="O166" s="16">
        <f>ROUND(N166*(1+'Interest rate projection'!AN168/Var_freq)+IF(O$5="Mortgage Starts",0,Deposit_mon),2)</f>
        <v>14402.23</v>
      </c>
      <c r="P166" s="16">
        <f>ROUND(O166*(1+'Interest rate projection'!AO168/Var_freq)+IF(P$5="Mortgage Starts",0,Deposit_mon),2)</f>
        <v>15466.63</v>
      </c>
      <c r="Q166" s="16">
        <f>ROUND(P166*(1+'Interest rate projection'!AP168/Var_freq)+IF(Q$5="Mortgage Starts",0,Deposit_mon),2)</f>
        <v>16535.79</v>
      </c>
      <c r="R166" s="16">
        <f>ROUND(Q166*(1+'Interest rate projection'!AQ168/Var_freq)+IF(R$5="Mortgage Starts",0,Deposit_mon),2)</f>
        <v>17609.73</v>
      </c>
      <c r="S166" s="16">
        <f>ROUND(R166*(1+'Interest rate projection'!AR168/Var_freq)+IF(S$5="Mortgage Starts",0,Deposit_mon),2)</f>
        <v>18688.48</v>
      </c>
      <c r="T166" s="16">
        <f>ROUND(S166*(1+'Interest rate projection'!AS168/Var_freq)+IF(T$5="Mortgage Starts",0,Deposit_mon),2)</f>
        <v>19772.05</v>
      </c>
      <c r="U166" s="16">
        <f>ROUND(T166*(1+'Interest rate projection'!AT168/Var_freq)+IF(U$5="Mortgage Starts",0,Deposit_mon),2)</f>
        <v>20860.46</v>
      </c>
      <c r="V166" s="16">
        <f>ROUND(U166*(1+'Interest rate projection'!AU168/Var_freq)+IF(V$5="Mortgage Starts",0,Deposit_mon),2)</f>
        <v>21953.74</v>
      </c>
      <c r="W166" s="16">
        <f>ROUND(V166*(1+'Interest rate projection'!AV168/Var_freq)+IF(W$5="Mortgage Starts",0,Deposit_mon),2)</f>
        <v>23051.91</v>
      </c>
      <c r="X166" s="16">
        <f>ROUND(W166*(1+'Interest rate projection'!AW168/Var_freq)+IF(X$5="Mortgage Starts",0,Deposit_mon),2)</f>
        <v>24154.99</v>
      </c>
      <c r="Y166" s="16">
        <f>ROUND(X166*(1+'Interest rate projection'!AX168/Var_freq)+IF(Y$5="Mortgage Starts",0,Deposit_mon),2)</f>
        <v>25263</v>
      </c>
      <c r="Z166" s="57">
        <f>ROUND(Y166*(1+'Interest rate projection'!AY168/Var_freq)+IF(Z$5="Mortgage Starts",0,Deposit_mon),2)</f>
        <v>25370.95</v>
      </c>
      <c r="AB166" s="38">
        <f>'Interest rate projection'!Z168</f>
        <v>5.2499999999999991E-2</v>
      </c>
      <c r="AC166" s="38">
        <f>'Interest rate projection'!AZ168</f>
        <v>5.1277533193896829E-2</v>
      </c>
      <c r="AD166" s="59" t="str">
        <f t="shared" ref="AD166:AD197" si="28">IF(ROUND(AB166,6)=ROUND((1+AC166/Var_freq)^Var_freq-1,6),"OK","ERROR")</f>
        <v>OK</v>
      </c>
      <c r="AE166" s="39">
        <f t="shared" ref="AE166:AE197" si="29">(1-(1+AB166)^-Mort_term)/AC166</f>
        <v>14.075212462503044</v>
      </c>
      <c r="AG166" s="73">
        <f t="shared" si="25"/>
        <v>25370.95</v>
      </c>
      <c r="AH166" s="73">
        <f t="shared" si="26"/>
        <v>174629.05</v>
      </c>
      <c r="AI166" s="74">
        <f t="shared" ref="AI166:AI197" si="30">ROUND(AH166/AE166/Var_freq,2)</f>
        <v>1033.9000000000001</v>
      </c>
      <c r="AJ166" s="9"/>
      <c r="AK166" s="73">
        <f>'Fixed rate projection'!$AE$3-('Variable rate projection'!AI166*Product_term*Var_freq)</f>
        <v>-7101.0000000000582</v>
      </c>
    </row>
    <row r="167" spans="1:37" x14ac:dyDescent="0.35">
      <c r="A167" s="5">
        <v>162</v>
      </c>
      <c r="B167" s="57">
        <f t="shared" si="27"/>
        <v>1000</v>
      </c>
      <c r="C167" s="16">
        <f>ROUND(B167*(1+'Interest rate projection'!AB169/Var_freq)+IF(C$5="Mortgage Starts",0,Deposit_mon),2)</f>
        <v>2003.67</v>
      </c>
      <c r="D167" s="16">
        <f>ROUND(C167*(1+'Interest rate projection'!AC169/Var_freq)+IF(D$5="Mortgage Starts",0,Deposit_mon),2)</f>
        <v>3010.23</v>
      </c>
      <c r="E167" s="16">
        <f>ROUND(D167*(1+'Interest rate projection'!AD169/Var_freq)+IF(E$5="Mortgage Starts",0,Deposit_mon),2)</f>
        <v>4020.08</v>
      </c>
      <c r="F167" s="16">
        <f>ROUND(E167*(1+'Interest rate projection'!AE169/Var_freq)+IF(F$5="Mortgage Starts",0,Deposit_mon),2)</f>
        <v>5033.24</v>
      </c>
      <c r="G167" s="16">
        <f>ROUND(F167*(1+'Interest rate projection'!AF169/Var_freq)+IF(G$5="Mortgage Starts",0,Deposit_mon),2)</f>
        <v>6049.72</v>
      </c>
      <c r="H167" s="16">
        <f>ROUND(G167*(1+'Interest rate projection'!AG169/Var_freq)+IF(H$5="Mortgage Starts",0,Deposit_mon),2)</f>
        <v>7069.53</v>
      </c>
      <c r="I167" s="16">
        <f>ROUND(H167*(1+'Interest rate projection'!AH169/Var_freq)+IF(I$5="Mortgage Starts",0,Deposit_mon),2)</f>
        <v>8092.67</v>
      </c>
      <c r="J167" s="16">
        <f>ROUND(I167*(1+'Interest rate projection'!AI169/Var_freq)+IF(J$5="Mortgage Starts",0,Deposit_mon),2)</f>
        <v>9119.16</v>
      </c>
      <c r="K167" s="16">
        <f>ROUND(J167*(1+'Interest rate projection'!AJ169/Var_freq)+IF(K$5="Mortgage Starts",0,Deposit_mon),2)</f>
        <v>10149.01</v>
      </c>
      <c r="L167" s="16">
        <f>ROUND(K167*(1+'Interest rate projection'!AK169/Var_freq)+IF(L$5="Mortgage Starts",0,Deposit_mon),2)</f>
        <v>11182.24</v>
      </c>
      <c r="M167" s="16">
        <f>ROUND(L167*(1+'Interest rate projection'!AL169/Var_freq)+IF(M$5="Mortgage Starts",0,Deposit_mon),2)</f>
        <v>12218.85</v>
      </c>
      <c r="N167" s="16">
        <f>ROUND(M167*(1+'Interest rate projection'!AM169/Var_freq)+IF(N$5="Mortgage Starts",0,Deposit_mon),2)</f>
        <v>13258.85</v>
      </c>
      <c r="O167" s="16">
        <f>ROUND(N167*(1+'Interest rate projection'!AN169/Var_freq)+IF(O$5="Mortgage Starts",0,Deposit_mon),2)</f>
        <v>14302.26</v>
      </c>
      <c r="P167" s="16">
        <f>ROUND(O167*(1+'Interest rate projection'!AO169/Var_freq)+IF(P$5="Mortgage Starts",0,Deposit_mon),2)</f>
        <v>15349.08</v>
      </c>
      <c r="Q167" s="16">
        <f>ROUND(P167*(1+'Interest rate projection'!AP169/Var_freq)+IF(Q$5="Mortgage Starts",0,Deposit_mon),2)</f>
        <v>16399.330000000002</v>
      </c>
      <c r="R167" s="16">
        <f>ROUND(Q167*(1+'Interest rate projection'!AQ169/Var_freq)+IF(R$5="Mortgage Starts",0,Deposit_mon),2)</f>
        <v>17453.02</v>
      </c>
      <c r="S167" s="16">
        <f>ROUND(R167*(1+'Interest rate projection'!AR169/Var_freq)+IF(S$5="Mortgage Starts",0,Deposit_mon),2)</f>
        <v>18510.16</v>
      </c>
      <c r="T167" s="16">
        <f>ROUND(S167*(1+'Interest rate projection'!AS169/Var_freq)+IF(T$5="Mortgage Starts",0,Deposit_mon),2)</f>
        <v>19570.759999999998</v>
      </c>
      <c r="U167" s="16">
        <f>ROUND(T167*(1+'Interest rate projection'!AT169/Var_freq)+IF(U$5="Mortgage Starts",0,Deposit_mon),2)</f>
        <v>20634.830000000002</v>
      </c>
      <c r="V167" s="16">
        <f>ROUND(U167*(1+'Interest rate projection'!AU169/Var_freq)+IF(V$5="Mortgage Starts",0,Deposit_mon),2)</f>
        <v>21702.38</v>
      </c>
      <c r="W167" s="16">
        <f>ROUND(V167*(1+'Interest rate projection'!AV169/Var_freq)+IF(W$5="Mortgage Starts",0,Deposit_mon),2)</f>
        <v>22773.43</v>
      </c>
      <c r="X167" s="16">
        <f>ROUND(W167*(1+'Interest rate projection'!AW169/Var_freq)+IF(X$5="Mortgage Starts",0,Deposit_mon),2)</f>
        <v>23847.98</v>
      </c>
      <c r="Y167" s="16">
        <f>ROUND(X167*(1+'Interest rate projection'!AX169/Var_freq)+IF(Y$5="Mortgage Starts",0,Deposit_mon),2)</f>
        <v>24926.05</v>
      </c>
      <c r="Z167" s="57">
        <f>ROUND(Y167*(1+'Interest rate projection'!AY169/Var_freq)+IF(Z$5="Mortgage Starts",0,Deposit_mon),2)</f>
        <v>25007.65</v>
      </c>
      <c r="AB167" s="38">
        <f>'Interest rate projection'!Z169</f>
        <v>0.04</v>
      </c>
      <c r="AC167" s="38">
        <f>'Interest rate projection'!AZ169</f>
        <v>3.9284877386386974E-2</v>
      </c>
      <c r="AD167" s="59" t="str">
        <f t="shared" si="28"/>
        <v>OK</v>
      </c>
      <c r="AE167" s="39">
        <f t="shared" si="29"/>
        <v>15.906456614335044</v>
      </c>
      <c r="AG167" s="73">
        <f t="shared" si="25"/>
        <v>25007.65</v>
      </c>
      <c r="AH167" s="73">
        <f t="shared" si="26"/>
        <v>174992.35</v>
      </c>
      <c r="AI167" s="74">
        <f t="shared" si="30"/>
        <v>916.78</v>
      </c>
      <c r="AJ167" s="9"/>
      <c r="AK167" s="73">
        <f>'Fixed rate projection'!$AE$3-('Variable rate projection'!AI167*Product_term*Var_freq)</f>
        <v>28035</v>
      </c>
    </row>
    <row r="168" spans="1:37" x14ac:dyDescent="0.35">
      <c r="A168" s="27">
        <v>163</v>
      </c>
      <c r="B168" s="57">
        <f t="shared" si="27"/>
        <v>1000</v>
      </c>
      <c r="C168" s="16">
        <f>ROUND(B168*(1+'Interest rate projection'!AB170/Var_freq)+IF(C$5="Mortgage Starts",0,Deposit_mon),2)</f>
        <v>2003.67</v>
      </c>
      <c r="D168" s="16">
        <f>ROUND(C168*(1+'Interest rate projection'!AC170/Var_freq)+IF(D$5="Mortgage Starts",0,Deposit_mon),2)</f>
        <v>3011.03</v>
      </c>
      <c r="E168" s="16">
        <f>ROUND(D168*(1+'Interest rate projection'!AD170/Var_freq)+IF(E$5="Mortgage Starts",0,Deposit_mon),2)</f>
        <v>4021.49</v>
      </c>
      <c r="F168" s="16">
        <f>ROUND(E168*(1+'Interest rate projection'!AE170/Var_freq)+IF(F$5="Mortgage Starts",0,Deposit_mon),2)</f>
        <v>5035.46</v>
      </c>
      <c r="G168" s="16">
        <f>ROUND(F168*(1+'Interest rate projection'!AF170/Var_freq)+IF(G$5="Mortgage Starts",0,Deposit_mon),2)</f>
        <v>6052.96</v>
      </c>
      <c r="H168" s="16">
        <f>ROUND(G168*(1+'Interest rate projection'!AG170/Var_freq)+IF(H$5="Mortgage Starts",0,Deposit_mon),2)</f>
        <v>7073.99</v>
      </c>
      <c r="I168" s="16">
        <f>ROUND(H168*(1+'Interest rate projection'!AH170/Var_freq)+IF(I$5="Mortgage Starts",0,Deposit_mon),2)</f>
        <v>8098.57</v>
      </c>
      <c r="J168" s="16">
        <f>ROUND(I168*(1+'Interest rate projection'!AI170/Var_freq)+IF(J$5="Mortgage Starts",0,Deposit_mon),2)</f>
        <v>9126.7099999999991</v>
      </c>
      <c r="K168" s="16">
        <f>ROUND(J168*(1+'Interest rate projection'!AJ170/Var_freq)+IF(K$5="Mortgage Starts",0,Deposit_mon),2)</f>
        <v>10158.42</v>
      </c>
      <c r="L168" s="16">
        <f>ROUND(K168*(1+'Interest rate projection'!AK170/Var_freq)+IF(L$5="Mortgage Starts",0,Deposit_mon),2)</f>
        <v>11197.78</v>
      </c>
      <c r="M168" s="16">
        <f>ROUND(L168*(1+'Interest rate projection'!AL170/Var_freq)+IF(M$5="Mortgage Starts",0,Deposit_mon),2)</f>
        <v>12245.63</v>
      </c>
      <c r="N168" s="16">
        <f>ROUND(M168*(1+'Interest rate projection'!AM170/Var_freq)+IF(N$5="Mortgage Starts",0,Deposit_mon),2)</f>
        <v>13297.96</v>
      </c>
      <c r="O168" s="16">
        <f>ROUND(N168*(1+'Interest rate projection'!AN170/Var_freq)+IF(O$5="Mortgage Starts",0,Deposit_mon),2)</f>
        <v>14354.78</v>
      </c>
      <c r="P168" s="16">
        <f>ROUND(O168*(1+'Interest rate projection'!AO170/Var_freq)+IF(P$5="Mortgage Starts",0,Deposit_mon),2)</f>
        <v>15421.81</v>
      </c>
      <c r="Q168" s="16">
        <f>ROUND(P168*(1+'Interest rate projection'!AP170/Var_freq)+IF(Q$5="Mortgage Starts",0,Deposit_mon),2)</f>
        <v>16493.830000000002</v>
      </c>
      <c r="R168" s="16">
        <f>ROUND(Q168*(1+'Interest rate projection'!AQ170/Var_freq)+IF(R$5="Mortgage Starts",0,Deposit_mon),2)</f>
        <v>17570.849999999999</v>
      </c>
      <c r="S168" s="16">
        <f>ROUND(R168*(1+'Interest rate projection'!AR170/Var_freq)+IF(S$5="Mortgage Starts",0,Deposit_mon),2)</f>
        <v>18645.93</v>
      </c>
      <c r="T168" s="16">
        <f>ROUND(S168*(1+'Interest rate projection'!AS170/Var_freq)+IF(T$5="Mortgage Starts",0,Deposit_mon),2)</f>
        <v>19725.61</v>
      </c>
      <c r="U168" s="16">
        <f>ROUND(T168*(1+'Interest rate projection'!AT170/Var_freq)+IF(U$5="Mortgage Starts",0,Deposit_mon),2)</f>
        <v>20809.900000000001</v>
      </c>
      <c r="V168" s="16">
        <f>ROUND(U168*(1+'Interest rate projection'!AU170/Var_freq)+IF(V$5="Mortgage Starts",0,Deposit_mon),2)</f>
        <v>21898.82</v>
      </c>
      <c r="W168" s="16">
        <f>ROUND(V168*(1+'Interest rate projection'!AV170/Var_freq)+IF(W$5="Mortgage Starts",0,Deposit_mon),2)</f>
        <v>22992.400000000001</v>
      </c>
      <c r="X168" s="16">
        <f>ROUND(W168*(1+'Interest rate projection'!AW170/Var_freq)+IF(X$5="Mortgage Starts",0,Deposit_mon),2)</f>
        <v>24090.65</v>
      </c>
      <c r="Y168" s="16">
        <f>ROUND(X168*(1+'Interest rate projection'!AX170/Var_freq)+IF(Y$5="Mortgage Starts",0,Deposit_mon),2)</f>
        <v>25193.59</v>
      </c>
      <c r="Z168" s="57">
        <f>ROUND(Y168*(1+'Interest rate projection'!AY170/Var_freq)+IF(Z$5="Mortgage Starts",0,Deposit_mon),2)</f>
        <v>25301.25</v>
      </c>
      <c r="AB168" s="38">
        <f>'Interest rate projection'!Z170</f>
        <v>5.2499999999999991E-2</v>
      </c>
      <c r="AC168" s="38">
        <f>'Interest rate projection'!AZ170</f>
        <v>5.1277533193896829E-2</v>
      </c>
      <c r="AD168" s="59" t="str">
        <f t="shared" si="28"/>
        <v>OK</v>
      </c>
      <c r="AE168" s="39">
        <f t="shared" si="29"/>
        <v>14.075212462503044</v>
      </c>
      <c r="AG168" s="73">
        <f t="shared" si="25"/>
        <v>25301.25</v>
      </c>
      <c r="AH168" s="73">
        <f t="shared" si="26"/>
        <v>174698.75</v>
      </c>
      <c r="AI168" s="74">
        <f t="shared" si="30"/>
        <v>1034.32</v>
      </c>
      <c r="AJ168" s="9"/>
      <c r="AK168" s="73">
        <f>'Fixed rate projection'!$AE$3-('Variable rate projection'!AI168*Product_term*Var_freq)</f>
        <v>-7227</v>
      </c>
    </row>
    <row r="169" spans="1:37" x14ac:dyDescent="0.35">
      <c r="A169" s="5">
        <v>164</v>
      </c>
      <c r="B169" s="57">
        <f t="shared" si="27"/>
        <v>1000</v>
      </c>
      <c r="C169" s="16">
        <f>ROUND(B169*(1+'Interest rate projection'!AB171/Var_freq)+IF(C$5="Mortgage Starts",0,Deposit_mon),2)</f>
        <v>2003.67</v>
      </c>
      <c r="D169" s="16">
        <f>ROUND(C169*(1+'Interest rate projection'!AC171/Var_freq)+IF(D$5="Mortgage Starts",0,Deposit_mon),2)</f>
        <v>3011.03</v>
      </c>
      <c r="E169" s="16">
        <f>ROUND(D169*(1+'Interest rate projection'!AD171/Var_freq)+IF(E$5="Mortgage Starts",0,Deposit_mon),2)</f>
        <v>4021.49</v>
      </c>
      <c r="F169" s="16">
        <f>ROUND(E169*(1+'Interest rate projection'!AE171/Var_freq)+IF(F$5="Mortgage Starts",0,Deposit_mon),2)</f>
        <v>5036.2700000000004</v>
      </c>
      <c r="G169" s="16">
        <f>ROUND(F169*(1+'Interest rate projection'!AF171/Var_freq)+IF(G$5="Mortgage Starts",0,Deposit_mon),2)</f>
        <v>6054.78</v>
      </c>
      <c r="H169" s="16">
        <f>ROUND(G169*(1+'Interest rate projection'!AG171/Var_freq)+IF(H$5="Mortgage Starts",0,Deposit_mon),2)</f>
        <v>7077.03</v>
      </c>
      <c r="I169" s="16">
        <f>ROUND(H169*(1+'Interest rate projection'!AH171/Var_freq)+IF(I$5="Mortgage Starts",0,Deposit_mon),2)</f>
        <v>8103.04</v>
      </c>
      <c r="J169" s="16">
        <f>ROUND(I169*(1+'Interest rate projection'!AI171/Var_freq)+IF(J$5="Mortgage Starts",0,Deposit_mon),2)</f>
        <v>9132.82</v>
      </c>
      <c r="K169" s="16">
        <f>ROUND(J169*(1+'Interest rate projection'!AJ171/Var_freq)+IF(K$5="Mortgage Starts",0,Deposit_mon),2)</f>
        <v>10166.379999999999</v>
      </c>
      <c r="L169" s="16">
        <f>ROUND(K169*(1+'Interest rate projection'!AK171/Var_freq)+IF(L$5="Mortgage Starts",0,Deposit_mon),2)</f>
        <v>11203.74</v>
      </c>
      <c r="M169" s="16">
        <f>ROUND(L169*(1+'Interest rate projection'!AL171/Var_freq)+IF(M$5="Mortgage Starts",0,Deposit_mon),2)</f>
        <v>12244.91</v>
      </c>
      <c r="N169" s="16">
        <f>ROUND(M169*(1+'Interest rate projection'!AM171/Var_freq)+IF(N$5="Mortgage Starts",0,Deposit_mon),2)</f>
        <v>13289.91</v>
      </c>
      <c r="O169" s="16">
        <f>ROUND(N169*(1+'Interest rate projection'!AN171/Var_freq)+IF(O$5="Mortgage Starts",0,Deposit_mon),2)</f>
        <v>14338.75</v>
      </c>
      <c r="P169" s="16">
        <f>ROUND(O169*(1+'Interest rate projection'!AO171/Var_freq)+IF(P$5="Mortgage Starts",0,Deposit_mon),2)</f>
        <v>15391.44</v>
      </c>
      <c r="Q169" s="16">
        <f>ROUND(P169*(1+'Interest rate projection'!AP171/Var_freq)+IF(Q$5="Mortgage Starts",0,Deposit_mon),2)</f>
        <v>16448</v>
      </c>
      <c r="R169" s="16">
        <f>ROUND(Q169*(1+'Interest rate projection'!AQ171/Var_freq)+IF(R$5="Mortgage Starts",0,Deposit_mon),2)</f>
        <v>17508.439999999999</v>
      </c>
      <c r="S169" s="16">
        <f>ROUND(R169*(1+'Interest rate projection'!AR171/Var_freq)+IF(S$5="Mortgage Starts",0,Deposit_mon),2)</f>
        <v>18572.78</v>
      </c>
      <c r="T169" s="16">
        <f>ROUND(S169*(1+'Interest rate projection'!AS171/Var_freq)+IF(T$5="Mortgage Starts",0,Deposit_mon),2)</f>
        <v>19641.03</v>
      </c>
      <c r="U169" s="16">
        <f>ROUND(T169*(1+'Interest rate projection'!AT171/Var_freq)+IF(U$5="Mortgage Starts",0,Deposit_mon),2)</f>
        <v>20713.21</v>
      </c>
      <c r="V169" s="16">
        <f>ROUND(U169*(1+'Interest rate projection'!AU171/Var_freq)+IF(V$5="Mortgage Starts",0,Deposit_mon),2)</f>
        <v>21789.33</v>
      </c>
      <c r="W169" s="16">
        <f>ROUND(V169*(1+'Interest rate projection'!AV171/Var_freq)+IF(W$5="Mortgage Starts",0,Deposit_mon),2)</f>
        <v>22869.4</v>
      </c>
      <c r="X169" s="16">
        <f>ROUND(W169*(1+'Interest rate projection'!AW171/Var_freq)+IF(X$5="Mortgage Starts",0,Deposit_mon),2)</f>
        <v>23953.439999999999</v>
      </c>
      <c r="Y169" s="16">
        <f>ROUND(X169*(1+'Interest rate projection'!AX171/Var_freq)+IF(Y$5="Mortgage Starts",0,Deposit_mon),2)</f>
        <v>25041.46</v>
      </c>
      <c r="Z169" s="57">
        <f>ROUND(Y169*(1+'Interest rate projection'!AY171/Var_freq)+IF(Z$5="Mortgage Starts",0,Deposit_mon),2)</f>
        <v>25123.439999999999</v>
      </c>
      <c r="AB169" s="38">
        <f>'Interest rate projection'!Z171</f>
        <v>0.04</v>
      </c>
      <c r="AC169" s="38">
        <f>'Interest rate projection'!AZ171</f>
        <v>3.9284877386386974E-2</v>
      </c>
      <c r="AD169" s="59" t="str">
        <f t="shared" si="28"/>
        <v>OK</v>
      </c>
      <c r="AE169" s="39">
        <f t="shared" si="29"/>
        <v>15.906456614335044</v>
      </c>
      <c r="AG169" s="73">
        <f t="shared" si="25"/>
        <v>25123.439999999999</v>
      </c>
      <c r="AH169" s="73">
        <f t="shared" si="26"/>
        <v>174876.56</v>
      </c>
      <c r="AI169" s="74">
        <f t="shared" si="30"/>
        <v>916.17</v>
      </c>
      <c r="AJ169" s="9"/>
      <c r="AK169" s="73">
        <f>'Fixed rate projection'!$AE$3-('Variable rate projection'!AI169*Product_term*Var_freq)</f>
        <v>28218</v>
      </c>
    </row>
    <row r="170" spans="1:37" x14ac:dyDescent="0.35">
      <c r="A170" s="27">
        <v>165</v>
      </c>
      <c r="B170" s="57">
        <f t="shared" si="27"/>
        <v>1000</v>
      </c>
      <c r="C170" s="16">
        <f>ROUND(B170*(1+'Interest rate projection'!AB172/Var_freq)+IF(C$5="Mortgage Starts",0,Deposit_mon),2)</f>
        <v>2003.67</v>
      </c>
      <c r="D170" s="16">
        <f>ROUND(C170*(1+'Interest rate projection'!AC172/Var_freq)+IF(D$5="Mortgage Starts",0,Deposit_mon),2)</f>
        <v>3011.43</v>
      </c>
      <c r="E170" s="16">
        <f>ROUND(D170*(1+'Interest rate projection'!AD172/Var_freq)+IF(E$5="Mortgage Starts",0,Deposit_mon),2)</f>
        <v>4024.3</v>
      </c>
      <c r="F170" s="16">
        <f>ROUND(E170*(1+'Interest rate projection'!AE172/Var_freq)+IF(F$5="Mortgage Starts",0,Deposit_mon),2)</f>
        <v>5041.5</v>
      </c>
      <c r="G170" s="16">
        <f>ROUND(F170*(1+'Interest rate projection'!AF172/Var_freq)+IF(G$5="Mortgage Starts",0,Deposit_mon),2)</f>
        <v>6063.04</v>
      </c>
      <c r="H170" s="16">
        <f>ROUND(G170*(1+'Interest rate projection'!AG172/Var_freq)+IF(H$5="Mortgage Starts",0,Deposit_mon),2)</f>
        <v>7088.95</v>
      </c>
      <c r="I170" s="16">
        <f>ROUND(H170*(1+'Interest rate projection'!AH172/Var_freq)+IF(I$5="Mortgage Starts",0,Deposit_mon),2)</f>
        <v>8119.24</v>
      </c>
      <c r="J170" s="16">
        <f>ROUND(I170*(1+'Interest rate projection'!AI172/Var_freq)+IF(J$5="Mortgage Starts",0,Deposit_mon),2)</f>
        <v>9153.93</v>
      </c>
      <c r="K170" s="16">
        <f>ROUND(J170*(1+'Interest rate projection'!AJ172/Var_freq)+IF(K$5="Mortgage Starts",0,Deposit_mon),2)</f>
        <v>10191.219999999999</v>
      </c>
      <c r="L170" s="16">
        <f>ROUND(K170*(1+'Interest rate projection'!AK172/Var_freq)+IF(L$5="Mortgage Starts",0,Deposit_mon),2)</f>
        <v>11232.74</v>
      </c>
      <c r="M170" s="16">
        <f>ROUND(L170*(1+'Interest rate projection'!AL172/Var_freq)+IF(M$5="Mortgage Starts",0,Deposit_mon),2)</f>
        <v>12278.5</v>
      </c>
      <c r="N170" s="16">
        <f>ROUND(M170*(1+'Interest rate projection'!AM172/Var_freq)+IF(N$5="Mortgage Starts",0,Deposit_mon),2)</f>
        <v>13328.52</v>
      </c>
      <c r="O170" s="16">
        <f>ROUND(N170*(1+'Interest rate projection'!AN172/Var_freq)+IF(O$5="Mortgage Starts",0,Deposit_mon),2)</f>
        <v>14382.82</v>
      </c>
      <c r="P170" s="16">
        <f>ROUND(O170*(1+'Interest rate projection'!AO172/Var_freq)+IF(P$5="Mortgage Starts",0,Deposit_mon),2)</f>
        <v>15438.55</v>
      </c>
      <c r="Q170" s="16">
        <f>ROUND(P170*(1+'Interest rate projection'!AP172/Var_freq)+IF(Q$5="Mortgage Starts",0,Deposit_mon),2)</f>
        <v>16498.37</v>
      </c>
      <c r="R170" s="16">
        <f>ROUND(Q170*(1+'Interest rate projection'!AQ172/Var_freq)+IF(R$5="Mortgage Starts",0,Deposit_mon),2)</f>
        <v>17562.3</v>
      </c>
      <c r="S170" s="16">
        <f>ROUND(R170*(1+'Interest rate projection'!AR172/Var_freq)+IF(S$5="Mortgage Starts",0,Deposit_mon),2)</f>
        <v>18633.849999999999</v>
      </c>
      <c r="T170" s="16">
        <f>ROUND(S170*(1+'Interest rate projection'!AS172/Var_freq)+IF(T$5="Mortgage Starts",0,Deposit_mon),2)</f>
        <v>19709.77</v>
      </c>
      <c r="U170" s="16">
        <f>ROUND(T170*(1+'Interest rate projection'!AT172/Var_freq)+IF(U$5="Mortgage Starts",0,Deposit_mon),2)</f>
        <v>20790.07</v>
      </c>
      <c r="V170" s="16">
        <f>ROUND(U170*(1+'Interest rate projection'!AU172/Var_freq)+IF(V$5="Mortgage Starts",0,Deposit_mon),2)</f>
        <v>21874.77</v>
      </c>
      <c r="W170" s="16">
        <f>ROUND(V170*(1+'Interest rate projection'!AV172/Var_freq)+IF(W$5="Mortgage Starts",0,Deposit_mon),2)</f>
        <v>22963.89</v>
      </c>
      <c r="X170" s="16">
        <f>ROUND(W170*(1+'Interest rate projection'!AW172/Var_freq)+IF(X$5="Mortgage Starts",0,Deposit_mon),2)</f>
        <v>24057.45</v>
      </c>
      <c r="Y170" s="16">
        <f>ROUND(X170*(1+'Interest rate projection'!AX172/Var_freq)+IF(Y$5="Mortgage Starts",0,Deposit_mon),2)</f>
        <v>25150.67</v>
      </c>
      <c r="Z170" s="57">
        <f>ROUND(Y170*(1+'Interest rate projection'!AY172/Var_freq)+IF(Z$5="Mortgage Starts",0,Deposit_mon),2)</f>
        <v>25248.12</v>
      </c>
      <c r="AB170" s="38">
        <f>'Interest rate projection'!Z172</f>
        <v>4.7499999999999994E-2</v>
      </c>
      <c r="AC170" s="38">
        <f>'Interest rate projection'!AZ172</f>
        <v>4.6496219905550085E-2</v>
      </c>
      <c r="AD170" s="59" t="str">
        <f t="shared" si="28"/>
        <v>OK</v>
      </c>
      <c r="AE170" s="39">
        <f t="shared" si="29"/>
        <v>14.766012404082064</v>
      </c>
      <c r="AG170" s="73">
        <f t="shared" si="25"/>
        <v>25248.12</v>
      </c>
      <c r="AH170" s="73">
        <f t="shared" si="26"/>
        <v>174751.88</v>
      </c>
      <c r="AI170" s="74">
        <f t="shared" si="30"/>
        <v>986.23</v>
      </c>
      <c r="AJ170" s="9"/>
      <c r="AK170" s="73">
        <f>'Fixed rate projection'!$AE$3-('Variable rate projection'!AI170*Product_term*Var_freq)</f>
        <v>7200</v>
      </c>
    </row>
    <row r="171" spans="1:37" x14ac:dyDescent="0.35">
      <c r="A171" s="5">
        <v>166</v>
      </c>
      <c r="B171" s="57">
        <f t="shared" si="27"/>
        <v>1000</v>
      </c>
      <c r="C171" s="16">
        <f>ROUND(B171*(1+'Interest rate projection'!AB173/Var_freq)+IF(C$5="Mortgage Starts",0,Deposit_mon),2)</f>
        <v>2003.67</v>
      </c>
      <c r="D171" s="16">
        <f>ROUND(C171*(1+'Interest rate projection'!AC173/Var_freq)+IF(D$5="Mortgage Starts",0,Deposit_mon),2)</f>
        <v>3011.03</v>
      </c>
      <c r="E171" s="16">
        <f>ROUND(D171*(1+'Interest rate projection'!AD173/Var_freq)+IF(E$5="Mortgage Starts",0,Deposit_mon),2)</f>
        <v>4022.7</v>
      </c>
      <c r="F171" s="16">
        <f>ROUND(E171*(1+'Interest rate projection'!AE173/Var_freq)+IF(F$5="Mortgage Starts",0,Deposit_mon),2)</f>
        <v>5037.4799999999996</v>
      </c>
      <c r="G171" s="16">
        <f>ROUND(F171*(1+'Interest rate projection'!AF173/Var_freq)+IF(G$5="Mortgage Starts",0,Deposit_mon),2)</f>
        <v>6055.99</v>
      </c>
      <c r="H171" s="16">
        <f>ROUND(G171*(1+'Interest rate projection'!AG173/Var_freq)+IF(H$5="Mortgage Starts",0,Deposit_mon),2)</f>
        <v>7078.24</v>
      </c>
      <c r="I171" s="16">
        <f>ROUND(H171*(1+'Interest rate projection'!AH173/Var_freq)+IF(I$5="Mortgage Starts",0,Deposit_mon),2)</f>
        <v>8104.25</v>
      </c>
      <c r="J171" s="16">
        <f>ROUND(I171*(1+'Interest rate projection'!AI173/Var_freq)+IF(J$5="Mortgage Starts",0,Deposit_mon),2)</f>
        <v>9134.0300000000007</v>
      </c>
      <c r="K171" s="16">
        <f>ROUND(J171*(1+'Interest rate projection'!AJ173/Var_freq)+IF(K$5="Mortgage Starts",0,Deposit_mon),2)</f>
        <v>10169.42</v>
      </c>
      <c r="L171" s="16">
        <f>ROUND(K171*(1+'Interest rate projection'!AK173/Var_freq)+IF(L$5="Mortgage Starts",0,Deposit_mon),2)</f>
        <v>11208.82</v>
      </c>
      <c r="M171" s="16">
        <f>ROUND(L171*(1+'Interest rate projection'!AL173/Var_freq)+IF(M$5="Mortgage Starts",0,Deposit_mon),2)</f>
        <v>12252.25</v>
      </c>
      <c r="N171" s="16">
        <f>ROUND(M171*(1+'Interest rate projection'!AM173/Var_freq)+IF(N$5="Mortgage Starts",0,Deposit_mon),2)</f>
        <v>13299.72</v>
      </c>
      <c r="O171" s="16">
        <f>ROUND(N171*(1+'Interest rate projection'!AN173/Var_freq)+IF(O$5="Mortgage Starts",0,Deposit_mon),2)</f>
        <v>14351.25</v>
      </c>
      <c r="P171" s="16">
        <f>ROUND(O171*(1+'Interest rate projection'!AO173/Var_freq)+IF(P$5="Mortgage Starts",0,Deposit_mon),2)</f>
        <v>15406.86</v>
      </c>
      <c r="Q171" s="16">
        <f>ROUND(P171*(1+'Interest rate projection'!AP173/Var_freq)+IF(Q$5="Mortgage Starts",0,Deposit_mon),2)</f>
        <v>16466.560000000001</v>
      </c>
      <c r="R171" s="16">
        <f>ROUND(Q171*(1+'Interest rate projection'!AQ173/Var_freq)+IF(R$5="Mortgage Starts",0,Deposit_mon),2)</f>
        <v>17527.07</v>
      </c>
      <c r="S171" s="16">
        <f>ROUND(R171*(1+'Interest rate projection'!AR173/Var_freq)+IF(S$5="Mortgage Starts",0,Deposit_mon),2)</f>
        <v>18591.48</v>
      </c>
      <c r="T171" s="16">
        <f>ROUND(S171*(1+'Interest rate projection'!AS173/Var_freq)+IF(T$5="Mortgage Starts",0,Deposit_mon),2)</f>
        <v>19659.8</v>
      </c>
      <c r="U171" s="16">
        <f>ROUND(T171*(1+'Interest rate projection'!AT173/Var_freq)+IF(U$5="Mortgage Starts",0,Deposit_mon),2)</f>
        <v>20732.05</v>
      </c>
      <c r="V171" s="16">
        <f>ROUND(U171*(1+'Interest rate projection'!AU173/Var_freq)+IF(V$5="Mortgage Starts",0,Deposit_mon),2)</f>
        <v>21808.240000000002</v>
      </c>
      <c r="W171" s="16">
        <f>ROUND(V171*(1+'Interest rate projection'!AV173/Var_freq)+IF(W$5="Mortgage Starts",0,Deposit_mon),2)</f>
        <v>22888.38</v>
      </c>
      <c r="X171" s="16">
        <f>ROUND(W171*(1+'Interest rate projection'!AW173/Var_freq)+IF(X$5="Mortgage Starts",0,Deposit_mon),2)</f>
        <v>23972.49</v>
      </c>
      <c r="Y171" s="16">
        <f>ROUND(X171*(1+'Interest rate projection'!AX173/Var_freq)+IF(Y$5="Mortgage Starts",0,Deposit_mon),2)</f>
        <v>25060.58</v>
      </c>
      <c r="Z171" s="57">
        <f>ROUND(Y171*(1+'Interest rate projection'!AY173/Var_freq)+IF(Z$5="Mortgage Starts",0,Deposit_mon),2)</f>
        <v>25152.67</v>
      </c>
      <c r="AB171" s="38">
        <f>'Interest rate projection'!Z173</f>
        <v>4.4999999999999998E-2</v>
      </c>
      <c r="AC171" s="38">
        <f>'Interest rate projection'!AZ173</f>
        <v>4.4097712805242217E-2</v>
      </c>
      <c r="AD171" s="59" t="str">
        <f t="shared" si="28"/>
        <v>OK</v>
      </c>
      <c r="AE171" s="39">
        <f t="shared" si="29"/>
        <v>15.131610255367837</v>
      </c>
      <c r="AG171" s="73">
        <f t="shared" si="25"/>
        <v>25152.67</v>
      </c>
      <c r="AH171" s="73">
        <f t="shared" si="26"/>
        <v>174847.33000000002</v>
      </c>
      <c r="AI171" s="74">
        <f t="shared" si="30"/>
        <v>962.93</v>
      </c>
      <c r="AJ171" s="9"/>
      <c r="AK171" s="73">
        <f>'Fixed rate projection'!$AE$3-('Variable rate projection'!AI171*Product_term*Var_freq)</f>
        <v>14190</v>
      </c>
    </row>
    <row r="172" spans="1:37" x14ac:dyDescent="0.35">
      <c r="A172" s="27">
        <v>167</v>
      </c>
      <c r="B172" s="57">
        <f t="shared" si="27"/>
        <v>1000</v>
      </c>
      <c r="C172" s="16">
        <f>ROUND(B172*(1+'Interest rate projection'!AB174/Var_freq)+IF(C$5="Mortgage Starts",0,Deposit_mon),2)</f>
        <v>2003.67</v>
      </c>
      <c r="D172" s="16">
        <f>ROUND(C172*(1+'Interest rate projection'!AC174/Var_freq)+IF(D$5="Mortgage Starts",0,Deposit_mon),2)</f>
        <v>3011.03</v>
      </c>
      <c r="E172" s="16">
        <f>ROUND(D172*(1+'Interest rate projection'!AD174/Var_freq)+IF(E$5="Mortgage Starts",0,Deposit_mon),2)</f>
        <v>4022.09</v>
      </c>
      <c r="F172" s="16">
        <f>ROUND(E172*(1+'Interest rate projection'!AE174/Var_freq)+IF(F$5="Mortgage Starts",0,Deposit_mon),2)</f>
        <v>5036.87</v>
      </c>
      <c r="G172" s="16">
        <f>ROUND(F172*(1+'Interest rate projection'!AF174/Var_freq)+IF(G$5="Mortgage Starts",0,Deposit_mon),2)</f>
        <v>6055.38</v>
      </c>
      <c r="H172" s="16">
        <f>ROUND(G172*(1+'Interest rate projection'!AG174/Var_freq)+IF(H$5="Mortgage Starts",0,Deposit_mon),2)</f>
        <v>7077.63</v>
      </c>
      <c r="I172" s="16">
        <f>ROUND(H172*(1+'Interest rate projection'!AH174/Var_freq)+IF(I$5="Mortgage Starts",0,Deposit_mon),2)</f>
        <v>8102.22</v>
      </c>
      <c r="J172" s="16">
        <f>ROUND(I172*(1+'Interest rate projection'!AI174/Var_freq)+IF(J$5="Mortgage Starts",0,Deposit_mon),2)</f>
        <v>9130.3700000000008</v>
      </c>
      <c r="K172" s="16">
        <f>ROUND(J172*(1+'Interest rate projection'!AJ174/Var_freq)+IF(K$5="Mortgage Starts",0,Deposit_mon),2)</f>
        <v>10162.09</v>
      </c>
      <c r="L172" s="16">
        <f>ROUND(K172*(1+'Interest rate projection'!AK174/Var_freq)+IF(L$5="Mortgage Starts",0,Deposit_mon),2)</f>
        <v>11197.4</v>
      </c>
      <c r="M172" s="16">
        <f>ROUND(L172*(1+'Interest rate projection'!AL174/Var_freq)+IF(M$5="Mortgage Starts",0,Deposit_mon),2)</f>
        <v>12236.31</v>
      </c>
      <c r="N172" s="16">
        <f>ROUND(M172*(1+'Interest rate projection'!AM174/Var_freq)+IF(N$5="Mortgage Starts",0,Deposit_mon),2)</f>
        <v>13278.82</v>
      </c>
      <c r="O172" s="16">
        <f>ROUND(N172*(1+'Interest rate projection'!AN174/Var_freq)+IF(O$5="Mortgage Starts",0,Deposit_mon),2)</f>
        <v>14324.96</v>
      </c>
      <c r="P172" s="16">
        <f>ROUND(O172*(1+'Interest rate projection'!AO174/Var_freq)+IF(P$5="Mortgage Starts",0,Deposit_mon),2)</f>
        <v>15374.73</v>
      </c>
      <c r="Q172" s="16">
        <f>ROUND(P172*(1+'Interest rate projection'!AP174/Var_freq)+IF(Q$5="Mortgage Starts",0,Deposit_mon),2)</f>
        <v>16428.150000000001</v>
      </c>
      <c r="R172" s="16">
        <f>ROUND(Q172*(1+'Interest rate projection'!AQ174/Var_freq)+IF(R$5="Mortgage Starts",0,Deposit_mon),2)</f>
        <v>17485.23</v>
      </c>
      <c r="S172" s="16">
        <f>ROUND(R172*(1+'Interest rate projection'!AR174/Var_freq)+IF(S$5="Mortgage Starts",0,Deposit_mon),2)</f>
        <v>18538.95</v>
      </c>
      <c r="T172" s="16">
        <f>ROUND(S172*(1+'Interest rate projection'!AS174/Var_freq)+IF(T$5="Mortgage Starts",0,Deposit_mon),2)</f>
        <v>19595.91</v>
      </c>
      <c r="U172" s="16">
        <f>ROUND(T172*(1+'Interest rate projection'!AT174/Var_freq)+IF(U$5="Mortgage Starts",0,Deposit_mon),2)</f>
        <v>20656.12</v>
      </c>
      <c r="V172" s="16">
        <f>ROUND(U172*(1+'Interest rate projection'!AU174/Var_freq)+IF(V$5="Mortgage Starts",0,Deposit_mon),2)</f>
        <v>21719.59</v>
      </c>
      <c r="W172" s="16">
        <f>ROUND(V172*(1+'Interest rate projection'!AV174/Var_freq)+IF(W$5="Mortgage Starts",0,Deposit_mon),2)</f>
        <v>22786.32</v>
      </c>
      <c r="X172" s="16">
        <f>ROUND(W172*(1+'Interest rate projection'!AW174/Var_freq)+IF(X$5="Mortgage Starts",0,Deposit_mon),2)</f>
        <v>23856.33</v>
      </c>
      <c r="Y172" s="16">
        <f>ROUND(X172*(1+'Interest rate projection'!AX174/Var_freq)+IF(Y$5="Mortgage Starts",0,Deposit_mon),2)</f>
        <v>24929.63</v>
      </c>
      <c r="Z172" s="57">
        <f>ROUND(Y172*(1+'Interest rate projection'!AY174/Var_freq)+IF(Z$5="Mortgage Starts",0,Deposit_mon),2)</f>
        <v>25006.23</v>
      </c>
      <c r="AB172" s="38">
        <f>'Interest rate projection'!Z174</f>
        <v>3.7499999999999999E-2</v>
      </c>
      <c r="AC172" s="38">
        <f>'Interest rate projection'!AZ174</f>
        <v>3.6870500439066589E-2</v>
      </c>
      <c r="AD172" s="59" t="str">
        <f t="shared" si="28"/>
        <v>OK</v>
      </c>
      <c r="AE172" s="39">
        <f t="shared" si="29"/>
        <v>16.317113717606386</v>
      </c>
      <c r="AG172" s="73">
        <f t="shared" si="25"/>
        <v>25006.23</v>
      </c>
      <c r="AH172" s="73">
        <f t="shared" si="26"/>
        <v>174993.77</v>
      </c>
      <c r="AI172" s="74">
        <f t="shared" si="30"/>
        <v>893.71</v>
      </c>
      <c r="AJ172" s="9"/>
      <c r="AK172" s="73">
        <f>'Fixed rate projection'!$AE$3-('Variable rate projection'!AI172*Product_term*Var_freq)</f>
        <v>34956</v>
      </c>
    </row>
    <row r="173" spans="1:37" x14ac:dyDescent="0.35">
      <c r="A173" s="5">
        <v>168</v>
      </c>
      <c r="B173" s="57">
        <f t="shared" si="27"/>
        <v>1000</v>
      </c>
      <c r="C173" s="16">
        <f>ROUND(B173*(1+'Interest rate projection'!AB175/Var_freq)+IF(C$5="Mortgage Starts",0,Deposit_mon),2)</f>
        <v>2003.67</v>
      </c>
      <c r="D173" s="16">
        <f>ROUND(C173*(1+'Interest rate projection'!AC175/Var_freq)+IF(D$5="Mortgage Starts",0,Deposit_mon),2)</f>
        <v>3011.03</v>
      </c>
      <c r="E173" s="16">
        <f>ROUND(D173*(1+'Interest rate projection'!AD175/Var_freq)+IF(E$5="Mortgage Starts",0,Deposit_mon),2)</f>
        <v>4022.09</v>
      </c>
      <c r="F173" s="16">
        <f>ROUND(E173*(1+'Interest rate projection'!AE175/Var_freq)+IF(F$5="Mortgage Starts",0,Deposit_mon),2)</f>
        <v>5036.87</v>
      </c>
      <c r="G173" s="16">
        <f>ROUND(F173*(1+'Interest rate projection'!AF175/Var_freq)+IF(G$5="Mortgage Starts",0,Deposit_mon),2)</f>
        <v>6056.39</v>
      </c>
      <c r="H173" s="16">
        <f>ROUND(G173*(1+'Interest rate projection'!AG175/Var_freq)+IF(H$5="Mortgage Starts",0,Deposit_mon),2)</f>
        <v>7079.86</v>
      </c>
      <c r="I173" s="16">
        <f>ROUND(H173*(1+'Interest rate projection'!AH175/Var_freq)+IF(I$5="Mortgage Starts",0,Deposit_mon),2)</f>
        <v>8107.29</v>
      </c>
      <c r="J173" s="16">
        <f>ROUND(I173*(1+'Interest rate projection'!AI175/Var_freq)+IF(J$5="Mortgage Starts",0,Deposit_mon),2)</f>
        <v>9138.7000000000007</v>
      </c>
      <c r="K173" s="16">
        <f>ROUND(J173*(1+'Interest rate projection'!AJ175/Var_freq)+IF(K$5="Mortgage Starts",0,Deposit_mon),2)</f>
        <v>10174.11</v>
      </c>
      <c r="L173" s="16">
        <f>ROUND(K173*(1+'Interest rate projection'!AK175/Var_freq)+IF(L$5="Mortgage Starts",0,Deposit_mon),2)</f>
        <v>11213.53</v>
      </c>
      <c r="M173" s="16">
        <f>ROUND(L173*(1+'Interest rate projection'!AL175/Var_freq)+IF(M$5="Mortgage Starts",0,Deposit_mon),2)</f>
        <v>12256.98</v>
      </c>
      <c r="N173" s="16">
        <f>ROUND(M173*(1+'Interest rate projection'!AM175/Var_freq)+IF(N$5="Mortgage Starts",0,Deposit_mon),2)</f>
        <v>13304.47</v>
      </c>
      <c r="O173" s="16">
        <f>ROUND(N173*(1+'Interest rate projection'!AN175/Var_freq)+IF(O$5="Mortgage Starts",0,Deposit_mon),2)</f>
        <v>14356.02</v>
      </c>
      <c r="P173" s="16">
        <f>ROUND(O173*(1+'Interest rate projection'!AO175/Var_freq)+IF(P$5="Mortgage Starts",0,Deposit_mon),2)</f>
        <v>15411.65</v>
      </c>
      <c r="Q173" s="16">
        <f>ROUND(P173*(1+'Interest rate projection'!AP175/Var_freq)+IF(Q$5="Mortgage Starts",0,Deposit_mon),2)</f>
        <v>16471.37</v>
      </c>
      <c r="R173" s="16">
        <f>ROUND(Q173*(1+'Interest rate projection'!AQ175/Var_freq)+IF(R$5="Mortgage Starts",0,Deposit_mon),2)</f>
        <v>17535.189999999999</v>
      </c>
      <c r="S173" s="16">
        <f>ROUND(R173*(1+'Interest rate projection'!AR175/Var_freq)+IF(S$5="Mortgage Starts",0,Deposit_mon),2)</f>
        <v>18603.13</v>
      </c>
      <c r="T173" s="16">
        <f>ROUND(S173*(1+'Interest rate projection'!AS175/Var_freq)+IF(T$5="Mortgage Starts",0,Deposit_mon),2)</f>
        <v>19675.21</v>
      </c>
      <c r="U173" s="16">
        <f>ROUND(T173*(1+'Interest rate projection'!AT175/Var_freq)+IF(U$5="Mortgage Starts",0,Deposit_mon),2)</f>
        <v>20751.45</v>
      </c>
      <c r="V173" s="16">
        <f>ROUND(U173*(1+'Interest rate projection'!AU175/Var_freq)+IF(V$5="Mortgage Starts",0,Deposit_mon),2)</f>
        <v>21831.86</v>
      </c>
      <c r="W173" s="16">
        <f>ROUND(V173*(1+'Interest rate projection'!AV175/Var_freq)+IF(W$5="Mortgage Starts",0,Deposit_mon),2)</f>
        <v>22916.45</v>
      </c>
      <c r="X173" s="16">
        <f>ROUND(W173*(1+'Interest rate projection'!AW175/Var_freq)+IF(X$5="Mortgage Starts",0,Deposit_mon),2)</f>
        <v>24005.24</v>
      </c>
      <c r="Y173" s="16">
        <f>ROUND(X173*(1+'Interest rate projection'!AX175/Var_freq)+IF(Y$5="Mortgage Starts",0,Deposit_mon),2)</f>
        <v>25093.45</v>
      </c>
      <c r="Z173" s="57">
        <f>ROUND(Y173*(1+'Interest rate projection'!AY175/Var_freq)+IF(Z$5="Mortgage Starts",0,Deposit_mon),2)</f>
        <v>25185.66</v>
      </c>
      <c r="AB173" s="38">
        <f>'Interest rate projection'!Z175</f>
        <v>4.4999999999999998E-2</v>
      </c>
      <c r="AC173" s="38">
        <f>'Interest rate projection'!AZ175</f>
        <v>4.4097712805242217E-2</v>
      </c>
      <c r="AD173" s="59" t="str">
        <f t="shared" si="28"/>
        <v>OK</v>
      </c>
      <c r="AE173" s="39">
        <f t="shared" si="29"/>
        <v>15.131610255367837</v>
      </c>
      <c r="AG173" s="73">
        <f t="shared" si="25"/>
        <v>25185.66</v>
      </c>
      <c r="AH173" s="73">
        <f t="shared" si="26"/>
        <v>174814.34</v>
      </c>
      <c r="AI173" s="74">
        <f t="shared" si="30"/>
        <v>962.74</v>
      </c>
      <c r="AJ173" s="9"/>
      <c r="AK173" s="73">
        <f>'Fixed rate projection'!$AE$3-('Variable rate projection'!AI173*Product_term*Var_freq)</f>
        <v>14247</v>
      </c>
    </row>
    <row r="174" spans="1:37" x14ac:dyDescent="0.35">
      <c r="A174" s="27">
        <v>169</v>
      </c>
      <c r="B174" s="57">
        <f t="shared" si="27"/>
        <v>1000</v>
      </c>
      <c r="C174" s="16">
        <f>ROUND(B174*(1+'Interest rate projection'!AB176/Var_freq)+IF(C$5="Mortgage Starts",0,Deposit_mon),2)</f>
        <v>2003.67</v>
      </c>
      <c r="D174" s="16">
        <f>ROUND(C174*(1+'Interest rate projection'!AC176/Var_freq)+IF(D$5="Mortgage Starts",0,Deposit_mon),2)</f>
        <v>3011.03</v>
      </c>
      <c r="E174" s="16">
        <f>ROUND(D174*(1+'Interest rate projection'!AD176/Var_freq)+IF(E$5="Mortgage Starts",0,Deposit_mon),2)</f>
        <v>4022.09</v>
      </c>
      <c r="F174" s="16">
        <f>ROUND(E174*(1+'Interest rate projection'!AE176/Var_freq)+IF(F$5="Mortgage Starts",0,Deposit_mon),2)</f>
        <v>5036.87</v>
      </c>
      <c r="G174" s="16">
        <f>ROUND(F174*(1+'Interest rate projection'!AF176/Var_freq)+IF(G$5="Mortgage Starts",0,Deposit_mon),2)</f>
        <v>6055.38</v>
      </c>
      <c r="H174" s="16">
        <f>ROUND(G174*(1+'Interest rate projection'!AG176/Var_freq)+IF(H$5="Mortgage Starts",0,Deposit_mon),2)</f>
        <v>7077.63</v>
      </c>
      <c r="I174" s="16">
        <f>ROUND(H174*(1+'Interest rate projection'!AH176/Var_freq)+IF(I$5="Mortgage Starts",0,Deposit_mon),2)</f>
        <v>8103.64</v>
      </c>
      <c r="J174" s="16">
        <f>ROUND(I174*(1+'Interest rate projection'!AI176/Var_freq)+IF(J$5="Mortgage Starts",0,Deposit_mon),2)</f>
        <v>9133.42</v>
      </c>
      <c r="K174" s="16">
        <f>ROUND(J174*(1+'Interest rate projection'!AJ176/Var_freq)+IF(K$5="Mortgage Starts",0,Deposit_mon),2)</f>
        <v>10166.98</v>
      </c>
      <c r="L174" s="16">
        <f>ROUND(K174*(1+'Interest rate projection'!AK176/Var_freq)+IF(L$5="Mortgage Starts",0,Deposit_mon),2)</f>
        <v>11204.34</v>
      </c>
      <c r="M174" s="16">
        <f>ROUND(L174*(1+'Interest rate projection'!AL176/Var_freq)+IF(M$5="Mortgage Starts",0,Deposit_mon),2)</f>
        <v>12245.51</v>
      </c>
      <c r="N174" s="16">
        <f>ROUND(M174*(1+'Interest rate projection'!AM176/Var_freq)+IF(N$5="Mortgage Starts",0,Deposit_mon),2)</f>
        <v>13290.51</v>
      </c>
      <c r="O174" s="16">
        <f>ROUND(N174*(1+'Interest rate projection'!AN176/Var_freq)+IF(O$5="Mortgage Starts",0,Deposit_mon),2)</f>
        <v>14339.35</v>
      </c>
      <c r="P174" s="16">
        <f>ROUND(O174*(1+'Interest rate projection'!AO176/Var_freq)+IF(P$5="Mortgage Starts",0,Deposit_mon),2)</f>
        <v>15392.04</v>
      </c>
      <c r="Q174" s="16">
        <f>ROUND(P174*(1+'Interest rate projection'!AP176/Var_freq)+IF(Q$5="Mortgage Starts",0,Deposit_mon),2)</f>
        <v>16448.599999999999</v>
      </c>
      <c r="R174" s="16">
        <f>ROUND(Q174*(1+'Interest rate projection'!AQ176/Var_freq)+IF(R$5="Mortgage Starts",0,Deposit_mon),2)</f>
        <v>17509.05</v>
      </c>
      <c r="S174" s="16">
        <f>ROUND(R174*(1+'Interest rate projection'!AR176/Var_freq)+IF(S$5="Mortgage Starts",0,Deposit_mon),2)</f>
        <v>18573.39</v>
      </c>
      <c r="T174" s="16">
        <f>ROUND(S174*(1+'Interest rate projection'!AS176/Var_freq)+IF(T$5="Mortgage Starts",0,Deposit_mon),2)</f>
        <v>19641.64</v>
      </c>
      <c r="U174" s="16">
        <f>ROUND(T174*(1+'Interest rate projection'!AT176/Var_freq)+IF(U$5="Mortgage Starts",0,Deposit_mon),2)</f>
        <v>20713.82</v>
      </c>
      <c r="V174" s="16">
        <f>ROUND(U174*(1+'Interest rate projection'!AU176/Var_freq)+IF(V$5="Mortgage Starts",0,Deposit_mon),2)</f>
        <v>21789.94</v>
      </c>
      <c r="W174" s="16">
        <f>ROUND(V174*(1+'Interest rate projection'!AV176/Var_freq)+IF(W$5="Mortgage Starts",0,Deposit_mon),2)</f>
        <v>22870.01</v>
      </c>
      <c r="X174" s="16">
        <f>ROUND(W174*(1+'Interest rate projection'!AW176/Var_freq)+IF(X$5="Mortgage Starts",0,Deposit_mon),2)</f>
        <v>23954.05</v>
      </c>
      <c r="Y174" s="16">
        <f>ROUND(X174*(1+'Interest rate projection'!AX176/Var_freq)+IF(Y$5="Mortgage Starts",0,Deposit_mon),2)</f>
        <v>25042.080000000002</v>
      </c>
      <c r="Z174" s="57">
        <f>ROUND(Y174*(1+'Interest rate projection'!AY176/Var_freq)+IF(Z$5="Mortgage Starts",0,Deposit_mon),2)</f>
        <v>25134.1</v>
      </c>
      <c r="AB174" s="38">
        <f>'Interest rate projection'!Z176</f>
        <v>4.2499999999999996E-2</v>
      </c>
      <c r="AC174" s="38">
        <f>'Interest rate projection'!AZ176</f>
        <v>4.1693940041970023E-2</v>
      </c>
      <c r="AD174" s="59" t="str">
        <f t="shared" si="28"/>
        <v>OK</v>
      </c>
      <c r="AE174" s="39">
        <f t="shared" si="29"/>
        <v>15.511529757864551</v>
      </c>
      <c r="AG174" s="73">
        <f t="shared" si="25"/>
        <v>25134.1</v>
      </c>
      <c r="AH174" s="73">
        <f t="shared" si="26"/>
        <v>174865.9</v>
      </c>
      <c r="AI174" s="74">
        <f t="shared" si="30"/>
        <v>939.44</v>
      </c>
      <c r="AJ174" s="9"/>
      <c r="AK174" s="73">
        <f>'Fixed rate projection'!$AE$3-('Variable rate projection'!AI174*Product_term*Var_freq)</f>
        <v>21237</v>
      </c>
    </row>
    <row r="175" spans="1:37" x14ac:dyDescent="0.35">
      <c r="A175" s="5">
        <v>170</v>
      </c>
      <c r="B175" s="57">
        <f t="shared" si="27"/>
        <v>1000</v>
      </c>
      <c r="C175" s="16">
        <f>ROUND(B175*(1+'Interest rate projection'!AB177/Var_freq)+IF(C$5="Mortgage Starts",0,Deposit_mon),2)</f>
        <v>2003.67</v>
      </c>
      <c r="D175" s="16">
        <f>ROUND(C175*(1+'Interest rate projection'!AC177/Var_freq)+IF(D$5="Mortgage Starts",0,Deposit_mon),2)</f>
        <v>3011.03</v>
      </c>
      <c r="E175" s="16">
        <f>ROUND(D175*(1+'Interest rate projection'!AD177/Var_freq)+IF(E$5="Mortgage Starts",0,Deposit_mon),2)</f>
        <v>4022.09</v>
      </c>
      <c r="F175" s="16">
        <f>ROUND(E175*(1+'Interest rate projection'!AE177/Var_freq)+IF(F$5="Mortgage Starts",0,Deposit_mon),2)</f>
        <v>5036.87</v>
      </c>
      <c r="G175" s="16">
        <f>ROUND(F175*(1+'Interest rate projection'!AF177/Var_freq)+IF(G$5="Mortgage Starts",0,Deposit_mon),2)</f>
        <v>6055.38</v>
      </c>
      <c r="H175" s="16">
        <f>ROUND(G175*(1+'Interest rate projection'!AG177/Var_freq)+IF(H$5="Mortgage Starts",0,Deposit_mon),2)</f>
        <v>7077.63</v>
      </c>
      <c r="I175" s="16">
        <f>ROUND(H175*(1+'Interest rate projection'!AH177/Var_freq)+IF(I$5="Mortgage Starts",0,Deposit_mon),2)</f>
        <v>8103.64</v>
      </c>
      <c r="J175" s="16">
        <f>ROUND(I175*(1+'Interest rate projection'!AI177/Var_freq)+IF(J$5="Mortgage Starts",0,Deposit_mon),2)</f>
        <v>9133.42</v>
      </c>
      <c r="K175" s="16">
        <f>ROUND(J175*(1+'Interest rate projection'!AJ177/Var_freq)+IF(K$5="Mortgage Starts",0,Deposit_mon),2)</f>
        <v>10166.98</v>
      </c>
      <c r="L175" s="16">
        <f>ROUND(K175*(1+'Interest rate projection'!AK177/Var_freq)+IF(L$5="Mortgage Starts",0,Deposit_mon),2)</f>
        <v>11204.34</v>
      </c>
      <c r="M175" s="16">
        <f>ROUND(L175*(1+'Interest rate projection'!AL177/Var_freq)+IF(M$5="Mortgage Starts",0,Deposit_mon),2)</f>
        <v>12243.27</v>
      </c>
      <c r="N175" s="16">
        <f>ROUND(M175*(1+'Interest rate projection'!AM177/Var_freq)+IF(N$5="Mortgage Starts",0,Deposit_mon),2)</f>
        <v>13285.81</v>
      </c>
      <c r="O175" s="16">
        <f>ROUND(N175*(1+'Interest rate projection'!AN177/Var_freq)+IF(O$5="Mortgage Starts",0,Deposit_mon),2)</f>
        <v>14331.97</v>
      </c>
      <c r="P175" s="16">
        <f>ROUND(O175*(1+'Interest rate projection'!AO177/Var_freq)+IF(P$5="Mortgage Starts",0,Deposit_mon),2)</f>
        <v>15381.77</v>
      </c>
      <c r="Q175" s="16">
        <f>ROUND(P175*(1+'Interest rate projection'!AP177/Var_freq)+IF(Q$5="Mortgage Starts",0,Deposit_mon),2)</f>
        <v>16435.21</v>
      </c>
      <c r="R175" s="16">
        <f>ROUND(Q175*(1+'Interest rate projection'!AQ177/Var_freq)+IF(R$5="Mortgage Starts",0,Deposit_mon),2)</f>
        <v>17492.310000000001</v>
      </c>
      <c r="S175" s="16">
        <f>ROUND(R175*(1+'Interest rate projection'!AR177/Var_freq)+IF(S$5="Mortgage Starts",0,Deposit_mon),2)</f>
        <v>18556.59</v>
      </c>
      <c r="T175" s="16">
        <f>ROUND(S175*(1+'Interest rate projection'!AS177/Var_freq)+IF(T$5="Mortgage Starts",0,Deposit_mon),2)</f>
        <v>19624.78</v>
      </c>
      <c r="U175" s="16">
        <f>ROUND(T175*(1+'Interest rate projection'!AT177/Var_freq)+IF(U$5="Mortgage Starts",0,Deposit_mon),2)</f>
        <v>20692.97</v>
      </c>
      <c r="V175" s="16">
        <f>ROUND(U175*(1+'Interest rate projection'!AU177/Var_freq)+IF(V$5="Mortgage Starts",0,Deposit_mon),2)</f>
        <v>21764.87</v>
      </c>
      <c r="W175" s="16">
        <f>ROUND(V175*(1+'Interest rate projection'!AV177/Var_freq)+IF(W$5="Mortgage Starts",0,Deposit_mon),2)</f>
        <v>22840.49</v>
      </c>
      <c r="X175" s="16">
        <f>ROUND(W175*(1+'Interest rate projection'!AW177/Var_freq)+IF(X$5="Mortgage Starts",0,Deposit_mon),2)</f>
        <v>23919.85</v>
      </c>
      <c r="Y175" s="16">
        <f>ROUND(X175*(1+'Interest rate projection'!AX177/Var_freq)+IF(Y$5="Mortgage Starts",0,Deposit_mon),2)</f>
        <v>24998.16</v>
      </c>
      <c r="Z175" s="57">
        <f>ROUND(Y175*(1+'Interest rate projection'!AY177/Var_freq)+IF(Z$5="Mortgage Starts",0,Deposit_mon),2)</f>
        <v>25080</v>
      </c>
      <c r="AB175" s="38">
        <f>'Interest rate projection'!Z177</f>
        <v>3.9999999999999994E-2</v>
      </c>
      <c r="AC175" s="38">
        <f>'Interest rate projection'!AZ177</f>
        <v>3.9284877386386974E-2</v>
      </c>
      <c r="AD175" s="59" t="str">
        <f t="shared" si="28"/>
        <v>OK</v>
      </c>
      <c r="AE175" s="39">
        <f t="shared" si="29"/>
        <v>15.906456614335044</v>
      </c>
      <c r="AG175" s="73">
        <f t="shared" si="25"/>
        <v>25080</v>
      </c>
      <c r="AH175" s="73">
        <f t="shared" si="26"/>
        <v>174920</v>
      </c>
      <c r="AI175" s="74">
        <f t="shared" si="30"/>
        <v>916.4</v>
      </c>
      <c r="AJ175" s="9"/>
      <c r="AK175" s="73">
        <f>'Fixed rate projection'!$AE$3-('Variable rate projection'!AI175*Product_term*Var_freq)</f>
        <v>28149</v>
      </c>
    </row>
    <row r="176" spans="1:37" x14ac:dyDescent="0.35">
      <c r="A176" s="27">
        <v>171</v>
      </c>
      <c r="B176" s="57">
        <f t="shared" si="27"/>
        <v>1000</v>
      </c>
      <c r="C176" s="16">
        <f>ROUND(B176*(1+'Interest rate projection'!AB178/Var_freq)+IF(C$5="Mortgage Starts",0,Deposit_mon),2)</f>
        <v>2003.67</v>
      </c>
      <c r="D176" s="16">
        <f>ROUND(C176*(1+'Interest rate projection'!AC178/Var_freq)+IF(D$5="Mortgage Starts",0,Deposit_mon),2)</f>
        <v>3011.03</v>
      </c>
      <c r="E176" s="16">
        <f>ROUND(D176*(1+'Interest rate projection'!AD178/Var_freq)+IF(E$5="Mortgage Starts",0,Deposit_mon),2)</f>
        <v>4022.09</v>
      </c>
      <c r="F176" s="16">
        <f>ROUND(E176*(1+'Interest rate projection'!AE178/Var_freq)+IF(F$5="Mortgage Starts",0,Deposit_mon),2)</f>
        <v>5036.87</v>
      </c>
      <c r="G176" s="16">
        <f>ROUND(F176*(1+'Interest rate projection'!AF178/Var_freq)+IF(G$5="Mortgage Starts",0,Deposit_mon),2)</f>
        <v>6056.39</v>
      </c>
      <c r="H176" s="16">
        <f>ROUND(G176*(1+'Interest rate projection'!AG178/Var_freq)+IF(H$5="Mortgage Starts",0,Deposit_mon),2)</f>
        <v>7079.86</v>
      </c>
      <c r="I176" s="16">
        <f>ROUND(H176*(1+'Interest rate projection'!AH178/Var_freq)+IF(I$5="Mortgage Starts",0,Deposit_mon),2)</f>
        <v>8107.29</v>
      </c>
      <c r="J176" s="16">
        <f>ROUND(I176*(1+'Interest rate projection'!AI178/Var_freq)+IF(J$5="Mortgage Starts",0,Deposit_mon),2)</f>
        <v>9138.7000000000007</v>
      </c>
      <c r="K176" s="16">
        <f>ROUND(J176*(1+'Interest rate projection'!AJ178/Var_freq)+IF(K$5="Mortgage Starts",0,Deposit_mon),2)</f>
        <v>10174.11</v>
      </c>
      <c r="L176" s="16">
        <f>ROUND(K176*(1+'Interest rate projection'!AK178/Var_freq)+IF(L$5="Mortgage Starts",0,Deposit_mon),2)</f>
        <v>11213.53</v>
      </c>
      <c r="M176" s="16">
        <f>ROUND(L176*(1+'Interest rate projection'!AL178/Var_freq)+IF(M$5="Mortgage Starts",0,Deposit_mon),2)</f>
        <v>12259.22</v>
      </c>
      <c r="N176" s="16">
        <f>ROUND(M176*(1+'Interest rate projection'!AM178/Var_freq)+IF(N$5="Mortgage Starts",0,Deposit_mon),2)</f>
        <v>13309.17</v>
      </c>
      <c r="O176" s="16">
        <f>ROUND(N176*(1+'Interest rate projection'!AN178/Var_freq)+IF(O$5="Mortgage Starts",0,Deposit_mon),2)</f>
        <v>14363.39</v>
      </c>
      <c r="P176" s="16">
        <f>ROUND(O176*(1+'Interest rate projection'!AO178/Var_freq)+IF(P$5="Mortgage Starts",0,Deposit_mon),2)</f>
        <v>15421.91</v>
      </c>
      <c r="Q176" s="16">
        <f>ROUND(P176*(1+'Interest rate projection'!AP178/Var_freq)+IF(Q$5="Mortgage Starts",0,Deposit_mon),2)</f>
        <v>16484.740000000002</v>
      </c>
      <c r="R176" s="16">
        <f>ROUND(Q176*(1+'Interest rate projection'!AQ178/Var_freq)+IF(R$5="Mortgage Starts",0,Deposit_mon),2)</f>
        <v>17551.900000000001</v>
      </c>
      <c r="S176" s="16">
        <f>ROUND(R176*(1+'Interest rate projection'!AR178/Var_freq)+IF(S$5="Mortgage Starts",0,Deposit_mon),2)</f>
        <v>18623.41</v>
      </c>
      <c r="T176" s="16">
        <f>ROUND(S176*(1+'Interest rate projection'!AS178/Var_freq)+IF(T$5="Mortgage Starts",0,Deposit_mon),2)</f>
        <v>19699.28</v>
      </c>
      <c r="U176" s="16">
        <f>ROUND(T176*(1+'Interest rate projection'!AT178/Var_freq)+IF(U$5="Mortgage Starts",0,Deposit_mon),2)</f>
        <v>20779.54</v>
      </c>
      <c r="V176" s="16">
        <f>ROUND(U176*(1+'Interest rate projection'!AU178/Var_freq)+IF(V$5="Mortgage Starts",0,Deposit_mon),2)</f>
        <v>21864.2</v>
      </c>
      <c r="W176" s="16">
        <f>ROUND(V176*(1+'Interest rate projection'!AV178/Var_freq)+IF(W$5="Mortgage Starts",0,Deposit_mon),2)</f>
        <v>22953.279999999999</v>
      </c>
      <c r="X176" s="16">
        <f>ROUND(W176*(1+'Interest rate projection'!AW178/Var_freq)+IF(X$5="Mortgage Starts",0,Deposit_mon),2)</f>
        <v>24046.79</v>
      </c>
      <c r="Y176" s="16">
        <f>ROUND(X176*(1+'Interest rate projection'!AX178/Var_freq)+IF(Y$5="Mortgage Starts",0,Deposit_mon),2)</f>
        <v>25144.76</v>
      </c>
      <c r="Z176" s="57">
        <f>ROUND(Y176*(1+'Interest rate projection'!AY178/Var_freq)+IF(Z$5="Mortgage Starts",0,Deposit_mon),2)</f>
        <v>25247.200000000001</v>
      </c>
      <c r="AB176" s="38">
        <f>'Interest rate projection'!Z178</f>
        <v>0.05</v>
      </c>
      <c r="AC176" s="38">
        <f>'Interest rate projection'!AZ178</f>
        <v>4.8889485403780242E-2</v>
      </c>
      <c r="AD176" s="59" t="str">
        <f t="shared" si="28"/>
        <v>OK</v>
      </c>
      <c r="AE176" s="39">
        <f t="shared" si="29"/>
        <v>14.4140856153857</v>
      </c>
      <c r="AG176" s="73">
        <f t="shared" si="25"/>
        <v>25247.200000000001</v>
      </c>
      <c r="AH176" s="73">
        <f t="shared" si="26"/>
        <v>174752.8</v>
      </c>
      <c r="AI176" s="74">
        <f t="shared" si="30"/>
        <v>1010.31</v>
      </c>
      <c r="AJ176" s="9"/>
      <c r="AK176" s="73">
        <f>'Fixed rate projection'!$AE$3-('Variable rate projection'!AI176*Product_term*Var_freq)</f>
        <v>-24</v>
      </c>
    </row>
    <row r="177" spans="1:37" x14ac:dyDescent="0.35">
      <c r="A177" s="5">
        <v>172</v>
      </c>
      <c r="B177" s="57">
        <f t="shared" si="27"/>
        <v>1000</v>
      </c>
      <c r="C177" s="16">
        <f>ROUND(B177*(1+'Interest rate projection'!AB179/Var_freq)+IF(C$5="Mortgage Starts",0,Deposit_mon),2)</f>
        <v>2003.67</v>
      </c>
      <c r="D177" s="16">
        <f>ROUND(C177*(1+'Interest rate projection'!AC179/Var_freq)+IF(D$5="Mortgage Starts",0,Deposit_mon),2)</f>
        <v>3011.03</v>
      </c>
      <c r="E177" s="16">
        <f>ROUND(D177*(1+'Interest rate projection'!AD179/Var_freq)+IF(E$5="Mortgage Starts",0,Deposit_mon),2)</f>
        <v>4022.09</v>
      </c>
      <c r="F177" s="16">
        <f>ROUND(E177*(1+'Interest rate projection'!AE179/Var_freq)+IF(F$5="Mortgage Starts",0,Deposit_mon),2)</f>
        <v>5036.87</v>
      </c>
      <c r="G177" s="16">
        <f>ROUND(F177*(1+'Interest rate projection'!AF179/Var_freq)+IF(G$5="Mortgage Starts",0,Deposit_mon),2)</f>
        <v>6055.38</v>
      </c>
      <c r="H177" s="16">
        <f>ROUND(G177*(1+'Interest rate projection'!AG179/Var_freq)+IF(H$5="Mortgage Starts",0,Deposit_mon),2)</f>
        <v>7077.63</v>
      </c>
      <c r="I177" s="16">
        <f>ROUND(H177*(1+'Interest rate projection'!AH179/Var_freq)+IF(I$5="Mortgage Starts",0,Deposit_mon),2)</f>
        <v>8103.64</v>
      </c>
      <c r="J177" s="16">
        <f>ROUND(I177*(1+'Interest rate projection'!AI179/Var_freq)+IF(J$5="Mortgage Starts",0,Deposit_mon),2)</f>
        <v>9133.42</v>
      </c>
      <c r="K177" s="16">
        <f>ROUND(J177*(1+'Interest rate projection'!AJ179/Var_freq)+IF(K$5="Mortgage Starts",0,Deposit_mon),2)</f>
        <v>10166.98</v>
      </c>
      <c r="L177" s="16">
        <f>ROUND(K177*(1+'Interest rate projection'!AK179/Var_freq)+IF(L$5="Mortgage Starts",0,Deposit_mon),2)</f>
        <v>11204.34</v>
      </c>
      <c r="M177" s="16">
        <f>ROUND(L177*(1+'Interest rate projection'!AL179/Var_freq)+IF(M$5="Mortgage Starts",0,Deposit_mon),2)</f>
        <v>12245.51</v>
      </c>
      <c r="N177" s="16">
        <f>ROUND(M177*(1+'Interest rate projection'!AM179/Var_freq)+IF(N$5="Mortgage Starts",0,Deposit_mon),2)</f>
        <v>13290.51</v>
      </c>
      <c r="O177" s="16">
        <f>ROUND(N177*(1+'Interest rate projection'!AN179/Var_freq)+IF(O$5="Mortgage Starts",0,Deposit_mon),2)</f>
        <v>14339.35</v>
      </c>
      <c r="P177" s="16">
        <f>ROUND(O177*(1+'Interest rate projection'!AO179/Var_freq)+IF(P$5="Mortgage Starts",0,Deposit_mon),2)</f>
        <v>15392.04</v>
      </c>
      <c r="Q177" s="16">
        <f>ROUND(P177*(1+'Interest rate projection'!AP179/Var_freq)+IF(Q$5="Mortgage Starts",0,Deposit_mon),2)</f>
        <v>16448.599999999999</v>
      </c>
      <c r="R177" s="16">
        <f>ROUND(Q177*(1+'Interest rate projection'!AQ179/Var_freq)+IF(R$5="Mortgage Starts",0,Deposit_mon),2)</f>
        <v>17509.05</v>
      </c>
      <c r="S177" s="16">
        <f>ROUND(R177*(1+'Interest rate projection'!AR179/Var_freq)+IF(S$5="Mortgage Starts",0,Deposit_mon),2)</f>
        <v>18573.39</v>
      </c>
      <c r="T177" s="16">
        <f>ROUND(S177*(1+'Interest rate projection'!AS179/Var_freq)+IF(T$5="Mortgage Starts",0,Deposit_mon),2)</f>
        <v>19641.64</v>
      </c>
      <c r="U177" s="16">
        <f>ROUND(T177*(1+'Interest rate projection'!AT179/Var_freq)+IF(U$5="Mortgage Starts",0,Deposit_mon),2)</f>
        <v>20713.82</v>
      </c>
      <c r="V177" s="16">
        <f>ROUND(U177*(1+'Interest rate projection'!AU179/Var_freq)+IF(V$5="Mortgage Starts",0,Deposit_mon),2)</f>
        <v>21789.94</v>
      </c>
      <c r="W177" s="16">
        <f>ROUND(V177*(1+'Interest rate projection'!AV179/Var_freq)+IF(W$5="Mortgage Starts",0,Deposit_mon),2)</f>
        <v>22870.01</v>
      </c>
      <c r="X177" s="16">
        <f>ROUND(W177*(1+'Interest rate projection'!AW179/Var_freq)+IF(X$5="Mortgage Starts",0,Deposit_mon),2)</f>
        <v>23954.05</v>
      </c>
      <c r="Y177" s="16">
        <f>ROUND(X177*(1+'Interest rate projection'!AX179/Var_freq)+IF(Y$5="Mortgage Starts",0,Deposit_mon),2)</f>
        <v>25042.080000000002</v>
      </c>
      <c r="Z177" s="57">
        <f>ROUND(Y177*(1+'Interest rate projection'!AY179/Var_freq)+IF(Z$5="Mortgage Starts",0,Deposit_mon),2)</f>
        <v>25134.1</v>
      </c>
      <c r="AB177" s="38">
        <f>'Interest rate projection'!Z179</f>
        <v>4.4999999999999998E-2</v>
      </c>
      <c r="AC177" s="38">
        <f>'Interest rate projection'!AZ179</f>
        <v>4.4097712805242217E-2</v>
      </c>
      <c r="AD177" s="59" t="str">
        <f t="shared" si="28"/>
        <v>OK</v>
      </c>
      <c r="AE177" s="39">
        <f t="shared" si="29"/>
        <v>15.131610255367837</v>
      </c>
      <c r="AG177" s="73">
        <f t="shared" si="25"/>
        <v>25134.1</v>
      </c>
      <c r="AH177" s="73">
        <f t="shared" si="26"/>
        <v>174865.9</v>
      </c>
      <c r="AI177" s="74">
        <f t="shared" si="30"/>
        <v>963.03</v>
      </c>
      <c r="AJ177" s="9"/>
      <c r="AK177" s="73">
        <f>'Fixed rate projection'!$AE$3-('Variable rate projection'!AI177*Product_term*Var_freq)</f>
        <v>14160</v>
      </c>
    </row>
    <row r="178" spans="1:37" x14ac:dyDescent="0.35">
      <c r="A178" s="27">
        <v>173</v>
      </c>
      <c r="B178" s="57">
        <f t="shared" si="27"/>
        <v>1000</v>
      </c>
      <c r="C178" s="16">
        <f>ROUND(B178*(1+'Interest rate projection'!AB180/Var_freq)+IF(C$5="Mortgage Starts",0,Deposit_mon),2)</f>
        <v>2003.67</v>
      </c>
      <c r="D178" s="16">
        <f>ROUND(C178*(1+'Interest rate projection'!AC180/Var_freq)+IF(D$5="Mortgage Starts",0,Deposit_mon),2)</f>
        <v>3011.43</v>
      </c>
      <c r="E178" s="16">
        <f>ROUND(D178*(1+'Interest rate projection'!AD180/Var_freq)+IF(E$5="Mortgage Starts",0,Deposit_mon),2)</f>
        <v>4023.1</v>
      </c>
      <c r="F178" s="16">
        <f>ROUND(E178*(1+'Interest rate projection'!AE180/Var_freq)+IF(F$5="Mortgage Starts",0,Deposit_mon),2)</f>
        <v>5038.6899999999996</v>
      </c>
      <c r="G178" s="16">
        <f>ROUND(F178*(1+'Interest rate projection'!AF180/Var_freq)+IF(G$5="Mortgage Starts",0,Deposit_mon),2)</f>
        <v>6058.21</v>
      </c>
      <c r="H178" s="16">
        <f>ROUND(G178*(1+'Interest rate projection'!AG180/Var_freq)+IF(H$5="Mortgage Starts",0,Deposit_mon),2)</f>
        <v>7081.68</v>
      </c>
      <c r="I178" s="16">
        <f>ROUND(H178*(1+'Interest rate projection'!AH180/Var_freq)+IF(I$5="Mortgage Starts",0,Deposit_mon),2)</f>
        <v>8109.12</v>
      </c>
      <c r="J178" s="16">
        <f>ROUND(I178*(1+'Interest rate projection'!AI180/Var_freq)+IF(J$5="Mortgage Starts",0,Deposit_mon),2)</f>
        <v>9140.5400000000009</v>
      </c>
      <c r="K178" s="16">
        <f>ROUND(J178*(1+'Interest rate projection'!AJ180/Var_freq)+IF(K$5="Mortgage Starts",0,Deposit_mon),2)</f>
        <v>10175.959999999999</v>
      </c>
      <c r="L178" s="16">
        <f>ROUND(K178*(1+'Interest rate projection'!AK180/Var_freq)+IF(L$5="Mortgage Starts",0,Deposit_mon),2)</f>
        <v>11215.39</v>
      </c>
      <c r="M178" s="16">
        <f>ROUND(L178*(1+'Interest rate projection'!AL180/Var_freq)+IF(M$5="Mortgage Starts",0,Deposit_mon),2)</f>
        <v>12258.85</v>
      </c>
      <c r="N178" s="16">
        <f>ROUND(M178*(1+'Interest rate projection'!AM180/Var_freq)+IF(N$5="Mortgage Starts",0,Deposit_mon),2)</f>
        <v>13306.35</v>
      </c>
      <c r="O178" s="16">
        <f>ROUND(N178*(1+'Interest rate projection'!AN180/Var_freq)+IF(O$5="Mortgage Starts",0,Deposit_mon),2)</f>
        <v>14357.91</v>
      </c>
      <c r="P178" s="16">
        <f>ROUND(O178*(1+'Interest rate projection'!AO180/Var_freq)+IF(P$5="Mortgage Starts",0,Deposit_mon),2)</f>
        <v>15413.54</v>
      </c>
      <c r="Q178" s="16">
        <f>ROUND(P178*(1+'Interest rate projection'!AP180/Var_freq)+IF(Q$5="Mortgage Starts",0,Deposit_mon),2)</f>
        <v>16473.259999999998</v>
      </c>
      <c r="R178" s="16">
        <f>ROUND(Q178*(1+'Interest rate projection'!AQ180/Var_freq)+IF(R$5="Mortgage Starts",0,Deposit_mon),2)</f>
        <v>17537.09</v>
      </c>
      <c r="S178" s="16">
        <f>ROUND(R178*(1+'Interest rate projection'!AR180/Var_freq)+IF(S$5="Mortgage Starts",0,Deposit_mon),2)</f>
        <v>18605.04</v>
      </c>
      <c r="T178" s="16">
        <f>ROUND(S178*(1+'Interest rate projection'!AS180/Var_freq)+IF(T$5="Mortgage Starts",0,Deposit_mon),2)</f>
        <v>19677.13</v>
      </c>
      <c r="U178" s="16">
        <f>ROUND(T178*(1+'Interest rate projection'!AT180/Var_freq)+IF(U$5="Mortgage Starts",0,Deposit_mon),2)</f>
        <v>20753.37</v>
      </c>
      <c r="V178" s="16">
        <f>ROUND(U178*(1+'Interest rate projection'!AU180/Var_freq)+IF(V$5="Mortgage Starts",0,Deposit_mon),2)</f>
        <v>21825.48</v>
      </c>
      <c r="W178" s="16">
        <f>ROUND(V178*(1+'Interest rate projection'!AV180/Var_freq)+IF(W$5="Mortgage Starts",0,Deposit_mon),2)</f>
        <v>22901.31</v>
      </c>
      <c r="X178" s="16">
        <f>ROUND(W178*(1+'Interest rate projection'!AW180/Var_freq)+IF(X$5="Mortgage Starts",0,Deposit_mon),2)</f>
        <v>23980.880000000001</v>
      </c>
      <c r="Y178" s="16">
        <f>ROUND(X178*(1+'Interest rate projection'!AX180/Var_freq)+IF(Y$5="Mortgage Starts",0,Deposit_mon),2)</f>
        <v>25069.01</v>
      </c>
      <c r="Z178" s="57">
        <f>ROUND(Y178*(1+'Interest rate projection'!AY180/Var_freq)+IF(Z$5="Mortgage Starts",0,Deposit_mon),2)</f>
        <v>25161.13</v>
      </c>
      <c r="AB178" s="38">
        <f>'Interest rate projection'!Z180</f>
        <v>4.5000000000000005E-2</v>
      </c>
      <c r="AC178" s="38">
        <f>'Interest rate projection'!AZ180</f>
        <v>4.4097712805242217E-2</v>
      </c>
      <c r="AD178" s="59" t="str">
        <f t="shared" si="28"/>
        <v>OK</v>
      </c>
      <c r="AE178" s="39">
        <f t="shared" si="29"/>
        <v>15.131610255367837</v>
      </c>
      <c r="AG178" s="73">
        <f t="shared" si="25"/>
        <v>25161.13</v>
      </c>
      <c r="AH178" s="73">
        <f t="shared" si="26"/>
        <v>174838.87</v>
      </c>
      <c r="AI178" s="74">
        <f t="shared" si="30"/>
        <v>962.88</v>
      </c>
      <c r="AJ178" s="9"/>
      <c r="AK178" s="73">
        <f>'Fixed rate projection'!$AE$3-('Variable rate projection'!AI178*Product_term*Var_freq)</f>
        <v>14205</v>
      </c>
    </row>
    <row r="179" spans="1:37" x14ac:dyDescent="0.35">
      <c r="A179" s="5">
        <v>174</v>
      </c>
      <c r="B179" s="57">
        <f t="shared" si="27"/>
        <v>1000</v>
      </c>
      <c r="C179" s="16">
        <f>ROUND(B179*(1+'Interest rate projection'!AB181/Var_freq)+IF(C$5="Mortgage Starts",0,Deposit_mon),2)</f>
        <v>2003.67</v>
      </c>
      <c r="D179" s="16">
        <f>ROUND(C179*(1+'Interest rate projection'!AC181/Var_freq)+IF(D$5="Mortgage Starts",0,Deposit_mon),2)</f>
        <v>3011.03</v>
      </c>
      <c r="E179" s="16">
        <f>ROUND(D179*(1+'Interest rate projection'!AD181/Var_freq)+IF(E$5="Mortgage Starts",0,Deposit_mon),2)</f>
        <v>4022.09</v>
      </c>
      <c r="F179" s="16">
        <f>ROUND(E179*(1+'Interest rate projection'!AE181/Var_freq)+IF(F$5="Mortgage Starts",0,Deposit_mon),2)</f>
        <v>5036.87</v>
      </c>
      <c r="G179" s="16">
        <f>ROUND(F179*(1+'Interest rate projection'!AF181/Var_freq)+IF(G$5="Mortgage Starts",0,Deposit_mon),2)</f>
        <v>6055.38</v>
      </c>
      <c r="H179" s="16">
        <f>ROUND(G179*(1+'Interest rate projection'!AG181/Var_freq)+IF(H$5="Mortgage Starts",0,Deposit_mon),2)</f>
        <v>7077.63</v>
      </c>
      <c r="I179" s="16">
        <f>ROUND(H179*(1+'Interest rate projection'!AH181/Var_freq)+IF(I$5="Mortgage Starts",0,Deposit_mon),2)</f>
        <v>8103.64</v>
      </c>
      <c r="J179" s="16">
        <f>ROUND(I179*(1+'Interest rate projection'!AI181/Var_freq)+IF(J$5="Mortgage Starts",0,Deposit_mon),2)</f>
        <v>9133.42</v>
      </c>
      <c r="K179" s="16">
        <f>ROUND(J179*(1+'Interest rate projection'!AJ181/Var_freq)+IF(K$5="Mortgage Starts",0,Deposit_mon),2)</f>
        <v>10166.98</v>
      </c>
      <c r="L179" s="16">
        <f>ROUND(K179*(1+'Interest rate projection'!AK181/Var_freq)+IF(L$5="Mortgage Starts",0,Deposit_mon),2)</f>
        <v>11204.34</v>
      </c>
      <c r="M179" s="16">
        <f>ROUND(L179*(1+'Interest rate projection'!AL181/Var_freq)+IF(M$5="Mortgage Starts",0,Deposit_mon),2)</f>
        <v>12245.51</v>
      </c>
      <c r="N179" s="16">
        <f>ROUND(M179*(1+'Interest rate projection'!AM181/Var_freq)+IF(N$5="Mortgage Starts",0,Deposit_mon),2)</f>
        <v>13292.96</v>
      </c>
      <c r="O179" s="16">
        <f>ROUND(N179*(1+'Interest rate projection'!AN181/Var_freq)+IF(O$5="Mortgage Starts",0,Deposit_mon),2)</f>
        <v>14344.47</v>
      </c>
      <c r="P179" s="16">
        <f>ROUND(O179*(1+'Interest rate projection'!AO181/Var_freq)+IF(P$5="Mortgage Starts",0,Deposit_mon),2)</f>
        <v>15400.05</v>
      </c>
      <c r="Q179" s="16">
        <f>ROUND(P179*(1+'Interest rate projection'!AP181/Var_freq)+IF(Q$5="Mortgage Starts",0,Deposit_mon),2)</f>
        <v>16459.72</v>
      </c>
      <c r="R179" s="16">
        <f>ROUND(Q179*(1+'Interest rate projection'!AQ181/Var_freq)+IF(R$5="Mortgage Starts",0,Deposit_mon),2)</f>
        <v>17523.5</v>
      </c>
      <c r="S179" s="16">
        <f>ROUND(R179*(1+'Interest rate projection'!AR181/Var_freq)+IF(S$5="Mortgage Starts",0,Deposit_mon),2)</f>
        <v>18591.400000000001</v>
      </c>
      <c r="T179" s="16">
        <f>ROUND(S179*(1+'Interest rate projection'!AS181/Var_freq)+IF(T$5="Mortgage Starts",0,Deposit_mon),2)</f>
        <v>19663.439999999999</v>
      </c>
      <c r="U179" s="16">
        <f>ROUND(T179*(1+'Interest rate projection'!AT181/Var_freq)+IF(U$5="Mortgage Starts",0,Deposit_mon),2)</f>
        <v>20739.63</v>
      </c>
      <c r="V179" s="16">
        <f>ROUND(U179*(1+'Interest rate projection'!AU181/Var_freq)+IF(V$5="Mortgage Starts",0,Deposit_mon),2)</f>
        <v>21815.84</v>
      </c>
      <c r="W179" s="16">
        <f>ROUND(V179*(1+'Interest rate projection'!AV181/Var_freq)+IF(W$5="Mortgage Starts",0,Deposit_mon),2)</f>
        <v>22896.01</v>
      </c>
      <c r="X179" s="16">
        <f>ROUND(W179*(1+'Interest rate projection'!AW181/Var_freq)+IF(X$5="Mortgage Starts",0,Deposit_mon),2)</f>
        <v>23980.15</v>
      </c>
      <c r="Y179" s="16">
        <f>ROUND(X179*(1+'Interest rate projection'!AX181/Var_freq)+IF(Y$5="Mortgage Starts",0,Deposit_mon),2)</f>
        <v>25068.27</v>
      </c>
      <c r="Z179" s="57">
        <f>ROUND(Y179*(1+'Interest rate projection'!AY181/Var_freq)+IF(Z$5="Mortgage Starts",0,Deposit_mon),2)</f>
        <v>25160.39</v>
      </c>
      <c r="AB179" s="38">
        <f>'Interest rate projection'!Z181</f>
        <v>4.4999999999999998E-2</v>
      </c>
      <c r="AC179" s="38">
        <f>'Interest rate projection'!AZ181</f>
        <v>4.4097712805242217E-2</v>
      </c>
      <c r="AD179" s="59" t="str">
        <f t="shared" si="28"/>
        <v>OK</v>
      </c>
      <c r="AE179" s="39">
        <f t="shared" si="29"/>
        <v>15.131610255367837</v>
      </c>
      <c r="AG179" s="73">
        <f t="shared" si="25"/>
        <v>25160.39</v>
      </c>
      <c r="AH179" s="73">
        <f t="shared" si="26"/>
        <v>174839.61</v>
      </c>
      <c r="AI179" s="74">
        <f t="shared" si="30"/>
        <v>962.88</v>
      </c>
      <c r="AJ179" s="9"/>
      <c r="AK179" s="73">
        <f>'Fixed rate projection'!$AE$3-('Variable rate projection'!AI179*Product_term*Var_freq)</f>
        <v>14205</v>
      </c>
    </row>
    <row r="180" spans="1:37" x14ac:dyDescent="0.35">
      <c r="A180" s="27">
        <v>175</v>
      </c>
      <c r="B180" s="57">
        <f t="shared" si="27"/>
        <v>1000</v>
      </c>
      <c r="C180" s="16">
        <f>ROUND(B180*(1+'Interest rate projection'!AB182/Var_freq)+IF(C$5="Mortgage Starts",0,Deposit_mon),2)</f>
        <v>2003.67</v>
      </c>
      <c r="D180" s="16">
        <f>ROUND(C180*(1+'Interest rate projection'!AC182/Var_freq)+IF(D$5="Mortgage Starts",0,Deposit_mon),2)</f>
        <v>3011.03</v>
      </c>
      <c r="E180" s="16">
        <f>ROUND(D180*(1+'Interest rate projection'!AD182/Var_freq)+IF(E$5="Mortgage Starts",0,Deposit_mon),2)</f>
        <v>4022.09</v>
      </c>
      <c r="F180" s="16">
        <f>ROUND(E180*(1+'Interest rate projection'!AE182/Var_freq)+IF(F$5="Mortgage Starts",0,Deposit_mon),2)</f>
        <v>5036.87</v>
      </c>
      <c r="G180" s="16">
        <f>ROUND(F180*(1+'Interest rate projection'!AF182/Var_freq)+IF(G$5="Mortgage Starts",0,Deposit_mon),2)</f>
        <v>6055.38</v>
      </c>
      <c r="H180" s="16">
        <f>ROUND(G180*(1+'Interest rate projection'!AG182/Var_freq)+IF(H$5="Mortgage Starts",0,Deposit_mon),2)</f>
        <v>7077.63</v>
      </c>
      <c r="I180" s="16">
        <f>ROUND(H180*(1+'Interest rate projection'!AH182/Var_freq)+IF(I$5="Mortgage Starts",0,Deposit_mon),2)</f>
        <v>8103.64</v>
      </c>
      <c r="J180" s="16">
        <f>ROUND(I180*(1+'Interest rate projection'!AI182/Var_freq)+IF(J$5="Mortgage Starts",0,Deposit_mon),2)</f>
        <v>9133.42</v>
      </c>
      <c r="K180" s="16">
        <f>ROUND(J180*(1+'Interest rate projection'!AJ182/Var_freq)+IF(K$5="Mortgage Starts",0,Deposit_mon),2)</f>
        <v>10166.98</v>
      </c>
      <c r="L180" s="16">
        <f>ROUND(K180*(1+'Interest rate projection'!AK182/Var_freq)+IF(L$5="Mortgage Starts",0,Deposit_mon),2)</f>
        <v>11204.34</v>
      </c>
      <c r="M180" s="16">
        <f>ROUND(L180*(1+'Interest rate projection'!AL182/Var_freq)+IF(M$5="Mortgage Starts",0,Deposit_mon),2)</f>
        <v>12245.51</v>
      </c>
      <c r="N180" s="16">
        <f>ROUND(M180*(1+'Interest rate projection'!AM182/Var_freq)+IF(N$5="Mortgage Starts",0,Deposit_mon),2)</f>
        <v>13288.06</v>
      </c>
      <c r="O180" s="16">
        <f>ROUND(N180*(1+'Interest rate projection'!AN182/Var_freq)+IF(O$5="Mortgage Starts",0,Deposit_mon),2)</f>
        <v>14334.23</v>
      </c>
      <c r="P180" s="16">
        <f>ROUND(O180*(1+'Interest rate projection'!AO182/Var_freq)+IF(P$5="Mortgage Starts",0,Deposit_mon),2)</f>
        <v>15384.03</v>
      </c>
      <c r="Q180" s="16">
        <f>ROUND(P180*(1+'Interest rate projection'!AP182/Var_freq)+IF(Q$5="Mortgage Starts",0,Deposit_mon),2)</f>
        <v>16437.48</v>
      </c>
      <c r="R180" s="16">
        <f>ROUND(Q180*(1+'Interest rate projection'!AQ182/Var_freq)+IF(R$5="Mortgage Starts",0,Deposit_mon),2)</f>
        <v>17494.59</v>
      </c>
      <c r="S180" s="16">
        <f>ROUND(R180*(1+'Interest rate projection'!AR182/Var_freq)+IF(S$5="Mortgage Starts",0,Deposit_mon),2)</f>
        <v>18555.37</v>
      </c>
      <c r="T180" s="16">
        <f>ROUND(S180*(1+'Interest rate projection'!AS182/Var_freq)+IF(T$5="Mortgage Starts",0,Deposit_mon),2)</f>
        <v>19619.84</v>
      </c>
      <c r="U180" s="16">
        <f>ROUND(T180*(1+'Interest rate projection'!AT182/Var_freq)+IF(U$5="Mortgage Starts",0,Deposit_mon),2)</f>
        <v>20688.009999999998</v>
      </c>
      <c r="V180" s="16">
        <f>ROUND(U180*(1+'Interest rate projection'!AU182/Var_freq)+IF(V$5="Mortgage Starts",0,Deposit_mon),2)</f>
        <v>21759.89</v>
      </c>
      <c r="W180" s="16">
        <f>ROUND(V180*(1+'Interest rate projection'!AV182/Var_freq)+IF(W$5="Mortgage Starts",0,Deposit_mon),2)</f>
        <v>22835.49</v>
      </c>
      <c r="X180" s="16">
        <f>ROUND(W180*(1+'Interest rate projection'!AW182/Var_freq)+IF(X$5="Mortgage Starts",0,Deposit_mon),2)</f>
        <v>23914.83</v>
      </c>
      <c r="Y180" s="16">
        <f>ROUND(X180*(1+'Interest rate projection'!AX182/Var_freq)+IF(Y$5="Mortgage Starts",0,Deposit_mon),2)</f>
        <v>24997.919999999998</v>
      </c>
      <c r="Z180" s="57">
        <f>ROUND(Y180*(1+'Interest rate projection'!AY182/Var_freq)+IF(Z$5="Mortgage Starts",0,Deposit_mon),2)</f>
        <v>25084.78</v>
      </c>
      <c r="AB180" s="38">
        <f>'Interest rate projection'!Z182</f>
        <v>4.2499999999999996E-2</v>
      </c>
      <c r="AC180" s="38">
        <f>'Interest rate projection'!AZ182</f>
        <v>4.1693940041970023E-2</v>
      </c>
      <c r="AD180" s="59" t="str">
        <f t="shared" si="28"/>
        <v>OK</v>
      </c>
      <c r="AE180" s="39">
        <f t="shared" si="29"/>
        <v>15.511529757864551</v>
      </c>
      <c r="AG180" s="73">
        <f t="shared" si="25"/>
        <v>25084.78</v>
      </c>
      <c r="AH180" s="73">
        <f t="shared" si="26"/>
        <v>174915.22</v>
      </c>
      <c r="AI180" s="74">
        <f t="shared" si="30"/>
        <v>939.71</v>
      </c>
      <c r="AJ180" s="9"/>
      <c r="AK180" s="73">
        <f>'Fixed rate projection'!$AE$3-('Variable rate projection'!AI180*Product_term*Var_freq)</f>
        <v>21156</v>
      </c>
    </row>
    <row r="181" spans="1:37" x14ac:dyDescent="0.35">
      <c r="A181" s="5">
        <v>176</v>
      </c>
      <c r="B181" s="57">
        <f t="shared" si="27"/>
        <v>1000</v>
      </c>
      <c r="C181" s="16">
        <f>ROUND(B181*(1+'Interest rate projection'!AB183/Var_freq)+IF(C$5="Mortgage Starts",0,Deposit_mon),2)</f>
        <v>2003.67</v>
      </c>
      <c r="D181" s="16">
        <f>ROUND(C181*(1+'Interest rate projection'!AC183/Var_freq)+IF(D$5="Mortgage Starts",0,Deposit_mon),2)</f>
        <v>3011.43</v>
      </c>
      <c r="E181" s="16">
        <f>ROUND(D181*(1+'Interest rate projection'!AD183/Var_freq)+IF(E$5="Mortgage Starts",0,Deposit_mon),2)</f>
        <v>4023.1</v>
      </c>
      <c r="F181" s="16">
        <f>ROUND(E181*(1+'Interest rate projection'!AE183/Var_freq)+IF(F$5="Mortgage Starts",0,Deposit_mon),2)</f>
        <v>5038.6899999999996</v>
      </c>
      <c r="G181" s="16">
        <f>ROUND(F181*(1+'Interest rate projection'!AF183/Var_freq)+IF(G$5="Mortgage Starts",0,Deposit_mon),2)</f>
        <v>6056.2</v>
      </c>
      <c r="H181" s="16">
        <f>ROUND(G181*(1+'Interest rate projection'!AG183/Var_freq)+IF(H$5="Mortgage Starts",0,Deposit_mon),2)</f>
        <v>7077.24</v>
      </c>
      <c r="I181" s="16">
        <f>ROUND(H181*(1+'Interest rate projection'!AH183/Var_freq)+IF(I$5="Mortgage Starts",0,Deposit_mon),2)</f>
        <v>8101.83</v>
      </c>
      <c r="J181" s="16">
        <f>ROUND(I181*(1+'Interest rate projection'!AI183/Var_freq)+IF(J$5="Mortgage Starts",0,Deposit_mon),2)</f>
        <v>9129.98</v>
      </c>
      <c r="K181" s="16">
        <f>ROUND(J181*(1+'Interest rate projection'!AJ183/Var_freq)+IF(K$5="Mortgage Starts",0,Deposit_mon),2)</f>
        <v>10161.700000000001</v>
      </c>
      <c r="L181" s="16">
        <f>ROUND(K181*(1+'Interest rate projection'!AK183/Var_freq)+IF(L$5="Mortgage Starts",0,Deposit_mon),2)</f>
        <v>11194.97</v>
      </c>
      <c r="M181" s="16">
        <f>ROUND(L181*(1+'Interest rate projection'!AL183/Var_freq)+IF(M$5="Mortgage Starts",0,Deposit_mon),2)</f>
        <v>12231.62</v>
      </c>
      <c r="N181" s="16">
        <f>ROUND(M181*(1+'Interest rate projection'!AM183/Var_freq)+IF(N$5="Mortgage Starts",0,Deposit_mon),2)</f>
        <v>13271.66</v>
      </c>
      <c r="O181" s="16">
        <f>ROUND(N181*(1+'Interest rate projection'!AN183/Var_freq)+IF(O$5="Mortgage Starts",0,Deposit_mon),2)</f>
        <v>14315.11</v>
      </c>
      <c r="P181" s="16">
        <f>ROUND(O181*(1+'Interest rate projection'!AO183/Var_freq)+IF(P$5="Mortgage Starts",0,Deposit_mon),2)</f>
        <v>15361.97</v>
      </c>
      <c r="Q181" s="16">
        <f>ROUND(P181*(1+'Interest rate projection'!AP183/Var_freq)+IF(Q$5="Mortgage Starts",0,Deposit_mon),2)</f>
        <v>16412.259999999998</v>
      </c>
      <c r="R181" s="16">
        <f>ROUND(Q181*(1+'Interest rate projection'!AQ183/Var_freq)+IF(R$5="Mortgage Starts",0,Deposit_mon),2)</f>
        <v>17465.990000000002</v>
      </c>
      <c r="S181" s="16">
        <f>ROUND(R181*(1+'Interest rate projection'!AR183/Var_freq)+IF(S$5="Mortgage Starts",0,Deposit_mon),2)</f>
        <v>18523.169999999998</v>
      </c>
      <c r="T181" s="16">
        <f>ROUND(S181*(1+'Interest rate projection'!AS183/Var_freq)+IF(T$5="Mortgage Starts",0,Deposit_mon),2)</f>
        <v>19583.810000000001</v>
      </c>
      <c r="U181" s="16">
        <f>ROUND(T181*(1+'Interest rate projection'!AT183/Var_freq)+IF(U$5="Mortgage Starts",0,Deposit_mon),2)</f>
        <v>20647.919999999998</v>
      </c>
      <c r="V181" s="16">
        <f>ROUND(U181*(1+'Interest rate projection'!AU183/Var_freq)+IF(V$5="Mortgage Starts",0,Deposit_mon),2)</f>
        <v>21715.52</v>
      </c>
      <c r="W181" s="16">
        <f>ROUND(V181*(1+'Interest rate projection'!AV183/Var_freq)+IF(W$5="Mortgage Starts",0,Deposit_mon),2)</f>
        <v>22786.61</v>
      </c>
      <c r="X181" s="16">
        <f>ROUND(W181*(1+'Interest rate projection'!AW183/Var_freq)+IF(X$5="Mortgage Starts",0,Deposit_mon),2)</f>
        <v>23861.21</v>
      </c>
      <c r="Y181" s="16">
        <f>ROUND(X181*(1+'Interest rate projection'!AX183/Var_freq)+IF(Y$5="Mortgage Starts",0,Deposit_mon),2)</f>
        <v>24939.33</v>
      </c>
      <c r="Z181" s="57">
        <f>ROUND(Y181*(1+'Interest rate projection'!AY183/Var_freq)+IF(Z$5="Mortgage Starts",0,Deposit_mon),2)</f>
        <v>25020.97</v>
      </c>
      <c r="AB181" s="38">
        <f>'Interest rate projection'!Z183</f>
        <v>4.2500000000000003E-2</v>
      </c>
      <c r="AC181" s="38">
        <f>'Interest rate projection'!AZ183</f>
        <v>4.1693940041970023E-2</v>
      </c>
      <c r="AD181" s="59" t="str">
        <f t="shared" si="28"/>
        <v>OK</v>
      </c>
      <c r="AE181" s="39">
        <f t="shared" si="29"/>
        <v>15.511529757864551</v>
      </c>
      <c r="AG181" s="73">
        <f t="shared" si="25"/>
        <v>25020.97</v>
      </c>
      <c r="AH181" s="73">
        <f t="shared" si="26"/>
        <v>174979.03</v>
      </c>
      <c r="AI181" s="74">
        <f t="shared" si="30"/>
        <v>940.05</v>
      </c>
      <c r="AJ181" s="9"/>
      <c r="AK181" s="73">
        <f>'Fixed rate projection'!$AE$3-('Variable rate projection'!AI181*Product_term*Var_freq)</f>
        <v>21054</v>
      </c>
    </row>
    <row r="182" spans="1:37" x14ac:dyDescent="0.35">
      <c r="A182" s="27">
        <v>177</v>
      </c>
      <c r="B182" s="57">
        <f t="shared" si="27"/>
        <v>1000</v>
      </c>
      <c r="C182" s="16">
        <f>ROUND(B182*(1+'Interest rate projection'!AB184/Var_freq)+IF(C$5="Mortgage Starts",0,Deposit_mon),2)</f>
        <v>2003.67</v>
      </c>
      <c r="D182" s="16">
        <f>ROUND(C182*(1+'Interest rate projection'!AC184/Var_freq)+IF(D$5="Mortgage Starts",0,Deposit_mon),2)</f>
        <v>3011.03</v>
      </c>
      <c r="E182" s="16">
        <f>ROUND(D182*(1+'Interest rate projection'!AD184/Var_freq)+IF(E$5="Mortgage Starts",0,Deposit_mon),2)</f>
        <v>4022.09</v>
      </c>
      <c r="F182" s="16">
        <f>ROUND(E182*(1+'Interest rate projection'!AE184/Var_freq)+IF(F$5="Mortgage Starts",0,Deposit_mon),2)</f>
        <v>5036.87</v>
      </c>
      <c r="G182" s="16">
        <f>ROUND(F182*(1+'Interest rate projection'!AF184/Var_freq)+IF(G$5="Mortgage Starts",0,Deposit_mon),2)</f>
        <v>6055.38</v>
      </c>
      <c r="H182" s="16">
        <f>ROUND(G182*(1+'Interest rate projection'!AG184/Var_freq)+IF(H$5="Mortgage Starts",0,Deposit_mon),2)</f>
        <v>7078.84</v>
      </c>
      <c r="I182" s="16">
        <f>ROUND(H182*(1+'Interest rate projection'!AH184/Var_freq)+IF(I$5="Mortgage Starts",0,Deposit_mon),2)</f>
        <v>8106.27</v>
      </c>
      <c r="J182" s="16">
        <f>ROUND(I182*(1+'Interest rate projection'!AI184/Var_freq)+IF(J$5="Mortgage Starts",0,Deposit_mon),2)</f>
        <v>9137.68</v>
      </c>
      <c r="K182" s="16">
        <f>ROUND(J182*(1+'Interest rate projection'!AJ184/Var_freq)+IF(K$5="Mortgage Starts",0,Deposit_mon),2)</f>
        <v>10171.26</v>
      </c>
      <c r="L182" s="16">
        <f>ROUND(K182*(1+'Interest rate projection'!AK184/Var_freq)+IF(L$5="Mortgage Starts",0,Deposit_mon),2)</f>
        <v>11208.64</v>
      </c>
      <c r="M182" s="16">
        <f>ROUND(L182*(1+'Interest rate projection'!AL184/Var_freq)+IF(M$5="Mortgage Starts",0,Deposit_mon),2)</f>
        <v>12249.83</v>
      </c>
      <c r="N182" s="16">
        <f>ROUND(M182*(1+'Interest rate projection'!AM184/Var_freq)+IF(N$5="Mortgage Starts",0,Deposit_mon),2)</f>
        <v>13294.85</v>
      </c>
      <c r="O182" s="16">
        <f>ROUND(N182*(1+'Interest rate projection'!AN184/Var_freq)+IF(O$5="Mortgage Starts",0,Deposit_mon),2)</f>
        <v>14343.71</v>
      </c>
      <c r="P182" s="16">
        <f>ROUND(O182*(1+'Interest rate projection'!AO184/Var_freq)+IF(P$5="Mortgage Starts",0,Deposit_mon),2)</f>
        <v>15396.42</v>
      </c>
      <c r="Q182" s="16">
        <f>ROUND(P182*(1+'Interest rate projection'!AP184/Var_freq)+IF(Q$5="Mortgage Starts",0,Deposit_mon),2)</f>
        <v>16453</v>
      </c>
      <c r="R182" s="16">
        <f>ROUND(Q182*(1+'Interest rate projection'!AQ184/Var_freq)+IF(R$5="Mortgage Starts",0,Deposit_mon),2)</f>
        <v>17513.46</v>
      </c>
      <c r="S182" s="16">
        <f>ROUND(R182*(1+'Interest rate projection'!AR184/Var_freq)+IF(S$5="Mortgage Starts",0,Deposit_mon),2)</f>
        <v>18577.82</v>
      </c>
      <c r="T182" s="16">
        <f>ROUND(S182*(1+'Interest rate projection'!AS184/Var_freq)+IF(T$5="Mortgage Starts",0,Deposit_mon),2)</f>
        <v>19646.09</v>
      </c>
      <c r="U182" s="16">
        <f>ROUND(T182*(1+'Interest rate projection'!AT184/Var_freq)+IF(U$5="Mortgage Starts",0,Deposit_mon),2)</f>
        <v>20718.29</v>
      </c>
      <c r="V182" s="16">
        <f>ROUND(U182*(1+'Interest rate projection'!AU184/Var_freq)+IF(V$5="Mortgage Starts",0,Deposit_mon),2)</f>
        <v>21786.12</v>
      </c>
      <c r="W182" s="16">
        <f>ROUND(V182*(1+'Interest rate projection'!AV184/Var_freq)+IF(W$5="Mortgage Starts",0,Deposit_mon),2)</f>
        <v>22857.439999999999</v>
      </c>
      <c r="X182" s="16">
        <f>ROUND(W182*(1+'Interest rate projection'!AW184/Var_freq)+IF(X$5="Mortgage Starts",0,Deposit_mon),2)</f>
        <v>23927.67</v>
      </c>
      <c r="Y182" s="16">
        <f>ROUND(X182*(1+'Interest rate projection'!AX184/Var_freq)+IF(Y$5="Mortgage Starts",0,Deposit_mon),2)</f>
        <v>25001.19</v>
      </c>
      <c r="Z182" s="57">
        <f>ROUND(Y182*(1+'Interest rate projection'!AY184/Var_freq)+IF(Z$5="Mortgage Starts",0,Deposit_mon),2)</f>
        <v>25078.01</v>
      </c>
      <c r="AB182" s="38">
        <f>'Interest rate projection'!Z184</f>
        <v>3.7499999999999999E-2</v>
      </c>
      <c r="AC182" s="38">
        <f>'Interest rate projection'!AZ184</f>
        <v>3.6870500439066589E-2</v>
      </c>
      <c r="AD182" s="59" t="str">
        <f t="shared" si="28"/>
        <v>OK</v>
      </c>
      <c r="AE182" s="39">
        <f t="shared" si="29"/>
        <v>16.317113717606386</v>
      </c>
      <c r="AG182" s="73">
        <f t="shared" si="25"/>
        <v>25078.01</v>
      </c>
      <c r="AH182" s="73">
        <f t="shared" si="26"/>
        <v>174921.99</v>
      </c>
      <c r="AI182" s="74">
        <f t="shared" si="30"/>
        <v>893.35</v>
      </c>
      <c r="AJ182" s="9"/>
      <c r="AK182" s="73">
        <f>'Fixed rate projection'!$AE$3-('Variable rate projection'!AI182*Product_term*Var_freq)</f>
        <v>35064</v>
      </c>
    </row>
    <row r="183" spans="1:37" x14ac:dyDescent="0.35">
      <c r="A183" s="5">
        <v>178</v>
      </c>
      <c r="B183" s="57">
        <f t="shared" si="27"/>
        <v>1000</v>
      </c>
      <c r="C183" s="16">
        <f>ROUND(B183*(1+'Interest rate projection'!AB185/Var_freq)+IF(C$5="Mortgage Starts",0,Deposit_mon),2)</f>
        <v>2003.67</v>
      </c>
      <c r="D183" s="16">
        <f>ROUND(C183*(1+'Interest rate projection'!AC185/Var_freq)+IF(D$5="Mortgage Starts",0,Deposit_mon),2)</f>
        <v>3011.03</v>
      </c>
      <c r="E183" s="16">
        <f>ROUND(D183*(1+'Interest rate projection'!AD185/Var_freq)+IF(E$5="Mortgage Starts",0,Deposit_mon),2)</f>
        <v>4020.89</v>
      </c>
      <c r="F183" s="16">
        <f>ROUND(E183*(1+'Interest rate projection'!AE185/Var_freq)+IF(F$5="Mortgage Starts",0,Deposit_mon),2)</f>
        <v>5034.05</v>
      </c>
      <c r="G183" s="16">
        <f>ROUND(F183*(1+'Interest rate projection'!AF185/Var_freq)+IF(G$5="Mortgage Starts",0,Deposit_mon),2)</f>
        <v>6050.53</v>
      </c>
      <c r="H183" s="16">
        <f>ROUND(G183*(1+'Interest rate projection'!AG185/Var_freq)+IF(H$5="Mortgage Starts",0,Deposit_mon),2)</f>
        <v>7070.34</v>
      </c>
      <c r="I183" s="16">
        <f>ROUND(H183*(1+'Interest rate projection'!AH185/Var_freq)+IF(I$5="Mortgage Starts",0,Deposit_mon),2)</f>
        <v>8090.64</v>
      </c>
      <c r="J183" s="16">
        <f>ROUND(I183*(1+'Interest rate projection'!AI185/Var_freq)+IF(J$5="Mortgage Starts",0,Deposit_mon),2)</f>
        <v>9113.8700000000008</v>
      </c>
      <c r="K183" s="16">
        <f>ROUND(J183*(1+'Interest rate projection'!AJ185/Var_freq)+IF(K$5="Mortgage Starts",0,Deposit_mon),2)</f>
        <v>10140.030000000001</v>
      </c>
      <c r="L183" s="16">
        <f>ROUND(K183*(1+'Interest rate projection'!AK185/Var_freq)+IF(L$5="Mortgage Starts",0,Deposit_mon),2)</f>
        <v>11169.14</v>
      </c>
      <c r="M183" s="16">
        <f>ROUND(L183*(1+'Interest rate projection'!AL185/Var_freq)+IF(M$5="Mortgage Starts",0,Deposit_mon),2)</f>
        <v>12201.21</v>
      </c>
      <c r="N183" s="16">
        <f>ROUND(M183*(1+'Interest rate projection'!AM185/Var_freq)+IF(N$5="Mortgage Starts",0,Deposit_mon),2)</f>
        <v>13236.24</v>
      </c>
      <c r="O183" s="16">
        <f>ROUND(N183*(1+'Interest rate projection'!AN185/Var_freq)+IF(O$5="Mortgage Starts",0,Deposit_mon),2)</f>
        <v>14274.24</v>
      </c>
      <c r="P183" s="16">
        <f>ROUND(O183*(1+'Interest rate projection'!AO185/Var_freq)+IF(P$5="Mortgage Starts",0,Deposit_mon),2)</f>
        <v>15315.22</v>
      </c>
      <c r="Q183" s="16">
        <f>ROUND(P183*(1+'Interest rate projection'!AP185/Var_freq)+IF(Q$5="Mortgage Starts",0,Deposit_mon),2)</f>
        <v>16359.19</v>
      </c>
      <c r="R183" s="16">
        <f>ROUND(Q183*(1+'Interest rate projection'!AQ185/Var_freq)+IF(R$5="Mortgage Starts",0,Deposit_mon),2)</f>
        <v>17406.16</v>
      </c>
      <c r="S183" s="16">
        <f>ROUND(R183*(1+'Interest rate projection'!AR185/Var_freq)+IF(S$5="Mortgage Starts",0,Deposit_mon),2)</f>
        <v>18456.13</v>
      </c>
      <c r="T183" s="16">
        <f>ROUND(S183*(1+'Interest rate projection'!AS185/Var_freq)+IF(T$5="Mortgage Starts",0,Deposit_mon),2)</f>
        <v>19509.12</v>
      </c>
      <c r="U183" s="16">
        <f>ROUND(T183*(1+'Interest rate projection'!AT185/Var_freq)+IF(U$5="Mortgage Starts",0,Deposit_mon),2)</f>
        <v>20565.13</v>
      </c>
      <c r="V183" s="16">
        <f>ROUND(U183*(1+'Interest rate projection'!AU185/Var_freq)+IF(V$5="Mortgage Starts",0,Deposit_mon),2)</f>
        <v>21624.17</v>
      </c>
      <c r="W183" s="16">
        <f>ROUND(V183*(1+'Interest rate projection'!AV185/Var_freq)+IF(W$5="Mortgage Starts",0,Deposit_mon),2)</f>
        <v>22686.25</v>
      </c>
      <c r="X183" s="16">
        <f>ROUND(W183*(1+'Interest rate projection'!AW185/Var_freq)+IF(X$5="Mortgage Starts",0,Deposit_mon),2)</f>
        <v>23751.38</v>
      </c>
      <c r="Y183" s="16">
        <f>ROUND(X183*(1+'Interest rate projection'!AX185/Var_freq)+IF(Y$5="Mortgage Starts",0,Deposit_mon),2)</f>
        <v>24819.57</v>
      </c>
      <c r="Z183" s="57">
        <f>ROUND(Y183*(1+'Interest rate projection'!AY185/Var_freq)+IF(Z$5="Mortgage Starts",0,Deposit_mon),2)</f>
        <v>24890.82</v>
      </c>
      <c r="AB183" s="38">
        <f>'Interest rate projection'!Z185</f>
        <v>3.5000000000000003E-2</v>
      </c>
      <c r="AC183" s="38">
        <f>'Interest rate projection'!AZ185</f>
        <v>3.4450784628919706E-2</v>
      </c>
      <c r="AD183" s="59" t="str">
        <f t="shared" si="28"/>
        <v>OK</v>
      </c>
      <c r="AE183" s="39">
        <f t="shared" si="29"/>
        <v>16.744263358395965</v>
      </c>
      <c r="AG183" s="73">
        <f t="shared" si="25"/>
        <v>24890.82</v>
      </c>
      <c r="AH183" s="73">
        <f t="shared" si="26"/>
        <v>175109.18</v>
      </c>
      <c r="AI183" s="74">
        <f t="shared" si="30"/>
        <v>871.49</v>
      </c>
      <c r="AJ183" s="9"/>
      <c r="AK183" s="73">
        <f>'Fixed rate projection'!$AE$3-('Variable rate projection'!AI183*Product_term*Var_freq)</f>
        <v>41622</v>
      </c>
    </row>
    <row r="184" spans="1:37" x14ac:dyDescent="0.35">
      <c r="A184" s="27">
        <v>179</v>
      </c>
      <c r="B184" s="57">
        <f t="shared" si="27"/>
        <v>1000</v>
      </c>
      <c r="C184" s="16">
        <f>ROUND(B184*(1+'Interest rate projection'!AB186/Var_freq)+IF(C$5="Mortgage Starts",0,Deposit_mon),2)</f>
        <v>2003.67</v>
      </c>
      <c r="D184" s="16">
        <f>ROUND(C184*(1+'Interest rate projection'!AC186/Var_freq)+IF(D$5="Mortgage Starts",0,Deposit_mon),2)</f>
        <v>3011.03</v>
      </c>
      <c r="E184" s="16">
        <f>ROUND(D184*(1+'Interest rate projection'!AD186/Var_freq)+IF(E$5="Mortgage Starts",0,Deposit_mon),2)</f>
        <v>4022.09</v>
      </c>
      <c r="F184" s="16">
        <f>ROUND(E184*(1+'Interest rate projection'!AE186/Var_freq)+IF(F$5="Mortgage Starts",0,Deposit_mon),2)</f>
        <v>5036.87</v>
      </c>
      <c r="G184" s="16">
        <f>ROUND(F184*(1+'Interest rate projection'!AF186/Var_freq)+IF(G$5="Mortgage Starts",0,Deposit_mon),2)</f>
        <v>6055.38</v>
      </c>
      <c r="H184" s="16">
        <f>ROUND(G184*(1+'Interest rate projection'!AG186/Var_freq)+IF(H$5="Mortgage Starts",0,Deposit_mon),2)</f>
        <v>7077.63</v>
      </c>
      <c r="I184" s="16">
        <f>ROUND(H184*(1+'Interest rate projection'!AH186/Var_freq)+IF(I$5="Mortgage Starts",0,Deposit_mon),2)</f>
        <v>8103.64</v>
      </c>
      <c r="J184" s="16">
        <f>ROUND(I184*(1+'Interest rate projection'!AI186/Var_freq)+IF(J$5="Mortgage Starts",0,Deposit_mon),2)</f>
        <v>9133.42</v>
      </c>
      <c r="K184" s="16">
        <f>ROUND(J184*(1+'Interest rate projection'!AJ186/Var_freq)+IF(K$5="Mortgage Starts",0,Deposit_mon),2)</f>
        <v>10166.98</v>
      </c>
      <c r="L184" s="16">
        <f>ROUND(K184*(1+'Interest rate projection'!AK186/Var_freq)+IF(L$5="Mortgage Starts",0,Deposit_mon),2)</f>
        <v>11204.34</v>
      </c>
      <c r="M184" s="16">
        <f>ROUND(L184*(1+'Interest rate projection'!AL186/Var_freq)+IF(M$5="Mortgage Starts",0,Deposit_mon),2)</f>
        <v>12245.51</v>
      </c>
      <c r="N184" s="16">
        <f>ROUND(M184*(1+'Interest rate projection'!AM186/Var_freq)+IF(N$5="Mortgage Starts",0,Deposit_mon),2)</f>
        <v>13290.51</v>
      </c>
      <c r="O184" s="16">
        <f>ROUND(N184*(1+'Interest rate projection'!AN186/Var_freq)+IF(O$5="Mortgage Starts",0,Deposit_mon),2)</f>
        <v>14339.35</v>
      </c>
      <c r="P184" s="16">
        <f>ROUND(O184*(1+'Interest rate projection'!AO186/Var_freq)+IF(P$5="Mortgage Starts",0,Deposit_mon),2)</f>
        <v>15392.04</v>
      </c>
      <c r="Q184" s="16">
        <f>ROUND(P184*(1+'Interest rate projection'!AP186/Var_freq)+IF(Q$5="Mortgage Starts",0,Deposit_mon),2)</f>
        <v>16448.599999999999</v>
      </c>
      <c r="R184" s="16">
        <f>ROUND(Q184*(1+'Interest rate projection'!AQ186/Var_freq)+IF(R$5="Mortgage Starts",0,Deposit_mon),2)</f>
        <v>17509.05</v>
      </c>
      <c r="S184" s="16">
        <f>ROUND(R184*(1+'Interest rate projection'!AR186/Var_freq)+IF(S$5="Mortgage Starts",0,Deposit_mon),2)</f>
        <v>18569.89</v>
      </c>
      <c r="T184" s="16">
        <f>ROUND(S184*(1+'Interest rate projection'!AS186/Var_freq)+IF(T$5="Mortgage Starts",0,Deposit_mon),2)</f>
        <v>19634.41</v>
      </c>
      <c r="U184" s="16">
        <f>ROUND(T184*(1+'Interest rate projection'!AT186/Var_freq)+IF(U$5="Mortgage Starts",0,Deposit_mon),2)</f>
        <v>20702.63</v>
      </c>
      <c r="V184" s="16">
        <f>ROUND(U184*(1+'Interest rate projection'!AU186/Var_freq)+IF(V$5="Mortgage Starts",0,Deposit_mon),2)</f>
        <v>21774.560000000001</v>
      </c>
      <c r="W184" s="16">
        <f>ROUND(V184*(1+'Interest rate projection'!AV186/Var_freq)+IF(W$5="Mortgage Starts",0,Deposit_mon),2)</f>
        <v>22850.22</v>
      </c>
      <c r="X184" s="16">
        <f>ROUND(W184*(1+'Interest rate projection'!AW186/Var_freq)+IF(X$5="Mortgage Starts",0,Deposit_mon),2)</f>
        <v>23920.43</v>
      </c>
      <c r="Y184" s="16">
        <f>ROUND(X184*(1+'Interest rate projection'!AX186/Var_freq)+IF(Y$5="Mortgage Starts",0,Deposit_mon),2)</f>
        <v>24993.93</v>
      </c>
      <c r="Z184" s="57">
        <f>ROUND(Y184*(1+'Interest rate projection'!AY186/Var_freq)+IF(Z$5="Mortgage Starts",0,Deposit_mon),2)</f>
        <v>25070.720000000001</v>
      </c>
      <c r="AB184" s="38">
        <f>'Interest rate projection'!Z186</f>
        <v>3.7499999999999999E-2</v>
      </c>
      <c r="AC184" s="38">
        <f>'Interest rate projection'!AZ186</f>
        <v>3.6870500439066589E-2</v>
      </c>
      <c r="AD184" s="59" t="str">
        <f t="shared" si="28"/>
        <v>OK</v>
      </c>
      <c r="AE184" s="39">
        <f t="shared" si="29"/>
        <v>16.317113717606386</v>
      </c>
      <c r="AG184" s="73">
        <f t="shared" si="25"/>
        <v>25070.720000000001</v>
      </c>
      <c r="AH184" s="73">
        <f t="shared" si="26"/>
        <v>174929.28</v>
      </c>
      <c r="AI184" s="74">
        <f t="shared" si="30"/>
        <v>893.38</v>
      </c>
      <c r="AJ184" s="9"/>
      <c r="AK184" s="73">
        <f>'Fixed rate projection'!$AE$3-('Variable rate projection'!AI184*Product_term*Var_freq)</f>
        <v>35055</v>
      </c>
    </row>
    <row r="185" spans="1:37" x14ac:dyDescent="0.35">
      <c r="A185" s="5">
        <v>180</v>
      </c>
      <c r="B185" s="57">
        <f t="shared" si="27"/>
        <v>1000</v>
      </c>
      <c r="C185" s="16">
        <f>ROUND(B185*(1+'Interest rate projection'!AB187/Var_freq)+IF(C$5="Mortgage Starts",0,Deposit_mon),2)</f>
        <v>2003.67</v>
      </c>
      <c r="D185" s="16">
        <f>ROUND(C185*(1+'Interest rate projection'!AC187/Var_freq)+IF(D$5="Mortgage Starts",0,Deposit_mon),2)</f>
        <v>3011.03</v>
      </c>
      <c r="E185" s="16">
        <f>ROUND(D185*(1+'Interest rate projection'!AD187/Var_freq)+IF(E$5="Mortgage Starts",0,Deposit_mon),2)</f>
        <v>4022.09</v>
      </c>
      <c r="F185" s="16">
        <f>ROUND(E185*(1+'Interest rate projection'!AE187/Var_freq)+IF(F$5="Mortgage Starts",0,Deposit_mon),2)</f>
        <v>5036.87</v>
      </c>
      <c r="G185" s="16">
        <f>ROUND(F185*(1+'Interest rate projection'!AF187/Var_freq)+IF(G$5="Mortgage Starts",0,Deposit_mon),2)</f>
        <v>6055.38</v>
      </c>
      <c r="H185" s="16">
        <f>ROUND(G185*(1+'Interest rate projection'!AG187/Var_freq)+IF(H$5="Mortgage Starts",0,Deposit_mon),2)</f>
        <v>7077.63</v>
      </c>
      <c r="I185" s="16">
        <f>ROUND(H185*(1+'Interest rate projection'!AH187/Var_freq)+IF(I$5="Mortgage Starts",0,Deposit_mon),2)</f>
        <v>8103.64</v>
      </c>
      <c r="J185" s="16">
        <f>ROUND(I185*(1+'Interest rate projection'!AI187/Var_freq)+IF(J$5="Mortgage Starts",0,Deposit_mon),2)</f>
        <v>9133.42</v>
      </c>
      <c r="K185" s="16">
        <f>ROUND(J185*(1+'Interest rate projection'!AJ187/Var_freq)+IF(K$5="Mortgage Starts",0,Deposit_mon),2)</f>
        <v>10166.98</v>
      </c>
      <c r="L185" s="16">
        <f>ROUND(K185*(1+'Interest rate projection'!AK187/Var_freq)+IF(L$5="Mortgage Starts",0,Deposit_mon),2)</f>
        <v>11206.37</v>
      </c>
      <c r="M185" s="16">
        <f>ROUND(L185*(1+'Interest rate projection'!AL187/Var_freq)+IF(M$5="Mortgage Starts",0,Deposit_mon),2)</f>
        <v>12249.79</v>
      </c>
      <c r="N185" s="16">
        <f>ROUND(M185*(1+'Interest rate projection'!AM187/Var_freq)+IF(N$5="Mortgage Starts",0,Deposit_mon),2)</f>
        <v>13302.13</v>
      </c>
      <c r="O185" s="16">
        <f>ROUND(N185*(1+'Interest rate projection'!AN187/Var_freq)+IF(O$5="Mortgage Starts",0,Deposit_mon),2)</f>
        <v>14358.97</v>
      </c>
      <c r="P185" s="16">
        <f>ROUND(O185*(1+'Interest rate projection'!AO187/Var_freq)+IF(P$5="Mortgage Starts",0,Deposit_mon),2)</f>
        <v>15420.33</v>
      </c>
      <c r="Q185" s="16">
        <f>ROUND(P185*(1+'Interest rate projection'!AP187/Var_freq)+IF(Q$5="Mortgage Starts",0,Deposit_mon),2)</f>
        <v>16486.22</v>
      </c>
      <c r="R185" s="16">
        <f>ROUND(Q185*(1+'Interest rate projection'!AQ187/Var_freq)+IF(R$5="Mortgage Starts",0,Deposit_mon),2)</f>
        <v>17556.669999999998</v>
      </c>
      <c r="S185" s="16">
        <f>ROUND(R185*(1+'Interest rate projection'!AR187/Var_freq)+IF(S$5="Mortgage Starts",0,Deposit_mon),2)</f>
        <v>18631.689999999999</v>
      </c>
      <c r="T185" s="16">
        <f>ROUND(S185*(1+'Interest rate projection'!AS187/Var_freq)+IF(T$5="Mortgage Starts",0,Deposit_mon),2)</f>
        <v>19707.599999999999</v>
      </c>
      <c r="U185" s="16">
        <f>ROUND(T185*(1+'Interest rate projection'!AT187/Var_freq)+IF(U$5="Mortgage Starts",0,Deposit_mon),2)</f>
        <v>20787.89</v>
      </c>
      <c r="V185" s="16">
        <f>ROUND(U185*(1+'Interest rate projection'!AU187/Var_freq)+IF(V$5="Mortgage Starts",0,Deposit_mon),2)</f>
        <v>21876.720000000001</v>
      </c>
      <c r="W185" s="16">
        <f>ROUND(V185*(1+'Interest rate projection'!AV187/Var_freq)+IF(W$5="Mortgage Starts",0,Deposit_mon),2)</f>
        <v>22970.2</v>
      </c>
      <c r="X185" s="16">
        <f>ROUND(W185*(1+'Interest rate projection'!AW187/Var_freq)+IF(X$5="Mortgage Starts",0,Deposit_mon),2)</f>
        <v>24068.35</v>
      </c>
      <c r="Y185" s="16">
        <f>ROUND(X185*(1+'Interest rate projection'!AX187/Var_freq)+IF(Y$5="Mortgage Starts",0,Deposit_mon),2)</f>
        <v>25171.200000000001</v>
      </c>
      <c r="Z185" s="57">
        <f>ROUND(Y185*(1+'Interest rate projection'!AY187/Var_freq)+IF(Z$5="Mortgage Starts",0,Deposit_mon),2)</f>
        <v>25278.76</v>
      </c>
      <c r="AB185" s="38">
        <f>'Interest rate projection'!Z187</f>
        <v>5.2499999999999998E-2</v>
      </c>
      <c r="AC185" s="38">
        <f>'Interest rate projection'!AZ187</f>
        <v>5.1277533193896829E-2</v>
      </c>
      <c r="AD185" s="59" t="str">
        <f t="shared" si="28"/>
        <v>OK</v>
      </c>
      <c r="AE185" s="39">
        <f t="shared" si="29"/>
        <v>14.075212462503044</v>
      </c>
      <c r="AG185" s="73">
        <f t="shared" si="25"/>
        <v>25278.76</v>
      </c>
      <c r="AH185" s="73">
        <f t="shared" si="26"/>
        <v>174721.24</v>
      </c>
      <c r="AI185" s="74">
        <f t="shared" si="30"/>
        <v>1034.45</v>
      </c>
      <c r="AJ185" s="9"/>
      <c r="AK185" s="73">
        <f>'Fixed rate projection'!$AE$3-('Variable rate projection'!AI185*Product_term*Var_freq)</f>
        <v>-7266</v>
      </c>
    </row>
    <row r="186" spans="1:37" x14ac:dyDescent="0.35">
      <c r="A186" s="27">
        <v>181</v>
      </c>
      <c r="B186" s="57">
        <f t="shared" si="27"/>
        <v>1000</v>
      </c>
      <c r="C186" s="16">
        <f>ROUND(B186*(1+'Interest rate projection'!AB188/Var_freq)+IF(C$5="Mortgage Starts",0,Deposit_mon),2)</f>
        <v>2003.67</v>
      </c>
      <c r="D186" s="16">
        <f>ROUND(C186*(1+'Interest rate projection'!AC188/Var_freq)+IF(D$5="Mortgage Starts",0,Deposit_mon),2)</f>
        <v>3011.03</v>
      </c>
      <c r="E186" s="16">
        <f>ROUND(D186*(1+'Interest rate projection'!AD188/Var_freq)+IF(E$5="Mortgage Starts",0,Deposit_mon),2)</f>
        <v>4022.09</v>
      </c>
      <c r="F186" s="16">
        <f>ROUND(E186*(1+'Interest rate projection'!AE188/Var_freq)+IF(F$5="Mortgage Starts",0,Deposit_mon),2)</f>
        <v>5036.87</v>
      </c>
      <c r="G186" s="16">
        <f>ROUND(F186*(1+'Interest rate projection'!AF188/Var_freq)+IF(G$5="Mortgage Starts",0,Deposit_mon),2)</f>
        <v>6055.38</v>
      </c>
      <c r="H186" s="16">
        <f>ROUND(G186*(1+'Interest rate projection'!AG188/Var_freq)+IF(H$5="Mortgage Starts",0,Deposit_mon),2)</f>
        <v>7077.63</v>
      </c>
      <c r="I186" s="16">
        <f>ROUND(H186*(1+'Interest rate projection'!AH188/Var_freq)+IF(I$5="Mortgage Starts",0,Deposit_mon),2)</f>
        <v>8102.22</v>
      </c>
      <c r="J186" s="16">
        <f>ROUND(I186*(1+'Interest rate projection'!AI188/Var_freq)+IF(J$5="Mortgage Starts",0,Deposit_mon),2)</f>
        <v>9130.3700000000008</v>
      </c>
      <c r="K186" s="16">
        <f>ROUND(J186*(1+'Interest rate projection'!AJ188/Var_freq)+IF(K$5="Mortgage Starts",0,Deposit_mon),2)</f>
        <v>10162.09</v>
      </c>
      <c r="L186" s="16">
        <f>ROUND(K186*(1+'Interest rate projection'!AK188/Var_freq)+IF(L$5="Mortgage Starts",0,Deposit_mon),2)</f>
        <v>11197.4</v>
      </c>
      <c r="M186" s="16">
        <f>ROUND(L186*(1+'Interest rate projection'!AL188/Var_freq)+IF(M$5="Mortgage Starts",0,Deposit_mon),2)</f>
        <v>12236.31</v>
      </c>
      <c r="N186" s="16">
        <f>ROUND(M186*(1+'Interest rate projection'!AM188/Var_freq)+IF(N$5="Mortgage Starts",0,Deposit_mon),2)</f>
        <v>13278.82</v>
      </c>
      <c r="O186" s="16">
        <f>ROUND(N186*(1+'Interest rate projection'!AN188/Var_freq)+IF(O$5="Mortgage Starts",0,Deposit_mon),2)</f>
        <v>14324.96</v>
      </c>
      <c r="P186" s="16">
        <f>ROUND(O186*(1+'Interest rate projection'!AO188/Var_freq)+IF(P$5="Mortgage Starts",0,Deposit_mon),2)</f>
        <v>15374.73</v>
      </c>
      <c r="Q186" s="16">
        <f>ROUND(P186*(1+'Interest rate projection'!AP188/Var_freq)+IF(Q$5="Mortgage Starts",0,Deposit_mon),2)</f>
        <v>16428.150000000001</v>
      </c>
      <c r="R186" s="16">
        <f>ROUND(Q186*(1+'Interest rate projection'!AQ188/Var_freq)+IF(R$5="Mortgage Starts",0,Deposit_mon),2)</f>
        <v>17485.23</v>
      </c>
      <c r="S186" s="16">
        <f>ROUND(R186*(1+'Interest rate projection'!AR188/Var_freq)+IF(S$5="Mortgage Starts",0,Deposit_mon),2)</f>
        <v>18545.98</v>
      </c>
      <c r="T186" s="16">
        <f>ROUND(S186*(1+'Interest rate projection'!AS188/Var_freq)+IF(T$5="Mortgage Starts",0,Deposit_mon),2)</f>
        <v>19610.419999999998</v>
      </c>
      <c r="U186" s="16">
        <f>ROUND(T186*(1+'Interest rate projection'!AT188/Var_freq)+IF(U$5="Mortgage Starts",0,Deposit_mon),2)</f>
        <v>20678.560000000001</v>
      </c>
      <c r="V186" s="16">
        <f>ROUND(U186*(1+'Interest rate projection'!AU188/Var_freq)+IF(V$5="Mortgage Starts",0,Deposit_mon),2)</f>
        <v>21750.41</v>
      </c>
      <c r="W186" s="16">
        <f>ROUND(V186*(1+'Interest rate projection'!AV188/Var_freq)+IF(W$5="Mortgage Starts",0,Deposit_mon),2)</f>
        <v>22825.98</v>
      </c>
      <c r="X186" s="16">
        <f>ROUND(W186*(1+'Interest rate projection'!AW188/Var_freq)+IF(X$5="Mortgage Starts",0,Deposit_mon),2)</f>
        <v>23905.29</v>
      </c>
      <c r="Y186" s="16">
        <f>ROUND(X186*(1+'Interest rate projection'!AX188/Var_freq)+IF(Y$5="Mortgage Starts",0,Deposit_mon),2)</f>
        <v>24988.35</v>
      </c>
      <c r="Z186" s="57">
        <f>ROUND(Y186*(1+'Interest rate projection'!AY188/Var_freq)+IF(Z$5="Mortgage Starts",0,Deposit_mon),2)</f>
        <v>25075.17</v>
      </c>
      <c r="AB186" s="38">
        <f>'Interest rate projection'!Z188</f>
        <v>4.2499999999999996E-2</v>
      </c>
      <c r="AC186" s="38">
        <f>'Interest rate projection'!AZ188</f>
        <v>4.1693940041970023E-2</v>
      </c>
      <c r="AD186" s="59" t="str">
        <f t="shared" si="28"/>
        <v>OK</v>
      </c>
      <c r="AE186" s="39">
        <f t="shared" si="29"/>
        <v>15.511529757864551</v>
      </c>
      <c r="AG186" s="73">
        <f t="shared" si="25"/>
        <v>25075.17</v>
      </c>
      <c r="AH186" s="73">
        <f t="shared" si="26"/>
        <v>174924.83000000002</v>
      </c>
      <c r="AI186" s="74">
        <f t="shared" si="30"/>
        <v>939.76</v>
      </c>
      <c r="AJ186" s="9"/>
      <c r="AK186" s="73">
        <f>'Fixed rate projection'!$AE$3-('Variable rate projection'!AI186*Product_term*Var_freq)</f>
        <v>21141</v>
      </c>
    </row>
    <row r="187" spans="1:37" x14ac:dyDescent="0.35">
      <c r="A187" s="5">
        <v>182</v>
      </c>
      <c r="B187" s="57">
        <f t="shared" si="27"/>
        <v>1000</v>
      </c>
      <c r="C187" s="16">
        <f>ROUND(B187*(1+'Interest rate projection'!AB189/Var_freq)+IF(C$5="Mortgage Starts",0,Deposit_mon),2)</f>
        <v>2003.67</v>
      </c>
      <c r="D187" s="16">
        <f>ROUND(C187*(1+'Interest rate projection'!AC189/Var_freq)+IF(D$5="Mortgage Starts",0,Deposit_mon),2)</f>
        <v>3010.23</v>
      </c>
      <c r="E187" s="16">
        <f>ROUND(D187*(1+'Interest rate projection'!AD189/Var_freq)+IF(E$5="Mortgage Starts",0,Deposit_mon),2)</f>
        <v>4020.08</v>
      </c>
      <c r="F187" s="16">
        <f>ROUND(E187*(1+'Interest rate projection'!AE189/Var_freq)+IF(F$5="Mortgage Starts",0,Deposit_mon),2)</f>
        <v>5033.24</v>
      </c>
      <c r="G187" s="16">
        <f>ROUND(F187*(1+'Interest rate projection'!AF189/Var_freq)+IF(G$5="Mortgage Starts",0,Deposit_mon),2)</f>
        <v>6049.72</v>
      </c>
      <c r="H187" s="16">
        <f>ROUND(G187*(1+'Interest rate projection'!AG189/Var_freq)+IF(H$5="Mortgage Starts",0,Deposit_mon),2)</f>
        <v>7069.53</v>
      </c>
      <c r="I187" s="16">
        <f>ROUND(H187*(1+'Interest rate projection'!AH189/Var_freq)+IF(I$5="Mortgage Starts",0,Deposit_mon),2)</f>
        <v>8092.67</v>
      </c>
      <c r="J187" s="16">
        <f>ROUND(I187*(1+'Interest rate projection'!AI189/Var_freq)+IF(J$5="Mortgage Starts",0,Deposit_mon),2)</f>
        <v>9120.7900000000009</v>
      </c>
      <c r="K187" s="16">
        <f>ROUND(J187*(1+'Interest rate projection'!AJ189/Var_freq)+IF(K$5="Mortgage Starts",0,Deposit_mon),2)</f>
        <v>10152.48</v>
      </c>
      <c r="L187" s="16">
        <f>ROUND(K187*(1+'Interest rate projection'!AK189/Var_freq)+IF(L$5="Mortgage Starts",0,Deposit_mon),2)</f>
        <v>11187.75</v>
      </c>
      <c r="M187" s="16">
        <f>ROUND(L187*(1+'Interest rate projection'!AL189/Var_freq)+IF(M$5="Mortgage Starts",0,Deposit_mon),2)</f>
        <v>12226.62</v>
      </c>
      <c r="N187" s="16">
        <f>ROUND(M187*(1+'Interest rate projection'!AM189/Var_freq)+IF(N$5="Mortgage Starts",0,Deposit_mon),2)</f>
        <v>13264.19</v>
      </c>
      <c r="O187" s="16">
        <f>ROUND(N187*(1+'Interest rate projection'!AN189/Var_freq)+IF(O$5="Mortgage Starts",0,Deposit_mon),2)</f>
        <v>14304.94</v>
      </c>
      <c r="P187" s="16">
        <f>ROUND(O187*(1+'Interest rate projection'!AO189/Var_freq)+IF(P$5="Mortgage Starts",0,Deposit_mon),2)</f>
        <v>15346.01</v>
      </c>
      <c r="Q187" s="16">
        <f>ROUND(P187*(1+'Interest rate projection'!AP189/Var_freq)+IF(Q$5="Mortgage Starts",0,Deposit_mon),2)</f>
        <v>16390.07</v>
      </c>
      <c r="R187" s="16">
        <f>ROUND(Q187*(1+'Interest rate projection'!AQ189/Var_freq)+IF(R$5="Mortgage Starts",0,Deposit_mon),2)</f>
        <v>17437.12</v>
      </c>
      <c r="S187" s="16">
        <f>ROUND(R187*(1+'Interest rate projection'!AR189/Var_freq)+IF(S$5="Mortgage Starts",0,Deposit_mon),2)</f>
        <v>18483.66</v>
      </c>
      <c r="T187" s="16">
        <f>ROUND(S187*(1+'Interest rate projection'!AS189/Var_freq)+IF(T$5="Mortgage Starts",0,Deposit_mon),2)</f>
        <v>19532.990000000002</v>
      </c>
      <c r="U187" s="16">
        <f>ROUND(T187*(1+'Interest rate projection'!AT189/Var_freq)+IF(U$5="Mortgage Starts",0,Deposit_mon),2)</f>
        <v>20585.12</v>
      </c>
      <c r="V187" s="16">
        <f>ROUND(U187*(1+'Interest rate projection'!AU189/Var_freq)+IF(V$5="Mortgage Starts",0,Deposit_mon),2)</f>
        <v>21640.06</v>
      </c>
      <c r="W187" s="16">
        <f>ROUND(V187*(1+'Interest rate projection'!AV189/Var_freq)+IF(W$5="Mortgage Starts",0,Deposit_mon),2)</f>
        <v>22697.81</v>
      </c>
      <c r="X187" s="16">
        <f>ROUND(W187*(1+'Interest rate projection'!AW189/Var_freq)+IF(X$5="Mortgage Starts",0,Deposit_mon),2)</f>
        <v>23758.39</v>
      </c>
      <c r="Y187" s="16">
        <f>ROUND(X187*(1+'Interest rate projection'!AX189/Var_freq)+IF(Y$5="Mortgage Starts",0,Deposit_mon),2)</f>
        <v>24831.39</v>
      </c>
      <c r="Z187" s="57">
        <f>ROUND(Y187*(1+'Interest rate projection'!AY189/Var_freq)+IF(Z$5="Mortgage Starts",0,Deposit_mon),2)</f>
        <v>24907.69</v>
      </c>
      <c r="AB187" s="38">
        <f>'Interest rate projection'!Z189</f>
        <v>3.7499999999999999E-2</v>
      </c>
      <c r="AC187" s="38">
        <f>'Interest rate projection'!AZ189</f>
        <v>3.6870500439066589E-2</v>
      </c>
      <c r="AD187" s="59" t="str">
        <f t="shared" si="28"/>
        <v>OK</v>
      </c>
      <c r="AE187" s="39">
        <f t="shared" si="29"/>
        <v>16.317113717606386</v>
      </c>
      <c r="AG187" s="73">
        <f t="shared" si="25"/>
        <v>24907.69</v>
      </c>
      <c r="AH187" s="73">
        <f t="shared" si="26"/>
        <v>175092.31</v>
      </c>
      <c r="AI187" s="74">
        <f t="shared" si="30"/>
        <v>894.22</v>
      </c>
      <c r="AJ187" s="9"/>
      <c r="AK187" s="73">
        <f>'Fixed rate projection'!$AE$3-('Variable rate projection'!AI187*Product_term*Var_freq)</f>
        <v>34803</v>
      </c>
    </row>
    <row r="188" spans="1:37" x14ac:dyDescent="0.35">
      <c r="A188" s="27">
        <v>183</v>
      </c>
      <c r="B188" s="57">
        <f t="shared" si="27"/>
        <v>1000</v>
      </c>
      <c r="C188" s="16">
        <f>ROUND(B188*(1+'Interest rate projection'!AB190/Var_freq)+IF(C$5="Mortgage Starts",0,Deposit_mon),2)</f>
        <v>2003.67</v>
      </c>
      <c r="D188" s="16">
        <f>ROUND(C188*(1+'Interest rate projection'!AC190/Var_freq)+IF(D$5="Mortgage Starts",0,Deposit_mon),2)</f>
        <v>3011.03</v>
      </c>
      <c r="E188" s="16">
        <f>ROUND(D188*(1+'Interest rate projection'!AD190/Var_freq)+IF(E$5="Mortgage Starts",0,Deposit_mon),2)</f>
        <v>4022.09</v>
      </c>
      <c r="F188" s="16">
        <f>ROUND(E188*(1+'Interest rate projection'!AE190/Var_freq)+IF(F$5="Mortgage Starts",0,Deposit_mon),2)</f>
        <v>5036.87</v>
      </c>
      <c r="G188" s="16">
        <f>ROUND(F188*(1+'Interest rate projection'!AF190/Var_freq)+IF(G$5="Mortgage Starts",0,Deposit_mon),2)</f>
        <v>6055.38</v>
      </c>
      <c r="H188" s="16">
        <f>ROUND(G188*(1+'Interest rate projection'!AG190/Var_freq)+IF(H$5="Mortgage Starts",0,Deposit_mon),2)</f>
        <v>7077.63</v>
      </c>
      <c r="I188" s="16">
        <f>ROUND(H188*(1+'Interest rate projection'!AH190/Var_freq)+IF(I$5="Mortgage Starts",0,Deposit_mon),2)</f>
        <v>8103.64</v>
      </c>
      <c r="J188" s="16">
        <f>ROUND(I188*(1+'Interest rate projection'!AI190/Var_freq)+IF(J$5="Mortgage Starts",0,Deposit_mon),2)</f>
        <v>9133.42</v>
      </c>
      <c r="K188" s="16">
        <f>ROUND(J188*(1+'Interest rate projection'!AJ190/Var_freq)+IF(K$5="Mortgage Starts",0,Deposit_mon),2)</f>
        <v>10166.98</v>
      </c>
      <c r="L188" s="16">
        <f>ROUND(K188*(1+'Interest rate projection'!AK190/Var_freq)+IF(L$5="Mortgage Starts",0,Deposit_mon),2)</f>
        <v>11204.34</v>
      </c>
      <c r="M188" s="16">
        <f>ROUND(L188*(1+'Interest rate projection'!AL190/Var_freq)+IF(M$5="Mortgage Starts",0,Deposit_mon),2)</f>
        <v>12245.51</v>
      </c>
      <c r="N188" s="16">
        <f>ROUND(M188*(1+'Interest rate projection'!AM190/Var_freq)+IF(N$5="Mortgage Starts",0,Deposit_mon),2)</f>
        <v>13288.06</v>
      </c>
      <c r="O188" s="16">
        <f>ROUND(N188*(1+'Interest rate projection'!AN190/Var_freq)+IF(O$5="Mortgage Starts",0,Deposit_mon),2)</f>
        <v>14334.23</v>
      </c>
      <c r="P188" s="16">
        <f>ROUND(O188*(1+'Interest rate projection'!AO190/Var_freq)+IF(P$5="Mortgage Starts",0,Deposit_mon),2)</f>
        <v>15384.03</v>
      </c>
      <c r="Q188" s="16">
        <f>ROUND(P188*(1+'Interest rate projection'!AP190/Var_freq)+IF(Q$5="Mortgage Starts",0,Deposit_mon),2)</f>
        <v>16443.64</v>
      </c>
      <c r="R188" s="16">
        <f>ROUND(Q188*(1+'Interest rate projection'!AQ190/Var_freq)+IF(R$5="Mortgage Starts",0,Deposit_mon),2)</f>
        <v>17507.349999999999</v>
      </c>
      <c r="S188" s="16">
        <f>ROUND(R188*(1+'Interest rate projection'!AR190/Var_freq)+IF(S$5="Mortgage Starts",0,Deposit_mon),2)</f>
        <v>18575.189999999999</v>
      </c>
      <c r="T188" s="16">
        <f>ROUND(S188*(1+'Interest rate projection'!AS190/Var_freq)+IF(T$5="Mortgage Starts",0,Deposit_mon),2)</f>
        <v>19647.16</v>
      </c>
      <c r="U188" s="16">
        <f>ROUND(T188*(1+'Interest rate projection'!AT190/Var_freq)+IF(U$5="Mortgage Starts",0,Deposit_mon),2)</f>
        <v>20723.29</v>
      </c>
      <c r="V188" s="16">
        <f>ROUND(U188*(1+'Interest rate projection'!AU190/Var_freq)+IF(V$5="Mortgage Starts",0,Deposit_mon),2)</f>
        <v>21803.59</v>
      </c>
      <c r="W188" s="16">
        <f>ROUND(V188*(1+'Interest rate projection'!AV190/Var_freq)+IF(W$5="Mortgage Starts",0,Deposit_mon),2)</f>
        <v>22888.07</v>
      </c>
      <c r="X188" s="16">
        <f>ROUND(W188*(1+'Interest rate projection'!AW190/Var_freq)+IF(X$5="Mortgage Starts",0,Deposit_mon),2)</f>
        <v>23976.75</v>
      </c>
      <c r="Y188" s="16">
        <f>ROUND(X188*(1+'Interest rate projection'!AX190/Var_freq)+IF(Y$5="Mortgage Starts",0,Deposit_mon),2)</f>
        <v>25064.86</v>
      </c>
      <c r="Z188" s="57">
        <f>ROUND(Y188*(1+'Interest rate projection'!AY190/Var_freq)+IF(Z$5="Mortgage Starts",0,Deposit_mon),2)</f>
        <v>25156.97</v>
      </c>
      <c r="AB188" s="38">
        <f>'Interest rate projection'!Z190</f>
        <v>4.4999999999999991E-2</v>
      </c>
      <c r="AC188" s="38">
        <f>'Interest rate projection'!AZ190</f>
        <v>4.4097712805242217E-2</v>
      </c>
      <c r="AD188" s="59" t="str">
        <f t="shared" si="28"/>
        <v>OK</v>
      </c>
      <c r="AE188" s="39">
        <f t="shared" si="29"/>
        <v>15.131610255367837</v>
      </c>
      <c r="AG188" s="73">
        <f t="shared" si="25"/>
        <v>25156.97</v>
      </c>
      <c r="AH188" s="73">
        <f t="shared" si="26"/>
        <v>174843.03</v>
      </c>
      <c r="AI188" s="74">
        <f t="shared" si="30"/>
        <v>962.9</v>
      </c>
      <c r="AJ188" s="9"/>
      <c r="AK188" s="73">
        <f>'Fixed rate projection'!$AE$3-('Variable rate projection'!AI188*Product_term*Var_freq)</f>
        <v>14199</v>
      </c>
    </row>
    <row r="189" spans="1:37" x14ac:dyDescent="0.35">
      <c r="A189" s="5">
        <v>184</v>
      </c>
      <c r="B189" s="57">
        <f t="shared" si="27"/>
        <v>1000</v>
      </c>
      <c r="C189" s="16">
        <f>ROUND(B189*(1+'Interest rate projection'!AB191/Var_freq)+IF(C$5="Mortgage Starts",0,Deposit_mon),2)</f>
        <v>2003.67</v>
      </c>
      <c r="D189" s="16">
        <f>ROUND(C189*(1+'Interest rate projection'!AC191/Var_freq)+IF(D$5="Mortgage Starts",0,Deposit_mon),2)</f>
        <v>3011.03</v>
      </c>
      <c r="E189" s="16">
        <f>ROUND(D189*(1+'Interest rate projection'!AD191/Var_freq)+IF(E$5="Mortgage Starts",0,Deposit_mon),2)</f>
        <v>4022.09</v>
      </c>
      <c r="F189" s="16">
        <f>ROUND(E189*(1+'Interest rate projection'!AE191/Var_freq)+IF(F$5="Mortgage Starts",0,Deposit_mon),2)</f>
        <v>5036.87</v>
      </c>
      <c r="G189" s="16">
        <f>ROUND(F189*(1+'Interest rate projection'!AF191/Var_freq)+IF(G$5="Mortgage Starts",0,Deposit_mon),2)</f>
        <v>6055.38</v>
      </c>
      <c r="H189" s="16">
        <f>ROUND(G189*(1+'Interest rate projection'!AG191/Var_freq)+IF(H$5="Mortgage Starts",0,Deposit_mon),2)</f>
        <v>7077.63</v>
      </c>
      <c r="I189" s="16">
        <f>ROUND(H189*(1+'Interest rate projection'!AH191/Var_freq)+IF(I$5="Mortgage Starts",0,Deposit_mon),2)</f>
        <v>8103.64</v>
      </c>
      <c r="J189" s="16">
        <f>ROUND(I189*(1+'Interest rate projection'!AI191/Var_freq)+IF(J$5="Mortgage Starts",0,Deposit_mon),2)</f>
        <v>9133.42</v>
      </c>
      <c r="K189" s="16">
        <f>ROUND(J189*(1+'Interest rate projection'!AJ191/Var_freq)+IF(K$5="Mortgage Starts",0,Deposit_mon),2)</f>
        <v>10168.81</v>
      </c>
      <c r="L189" s="16">
        <f>ROUND(K189*(1+'Interest rate projection'!AK191/Var_freq)+IF(L$5="Mortgage Starts",0,Deposit_mon),2)</f>
        <v>11208.21</v>
      </c>
      <c r="M189" s="16">
        <f>ROUND(L189*(1+'Interest rate projection'!AL191/Var_freq)+IF(M$5="Mortgage Starts",0,Deposit_mon),2)</f>
        <v>12251.64</v>
      </c>
      <c r="N189" s="16">
        <f>ROUND(M189*(1+'Interest rate projection'!AM191/Var_freq)+IF(N$5="Mortgage Starts",0,Deposit_mon),2)</f>
        <v>13299.11</v>
      </c>
      <c r="O189" s="16">
        <f>ROUND(N189*(1+'Interest rate projection'!AN191/Var_freq)+IF(O$5="Mortgage Starts",0,Deposit_mon),2)</f>
        <v>14350.64</v>
      </c>
      <c r="P189" s="16">
        <f>ROUND(O189*(1+'Interest rate projection'!AO191/Var_freq)+IF(P$5="Mortgage Starts",0,Deposit_mon),2)</f>
        <v>15403.38</v>
      </c>
      <c r="Q189" s="16">
        <f>ROUND(P189*(1+'Interest rate projection'!AP191/Var_freq)+IF(Q$5="Mortgage Starts",0,Deposit_mon),2)</f>
        <v>16459.98</v>
      </c>
      <c r="R189" s="16">
        <f>ROUND(Q189*(1+'Interest rate projection'!AQ191/Var_freq)+IF(R$5="Mortgage Starts",0,Deposit_mon),2)</f>
        <v>17520.47</v>
      </c>
      <c r="S189" s="16">
        <f>ROUND(R189*(1+'Interest rate projection'!AR191/Var_freq)+IF(S$5="Mortgage Starts",0,Deposit_mon),2)</f>
        <v>18584.849999999999</v>
      </c>
      <c r="T189" s="16">
        <f>ROUND(S189*(1+'Interest rate projection'!AS191/Var_freq)+IF(T$5="Mortgage Starts",0,Deposit_mon),2)</f>
        <v>19653.150000000001</v>
      </c>
      <c r="U189" s="16">
        <f>ROUND(T189*(1+'Interest rate projection'!AT191/Var_freq)+IF(U$5="Mortgage Starts",0,Deposit_mon),2)</f>
        <v>20725.37</v>
      </c>
      <c r="V189" s="16">
        <f>ROUND(U189*(1+'Interest rate projection'!AU191/Var_freq)+IF(V$5="Mortgage Starts",0,Deposit_mon),2)</f>
        <v>21797.38</v>
      </c>
      <c r="W189" s="16">
        <f>ROUND(V189*(1+'Interest rate projection'!AV191/Var_freq)+IF(W$5="Mortgage Starts",0,Deposit_mon),2)</f>
        <v>22873.11</v>
      </c>
      <c r="X189" s="16">
        <f>ROUND(W189*(1+'Interest rate projection'!AW191/Var_freq)+IF(X$5="Mortgage Starts",0,Deposit_mon),2)</f>
        <v>23952.58</v>
      </c>
      <c r="Y189" s="16">
        <f>ROUND(X189*(1+'Interest rate projection'!AX191/Var_freq)+IF(Y$5="Mortgage Starts",0,Deposit_mon),2)</f>
        <v>25040.6</v>
      </c>
      <c r="Z189" s="57">
        <f>ROUND(Y189*(1+'Interest rate projection'!AY191/Var_freq)+IF(Z$5="Mortgage Starts",0,Deposit_mon),2)</f>
        <v>25132.62</v>
      </c>
      <c r="AB189" s="38">
        <f>'Interest rate projection'!Z191</f>
        <v>4.4999999999999998E-2</v>
      </c>
      <c r="AC189" s="38">
        <f>'Interest rate projection'!AZ191</f>
        <v>4.4097712805242217E-2</v>
      </c>
      <c r="AD189" s="59" t="str">
        <f t="shared" si="28"/>
        <v>OK</v>
      </c>
      <c r="AE189" s="39">
        <f t="shared" si="29"/>
        <v>15.131610255367837</v>
      </c>
      <c r="AG189" s="73">
        <f t="shared" si="25"/>
        <v>25132.62</v>
      </c>
      <c r="AH189" s="73">
        <f t="shared" si="26"/>
        <v>174867.38</v>
      </c>
      <c r="AI189" s="74">
        <f t="shared" si="30"/>
        <v>963.04</v>
      </c>
      <c r="AJ189" s="9"/>
      <c r="AK189" s="73">
        <f>'Fixed rate projection'!$AE$3-('Variable rate projection'!AI189*Product_term*Var_freq)</f>
        <v>14157</v>
      </c>
    </row>
    <row r="190" spans="1:37" x14ac:dyDescent="0.35">
      <c r="A190" s="27">
        <v>185</v>
      </c>
      <c r="B190" s="57">
        <f t="shared" si="27"/>
        <v>1000</v>
      </c>
      <c r="C190" s="16">
        <f>ROUND(B190*(1+'Interest rate projection'!AB192/Var_freq)+IF(C$5="Mortgage Starts",0,Deposit_mon),2)</f>
        <v>2003.67</v>
      </c>
      <c r="D190" s="16">
        <f>ROUND(C190*(1+'Interest rate projection'!AC192/Var_freq)+IF(D$5="Mortgage Starts",0,Deposit_mon),2)</f>
        <v>3011.03</v>
      </c>
      <c r="E190" s="16">
        <f>ROUND(D190*(1+'Interest rate projection'!AD192/Var_freq)+IF(E$5="Mortgage Starts",0,Deposit_mon),2)</f>
        <v>4022.09</v>
      </c>
      <c r="F190" s="16">
        <f>ROUND(E190*(1+'Interest rate projection'!AE192/Var_freq)+IF(F$5="Mortgage Starts",0,Deposit_mon),2)</f>
        <v>5036.87</v>
      </c>
      <c r="G190" s="16">
        <f>ROUND(F190*(1+'Interest rate projection'!AF192/Var_freq)+IF(G$5="Mortgage Starts",0,Deposit_mon),2)</f>
        <v>6055.38</v>
      </c>
      <c r="H190" s="16">
        <f>ROUND(G190*(1+'Interest rate projection'!AG192/Var_freq)+IF(H$5="Mortgage Starts",0,Deposit_mon),2)</f>
        <v>7077.63</v>
      </c>
      <c r="I190" s="16">
        <f>ROUND(H190*(1+'Interest rate projection'!AH192/Var_freq)+IF(I$5="Mortgage Starts",0,Deposit_mon),2)</f>
        <v>8103.64</v>
      </c>
      <c r="J190" s="16">
        <f>ROUND(I190*(1+'Interest rate projection'!AI192/Var_freq)+IF(J$5="Mortgage Starts",0,Deposit_mon),2)</f>
        <v>9133.42</v>
      </c>
      <c r="K190" s="16">
        <f>ROUND(J190*(1+'Interest rate projection'!AJ192/Var_freq)+IF(K$5="Mortgage Starts",0,Deposit_mon),2)</f>
        <v>10166.98</v>
      </c>
      <c r="L190" s="16">
        <f>ROUND(K190*(1+'Interest rate projection'!AK192/Var_freq)+IF(L$5="Mortgage Starts",0,Deposit_mon),2)</f>
        <v>11204.34</v>
      </c>
      <c r="M190" s="16">
        <f>ROUND(L190*(1+'Interest rate projection'!AL192/Var_freq)+IF(M$5="Mortgage Starts",0,Deposit_mon),2)</f>
        <v>12243.27</v>
      </c>
      <c r="N190" s="16">
        <f>ROUND(M190*(1+'Interest rate projection'!AM192/Var_freq)+IF(N$5="Mortgage Starts",0,Deposit_mon),2)</f>
        <v>13285.81</v>
      </c>
      <c r="O190" s="16">
        <f>ROUND(N190*(1+'Interest rate projection'!AN192/Var_freq)+IF(O$5="Mortgage Starts",0,Deposit_mon),2)</f>
        <v>14331.97</v>
      </c>
      <c r="P190" s="16">
        <f>ROUND(O190*(1+'Interest rate projection'!AO192/Var_freq)+IF(P$5="Mortgage Starts",0,Deposit_mon),2)</f>
        <v>15381.77</v>
      </c>
      <c r="Q190" s="16">
        <f>ROUND(P190*(1+'Interest rate projection'!AP192/Var_freq)+IF(Q$5="Mortgage Starts",0,Deposit_mon),2)</f>
        <v>16435.21</v>
      </c>
      <c r="R190" s="16">
        <f>ROUND(Q190*(1+'Interest rate projection'!AQ192/Var_freq)+IF(R$5="Mortgage Starts",0,Deposit_mon),2)</f>
        <v>17492.310000000001</v>
      </c>
      <c r="S190" s="16">
        <f>ROUND(R190*(1+'Interest rate projection'!AR192/Var_freq)+IF(S$5="Mortgage Starts",0,Deposit_mon),2)</f>
        <v>18553.09</v>
      </c>
      <c r="T190" s="16">
        <f>ROUND(S190*(1+'Interest rate projection'!AS192/Var_freq)+IF(T$5="Mortgage Starts",0,Deposit_mon),2)</f>
        <v>19617.55</v>
      </c>
      <c r="U190" s="16">
        <f>ROUND(T190*(1+'Interest rate projection'!AT192/Var_freq)+IF(U$5="Mortgage Starts",0,Deposit_mon),2)</f>
        <v>20685.71</v>
      </c>
      <c r="V190" s="16">
        <f>ROUND(U190*(1+'Interest rate projection'!AU192/Var_freq)+IF(V$5="Mortgage Starts",0,Deposit_mon),2)</f>
        <v>21757.58</v>
      </c>
      <c r="W190" s="16">
        <f>ROUND(V190*(1+'Interest rate projection'!AV192/Var_freq)+IF(W$5="Mortgage Starts",0,Deposit_mon),2)</f>
        <v>22833.18</v>
      </c>
      <c r="X190" s="16">
        <f>ROUND(W190*(1+'Interest rate projection'!AW192/Var_freq)+IF(X$5="Mortgage Starts",0,Deposit_mon),2)</f>
        <v>23912.51</v>
      </c>
      <c r="Y190" s="16">
        <f>ROUND(X190*(1+'Interest rate projection'!AX192/Var_freq)+IF(Y$5="Mortgage Starts",0,Deposit_mon),2)</f>
        <v>24995.59</v>
      </c>
      <c r="Z190" s="57">
        <f>ROUND(Y190*(1+'Interest rate projection'!AY192/Var_freq)+IF(Z$5="Mortgage Starts",0,Deposit_mon),2)</f>
        <v>25082.44</v>
      </c>
      <c r="AB190" s="38">
        <f>'Interest rate projection'!Z192</f>
        <v>4.2499999999999996E-2</v>
      </c>
      <c r="AC190" s="38">
        <f>'Interest rate projection'!AZ192</f>
        <v>4.1693940041970023E-2</v>
      </c>
      <c r="AD190" s="59" t="str">
        <f t="shared" si="28"/>
        <v>OK</v>
      </c>
      <c r="AE190" s="39">
        <f t="shared" si="29"/>
        <v>15.511529757864551</v>
      </c>
      <c r="AG190" s="73">
        <f t="shared" si="25"/>
        <v>25082.44</v>
      </c>
      <c r="AH190" s="73">
        <f t="shared" si="26"/>
        <v>174917.56</v>
      </c>
      <c r="AI190" s="74">
        <f t="shared" si="30"/>
        <v>939.72</v>
      </c>
      <c r="AJ190" s="9"/>
      <c r="AK190" s="73">
        <f>'Fixed rate projection'!$AE$3-('Variable rate projection'!AI190*Product_term*Var_freq)</f>
        <v>21153</v>
      </c>
    </row>
    <row r="191" spans="1:37" x14ac:dyDescent="0.35">
      <c r="A191" s="5">
        <v>186</v>
      </c>
      <c r="B191" s="57">
        <f t="shared" si="27"/>
        <v>1000</v>
      </c>
      <c r="C191" s="16">
        <f>ROUND(B191*(1+'Interest rate projection'!AB193/Var_freq)+IF(C$5="Mortgage Starts",0,Deposit_mon),2)</f>
        <v>2003.67</v>
      </c>
      <c r="D191" s="16">
        <f>ROUND(C191*(1+'Interest rate projection'!AC193/Var_freq)+IF(D$5="Mortgage Starts",0,Deposit_mon),2)</f>
        <v>3011.03</v>
      </c>
      <c r="E191" s="16">
        <f>ROUND(D191*(1+'Interest rate projection'!AD193/Var_freq)+IF(E$5="Mortgage Starts",0,Deposit_mon),2)</f>
        <v>4022.09</v>
      </c>
      <c r="F191" s="16">
        <f>ROUND(E191*(1+'Interest rate projection'!AE193/Var_freq)+IF(F$5="Mortgage Starts",0,Deposit_mon),2)</f>
        <v>5038.4799999999996</v>
      </c>
      <c r="G191" s="16">
        <f>ROUND(F191*(1+'Interest rate projection'!AF193/Var_freq)+IF(G$5="Mortgage Starts",0,Deposit_mon),2)</f>
        <v>6060.01</v>
      </c>
      <c r="H191" s="16">
        <f>ROUND(G191*(1+'Interest rate projection'!AG193/Var_freq)+IF(H$5="Mortgage Starts",0,Deposit_mon),2)</f>
        <v>7085.91</v>
      </c>
      <c r="I191" s="16">
        <f>ROUND(H191*(1+'Interest rate projection'!AH193/Var_freq)+IF(I$5="Mortgage Starts",0,Deposit_mon),2)</f>
        <v>8116.19</v>
      </c>
      <c r="J191" s="16">
        <f>ROUND(I191*(1+'Interest rate projection'!AI193/Var_freq)+IF(J$5="Mortgage Starts",0,Deposit_mon),2)</f>
        <v>9154.09</v>
      </c>
      <c r="K191" s="16">
        <f>ROUND(J191*(1+'Interest rate projection'!AJ193/Var_freq)+IF(K$5="Mortgage Starts",0,Deposit_mon),2)</f>
        <v>10196.84</v>
      </c>
      <c r="L191" s="16">
        <f>ROUND(K191*(1+'Interest rate projection'!AK193/Var_freq)+IF(L$5="Mortgage Starts",0,Deposit_mon),2)</f>
        <v>11244.46</v>
      </c>
      <c r="M191" s="16">
        <f>ROUND(L191*(1+'Interest rate projection'!AL193/Var_freq)+IF(M$5="Mortgage Starts",0,Deposit_mon),2)</f>
        <v>12296.97</v>
      </c>
      <c r="N191" s="16">
        <f>ROUND(M191*(1+'Interest rate projection'!AM193/Var_freq)+IF(N$5="Mortgage Starts",0,Deposit_mon),2)</f>
        <v>13354.39</v>
      </c>
      <c r="O191" s="16">
        <f>ROUND(N191*(1+'Interest rate projection'!AN193/Var_freq)+IF(O$5="Mortgage Starts",0,Deposit_mon),2)</f>
        <v>14416.75</v>
      </c>
      <c r="P191" s="16">
        <f>ROUND(O191*(1+'Interest rate projection'!AO193/Var_freq)+IF(P$5="Mortgage Starts",0,Deposit_mon),2)</f>
        <v>15484.07</v>
      </c>
      <c r="Q191" s="16">
        <f>ROUND(P191*(1+'Interest rate projection'!AP193/Var_freq)+IF(Q$5="Mortgage Starts",0,Deposit_mon),2)</f>
        <v>16556.38</v>
      </c>
      <c r="R191" s="16">
        <f>ROUND(Q191*(1+'Interest rate projection'!AQ193/Var_freq)+IF(R$5="Mortgage Starts",0,Deposit_mon),2)</f>
        <v>17633.7</v>
      </c>
      <c r="S191" s="16">
        <f>ROUND(R191*(1+'Interest rate projection'!AR193/Var_freq)+IF(S$5="Mortgage Starts",0,Deposit_mon),2)</f>
        <v>18712.55</v>
      </c>
      <c r="T191" s="16">
        <f>ROUND(S191*(1+'Interest rate projection'!AS193/Var_freq)+IF(T$5="Mortgage Starts",0,Deposit_mon),2)</f>
        <v>19796.23</v>
      </c>
      <c r="U191" s="16">
        <f>ROUND(T191*(1+'Interest rate projection'!AT193/Var_freq)+IF(U$5="Mortgage Starts",0,Deposit_mon),2)</f>
        <v>20884.75</v>
      </c>
      <c r="V191" s="16">
        <f>ROUND(U191*(1+'Interest rate projection'!AU193/Var_freq)+IF(V$5="Mortgage Starts",0,Deposit_mon),2)</f>
        <v>21978.14</v>
      </c>
      <c r="W191" s="16">
        <f>ROUND(V191*(1+'Interest rate projection'!AV193/Var_freq)+IF(W$5="Mortgage Starts",0,Deposit_mon),2)</f>
        <v>23076.42</v>
      </c>
      <c r="X191" s="16">
        <f>ROUND(W191*(1+'Interest rate projection'!AW193/Var_freq)+IF(X$5="Mortgage Starts",0,Deposit_mon),2)</f>
        <v>24179.61</v>
      </c>
      <c r="Y191" s="16">
        <f>ROUND(X191*(1+'Interest rate projection'!AX193/Var_freq)+IF(Y$5="Mortgage Starts",0,Deposit_mon),2)</f>
        <v>25278.12</v>
      </c>
      <c r="Z191" s="57">
        <f>ROUND(Y191*(1+'Interest rate projection'!AY193/Var_freq)+IF(Z$5="Mortgage Starts",0,Deposit_mon),2)</f>
        <v>25391.16</v>
      </c>
      <c r="AB191" s="38">
        <f>'Interest rate projection'!Z193</f>
        <v>5.9999999999999991E-2</v>
      </c>
      <c r="AC191" s="38">
        <f>'Interest rate projection'!AZ193</f>
        <v>5.8410606784116581E-2</v>
      </c>
      <c r="AD191" s="59" t="str">
        <f t="shared" si="28"/>
        <v>OK</v>
      </c>
      <c r="AE191" s="39">
        <f t="shared" si="29"/>
        <v>13.131200165937551</v>
      </c>
      <c r="AG191" s="73">
        <f t="shared" si="25"/>
        <v>25391.16</v>
      </c>
      <c r="AH191" s="73">
        <f t="shared" si="26"/>
        <v>174608.84</v>
      </c>
      <c r="AI191" s="74">
        <f t="shared" si="30"/>
        <v>1108.0999999999999</v>
      </c>
      <c r="AJ191" s="9"/>
      <c r="AK191" s="73">
        <f>'Fixed rate projection'!$AE$3-('Variable rate projection'!AI191*Product_term*Var_freq)</f>
        <v>-29360.999999999942</v>
      </c>
    </row>
    <row r="192" spans="1:37" x14ac:dyDescent="0.35">
      <c r="A192" s="27">
        <v>187</v>
      </c>
      <c r="B192" s="57">
        <f t="shared" si="27"/>
        <v>1000</v>
      </c>
      <c r="C192" s="16">
        <f>ROUND(B192*(1+'Interest rate projection'!AB194/Var_freq)+IF(C$5="Mortgage Starts",0,Deposit_mon),2)</f>
        <v>2003.67</v>
      </c>
      <c r="D192" s="16">
        <f>ROUND(C192*(1+'Interest rate projection'!AC194/Var_freq)+IF(D$5="Mortgage Starts",0,Deposit_mon),2)</f>
        <v>3010.63</v>
      </c>
      <c r="E192" s="16">
        <f>ROUND(D192*(1+'Interest rate projection'!AD194/Var_freq)+IF(E$5="Mortgage Starts",0,Deposit_mon),2)</f>
        <v>4021.09</v>
      </c>
      <c r="F192" s="16">
        <f>ROUND(E192*(1+'Interest rate projection'!AE194/Var_freq)+IF(F$5="Mortgage Starts",0,Deposit_mon),2)</f>
        <v>5035.0600000000004</v>
      </c>
      <c r="G192" s="16">
        <f>ROUND(F192*(1+'Interest rate projection'!AF194/Var_freq)+IF(G$5="Mortgage Starts",0,Deposit_mon),2)</f>
        <v>6052.55</v>
      </c>
      <c r="H192" s="16">
        <f>ROUND(G192*(1+'Interest rate projection'!AG194/Var_freq)+IF(H$5="Mortgage Starts",0,Deposit_mon),2)</f>
        <v>7073.58</v>
      </c>
      <c r="I192" s="16">
        <f>ROUND(H192*(1+'Interest rate projection'!AH194/Var_freq)+IF(I$5="Mortgage Starts",0,Deposit_mon),2)</f>
        <v>8096.74</v>
      </c>
      <c r="J192" s="16">
        <f>ROUND(I192*(1+'Interest rate projection'!AI194/Var_freq)+IF(J$5="Mortgage Starts",0,Deposit_mon),2)</f>
        <v>9121.6200000000008</v>
      </c>
      <c r="K192" s="16">
        <f>ROUND(J192*(1+'Interest rate projection'!AJ194/Var_freq)+IF(K$5="Mortgage Starts",0,Deposit_mon),2)</f>
        <v>10149.65</v>
      </c>
      <c r="L192" s="16">
        <f>ROUND(K192*(1+'Interest rate projection'!AK194/Var_freq)+IF(L$5="Mortgage Starts",0,Deposit_mon),2)</f>
        <v>11180.84</v>
      </c>
      <c r="M192" s="16">
        <f>ROUND(L192*(1+'Interest rate projection'!AL194/Var_freq)+IF(M$5="Mortgage Starts",0,Deposit_mon),2)</f>
        <v>12215.19</v>
      </c>
      <c r="N192" s="16">
        <f>ROUND(M192*(1+'Interest rate projection'!AM194/Var_freq)+IF(N$5="Mortgage Starts",0,Deposit_mon),2)</f>
        <v>13252.72</v>
      </c>
      <c r="O192" s="16">
        <f>ROUND(N192*(1+'Interest rate projection'!AN194/Var_freq)+IF(O$5="Mortgage Starts",0,Deposit_mon),2)</f>
        <v>14296.11</v>
      </c>
      <c r="P192" s="16">
        <f>ROUND(O192*(1+'Interest rate projection'!AO194/Var_freq)+IF(P$5="Mortgage Starts",0,Deposit_mon),2)</f>
        <v>15342.91</v>
      </c>
      <c r="Q192" s="16">
        <f>ROUND(P192*(1+'Interest rate projection'!AP194/Var_freq)+IF(Q$5="Mortgage Starts",0,Deposit_mon),2)</f>
        <v>16393.14</v>
      </c>
      <c r="R192" s="16">
        <f>ROUND(Q192*(1+'Interest rate projection'!AQ194/Var_freq)+IF(R$5="Mortgage Starts",0,Deposit_mon),2)</f>
        <v>17446.810000000001</v>
      </c>
      <c r="S192" s="16">
        <f>ROUND(R192*(1+'Interest rate projection'!AR194/Var_freq)+IF(S$5="Mortgage Starts",0,Deposit_mon),2)</f>
        <v>18503.93</v>
      </c>
      <c r="T192" s="16">
        <f>ROUND(S192*(1+'Interest rate projection'!AS194/Var_freq)+IF(T$5="Mortgage Starts",0,Deposit_mon),2)</f>
        <v>19564.509999999998</v>
      </c>
      <c r="U192" s="16">
        <f>ROUND(T192*(1+'Interest rate projection'!AT194/Var_freq)+IF(U$5="Mortgage Starts",0,Deposit_mon),2)</f>
        <v>20628.560000000001</v>
      </c>
      <c r="V192" s="16">
        <f>ROUND(U192*(1+'Interest rate projection'!AU194/Var_freq)+IF(V$5="Mortgage Starts",0,Deposit_mon),2)</f>
        <v>21696.09</v>
      </c>
      <c r="W192" s="16">
        <f>ROUND(V192*(1+'Interest rate projection'!AV194/Var_freq)+IF(W$5="Mortgage Starts",0,Deposit_mon),2)</f>
        <v>22762.75</v>
      </c>
      <c r="X192" s="16">
        <f>ROUND(W192*(1+'Interest rate projection'!AW194/Var_freq)+IF(X$5="Mortgage Starts",0,Deposit_mon),2)</f>
        <v>23837.27</v>
      </c>
      <c r="Y192" s="16">
        <f>ROUND(X192*(1+'Interest rate projection'!AX194/Var_freq)+IF(Y$5="Mortgage Starts",0,Deposit_mon),2)</f>
        <v>24915.31</v>
      </c>
      <c r="Z192" s="57">
        <f>ROUND(Y192*(1+'Interest rate projection'!AY194/Var_freq)+IF(Z$5="Mortgage Starts",0,Deposit_mon),2)</f>
        <v>25001.88</v>
      </c>
      <c r="AB192" s="38">
        <f>'Interest rate projection'!Z194</f>
        <v>4.2499999999999996E-2</v>
      </c>
      <c r="AC192" s="38">
        <f>'Interest rate projection'!AZ194</f>
        <v>4.1693940041970023E-2</v>
      </c>
      <c r="AD192" s="59" t="str">
        <f t="shared" si="28"/>
        <v>OK</v>
      </c>
      <c r="AE192" s="39">
        <f t="shared" si="29"/>
        <v>15.511529757864551</v>
      </c>
      <c r="AG192" s="73">
        <f t="shared" si="25"/>
        <v>25001.88</v>
      </c>
      <c r="AH192" s="73">
        <f t="shared" si="26"/>
        <v>174998.12</v>
      </c>
      <c r="AI192" s="74">
        <f t="shared" si="30"/>
        <v>940.15</v>
      </c>
      <c r="AJ192" s="9"/>
      <c r="AK192" s="73">
        <f>'Fixed rate projection'!$AE$3-('Variable rate projection'!AI192*Product_term*Var_freq)</f>
        <v>21024</v>
      </c>
    </row>
    <row r="193" spans="1:37" x14ac:dyDescent="0.35">
      <c r="A193" s="5">
        <v>188</v>
      </c>
      <c r="B193" s="57">
        <f t="shared" si="27"/>
        <v>1000</v>
      </c>
      <c r="C193" s="16">
        <f>ROUND(B193*(1+'Interest rate projection'!AB195/Var_freq)+IF(C$5="Mortgage Starts",0,Deposit_mon),2)</f>
        <v>2003.67</v>
      </c>
      <c r="D193" s="16">
        <f>ROUND(C193*(1+'Interest rate projection'!AC195/Var_freq)+IF(D$5="Mortgage Starts",0,Deposit_mon),2)</f>
        <v>3011.03</v>
      </c>
      <c r="E193" s="16">
        <f>ROUND(D193*(1+'Interest rate projection'!AD195/Var_freq)+IF(E$5="Mortgage Starts",0,Deposit_mon),2)</f>
        <v>4022.09</v>
      </c>
      <c r="F193" s="16">
        <f>ROUND(E193*(1+'Interest rate projection'!AE195/Var_freq)+IF(F$5="Mortgage Starts",0,Deposit_mon),2)</f>
        <v>5036.87</v>
      </c>
      <c r="G193" s="16">
        <f>ROUND(F193*(1+'Interest rate projection'!AF195/Var_freq)+IF(G$5="Mortgage Starts",0,Deposit_mon),2)</f>
        <v>6055.38</v>
      </c>
      <c r="H193" s="16">
        <f>ROUND(G193*(1+'Interest rate projection'!AG195/Var_freq)+IF(H$5="Mortgage Starts",0,Deposit_mon),2)</f>
        <v>7077.63</v>
      </c>
      <c r="I193" s="16">
        <f>ROUND(H193*(1+'Interest rate projection'!AH195/Var_freq)+IF(I$5="Mortgage Starts",0,Deposit_mon),2)</f>
        <v>8103.64</v>
      </c>
      <c r="J193" s="16">
        <f>ROUND(I193*(1+'Interest rate projection'!AI195/Var_freq)+IF(J$5="Mortgage Starts",0,Deposit_mon),2)</f>
        <v>9133.42</v>
      </c>
      <c r="K193" s="16">
        <f>ROUND(J193*(1+'Interest rate projection'!AJ195/Var_freq)+IF(K$5="Mortgage Starts",0,Deposit_mon),2)</f>
        <v>10166.98</v>
      </c>
      <c r="L193" s="16">
        <f>ROUND(K193*(1+'Interest rate projection'!AK195/Var_freq)+IF(L$5="Mortgage Starts",0,Deposit_mon),2)</f>
        <v>11204.34</v>
      </c>
      <c r="M193" s="16">
        <f>ROUND(L193*(1+'Interest rate projection'!AL195/Var_freq)+IF(M$5="Mortgage Starts",0,Deposit_mon),2)</f>
        <v>12245.51</v>
      </c>
      <c r="N193" s="16">
        <f>ROUND(M193*(1+'Interest rate projection'!AM195/Var_freq)+IF(N$5="Mortgage Starts",0,Deposit_mon),2)</f>
        <v>13290.51</v>
      </c>
      <c r="O193" s="16">
        <f>ROUND(N193*(1+'Interest rate projection'!AN195/Var_freq)+IF(O$5="Mortgage Starts",0,Deposit_mon),2)</f>
        <v>14339.35</v>
      </c>
      <c r="P193" s="16">
        <f>ROUND(O193*(1+'Interest rate projection'!AO195/Var_freq)+IF(P$5="Mortgage Starts",0,Deposit_mon),2)</f>
        <v>15392.04</v>
      </c>
      <c r="Q193" s="16">
        <f>ROUND(P193*(1+'Interest rate projection'!AP195/Var_freq)+IF(Q$5="Mortgage Starts",0,Deposit_mon),2)</f>
        <v>16448.599999999999</v>
      </c>
      <c r="R193" s="16">
        <f>ROUND(Q193*(1+'Interest rate projection'!AQ195/Var_freq)+IF(R$5="Mortgage Starts",0,Deposit_mon),2)</f>
        <v>17505.75</v>
      </c>
      <c r="S193" s="16">
        <f>ROUND(R193*(1+'Interest rate projection'!AR195/Var_freq)+IF(S$5="Mortgage Starts",0,Deposit_mon),2)</f>
        <v>18566.57</v>
      </c>
      <c r="T193" s="16">
        <f>ROUND(S193*(1+'Interest rate projection'!AS195/Var_freq)+IF(T$5="Mortgage Starts",0,Deposit_mon),2)</f>
        <v>19631.080000000002</v>
      </c>
      <c r="U193" s="16">
        <f>ROUND(T193*(1+'Interest rate projection'!AT195/Var_freq)+IF(U$5="Mortgage Starts",0,Deposit_mon),2)</f>
        <v>20699.29</v>
      </c>
      <c r="V193" s="16">
        <f>ROUND(U193*(1+'Interest rate projection'!AU195/Var_freq)+IF(V$5="Mortgage Starts",0,Deposit_mon),2)</f>
        <v>21775.360000000001</v>
      </c>
      <c r="W193" s="16">
        <f>ROUND(V193*(1+'Interest rate projection'!AV195/Var_freq)+IF(W$5="Mortgage Starts",0,Deposit_mon),2)</f>
        <v>22851.02</v>
      </c>
      <c r="X193" s="16">
        <f>ROUND(W193*(1+'Interest rate projection'!AW195/Var_freq)+IF(X$5="Mortgage Starts",0,Deposit_mon),2)</f>
        <v>23930.42</v>
      </c>
      <c r="Y193" s="16">
        <f>ROUND(X193*(1+'Interest rate projection'!AX195/Var_freq)+IF(Y$5="Mortgage Starts",0,Deposit_mon),2)</f>
        <v>25008.76</v>
      </c>
      <c r="Z193" s="57">
        <f>ROUND(Y193*(1+'Interest rate projection'!AY195/Var_freq)+IF(Z$5="Mortgage Starts",0,Deposit_mon),2)</f>
        <v>25090.63</v>
      </c>
      <c r="AB193" s="38">
        <f>'Interest rate projection'!Z195</f>
        <v>3.4999999999999996E-2</v>
      </c>
      <c r="AC193" s="38">
        <f>'Interest rate projection'!AZ195</f>
        <v>3.4450784628919706E-2</v>
      </c>
      <c r="AD193" s="59" t="str">
        <f t="shared" si="28"/>
        <v>OK</v>
      </c>
      <c r="AE193" s="39">
        <f t="shared" si="29"/>
        <v>16.744263358395965</v>
      </c>
      <c r="AG193" s="73">
        <f t="shared" si="25"/>
        <v>25090.63</v>
      </c>
      <c r="AH193" s="73">
        <f t="shared" si="26"/>
        <v>174909.37</v>
      </c>
      <c r="AI193" s="74">
        <f t="shared" si="30"/>
        <v>870.49</v>
      </c>
      <c r="AJ193" s="9"/>
      <c r="AK193" s="73">
        <f>'Fixed rate projection'!$AE$3-('Variable rate projection'!AI193*Product_term*Var_freq)</f>
        <v>41922</v>
      </c>
    </row>
    <row r="194" spans="1:37" x14ac:dyDescent="0.35">
      <c r="A194" s="27">
        <v>189</v>
      </c>
      <c r="B194" s="57">
        <f t="shared" si="27"/>
        <v>1000</v>
      </c>
      <c r="C194" s="16">
        <f>ROUND(B194*(1+'Interest rate projection'!AB196/Var_freq)+IF(C$5="Mortgage Starts",0,Deposit_mon),2)</f>
        <v>2003.67</v>
      </c>
      <c r="D194" s="16">
        <f>ROUND(C194*(1+'Interest rate projection'!AC196/Var_freq)+IF(D$5="Mortgage Starts",0,Deposit_mon),2)</f>
        <v>3011.03</v>
      </c>
      <c r="E194" s="16">
        <f>ROUND(D194*(1+'Interest rate projection'!AD196/Var_freq)+IF(E$5="Mortgage Starts",0,Deposit_mon),2)</f>
        <v>4022.09</v>
      </c>
      <c r="F194" s="16">
        <f>ROUND(E194*(1+'Interest rate projection'!AE196/Var_freq)+IF(F$5="Mortgage Starts",0,Deposit_mon),2)</f>
        <v>5037.67</v>
      </c>
      <c r="G194" s="16">
        <f>ROUND(F194*(1+'Interest rate projection'!AF196/Var_freq)+IF(G$5="Mortgage Starts",0,Deposit_mon),2)</f>
        <v>6057.19</v>
      </c>
      <c r="H194" s="16">
        <f>ROUND(G194*(1+'Interest rate projection'!AG196/Var_freq)+IF(H$5="Mortgage Starts",0,Deposit_mon),2)</f>
        <v>7080.66</v>
      </c>
      <c r="I194" s="16">
        <f>ROUND(H194*(1+'Interest rate projection'!AH196/Var_freq)+IF(I$5="Mortgage Starts",0,Deposit_mon),2)</f>
        <v>8108.1</v>
      </c>
      <c r="J194" s="16">
        <f>ROUND(I194*(1+'Interest rate projection'!AI196/Var_freq)+IF(J$5="Mortgage Starts",0,Deposit_mon),2)</f>
        <v>9139.52</v>
      </c>
      <c r="K194" s="16">
        <f>ROUND(J194*(1+'Interest rate projection'!AJ196/Var_freq)+IF(K$5="Mortgage Starts",0,Deposit_mon),2)</f>
        <v>10174.93</v>
      </c>
      <c r="L194" s="16">
        <f>ROUND(K194*(1+'Interest rate projection'!AK196/Var_freq)+IF(L$5="Mortgage Starts",0,Deposit_mon),2)</f>
        <v>11214.35</v>
      </c>
      <c r="M194" s="16">
        <f>ROUND(L194*(1+'Interest rate projection'!AL196/Var_freq)+IF(M$5="Mortgage Starts",0,Deposit_mon),2)</f>
        <v>12257.8</v>
      </c>
      <c r="N194" s="16">
        <f>ROUND(M194*(1+'Interest rate projection'!AM196/Var_freq)+IF(N$5="Mortgage Starts",0,Deposit_mon),2)</f>
        <v>13305.3</v>
      </c>
      <c r="O194" s="16">
        <f>ROUND(N194*(1+'Interest rate projection'!AN196/Var_freq)+IF(O$5="Mortgage Starts",0,Deposit_mon),2)</f>
        <v>14356.85</v>
      </c>
      <c r="P194" s="16">
        <f>ROUND(O194*(1+'Interest rate projection'!AO196/Var_freq)+IF(P$5="Mortgage Starts",0,Deposit_mon),2)</f>
        <v>15412.48</v>
      </c>
      <c r="Q194" s="16">
        <f>ROUND(P194*(1+'Interest rate projection'!AP196/Var_freq)+IF(Q$5="Mortgage Starts",0,Deposit_mon),2)</f>
        <v>16472.2</v>
      </c>
      <c r="R194" s="16">
        <f>ROUND(Q194*(1+'Interest rate projection'!AQ196/Var_freq)+IF(R$5="Mortgage Starts",0,Deposit_mon),2)</f>
        <v>17536.02</v>
      </c>
      <c r="S194" s="16">
        <f>ROUND(R194*(1+'Interest rate projection'!AR196/Var_freq)+IF(S$5="Mortgage Starts",0,Deposit_mon),2)</f>
        <v>18603.97</v>
      </c>
      <c r="T194" s="16">
        <f>ROUND(S194*(1+'Interest rate projection'!AS196/Var_freq)+IF(T$5="Mortgage Starts",0,Deposit_mon),2)</f>
        <v>19676.05</v>
      </c>
      <c r="U194" s="16">
        <f>ROUND(T194*(1+'Interest rate projection'!AT196/Var_freq)+IF(U$5="Mortgage Starts",0,Deposit_mon),2)</f>
        <v>20752.29</v>
      </c>
      <c r="V194" s="16">
        <f>ROUND(U194*(1+'Interest rate projection'!AU196/Var_freq)+IF(V$5="Mortgage Starts",0,Deposit_mon),2)</f>
        <v>21832.7</v>
      </c>
      <c r="W194" s="16">
        <f>ROUND(V194*(1+'Interest rate projection'!AV196/Var_freq)+IF(W$5="Mortgage Starts",0,Deposit_mon),2)</f>
        <v>22917.29</v>
      </c>
      <c r="X194" s="16">
        <f>ROUND(W194*(1+'Interest rate projection'!AW196/Var_freq)+IF(X$5="Mortgage Starts",0,Deposit_mon),2)</f>
        <v>24006.09</v>
      </c>
      <c r="Y194" s="16">
        <f>ROUND(X194*(1+'Interest rate projection'!AX196/Var_freq)+IF(Y$5="Mortgage Starts",0,Deposit_mon),2)</f>
        <v>25103.89</v>
      </c>
      <c r="Z194" s="57">
        <f>ROUND(Y194*(1+'Interest rate projection'!AY196/Var_freq)+IF(Z$5="Mortgage Starts",0,Deposit_mon),2)</f>
        <v>25206.17</v>
      </c>
      <c r="AB194" s="38">
        <f>'Interest rate projection'!Z196</f>
        <v>4.5000000000000005E-2</v>
      </c>
      <c r="AC194" s="38">
        <f>'Interest rate projection'!AZ196</f>
        <v>4.4097712805242217E-2</v>
      </c>
      <c r="AD194" s="59" t="str">
        <f t="shared" si="28"/>
        <v>OK</v>
      </c>
      <c r="AE194" s="39">
        <f t="shared" si="29"/>
        <v>15.131610255367837</v>
      </c>
      <c r="AG194" s="73">
        <f t="shared" si="25"/>
        <v>25206.17</v>
      </c>
      <c r="AH194" s="73">
        <f t="shared" si="26"/>
        <v>174793.83000000002</v>
      </c>
      <c r="AI194" s="74">
        <f t="shared" si="30"/>
        <v>962.63</v>
      </c>
      <c r="AJ194" s="9"/>
      <c r="AK194" s="73">
        <f>'Fixed rate projection'!$AE$3-('Variable rate projection'!AI194*Product_term*Var_freq)</f>
        <v>14280</v>
      </c>
    </row>
    <row r="195" spans="1:37" x14ac:dyDescent="0.35">
      <c r="A195" s="5">
        <v>190</v>
      </c>
      <c r="B195" s="57">
        <f t="shared" si="27"/>
        <v>1000</v>
      </c>
      <c r="C195" s="16">
        <f>ROUND(B195*(1+'Interest rate projection'!AB197/Var_freq)+IF(C$5="Mortgage Starts",0,Deposit_mon),2)</f>
        <v>2003.67</v>
      </c>
      <c r="D195" s="16">
        <f>ROUND(C195*(1+'Interest rate projection'!AC197/Var_freq)+IF(D$5="Mortgage Starts",0,Deposit_mon),2)</f>
        <v>3011.03</v>
      </c>
      <c r="E195" s="16">
        <f>ROUND(D195*(1+'Interest rate projection'!AD197/Var_freq)+IF(E$5="Mortgage Starts",0,Deposit_mon),2)</f>
        <v>4022.09</v>
      </c>
      <c r="F195" s="16">
        <f>ROUND(E195*(1+'Interest rate projection'!AE197/Var_freq)+IF(F$5="Mortgage Starts",0,Deposit_mon),2)</f>
        <v>5036.87</v>
      </c>
      <c r="G195" s="16">
        <f>ROUND(F195*(1+'Interest rate projection'!AF197/Var_freq)+IF(G$5="Mortgage Starts",0,Deposit_mon),2)</f>
        <v>6055.38</v>
      </c>
      <c r="H195" s="16">
        <f>ROUND(G195*(1+'Interest rate projection'!AG197/Var_freq)+IF(H$5="Mortgage Starts",0,Deposit_mon),2)</f>
        <v>7077.63</v>
      </c>
      <c r="I195" s="16">
        <f>ROUND(H195*(1+'Interest rate projection'!AH197/Var_freq)+IF(I$5="Mortgage Starts",0,Deposit_mon),2)</f>
        <v>8103.64</v>
      </c>
      <c r="J195" s="16">
        <f>ROUND(I195*(1+'Interest rate projection'!AI197/Var_freq)+IF(J$5="Mortgage Starts",0,Deposit_mon),2)</f>
        <v>9133.42</v>
      </c>
      <c r="K195" s="16">
        <f>ROUND(J195*(1+'Interest rate projection'!AJ197/Var_freq)+IF(K$5="Mortgage Starts",0,Deposit_mon),2)</f>
        <v>10166.98</v>
      </c>
      <c r="L195" s="16">
        <f>ROUND(K195*(1+'Interest rate projection'!AK197/Var_freq)+IF(L$5="Mortgage Starts",0,Deposit_mon),2)</f>
        <v>11202.31</v>
      </c>
      <c r="M195" s="16">
        <f>ROUND(L195*(1+'Interest rate projection'!AL197/Var_freq)+IF(M$5="Mortgage Starts",0,Deposit_mon),2)</f>
        <v>12241.23</v>
      </c>
      <c r="N195" s="16">
        <f>ROUND(M195*(1+'Interest rate projection'!AM197/Var_freq)+IF(N$5="Mortgage Starts",0,Deposit_mon),2)</f>
        <v>13283.76</v>
      </c>
      <c r="O195" s="16">
        <f>ROUND(N195*(1+'Interest rate projection'!AN197/Var_freq)+IF(O$5="Mortgage Starts",0,Deposit_mon),2)</f>
        <v>14335.23</v>
      </c>
      <c r="P195" s="16">
        <f>ROUND(O195*(1+'Interest rate projection'!AO197/Var_freq)+IF(P$5="Mortgage Starts",0,Deposit_mon),2)</f>
        <v>15390.77</v>
      </c>
      <c r="Q195" s="16">
        <f>ROUND(P195*(1+'Interest rate projection'!AP197/Var_freq)+IF(Q$5="Mortgage Starts",0,Deposit_mon),2)</f>
        <v>16447.330000000002</v>
      </c>
      <c r="R195" s="16">
        <f>ROUND(Q195*(1+'Interest rate projection'!AQ197/Var_freq)+IF(R$5="Mortgage Starts",0,Deposit_mon),2)</f>
        <v>17507.77</v>
      </c>
      <c r="S195" s="16">
        <f>ROUND(R195*(1+'Interest rate projection'!AR197/Var_freq)+IF(S$5="Mortgage Starts",0,Deposit_mon),2)</f>
        <v>18575.61</v>
      </c>
      <c r="T195" s="16">
        <f>ROUND(S195*(1+'Interest rate projection'!AS197/Var_freq)+IF(T$5="Mortgage Starts",0,Deposit_mon),2)</f>
        <v>19651.29</v>
      </c>
      <c r="U195" s="16">
        <f>ROUND(T195*(1+'Interest rate projection'!AT197/Var_freq)+IF(U$5="Mortgage Starts",0,Deposit_mon),2)</f>
        <v>20731.349999999999</v>
      </c>
      <c r="V195" s="16">
        <f>ROUND(U195*(1+'Interest rate projection'!AU197/Var_freq)+IF(V$5="Mortgage Starts",0,Deposit_mon),2)</f>
        <v>21815.81</v>
      </c>
      <c r="W195" s="16">
        <f>ROUND(V195*(1+'Interest rate projection'!AV197/Var_freq)+IF(W$5="Mortgage Starts",0,Deposit_mon),2)</f>
        <v>22904.69</v>
      </c>
      <c r="X195" s="16">
        <f>ROUND(W195*(1+'Interest rate projection'!AW197/Var_freq)+IF(X$5="Mortgage Starts",0,Deposit_mon),2)</f>
        <v>23998.01</v>
      </c>
      <c r="Y195" s="16">
        <f>ROUND(X195*(1+'Interest rate projection'!AX197/Var_freq)+IF(Y$5="Mortgage Starts",0,Deposit_mon),2)</f>
        <v>25095.78</v>
      </c>
      <c r="Z195" s="57">
        <f>ROUND(Y195*(1+'Interest rate projection'!AY197/Var_freq)+IF(Z$5="Mortgage Starts",0,Deposit_mon),2)</f>
        <v>25198.02</v>
      </c>
      <c r="AB195" s="38">
        <f>'Interest rate projection'!Z197</f>
        <v>4.9999999999999996E-2</v>
      </c>
      <c r="AC195" s="38">
        <f>'Interest rate projection'!AZ197</f>
        <v>4.8889485403780242E-2</v>
      </c>
      <c r="AD195" s="59" t="str">
        <f t="shared" si="28"/>
        <v>OK</v>
      </c>
      <c r="AE195" s="39">
        <f t="shared" si="29"/>
        <v>14.4140856153857</v>
      </c>
      <c r="AG195" s="73">
        <f t="shared" si="25"/>
        <v>25198.02</v>
      </c>
      <c r="AH195" s="73">
        <f t="shared" si="26"/>
        <v>174801.98</v>
      </c>
      <c r="AI195" s="74">
        <f t="shared" si="30"/>
        <v>1010.6</v>
      </c>
      <c r="AJ195" s="9"/>
      <c r="AK195" s="73">
        <f>'Fixed rate projection'!$AE$3-('Variable rate projection'!AI195*Product_term*Var_freq)</f>
        <v>-111</v>
      </c>
    </row>
    <row r="196" spans="1:37" x14ac:dyDescent="0.35">
      <c r="A196" s="27">
        <v>191</v>
      </c>
      <c r="B196" s="57">
        <f t="shared" si="27"/>
        <v>1000</v>
      </c>
      <c r="C196" s="16">
        <f>ROUND(B196*(1+'Interest rate projection'!AB198/Var_freq)+IF(C$5="Mortgage Starts",0,Deposit_mon),2)</f>
        <v>2003.67</v>
      </c>
      <c r="D196" s="16">
        <f>ROUND(C196*(1+'Interest rate projection'!AC198/Var_freq)+IF(D$5="Mortgage Starts",0,Deposit_mon),2)</f>
        <v>3011.03</v>
      </c>
      <c r="E196" s="16">
        <f>ROUND(D196*(1+'Interest rate projection'!AD198/Var_freq)+IF(E$5="Mortgage Starts",0,Deposit_mon),2)</f>
        <v>4022.7</v>
      </c>
      <c r="F196" s="16">
        <f>ROUND(E196*(1+'Interest rate projection'!AE198/Var_freq)+IF(F$5="Mortgage Starts",0,Deposit_mon),2)</f>
        <v>5038.29</v>
      </c>
      <c r="G196" s="16">
        <f>ROUND(F196*(1+'Interest rate projection'!AF198/Var_freq)+IF(G$5="Mortgage Starts",0,Deposit_mon),2)</f>
        <v>6057.81</v>
      </c>
      <c r="H196" s="16">
        <f>ROUND(G196*(1+'Interest rate projection'!AG198/Var_freq)+IF(H$5="Mortgage Starts",0,Deposit_mon),2)</f>
        <v>7081.28</v>
      </c>
      <c r="I196" s="16">
        <f>ROUND(H196*(1+'Interest rate projection'!AH198/Var_freq)+IF(I$5="Mortgage Starts",0,Deposit_mon),2)</f>
        <v>8108.72</v>
      </c>
      <c r="J196" s="16">
        <f>ROUND(I196*(1+'Interest rate projection'!AI198/Var_freq)+IF(J$5="Mortgage Starts",0,Deposit_mon),2)</f>
        <v>9141.76</v>
      </c>
      <c r="K196" s="16">
        <f>ROUND(J196*(1+'Interest rate projection'!AJ198/Var_freq)+IF(K$5="Mortgage Starts",0,Deposit_mon),2)</f>
        <v>10179</v>
      </c>
      <c r="L196" s="16">
        <f>ROUND(K196*(1+'Interest rate projection'!AK198/Var_freq)+IF(L$5="Mortgage Starts",0,Deposit_mon),2)</f>
        <v>11220.47</v>
      </c>
      <c r="M196" s="16">
        <f>ROUND(L196*(1+'Interest rate projection'!AL198/Var_freq)+IF(M$5="Mortgage Starts",0,Deposit_mon),2)</f>
        <v>12266.18</v>
      </c>
      <c r="N196" s="16">
        <f>ROUND(M196*(1+'Interest rate projection'!AM198/Var_freq)+IF(N$5="Mortgage Starts",0,Deposit_mon),2)</f>
        <v>13316.15</v>
      </c>
      <c r="O196" s="16">
        <f>ROUND(N196*(1+'Interest rate projection'!AN198/Var_freq)+IF(O$5="Mortgage Starts",0,Deposit_mon),2)</f>
        <v>14370.4</v>
      </c>
      <c r="P196" s="16">
        <f>ROUND(O196*(1+'Interest rate projection'!AO198/Var_freq)+IF(P$5="Mortgage Starts",0,Deposit_mon),2)</f>
        <v>15428.95</v>
      </c>
      <c r="Q196" s="16">
        <f>ROUND(P196*(1+'Interest rate projection'!AP198/Var_freq)+IF(Q$5="Mortgage Starts",0,Deposit_mon),2)</f>
        <v>16491.810000000001</v>
      </c>
      <c r="R196" s="16">
        <f>ROUND(Q196*(1+'Interest rate projection'!AQ198/Var_freq)+IF(R$5="Mortgage Starts",0,Deposit_mon),2)</f>
        <v>17559</v>
      </c>
      <c r="S196" s="16">
        <f>ROUND(R196*(1+'Interest rate projection'!AR198/Var_freq)+IF(S$5="Mortgage Starts",0,Deposit_mon),2)</f>
        <v>18630.54</v>
      </c>
      <c r="T196" s="16">
        <f>ROUND(S196*(1+'Interest rate projection'!AS198/Var_freq)+IF(T$5="Mortgage Starts",0,Deposit_mon),2)</f>
        <v>19706.439999999999</v>
      </c>
      <c r="U196" s="16">
        <f>ROUND(T196*(1+'Interest rate projection'!AT198/Var_freq)+IF(U$5="Mortgage Starts",0,Deposit_mon),2)</f>
        <v>20778.86</v>
      </c>
      <c r="V196" s="16">
        <f>ROUND(U196*(1+'Interest rate projection'!AU198/Var_freq)+IF(V$5="Mortgage Starts",0,Deposit_mon),2)</f>
        <v>21855.22</v>
      </c>
      <c r="W196" s="16">
        <f>ROUND(V196*(1+'Interest rate projection'!AV198/Var_freq)+IF(W$5="Mortgage Starts",0,Deposit_mon),2)</f>
        <v>22935.53</v>
      </c>
      <c r="X196" s="16">
        <f>ROUND(W196*(1+'Interest rate projection'!AW198/Var_freq)+IF(X$5="Mortgage Starts",0,Deposit_mon),2)</f>
        <v>24019.81</v>
      </c>
      <c r="Y196" s="16">
        <f>ROUND(X196*(1+'Interest rate projection'!AX198/Var_freq)+IF(Y$5="Mortgage Starts",0,Deposit_mon),2)</f>
        <v>25103.27</v>
      </c>
      <c r="Z196" s="57">
        <f>ROUND(Y196*(1+'Interest rate projection'!AY198/Var_freq)+IF(Z$5="Mortgage Starts",0,Deposit_mon),2)</f>
        <v>25190.49</v>
      </c>
      <c r="AB196" s="38">
        <f>'Interest rate projection'!Z198</f>
        <v>4.2500000000000003E-2</v>
      </c>
      <c r="AC196" s="38">
        <f>'Interest rate projection'!AZ198</f>
        <v>4.1693940041970023E-2</v>
      </c>
      <c r="AD196" s="59" t="str">
        <f t="shared" si="28"/>
        <v>OK</v>
      </c>
      <c r="AE196" s="39">
        <f t="shared" si="29"/>
        <v>15.511529757864551</v>
      </c>
      <c r="AG196" s="73">
        <f t="shared" si="25"/>
        <v>25190.49</v>
      </c>
      <c r="AH196" s="73">
        <f t="shared" si="26"/>
        <v>174809.51</v>
      </c>
      <c r="AI196" s="74">
        <f t="shared" si="30"/>
        <v>939.14</v>
      </c>
      <c r="AJ196" s="9"/>
      <c r="AK196" s="73">
        <f>'Fixed rate projection'!$AE$3-('Variable rate projection'!AI196*Product_term*Var_freq)</f>
        <v>21327</v>
      </c>
    </row>
    <row r="197" spans="1:37" x14ac:dyDescent="0.35">
      <c r="A197" s="5">
        <v>192</v>
      </c>
      <c r="B197" s="57">
        <f t="shared" si="27"/>
        <v>1000</v>
      </c>
      <c r="C197" s="16">
        <f>ROUND(B197*(1+'Interest rate projection'!AB199/Var_freq)+IF(C$5="Mortgage Starts",0,Deposit_mon),2)</f>
        <v>2003.67</v>
      </c>
      <c r="D197" s="16">
        <f>ROUND(C197*(1+'Interest rate projection'!AC199/Var_freq)+IF(D$5="Mortgage Starts",0,Deposit_mon),2)</f>
        <v>3010.63</v>
      </c>
      <c r="E197" s="16">
        <f>ROUND(D197*(1+'Interest rate projection'!AD199/Var_freq)+IF(E$5="Mortgage Starts",0,Deposit_mon),2)</f>
        <v>4021.09</v>
      </c>
      <c r="F197" s="16">
        <f>ROUND(E197*(1+'Interest rate projection'!AE199/Var_freq)+IF(F$5="Mortgage Starts",0,Deposit_mon),2)</f>
        <v>5035.0600000000004</v>
      </c>
      <c r="G197" s="16">
        <f>ROUND(F197*(1+'Interest rate projection'!AF199/Var_freq)+IF(G$5="Mortgage Starts",0,Deposit_mon),2)</f>
        <v>6052.55</v>
      </c>
      <c r="H197" s="16">
        <f>ROUND(G197*(1+'Interest rate projection'!AG199/Var_freq)+IF(H$5="Mortgage Starts",0,Deposit_mon),2)</f>
        <v>7073.58</v>
      </c>
      <c r="I197" s="16">
        <f>ROUND(H197*(1+'Interest rate projection'!AH199/Var_freq)+IF(I$5="Mortgage Starts",0,Deposit_mon),2)</f>
        <v>8098.16</v>
      </c>
      <c r="J197" s="16">
        <f>ROUND(I197*(1+'Interest rate projection'!AI199/Var_freq)+IF(J$5="Mortgage Starts",0,Deposit_mon),2)</f>
        <v>9126.2999999999993</v>
      </c>
      <c r="K197" s="16">
        <f>ROUND(J197*(1+'Interest rate projection'!AJ199/Var_freq)+IF(K$5="Mortgage Starts",0,Deposit_mon),2)</f>
        <v>10158.01</v>
      </c>
      <c r="L197" s="16">
        <f>ROUND(K197*(1+'Interest rate projection'!AK199/Var_freq)+IF(L$5="Mortgage Starts",0,Deposit_mon),2)</f>
        <v>11193.3</v>
      </c>
      <c r="M197" s="16">
        <f>ROUND(L197*(1+'Interest rate projection'!AL199/Var_freq)+IF(M$5="Mortgage Starts",0,Deposit_mon),2)</f>
        <v>12232.19</v>
      </c>
      <c r="N197" s="16">
        <f>ROUND(M197*(1+'Interest rate projection'!AM199/Var_freq)+IF(N$5="Mortgage Starts",0,Deposit_mon),2)</f>
        <v>13269.77</v>
      </c>
      <c r="O197" s="16">
        <f>ROUND(N197*(1+'Interest rate projection'!AN199/Var_freq)+IF(O$5="Mortgage Starts",0,Deposit_mon),2)</f>
        <v>14307.87</v>
      </c>
      <c r="P197" s="16">
        <f>ROUND(O197*(1+'Interest rate projection'!AO199/Var_freq)+IF(P$5="Mortgage Starts",0,Deposit_mon),2)</f>
        <v>15348.95</v>
      </c>
      <c r="Q197" s="16">
        <f>ROUND(P197*(1+'Interest rate projection'!AP199/Var_freq)+IF(Q$5="Mortgage Starts",0,Deposit_mon),2)</f>
        <v>16399.2</v>
      </c>
      <c r="R197" s="16">
        <f>ROUND(Q197*(1+'Interest rate projection'!AQ199/Var_freq)+IF(R$5="Mortgage Starts",0,Deposit_mon),2)</f>
        <v>17452.89</v>
      </c>
      <c r="S197" s="16">
        <f>ROUND(R197*(1+'Interest rate projection'!AR199/Var_freq)+IF(S$5="Mortgage Starts",0,Deposit_mon),2)</f>
        <v>18510.03</v>
      </c>
      <c r="T197" s="16">
        <f>ROUND(S197*(1+'Interest rate projection'!AS199/Var_freq)+IF(T$5="Mortgage Starts",0,Deposit_mon),2)</f>
        <v>19570.63</v>
      </c>
      <c r="U197" s="16">
        <f>ROUND(T197*(1+'Interest rate projection'!AT199/Var_freq)+IF(U$5="Mortgage Starts",0,Deposit_mon),2)</f>
        <v>20638.63</v>
      </c>
      <c r="V197" s="16">
        <f>ROUND(U197*(1+'Interest rate projection'!AU199/Var_freq)+IF(V$5="Mortgage Starts",0,Deposit_mon),2)</f>
        <v>21710.34</v>
      </c>
      <c r="W197" s="16">
        <f>ROUND(V197*(1+'Interest rate projection'!AV199/Var_freq)+IF(W$5="Mortgage Starts",0,Deposit_mon),2)</f>
        <v>22781.41</v>
      </c>
      <c r="X197" s="16">
        <f>ROUND(W197*(1+'Interest rate projection'!AW199/Var_freq)+IF(X$5="Mortgage Starts",0,Deposit_mon),2)</f>
        <v>23855.99</v>
      </c>
      <c r="Y197" s="16">
        <f>ROUND(X197*(1+'Interest rate projection'!AX199/Var_freq)+IF(Y$5="Mortgage Starts",0,Deposit_mon),2)</f>
        <v>24934.09</v>
      </c>
      <c r="Z197" s="57">
        <f>ROUND(Y197*(1+'Interest rate projection'!AY199/Var_freq)+IF(Z$5="Mortgage Starts",0,Deposit_mon),2)</f>
        <v>25020.720000000001</v>
      </c>
      <c r="AB197" s="38">
        <f>'Interest rate projection'!Z199</f>
        <v>4.2499999999999996E-2</v>
      </c>
      <c r="AC197" s="38">
        <f>'Interest rate projection'!AZ199</f>
        <v>4.1693940041970023E-2</v>
      </c>
      <c r="AD197" s="59" t="str">
        <f t="shared" si="28"/>
        <v>OK</v>
      </c>
      <c r="AE197" s="39">
        <f t="shared" si="29"/>
        <v>15.511529757864551</v>
      </c>
      <c r="AG197" s="73">
        <f t="shared" si="25"/>
        <v>25020.720000000001</v>
      </c>
      <c r="AH197" s="73">
        <f t="shared" si="26"/>
        <v>174979.28</v>
      </c>
      <c r="AI197" s="74">
        <f t="shared" si="30"/>
        <v>940.05</v>
      </c>
      <c r="AJ197" s="9"/>
      <c r="AK197" s="73">
        <f>'Fixed rate projection'!$AE$3-('Variable rate projection'!AI197*Product_term*Var_freq)</f>
        <v>21054</v>
      </c>
    </row>
    <row r="198" spans="1:37" x14ac:dyDescent="0.35">
      <c r="A198" s="27">
        <v>193</v>
      </c>
      <c r="B198" s="57">
        <f t="shared" ref="B198:B205" si="31">Deposit_mon</f>
        <v>1000</v>
      </c>
      <c r="C198" s="16">
        <f>ROUND(B198*(1+'Interest rate projection'!AB200/Var_freq)+IF(C$5="Mortgage Starts",0,Deposit_mon),2)</f>
        <v>2003.67</v>
      </c>
      <c r="D198" s="16">
        <f>ROUND(C198*(1+'Interest rate projection'!AC200/Var_freq)+IF(D$5="Mortgage Starts",0,Deposit_mon),2)</f>
        <v>3011.03</v>
      </c>
      <c r="E198" s="16">
        <f>ROUND(D198*(1+'Interest rate projection'!AD200/Var_freq)+IF(E$5="Mortgage Starts",0,Deposit_mon),2)</f>
        <v>4022.09</v>
      </c>
      <c r="F198" s="16">
        <f>ROUND(E198*(1+'Interest rate projection'!AE200/Var_freq)+IF(F$5="Mortgage Starts",0,Deposit_mon),2)</f>
        <v>5036.87</v>
      </c>
      <c r="G198" s="16">
        <f>ROUND(F198*(1+'Interest rate projection'!AF200/Var_freq)+IF(G$5="Mortgage Starts",0,Deposit_mon),2)</f>
        <v>6055.38</v>
      </c>
      <c r="H198" s="16">
        <f>ROUND(G198*(1+'Interest rate projection'!AG200/Var_freq)+IF(H$5="Mortgage Starts",0,Deposit_mon),2)</f>
        <v>7077.63</v>
      </c>
      <c r="I198" s="16">
        <f>ROUND(H198*(1+'Interest rate projection'!AH200/Var_freq)+IF(I$5="Mortgage Starts",0,Deposit_mon),2)</f>
        <v>8103.64</v>
      </c>
      <c r="J198" s="16">
        <f>ROUND(I198*(1+'Interest rate projection'!AI200/Var_freq)+IF(J$5="Mortgage Starts",0,Deposit_mon),2)</f>
        <v>9133.42</v>
      </c>
      <c r="K198" s="16">
        <f>ROUND(J198*(1+'Interest rate projection'!AJ200/Var_freq)+IF(K$5="Mortgage Starts",0,Deposit_mon),2)</f>
        <v>10166.98</v>
      </c>
      <c r="L198" s="16">
        <f>ROUND(K198*(1+'Interest rate projection'!AK200/Var_freq)+IF(L$5="Mortgage Starts",0,Deposit_mon),2)</f>
        <v>11204.34</v>
      </c>
      <c r="M198" s="16">
        <f>ROUND(L198*(1+'Interest rate projection'!AL200/Var_freq)+IF(M$5="Mortgage Starts",0,Deposit_mon),2)</f>
        <v>12245.51</v>
      </c>
      <c r="N198" s="16">
        <f>ROUND(M198*(1+'Interest rate projection'!AM200/Var_freq)+IF(N$5="Mortgage Starts",0,Deposit_mon),2)</f>
        <v>13290.51</v>
      </c>
      <c r="O198" s="16">
        <f>ROUND(N198*(1+'Interest rate projection'!AN200/Var_freq)+IF(O$5="Mortgage Starts",0,Deposit_mon),2)</f>
        <v>14339.35</v>
      </c>
      <c r="P198" s="16">
        <f>ROUND(O198*(1+'Interest rate projection'!AO200/Var_freq)+IF(P$5="Mortgage Starts",0,Deposit_mon),2)</f>
        <v>15392.04</v>
      </c>
      <c r="Q198" s="16">
        <f>ROUND(P198*(1+'Interest rate projection'!AP200/Var_freq)+IF(Q$5="Mortgage Starts",0,Deposit_mon),2)</f>
        <v>16448.599999999999</v>
      </c>
      <c r="R198" s="16">
        <f>ROUND(Q198*(1+'Interest rate projection'!AQ200/Var_freq)+IF(R$5="Mortgage Starts",0,Deposit_mon),2)</f>
        <v>17509.05</v>
      </c>
      <c r="S198" s="16">
        <f>ROUND(R198*(1+'Interest rate projection'!AR200/Var_freq)+IF(S$5="Mortgage Starts",0,Deposit_mon),2)</f>
        <v>18573.39</v>
      </c>
      <c r="T198" s="16">
        <f>ROUND(S198*(1+'Interest rate projection'!AS200/Var_freq)+IF(T$5="Mortgage Starts",0,Deposit_mon),2)</f>
        <v>19641.64</v>
      </c>
      <c r="U198" s="16">
        <f>ROUND(T198*(1+'Interest rate projection'!AT200/Var_freq)+IF(U$5="Mortgage Starts",0,Deposit_mon),2)</f>
        <v>20713.82</v>
      </c>
      <c r="V198" s="16">
        <f>ROUND(U198*(1+'Interest rate projection'!AU200/Var_freq)+IF(V$5="Mortgage Starts",0,Deposit_mon),2)</f>
        <v>21789.94</v>
      </c>
      <c r="W198" s="16">
        <f>ROUND(V198*(1+'Interest rate projection'!AV200/Var_freq)+IF(W$5="Mortgage Starts",0,Deposit_mon),2)</f>
        <v>22870.01</v>
      </c>
      <c r="X198" s="16">
        <f>ROUND(W198*(1+'Interest rate projection'!AW200/Var_freq)+IF(X$5="Mortgage Starts",0,Deposit_mon),2)</f>
        <v>23954.05</v>
      </c>
      <c r="Y198" s="16">
        <f>ROUND(X198*(1+'Interest rate projection'!AX200/Var_freq)+IF(Y$5="Mortgage Starts",0,Deposit_mon),2)</f>
        <v>25042.080000000002</v>
      </c>
      <c r="Z198" s="57">
        <f>ROUND(Y198*(1+'Interest rate projection'!AY200/Var_freq)+IF(Z$5="Mortgage Starts",0,Deposit_mon),2)</f>
        <v>25134.1</v>
      </c>
      <c r="AB198" s="38">
        <f>'Interest rate projection'!Z200</f>
        <v>4.4999999999999998E-2</v>
      </c>
      <c r="AC198" s="38">
        <f>'Interest rate projection'!AZ200</f>
        <v>4.4097712805242217E-2</v>
      </c>
      <c r="AD198" s="59" t="str">
        <f t="shared" ref="AD198:AD205" si="32">IF(ROUND(AB198,6)=ROUND((1+AC198/Var_freq)^Var_freq-1,6),"OK","ERROR")</f>
        <v>OK</v>
      </c>
      <c r="AE198" s="39">
        <f t="shared" ref="AE198:AE205" si="33">(1-(1+AB198)^-Mort_term)/AC198</f>
        <v>15.131610255367837</v>
      </c>
      <c r="AG198" s="73">
        <f t="shared" si="25"/>
        <v>25134.1</v>
      </c>
      <c r="AH198" s="73">
        <f t="shared" si="26"/>
        <v>174865.9</v>
      </c>
      <c r="AI198" s="74">
        <f t="shared" ref="AI198:AI205" si="34">ROUND(AH198/AE198/Var_freq,2)</f>
        <v>963.03</v>
      </c>
      <c r="AJ198" s="9"/>
      <c r="AK198" s="73">
        <f>'Fixed rate projection'!$AE$3-('Variable rate projection'!AI198*Product_term*Var_freq)</f>
        <v>14160</v>
      </c>
    </row>
    <row r="199" spans="1:37" x14ac:dyDescent="0.35">
      <c r="A199" s="5">
        <v>194</v>
      </c>
      <c r="B199" s="57">
        <f t="shared" si="31"/>
        <v>1000</v>
      </c>
      <c r="C199" s="16">
        <f>ROUND(B199*(1+'Interest rate projection'!AB201/Var_freq)+IF(C$5="Mortgage Starts",0,Deposit_mon),2)</f>
        <v>2003.67</v>
      </c>
      <c r="D199" s="16">
        <f>ROUND(C199*(1+'Interest rate projection'!AC201/Var_freq)+IF(D$5="Mortgage Starts",0,Deposit_mon),2)</f>
        <v>3011.03</v>
      </c>
      <c r="E199" s="16">
        <f>ROUND(D199*(1+'Interest rate projection'!AD201/Var_freq)+IF(E$5="Mortgage Starts",0,Deposit_mon),2)</f>
        <v>4020.89</v>
      </c>
      <c r="F199" s="16">
        <f>ROUND(E199*(1+'Interest rate projection'!AE201/Var_freq)+IF(F$5="Mortgage Starts",0,Deposit_mon),2)</f>
        <v>5034.05</v>
      </c>
      <c r="G199" s="16">
        <f>ROUND(F199*(1+'Interest rate projection'!AF201/Var_freq)+IF(G$5="Mortgage Starts",0,Deposit_mon),2)</f>
        <v>6049.52</v>
      </c>
      <c r="H199" s="16">
        <f>ROUND(G199*(1+'Interest rate projection'!AG201/Var_freq)+IF(H$5="Mortgage Starts",0,Deposit_mon),2)</f>
        <v>7068.11</v>
      </c>
      <c r="I199" s="16">
        <f>ROUND(H199*(1+'Interest rate projection'!AH201/Var_freq)+IF(I$5="Mortgage Starts",0,Deposit_mon),2)</f>
        <v>8089.83</v>
      </c>
      <c r="J199" s="16">
        <f>ROUND(I199*(1+'Interest rate projection'!AI201/Var_freq)+IF(J$5="Mortgage Starts",0,Deposit_mon),2)</f>
        <v>9113.06</v>
      </c>
      <c r="K199" s="16">
        <f>ROUND(J199*(1+'Interest rate projection'!AJ201/Var_freq)+IF(K$5="Mortgage Starts",0,Deposit_mon),2)</f>
        <v>10139.219999999999</v>
      </c>
      <c r="L199" s="16">
        <f>ROUND(K199*(1+'Interest rate projection'!AK201/Var_freq)+IF(L$5="Mortgage Starts",0,Deposit_mon),2)</f>
        <v>11168.33</v>
      </c>
      <c r="M199" s="16">
        <f>ROUND(L199*(1+'Interest rate projection'!AL201/Var_freq)+IF(M$5="Mortgage Starts",0,Deposit_mon),2)</f>
        <v>12200.39</v>
      </c>
      <c r="N199" s="16">
        <f>ROUND(M199*(1+'Interest rate projection'!AM201/Var_freq)+IF(N$5="Mortgage Starts",0,Deposit_mon),2)</f>
        <v>13232.95</v>
      </c>
      <c r="O199" s="16">
        <f>ROUND(N199*(1+'Interest rate projection'!AN201/Var_freq)+IF(O$5="Mortgage Starts",0,Deposit_mon),2)</f>
        <v>14268.27</v>
      </c>
      <c r="P199" s="16">
        <f>ROUND(O199*(1+'Interest rate projection'!AO201/Var_freq)+IF(P$5="Mortgage Starts",0,Deposit_mon),2)</f>
        <v>15306.35</v>
      </c>
      <c r="Q199" s="16">
        <f>ROUND(P199*(1+'Interest rate projection'!AP201/Var_freq)+IF(Q$5="Mortgage Starts",0,Deposit_mon),2)</f>
        <v>16347.2</v>
      </c>
      <c r="R199" s="16">
        <f>ROUND(Q199*(1+'Interest rate projection'!AQ201/Var_freq)+IF(R$5="Mortgage Starts",0,Deposit_mon),2)</f>
        <v>17390.830000000002</v>
      </c>
      <c r="S199" s="16">
        <f>ROUND(R199*(1+'Interest rate projection'!AR201/Var_freq)+IF(S$5="Mortgage Starts",0,Deposit_mon),2)</f>
        <v>18437.240000000002</v>
      </c>
      <c r="T199" s="16">
        <f>ROUND(S199*(1+'Interest rate projection'!AS201/Var_freq)+IF(T$5="Mortgage Starts",0,Deposit_mon),2)</f>
        <v>19486.45</v>
      </c>
      <c r="U199" s="16">
        <f>ROUND(T199*(1+'Interest rate projection'!AT201/Var_freq)+IF(U$5="Mortgage Starts",0,Deposit_mon),2)</f>
        <v>20538.46</v>
      </c>
      <c r="V199" s="16">
        <f>ROUND(U199*(1+'Interest rate projection'!AU201/Var_freq)+IF(V$5="Mortgage Starts",0,Deposit_mon),2)</f>
        <v>21593.27</v>
      </c>
      <c r="W199" s="16">
        <f>ROUND(V199*(1+'Interest rate projection'!AV201/Var_freq)+IF(W$5="Mortgage Starts",0,Deposit_mon),2)</f>
        <v>22650.9</v>
      </c>
      <c r="X199" s="16">
        <f>ROUND(W199*(1+'Interest rate projection'!AW201/Var_freq)+IF(X$5="Mortgage Starts",0,Deposit_mon),2)</f>
        <v>23711.35</v>
      </c>
      <c r="Y199" s="16">
        <f>ROUND(X199*(1+'Interest rate projection'!AX201/Var_freq)+IF(Y$5="Mortgage Starts",0,Deposit_mon),2)</f>
        <v>24774.63</v>
      </c>
      <c r="Z199" s="57">
        <f>ROUND(Y199*(1+'Interest rate projection'!AY201/Var_freq)+IF(Z$5="Mortgage Starts",0,Deposit_mon),2)</f>
        <v>24840.75</v>
      </c>
      <c r="AB199" s="38">
        <f>'Interest rate projection'!Z201</f>
        <v>3.2499999999999994E-2</v>
      </c>
      <c r="AC199" s="38">
        <f>'Interest rate projection'!AZ201</f>
        <v>3.2025705211555788E-2</v>
      </c>
      <c r="AD199" s="59" t="str">
        <f t="shared" si="32"/>
        <v>OK</v>
      </c>
      <c r="AE199" s="39">
        <f t="shared" si="33"/>
        <v>17.188709573985651</v>
      </c>
      <c r="AG199" s="73">
        <f t="shared" ref="AG199:AG205" si="35">Z199</f>
        <v>24840.75</v>
      </c>
      <c r="AH199" s="73">
        <f t="shared" ref="AH199:AH205" si="36">House_price-AG199</f>
        <v>175159.25</v>
      </c>
      <c r="AI199" s="74">
        <f t="shared" si="34"/>
        <v>849.2</v>
      </c>
      <c r="AJ199" s="9"/>
      <c r="AK199" s="73">
        <f>'Fixed rate projection'!$AE$3-('Variable rate projection'!AI199*Product_term*Var_freq)</f>
        <v>48309</v>
      </c>
    </row>
    <row r="200" spans="1:37" x14ac:dyDescent="0.35">
      <c r="A200" s="27">
        <v>195</v>
      </c>
      <c r="B200" s="57">
        <f t="shared" si="31"/>
        <v>1000</v>
      </c>
      <c r="C200" s="16">
        <f>ROUND(B200*(1+'Interest rate projection'!AB202/Var_freq)+IF(C$5="Mortgage Starts",0,Deposit_mon),2)</f>
        <v>2003.67</v>
      </c>
      <c r="D200" s="16">
        <f>ROUND(C200*(1+'Interest rate projection'!AC202/Var_freq)+IF(D$5="Mortgage Starts",0,Deposit_mon),2)</f>
        <v>3011.03</v>
      </c>
      <c r="E200" s="16">
        <f>ROUND(D200*(1+'Interest rate projection'!AD202/Var_freq)+IF(E$5="Mortgage Starts",0,Deposit_mon),2)</f>
        <v>4022.09</v>
      </c>
      <c r="F200" s="16">
        <f>ROUND(E200*(1+'Interest rate projection'!AE202/Var_freq)+IF(F$5="Mortgage Starts",0,Deposit_mon),2)</f>
        <v>5036.87</v>
      </c>
      <c r="G200" s="16">
        <f>ROUND(F200*(1+'Interest rate projection'!AF202/Var_freq)+IF(G$5="Mortgage Starts",0,Deposit_mon),2)</f>
        <v>6053.36</v>
      </c>
      <c r="H200" s="16">
        <f>ROUND(G200*(1+'Interest rate projection'!AG202/Var_freq)+IF(H$5="Mortgage Starts",0,Deposit_mon),2)</f>
        <v>7073.18</v>
      </c>
      <c r="I200" s="16">
        <f>ROUND(H200*(1+'Interest rate projection'!AH202/Var_freq)+IF(I$5="Mortgage Starts",0,Deposit_mon),2)</f>
        <v>8094.91</v>
      </c>
      <c r="J200" s="16">
        <f>ROUND(I200*(1+'Interest rate projection'!AI202/Var_freq)+IF(J$5="Mortgage Starts",0,Deposit_mon),2)</f>
        <v>9119.7800000000007</v>
      </c>
      <c r="K200" s="16">
        <f>ROUND(J200*(1+'Interest rate projection'!AJ202/Var_freq)+IF(K$5="Mortgage Starts",0,Deposit_mon),2)</f>
        <v>10147.799999999999</v>
      </c>
      <c r="L200" s="16">
        <f>ROUND(K200*(1+'Interest rate projection'!AK202/Var_freq)+IF(L$5="Mortgage Starts",0,Deposit_mon),2)</f>
        <v>11178.98</v>
      </c>
      <c r="M200" s="16">
        <f>ROUND(L200*(1+'Interest rate projection'!AL202/Var_freq)+IF(M$5="Mortgage Starts",0,Deposit_mon),2)</f>
        <v>12213.33</v>
      </c>
      <c r="N200" s="16">
        <f>ROUND(M200*(1+'Interest rate projection'!AM202/Var_freq)+IF(N$5="Mortgage Starts",0,Deposit_mon),2)</f>
        <v>13250.86</v>
      </c>
      <c r="O200" s="16">
        <f>ROUND(N200*(1+'Interest rate projection'!AN202/Var_freq)+IF(O$5="Mortgage Starts",0,Deposit_mon),2)</f>
        <v>14291.57</v>
      </c>
      <c r="P200" s="16">
        <f>ROUND(O200*(1+'Interest rate projection'!AO202/Var_freq)+IF(P$5="Mortgage Starts",0,Deposit_mon),2)</f>
        <v>15335.48</v>
      </c>
      <c r="Q200" s="16">
        <f>ROUND(P200*(1+'Interest rate projection'!AP202/Var_freq)+IF(Q$5="Mortgage Starts",0,Deposit_mon),2)</f>
        <v>16382.6</v>
      </c>
      <c r="R200" s="16">
        <f>ROUND(Q200*(1+'Interest rate projection'!AQ202/Var_freq)+IF(R$5="Mortgage Starts",0,Deposit_mon),2)</f>
        <v>17429.63</v>
      </c>
      <c r="S200" s="16">
        <f>ROUND(R200*(1+'Interest rate projection'!AR202/Var_freq)+IF(S$5="Mortgage Starts",0,Deposit_mon),2)</f>
        <v>18479.669999999998</v>
      </c>
      <c r="T200" s="16">
        <f>ROUND(S200*(1+'Interest rate projection'!AS202/Var_freq)+IF(T$5="Mortgage Starts",0,Deposit_mon),2)</f>
        <v>19532.72</v>
      </c>
      <c r="U200" s="16">
        <f>ROUND(T200*(1+'Interest rate projection'!AT202/Var_freq)+IF(U$5="Mortgage Starts",0,Deposit_mon),2)</f>
        <v>20588.8</v>
      </c>
      <c r="V200" s="16">
        <f>ROUND(U200*(1+'Interest rate projection'!AU202/Var_freq)+IF(V$5="Mortgage Starts",0,Deposit_mon),2)</f>
        <v>21647.91</v>
      </c>
      <c r="W200" s="16">
        <f>ROUND(V200*(1+'Interest rate projection'!AV202/Var_freq)+IF(W$5="Mortgage Starts",0,Deposit_mon),2)</f>
        <v>22710.06</v>
      </c>
      <c r="X200" s="16">
        <f>ROUND(W200*(1+'Interest rate projection'!AW202/Var_freq)+IF(X$5="Mortgage Starts",0,Deposit_mon),2)</f>
        <v>23775.26</v>
      </c>
      <c r="Y200" s="16">
        <f>ROUND(X200*(1+'Interest rate projection'!AX202/Var_freq)+IF(Y$5="Mortgage Starts",0,Deposit_mon),2)</f>
        <v>24843.52</v>
      </c>
      <c r="Z200" s="57">
        <f>ROUND(Y200*(1+'Interest rate projection'!AY202/Var_freq)+IF(Z$5="Mortgage Starts",0,Deposit_mon),2)</f>
        <v>24914.84</v>
      </c>
      <c r="AB200" s="38">
        <f>'Interest rate projection'!Z202</f>
        <v>3.4999999999999996E-2</v>
      </c>
      <c r="AC200" s="38">
        <f>'Interest rate projection'!AZ202</f>
        <v>3.4450784628919706E-2</v>
      </c>
      <c r="AD200" s="59" t="str">
        <f t="shared" si="32"/>
        <v>OK</v>
      </c>
      <c r="AE200" s="39">
        <f t="shared" si="33"/>
        <v>16.744263358395965</v>
      </c>
      <c r="AG200" s="73">
        <f t="shared" si="35"/>
        <v>24914.84</v>
      </c>
      <c r="AH200" s="73">
        <f t="shared" si="36"/>
        <v>175085.16</v>
      </c>
      <c r="AI200" s="74">
        <f t="shared" si="34"/>
        <v>871.37</v>
      </c>
      <c r="AJ200" s="9"/>
      <c r="AK200" s="73">
        <f>'Fixed rate projection'!$AE$3-('Variable rate projection'!AI200*Product_term*Var_freq)</f>
        <v>41658</v>
      </c>
    </row>
    <row r="201" spans="1:37" x14ac:dyDescent="0.35">
      <c r="A201" s="5">
        <v>196</v>
      </c>
      <c r="B201" s="57">
        <f t="shared" si="31"/>
        <v>1000</v>
      </c>
      <c r="C201" s="16">
        <f>ROUND(B201*(1+'Interest rate projection'!AB203/Var_freq)+IF(C$5="Mortgage Starts",0,Deposit_mon),2)</f>
        <v>2003.67</v>
      </c>
      <c r="D201" s="16">
        <f>ROUND(C201*(1+'Interest rate projection'!AC203/Var_freq)+IF(D$5="Mortgage Starts",0,Deposit_mon),2)</f>
        <v>3011.03</v>
      </c>
      <c r="E201" s="16">
        <f>ROUND(D201*(1+'Interest rate projection'!AD203/Var_freq)+IF(E$5="Mortgage Starts",0,Deposit_mon),2)</f>
        <v>4022.09</v>
      </c>
      <c r="F201" s="16">
        <f>ROUND(E201*(1+'Interest rate projection'!AE203/Var_freq)+IF(F$5="Mortgage Starts",0,Deposit_mon),2)</f>
        <v>5036.87</v>
      </c>
      <c r="G201" s="16">
        <f>ROUND(F201*(1+'Interest rate projection'!AF203/Var_freq)+IF(G$5="Mortgage Starts",0,Deposit_mon),2)</f>
        <v>6055.38</v>
      </c>
      <c r="H201" s="16">
        <f>ROUND(G201*(1+'Interest rate projection'!AG203/Var_freq)+IF(H$5="Mortgage Starts",0,Deposit_mon),2)</f>
        <v>7077.63</v>
      </c>
      <c r="I201" s="16">
        <f>ROUND(H201*(1+'Interest rate projection'!AH203/Var_freq)+IF(I$5="Mortgage Starts",0,Deposit_mon),2)</f>
        <v>8103.64</v>
      </c>
      <c r="J201" s="16">
        <f>ROUND(I201*(1+'Interest rate projection'!AI203/Var_freq)+IF(J$5="Mortgage Starts",0,Deposit_mon),2)</f>
        <v>9133.42</v>
      </c>
      <c r="K201" s="16">
        <f>ROUND(J201*(1+'Interest rate projection'!AJ203/Var_freq)+IF(K$5="Mortgage Starts",0,Deposit_mon),2)</f>
        <v>10166.98</v>
      </c>
      <c r="L201" s="16">
        <f>ROUND(K201*(1+'Interest rate projection'!AK203/Var_freq)+IF(L$5="Mortgage Starts",0,Deposit_mon),2)</f>
        <v>11204.34</v>
      </c>
      <c r="M201" s="16">
        <f>ROUND(L201*(1+'Interest rate projection'!AL203/Var_freq)+IF(M$5="Mortgage Starts",0,Deposit_mon),2)</f>
        <v>12245.51</v>
      </c>
      <c r="N201" s="16">
        <f>ROUND(M201*(1+'Interest rate projection'!AM203/Var_freq)+IF(N$5="Mortgage Starts",0,Deposit_mon),2)</f>
        <v>13290.51</v>
      </c>
      <c r="O201" s="16">
        <f>ROUND(N201*(1+'Interest rate projection'!AN203/Var_freq)+IF(O$5="Mortgage Starts",0,Deposit_mon),2)</f>
        <v>14339.35</v>
      </c>
      <c r="P201" s="16">
        <f>ROUND(O201*(1+'Interest rate projection'!AO203/Var_freq)+IF(P$5="Mortgage Starts",0,Deposit_mon),2)</f>
        <v>15392.04</v>
      </c>
      <c r="Q201" s="16">
        <f>ROUND(P201*(1+'Interest rate projection'!AP203/Var_freq)+IF(Q$5="Mortgage Starts",0,Deposit_mon),2)</f>
        <v>16448.599999999999</v>
      </c>
      <c r="R201" s="16">
        <f>ROUND(Q201*(1+'Interest rate projection'!AQ203/Var_freq)+IF(R$5="Mortgage Starts",0,Deposit_mon),2)</f>
        <v>17505.75</v>
      </c>
      <c r="S201" s="16">
        <f>ROUND(R201*(1+'Interest rate projection'!AR203/Var_freq)+IF(S$5="Mortgage Starts",0,Deposit_mon),2)</f>
        <v>18570.080000000002</v>
      </c>
      <c r="T201" s="16">
        <f>ROUND(S201*(1+'Interest rate projection'!AS203/Var_freq)+IF(T$5="Mortgage Starts",0,Deposit_mon),2)</f>
        <v>19638.32</v>
      </c>
      <c r="U201" s="16">
        <f>ROUND(T201*(1+'Interest rate projection'!AT203/Var_freq)+IF(U$5="Mortgage Starts",0,Deposit_mon),2)</f>
        <v>20714.41</v>
      </c>
      <c r="V201" s="16">
        <f>ROUND(U201*(1+'Interest rate projection'!AU203/Var_freq)+IF(V$5="Mortgage Starts",0,Deposit_mon),2)</f>
        <v>21794.67</v>
      </c>
      <c r="W201" s="16">
        <f>ROUND(V201*(1+'Interest rate projection'!AV203/Var_freq)+IF(W$5="Mortgage Starts",0,Deposit_mon),2)</f>
        <v>22879.119999999999</v>
      </c>
      <c r="X201" s="16">
        <f>ROUND(W201*(1+'Interest rate projection'!AW203/Var_freq)+IF(X$5="Mortgage Starts",0,Deposit_mon),2)</f>
        <v>23967.77</v>
      </c>
      <c r="Y201" s="16">
        <f>ROUND(X201*(1+'Interest rate projection'!AX203/Var_freq)+IF(Y$5="Mortgage Starts",0,Deposit_mon),2)</f>
        <v>25060.639999999999</v>
      </c>
      <c r="Z201" s="57">
        <f>ROUND(Y201*(1+'Interest rate projection'!AY203/Var_freq)+IF(Z$5="Mortgage Starts",0,Deposit_mon),2)</f>
        <v>25157.74</v>
      </c>
      <c r="AB201" s="38">
        <f>'Interest rate projection'!Z203</f>
        <v>4.7500000000000001E-2</v>
      </c>
      <c r="AC201" s="38">
        <f>'Interest rate projection'!AZ203</f>
        <v>4.6496219905550085E-2</v>
      </c>
      <c r="AD201" s="59" t="str">
        <f t="shared" si="32"/>
        <v>OK</v>
      </c>
      <c r="AE201" s="39">
        <f t="shared" si="33"/>
        <v>14.766012404082064</v>
      </c>
      <c r="AG201" s="73">
        <f t="shared" si="35"/>
        <v>25157.74</v>
      </c>
      <c r="AH201" s="73">
        <f t="shared" si="36"/>
        <v>174842.26</v>
      </c>
      <c r="AI201" s="74">
        <f t="shared" si="34"/>
        <v>986.74</v>
      </c>
      <c r="AJ201" s="9"/>
      <c r="AK201" s="73">
        <f>'Fixed rate projection'!$AE$3-('Variable rate projection'!AI201*Product_term*Var_freq)</f>
        <v>7047</v>
      </c>
    </row>
    <row r="202" spans="1:37" x14ac:dyDescent="0.35">
      <c r="A202" s="27">
        <v>197</v>
      </c>
      <c r="B202" s="57">
        <f t="shared" si="31"/>
        <v>1000</v>
      </c>
      <c r="C202" s="16">
        <f>ROUND(B202*(1+'Interest rate projection'!AB204/Var_freq)+IF(C$5="Mortgage Starts",0,Deposit_mon),2)</f>
        <v>2003.67</v>
      </c>
      <c r="D202" s="16">
        <f>ROUND(C202*(1+'Interest rate projection'!AC204/Var_freq)+IF(D$5="Mortgage Starts",0,Deposit_mon),2)</f>
        <v>3011.03</v>
      </c>
      <c r="E202" s="16">
        <f>ROUND(D202*(1+'Interest rate projection'!AD204/Var_freq)+IF(E$5="Mortgage Starts",0,Deposit_mon),2)</f>
        <v>4022.09</v>
      </c>
      <c r="F202" s="16">
        <f>ROUND(E202*(1+'Interest rate projection'!AE204/Var_freq)+IF(F$5="Mortgage Starts",0,Deposit_mon),2)</f>
        <v>5036.87</v>
      </c>
      <c r="G202" s="16">
        <f>ROUND(F202*(1+'Interest rate projection'!AF204/Var_freq)+IF(G$5="Mortgage Starts",0,Deposit_mon),2)</f>
        <v>6055.38</v>
      </c>
      <c r="H202" s="16">
        <f>ROUND(G202*(1+'Interest rate projection'!AG204/Var_freq)+IF(H$5="Mortgage Starts",0,Deposit_mon),2)</f>
        <v>7077.63</v>
      </c>
      <c r="I202" s="16">
        <f>ROUND(H202*(1+'Interest rate projection'!AH204/Var_freq)+IF(I$5="Mortgage Starts",0,Deposit_mon),2)</f>
        <v>8103.64</v>
      </c>
      <c r="J202" s="16">
        <f>ROUND(I202*(1+'Interest rate projection'!AI204/Var_freq)+IF(J$5="Mortgage Starts",0,Deposit_mon),2)</f>
        <v>9133.42</v>
      </c>
      <c r="K202" s="16">
        <f>ROUND(J202*(1+'Interest rate projection'!AJ204/Var_freq)+IF(K$5="Mortgage Starts",0,Deposit_mon),2)</f>
        <v>10166.98</v>
      </c>
      <c r="L202" s="16">
        <f>ROUND(K202*(1+'Interest rate projection'!AK204/Var_freq)+IF(L$5="Mortgage Starts",0,Deposit_mon),2)</f>
        <v>11206.37</v>
      </c>
      <c r="M202" s="16">
        <f>ROUND(L202*(1+'Interest rate projection'!AL204/Var_freq)+IF(M$5="Mortgage Starts",0,Deposit_mon),2)</f>
        <v>12249.79</v>
      </c>
      <c r="N202" s="16">
        <f>ROUND(M202*(1+'Interest rate projection'!AM204/Var_freq)+IF(N$5="Mortgage Starts",0,Deposit_mon),2)</f>
        <v>13297.25</v>
      </c>
      <c r="O202" s="16">
        <f>ROUND(N202*(1+'Interest rate projection'!AN204/Var_freq)+IF(O$5="Mortgage Starts",0,Deposit_mon),2)</f>
        <v>14348.77</v>
      </c>
      <c r="P202" s="16">
        <f>ROUND(O202*(1+'Interest rate projection'!AO204/Var_freq)+IF(P$5="Mortgage Starts",0,Deposit_mon),2)</f>
        <v>15404.37</v>
      </c>
      <c r="Q202" s="16">
        <f>ROUND(P202*(1+'Interest rate projection'!AP204/Var_freq)+IF(Q$5="Mortgage Starts",0,Deposit_mon),2)</f>
        <v>16464.060000000001</v>
      </c>
      <c r="R202" s="16">
        <f>ROUND(Q202*(1+'Interest rate projection'!AQ204/Var_freq)+IF(R$5="Mortgage Starts",0,Deposit_mon),2)</f>
        <v>17527.849999999999</v>
      </c>
      <c r="S202" s="16">
        <f>ROUND(R202*(1+'Interest rate projection'!AR204/Var_freq)+IF(S$5="Mortgage Starts",0,Deposit_mon),2)</f>
        <v>18595.759999999998</v>
      </c>
      <c r="T202" s="16">
        <f>ROUND(S202*(1+'Interest rate projection'!AS204/Var_freq)+IF(T$5="Mortgage Starts",0,Deposit_mon),2)</f>
        <v>19667.810000000001</v>
      </c>
      <c r="U202" s="16">
        <f>ROUND(T202*(1+'Interest rate projection'!AT204/Var_freq)+IF(U$5="Mortgage Starts",0,Deposit_mon),2)</f>
        <v>20744.02</v>
      </c>
      <c r="V202" s="16">
        <f>ROUND(U202*(1+'Interest rate projection'!AU204/Var_freq)+IF(V$5="Mortgage Starts",0,Deposit_mon),2)</f>
        <v>21824.400000000001</v>
      </c>
      <c r="W202" s="16">
        <f>ROUND(V202*(1+'Interest rate projection'!AV204/Var_freq)+IF(W$5="Mortgage Starts",0,Deposit_mon),2)</f>
        <v>22908.959999999999</v>
      </c>
      <c r="X202" s="16">
        <f>ROUND(W202*(1+'Interest rate projection'!AW204/Var_freq)+IF(X$5="Mortgage Starts",0,Deposit_mon),2)</f>
        <v>23997.73</v>
      </c>
      <c r="Y202" s="16">
        <f>ROUND(X202*(1+'Interest rate projection'!AX204/Var_freq)+IF(Y$5="Mortgage Starts",0,Deposit_mon),2)</f>
        <v>25090.71</v>
      </c>
      <c r="Z202" s="57">
        <f>ROUND(Y202*(1+'Interest rate projection'!AY204/Var_freq)+IF(Z$5="Mortgage Starts",0,Deposit_mon),2)</f>
        <v>25187.93</v>
      </c>
      <c r="AB202" s="38">
        <f>'Interest rate projection'!Z204</f>
        <v>4.7500000000000001E-2</v>
      </c>
      <c r="AC202" s="38">
        <f>'Interest rate projection'!AZ204</f>
        <v>4.6496219905550085E-2</v>
      </c>
      <c r="AD202" s="59" t="str">
        <f t="shared" si="32"/>
        <v>OK</v>
      </c>
      <c r="AE202" s="39">
        <f t="shared" si="33"/>
        <v>14.766012404082064</v>
      </c>
      <c r="AG202" s="73">
        <f t="shared" si="35"/>
        <v>25187.93</v>
      </c>
      <c r="AH202" s="73">
        <f t="shared" si="36"/>
        <v>174812.07</v>
      </c>
      <c r="AI202" s="74">
        <f t="shared" si="34"/>
        <v>986.57</v>
      </c>
      <c r="AJ202" s="9"/>
      <c r="AK202" s="73">
        <f>'Fixed rate projection'!$AE$3-('Variable rate projection'!AI202*Product_term*Var_freq)</f>
        <v>7098</v>
      </c>
    </row>
    <row r="203" spans="1:37" x14ac:dyDescent="0.35">
      <c r="A203" s="5">
        <v>198</v>
      </c>
      <c r="B203" s="57">
        <f t="shared" si="31"/>
        <v>1000</v>
      </c>
      <c r="C203" s="16">
        <f>ROUND(B203*(1+'Interest rate projection'!AB205/Var_freq)+IF(C$5="Mortgage Starts",0,Deposit_mon),2)</f>
        <v>2003.67</v>
      </c>
      <c r="D203" s="16">
        <f>ROUND(C203*(1+'Interest rate projection'!AC205/Var_freq)+IF(D$5="Mortgage Starts",0,Deposit_mon),2)</f>
        <v>3011.03</v>
      </c>
      <c r="E203" s="16">
        <f>ROUND(D203*(1+'Interest rate projection'!AD205/Var_freq)+IF(E$5="Mortgage Starts",0,Deposit_mon),2)</f>
        <v>4022.09</v>
      </c>
      <c r="F203" s="16">
        <f>ROUND(E203*(1+'Interest rate projection'!AE205/Var_freq)+IF(F$5="Mortgage Starts",0,Deposit_mon),2)</f>
        <v>5036.87</v>
      </c>
      <c r="G203" s="16">
        <f>ROUND(F203*(1+'Interest rate projection'!AF205/Var_freq)+IF(G$5="Mortgage Starts",0,Deposit_mon),2)</f>
        <v>6055.38</v>
      </c>
      <c r="H203" s="16">
        <f>ROUND(G203*(1+'Interest rate projection'!AG205/Var_freq)+IF(H$5="Mortgage Starts",0,Deposit_mon),2)</f>
        <v>7077.63</v>
      </c>
      <c r="I203" s="16">
        <f>ROUND(H203*(1+'Interest rate projection'!AH205/Var_freq)+IF(I$5="Mortgage Starts",0,Deposit_mon),2)</f>
        <v>8103.64</v>
      </c>
      <c r="J203" s="16">
        <f>ROUND(I203*(1+'Interest rate projection'!AI205/Var_freq)+IF(J$5="Mortgage Starts",0,Deposit_mon),2)</f>
        <v>9133.42</v>
      </c>
      <c r="K203" s="16">
        <f>ROUND(J203*(1+'Interest rate projection'!AJ205/Var_freq)+IF(K$5="Mortgage Starts",0,Deposit_mon),2)</f>
        <v>10166.98</v>
      </c>
      <c r="L203" s="16">
        <f>ROUND(K203*(1+'Interest rate projection'!AK205/Var_freq)+IF(L$5="Mortgage Starts",0,Deposit_mon),2)</f>
        <v>11204.34</v>
      </c>
      <c r="M203" s="16">
        <f>ROUND(L203*(1+'Interest rate projection'!AL205/Var_freq)+IF(M$5="Mortgage Starts",0,Deposit_mon),2)</f>
        <v>12245.51</v>
      </c>
      <c r="N203" s="16">
        <f>ROUND(M203*(1+'Interest rate projection'!AM205/Var_freq)+IF(N$5="Mortgage Starts",0,Deposit_mon),2)</f>
        <v>13290.51</v>
      </c>
      <c r="O203" s="16">
        <f>ROUND(N203*(1+'Interest rate projection'!AN205/Var_freq)+IF(O$5="Mortgage Starts",0,Deposit_mon),2)</f>
        <v>14339.35</v>
      </c>
      <c r="P203" s="16">
        <f>ROUND(O203*(1+'Interest rate projection'!AO205/Var_freq)+IF(P$5="Mortgage Starts",0,Deposit_mon),2)</f>
        <v>15392.04</v>
      </c>
      <c r="Q203" s="16">
        <f>ROUND(P203*(1+'Interest rate projection'!AP205/Var_freq)+IF(Q$5="Mortgage Starts",0,Deposit_mon),2)</f>
        <v>16448.599999999999</v>
      </c>
      <c r="R203" s="16">
        <f>ROUND(Q203*(1+'Interest rate projection'!AQ205/Var_freq)+IF(R$5="Mortgage Starts",0,Deposit_mon),2)</f>
        <v>17509.05</v>
      </c>
      <c r="S203" s="16">
        <f>ROUND(R203*(1+'Interest rate projection'!AR205/Var_freq)+IF(S$5="Mortgage Starts",0,Deposit_mon),2)</f>
        <v>18573.39</v>
      </c>
      <c r="T203" s="16">
        <f>ROUND(S203*(1+'Interest rate projection'!AS205/Var_freq)+IF(T$5="Mortgage Starts",0,Deposit_mon),2)</f>
        <v>19641.64</v>
      </c>
      <c r="U203" s="16">
        <f>ROUND(T203*(1+'Interest rate projection'!AT205/Var_freq)+IF(U$5="Mortgage Starts",0,Deposit_mon),2)</f>
        <v>20713.82</v>
      </c>
      <c r="V203" s="16">
        <f>ROUND(U203*(1+'Interest rate projection'!AU205/Var_freq)+IF(V$5="Mortgage Starts",0,Deposit_mon),2)</f>
        <v>21785.79</v>
      </c>
      <c r="W203" s="16">
        <f>ROUND(V203*(1+'Interest rate projection'!AV205/Var_freq)+IF(W$5="Mortgage Starts",0,Deposit_mon),2)</f>
        <v>22861.48</v>
      </c>
      <c r="X203" s="16">
        <f>ROUND(W203*(1+'Interest rate projection'!AW205/Var_freq)+IF(X$5="Mortgage Starts",0,Deposit_mon),2)</f>
        <v>23940.91</v>
      </c>
      <c r="Y203" s="16">
        <f>ROUND(X203*(1+'Interest rate projection'!AX205/Var_freq)+IF(Y$5="Mortgage Starts",0,Deposit_mon),2)</f>
        <v>25024.09</v>
      </c>
      <c r="Z203" s="57">
        <f>ROUND(Y203*(1+'Interest rate projection'!AY205/Var_freq)+IF(Z$5="Mortgage Starts",0,Deposit_mon),2)</f>
        <v>25111.040000000001</v>
      </c>
      <c r="AB203" s="38">
        <f>'Interest rate projection'!Z205</f>
        <v>4.2499999999999996E-2</v>
      </c>
      <c r="AC203" s="38">
        <f>'Interest rate projection'!AZ205</f>
        <v>4.1693940041970023E-2</v>
      </c>
      <c r="AD203" s="59" t="str">
        <f t="shared" si="32"/>
        <v>OK</v>
      </c>
      <c r="AE203" s="39">
        <f t="shared" si="33"/>
        <v>15.511529757864551</v>
      </c>
      <c r="AG203" s="73">
        <f t="shared" si="35"/>
        <v>25111.040000000001</v>
      </c>
      <c r="AH203" s="73">
        <f t="shared" si="36"/>
        <v>174888.95999999999</v>
      </c>
      <c r="AI203" s="74">
        <f t="shared" si="34"/>
        <v>939.56</v>
      </c>
      <c r="AJ203" s="9"/>
      <c r="AK203" s="73">
        <f>'Fixed rate projection'!$AE$3-('Variable rate projection'!AI203*Product_term*Var_freq)</f>
        <v>21201</v>
      </c>
    </row>
    <row r="204" spans="1:37" x14ac:dyDescent="0.35">
      <c r="A204" s="27">
        <v>199</v>
      </c>
      <c r="B204" s="57">
        <f t="shared" si="31"/>
        <v>1000</v>
      </c>
      <c r="C204" s="16">
        <f>ROUND(B204*(1+'Interest rate projection'!AB206/Var_freq)+IF(C$5="Mortgage Starts",0,Deposit_mon),2)</f>
        <v>2003.67</v>
      </c>
      <c r="D204" s="16">
        <f>ROUND(C204*(1+'Interest rate projection'!AC206/Var_freq)+IF(D$5="Mortgage Starts",0,Deposit_mon),2)</f>
        <v>3011.03</v>
      </c>
      <c r="E204" s="16">
        <f>ROUND(D204*(1+'Interest rate projection'!AD206/Var_freq)+IF(E$5="Mortgage Starts",0,Deposit_mon),2)</f>
        <v>4022.7</v>
      </c>
      <c r="F204" s="16">
        <f>ROUND(E204*(1+'Interest rate projection'!AE206/Var_freq)+IF(F$5="Mortgage Starts",0,Deposit_mon),2)</f>
        <v>5038.29</v>
      </c>
      <c r="G204" s="16">
        <f>ROUND(F204*(1+'Interest rate projection'!AF206/Var_freq)+IF(G$5="Mortgage Starts",0,Deposit_mon),2)</f>
        <v>6056.8</v>
      </c>
      <c r="H204" s="16">
        <f>ROUND(G204*(1+'Interest rate projection'!AG206/Var_freq)+IF(H$5="Mortgage Starts",0,Deposit_mon),2)</f>
        <v>7079.06</v>
      </c>
      <c r="I204" s="16">
        <f>ROUND(H204*(1+'Interest rate projection'!AH206/Var_freq)+IF(I$5="Mortgage Starts",0,Deposit_mon),2)</f>
        <v>8103.66</v>
      </c>
      <c r="J204" s="16">
        <f>ROUND(I204*(1+'Interest rate projection'!AI206/Var_freq)+IF(J$5="Mortgage Starts",0,Deposit_mon),2)</f>
        <v>9133.44</v>
      </c>
      <c r="K204" s="16">
        <f>ROUND(J204*(1+'Interest rate projection'!AJ206/Var_freq)+IF(K$5="Mortgage Starts",0,Deposit_mon),2)</f>
        <v>10167</v>
      </c>
      <c r="L204" s="16">
        <f>ROUND(K204*(1+'Interest rate projection'!AK206/Var_freq)+IF(L$5="Mortgage Starts",0,Deposit_mon),2)</f>
        <v>11204.36</v>
      </c>
      <c r="M204" s="16">
        <f>ROUND(L204*(1+'Interest rate projection'!AL206/Var_freq)+IF(M$5="Mortgage Starts",0,Deposit_mon),2)</f>
        <v>12245.53</v>
      </c>
      <c r="N204" s="16">
        <f>ROUND(M204*(1+'Interest rate projection'!AM206/Var_freq)+IF(N$5="Mortgage Starts",0,Deposit_mon),2)</f>
        <v>13290.53</v>
      </c>
      <c r="O204" s="16">
        <f>ROUND(N204*(1+'Interest rate projection'!AN206/Var_freq)+IF(O$5="Mortgage Starts",0,Deposit_mon),2)</f>
        <v>14339.37</v>
      </c>
      <c r="P204" s="16">
        <f>ROUND(O204*(1+'Interest rate projection'!AO206/Var_freq)+IF(P$5="Mortgage Starts",0,Deposit_mon),2)</f>
        <v>15392.06</v>
      </c>
      <c r="Q204" s="16">
        <f>ROUND(P204*(1+'Interest rate projection'!AP206/Var_freq)+IF(Q$5="Mortgage Starts",0,Deposit_mon),2)</f>
        <v>16448.62</v>
      </c>
      <c r="R204" s="16">
        <f>ROUND(Q204*(1+'Interest rate projection'!AQ206/Var_freq)+IF(R$5="Mortgage Starts",0,Deposit_mon),2)</f>
        <v>17509.07</v>
      </c>
      <c r="S204" s="16">
        <f>ROUND(R204*(1+'Interest rate projection'!AR206/Var_freq)+IF(S$5="Mortgage Starts",0,Deposit_mon),2)</f>
        <v>18573.41</v>
      </c>
      <c r="T204" s="16">
        <f>ROUND(S204*(1+'Interest rate projection'!AS206/Var_freq)+IF(T$5="Mortgage Starts",0,Deposit_mon),2)</f>
        <v>19641.66</v>
      </c>
      <c r="U204" s="16">
        <f>ROUND(T204*(1+'Interest rate projection'!AT206/Var_freq)+IF(U$5="Mortgage Starts",0,Deposit_mon),2)</f>
        <v>20713.84</v>
      </c>
      <c r="V204" s="16">
        <f>ROUND(U204*(1+'Interest rate projection'!AU206/Var_freq)+IF(V$5="Mortgage Starts",0,Deposit_mon),2)</f>
        <v>21789.96</v>
      </c>
      <c r="W204" s="16">
        <f>ROUND(V204*(1+'Interest rate projection'!AV206/Var_freq)+IF(W$5="Mortgage Starts",0,Deposit_mon),2)</f>
        <v>22870.03</v>
      </c>
      <c r="X204" s="16">
        <f>ROUND(W204*(1+'Interest rate projection'!AW206/Var_freq)+IF(X$5="Mortgage Starts",0,Deposit_mon),2)</f>
        <v>23963.21</v>
      </c>
      <c r="Y204" s="16">
        <f>ROUND(X204*(1+'Interest rate projection'!AX206/Var_freq)+IF(Y$5="Mortgage Starts",0,Deposit_mon),2)</f>
        <v>25060.84</v>
      </c>
      <c r="Z204" s="57">
        <f>ROUND(Y204*(1+'Interest rate projection'!AY206/Var_freq)+IF(Z$5="Mortgage Starts",0,Deposit_mon),2)</f>
        <v>25172.9</v>
      </c>
      <c r="AB204" s="38">
        <f>'Interest rate projection'!Z206</f>
        <v>5.4999999999999993E-2</v>
      </c>
      <c r="AC204" s="38">
        <f>'Interest rate projection'!AZ206</f>
        <v>5.3660387004516252E-2</v>
      </c>
      <c r="AD204" s="59" t="str">
        <f t="shared" si="32"/>
        <v>OK</v>
      </c>
      <c r="AE204" s="39">
        <f t="shared" si="33"/>
        <v>13.748806844025127</v>
      </c>
      <c r="AG204" s="73">
        <f t="shared" si="35"/>
        <v>25172.9</v>
      </c>
      <c r="AH204" s="73">
        <f t="shared" si="36"/>
        <v>174827.1</v>
      </c>
      <c r="AI204" s="74">
        <f t="shared" si="34"/>
        <v>1059.6500000000001</v>
      </c>
      <c r="AJ204" s="9"/>
      <c r="AK204" s="73">
        <f>'Fixed rate projection'!$AE$3-('Variable rate projection'!AI204*Product_term*Var_freq)</f>
        <v>-14826.000000000058</v>
      </c>
    </row>
    <row r="205" spans="1:37" x14ac:dyDescent="0.35">
      <c r="A205" s="5">
        <v>200</v>
      </c>
      <c r="B205" s="57">
        <f t="shared" si="31"/>
        <v>1000</v>
      </c>
      <c r="C205" s="16">
        <f>ROUND(B205*(1+'Interest rate projection'!AB207/Var_freq)+IF(C$5="Mortgage Starts",0,Deposit_mon),2)</f>
        <v>2003.67</v>
      </c>
      <c r="D205" s="16">
        <f>ROUND(C205*(1+'Interest rate projection'!AC207/Var_freq)+IF(D$5="Mortgage Starts",0,Deposit_mon),2)</f>
        <v>3011.03</v>
      </c>
      <c r="E205" s="16">
        <f>ROUND(D205*(1+'Interest rate projection'!AD207/Var_freq)+IF(E$5="Mortgage Starts",0,Deposit_mon),2)</f>
        <v>4022.09</v>
      </c>
      <c r="F205" s="16">
        <f>ROUND(E205*(1+'Interest rate projection'!AE207/Var_freq)+IF(F$5="Mortgage Starts",0,Deposit_mon),2)</f>
        <v>5036.87</v>
      </c>
      <c r="G205" s="16">
        <f>ROUND(F205*(1+'Interest rate projection'!AF207/Var_freq)+IF(G$5="Mortgage Starts",0,Deposit_mon),2)</f>
        <v>6055.38</v>
      </c>
      <c r="H205" s="16">
        <f>ROUND(G205*(1+'Interest rate projection'!AG207/Var_freq)+IF(H$5="Mortgage Starts",0,Deposit_mon),2)</f>
        <v>7077.63</v>
      </c>
      <c r="I205" s="16">
        <f>ROUND(H205*(1+'Interest rate projection'!AH207/Var_freq)+IF(I$5="Mortgage Starts",0,Deposit_mon),2)</f>
        <v>8103.64</v>
      </c>
      <c r="J205" s="16">
        <f>ROUND(I205*(1+'Interest rate projection'!AI207/Var_freq)+IF(J$5="Mortgage Starts",0,Deposit_mon),2)</f>
        <v>9133.42</v>
      </c>
      <c r="K205" s="16">
        <f>ROUND(J205*(1+'Interest rate projection'!AJ207/Var_freq)+IF(K$5="Mortgage Starts",0,Deposit_mon),2)</f>
        <v>10163.32</v>
      </c>
      <c r="L205" s="16">
        <f>ROUND(K205*(1+'Interest rate projection'!AK207/Var_freq)+IF(L$5="Mortgage Starts",0,Deposit_mon),2)</f>
        <v>11196.59</v>
      </c>
      <c r="M205" s="16">
        <f>ROUND(L205*(1+'Interest rate projection'!AL207/Var_freq)+IF(M$5="Mortgage Starts",0,Deposit_mon),2)</f>
        <v>12233.24</v>
      </c>
      <c r="N205" s="16">
        <f>ROUND(M205*(1+'Interest rate projection'!AM207/Var_freq)+IF(N$5="Mortgage Starts",0,Deposit_mon),2)</f>
        <v>13275.74</v>
      </c>
      <c r="O205" s="16">
        <f>ROUND(N205*(1+'Interest rate projection'!AN207/Var_freq)+IF(O$5="Mortgage Starts",0,Deposit_mon),2)</f>
        <v>14321.87</v>
      </c>
      <c r="P205" s="16">
        <f>ROUND(O205*(1+'Interest rate projection'!AO207/Var_freq)+IF(P$5="Mortgage Starts",0,Deposit_mon),2)</f>
        <v>15371.63</v>
      </c>
      <c r="Q205" s="16">
        <f>ROUND(P205*(1+'Interest rate projection'!AP207/Var_freq)+IF(Q$5="Mortgage Starts",0,Deposit_mon),2)</f>
        <v>16425.04</v>
      </c>
      <c r="R205" s="16">
        <f>ROUND(Q205*(1+'Interest rate projection'!AQ207/Var_freq)+IF(R$5="Mortgage Starts",0,Deposit_mon),2)</f>
        <v>17482.11</v>
      </c>
      <c r="S205" s="16">
        <f>ROUND(R205*(1+'Interest rate projection'!AR207/Var_freq)+IF(S$5="Mortgage Starts",0,Deposit_mon),2)</f>
        <v>18542.849999999999</v>
      </c>
      <c r="T205" s="16">
        <f>ROUND(S205*(1+'Interest rate projection'!AS207/Var_freq)+IF(T$5="Mortgage Starts",0,Deposit_mon),2)</f>
        <v>19614.7</v>
      </c>
      <c r="U205" s="16">
        <f>ROUND(T205*(1+'Interest rate projection'!AT207/Var_freq)+IF(U$5="Mortgage Starts",0,Deposit_mon),2)</f>
        <v>20690.7</v>
      </c>
      <c r="V205" s="16">
        <f>ROUND(U205*(1+'Interest rate projection'!AU207/Var_freq)+IF(V$5="Mortgage Starts",0,Deposit_mon),2)</f>
        <v>21762.59</v>
      </c>
      <c r="W205" s="16">
        <f>ROUND(V205*(1+'Interest rate projection'!AV207/Var_freq)+IF(W$5="Mortgage Starts",0,Deposit_mon),2)</f>
        <v>22838.2</v>
      </c>
      <c r="X205" s="16">
        <f>ROUND(W205*(1+'Interest rate projection'!AW207/Var_freq)+IF(X$5="Mortgage Starts",0,Deposit_mon),2)</f>
        <v>23917.55</v>
      </c>
      <c r="Y205" s="16">
        <f>ROUND(X205*(1+'Interest rate projection'!AX207/Var_freq)+IF(Y$5="Mortgage Starts",0,Deposit_mon),2)</f>
        <v>25000.65</v>
      </c>
      <c r="Z205" s="57">
        <f>ROUND(Y205*(1+'Interest rate projection'!AY207/Var_freq)+IF(Z$5="Mortgage Starts",0,Deposit_mon),2)</f>
        <v>25087.51</v>
      </c>
      <c r="AB205" s="38">
        <f>'Interest rate projection'!Z207</f>
        <v>4.2500000000000003E-2</v>
      </c>
      <c r="AC205" s="38">
        <f>'Interest rate projection'!AZ207</f>
        <v>4.1693940041970023E-2</v>
      </c>
      <c r="AD205" s="59" t="str">
        <f t="shared" si="32"/>
        <v>OK</v>
      </c>
      <c r="AE205" s="39">
        <f t="shared" si="33"/>
        <v>15.511529757864551</v>
      </c>
      <c r="AG205" s="73">
        <f t="shared" si="35"/>
        <v>25087.51</v>
      </c>
      <c r="AH205" s="73">
        <f t="shared" si="36"/>
        <v>174912.49</v>
      </c>
      <c r="AI205" s="74">
        <f t="shared" si="34"/>
        <v>939.69</v>
      </c>
      <c r="AJ205" s="9"/>
      <c r="AK205" s="73">
        <f>'Fixed rate projection'!$AE$3-('Variable rate projection'!AI205*Product_term*Var_freq)</f>
        <v>21162</v>
      </c>
    </row>
  </sheetData>
  <mergeCells count="5">
    <mergeCell ref="A2:B2"/>
    <mergeCell ref="AB4:AE4"/>
    <mergeCell ref="AG4:AI4"/>
    <mergeCell ref="AM5:AN5"/>
    <mergeCell ref="B3:Z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"/>
  <sheetViews>
    <sheetView workbookViewId="0"/>
  </sheetViews>
  <sheetFormatPr defaultRowHeight="14.5" x14ac:dyDescent="0.35"/>
  <cols>
    <col min="1" max="1" width="33.26953125" customWidth="1"/>
    <col min="3" max="17" width="8.36328125" customWidth="1"/>
    <col min="18" max="18" width="12.453125" customWidth="1"/>
    <col min="19" max="19" width="8.36328125" customWidth="1"/>
    <col min="20" max="20" width="14.90625" customWidth="1"/>
    <col min="21" max="26" width="8.36328125" customWidth="1"/>
    <col min="27" max="27" width="14.54296875" customWidth="1"/>
    <col min="29" max="29" width="17.1796875" customWidth="1"/>
    <col min="31" max="31" width="14.81640625" customWidth="1"/>
  </cols>
  <sheetData>
    <row r="1" spans="1:27" x14ac:dyDescent="0.35">
      <c r="A1" s="44" t="s">
        <v>92</v>
      </c>
    </row>
    <row r="3" spans="1:27" x14ac:dyDescent="0.35">
      <c r="A3" t="s">
        <v>79</v>
      </c>
      <c r="B3" s="64" t="s">
        <v>80</v>
      </c>
      <c r="C3" s="46">
        <f>Fixed_int</f>
        <v>0.05</v>
      </c>
      <c r="S3" s="10" t="s">
        <v>88</v>
      </c>
      <c r="T3" s="71">
        <f>T10*Product_term_alt*Fixed_freq</f>
        <v>60827.399999999994</v>
      </c>
      <c r="Z3" s="10"/>
    </row>
    <row r="4" spans="1:27" ht="16.5" x14ac:dyDescent="0.35">
      <c r="A4" t="s">
        <v>81</v>
      </c>
      <c r="B4" s="64" t="s">
        <v>82</v>
      </c>
      <c r="C4" s="55">
        <f>Fixed_freq*((1+C3)^(1/Fixed_freq)-1)</f>
        <v>4.8889485403780242E-2</v>
      </c>
      <c r="Z4" s="21"/>
      <c r="AA4" s="21"/>
    </row>
    <row r="5" spans="1:27" x14ac:dyDescent="0.35">
      <c r="A5" s="48" t="s">
        <v>27</v>
      </c>
      <c r="C5" s="39">
        <f>(1-(1+C3)^-Mort_term)/C4</f>
        <v>14.4140856153857</v>
      </c>
    </row>
    <row r="7" spans="1:27" x14ac:dyDescent="0.35">
      <c r="A7" t="s">
        <v>56</v>
      </c>
    </row>
    <row r="9" spans="1:27" x14ac:dyDescent="0.35">
      <c r="A9" t="s">
        <v>16</v>
      </c>
      <c r="B9" t="s">
        <v>57</v>
      </c>
      <c r="C9" s="57">
        <v>1</v>
      </c>
      <c r="D9" s="10">
        <f t="shared" ref="D9:O9" si="0">IF(C9+1&gt;Dep_term_alt*12,"Mortgage starts",C9+1)</f>
        <v>2</v>
      </c>
      <c r="E9" s="10">
        <f t="shared" si="0"/>
        <v>3</v>
      </c>
      <c r="F9" s="10">
        <f t="shared" si="0"/>
        <v>4</v>
      </c>
      <c r="G9" s="10">
        <f t="shared" si="0"/>
        <v>5</v>
      </c>
      <c r="H9" s="10">
        <f t="shared" si="0"/>
        <v>6</v>
      </c>
      <c r="I9" s="10">
        <f t="shared" si="0"/>
        <v>7</v>
      </c>
      <c r="J9" s="10">
        <f t="shared" si="0"/>
        <v>8</v>
      </c>
      <c r="K9" s="10">
        <f t="shared" si="0"/>
        <v>9</v>
      </c>
      <c r="L9" s="10">
        <f t="shared" si="0"/>
        <v>10</v>
      </c>
      <c r="M9" s="10">
        <f t="shared" si="0"/>
        <v>11</v>
      </c>
      <c r="N9" s="10">
        <f t="shared" si="0"/>
        <v>12</v>
      </c>
      <c r="O9" s="5" t="str">
        <f t="shared" si="0"/>
        <v>Mortgage starts</v>
      </c>
      <c r="P9" s="10"/>
      <c r="Q9" s="10"/>
      <c r="R9" s="10" t="s">
        <v>60</v>
      </c>
      <c r="T9" s="26" t="s">
        <v>87</v>
      </c>
      <c r="U9" s="10"/>
      <c r="V9" s="10"/>
      <c r="W9" s="10"/>
      <c r="X9" s="10"/>
      <c r="Y9" s="10"/>
      <c r="Z9" s="10"/>
      <c r="AA9" s="10"/>
    </row>
    <row r="10" spans="1:27" x14ac:dyDescent="0.35">
      <c r="A10" t="s">
        <v>93</v>
      </c>
      <c r="C10" s="57">
        <f>Deposit_mon_alt</f>
        <v>2000</v>
      </c>
      <c r="D10" s="16">
        <f t="shared" ref="D10:O10" si="1">ROUND(C10*(1+$C$4/Fixed_freq)+IF(D$9="Mortgage Starts",0,Deposit_mon_alt),2)</f>
        <v>4008.15</v>
      </c>
      <c r="E10" s="16">
        <f t="shared" si="1"/>
        <v>6024.48</v>
      </c>
      <c r="F10" s="16">
        <f t="shared" si="1"/>
        <v>8049.02</v>
      </c>
      <c r="G10" s="16">
        <f t="shared" si="1"/>
        <v>10081.81</v>
      </c>
      <c r="H10" s="16">
        <f t="shared" si="1"/>
        <v>12122.88</v>
      </c>
      <c r="I10" s="16">
        <f t="shared" si="1"/>
        <v>14172.27</v>
      </c>
      <c r="J10" s="16">
        <f t="shared" si="1"/>
        <v>16230.01</v>
      </c>
      <c r="K10" s="16">
        <f t="shared" si="1"/>
        <v>18296.13</v>
      </c>
      <c r="L10" s="16">
        <f t="shared" si="1"/>
        <v>20370.669999999998</v>
      </c>
      <c r="M10" s="16">
        <f t="shared" si="1"/>
        <v>22453.66</v>
      </c>
      <c r="N10" s="16">
        <f t="shared" si="1"/>
        <v>24545.14</v>
      </c>
      <c r="O10" s="16">
        <f t="shared" si="1"/>
        <v>24645.14</v>
      </c>
      <c r="P10" s="16"/>
      <c r="Q10" s="16"/>
      <c r="R10" s="71">
        <f>House_price-O10</f>
        <v>175354.86</v>
      </c>
      <c r="T10" s="72">
        <f>ROUND(R10/C5/Fixed_freq,2)</f>
        <v>1013.79</v>
      </c>
      <c r="U10" s="16"/>
      <c r="V10" s="16"/>
      <c r="W10" s="16"/>
      <c r="X10" s="16"/>
      <c r="Y10" s="16"/>
      <c r="Z10" s="16"/>
      <c r="AA10" s="54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205"/>
  <sheetViews>
    <sheetView zoomScale="85" zoomScaleNormal="85" workbookViewId="0"/>
  </sheetViews>
  <sheetFormatPr defaultRowHeight="14.5" x14ac:dyDescent="0.35"/>
  <cols>
    <col min="1" max="1" width="12.81640625" customWidth="1"/>
    <col min="2" max="2" width="9.54296875" customWidth="1"/>
    <col min="3" max="9" width="9.54296875" style="10" customWidth="1"/>
    <col min="10" max="13" width="9.54296875" customWidth="1"/>
    <col min="14" max="14" width="14.54296875" style="34" customWidth="1"/>
    <col min="15" max="15" width="11.81640625" customWidth="1"/>
    <col min="16" max="17" width="15.26953125" customWidth="1"/>
    <col min="18" max="18" width="15.26953125" style="17" customWidth="1"/>
    <col min="19" max="19" width="15.81640625" customWidth="1"/>
    <col min="20" max="20" width="11.81640625" customWidth="1"/>
    <col min="21" max="21" width="17.81640625" customWidth="1"/>
    <col min="22" max="22" width="17.26953125" customWidth="1"/>
    <col min="23" max="23" width="18.81640625" customWidth="1"/>
    <col min="24" max="24" width="11.81640625" customWidth="1"/>
    <col min="25" max="25" width="18.6328125" customWidth="1"/>
    <col min="26" max="26" width="11.81640625" customWidth="1"/>
    <col min="27" max="27" width="24.453125" customWidth="1"/>
    <col min="28" max="66" width="11.81640625" customWidth="1"/>
    <col min="67" max="80" width="11.7265625" customWidth="1"/>
    <col min="81" max="81" width="13.7265625" customWidth="1"/>
  </cols>
  <sheetData>
    <row r="1" spans="1:81" x14ac:dyDescent="0.35">
      <c r="A1" s="20" t="s">
        <v>96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6"/>
      <c r="Q1" s="17" t="s">
        <v>65</v>
      </c>
      <c r="R1" s="17">
        <f>COUNTIF(R6:R205,"ERROR")</f>
        <v>0</v>
      </c>
    </row>
    <row r="2" spans="1:81" s="17" customFormat="1" ht="28.5" customHeight="1" x14ac:dyDescent="0.35">
      <c r="A2" s="77"/>
      <c r="B2" s="77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37"/>
    </row>
    <row r="3" spans="1:81" x14ac:dyDescent="0.35">
      <c r="B3" s="81" t="s">
        <v>94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  <row r="4" spans="1:81" x14ac:dyDescent="0.35">
      <c r="B4" s="20" t="s">
        <v>61</v>
      </c>
      <c r="P4" s="78" t="s">
        <v>26</v>
      </c>
      <c r="Q4" s="78"/>
      <c r="R4" s="78"/>
      <c r="S4" s="78"/>
      <c r="U4" s="79" t="s">
        <v>33</v>
      </c>
      <c r="V4" s="79"/>
      <c r="W4" s="79"/>
    </row>
    <row r="5" spans="1:81" ht="56.5" customHeight="1" x14ac:dyDescent="0.35">
      <c r="A5" s="20" t="s">
        <v>15</v>
      </c>
      <c r="B5" s="57">
        <v>1</v>
      </c>
      <c r="C5" s="10">
        <f t="shared" ref="C5:N5" si="0">IF(B5+1&gt;Dep_term_alt*12,"Mortgage starts",B5+1)</f>
        <v>2</v>
      </c>
      <c r="D5" s="10">
        <f t="shared" si="0"/>
        <v>3</v>
      </c>
      <c r="E5" s="10">
        <f t="shared" si="0"/>
        <v>4</v>
      </c>
      <c r="F5" s="10">
        <f t="shared" si="0"/>
        <v>5</v>
      </c>
      <c r="G5" s="10">
        <f t="shared" si="0"/>
        <v>6</v>
      </c>
      <c r="H5" s="10">
        <f t="shared" si="0"/>
        <v>7</v>
      </c>
      <c r="I5" s="10">
        <f t="shared" si="0"/>
        <v>8</v>
      </c>
      <c r="J5" s="10">
        <f t="shared" si="0"/>
        <v>9</v>
      </c>
      <c r="K5" s="10">
        <f t="shared" si="0"/>
        <v>10</v>
      </c>
      <c r="L5" s="10">
        <f t="shared" si="0"/>
        <v>11</v>
      </c>
      <c r="M5" s="10">
        <f t="shared" si="0"/>
        <v>12</v>
      </c>
      <c r="N5" s="58" t="str">
        <f t="shared" si="0"/>
        <v>Mortgage starts</v>
      </c>
      <c r="O5" s="26"/>
      <c r="P5" s="10" t="s">
        <v>62</v>
      </c>
      <c r="Q5" s="9" t="s">
        <v>83</v>
      </c>
      <c r="R5" s="53" t="s">
        <v>89</v>
      </c>
      <c r="S5" s="26" t="s">
        <v>27</v>
      </c>
      <c r="T5" s="26"/>
      <c r="U5" s="26" t="s">
        <v>34</v>
      </c>
      <c r="V5" s="26" t="s">
        <v>35</v>
      </c>
      <c r="W5" s="26" t="s">
        <v>87</v>
      </c>
      <c r="X5" s="10"/>
      <c r="Y5" s="9" t="s">
        <v>69</v>
      </c>
      <c r="AA5" s="80" t="s">
        <v>66</v>
      </c>
      <c r="AB5" s="80"/>
      <c r="AC5" s="10"/>
      <c r="AD5" s="10"/>
      <c r="AE5" s="10"/>
      <c r="AF5" s="10"/>
      <c r="AG5" s="10"/>
      <c r="AJ5" s="10"/>
      <c r="AK5" s="10"/>
      <c r="AL5" s="10"/>
      <c r="AM5" s="10"/>
      <c r="AN5" s="10"/>
      <c r="AO5" s="10"/>
      <c r="AP5" s="10"/>
      <c r="AS5" s="10"/>
      <c r="AT5" s="10"/>
      <c r="AU5" s="10"/>
      <c r="AV5" s="10"/>
      <c r="AW5" s="10"/>
      <c r="AX5" s="10"/>
      <c r="AY5" s="10"/>
      <c r="BB5" s="10"/>
      <c r="BC5" s="10"/>
      <c r="BD5" s="10"/>
      <c r="BE5" s="10"/>
      <c r="BF5" s="10"/>
      <c r="BG5" s="10"/>
      <c r="BH5" s="10"/>
      <c r="BK5" s="10"/>
      <c r="BL5" s="10"/>
      <c r="BM5" s="10"/>
      <c r="BN5" s="10"/>
      <c r="BO5" s="10"/>
      <c r="BP5" s="10"/>
      <c r="BQ5" s="10"/>
      <c r="BT5" s="10"/>
      <c r="BU5" s="10"/>
      <c r="BV5" s="10"/>
      <c r="BW5" s="10"/>
      <c r="BX5" s="10"/>
      <c r="BY5" s="10"/>
      <c r="BZ5" s="10"/>
    </row>
    <row r="6" spans="1:81" x14ac:dyDescent="0.35">
      <c r="A6" s="27">
        <v>1</v>
      </c>
      <c r="B6" s="57">
        <f t="shared" ref="B6:B37" si="1">Deposit_mon_alt</f>
        <v>2000</v>
      </c>
      <c r="C6" s="16">
        <f>ROUND(B6*(1+'Interest rate projection'!AB8/Var_freq)+IF(C$5="Mortgage Starts",0,Deposit_mon_alt),2)</f>
        <v>4007.35</v>
      </c>
      <c r="D6" s="16">
        <f>ROUND(C6*(1+'Interest rate projection'!AC8/Var_freq)+IF(D$5="Mortgage Starts",0,Deposit_mon_alt),2)</f>
        <v>6022.08</v>
      </c>
      <c r="E6" s="16">
        <f>ROUND(D6*(1+'Interest rate projection'!AD8/Var_freq)+IF(E$5="Mortgage Starts",0,Deposit_mon_alt),2)</f>
        <v>8044.21</v>
      </c>
      <c r="F6" s="16">
        <f>ROUND(E6*(1+'Interest rate projection'!AE8/Var_freq)+IF(F$5="Mortgage Starts",0,Deposit_mon_alt),2)</f>
        <v>10073.77</v>
      </c>
      <c r="G6" s="16">
        <f>ROUND(F6*(1+'Interest rate projection'!AF8/Var_freq)+IF(G$5="Mortgage Starts",0,Deposit_mon_alt),2)</f>
        <v>12108.77</v>
      </c>
      <c r="H6" s="16">
        <f>ROUND(G6*(1+'Interest rate projection'!AG8/Var_freq)+IF(H$5="Mortgage Starts",0,Deposit_mon_alt),2)</f>
        <v>14150.84</v>
      </c>
      <c r="I6" s="16">
        <f>ROUND(H6*(1+'Interest rate projection'!AH8/Var_freq)+IF(I$5="Mortgage Starts",0,Deposit_mon_alt),2)</f>
        <v>16200.01</v>
      </c>
      <c r="J6" s="16">
        <f>ROUND(I6*(1+'Interest rate projection'!AI8/Var_freq)+IF(J$5="Mortgage Starts",0,Deposit_mon_alt),2)</f>
        <v>18256.3</v>
      </c>
      <c r="K6" s="16">
        <f>ROUND(J6*(1+'Interest rate projection'!AJ8/Var_freq)+IF(K$5="Mortgage Starts",0,Deposit_mon_alt),2)</f>
        <v>20319.73</v>
      </c>
      <c r="L6" s="16">
        <f>ROUND(K6*(1+'Interest rate projection'!AK8/Var_freq)+IF(L$5="Mortgage Starts",0,Deposit_mon_alt),2)</f>
        <v>22390.33</v>
      </c>
      <c r="M6" s="16">
        <f>ROUND(L6*(1+'Interest rate projection'!AL8/Var_freq)+IF(M$5="Mortgage Starts",0,Deposit_mon_alt),2)</f>
        <v>24468.13</v>
      </c>
      <c r="N6" s="57">
        <f>ROUND(M6*(1+'Interest rate projection'!AM8/Var_freq)+IF(N$5="Mortgage Starts",0,Deposit_mon_alt),2)</f>
        <v>24553.14</v>
      </c>
      <c r="O6" s="9"/>
      <c r="P6" s="38">
        <f>'Interest rate projection'!N8</f>
        <v>4.2499999999999996E-2</v>
      </c>
      <c r="Q6" s="38">
        <f>'Interest rate projection'!AN8</f>
        <v>4.1693940041970023E-2</v>
      </c>
      <c r="R6" s="59" t="str">
        <f t="shared" ref="R6:R37" si="2">IF(ROUND(P6,6)=ROUND((1+Q6/Var_freq)^Var_freq-1,6),"OK","ERROR")</f>
        <v>OK</v>
      </c>
      <c r="S6" s="39">
        <f t="shared" ref="S6:S37" si="3">(1-(1+P6)^-Mort_term)/Q6</f>
        <v>15.511529757864551</v>
      </c>
      <c r="T6" s="39"/>
      <c r="U6" s="73">
        <f>N6</f>
        <v>24553.14</v>
      </c>
      <c r="V6" s="73">
        <f t="shared" ref="V6:V69" si="4">House_price-U6</f>
        <v>175446.86</v>
      </c>
      <c r="W6" s="74">
        <f t="shared" ref="W6:W37" si="5">ROUND(V6/S6/Var_freq,2)</f>
        <v>942.56</v>
      </c>
      <c r="X6" s="9"/>
      <c r="Y6" s="73">
        <f>'Fixed rate projection Alt'!$T$3-('Variable rate projection Alt'!W6*Product_term_alt*Var_freq)</f>
        <v>4273.8000000000029</v>
      </c>
      <c r="Z6" s="9"/>
      <c r="AA6" s="8"/>
      <c r="AB6" s="10"/>
      <c r="AC6" s="9"/>
      <c r="AD6" s="10"/>
      <c r="AE6" s="9"/>
      <c r="AF6" s="9"/>
      <c r="AG6" s="9"/>
      <c r="AH6" s="9"/>
      <c r="AI6" s="9"/>
      <c r="AJ6" s="8"/>
      <c r="AK6" s="10"/>
      <c r="AL6" s="9"/>
      <c r="AM6" s="10"/>
      <c r="AN6" s="9"/>
      <c r="AO6" s="9"/>
      <c r="AP6" s="9"/>
      <c r="AQ6" s="9"/>
      <c r="AR6" s="9"/>
      <c r="AS6" s="8"/>
      <c r="AT6" s="10"/>
      <c r="AU6" s="9"/>
      <c r="AV6" s="10"/>
      <c r="AW6" s="9"/>
      <c r="AX6" s="9"/>
      <c r="AY6" s="9"/>
      <c r="AZ6" s="9"/>
      <c r="BA6" s="9"/>
      <c r="BB6" s="8"/>
      <c r="BC6" s="10"/>
      <c r="BD6" s="9"/>
      <c r="BE6" s="10"/>
      <c r="BF6" s="9"/>
      <c r="BG6" s="9"/>
      <c r="BH6" s="9"/>
      <c r="BI6" s="9"/>
      <c r="BJ6" s="9"/>
      <c r="BK6" s="8"/>
      <c r="BL6" s="10"/>
      <c r="BM6" s="9"/>
      <c r="BN6" s="10"/>
      <c r="BO6" s="9"/>
      <c r="BP6" s="9"/>
      <c r="BQ6" s="9"/>
      <c r="BR6" s="9"/>
      <c r="BS6" s="9"/>
      <c r="BT6" s="8"/>
      <c r="BU6" s="10"/>
      <c r="BV6" s="9"/>
      <c r="BW6" s="10"/>
      <c r="BX6" s="9"/>
      <c r="BY6" s="9"/>
      <c r="BZ6" s="9"/>
      <c r="CA6" s="9"/>
      <c r="CB6" s="9"/>
      <c r="CC6" s="9"/>
    </row>
    <row r="7" spans="1:81" x14ac:dyDescent="0.35">
      <c r="A7" s="5">
        <v>2</v>
      </c>
      <c r="B7" s="57">
        <f t="shared" si="1"/>
        <v>2000</v>
      </c>
      <c r="C7" s="16">
        <f>ROUND(B7*(1+'Interest rate projection'!AB9/Var_freq)+IF(C$5="Mortgage Starts",0,Deposit_mon_alt),2)</f>
        <v>4007.35</v>
      </c>
      <c r="D7" s="16">
        <f>ROUND(C7*(1+'Interest rate projection'!AC9/Var_freq)+IF(D$5="Mortgage Starts",0,Deposit_mon_alt),2)</f>
        <v>6022.08</v>
      </c>
      <c r="E7" s="16">
        <f>ROUND(D7*(1+'Interest rate projection'!AD9/Var_freq)+IF(E$5="Mortgage Starts",0,Deposit_mon_alt),2)</f>
        <v>8044.21</v>
      </c>
      <c r="F7" s="16">
        <f>ROUND(E7*(1+'Interest rate projection'!AE9/Var_freq)+IF(F$5="Mortgage Starts",0,Deposit_mon_alt),2)</f>
        <v>10073.77</v>
      </c>
      <c r="G7" s="16">
        <f>ROUND(F7*(1+'Interest rate projection'!AF9/Var_freq)+IF(G$5="Mortgage Starts",0,Deposit_mon_alt),2)</f>
        <v>12110.79</v>
      </c>
      <c r="H7" s="16">
        <f>ROUND(G7*(1+'Interest rate projection'!AG9/Var_freq)+IF(H$5="Mortgage Starts",0,Deposit_mon_alt),2)</f>
        <v>14155.29</v>
      </c>
      <c r="I7" s="16">
        <f>ROUND(H7*(1+'Interest rate projection'!AH9/Var_freq)+IF(I$5="Mortgage Starts",0,Deposit_mon_alt),2)</f>
        <v>16207.31</v>
      </c>
      <c r="J7" s="16">
        <f>ROUND(I7*(1+'Interest rate projection'!AI9/Var_freq)+IF(J$5="Mortgage Starts",0,Deposit_mon_alt),2)</f>
        <v>18263.62</v>
      </c>
      <c r="K7" s="16">
        <f>ROUND(J7*(1+'Interest rate projection'!AJ9/Var_freq)+IF(K$5="Mortgage Starts",0,Deposit_mon_alt),2)</f>
        <v>20327.080000000002</v>
      </c>
      <c r="L7" s="16">
        <f>ROUND(K7*(1+'Interest rate projection'!AK9/Var_freq)+IF(L$5="Mortgage Starts",0,Deposit_mon_alt),2)</f>
        <v>22393.63</v>
      </c>
      <c r="M7" s="16">
        <f>ROUND(L7*(1+'Interest rate projection'!AL9/Var_freq)+IF(M$5="Mortgage Starts",0,Deposit_mon_alt),2)</f>
        <v>24466.94</v>
      </c>
      <c r="N7" s="57">
        <f>ROUND(M7*(1+'Interest rate projection'!AM9/Var_freq)+IF(N$5="Mortgage Starts",0,Deposit_mon_alt),2)</f>
        <v>24542.12</v>
      </c>
      <c r="O7" s="12"/>
      <c r="P7" s="38">
        <f>'Interest rate projection'!N9</f>
        <v>3.7499999999999992E-2</v>
      </c>
      <c r="Q7" s="38">
        <f>'Interest rate projection'!AN9</f>
        <v>3.6870500439066589E-2</v>
      </c>
      <c r="R7" s="59" t="str">
        <f t="shared" si="2"/>
        <v>OK</v>
      </c>
      <c r="S7" s="39">
        <f t="shared" si="3"/>
        <v>16.317113717606386</v>
      </c>
      <c r="T7" s="10"/>
      <c r="U7" s="73">
        <f t="shared" ref="U7:U70" si="6">N7</f>
        <v>24542.12</v>
      </c>
      <c r="V7" s="73">
        <f t="shared" si="4"/>
        <v>175457.88</v>
      </c>
      <c r="W7" s="74">
        <f t="shared" si="5"/>
        <v>896.08</v>
      </c>
      <c r="X7" s="12"/>
      <c r="Y7" s="73">
        <f>'Fixed rate projection Alt'!$T$3-('Variable rate projection Alt'!W7*Product_term_alt*Var_freq)</f>
        <v>7062.5999999999913</v>
      </c>
      <c r="AA7" s="50" t="s">
        <v>68</v>
      </c>
      <c r="AB7" s="73">
        <f>MIN(Y6:Y205)</f>
        <v>-4419.6000000000058</v>
      </c>
      <c r="AC7" s="11"/>
      <c r="AD7" s="11"/>
      <c r="AE7" s="11"/>
      <c r="AF7" s="12"/>
      <c r="AG7" s="12"/>
      <c r="AH7" s="13"/>
      <c r="AJ7" s="14"/>
      <c r="AK7" s="10"/>
      <c r="AL7" s="11"/>
      <c r="AM7" s="11"/>
      <c r="AN7" s="11"/>
      <c r="AO7" s="12"/>
      <c r="AP7" s="12"/>
      <c r="AQ7" s="13"/>
      <c r="AS7" s="14"/>
      <c r="AT7" s="10"/>
      <c r="AU7" s="11"/>
      <c r="AV7" s="11"/>
      <c r="AW7" s="11"/>
      <c r="AX7" s="12"/>
      <c r="AY7" s="12"/>
      <c r="AZ7" s="13"/>
      <c r="BB7" s="14"/>
      <c r="BC7" s="10"/>
      <c r="BD7" s="11"/>
      <c r="BE7" s="11"/>
      <c r="BF7" s="11"/>
      <c r="BG7" s="12"/>
      <c r="BH7" s="12"/>
      <c r="BI7" s="13"/>
      <c r="BK7" s="14"/>
      <c r="BL7" s="10"/>
      <c r="BM7" s="11"/>
      <c r="BN7" s="11"/>
      <c r="BO7" s="11"/>
      <c r="BP7" s="12"/>
      <c r="BQ7" s="12"/>
      <c r="BR7" s="13"/>
      <c r="BT7" s="14"/>
      <c r="BU7" s="10"/>
      <c r="BV7" s="11"/>
      <c r="BW7" s="11"/>
      <c r="BX7" s="11"/>
      <c r="BY7" s="12"/>
      <c r="BZ7" s="12"/>
      <c r="CA7" s="13"/>
      <c r="CC7" s="13"/>
    </row>
    <row r="8" spans="1:81" x14ac:dyDescent="0.35">
      <c r="A8" s="27">
        <v>3</v>
      </c>
      <c r="B8" s="57">
        <f t="shared" si="1"/>
        <v>2000</v>
      </c>
      <c r="C8" s="16">
        <f>ROUND(B8*(1+'Interest rate projection'!AB10/Var_freq)+IF(C$5="Mortgage Starts",0,Deposit_mon_alt),2)</f>
        <v>4007.35</v>
      </c>
      <c r="D8" s="16">
        <f>ROUND(C8*(1+'Interest rate projection'!AC10/Var_freq)+IF(D$5="Mortgage Starts",0,Deposit_mon_alt),2)</f>
        <v>6022.08</v>
      </c>
      <c r="E8" s="16">
        <f>ROUND(D8*(1+'Interest rate projection'!AD10/Var_freq)+IF(E$5="Mortgage Starts",0,Deposit_mon_alt),2)</f>
        <v>8044.21</v>
      </c>
      <c r="F8" s="16">
        <f>ROUND(E8*(1+'Interest rate projection'!AE10/Var_freq)+IF(F$5="Mortgage Starts",0,Deposit_mon_alt),2)</f>
        <v>10073.77</v>
      </c>
      <c r="G8" s="16">
        <f>ROUND(F8*(1+'Interest rate projection'!AF10/Var_freq)+IF(G$5="Mortgage Starts",0,Deposit_mon_alt),2)</f>
        <v>12110.79</v>
      </c>
      <c r="H8" s="16">
        <f>ROUND(G8*(1+'Interest rate projection'!AG10/Var_freq)+IF(H$5="Mortgage Starts",0,Deposit_mon_alt),2)</f>
        <v>14155.29</v>
      </c>
      <c r="I8" s="16">
        <f>ROUND(H8*(1+'Interest rate projection'!AH10/Var_freq)+IF(I$5="Mortgage Starts",0,Deposit_mon_alt),2)</f>
        <v>16207.31</v>
      </c>
      <c r="J8" s="16">
        <f>ROUND(I8*(1+'Interest rate projection'!AI10/Var_freq)+IF(J$5="Mortgage Starts",0,Deposit_mon_alt),2)</f>
        <v>18266.87</v>
      </c>
      <c r="K8" s="16">
        <f>ROUND(J8*(1+'Interest rate projection'!AJ10/Var_freq)+IF(K$5="Mortgage Starts",0,Deposit_mon_alt),2)</f>
        <v>20334</v>
      </c>
      <c r="L8" s="16">
        <f>ROUND(K8*(1+'Interest rate projection'!AK10/Var_freq)+IF(L$5="Mortgage Starts",0,Deposit_mon_alt),2)</f>
        <v>22408.720000000001</v>
      </c>
      <c r="M8" s="16">
        <f>ROUND(L8*(1+'Interest rate projection'!AL10/Var_freq)+IF(M$5="Mortgage Starts",0,Deposit_mon_alt),2)</f>
        <v>24491.07</v>
      </c>
      <c r="N8" s="57">
        <f>ROUND(M8*(1+'Interest rate projection'!AM10/Var_freq)+IF(N$5="Mortgage Starts",0,Deposit_mon_alt),2)</f>
        <v>24581.07</v>
      </c>
      <c r="O8" s="12"/>
      <c r="P8" s="38">
        <f>'Interest rate projection'!N10</f>
        <v>4.4999999999999998E-2</v>
      </c>
      <c r="Q8" s="38">
        <f>'Interest rate projection'!AN10</f>
        <v>4.4097712805242217E-2</v>
      </c>
      <c r="R8" s="59" t="str">
        <f t="shared" si="2"/>
        <v>OK</v>
      </c>
      <c r="S8" s="39">
        <f t="shared" si="3"/>
        <v>15.131610255367837</v>
      </c>
      <c r="T8" s="10"/>
      <c r="U8" s="73">
        <f t="shared" si="6"/>
        <v>24581.07</v>
      </c>
      <c r="V8" s="73">
        <f t="shared" si="4"/>
        <v>175418.93</v>
      </c>
      <c r="W8" s="74">
        <f t="shared" si="5"/>
        <v>966.07</v>
      </c>
      <c r="X8" s="12"/>
      <c r="Y8" s="73">
        <f>'Fixed rate projection Alt'!$T$3-('Variable rate projection Alt'!W8*Product_term_alt*Var_freq)</f>
        <v>2863.1999999999898</v>
      </c>
      <c r="AA8" s="50" t="s">
        <v>67</v>
      </c>
      <c r="AB8" s="73">
        <f>MAX(Y6:Y205)</f>
        <v>9766.7999999999884</v>
      </c>
      <c r="AC8" s="11"/>
      <c r="AD8" s="11"/>
      <c r="AE8" s="11"/>
      <c r="AF8" s="12"/>
      <c r="AG8" s="12"/>
      <c r="AH8" s="13"/>
      <c r="AJ8" s="14"/>
      <c r="AK8" s="10"/>
      <c r="AL8" s="11"/>
      <c r="AM8" s="11"/>
      <c r="AN8" s="11"/>
      <c r="AO8" s="12"/>
      <c r="AP8" s="12"/>
      <c r="AQ8" s="13"/>
      <c r="AS8" s="14"/>
      <c r="AT8" s="10"/>
      <c r="AU8" s="11"/>
      <c r="AV8" s="11"/>
      <c r="AW8" s="11"/>
      <c r="AX8" s="12"/>
      <c r="AY8" s="12"/>
      <c r="AZ8" s="13"/>
      <c r="BB8" s="14"/>
      <c r="BC8" s="10"/>
      <c r="BD8" s="11"/>
      <c r="BE8" s="11"/>
      <c r="BF8" s="11"/>
      <c r="BG8" s="12"/>
      <c r="BH8" s="12"/>
      <c r="BI8" s="13"/>
      <c r="BK8" s="14"/>
      <c r="BL8" s="10"/>
      <c r="BM8" s="11"/>
      <c r="BN8" s="11"/>
      <c r="BO8" s="11"/>
      <c r="BP8" s="12"/>
      <c r="BQ8" s="12"/>
      <c r="BR8" s="13"/>
      <c r="BT8" s="14"/>
      <c r="BU8" s="10"/>
      <c r="BV8" s="11"/>
      <c r="BW8" s="11"/>
      <c r="BX8" s="11"/>
      <c r="BY8" s="12"/>
      <c r="BZ8" s="12"/>
      <c r="CA8" s="13"/>
      <c r="CC8" s="13"/>
    </row>
    <row r="9" spans="1:81" x14ac:dyDescent="0.35">
      <c r="A9" s="5">
        <v>4</v>
      </c>
      <c r="B9" s="57">
        <f t="shared" si="1"/>
        <v>2000</v>
      </c>
      <c r="C9" s="16">
        <f>ROUND(B9*(1+'Interest rate projection'!AB11/Var_freq)+IF(C$5="Mortgage Starts",0,Deposit_mon_alt),2)</f>
        <v>4007.35</v>
      </c>
      <c r="D9" s="16">
        <f>ROUND(C9*(1+'Interest rate projection'!AC11/Var_freq)+IF(D$5="Mortgage Starts",0,Deposit_mon_alt),2)</f>
        <v>6022.08</v>
      </c>
      <c r="E9" s="16">
        <f>ROUND(D9*(1+'Interest rate projection'!AD11/Var_freq)+IF(E$5="Mortgage Starts",0,Deposit_mon_alt),2)</f>
        <v>8044.21</v>
      </c>
      <c r="F9" s="16">
        <f>ROUND(E9*(1+'Interest rate projection'!AE11/Var_freq)+IF(F$5="Mortgage Starts",0,Deposit_mon_alt),2)</f>
        <v>10073.77</v>
      </c>
      <c r="G9" s="16">
        <f>ROUND(F9*(1+'Interest rate projection'!AF11/Var_freq)+IF(G$5="Mortgage Starts",0,Deposit_mon_alt),2)</f>
        <v>12110.79</v>
      </c>
      <c r="H9" s="16">
        <f>ROUND(G9*(1+'Interest rate projection'!AG11/Var_freq)+IF(H$5="Mortgage Starts",0,Deposit_mon_alt),2)</f>
        <v>14155.29</v>
      </c>
      <c r="I9" s="16">
        <f>ROUND(H9*(1+'Interest rate projection'!AH11/Var_freq)+IF(I$5="Mortgage Starts",0,Deposit_mon_alt),2)</f>
        <v>16207.31</v>
      </c>
      <c r="J9" s="16">
        <f>ROUND(I9*(1+'Interest rate projection'!AI11/Var_freq)+IF(J$5="Mortgage Starts",0,Deposit_mon_alt),2)</f>
        <v>18266.87</v>
      </c>
      <c r="K9" s="16">
        <f>ROUND(J9*(1+'Interest rate projection'!AJ11/Var_freq)+IF(K$5="Mortgage Starts",0,Deposit_mon_alt),2)</f>
        <v>20341.29</v>
      </c>
      <c r="L9" s="16">
        <f>ROUND(K9*(1+'Interest rate projection'!AK11/Var_freq)+IF(L$5="Mortgage Starts",0,Deposit_mon_alt),2)</f>
        <v>22428.21</v>
      </c>
      <c r="M9" s="16">
        <f>ROUND(L9*(1+'Interest rate projection'!AL11/Var_freq)+IF(M$5="Mortgage Starts",0,Deposit_mon_alt),2)</f>
        <v>24524.05</v>
      </c>
      <c r="N9" s="57">
        <f>ROUND(M9*(1+'Interest rate projection'!AM11/Var_freq)+IF(N$5="Mortgage Starts",0,Deposit_mon_alt),2)</f>
        <v>24628.84</v>
      </c>
      <c r="O9" s="12"/>
      <c r="P9" s="38">
        <f>'Interest rate projection'!N11</f>
        <v>5.2499999999999998E-2</v>
      </c>
      <c r="Q9" s="38">
        <f>'Interest rate projection'!AN11</f>
        <v>5.1277533193896829E-2</v>
      </c>
      <c r="R9" s="59" t="str">
        <f t="shared" si="2"/>
        <v>OK</v>
      </c>
      <c r="S9" s="39">
        <f t="shared" si="3"/>
        <v>14.075212462503044</v>
      </c>
      <c r="T9" s="10"/>
      <c r="U9" s="73">
        <f t="shared" si="6"/>
        <v>24628.84</v>
      </c>
      <c r="V9" s="73">
        <f t="shared" si="4"/>
        <v>175371.16</v>
      </c>
      <c r="W9" s="74">
        <f t="shared" si="5"/>
        <v>1038.3</v>
      </c>
      <c r="X9" s="12"/>
      <c r="Y9" s="73">
        <f>'Fixed rate projection Alt'!$T$3-('Variable rate projection Alt'!W9*Product_term_alt*Var_freq)</f>
        <v>-1470.6000000000058</v>
      </c>
      <c r="AA9" s="50" t="s">
        <v>17</v>
      </c>
      <c r="AB9" s="73">
        <f>AVERAGE(Y6:Y205)</f>
        <v>2695.4879999999948</v>
      </c>
      <c r="AC9" s="11"/>
      <c r="AD9" s="11"/>
      <c r="AE9" s="11"/>
      <c r="AF9" s="12"/>
      <c r="AG9" s="12"/>
      <c r="AH9" s="13"/>
      <c r="AJ9" s="14"/>
      <c r="AK9" s="10"/>
      <c r="AL9" s="11"/>
      <c r="AM9" s="11"/>
      <c r="AN9" s="11"/>
      <c r="AO9" s="12"/>
      <c r="AP9" s="12"/>
      <c r="AQ9" s="13"/>
      <c r="AS9" s="14"/>
      <c r="AT9" s="10"/>
      <c r="AU9" s="11"/>
      <c r="AV9" s="11"/>
      <c r="AW9" s="11"/>
      <c r="AX9" s="12"/>
      <c r="AY9" s="12"/>
      <c r="AZ9" s="13"/>
      <c r="BB9" s="14"/>
      <c r="BC9" s="10"/>
      <c r="BD9" s="11"/>
      <c r="BE9" s="11"/>
      <c r="BF9" s="11"/>
      <c r="BG9" s="12"/>
      <c r="BH9" s="12"/>
      <c r="BI9" s="13"/>
      <c r="BK9" s="14"/>
      <c r="BL9" s="10"/>
      <c r="BM9" s="11"/>
      <c r="BN9" s="11"/>
      <c r="BO9" s="11"/>
      <c r="BP9" s="12"/>
      <c r="BQ9" s="12"/>
      <c r="BR9" s="13"/>
      <c r="BT9" s="14"/>
      <c r="BU9" s="10"/>
      <c r="BV9" s="11"/>
      <c r="BW9" s="11"/>
      <c r="BX9" s="11"/>
      <c r="BY9" s="12"/>
      <c r="BZ9" s="12"/>
      <c r="CA9" s="13"/>
      <c r="CC9" s="13"/>
    </row>
    <row r="10" spans="1:81" x14ac:dyDescent="0.35">
      <c r="A10" s="27">
        <v>5</v>
      </c>
      <c r="B10" s="57">
        <f t="shared" si="1"/>
        <v>2000</v>
      </c>
      <c r="C10" s="16">
        <f>ROUND(B10*(1+'Interest rate projection'!AB12/Var_freq)+IF(C$5="Mortgage Starts",0,Deposit_mon_alt),2)</f>
        <v>4007.35</v>
      </c>
      <c r="D10" s="16">
        <f>ROUND(C10*(1+'Interest rate projection'!AC12/Var_freq)+IF(D$5="Mortgage Starts",0,Deposit_mon_alt),2)</f>
        <v>6022.08</v>
      </c>
      <c r="E10" s="16">
        <f>ROUND(D10*(1+'Interest rate projection'!AD12/Var_freq)+IF(E$5="Mortgage Starts",0,Deposit_mon_alt),2)</f>
        <v>8044.21</v>
      </c>
      <c r="F10" s="16">
        <f>ROUND(E10*(1+'Interest rate projection'!AE12/Var_freq)+IF(F$5="Mortgage Starts",0,Deposit_mon_alt),2)</f>
        <v>10072.16</v>
      </c>
      <c r="G10" s="16">
        <f>ROUND(F10*(1+'Interest rate projection'!AF12/Var_freq)+IF(G$5="Mortgage Starts",0,Deposit_mon_alt),2)</f>
        <v>12107.16</v>
      </c>
      <c r="H10" s="16">
        <f>ROUND(G10*(1+'Interest rate projection'!AG12/Var_freq)+IF(H$5="Mortgage Starts",0,Deposit_mon_alt),2)</f>
        <v>14149.23</v>
      </c>
      <c r="I10" s="16">
        <f>ROUND(H10*(1+'Interest rate projection'!AH12/Var_freq)+IF(I$5="Mortgage Starts",0,Deposit_mon_alt),2)</f>
        <v>16198.39</v>
      </c>
      <c r="J10" s="16">
        <f>ROUND(I10*(1+'Interest rate projection'!AI12/Var_freq)+IF(J$5="Mortgage Starts",0,Deposit_mon_alt),2)</f>
        <v>18254.669999999998</v>
      </c>
      <c r="K10" s="16">
        <f>ROUND(J10*(1+'Interest rate projection'!AJ12/Var_freq)+IF(K$5="Mortgage Starts",0,Deposit_mon_alt),2)</f>
        <v>20318.099999999999</v>
      </c>
      <c r="L10" s="16">
        <f>ROUND(K10*(1+'Interest rate projection'!AK12/Var_freq)+IF(L$5="Mortgage Starts",0,Deposit_mon_alt),2)</f>
        <v>22388.7</v>
      </c>
      <c r="M10" s="16">
        <f>ROUND(L10*(1+'Interest rate projection'!AL12/Var_freq)+IF(M$5="Mortgage Starts",0,Deposit_mon_alt),2)</f>
        <v>24466.49</v>
      </c>
      <c r="N10" s="57">
        <f>ROUND(M10*(1+'Interest rate projection'!AM12/Var_freq)+IF(N$5="Mortgage Starts",0,Deposit_mon_alt),2)</f>
        <v>24551.5</v>
      </c>
      <c r="O10" s="12"/>
      <c r="P10" s="38">
        <f>'Interest rate projection'!N12</f>
        <v>3.7499999999999999E-2</v>
      </c>
      <c r="Q10" s="38">
        <f>'Interest rate projection'!AN12</f>
        <v>3.6870500439066589E-2</v>
      </c>
      <c r="R10" s="59" t="str">
        <f t="shared" si="2"/>
        <v>OK</v>
      </c>
      <c r="S10" s="39">
        <f t="shared" si="3"/>
        <v>16.317113717606386</v>
      </c>
      <c r="T10" s="10"/>
      <c r="U10" s="73">
        <f t="shared" si="6"/>
        <v>24551.5</v>
      </c>
      <c r="V10" s="73">
        <f t="shared" si="4"/>
        <v>175448.5</v>
      </c>
      <c r="W10" s="74">
        <f t="shared" si="5"/>
        <v>896.04</v>
      </c>
      <c r="X10" s="12"/>
      <c r="Y10" s="73">
        <f>'Fixed rate projection Alt'!$T$3-('Variable rate projection Alt'!W10*Product_term_alt*Var_freq)</f>
        <v>7065</v>
      </c>
      <c r="AA10" s="14"/>
      <c r="AB10" s="10"/>
      <c r="AC10" s="11"/>
      <c r="AD10" s="11"/>
      <c r="AE10" s="11"/>
      <c r="AF10" s="12"/>
      <c r="AG10" s="12"/>
      <c r="AH10" s="13"/>
      <c r="AJ10" s="14"/>
      <c r="AK10" s="10"/>
      <c r="AL10" s="11"/>
      <c r="AM10" s="11"/>
      <c r="AN10" s="11"/>
      <c r="AO10" s="12"/>
      <c r="AP10" s="12"/>
      <c r="AQ10" s="13"/>
      <c r="AS10" s="14"/>
      <c r="AT10" s="10"/>
      <c r="AU10" s="11"/>
      <c r="AV10" s="11"/>
      <c r="AW10" s="11"/>
      <c r="AX10" s="12"/>
      <c r="AY10" s="12"/>
      <c r="AZ10" s="13"/>
      <c r="BB10" s="14"/>
      <c r="BC10" s="10"/>
      <c r="BD10" s="11"/>
      <c r="BE10" s="11"/>
      <c r="BF10" s="11"/>
      <c r="BG10" s="12"/>
      <c r="BH10" s="12"/>
      <c r="BI10" s="13"/>
      <c r="BK10" s="14"/>
      <c r="BL10" s="10"/>
      <c r="BM10" s="11"/>
      <c r="BN10" s="11"/>
      <c r="BO10" s="11"/>
      <c r="BP10" s="12"/>
      <c r="BQ10" s="12"/>
      <c r="BR10" s="13"/>
      <c r="BT10" s="14"/>
      <c r="BU10" s="10"/>
      <c r="BV10" s="11"/>
      <c r="BW10" s="11"/>
      <c r="BX10" s="11"/>
      <c r="BY10" s="12"/>
      <c r="BZ10" s="12"/>
      <c r="CA10" s="13"/>
      <c r="CC10" s="13"/>
    </row>
    <row r="11" spans="1:81" x14ac:dyDescent="0.35">
      <c r="A11" s="5">
        <v>6</v>
      </c>
      <c r="B11" s="57">
        <f t="shared" si="1"/>
        <v>2000</v>
      </c>
      <c r="C11" s="16">
        <f>ROUND(B11*(1+'Interest rate projection'!AB13/Var_freq)+IF(C$5="Mortgage Starts",0,Deposit_mon_alt),2)</f>
        <v>4007.35</v>
      </c>
      <c r="D11" s="16">
        <f>ROUND(C11*(1+'Interest rate projection'!AC13/Var_freq)+IF(D$5="Mortgage Starts",0,Deposit_mon_alt),2)</f>
        <v>6022.08</v>
      </c>
      <c r="E11" s="16">
        <f>ROUND(D11*(1+'Interest rate projection'!AD13/Var_freq)+IF(E$5="Mortgage Starts",0,Deposit_mon_alt),2)</f>
        <v>8044.21</v>
      </c>
      <c r="F11" s="16">
        <f>ROUND(E11*(1+'Interest rate projection'!AE13/Var_freq)+IF(F$5="Mortgage Starts",0,Deposit_mon_alt),2)</f>
        <v>10073.77</v>
      </c>
      <c r="G11" s="16">
        <f>ROUND(F11*(1+'Interest rate projection'!AF13/Var_freq)+IF(G$5="Mortgage Starts",0,Deposit_mon_alt),2)</f>
        <v>12110.79</v>
      </c>
      <c r="H11" s="16">
        <f>ROUND(G11*(1+'Interest rate projection'!AG13/Var_freq)+IF(H$5="Mortgage Starts",0,Deposit_mon_alt),2)</f>
        <v>14155.29</v>
      </c>
      <c r="I11" s="16">
        <f>ROUND(H11*(1+'Interest rate projection'!AH13/Var_freq)+IF(I$5="Mortgage Starts",0,Deposit_mon_alt),2)</f>
        <v>16207.31</v>
      </c>
      <c r="J11" s="16">
        <f>ROUND(I11*(1+'Interest rate projection'!AI13/Var_freq)+IF(J$5="Mortgage Starts",0,Deposit_mon_alt),2)</f>
        <v>18266.87</v>
      </c>
      <c r="K11" s="16">
        <f>ROUND(J11*(1+'Interest rate projection'!AJ13/Var_freq)+IF(K$5="Mortgage Starts",0,Deposit_mon_alt),2)</f>
        <v>20334</v>
      </c>
      <c r="L11" s="16">
        <f>ROUND(K11*(1+'Interest rate projection'!AK13/Var_freq)+IF(L$5="Mortgage Starts",0,Deposit_mon_alt),2)</f>
        <v>22408.720000000001</v>
      </c>
      <c r="M11" s="16">
        <f>ROUND(L11*(1+'Interest rate projection'!AL13/Var_freq)+IF(M$5="Mortgage Starts",0,Deposit_mon_alt),2)</f>
        <v>24486.58</v>
      </c>
      <c r="N11" s="57">
        <f>ROUND(M11*(1+'Interest rate projection'!AM13/Var_freq)+IF(N$5="Mortgage Starts",0,Deposit_mon_alt),2)</f>
        <v>24571.66</v>
      </c>
      <c r="O11" s="12"/>
      <c r="P11" s="38">
        <f>'Interest rate projection'!N13</f>
        <v>4.2499999999999996E-2</v>
      </c>
      <c r="Q11" s="38">
        <f>'Interest rate projection'!AN13</f>
        <v>4.1693940041970023E-2</v>
      </c>
      <c r="R11" s="59" t="str">
        <f t="shared" si="2"/>
        <v>OK</v>
      </c>
      <c r="S11" s="39">
        <f t="shared" si="3"/>
        <v>15.511529757864551</v>
      </c>
      <c r="T11" s="10"/>
      <c r="U11" s="73">
        <f t="shared" si="6"/>
        <v>24571.66</v>
      </c>
      <c r="V11" s="73">
        <f t="shared" si="4"/>
        <v>175428.34</v>
      </c>
      <c r="W11" s="74">
        <f t="shared" si="5"/>
        <v>942.46</v>
      </c>
      <c r="X11" s="12"/>
      <c r="Y11" s="73">
        <f>'Fixed rate projection Alt'!$T$3-('Variable rate projection Alt'!W11*Product_term_alt*Var_freq)</f>
        <v>4279.7999999999884</v>
      </c>
      <c r="AA11" s="50" t="s">
        <v>70</v>
      </c>
      <c r="AB11" s="12">
        <f>COUNTIF(Y6:Y205,"&lt;0")/COUNT(Y6:Y205)</f>
        <v>0.16</v>
      </c>
      <c r="AC11" s="11"/>
      <c r="AD11" s="11"/>
      <c r="AE11" s="11"/>
      <c r="AF11" s="12"/>
      <c r="AG11" s="12"/>
      <c r="AH11" s="13"/>
      <c r="AJ11" s="14"/>
      <c r="AK11" s="10"/>
      <c r="AL11" s="11"/>
      <c r="AM11" s="11"/>
      <c r="AN11" s="11"/>
      <c r="AO11" s="12"/>
      <c r="AP11" s="12"/>
      <c r="AQ11" s="13"/>
      <c r="AS11" s="14"/>
      <c r="AT11" s="10"/>
      <c r="AU11" s="11"/>
      <c r="AV11" s="11"/>
      <c r="AW11" s="11"/>
      <c r="AX11" s="12"/>
      <c r="AY11" s="12"/>
      <c r="AZ11" s="13"/>
      <c r="BB11" s="14"/>
      <c r="BC11" s="10"/>
      <c r="BD11" s="11"/>
      <c r="BE11" s="11"/>
      <c r="BF11" s="11"/>
      <c r="BG11" s="12"/>
      <c r="BH11" s="12"/>
      <c r="BI11" s="13"/>
      <c r="BK11" s="14"/>
      <c r="BL11" s="10"/>
      <c r="BM11" s="11"/>
      <c r="BN11" s="11"/>
      <c r="BO11" s="11"/>
      <c r="BP11" s="12"/>
      <c r="BQ11" s="12"/>
      <c r="BR11" s="13"/>
      <c r="BT11" s="14"/>
      <c r="BU11" s="10"/>
      <c r="BV11" s="11"/>
      <c r="BW11" s="11"/>
      <c r="BX11" s="11"/>
      <c r="BY11" s="12"/>
      <c r="BZ11" s="12"/>
      <c r="CA11" s="13"/>
      <c r="CC11" s="13"/>
    </row>
    <row r="12" spans="1:81" x14ac:dyDescent="0.35">
      <c r="A12" s="27">
        <v>7</v>
      </c>
      <c r="B12" s="57">
        <f t="shared" si="1"/>
        <v>2000</v>
      </c>
      <c r="C12" s="16">
        <f>ROUND(B12*(1+'Interest rate projection'!AB14/Var_freq)+IF(C$5="Mortgage Starts",0,Deposit_mon_alt),2)</f>
        <v>4007.35</v>
      </c>
      <c r="D12" s="16">
        <f>ROUND(C12*(1+'Interest rate projection'!AC14/Var_freq)+IF(D$5="Mortgage Starts",0,Deposit_mon_alt),2)</f>
        <v>6022.08</v>
      </c>
      <c r="E12" s="16">
        <f>ROUND(D12*(1+'Interest rate projection'!AD14/Var_freq)+IF(E$5="Mortgage Starts",0,Deposit_mon_alt),2)</f>
        <v>8044.21</v>
      </c>
      <c r="F12" s="16">
        <f>ROUND(E12*(1+'Interest rate projection'!AE14/Var_freq)+IF(F$5="Mortgage Starts",0,Deposit_mon_alt),2)</f>
        <v>10073.77</v>
      </c>
      <c r="G12" s="16">
        <f>ROUND(F12*(1+'Interest rate projection'!AF14/Var_freq)+IF(G$5="Mortgage Starts",0,Deposit_mon_alt),2)</f>
        <v>12110.79</v>
      </c>
      <c r="H12" s="16">
        <f>ROUND(G12*(1+'Interest rate projection'!AG14/Var_freq)+IF(H$5="Mortgage Starts",0,Deposit_mon_alt),2)</f>
        <v>14155.29</v>
      </c>
      <c r="I12" s="16">
        <f>ROUND(H12*(1+'Interest rate projection'!AH14/Var_freq)+IF(I$5="Mortgage Starts",0,Deposit_mon_alt),2)</f>
        <v>16207.31</v>
      </c>
      <c r="J12" s="16">
        <f>ROUND(I12*(1+'Interest rate projection'!AI14/Var_freq)+IF(J$5="Mortgage Starts",0,Deposit_mon_alt),2)</f>
        <v>18266.87</v>
      </c>
      <c r="K12" s="16">
        <f>ROUND(J12*(1+'Interest rate projection'!AJ14/Var_freq)+IF(K$5="Mortgage Starts",0,Deposit_mon_alt),2)</f>
        <v>20337.650000000001</v>
      </c>
      <c r="L12" s="16">
        <f>ROUND(K12*(1+'Interest rate projection'!AK14/Var_freq)+IF(L$5="Mortgage Starts",0,Deposit_mon_alt),2)</f>
        <v>22416.45</v>
      </c>
      <c r="M12" s="16">
        <f>ROUND(L12*(1+'Interest rate projection'!AL14/Var_freq)+IF(M$5="Mortgage Starts",0,Deposit_mon_alt),2)</f>
        <v>24503.31</v>
      </c>
      <c r="N12" s="57">
        <f>ROUND(M12*(1+'Interest rate projection'!AM14/Var_freq)+IF(N$5="Mortgage Starts",0,Deposit_mon_alt),2)</f>
        <v>24598.25</v>
      </c>
      <c r="O12" s="12"/>
      <c r="P12" s="38">
        <f>'Interest rate projection'!N14</f>
        <v>4.7500000000000001E-2</v>
      </c>
      <c r="Q12" s="38">
        <f>'Interest rate projection'!AN14</f>
        <v>4.6496219905550085E-2</v>
      </c>
      <c r="R12" s="59" t="str">
        <f t="shared" si="2"/>
        <v>OK</v>
      </c>
      <c r="S12" s="39">
        <f t="shared" si="3"/>
        <v>14.766012404082064</v>
      </c>
      <c r="T12" s="10"/>
      <c r="U12" s="73">
        <f t="shared" si="6"/>
        <v>24598.25</v>
      </c>
      <c r="V12" s="73">
        <f t="shared" si="4"/>
        <v>175401.75</v>
      </c>
      <c r="W12" s="74">
        <f t="shared" si="5"/>
        <v>989.9</v>
      </c>
      <c r="X12" s="12"/>
      <c r="Y12" s="73">
        <f>'Fixed rate projection Alt'!$T$3-('Variable rate projection Alt'!W12*Product_term_alt*Var_freq)</f>
        <v>1433.3999999999942</v>
      </c>
      <c r="AA12" s="14"/>
      <c r="AB12" s="10"/>
      <c r="AC12" s="11"/>
      <c r="AD12" s="11"/>
      <c r="AE12" s="11"/>
      <c r="AF12" s="12"/>
      <c r="AG12" s="12"/>
      <c r="AH12" s="13"/>
      <c r="AJ12" s="14"/>
      <c r="AK12" s="10"/>
      <c r="AL12" s="11"/>
      <c r="AM12" s="11"/>
      <c r="AN12" s="11"/>
      <c r="AO12" s="12"/>
      <c r="AP12" s="12"/>
      <c r="AQ12" s="13"/>
      <c r="AS12" s="14"/>
      <c r="AT12" s="10"/>
      <c r="AU12" s="11"/>
      <c r="AV12" s="11"/>
      <c r="AW12" s="11"/>
      <c r="AX12" s="12"/>
      <c r="AY12" s="12"/>
      <c r="AZ12" s="13"/>
      <c r="BB12" s="14"/>
      <c r="BC12" s="10"/>
      <c r="BD12" s="11"/>
      <c r="BE12" s="11"/>
      <c r="BF12" s="11"/>
      <c r="BG12" s="12"/>
      <c r="BH12" s="12"/>
      <c r="BI12" s="13"/>
      <c r="BK12" s="14"/>
      <c r="BL12" s="10"/>
      <c r="BM12" s="11"/>
      <c r="BN12" s="11"/>
      <c r="BO12" s="11"/>
      <c r="BP12" s="12"/>
      <c r="BQ12" s="12"/>
      <c r="BR12" s="13"/>
      <c r="BT12" s="14"/>
      <c r="BU12" s="10"/>
      <c r="BV12" s="11"/>
      <c r="BW12" s="11"/>
      <c r="BX12" s="11"/>
      <c r="BY12" s="12"/>
      <c r="BZ12" s="12"/>
      <c r="CA12" s="13"/>
      <c r="CC12" s="13"/>
    </row>
    <row r="13" spans="1:81" x14ac:dyDescent="0.35">
      <c r="A13" s="5">
        <v>8</v>
      </c>
      <c r="B13" s="57">
        <f t="shared" si="1"/>
        <v>2000</v>
      </c>
      <c r="C13" s="16">
        <f>ROUND(B13*(1+'Interest rate projection'!AB15/Var_freq)+IF(C$5="Mortgage Starts",0,Deposit_mon_alt),2)</f>
        <v>4007.35</v>
      </c>
      <c r="D13" s="16">
        <f>ROUND(C13*(1+'Interest rate projection'!AC15/Var_freq)+IF(D$5="Mortgage Starts",0,Deposit_mon_alt),2)</f>
        <v>6022.08</v>
      </c>
      <c r="E13" s="16">
        <f>ROUND(D13*(1+'Interest rate projection'!AD15/Var_freq)+IF(E$5="Mortgage Starts",0,Deposit_mon_alt),2)</f>
        <v>8044.21</v>
      </c>
      <c r="F13" s="16">
        <f>ROUND(E13*(1+'Interest rate projection'!AE15/Var_freq)+IF(F$5="Mortgage Starts",0,Deposit_mon_alt),2)</f>
        <v>10073.77</v>
      </c>
      <c r="G13" s="16">
        <f>ROUND(F13*(1+'Interest rate projection'!AF15/Var_freq)+IF(G$5="Mortgage Starts",0,Deposit_mon_alt),2)</f>
        <v>12110.79</v>
      </c>
      <c r="H13" s="16">
        <f>ROUND(G13*(1+'Interest rate projection'!AG15/Var_freq)+IF(H$5="Mortgage Starts",0,Deposit_mon_alt),2)</f>
        <v>14155.29</v>
      </c>
      <c r="I13" s="16">
        <f>ROUND(H13*(1+'Interest rate projection'!AH15/Var_freq)+IF(I$5="Mortgage Starts",0,Deposit_mon_alt),2)</f>
        <v>16207.31</v>
      </c>
      <c r="J13" s="16">
        <f>ROUND(I13*(1+'Interest rate projection'!AI15/Var_freq)+IF(J$5="Mortgage Starts",0,Deposit_mon_alt),2)</f>
        <v>18266.87</v>
      </c>
      <c r="K13" s="16">
        <f>ROUND(J13*(1+'Interest rate projection'!AJ15/Var_freq)+IF(K$5="Mortgage Starts",0,Deposit_mon_alt),2)</f>
        <v>20334</v>
      </c>
      <c r="L13" s="16">
        <f>ROUND(K13*(1+'Interest rate projection'!AK15/Var_freq)+IF(L$5="Mortgage Starts",0,Deposit_mon_alt),2)</f>
        <v>22408.720000000001</v>
      </c>
      <c r="M13" s="16">
        <f>ROUND(L13*(1+'Interest rate projection'!AL15/Var_freq)+IF(M$5="Mortgage Starts",0,Deposit_mon_alt),2)</f>
        <v>24491.07</v>
      </c>
      <c r="N13" s="57">
        <f>ROUND(M13*(1+'Interest rate projection'!AM15/Var_freq)+IF(N$5="Mortgage Starts",0,Deposit_mon_alt),2)</f>
        <v>24581.07</v>
      </c>
      <c r="O13" s="12"/>
      <c r="P13" s="38">
        <f>'Interest rate projection'!N15</f>
        <v>4.4999999999999998E-2</v>
      </c>
      <c r="Q13" s="38">
        <f>'Interest rate projection'!AN15</f>
        <v>4.4097712805242217E-2</v>
      </c>
      <c r="R13" s="59" t="str">
        <f t="shared" si="2"/>
        <v>OK</v>
      </c>
      <c r="S13" s="39">
        <f t="shared" si="3"/>
        <v>15.131610255367837</v>
      </c>
      <c r="T13" s="10"/>
      <c r="U13" s="73">
        <f t="shared" si="6"/>
        <v>24581.07</v>
      </c>
      <c r="V13" s="73">
        <f t="shared" si="4"/>
        <v>175418.93</v>
      </c>
      <c r="W13" s="74">
        <f t="shared" si="5"/>
        <v>966.07</v>
      </c>
      <c r="X13" s="12"/>
      <c r="Y13" s="73">
        <f>'Fixed rate projection Alt'!$T$3-('Variable rate projection Alt'!W13*Product_term_alt*Var_freq)</f>
        <v>2863.1999999999898</v>
      </c>
      <c r="AA13" s="14"/>
      <c r="AB13" s="10"/>
      <c r="AC13" s="11"/>
      <c r="AD13" s="11"/>
      <c r="AE13" s="11"/>
      <c r="AF13" s="12"/>
      <c r="AG13" s="12"/>
      <c r="AH13" s="13"/>
      <c r="AJ13" s="14"/>
      <c r="AK13" s="10"/>
      <c r="AL13" s="11"/>
      <c r="AM13" s="11"/>
      <c r="AN13" s="11"/>
      <c r="AO13" s="12"/>
      <c r="AP13" s="12"/>
      <c r="AQ13" s="13"/>
      <c r="AS13" s="14"/>
      <c r="AT13" s="10"/>
      <c r="AU13" s="11"/>
      <c r="AV13" s="11"/>
      <c r="AW13" s="11"/>
      <c r="AX13" s="12"/>
      <c r="AY13" s="12"/>
      <c r="AZ13" s="13"/>
      <c r="BB13" s="14"/>
      <c r="BC13" s="10"/>
      <c r="BD13" s="11"/>
      <c r="BE13" s="11"/>
      <c r="BF13" s="11"/>
      <c r="BG13" s="12"/>
      <c r="BH13" s="12"/>
      <c r="BI13" s="13"/>
      <c r="BK13" s="14"/>
      <c r="BL13" s="10"/>
      <c r="BM13" s="11"/>
      <c r="BN13" s="11"/>
      <c r="BO13" s="11"/>
      <c r="BP13" s="12"/>
      <c r="BQ13" s="12"/>
      <c r="BR13" s="13"/>
      <c r="BT13" s="14"/>
      <c r="BU13" s="10"/>
      <c r="BV13" s="11"/>
      <c r="BW13" s="11"/>
      <c r="BX13" s="11"/>
      <c r="BY13" s="12"/>
      <c r="BZ13" s="12"/>
      <c r="CA13" s="13"/>
      <c r="CC13" s="13"/>
    </row>
    <row r="14" spans="1:81" ht="14.5" customHeight="1" x14ac:dyDescent="0.35">
      <c r="A14" s="27">
        <v>9</v>
      </c>
      <c r="B14" s="57">
        <f t="shared" si="1"/>
        <v>2000</v>
      </c>
      <c r="C14" s="16">
        <f>ROUND(B14*(1+'Interest rate projection'!AB16/Var_freq)+IF(C$5="Mortgage Starts",0,Deposit_mon_alt),2)</f>
        <v>4007.35</v>
      </c>
      <c r="D14" s="16">
        <f>ROUND(C14*(1+'Interest rate projection'!AC16/Var_freq)+IF(D$5="Mortgage Starts",0,Deposit_mon_alt),2)</f>
        <v>6022.08</v>
      </c>
      <c r="E14" s="16">
        <f>ROUND(D14*(1+'Interest rate projection'!AD16/Var_freq)+IF(E$5="Mortgage Starts",0,Deposit_mon_alt),2)</f>
        <v>8044.21</v>
      </c>
      <c r="F14" s="16">
        <f>ROUND(E14*(1+'Interest rate projection'!AE16/Var_freq)+IF(F$5="Mortgage Starts",0,Deposit_mon_alt),2)</f>
        <v>10073.77</v>
      </c>
      <c r="G14" s="16">
        <f>ROUND(F14*(1+'Interest rate projection'!AF16/Var_freq)+IF(G$5="Mortgage Starts",0,Deposit_mon_alt),2)</f>
        <v>12110.79</v>
      </c>
      <c r="H14" s="16">
        <f>ROUND(G14*(1+'Interest rate projection'!AG16/Var_freq)+IF(H$5="Mortgage Starts",0,Deposit_mon_alt),2)</f>
        <v>14152.87</v>
      </c>
      <c r="I14" s="16">
        <f>ROUND(H14*(1+'Interest rate projection'!AH16/Var_freq)+IF(I$5="Mortgage Starts",0,Deposit_mon_alt),2)</f>
        <v>16199.2</v>
      </c>
      <c r="J14" s="16">
        <f>ROUND(I14*(1+'Interest rate projection'!AI16/Var_freq)+IF(J$5="Mortgage Starts",0,Deposit_mon_alt),2)</f>
        <v>18252.23</v>
      </c>
      <c r="K14" s="16">
        <f>ROUND(J14*(1+'Interest rate projection'!AJ16/Var_freq)+IF(K$5="Mortgage Starts",0,Deposit_mon_alt),2)</f>
        <v>20311.98</v>
      </c>
      <c r="L14" s="16">
        <f>ROUND(K14*(1+'Interest rate projection'!AK16/Var_freq)+IF(L$5="Mortgage Starts",0,Deposit_mon_alt),2)</f>
        <v>22378.48</v>
      </c>
      <c r="M14" s="16">
        <f>ROUND(L14*(1+'Interest rate projection'!AL16/Var_freq)+IF(M$5="Mortgage Starts",0,Deposit_mon_alt),2)</f>
        <v>24460.720000000001</v>
      </c>
      <c r="N14" s="57">
        <f>ROUND(M14*(1+'Interest rate projection'!AM16/Var_freq)+IF(N$5="Mortgage Starts",0,Deposit_mon_alt),2)</f>
        <v>24550.61</v>
      </c>
      <c r="O14" s="12"/>
      <c r="P14" s="38">
        <f>'Interest rate projection'!N16</f>
        <v>4.4999999999999991E-2</v>
      </c>
      <c r="Q14" s="38">
        <f>'Interest rate projection'!AN16</f>
        <v>4.4097712805242217E-2</v>
      </c>
      <c r="R14" s="59" t="str">
        <f t="shared" si="2"/>
        <v>OK</v>
      </c>
      <c r="S14" s="39">
        <f t="shared" si="3"/>
        <v>15.131610255367837</v>
      </c>
      <c r="T14" s="10"/>
      <c r="U14" s="73">
        <f t="shared" si="6"/>
        <v>24550.61</v>
      </c>
      <c r="V14" s="73">
        <f t="shared" si="4"/>
        <v>175449.39</v>
      </c>
      <c r="W14" s="74">
        <f t="shared" si="5"/>
        <v>966.24</v>
      </c>
      <c r="X14" s="12"/>
      <c r="Y14" s="73">
        <f>'Fixed rate projection Alt'!$T$3-('Variable rate projection Alt'!W14*Product_term_alt*Var_freq)</f>
        <v>2853</v>
      </c>
      <c r="AA14" s="14"/>
      <c r="AB14" s="10"/>
      <c r="AC14" s="11"/>
      <c r="AD14" s="11"/>
      <c r="AE14" s="11"/>
      <c r="AF14" s="12"/>
      <c r="AG14" s="12"/>
      <c r="AH14" s="13"/>
      <c r="AJ14" s="14"/>
      <c r="AK14" s="10"/>
      <c r="AL14" s="11"/>
      <c r="AM14" s="11"/>
      <c r="AN14" s="11"/>
      <c r="AO14" s="12"/>
      <c r="AP14" s="12"/>
      <c r="AQ14" s="13"/>
      <c r="AS14" s="14"/>
      <c r="AT14" s="10"/>
      <c r="AU14" s="11"/>
      <c r="AV14" s="11"/>
      <c r="AW14" s="11"/>
      <c r="AX14" s="12"/>
      <c r="AY14" s="12"/>
      <c r="AZ14" s="13"/>
      <c r="BB14" s="14"/>
      <c r="BC14" s="10"/>
      <c r="BD14" s="11"/>
      <c r="BE14" s="11"/>
      <c r="BF14" s="11"/>
      <c r="BG14" s="12"/>
      <c r="BH14" s="12"/>
      <c r="BI14" s="13"/>
      <c r="BK14" s="14"/>
      <c r="BL14" s="10"/>
      <c r="BM14" s="11"/>
      <c r="BN14" s="11"/>
      <c r="BO14" s="11"/>
      <c r="BP14" s="12"/>
      <c r="BQ14" s="12"/>
      <c r="BR14" s="13"/>
      <c r="BT14" s="14"/>
      <c r="BU14" s="10"/>
      <c r="BV14" s="11"/>
      <c r="BW14" s="11"/>
      <c r="BX14" s="11"/>
      <c r="BY14" s="12"/>
      <c r="BZ14" s="12"/>
      <c r="CA14" s="13"/>
      <c r="CC14" s="13"/>
    </row>
    <row r="15" spans="1:81" x14ac:dyDescent="0.35">
      <c r="A15" s="5">
        <v>10</v>
      </c>
      <c r="B15" s="57">
        <f t="shared" si="1"/>
        <v>2000</v>
      </c>
      <c r="C15" s="16">
        <f>ROUND(B15*(1+'Interest rate projection'!AB17/Var_freq)+IF(C$5="Mortgage Starts",0,Deposit_mon_alt),2)</f>
        <v>4007.35</v>
      </c>
      <c r="D15" s="16">
        <f>ROUND(C15*(1+'Interest rate projection'!AC17/Var_freq)+IF(D$5="Mortgage Starts",0,Deposit_mon_alt),2)</f>
        <v>6022.08</v>
      </c>
      <c r="E15" s="16">
        <f>ROUND(D15*(1+'Interest rate projection'!AD17/Var_freq)+IF(E$5="Mortgage Starts",0,Deposit_mon_alt),2)</f>
        <v>8044.21</v>
      </c>
      <c r="F15" s="16">
        <f>ROUND(E15*(1+'Interest rate projection'!AE17/Var_freq)+IF(F$5="Mortgage Starts",0,Deposit_mon_alt),2)</f>
        <v>10073.77</v>
      </c>
      <c r="G15" s="16">
        <f>ROUND(F15*(1+'Interest rate projection'!AF17/Var_freq)+IF(G$5="Mortgage Starts",0,Deposit_mon_alt),2)</f>
        <v>12110.79</v>
      </c>
      <c r="H15" s="16">
        <f>ROUND(G15*(1+'Interest rate projection'!AG17/Var_freq)+IF(H$5="Mortgage Starts",0,Deposit_mon_alt),2)</f>
        <v>14152.87</v>
      </c>
      <c r="I15" s="16">
        <f>ROUND(H15*(1+'Interest rate projection'!AH17/Var_freq)+IF(I$5="Mortgage Starts",0,Deposit_mon_alt),2)</f>
        <v>16202.04</v>
      </c>
      <c r="J15" s="16">
        <f>ROUND(I15*(1+'Interest rate projection'!AI17/Var_freq)+IF(J$5="Mortgage Starts",0,Deposit_mon_alt),2)</f>
        <v>18258.330000000002</v>
      </c>
      <c r="K15" s="16">
        <f>ROUND(J15*(1+'Interest rate projection'!AJ17/Var_freq)+IF(K$5="Mortgage Starts",0,Deposit_mon_alt),2)</f>
        <v>20321.77</v>
      </c>
      <c r="L15" s="16">
        <f>ROUND(K15*(1+'Interest rate projection'!AK17/Var_freq)+IF(L$5="Mortgage Starts",0,Deposit_mon_alt),2)</f>
        <v>22392.38</v>
      </c>
      <c r="M15" s="16">
        <f>ROUND(L15*(1+'Interest rate projection'!AL17/Var_freq)+IF(M$5="Mortgage Starts",0,Deposit_mon_alt),2)</f>
        <v>24470.18</v>
      </c>
      <c r="N15" s="57">
        <f>ROUND(M15*(1+'Interest rate projection'!AM17/Var_freq)+IF(N$5="Mortgage Starts",0,Deposit_mon_alt),2)</f>
        <v>24555.200000000001</v>
      </c>
      <c r="O15" s="12"/>
      <c r="P15" s="38">
        <f>'Interest rate projection'!N17</f>
        <v>4.2499999999999996E-2</v>
      </c>
      <c r="Q15" s="38">
        <f>'Interest rate projection'!AN17</f>
        <v>4.1693940041970023E-2</v>
      </c>
      <c r="R15" s="59" t="str">
        <f t="shared" si="2"/>
        <v>OK</v>
      </c>
      <c r="S15" s="39">
        <f t="shared" si="3"/>
        <v>15.511529757864551</v>
      </c>
      <c r="T15" s="10"/>
      <c r="U15" s="73">
        <f t="shared" si="6"/>
        <v>24555.200000000001</v>
      </c>
      <c r="V15" s="73">
        <f t="shared" si="4"/>
        <v>175444.8</v>
      </c>
      <c r="W15" s="74">
        <f t="shared" si="5"/>
        <v>942.55</v>
      </c>
      <c r="X15" s="12"/>
      <c r="Y15" s="73">
        <f>'Fixed rate projection Alt'!$T$3-('Variable rate projection Alt'!W15*Product_term_alt*Var_freq)</f>
        <v>4274.3999999999942</v>
      </c>
      <c r="AA15" s="14"/>
      <c r="AB15" s="10"/>
      <c r="AC15" s="11"/>
      <c r="AD15" s="11"/>
      <c r="AE15" s="11"/>
      <c r="AF15" s="12"/>
      <c r="AG15" s="12"/>
      <c r="AH15" s="13"/>
      <c r="AJ15" s="14"/>
      <c r="AK15" s="10"/>
      <c r="AL15" s="11"/>
      <c r="AM15" s="11"/>
      <c r="AN15" s="11"/>
      <c r="AO15" s="12"/>
      <c r="AP15" s="12"/>
      <c r="AQ15" s="13"/>
      <c r="AS15" s="14"/>
      <c r="AT15" s="10"/>
      <c r="AU15" s="11"/>
      <c r="AV15" s="11"/>
      <c r="AW15" s="11"/>
      <c r="AX15" s="12"/>
      <c r="AY15" s="12"/>
      <c r="AZ15" s="13"/>
      <c r="BB15" s="14"/>
      <c r="BC15" s="10"/>
      <c r="BD15" s="11"/>
      <c r="BE15" s="11"/>
      <c r="BF15" s="11"/>
      <c r="BG15" s="12"/>
      <c r="BH15" s="12"/>
      <c r="BI15" s="13"/>
      <c r="BK15" s="14"/>
      <c r="BL15" s="10"/>
      <c r="BM15" s="11"/>
      <c r="BN15" s="11"/>
      <c r="BO15" s="11"/>
      <c r="BP15" s="12"/>
      <c r="BQ15" s="12"/>
      <c r="BR15" s="13"/>
      <c r="BT15" s="14"/>
      <c r="BU15" s="10"/>
      <c r="BV15" s="11"/>
      <c r="BW15" s="11"/>
      <c r="BX15" s="11"/>
      <c r="BY15" s="12"/>
      <c r="BZ15" s="12"/>
      <c r="CA15" s="13"/>
      <c r="CC15" s="13"/>
    </row>
    <row r="16" spans="1:81" x14ac:dyDescent="0.35">
      <c r="A16" s="27">
        <v>11</v>
      </c>
      <c r="B16" s="57">
        <f t="shared" si="1"/>
        <v>2000</v>
      </c>
      <c r="C16" s="16">
        <f>ROUND(B16*(1+'Interest rate projection'!AB18/Var_freq)+IF(C$5="Mortgage Starts",0,Deposit_mon_alt),2)</f>
        <v>4007.35</v>
      </c>
      <c r="D16" s="16">
        <f>ROUND(C16*(1+'Interest rate projection'!AC18/Var_freq)+IF(D$5="Mortgage Starts",0,Deposit_mon_alt),2)</f>
        <v>6022.08</v>
      </c>
      <c r="E16" s="16">
        <f>ROUND(D16*(1+'Interest rate projection'!AD18/Var_freq)+IF(E$5="Mortgage Starts",0,Deposit_mon_alt),2)</f>
        <v>8043</v>
      </c>
      <c r="F16" s="16">
        <f>ROUND(E16*(1+'Interest rate projection'!AE18/Var_freq)+IF(F$5="Mortgage Starts",0,Deposit_mon_alt),2)</f>
        <v>10070.950000000001</v>
      </c>
      <c r="G16" s="16">
        <f>ROUND(F16*(1+'Interest rate projection'!AF18/Var_freq)+IF(G$5="Mortgage Starts",0,Deposit_mon_alt),2)</f>
        <v>12105.94</v>
      </c>
      <c r="H16" s="16">
        <f>ROUND(G16*(1+'Interest rate projection'!AG18/Var_freq)+IF(H$5="Mortgage Starts",0,Deposit_mon_alt),2)</f>
        <v>14148</v>
      </c>
      <c r="I16" s="16">
        <f>ROUND(H16*(1+'Interest rate projection'!AH18/Var_freq)+IF(I$5="Mortgage Starts",0,Deposit_mon_alt),2)</f>
        <v>16197.16</v>
      </c>
      <c r="J16" s="16">
        <f>ROUND(I16*(1+'Interest rate projection'!AI18/Var_freq)+IF(J$5="Mortgage Starts",0,Deposit_mon_alt),2)</f>
        <v>18256.68</v>
      </c>
      <c r="K16" s="16">
        <f>ROUND(J16*(1+'Interest rate projection'!AJ18/Var_freq)+IF(K$5="Mortgage Starts",0,Deposit_mon_alt),2)</f>
        <v>20323.77</v>
      </c>
      <c r="L16" s="16">
        <f>ROUND(K16*(1+'Interest rate projection'!AK18/Var_freq)+IF(L$5="Mortgage Starts",0,Deposit_mon_alt),2)</f>
        <v>22390.3</v>
      </c>
      <c r="M16" s="16">
        <f>ROUND(L16*(1+'Interest rate projection'!AL18/Var_freq)+IF(M$5="Mortgage Starts",0,Deposit_mon_alt),2)</f>
        <v>24463.599999999999</v>
      </c>
      <c r="N16" s="57">
        <f>ROUND(M16*(1+'Interest rate projection'!AM18/Var_freq)+IF(N$5="Mortgage Starts",0,Deposit_mon_alt),2)</f>
        <v>24543.69</v>
      </c>
      <c r="O16" s="12"/>
      <c r="P16" s="38">
        <f>'Interest rate projection'!N18</f>
        <v>0.04</v>
      </c>
      <c r="Q16" s="38">
        <f>'Interest rate projection'!AN18</f>
        <v>3.9284877386386974E-2</v>
      </c>
      <c r="R16" s="59" t="str">
        <f t="shared" si="2"/>
        <v>OK</v>
      </c>
      <c r="S16" s="39">
        <f t="shared" si="3"/>
        <v>15.906456614335044</v>
      </c>
      <c r="T16" s="10"/>
      <c r="U16" s="73">
        <f t="shared" si="6"/>
        <v>24543.69</v>
      </c>
      <c r="V16" s="73">
        <f t="shared" si="4"/>
        <v>175456.31</v>
      </c>
      <c r="W16" s="74">
        <f t="shared" si="5"/>
        <v>919.21</v>
      </c>
      <c r="X16" s="12"/>
      <c r="Y16" s="73">
        <f>'Fixed rate projection Alt'!$T$3-('Variable rate projection Alt'!W16*Product_term_alt*Var_freq)</f>
        <v>5674.7999999999884</v>
      </c>
      <c r="AA16" s="14"/>
      <c r="AB16" s="10"/>
      <c r="AC16" s="11"/>
      <c r="AD16" s="11"/>
      <c r="AE16" s="11"/>
      <c r="AF16" s="12"/>
      <c r="AG16" s="12"/>
      <c r="AH16" s="13"/>
      <c r="AJ16" s="14"/>
      <c r="AK16" s="10"/>
      <c r="AL16" s="11"/>
      <c r="AM16" s="11"/>
      <c r="AN16" s="11"/>
      <c r="AO16" s="12"/>
      <c r="AP16" s="12"/>
      <c r="AQ16" s="13"/>
      <c r="AS16" s="14"/>
      <c r="AT16" s="10"/>
      <c r="AU16" s="11"/>
      <c r="AV16" s="11"/>
      <c r="AW16" s="11"/>
      <c r="AX16" s="12"/>
      <c r="AY16" s="12"/>
      <c r="AZ16" s="13"/>
      <c r="BB16" s="14"/>
      <c r="BC16" s="10"/>
      <c r="BD16" s="11"/>
      <c r="BE16" s="11"/>
      <c r="BF16" s="11"/>
      <c r="BG16" s="12"/>
      <c r="BH16" s="12"/>
      <c r="BI16" s="13"/>
      <c r="BK16" s="14"/>
      <c r="BL16" s="10"/>
      <c r="BM16" s="11"/>
      <c r="BN16" s="11"/>
      <c r="BO16" s="11"/>
      <c r="BP16" s="12"/>
      <c r="BQ16" s="12"/>
      <c r="BR16" s="13"/>
      <c r="BT16" s="14"/>
      <c r="BU16" s="10"/>
      <c r="BV16" s="11"/>
      <c r="BW16" s="11"/>
      <c r="BX16" s="11"/>
      <c r="BY16" s="12"/>
      <c r="BZ16" s="12"/>
      <c r="CA16" s="13"/>
      <c r="CC16" s="13"/>
    </row>
    <row r="17" spans="1:81" x14ac:dyDescent="0.35">
      <c r="A17" s="5">
        <v>12</v>
      </c>
      <c r="B17" s="57">
        <f t="shared" si="1"/>
        <v>2000</v>
      </c>
      <c r="C17" s="16">
        <f>ROUND(B17*(1+'Interest rate projection'!AB19/Var_freq)+IF(C$5="Mortgage Starts",0,Deposit_mon_alt),2)</f>
        <v>4007.35</v>
      </c>
      <c r="D17" s="16">
        <f>ROUND(C17*(1+'Interest rate projection'!AC19/Var_freq)+IF(D$5="Mortgage Starts",0,Deposit_mon_alt),2)</f>
        <v>6022.08</v>
      </c>
      <c r="E17" s="16">
        <f>ROUND(D17*(1+'Interest rate projection'!AD19/Var_freq)+IF(E$5="Mortgage Starts",0,Deposit_mon_alt),2)</f>
        <v>8046.61</v>
      </c>
      <c r="F17" s="16">
        <f>ROUND(E17*(1+'Interest rate projection'!AE19/Var_freq)+IF(F$5="Mortgage Starts",0,Deposit_mon_alt),2)</f>
        <v>10079.39</v>
      </c>
      <c r="G17" s="16">
        <f>ROUND(F17*(1+'Interest rate projection'!AF19/Var_freq)+IF(G$5="Mortgage Starts",0,Deposit_mon_alt),2)</f>
        <v>12120.45</v>
      </c>
      <c r="H17" s="16">
        <f>ROUND(G17*(1+'Interest rate projection'!AG19/Var_freq)+IF(H$5="Mortgage Starts",0,Deposit_mon_alt),2)</f>
        <v>14174.65</v>
      </c>
      <c r="I17" s="16">
        <f>ROUND(H17*(1+'Interest rate projection'!AH19/Var_freq)+IF(I$5="Mortgage Starts",0,Deposit_mon_alt),2)</f>
        <v>16238.03</v>
      </c>
      <c r="J17" s="16">
        <f>ROUND(I17*(1+'Interest rate projection'!AI19/Var_freq)+IF(J$5="Mortgage Starts",0,Deposit_mon_alt),2)</f>
        <v>18310.64</v>
      </c>
      <c r="K17" s="16">
        <f>ROUND(J17*(1+'Interest rate projection'!AJ19/Var_freq)+IF(K$5="Mortgage Starts",0,Deposit_mon_alt),2)</f>
        <v>20392.52</v>
      </c>
      <c r="L17" s="16">
        <f>ROUND(K17*(1+'Interest rate projection'!AK19/Var_freq)+IF(L$5="Mortgage Starts",0,Deposit_mon_alt),2)</f>
        <v>22483.71</v>
      </c>
      <c r="M17" s="16">
        <f>ROUND(L17*(1+'Interest rate projection'!AL19/Var_freq)+IF(M$5="Mortgage Starts",0,Deposit_mon_alt),2)</f>
        <v>24584.25</v>
      </c>
      <c r="N17" s="57">
        <f>ROUND(M17*(1+'Interest rate projection'!AM19/Var_freq)+IF(N$5="Mortgage Starts",0,Deposit_mon_alt),2)</f>
        <v>24694.18</v>
      </c>
      <c r="O17" s="12"/>
      <c r="P17" s="38">
        <f>'Interest rate projection'!N19</f>
        <v>5.4999999999999993E-2</v>
      </c>
      <c r="Q17" s="38">
        <f>'Interest rate projection'!AN19</f>
        <v>5.3660387004516252E-2</v>
      </c>
      <c r="R17" s="59" t="str">
        <f t="shared" si="2"/>
        <v>OK</v>
      </c>
      <c r="S17" s="39">
        <f t="shared" si="3"/>
        <v>13.748806844025127</v>
      </c>
      <c r="T17" s="10"/>
      <c r="U17" s="73">
        <f t="shared" si="6"/>
        <v>24694.18</v>
      </c>
      <c r="V17" s="73">
        <f t="shared" si="4"/>
        <v>175305.82</v>
      </c>
      <c r="W17" s="74">
        <f t="shared" si="5"/>
        <v>1062.55</v>
      </c>
      <c r="X17" s="12"/>
      <c r="Y17" s="73">
        <f>'Fixed rate projection Alt'!$T$3-('Variable rate projection Alt'!W17*Product_term_alt*Var_freq)</f>
        <v>-2925.6000000000058</v>
      </c>
      <c r="AA17" s="14"/>
      <c r="AB17" s="10"/>
      <c r="AC17" s="11"/>
      <c r="AD17" s="11"/>
      <c r="AE17" s="11"/>
      <c r="AF17" s="12"/>
      <c r="AG17" s="12"/>
      <c r="AH17" s="13"/>
      <c r="AJ17" s="14"/>
      <c r="AK17" s="10"/>
      <c r="AL17" s="11"/>
      <c r="AM17" s="11"/>
      <c r="AN17" s="11"/>
      <c r="AO17" s="12"/>
      <c r="AP17" s="12"/>
      <c r="AQ17" s="13"/>
      <c r="AS17" s="14"/>
      <c r="AT17" s="10"/>
      <c r="AU17" s="11"/>
      <c r="AV17" s="11"/>
      <c r="AW17" s="11"/>
      <c r="AX17" s="12"/>
      <c r="AY17" s="12"/>
      <c r="AZ17" s="13"/>
      <c r="BB17" s="14"/>
      <c r="BC17" s="10"/>
      <c r="BD17" s="11"/>
      <c r="BE17" s="11"/>
      <c r="BF17" s="11"/>
      <c r="BG17" s="12"/>
      <c r="BH17" s="12"/>
      <c r="BI17" s="13"/>
      <c r="BK17" s="14"/>
      <c r="BL17" s="10"/>
      <c r="BM17" s="11"/>
      <c r="BN17" s="11"/>
      <c r="BO17" s="11"/>
      <c r="BP17" s="12"/>
      <c r="BQ17" s="12"/>
      <c r="BR17" s="13"/>
      <c r="BT17" s="14"/>
      <c r="BU17" s="10"/>
      <c r="BV17" s="11"/>
      <c r="BW17" s="11"/>
      <c r="BX17" s="11"/>
      <c r="BY17" s="12"/>
      <c r="BZ17" s="12"/>
      <c r="CA17" s="13"/>
      <c r="CC17" s="13"/>
    </row>
    <row r="18" spans="1:81" x14ac:dyDescent="0.35">
      <c r="A18" s="27">
        <v>13</v>
      </c>
      <c r="B18" s="57">
        <f t="shared" si="1"/>
        <v>2000</v>
      </c>
      <c r="C18" s="16">
        <f>ROUND(B18*(1+'Interest rate projection'!AB20/Var_freq)+IF(C$5="Mortgage Starts",0,Deposit_mon_alt),2)</f>
        <v>4007.35</v>
      </c>
      <c r="D18" s="16">
        <f>ROUND(C18*(1+'Interest rate projection'!AC20/Var_freq)+IF(D$5="Mortgage Starts",0,Deposit_mon_alt),2)</f>
        <v>6022.08</v>
      </c>
      <c r="E18" s="16">
        <f>ROUND(D18*(1+'Interest rate projection'!AD20/Var_freq)+IF(E$5="Mortgage Starts",0,Deposit_mon_alt),2)</f>
        <v>8044.21</v>
      </c>
      <c r="F18" s="16">
        <f>ROUND(E18*(1+'Interest rate projection'!AE20/Var_freq)+IF(F$5="Mortgage Starts",0,Deposit_mon_alt),2)</f>
        <v>10073.77</v>
      </c>
      <c r="G18" s="16">
        <f>ROUND(F18*(1+'Interest rate projection'!AF20/Var_freq)+IF(G$5="Mortgage Starts",0,Deposit_mon_alt),2)</f>
        <v>12110.79</v>
      </c>
      <c r="H18" s="16">
        <f>ROUND(G18*(1+'Interest rate projection'!AG20/Var_freq)+IF(H$5="Mortgage Starts",0,Deposit_mon_alt),2)</f>
        <v>14155.29</v>
      </c>
      <c r="I18" s="16">
        <f>ROUND(H18*(1+'Interest rate projection'!AH20/Var_freq)+IF(I$5="Mortgage Starts",0,Deposit_mon_alt),2)</f>
        <v>16207.31</v>
      </c>
      <c r="J18" s="16">
        <f>ROUND(I18*(1+'Interest rate projection'!AI20/Var_freq)+IF(J$5="Mortgage Starts",0,Deposit_mon_alt),2)</f>
        <v>18266.87</v>
      </c>
      <c r="K18" s="16">
        <f>ROUND(J18*(1+'Interest rate projection'!AJ20/Var_freq)+IF(K$5="Mortgage Starts",0,Deposit_mon_alt),2)</f>
        <v>20334</v>
      </c>
      <c r="L18" s="16">
        <f>ROUND(K18*(1+'Interest rate projection'!AK20/Var_freq)+IF(L$5="Mortgage Starts",0,Deposit_mon_alt),2)</f>
        <v>22408.720000000001</v>
      </c>
      <c r="M18" s="16">
        <f>ROUND(L18*(1+'Interest rate projection'!AL20/Var_freq)+IF(M$5="Mortgage Starts",0,Deposit_mon_alt),2)</f>
        <v>24491.07</v>
      </c>
      <c r="N18" s="57">
        <f>ROUND(M18*(1+'Interest rate projection'!AM20/Var_freq)+IF(N$5="Mortgage Starts",0,Deposit_mon_alt),2)</f>
        <v>24581.07</v>
      </c>
      <c r="O18" s="12"/>
      <c r="P18" s="38">
        <f>'Interest rate projection'!N20</f>
        <v>4.4999999999999998E-2</v>
      </c>
      <c r="Q18" s="38">
        <f>'Interest rate projection'!AN20</f>
        <v>4.4097712805242217E-2</v>
      </c>
      <c r="R18" s="59" t="str">
        <f t="shared" si="2"/>
        <v>OK</v>
      </c>
      <c r="S18" s="39">
        <f t="shared" si="3"/>
        <v>15.131610255367837</v>
      </c>
      <c r="T18" s="10"/>
      <c r="U18" s="73">
        <f t="shared" si="6"/>
        <v>24581.07</v>
      </c>
      <c r="V18" s="73">
        <f t="shared" si="4"/>
        <v>175418.93</v>
      </c>
      <c r="W18" s="74">
        <f t="shared" si="5"/>
        <v>966.07</v>
      </c>
      <c r="X18" s="12"/>
      <c r="Y18" s="73">
        <f>'Fixed rate projection Alt'!$T$3-('Variable rate projection Alt'!W18*Product_term_alt*Var_freq)</f>
        <v>2863.1999999999898</v>
      </c>
      <c r="AA18" s="14"/>
      <c r="AB18" s="10"/>
      <c r="AC18" s="11"/>
      <c r="AD18" s="11"/>
      <c r="AE18" s="11"/>
      <c r="AF18" s="12"/>
      <c r="AG18" s="12"/>
      <c r="AH18" s="13"/>
      <c r="AJ18" s="14"/>
      <c r="AK18" s="10"/>
      <c r="AL18" s="11"/>
      <c r="AM18" s="11"/>
      <c r="AN18" s="11"/>
      <c r="AO18" s="12"/>
      <c r="AP18" s="12"/>
      <c r="AQ18" s="13"/>
      <c r="AS18" s="14"/>
      <c r="AT18" s="10"/>
      <c r="AU18" s="11"/>
      <c r="AV18" s="11"/>
      <c r="AW18" s="11"/>
      <c r="AX18" s="12"/>
      <c r="AY18" s="12"/>
      <c r="AZ18" s="13"/>
      <c r="BB18" s="14"/>
      <c r="BC18" s="10"/>
      <c r="BD18" s="11"/>
      <c r="BE18" s="11"/>
      <c r="BF18" s="11"/>
      <c r="BG18" s="12"/>
      <c r="BH18" s="12"/>
      <c r="BI18" s="13"/>
      <c r="BK18" s="14"/>
      <c r="BL18" s="10"/>
      <c r="BM18" s="11"/>
      <c r="BN18" s="11"/>
      <c r="BO18" s="11"/>
      <c r="BP18" s="12"/>
      <c r="BQ18" s="12"/>
      <c r="BR18" s="13"/>
      <c r="BT18" s="14"/>
      <c r="BU18" s="10"/>
      <c r="BV18" s="11"/>
      <c r="BW18" s="11"/>
      <c r="BX18" s="11"/>
      <c r="BY18" s="12"/>
      <c r="BZ18" s="12"/>
      <c r="CA18" s="13"/>
      <c r="CC18" s="13"/>
    </row>
    <row r="19" spans="1:81" x14ac:dyDescent="0.35">
      <c r="A19" s="5">
        <v>14</v>
      </c>
      <c r="B19" s="57">
        <f t="shared" si="1"/>
        <v>2000</v>
      </c>
      <c r="C19" s="16">
        <f>ROUND(B19*(1+'Interest rate projection'!AB21/Var_freq)+IF(C$5="Mortgage Starts",0,Deposit_mon_alt),2)</f>
        <v>4007.35</v>
      </c>
      <c r="D19" s="16">
        <f>ROUND(C19*(1+'Interest rate projection'!AC21/Var_freq)+IF(D$5="Mortgage Starts",0,Deposit_mon_alt),2)</f>
        <v>6022.08</v>
      </c>
      <c r="E19" s="16">
        <f>ROUND(D19*(1+'Interest rate projection'!AD21/Var_freq)+IF(E$5="Mortgage Starts",0,Deposit_mon_alt),2)</f>
        <v>8044.21</v>
      </c>
      <c r="F19" s="16">
        <f>ROUND(E19*(1+'Interest rate projection'!AE21/Var_freq)+IF(F$5="Mortgage Starts",0,Deposit_mon_alt),2)</f>
        <v>10073.77</v>
      </c>
      <c r="G19" s="16">
        <f>ROUND(F19*(1+'Interest rate projection'!AF21/Var_freq)+IF(G$5="Mortgage Starts",0,Deposit_mon_alt),2)</f>
        <v>12110.79</v>
      </c>
      <c r="H19" s="16">
        <f>ROUND(G19*(1+'Interest rate projection'!AG21/Var_freq)+IF(H$5="Mortgage Starts",0,Deposit_mon_alt),2)</f>
        <v>14155.29</v>
      </c>
      <c r="I19" s="16">
        <f>ROUND(H19*(1+'Interest rate projection'!AH21/Var_freq)+IF(I$5="Mortgage Starts",0,Deposit_mon_alt),2)</f>
        <v>16207.31</v>
      </c>
      <c r="J19" s="16">
        <f>ROUND(I19*(1+'Interest rate projection'!AI21/Var_freq)+IF(J$5="Mortgage Starts",0,Deposit_mon_alt),2)</f>
        <v>18266.87</v>
      </c>
      <c r="K19" s="16">
        <f>ROUND(J19*(1+'Interest rate projection'!AJ21/Var_freq)+IF(K$5="Mortgage Starts",0,Deposit_mon_alt),2)</f>
        <v>20334</v>
      </c>
      <c r="L19" s="16">
        <f>ROUND(K19*(1+'Interest rate projection'!AK21/Var_freq)+IF(L$5="Mortgage Starts",0,Deposit_mon_alt),2)</f>
        <v>22408.720000000001</v>
      </c>
      <c r="M19" s="16">
        <f>ROUND(L19*(1+'Interest rate projection'!AL21/Var_freq)+IF(M$5="Mortgage Starts",0,Deposit_mon_alt),2)</f>
        <v>24491.07</v>
      </c>
      <c r="N19" s="57">
        <f>ROUND(M19*(1+'Interest rate projection'!AM21/Var_freq)+IF(N$5="Mortgage Starts",0,Deposit_mon_alt),2)</f>
        <v>24581.07</v>
      </c>
      <c r="O19" s="12"/>
      <c r="P19" s="38">
        <f>'Interest rate projection'!N21</f>
        <v>4.4999999999999998E-2</v>
      </c>
      <c r="Q19" s="38">
        <f>'Interest rate projection'!AN21</f>
        <v>4.4097712805242217E-2</v>
      </c>
      <c r="R19" s="59" t="str">
        <f t="shared" si="2"/>
        <v>OK</v>
      </c>
      <c r="S19" s="39">
        <f t="shared" si="3"/>
        <v>15.131610255367837</v>
      </c>
      <c r="T19" s="10"/>
      <c r="U19" s="73">
        <f t="shared" si="6"/>
        <v>24581.07</v>
      </c>
      <c r="V19" s="73">
        <f t="shared" si="4"/>
        <v>175418.93</v>
      </c>
      <c r="W19" s="74">
        <f t="shared" si="5"/>
        <v>966.07</v>
      </c>
      <c r="X19" s="12"/>
      <c r="Y19" s="73">
        <f>'Fixed rate projection Alt'!$T$3-('Variable rate projection Alt'!W19*Product_term_alt*Var_freq)</f>
        <v>2863.1999999999898</v>
      </c>
      <c r="AA19" s="14"/>
      <c r="AB19" s="10"/>
      <c r="AC19" s="11"/>
      <c r="AD19" s="11"/>
      <c r="AE19" s="11"/>
      <c r="AF19" s="12"/>
      <c r="AG19" s="12"/>
      <c r="AH19" s="13"/>
      <c r="AJ19" s="14"/>
      <c r="AK19" s="10"/>
      <c r="AL19" s="11"/>
      <c r="AM19" s="11"/>
      <c r="AN19" s="11"/>
      <c r="AO19" s="12"/>
      <c r="AP19" s="12"/>
      <c r="AQ19" s="13"/>
      <c r="AS19" s="14"/>
      <c r="AT19" s="10"/>
      <c r="AU19" s="11"/>
      <c r="AV19" s="11"/>
      <c r="AW19" s="11"/>
      <c r="AX19" s="12"/>
      <c r="AY19" s="12"/>
      <c r="AZ19" s="13"/>
      <c r="BB19" s="14"/>
      <c r="BC19" s="10"/>
      <c r="BD19" s="11"/>
      <c r="BE19" s="11"/>
      <c r="BF19" s="11"/>
      <c r="BG19" s="12"/>
      <c r="BH19" s="12"/>
      <c r="BI19" s="13"/>
      <c r="BK19" s="14"/>
      <c r="BL19" s="10"/>
      <c r="BM19" s="11"/>
      <c r="BN19" s="11"/>
      <c r="BO19" s="11"/>
      <c r="BP19" s="12"/>
      <c r="BQ19" s="12"/>
      <c r="BR19" s="13"/>
      <c r="BT19" s="14"/>
      <c r="BU19" s="10"/>
      <c r="BV19" s="11"/>
      <c r="BW19" s="11"/>
      <c r="BX19" s="11"/>
      <c r="BY19" s="12"/>
      <c r="BZ19" s="12"/>
      <c r="CA19" s="13"/>
      <c r="CC19" s="13"/>
    </row>
    <row r="20" spans="1:81" x14ac:dyDescent="0.35">
      <c r="A20" s="27">
        <v>15</v>
      </c>
      <c r="B20" s="57">
        <f t="shared" si="1"/>
        <v>2000</v>
      </c>
      <c r="C20" s="16">
        <f>ROUND(B20*(1+'Interest rate projection'!AB22/Var_freq)+IF(C$5="Mortgage Starts",0,Deposit_mon_alt),2)</f>
        <v>4007.35</v>
      </c>
      <c r="D20" s="16">
        <f>ROUND(C20*(1+'Interest rate projection'!AC22/Var_freq)+IF(D$5="Mortgage Starts",0,Deposit_mon_alt),2)</f>
        <v>6022.08</v>
      </c>
      <c r="E20" s="16">
        <f>ROUND(D20*(1+'Interest rate projection'!AD22/Var_freq)+IF(E$5="Mortgage Starts",0,Deposit_mon_alt),2)</f>
        <v>8044.21</v>
      </c>
      <c r="F20" s="16">
        <f>ROUND(E20*(1+'Interest rate projection'!AE22/Var_freq)+IF(F$5="Mortgage Starts",0,Deposit_mon_alt),2)</f>
        <v>10073.77</v>
      </c>
      <c r="G20" s="16">
        <f>ROUND(F20*(1+'Interest rate projection'!AF22/Var_freq)+IF(G$5="Mortgage Starts",0,Deposit_mon_alt),2)</f>
        <v>12110.79</v>
      </c>
      <c r="H20" s="16">
        <f>ROUND(G20*(1+'Interest rate projection'!AG22/Var_freq)+IF(H$5="Mortgage Starts",0,Deposit_mon_alt),2)</f>
        <v>14155.29</v>
      </c>
      <c r="I20" s="16">
        <f>ROUND(H20*(1+'Interest rate projection'!AH22/Var_freq)+IF(I$5="Mortgage Starts",0,Deposit_mon_alt),2)</f>
        <v>16207.31</v>
      </c>
      <c r="J20" s="16">
        <f>ROUND(I20*(1+'Interest rate projection'!AI22/Var_freq)+IF(J$5="Mortgage Starts",0,Deposit_mon_alt),2)</f>
        <v>18266.87</v>
      </c>
      <c r="K20" s="16">
        <f>ROUND(J20*(1+'Interest rate projection'!AJ22/Var_freq)+IF(K$5="Mortgage Starts",0,Deposit_mon_alt),2)</f>
        <v>20330.34</v>
      </c>
      <c r="L20" s="16">
        <f>ROUND(K20*(1+'Interest rate projection'!AK22/Var_freq)+IF(L$5="Mortgage Starts",0,Deposit_mon_alt),2)</f>
        <v>22409.11</v>
      </c>
      <c r="M20" s="16">
        <f>ROUND(L20*(1+'Interest rate projection'!AL22/Var_freq)+IF(M$5="Mortgage Starts",0,Deposit_mon_alt),2)</f>
        <v>24495.94</v>
      </c>
      <c r="N20" s="57">
        <f>ROUND(M20*(1+'Interest rate projection'!AM22/Var_freq)+IF(N$5="Mortgage Starts",0,Deposit_mon_alt),2)</f>
        <v>24590.85</v>
      </c>
      <c r="O20" s="12"/>
      <c r="P20" s="38">
        <f>'Interest rate projection'!N22</f>
        <v>4.7499999999999994E-2</v>
      </c>
      <c r="Q20" s="38">
        <f>'Interest rate projection'!AN22</f>
        <v>4.6496219905550085E-2</v>
      </c>
      <c r="R20" s="59" t="str">
        <f t="shared" si="2"/>
        <v>OK</v>
      </c>
      <c r="S20" s="39">
        <f t="shared" si="3"/>
        <v>14.766012404082064</v>
      </c>
      <c r="T20" s="10"/>
      <c r="U20" s="73">
        <f t="shared" si="6"/>
        <v>24590.85</v>
      </c>
      <c r="V20" s="73">
        <f t="shared" si="4"/>
        <v>175409.15</v>
      </c>
      <c r="W20" s="74">
        <f t="shared" si="5"/>
        <v>989.94</v>
      </c>
      <c r="X20" s="12"/>
      <c r="Y20" s="73">
        <f>'Fixed rate projection Alt'!$T$3-('Variable rate projection Alt'!W20*Product_term_alt*Var_freq)</f>
        <v>1430.9999999999854</v>
      </c>
      <c r="AA20" s="14"/>
      <c r="AB20" s="10"/>
      <c r="AC20" s="11"/>
      <c r="AD20" s="11"/>
      <c r="AE20" s="11"/>
      <c r="AF20" s="12"/>
      <c r="AG20" s="12"/>
      <c r="AH20" s="13"/>
      <c r="AJ20" s="14"/>
      <c r="AK20" s="10"/>
      <c r="AL20" s="11"/>
      <c r="AM20" s="11"/>
      <c r="AN20" s="11"/>
      <c r="AO20" s="12"/>
      <c r="AP20" s="12"/>
      <c r="AQ20" s="13"/>
      <c r="AS20" s="14"/>
      <c r="AT20" s="10"/>
      <c r="AU20" s="11"/>
      <c r="AV20" s="11"/>
      <c r="AW20" s="11"/>
      <c r="AX20" s="12"/>
      <c r="AY20" s="12"/>
      <c r="AZ20" s="13"/>
      <c r="BB20" s="14"/>
      <c r="BC20" s="10"/>
      <c r="BD20" s="11"/>
      <c r="BE20" s="11"/>
      <c r="BF20" s="11"/>
      <c r="BG20" s="12"/>
      <c r="BH20" s="12"/>
      <c r="BI20" s="13"/>
      <c r="BK20" s="14"/>
      <c r="BL20" s="10"/>
      <c r="BM20" s="11"/>
      <c r="BN20" s="11"/>
      <c r="BO20" s="11"/>
      <c r="BP20" s="12"/>
      <c r="BQ20" s="12"/>
      <c r="BR20" s="13"/>
      <c r="BT20" s="14"/>
      <c r="BU20" s="10"/>
      <c r="BV20" s="11"/>
      <c r="BW20" s="11"/>
      <c r="BX20" s="11"/>
      <c r="BY20" s="12"/>
      <c r="BZ20" s="12"/>
      <c r="CA20" s="13"/>
      <c r="CC20" s="13"/>
    </row>
    <row r="21" spans="1:81" x14ac:dyDescent="0.35">
      <c r="A21" s="5">
        <v>16</v>
      </c>
      <c r="B21" s="57">
        <f t="shared" si="1"/>
        <v>2000</v>
      </c>
      <c r="C21" s="16">
        <f>ROUND(B21*(1+'Interest rate projection'!AB23/Var_freq)+IF(C$5="Mortgage Starts",0,Deposit_mon_alt),2)</f>
        <v>4007.35</v>
      </c>
      <c r="D21" s="16">
        <f>ROUND(C21*(1+'Interest rate projection'!AC23/Var_freq)+IF(D$5="Mortgage Starts",0,Deposit_mon_alt),2)</f>
        <v>6022.88</v>
      </c>
      <c r="E21" s="16">
        <f>ROUND(D21*(1+'Interest rate projection'!AD23/Var_freq)+IF(E$5="Mortgage Starts",0,Deposit_mon_alt),2)</f>
        <v>8047.42</v>
      </c>
      <c r="F21" s="16">
        <f>ROUND(E21*(1+'Interest rate projection'!AE23/Var_freq)+IF(F$5="Mortgage Starts",0,Deposit_mon_alt),2)</f>
        <v>10080.209999999999</v>
      </c>
      <c r="G21" s="16">
        <f>ROUND(F21*(1+'Interest rate projection'!AF23/Var_freq)+IF(G$5="Mortgage Starts",0,Deposit_mon_alt),2)</f>
        <v>12121.28</v>
      </c>
      <c r="H21" s="16">
        <f>ROUND(G21*(1+'Interest rate projection'!AG23/Var_freq)+IF(H$5="Mortgage Starts",0,Deposit_mon_alt),2)</f>
        <v>14170.66</v>
      </c>
      <c r="I21" s="16">
        <f>ROUND(H21*(1+'Interest rate projection'!AH23/Var_freq)+IF(I$5="Mortgage Starts",0,Deposit_mon_alt),2)</f>
        <v>16228.39</v>
      </c>
      <c r="J21" s="16">
        <f>ROUND(I21*(1+'Interest rate projection'!AI23/Var_freq)+IF(J$5="Mortgage Starts",0,Deposit_mon_alt),2)</f>
        <v>18294.509999999998</v>
      </c>
      <c r="K21" s="16">
        <f>ROUND(J21*(1+'Interest rate projection'!AJ23/Var_freq)+IF(K$5="Mortgage Starts",0,Deposit_mon_alt),2)</f>
        <v>20369.04</v>
      </c>
      <c r="L21" s="16">
        <f>ROUND(K21*(1+'Interest rate projection'!AK23/Var_freq)+IF(L$5="Mortgage Starts",0,Deposit_mon_alt),2)</f>
        <v>22452.03</v>
      </c>
      <c r="M21" s="16">
        <f>ROUND(L21*(1+'Interest rate projection'!AL23/Var_freq)+IF(M$5="Mortgage Starts",0,Deposit_mon_alt),2)</f>
        <v>24543.5</v>
      </c>
      <c r="N21" s="57">
        <f>ROUND(M21*(1+'Interest rate projection'!AM23/Var_freq)+IF(N$5="Mortgage Starts",0,Deposit_mon_alt),2)</f>
        <v>24643.49</v>
      </c>
      <c r="O21" s="12"/>
      <c r="P21" s="38">
        <f>'Interest rate projection'!N23</f>
        <v>4.5000000000000005E-2</v>
      </c>
      <c r="Q21" s="38">
        <f>'Interest rate projection'!AN23</f>
        <v>4.4097712805242217E-2</v>
      </c>
      <c r="R21" s="59" t="str">
        <f t="shared" si="2"/>
        <v>OK</v>
      </c>
      <c r="S21" s="39">
        <f t="shared" si="3"/>
        <v>15.131610255367837</v>
      </c>
      <c r="T21" s="10"/>
      <c r="U21" s="73">
        <f t="shared" si="6"/>
        <v>24643.49</v>
      </c>
      <c r="V21" s="73">
        <f t="shared" si="4"/>
        <v>175356.51</v>
      </c>
      <c r="W21" s="74">
        <f t="shared" si="5"/>
        <v>965.73</v>
      </c>
      <c r="X21" s="12"/>
      <c r="Y21" s="73">
        <f>'Fixed rate projection Alt'!$T$3-('Variable rate projection Alt'!W21*Product_term_alt*Var_freq)</f>
        <v>2883.5999999999985</v>
      </c>
      <c r="AA21" s="14"/>
      <c r="AB21" s="10"/>
      <c r="AC21" s="11"/>
      <c r="AD21" s="11"/>
      <c r="AE21" s="11"/>
      <c r="AF21" s="12"/>
      <c r="AG21" s="12"/>
      <c r="AH21" s="13"/>
      <c r="AJ21" s="14"/>
      <c r="AK21" s="10"/>
      <c r="AL21" s="11"/>
      <c r="AM21" s="11"/>
      <c r="AN21" s="11"/>
      <c r="AO21" s="12"/>
      <c r="AP21" s="12"/>
      <c r="AQ21" s="13"/>
      <c r="AS21" s="14"/>
      <c r="AT21" s="10"/>
      <c r="AU21" s="11"/>
      <c r="AV21" s="11"/>
      <c r="AW21" s="11"/>
      <c r="AX21" s="12"/>
      <c r="AY21" s="12"/>
      <c r="AZ21" s="13"/>
      <c r="BB21" s="14"/>
      <c r="BC21" s="10"/>
      <c r="BD21" s="11"/>
      <c r="BE21" s="11"/>
      <c r="BF21" s="11"/>
      <c r="BG21" s="12"/>
      <c r="BH21" s="12"/>
      <c r="BI21" s="13"/>
      <c r="BK21" s="14"/>
      <c r="BL21" s="10"/>
      <c r="BM21" s="11"/>
      <c r="BN21" s="11"/>
      <c r="BO21" s="11"/>
      <c r="BP21" s="12"/>
      <c r="BQ21" s="12"/>
      <c r="BR21" s="13"/>
      <c r="BT21" s="14"/>
      <c r="BU21" s="10"/>
      <c r="BV21" s="11"/>
      <c r="BW21" s="11"/>
      <c r="BX21" s="11"/>
      <c r="BY21" s="12"/>
      <c r="BZ21" s="12"/>
      <c r="CA21" s="13"/>
      <c r="CC21" s="13"/>
    </row>
    <row r="22" spans="1:81" x14ac:dyDescent="0.35">
      <c r="A22" s="27">
        <v>17</v>
      </c>
      <c r="B22" s="57">
        <f t="shared" si="1"/>
        <v>2000</v>
      </c>
      <c r="C22" s="16">
        <f>ROUND(B22*(1+'Interest rate projection'!AB24/Var_freq)+IF(C$5="Mortgage Starts",0,Deposit_mon_alt),2)</f>
        <v>4007.35</v>
      </c>
      <c r="D22" s="16">
        <f>ROUND(C22*(1+'Interest rate projection'!AC24/Var_freq)+IF(D$5="Mortgage Starts",0,Deposit_mon_alt),2)</f>
        <v>6022.08</v>
      </c>
      <c r="E22" s="16">
        <f>ROUND(D22*(1+'Interest rate projection'!AD24/Var_freq)+IF(E$5="Mortgage Starts",0,Deposit_mon_alt),2)</f>
        <v>8044.21</v>
      </c>
      <c r="F22" s="16">
        <f>ROUND(E22*(1+'Interest rate projection'!AE24/Var_freq)+IF(F$5="Mortgage Starts",0,Deposit_mon_alt),2)</f>
        <v>10073.77</v>
      </c>
      <c r="G22" s="16">
        <f>ROUND(F22*(1+'Interest rate projection'!AF24/Var_freq)+IF(G$5="Mortgage Starts",0,Deposit_mon_alt),2)</f>
        <v>12110.79</v>
      </c>
      <c r="H22" s="16">
        <f>ROUND(G22*(1+'Interest rate projection'!AG24/Var_freq)+IF(H$5="Mortgage Starts",0,Deposit_mon_alt),2)</f>
        <v>14155.29</v>
      </c>
      <c r="I22" s="16">
        <f>ROUND(H22*(1+'Interest rate projection'!AH24/Var_freq)+IF(I$5="Mortgage Starts",0,Deposit_mon_alt),2)</f>
        <v>16207.31</v>
      </c>
      <c r="J22" s="16">
        <f>ROUND(I22*(1+'Interest rate projection'!AI24/Var_freq)+IF(J$5="Mortgage Starts",0,Deposit_mon_alt),2)</f>
        <v>18266.87</v>
      </c>
      <c r="K22" s="16">
        <f>ROUND(J22*(1+'Interest rate projection'!AJ24/Var_freq)+IF(K$5="Mortgage Starts",0,Deposit_mon_alt),2)</f>
        <v>20334</v>
      </c>
      <c r="L22" s="16">
        <f>ROUND(K22*(1+'Interest rate projection'!AK24/Var_freq)+IF(L$5="Mortgage Starts",0,Deposit_mon_alt),2)</f>
        <v>22408.720000000001</v>
      </c>
      <c r="M22" s="16">
        <f>ROUND(L22*(1+'Interest rate projection'!AL24/Var_freq)+IF(M$5="Mortgage Starts",0,Deposit_mon_alt),2)</f>
        <v>24491.07</v>
      </c>
      <c r="N22" s="57">
        <f>ROUND(M22*(1+'Interest rate projection'!AM24/Var_freq)+IF(N$5="Mortgage Starts",0,Deposit_mon_alt),2)</f>
        <v>24576.16</v>
      </c>
      <c r="O22" s="12"/>
      <c r="P22" s="38">
        <f>'Interest rate projection'!N24</f>
        <v>4.2499999999999996E-2</v>
      </c>
      <c r="Q22" s="38">
        <f>'Interest rate projection'!AN24</f>
        <v>4.1693940041970023E-2</v>
      </c>
      <c r="R22" s="59" t="str">
        <f t="shared" si="2"/>
        <v>OK</v>
      </c>
      <c r="S22" s="39">
        <f t="shared" si="3"/>
        <v>15.511529757864551</v>
      </c>
      <c r="T22" s="10"/>
      <c r="U22" s="73">
        <f t="shared" si="6"/>
        <v>24576.16</v>
      </c>
      <c r="V22" s="73">
        <f t="shared" si="4"/>
        <v>175423.84</v>
      </c>
      <c r="W22" s="74">
        <f t="shared" si="5"/>
        <v>942.44</v>
      </c>
      <c r="X22" s="12"/>
      <c r="Y22" s="73">
        <f>'Fixed rate projection Alt'!$T$3-('Variable rate projection Alt'!W22*Product_term_alt*Var_freq)</f>
        <v>4280.9999999999854</v>
      </c>
      <c r="AA22" s="14"/>
      <c r="AB22" s="10"/>
      <c r="AC22" s="11"/>
      <c r="AD22" s="11"/>
      <c r="AE22" s="11"/>
      <c r="AF22" s="12"/>
      <c r="AG22" s="12"/>
      <c r="AH22" s="13"/>
      <c r="AJ22" s="14"/>
      <c r="AK22" s="10"/>
      <c r="AL22" s="11"/>
      <c r="AM22" s="11"/>
      <c r="AN22" s="11"/>
      <c r="AO22" s="12"/>
      <c r="AP22" s="12"/>
      <c r="AQ22" s="13"/>
      <c r="AS22" s="14"/>
      <c r="AT22" s="10"/>
      <c r="AU22" s="11"/>
      <c r="AV22" s="11"/>
      <c r="AW22" s="11"/>
      <c r="AX22" s="12"/>
      <c r="AY22" s="12"/>
      <c r="AZ22" s="13"/>
      <c r="BB22" s="14"/>
      <c r="BC22" s="10"/>
      <c r="BD22" s="11"/>
      <c r="BE22" s="11"/>
      <c r="BF22" s="11"/>
      <c r="BG22" s="12"/>
      <c r="BH22" s="12"/>
      <c r="BI22" s="13"/>
      <c r="BK22" s="14"/>
      <c r="BL22" s="10"/>
      <c r="BM22" s="11"/>
      <c r="BN22" s="11"/>
      <c r="BO22" s="11"/>
      <c r="BP22" s="12"/>
      <c r="BQ22" s="12"/>
      <c r="BR22" s="13"/>
      <c r="BT22" s="14"/>
      <c r="BU22" s="10"/>
      <c r="BV22" s="11"/>
      <c r="BW22" s="11"/>
      <c r="BX22" s="11"/>
      <c r="BY22" s="12"/>
      <c r="BZ22" s="12"/>
      <c r="CA22" s="13"/>
      <c r="CC22" s="13"/>
    </row>
    <row r="23" spans="1:81" x14ac:dyDescent="0.35">
      <c r="A23" s="5">
        <v>18</v>
      </c>
      <c r="B23" s="57">
        <f t="shared" si="1"/>
        <v>2000</v>
      </c>
      <c r="C23" s="16">
        <f>ROUND(B23*(1+'Interest rate projection'!AB25/Var_freq)+IF(C$5="Mortgage Starts",0,Deposit_mon_alt),2)</f>
        <v>4007.35</v>
      </c>
      <c r="D23" s="16">
        <f>ROUND(C23*(1+'Interest rate projection'!AC25/Var_freq)+IF(D$5="Mortgage Starts",0,Deposit_mon_alt),2)</f>
        <v>6022.08</v>
      </c>
      <c r="E23" s="16">
        <f>ROUND(D23*(1+'Interest rate projection'!AD25/Var_freq)+IF(E$5="Mortgage Starts",0,Deposit_mon_alt),2)</f>
        <v>8044.21</v>
      </c>
      <c r="F23" s="16">
        <f>ROUND(E23*(1+'Interest rate projection'!AE25/Var_freq)+IF(F$5="Mortgage Starts",0,Deposit_mon_alt),2)</f>
        <v>10073.77</v>
      </c>
      <c r="G23" s="16">
        <f>ROUND(F23*(1+'Interest rate projection'!AF25/Var_freq)+IF(G$5="Mortgage Starts",0,Deposit_mon_alt),2)</f>
        <v>12110.79</v>
      </c>
      <c r="H23" s="16">
        <f>ROUND(G23*(1+'Interest rate projection'!AG25/Var_freq)+IF(H$5="Mortgage Starts",0,Deposit_mon_alt),2)</f>
        <v>14155.29</v>
      </c>
      <c r="I23" s="16">
        <f>ROUND(H23*(1+'Interest rate projection'!AH25/Var_freq)+IF(I$5="Mortgage Starts",0,Deposit_mon_alt),2)</f>
        <v>16207.31</v>
      </c>
      <c r="J23" s="16">
        <f>ROUND(I23*(1+'Interest rate projection'!AI25/Var_freq)+IF(J$5="Mortgage Starts",0,Deposit_mon_alt),2)</f>
        <v>18266.87</v>
      </c>
      <c r="K23" s="16">
        <f>ROUND(J23*(1+'Interest rate projection'!AJ25/Var_freq)+IF(K$5="Mortgage Starts",0,Deposit_mon_alt),2)</f>
        <v>20334</v>
      </c>
      <c r="L23" s="16">
        <f>ROUND(K23*(1+'Interest rate projection'!AK25/Var_freq)+IF(L$5="Mortgage Starts",0,Deposit_mon_alt),2)</f>
        <v>22408.720000000001</v>
      </c>
      <c r="M23" s="16">
        <f>ROUND(L23*(1+'Interest rate projection'!AL25/Var_freq)+IF(M$5="Mortgage Starts",0,Deposit_mon_alt),2)</f>
        <v>24491.07</v>
      </c>
      <c r="N23" s="57">
        <f>ROUND(M23*(1+'Interest rate projection'!AM25/Var_freq)+IF(N$5="Mortgage Starts",0,Deposit_mon_alt),2)</f>
        <v>24581.07</v>
      </c>
      <c r="O23" s="12"/>
      <c r="P23" s="38">
        <f>'Interest rate projection'!N25</f>
        <v>4.7500000000000001E-2</v>
      </c>
      <c r="Q23" s="38">
        <f>'Interest rate projection'!AN25</f>
        <v>4.6496219905550085E-2</v>
      </c>
      <c r="R23" s="59" t="str">
        <f t="shared" si="2"/>
        <v>OK</v>
      </c>
      <c r="S23" s="39">
        <f t="shared" si="3"/>
        <v>14.766012404082064</v>
      </c>
      <c r="T23" s="10"/>
      <c r="U23" s="73">
        <f t="shared" si="6"/>
        <v>24581.07</v>
      </c>
      <c r="V23" s="73">
        <f t="shared" si="4"/>
        <v>175418.93</v>
      </c>
      <c r="W23" s="74">
        <f t="shared" si="5"/>
        <v>989.99</v>
      </c>
      <c r="X23" s="12"/>
      <c r="Y23" s="73">
        <f>'Fixed rate projection Alt'!$T$3-('Variable rate projection Alt'!W23*Product_term_alt*Var_freq)</f>
        <v>1428</v>
      </c>
      <c r="AA23" s="14"/>
      <c r="AB23" s="10"/>
      <c r="AC23" s="11"/>
      <c r="AD23" s="11"/>
      <c r="AE23" s="11"/>
      <c r="AF23" s="12"/>
      <c r="AG23" s="12"/>
      <c r="AH23" s="13"/>
      <c r="AJ23" s="14"/>
      <c r="AK23" s="10"/>
      <c r="AL23" s="11"/>
      <c r="AM23" s="11"/>
      <c r="AN23" s="11"/>
      <c r="AO23" s="12"/>
      <c r="AP23" s="12"/>
      <c r="AQ23" s="13"/>
      <c r="AS23" s="14"/>
      <c r="AT23" s="10"/>
      <c r="AU23" s="11"/>
      <c r="AV23" s="11"/>
      <c r="AW23" s="11"/>
      <c r="AX23" s="12"/>
      <c r="AY23" s="12"/>
      <c r="AZ23" s="13"/>
      <c r="BB23" s="14"/>
      <c r="BC23" s="10"/>
      <c r="BD23" s="11"/>
      <c r="BE23" s="11"/>
      <c r="BF23" s="11"/>
      <c r="BG23" s="12"/>
      <c r="BH23" s="12"/>
      <c r="BI23" s="13"/>
      <c r="BK23" s="14"/>
      <c r="BL23" s="10"/>
      <c r="BM23" s="11"/>
      <c r="BN23" s="11"/>
      <c r="BO23" s="11"/>
      <c r="BP23" s="12"/>
      <c r="BQ23" s="12"/>
      <c r="BR23" s="13"/>
      <c r="BT23" s="14"/>
      <c r="BU23" s="10"/>
      <c r="BV23" s="11"/>
      <c r="BW23" s="11"/>
      <c r="BX23" s="11"/>
      <c r="BY23" s="12"/>
      <c r="BZ23" s="12"/>
      <c r="CA23" s="13"/>
      <c r="CC23" s="13"/>
    </row>
    <row r="24" spans="1:81" x14ac:dyDescent="0.35">
      <c r="A24" s="27">
        <v>19</v>
      </c>
      <c r="B24" s="57">
        <f t="shared" si="1"/>
        <v>2000</v>
      </c>
      <c r="C24" s="16">
        <f>ROUND(B24*(1+'Interest rate projection'!AB26/Var_freq)+IF(C$5="Mortgage Starts",0,Deposit_mon_alt),2)</f>
        <v>4007.35</v>
      </c>
      <c r="D24" s="16">
        <f>ROUND(C24*(1+'Interest rate projection'!AC26/Var_freq)+IF(D$5="Mortgage Starts",0,Deposit_mon_alt),2)</f>
        <v>6022.08</v>
      </c>
      <c r="E24" s="16">
        <f>ROUND(D24*(1+'Interest rate projection'!AD26/Var_freq)+IF(E$5="Mortgage Starts",0,Deposit_mon_alt),2)</f>
        <v>8044.21</v>
      </c>
      <c r="F24" s="16">
        <f>ROUND(E24*(1+'Interest rate projection'!AE26/Var_freq)+IF(F$5="Mortgage Starts",0,Deposit_mon_alt),2)</f>
        <v>10076.98</v>
      </c>
      <c r="G24" s="16">
        <f>ROUND(F24*(1+'Interest rate projection'!AF26/Var_freq)+IF(G$5="Mortgage Starts",0,Deposit_mon_alt),2)</f>
        <v>12118.03</v>
      </c>
      <c r="H24" s="16">
        <f>ROUND(G24*(1+'Interest rate projection'!AG26/Var_freq)+IF(H$5="Mortgage Starts",0,Deposit_mon_alt),2)</f>
        <v>14167.4</v>
      </c>
      <c r="I24" s="16">
        <f>ROUND(H24*(1+'Interest rate projection'!AH26/Var_freq)+IF(I$5="Mortgage Starts",0,Deposit_mon_alt),2)</f>
        <v>16230.75</v>
      </c>
      <c r="J24" s="16">
        <f>ROUND(I24*(1+'Interest rate projection'!AI26/Var_freq)+IF(J$5="Mortgage Starts",0,Deposit_mon_alt),2)</f>
        <v>18306.54</v>
      </c>
      <c r="K24" s="16">
        <f>ROUND(J24*(1+'Interest rate projection'!AJ26/Var_freq)+IF(K$5="Mortgage Starts",0,Deposit_mon_alt),2)</f>
        <v>20392.03</v>
      </c>
      <c r="L24" s="16">
        <f>ROUND(K24*(1+'Interest rate projection'!AK26/Var_freq)+IF(L$5="Mortgage Starts",0,Deposit_mon_alt),2)</f>
        <v>22487.26</v>
      </c>
      <c r="M24" s="16">
        <f>ROUND(L24*(1+'Interest rate projection'!AL26/Var_freq)+IF(M$5="Mortgage Starts",0,Deposit_mon_alt),2)</f>
        <v>24592.27</v>
      </c>
      <c r="N24" s="57">
        <f>ROUND(M24*(1+'Interest rate projection'!AM26/Var_freq)+IF(N$5="Mortgage Starts",0,Deposit_mon_alt),2)</f>
        <v>24707.11</v>
      </c>
      <c r="O24" s="12"/>
      <c r="P24" s="38">
        <f>'Interest rate projection'!N26</f>
        <v>5.7499999999999996E-2</v>
      </c>
      <c r="Q24" s="38">
        <f>'Interest rate projection'!AN26</f>
        <v>5.603807040042863E-2</v>
      </c>
      <c r="R24" s="59" t="str">
        <f t="shared" si="2"/>
        <v>OK</v>
      </c>
      <c r="S24" s="39">
        <f t="shared" si="3"/>
        <v>13.434312256020331</v>
      </c>
      <c r="T24" s="10"/>
      <c r="U24" s="73">
        <f t="shared" si="6"/>
        <v>24707.11</v>
      </c>
      <c r="V24" s="73">
        <f t="shared" si="4"/>
        <v>175292.89</v>
      </c>
      <c r="W24" s="74">
        <f t="shared" si="5"/>
        <v>1087.3499999999999</v>
      </c>
      <c r="X24" s="12"/>
      <c r="Y24" s="73">
        <f>'Fixed rate projection Alt'!$T$3-('Variable rate projection Alt'!W24*Product_term_alt*Var_freq)</f>
        <v>-4413.6000000000058</v>
      </c>
      <c r="AA24" s="14"/>
      <c r="AB24" s="10"/>
      <c r="AC24" s="11"/>
      <c r="AD24" s="11"/>
      <c r="AE24" s="11"/>
      <c r="AF24" s="12"/>
      <c r="AG24" s="12"/>
      <c r="AH24" s="13"/>
      <c r="AJ24" s="14"/>
      <c r="AK24" s="10"/>
      <c r="AL24" s="11"/>
      <c r="AM24" s="11"/>
      <c r="AN24" s="11"/>
      <c r="AO24" s="12"/>
      <c r="AP24" s="12"/>
      <c r="AQ24" s="13"/>
      <c r="AS24" s="14"/>
      <c r="AT24" s="10"/>
      <c r="AU24" s="11"/>
      <c r="AV24" s="11"/>
      <c r="AW24" s="11"/>
      <c r="AX24" s="12"/>
      <c r="AY24" s="12"/>
      <c r="AZ24" s="13"/>
      <c r="BB24" s="14"/>
      <c r="BC24" s="10"/>
      <c r="BD24" s="11"/>
      <c r="BE24" s="11"/>
      <c r="BF24" s="11"/>
      <c r="BG24" s="12"/>
      <c r="BH24" s="12"/>
      <c r="BI24" s="13"/>
      <c r="BK24" s="14"/>
      <c r="BL24" s="10"/>
      <c r="BM24" s="11"/>
      <c r="BN24" s="11"/>
      <c r="BO24" s="11"/>
      <c r="BP24" s="12"/>
      <c r="BQ24" s="12"/>
      <c r="BR24" s="13"/>
      <c r="BT24" s="14"/>
      <c r="BU24" s="10"/>
      <c r="BV24" s="11"/>
      <c r="BW24" s="11"/>
      <c r="BX24" s="11"/>
      <c r="BY24" s="12"/>
      <c r="BZ24" s="12"/>
      <c r="CA24" s="13"/>
      <c r="CC24" s="13"/>
    </row>
    <row r="25" spans="1:81" x14ac:dyDescent="0.35">
      <c r="A25" s="5">
        <v>20</v>
      </c>
      <c r="B25" s="57">
        <f t="shared" si="1"/>
        <v>2000</v>
      </c>
      <c r="C25" s="16">
        <f>ROUND(B25*(1+'Interest rate projection'!AB27/Var_freq)+IF(C$5="Mortgage Starts",0,Deposit_mon_alt),2)</f>
        <v>4007.35</v>
      </c>
      <c r="D25" s="16">
        <f>ROUND(C25*(1+'Interest rate projection'!AC27/Var_freq)+IF(D$5="Mortgage Starts",0,Deposit_mon_alt),2)</f>
        <v>6022.08</v>
      </c>
      <c r="E25" s="16">
        <f>ROUND(D25*(1+'Interest rate projection'!AD27/Var_freq)+IF(E$5="Mortgage Starts",0,Deposit_mon_alt),2)</f>
        <v>8044.21</v>
      </c>
      <c r="F25" s="16">
        <f>ROUND(E25*(1+'Interest rate projection'!AE27/Var_freq)+IF(F$5="Mortgage Starts",0,Deposit_mon_alt),2)</f>
        <v>10073.77</v>
      </c>
      <c r="G25" s="16">
        <f>ROUND(F25*(1+'Interest rate projection'!AF27/Var_freq)+IF(G$5="Mortgage Starts",0,Deposit_mon_alt),2)</f>
        <v>12110.79</v>
      </c>
      <c r="H25" s="16">
        <f>ROUND(G25*(1+'Interest rate projection'!AG27/Var_freq)+IF(H$5="Mortgage Starts",0,Deposit_mon_alt),2)</f>
        <v>14155.29</v>
      </c>
      <c r="I25" s="16">
        <f>ROUND(H25*(1+'Interest rate projection'!AH27/Var_freq)+IF(I$5="Mortgage Starts",0,Deposit_mon_alt),2)</f>
        <v>16207.31</v>
      </c>
      <c r="J25" s="16">
        <f>ROUND(I25*(1+'Interest rate projection'!AI27/Var_freq)+IF(J$5="Mortgage Starts",0,Deposit_mon_alt),2)</f>
        <v>18266.87</v>
      </c>
      <c r="K25" s="16">
        <f>ROUND(J25*(1+'Interest rate projection'!AJ27/Var_freq)+IF(K$5="Mortgage Starts",0,Deposit_mon_alt),2)</f>
        <v>20334</v>
      </c>
      <c r="L25" s="16">
        <f>ROUND(K25*(1+'Interest rate projection'!AK27/Var_freq)+IF(L$5="Mortgage Starts",0,Deposit_mon_alt),2)</f>
        <v>22408.720000000001</v>
      </c>
      <c r="M25" s="16">
        <f>ROUND(L25*(1+'Interest rate projection'!AL27/Var_freq)+IF(M$5="Mortgage Starts",0,Deposit_mon_alt),2)</f>
        <v>24491.07</v>
      </c>
      <c r="N25" s="57">
        <f>ROUND(M25*(1+'Interest rate projection'!AM27/Var_freq)+IF(N$5="Mortgage Starts",0,Deposit_mon_alt),2)</f>
        <v>24581.07</v>
      </c>
      <c r="O25" s="12"/>
      <c r="P25" s="38">
        <f>'Interest rate projection'!N27</f>
        <v>4.9999999999999996E-2</v>
      </c>
      <c r="Q25" s="38">
        <f>'Interest rate projection'!AN27</f>
        <v>4.8889485403780242E-2</v>
      </c>
      <c r="R25" s="59" t="str">
        <f t="shared" si="2"/>
        <v>OK</v>
      </c>
      <c r="S25" s="39">
        <f t="shared" si="3"/>
        <v>14.4140856153857</v>
      </c>
      <c r="T25" s="10"/>
      <c r="U25" s="73">
        <f t="shared" si="6"/>
        <v>24581.07</v>
      </c>
      <c r="V25" s="73">
        <f t="shared" si="4"/>
        <v>175418.93</v>
      </c>
      <c r="W25" s="74">
        <f t="shared" si="5"/>
        <v>1014.16</v>
      </c>
      <c r="X25" s="12"/>
      <c r="Y25" s="73">
        <f>'Fixed rate projection Alt'!$T$3-('Variable rate projection Alt'!W25*Product_term_alt*Var_freq)</f>
        <v>-22.200000000011642</v>
      </c>
      <c r="AA25" s="14"/>
      <c r="AB25" s="10"/>
      <c r="AC25" s="11"/>
      <c r="AD25" s="11"/>
      <c r="AE25" s="11"/>
      <c r="AF25" s="12"/>
      <c r="AG25" s="12"/>
      <c r="AH25" s="13"/>
      <c r="AJ25" s="14"/>
      <c r="AK25" s="10"/>
      <c r="AL25" s="11"/>
      <c r="AM25" s="11"/>
      <c r="AN25" s="11"/>
      <c r="AO25" s="12"/>
      <c r="AP25" s="12"/>
      <c r="AQ25" s="13"/>
      <c r="AS25" s="14"/>
      <c r="AT25" s="10"/>
      <c r="AU25" s="11"/>
      <c r="AV25" s="11"/>
      <c r="AW25" s="11"/>
      <c r="AX25" s="12"/>
      <c r="AY25" s="12"/>
      <c r="AZ25" s="13"/>
      <c r="BB25" s="14"/>
      <c r="BC25" s="10"/>
      <c r="BD25" s="11"/>
      <c r="BE25" s="11"/>
      <c r="BF25" s="11"/>
      <c r="BG25" s="12"/>
      <c r="BH25" s="12"/>
      <c r="BI25" s="13"/>
      <c r="BK25" s="14"/>
      <c r="BL25" s="10"/>
      <c r="BM25" s="11"/>
      <c r="BN25" s="11"/>
      <c r="BO25" s="11"/>
      <c r="BP25" s="12"/>
      <c r="BQ25" s="12"/>
      <c r="BR25" s="13"/>
      <c r="BT25" s="14"/>
      <c r="BU25" s="10"/>
      <c r="BV25" s="11"/>
      <c r="BW25" s="11"/>
      <c r="BX25" s="11"/>
      <c r="BY25" s="12"/>
      <c r="BZ25" s="12"/>
      <c r="CA25" s="13"/>
      <c r="CC25" s="13"/>
    </row>
    <row r="26" spans="1:81" x14ac:dyDescent="0.35">
      <c r="A26" s="27">
        <v>21</v>
      </c>
      <c r="B26" s="57">
        <f t="shared" si="1"/>
        <v>2000</v>
      </c>
      <c r="C26" s="16">
        <f>ROUND(B26*(1+'Interest rate projection'!AB28/Var_freq)+IF(C$5="Mortgage Starts",0,Deposit_mon_alt),2)</f>
        <v>4007.35</v>
      </c>
      <c r="D26" s="16">
        <f>ROUND(C26*(1+'Interest rate projection'!AC28/Var_freq)+IF(D$5="Mortgage Starts",0,Deposit_mon_alt),2)</f>
        <v>6022.08</v>
      </c>
      <c r="E26" s="16">
        <f>ROUND(D26*(1+'Interest rate projection'!AD28/Var_freq)+IF(E$5="Mortgage Starts",0,Deposit_mon_alt),2)</f>
        <v>8044.21</v>
      </c>
      <c r="F26" s="16">
        <f>ROUND(E26*(1+'Interest rate projection'!AE28/Var_freq)+IF(F$5="Mortgage Starts",0,Deposit_mon_alt),2)</f>
        <v>10073.77</v>
      </c>
      <c r="G26" s="16">
        <f>ROUND(F26*(1+'Interest rate projection'!AF28/Var_freq)+IF(G$5="Mortgage Starts",0,Deposit_mon_alt),2)</f>
        <v>12110.79</v>
      </c>
      <c r="H26" s="16">
        <f>ROUND(G26*(1+'Interest rate projection'!AG28/Var_freq)+IF(H$5="Mortgage Starts",0,Deposit_mon_alt),2)</f>
        <v>14155.29</v>
      </c>
      <c r="I26" s="16">
        <f>ROUND(H26*(1+'Interest rate projection'!AH28/Var_freq)+IF(I$5="Mortgage Starts",0,Deposit_mon_alt),2)</f>
        <v>16212.96</v>
      </c>
      <c r="J26" s="16">
        <f>ROUND(I26*(1+'Interest rate projection'!AI28/Var_freq)+IF(J$5="Mortgage Starts",0,Deposit_mon_alt),2)</f>
        <v>18279.009999999998</v>
      </c>
      <c r="K26" s="16">
        <f>ROUND(J26*(1+'Interest rate projection'!AJ28/Var_freq)+IF(K$5="Mortgage Starts",0,Deposit_mon_alt),2)</f>
        <v>20357.12</v>
      </c>
      <c r="L26" s="16">
        <f>ROUND(K26*(1+'Interest rate projection'!AK28/Var_freq)+IF(L$5="Mortgage Starts",0,Deposit_mon_alt),2)</f>
        <v>22444.11</v>
      </c>
      <c r="M26" s="16">
        <f>ROUND(L26*(1+'Interest rate projection'!AL28/Var_freq)+IF(M$5="Mortgage Starts",0,Deposit_mon_alt),2)</f>
        <v>24540.02</v>
      </c>
      <c r="N26" s="57">
        <f>ROUND(M26*(1+'Interest rate projection'!AM28/Var_freq)+IF(N$5="Mortgage Starts",0,Deposit_mon_alt),2)</f>
        <v>24644.880000000001</v>
      </c>
      <c r="O26" s="12"/>
      <c r="P26" s="38">
        <f>'Interest rate projection'!N28</f>
        <v>5.2499999999999998E-2</v>
      </c>
      <c r="Q26" s="38">
        <f>'Interest rate projection'!AN28</f>
        <v>5.1277533193896829E-2</v>
      </c>
      <c r="R26" s="59" t="str">
        <f t="shared" si="2"/>
        <v>OK</v>
      </c>
      <c r="S26" s="39">
        <f t="shared" si="3"/>
        <v>14.075212462503044</v>
      </c>
      <c r="T26" s="10"/>
      <c r="U26" s="73">
        <f t="shared" si="6"/>
        <v>24644.880000000001</v>
      </c>
      <c r="V26" s="73">
        <f t="shared" si="4"/>
        <v>175355.12</v>
      </c>
      <c r="W26" s="74">
        <f t="shared" si="5"/>
        <v>1038.2</v>
      </c>
      <c r="X26" s="12"/>
      <c r="Y26" s="73">
        <f>'Fixed rate projection Alt'!$T$3-('Variable rate projection Alt'!W26*Product_term_alt*Var_freq)</f>
        <v>-1464.6000000000058</v>
      </c>
      <c r="AA26" s="14"/>
      <c r="AB26" s="10"/>
      <c r="AC26" s="11"/>
      <c r="AD26" s="11"/>
      <c r="AE26" s="11"/>
      <c r="AF26" s="12"/>
      <c r="AG26" s="12"/>
      <c r="AH26" s="13"/>
      <c r="AJ26" s="14"/>
      <c r="AK26" s="10"/>
      <c r="AL26" s="11"/>
      <c r="AM26" s="11"/>
      <c r="AN26" s="11"/>
      <c r="AO26" s="12"/>
      <c r="AP26" s="12"/>
      <c r="AQ26" s="13"/>
      <c r="AS26" s="14"/>
      <c r="AT26" s="10"/>
      <c r="AU26" s="11"/>
      <c r="AV26" s="11"/>
      <c r="AW26" s="11"/>
      <c r="AX26" s="12"/>
      <c r="AY26" s="12"/>
      <c r="AZ26" s="13"/>
      <c r="BB26" s="14"/>
      <c r="BC26" s="10"/>
      <c r="BD26" s="11"/>
      <c r="BE26" s="11"/>
      <c r="BF26" s="11"/>
      <c r="BG26" s="12"/>
      <c r="BH26" s="12"/>
      <c r="BI26" s="13"/>
      <c r="BK26" s="14"/>
      <c r="BL26" s="10"/>
      <c r="BM26" s="11"/>
      <c r="BN26" s="11"/>
      <c r="BO26" s="11"/>
      <c r="BP26" s="12"/>
      <c r="BQ26" s="12"/>
      <c r="BR26" s="13"/>
      <c r="BT26" s="14"/>
      <c r="BU26" s="10"/>
      <c r="BV26" s="11"/>
      <c r="BW26" s="11"/>
      <c r="BX26" s="11"/>
      <c r="BY26" s="12"/>
      <c r="BZ26" s="12"/>
      <c r="CA26" s="13"/>
      <c r="CC26" s="13"/>
    </row>
    <row r="27" spans="1:81" x14ac:dyDescent="0.35">
      <c r="A27" s="5">
        <v>22</v>
      </c>
      <c r="B27" s="57">
        <f t="shared" si="1"/>
        <v>2000</v>
      </c>
      <c r="C27" s="16">
        <f>ROUND(B27*(1+'Interest rate projection'!AB29/Var_freq)+IF(C$5="Mortgage Starts",0,Deposit_mon_alt),2)</f>
        <v>4007.35</v>
      </c>
      <c r="D27" s="16">
        <f>ROUND(C27*(1+'Interest rate projection'!AC29/Var_freq)+IF(D$5="Mortgage Starts",0,Deposit_mon_alt),2)</f>
        <v>6022.08</v>
      </c>
      <c r="E27" s="16">
        <f>ROUND(D27*(1+'Interest rate projection'!AD29/Var_freq)+IF(E$5="Mortgage Starts",0,Deposit_mon_alt),2)</f>
        <v>8044.21</v>
      </c>
      <c r="F27" s="16">
        <f>ROUND(E27*(1+'Interest rate projection'!AE29/Var_freq)+IF(F$5="Mortgage Starts",0,Deposit_mon_alt),2)</f>
        <v>10073.77</v>
      </c>
      <c r="G27" s="16">
        <f>ROUND(F27*(1+'Interest rate projection'!AF29/Var_freq)+IF(G$5="Mortgage Starts",0,Deposit_mon_alt),2)</f>
        <v>12110.79</v>
      </c>
      <c r="H27" s="16">
        <f>ROUND(G27*(1+'Interest rate projection'!AG29/Var_freq)+IF(H$5="Mortgage Starts",0,Deposit_mon_alt),2)</f>
        <v>14155.29</v>
      </c>
      <c r="I27" s="16">
        <f>ROUND(H27*(1+'Interest rate projection'!AH29/Var_freq)+IF(I$5="Mortgage Starts",0,Deposit_mon_alt),2)</f>
        <v>16207.31</v>
      </c>
      <c r="J27" s="16">
        <f>ROUND(I27*(1+'Interest rate projection'!AI29/Var_freq)+IF(J$5="Mortgage Starts",0,Deposit_mon_alt),2)</f>
        <v>18266.87</v>
      </c>
      <c r="K27" s="16">
        <f>ROUND(J27*(1+'Interest rate projection'!AJ29/Var_freq)+IF(K$5="Mortgage Starts",0,Deposit_mon_alt),2)</f>
        <v>20334</v>
      </c>
      <c r="L27" s="16">
        <f>ROUND(K27*(1+'Interest rate projection'!AK29/Var_freq)+IF(L$5="Mortgage Starts",0,Deposit_mon_alt),2)</f>
        <v>22408.720000000001</v>
      </c>
      <c r="M27" s="16">
        <f>ROUND(L27*(1+'Interest rate projection'!AL29/Var_freq)+IF(M$5="Mortgage Starts",0,Deposit_mon_alt),2)</f>
        <v>24491.07</v>
      </c>
      <c r="N27" s="57">
        <f>ROUND(M27*(1+'Interest rate projection'!AM29/Var_freq)+IF(N$5="Mortgage Starts",0,Deposit_mon_alt),2)</f>
        <v>24581.07</v>
      </c>
      <c r="O27" s="12"/>
      <c r="P27" s="38">
        <f>'Interest rate projection'!N29</f>
        <v>4.4999999999999998E-2</v>
      </c>
      <c r="Q27" s="38">
        <f>'Interest rate projection'!AN29</f>
        <v>4.4097712805242217E-2</v>
      </c>
      <c r="R27" s="59" t="str">
        <f t="shared" si="2"/>
        <v>OK</v>
      </c>
      <c r="S27" s="39">
        <f t="shared" si="3"/>
        <v>15.131610255367837</v>
      </c>
      <c r="T27" s="10"/>
      <c r="U27" s="73">
        <f t="shared" si="6"/>
        <v>24581.07</v>
      </c>
      <c r="V27" s="73">
        <f t="shared" si="4"/>
        <v>175418.93</v>
      </c>
      <c r="W27" s="74">
        <f t="shared" si="5"/>
        <v>966.07</v>
      </c>
      <c r="X27" s="12"/>
      <c r="Y27" s="73">
        <f>'Fixed rate projection Alt'!$T$3-('Variable rate projection Alt'!W27*Product_term_alt*Var_freq)</f>
        <v>2863.1999999999898</v>
      </c>
      <c r="AA27" s="14"/>
      <c r="AB27" s="10"/>
      <c r="AC27" s="11"/>
      <c r="AD27" s="11"/>
      <c r="AE27" s="11"/>
      <c r="AF27" s="12"/>
      <c r="AG27" s="12"/>
      <c r="AH27" s="13"/>
      <c r="AJ27" s="14"/>
      <c r="AK27" s="10"/>
      <c r="AL27" s="11"/>
      <c r="AM27" s="11"/>
      <c r="AN27" s="11"/>
      <c r="AO27" s="12"/>
      <c r="AP27" s="12"/>
      <c r="AQ27" s="13"/>
      <c r="AS27" s="14"/>
      <c r="AT27" s="10"/>
      <c r="AU27" s="11"/>
      <c r="AV27" s="11"/>
      <c r="AW27" s="11"/>
      <c r="AX27" s="12"/>
      <c r="AY27" s="12"/>
      <c r="AZ27" s="13"/>
      <c r="BB27" s="14"/>
      <c r="BC27" s="10"/>
      <c r="BD27" s="11"/>
      <c r="BE27" s="11"/>
      <c r="BF27" s="11"/>
      <c r="BG27" s="12"/>
      <c r="BH27" s="12"/>
      <c r="BI27" s="13"/>
      <c r="BK27" s="14"/>
      <c r="BL27" s="10"/>
      <c r="BM27" s="11"/>
      <c r="BN27" s="11"/>
      <c r="BO27" s="11"/>
      <c r="BP27" s="12"/>
      <c r="BQ27" s="12"/>
      <c r="BR27" s="13"/>
      <c r="BT27" s="14"/>
      <c r="BU27" s="10"/>
      <c r="BV27" s="11"/>
      <c r="BW27" s="11"/>
      <c r="BX27" s="11"/>
      <c r="BY27" s="12"/>
      <c r="BZ27" s="12"/>
      <c r="CA27" s="13"/>
      <c r="CC27" s="13"/>
    </row>
    <row r="28" spans="1:81" x14ac:dyDescent="0.35">
      <c r="A28" s="27">
        <v>23</v>
      </c>
      <c r="B28" s="57">
        <f t="shared" si="1"/>
        <v>2000</v>
      </c>
      <c r="C28" s="16">
        <f>ROUND(B28*(1+'Interest rate projection'!AB30/Var_freq)+IF(C$5="Mortgage Starts",0,Deposit_mon_alt),2)</f>
        <v>4007.35</v>
      </c>
      <c r="D28" s="16">
        <f>ROUND(C28*(1+'Interest rate projection'!AC30/Var_freq)+IF(D$5="Mortgage Starts",0,Deposit_mon_alt),2)</f>
        <v>6022.08</v>
      </c>
      <c r="E28" s="16">
        <f>ROUND(D28*(1+'Interest rate projection'!AD30/Var_freq)+IF(E$5="Mortgage Starts",0,Deposit_mon_alt),2)</f>
        <v>8044.21</v>
      </c>
      <c r="F28" s="16">
        <f>ROUND(E28*(1+'Interest rate projection'!AE30/Var_freq)+IF(F$5="Mortgage Starts",0,Deposit_mon_alt),2)</f>
        <v>10073.77</v>
      </c>
      <c r="G28" s="16">
        <f>ROUND(F28*(1+'Interest rate projection'!AF30/Var_freq)+IF(G$5="Mortgage Starts",0,Deposit_mon_alt),2)</f>
        <v>12110.79</v>
      </c>
      <c r="H28" s="16">
        <f>ROUND(G28*(1+'Interest rate projection'!AG30/Var_freq)+IF(H$5="Mortgage Starts",0,Deposit_mon_alt),2)</f>
        <v>14155.29</v>
      </c>
      <c r="I28" s="16">
        <f>ROUND(H28*(1+'Interest rate projection'!AH30/Var_freq)+IF(I$5="Mortgage Starts",0,Deposit_mon_alt),2)</f>
        <v>16207.31</v>
      </c>
      <c r="J28" s="16">
        <f>ROUND(I28*(1+'Interest rate projection'!AI30/Var_freq)+IF(J$5="Mortgage Starts",0,Deposit_mon_alt),2)</f>
        <v>18263.62</v>
      </c>
      <c r="K28" s="16">
        <f>ROUND(J28*(1+'Interest rate projection'!AJ30/Var_freq)+IF(K$5="Mortgage Starts",0,Deposit_mon_alt),2)</f>
        <v>20327.080000000002</v>
      </c>
      <c r="L28" s="16">
        <f>ROUND(K28*(1+'Interest rate projection'!AK30/Var_freq)+IF(L$5="Mortgage Starts",0,Deposit_mon_alt),2)</f>
        <v>22397.71</v>
      </c>
      <c r="M28" s="16">
        <f>ROUND(L28*(1+'Interest rate projection'!AL30/Var_freq)+IF(M$5="Mortgage Starts",0,Deposit_mon_alt),2)</f>
        <v>24475.53</v>
      </c>
      <c r="N28" s="57">
        <f>ROUND(M28*(1+'Interest rate projection'!AM30/Var_freq)+IF(N$5="Mortgage Starts",0,Deposit_mon_alt),2)</f>
        <v>24560.57</v>
      </c>
      <c r="O28" s="12"/>
      <c r="P28" s="38">
        <f>'Interest rate projection'!N30</f>
        <v>4.2499999999999996E-2</v>
      </c>
      <c r="Q28" s="38">
        <f>'Interest rate projection'!AN30</f>
        <v>4.1693940041970023E-2</v>
      </c>
      <c r="R28" s="59" t="str">
        <f t="shared" si="2"/>
        <v>OK</v>
      </c>
      <c r="S28" s="39">
        <f t="shared" si="3"/>
        <v>15.511529757864551</v>
      </c>
      <c r="T28" s="10"/>
      <c r="U28" s="73">
        <f t="shared" si="6"/>
        <v>24560.57</v>
      </c>
      <c r="V28" s="73">
        <f t="shared" si="4"/>
        <v>175439.43</v>
      </c>
      <c r="W28" s="74">
        <f t="shared" si="5"/>
        <v>942.52</v>
      </c>
      <c r="X28" s="12"/>
      <c r="Y28" s="73">
        <f>'Fixed rate projection Alt'!$T$3-('Variable rate projection Alt'!W28*Product_term_alt*Var_freq)</f>
        <v>4276.1999999999898</v>
      </c>
      <c r="AA28" s="14"/>
      <c r="AB28" s="10"/>
      <c r="AC28" s="11"/>
      <c r="AD28" s="11"/>
      <c r="AE28" s="11"/>
      <c r="AF28" s="12"/>
      <c r="AG28" s="12"/>
      <c r="AH28" s="13"/>
      <c r="AJ28" s="14"/>
      <c r="AK28" s="10"/>
      <c r="AL28" s="11"/>
      <c r="AM28" s="11"/>
      <c r="AN28" s="11"/>
      <c r="AO28" s="12"/>
      <c r="AP28" s="12"/>
      <c r="AQ28" s="13"/>
      <c r="AS28" s="14"/>
      <c r="AT28" s="10"/>
      <c r="AU28" s="11"/>
      <c r="AV28" s="11"/>
      <c r="AW28" s="11"/>
      <c r="AX28" s="12"/>
      <c r="AY28" s="12"/>
      <c r="AZ28" s="13"/>
      <c r="BB28" s="14"/>
      <c r="BC28" s="10"/>
      <c r="BD28" s="11"/>
      <c r="BE28" s="11"/>
      <c r="BF28" s="11"/>
      <c r="BG28" s="12"/>
      <c r="BH28" s="12"/>
      <c r="BI28" s="13"/>
      <c r="BK28" s="14"/>
      <c r="BL28" s="10"/>
      <c r="BM28" s="11"/>
      <c r="BN28" s="11"/>
      <c r="BO28" s="11"/>
      <c r="BP28" s="12"/>
      <c r="BQ28" s="12"/>
      <c r="BR28" s="13"/>
      <c r="BT28" s="14"/>
      <c r="BU28" s="10"/>
      <c r="BV28" s="11"/>
      <c r="BW28" s="11"/>
      <c r="BX28" s="11"/>
      <c r="BY28" s="12"/>
      <c r="BZ28" s="12"/>
      <c r="CA28" s="13"/>
      <c r="CC28" s="13"/>
    </row>
    <row r="29" spans="1:81" x14ac:dyDescent="0.35">
      <c r="A29" s="5">
        <v>24</v>
      </c>
      <c r="B29" s="57">
        <f t="shared" si="1"/>
        <v>2000</v>
      </c>
      <c r="C29" s="16">
        <f>ROUND(B29*(1+'Interest rate projection'!AB31/Var_freq)+IF(C$5="Mortgage Starts",0,Deposit_mon_alt),2)</f>
        <v>4007.35</v>
      </c>
      <c r="D29" s="16">
        <f>ROUND(C29*(1+'Interest rate projection'!AC31/Var_freq)+IF(D$5="Mortgage Starts",0,Deposit_mon_alt),2)</f>
        <v>6022.08</v>
      </c>
      <c r="E29" s="16">
        <f>ROUND(D29*(1+'Interest rate projection'!AD31/Var_freq)+IF(E$5="Mortgage Starts",0,Deposit_mon_alt),2)</f>
        <v>8044.21</v>
      </c>
      <c r="F29" s="16">
        <f>ROUND(E29*(1+'Interest rate projection'!AE31/Var_freq)+IF(F$5="Mortgage Starts",0,Deposit_mon_alt),2)</f>
        <v>10073.77</v>
      </c>
      <c r="G29" s="16">
        <f>ROUND(F29*(1+'Interest rate projection'!AF31/Var_freq)+IF(G$5="Mortgage Starts",0,Deposit_mon_alt),2)</f>
        <v>12108.77</v>
      </c>
      <c r="H29" s="16">
        <f>ROUND(G29*(1+'Interest rate projection'!AG31/Var_freq)+IF(H$5="Mortgage Starts",0,Deposit_mon_alt),2)</f>
        <v>14150.84</v>
      </c>
      <c r="I29" s="16">
        <f>ROUND(H29*(1+'Interest rate projection'!AH31/Var_freq)+IF(I$5="Mortgage Starts",0,Deposit_mon_alt),2)</f>
        <v>16202.84</v>
      </c>
      <c r="J29" s="16">
        <f>ROUND(I29*(1+'Interest rate projection'!AI31/Var_freq)+IF(J$5="Mortgage Starts",0,Deposit_mon_alt),2)</f>
        <v>18262.38</v>
      </c>
      <c r="K29" s="16">
        <f>ROUND(J29*(1+'Interest rate projection'!AJ31/Var_freq)+IF(K$5="Mortgage Starts",0,Deposit_mon_alt),2)</f>
        <v>20333.14</v>
      </c>
      <c r="L29" s="16">
        <f>ROUND(K29*(1+'Interest rate projection'!AK31/Var_freq)+IF(L$5="Mortgage Starts",0,Deposit_mon_alt),2)</f>
        <v>22411.919999999998</v>
      </c>
      <c r="M29" s="16">
        <f>ROUND(L29*(1+'Interest rate projection'!AL31/Var_freq)+IF(M$5="Mortgage Starts",0,Deposit_mon_alt),2)</f>
        <v>24498.76</v>
      </c>
      <c r="N29" s="57">
        <f>ROUND(M29*(1+'Interest rate projection'!AM31/Var_freq)+IF(N$5="Mortgage Starts",0,Deposit_mon_alt),2)</f>
        <v>24593.68</v>
      </c>
      <c r="O29" s="12"/>
      <c r="P29" s="38">
        <f>'Interest rate projection'!N31</f>
        <v>4.7500000000000001E-2</v>
      </c>
      <c r="Q29" s="38">
        <f>'Interest rate projection'!AN31</f>
        <v>4.6496219905550085E-2</v>
      </c>
      <c r="R29" s="59" t="str">
        <f t="shared" si="2"/>
        <v>OK</v>
      </c>
      <c r="S29" s="39">
        <f t="shared" si="3"/>
        <v>14.766012404082064</v>
      </c>
      <c r="T29" s="10"/>
      <c r="U29" s="73">
        <f t="shared" si="6"/>
        <v>24593.68</v>
      </c>
      <c r="V29" s="73">
        <f t="shared" si="4"/>
        <v>175406.32</v>
      </c>
      <c r="W29" s="74">
        <f t="shared" si="5"/>
        <v>989.92</v>
      </c>
      <c r="X29" s="12"/>
      <c r="Y29" s="73">
        <f>'Fixed rate projection Alt'!$T$3-('Variable rate projection Alt'!W29*Product_term_alt*Var_freq)</f>
        <v>1432.1999999999971</v>
      </c>
      <c r="AA29" s="14"/>
      <c r="AB29" s="10"/>
      <c r="AC29" s="11"/>
      <c r="AD29" s="11"/>
      <c r="AE29" s="11"/>
      <c r="AF29" s="12"/>
      <c r="AG29" s="12"/>
      <c r="AH29" s="13"/>
      <c r="AJ29" s="14"/>
      <c r="AK29" s="10"/>
      <c r="AL29" s="11"/>
      <c r="AM29" s="11"/>
      <c r="AN29" s="11"/>
      <c r="AO29" s="12"/>
      <c r="AP29" s="12"/>
      <c r="AQ29" s="13"/>
      <c r="AS29" s="14"/>
      <c r="AT29" s="10"/>
      <c r="AU29" s="11"/>
      <c r="AV29" s="11"/>
      <c r="AW29" s="11"/>
      <c r="AX29" s="12"/>
      <c r="AY29" s="12"/>
      <c r="AZ29" s="13"/>
      <c r="BB29" s="14"/>
      <c r="BC29" s="10"/>
      <c r="BD29" s="11"/>
      <c r="BE29" s="11"/>
      <c r="BF29" s="11"/>
      <c r="BG29" s="12"/>
      <c r="BH29" s="12"/>
      <c r="BI29" s="13"/>
      <c r="BK29" s="14"/>
      <c r="BL29" s="10"/>
      <c r="BM29" s="11"/>
      <c r="BN29" s="11"/>
      <c r="BO29" s="11"/>
      <c r="BP29" s="12"/>
      <c r="BQ29" s="12"/>
      <c r="BR29" s="13"/>
      <c r="BT29" s="14"/>
      <c r="BU29" s="10"/>
      <c r="BV29" s="11"/>
      <c r="BW29" s="11"/>
      <c r="BX29" s="11"/>
      <c r="BY29" s="12"/>
      <c r="BZ29" s="12"/>
      <c r="CA29" s="13"/>
      <c r="CC29" s="13"/>
    </row>
    <row r="30" spans="1:81" x14ac:dyDescent="0.35">
      <c r="A30" s="27">
        <v>25</v>
      </c>
      <c r="B30" s="57">
        <f t="shared" si="1"/>
        <v>2000</v>
      </c>
      <c r="C30" s="16">
        <f>ROUND(B30*(1+'Interest rate projection'!AB32/Var_freq)+IF(C$5="Mortgage Starts",0,Deposit_mon_alt),2)</f>
        <v>4007.35</v>
      </c>
      <c r="D30" s="16">
        <f>ROUND(C30*(1+'Interest rate projection'!AC32/Var_freq)+IF(D$5="Mortgage Starts",0,Deposit_mon_alt),2)</f>
        <v>6022.08</v>
      </c>
      <c r="E30" s="16">
        <f>ROUND(D30*(1+'Interest rate projection'!AD32/Var_freq)+IF(E$5="Mortgage Starts",0,Deposit_mon_alt),2)</f>
        <v>8044.21</v>
      </c>
      <c r="F30" s="16">
        <f>ROUND(E30*(1+'Interest rate projection'!AE32/Var_freq)+IF(F$5="Mortgage Starts",0,Deposit_mon_alt),2)</f>
        <v>10073.77</v>
      </c>
      <c r="G30" s="16">
        <f>ROUND(F30*(1+'Interest rate projection'!AF32/Var_freq)+IF(G$5="Mortgage Starts",0,Deposit_mon_alt),2)</f>
        <v>12110.79</v>
      </c>
      <c r="H30" s="16">
        <f>ROUND(G30*(1+'Interest rate projection'!AG32/Var_freq)+IF(H$5="Mortgage Starts",0,Deposit_mon_alt),2)</f>
        <v>14155.29</v>
      </c>
      <c r="I30" s="16">
        <f>ROUND(H30*(1+'Interest rate projection'!AH32/Var_freq)+IF(I$5="Mortgage Starts",0,Deposit_mon_alt),2)</f>
        <v>16207.31</v>
      </c>
      <c r="J30" s="16">
        <f>ROUND(I30*(1+'Interest rate projection'!AI32/Var_freq)+IF(J$5="Mortgage Starts",0,Deposit_mon_alt),2)</f>
        <v>18266.87</v>
      </c>
      <c r="K30" s="16">
        <f>ROUND(J30*(1+'Interest rate projection'!AJ32/Var_freq)+IF(K$5="Mortgage Starts",0,Deposit_mon_alt),2)</f>
        <v>20334</v>
      </c>
      <c r="L30" s="16">
        <f>ROUND(K30*(1+'Interest rate projection'!AK32/Var_freq)+IF(L$5="Mortgage Starts",0,Deposit_mon_alt),2)</f>
        <v>22408.720000000001</v>
      </c>
      <c r="M30" s="16">
        <f>ROUND(L30*(1+'Interest rate projection'!AL32/Var_freq)+IF(M$5="Mortgage Starts",0,Deposit_mon_alt),2)</f>
        <v>24482.080000000002</v>
      </c>
      <c r="N30" s="57">
        <f>ROUND(M30*(1+'Interest rate projection'!AM32/Var_freq)+IF(N$5="Mortgage Starts",0,Deposit_mon_alt),2)</f>
        <v>24562.23</v>
      </c>
      <c r="O30" s="12"/>
      <c r="P30" s="38">
        <f>'Interest rate projection'!N32</f>
        <v>0.04</v>
      </c>
      <c r="Q30" s="38">
        <f>'Interest rate projection'!AN32</f>
        <v>3.9284877386386974E-2</v>
      </c>
      <c r="R30" s="59" t="str">
        <f t="shared" si="2"/>
        <v>OK</v>
      </c>
      <c r="S30" s="39">
        <f t="shared" si="3"/>
        <v>15.906456614335044</v>
      </c>
      <c r="T30" s="10"/>
      <c r="U30" s="73">
        <f t="shared" si="6"/>
        <v>24562.23</v>
      </c>
      <c r="V30" s="73">
        <f t="shared" si="4"/>
        <v>175437.77</v>
      </c>
      <c r="W30" s="74">
        <f t="shared" si="5"/>
        <v>919.11</v>
      </c>
      <c r="X30" s="12"/>
      <c r="Y30" s="73">
        <f>'Fixed rate projection Alt'!$T$3-('Variable rate projection Alt'!W30*Product_term_alt*Var_freq)</f>
        <v>5680.7999999999884</v>
      </c>
      <c r="AA30" s="14"/>
      <c r="AB30" s="10"/>
      <c r="AC30" s="11"/>
      <c r="AD30" s="11"/>
      <c r="AE30" s="11"/>
      <c r="AF30" s="12"/>
      <c r="AG30" s="12"/>
      <c r="AH30" s="13"/>
      <c r="AJ30" s="14"/>
      <c r="AK30" s="10"/>
      <c r="AL30" s="11"/>
      <c r="AM30" s="11"/>
      <c r="AN30" s="11"/>
      <c r="AO30" s="12"/>
      <c r="AP30" s="12"/>
      <c r="AQ30" s="13"/>
      <c r="AS30" s="14"/>
      <c r="AT30" s="10"/>
      <c r="AU30" s="11"/>
      <c r="AV30" s="11"/>
      <c r="AW30" s="11"/>
      <c r="AX30" s="12"/>
      <c r="AY30" s="12"/>
      <c r="AZ30" s="13"/>
      <c r="BB30" s="14"/>
      <c r="BC30" s="10"/>
      <c r="BD30" s="11"/>
      <c r="BE30" s="11"/>
      <c r="BF30" s="11"/>
      <c r="BG30" s="12"/>
      <c r="BH30" s="12"/>
      <c r="BI30" s="13"/>
      <c r="BK30" s="14"/>
      <c r="BL30" s="10"/>
      <c r="BM30" s="11"/>
      <c r="BN30" s="11"/>
      <c r="BO30" s="11"/>
      <c r="BP30" s="12"/>
      <c r="BQ30" s="12"/>
      <c r="BR30" s="13"/>
      <c r="BT30" s="14"/>
      <c r="BU30" s="10"/>
      <c r="BV30" s="11"/>
      <c r="BW30" s="11"/>
      <c r="BX30" s="11"/>
      <c r="BY30" s="12"/>
      <c r="BZ30" s="12"/>
      <c r="CA30" s="13"/>
      <c r="CC30" s="13"/>
    </row>
    <row r="31" spans="1:81" x14ac:dyDescent="0.35">
      <c r="A31" s="5">
        <v>26</v>
      </c>
      <c r="B31" s="57">
        <f t="shared" si="1"/>
        <v>2000</v>
      </c>
      <c r="C31" s="16">
        <f>ROUND(B31*(1+'Interest rate projection'!AB33/Var_freq)+IF(C$5="Mortgage Starts",0,Deposit_mon_alt),2)</f>
        <v>4007.35</v>
      </c>
      <c r="D31" s="16">
        <f>ROUND(C31*(1+'Interest rate projection'!AC33/Var_freq)+IF(D$5="Mortgage Starts",0,Deposit_mon_alt),2)</f>
        <v>6022.08</v>
      </c>
      <c r="E31" s="16">
        <f>ROUND(D31*(1+'Interest rate projection'!AD33/Var_freq)+IF(E$5="Mortgage Starts",0,Deposit_mon_alt),2)</f>
        <v>8044.21</v>
      </c>
      <c r="F31" s="16">
        <f>ROUND(E31*(1+'Interest rate projection'!AE33/Var_freq)+IF(F$5="Mortgage Starts",0,Deposit_mon_alt),2)</f>
        <v>10073.77</v>
      </c>
      <c r="G31" s="16">
        <f>ROUND(F31*(1+'Interest rate projection'!AF33/Var_freq)+IF(G$5="Mortgage Starts",0,Deposit_mon_alt),2)</f>
        <v>12110.79</v>
      </c>
      <c r="H31" s="16">
        <f>ROUND(G31*(1+'Interest rate projection'!AG33/Var_freq)+IF(H$5="Mortgage Starts",0,Deposit_mon_alt),2)</f>
        <v>14155.29</v>
      </c>
      <c r="I31" s="16">
        <f>ROUND(H31*(1+'Interest rate projection'!AH33/Var_freq)+IF(I$5="Mortgage Starts",0,Deposit_mon_alt),2)</f>
        <v>16207.31</v>
      </c>
      <c r="J31" s="16">
        <f>ROUND(I31*(1+'Interest rate projection'!AI33/Var_freq)+IF(J$5="Mortgage Starts",0,Deposit_mon_alt),2)</f>
        <v>18266.87</v>
      </c>
      <c r="K31" s="16">
        <f>ROUND(J31*(1+'Interest rate projection'!AJ33/Var_freq)+IF(K$5="Mortgage Starts",0,Deposit_mon_alt),2)</f>
        <v>20334</v>
      </c>
      <c r="L31" s="16">
        <f>ROUND(K31*(1+'Interest rate projection'!AK33/Var_freq)+IF(L$5="Mortgage Starts",0,Deposit_mon_alt),2)</f>
        <v>22408.720000000001</v>
      </c>
      <c r="M31" s="16">
        <f>ROUND(L31*(1+'Interest rate projection'!AL33/Var_freq)+IF(M$5="Mortgage Starts",0,Deposit_mon_alt),2)</f>
        <v>24491.07</v>
      </c>
      <c r="N31" s="57">
        <f>ROUND(M31*(1+'Interest rate projection'!AM33/Var_freq)+IF(N$5="Mortgage Starts",0,Deposit_mon_alt),2)</f>
        <v>24581.07</v>
      </c>
      <c r="O31" s="12"/>
      <c r="P31" s="38">
        <f>'Interest rate projection'!N33</f>
        <v>4.2499999999999996E-2</v>
      </c>
      <c r="Q31" s="38">
        <f>'Interest rate projection'!AN33</f>
        <v>4.1693940041970023E-2</v>
      </c>
      <c r="R31" s="59" t="str">
        <f t="shared" si="2"/>
        <v>OK</v>
      </c>
      <c r="S31" s="39">
        <f t="shared" si="3"/>
        <v>15.511529757864551</v>
      </c>
      <c r="T31" s="10"/>
      <c r="U31" s="73">
        <f t="shared" si="6"/>
        <v>24581.07</v>
      </c>
      <c r="V31" s="73">
        <f t="shared" si="4"/>
        <v>175418.93</v>
      </c>
      <c r="W31" s="74">
        <f t="shared" si="5"/>
        <v>942.41</v>
      </c>
      <c r="X31" s="12"/>
      <c r="Y31" s="73">
        <f>'Fixed rate projection Alt'!$T$3-('Variable rate projection Alt'!W31*Product_term_alt*Var_freq)</f>
        <v>4282.7999999999884</v>
      </c>
      <c r="AA31" s="14"/>
      <c r="AB31" s="10"/>
      <c r="AC31" s="11"/>
      <c r="AD31" s="11"/>
      <c r="AE31" s="11"/>
      <c r="AF31" s="12"/>
      <c r="AG31" s="12"/>
      <c r="AH31" s="13"/>
      <c r="AJ31" s="14"/>
      <c r="AK31" s="10"/>
      <c r="AL31" s="11"/>
      <c r="AM31" s="11"/>
      <c r="AN31" s="11"/>
      <c r="AO31" s="12"/>
      <c r="AP31" s="12"/>
      <c r="AQ31" s="13"/>
      <c r="AS31" s="14"/>
      <c r="AT31" s="10"/>
      <c r="AU31" s="11"/>
      <c r="AV31" s="11"/>
      <c r="AW31" s="11"/>
      <c r="AX31" s="12"/>
      <c r="AY31" s="12"/>
      <c r="AZ31" s="13"/>
      <c r="BB31" s="14"/>
      <c r="BC31" s="10"/>
      <c r="BD31" s="11"/>
      <c r="BE31" s="11"/>
      <c r="BF31" s="11"/>
      <c r="BG31" s="12"/>
      <c r="BH31" s="12"/>
      <c r="BI31" s="13"/>
      <c r="BK31" s="14"/>
      <c r="BL31" s="10"/>
      <c r="BM31" s="11"/>
      <c r="BN31" s="11"/>
      <c r="BO31" s="11"/>
      <c r="BP31" s="12"/>
      <c r="BQ31" s="12"/>
      <c r="BR31" s="13"/>
      <c r="BT31" s="14"/>
      <c r="BU31" s="10"/>
      <c r="BV31" s="11"/>
      <c r="BW31" s="11"/>
      <c r="BX31" s="11"/>
      <c r="BY31" s="12"/>
      <c r="BZ31" s="12"/>
      <c r="CA31" s="13"/>
      <c r="CC31" s="13"/>
    </row>
    <row r="32" spans="1:81" x14ac:dyDescent="0.35">
      <c r="A32" s="27">
        <v>27</v>
      </c>
      <c r="B32" s="57">
        <f t="shared" si="1"/>
        <v>2000</v>
      </c>
      <c r="C32" s="16">
        <f>ROUND(B32*(1+'Interest rate projection'!AB34/Var_freq)+IF(C$5="Mortgage Starts",0,Deposit_mon_alt),2)</f>
        <v>4007.35</v>
      </c>
      <c r="D32" s="16">
        <f>ROUND(C32*(1+'Interest rate projection'!AC34/Var_freq)+IF(D$5="Mortgage Starts",0,Deposit_mon_alt),2)</f>
        <v>6022.08</v>
      </c>
      <c r="E32" s="16">
        <f>ROUND(D32*(1+'Interest rate projection'!AD34/Var_freq)+IF(E$5="Mortgage Starts",0,Deposit_mon_alt),2)</f>
        <v>8044.21</v>
      </c>
      <c r="F32" s="16">
        <f>ROUND(E32*(1+'Interest rate projection'!AE34/Var_freq)+IF(F$5="Mortgage Starts",0,Deposit_mon_alt),2)</f>
        <v>10073.77</v>
      </c>
      <c r="G32" s="16">
        <f>ROUND(F32*(1+'Interest rate projection'!AF34/Var_freq)+IF(G$5="Mortgage Starts",0,Deposit_mon_alt),2)</f>
        <v>12108.77</v>
      </c>
      <c r="H32" s="16">
        <f>ROUND(G32*(1+'Interest rate projection'!AG34/Var_freq)+IF(H$5="Mortgage Starts",0,Deposit_mon_alt),2)</f>
        <v>14150.84</v>
      </c>
      <c r="I32" s="16">
        <f>ROUND(H32*(1+'Interest rate projection'!AH34/Var_freq)+IF(I$5="Mortgage Starts",0,Deposit_mon_alt),2)</f>
        <v>16200.01</v>
      </c>
      <c r="J32" s="16">
        <f>ROUND(I32*(1+'Interest rate projection'!AI34/Var_freq)+IF(J$5="Mortgage Starts",0,Deposit_mon_alt),2)</f>
        <v>18253.04</v>
      </c>
      <c r="K32" s="16">
        <f>ROUND(J32*(1+'Interest rate projection'!AJ34/Var_freq)+IF(K$5="Mortgage Starts",0,Deposit_mon_alt),2)</f>
        <v>20312.8</v>
      </c>
      <c r="L32" s="16">
        <f>ROUND(K32*(1+'Interest rate projection'!AK34/Var_freq)+IF(L$5="Mortgage Starts",0,Deposit_mon_alt),2)</f>
        <v>22379.3</v>
      </c>
      <c r="M32" s="16">
        <f>ROUND(L32*(1+'Interest rate projection'!AL34/Var_freq)+IF(M$5="Mortgage Starts",0,Deposit_mon_alt),2)</f>
        <v>24452.560000000001</v>
      </c>
      <c r="N32" s="57">
        <f>ROUND(M32*(1+'Interest rate projection'!AM34/Var_freq)+IF(N$5="Mortgage Starts",0,Deposit_mon_alt),2)</f>
        <v>24532.61</v>
      </c>
      <c r="O32" s="12"/>
      <c r="P32" s="38">
        <f>'Interest rate projection'!N34</f>
        <v>3.9999999999999994E-2</v>
      </c>
      <c r="Q32" s="38">
        <f>'Interest rate projection'!AN34</f>
        <v>3.9284877386386974E-2</v>
      </c>
      <c r="R32" s="59" t="str">
        <f t="shared" si="2"/>
        <v>OK</v>
      </c>
      <c r="S32" s="39">
        <f t="shared" si="3"/>
        <v>15.906456614335044</v>
      </c>
      <c r="T32" s="10"/>
      <c r="U32" s="73">
        <f t="shared" si="6"/>
        <v>24532.61</v>
      </c>
      <c r="V32" s="73">
        <f t="shared" si="4"/>
        <v>175467.39</v>
      </c>
      <c r="W32" s="74">
        <f t="shared" si="5"/>
        <v>919.27</v>
      </c>
      <c r="X32" s="12"/>
      <c r="Y32" s="73">
        <f>'Fixed rate projection Alt'!$T$3-('Variable rate projection Alt'!W32*Product_term_alt*Var_freq)</f>
        <v>5671.1999999999898</v>
      </c>
      <c r="AA32" s="14"/>
      <c r="AB32" s="10"/>
      <c r="AC32" s="11"/>
      <c r="AD32" s="11"/>
      <c r="AE32" s="11"/>
      <c r="AF32" s="12"/>
      <c r="AG32" s="12"/>
      <c r="AH32" s="13"/>
      <c r="AJ32" s="14"/>
      <c r="AK32" s="10"/>
      <c r="AL32" s="11"/>
      <c r="AM32" s="11"/>
      <c r="AN32" s="11"/>
      <c r="AO32" s="12"/>
      <c r="AP32" s="12"/>
      <c r="AQ32" s="13"/>
      <c r="AS32" s="14"/>
      <c r="AT32" s="10"/>
      <c r="AU32" s="11"/>
      <c r="AV32" s="11"/>
      <c r="AW32" s="11"/>
      <c r="AX32" s="12"/>
      <c r="AY32" s="12"/>
      <c r="AZ32" s="13"/>
      <c r="BB32" s="14"/>
      <c r="BC32" s="10"/>
      <c r="BD32" s="11"/>
      <c r="BE32" s="11"/>
      <c r="BF32" s="11"/>
      <c r="BG32" s="12"/>
      <c r="BH32" s="12"/>
      <c r="BI32" s="13"/>
      <c r="BK32" s="14"/>
      <c r="BL32" s="10"/>
      <c r="BM32" s="11"/>
      <c r="BN32" s="11"/>
      <c r="BO32" s="11"/>
      <c r="BP32" s="12"/>
      <c r="BQ32" s="12"/>
      <c r="BR32" s="13"/>
      <c r="BT32" s="14"/>
      <c r="BU32" s="10"/>
      <c r="BV32" s="11"/>
      <c r="BW32" s="11"/>
      <c r="BX32" s="11"/>
      <c r="BY32" s="12"/>
      <c r="BZ32" s="12"/>
      <c r="CA32" s="13"/>
      <c r="CC32" s="13"/>
    </row>
    <row r="33" spans="1:81" x14ac:dyDescent="0.35">
      <c r="A33" s="5">
        <v>28</v>
      </c>
      <c r="B33" s="57">
        <f t="shared" si="1"/>
        <v>2000</v>
      </c>
      <c r="C33" s="16">
        <f>ROUND(B33*(1+'Interest rate projection'!AB35/Var_freq)+IF(C$5="Mortgage Starts",0,Deposit_mon_alt),2)</f>
        <v>4007.35</v>
      </c>
      <c r="D33" s="16">
        <f>ROUND(C33*(1+'Interest rate projection'!AC35/Var_freq)+IF(D$5="Mortgage Starts",0,Deposit_mon_alt),2)</f>
        <v>6022.08</v>
      </c>
      <c r="E33" s="16">
        <f>ROUND(D33*(1+'Interest rate projection'!AD35/Var_freq)+IF(E$5="Mortgage Starts",0,Deposit_mon_alt),2)</f>
        <v>8044.21</v>
      </c>
      <c r="F33" s="16">
        <f>ROUND(E33*(1+'Interest rate projection'!AE35/Var_freq)+IF(F$5="Mortgage Starts",0,Deposit_mon_alt),2)</f>
        <v>10073.77</v>
      </c>
      <c r="G33" s="16">
        <f>ROUND(F33*(1+'Interest rate projection'!AF35/Var_freq)+IF(G$5="Mortgage Starts",0,Deposit_mon_alt),2)</f>
        <v>12110.79</v>
      </c>
      <c r="H33" s="16">
        <f>ROUND(G33*(1+'Interest rate projection'!AG35/Var_freq)+IF(H$5="Mortgage Starts",0,Deposit_mon_alt),2)</f>
        <v>14155.29</v>
      </c>
      <c r="I33" s="16">
        <f>ROUND(H33*(1+'Interest rate projection'!AH35/Var_freq)+IF(I$5="Mortgage Starts",0,Deposit_mon_alt),2)</f>
        <v>16204.47</v>
      </c>
      <c r="J33" s="16">
        <f>ROUND(I33*(1+'Interest rate projection'!AI35/Var_freq)+IF(J$5="Mortgage Starts",0,Deposit_mon_alt),2)</f>
        <v>18260.77</v>
      </c>
      <c r="K33" s="16">
        <f>ROUND(J33*(1+'Interest rate projection'!AJ35/Var_freq)+IF(K$5="Mortgage Starts",0,Deposit_mon_alt),2)</f>
        <v>20324.22</v>
      </c>
      <c r="L33" s="16">
        <f>ROUND(K33*(1+'Interest rate projection'!AK35/Var_freq)+IF(L$5="Mortgage Starts",0,Deposit_mon_alt),2)</f>
        <v>22394.84</v>
      </c>
      <c r="M33" s="16">
        <f>ROUND(L33*(1+'Interest rate projection'!AL35/Var_freq)+IF(M$5="Mortgage Starts",0,Deposit_mon_alt),2)</f>
        <v>24472.65</v>
      </c>
      <c r="N33" s="57">
        <f>ROUND(M33*(1+'Interest rate projection'!AM35/Var_freq)+IF(N$5="Mortgage Starts",0,Deposit_mon_alt),2)</f>
        <v>24557.68</v>
      </c>
      <c r="O33" s="12"/>
      <c r="P33" s="38">
        <f>'Interest rate projection'!N35</f>
        <v>4.2499999999999996E-2</v>
      </c>
      <c r="Q33" s="38">
        <f>'Interest rate projection'!AN35</f>
        <v>4.1693940041970023E-2</v>
      </c>
      <c r="R33" s="59" t="str">
        <f t="shared" si="2"/>
        <v>OK</v>
      </c>
      <c r="S33" s="39">
        <f t="shared" si="3"/>
        <v>15.511529757864551</v>
      </c>
      <c r="T33" s="10"/>
      <c r="U33" s="73">
        <f t="shared" si="6"/>
        <v>24557.68</v>
      </c>
      <c r="V33" s="73">
        <f t="shared" si="4"/>
        <v>175442.32</v>
      </c>
      <c r="W33" s="74">
        <f t="shared" si="5"/>
        <v>942.54</v>
      </c>
      <c r="X33" s="12"/>
      <c r="Y33" s="73">
        <f>'Fixed rate projection Alt'!$T$3-('Variable rate projection Alt'!W33*Product_term_alt*Var_freq)</f>
        <v>4275</v>
      </c>
      <c r="AA33" s="14"/>
      <c r="AB33" s="10"/>
      <c r="AC33" s="11"/>
      <c r="AD33" s="11"/>
      <c r="AE33" s="11"/>
      <c r="AF33" s="12"/>
      <c r="AG33" s="12"/>
      <c r="AH33" s="13"/>
      <c r="AJ33" s="14"/>
      <c r="AK33" s="10"/>
      <c r="AL33" s="11"/>
      <c r="AM33" s="11"/>
      <c r="AN33" s="11"/>
      <c r="AO33" s="12"/>
      <c r="AP33" s="12"/>
      <c r="AQ33" s="13"/>
      <c r="AS33" s="14"/>
      <c r="AT33" s="10"/>
      <c r="AU33" s="11"/>
      <c r="AV33" s="11"/>
      <c r="AW33" s="11"/>
      <c r="AX33" s="12"/>
      <c r="AY33" s="12"/>
      <c r="AZ33" s="13"/>
      <c r="BB33" s="14"/>
      <c r="BC33" s="10"/>
      <c r="BD33" s="11"/>
      <c r="BE33" s="11"/>
      <c r="BF33" s="11"/>
      <c r="BG33" s="12"/>
      <c r="BH33" s="12"/>
      <c r="BI33" s="13"/>
      <c r="BK33" s="14"/>
      <c r="BL33" s="10"/>
      <c r="BM33" s="11"/>
      <c r="BN33" s="11"/>
      <c r="BO33" s="11"/>
      <c r="BP33" s="12"/>
      <c r="BQ33" s="12"/>
      <c r="BR33" s="13"/>
      <c r="BT33" s="14"/>
      <c r="BU33" s="10"/>
      <c r="BV33" s="11"/>
      <c r="BW33" s="11"/>
      <c r="BX33" s="11"/>
      <c r="BY33" s="12"/>
      <c r="BZ33" s="12"/>
      <c r="CA33" s="13"/>
      <c r="CC33" s="13"/>
    </row>
    <row r="34" spans="1:81" x14ac:dyDescent="0.35">
      <c r="A34" s="27">
        <v>29</v>
      </c>
      <c r="B34" s="57">
        <f t="shared" si="1"/>
        <v>2000</v>
      </c>
      <c r="C34" s="16">
        <f>ROUND(B34*(1+'Interest rate projection'!AB36/Var_freq)+IF(C$5="Mortgage Starts",0,Deposit_mon_alt),2)</f>
        <v>4007.35</v>
      </c>
      <c r="D34" s="16">
        <f>ROUND(C34*(1+'Interest rate projection'!AC36/Var_freq)+IF(D$5="Mortgage Starts",0,Deposit_mon_alt),2)</f>
        <v>6022.08</v>
      </c>
      <c r="E34" s="16">
        <f>ROUND(D34*(1+'Interest rate projection'!AD36/Var_freq)+IF(E$5="Mortgage Starts",0,Deposit_mon_alt),2)</f>
        <v>8044.21</v>
      </c>
      <c r="F34" s="16">
        <f>ROUND(E34*(1+'Interest rate projection'!AE36/Var_freq)+IF(F$5="Mortgage Starts",0,Deposit_mon_alt),2)</f>
        <v>10073.77</v>
      </c>
      <c r="G34" s="16">
        <f>ROUND(F34*(1+'Interest rate projection'!AF36/Var_freq)+IF(G$5="Mortgage Starts",0,Deposit_mon_alt),2)</f>
        <v>12114.81</v>
      </c>
      <c r="H34" s="16">
        <f>ROUND(G34*(1+'Interest rate projection'!AG36/Var_freq)+IF(H$5="Mortgage Starts",0,Deposit_mon_alt),2)</f>
        <v>14164.17</v>
      </c>
      <c r="I34" s="16">
        <f>ROUND(H34*(1+'Interest rate projection'!AH36/Var_freq)+IF(I$5="Mortgage Starts",0,Deposit_mon_alt),2)</f>
        <v>16219.05</v>
      </c>
      <c r="J34" s="16">
        <f>ROUND(I34*(1+'Interest rate projection'!AI36/Var_freq)+IF(J$5="Mortgage Starts",0,Deposit_mon_alt),2)</f>
        <v>18281.89</v>
      </c>
      <c r="K34" s="16">
        <f>ROUND(J34*(1+'Interest rate projection'!AJ36/Var_freq)+IF(K$5="Mortgage Starts",0,Deposit_mon_alt),2)</f>
        <v>20352.73</v>
      </c>
      <c r="L34" s="16">
        <f>ROUND(K34*(1+'Interest rate projection'!AK36/Var_freq)+IF(L$5="Mortgage Starts",0,Deposit_mon_alt),2)</f>
        <v>22431.59</v>
      </c>
      <c r="M34" s="16">
        <f>ROUND(L34*(1+'Interest rate projection'!AL36/Var_freq)+IF(M$5="Mortgage Starts",0,Deposit_mon_alt),2)</f>
        <v>24514.02</v>
      </c>
      <c r="N34" s="57">
        <f>ROUND(M34*(1+'Interest rate projection'!AM36/Var_freq)+IF(N$5="Mortgage Starts",0,Deposit_mon_alt),2)</f>
        <v>24604.1</v>
      </c>
      <c r="O34" s="12"/>
      <c r="P34" s="38">
        <f>'Interest rate projection'!N36</f>
        <v>4.4999999999999991E-2</v>
      </c>
      <c r="Q34" s="38">
        <f>'Interest rate projection'!AN36</f>
        <v>4.4097712805242217E-2</v>
      </c>
      <c r="R34" s="59" t="str">
        <f t="shared" si="2"/>
        <v>OK</v>
      </c>
      <c r="S34" s="39">
        <f t="shared" si="3"/>
        <v>15.131610255367837</v>
      </c>
      <c r="T34" s="10"/>
      <c r="U34" s="73">
        <f t="shared" si="6"/>
        <v>24604.1</v>
      </c>
      <c r="V34" s="73">
        <f t="shared" si="4"/>
        <v>175395.9</v>
      </c>
      <c r="W34" s="74">
        <f t="shared" si="5"/>
        <v>965.95</v>
      </c>
      <c r="X34" s="12"/>
      <c r="Y34" s="73">
        <f>'Fixed rate projection Alt'!$T$3-('Variable rate projection Alt'!W34*Product_term_alt*Var_freq)</f>
        <v>2870.3999999999942</v>
      </c>
      <c r="AA34" s="14"/>
      <c r="AB34" s="10"/>
      <c r="AC34" s="11"/>
      <c r="AD34" s="11"/>
      <c r="AE34" s="11"/>
      <c r="AF34" s="12"/>
      <c r="AG34" s="12"/>
      <c r="AH34" s="13"/>
      <c r="AJ34" s="14"/>
      <c r="AK34" s="10"/>
      <c r="AL34" s="11"/>
      <c r="AM34" s="11"/>
      <c r="AN34" s="11"/>
      <c r="AO34" s="12"/>
      <c r="AP34" s="12"/>
      <c r="AQ34" s="13"/>
      <c r="AS34" s="14"/>
      <c r="AT34" s="10"/>
      <c r="AU34" s="11"/>
      <c r="AV34" s="11"/>
      <c r="AW34" s="11"/>
      <c r="AX34" s="12"/>
      <c r="AY34" s="12"/>
      <c r="AZ34" s="13"/>
      <c r="BB34" s="14"/>
      <c r="BC34" s="10"/>
      <c r="BD34" s="11"/>
      <c r="BE34" s="11"/>
      <c r="BF34" s="11"/>
      <c r="BG34" s="12"/>
      <c r="BH34" s="12"/>
      <c r="BI34" s="13"/>
      <c r="BK34" s="14"/>
      <c r="BL34" s="10"/>
      <c r="BM34" s="11"/>
      <c r="BN34" s="11"/>
      <c r="BO34" s="11"/>
      <c r="BP34" s="12"/>
      <c r="BQ34" s="12"/>
      <c r="BR34" s="13"/>
      <c r="BT34" s="14"/>
      <c r="BU34" s="10"/>
      <c r="BV34" s="11"/>
      <c r="BW34" s="11"/>
      <c r="BX34" s="11"/>
      <c r="BY34" s="12"/>
      <c r="BZ34" s="12"/>
      <c r="CA34" s="13"/>
      <c r="CC34" s="13"/>
    </row>
    <row r="35" spans="1:81" x14ac:dyDescent="0.35">
      <c r="A35" s="5">
        <v>30</v>
      </c>
      <c r="B35" s="57">
        <f t="shared" si="1"/>
        <v>2000</v>
      </c>
      <c r="C35" s="16">
        <f>ROUND(B35*(1+'Interest rate projection'!AB37/Var_freq)+IF(C$5="Mortgage Starts",0,Deposit_mon_alt),2)</f>
        <v>4007.35</v>
      </c>
      <c r="D35" s="16">
        <f>ROUND(C35*(1+'Interest rate projection'!AC37/Var_freq)+IF(D$5="Mortgage Starts",0,Deposit_mon_alt),2)</f>
        <v>6022.88</v>
      </c>
      <c r="E35" s="16">
        <f>ROUND(D35*(1+'Interest rate projection'!AD37/Var_freq)+IF(E$5="Mortgage Starts",0,Deposit_mon_alt),2)</f>
        <v>8043.81</v>
      </c>
      <c r="F35" s="16">
        <f>ROUND(E35*(1+'Interest rate projection'!AE37/Var_freq)+IF(F$5="Mortgage Starts",0,Deposit_mon_alt),2)</f>
        <v>10070.14</v>
      </c>
      <c r="G35" s="16">
        <f>ROUND(F35*(1+'Interest rate projection'!AF37/Var_freq)+IF(G$5="Mortgage Starts",0,Deposit_mon_alt),2)</f>
        <v>12103.11</v>
      </c>
      <c r="H35" s="16">
        <f>ROUND(G35*(1+'Interest rate projection'!AG37/Var_freq)+IF(H$5="Mortgage Starts",0,Deposit_mon_alt),2)</f>
        <v>14142.73</v>
      </c>
      <c r="I35" s="16">
        <f>ROUND(H35*(1+'Interest rate projection'!AH37/Var_freq)+IF(I$5="Mortgage Starts",0,Deposit_mon_alt),2)</f>
        <v>16189.03</v>
      </c>
      <c r="J35" s="16">
        <f>ROUND(I35*(1+'Interest rate projection'!AI37/Var_freq)+IF(J$5="Mortgage Starts",0,Deposit_mon_alt),2)</f>
        <v>18242.03</v>
      </c>
      <c r="K35" s="16">
        <f>ROUND(J35*(1+'Interest rate projection'!AJ37/Var_freq)+IF(K$5="Mortgage Starts",0,Deposit_mon_alt),2)</f>
        <v>20301.75</v>
      </c>
      <c r="L35" s="16">
        <f>ROUND(K35*(1+'Interest rate projection'!AK37/Var_freq)+IF(L$5="Mortgage Starts",0,Deposit_mon_alt),2)</f>
        <v>22360.03</v>
      </c>
      <c r="M35" s="16">
        <f>ROUND(L35*(1+'Interest rate projection'!AL37/Var_freq)+IF(M$5="Mortgage Starts",0,Deposit_mon_alt),2)</f>
        <v>24424.22</v>
      </c>
      <c r="N35" s="57">
        <f>ROUND(M35*(1+'Interest rate projection'!AM37/Var_freq)+IF(N$5="Mortgage Starts",0,Deposit_mon_alt),2)</f>
        <v>24494.34</v>
      </c>
      <c r="O35" s="12"/>
      <c r="P35" s="38">
        <f>'Interest rate projection'!N37</f>
        <v>3.5000000000000003E-2</v>
      </c>
      <c r="Q35" s="38">
        <f>'Interest rate projection'!AN37</f>
        <v>3.4450784628919706E-2</v>
      </c>
      <c r="R35" s="59" t="str">
        <f t="shared" si="2"/>
        <v>OK</v>
      </c>
      <c r="S35" s="39">
        <f t="shared" si="3"/>
        <v>16.744263358395965</v>
      </c>
      <c r="T35" s="10"/>
      <c r="U35" s="73">
        <f t="shared" si="6"/>
        <v>24494.34</v>
      </c>
      <c r="V35" s="73">
        <f t="shared" si="4"/>
        <v>175505.66</v>
      </c>
      <c r="W35" s="74">
        <f t="shared" si="5"/>
        <v>873.46</v>
      </c>
      <c r="X35" s="12"/>
      <c r="Y35" s="73">
        <f>'Fixed rate projection Alt'!$T$3-('Variable rate projection Alt'!W35*Product_term_alt*Var_freq)</f>
        <v>8419.7999999999884</v>
      </c>
      <c r="AA35" s="14"/>
      <c r="AB35" s="10"/>
      <c r="AC35" s="11"/>
      <c r="AD35" s="11"/>
      <c r="AE35" s="11"/>
      <c r="AF35" s="12"/>
      <c r="AG35" s="12"/>
      <c r="AH35" s="13"/>
      <c r="AJ35" s="14"/>
      <c r="AK35" s="10"/>
      <c r="AL35" s="11"/>
      <c r="AM35" s="11"/>
      <c r="AN35" s="11"/>
      <c r="AO35" s="12"/>
      <c r="AP35" s="12"/>
      <c r="AQ35" s="13"/>
      <c r="AS35" s="14"/>
      <c r="AT35" s="10"/>
      <c r="AU35" s="11"/>
      <c r="AV35" s="11"/>
      <c r="AW35" s="11"/>
      <c r="AX35" s="12"/>
      <c r="AY35" s="12"/>
      <c r="AZ35" s="13"/>
      <c r="BB35" s="14"/>
      <c r="BC35" s="10"/>
      <c r="BD35" s="11"/>
      <c r="BE35" s="11"/>
      <c r="BF35" s="11"/>
      <c r="BG35" s="12"/>
      <c r="BH35" s="12"/>
      <c r="BI35" s="13"/>
      <c r="BK35" s="14"/>
      <c r="BL35" s="10"/>
      <c r="BM35" s="11"/>
      <c r="BN35" s="11"/>
      <c r="BO35" s="11"/>
      <c r="BP35" s="12"/>
      <c r="BQ35" s="12"/>
      <c r="BR35" s="13"/>
      <c r="BT35" s="14"/>
      <c r="BU35" s="10"/>
      <c r="BV35" s="11"/>
      <c r="BW35" s="11"/>
      <c r="BX35" s="11"/>
      <c r="BY35" s="12"/>
      <c r="BZ35" s="12"/>
      <c r="CA35" s="13"/>
      <c r="CC35" s="13"/>
    </row>
    <row r="36" spans="1:81" x14ac:dyDescent="0.35">
      <c r="A36" s="27">
        <v>31</v>
      </c>
      <c r="B36" s="57">
        <f t="shared" si="1"/>
        <v>2000</v>
      </c>
      <c r="C36" s="16">
        <f>ROUND(B36*(1+'Interest rate projection'!AB38/Var_freq)+IF(C$5="Mortgage Starts",0,Deposit_mon_alt),2)</f>
        <v>4007.35</v>
      </c>
      <c r="D36" s="16">
        <f>ROUND(C36*(1+'Interest rate projection'!AC38/Var_freq)+IF(D$5="Mortgage Starts",0,Deposit_mon_alt),2)</f>
        <v>6022.88</v>
      </c>
      <c r="E36" s="16">
        <f>ROUND(D36*(1+'Interest rate projection'!AD38/Var_freq)+IF(E$5="Mortgage Starts",0,Deposit_mon_alt),2)</f>
        <v>8046.22</v>
      </c>
      <c r="F36" s="16">
        <f>ROUND(E36*(1+'Interest rate projection'!AE38/Var_freq)+IF(F$5="Mortgage Starts",0,Deposit_mon_alt),2)</f>
        <v>10077.4</v>
      </c>
      <c r="G36" s="16">
        <f>ROUND(F36*(1+'Interest rate projection'!AF38/Var_freq)+IF(G$5="Mortgage Starts",0,Deposit_mon_alt),2)</f>
        <v>12116.45</v>
      </c>
      <c r="H36" s="16">
        <f>ROUND(G36*(1+'Interest rate projection'!AG38/Var_freq)+IF(H$5="Mortgage Starts",0,Deposit_mon_alt),2)</f>
        <v>14163.4</v>
      </c>
      <c r="I36" s="16">
        <f>ROUND(H36*(1+'Interest rate projection'!AH38/Var_freq)+IF(I$5="Mortgage Starts",0,Deposit_mon_alt),2)</f>
        <v>16218.28</v>
      </c>
      <c r="J36" s="16">
        <f>ROUND(I36*(1+'Interest rate projection'!AI38/Var_freq)+IF(J$5="Mortgage Starts",0,Deposit_mon_alt),2)</f>
        <v>18281.12</v>
      </c>
      <c r="K36" s="16">
        <f>ROUND(J36*(1+'Interest rate projection'!AJ38/Var_freq)+IF(K$5="Mortgage Starts",0,Deposit_mon_alt),2)</f>
        <v>20348.3</v>
      </c>
      <c r="L36" s="16">
        <f>ROUND(K36*(1+'Interest rate projection'!AK38/Var_freq)+IF(L$5="Mortgage Starts",0,Deposit_mon_alt),2)</f>
        <v>22419</v>
      </c>
      <c r="M36" s="16">
        <f>ROUND(L36*(1+'Interest rate projection'!AL38/Var_freq)+IF(M$5="Mortgage Starts",0,Deposit_mon_alt),2)</f>
        <v>24496.89</v>
      </c>
      <c r="N36" s="57">
        <f>ROUND(M36*(1+'Interest rate projection'!AM38/Var_freq)+IF(N$5="Mortgage Starts",0,Deposit_mon_alt),2)</f>
        <v>24582</v>
      </c>
      <c r="O36" s="12"/>
      <c r="P36" s="38">
        <f>'Interest rate projection'!N38</f>
        <v>4.2499999999999996E-2</v>
      </c>
      <c r="Q36" s="38">
        <f>'Interest rate projection'!AN38</f>
        <v>4.1693940041970023E-2</v>
      </c>
      <c r="R36" s="59" t="str">
        <f t="shared" si="2"/>
        <v>OK</v>
      </c>
      <c r="S36" s="39">
        <f t="shared" si="3"/>
        <v>15.511529757864551</v>
      </c>
      <c r="T36" s="10"/>
      <c r="U36" s="73">
        <f t="shared" si="6"/>
        <v>24582</v>
      </c>
      <c r="V36" s="73">
        <f t="shared" si="4"/>
        <v>175418</v>
      </c>
      <c r="W36" s="74">
        <f t="shared" si="5"/>
        <v>942.41</v>
      </c>
      <c r="X36" s="12"/>
      <c r="Y36" s="73">
        <f>'Fixed rate projection Alt'!$T$3-('Variable rate projection Alt'!W36*Product_term_alt*Var_freq)</f>
        <v>4282.7999999999884</v>
      </c>
      <c r="AA36" s="14"/>
      <c r="AB36" s="10"/>
      <c r="AC36" s="11"/>
      <c r="AD36" s="11"/>
      <c r="AE36" s="11"/>
      <c r="AF36" s="12"/>
      <c r="AG36" s="12"/>
      <c r="AH36" s="13"/>
      <c r="AJ36" s="14"/>
      <c r="AK36" s="10"/>
      <c r="AL36" s="11"/>
      <c r="AM36" s="11"/>
      <c r="AN36" s="11"/>
      <c r="AO36" s="12"/>
      <c r="AP36" s="12"/>
      <c r="AQ36" s="13"/>
      <c r="AS36" s="14"/>
      <c r="AT36" s="10"/>
      <c r="AU36" s="11"/>
      <c r="AV36" s="11"/>
      <c r="AW36" s="11"/>
      <c r="AX36" s="12"/>
      <c r="AY36" s="12"/>
      <c r="AZ36" s="13"/>
      <c r="BB36" s="14"/>
      <c r="BC36" s="10"/>
      <c r="BD36" s="11"/>
      <c r="BE36" s="11"/>
      <c r="BF36" s="11"/>
      <c r="BG36" s="12"/>
      <c r="BH36" s="12"/>
      <c r="BI36" s="13"/>
      <c r="BK36" s="14"/>
      <c r="BL36" s="10"/>
      <c r="BM36" s="11"/>
      <c r="BN36" s="11"/>
      <c r="BO36" s="11"/>
      <c r="BP36" s="12"/>
      <c r="BQ36" s="12"/>
      <c r="BR36" s="13"/>
      <c r="BT36" s="14"/>
      <c r="BU36" s="10"/>
      <c r="BV36" s="11"/>
      <c r="BW36" s="11"/>
      <c r="BX36" s="11"/>
      <c r="BY36" s="12"/>
      <c r="BZ36" s="12"/>
      <c r="CA36" s="13"/>
      <c r="CC36" s="13"/>
    </row>
    <row r="37" spans="1:81" x14ac:dyDescent="0.35">
      <c r="A37" s="5">
        <v>32</v>
      </c>
      <c r="B37" s="57">
        <f t="shared" si="1"/>
        <v>2000</v>
      </c>
      <c r="C37" s="16">
        <f>ROUND(B37*(1+'Interest rate projection'!AB39/Var_freq)+IF(C$5="Mortgage Starts",0,Deposit_mon_alt),2)</f>
        <v>4007.35</v>
      </c>
      <c r="D37" s="16">
        <f>ROUND(C37*(1+'Interest rate projection'!AC39/Var_freq)+IF(D$5="Mortgage Starts",0,Deposit_mon_alt),2)</f>
        <v>6022.08</v>
      </c>
      <c r="E37" s="16">
        <f>ROUND(D37*(1+'Interest rate projection'!AD39/Var_freq)+IF(E$5="Mortgage Starts",0,Deposit_mon_alt),2)</f>
        <v>8044.21</v>
      </c>
      <c r="F37" s="16">
        <f>ROUND(E37*(1+'Interest rate projection'!AE39/Var_freq)+IF(F$5="Mortgage Starts",0,Deposit_mon_alt),2)</f>
        <v>10073.77</v>
      </c>
      <c r="G37" s="16">
        <f>ROUND(F37*(1+'Interest rate projection'!AF39/Var_freq)+IF(G$5="Mortgage Starts",0,Deposit_mon_alt),2)</f>
        <v>12112.8</v>
      </c>
      <c r="H37" s="16">
        <f>ROUND(G37*(1+'Interest rate projection'!AG39/Var_freq)+IF(H$5="Mortgage Starts",0,Deposit_mon_alt),2)</f>
        <v>14159.73</v>
      </c>
      <c r="I37" s="16">
        <f>ROUND(H37*(1+'Interest rate projection'!AH39/Var_freq)+IF(I$5="Mortgage Starts",0,Deposit_mon_alt),2)</f>
        <v>16214.59</v>
      </c>
      <c r="J37" s="16">
        <f>ROUND(I37*(1+'Interest rate projection'!AI39/Var_freq)+IF(J$5="Mortgage Starts",0,Deposit_mon_alt),2)</f>
        <v>18277.419999999998</v>
      </c>
      <c r="K37" s="16">
        <f>ROUND(J37*(1+'Interest rate projection'!AJ39/Var_freq)+IF(K$5="Mortgage Starts",0,Deposit_mon_alt),2)</f>
        <v>20348.240000000002</v>
      </c>
      <c r="L37" s="16">
        <f>ROUND(K37*(1+'Interest rate projection'!AK39/Var_freq)+IF(L$5="Mortgage Starts",0,Deposit_mon_alt),2)</f>
        <v>22427.08</v>
      </c>
      <c r="M37" s="16">
        <f>ROUND(L37*(1+'Interest rate projection'!AL39/Var_freq)+IF(M$5="Mortgage Starts",0,Deposit_mon_alt),2)</f>
        <v>24505</v>
      </c>
      <c r="N37" s="57">
        <f>ROUND(M37*(1+'Interest rate projection'!AM39/Var_freq)+IF(N$5="Mortgage Starts",0,Deposit_mon_alt),2)</f>
        <v>24595.05</v>
      </c>
      <c r="O37" s="12"/>
      <c r="P37" s="38">
        <f>'Interest rate projection'!N39</f>
        <v>4.5000000000000005E-2</v>
      </c>
      <c r="Q37" s="38">
        <f>'Interest rate projection'!AN39</f>
        <v>4.4097712805242217E-2</v>
      </c>
      <c r="R37" s="59" t="str">
        <f t="shared" si="2"/>
        <v>OK</v>
      </c>
      <c r="S37" s="39">
        <f t="shared" si="3"/>
        <v>15.131610255367837</v>
      </c>
      <c r="T37" s="10"/>
      <c r="U37" s="73">
        <f t="shared" si="6"/>
        <v>24595.05</v>
      </c>
      <c r="V37" s="73">
        <f t="shared" si="4"/>
        <v>175404.95</v>
      </c>
      <c r="W37" s="74">
        <f t="shared" si="5"/>
        <v>966</v>
      </c>
      <c r="X37" s="12"/>
      <c r="Y37" s="73">
        <f>'Fixed rate projection Alt'!$T$3-('Variable rate projection Alt'!W37*Product_term_alt*Var_freq)</f>
        <v>2867.3999999999942</v>
      </c>
      <c r="AA37" s="14"/>
      <c r="AB37" s="10"/>
      <c r="AC37" s="11"/>
      <c r="AD37" s="11"/>
      <c r="AE37" s="11"/>
      <c r="AF37" s="12"/>
      <c r="AG37" s="12"/>
      <c r="AH37" s="13"/>
      <c r="AJ37" s="14"/>
      <c r="AK37" s="10"/>
      <c r="AL37" s="11"/>
      <c r="AM37" s="11"/>
      <c r="AN37" s="11"/>
      <c r="AO37" s="12"/>
      <c r="AP37" s="12"/>
      <c r="AQ37" s="13"/>
      <c r="AS37" s="14"/>
      <c r="AT37" s="10"/>
      <c r="AU37" s="11"/>
      <c r="AV37" s="11"/>
      <c r="AW37" s="11"/>
      <c r="AX37" s="12"/>
      <c r="AY37" s="12"/>
      <c r="AZ37" s="13"/>
      <c r="BB37" s="14"/>
      <c r="BC37" s="10"/>
      <c r="BD37" s="11"/>
      <c r="BE37" s="11"/>
      <c r="BF37" s="11"/>
      <c r="BG37" s="12"/>
      <c r="BH37" s="12"/>
      <c r="BI37" s="13"/>
      <c r="BK37" s="14"/>
      <c r="BL37" s="10"/>
      <c r="BM37" s="11"/>
      <c r="BN37" s="11"/>
      <c r="BO37" s="11"/>
      <c r="BP37" s="12"/>
      <c r="BQ37" s="12"/>
      <c r="BR37" s="13"/>
      <c r="BT37" s="14"/>
      <c r="BU37" s="10"/>
      <c r="BV37" s="11"/>
      <c r="BW37" s="11"/>
      <c r="BX37" s="11"/>
      <c r="BY37" s="12"/>
      <c r="BZ37" s="12"/>
      <c r="CA37" s="13"/>
      <c r="CC37" s="13"/>
    </row>
    <row r="38" spans="1:81" x14ac:dyDescent="0.35">
      <c r="A38" s="27">
        <v>33</v>
      </c>
      <c r="B38" s="57">
        <f t="shared" ref="B38:B69" si="7">Deposit_mon_alt</f>
        <v>2000</v>
      </c>
      <c r="C38" s="16">
        <f>ROUND(B38*(1+'Interest rate projection'!AB40/Var_freq)+IF(C$5="Mortgage Starts",0,Deposit_mon_alt),2)</f>
        <v>4007.35</v>
      </c>
      <c r="D38" s="16">
        <f>ROUND(C38*(1+'Interest rate projection'!AC40/Var_freq)+IF(D$5="Mortgage Starts",0,Deposit_mon_alt),2)</f>
        <v>6022.08</v>
      </c>
      <c r="E38" s="16">
        <f>ROUND(D38*(1+'Interest rate projection'!AD40/Var_freq)+IF(E$5="Mortgage Starts",0,Deposit_mon_alt),2)</f>
        <v>8044.21</v>
      </c>
      <c r="F38" s="16">
        <f>ROUND(E38*(1+'Interest rate projection'!AE40/Var_freq)+IF(F$5="Mortgage Starts",0,Deposit_mon_alt),2)</f>
        <v>10073.77</v>
      </c>
      <c r="G38" s="16">
        <f>ROUND(F38*(1+'Interest rate projection'!AF40/Var_freq)+IF(G$5="Mortgage Starts",0,Deposit_mon_alt),2)</f>
        <v>12110.79</v>
      </c>
      <c r="H38" s="16">
        <f>ROUND(G38*(1+'Interest rate projection'!AG40/Var_freq)+IF(H$5="Mortgage Starts",0,Deposit_mon_alt),2)</f>
        <v>14155.29</v>
      </c>
      <c r="I38" s="16">
        <f>ROUND(H38*(1+'Interest rate projection'!AH40/Var_freq)+IF(I$5="Mortgage Starts",0,Deposit_mon_alt),2)</f>
        <v>16207.31</v>
      </c>
      <c r="J38" s="16">
        <f>ROUND(I38*(1+'Interest rate projection'!AI40/Var_freq)+IF(J$5="Mortgage Starts",0,Deposit_mon_alt),2)</f>
        <v>18266.87</v>
      </c>
      <c r="K38" s="16">
        <f>ROUND(J38*(1+'Interest rate projection'!AJ40/Var_freq)+IF(K$5="Mortgage Starts",0,Deposit_mon_alt),2)</f>
        <v>20334</v>
      </c>
      <c r="L38" s="16">
        <f>ROUND(K38*(1+'Interest rate projection'!AK40/Var_freq)+IF(L$5="Mortgage Starts",0,Deposit_mon_alt),2)</f>
        <v>22408.720000000001</v>
      </c>
      <c r="M38" s="16">
        <f>ROUND(L38*(1+'Interest rate projection'!AL40/Var_freq)+IF(M$5="Mortgage Starts",0,Deposit_mon_alt),2)</f>
        <v>24482.080000000002</v>
      </c>
      <c r="N38" s="57">
        <f>ROUND(M38*(1+'Interest rate projection'!AM40/Var_freq)+IF(N$5="Mortgage Starts",0,Deposit_mon_alt),2)</f>
        <v>24562.23</v>
      </c>
      <c r="O38" s="12"/>
      <c r="P38" s="38">
        <f>'Interest rate projection'!N40</f>
        <v>0.04</v>
      </c>
      <c r="Q38" s="38">
        <f>'Interest rate projection'!AN40</f>
        <v>3.9284877386386974E-2</v>
      </c>
      <c r="R38" s="59" t="str">
        <f t="shared" ref="R38:R69" si="8">IF(ROUND(P38,6)=ROUND((1+Q38/Var_freq)^Var_freq-1,6),"OK","ERROR")</f>
        <v>OK</v>
      </c>
      <c r="S38" s="39">
        <f t="shared" ref="S38:S69" si="9">(1-(1+P38)^-Mort_term)/Q38</f>
        <v>15.906456614335044</v>
      </c>
      <c r="T38" s="10"/>
      <c r="U38" s="73">
        <f t="shared" si="6"/>
        <v>24562.23</v>
      </c>
      <c r="V38" s="73">
        <f t="shared" si="4"/>
        <v>175437.77</v>
      </c>
      <c r="W38" s="74">
        <f t="shared" ref="W38:W69" si="10">ROUND(V38/S38/Var_freq,2)</f>
        <v>919.11</v>
      </c>
      <c r="X38" s="12"/>
      <c r="Y38" s="73">
        <f>'Fixed rate projection Alt'!$T$3-('Variable rate projection Alt'!W38*Product_term_alt*Var_freq)</f>
        <v>5680.7999999999884</v>
      </c>
      <c r="AA38" s="14"/>
      <c r="AB38" s="10"/>
      <c r="AC38" s="11"/>
      <c r="AD38" s="11"/>
      <c r="AE38" s="11"/>
      <c r="AF38" s="12"/>
      <c r="AG38" s="12"/>
      <c r="AH38" s="13"/>
      <c r="AJ38" s="14"/>
      <c r="AK38" s="10"/>
      <c r="AL38" s="11"/>
      <c r="AM38" s="11"/>
      <c r="AN38" s="11"/>
      <c r="AO38" s="12"/>
      <c r="AP38" s="12"/>
      <c r="AQ38" s="13"/>
      <c r="AS38" s="14"/>
      <c r="AT38" s="10"/>
      <c r="AU38" s="11"/>
      <c r="AV38" s="11"/>
      <c r="AW38" s="11"/>
      <c r="AX38" s="12"/>
      <c r="AY38" s="12"/>
      <c r="AZ38" s="13"/>
      <c r="BB38" s="14"/>
      <c r="BC38" s="10"/>
      <c r="BD38" s="11"/>
      <c r="BE38" s="11"/>
      <c r="BF38" s="11"/>
      <c r="BG38" s="12"/>
      <c r="BH38" s="12"/>
      <c r="BI38" s="13"/>
      <c r="BK38" s="14"/>
      <c r="BL38" s="10"/>
      <c r="BM38" s="11"/>
      <c r="BN38" s="11"/>
      <c r="BO38" s="11"/>
      <c r="BP38" s="12"/>
      <c r="BQ38" s="12"/>
      <c r="BR38" s="13"/>
      <c r="BT38" s="14"/>
      <c r="BU38" s="10"/>
      <c r="BV38" s="11"/>
      <c r="BW38" s="11"/>
      <c r="BX38" s="11"/>
      <c r="BY38" s="12"/>
      <c r="BZ38" s="12"/>
      <c r="CA38" s="13"/>
      <c r="CC38" s="13"/>
    </row>
    <row r="39" spans="1:81" x14ac:dyDescent="0.35">
      <c r="A39" s="5">
        <v>34</v>
      </c>
      <c r="B39" s="57">
        <f t="shared" si="7"/>
        <v>2000</v>
      </c>
      <c r="C39" s="16">
        <f>ROUND(B39*(1+'Interest rate projection'!AB41/Var_freq)+IF(C$5="Mortgage Starts",0,Deposit_mon_alt),2)</f>
        <v>4007.35</v>
      </c>
      <c r="D39" s="16">
        <f>ROUND(C39*(1+'Interest rate projection'!AC41/Var_freq)+IF(D$5="Mortgage Starts",0,Deposit_mon_alt),2)</f>
        <v>6022.08</v>
      </c>
      <c r="E39" s="16">
        <f>ROUND(D39*(1+'Interest rate projection'!AD41/Var_freq)+IF(E$5="Mortgage Starts",0,Deposit_mon_alt),2)</f>
        <v>8044.21</v>
      </c>
      <c r="F39" s="16">
        <f>ROUND(E39*(1+'Interest rate projection'!AE41/Var_freq)+IF(F$5="Mortgage Starts",0,Deposit_mon_alt),2)</f>
        <v>10073.77</v>
      </c>
      <c r="G39" s="16">
        <f>ROUND(F39*(1+'Interest rate projection'!AF41/Var_freq)+IF(G$5="Mortgage Starts",0,Deposit_mon_alt),2)</f>
        <v>12110.79</v>
      </c>
      <c r="H39" s="16">
        <f>ROUND(G39*(1+'Interest rate projection'!AG41/Var_freq)+IF(H$5="Mortgage Starts",0,Deposit_mon_alt),2)</f>
        <v>14160.13</v>
      </c>
      <c r="I39" s="16">
        <f>ROUND(H39*(1+'Interest rate projection'!AH41/Var_freq)+IF(I$5="Mortgage Starts",0,Deposit_mon_alt),2)</f>
        <v>16217.82</v>
      </c>
      <c r="J39" s="16">
        <f>ROUND(I39*(1+'Interest rate projection'!AI41/Var_freq)+IF(J$5="Mortgage Starts",0,Deposit_mon_alt),2)</f>
        <v>18283.89</v>
      </c>
      <c r="K39" s="16">
        <f>ROUND(J39*(1+'Interest rate projection'!AJ41/Var_freq)+IF(K$5="Mortgage Starts",0,Deposit_mon_alt),2)</f>
        <v>20358.38</v>
      </c>
      <c r="L39" s="16">
        <f>ROUND(K39*(1+'Interest rate projection'!AK41/Var_freq)+IF(L$5="Mortgage Starts",0,Deposit_mon_alt),2)</f>
        <v>22441.32</v>
      </c>
      <c r="M39" s="16">
        <f>ROUND(L39*(1+'Interest rate projection'!AL41/Var_freq)+IF(M$5="Mortgage Starts",0,Deposit_mon_alt),2)</f>
        <v>24532.75</v>
      </c>
      <c r="N39" s="57">
        <f>ROUND(M39*(1+'Interest rate projection'!AM41/Var_freq)+IF(N$5="Mortgage Starts",0,Deposit_mon_alt),2)</f>
        <v>24632.7</v>
      </c>
      <c r="O39" s="12"/>
      <c r="P39" s="38">
        <f>'Interest rate projection'!N41</f>
        <v>5.2499999999999998E-2</v>
      </c>
      <c r="Q39" s="38">
        <f>'Interest rate projection'!AN41</f>
        <v>5.1277533193896829E-2</v>
      </c>
      <c r="R39" s="59" t="str">
        <f t="shared" si="8"/>
        <v>OK</v>
      </c>
      <c r="S39" s="39">
        <f t="shared" si="9"/>
        <v>14.075212462503044</v>
      </c>
      <c r="T39" s="10"/>
      <c r="U39" s="73">
        <f t="shared" si="6"/>
        <v>24632.7</v>
      </c>
      <c r="V39" s="73">
        <f t="shared" si="4"/>
        <v>175367.3</v>
      </c>
      <c r="W39" s="74">
        <f t="shared" si="10"/>
        <v>1038.28</v>
      </c>
      <c r="X39" s="12"/>
      <c r="Y39" s="73">
        <f>'Fixed rate projection Alt'!$T$3-('Variable rate projection Alt'!W39*Product_term_alt*Var_freq)</f>
        <v>-1469.4000000000015</v>
      </c>
      <c r="AA39" s="14"/>
      <c r="AB39" s="10"/>
      <c r="AC39" s="11"/>
      <c r="AD39" s="11"/>
      <c r="AE39" s="11"/>
      <c r="AF39" s="12"/>
      <c r="AG39" s="12"/>
      <c r="AH39" s="13"/>
      <c r="AJ39" s="14"/>
      <c r="AK39" s="10"/>
      <c r="AL39" s="11"/>
      <c r="AM39" s="11"/>
      <c r="AN39" s="11"/>
      <c r="AO39" s="12"/>
      <c r="AP39" s="12"/>
      <c r="AQ39" s="13"/>
      <c r="AS39" s="14"/>
      <c r="AT39" s="10"/>
      <c r="AU39" s="11"/>
      <c r="AV39" s="11"/>
      <c r="AW39" s="11"/>
      <c r="AX39" s="12"/>
      <c r="AY39" s="12"/>
      <c r="AZ39" s="13"/>
      <c r="BB39" s="14"/>
      <c r="BC39" s="10"/>
      <c r="BD39" s="11"/>
      <c r="BE39" s="11"/>
      <c r="BF39" s="11"/>
      <c r="BG39" s="12"/>
      <c r="BH39" s="12"/>
      <c r="BI39" s="13"/>
      <c r="BK39" s="14"/>
      <c r="BL39" s="10"/>
      <c r="BM39" s="11"/>
      <c r="BN39" s="11"/>
      <c r="BO39" s="11"/>
      <c r="BP39" s="12"/>
      <c r="BQ39" s="12"/>
      <c r="BR39" s="13"/>
      <c r="BT39" s="14"/>
      <c r="BU39" s="10"/>
      <c r="BV39" s="11"/>
      <c r="BW39" s="11"/>
      <c r="BX39" s="11"/>
      <c r="BY39" s="12"/>
      <c r="BZ39" s="12"/>
      <c r="CA39" s="13"/>
      <c r="CC39" s="13"/>
    </row>
    <row r="40" spans="1:81" x14ac:dyDescent="0.35">
      <c r="A40" s="27">
        <v>35</v>
      </c>
      <c r="B40" s="57">
        <f t="shared" si="7"/>
        <v>2000</v>
      </c>
      <c r="C40" s="16">
        <f>ROUND(B40*(1+'Interest rate projection'!AB42/Var_freq)+IF(C$5="Mortgage Starts",0,Deposit_mon_alt),2)</f>
        <v>4007.35</v>
      </c>
      <c r="D40" s="16">
        <f>ROUND(C40*(1+'Interest rate projection'!AC42/Var_freq)+IF(D$5="Mortgage Starts",0,Deposit_mon_alt),2)</f>
        <v>6022.08</v>
      </c>
      <c r="E40" s="16">
        <f>ROUND(D40*(1+'Interest rate projection'!AD42/Var_freq)+IF(E$5="Mortgage Starts",0,Deposit_mon_alt),2)</f>
        <v>8044.21</v>
      </c>
      <c r="F40" s="16">
        <f>ROUND(E40*(1+'Interest rate projection'!AE42/Var_freq)+IF(F$5="Mortgage Starts",0,Deposit_mon_alt),2)</f>
        <v>10073.77</v>
      </c>
      <c r="G40" s="16">
        <f>ROUND(F40*(1+'Interest rate projection'!AF42/Var_freq)+IF(G$5="Mortgage Starts",0,Deposit_mon_alt),2)</f>
        <v>12110.79</v>
      </c>
      <c r="H40" s="16">
        <f>ROUND(G40*(1+'Interest rate projection'!AG42/Var_freq)+IF(H$5="Mortgage Starts",0,Deposit_mon_alt),2)</f>
        <v>14155.29</v>
      </c>
      <c r="I40" s="16">
        <f>ROUND(H40*(1+'Interest rate projection'!AH42/Var_freq)+IF(I$5="Mortgage Starts",0,Deposit_mon_alt),2)</f>
        <v>16207.31</v>
      </c>
      <c r="J40" s="16">
        <f>ROUND(I40*(1+'Interest rate projection'!AI42/Var_freq)+IF(J$5="Mortgage Starts",0,Deposit_mon_alt),2)</f>
        <v>18266.87</v>
      </c>
      <c r="K40" s="16">
        <f>ROUND(J40*(1+'Interest rate projection'!AJ42/Var_freq)+IF(K$5="Mortgage Starts",0,Deposit_mon_alt),2)</f>
        <v>20334</v>
      </c>
      <c r="L40" s="16">
        <f>ROUND(K40*(1+'Interest rate projection'!AK42/Var_freq)+IF(L$5="Mortgage Starts",0,Deposit_mon_alt),2)</f>
        <v>22408.720000000001</v>
      </c>
      <c r="M40" s="16">
        <f>ROUND(L40*(1+'Interest rate projection'!AL42/Var_freq)+IF(M$5="Mortgage Starts",0,Deposit_mon_alt),2)</f>
        <v>24491.07</v>
      </c>
      <c r="N40" s="57">
        <f>ROUND(M40*(1+'Interest rate projection'!AM42/Var_freq)+IF(N$5="Mortgage Starts",0,Deposit_mon_alt),2)</f>
        <v>24581.07</v>
      </c>
      <c r="O40" s="12"/>
      <c r="P40" s="38">
        <f>'Interest rate projection'!N42</f>
        <v>4.2499999999999996E-2</v>
      </c>
      <c r="Q40" s="38">
        <f>'Interest rate projection'!AN42</f>
        <v>4.1693940041970023E-2</v>
      </c>
      <c r="R40" s="59" t="str">
        <f t="shared" si="8"/>
        <v>OK</v>
      </c>
      <c r="S40" s="39">
        <f t="shared" si="9"/>
        <v>15.511529757864551</v>
      </c>
      <c r="T40" s="10"/>
      <c r="U40" s="73">
        <f t="shared" si="6"/>
        <v>24581.07</v>
      </c>
      <c r="V40" s="73">
        <f t="shared" si="4"/>
        <v>175418.93</v>
      </c>
      <c r="W40" s="74">
        <f t="shared" si="10"/>
        <v>942.41</v>
      </c>
      <c r="X40" s="12"/>
      <c r="Y40" s="73">
        <f>'Fixed rate projection Alt'!$T$3-('Variable rate projection Alt'!W40*Product_term_alt*Var_freq)</f>
        <v>4282.7999999999884</v>
      </c>
      <c r="AA40" s="14"/>
      <c r="AB40" s="10"/>
      <c r="AC40" s="11"/>
      <c r="AD40" s="11"/>
      <c r="AE40" s="11"/>
      <c r="AF40" s="12"/>
      <c r="AG40" s="12"/>
      <c r="AH40" s="13"/>
      <c r="AJ40" s="14"/>
      <c r="AK40" s="10"/>
      <c r="AL40" s="11"/>
      <c r="AM40" s="11"/>
      <c r="AN40" s="11"/>
      <c r="AO40" s="12"/>
      <c r="AP40" s="12"/>
      <c r="AQ40" s="13"/>
      <c r="AS40" s="14"/>
      <c r="AT40" s="10"/>
      <c r="AU40" s="11"/>
      <c r="AV40" s="11"/>
      <c r="AW40" s="11"/>
      <c r="AX40" s="12"/>
      <c r="AY40" s="12"/>
      <c r="AZ40" s="13"/>
      <c r="BB40" s="14"/>
      <c r="BC40" s="10"/>
      <c r="BD40" s="11"/>
      <c r="BE40" s="11"/>
      <c r="BF40" s="11"/>
      <c r="BG40" s="12"/>
      <c r="BH40" s="12"/>
      <c r="BI40" s="13"/>
      <c r="BK40" s="14"/>
      <c r="BL40" s="10"/>
      <c r="BM40" s="11"/>
      <c r="BN40" s="11"/>
      <c r="BO40" s="11"/>
      <c r="BP40" s="12"/>
      <c r="BQ40" s="12"/>
      <c r="BR40" s="13"/>
      <c r="BT40" s="14"/>
      <c r="BU40" s="10"/>
      <c r="BV40" s="11"/>
      <c r="BW40" s="11"/>
      <c r="BX40" s="11"/>
      <c r="BY40" s="12"/>
      <c r="BZ40" s="12"/>
      <c r="CA40" s="13"/>
      <c r="CC40" s="13"/>
    </row>
    <row r="41" spans="1:81" x14ac:dyDescent="0.35">
      <c r="A41" s="5">
        <v>36</v>
      </c>
      <c r="B41" s="57">
        <f t="shared" si="7"/>
        <v>2000</v>
      </c>
      <c r="C41" s="16">
        <f>ROUND(B41*(1+'Interest rate projection'!AB43/Var_freq)+IF(C$5="Mortgage Starts",0,Deposit_mon_alt),2)</f>
        <v>4007.35</v>
      </c>
      <c r="D41" s="16">
        <f>ROUND(C41*(1+'Interest rate projection'!AC43/Var_freq)+IF(D$5="Mortgage Starts",0,Deposit_mon_alt),2)</f>
        <v>6022.08</v>
      </c>
      <c r="E41" s="16">
        <f>ROUND(D41*(1+'Interest rate projection'!AD43/Var_freq)+IF(E$5="Mortgage Starts",0,Deposit_mon_alt),2)</f>
        <v>8044.21</v>
      </c>
      <c r="F41" s="16">
        <f>ROUND(E41*(1+'Interest rate projection'!AE43/Var_freq)+IF(F$5="Mortgage Starts",0,Deposit_mon_alt),2)</f>
        <v>10073.77</v>
      </c>
      <c r="G41" s="16">
        <f>ROUND(F41*(1+'Interest rate projection'!AF43/Var_freq)+IF(G$5="Mortgage Starts",0,Deposit_mon_alt),2)</f>
        <v>12110.79</v>
      </c>
      <c r="H41" s="16">
        <f>ROUND(G41*(1+'Interest rate projection'!AG43/Var_freq)+IF(H$5="Mortgage Starts",0,Deposit_mon_alt),2)</f>
        <v>14155.29</v>
      </c>
      <c r="I41" s="16">
        <f>ROUND(H41*(1+'Interest rate projection'!AH43/Var_freq)+IF(I$5="Mortgage Starts",0,Deposit_mon_alt),2)</f>
        <v>16207.31</v>
      </c>
      <c r="J41" s="16">
        <f>ROUND(I41*(1+'Interest rate projection'!AI43/Var_freq)+IF(J$5="Mortgage Starts",0,Deposit_mon_alt),2)</f>
        <v>18266.87</v>
      </c>
      <c r="K41" s="16">
        <f>ROUND(J41*(1+'Interest rate projection'!AJ43/Var_freq)+IF(K$5="Mortgage Starts",0,Deposit_mon_alt),2)</f>
        <v>20334</v>
      </c>
      <c r="L41" s="16">
        <f>ROUND(K41*(1+'Interest rate projection'!AK43/Var_freq)+IF(L$5="Mortgage Starts",0,Deposit_mon_alt),2)</f>
        <v>22408.720000000001</v>
      </c>
      <c r="M41" s="16">
        <f>ROUND(L41*(1+'Interest rate projection'!AL43/Var_freq)+IF(M$5="Mortgage Starts",0,Deposit_mon_alt),2)</f>
        <v>24491.07</v>
      </c>
      <c r="N41" s="57">
        <f>ROUND(M41*(1+'Interest rate projection'!AM43/Var_freq)+IF(N$5="Mortgage Starts",0,Deposit_mon_alt),2)</f>
        <v>24571.25</v>
      </c>
      <c r="O41" s="12"/>
      <c r="P41" s="38">
        <f>'Interest rate projection'!N43</f>
        <v>0.04</v>
      </c>
      <c r="Q41" s="38">
        <f>'Interest rate projection'!AN43</f>
        <v>3.9284877386386974E-2</v>
      </c>
      <c r="R41" s="59" t="str">
        <f t="shared" si="8"/>
        <v>OK</v>
      </c>
      <c r="S41" s="39">
        <f t="shared" si="9"/>
        <v>15.906456614335044</v>
      </c>
      <c r="T41" s="10"/>
      <c r="U41" s="73">
        <f t="shared" si="6"/>
        <v>24571.25</v>
      </c>
      <c r="V41" s="73">
        <f t="shared" si="4"/>
        <v>175428.75</v>
      </c>
      <c r="W41" s="74">
        <f t="shared" si="10"/>
        <v>919.06</v>
      </c>
      <c r="X41" s="12"/>
      <c r="Y41" s="73">
        <f>'Fixed rate projection Alt'!$T$3-('Variable rate projection Alt'!W41*Product_term_alt*Var_freq)</f>
        <v>5683.8000000000029</v>
      </c>
      <c r="AA41" s="14"/>
      <c r="AB41" s="10"/>
      <c r="AC41" s="11"/>
      <c r="AD41" s="11"/>
      <c r="AE41" s="11"/>
      <c r="AF41" s="12"/>
      <c r="AG41" s="12"/>
      <c r="AH41" s="13"/>
      <c r="AJ41" s="14"/>
      <c r="AK41" s="10"/>
      <c r="AL41" s="11"/>
      <c r="AM41" s="11"/>
      <c r="AN41" s="11"/>
      <c r="AO41" s="12"/>
      <c r="AP41" s="12"/>
      <c r="AQ41" s="13"/>
      <c r="AS41" s="14"/>
      <c r="AT41" s="10"/>
      <c r="AU41" s="11"/>
      <c r="AV41" s="11"/>
      <c r="AW41" s="11"/>
      <c r="AX41" s="12"/>
      <c r="AY41" s="12"/>
      <c r="AZ41" s="13"/>
      <c r="BB41" s="14"/>
      <c r="BC41" s="10"/>
      <c r="BD41" s="11"/>
      <c r="BE41" s="11"/>
      <c r="BF41" s="11"/>
      <c r="BG41" s="12"/>
      <c r="BH41" s="12"/>
      <c r="BI41" s="13"/>
      <c r="BK41" s="14"/>
      <c r="BL41" s="10"/>
      <c r="BM41" s="11"/>
      <c r="BN41" s="11"/>
      <c r="BO41" s="11"/>
      <c r="BP41" s="12"/>
      <c r="BQ41" s="12"/>
      <c r="BR41" s="13"/>
      <c r="BT41" s="14"/>
      <c r="BU41" s="10"/>
      <c r="BV41" s="11"/>
      <c r="BW41" s="11"/>
      <c r="BX41" s="11"/>
      <c r="BY41" s="12"/>
      <c r="BZ41" s="12"/>
      <c r="CA41" s="13"/>
      <c r="CC41" s="13"/>
    </row>
    <row r="42" spans="1:81" x14ac:dyDescent="0.35">
      <c r="A42" s="27">
        <v>37</v>
      </c>
      <c r="B42" s="57">
        <f t="shared" si="7"/>
        <v>2000</v>
      </c>
      <c r="C42" s="16">
        <f>ROUND(B42*(1+'Interest rate projection'!AB44/Var_freq)+IF(C$5="Mortgage Starts",0,Deposit_mon_alt),2)</f>
        <v>4007.35</v>
      </c>
      <c r="D42" s="16">
        <f>ROUND(C42*(1+'Interest rate projection'!AC44/Var_freq)+IF(D$5="Mortgage Starts",0,Deposit_mon_alt),2)</f>
        <v>6022.08</v>
      </c>
      <c r="E42" s="16">
        <f>ROUND(D42*(1+'Interest rate projection'!AD44/Var_freq)+IF(E$5="Mortgage Starts",0,Deposit_mon_alt),2)</f>
        <v>8044.21</v>
      </c>
      <c r="F42" s="16">
        <f>ROUND(E42*(1+'Interest rate projection'!AE44/Var_freq)+IF(F$5="Mortgage Starts",0,Deposit_mon_alt),2)</f>
        <v>10073.77</v>
      </c>
      <c r="G42" s="16">
        <f>ROUND(F42*(1+'Interest rate projection'!AF44/Var_freq)+IF(G$5="Mortgage Starts",0,Deposit_mon_alt),2)</f>
        <v>12110.79</v>
      </c>
      <c r="H42" s="16">
        <f>ROUND(G42*(1+'Interest rate projection'!AG44/Var_freq)+IF(H$5="Mortgage Starts",0,Deposit_mon_alt),2)</f>
        <v>14155.29</v>
      </c>
      <c r="I42" s="16">
        <f>ROUND(H42*(1+'Interest rate projection'!AH44/Var_freq)+IF(I$5="Mortgage Starts",0,Deposit_mon_alt),2)</f>
        <v>16207.31</v>
      </c>
      <c r="J42" s="16">
        <f>ROUND(I42*(1+'Interest rate projection'!AI44/Var_freq)+IF(J$5="Mortgage Starts",0,Deposit_mon_alt),2)</f>
        <v>18266.87</v>
      </c>
      <c r="K42" s="16">
        <f>ROUND(J42*(1+'Interest rate projection'!AJ44/Var_freq)+IF(K$5="Mortgage Starts",0,Deposit_mon_alt),2)</f>
        <v>20334</v>
      </c>
      <c r="L42" s="16">
        <f>ROUND(K42*(1+'Interest rate projection'!AK44/Var_freq)+IF(L$5="Mortgage Starts",0,Deposit_mon_alt),2)</f>
        <v>22404.65</v>
      </c>
      <c r="M42" s="16">
        <f>ROUND(L42*(1+'Interest rate projection'!AL44/Var_freq)+IF(M$5="Mortgage Starts",0,Deposit_mon_alt),2)</f>
        <v>24482.49</v>
      </c>
      <c r="N42" s="57">
        <f>ROUND(M42*(1+'Interest rate projection'!AM44/Var_freq)+IF(N$5="Mortgage Starts",0,Deposit_mon_alt),2)</f>
        <v>24567.55</v>
      </c>
      <c r="O42" s="12"/>
      <c r="P42" s="38">
        <f>'Interest rate projection'!N44</f>
        <v>4.2499999999999996E-2</v>
      </c>
      <c r="Q42" s="38">
        <f>'Interest rate projection'!AN44</f>
        <v>4.1693940041970023E-2</v>
      </c>
      <c r="R42" s="59" t="str">
        <f t="shared" si="8"/>
        <v>OK</v>
      </c>
      <c r="S42" s="39">
        <f t="shared" si="9"/>
        <v>15.511529757864551</v>
      </c>
      <c r="T42" s="10"/>
      <c r="U42" s="73">
        <f t="shared" si="6"/>
        <v>24567.55</v>
      </c>
      <c r="V42" s="73">
        <f t="shared" si="4"/>
        <v>175432.45</v>
      </c>
      <c r="W42" s="74">
        <f t="shared" si="10"/>
        <v>942.48</v>
      </c>
      <c r="X42" s="12"/>
      <c r="Y42" s="73">
        <f>'Fixed rate projection Alt'!$T$3-('Variable rate projection Alt'!W42*Product_term_alt*Var_freq)</f>
        <v>4278.5999999999985</v>
      </c>
      <c r="AA42" s="14"/>
      <c r="AB42" s="10"/>
      <c r="AC42" s="11"/>
      <c r="AD42" s="11"/>
      <c r="AE42" s="11"/>
      <c r="AF42" s="12"/>
      <c r="AG42" s="12"/>
      <c r="AH42" s="13"/>
      <c r="AJ42" s="14"/>
      <c r="AK42" s="10"/>
      <c r="AL42" s="11"/>
      <c r="AM42" s="11"/>
      <c r="AN42" s="11"/>
      <c r="AO42" s="12"/>
      <c r="AP42" s="12"/>
      <c r="AQ42" s="13"/>
      <c r="AS42" s="14"/>
      <c r="AT42" s="10"/>
      <c r="AU42" s="11"/>
      <c r="AV42" s="11"/>
      <c r="AW42" s="11"/>
      <c r="AX42" s="12"/>
      <c r="AY42" s="12"/>
      <c r="AZ42" s="13"/>
      <c r="BB42" s="14"/>
      <c r="BC42" s="10"/>
      <c r="BD42" s="11"/>
      <c r="BE42" s="11"/>
      <c r="BF42" s="11"/>
      <c r="BG42" s="12"/>
      <c r="BH42" s="12"/>
      <c r="BI42" s="13"/>
      <c r="BK42" s="14"/>
      <c r="BL42" s="10"/>
      <c r="BM42" s="11"/>
      <c r="BN42" s="11"/>
      <c r="BO42" s="11"/>
      <c r="BP42" s="12"/>
      <c r="BQ42" s="12"/>
      <c r="BR42" s="13"/>
      <c r="BT42" s="14"/>
      <c r="BU42" s="10"/>
      <c r="BV42" s="11"/>
      <c r="BW42" s="11"/>
      <c r="BX42" s="11"/>
      <c r="BY42" s="12"/>
      <c r="BZ42" s="12"/>
      <c r="CA42" s="13"/>
      <c r="CC42" s="13"/>
    </row>
    <row r="43" spans="1:81" x14ac:dyDescent="0.35">
      <c r="A43" s="5">
        <v>38</v>
      </c>
      <c r="B43" s="57">
        <f t="shared" si="7"/>
        <v>2000</v>
      </c>
      <c r="C43" s="16">
        <f>ROUND(B43*(1+'Interest rate projection'!AB45/Var_freq)+IF(C$5="Mortgage Starts",0,Deposit_mon_alt),2)</f>
        <v>4007.35</v>
      </c>
      <c r="D43" s="16">
        <f>ROUND(C43*(1+'Interest rate projection'!AC45/Var_freq)+IF(D$5="Mortgage Starts",0,Deposit_mon_alt),2)</f>
        <v>6022.08</v>
      </c>
      <c r="E43" s="16">
        <f>ROUND(D43*(1+'Interest rate projection'!AD45/Var_freq)+IF(E$5="Mortgage Starts",0,Deposit_mon_alt),2)</f>
        <v>8046.61</v>
      </c>
      <c r="F43" s="16">
        <f>ROUND(E43*(1+'Interest rate projection'!AE45/Var_freq)+IF(F$5="Mortgage Starts",0,Deposit_mon_alt),2)</f>
        <v>10079.39</v>
      </c>
      <c r="G43" s="16">
        <f>ROUND(F43*(1+'Interest rate projection'!AF45/Var_freq)+IF(G$5="Mortgage Starts",0,Deposit_mon_alt),2)</f>
        <v>12120.45</v>
      </c>
      <c r="H43" s="16">
        <f>ROUND(G43*(1+'Interest rate projection'!AG45/Var_freq)+IF(H$5="Mortgage Starts",0,Deposit_mon_alt),2)</f>
        <v>14172.24</v>
      </c>
      <c r="I43" s="16">
        <f>ROUND(H43*(1+'Interest rate projection'!AH45/Var_freq)+IF(I$5="Mortgage Starts",0,Deposit_mon_alt),2)</f>
        <v>16232.8</v>
      </c>
      <c r="J43" s="16">
        <f>ROUND(I43*(1+'Interest rate projection'!AI45/Var_freq)+IF(J$5="Mortgage Starts",0,Deposit_mon_alt),2)</f>
        <v>18302.16</v>
      </c>
      <c r="K43" s="16">
        <f>ROUND(J43*(1+'Interest rate projection'!AJ45/Var_freq)+IF(K$5="Mortgage Starts",0,Deposit_mon_alt),2)</f>
        <v>20380.37</v>
      </c>
      <c r="L43" s="16">
        <f>ROUND(K43*(1+'Interest rate projection'!AK45/Var_freq)+IF(L$5="Mortgage Starts",0,Deposit_mon_alt),2)</f>
        <v>22475.54</v>
      </c>
      <c r="M43" s="16">
        <f>ROUND(L43*(1+'Interest rate projection'!AL45/Var_freq)+IF(M$5="Mortgage Starts",0,Deposit_mon_alt),2)</f>
        <v>24580.5</v>
      </c>
      <c r="N43" s="57">
        <f>ROUND(M43*(1+'Interest rate projection'!AM45/Var_freq)+IF(N$5="Mortgage Starts",0,Deposit_mon_alt),2)</f>
        <v>24695.29</v>
      </c>
      <c r="O43" s="12"/>
      <c r="P43" s="38">
        <f>'Interest rate projection'!N45</f>
        <v>5.7499999999999996E-2</v>
      </c>
      <c r="Q43" s="38">
        <f>'Interest rate projection'!AN45</f>
        <v>5.603807040042863E-2</v>
      </c>
      <c r="R43" s="59" t="str">
        <f t="shared" si="8"/>
        <v>OK</v>
      </c>
      <c r="S43" s="39">
        <f t="shared" si="9"/>
        <v>13.434312256020331</v>
      </c>
      <c r="T43" s="10"/>
      <c r="U43" s="73">
        <f t="shared" si="6"/>
        <v>24695.29</v>
      </c>
      <c r="V43" s="73">
        <f t="shared" si="4"/>
        <v>175304.71</v>
      </c>
      <c r="W43" s="74">
        <f t="shared" si="10"/>
        <v>1087.42</v>
      </c>
      <c r="X43" s="12"/>
      <c r="Y43" s="73">
        <f>'Fixed rate projection Alt'!$T$3-('Variable rate projection Alt'!W43*Product_term_alt*Var_freq)</f>
        <v>-4417.8000000000102</v>
      </c>
      <c r="AA43" s="14"/>
      <c r="AB43" s="10"/>
      <c r="AC43" s="11"/>
      <c r="AD43" s="11"/>
      <c r="AE43" s="11"/>
      <c r="AF43" s="12"/>
      <c r="AG43" s="12"/>
      <c r="AH43" s="13"/>
      <c r="AJ43" s="14"/>
      <c r="AK43" s="10"/>
      <c r="AL43" s="11"/>
      <c r="AM43" s="11"/>
      <c r="AN43" s="11"/>
      <c r="AO43" s="12"/>
      <c r="AP43" s="12"/>
      <c r="AQ43" s="13"/>
      <c r="AS43" s="14"/>
      <c r="AT43" s="10"/>
      <c r="AU43" s="11"/>
      <c r="AV43" s="11"/>
      <c r="AW43" s="11"/>
      <c r="AX43" s="12"/>
      <c r="AY43" s="12"/>
      <c r="AZ43" s="13"/>
      <c r="BB43" s="14"/>
      <c r="BC43" s="10"/>
      <c r="BD43" s="11"/>
      <c r="BE43" s="11"/>
      <c r="BF43" s="11"/>
      <c r="BG43" s="12"/>
      <c r="BH43" s="12"/>
      <c r="BI43" s="13"/>
      <c r="BK43" s="14"/>
      <c r="BL43" s="10"/>
      <c r="BM43" s="11"/>
      <c r="BN43" s="11"/>
      <c r="BO43" s="11"/>
      <c r="BP43" s="12"/>
      <c r="BQ43" s="12"/>
      <c r="BR43" s="13"/>
      <c r="BT43" s="14"/>
      <c r="BU43" s="10"/>
      <c r="BV43" s="11"/>
      <c r="BW43" s="11"/>
      <c r="BX43" s="11"/>
      <c r="BY43" s="12"/>
      <c r="BZ43" s="12"/>
      <c r="CA43" s="13"/>
      <c r="CC43" s="13"/>
    </row>
    <row r="44" spans="1:81" x14ac:dyDescent="0.35">
      <c r="A44" s="27">
        <v>39</v>
      </c>
      <c r="B44" s="57">
        <f t="shared" si="7"/>
        <v>2000</v>
      </c>
      <c r="C44" s="16">
        <f>ROUND(B44*(1+'Interest rate projection'!AB46/Var_freq)+IF(C$5="Mortgage Starts",0,Deposit_mon_alt),2)</f>
        <v>4007.35</v>
      </c>
      <c r="D44" s="16">
        <f>ROUND(C44*(1+'Interest rate projection'!AC46/Var_freq)+IF(D$5="Mortgage Starts",0,Deposit_mon_alt),2)</f>
        <v>6022.08</v>
      </c>
      <c r="E44" s="16">
        <f>ROUND(D44*(1+'Interest rate projection'!AD46/Var_freq)+IF(E$5="Mortgage Starts",0,Deposit_mon_alt),2)</f>
        <v>8044.21</v>
      </c>
      <c r="F44" s="16">
        <f>ROUND(E44*(1+'Interest rate projection'!AE46/Var_freq)+IF(F$5="Mortgage Starts",0,Deposit_mon_alt),2)</f>
        <v>10072.16</v>
      </c>
      <c r="G44" s="16">
        <f>ROUND(F44*(1+'Interest rate projection'!AF46/Var_freq)+IF(G$5="Mortgage Starts",0,Deposit_mon_alt),2)</f>
        <v>12107.16</v>
      </c>
      <c r="H44" s="16">
        <f>ROUND(G44*(1+'Interest rate projection'!AG46/Var_freq)+IF(H$5="Mortgage Starts",0,Deposit_mon_alt),2)</f>
        <v>14149.23</v>
      </c>
      <c r="I44" s="16">
        <f>ROUND(H44*(1+'Interest rate projection'!AH46/Var_freq)+IF(I$5="Mortgage Starts",0,Deposit_mon_alt),2)</f>
        <v>16198.39</v>
      </c>
      <c r="J44" s="16">
        <f>ROUND(I44*(1+'Interest rate projection'!AI46/Var_freq)+IF(J$5="Mortgage Starts",0,Deposit_mon_alt),2)</f>
        <v>18254.669999999998</v>
      </c>
      <c r="K44" s="16">
        <f>ROUND(J44*(1+'Interest rate projection'!AJ46/Var_freq)+IF(K$5="Mortgage Starts",0,Deposit_mon_alt),2)</f>
        <v>20318.099999999999</v>
      </c>
      <c r="L44" s="16">
        <f>ROUND(K44*(1+'Interest rate projection'!AK46/Var_freq)+IF(L$5="Mortgage Starts",0,Deposit_mon_alt),2)</f>
        <v>22388.7</v>
      </c>
      <c r="M44" s="16">
        <f>ROUND(L44*(1+'Interest rate projection'!AL46/Var_freq)+IF(M$5="Mortgage Starts",0,Deposit_mon_alt),2)</f>
        <v>24466.49</v>
      </c>
      <c r="N44" s="57">
        <f>ROUND(M44*(1+'Interest rate projection'!AM46/Var_freq)+IF(N$5="Mortgage Starts",0,Deposit_mon_alt),2)</f>
        <v>24551.5</v>
      </c>
      <c r="O44" s="12"/>
      <c r="P44" s="38">
        <f>'Interest rate projection'!N46</f>
        <v>4.2499999999999996E-2</v>
      </c>
      <c r="Q44" s="38">
        <f>'Interest rate projection'!AN46</f>
        <v>4.1693940041970023E-2</v>
      </c>
      <c r="R44" s="59" t="str">
        <f t="shared" si="8"/>
        <v>OK</v>
      </c>
      <c r="S44" s="39">
        <f t="shared" si="9"/>
        <v>15.511529757864551</v>
      </c>
      <c r="T44" s="10"/>
      <c r="U44" s="73">
        <f t="shared" si="6"/>
        <v>24551.5</v>
      </c>
      <c r="V44" s="73">
        <f t="shared" si="4"/>
        <v>175448.5</v>
      </c>
      <c r="W44" s="74">
        <f t="shared" si="10"/>
        <v>942.57</v>
      </c>
      <c r="X44" s="12"/>
      <c r="Y44" s="73">
        <f>'Fixed rate projection Alt'!$T$3-('Variable rate projection Alt'!W44*Product_term_alt*Var_freq)</f>
        <v>4273.1999999999898</v>
      </c>
      <c r="AA44" s="14"/>
      <c r="AB44" s="10"/>
      <c r="AC44" s="11"/>
      <c r="AD44" s="11"/>
      <c r="AE44" s="11"/>
      <c r="AF44" s="12"/>
      <c r="AG44" s="12"/>
      <c r="AH44" s="13"/>
      <c r="AJ44" s="14"/>
      <c r="AK44" s="10"/>
      <c r="AL44" s="11"/>
      <c r="AM44" s="11"/>
      <c r="AN44" s="11"/>
      <c r="AO44" s="12"/>
      <c r="AP44" s="12"/>
      <c r="AQ44" s="13"/>
      <c r="AS44" s="14"/>
      <c r="AT44" s="10"/>
      <c r="AU44" s="11"/>
      <c r="AV44" s="11"/>
      <c r="AW44" s="11"/>
      <c r="AX44" s="12"/>
      <c r="AY44" s="12"/>
      <c r="AZ44" s="13"/>
      <c r="BB44" s="14"/>
      <c r="BC44" s="10"/>
      <c r="BD44" s="11"/>
      <c r="BE44" s="11"/>
      <c r="BF44" s="11"/>
      <c r="BG44" s="12"/>
      <c r="BH44" s="12"/>
      <c r="BI44" s="13"/>
      <c r="BK44" s="14"/>
      <c r="BL44" s="10"/>
      <c r="BM44" s="11"/>
      <c r="BN44" s="11"/>
      <c r="BO44" s="11"/>
      <c r="BP44" s="12"/>
      <c r="BQ44" s="12"/>
      <c r="BR44" s="13"/>
      <c r="BT44" s="14"/>
      <c r="BU44" s="10"/>
      <c r="BV44" s="11"/>
      <c r="BW44" s="11"/>
      <c r="BX44" s="11"/>
      <c r="BY44" s="12"/>
      <c r="BZ44" s="12"/>
      <c r="CA44" s="13"/>
      <c r="CC44" s="13"/>
    </row>
    <row r="45" spans="1:81" x14ac:dyDescent="0.35">
      <c r="A45" s="5">
        <v>40</v>
      </c>
      <c r="B45" s="57">
        <f t="shared" si="7"/>
        <v>2000</v>
      </c>
      <c r="C45" s="16">
        <f>ROUND(B45*(1+'Interest rate projection'!AB47/Var_freq)+IF(C$5="Mortgage Starts",0,Deposit_mon_alt),2)</f>
        <v>4007.35</v>
      </c>
      <c r="D45" s="16">
        <f>ROUND(C45*(1+'Interest rate projection'!AC47/Var_freq)+IF(D$5="Mortgage Starts",0,Deposit_mon_alt),2)</f>
        <v>6022.08</v>
      </c>
      <c r="E45" s="16">
        <f>ROUND(D45*(1+'Interest rate projection'!AD47/Var_freq)+IF(E$5="Mortgage Starts",0,Deposit_mon_alt),2)</f>
        <v>8044.21</v>
      </c>
      <c r="F45" s="16">
        <f>ROUND(E45*(1+'Interest rate projection'!AE47/Var_freq)+IF(F$5="Mortgage Starts",0,Deposit_mon_alt),2)</f>
        <v>10073.77</v>
      </c>
      <c r="G45" s="16">
        <f>ROUND(F45*(1+'Interest rate projection'!AF47/Var_freq)+IF(G$5="Mortgage Starts",0,Deposit_mon_alt),2)</f>
        <v>12110.79</v>
      </c>
      <c r="H45" s="16">
        <f>ROUND(G45*(1+'Interest rate projection'!AG47/Var_freq)+IF(H$5="Mortgage Starts",0,Deposit_mon_alt),2)</f>
        <v>14155.29</v>
      </c>
      <c r="I45" s="16">
        <f>ROUND(H45*(1+'Interest rate projection'!AH47/Var_freq)+IF(I$5="Mortgage Starts",0,Deposit_mon_alt),2)</f>
        <v>16207.31</v>
      </c>
      <c r="J45" s="16">
        <f>ROUND(I45*(1+'Interest rate projection'!AI47/Var_freq)+IF(J$5="Mortgage Starts",0,Deposit_mon_alt),2)</f>
        <v>18266.87</v>
      </c>
      <c r="K45" s="16">
        <f>ROUND(J45*(1+'Interest rate projection'!AJ47/Var_freq)+IF(K$5="Mortgage Starts",0,Deposit_mon_alt),2)</f>
        <v>20330.34</v>
      </c>
      <c r="L45" s="16">
        <f>ROUND(K45*(1+'Interest rate projection'!AK47/Var_freq)+IF(L$5="Mortgage Starts",0,Deposit_mon_alt),2)</f>
        <v>22400.98</v>
      </c>
      <c r="M45" s="16">
        <f>ROUND(L45*(1+'Interest rate projection'!AL47/Var_freq)+IF(M$5="Mortgage Starts",0,Deposit_mon_alt),2)</f>
        <v>24478.81</v>
      </c>
      <c r="N45" s="57">
        <f>ROUND(M45*(1+'Interest rate projection'!AM47/Var_freq)+IF(N$5="Mortgage Starts",0,Deposit_mon_alt),2)</f>
        <v>24563.86</v>
      </c>
      <c r="O45" s="12"/>
      <c r="P45" s="38">
        <f>'Interest rate projection'!N47</f>
        <v>4.2499999999999996E-2</v>
      </c>
      <c r="Q45" s="38">
        <f>'Interest rate projection'!AN47</f>
        <v>4.1693940041970023E-2</v>
      </c>
      <c r="R45" s="59" t="str">
        <f t="shared" si="8"/>
        <v>OK</v>
      </c>
      <c r="S45" s="39">
        <f t="shared" si="9"/>
        <v>15.511529757864551</v>
      </c>
      <c r="T45" s="10"/>
      <c r="U45" s="73">
        <f t="shared" si="6"/>
        <v>24563.86</v>
      </c>
      <c r="V45" s="73">
        <f t="shared" si="4"/>
        <v>175436.14</v>
      </c>
      <c r="W45" s="74">
        <f t="shared" si="10"/>
        <v>942.5</v>
      </c>
      <c r="X45" s="12"/>
      <c r="Y45" s="73">
        <f>'Fixed rate projection Alt'!$T$3-('Variable rate projection Alt'!W45*Product_term_alt*Var_freq)</f>
        <v>4277.3999999999942</v>
      </c>
      <c r="AA45" s="14"/>
      <c r="AB45" s="10"/>
      <c r="AC45" s="11"/>
      <c r="AD45" s="11"/>
      <c r="AE45" s="11"/>
      <c r="AF45" s="12"/>
      <c r="AG45" s="12"/>
      <c r="AH45" s="13"/>
      <c r="AJ45" s="14"/>
      <c r="AK45" s="10"/>
      <c r="AL45" s="11"/>
      <c r="AM45" s="11"/>
      <c r="AN45" s="11"/>
      <c r="AO45" s="12"/>
      <c r="AP45" s="12"/>
      <c r="AQ45" s="13"/>
      <c r="AS45" s="14"/>
      <c r="AT45" s="10"/>
      <c r="AU45" s="11"/>
      <c r="AV45" s="11"/>
      <c r="AW45" s="11"/>
      <c r="AX45" s="12"/>
      <c r="AY45" s="12"/>
      <c r="AZ45" s="13"/>
      <c r="BB45" s="14"/>
      <c r="BC45" s="10"/>
      <c r="BD45" s="11"/>
      <c r="BE45" s="11"/>
      <c r="BF45" s="11"/>
      <c r="BG45" s="12"/>
      <c r="BH45" s="12"/>
      <c r="BI45" s="13"/>
      <c r="BK45" s="14"/>
      <c r="BL45" s="10"/>
      <c r="BM45" s="11"/>
      <c r="BN45" s="11"/>
      <c r="BO45" s="11"/>
      <c r="BP45" s="12"/>
      <c r="BQ45" s="12"/>
      <c r="BR45" s="13"/>
      <c r="BT45" s="14"/>
      <c r="BU45" s="10"/>
      <c r="BV45" s="11"/>
      <c r="BW45" s="11"/>
      <c r="BX45" s="11"/>
      <c r="BY45" s="12"/>
      <c r="BZ45" s="12"/>
      <c r="CA45" s="13"/>
      <c r="CC45" s="13"/>
    </row>
    <row r="46" spans="1:81" x14ac:dyDescent="0.35">
      <c r="A46" s="27">
        <v>41</v>
      </c>
      <c r="B46" s="57">
        <f t="shared" si="7"/>
        <v>2000</v>
      </c>
      <c r="C46" s="16">
        <f>ROUND(B46*(1+'Interest rate projection'!AB48/Var_freq)+IF(C$5="Mortgage Starts",0,Deposit_mon_alt),2)</f>
        <v>4007.35</v>
      </c>
      <c r="D46" s="16">
        <f>ROUND(C46*(1+'Interest rate projection'!AC48/Var_freq)+IF(D$5="Mortgage Starts",0,Deposit_mon_alt),2)</f>
        <v>6022.08</v>
      </c>
      <c r="E46" s="16">
        <f>ROUND(D46*(1+'Interest rate projection'!AD48/Var_freq)+IF(E$5="Mortgage Starts",0,Deposit_mon_alt),2)</f>
        <v>8045.41</v>
      </c>
      <c r="F46" s="16">
        <f>ROUND(E46*(1+'Interest rate projection'!AE48/Var_freq)+IF(F$5="Mortgage Starts",0,Deposit_mon_alt),2)</f>
        <v>10076.58</v>
      </c>
      <c r="G46" s="16">
        <f>ROUND(F46*(1+'Interest rate projection'!AF48/Var_freq)+IF(G$5="Mortgage Starts",0,Deposit_mon_alt),2)</f>
        <v>12115.62</v>
      </c>
      <c r="H46" s="16">
        <f>ROUND(G46*(1+'Interest rate projection'!AG48/Var_freq)+IF(H$5="Mortgage Starts",0,Deposit_mon_alt),2)</f>
        <v>14162.56</v>
      </c>
      <c r="I46" s="16">
        <f>ROUND(H46*(1+'Interest rate projection'!AH48/Var_freq)+IF(I$5="Mortgage Starts",0,Deposit_mon_alt),2)</f>
        <v>16217.44</v>
      </c>
      <c r="J46" s="16">
        <f>ROUND(I46*(1+'Interest rate projection'!AI48/Var_freq)+IF(J$5="Mortgage Starts",0,Deposit_mon_alt),2)</f>
        <v>18280.28</v>
      </c>
      <c r="K46" s="16">
        <f>ROUND(J46*(1+'Interest rate projection'!AJ48/Var_freq)+IF(K$5="Mortgage Starts",0,Deposit_mon_alt),2)</f>
        <v>20351.11</v>
      </c>
      <c r="L46" s="16">
        <f>ROUND(K46*(1+'Interest rate projection'!AK48/Var_freq)+IF(L$5="Mortgage Starts",0,Deposit_mon_alt),2)</f>
        <v>22429.96</v>
      </c>
      <c r="M46" s="16">
        <f>ROUND(L46*(1+'Interest rate projection'!AL48/Var_freq)+IF(M$5="Mortgage Starts",0,Deposit_mon_alt),2)</f>
        <v>24512.39</v>
      </c>
      <c r="N46" s="57">
        <f>ROUND(M46*(1+'Interest rate projection'!AM48/Var_freq)+IF(N$5="Mortgage Starts",0,Deposit_mon_alt),2)</f>
        <v>24602.47</v>
      </c>
      <c r="O46" s="12"/>
      <c r="P46" s="38">
        <f>'Interest rate projection'!N48</f>
        <v>4.4999999999999998E-2</v>
      </c>
      <c r="Q46" s="38">
        <f>'Interest rate projection'!AN48</f>
        <v>4.4097712805242217E-2</v>
      </c>
      <c r="R46" s="59" t="str">
        <f t="shared" si="8"/>
        <v>OK</v>
      </c>
      <c r="S46" s="39">
        <f t="shared" si="9"/>
        <v>15.131610255367837</v>
      </c>
      <c r="T46" s="10"/>
      <c r="U46" s="73">
        <f t="shared" si="6"/>
        <v>24602.47</v>
      </c>
      <c r="V46" s="73">
        <f t="shared" si="4"/>
        <v>175397.53</v>
      </c>
      <c r="W46" s="74">
        <f t="shared" si="10"/>
        <v>965.96</v>
      </c>
      <c r="X46" s="12"/>
      <c r="Y46" s="73">
        <f>'Fixed rate projection Alt'!$T$3-('Variable rate projection Alt'!W46*Product_term_alt*Var_freq)</f>
        <v>2869.7999999999884</v>
      </c>
      <c r="AA46" s="14"/>
      <c r="AB46" s="10"/>
      <c r="AC46" s="11"/>
      <c r="AD46" s="11"/>
      <c r="AE46" s="11"/>
      <c r="AF46" s="12"/>
      <c r="AG46" s="12"/>
      <c r="AH46" s="13"/>
      <c r="AJ46" s="14"/>
      <c r="AK46" s="10"/>
      <c r="AL46" s="11"/>
      <c r="AM46" s="11"/>
      <c r="AN46" s="11"/>
      <c r="AO46" s="12"/>
      <c r="AP46" s="12"/>
      <c r="AQ46" s="13"/>
      <c r="AS46" s="14"/>
      <c r="AT46" s="10"/>
      <c r="AU46" s="11"/>
      <c r="AV46" s="11"/>
      <c r="AW46" s="11"/>
      <c r="AX46" s="12"/>
      <c r="AY46" s="12"/>
      <c r="AZ46" s="13"/>
      <c r="BB46" s="14"/>
      <c r="BC46" s="10"/>
      <c r="BD46" s="11"/>
      <c r="BE46" s="11"/>
      <c r="BF46" s="11"/>
      <c r="BG46" s="12"/>
      <c r="BH46" s="12"/>
      <c r="BI46" s="13"/>
      <c r="BK46" s="14"/>
      <c r="BL46" s="10"/>
      <c r="BM46" s="11"/>
      <c r="BN46" s="11"/>
      <c r="BO46" s="11"/>
      <c r="BP46" s="12"/>
      <c r="BQ46" s="12"/>
      <c r="BR46" s="13"/>
      <c r="BT46" s="14"/>
      <c r="BU46" s="10"/>
      <c r="BV46" s="11"/>
      <c r="BW46" s="11"/>
      <c r="BX46" s="11"/>
      <c r="BY46" s="12"/>
      <c r="BZ46" s="12"/>
      <c r="CA46" s="13"/>
      <c r="CC46" s="13"/>
    </row>
    <row r="47" spans="1:81" x14ac:dyDescent="0.35">
      <c r="A47" s="5">
        <v>42</v>
      </c>
      <c r="B47" s="57">
        <f t="shared" si="7"/>
        <v>2000</v>
      </c>
      <c r="C47" s="16">
        <f>ROUND(B47*(1+'Interest rate projection'!AB49/Var_freq)+IF(C$5="Mortgage Starts",0,Deposit_mon_alt),2)</f>
        <v>4007.35</v>
      </c>
      <c r="D47" s="16">
        <f>ROUND(C47*(1+'Interest rate projection'!AC49/Var_freq)+IF(D$5="Mortgage Starts",0,Deposit_mon_alt),2)</f>
        <v>6022.08</v>
      </c>
      <c r="E47" s="16">
        <f>ROUND(D47*(1+'Interest rate projection'!AD49/Var_freq)+IF(E$5="Mortgage Starts",0,Deposit_mon_alt),2)</f>
        <v>8044.21</v>
      </c>
      <c r="F47" s="16">
        <f>ROUND(E47*(1+'Interest rate projection'!AE49/Var_freq)+IF(F$5="Mortgage Starts",0,Deposit_mon_alt),2)</f>
        <v>10073.77</v>
      </c>
      <c r="G47" s="16">
        <f>ROUND(F47*(1+'Interest rate projection'!AF49/Var_freq)+IF(G$5="Mortgage Starts",0,Deposit_mon_alt),2)</f>
        <v>12110.79</v>
      </c>
      <c r="H47" s="16">
        <f>ROUND(G47*(1+'Interest rate projection'!AG49/Var_freq)+IF(H$5="Mortgage Starts",0,Deposit_mon_alt),2)</f>
        <v>14155.29</v>
      </c>
      <c r="I47" s="16">
        <f>ROUND(H47*(1+'Interest rate projection'!AH49/Var_freq)+IF(I$5="Mortgage Starts",0,Deposit_mon_alt),2)</f>
        <v>16207.31</v>
      </c>
      <c r="J47" s="16">
        <f>ROUND(I47*(1+'Interest rate projection'!AI49/Var_freq)+IF(J$5="Mortgage Starts",0,Deposit_mon_alt),2)</f>
        <v>18266.87</v>
      </c>
      <c r="K47" s="16">
        <f>ROUND(J47*(1+'Interest rate projection'!AJ49/Var_freq)+IF(K$5="Mortgage Starts",0,Deposit_mon_alt),2)</f>
        <v>20334</v>
      </c>
      <c r="L47" s="16">
        <f>ROUND(K47*(1+'Interest rate projection'!AK49/Var_freq)+IF(L$5="Mortgage Starts",0,Deposit_mon_alt),2)</f>
        <v>22408.720000000001</v>
      </c>
      <c r="M47" s="16">
        <f>ROUND(L47*(1+'Interest rate projection'!AL49/Var_freq)+IF(M$5="Mortgage Starts",0,Deposit_mon_alt),2)</f>
        <v>24491.07</v>
      </c>
      <c r="N47" s="57">
        <f>ROUND(M47*(1+'Interest rate projection'!AM49/Var_freq)+IF(N$5="Mortgage Starts",0,Deposit_mon_alt),2)</f>
        <v>24581.07</v>
      </c>
      <c r="O47" s="12"/>
      <c r="P47" s="38">
        <f>'Interest rate projection'!N49</f>
        <v>4.4999999999999998E-2</v>
      </c>
      <c r="Q47" s="38">
        <f>'Interest rate projection'!AN49</f>
        <v>4.4097712805242217E-2</v>
      </c>
      <c r="R47" s="59" t="str">
        <f t="shared" si="8"/>
        <v>OK</v>
      </c>
      <c r="S47" s="39">
        <f t="shared" si="9"/>
        <v>15.131610255367837</v>
      </c>
      <c r="T47" s="10"/>
      <c r="U47" s="73">
        <f t="shared" si="6"/>
        <v>24581.07</v>
      </c>
      <c r="V47" s="73">
        <f t="shared" si="4"/>
        <v>175418.93</v>
      </c>
      <c r="W47" s="74">
        <f t="shared" si="10"/>
        <v>966.07</v>
      </c>
      <c r="X47" s="12"/>
      <c r="Y47" s="73">
        <f>'Fixed rate projection Alt'!$T$3-('Variable rate projection Alt'!W47*Product_term_alt*Var_freq)</f>
        <v>2863.1999999999898</v>
      </c>
      <c r="AA47" s="14"/>
      <c r="AB47" s="10"/>
      <c r="AC47" s="11"/>
      <c r="AD47" s="11"/>
      <c r="AE47" s="11"/>
      <c r="AF47" s="12"/>
      <c r="AG47" s="12"/>
      <c r="AH47" s="13"/>
      <c r="AJ47" s="14"/>
      <c r="AK47" s="10"/>
      <c r="AL47" s="11"/>
      <c r="AM47" s="11"/>
      <c r="AN47" s="11"/>
      <c r="AO47" s="12"/>
      <c r="AP47" s="12"/>
      <c r="AQ47" s="13"/>
      <c r="AS47" s="14"/>
      <c r="AT47" s="10"/>
      <c r="AU47" s="11"/>
      <c r="AV47" s="11"/>
      <c r="AW47" s="11"/>
      <c r="AX47" s="12"/>
      <c r="AY47" s="12"/>
      <c r="AZ47" s="13"/>
      <c r="BB47" s="14"/>
      <c r="BC47" s="10"/>
      <c r="BD47" s="11"/>
      <c r="BE47" s="11"/>
      <c r="BF47" s="11"/>
      <c r="BG47" s="12"/>
      <c r="BH47" s="12"/>
      <c r="BI47" s="13"/>
      <c r="BK47" s="14"/>
      <c r="BL47" s="10"/>
      <c r="BM47" s="11"/>
      <c r="BN47" s="11"/>
      <c r="BO47" s="11"/>
      <c r="BP47" s="12"/>
      <c r="BQ47" s="12"/>
      <c r="BR47" s="13"/>
      <c r="BT47" s="14"/>
      <c r="BU47" s="10"/>
      <c r="BV47" s="11"/>
      <c r="BW47" s="11"/>
      <c r="BX47" s="11"/>
      <c r="BY47" s="12"/>
      <c r="BZ47" s="12"/>
      <c r="CA47" s="13"/>
      <c r="CC47" s="13"/>
    </row>
    <row r="48" spans="1:81" x14ac:dyDescent="0.35">
      <c r="A48" s="27">
        <v>43</v>
      </c>
      <c r="B48" s="57">
        <f t="shared" si="7"/>
        <v>2000</v>
      </c>
      <c r="C48" s="16">
        <f>ROUND(B48*(1+'Interest rate projection'!AB50/Var_freq)+IF(C$5="Mortgage Starts",0,Deposit_mon_alt),2)</f>
        <v>4007.35</v>
      </c>
      <c r="D48" s="16">
        <f>ROUND(C48*(1+'Interest rate projection'!AC50/Var_freq)+IF(D$5="Mortgage Starts",0,Deposit_mon_alt),2)</f>
        <v>6021.27</v>
      </c>
      <c r="E48" s="16">
        <f>ROUND(D48*(1+'Interest rate projection'!AD50/Var_freq)+IF(E$5="Mortgage Starts",0,Deposit_mon_alt),2)</f>
        <v>8042.19</v>
      </c>
      <c r="F48" s="16">
        <f>ROUND(E48*(1+'Interest rate projection'!AE50/Var_freq)+IF(F$5="Mortgage Starts",0,Deposit_mon_alt),2)</f>
        <v>10070.129999999999</v>
      </c>
      <c r="G48" s="16">
        <f>ROUND(F48*(1+'Interest rate projection'!AF50/Var_freq)+IF(G$5="Mortgage Starts",0,Deposit_mon_alt),2)</f>
        <v>12105.12</v>
      </c>
      <c r="H48" s="16">
        <f>ROUND(G48*(1+'Interest rate projection'!AG50/Var_freq)+IF(H$5="Mortgage Starts",0,Deposit_mon_alt),2)</f>
        <v>14147.18</v>
      </c>
      <c r="I48" s="16">
        <f>ROUND(H48*(1+'Interest rate projection'!AH50/Var_freq)+IF(I$5="Mortgage Starts",0,Deposit_mon_alt),2)</f>
        <v>16196.33</v>
      </c>
      <c r="J48" s="16">
        <f>ROUND(I48*(1+'Interest rate projection'!AI50/Var_freq)+IF(J$5="Mortgage Starts",0,Deposit_mon_alt),2)</f>
        <v>18252.599999999999</v>
      </c>
      <c r="K48" s="16">
        <f>ROUND(J48*(1+'Interest rate projection'!AJ50/Var_freq)+IF(K$5="Mortgage Starts",0,Deposit_mon_alt),2)</f>
        <v>20323.32</v>
      </c>
      <c r="L48" s="16">
        <f>ROUND(K48*(1+'Interest rate projection'!AK50/Var_freq)+IF(L$5="Mortgage Starts",0,Deposit_mon_alt),2)</f>
        <v>22402.07</v>
      </c>
      <c r="M48" s="16">
        <f>ROUND(L48*(1+'Interest rate projection'!AL50/Var_freq)+IF(M$5="Mortgage Starts",0,Deposit_mon_alt),2)</f>
        <v>24488.87</v>
      </c>
      <c r="N48" s="57">
        <f>ROUND(M48*(1+'Interest rate projection'!AM50/Var_freq)+IF(N$5="Mortgage Starts",0,Deposit_mon_alt),2)</f>
        <v>24583.759999999998</v>
      </c>
      <c r="O48" s="12"/>
      <c r="P48" s="38">
        <f>'Interest rate projection'!N50</f>
        <v>4.7499999999999994E-2</v>
      </c>
      <c r="Q48" s="38">
        <f>'Interest rate projection'!AN50</f>
        <v>4.6496219905550085E-2</v>
      </c>
      <c r="R48" s="59" t="str">
        <f t="shared" si="8"/>
        <v>OK</v>
      </c>
      <c r="S48" s="39">
        <f t="shared" si="9"/>
        <v>14.766012404082064</v>
      </c>
      <c r="T48" s="10"/>
      <c r="U48" s="73">
        <f t="shared" si="6"/>
        <v>24583.759999999998</v>
      </c>
      <c r="V48" s="73">
        <f t="shared" si="4"/>
        <v>175416.24</v>
      </c>
      <c r="W48" s="74">
        <f t="shared" si="10"/>
        <v>989.98</v>
      </c>
      <c r="X48" s="12"/>
      <c r="Y48" s="73">
        <f>'Fixed rate projection Alt'!$T$3-('Variable rate projection Alt'!W48*Product_term_alt*Var_freq)</f>
        <v>1428.5999999999985</v>
      </c>
      <c r="AA48" s="14"/>
      <c r="AB48" s="10"/>
      <c r="AC48" s="11"/>
      <c r="AD48" s="11"/>
      <c r="AE48" s="11"/>
      <c r="AF48" s="12"/>
      <c r="AG48" s="12"/>
      <c r="AH48" s="13"/>
      <c r="AJ48" s="14"/>
      <c r="AK48" s="10"/>
      <c r="AL48" s="11"/>
      <c r="AM48" s="11"/>
      <c r="AN48" s="11"/>
      <c r="AO48" s="12"/>
      <c r="AP48" s="12"/>
      <c r="AQ48" s="13"/>
      <c r="AS48" s="14"/>
      <c r="AT48" s="10"/>
      <c r="AU48" s="11"/>
      <c r="AV48" s="11"/>
      <c r="AW48" s="11"/>
      <c r="AX48" s="12"/>
      <c r="AY48" s="12"/>
      <c r="AZ48" s="13"/>
      <c r="BB48" s="14"/>
      <c r="BC48" s="10"/>
      <c r="BD48" s="11"/>
      <c r="BE48" s="11"/>
      <c r="BF48" s="11"/>
      <c r="BG48" s="12"/>
      <c r="BH48" s="12"/>
      <c r="BI48" s="13"/>
      <c r="BK48" s="14"/>
      <c r="BL48" s="10"/>
      <c r="BM48" s="11"/>
      <c r="BN48" s="11"/>
      <c r="BO48" s="11"/>
      <c r="BP48" s="12"/>
      <c r="BQ48" s="12"/>
      <c r="BR48" s="13"/>
      <c r="BT48" s="14"/>
      <c r="BU48" s="10"/>
      <c r="BV48" s="11"/>
      <c r="BW48" s="11"/>
      <c r="BX48" s="11"/>
      <c r="BY48" s="12"/>
      <c r="BZ48" s="12"/>
      <c r="CA48" s="13"/>
      <c r="CC48" s="13"/>
    </row>
    <row r="49" spans="1:81" x14ac:dyDescent="0.35">
      <c r="A49" s="5">
        <v>44</v>
      </c>
      <c r="B49" s="57">
        <f t="shared" si="7"/>
        <v>2000</v>
      </c>
      <c r="C49" s="16">
        <f>ROUND(B49*(1+'Interest rate projection'!AB51/Var_freq)+IF(C$5="Mortgage Starts",0,Deposit_mon_alt),2)</f>
        <v>4007.35</v>
      </c>
      <c r="D49" s="16">
        <f>ROUND(C49*(1+'Interest rate projection'!AC51/Var_freq)+IF(D$5="Mortgage Starts",0,Deposit_mon_alt),2)</f>
        <v>6021.27</v>
      </c>
      <c r="E49" s="16">
        <f>ROUND(D49*(1+'Interest rate projection'!AD51/Var_freq)+IF(E$5="Mortgage Starts",0,Deposit_mon_alt),2)</f>
        <v>8042.19</v>
      </c>
      <c r="F49" s="16">
        <f>ROUND(E49*(1+'Interest rate projection'!AE51/Var_freq)+IF(F$5="Mortgage Starts",0,Deposit_mon_alt),2)</f>
        <v>10070.129999999999</v>
      </c>
      <c r="G49" s="16">
        <f>ROUND(F49*(1+'Interest rate projection'!AF51/Var_freq)+IF(G$5="Mortgage Starts",0,Deposit_mon_alt),2)</f>
        <v>12105.12</v>
      </c>
      <c r="H49" s="16">
        <f>ROUND(G49*(1+'Interest rate projection'!AG51/Var_freq)+IF(H$5="Mortgage Starts",0,Deposit_mon_alt),2)</f>
        <v>14149.6</v>
      </c>
      <c r="I49" s="16">
        <f>ROUND(H49*(1+'Interest rate projection'!AH51/Var_freq)+IF(I$5="Mortgage Starts",0,Deposit_mon_alt),2)</f>
        <v>16201.6</v>
      </c>
      <c r="J49" s="16">
        <f>ROUND(I49*(1+'Interest rate projection'!AI51/Var_freq)+IF(J$5="Mortgage Starts",0,Deposit_mon_alt),2)</f>
        <v>18261.14</v>
      </c>
      <c r="K49" s="16">
        <f>ROUND(J49*(1+'Interest rate projection'!AJ51/Var_freq)+IF(K$5="Mortgage Starts",0,Deposit_mon_alt),2)</f>
        <v>20328.25</v>
      </c>
      <c r="L49" s="16">
        <f>ROUND(K49*(1+'Interest rate projection'!AK51/Var_freq)+IF(L$5="Mortgage Starts",0,Deposit_mon_alt),2)</f>
        <v>22402.95</v>
      </c>
      <c r="M49" s="16">
        <f>ROUND(L49*(1+'Interest rate projection'!AL51/Var_freq)+IF(M$5="Mortgage Starts",0,Deposit_mon_alt),2)</f>
        <v>24485.279999999999</v>
      </c>
      <c r="N49" s="57">
        <f>ROUND(M49*(1+'Interest rate projection'!AM51/Var_freq)+IF(N$5="Mortgage Starts",0,Deposit_mon_alt),2)</f>
        <v>24575.26</v>
      </c>
      <c r="O49" s="12"/>
      <c r="P49" s="38">
        <f>'Interest rate projection'!N51</f>
        <v>4.4999999999999998E-2</v>
      </c>
      <c r="Q49" s="38">
        <f>'Interest rate projection'!AN51</f>
        <v>4.4097712805242217E-2</v>
      </c>
      <c r="R49" s="59" t="str">
        <f t="shared" si="8"/>
        <v>OK</v>
      </c>
      <c r="S49" s="39">
        <f t="shared" si="9"/>
        <v>15.131610255367837</v>
      </c>
      <c r="T49" s="10"/>
      <c r="U49" s="73">
        <f t="shared" si="6"/>
        <v>24575.26</v>
      </c>
      <c r="V49" s="73">
        <f t="shared" si="4"/>
        <v>175424.74</v>
      </c>
      <c r="W49" s="74">
        <f t="shared" si="10"/>
        <v>966.11</v>
      </c>
      <c r="X49" s="12"/>
      <c r="Y49" s="73">
        <f>'Fixed rate projection Alt'!$T$3-('Variable rate projection Alt'!W49*Product_term_alt*Var_freq)</f>
        <v>2860.7999999999884</v>
      </c>
      <c r="AA49" s="14"/>
      <c r="AB49" s="10"/>
      <c r="AC49" s="11"/>
      <c r="AD49" s="11"/>
      <c r="AE49" s="11"/>
      <c r="AF49" s="12"/>
      <c r="AG49" s="12"/>
      <c r="AH49" s="13"/>
      <c r="AJ49" s="14"/>
      <c r="AK49" s="10"/>
      <c r="AL49" s="11"/>
      <c r="AM49" s="11"/>
      <c r="AN49" s="11"/>
      <c r="AO49" s="12"/>
      <c r="AP49" s="12"/>
      <c r="AQ49" s="13"/>
      <c r="AS49" s="14"/>
      <c r="AT49" s="10"/>
      <c r="AU49" s="11"/>
      <c r="AV49" s="11"/>
      <c r="AW49" s="11"/>
      <c r="AX49" s="12"/>
      <c r="AY49" s="12"/>
      <c r="AZ49" s="13"/>
      <c r="BB49" s="14"/>
      <c r="BC49" s="10"/>
      <c r="BD49" s="11"/>
      <c r="BE49" s="11"/>
      <c r="BF49" s="11"/>
      <c r="BG49" s="12"/>
      <c r="BH49" s="12"/>
      <c r="BI49" s="13"/>
      <c r="BK49" s="14"/>
      <c r="BL49" s="10"/>
      <c r="BM49" s="11"/>
      <c r="BN49" s="11"/>
      <c r="BO49" s="11"/>
      <c r="BP49" s="12"/>
      <c r="BQ49" s="12"/>
      <c r="BR49" s="13"/>
      <c r="BT49" s="14"/>
      <c r="BU49" s="10"/>
      <c r="BV49" s="11"/>
      <c r="BW49" s="11"/>
      <c r="BX49" s="11"/>
      <c r="BY49" s="12"/>
      <c r="BZ49" s="12"/>
      <c r="CA49" s="13"/>
      <c r="CC49" s="13"/>
    </row>
    <row r="50" spans="1:81" x14ac:dyDescent="0.35">
      <c r="A50" s="27">
        <v>45</v>
      </c>
      <c r="B50" s="57">
        <f t="shared" si="7"/>
        <v>2000</v>
      </c>
      <c r="C50" s="16">
        <f>ROUND(B50*(1+'Interest rate projection'!AB52/Var_freq)+IF(C$5="Mortgage Starts",0,Deposit_mon_alt),2)</f>
        <v>4007.35</v>
      </c>
      <c r="D50" s="16">
        <f>ROUND(C50*(1+'Interest rate projection'!AC52/Var_freq)+IF(D$5="Mortgage Starts",0,Deposit_mon_alt),2)</f>
        <v>6022.08</v>
      </c>
      <c r="E50" s="16">
        <f>ROUND(D50*(1+'Interest rate projection'!AD52/Var_freq)+IF(E$5="Mortgage Starts",0,Deposit_mon_alt),2)</f>
        <v>8044.21</v>
      </c>
      <c r="F50" s="16">
        <f>ROUND(E50*(1+'Interest rate projection'!AE52/Var_freq)+IF(F$5="Mortgage Starts",0,Deposit_mon_alt),2)</f>
        <v>10073.77</v>
      </c>
      <c r="G50" s="16">
        <f>ROUND(F50*(1+'Interest rate projection'!AF52/Var_freq)+IF(G$5="Mortgage Starts",0,Deposit_mon_alt),2)</f>
        <v>12108.77</v>
      </c>
      <c r="H50" s="16">
        <f>ROUND(G50*(1+'Interest rate projection'!AG52/Var_freq)+IF(H$5="Mortgage Starts",0,Deposit_mon_alt),2)</f>
        <v>14150.84</v>
      </c>
      <c r="I50" s="16">
        <f>ROUND(H50*(1+'Interest rate projection'!AH52/Var_freq)+IF(I$5="Mortgage Starts",0,Deposit_mon_alt),2)</f>
        <v>16200.01</v>
      </c>
      <c r="J50" s="16">
        <f>ROUND(I50*(1+'Interest rate projection'!AI52/Var_freq)+IF(J$5="Mortgage Starts",0,Deposit_mon_alt),2)</f>
        <v>18256.3</v>
      </c>
      <c r="K50" s="16">
        <f>ROUND(J50*(1+'Interest rate projection'!AJ52/Var_freq)+IF(K$5="Mortgage Starts",0,Deposit_mon_alt),2)</f>
        <v>20319.73</v>
      </c>
      <c r="L50" s="16">
        <f>ROUND(K50*(1+'Interest rate projection'!AK52/Var_freq)+IF(L$5="Mortgage Starts",0,Deposit_mon_alt),2)</f>
        <v>22390.33</v>
      </c>
      <c r="M50" s="16">
        <f>ROUND(L50*(1+'Interest rate projection'!AL52/Var_freq)+IF(M$5="Mortgage Starts",0,Deposit_mon_alt),2)</f>
        <v>24468.13</v>
      </c>
      <c r="N50" s="57">
        <f>ROUND(M50*(1+'Interest rate projection'!AM52/Var_freq)+IF(N$5="Mortgage Starts",0,Deposit_mon_alt),2)</f>
        <v>24553.14</v>
      </c>
      <c r="O50" s="12"/>
      <c r="P50" s="38">
        <f>'Interest rate projection'!N52</f>
        <v>3.9999999999999994E-2</v>
      </c>
      <c r="Q50" s="38">
        <f>'Interest rate projection'!AN52</f>
        <v>3.9284877386386974E-2</v>
      </c>
      <c r="R50" s="59" t="str">
        <f t="shared" si="8"/>
        <v>OK</v>
      </c>
      <c r="S50" s="39">
        <f t="shared" si="9"/>
        <v>15.906456614335044</v>
      </c>
      <c r="T50" s="10"/>
      <c r="U50" s="73">
        <f t="shared" si="6"/>
        <v>24553.14</v>
      </c>
      <c r="V50" s="73">
        <f t="shared" si="4"/>
        <v>175446.86</v>
      </c>
      <c r="W50" s="74">
        <f t="shared" si="10"/>
        <v>919.16</v>
      </c>
      <c r="X50" s="12"/>
      <c r="Y50" s="73">
        <f>'Fixed rate projection Alt'!$T$3-('Variable rate projection Alt'!W50*Product_term_alt*Var_freq)</f>
        <v>5677.7999999999884</v>
      </c>
      <c r="AA50" s="14"/>
      <c r="AB50" s="10"/>
      <c r="AC50" s="11"/>
      <c r="AD50" s="11"/>
      <c r="AE50" s="11"/>
      <c r="AF50" s="12"/>
      <c r="AG50" s="12"/>
      <c r="AH50" s="13"/>
      <c r="AJ50" s="14"/>
      <c r="AK50" s="10"/>
      <c r="AL50" s="11"/>
      <c r="AM50" s="11"/>
      <c r="AN50" s="11"/>
      <c r="AO50" s="12"/>
      <c r="AP50" s="12"/>
      <c r="AQ50" s="13"/>
      <c r="AS50" s="14"/>
      <c r="AT50" s="10"/>
      <c r="AU50" s="11"/>
      <c r="AV50" s="11"/>
      <c r="AW50" s="11"/>
      <c r="AX50" s="12"/>
      <c r="AY50" s="12"/>
      <c r="AZ50" s="13"/>
      <c r="BB50" s="14"/>
      <c r="BC50" s="10"/>
      <c r="BD50" s="11"/>
      <c r="BE50" s="11"/>
      <c r="BF50" s="11"/>
      <c r="BG50" s="12"/>
      <c r="BH50" s="12"/>
      <c r="BI50" s="13"/>
      <c r="BK50" s="14"/>
      <c r="BL50" s="10"/>
      <c r="BM50" s="11"/>
      <c r="BN50" s="11"/>
      <c r="BO50" s="11"/>
      <c r="BP50" s="12"/>
      <c r="BQ50" s="12"/>
      <c r="BR50" s="13"/>
      <c r="BT50" s="14"/>
      <c r="BU50" s="10"/>
      <c r="BV50" s="11"/>
      <c r="BW50" s="11"/>
      <c r="BX50" s="11"/>
      <c r="BY50" s="12"/>
      <c r="BZ50" s="12"/>
      <c r="CA50" s="13"/>
      <c r="CC50" s="13"/>
    </row>
    <row r="51" spans="1:81" x14ac:dyDescent="0.35">
      <c r="A51" s="5">
        <v>46</v>
      </c>
      <c r="B51" s="57">
        <f t="shared" si="7"/>
        <v>2000</v>
      </c>
      <c r="C51" s="16">
        <f>ROUND(B51*(1+'Interest rate projection'!AB53/Var_freq)+IF(C$5="Mortgage Starts",0,Deposit_mon_alt),2)</f>
        <v>4007.35</v>
      </c>
      <c r="D51" s="16">
        <f>ROUND(C51*(1+'Interest rate projection'!AC53/Var_freq)+IF(D$5="Mortgage Starts",0,Deposit_mon_alt),2)</f>
        <v>6022.08</v>
      </c>
      <c r="E51" s="16">
        <f>ROUND(D51*(1+'Interest rate projection'!AD53/Var_freq)+IF(E$5="Mortgage Starts",0,Deposit_mon_alt),2)</f>
        <v>8044.21</v>
      </c>
      <c r="F51" s="16">
        <f>ROUND(E51*(1+'Interest rate projection'!AE53/Var_freq)+IF(F$5="Mortgage Starts",0,Deposit_mon_alt),2)</f>
        <v>10073.77</v>
      </c>
      <c r="G51" s="16">
        <f>ROUND(F51*(1+'Interest rate projection'!AF53/Var_freq)+IF(G$5="Mortgage Starts",0,Deposit_mon_alt),2)</f>
        <v>12110.79</v>
      </c>
      <c r="H51" s="16">
        <f>ROUND(G51*(1+'Interest rate projection'!AG53/Var_freq)+IF(H$5="Mortgage Starts",0,Deposit_mon_alt),2)</f>
        <v>14155.29</v>
      </c>
      <c r="I51" s="16">
        <f>ROUND(H51*(1+'Interest rate projection'!AH53/Var_freq)+IF(I$5="Mortgage Starts",0,Deposit_mon_alt),2)</f>
        <v>16207.31</v>
      </c>
      <c r="J51" s="16">
        <f>ROUND(I51*(1+'Interest rate projection'!AI53/Var_freq)+IF(J$5="Mortgage Starts",0,Deposit_mon_alt),2)</f>
        <v>18266.87</v>
      </c>
      <c r="K51" s="16">
        <f>ROUND(J51*(1+'Interest rate projection'!AJ53/Var_freq)+IF(K$5="Mortgage Starts",0,Deposit_mon_alt),2)</f>
        <v>20334</v>
      </c>
      <c r="L51" s="16">
        <f>ROUND(K51*(1+'Interest rate projection'!AK53/Var_freq)+IF(L$5="Mortgage Starts",0,Deposit_mon_alt),2)</f>
        <v>22412.79</v>
      </c>
      <c r="M51" s="16">
        <f>ROUND(L51*(1+'Interest rate projection'!AL53/Var_freq)+IF(M$5="Mortgage Starts",0,Deposit_mon_alt),2)</f>
        <v>24499.63</v>
      </c>
      <c r="N51" s="57">
        <f>ROUND(M51*(1+'Interest rate projection'!AM53/Var_freq)+IF(N$5="Mortgage Starts",0,Deposit_mon_alt),2)</f>
        <v>24594.560000000001</v>
      </c>
      <c r="O51" s="12"/>
      <c r="P51" s="38">
        <f>'Interest rate projection'!N53</f>
        <v>4.7500000000000001E-2</v>
      </c>
      <c r="Q51" s="38">
        <f>'Interest rate projection'!AN53</f>
        <v>4.6496219905550085E-2</v>
      </c>
      <c r="R51" s="59" t="str">
        <f t="shared" si="8"/>
        <v>OK</v>
      </c>
      <c r="S51" s="39">
        <f t="shared" si="9"/>
        <v>14.766012404082064</v>
      </c>
      <c r="T51" s="10"/>
      <c r="U51" s="73">
        <f t="shared" si="6"/>
        <v>24594.560000000001</v>
      </c>
      <c r="V51" s="73">
        <f t="shared" si="4"/>
        <v>175405.44</v>
      </c>
      <c r="W51" s="74">
        <f t="shared" si="10"/>
        <v>989.92</v>
      </c>
      <c r="X51" s="12"/>
      <c r="Y51" s="73">
        <f>'Fixed rate projection Alt'!$T$3-('Variable rate projection Alt'!W51*Product_term_alt*Var_freq)</f>
        <v>1432.1999999999971</v>
      </c>
      <c r="AA51" s="14"/>
      <c r="AB51" s="10"/>
      <c r="AC51" s="11"/>
      <c r="AD51" s="11"/>
      <c r="AE51" s="11"/>
      <c r="AF51" s="12"/>
      <c r="AG51" s="12"/>
      <c r="AH51" s="13"/>
      <c r="AJ51" s="14"/>
      <c r="AK51" s="10"/>
      <c r="AL51" s="11"/>
      <c r="AM51" s="11"/>
      <c r="AN51" s="11"/>
      <c r="AO51" s="12"/>
      <c r="AP51" s="12"/>
      <c r="AQ51" s="13"/>
      <c r="AS51" s="14"/>
      <c r="AT51" s="10"/>
      <c r="AU51" s="11"/>
      <c r="AV51" s="11"/>
      <c r="AW51" s="11"/>
      <c r="AX51" s="12"/>
      <c r="AY51" s="12"/>
      <c r="AZ51" s="13"/>
      <c r="BB51" s="14"/>
      <c r="BC51" s="10"/>
      <c r="BD51" s="11"/>
      <c r="BE51" s="11"/>
      <c r="BF51" s="11"/>
      <c r="BG51" s="12"/>
      <c r="BH51" s="12"/>
      <c r="BI51" s="13"/>
      <c r="BK51" s="14"/>
      <c r="BL51" s="10"/>
      <c r="BM51" s="11"/>
      <c r="BN51" s="11"/>
      <c r="BO51" s="11"/>
      <c r="BP51" s="12"/>
      <c r="BQ51" s="12"/>
      <c r="BR51" s="13"/>
      <c r="BT51" s="14"/>
      <c r="BU51" s="10"/>
      <c r="BV51" s="11"/>
      <c r="BW51" s="11"/>
      <c r="BX51" s="11"/>
      <c r="BY51" s="12"/>
      <c r="BZ51" s="12"/>
      <c r="CA51" s="13"/>
      <c r="CC51" s="13"/>
    </row>
    <row r="52" spans="1:81" x14ac:dyDescent="0.35">
      <c r="A52" s="27">
        <v>47</v>
      </c>
      <c r="B52" s="57">
        <f t="shared" si="7"/>
        <v>2000</v>
      </c>
      <c r="C52" s="16">
        <f>ROUND(B52*(1+'Interest rate projection'!AB54/Var_freq)+IF(C$5="Mortgage Starts",0,Deposit_mon_alt),2)</f>
        <v>4007.35</v>
      </c>
      <c r="D52" s="16">
        <f>ROUND(C52*(1+'Interest rate projection'!AC54/Var_freq)+IF(D$5="Mortgage Starts",0,Deposit_mon_alt),2)</f>
        <v>6022.08</v>
      </c>
      <c r="E52" s="16">
        <f>ROUND(D52*(1+'Interest rate projection'!AD54/Var_freq)+IF(E$5="Mortgage Starts",0,Deposit_mon_alt),2)</f>
        <v>8044.21</v>
      </c>
      <c r="F52" s="16">
        <f>ROUND(E52*(1+'Interest rate projection'!AE54/Var_freq)+IF(F$5="Mortgage Starts",0,Deposit_mon_alt),2)</f>
        <v>10073.77</v>
      </c>
      <c r="G52" s="16">
        <f>ROUND(F52*(1+'Interest rate projection'!AF54/Var_freq)+IF(G$5="Mortgage Starts",0,Deposit_mon_alt),2)</f>
        <v>12112.8</v>
      </c>
      <c r="H52" s="16">
        <f>ROUND(G52*(1+'Interest rate projection'!AG54/Var_freq)+IF(H$5="Mortgage Starts",0,Deposit_mon_alt),2)</f>
        <v>14159.73</v>
      </c>
      <c r="I52" s="16">
        <f>ROUND(H52*(1+'Interest rate projection'!AH54/Var_freq)+IF(I$5="Mortgage Starts",0,Deposit_mon_alt),2)</f>
        <v>16214.59</v>
      </c>
      <c r="J52" s="16">
        <f>ROUND(I52*(1+'Interest rate projection'!AI54/Var_freq)+IF(J$5="Mortgage Starts",0,Deposit_mon_alt),2)</f>
        <v>18277.419999999998</v>
      </c>
      <c r="K52" s="16">
        <f>ROUND(J52*(1+'Interest rate projection'!AJ54/Var_freq)+IF(K$5="Mortgage Starts",0,Deposit_mon_alt),2)</f>
        <v>20348.240000000002</v>
      </c>
      <c r="L52" s="16">
        <f>ROUND(K52*(1+'Interest rate projection'!AK54/Var_freq)+IF(L$5="Mortgage Starts",0,Deposit_mon_alt),2)</f>
        <v>22427.08</v>
      </c>
      <c r="M52" s="16">
        <f>ROUND(L52*(1+'Interest rate projection'!AL54/Var_freq)+IF(M$5="Mortgage Starts",0,Deposit_mon_alt),2)</f>
        <v>24513.98</v>
      </c>
      <c r="N52" s="57">
        <f>ROUND(M52*(1+'Interest rate projection'!AM54/Var_freq)+IF(N$5="Mortgage Starts",0,Deposit_mon_alt),2)</f>
        <v>24608.959999999999</v>
      </c>
      <c r="O52" s="12"/>
      <c r="P52" s="38">
        <f>'Interest rate projection'!N54</f>
        <v>4.7500000000000001E-2</v>
      </c>
      <c r="Q52" s="38">
        <f>'Interest rate projection'!AN54</f>
        <v>4.6496219905550085E-2</v>
      </c>
      <c r="R52" s="59" t="str">
        <f t="shared" si="8"/>
        <v>OK</v>
      </c>
      <c r="S52" s="39">
        <f t="shared" si="9"/>
        <v>14.766012404082064</v>
      </c>
      <c r="T52" s="10"/>
      <c r="U52" s="73">
        <f t="shared" si="6"/>
        <v>24608.959999999999</v>
      </c>
      <c r="V52" s="73">
        <f t="shared" si="4"/>
        <v>175391.04</v>
      </c>
      <c r="W52" s="74">
        <f t="shared" si="10"/>
        <v>989.84</v>
      </c>
      <c r="X52" s="12"/>
      <c r="Y52" s="73">
        <f>'Fixed rate projection Alt'!$T$3-('Variable rate projection Alt'!W52*Product_term_alt*Var_freq)</f>
        <v>1437</v>
      </c>
      <c r="AA52" s="14"/>
      <c r="AB52" s="10"/>
      <c r="AC52" s="11"/>
      <c r="AD52" s="11"/>
      <c r="AE52" s="11"/>
      <c r="AF52" s="12"/>
      <c r="AG52" s="12"/>
      <c r="AH52" s="13"/>
      <c r="AJ52" s="14"/>
      <c r="AK52" s="10"/>
      <c r="AL52" s="11"/>
      <c r="AM52" s="11"/>
      <c r="AN52" s="11"/>
      <c r="AO52" s="12"/>
      <c r="AP52" s="12"/>
      <c r="AQ52" s="13"/>
      <c r="AS52" s="14"/>
      <c r="AT52" s="10"/>
      <c r="AU52" s="11"/>
      <c r="AV52" s="11"/>
      <c r="AW52" s="11"/>
      <c r="AX52" s="12"/>
      <c r="AY52" s="12"/>
      <c r="AZ52" s="13"/>
      <c r="BB52" s="14"/>
      <c r="BC52" s="10"/>
      <c r="BD52" s="11"/>
      <c r="BE52" s="11"/>
      <c r="BF52" s="11"/>
      <c r="BG52" s="12"/>
      <c r="BH52" s="12"/>
      <c r="BI52" s="13"/>
      <c r="BK52" s="14"/>
      <c r="BL52" s="10"/>
      <c r="BM52" s="11"/>
      <c r="BN52" s="11"/>
      <c r="BO52" s="11"/>
      <c r="BP52" s="12"/>
      <c r="BQ52" s="12"/>
      <c r="BR52" s="13"/>
      <c r="BT52" s="14"/>
      <c r="BU52" s="10"/>
      <c r="BV52" s="11"/>
      <c r="BW52" s="11"/>
      <c r="BX52" s="11"/>
      <c r="BY52" s="12"/>
      <c r="BZ52" s="12"/>
      <c r="CA52" s="13"/>
      <c r="CC52" s="13"/>
    </row>
    <row r="53" spans="1:81" x14ac:dyDescent="0.35">
      <c r="A53" s="5">
        <v>48</v>
      </c>
      <c r="B53" s="57">
        <f t="shared" si="7"/>
        <v>2000</v>
      </c>
      <c r="C53" s="16">
        <f>ROUND(B53*(1+'Interest rate projection'!AB55/Var_freq)+IF(C$5="Mortgage Starts",0,Deposit_mon_alt),2)</f>
        <v>4007.35</v>
      </c>
      <c r="D53" s="16">
        <f>ROUND(C53*(1+'Interest rate projection'!AC55/Var_freq)+IF(D$5="Mortgage Starts",0,Deposit_mon_alt),2)</f>
        <v>6022.08</v>
      </c>
      <c r="E53" s="16">
        <f>ROUND(D53*(1+'Interest rate projection'!AD55/Var_freq)+IF(E$5="Mortgage Starts",0,Deposit_mon_alt),2)</f>
        <v>8044.21</v>
      </c>
      <c r="F53" s="16">
        <f>ROUND(E53*(1+'Interest rate projection'!AE55/Var_freq)+IF(F$5="Mortgage Starts",0,Deposit_mon_alt),2)</f>
        <v>10073.77</v>
      </c>
      <c r="G53" s="16">
        <f>ROUND(F53*(1+'Interest rate projection'!AF55/Var_freq)+IF(G$5="Mortgage Starts",0,Deposit_mon_alt),2)</f>
        <v>12110.79</v>
      </c>
      <c r="H53" s="16">
        <f>ROUND(G53*(1+'Interest rate projection'!AG55/Var_freq)+IF(H$5="Mortgage Starts",0,Deposit_mon_alt),2)</f>
        <v>14155.29</v>
      </c>
      <c r="I53" s="16">
        <f>ROUND(H53*(1+'Interest rate projection'!AH55/Var_freq)+IF(I$5="Mortgage Starts",0,Deposit_mon_alt),2)</f>
        <v>16210.14</v>
      </c>
      <c r="J53" s="16">
        <f>ROUND(I53*(1+'Interest rate projection'!AI55/Var_freq)+IF(J$5="Mortgage Starts",0,Deposit_mon_alt),2)</f>
        <v>18269.71</v>
      </c>
      <c r="K53" s="16">
        <f>ROUND(J53*(1+'Interest rate projection'!AJ55/Var_freq)+IF(K$5="Mortgage Starts",0,Deposit_mon_alt),2)</f>
        <v>20336.849999999999</v>
      </c>
      <c r="L53" s="16">
        <f>ROUND(K53*(1+'Interest rate projection'!AK55/Var_freq)+IF(L$5="Mortgage Starts",0,Deposit_mon_alt),2)</f>
        <v>22411.58</v>
      </c>
      <c r="M53" s="16">
        <f>ROUND(L53*(1+'Interest rate projection'!AL55/Var_freq)+IF(M$5="Mortgage Starts",0,Deposit_mon_alt),2)</f>
        <v>24493.94</v>
      </c>
      <c r="N53" s="57">
        <f>ROUND(M53*(1+'Interest rate projection'!AM55/Var_freq)+IF(N$5="Mortgage Starts",0,Deposit_mon_alt),2)</f>
        <v>24583.95</v>
      </c>
      <c r="O53" s="12"/>
      <c r="P53" s="38">
        <f>'Interest rate projection'!N55</f>
        <v>4.4999999999999998E-2</v>
      </c>
      <c r="Q53" s="38">
        <f>'Interest rate projection'!AN55</f>
        <v>4.4097712805242217E-2</v>
      </c>
      <c r="R53" s="59" t="str">
        <f t="shared" si="8"/>
        <v>OK</v>
      </c>
      <c r="S53" s="39">
        <f t="shared" si="9"/>
        <v>15.131610255367837</v>
      </c>
      <c r="T53" s="10"/>
      <c r="U53" s="73">
        <f t="shared" si="6"/>
        <v>24583.95</v>
      </c>
      <c r="V53" s="73">
        <f t="shared" si="4"/>
        <v>175416.05</v>
      </c>
      <c r="W53" s="74">
        <f t="shared" si="10"/>
        <v>966.06</v>
      </c>
      <c r="X53" s="12"/>
      <c r="Y53" s="73">
        <f>'Fixed rate projection Alt'!$T$3-('Variable rate projection Alt'!W53*Product_term_alt*Var_freq)</f>
        <v>2863.8000000000029</v>
      </c>
      <c r="AA53" s="14"/>
      <c r="AB53" s="10"/>
      <c r="AC53" s="11"/>
      <c r="AD53" s="11"/>
      <c r="AE53" s="11"/>
      <c r="AF53" s="12"/>
      <c r="AG53" s="12"/>
      <c r="AH53" s="13"/>
      <c r="AJ53" s="14"/>
      <c r="AK53" s="10"/>
      <c r="AL53" s="11"/>
      <c r="AM53" s="11"/>
      <c r="AN53" s="11"/>
      <c r="AO53" s="12"/>
      <c r="AP53" s="12"/>
      <c r="AQ53" s="13"/>
      <c r="AS53" s="14"/>
      <c r="AT53" s="10"/>
      <c r="AU53" s="11"/>
      <c r="AV53" s="11"/>
      <c r="AW53" s="11"/>
      <c r="AX53" s="12"/>
      <c r="AY53" s="12"/>
      <c r="AZ53" s="13"/>
      <c r="BB53" s="14"/>
      <c r="BC53" s="10"/>
      <c r="BD53" s="11"/>
      <c r="BE53" s="11"/>
      <c r="BF53" s="11"/>
      <c r="BG53" s="12"/>
      <c r="BH53" s="12"/>
      <c r="BI53" s="13"/>
      <c r="BK53" s="14"/>
      <c r="BL53" s="10"/>
      <c r="BM53" s="11"/>
      <c r="BN53" s="11"/>
      <c r="BO53" s="11"/>
      <c r="BP53" s="12"/>
      <c r="BQ53" s="12"/>
      <c r="BR53" s="13"/>
      <c r="BT53" s="14"/>
      <c r="BU53" s="10"/>
      <c r="BV53" s="11"/>
      <c r="BW53" s="11"/>
      <c r="BX53" s="11"/>
      <c r="BY53" s="12"/>
      <c r="BZ53" s="12"/>
      <c r="CA53" s="13"/>
      <c r="CC53" s="13"/>
    </row>
    <row r="54" spans="1:81" x14ac:dyDescent="0.35">
      <c r="A54" s="27">
        <v>49</v>
      </c>
      <c r="B54" s="57">
        <f t="shared" si="7"/>
        <v>2000</v>
      </c>
      <c r="C54" s="16">
        <f>ROUND(B54*(1+'Interest rate projection'!AB56/Var_freq)+IF(C$5="Mortgage Starts",0,Deposit_mon_alt),2)</f>
        <v>4007.35</v>
      </c>
      <c r="D54" s="16">
        <f>ROUND(C54*(1+'Interest rate projection'!AC56/Var_freq)+IF(D$5="Mortgage Starts",0,Deposit_mon_alt),2)</f>
        <v>6022.08</v>
      </c>
      <c r="E54" s="16">
        <f>ROUND(D54*(1+'Interest rate projection'!AD56/Var_freq)+IF(E$5="Mortgage Starts",0,Deposit_mon_alt),2)</f>
        <v>8044.21</v>
      </c>
      <c r="F54" s="16">
        <f>ROUND(E54*(1+'Interest rate projection'!AE56/Var_freq)+IF(F$5="Mortgage Starts",0,Deposit_mon_alt),2)</f>
        <v>10073.77</v>
      </c>
      <c r="G54" s="16">
        <f>ROUND(F54*(1+'Interest rate projection'!AF56/Var_freq)+IF(G$5="Mortgage Starts",0,Deposit_mon_alt),2)</f>
        <v>12110.79</v>
      </c>
      <c r="H54" s="16">
        <f>ROUND(G54*(1+'Interest rate projection'!AG56/Var_freq)+IF(H$5="Mortgage Starts",0,Deposit_mon_alt),2)</f>
        <v>14155.29</v>
      </c>
      <c r="I54" s="16">
        <f>ROUND(H54*(1+'Interest rate projection'!AH56/Var_freq)+IF(I$5="Mortgage Starts",0,Deposit_mon_alt),2)</f>
        <v>16207.31</v>
      </c>
      <c r="J54" s="16">
        <f>ROUND(I54*(1+'Interest rate projection'!AI56/Var_freq)+IF(J$5="Mortgage Starts",0,Deposit_mon_alt),2)</f>
        <v>18266.87</v>
      </c>
      <c r="K54" s="16">
        <f>ROUND(J54*(1+'Interest rate projection'!AJ56/Var_freq)+IF(K$5="Mortgage Starts",0,Deposit_mon_alt),2)</f>
        <v>20337.650000000001</v>
      </c>
      <c r="L54" s="16">
        <f>ROUND(K54*(1+'Interest rate projection'!AK56/Var_freq)+IF(L$5="Mortgage Starts",0,Deposit_mon_alt),2)</f>
        <v>22416.45</v>
      </c>
      <c r="M54" s="16">
        <f>ROUND(L54*(1+'Interest rate projection'!AL56/Var_freq)+IF(M$5="Mortgage Starts",0,Deposit_mon_alt),2)</f>
        <v>24503.31</v>
      </c>
      <c r="N54" s="57">
        <f>ROUND(M54*(1+'Interest rate projection'!AM56/Var_freq)+IF(N$5="Mortgage Starts",0,Deposit_mon_alt),2)</f>
        <v>24598.25</v>
      </c>
      <c r="O54" s="12"/>
      <c r="P54" s="38">
        <f>'Interest rate projection'!N56</f>
        <v>4.7500000000000001E-2</v>
      </c>
      <c r="Q54" s="38">
        <f>'Interest rate projection'!AN56</f>
        <v>4.6496219905550085E-2</v>
      </c>
      <c r="R54" s="59" t="str">
        <f t="shared" si="8"/>
        <v>OK</v>
      </c>
      <c r="S54" s="39">
        <f t="shared" si="9"/>
        <v>14.766012404082064</v>
      </c>
      <c r="T54" s="10"/>
      <c r="U54" s="73">
        <f t="shared" si="6"/>
        <v>24598.25</v>
      </c>
      <c r="V54" s="73">
        <f t="shared" si="4"/>
        <v>175401.75</v>
      </c>
      <c r="W54" s="74">
        <f t="shared" si="10"/>
        <v>989.9</v>
      </c>
      <c r="X54" s="12"/>
      <c r="Y54" s="73">
        <f>'Fixed rate projection Alt'!$T$3-('Variable rate projection Alt'!W54*Product_term_alt*Var_freq)</f>
        <v>1433.3999999999942</v>
      </c>
      <c r="AA54" s="14"/>
      <c r="AB54" s="10"/>
      <c r="AC54" s="11"/>
      <c r="AD54" s="11"/>
      <c r="AE54" s="11"/>
      <c r="AF54" s="12"/>
      <c r="AG54" s="12"/>
      <c r="AH54" s="13"/>
      <c r="AJ54" s="14"/>
      <c r="AK54" s="10"/>
      <c r="AL54" s="11"/>
      <c r="AM54" s="11"/>
      <c r="AN54" s="11"/>
      <c r="AO54" s="12"/>
      <c r="AP54" s="12"/>
      <c r="AQ54" s="13"/>
      <c r="AS54" s="14"/>
      <c r="AT54" s="10"/>
      <c r="AU54" s="11"/>
      <c r="AV54" s="11"/>
      <c r="AW54" s="11"/>
      <c r="AX54" s="12"/>
      <c r="AY54" s="12"/>
      <c r="AZ54" s="13"/>
      <c r="BB54" s="14"/>
      <c r="BC54" s="10"/>
      <c r="BD54" s="11"/>
      <c r="BE54" s="11"/>
      <c r="BF54" s="11"/>
      <c r="BG54" s="12"/>
      <c r="BH54" s="12"/>
      <c r="BI54" s="13"/>
      <c r="BK54" s="14"/>
      <c r="BL54" s="10"/>
      <c r="BM54" s="11"/>
      <c r="BN54" s="11"/>
      <c r="BO54" s="11"/>
      <c r="BP54" s="12"/>
      <c r="BQ54" s="12"/>
      <c r="BR54" s="13"/>
      <c r="BT54" s="14"/>
      <c r="BU54" s="10"/>
      <c r="BV54" s="11"/>
      <c r="BW54" s="11"/>
      <c r="BX54" s="11"/>
      <c r="BY54" s="12"/>
      <c r="BZ54" s="12"/>
      <c r="CA54" s="13"/>
      <c r="CC54" s="13"/>
    </row>
    <row r="55" spans="1:81" x14ac:dyDescent="0.35">
      <c r="A55" s="5">
        <v>50</v>
      </c>
      <c r="B55" s="57">
        <f t="shared" si="7"/>
        <v>2000</v>
      </c>
      <c r="C55" s="16">
        <f>ROUND(B55*(1+'Interest rate projection'!AB57/Var_freq)+IF(C$5="Mortgage Starts",0,Deposit_mon_alt),2)</f>
        <v>4007.35</v>
      </c>
      <c r="D55" s="16">
        <f>ROUND(C55*(1+'Interest rate projection'!AC57/Var_freq)+IF(D$5="Mortgage Starts",0,Deposit_mon_alt),2)</f>
        <v>6022.08</v>
      </c>
      <c r="E55" s="16">
        <f>ROUND(D55*(1+'Interest rate projection'!AD57/Var_freq)+IF(E$5="Mortgage Starts",0,Deposit_mon_alt),2)</f>
        <v>8043</v>
      </c>
      <c r="F55" s="16">
        <f>ROUND(E55*(1+'Interest rate projection'!AE57/Var_freq)+IF(F$5="Mortgage Starts",0,Deposit_mon_alt),2)</f>
        <v>10070.950000000001</v>
      </c>
      <c r="G55" s="16">
        <f>ROUND(F55*(1+'Interest rate projection'!AF57/Var_freq)+IF(G$5="Mortgage Starts",0,Deposit_mon_alt),2)</f>
        <v>12105.94</v>
      </c>
      <c r="H55" s="16">
        <f>ROUND(G55*(1+'Interest rate projection'!AG57/Var_freq)+IF(H$5="Mortgage Starts",0,Deposit_mon_alt),2)</f>
        <v>14148</v>
      </c>
      <c r="I55" s="16">
        <f>ROUND(H55*(1+'Interest rate projection'!AH57/Var_freq)+IF(I$5="Mortgage Starts",0,Deposit_mon_alt),2)</f>
        <v>16197.16</v>
      </c>
      <c r="J55" s="16">
        <f>ROUND(I55*(1+'Interest rate projection'!AI57/Var_freq)+IF(J$5="Mortgage Starts",0,Deposit_mon_alt),2)</f>
        <v>18246.93</v>
      </c>
      <c r="K55" s="16">
        <f>ROUND(J55*(1+'Interest rate projection'!AJ57/Var_freq)+IF(K$5="Mortgage Starts",0,Deposit_mon_alt),2)</f>
        <v>20302.990000000002</v>
      </c>
      <c r="L55" s="16">
        <f>ROUND(K55*(1+'Interest rate projection'!AK57/Var_freq)+IF(L$5="Mortgage Starts",0,Deposit_mon_alt),2)</f>
        <v>22373.53</v>
      </c>
      <c r="M55" s="16">
        <f>ROUND(L55*(1+'Interest rate projection'!AL57/Var_freq)+IF(M$5="Mortgage Starts",0,Deposit_mon_alt),2)</f>
        <v>24451.27</v>
      </c>
      <c r="N55" s="57">
        <f>ROUND(M55*(1+'Interest rate projection'!AM57/Var_freq)+IF(N$5="Mortgage Starts",0,Deposit_mon_alt),2)</f>
        <v>24541.119999999999</v>
      </c>
      <c r="O55" s="12"/>
      <c r="P55" s="38">
        <f>'Interest rate projection'!N57</f>
        <v>4.4999999999999998E-2</v>
      </c>
      <c r="Q55" s="38">
        <f>'Interest rate projection'!AN57</f>
        <v>4.4097712805242217E-2</v>
      </c>
      <c r="R55" s="59" t="str">
        <f t="shared" si="8"/>
        <v>OK</v>
      </c>
      <c r="S55" s="39">
        <f t="shared" si="9"/>
        <v>15.131610255367837</v>
      </c>
      <c r="T55" s="10"/>
      <c r="U55" s="73">
        <f t="shared" si="6"/>
        <v>24541.119999999999</v>
      </c>
      <c r="V55" s="73">
        <f t="shared" si="4"/>
        <v>175458.88</v>
      </c>
      <c r="W55" s="74">
        <f t="shared" si="10"/>
        <v>966.29</v>
      </c>
      <c r="X55" s="12"/>
      <c r="Y55" s="73">
        <f>'Fixed rate projection Alt'!$T$3-('Variable rate projection Alt'!W55*Product_term_alt*Var_freq)</f>
        <v>2850</v>
      </c>
      <c r="AA55" s="14"/>
      <c r="AB55" s="10"/>
      <c r="AC55" s="11"/>
      <c r="AD55" s="11"/>
      <c r="AE55" s="11"/>
      <c r="AF55" s="12"/>
      <c r="AG55" s="12"/>
      <c r="AH55" s="13"/>
      <c r="AJ55" s="14"/>
      <c r="AK55" s="10"/>
      <c r="AL55" s="11"/>
      <c r="AM55" s="11"/>
      <c r="AN55" s="11"/>
      <c r="AO55" s="12"/>
      <c r="AP55" s="12"/>
      <c r="AQ55" s="13"/>
      <c r="AS55" s="14"/>
      <c r="AT55" s="10"/>
      <c r="AU55" s="11"/>
      <c r="AV55" s="11"/>
      <c r="AW55" s="11"/>
      <c r="AX55" s="12"/>
      <c r="AY55" s="12"/>
      <c r="AZ55" s="13"/>
      <c r="BB55" s="14"/>
      <c r="BC55" s="10"/>
      <c r="BD55" s="11"/>
      <c r="BE55" s="11"/>
      <c r="BF55" s="11"/>
      <c r="BG55" s="12"/>
      <c r="BH55" s="12"/>
      <c r="BI55" s="13"/>
      <c r="BK55" s="14"/>
      <c r="BL55" s="10"/>
      <c r="BM55" s="11"/>
      <c r="BN55" s="11"/>
      <c r="BO55" s="11"/>
      <c r="BP55" s="12"/>
      <c r="BQ55" s="12"/>
      <c r="BR55" s="13"/>
      <c r="BT55" s="14"/>
      <c r="BU55" s="10"/>
      <c r="BV55" s="11"/>
      <c r="BW55" s="11"/>
      <c r="BX55" s="11"/>
      <c r="BY55" s="12"/>
      <c r="BZ55" s="12"/>
      <c r="CA55" s="13"/>
      <c r="CC55" s="13"/>
    </row>
    <row r="56" spans="1:81" x14ac:dyDescent="0.35">
      <c r="A56" s="27">
        <v>51</v>
      </c>
      <c r="B56" s="57">
        <f t="shared" si="7"/>
        <v>2000</v>
      </c>
      <c r="C56" s="16">
        <f>ROUND(B56*(1+'Interest rate projection'!AB58/Var_freq)+IF(C$5="Mortgage Starts",0,Deposit_mon_alt),2)</f>
        <v>4007.35</v>
      </c>
      <c r="D56" s="16">
        <f>ROUND(C56*(1+'Interest rate projection'!AC58/Var_freq)+IF(D$5="Mortgage Starts",0,Deposit_mon_alt),2)</f>
        <v>6022.08</v>
      </c>
      <c r="E56" s="16">
        <f>ROUND(D56*(1+'Interest rate projection'!AD58/Var_freq)+IF(E$5="Mortgage Starts",0,Deposit_mon_alt),2)</f>
        <v>8044.21</v>
      </c>
      <c r="F56" s="16">
        <f>ROUND(E56*(1+'Interest rate projection'!AE58/Var_freq)+IF(F$5="Mortgage Starts",0,Deposit_mon_alt),2)</f>
        <v>10073.77</v>
      </c>
      <c r="G56" s="16">
        <f>ROUND(F56*(1+'Interest rate projection'!AF58/Var_freq)+IF(G$5="Mortgage Starts",0,Deposit_mon_alt),2)</f>
        <v>12110.79</v>
      </c>
      <c r="H56" s="16">
        <f>ROUND(G56*(1+'Interest rate projection'!AG58/Var_freq)+IF(H$5="Mortgage Starts",0,Deposit_mon_alt),2)</f>
        <v>14155.29</v>
      </c>
      <c r="I56" s="16">
        <f>ROUND(H56*(1+'Interest rate projection'!AH58/Var_freq)+IF(I$5="Mortgage Starts",0,Deposit_mon_alt),2)</f>
        <v>16207.31</v>
      </c>
      <c r="J56" s="16">
        <f>ROUND(I56*(1+'Interest rate projection'!AI58/Var_freq)+IF(J$5="Mortgage Starts",0,Deposit_mon_alt),2)</f>
        <v>18266.87</v>
      </c>
      <c r="K56" s="16">
        <f>ROUND(J56*(1+'Interest rate projection'!AJ58/Var_freq)+IF(K$5="Mortgage Starts",0,Deposit_mon_alt),2)</f>
        <v>20334</v>
      </c>
      <c r="L56" s="16">
        <f>ROUND(K56*(1+'Interest rate projection'!AK58/Var_freq)+IF(L$5="Mortgage Starts",0,Deposit_mon_alt),2)</f>
        <v>22408.720000000001</v>
      </c>
      <c r="M56" s="16">
        <f>ROUND(L56*(1+'Interest rate projection'!AL58/Var_freq)+IF(M$5="Mortgage Starts",0,Deposit_mon_alt),2)</f>
        <v>24491.07</v>
      </c>
      <c r="N56" s="57">
        <f>ROUND(M56*(1+'Interest rate projection'!AM58/Var_freq)+IF(N$5="Mortgage Starts",0,Deposit_mon_alt),2)</f>
        <v>24581.07</v>
      </c>
      <c r="O56" s="12"/>
      <c r="P56" s="38">
        <f>'Interest rate projection'!N58</f>
        <v>4.4999999999999998E-2</v>
      </c>
      <c r="Q56" s="38">
        <f>'Interest rate projection'!AN58</f>
        <v>4.4097712805242217E-2</v>
      </c>
      <c r="R56" s="59" t="str">
        <f t="shared" si="8"/>
        <v>OK</v>
      </c>
      <c r="S56" s="39">
        <f t="shared" si="9"/>
        <v>15.131610255367837</v>
      </c>
      <c r="T56" s="10"/>
      <c r="U56" s="73">
        <f t="shared" si="6"/>
        <v>24581.07</v>
      </c>
      <c r="V56" s="73">
        <f t="shared" si="4"/>
        <v>175418.93</v>
      </c>
      <c r="W56" s="74">
        <f t="shared" si="10"/>
        <v>966.07</v>
      </c>
      <c r="X56" s="12"/>
      <c r="Y56" s="73">
        <f>'Fixed rate projection Alt'!$T$3-('Variable rate projection Alt'!W56*Product_term_alt*Var_freq)</f>
        <v>2863.1999999999898</v>
      </c>
      <c r="AA56" s="14"/>
      <c r="AB56" s="10"/>
      <c r="AC56" s="11"/>
      <c r="AD56" s="11"/>
      <c r="AE56" s="11"/>
      <c r="AF56" s="12"/>
      <c r="AG56" s="12"/>
      <c r="AH56" s="13"/>
      <c r="AJ56" s="14"/>
      <c r="AK56" s="10"/>
      <c r="AL56" s="11"/>
      <c r="AM56" s="11"/>
      <c r="AN56" s="11"/>
      <c r="AO56" s="12"/>
      <c r="AP56" s="12"/>
      <c r="AQ56" s="13"/>
      <c r="AS56" s="14"/>
      <c r="AT56" s="10"/>
      <c r="AU56" s="11"/>
      <c r="AV56" s="11"/>
      <c r="AW56" s="11"/>
      <c r="AX56" s="12"/>
      <c r="AY56" s="12"/>
      <c r="AZ56" s="13"/>
      <c r="BB56" s="14"/>
      <c r="BC56" s="10"/>
      <c r="BD56" s="11"/>
      <c r="BE56" s="11"/>
      <c r="BF56" s="11"/>
      <c r="BG56" s="12"/>
      <c r="BH56" s="12"/>
      <c r="BI56" s="13"/>
      <c r="BK56" s="14"/>
      <c r="BL56" s="10"/>
      <c r="BM56" s="11"/>
      <c r="BN56" s="11"/>
      <c r="BO56" s="11"/>
      <c r="BP56" s="12"/>
      <c r="BQ56" s="12"/>
      <c r="BR56" s="13"/>
      <c r="BT56" s="14"/>
      <c r="BU56" s="10"/>
      <c r="BV56" s="11"/>
      <c r="BW56" s="11"/>
      <c r="BX56" s="11"/>
      <c r="BY56" s="12"/>
      <c r="BZ56" s="12"/>
      <c r="CA56" s="13"/>
      <c r="CC56" s="13"/>
    </row>
    <row r="57" spans="1:81" x14ac:dyDescent="0.35">
      <c r="A57" s="5">
        <v>52</v>
      </c>
      <c r="B57" s="57">
        <f t="shared" si="7"/>
        <v>2000</v>
      </c>
      <c r="C57" s="16">
        <f>ROUND(B57*(1+'Interest rate projection'!AB59/Var_freq)+IF(C$5="Mortgage Starts",0,Deposit_mon_alt),2)</f>
        <v>4007.35</v>
      </c>
      <c r="D57" s="16">
        <f>ROUND(C57*(1+'Interest rate projection'!AC59/Var_freq)+IF(D$5="Mortgage Starts",0,Deposit_mon_alt),2)</f>
        <v>6022.08</v>
      </c>
      <c r="E57" s="16">
        <f>ROUND(D57*(1+'Interest rate projection'!AD59/Var_freq)+IF(E$5="Mortgage Starts",0,Deposit_mon_alt),2)</f>
        <v>8044.21</v>
      </c>
      <c r="F57" s="16">
        <f>ROUND(E57*(1+'Interest rate projection'!AE59/Var_freq)+IF(F$5="Mortgage Starts",0,Deposit_mon_alt),2)</f>
        <v>10073.77</v>
      </c>
      <c r="G57" s="16">
        <f>ROUND(F57*(1+'Interest rate projection'!AF59/Var_freq)+IF(G$5="Mortgage Starts",0,Deposit_mon_alt),2)</f>
        <v>12110.79</v>
      </c>
      <c r="H57" s="16">
        <f>ROUND(G57*(1+'Interest rate projection'!AG59/Var_freq)+IF(H$5="Mortgage Starts",0,Deposit_mon_alt),2)</f>
        <v>14155.29</v>
      </c>
      <c r="I57" s="16">
        <f>ROUND(H57*(1+'Interest rate projection'!AH59/Var_freq)+IF(I$5="Mortgage Starts",0,Deposit_mon_alt),2)</f>
        <v>16207.31</v>
      </c>
      <c r="J57" s="16">
        <f>ROUND(I57*(1+'Interest rate projection'!AI59/Var_freq)+IF(J$5="Mortgage Starts",0,Deposit_mon_alt),2)</f>
        <v>18266.87</v>
      </c>
      <c r="K57" s="16">
        <f>ROUND(J57*(1+'Interest rate projection'!AJ59/Var_freq)+IF(K$5="Mortgage Starts",0,Deposit_mon_alt),2)</f>
        <v>20334</v>
      </c>
      <c r="L57" s="16">
        <f>ROUND(K57*(1+'Interest rate projection'!AK59/Var_freq)+IF(L$5="Mortgage Starts",0,Deposit_mon_alt),2)</f>
        <v>22404.65</v>
      </c>
      <c r="M57" s="16">
        <f>ROUND(L57*(1+'Interest rate projection'!AL59/Var_freq)+IF(M$5="Mortgage Starts",0,Deposit_mon_alt),2)</f>
        <v>24486.98</v>
      </c>
      <c r="N57" s="57">
        <f>ROUND(M57*(1+'Interest rate projection'!AM59/Var_freq)+IF(N$5="Mortgage Starts",0,Deposit_mon_alt),2)</f>
        <v>24576.959999999999</v>
      </c>
      <c r="O57" s="12"/>
      <c r="P57" s="38">
        <f>'Interest rate projection'!N59</f>
        <v>4.4999999999999998E-2</v>
      </c>
      <c r="Q57" s="38">
        <f>'Interest rate projection'!AN59</f>
        <v>4.4097712805242217E-2</v>
      </c>
      <c r="R57" s="59" t="str">
        <f t="shared" si="8"/>
        <v>OK</v>
      </c>
      <c r="S57" s="39">
        <f t="shared" si="9"/>
        <v>15.131610255367837</v>
      </c>
      <c r="T57" s="10"/>
      <c r="U57" s="73">
        <f t="shared" si="6"/>
        <v>24576.959999999999</v>
      </c>
      <c r="V57" s="73">
        <f t="shared" si="4"/>
        <v>175423.04</v>
      </c>
      <c r="W57" s="74">
        <f t="shared" si="10"/>
        <v>966.1</v>
      </c>
      <c r="X57" s="12"/>
      <c r="Y57" s="73">
        <f>'Fixed rate projection Alt'!$T$3-('Variable rate projection Alt'!W57*Product_term_alt*Var_freq)</f>
        <v>2861.3999999999942</v>
      </c>
      <c r="AA57" s="14"/>
      <c r="AB57" s="10"/>
      <c r="AC57" s="11"/>
      <c r="AD57" s="11"/>
      <c r="AE57" s="11"/>
      <c r="AF57" s="12"/>
      <c r="AG57" s="12"/>
      <c r="AH57" s="13"/>
      <c r="AJ57" s="14"/>
      <c r="AK57" s="10"/>
      <c r="AL57" s="11"/>
      <c r="AM57" s="11"/>
      <c r="AN57" s="11"/>
      <c r="AO57" s="12"/>
      <c r="AP57" s="12"/>
      <c r="AQ57" s="13"/>
      <c r="AS57" s="14"/>
      <c r="AT57" s="10"/>
      <c r="AU57" s="11"/>
      <c r="AV57" s="11"/>
      <c r="AW57" s="11"/>
      <c r="AX57" s="12"/>
      <c r="AY57" s="12"/>
      <c r="AZ57" s="13"/>
      <c r="BB57" s="14"/>
      <c r="BC57" s="10"/>
      <c r="BD57" s="11"/>
      <c r="BE57" s="11"/>
      <c r="BF57" s="11"/>
      <c r="BG57" s="12"/>
      <c r="BH57" s="12"/>
      <c r="BI57" s="13"/>
      <c r="BK57" s="14"/>
      <c r="BL57" s="10"/>
      <c r="BM57" s="11"/>
      <c r="BN57" s="11"/>
      <c r="BO57" s="11"/>
      <c r="BP57" s="12"/>
      <c r="BQ57" s="12"/>
      <c r="BR57" s="13"/>
      <c r="BT57" s="14"/>
      <c r="BU57" s="10"/>
      <c r="BV57" s="11"/>
      <c r="BW57" s="11"/>
      <c r="BX57" s="11"/>
      <c r="BY57" s="12"/>
      <c r="BZ57" s="12"/>
      <c r="CA57" s="13"/>
      <c r="CC57" s="13"/>
    </row>
    <row r="58" spans="1:81" x14ac:dyDescent="0.35">
      <c r="A58" s="27">
        <v>53</v>
      </c>
      <c r="B58" s="57">
        <f t="shared" si="7"/>
        <v>2000</v>
      </c>
      <c r="C58" s="16">
        <f>ROUND(B58*(1+'Interest rate projection'!AB60/Var_freq)+IF(C$5="Mortgage Starts",0,Deposit_mon_alt),2)</f>
        <v>4007.35</v>
      </c>
      <c r="D58" s="16">
        <f>ROUND(C58*(1+'Interest rate projection'!AC60/Var_freq)+IF(D$5="Mortgage Starts",0,Deposit_mon_alt),2)</f>
        <v>6022.08</v>
      </c>
      <c r="E58" s="16">
        <f>ROUND(D58*(1+'Interest rate projection'!AD60/Var_freq)+IF(E$5="Mortgage Starts",0,Deposit_mon_alt),2)</f>
        <v>8045.41</v>
      </c>
      <c r="F58" s="16">
        <f>ROUND(E58*(1+'Interest rate projection'!AE60/Var_freq)+IF(F$5="Mortgage Starts",0,Deposit_mon_alt),2)</f>
        <v>10076.58</v>
      </c>
      <c r="G58" s="16">
        <f>ROUND(F58*(1+'Interest rate projection'!AF60/Var_freq)+IF(G$5="Mortgage Starts",0,Deposit_mon_alt),2)</f>
        <v>12115.62</v>
      </c>
      <c r="H58" s="16">
        <f>ROUND(G58*(1+'Interest rate projection'!AG60/Var_freq)+IF(H$5="Mortgage Starts",0,Deposit_mon_alt),2)</f>
        <v>14162.56</v>
      </c>
      <c r="I58" s="16">
        <f>ROUND(H58*(1+'Interest rate projection'!AH60/Var_freq)+IF(I$5="Mortgage Starts",0,Deposit_mon_alt),2)</f>
        <v>16217.44</v>
      </c>
      <c r="J58" s="16">
        <f>ROUND(I58*(1+'Interest rate projection'!AI60/Var_freq)+IF(J$5="Mortgage Starts",0,Deposit_mon_alt),2)</f>
        <v>18277.04</v>
      </c>
      <c r="K58" s="16">
        <f>ROUND(J58*(1+'Interest rate projection'!AJ60/Var_freq)+IF(K$5="Mortgage Starts",0,Deposit_mon_alt),2)</f>
        <v>20344.2</v>
      </c>
      <c r="L58" s="16">
        <f>ROUND(K58*(1+'Interest rate projection'!AK60/Var_freq)+IF(L$5="Mortgage Starts",0,Deposit_mon_alt),2)</f>
        <v>22418.959999999999</v>
      </c>
      <c r="M58" s="16">
        <f>ROUND(L58*(1+'Interest rate projection'!AL60/Var_freq)+IF(M$5="Mortgage Starts",0,Deposit_mon_alt),2)</f>
        <v>24501.35</v>
      </c>
      <c r="N58" s="57">
        <f>ROUND(M58*(1+'Interest rate projection'!AM60/Var_freq)+IF(N$5="Mortgage Starts",0,Deposit_mon_alt),2)</f>
        <v>24591.39</v>
      </c>
      <c r="O58" s="12"/>
      <c r="P58" s="38">
        <f>'Interest rate projection'!N60</f>
        <v>4.4999999999999998E-2</v>
      </c>
      <c r="Q58" s="38">
        <f>'Interest rate projection'!AN60</f>
        <v>4.4097712805242217E-2</v>
      </c>
      <c r="R58" s="59" t="str">
        <f t="shared" si="8"/>
        <v>OK</v>
      </c>
      <c r="S58" s="39">
        <f t="shared" si="9"/>
        <v>15.131610255367837</v>
      </c>
      <c r="T58" s="10"/>
      <c r="U58" s="73">
        <f t="shared" si="6"/>
        <v>24591.39</v>
      </c>
      <c r="V58" s="73">
        <f t="shared" si="4"/>
        <v>175408.61</v>
      </c>
      <c r="W58" s="74">
        <f t="shared" si="10"/>
        <v>966.02</v>
      </c>
      <c r="X58" s="12"/>
      <c r="Y58" s="73">
        <f>'Fixed rate projection Alt'!$T$3-('Variable rate projection Alt'!W58*Product_term_alt*Var_freq)</f>
        <v>2866.1999999999898</v>
      </c>
      <c r="AA58" s="14"/>
      <c r="AB58" s="10"/>
      <c r="AC58" s="11"/>
      <c r="AD58" s="11"/>
      <c r="AE58" s="11"/>
      <c r="AF58" s="12"/>
      <c r="AG58" s="12"/>
      <c r="AH58" s="13"/>
      <c r="AJ58" s="14"/>
      <c r="AK58" s="10"/>
      <c r="AL58" s="11"/>
      <c r="AM58" s="11"/>
      <c r="AN58" s="11"/>
      <c r="AO58" s="12"/>
      <c r="AP58" s="12"/>
      <c r="AQ58" s="13"/>
      <c r="AS58" s="14"/>
      <c r="AT58" s="10"/>
      <c r="AU58" s="11"/>
      <c r="AV58" s="11"/>
      <c r="AW58" s="11"/>
      <c r="AX58" s="12"/>
      <c r="AY58" s="12"/>
      <c r="AZ58" s="13"/>
      <c r="BB58" s="14"/>
      <c r="BC58" s="10"/>
      <c r="BD58" s="11"/>
      <c r="BE58" s="11"/>
      <c r="BF58" s="11"/>
      <c r="BG58" s="12"/>
      <c r="BH58" s="12"/>
      <c r="BI58" s="13"/>
      <c r="BK58" s="14"/>
      <c r="BL58" s="10"/>
      <c r="BM58" s="11"/>
      <c r="BN58" s="11"/>
      <c r="BO58" s="11"/>
      <c r="BP58" s="12"/>
      <c r="BQ58" s="12"/>
      <c r="BR58" s="13"/>
      <c r="BT58" s="14"/>
      <c r="BU58" s="10"/>
      <c r="BV58" s="11"/>
      <c r="BW58" s="11"/>
      <c r="BX58" s="11"/>
      <c r="BY58" s="12"/>
      <c r="BZ58" s="12"/>
      <c r="CA58" s="13"/>
      <c r="CC58" s="13"/>
    </row>
    <row r="59" spans="1:81" x14ac:dyDescent="0.35">
      <c r="A59" s="5">
        <v>54</v>
      </c>
      <c r="B59" s="57">
        <f t="shared" si="7"/>
        <v>2000</v>
      </c>
      <c r="C59" s="16">
        <f>ROUND(B59*(1+'Interest rate projection'!AB61/Var_freq)+IF(C$5="Mortgage Starts",0,Deposit_mon_alt),2)</f>
        <v>4007.35</v>
      </c>
      <c r="D59" s="16">
        <f>ROUND(C59*(1+'Interest rate projection'!AC61/Var_freq)+IF(D$5="Mortgage Starts",0,Deposit_mon_alt),2)</f>
        <v>6022.88</v>
      </c>
      <c r="E59" s="16">
        <f>ROUND(D59*(1+'Interest rate projection'!AD61/Var_freq)+IF(E$5="Mortgage Starts",0,Deposit_mon_alt),2)</f>
        <v>8047.42</v>
      </c>
      <c r="F59" s="16">
        <f>ROUND(E59*(1+'Interest rate projection'!AE61/Var_freq)+IF(F$5="Mortgage Starts",0,Deposit_mon_alt),2)</f>
        <v>10083.41</v>
      </c>
      <c r="G59" s="16">
        <f>ROUND(F59*(1+'Interest rate projection'!AF61/Var_freq)+IF(G$5="Mortgage Starts",0,Deposit_mon_alt),2)</f>
        <v>12128.5</v>
      </c>
      <c r="H59" s="16">
        <f>ROUND(G59*(1+'Interest rate projection'!AG61/Var_freq)+IF(H$5="Mortgage Starts",0,Deposit_mon_alt),2)</f>
        <v>14177.91</v>
      </c>
      <c r="I59" s="16">
        <f>ROUND(H59*(1+'Interest rate projection'!AH61/Var_freq)+IF(I$5="Mortgage Starts",0,Deposit_mon_alt),2)</f>
        <v>16235.67</v>
      </c>
      <c r="J59" s="16">
        <f>ROUND(I59*(1+'Interest rate projection'!AI61/Var_freq)+IF(J$5="Mortgage Starts",0,Deposit_mon_alt),2)</f>
        <v>18301.82</v>
      </c>
      <c r="K59" s="16">
        <f>ROUND(J59*(1+'Interest rate projection'!AJ61/Var_freq)+IF(K$5="Mortgage Starts",0,Deposit_mon_alt),2)</f>
        <v>20376.38</v>
      </c>
      <c r="L59" s="16">
        <f>ROUND(K59*(1+'Interest rate projection'!AK61/Var_freq)+IF(L$5="Mortgage Starts",0,Deposit_mon_alt),2)</f>
        <v>22459.4</v>
      </c>
      <c r="M59" s="16">
        <f>ROUND(L59*(1+'Interest rate projection'!AL61/Var_freq)+IF(M$5="Mortgage Starts",0,Deposit_mon_alt),2)</f>
        <v>24541.93</v>
      </c>
      <c r="N59" s="57">
        <f>ROUND(M59*(1+'Interest rate projection'!AM61/Var_freq)+IF(N$5="Mortgage Starts",0,Deposit_mon_alt),2)</f>
        <v>24632.12</v>
      </c>
      <c r="O59" s="12"/>
      <c r="P59" s="38">
        <f>'Interest rate projection'!N61</f>
        <v>4.7500000000000007E-2</v>
      </c>
      <c r="Q59" s="38">
        <f>'Interest rate projection'!AN61</f>
        <v>4.6496219905550085E-2</v>
      </c>
      <c r="R59" s="59" t="str">
        <f t="shared" si="8"/>
        <v>OK</v>
      </c>
      <c r="S59" s="39">
        <f t="shared" si="9"/>
        <v>14.766012404082064</v>
      </c>
      <c r="T59" s="10"/>
      <c r="U59" s="73">
        <f t="shared" si="6"/>
        <v>24632.12</v>
      </c>
      <c r="V59" s="73">
        <f t="shared" si="4"/>
        <v>175367.88</v>
      </c>
      <c r="W59" s="74">
        <f t="shared" si="10"/>
        <v>989.7</v>
      </c>
      <c r="X59" s="12"/>
      <c r="Y59" s="73">
        <f>'Fixed rate projection Alt'!$T$3-('Variable rate projection Alt'!W59*Product_term_alt*Var_freq)</f>
        <v>1445.3999999999942</v>
      </c>
      <c r="AA59" s="14"/>
      <c r="AB59" s="10"/>
      <c r="AC59" s="11"/>
      <c r="AD59" s="11"/>
      <c r="AE59" s="11"/>
      <c r="AF59" s="12"/>
      <c r="AG59" s="12"/>
      <c r="AH59" s="13"/>
      <c r="AJ59" s="14"/>
      <c r="AK59" s="10"/>
      <c r="AL59" s="11"/>
      <c r="AM59" s="11"/>
      <c r="AN59" s="11"/>
      <c r="AO59" s="12"/>
      <c r="AP59" s="12"/>
      <c r="AQ59" s="13"/>
      <c r="AS59" s="14"/>
      <c r="AT59" s="10"/>
      <c r="AU59" s="11"/>
      <c r="AV59" s="11"/>
      <c r="AW59" s="11"/>
      <c r="AX59" s="12"/>
      <c r="AY59" s="12"/>
      <c r="AZ59" s="13"/>
      <c r="BB59" s="14"/>
      <c r="BC59" s="10"/>
      <c r="BD59" s="11"/>
      <c r="BE59" s="11"/>
      <c r="BF59" s="11"/>
      <c r="BG59" s="12"/>
      <c r="BH59" s="12"/>
      <c r="BI59" s="13"/>
      <c r="BK59" s="14"/>
      <c r="BL59" s="10"/>
      <c r="BM59" s="11"/>
      <c r="BN59" s="11"/>
      <c r="BO59" s="11"/>
      <c r="BP59" s="12"/>
      <c r="BQ59" s="12"/>
      <c r="BR59" s="13"/>
      <c r="BT59" s="14"/>
      <c r="BU59" s="10"/>
      <c r="BV59" s="11"/>
      <c r="BW59" s="11"/>
      <c r="BX59" s="11"/>
      <c r="BY59" s="12"/>
      <c r="BZ59" s="12"/>
      <c r="CA59" s="13"/>
      <c r="CC59" s="13"/>
    </row>
    <row r="60" spans="1:81" x14ac:dyDescent="0.35">
      <c r="A60" s="27">
        <v>55</v>
      </c>
      <c r="B60" s="57">
        <f t="shared" si="7"/>
        <v>2000</v>
      </c>
      <c r="C60" s="16">
        <f>ROUND(B60*(1+'Interest rate projection'!AB62/Var_freq)+IF(C$5="Mortgage Starts",0,Deposit_mon_alt),2)</f>
        <v>4007.35</v>
      </c>
      <c r="D60" s="16">
        <f>ROUND(C60*(1+'Interest rate projection'!AC62/Var_freq)+IF(D$5="Mortgage Starts",0,Deposit_mon_alt),2)</f>
        <v>6022.08</v>
      </c>
      <c r="E60" s="16">
        <f>ROUND(D60*(1+'Interest rate projection'!AD62/Var_freq)+IF(E$5="Mortgage Starts",0,Deposit_mon_alt),2)</f>
        <v>8044.21</v>
      </c>
      <c r="F60" s="16">
        <f>ROUND(E60*(1+'Interest rate projection'!AE62/Var_freq)+IF(F$5="Mortgage Starts",0,Deposit_mon_alt),2)</f>
        <v>10073.77</v>
      </c>
      <c r="G60" s="16">
        <f>ROUND(F60*(1+'Interest rate projection'!AF62/Var_freq)+IF(G$5="Mortgage Starts",0,Deposit_mon_alt),2)</f>
        <v>12110.79</v>
      </c>
      <c r="H60" s="16">
        <f>ROUND(G60*(1+'Interest rate projection'!AG62/Var_freq)+IF(H$5="Mortgage Starts",0,Deposit_mon_alt),2)</f>
        <v>14157.72</v>
      </c>
      <c r="I60" s="16">
        <f>ROUND(H60*(1+'Interest rate projection'!AH62/Var_freq)+IF(I$5="Mortgage Starts",0,Deposit_mon_alt),2)</f>
        <v>16212.58</v>
      </c>
      <c r="J60" s="16">
        <f>ROUND(I60*(1+'Interest rate projection'!AI62/Var_freq)+IF(J$5="Mortgage Starts",0,Deposit_mon_alt),2)</f>
        <v>18275.400000000001</v>
      </c>
      <c r="K60" s="16">
        <f>ROUND(J60*(1+'Interest rate projection'!AJ62/Var_freq)+IF(K$5="Mortgage Starts",0,Deposit_mon_alt),2)</f>
        <v>20346.21</v>
      </c>
      <c r="L60" s="16">
        <f>ROUND(K60*(1+'Interest rate projection'!AK62/Var_freq)+IF(L$5="Mortgage Starts",0,Deposit_mon_alt),2)</f>
        <v>22425.05</v>
      </c>
      <c r="M60" s="16">
        <f>ROUND(L60*(1+'Interest rate projection'!AL62/Var_freq)+IF(M$5="Mortgage Starts",0,Deposit_mon_alt),2)</f>
        <v>24511.94</v>
      </c>
      <c r="N60" s="57">
        <f>ROUND(M60*(1+'Interest rate projection'!AM62/Var_freq)+IF(N$5="Mortgage Starts",0,Deposit_mon_alt),2)</f>
        <v>24606.92</v>
      </c>
      <c r="O60" s="12"/>
      <c r="P60" s="38">
        <f>'Interest rate projection'!N62</f>
        <v>4.7500000000000001E-2</v>
      </c>
      <c r="Q60" s="38">
        <f>'Interest rate projection'!AN62</f>
        <v>4.6496219905550085E-2</v>
      </c>
      <c r="R60" s="59" t="str">
        <f t="shared" si="8"/>
        <v>OK</v>
      </c>
      <c r="S60" s="39">
        <f t="shared" si="9"/>
        <v>14.766012404082064</v>
      </c>
      <c r="T60" s="10"/>
      <c r="U60" s="73">
        <f t="shared" si="6"/>
        <v>24606.92</v>
      </c>
      <c r="V60" s="73">
        <f t="shared" si="4"/>
        <v>175393.08000000002</v>
      </c>
      <c r="W60" s="74">
        <f t="shared" si="10"/>
        <v>989.85</v>
      </c>
      <c r="X60" s="12"/>
      <c r="Y60" s="73">
        <f>'Fixed rate projection Alt'!$T$3-('Variable rate projection Alt'!W60*Product_term_alt*Var_freq)</f>
        <v>1436.3999999999942</v>
      </c>
      <c r="AA60" s="14"/>
      <c r="AB60" s="10"/>
      <c r="AC60" s="11"/>
      <c r="AD60" s="11"/>
      <c r="AE60" s="11"/>
      <c r="AF60" s="12"/>
      <c r="AG60" s="12"/>
      <c r="AH60" s="13"/>
      <c r="AJ60" s="14"/>
      <c r="AK60" s="10"/>
      <c r="AL60" s="11"/>
      <c r="AM60" s="11"/>
      <c r="AN60" s="11"/>
      <c r="AO60" s="12"/>
      <c r="AP60" s="12"/>
      <c r="AQ60" s="13"/>
      <c r="AS60" s="14"/>
      <c r="AT60" s="10"/>
      <c r="AU60" s="11"/>
      <c r="AV60" s="11"/>
      <c r="AW60" s="11"/>
      <c r="AX60" s="12"/>
      <c r="AY60" s="12"/>
      <c r="AZ60" s="13"/>
      <c r="BB60" s="14"/>
      <c r="BC60" s="10"/>
      <c r="BD60" s="11"/>
      <c r="BE60" s="11"/>
      <c r="BF60" s="11"/>
      <c r="BG60" s="12"/>
      <c r="BH60" s="12"/>
      <c r="BI60" s="13"/>
      <c r="BK60" s="14"/>
      <c r="BL60" s="10"/>
      <c r="BM60" s="11"/>
      <c r="BN60" s="11"/>
      <c r="BO60" s="11"/>
      <c r="BP60" s="12"/>
      <c r="BQ60" s="12"/>
      <c r="BR60" s="13"/>
      <c r="BT60" s="14"/>
      <c r="BU60" s="10"/>
      <c r="BV60" s="11"/>
      <c r="BW60" s="11"/>
      <c r="BX60" s="11"/>
      <c r="BY60" s="12"/>
      <c r="BZ60" s="12"/>
      <c r="CA60" s="13"/>
      <c r="CC60" s="13"/>
    </row>
    <row r="61" spans="1:81" x14ac:dyDescent="0.35">
      <c r="A61" s="5">
        <v>56</v>
      </c>
      <c r="B61" s="57">
        <f t="shared" si="7"/>
        <v>2000</v>
      </c>
      <c r="C61" s="16">
        <f>ROUND(B61*(1+'Interest rate projection'!AB63/Var_freq)+IF(C$5="Mortgage Starts",0,Deposit_mon_alt),2)</f>
        <v>4007.35</v>
      </c>
      <c r="D61" s="16">
        <f>ROUND(C61*(1+'Interest rate projection'!AC63/Var_freq)+IF(D$5="Mortgage Starts",0,Deposit_mon_alt),2)</f>
        <v>6022.08</v>
      </c>
      <c r="E61" s="16">
        <f>ROUND(D61*(1+'Interest rate projection'!AD63/Var_freq)+IF(E$5="Mortgage Starts",0,Deposit_mon_alt),2)</f>
        <v>8045.41</v>
      </c>
      <c r="F61" s="16">
        <f>ROUND(E61*(1+'Interest rate projection'!AE63/Var_freq)+IF(F$5="Mortgage Starts",0,Deposit_mon_alt),2)</f>
        <v>10076.58</v>
      </c>
      <c r="G61" s="16">
        <f>ROUND(F61*(1+'Interest rate projection'!AF63/Var_freq)+IF(G$5="Mortgage Starts",0,Deposit_mon_alt),2)</f>
        <v>12115.62</v>
      </c>
      <c r="H61" s="16">
        <f>ROUND(G61*(1+'Interest rate projection'!AG63/Var_freq)+IF(H$5="Mortgage Starts",0,Deposit_mon_alt),2)</f>
        <v>14162.56</v>
      </c>
      <c r="I61" s="16">
        <f>ROUND(H61*(1+'Interest rate projection'!AH63/Var_freq)+IF(I$5="Mortgage Starts",0,Deposit_mon_alt),2)</f>
        <v>16217.44</v>
      </c>
      <c r="J61" s="16">
        <f>ROUND(I61*(1+'Interest rate projection'!AI63/Var_freq)+IF(J$5="Mortgage Starts",0,Deposit_mon_alt),2)</f>
        <v>18280.28</v>
      </c>
      <c r="K61" s="16">
        <f>ROUND(J61*(1+'Interest rate projection'!AJ63/Var_freq)+IF(K$5="Mortgage Starts",0,Deposit_mon_alt),2)</f>
        <v>20354.759999999998</v>
      </c>
      <c r="L61" s="16">
        <f>ROUND(K61*(1+'Interest rate projection'!AK63/Var_freq)+IF(L$5="Mortgage Starts",0,Deposit_mon_alt),2)</f>
        <v>22437.69</v>
      </c>
      <c r="M61" s="16">
        <f>ROUND(L61*(1+'Interest rate projection'!AL63/Var_freq)+IF(M$5="Mortgage Starts",0,Deposit_mon_alt),2)</f>
        <v>24533.57</v>
      </c>
      <c r="N61" s="57">
        <f>ROUND(M61*(1+'Interest rate projection'!AM63/Var_freq)+IF(N$5="Mortgage Starts",0,Deposit_mon_alt),2)</f>
        <v>24638.41</v>
      </c>
      <c r="O61" s="12"/>
      <c r="P61" s="38">
        <f>'Interest rate projection'!N63</f>
        <v>5.2500000000000005E-2</v>
      </c>
      <c r="Q61" s="38">
        <f>'Interest rate projection'!AN63</f>
        <v>5.1277533193896829E-2</v>
      </c>
      <c r="R61" s="59" t="str">
        <f t="shared" si="8"/>
        <v>OK</v>
      </c>
      <c r="S61" s="39">
        <f t="shared" si="9"/>
        <v>14.075212462503044</v>
      </c>
      <c r="T61" s="10"/>
      <c r="U61" s="73">
        <f t="shared" si="6"/>
        <v>24638.41</v>
      </c>
      <c r="V61" s="73">
        <f t="shared" si="4"/>
        <v>175361.59</v>
      </c>
      <c r="W61" s="74">
        <f t="shared" si="10"/>
        <v>1038.24</v>
      </c>
      <c r="X61" s="12"/>
      <c r="Y61" s="73">
        <f>'Fixed rate projection Alt'!$T$3-('Variable rate projection Alt'!W61*Product_term_alt*Var_freq)</f>
        <v>-1467</v>
      </c>
      <c r="AA61" s="14"/>
      <c r="AB61" s="10"/>
      <c r="AC61" s="11"/>
      <c r="AD61" s="11"/>
      <c r="AE61" s="11"/>
      <c r="AF61" s="12"/>
      <c r="AG61" s="12"/>
      <c r="AH61" s="13"/>
      <c r="AJ61" s="14"/>
      <c r="AK61" s="10"/>
      <c r="AL61" s="11"/>
      <c r="AM61" s="11"/>
      <c r="AN61" s="11"/>
      <c r="AO61" s="12"/>
      <c r="AP61" s="12"/>
      <c r="AQ61" s="13"/>
      <c r="AS61" s="14"/>
      <c r="AT61" s="10"/>
      <c r="AU61" s="11"/>
      <c r="AV61" s="11"/>
      <c r="AW61" s="11"/>
      <c r="AX61" s="12"/>
      <c r="AY61" s="12"/>
      <c r="AZ61" s="13"/>
      <c r="BB61" s="14"/>
      <c r="BC61" s="10"/>
      <c r="BD61" s="11"/>
      <c r="BE61" s="11"/>
      <c r="BF61" s="11"/>
      <c r="BG61" s="12"/>
      <c r="BH61" s="12"/>
      <c r="BI61" s="13"/>
      <c r="BK61" s="14"/>
      <c r="BL61" s="10"/>
      <c r="BM61" s="11"/>
      <c r="BN61" s="11"/>
      <c r="BO61" s="11"/>
      <c r="BP61" s="12"/>
      <c r="BQ61" s="12"/>
      <c r="BR61" s="13"/>
      <c r="BT61" s="14"/>
      <c r="BU61" s="10"/>
      <c r="BV61" s="11"/>
      <c r="BW61" s="11"/>
      <c r="BX61" s="11"/>
      <c r="BY61" s="12"/>
      <c r="BZ61" s="12"/>
      <c r="CA61" s="13"/>
      <c r="CC61" s="13"/>
    </row>
    <row r="62" spans="1:81" x14ac:dyDescent="0.35">
      <c r="A62" s="27">
        <v>57</v>
      </c>
      <c r="B62" s="57">
        <f t="shared" si="7"/>
        <v>2000</v>
      </c>
      <c r="C62" s="16">
        <f>ROUND(B62*(1+'Interest rate projection'!AB64/Var_freq)+IF(C$5="Mortgage Starts",0,Deposit_mon_alt),2)</f>
        <v>4007.35</v>
      </c>
      <c r="D62" s="16">
        <f>ROUND(C62*(1+'Interest rate projection'!AC64/Var_freq)+IF(D$5="Mortgage Starts",0,Deposit_mon_alt),2)</f>
        <v>6022.08</v>
      </c>
      <c r="E62" s="16">
        <f>ROUND(D62*(1+'Interest rate projection'!AD64/Var_freq)+IF(E$5="Mortgage Starts",0,Deposit_mon_alt),2)</f>
        <v>8044.21</v>
      </c>
      <c r="F62" s="16">
        <f>ROUND(E62*(1+'Interest rate projection'!AE64/Var_freq)+IF(F$5="Mortgage Starts",0,Deposit_mon_alt),2)</f>
        <v>10073.77</v>
      </c>
      <c r="G62" s="16">
        <f>ROUND(F62*(1+'Interest rate projection'!AF64/Var_freq)+IF(G$5="Mortgage Starts",0,Deposit_mon_alt),2)</f>
        <v>12110.79</v>
      </c>
      <c r="H62" s="16">
        <f>ROUND(G62*(1+'Interest rate projection'!AG64/Var_freq)+IF(H$5="Mortgage Starts",0,Deposit_mon_alt),2)</f>
        <v>14155.29</v>
      </c>
      <c r="I62" s="16">
        <f>ROUND(H62*(1+'Interest rate projection'!AH64/Var_freq)+IF(I$5="Mortgage Starts",0,Deposit_mon_alt),2)</f>
        <v>16207.31</v>
      </c>
      <c r="J62" s="16">
        <f>ROUND(I62*(1+'Interest rate projection'!AI64/Var_freq)+IF(J$5="Mortgage Starts",0,Deposit_mon_alt),2)</f>
        <v>18266.87</v>
      </c>
      <c r="K62" s="16">
        <f>ROUND(J62*(1+'Interest rate projection'!AJ64/Var_freq)+IF(K$5="Mortgage Starts",0,Deposit_mon_alt),2)</f>
        <v>20334</v>
      </c>
      <c r="L62" s="16">
        <f>ROUND(K62*(1+'Interest rate projection'!AK64/Var_freq)+IF(L$5="Mortgage Starts",0,Deposit_mon_alt),2)</f>
        <v>22408.720000000001</v>
      </c>
      <c r="M62" s="16">
        <f>ROUND(L62*(1+'Interest rate projection'!AL64/Var_freq)+IF(M$5="Mortgage Starts",0,Deposit_mon_alt),2)</f>
        <v>24491.07</v>
      </c>
      <c r="N62" s="57">
        <f>ROUND(M62*(1+'Interest rate projection'!AM64/Var_freq)+IF(N$5="Mortgage Starts",0,Deposit_mon_alt),2)</f>
        <v>24581.07</v>
      </c>
      <c r="O62" s="12"/>
      <c r="P62" s="38">
        <f>'Interest rate projection'!N64</f>
        <v>4.4999999999999998E-2</v>
      </c>
      <c r="Q62" s="38">
        <f>'Interest rate projection'!AN64</f>
        <v>4.4097712805242217E-2</v>
      </c>
      <c r="R62" s="59" t="str">
        <f t="shared" si="8"/>
        <v>OK</v>
      </c>
      <c r="S62" s="39">
        <f t="shared" si="9"/>
        <v>15.131610255367837</v>
      </c>
      <c r="T62" s="10"/>
      <c r="U62" s="73">
        <f t="shared" si="6"/>
        <v>24581.07</v>
      </c>
      <c r="V62" s="73">
        <f t="shared" si="4"/>
        <v>175418.93</v>
      </c>
      <c r="W62" s="74">
        <f t="shared" si="10"/>
        <v>966.07</v>
      </c>
      <c r="X62" s="12"/>
      <c r="Y62" s="73">
        <f>'Fixed rate projection Alt'!$T$3-('Variable rate projection Alt'!W62*Product_term_alt*Var_freq)</f>
        <v>2863.1999999999898</v>
      </c>
      <c r="AA62" s="14"/>
      <c r="AB62" s="10"/>
      <c r="AC62" s="11"/>
      <c r="AD62" s="11"/>
      <c r="AE62" s="11"/>
      <c r="AF62" s="12"/>
      <c r="AG62" s="12"/>
      <c r="AH62" s="13"/>
      <c r="AJ62" s="14"/>
      <c r="AK62" s="10"/>
      <c r="AL62" s="11"/>
      <c r="AM62" s="11"/>
      <c r="AN62" s="11"/>
      <c r="AO62" s="12"/>
      <c r="AP62" s="12"/>
      <c r="AQ62" s="13"/>
      <c r="AS62" s="14"/>
      <c r="AT62" s="10"/>
      <c r="AU62" s="11"/>
      <c r="AV62" s="11"/>
      <c r="AW62" s="11"/>
      <c r="AX62" s="12"/>
      <c r="AY62" s="12"/>
      <c r="AZ62" s="13"/>
      <c r="BB62" s="14"/>
      <c r="BC62" s="10"/>
      <c r="BD62" s="11"/>
      <c r="BE62" s="11"/>
      <c r="BF62" s="11"/>
      <c r="BG62" s="12"/>
      <c r="BH62" s="12"/>
      <c r="BI62" s="13"/>
      <c r="BK62" s="14"/>
      <c r="BL62" s="10"/>
      <c r="BM62" s="11"/>
      <c r="BN62" s="11"/>
      <c r="BO62" s="11"/>
      <c r="BP62" s="12"/>
      <c r="BQ62" s="12"/>
      <c r="BR62" s="13"/>
      <c r="BT62" s="14"/>
      <c r="BU62" s="10"/>
      <c r="BV62" s="11"/>
      <c r="BW62" s="11"/>
      <c r="BX62" s="11"/>
      <c r="BY62" s="12"/>
      <c r="BZ62" s="12"/>
      <c r="CA62" s="13"/>
      <c r="CC62" s="13"/>
    </row>
    <row r="63" spans="1:81" x14ac:dyDescent="0.35">
      <c r="A63" s="5">
        <v>58</v>
      </c>
      <c r="B63" s="57">
        <f t="shared" si="7"/>
        <v>2000</v>
      </c>
      <c r="C63" s="16">
        <f>ROUND(B63*(1+'Interest rate projection'!AB65/Var_freq)+IF(C$5="Mortgage Starts",0,Deposit_mon_alt),2)</f>
        <v>4007.35</v>
      </c>
      <c r="D63" s="16">
        <f>ROUND(C63*(1+'Interest rate projection'!AC65/Var_freq)+IF(D$5="Mortgage Starts",0,Deposit_mon_alt),2)</f>
        <v>6022.08</v>
      </c>
      <c r="E63" s="16">
        <f>ROUND(D63*(1+'Interest rate projection'!AD65/Var_freq)+IF(E$5="Mortgage Starts",0,Deposit_mon_alt),2)</f>
        <v>8041.79</v>
      </c>
      <c r="F63" s="16">
        <f>ROUND(E63*(1+'Interest rate projection'!AE65/Var_freq)+IF(F$5="Mortgage Starts",0,Deposit_mon_alt),2)</f>
        <v>10068.120000000001</v>
      </c>
      <c r="G63" s="16">
        <f>ROUND(F63*(1+'Interest rate projection'!AF65/Var_freq)+IF(G$5="Mortgage Starts",0,Deposit_mon_alt),2)</f>
        <v>12101.08</v>
      </c>
      <c r="H63" s="16">
        <f>ROUND(G63*(1+'Interest rate projection'!AG65/Var_freq)+IF(H$5="Mortgage Starts",0,Deposit_mon_alt),2)</f>
        <v>14140.7</v>
      </c>
      <c r="I63" s="16">
        <f>ROUND(H63*(1+'Interest rate projection'!AH65/Var_freq)+IF(I$5="Mortgage Starts",0,Deposit_mon_alt),2)</f>
        <v>16186.99</v>
      </c>
      <c r="J63" s="16">
        <f>ROUND(I63*(1+'Interest rate projection'!AI65/Var_freq)+IF(J$5="Mortgage Starts",0,Deposit_mon_alt),2)</f>
        <v>18239.98</v>
      </c>
      <c r="K63" s="16">
        <f>ROUND(J63*(1+'Interest rate projection'!AJ65/Var_freq)+IF(K$5="Mortgage Starts",0,Deposit_mon_alt),2)</f>
        <v>20299.689999999999</v>
      </c>
      <c r="L63" s="16">
        <f>ROUND(K63*(1+'Interest rate projection'!AK65/Var_freq)+IF(L$5="Mortgage Starts",0,Deposit_mon_alt),2)</f>
        <v>22366.15</v>
      </c>
      <c r="M63" s="16">
        <f>ROUND(L63*(1+'Interest rate projection'!AL65/Var_freq)+IF(M$5="Mortgage Starts",0,Deposit_mon_alt),2)</f>
        <v>24439.37</v>
      </c>
      <c r="N63" s="57">
        <f>ROUND(M63*(1+'Interest rate projection'!AM65/Var_freq)+IF(N$5="Mortgage Starts",0,Deposit_mon_alt),2)</f>
        <v>24519.38</v>
      </c>
      <c r="O63" s="12"/>
      <c r="P63" s="38">
        <f>'Interest rate projection'!N65</f>
        <v>0.04</v>
      </c>
      <c r="Q63" s="38">
        <f>'Interest rate projection'!AN65</f>
        <v>3.9284877386386974E-2</v>
      </c>
      <c r="R63" s="59" t="str">
        <f t="shared" si="8"/>
        <v>OK</v>
      </c>
      <c r="S63" s="39">
        <f t="shared" si="9"/>
        <v>15.906456614335044</v>
      </c>
      <c r="T63" s="10"/>
      <c r="U63" s="73">
        <f t="shared" si="6"/>
        <v>24519.38</v>
      </c>
      <c r="V63" s="73">
        <f t="shared" si="4"/>
        <v>175480.62</v>
      </c>
      <c r="W63" s="74">
        <f t="shared" si="10"/>
        <v>919.34</v>
      </c>
      <c r="X63" s="12"/>
      <c r="Y63" s="73">
        <f>'Fixed rate projection Alt'!$T$3-('Variable rate projection Alt'!W63*Product_term_alt*Var_freq)</f>
        <v>5667</v>
      </c>
      <c r="AA63" s="14"/>
      <c r="AB63" s="10"/>
      <c r="AC63" s="11"/>
      <c r="AD63" s="11"/>
      <c r="AE63" s="11"/>
      <c r="AF63" s="12"/>
      <c r="AG63" s="12"/>
      <c r="AH63" s="13"/>
      <c r="AJ63" s="14"/>
      <c r="AK63" s="10"/>
      <c r="AL63" s="11"/>
      <c r="AM63" s="11"/>
      <c r="AN63" s="11"/>
      <c r="AO63" s="12"/>
      <c r="AP63" s="12"/>
      <c r="AQ63" s="13"/>
      <c r="AS63" s="14"/>
      <c r="AT63" s="10"/>
      <c r="AU63" s="11"/>
      <c r="AV63" s="11"/>
      <c r="AW63" s="11"/>
      <c r="AX63" s="12"/>
      <c r="AY63" s="12"/>
      <c r="AZ63" s="13"/>
      <c r="BB63" s="14"/>
      <c r="BC63" s="10"/>
      <c r="BD63" s="11"/>
      <c r="BE63" s="11"/>
      <c r="BF63" s="11"/>
      <c r="BG63" s="12"/>
      <c r="BH63" s="12"/>
      <c r="BI63" s="13"/>
      <c r="BK63" s="14"/>
      <c r="BL63" s="10"/>
      <c r="BM63" s="11"/>
      <c r="BN63" s="11"/>
      <c r="BO63" s="11"/>
      <c r="BP63" s="12"/>
      <c r="BQ63" s="12"/>
      <c r="BR63" s="13"/>
      <c r="BT63" s="14"/>
      <c r="BU63" s="10"/>
      <c r="BV63" s="11"/>
      <c r="BW63" s="11"/>
      <c r="BX63" s="11"/>
      <c r="BY63" s="12"/>
      <c r="BZ63" s="12"/>
      <c r="CA63" s="13"/>
      <c r="CC63" s="13"/>
    </row>
    <row r="64" spans="1:81" x14ac:dyDescent="0.35">
      <c r="A64" s="27">
        <v>59</v>
      </c>
      <c r="B64" s="57">
        <f t="shared" si="7"/>
        <v>2000</v>
      </c>
      <c r="C64" s="16">
        <f>ROUND(B64*(1+'Interest rate projection'!AB66/Var_freq)+IF(C$5="Mortgage Starts",0,Deposit_mon_alt),2)</f>
        <v>4007.35</v>
      </c>
      <c r="D64" s="16">
        <f>ROUND(C64*(1+'Interest rate projection'!AC66/Var_freq)+IF(D$5="Mortgage Starts",0,Deposit_mon_alt),2)</f>
        <v>6022.08</v>
      </c>
      <c r="E64" s="16">
        <f>ROUND(D64*(1+'Interest rate projection'!AD66/Var_freq)+IF(E$5="Mortgage Starts",0,Deposit_mon_alt),2)</f>
        <v>8043</v>
      </c>
      <c r="F64" s="16">
        <f>ROUND(E64*(1+'Interest rate projection'!AE66/Var_freq)+IF(F$5="Mortgage Starts",0,Deposit_mon_alt),2)</f>
        <v>10070.950000000001</v>
      </c>
      <c r="G64" s="16">
        <f>ROUND(F64*(1+'Interest rate projection'!AF66/Var_freq)+IF(G$5="Mortgage Starts",0,Deposit_mon_alt),2)</f>
        <v>12105.94</v>
      </c>
      <c r="H64" s="16">
        <f>ROUND(G64*(1+'Interest rate projection'!AG66/Var_freq)+IF(H$5="Mortgage Starts",0,Deposit_mon_alt),2)</f>
        <v>14148</v>
      </c>
      <c r="I64" s="16">
        <f>ROUND(H64*(1+'Interest rate projection'!AH66/Var_freq)+IF(I$5="Mortgage Starts",0,Deposit_mon_alt),2)</f>
        <v>16194.32</v>
      </c>
      <c r="J64" s="16">
        <f>ROUND(I64*(1+'Interest rate projection'!AI66/Var_freq)+IF(J$5="Mortgage Starts",0,Deposit_mon_alt),2)</f>
        <v>18253.830000000002</v>
      </c>
      <c r="K64" s="16">
        <f>ROUND(J64*(1+'Interest rate projection'!AJ66/Var_freq)+IF(K$5="Mortgage Starts",0,Deposit_mon_alt),2)</f>
        <v>20320.91</v>
      </c>
      <c r="L64" s="16">
        <f>ROUND(K64*(1+'Interest rate projection'!AK66/Var_freq)+IF(L$5="Mortgage Starts",0,Deposit_mon_alt),2)</f>
        <v>22403.7</v>
      </c>
      <c r="M64" s="16">
        <f>ROUND(L64*(1+'Interest rate projection'!AL66/Var_freq)+IF(M$5="Mortgage Starts",0,Deposit_mon_alt),2)</f>
        <v>24494.98</v>
      </c>
      <c r="N64" s="57">
        <f>ROUND(M64*(1+'Interest rate projection'!AM66/Var_freq)+IF(N$5="Mortgage Starts",0,Deposit_mon_alt),2)</f>
        <v>24594.78</v>
      </c>
      <c r="O64" s="12"/>
      <c r="P64" s="38">
        <f>'Interest rate projection'!N66</f>
        <v>4.9999999999999989E-2</v>
      </c>
      <c r="Q64" s="38">
        <f>'Interest rate projection'!AN66</f>
        <v>4.8889485403780242E-2</v>
      </c>
      <c r="R64" s="59" t="str">
        <f t="shared" si="8"/>
        <v>OK</v>
      </c>
      <c r="S64" s="39">
        <f t="shared" si="9"/>
        <v>14.4140856153857</v>
      </c>
      <c r="T64" s="10"/>
      <c r="U64" s="73">
        <f t="shared" si="6"/>
        <v>24594.78</v>
      </c>
      <c r="V64" s="73">
        <f t="shared" si="4"/>
        <v>175405.22</v>
      </c>
      <c r="W64" s="74">
        <f t="shared" si="10"/>
        <v>1014.08</v>
      </c>
      <c r="X64" s="12"/>
      <c r="Y64" s="73">
        <f>'Fixed rate projection Alt'!$T$3-('Variable rate projection Alt'!W64*Product_term_alt*Var_freq)</f>
        <v>-17.400000000008731</v>
      </c>
      <c r="AA64" s="14"/>
      <c r="AB64" s="10"/>
      <c r="AC64" s="11"/>
      <c r="AD64" s="11"/>
      <c r="AE64" s="11"/>
      <c r="AF64" s="12"/>
      <c r="AG64" s="12"/>
      <c r="AH64" s="13"/>
      <c r="AJ64" s="14"/>
      <c r="AK64" s="10"/>
      <c r="AL64" s="11"/>
      <c r="AM64" s="11"/>
      <c r="AN64" s="11"/>
      <c r="AO64" s="12"/>
      <c r="AP64" s="12"/>
      <c r="AQ64" s="13"/>
      <c r="AS64" s="14"/>
      <c r="AT64" s="10"/>
      <c r="AU64" s="11"/>
      <c r="AV64" s="11"/>
      <c r="AW64" s="11"/>
      <c r="AX64" s="12"/>
      <c r="AY64" s="12"/>
      <c r="AZ64" s="13"/>
      <c r="BB64" s="14"/>
      <c r="BC64" s="10"/>
      <c r="BD64" s="11"/>
      <c r="BE64" s="11"/>
      <c r="BF64" s="11"/>
      <c r="BG64" s="12"/>
      <c r="BH64" s="12"/>
      <c r="BI64" s="13"/>
      <c r="BK64" s="14"/>
      <c r="BL64" s="10"/>
      <c r="BM64" s="11"/>
      <c r="BN64" s="11"/>
      <c r="BO64" s="11"/>
      <c r="BP64" s="12"/>
      <c r="BQ64" s="12"/>
      <c r="BR64" s="13"/>
      <c r="BT64" s="14"/>
      <c r="BU64" s="10"/>
      <c r="BV64" s="11"/>
      <c r="BW64" s="11"/>
      <c r="BX64" s="11"/>
      <c r="BY64" s="12"/>
      <c r="BZ64" s="12"/>
      <c r="CA64" s="13"/>
      <c r="CC64" s="13"/>
    </row>
    <row r="65" spans="1:81" x14ac:dyDescent="0.35">
      <c r="A65" s="5">
        <v>60</v>
      </c>
      <c r="B65" s="57">
        <f t="shared" si="7"/>
        <v>2000</v>
      </c>
      <c r="C65" s="16">
        <f>ROUND(B65*(1+'Interest rate projection'!AB67/Var_freq)+IF(C$5="Mortgage Starts",0,Deposit_mon_alt),2)</f>
        <v>4007.35</v>
      </c>
      <c r="D65" s="16">
        <f>ROUND(C65*(1+'Interest rate projection'!AC67/Var_freq)+IF(D$5="Mortgage Starts",0,Deposit_mon_alt),2)</f>
        <v>6022.08</v>
      </c>
      <c r="E65" s="16">
        <f>ROUND(D65*(1+'Interest rate projection'!AD67/Var_freq)+IF(E$5="Mortgage Starts",0,Deposit_mon_alt),2)</f>
        <v>8044.21</v>
      </c>
      <c r="F65" s="16">
        <f>ROUND(E65*(1+'Interest rate projection'!AE67/Var_freq)+IF(F$5="Mortgage Starts",0,Deposit_mon_alt),2)</f>
        <v>10076.98</v>
      </c>
      <c r="G65" s="16">
        <f>ROUND(F65*(1+'Interest rate projection'!AF67/Var_freq)+IF(G$5="Mortgage Starts",0,Deposit_mon_alt),2)</f>
        <v>12118.03</v>
      </c>
      <c r="H65" s="16">
        <f>ROUND(G65*(1+'Interest rate projection'!AG67/Var_freq)+IF(H$5="Mortgage Starts",0,Deposit_mon_alt),2)</f>
        <v>14167.4</v>
      </c>
      <c r="I65" s="16">
        <f>ROUND(H65*(1+'Interest rate projection'!AH67/Var_freq)+IF(I$5="Mortgage Starts",0,Deposit_mon_alt),2)</f>
        <v>16225.12</v>
      </c>
      <c r="J65" s="16">
        <f>ROUND(I65*(1+'Interest rate projection'!AI67/Var_freq)+IF(J$5="Mortgage Starts",0,Deposit_mon_alt),2)</f>
        <v>18291.22</v>
      </c>
      <c r="K65" s="16">
        <f>ROUND(J65*(1+'Interest rate projection'!AJ67/Var_freq)+IF(K$5="Mortgage Starts",0,Deposit_mon_alt),2)</f>
        <v>20365.740000000002</v>
      </c>
      <c r="L65" s="16">
        <f>ROUND(K65*(1+'Interest rate projection'!AK67/Var_freq)+IF(L$5="Mortgage Starts",0,Deposit_mon_alt),2)</f>
        <v>22448.71</v>
      </c>
      <c r="M65" s="16">
        <f>ROUND(L65*(1+'Interest rate projection'!AL67/Var_freq)+IF(M$5="Mortgage Starts",0,Deposit_mon_alt),2)</f>
        <v>24540.17</v>
      </c>
      <c r="N65" s="57">
        <f>ROUND(M65*(1+'Interest rate projection'!AM67/Var_freq)+IF(N$5="Mortgage Starts",0,Deposit_mon_alt),2)</f>
        <v>24640.15</v>
      </c>
      <c r="O65" s="12"/>
      <c r="P65" s="38">
        <f>'Interest rate projection'!N67</f>
        <v>4.9999999999999996E-2</v>
      </c>
      <c r="Q65" s="38">
        <f>'Interest rate projection'!AN67</f>
        <v>4.8889485403780242E-2</v>
      </c>
      <c r="R65" s="59" t="str">
        <f t="shared" si="8"/>
        <v>OK</v>
      </c>
      <c r="S65" s="39">
        <f t="shared" si="9"/>
        <v>14.4140856153857</v>
      </c>
      <c r="T65" s="10"/>
      <c r="U65" s="73">
        <f t="shared" si="6"/>
        <v>24640.15</v>
      </c>
      <c r="V65" s="73">
        <f t="shared" si="4"/>
        <v>175359.85</v>
      </c>
      <c r="W65" s="74">
        <f t="shared" si="10"/>
        <v>1013.82</v>
      </c>
      <c r="X65" s="12"/>
      <c r="Y65" s="73">
        <f>'Fixed rate projection Alt'!$T$3-('Variable rate projection Alt'!W65*Product_term_alt*Var_freq)</f>
        <v>-1.8000000000101863</v>
      </c>
      <c r="AA65" s="14"/>
      <c r="AB65" s="10"/>
      <c r="AC65" s="11"/>
      <c r="AD65" s="11"/>
      <c r="AE65" s="11"/>
      <c r="AF65" s="12"/>
      <c r="AG65" s="12"/>
      <c r="AH65" s="13"/>
      <c r="AJ65" s="14"/>
      <c r="AK65" s="10"/>
      <c r="AL65" s="11"/>
      <c r="AM65" s="11"/>
      <c r="AN65" s="11"/>
      <c r="AO65" s="12"/>
      <c r="AP65" s="12"/>
      <c r="AQ65" s="13"/>
      <c r="AS65" s="14"/>
      <c r="AT65" s="10"/>
      <c r="AU65" s="11"/>
      <c r="AV65" s="11"/>
      <c r="AW65" s="11"/>
      <c r="AX65" s="12"/>
      <c r="AY65" s="12"/>
      <c r="AZ65" s="13"/>
      <c r="BB65" s="14"/>
      <c r="BC65" s="10"/>
      <c r="BD65" s="11"/>
      <c r="BE65" s="11"/>
      <c r="BF65" s="11"/>
      <c r="BG65" s="12"/>
      <c r="BH65" s="12"/>
      <c r="BI65" s="13"/>
      <c r="BK65" s="14"/>
      <c r="BL65" s="10"/>
      <c r="BM65" s="11"/>
      <c r="BN65" s="11"/>
      <c r="BO65" s="11"/>
      <c r="BP65" s="12"/>
      <c r="BQ65" s="12"/>
      <c r="BR65" s="13"/>
      <c r="BT65" s="14"/>
      <c r="BU65" s="10"/>
      <c r="BV65" s="11"/>
      <c r="BW65" s="11"/>
      <c r="BX65" s="11"/>
      <c r="BY65" s="12"/>
      <c r="BZ65" s="12"/>
      <c r="CA65" s="13"/>
      <c r="CC65" s="13"/>
    </row>
    <row r="66" spans="1:81" x14ac:dyDescent="0.35">
      <c r="A66" s="27">
        <v>61</v>
      </c>
      <c r="B66" s="57">
        <f t="shared" si="7"/>
        <v>2000</v>
      </c>
      <c r="C66" s="16">
        <f>ROUND(B66*(1+'Interest rate projection'!AB68/Var_freq)+IF(C$5="Mortgage Starts",0,Deposit_mon_alt),2)</f>
        <v>4007.35</v>
      </c>
      <c r="D66" s="16">
        <f>ROUND(C66*(1+'Interest rate projection'!AC68/Var_freq)+IF(D$5="Mortgage Starts",0,Deposit_mon_alt),2)</f>
        <v>6022.08</v>
      </c>
      <c r="E66" s="16">
        <f>ROUND(D66*(1+'Interest rate projection'!AD68/Var_freq)+IF(E$5="Mortgage Starts",0,Deposit_mon_alt),2)</f>
        <v>8044.21</v>
      </c>
      <c r="F66" s="16">
        <f>ROUND(E66*(1+'Interest rate projection'!AE68/Var_freq)+IF(F$5="Mortgage Starts",0,Deposit_mon_alt),2)</f>
        <v>10073.77</v>
      </c>
      <c r="G66" s="16">
        <f>ROUND(F66*(1+'Interest rate projection'!AF68/Var_freq)+IF(G$5="Mortgage Starts",0,Deposit_mon_alt),2)</f>
        <v>12112.8</v>
      </c>
      <c r="H66" s="16">
        <f>ROUND(G66*(1+'Interest rate projection'!AG68/Var_freq)+IF(H$5="Mortgage Starts",0,Deposit_mon_alt),2)</f>
        <v>14159.73</v>
      </c>
      <c r="I66" s="16">
        <f>ROUND(H66*(1+'Interest rate projection'!AH68/Var_freq)+IF(I$5="Mortgage Starts",0,Deposit_mon_alt),2)</f>
        <v>16214.59</v>
      </c>
      <c r="J66" s="16">
        <f>ROUND(I66*(1+'Interest rate projection'!AI68/Var_freq)+IF(J$5="Mortgage Starts",0,Deposit_mon_alt),2)</f>
        <v>18280.650000000001</v>
      </c>
      <c r="K66" s="16">
        <f>ROUND(J66*(1+'Interest rate projection'!AJ68/Var_freq)+IF(K$5="Mortgage Starts",0,Deposit_mon_alt),2)</f>
        <v>20355.13</v>
      </c>
      <c r="L66" s="16">
        <f>ROUND(K66*(1+'Interest rate projection'!AK68/Var_freq)+IF(L$5="Mortgage Starts",0,Deposit_mon_alt),2)</f>
        <v>22438.06</v>
      </c>
      <c r="M66" s="16">
        <f>ROUND(L66*(1+'Interest rate projection'!AL68/Var_freq)+IF(M$5="Mortgage Starts",0,Deposit_mon_alt),2)</f>
        <v>24529.48</v>
      </c>
      <c r="N66" s="57">
        <f>ROUND(M66*(1+'Interest rate projection'!AM68/Var_freq)+IF(N$5="Mortgage Starts",0,Deposit_mon_alt),2)</f>
        <v>24629.42</v>
      </c>
      <c r="O66" s="12"/>
      <c r="P66" s="38">
        <f>'Interest rate projection'!N68</f>
        <v>0.05</v>
      </c>
      <c r="Q66" s="38">
        <f>'Interest rate projection'!AN68</f>
        <v>4.8889485403780242E-2</v>
      </c>
      <c r="R66" s="59" t="str">
        <f t="shared" si="8"/>
        <v>OK</v>
      </c>
      <c r="S66" s="39">
        <f t="shared" si="9"/>
        <v>14.4140856153857</v>
      </c>
      <c r="T66" s="10"/>
      <c r="U66" s="73">
        <f t="shared" si="6"/>
        <v>24629.42</v>
      </c>
      <c r="V66" s="73">
        <f t="shared" si="4"/>
        <v>175370.58000000002</v>
      </c>
      <c r="W66" s="74">
        <f t="shared" si="10"/>
        <v>1013.88</v>
      </c>
      <c r="X66" s="12"/>
      <c r="Y66" s="73">
        <f>'Fixed rate projection Alt'!$T$3-('Variable rate projection Alt'!W66*Product_term_alt*Var_freq)</f>
        <v>-5.4000000000014552</v>
      </c>
      <c r="AA66" s="14"/>
      <c r="AB66" s="10"/>
      <c r="AC66" s="11"/>
      <c r="AD66" s="11"/>
      <c r="AE66" s="11"/>
      <c r="AF66" s="12"/>
      <c r="AG66" s="12"/>
      <c r="AH66" s="13"/>
      <c r="AJ66" s="14"/>
      <c r="AK66" s="10"/>
      <c r="AL66" s="11"/>
      <c r="AM66" s="11"/>
      <c r="AN66" s="11"/>
      <c r="AO66" s="12"/>
      <c r="AP66" s="12"/>
      <c r="AQ66" s="13"/>
      <c r="AS66" s="14"/>
      <c r="AT66" s="10"/>
      <c r="AU66" s="11"/>
      <c r="AV66" s="11"/>
      <c r="AW66" s="11"/>
      <c r="AX66" s="12"/>
      <c r="AY66" s="12"/>
      <c r="AZ66" s="13"/>
      <c r="BB66" s="14"/>
      <c r="BC66" s="10"/>
      <c r="BD66" s="11"/>
      <c r="BE66" s="11"/>
      <c r="BF66" s="11"/>
      <c r="BG66" s="12"/>
      <c r="BH66" s="12"/>
      <c r="BI66" s="13"/>
      <c r="BK66" s="14"/>
      <c r="BL66" s="10"/>
      <c r="BM66" s="11"/>
      <c r="BN66" s="11"/>
      <c r="BO66" s="11"/>
      <c r="BP66" s="12"/>
      <c r="BQ66" s="12"/>
      <c r="BR66" s="13"/>
      <c r="BT66" s="14"/>
      <c r="BU66" s="10"/>
      <c r="BV66" s="11"/>
      <c r="BW66" s="11"/>
      <c r="BX66" s="11"/>
      <c r="BY66" s="12"/>
      <c r="BZ66" s="12"/>
      <c r="CA66" s="13"/>
      <c r="CC66" s="13"/>
    </row>
    <row r="67" spans="1:81" x14ac:dyDescent="0.35">
      <c r="A67" s="5">
        <v>62</v>
      </c>
      <c r="B67" s="57">
        <f t="shared" si="7"/>
        <v>2000</v>
      </c>
      <c r="C67" s="16">
        <f>ROUND(B67*(1+'Interest rate projection'!AB69/Var_freq)+IF(C$5="Mortgage Starts",0,Deposit_mon_alt),2)</f>
        <v>4007.35</v>
      </c>
      <c r="D67" s="16">
        <f>ROUND(C67*(1+'Interest rate projection'!AC69/Var_freq)+IF(D$5="Mortgage Starts",0,Deposit_mon_alt),2)</f>
        <v>6022.08</v>
      </c>
      <c r="E67" s="16">
        <f>ROUND(D67*(1+'Interest rate projection'!AD69/Var_freq)+IF(E$5="Mortgage Starts",0,Deposit_mon_alt),2)</f>
        <v>8044.21</v>
      </c>
      <c r="F67" s="16">
        <f>ROUND(E67*(1+'Interest rate projection'!AE69/Var_freq)+IF(F$5="Mortgage Starts",0,Deposit_mon_alt),2)</f>
        <v>10070.540000000001</v>
      </c>
      <c r="G67" s="16">
        <f>ROUND(F67*(1+'Interest rate projection'!AF69/Var_freq)+IF(G$5="Mortgage Starts",0,Deposit_mon_alt),2)</f>
        <v>12103.51</v>
      </c>
      <c r="H67" s="16">
        <f>ROUND(G67*(1+'Interest rate projection'!AG69/Var_freq)+IF(H$5="Mortgage Starts",0,Deposit_mon_alt),2)</f>
        <v>14143.13</v>
      </c>
      <c r="I67" s="16">
        <f>ROUND(H67*(1+'Interest rate projection'!AH69/Var_freq)+IF(I$5="Mortgage Starts",0,Deposit_mon_alt),2)</f>
        <v>16189.43</v>
      </c>
      <c r="J67" s="16">
        <f>ROUND(I67*(1+'Interest rate projection'!AI69/Var_freq)+IF(J$5="Mortgage Starts",0,Deposit_mon_alt),2)</f>
        <v>18242.43</v>
      </c>
      <c r="K67" s="16">
        <f>ROUND(J67*(1+'Interest rate projection'!AJ69/Var_freq)+IF(K$5="Mortgage Starts",0,Deposit_mon_alt),2)</f>
        <v>20302.150000000001</v>
      </c>
      <c r="L67" s="16">
        <f>ROUND(K67*(1+'Interest rate projection'!AK69/Var_freq)+IF(L$5="Mortgage Starts",0,Deposit_mon_alt),2)</f>
        <v>22368.61</v>
      </c>
      <c r="M67" s="16">
        <f>ROUND(L67*(1+'Interest rate projection'!AL69/Var_freq)+IF(M$5="Mortgage Starts",0,Deposit_mon_alt),2)</f>
        <v>24441.84</v>
      </c>
      <c r="N67" s="57">
        <f>ROUND(M67*(1+'Interest rate projection'!AM69/Var_freq)+IF(N$5="Mortgage Starts",0,Deposit_mon_alt),2)</f>
        <v>24521.86</v>
      </c>
      <c r="O67" s="12"/>
      <c r="P67" s="38">
        <f>'Interest rate projection'!N69</f>
        <v>3.7499999999999999E-2</v>
      </c>
      <c r="Q67" s="38">
        <f>'Interest rate projection'!AN69</f>
        <v>3.6870500439066589E-2</v>
      </c>
      <c r="R67" s="59" t="str">
        <f t="shared" si="8"/>
        <v>OK</v>
      </c>
      <c r="S67" s="39">
        <f t="shared" si="9"/>
        <v>16.317113717606386</v>
      </c>
      <c r="T67" s="10"/>
      <c r="U67" s="73">
        <f t="shared" si="6"/>
        <v>24521.86</v>
      </c>
      <c r="V67" s="73">
        <f t="shared" si="4"/>
        <v>175478.14</v>
      </c>
      <c r="W67" s="74">
        <f t="shared" si="10"/>
        <v>896.19</v>
      </c>
      <c r="X67" s="12"/>
      <c r="Y67" s="73">
        <f>'Fixed rate projection Alt'!$T$3-('Variable rate projection Alt'!W67*Product_term_alt*Var_freq)</f>
        <v>7055.9999999999854</v>
      </c>
      <c r="AA67" s="14"/>
      <c r="AB67" s="10"/>
      <c r="AC67" s="11"/>
      <c r="AD67" s="11"/>
      <c r="AE67" s="11"/>
      <c r="AF67" s="12"/>
      <c r="AG67" s="12"/>
      <c r="AH67" s="13"/>
      <c r="AJ67" s="14"/>
      <c r="AK67" s="10"/>
      <c r="AL67" s="11"/>
      <c r="AM67" s="11"/>
      <c r="AN67" s="11"/>
      <c r="AO67" s="12"/>
      <c r="AP67" s="12"/>
      <c r="AQ67" s="13"/>
      <c r="AS67" s="14"/>
      <c r="AT67" s="10"/>
      <c r="AU67" s="11"/>
      <c r="AV67" s="11"/>
      <c r="AW67" s="11"/>
      <c r="AX67" s="12"/>
      <c r="AY67" s="12"/>
      <c r="AZ67" s="13"/>
      <c r="BB67" s="14"/>
      <c r="BC67" s="10"/>
      <c r="BD67" s="11"/>
      <c r="BE67" s="11"/>
      <c r="BF67" s="11"/>
      <c r="BG67" s="12"/>
      <c r="BH67" s="12"/>
      <c r="BI67" s="13"/>
      <c r="BK67" s="14"/>
      <c r="BL67" s="10"/>
      <c r="BM67" s="11"/>
      <c r="BN67" s="11"/>
      <c r="BO67" s="11"/>
      <c r="BP67" s="12"/>
      <c r="BQ67" s="12"/>
      <c r="BR67" s="13"/>
      <c r="BT67" s="14"/>
      <c r="BU67" s="10"/>
      <c r="BV67" s="11"/>
      <c r="BW67" s="11"/>
      <c r="BX67" s="11"/>
      <c r="BY67" s="12"/>
      <c r="BZ67" s="12"/>
      <c r="CA67" s="13"/>
      <c r="CC67" s="13"/>
    </row>
    <row r="68" spans="1:81" x14ac:dyDescent="0.35">
      <c r="A68" s="27">
        <v>63</v>
      </c>
      <c r="B68" s="57">
        <f t="shared" si="7"/>
        <v>2000</v>
      </c>
      <c r="C68" s="16">
        <f>ROUND(B68*(1+'Interest rate projection'!AB70/Var_freq)+IF(C$5="Mortgage Starts",0,Deposit_mon_alt),2)</f>
        <v>4007.35</v>
      </c>
      <c r="D68" s="16">
        <f>ROUND(C68*(1+'Interest rate projection'!AC70/Var_freq)+IF(D$5="Mortgage Starts",0,Deposit_mon_alt),2)</f>
        <v>6022.08</v>
      </c>
      <c r="E68" s="16">
        <f>ROUND(D68*(1+'Interest rate projection'!AD70/Var_freq)+IF(E$5="Mortgage Starts",0,Deposit_mon_alt),2)</f>
        <v>8041.79</v>
      </c>
      <c r="F68" s="16">
        <f>ROUND(E68*(1+'Interest rate projection'!AE70/Var_freq)+IF(F$5="Mortgage Starts",0,Deposit_mon_alt),2)</f>
        <v>10068.120000000001</v>
      </c>
      <c r="G68" s="16">
        <f>ROUND(F68*(1+'Interest rate projection'!AF70/Var_freq)+IF(G$5="Mortgage Starts",0,Deposit_mon_alt),2)</f>
        <v>12101.08</v>
      </c>
      <c r="H68" s="16">
        <f>ROUND(G68*(1+'Interest rate projection'!AG70/Var_freq)+IF(H$5="Mortgage Starts",0,Deposit_mon_alt),2)</f>
        <v>14140.7</v>
      </c>
      <c r="I68" s="16">
        <f>ROUND(H68*(1+'Interest rate projection'!AH70/Var_freq)+IF(I$5="Mortgage Starts",0,Deposit_mon_alt),2)</f>
        <v>16186.99</v>
      </c>
      <c r="J68" s="16">
        <f>ROUND(I68*(1+'Interest rate projection'!AI70/Var_freq)+IF(J$5="Mortgage Starts",0,Deposit_mon_alt),2)</f>
        <v>18239.98</v>
      </c>
      <c r="K68" s="16">
        <f>ROUND(J68*(1+'Interest rate projection'!AJ70/Var_freq)+IF(K$5="Mortgage Starts",0,Deposit_mon_alt),2)</f>
        <v>20307.009999999998</v>
      </c>
      <c r="L68" s="16">
        <f>ROUND(K68*(1+'Interest rate projection'!AK70/Var_freq)+IF(L$5="Mortgage Starts",0,Deposit_mon_alt),2)</f>
        <v>22381.63</v>
      </c>
      <c r="M68" s="16">
        <f>ROUND(L68*(1+'Interest rate projection'!AL70/Var_freq)+IF(M$5="Mortgage Starts",0,Deposit_mon_alt),2)</f>
        <v>24463.88</v>
      </c>
      <c r="N68" s="57">
        <f>ROUND(M68*(1+'Interest rate projection'!AM70/Var_freq)+IF(N$5="Mortgage Starts",0,Deposit_mon_alt),2)</f>
        <v>24553.78</v>
      </c>
      <c r="O68" s="12"/>
      <c r="P68" s="38">
        <f>'Interest rate projection'!N70</f>
        <v>4.4999999999999998E-2</v>
      </c>
      <c r="Q68" s="38">
        <f>'Interest rate projection'!AN70</f>
        <v>4.4097712805242217E-2</v>
      </c>
      <c r="R68" s="59" t="str">
        <f t="shared" si="8"/>
        <v>OK</v>
      </c>
      <c r="S68" s="39">
        <f t="shared" si="9"/>
        <v>15.131610255367837</v>
      </c>
      <c r="T68" s="10"/>
      <c r="U68" s="73">
        <f t="shared" si="6"/>
        <v>24553.78</v>
      </c>
      <c r="V68" s="73">
        <f t="shared" si="4"/>
        <v>175446.22</v>
      </c>
      <c r="W68" s="74">
        <f t="shared" si="10"/>
        <v>966.22</v>
      </c>
      <c r="X68" s="12"/>
      <c r="Y68" s="73">
        <f>'Fixed rate projection Alt'!$T$3-('Variable rate projection Alt'!W68*Product_term_alt*Var_freq)</f>
        <v>2854.1999999999898</v>
      </c>
      <c r="AA68" s="14"/>
      <c r="AB68" s="10"/>
      <c r="AC68" s="11"/>
      <c r="AD68" s="11"/>
      <c r="AE68" s="11"/>
      <c r="AF68" s="12"/>
      <c r="AG68" s="12"/>
      <c r="AH68" s="13"/>
      <c r="AJ68" s="14"/>
      <c r="AK68" s="10"/>
      <c r="AL68" s="11"/>
      <c r="AM68" s="11"/>
      <c r="AN68" s="11"/>
      <c r="AO68" s="12"/>
      <c r="AP68" s="12"/>
      <c r="AQ68" s="13"/>
      <c r="AS68" s="14"/>
      <c r="AT68" s="10"/>
      <c r="AU68" s="11"/>
      <c r="AV68" s="11"/>
      <c r="AW68" s="11"/>
      <c r="AX68" s="12"/>
      <c r="AY68" s="12"/>
      <c r="AZ68" s="13"/>
      <c r="BB68" s="14"/>
      <c r="BC68" s="10"/>
      <c r="BD68" s="11"/>
      <c r="BE68" s="11"/>
      <c r="BF68" s="11"/>
      <c r="BG68" s="12"/>
      <c r="BH68" s="12"/>
      <c r="BI68" s="13"/>
      <c r="BK68" s="14"/>
      <c r="BL68" s="10"/>
      <c r="BM68" s="11"/>
      <c r="BN68" s="11"/>
      <c r="BO68" s="11"/>
      <c r="BP68" s="12"/>
      <c r="BQ68" s="12"/>
      <c r="BR68" s="13"/>
      <c r="BT68" s="14"/>
      <c r="BU68" s="10"/>
      <c r="BV68" s="11"/>
      <c r="BW68" s="11"/>
      <c r="BX68" s="11"/>
      <c r="BY68" s="12"/>
      <c r="BZ68" s="12"/>
      <c r="CA68" s="13"/>
      <c r="CC68" s="13"/>
    </row>
    <row r="69" spans="1:81" x14ac:dyDescent="0.35">
      <c r="A69" s="5">
        <v>64</v>
      </c>
      <c r="B69" s="57">
        <f t="shared" si="7"/>
        <v>2000</v>
      </c>
      <c r="C69" s="16">
        <f>ROUND(B69*(1+'Interest rate projection'!AB71/Var_freq)+IF(C$5="Mortgage Starts",0,Deposit_mon_alt),2)</f>
        <v>4007.35</v>
      </c>
      <c r="D69" s="16">
        <f>ROUND(C69*(1+'Interest rate projection'!AC71/Var_freq)+IF(D$5="Mortgage Starts",0,Deposit_mon_alt),2)</f>
        <v>6022.08</v>
      </c>
      <c r="E69" s="16">
        <f>ROUND(D69*(1+'Interest rate projection'!AD71/Var_freq)+IF(E$5="Mortgage Starts",0,Deposit_mon_alt),2)</f>
        <v>8044.21</v>
      </c>
      <c r="F69" s="16">
        <f>ROUND(E69*(1+'Interest rate projection'!AE71/Var_freq)+IF(F$5="Mortgage Starts",0,Deposit_mon_alt),2)</f>
        <v>10070.540000000001</v>
      </c>
      <c r="G69" s="16">
        <f>ROUND(F69*(1+'Interest rate projection'!AF71/Var_freq)+IF(G$5="Mortgage Starts",0,Deposit_mon_alt),2)</f>
        <v>12103.51</v>
      </c>
      <c r="H69" s="16">
        <f>ROUND(G69*(1+'Interest rate projection'!AG71/Var_freq)+IF(H$5="Mortgage Starts",0,Deposit_mon_alt),2)</f>
        <v>14140.7</v>
      </c>
      <c r="I69" s="16">
        <f>ROUND(H69*(1+'Interest rate projection'!AH71/Var_freq)+IF(I$5="Mortgage Starts",0,Deposit_mon_alt),2)</f>
        <v>16184.15</v>
      </c>
      <c r="J69" s="16">
        <f>ROUND(I69*(1+'Interest rate projection'!AI71/Var_freq)+IF(J$5="Mortgage Starts",0,Deposit_mon_alt),2)</f>
        <v>18227.34</v>
      </c>
      <c r="K69" s="16">
        <f>ROUND(J69*(1+'Interest rate projection'!AJ71/Var_freq)+IF(K$5="Mortgage Starts",0,Deposit_mon_alt),2)</f>
        <v>20275.990000000002</v>
      </c>
      <c r="L69" s="16">
        <f>ROUND(K69*(1+'Interest rate projection'!AK71/Var_freq)+IF(L$5="Mortgage Starts",0,Deposit_mon_alt),2)</f>
        <v>22330.1</v>
      </c>
      <c r="M69" s="16">
        <f>ROUND(L69*(1+'Interest rate projection'!AL71/Var_freq)+IF(M$5="Mortgage Starts",0,Deposit_mon_alt),2)</f>
        <v>24398.71</v>
      </c>
      <c r="N69" s="57">
        <f>ROUND(M69*(1+'Interest rate projection'!AM71/Var_freq)+IF(N$5="Mortgage Starts",0,Deposit_mon_alt),2)</f>
        <v>24473.68</v>
      </c>
      <c r="O69" s="12"/>
      <c r="P69" s="38">
        <f>'Interest rate projection'!N71</f>
        <v>3.7499999999999999E-2</v>
      </c>
      <c r="Q69" s="38">
        <f>'Interest rate projection'!AN71</f>
        <v>3.6870500439066589E-2</v>
      </c>
      <c r="R69" s="59" t="str">
        <f t="shared" si="8"/>
        <v>OK</v>
      </c>
      <c r="S69" s="39">
        <f t="shared" si="9"/>
        <v>16.317113717606386</v>
      </c>
      <c r="T69" s="10"/>
      <c r="U69" s="73">
        <f t="shared" si="6"/>
        <v>24473.68</v>
      </c>
      <c r="V69" s="73">
        <f t="shared" si="4"/>
        <v>175526.32</v>
      </c>
      <c r="W69" s="74">
        <f t="shared" si="10"/>
        <v>896.43</v>
      </c>
      <c r="X69" s="12"/>
      <c r="Y69" s="73">
        <f>'Fixed rate projection Alt'!$T$3-('Variable rate projection Alt'!W69*Product_term_alt*Var_freq)</f>
        <v>7041.5999999999985</v>
      </c>
      <c r="AA69" s="14"/>
      <c r="AB69" s="10"/>
      <c r="AC69" s="11"/>
      <c r="AD69" s="11"/>
      <c r="AE69" s="11"/>
      <c r="AF69" s="12"/>
      <c r="AG69" s="12"/>
      <c r="AH69" s="13"/>
      <c r="AJ69" s="14"/>
      <c r="AK69" s="10"/>
      <c r="AL69" s="11"/>
      <c r="AM69" s="11"/>
      <c r="AN69" s="11"/>
      <c r="AO69" s="12"/>
      <c r="AP69" s="12"/>
      <c r="AQ69" s="13"/>
      <c r="AS69" s="14"/>
      <c r="AT69" s="10"/>
      <c r="AU69" s="11"/>
      <c r="AV69" s="11"/>
      <c r="AW69" s="11"/>
      <c r="AX69" s="12"/>
      <c r="AY69" s="12"/>
      <c r="AZ69" s="13"/>
      <c r="BB69" s="14"/>
      <c r="BC69" s="10"/>
      <c r="BD69" s="11"/>
      <c r="BE69" s="11"/>
      <c r="BF69" s="11"/>
      <c r="BG69" s="12"/>
      <c r="BH69" s="12"/>
      <c r="BI69" s="13"/>
      <c r="BK69" s="14"/>
      <c r="BL69" s="10"/>
      <c r="BM69" s="11"/>
      <c r="BN69" s="11"/>
      <c r="BO69" s="11"/>
      <c r="BP69" s="12"/>
      <c r="BQ69" s="12"/>
      <c r="BR69" s="13"/>
      <c r="BT69" s="14"/>
      <c r="BU69" s="10"/>
      <c r="BV69" s="11"/>
      <c r="BW69" s="11"/>
      <c r="BX69" s="11"/>
      <c r="BY69" s="12"/>
      <c r="BZ69" s="12"/>
      <c r="CA69" s="13"/>
      <c r="CC69" s="13"/>
    </row>
    <row r="70" spans="1:81" x14ac:dyDescent="0.35">
      <c r="A70" s="27">
        <v>65</v>
      </c>
      <c r="B70" s="57">
        <f t="shared" ref="B70:B101" si="11">Deposit_mon_alt</f>
        <v>2000</v>
      </c>
      <c r="C70" s="16">
        <f>ROUND(B70*(1+'Interest rate projection'!AB72/Var_freq)+IF(C$5="Mortgage Starts",0,Deposit_mon_alt),2)</f>
        <v>4007.35</v>
      </c>
      <c r="D70" s="16">
        <f>ROUND(C70*(1+'Interest rate projection'!AC72/Var_freq)+IF(D$5="Mortgage Starts",0,Deposit_mon_alt),2)</f>
        <v>6022.08</v>
      </c>
      <c r="E70" s="16">
        <f>ROUND(D70*(1+'Interest rate projection'!AD72/Var_freq)+IF(E$5="Mortgage Starts",0,Deposit_mon_alt),2)</f>
        <v>8044.21</v>
      </c>
      <c r="F70" s="16">
        <f>ROUND(E70*(1+'Interest rate projection'!AE72/Var_freq)+IF(F$5="Mortgage Starts",0,Deposit_mon_alt),2)</f>
        <v>10073.77</v>
      </c>
      <c r="G70" s="16">
        <f>ROUND(F70*(1+'Interest rate projection'!AF72/Var_freq)+IF(G$5="Mortgage Starts",0,Deposit_mon_alt),2)</f>
        <v>12110.79</v>
      </c>
      <c r="H70" s="16">
        <f>ROUND(G70*(1+'Interest rate projection'!AG72/Var_freq)+IF(H$5="Mortgage Starts",0,Deposit_mon_alt),2)</f>
        <v>14155.29</v>
      </c>
      <c r="I70" s="16">
        <f>ROUND(H70*(1+'Interest rate projection'!AH72/Var_freq)+IF(I$5="Mortgage Starts",0,Deposit_mon_alt),2)</f>
        <v>16207.31</v>
      </c>
      <c r="J70" s="16">
        <f>ROUND(I70*(1+'Interest rate projection'!AI72/Var_freq)+IF(J$5="Mortgage Starts",0,Deposit_mon_alt),2)</f>
        <v>18266.87</v>
      </c>
      <c r="K70" s="16">
        <f>ROUND(J70*(1+'Interest rate projection'!AJ72/Var_freq)+IF(K$5="Mortgage Starts",0,Deposit_mon_alt),2)</f>
        <v>20334</v>
      </c>
      <c r="L70" s="16">
        <f>ROUND(K70*(1+'Interest rate projection'!AK72/Var_freq)+IF(L$5="Mortgage Starts",0,Deposit_mon_alt),2)</f>
        <v>22408.720000000001</v>
      </c>
      <c r="M70" s="16">
        <f>ROUND(L70*(1+'Interest rate projection'!AL72/Var_freq)+IF(M$5="Mortgage Starts",0,Deposit_mon_alt),2)</f>
        <v>24491.07</v>
      </c>
      <c r="N70" s="57">
        <f>ROUND(M70*(1+'Interest rate projection'!AM72/Var_freq)+IF(N$5="Mortgage Starts",0,Deposit_mon_alt),2)</f>
        <v>24581.07</v>
      </c>
      <c r="O70" s="12"/>
      <c r="P70" s="38">
        <f>'Interest rate projection'!N72</f>
        <v>4.4999999999999998E-2</v>
      </c>
      <c r="Q70" s="38">
        <f>'Interest rate projection'!AN72</f>
        <v>4.4097712805242217E-2</v>
      </c>
      <c r="R70" s="59" t="str">
        <f t="shared" ref="R70:R101" si="12">IF(ROUND(P70,6)=ROUND((1+Q70/Var_freq)^Var_freq-1,6),"OK","ERROR")</f>
        <v>OK</v>
      </c>
      <c r="S70" s="39">
        <f t="shared" ref="S70:S101" si="13">(1-(1+P70)^-Mort_term)/Q70</f>
        <v>15.131610255367837</v>
      </c>
      <c r="T70" s="10"/>
      <c r="U70" s="73">
        <f t="shared" si="6"/>
        <v>24581.07</v>
      </c>
      <c r="V70" s="73">
        <f t="shared" ref="V70:V133" si="14">House_price-U70</f>
        <v>175418.93</v>
      </c>
      <c r="W70" s="74">
        <f t="shared" ref="W70:W101" si="15">ROUND(V70/S70/Var_freq,2)</f>
        <v>966.07</v>
      </c>
      <c r="X70" s="12"/>
      <c r="Y70" s="73">
        <f>'Fixed rate projection Alt'!$T$3-('Variable rate projection Alt'!W70*Product_term_alt*Var_freq)</f>
        <v>2863.1999999999898</v>
      </c>
      <c r="AA70" s="14"/>
      <c r="AB70" s="10"/>
      <c r="AC70" s="11"/>
      <c r="AD70" s="11"/>
      <c r="AE70" s="11"/>
      <c r="AF70" s="12"/>
      <c r="AG70" s="12"/>
      <c r="AH70" s="13"/>
      <c r="AJ70" s="14"/>
      <c r="AK70" s="10"/>
      <c r="AL70" s="11"/>
      <c r="AM70" s="11"/>
      <c r="AN70" s="11"/>
      <c r="AO70" s="12"/>
      <c r="AP70" s="12"/>
      <c r="AQ70" s="13"/>
      <c r="AS70" s="14"/>
      <c r="AT70" s="10"/>
      <c r="AU70" s="11"/>
      <c r="AV70" s="11"/>
      <c r="AW70" s="11"/>
      <c r="AX70" s="12"/>
      <c r="AY70" s="12"/>
      <c r="AZ70" s="13"/>
      <c r="BB70" s="14"/>
      <c r="BC70" s="10"/>
      <c r="BD70" s="11"/>
      <c r="BE70" s="11"/>
      <c r="BF70" s="11"/>
      <c r="BG70" s="12"/>
      <c r="BH70" s="12"/>
      <c r="BI70" s="13"/>
      <c r="BK70" s="14"/>
      <c r="BL70" s="10"/>
      <c r="BM70" s="11"/>
      <c r="BN70" s="11"/>
      <c r="BO70" s="11"/>
      <c r="BP70" s="12"/>
      <c r="BQ70" s="12"/>
      <c r="BR70" s="13"/>
      <c r="BT70" s="14"/>
      <c r="BU70" s="10"/>
      <c r="BV70" s="11"/>
      <c r="BW70" s="11"/>
      <c r="BX70" s="11"/>
      <c r="BY70" s="12"/>
      <c r="BZ70" s="12"/>
      <c r="CA70" s="13"/>
      <c r="CC70" s="13"/>
    </row>
    <row r="71" spans="1:81" x14ac:dyDescent="0.35">
      <c r="A71" s="5">
        <v>66</v>
      </c>
      <c r="B71" s="57">
        <f t="shared" si="11"/>
        <v>2000</v>
      </c>
      <c r="C71" s="16">
        <f>ROUND(B71*(1+'Interest rate projection'!AB73/Var_freq)+IF(C$5="Mortgage Starts",0,Deposit_mon_alt),2)</f>
        <v>4007.35</v>
      </c>
      <c r="D71" s="16">
        <f>ROUND(C71*(1+'Interest rate projection'!AC73/Var_freq)+IF(D$5="Mortgage Starts",0,Deposit_mon_alt),2)</f>
        <v>6022.08</v>
      </c>
      <c r="E71" s="16">
        <f>ROUND(D71*(1+'Interest rate projection'!AD73/Var_freq)+IF(E$5="Mortgage Starts",0,Deposit_mon_alt),2)</f>
        <v>8044.21</v>
      </c>
      <c r="F71" s="16">
        <f>ROUND(E71*(1+'Interest rate projection'!AE73/Var_freq)+IF(F$5="Mortgage Starts",0,Deposit_mon_alt),2)</f>
        <v>10073.77</v>
      </c>
      <c r="G71" s="16">
        <f>ROUND(F71*(1+'Interest rate projection'!AF73/Var_freq)+IF(G$5="Mortgage Starts",0,Deposit_mon_alt),2)</f>
        <v>12110.79</v>
      </c>
      <c r="H71" s="16">
        <f>ROUND(G71*(1+'Interest rate projection'!AG73/Var_freq)+IF(H$5="Mortgage Starts",0,Deposit_mon_alt),2)</f>
        <v>14155.29</v>
      </c>
      <c r="I71" s="16">
        <f>ROUND(H71*(1+'Interest rate projection'!AH73/Var_freq)+IF(I$5="Mortgage Starts",0,Deposit_mon_alt),2)</f>
        <v>16207.31</v>
      </c>
      <c r="J71" s="16">
        <f>ROUND(I71*(1+'Interest rate projection'!AI73/Var_freq)+IF(J$5="Mortgage Starts",0,Deposit_mon_alt),2)</f>
        <v>18266.87</v>
      </c>
      <c r="K71" s="16">
        <f>ROUND(J71*(1+'Interest rate projection'!AJ73/Var_freq)+IF(K$5="Mortgage Starts",0,Deposit_mon_alt),2)</f>
        <v>20334</v>
      </c>
      <c r="L71" s="16">
        <f>ROUND(K71*(1+'Interest rate projection'!AK73/Var_freq)+IF(L$5="Mortgage Starts",0,Deposit_mon_alt),2)</f>
        <v>22408.720000000001</v>
      </c>
      <c r="M71" s="16">
        <f>ROUND(L71*(1+'Interest rate projection'!AL73/Var_freq)+IF(M$5="Mortgage Starts",0,Deposit_mon_alt),2)</f>
        <v>24491.07</v>
      </c>
      <c r="N71" s="57">
        <f>ROUND(M71*(1+'Interest rate projection'!AM73/Var_freq)+IF(N$5="Mortgage Starts",0,Deposit_mon_alt),2)</f>
        <v>24581.07</v>
      </c>
      <c r="O71" s="12"/>
      <c r="P71" s="38">
        <f>'Interest rate projection'!N73</f>
        <v>4.4999999999999998E-2</v>
      </c>
      <c r="Q71" s="38">
        <f>'Interest rate projection'!AN73</f>
        <v>4.4097712805242217E-2</v>
      </c>
      <c r="R71" s="59" t="str">
        <f t="shared" si="12"/>
        <v>OK</v>
      </c>
      <c r="S71" s="39">
        <f t="shared" si="13"/>
        <v>15.131610255367837</v>
      </c>
      <c r="T71" s="10"/>
      <c r="U71" s="73">
        <f t="shared" ref="U71:U134" si="16">N71</f>
        <v>24581.07</v>
      </c>
      <c r="V71" s="73">
        <f t="shared" si="14"/>
        <v>175418.93</v>
      </c>
      <c r="W71" s="74">
        <f t="shared" si="15"/>
        <v>966.07</v>
      </c>
      <c r="X71" s="12"/>
      <c r="Y71" s="73">
        <f>'Fixed rate projection Alt'!$T$3-('Variable rate projection Alt'!W71*Product_term_alt*Var_freq)</f>
        <v>2863.1999999999898</v>
      </c>
      <c r="AA71" s="14"/>
      <c r="AB71" s="10"/>
      <c r="AC71" s="11"/>
      <c r="AD71" s="11"/>
      <c r="AE71" s="11"/>
      <c r="AF71" s="12"/>
      <c r="AG71" s="12"/>
      <c r="AH71" s="13"/>
      <c r="AJ71" s="14"/>
      <c r="AK71" s="10"/>
      <c r="AL71" s="11"/>
      <c r="AM71" s="11"/>
      <c r="AN71" s="11"/>
      <c r="AO71" s="12"/>
      <c r="AP71" s="12"/>
      <c r="AQ71" s="13"/>
      <c r="AS71" s="14"/>
      <c r="AT71" s="10"/>
      <c r="AU71" s="11"/>
      <c r="AV71" s="11"/>
      <c r="AW71" s="11"/>
      <c r="AX71" s="12"/>
      <c r="AY71" s="12"/>
      <c r="AZ71" s="13"/>
      <c r="BB71" s="14"/>
      <c r="BC71" s="10"/>
      <c r="BD71" s="11"/>
      <c r="BE71" s="11"/>
      <c r="BF71" s="11"/>
      <c r="BG71" s="12"/>
      <c r="BH71" s="12"/>
      <c r="BI71" s="13"/>
      <c r="BK71" s="14"/>
      <c r="BL71" s="10"/>
      <c r="BM71" s="11"/>
      <c r="BN71" s="11"/>
      <c r="BO71" s="11"/>
      <c r="BP71" s="12"/>
      <c r="BQ71" s="12"/>
      <c r="BR71" s="13"/>
      <c r="BT71" s="14"/>
      <c r="BU71" s="10"/>
      <c r="BV71" s="11"/>
      <c r="BW71" s="11"/>
      <c r="BX71" s="11"/>
      <c r="BY71" s="12"/>
      <c r="BZ71" s="12"/>
      <c r="CA71" s="13"/>
      <c r="CC71" s="13"/>
    </row>
    <row r="72" spans="1:81" x14ac:dyDescent="0.35">
      <c r="A72" s="27">
        <v>67</v>
      </c>
      <c r="B72" s="57">
        <f t="shared" si="11"/>
        <v>2000</v>
      </c>
      <c r="C72" s="16">
        <f>ROUND(B72*(1+'Interest rate projection'!AB74/Var_freq)+IF(C$5="Mortgage Starts",0,Deposit_mon_alt),2)</f>
        <v>4007.35</v>
      </c>
      <c r="D72" s="16">
        <f>ROUND(C72*(1+'Interest rate projection'!AC74/Var_freq)+IF(D$5="Mortgage Starts",0,Deposit_mon_alt),2)</f>
        <v>6022.08</v>
      </c>
      <c r="E72" s="16">
        <f>ROUND(D72*(1+'Interest rate projection'!AD74/Var_freq)+IF(E$5="Mortgage Starts",0,Deposit_mon_alt),2)</f>
        <v>8044.21</v>
      </c>
      <c r="F72" s="16">
        <f>ROUND(E72*(1+'Interest rate projection'!AE74/Var_freq)+IF(F$5="Mortgage Starts",0,Deposit_mon_alt),2)</f>
        <v>10073.77</v>
      </c>
      <c r="G72" s="16">
        <f>ROUND(F72*(1+'Interest rate projection'!AF74/Var_freq)+IF(G$5="Mortgage Starts",0,Deposit_mon_alt),2)</f>
        <v>12110.79</v>
      </c>
      <c r="H72" s="16">
        <f>ROUND(G72*(1+'Interest rate projection'!AG74/Var_freq)+IF(H$5="Mortgage Starts",0,Deposit_mon_alt),2)</f>
        <v>14155.29</v>
      </c>
      <c r="I72" s="16">
        <f>ROUND(H72*(1+'Interest rate projection'!AH74/Var_freq)+IF(I$5="Mortgage Starts",0,Deposit_mon_alt),2)</f>
        <v>16207.31</v>
      </c>
      <c r="J72" s="16">
        <f>ROUND(I72*(1+'Interest rate projection'!AI74/Var_freq)+IF(J$5="Mortgage Starts",0,Deposit_mon_alt),2)</f>
        <v>18266.87</v>
      </c>
      <c r="K72" s="16">
        <f>ROUND(J72*(1+'Interest rate projection'!AJ74/Var_freq)+IF(K$5="Mortgage Starts",0,Deposit_mon_alt),2)</f>
        <v>20334</v>
      </c>
      <c r="L72" s="16">
        <f>ROUND(K72*(1+'Interest rate projection'!AK74/Var_freq)+IF(L$5="Mortgage Starts",0,Deposit_mon_alt),2)</f>
        <v>22408.720000000001</v>
      </c>
      <c r="M72" s="16">
        <f>ROUND(L72*(1+'Interest rate projection'!AL74/Var_freq)+IF(M$5="Mortgage Starts",0,Deposit_mon_alt),2)</f>
        <v>24491.07</v>
      </c>
      <c r="N72" s="57">
        <f>ROUND(M72*(1+'Interest rate projection'!AM74/Var_freq)+IF(N$5="Mortgage Starts",0,Deposit_mon_alt),2)</f>
        <v>24581.07</v>
      </c>
      <c r="O72" s="12"/>
      <c r="P72" s="38">
        <f>'Interest rate projection'!N74</f>
        <v>4.4999999999999998E-2</v>
      </c>
      <c r="Q72" s="38">
        <f>'Interest rate projection'!AN74</f>
        <v>4.4097712805242217E-2</v>
      </c>
      <c r="R72" s="59" t="str">
        <f t="shared" si="12"/>
        <v>OK</v>
      </c>
      <c r="S72" s="39">
        <f t="shared" si="13"/>
        <v>15.131610255367837</v>
      </c>
      <c r="T72" s="10"/>
      <c r="U72" s="73">
        <f t="shared" si="16"/>
        <v>24581.07</v>
      </c>
      <c r="V72" s="73">
        <f t="shared" si="14"/>
        <v>175418.93</v>
      </c>
      <c r="W72" s="74">
        <f t="shared" si="15"/>
        <v>966.07</v>
      </c>
      <c r="X72" s="12"/>
      <c r="Y72" s="73">
        <f>'Fixed rate projection Alt'!$T$3-('Variable rate projection Alt'!W72*Product_term_alt*Var_freq)</f>
        <v>2863.1999999999898</v>
      </c>
      <c r="AA72" s="14"/>
      <c r="AB72" s="10"/>
      <c r="AC72" s="11"/>
      <c r="AD72" s="11"/>
      <c r="AE72" s="11"/>
      <c r="AF72" s="12"/>
      <c r="AG72" s="12"/>
      <c r="AH72" s="13"/>
      <c r="AJ72" s="14"/>
      <c r="AK72" s="10"/>
      <c r="AL72" s="11"/>
      <c r="AM72" s="11"/>
      <c r="AN72" s="11"/>
      <c r="AO72" s="12"/>
      <c r="AP72" s="12"/>
      <c r="AQ72" s="13"/>
      <c r="AS72" s="14"/>
      <c r="AT72" s="10"/>
      <c r="AU72" s="11"/>
      <c r="AV72" s="11"/>
      <c r="AW72" s="11"/>
      <c r="AX72" s="12"/>
      <c r="AY72" s="12"/>
      <c r="AZ72" s="13"/>
      <c r="BB72" s="14"/>
      <c r="BC72" s="10"/>
      <c r="BD72" s="11"/>
      <c r="BE72" s="11"/>
      <c r="BF72" s="11"/>
      <c r="BG72" s="12"/>
      <c r="BH72" s="12"/>
      <c r="BI72" s="13"/>
      <c r="BK72" s="14"/>
      <c r="BL72" s="10"/>
      <c r="BM72" s="11"/>
      <c r="BN72" s="11"/>
      <c r="BO72" s="11"/>
      <c r="BP72" s="12"/>
      <c r="BQ72" s="12"/>
      <c r="BR72" s="13"/>
      <c r="BT72" s="14"/>
      <c r="BU72" s="10"/>
      <c r="BV72" s="11"/>
      <c r="BW72" s="11"/>
      <c r="BX72" s="11"/>
      <c r="BY72" s="12"/>
      <c r="BZ72" s="12"/>
      <c r="CA72" s="13"/>
      <c r="CC72" s="13"/>
    </row>
    <row r="73" spans="1:81" x14ac:dyDescent="0.35">
      <c r="A73" s="5">
        <v>68</v>
      </c>
      <c r="B73" s="57">
        <f t="shared" si="11"/>
        <v>2000</v>
      </c>
      <c r="C73" s="16">
        <f>ROUND(B73*(1+'Interest rate projection'!AB75/Var_freq)+IF(C$5="Mortgage Starts",0,Deposit_mon_alt),2)</f>
        <v>4007.35</v>
      </c>
      <c r="D73" s="16">
        <f>ROUND(C73*(1+'Interest rate projection'!AC75/Var_freq)+IF(D$5="Mortgage Starts",0,Deposit_mon_alt),2)</f>
        <v>6022.08</v>
      </c>
      <c r="E73" s="16">
        <f>ROUND(D73*(1+'Interest rate projection'!AD75/Var_freq)+IF(E$5="Mortgage Starts",0,Deposit_mon_alt),2)</f>
        <v>8044.21</v>
      </c>
      <c r="F73" s="16">
        <f>ROUND(E73*(1+'Interest rate projection'!AE75/Var_freq)+IF(F$5="Mortgage Starts",0,Deposit_mon_alt),2)</f>
        <v>10073.77</v>
      </c>
      <c r="G73" s="16">
        <f>ROUND(F73*(1+'Interest rate projection'!AF75/Var_freq)+IF(G$5="Mortgage Starts",0,Deposit_mon_alt),2)</f>
        <v>12110.79</v>
      </c>
      <c r="H73" s="16">
        <f>ROUND(G73*(1+'Interest rate projection'!AG75/Var_freq)+IF(H$5="Mortgage Starts",0,Deposit_mon_alt),2)</f>
        <v>14155.29</v>
      </c>
      <c r="I73" s="16">
        <f>ROUND(H73*(1+'Interest rate projection'!AH75/Var_freq)+IF(I$5="Mortgage Starts",0,Deposit_mon_alt),2)</f>
        <v>16207.31</v>
      </c>
      <c r="J73" s="16">
        <f>ROUND(I73*(1+'Interest rate projection'!AI75/Var_freq)+IF(J$5="Mortgage Starts",0,Deposit_mon_alt),2)</f>
        <v>18266.87</v>
      </c>
      <c r="K73" s="16">
        <f>ROUND(J73*(1+'Interest rate projection'!AJ75/Var_freq)+IF(K$5="Mortgage Starts",0,Deposit_mon_alt),2)</f>
        <v>20334</v>
      </c>
      <c r="L73" s="16">
        <f>ROUND(K73*(1+'Interest rate projection'!AK75/Var_freq)+IF(L$5="Mortgage Starts",0,Deposit_mon_alt),2)</f>
        <v>22408.720000000001</v>
      </c>
      <c r="M73" s="16">
        <f>ROUND(L73*(1+'Interest rate projection'!AL75/Var_freq)+IF(M$5="Mortgage Starts",0,Deposit_mon_alt),2)</f>
        <v>24491.07</v>
      </c>
      <c r="N73" s="57">
        <f>ROUND(M73*(1+'Interest rate projection'!AM75/Var_freq)+IF(N$5="Mortgage Starts",0,Deposit_mon_alt),2)</f>
        <v>24581.07</v>
      </c>
      <c r="O73" s="12"/>
      <c r="P73" s="38">
        <f>'Interest rate projection'!N75</f>
        <v>4.4999999999999998E-2</v>
      </c>
      <c r="Q73" s="38">
        <f>'Interest rate projection'!AN75</f>
        <v>4.4097712805242217E-2</v>
      </c>
      <c r="R73" s="59" t="str">
        <f t="shared" si="12"/>
        <v>OK</v>
      </c>
      <c r="S73" s="39">
        <f t="shared" si="13"/>
        <v>15.131610255367837</v>
      </c>
      <c r="T73" s="10"/>
      <c r="U73" s="73">
        <f t="shared" si="16"/>
        <v>24581.07</v>
      </c>
      <c r="V73" s="73">
        <f t="shared" si="14"/>
        <v>175418.93</v>
      </c>
      <c r="W73" s="74">
        <f t="shared" si="15"/>
        <v>966.07</v>
      </c>
      <c r="X73" s="12"/>
      <c r="Y73" s="73">
        <f>'Fixed rate projection Alt'!$T$3-('Variable rate projection Alt'!W73*Product_term_alt*Var_freq)</f>
        <v>2863.1999999999898</v>
      </c>
      <c r="AA73" s="14"/>
      <c r="AB73" s="10"/>
      <c r="AC73" s="11"/>
      <c r="AD73" s="11"/>
      <c r="AE73" s="11"/>
      <c r="AF73" s="12"/>
      <c r="AG73" s="12"/>
      <c r="AH73" s="13"/>
      <c r="AJ73" s="14"/>
      <c r="AK73" s="10"/>
      <c r="AL73" s="11"/>
      <c r="AM73" s="11"/>
      <c r="AN73" s="11"/>
      <c r="AO73" s="12"/>
      <c r="AP73" s="12"/>
      <c r="AQ73" s="13"/>
      <c r="AS73" s="14"/>
      <c r="AT73" s="10"/>
      <c r="AU73" s="11"/>
      <c r="AV73" s="11"/>
      <c r="AW73" s="11"/>
      <c r="AX73" s="12"/>
      <c r="AY73" s="12"/>
      <c r="AZ73" s="13"/>
      <c r="BB73" s="14"/>
      <c r="BC73" s="10"/>
      <c r="BD73" s="11"/>
      <c r="BE73" s="11"/>
      <c r="BF73" s="11"/>
      <c r="BG73" s="12"/>
      <c r="BH73" s="12"/>
      <c r="BI73" s="13"/>
      <c r="BK73" s="14"/>
      <c r="BL73" s="10"/>
      <c r="BM73" s="11"/>
      <c r="BN73" s="11"/>
      <c r="BO73" s="11"/>
      <c r="BP73" s="12"/>
      <c r="BQ73" s="12"/>
      <c r="BR73" s="13"/>
      <c r="BT73" s="14"/>
      <c r="BU73" s="10"/>
      <c r="BV73" s="11"/>
      <c r="BW73" s="11"/>
      <c r="BX73" s="11"/>
      <c r="BY73" s="12"/>
      <c r="BZ73" s="12"/>
      <c r="CA73" s="13"/>
      <c r="CC73" s="13"/>
    </row>
    <row r="74" spans="1:81" x14ac:dyDescent="0.35">
      <c r="A74" s="27">
        <v>69</v>
      </c>
      <c r="B74" s="57">
        <f t="shared" si="11"/>
        <v>2000</v>
      </c>
      <c r="C74" s="16">
        <f>ROUND(B74*(1+'Interest rate projection'!AB76/Var_freq)+IF(C$5="Mortgage Starts",0,Deposit_mon_alt),2)</f>
        <v>4007.35</v>
      </c>
      <c r="D74" s="16">
        <f>ROUND(C74*(1+'Interest rate projection'!AC76/Var_freq)+IF(D$5="Mortgage Starts",0,Deposit_mon_alt),2)</f>
        <v>6022.08</v>
      </c>
      <c r="E74" s="16">
        <f>ROUND(D74*(1+'Interest rate projection'!AD76/Var_freq)+IF(E$5="Mortgage Starts",0,Deposit_mon_alt),2)</f>
        <v>8044.21</v>
      </c>
      <c r="F74" s="16">
        <f>ROUND(E74*(1+'Interest rate projection'!AE76/Var_freq)+IF(F$5="Mortgage Starts",0,Deposit_mon_alt),2)</f>
        <v>10073.77</v>
      </c>
      <c r="G74" s="16">
        <f>ROUND(F74*(1+'Interest rate projection'!AF76/Var_freq)+IF(G$5="Mortgage Starts",0,Deposit_mon_alt),2)</f>
        <v>12112.8</v>
      </c>
      <c r="H74" s="16">
        <f>ROUND(G74*(1+'Interest rate projection'!AG76/Var_freq)+IF(H$5="Mortgage Starts",0,Deposit_mon_alt),2)</f>
        <v>14154.89</v>
      </c>
      <c r="I74" s="16">
        <f>ROUND(H74*(1+'Interest rate projection'!AH76/Var_freq)+IF(I$5="Mortgage Starts",0,Deposit_mon_alt),2)</f>
        <v>16204.07</v>
      </c>
      <c r="J74" s="16">
        <f>ROUND(I74*(1+'Interest rate projection'!AI76/Var_freq)+IF(J$5="Mortgage Starts",0,Deposit_mon_alt),2)</f>
        <v>18260.37</v>
      </c>
      <c r="K74" s="16">
        <f>ROUND(J74*(1+'Interest rate projection'!AJ76/Var_freq)+IF(K$5="Mortgage Starts",0,Deposit_mon_alt),2)</f>
        <v>20323.82</v>
      </c>
      <c r="L74" s="16">
        <f>ROUND(K74*(1+'Interest rate projection'!AK76/Var_freq)+IF(L$5="Mortgage Starts",0,Deposit_mon_alt),2)</f>
        <v>22394.44</v>
      </c>
      <c r="M74" s="16">
        <f>ROUND(L74*(1+'Interest rate projection'!AL76/Var_freq)+IF(M$5="Mortgage Starts",0,Deposit_mon_alt),2)</f>
        <v>24472.25</v>
      </c>
      <c r="N74" s="57">
        <f>ROUND(M74*(1+'Interest rate projection'!AM76/Var_freq)+IF(N$5="Mortgage Starts",0,Deposit_mon_alt),2)</f>
        <v>24557.279999999999</v>
      </c>
      <c r="O74" s="12"/>
      <c r="P74" s="38">
        <f>'Interest rate projection'!N76</f>
        <v>4.2500000000000003E-2</v>
      </c>
      <c r="Q74" s="38">
        <f>'Interest rate projection'!AN76</f>
        <v>4.1693940041970023E-2</v>
      </c>
      <c r="R74" s="59" t="str">
        <f t="shared" si="12"/>
        <v>OK</v>
      </c>
      <c r="S74" s="39">
        <f t="shared" si="13"/>
        <v>15.511529757864551</v>
      </c>
      <c r="T74" s="10"/>
      <c r="U74" s="73">
        <f t="shared" si="16"/>
        <v>24557.279999999999</v>
      </c>
      <c r="V74" s="73">
        <f t="shared" si="14"/>
        <v>175442.72</v>
      </c>
      <c r="W74" s="74">
        <f t="shared" si="15"/>
        <v>942.54</v>
      </c>
      <c r="X74" s="12"/>
      <c r="Y74" s="73">
        <f>'Fixed rate projection Alt'!$T$3-('Variable rate projection Alt'!W74*Product_term_alt*Var_freq)</f>
        <v>4275</v>
      </c>
      <c r="AA74" s="14"/>
      <c r="AB74" s="10"/>
      <c r="AC74" s="11"/>
      <c r="AD74" s="11"/>
      <c r="AE74" s="11"/>
      <c r="AF74" s="12"/>
      <c r="AG74" s="12"/>
      <c r="AH74" s="13"/>
      <c r="AJ74" s="14"/>
      <c r="AK74" s="10"/>
      <c r="AL74" s="11"/>
      <c r="AM74" s="11"/>
      <c r="AN74" s="11"/>
      <c r="AO74" s="12"/>
      <c r="AP74" s="12"/>
      <c r="AQ74" s="13"/>
      <c r="AS74" s="14"/>
      <c r="AT74" s="10"/>
      <c r="AU74" s="11"/>
      <c r="AV74" s="11"/>
      <c r="AW74" s="11"/>
      <c r="AX74" s="12"/>
      <c r="AY74" s="12"/>
      <c r="AZ74" s="13"/>
      <c r="BB74" s="14"/>
      <c r="BC74" s="10"/>
      <c r="BD74" s="11"/>
      <c r="BE74" s="11"/>
      <c r="BF74" s="11"/>
      <c r="BG74" s="12"/>
      <c r="BH74" s="12"/>
      <c r="BI74" s="13"/>
      <c r="BK74" s="14"/>
      <c r="BL74" s="10"/>
      <c r="BM74" s="11"/>
      <c r="BN74" s="11"/>
      <c r="BO74" s="11"/>
      <c r="BP74" s="12"/>
      <c r="BQ74" s="12"/>
      <c r="BR74" s="13"/>
      <c r="BT74" s="14"/>
      <c r="BU74" s="10"/>
      <c r="BV74" s="11"/>
      <c r="BW74" s="11"/>
      <c r="BX74" s="11"/>
      <c r="BY74" s="12"/>
      <c r="BZ74" s="12"/>
      <c r="CA74" s="13"/>
      <c r="CC74" s="13"/>
    </row>
    <row r="75" spans="1:81" x14ac:dyDescent="0.35">
      <c r="A75" s="5">
        <v>70</v>
      </c>
      <c r="B75" s="57">
        <f t="shared" si="11"/>
        <v>2000</v>
      </c>
      <c r="C75" s="16">
        <f>ROUND(B75*(1+'Interest rate projection'!AB77/Var_freq)+IF(C$5="Mortgage Starts",0,Deposit_mon_alt),2)</f>
        <v>4007.35</v>
      </c>
      <c r="D75" s="16">
        <f>ROUND(C75*(1+'Interest rate projection'!AC77/Var_freq)+IF(D$5="Mortgage Starts",0,Deposit_mon_alt),2)</f>
        <v>6022.08</v>
      </c>
      <c r="E75" s="16">
        <f>ROUND(D75*(1+'Interest rate projection'!AD77/Var_freq)+IF(E$5="Mortgage Starts",0,Deposit_mon_alt),2)</f>
        <v>8046.61</v>
      </c>
      <c r="F75" s="16">
        <f>ROUND(E75*(1+'Interest rate projection'!AE77/Var_freq)+IF(F$5="Mortgage Starts",0,Deposit_mon_alt),2)</f>
        <v>10079.39</v>
      </c>
      <c r="G75" s="16">
        <f>ROUND(F75*(1+'Interest rate projection'!AF77/Var_freq)+IF(G$5="Mortgage Starts",0,Deposit_mon_alt),2)</f>
        <v>12120.45</v>
      </c>
      <c r="H75" s="16">
        <f>ROUND(G75*(1+'Interest rate projection'!AG77/Var_freq)+IF(H$5="Mortgage Starts",0,Deposit_mon_alt),2)</f>
        <v>14169.83</v>
      </c>
      <c r="I75" s="16">
        <f>ROUND(H75*(1+'Interest rate projection'!AH77/Var_freq)+IF(I$5="Mortgage Starts",0,Deposit_mon_alt),2)</f>
        <v>16227.56</v>
      </c>
      <c r="J75" s="16">
        <f>ROUND(I75*(1+'Interest rate projection'!AI77/Var_freq)+IF(J$5="Mortgage Starts",0,Deposit_mon_alt),2)</f>
        <v>18293.669999999998</v>
      </c>
      <c r="K75" s="16">
        <f>ROUND(J75*(1+'Interest rate projection'!AJ77/Var_freq)+IF(K$5="Mortgage Starts",0,Deposit_mon_alt),2)</f>
        <v>20368.2</v>
      </c>
      <c r="L75" s="16">
        <f>ROUND(K75*(1+'Interest rate projection'!AK77/Var_freq)+IF(L$5="Mortgage Starts",0,Deposit_mon_alt),2)</f>
        <v>22451.18</v>
      </c>
      <c r="M75" s="16">
        <f>ROUND(L75*(1+'Interest rate projection'!AL77/Var_freq)+IF(M$5="Mortgage Starts",0,Deposit_mon_alt),2)</f>
        <v>24542.65</v>
      </c>
      <c r="N75" s="57">
        <f>ROUND(M75*(1+'Interest rate projection'!AM77/Var_freq)+IF(N$5="Mortgage Starts",0,Deposit_mon_alt),2)</f>
        <v>24637.75</v>
      </c>
      <c r="O75" s="12"/>
      <c r="P75" s="38">
        <f>'Interest rate projection'!N77</f>
        <v>4.7499999999999994E-2</v>
      </c>
      <c r="Q75" s="38">
        <f>'Interest rate projection'!AN77</f>
        <v>4.6496219905550085E-2</v>
      </c>
      <c r="R75" s="59" t="str">
        <f t="shared" si="12"/>
        <v>OK</v>
      </c>
      <c r="S75" s="39">
        <f t="shared" si="13"/>
        <v>14.766012404082064</v>
      </c>
      <c r="T75" s="10"/>
      <c r="U75" s="73">
        <f t="shared" si="16"/>
        <v>24637.75</v>
      </c>
      <c r="V75" s="73">
        <f t="shared" si="14"/>
        <v>175362.25</v>
      </c>
      <c r="W75" s="74">
        <f t="shared" si="15"/>
        <v>989.67</v>
      </c>
      <c r="X75" s="12"/>
      <c r="Y75" s="73">
        <f>'Fixed rate projection Alt'!$T$3-('Variable rate projection Alt'!W75*Product_term_alt*Var_freq)</f>
        <v>1447.1999999999971</v>
      </c>
      <c r="AA75" s="14"/>
      <c r="AB75" s="10"/>
      <c r="AC75" s="11"/>
      <c r="AD75" s="11"/>
      <c r="AE75" s="11"/>
      <c r="AF75" s="12"/>
      <c r="AG75" s="12"/>
      <c r="AH75" s="13"/>
      <c r="AJ75" s="14"/>
      <c r="AK75" s="10"/>
      <c r="AL75" s="11"/>
      <c r="AM75" s="11"/>
      <c r="AN75" s="11"/>
      <c r="AO75" s="12"/>
      <c r="AP75" s="12"/>
      <c r="AQ75" s="13"/>
      <c r="AS75" s="14"/>
      <c r="AT75" s="10"/>
      <c r="AU75" s="11"/>
      <c r="AV75" s="11"/>
      <c r="AW75" s="11"/>
      <c r="AX75" s="12"/>
      <c r="AY75" s="12"/>
      <c r="AZ75" s="13"/>
      <c r="BB75" s="14"/>
      <c r="BC75" s="10"/>
      <c r="BD75" s="11"/>
      <c r="BE75" s="11"/>
      <c r="BF75" s="11"/>
      <c r="BG75" s="12"/>
      <c r="BH75" s="12"/>
      <c r="BI75" s="13"/>
      <c r="BK75" s="14"/>
      <c r="BL75" s="10"/>
      <c r="BM75" s="11"/>
      <c r="BN75" s="11"/>
      <c r="BO75" s="11"/>
      <c r="BP75" s="12"/>
      <c r="BQ75" s="12"/>
      <c r="BR75" s="13"/>
      <c r="BT75" s="14"/>
      <c r="BU75" s="10"/>
      <c r="BV75" s="11"/>
      <c r="BW75" s="11"/>
      <c r="BX75" s="11"/>
      <c r="BY75" s="12"/>
      <c r="BZ75" s="12"/>
      <c r="CA75" s="13"/>
      <c r="CC75" s="13"/>
    </row>
    <row r="76" spans="1:81" x14ac:dyDescent="0.35">
      <c r="A76" s="27">
        <v>71</v>
      </c>
      <c r="B76" s="57">
        <f t="shared" si="11"/>
        <v>2000</v>
      </c>
      <c r="C76" s="16">
        <f>ROUND(B76*(1+'Interest rate projection'!AB78/Var_freq)+IF(C$5="Mortgage Starts",0,Deposit_mon_alt),2)</f>
        <v>4007.35</v>
      </c>
      <c r="D76" s="16">
        <f>ROUND(C76*(1+'Interest rate projection'!AC78/Var_freq)+IF(D$5="Mortgage Starts",0,Deposit_mon_alt),2)</f>
        <v>6022.08</v>
      </c>
      <c r="E76" s="16">
        <f>ROUND(D76*(1+'Interest rate projection'!AD78/Var_freq)+IF(E$5="Mortgage Starts",0,Deposit_mon_alt),2)</f>
        <v>8044.21</v>
      </c>
      <c r="F76" s="16">
        <f>ROUND(E76*(1+'Interest rate projection'!AE78/Var_freq)+IF(F$5="Mortgage Starts",0,Deposit_mon_alt),2)</f>
        <v>10073.77</v>
      </c>
      <c r="G76" s="16">
        <f>ROUND(F76*(1+'Interest rate projection'!AF78/Var_freq)+IF(G$5="Mortgage Starts",0,Deposit_mon_alt),2)</f>
        <v>12110.79</v>
      </c>
      <c r="H76" s="16">
        <f>ROUND(G76*(1+'Interest rate projection'!AG78/Var_freq)+IF(H$5="Mortgage Starts",0,Deposit_mon_alt),2)</f>
        <v>14155.29</v>
      </c>
      <c r="I76" s="16">
        <f>ROUND(H76*(1+'Interest rate projection'!AH78/Var_freq)+IF(I$5="Mortgage Starts",0,Deposit_mon_alt),2)</f>
        <v>16207.31</v>
      </c>
      <c r="J76" s="16">
        <f>ROUND(I76*(1+'Interest rate projection'!AI78/Var_freq)+IF(J$5="Mortgage Starts",0,Deposit_mon_alt),2)</f>
        <v>18270.11</v>
      </c>
      <c r="K76" s="16">
        <f>ROUND(J76*(1+'Interest rate projection'!AJ78/Var_freq)+IF(K$5="Mortgage Starts",0,Deposit_mon_alt),2)</f>
        <v>20340.900000000001</v>
      </c>
      <c r="L76" s="16">
        <f>ROUND(K76*(1+'Interest rate projection'!AK78/Var_freq)+IF(L$5="Mortgage Starts",0,Deposit_mon_alt),2)</f>
        <v>22419.71</v>
      </c>
      <c r="M76" s="16">
        <f>ROUND(L76*(1+'Interest rate projection'!AL78/Var_freq)+IF(M$5="Mortgage Starts",0,Deposit_mon_alt),2)</f>
        <v>24506.58</v>
      </c>
      <c r="N76" s="57">
        <f>ROUND(M76*(1+'Interest rate projection'!AM78/Var_freq)+IF(N$5="Mortgage Starts",0,Deposit_mon_alt),2)</f>
        <v>24611.3</v>
      </c>
      <c r="O76" s="12"/>
      <c r="P76" s="38">
        <f>'Interest rate projection'!N78</f>
        <v>5.2499999999999998E-2</v>
      </c>
      <c r="Q76" s="38">
        <f>'Interest rate projection'!AN78</f>
        <v>5.1277533193896829E-2</v>
      </c>
      <c r="R76" s="59" t="str">
        <f t="shared" si="12"/>
        <v>OK</v>
      </c>
      <c r="S76" s="39">
        <f t="shared" si="13"/>
        <v>14.075212462503044</v>
      </c>
      <c r="T76" s="10"/>
      <c r="U76" s="73">
        <f t="shared" si="16"/>
        <v>24611.3</v>
      </c>
      <c r="V76" s="73">
        <f t="shared" si="14"/>
        <v>175388.7</v>
      </c>
      <c r="W76" s="74">
        <f t="shared" si="15"/>
        <v>1038.4000000000001</v>
      </c>
      <c r="X76" s="12"/>
      <c r="Y76" s="73">
        <f>'Fixed rate projection Alt'!$T$3-('Variable rate projection Alt'!W76*Product_term_alt*Var_freq)</f>
        <v>-1476.6000000000058</v>
      </c>
      <c r="AA76" s="14"/>
      <c r="AB76" s="10"/>
      <c r="AC76" s="11"/>
      <c r="AD76" s="11"/>
      <c r="AE76" s="11"/>
      <c r="AF76" s="12"/>
      <c r="AG76" s="12"/>
      <c r="AH76" s="13"/>
      <c r="AJ76" s="14"/>
      <c r="AK76" s="10"/>
      <c r="AL76" s="11"/>
      <c r="AM76" s="11"/>
      <c r="AN76" s="11"/>
      <c r="AO76" s="12"/>
      <c r="AP76" s="12"/>
      <c r="AQ76" s="13"/>
      <c r="AS76" s="14"/>
      <c r="AT76" s="10"/>
      <c r="AU76" s="11"/>
      <c r="AV76" s="11"/>
      <c r="AW76" s="11"/>
      <c r="AX76" s="12"/>
      <c r="AY76" s="12"/>
      <c r="AZ76" s="13"/>
      <c r="BB76" s="14"/>
      <c r="BC76" s="10"/>
      <c r="BD76" s="11"/>
      <c r="BE76" s="11"/>
      <c r="BF76" s="11"/>
      <c r="BG76" s="12"/>
      <c r="BH76" s="12"/>
      <c r="BI76" s="13"/>
      <c r="BK76" s="14"/>
      <c r="BL76" s="10"/>
      <c r="BM76" s="11"/>
      <c r="BN76" s="11"/>
      <c r="BO76" s="11"/>
      <c r="BP76" s="12"/>
      <c r="BQ76" s="12"/>
      <c r="BR76" s="13"/>
      <c r="BT76" s="14"/>
      <c r="BU76" s="10"/>
      <c r="BV76" s="11"/>
      <c r="BW76" s="11"/>
      <c r="BX76" s="11"/>
      <c r="BY76" s="12"/>
      <c r="BZ76" s="12"/>
      <c r="CA76" s="13"/>
      <c r="CC76" s="13"/>
    </row>
    <row r="77" spans="1:81" x14ac:dyDescent="0.35">
      <c r="A77" s="5">
        <v>72</v>
      </c>
      <c r="B77" s="57">
        <f t="shared" si="11"/>
        <v>2000</v>
      </c>
      <c r="C77" s="16">
        <f>ROUND(B77*(1+'Interest rate projection'!AB79/Var_freq)+IF(C$5="Mortgage Starts",0,Deposit_mon_alt),2)</f>
        <v>4007.35</v>
      </c>
      <c r="D77" s="16">
        <f>ROUND(C77*(1+'Interest rate projection'!AC79/Var_freq)+IF(D$5="Mortgage Starts",0,Deposit_mon_alt),2)</f>
        <v>6022.08</v>
      </c>
      <c r="E77" s="16">
        <f>ROUND(D77*(1+'Interest rate projection'!AD79/Var_freq)+IF(E$5="Mortgage Starts",0,Deposit_mon_alt),2)</f>
        <v>8044.21</v>
      </c>
      <c r="F77" s="16">
        <f>ROUND(E77*(1+'Interest rate projection'!AE79/Var_freq)+IF(F$5="Mortgage Starts",0,Deposit_mon_alt),2)</f>
        <v>10073.77</v>
      </c>
      <c r="G77" s="16">
        <f>ROUND(F77*(1+'Interest rate projection'!AF79/Var_freq)+IF(G$5="Mortgage Starts",0,Deposit_mon_alt),2)</f>
        <v>12110.79</v>
      </c>
      <c r="H77" s="16">
        <f>ROUND(G77*(1+'Interest rate projection'!AG79/Var_freq)+IF(H$5="Mortgage Starts",0,Deposit_mon_alt),2)</f>
        <v>14155.29</v>
      </c>
      <c r="I77" s="16">
        <f>ROUND(H77*(1+'Interest rate projection'!AH79/Var_freq)+IF(I$5="Mortgage Starts",0,Deposit_mon_alt),2)</f>
        <v>16207.31</v>
      </c>
      <c r="J77" s="16">
        <f>ROUND(I77*(1+'Interest rate projection'!AI79/Var_freq)+IF(J$5="Mortgage Starts",0,Deposit_mon_alt),2)</f>
        <v>18266.87</v>
      </c>
      <c r="K77" s="16">
        <f>ROUND(J77*(1+'Interest rate projection'!AJ79/Var_freq)+IF(K$5="Mortgage Starts",0,Deposit_mon_alt),2)</f>
        <v>20334</v>
      </c>
      <c r="L77" s="16">
        <f>ROUND(K77*(1+'Interest rate projection'!AK79/Var_freq)+IF(L$5="Mortgage Starts",0,Deposit_mon_alt),2)</f>
        <v>22408.720000000001</v>
      </c>
      <c r="M77" s="16">
        <f>ROUND(L77*(1+'Interest rate projection'!AL79/Var_freq)+IF(M$5="Mortgage Starts",0,Deposit_mon_alt),2)</f>
        <v>24500.02</v>
      </c>
      <c r="N77" s="57">
        <f>ROUND(M77*(1+'Interest rate projection'!AM79/Var_freq)+IF(N$5="Mortgage Starts",0,Deposit_mon_alt),2)</f>
        <v>24599.84</v>
      </c>
      <c r="O77" s="12"/>
      <c r="P77" s="38">
        <f>'Interest rate projection'!N79</f>
        <v>4.9999999999999996E-2</v>
      </c>
      <c r="Q77" s="38">
        <f>'Interest rate projection'!AN79</f>
        <v>4.8889485403780242E-2</v>
      </c>
      <c r="R77" s="59" t="str">
        <f t="shared" si="12"/>
        <v>OK</v>
      </c>
      <c r="S77" s="39">
        <f t="shared" si="13"/>
        <v>14.4140856153857</v>
      </c>
      <c r="T77" s="10"/>
      <c r="U77" s="73">
        <f t="shared" si="16"/>
        <v>24599.84</v>
      </c>
      <c r="V77" s="73">
        <f t="shared" si="14"/>
        <v>175400.16</v>
      </c>
      <c r="W77" s="74">
        <f t="shared" si="15"/>
        <v>1014.06</v>
      </c>
      <c r="X77" s="12"/>
      <c r="Y77" s="73">
        <f>'Fixed rate projection Alt'!$T$3-('Variable rate projection Alt'!W77*Product_term_alt*Var_freq)</f>
        <v>-16.19999999999709</v>
      </c>
      <c r="AA77" s="14"/>
      <c r="AB77" s="10"/>
      <c r="AC77" s="11"/>
      <c r="AD77" s="11"/>
      <c r="AE77" s="11"/>
      <c r="AF77" s="12"/>
      <c r="AG77" s="12"/>
      <c r="AH77" s="13"/>
      <c r="AJ77" s="14"/>
      <c r="AK77" s="10"/>
      <c r="AL77" s="11"/>
      <c r="AM77" s="11"/>
      <c r="AN77" s="11"/>
      <c r="AO77" s="12"/>
      <c r="AP77" s="12"/>
      <c r="AQ77" s="13"/>
      <c r="AS77" s="14"/>
      <c r="AT77" s="10"/>
      <c r="AU77" s="11"/>
      <c r="AV77" s="11"/>
      <c r="AW77" s="11"/>
      <c r="AX77" s="12"/>
      <c r="AY77" s="12"/>
      <c r="AZ77" s="13"/>
      <c r="BB77" s="14"/>
      <c r="BC77" s="10"/>
      <c r="BD77" s="11"/>
      <c r="BE77" s="11"/>
      <c r="BF77" s="11"/>
      <c r="BG77" s="12"/>
      <c r="BH77" s="12"/>
      <c r="BI77" s="13"/>
      <c r="BK77" s="14"/>
      <c r="BL77" s="10"/>
      <c r="BM77" s="11"/>
      <c r="BN77" s="11"/>
      <c r="BO77" s="11"/>
      <c r="BP77" s="12"/>
      <c r="BQ77" s="12"/>
      <c r="BR77" s="13"/>
      <c r="BT77" s="14"/>
      <c r="BU77" s="10"/>
      <c r="BV77" s="11"/>
      <c r="BW77" s="11"/>
      <c r="BX77" s="11"/>
      <c r="BY77" s="12"/>
      <c r="BZ77" s="12"/>
      <c r="CA77" s="13"/>
      <c r="CC77" s="13"/>
    </row>
    <row r="78" spans="1:81" x14ac:dyDescent="0.35">
      <c r="A78" s="27">
        <v>73</v>
      </c>
      <c r="B78" s="57">
        <f t="shared" si="11"/>
        <v>2000</v>
      </c>
      <c r="C78" s="16">
        <f>ROUND(B78*(1+'Interest rate projection'!AB80/Var_freq)+IF(C$5="Mortgage Starts",0,Deposit_mon_alt),2)</f>
        <v>4007.35</v>
      </c>
      <c r="D78" s="16">
        <f>ROUND(C78*(1+'Interest rate projection'!AC80/Var_freq)+IF(D$5="Mortgage Starts",0,Deposit_mon_alt),2)</f>
        <v>6022.08</v>
      </c>
      <c r="E78" s="16">
        <f>ROUND(D78*(1+'Interest rate projection'!AD80/Var_freq)+IF(E$5="Mortgage Starts",0,Deposit_mon_alt),2)</f>
        <v>8044.21</v>
      </c>
      <c r="F78" s="16">
        <f>ROUND(E78*(1+'Interest rate projection'!AE80/Var_freq)+IF(F$5="Mortgage Starts",0,Deposit_mon_alt),2)</f>
        <v>10073.77</v>
      </c>
      <c r="G78" s="16">
        <f>ROUND(F78*(1+'Interest rate projection'!AF80/Var_freq)+IF(G$5="Mortgage Starts",0,Deposit_mon_alt),2)</f>
        <v>12112.8</v>
      </c>
      <c r="H78" s="16">
        <f>ROUND(G78*(1+'Interest rate projection'!AG80/Var_freq)+IF(H$5="Mortgage Starts",0,Deposit_mon_alt),2)</f>
        <v>14159.73</v>
      </c>
      <c r="I78" s="16">
        <f>ROUND(H78*(1+'Interest rate projection'!AH80/Var_freq)+IF(I$5="Mortgage Starts",0,Deposit_mon_alt),2)</f>
        <v>16214.59</v>
      </c>
      <c r="J78" s="16">
        <f>ROUND(I78*(1+'Interest rate projection'!AI80/Var_freq)+IF(J$5="Mortgage Starts",0,Deposit_mon_alt),2)</f>
        <v>18277.419999999998</v>
      </c>
      <c r="K78" s="16">
        <f>ROUND(J78*(1+'Interest rate projection'!AJ80/Var_freq)+IF(K$5="Mortgage Starts",0,Deposit_mon_alt),2)</f>
        <v>20348.240000000002</v>
      </c>
      <c r="L78" s="16">
        <f>ROUND(K78*(1+'Interest rate projection'!AK80/Var_freq)+IF(L$5="Mortgage Starts",0,Deposit_mon_alt),2)</f>
        <v>22427.08</v>
      </c>
      <c r="M78" s="16">
        <f>ROUND(L78*(1+'Interest rate projection'!AL80/Var_freq)+IF(M$5="Mortgage Starts",0,Deposit_mon_alt),2)</f>
        <v>24513.98</v>
      </c>
      <c r="N78" s="57">
        <f>ROUND(M78*(1+'Interest rate projection'!AM80/Var_freq)+IF(N$5="Mortgage Starts",0,Deposit_mon_alt),2)</f>
        <v>24608.959999999999</v>
      </c>
      <c r="O78" s="12"/>
      <c r="P78" s="38">
        <f>'Interest rate projection'!N80</f>
        <v>4.7500000000000001E-2</v>
      </c>
      <c r="Q78" s="38">
        <f>'Interest rate projection'!AN80</f>
        <v>4.6496219905550085E-2</v>
      </c>
      <c r="R78" s="59" t="str">
        <f t="shared" si="12"/>
        <v>OK</v>
      </c>
      <c r="S78" s="39">
        <f t="shared" si="13"/>
        <v>14.766012404082064</v>
      </c>
      <c r="T78" s="10"/>
      <c r="U78" s="73">
        <f t="shared" si="16"/>
        <v>24608.959999999999</v>
      </c>
      <c r="V78" s="73">
        <f t="shared" si="14"/>
        <v>175391.04</v>
      </c>
      <c r="W78" s="74">
        <f t="shared" si="15"/>
        <v>989.84</v>
      </c>
      <c r="X78" s="12"/>
      <c r="Y78" s="73">
        <f>'Fixed rate projection Alt'!$T$3-('Variable rate projection Alt'!W78*Product_term_alt*Var_freq)</f>
        <v>1437</v>
      </c>
      <c r="AA78" s="14"/>
      <c r="AB78" s="10"/>
      <c r="AC78" s="11"/>
      <c r="AD78" s="11"/>
      <c r="AE78" s="11"/>
      <c r="AF78" s="12"/>
      <c r="AG78" s="12"/>
      <c r="AH78" s="13"/>
      <c r="AJ78" s="14"/>
      <c r="AK78" s="10"/>
      <c r="AL78" s="11"/>
      <c r="AM78" s="11"/>
      <c r="AN78" s="11"/>
      <c r="AO78" s="12"/>
      <c r="AP78" s="12"/>
      <c r="AQ78" s="13"/>
      <c r="AS78" s="14"/>
      <c r="AT78" s="10"/>
      <c r="AU78" s="11"/>
      <c r="AV78" s="11"/>
      <c r="AW78" s="11"/>
      <c r="AX78" s="12"/>
      <c r="AY78" s="12"/>
      <c r="AZ78" s="13"/>
      <c r="BB78" s="14"/>
      <c r="BC78" s="10"/>
      <c r="BD78" s="11"/>
      <c r="BE78" s="11"/>
      <c r="BF78" s="11"/>
      <c r="BG78" s="12"/>
      <c r="BH78" s="12"/>
      <c r="BI78" s="13"/>
      <c r="BK78" s="14"/>
      <c r="BL78" s="10"/>
      <c r="BM78" s="11"/>
      <c r="BN78" s="11"/>
      <c r="BO78" s="11"/>
      <c r="BP78" s="12"/>
      <c r="BQ78" s="12"/>
      <c r="BR78" s="13"/>
      <c r="BT78" s="14"/>
      <c r="BU78" s="10"/>
      <c r="BV78" s="11"/>
      <c r="BW78" s="11"/>
      <c r="BX78" s="11"/>
      <c r="BY78" s="12"/>
      <c r="BZ78" s="12"/>
      <c r="CA78" s="13"/>
      <c r="CC78" s="13"/>
    </row>
    <row r="79" spans="1:81" x14ac:dyDescent="0.35">
      <c r="A79" s="5">
        <v>74</v>
      </c>
      <c r="B79" s="57">
        <f t="shared" si="11"/>
        <v>2000</v>
      </c>
      <c r="C79" s="16">
        <f>ROUND(B79*(1+'Interest rate projection'!AB81/Var_freq)+IF(C$5="Mortgage Starts",0,Deposit_mon_alt),2)</f>
        <v>4007.35</v>
      </c>
      <c r="D79" s="16">
        <f>ROUND(C79*(1+'Interest rate projection'!AC81/Var_freq)+IF(D$5="Mortgage Starts",0,Deposit_mon_alt),2)</f>
        <v>6022.08</v>
      </c>
      <c r="E79" s="16">
        <f>ROUND(D79*(1+'Interest rate projection'!AD81/Var_freq)+IF(E$5="Mortgage Starts",0,Deposit_mon_alt),2)</f>
        <v>8044.21</v>
      </c>
      <c r="F79" s="16">
        <f>ROUND(E79*(1+'Interest rate projection'!AE81/Var_freq)+IF(F$5="Mortgage Starts",0,Deposit_mon_alt),2)</f>
        <v>10073.77</v>
      </c>
      <c r="G79" s="16">
        <f>ROUND(F79*(1+'Interest rate projection'!AF81/Var_freq)+IF(G$5="Mortgage Starts",0,Deposit_mon_alt),2)</f>
        <v>12110.79</v>
      </c>
      <c r="H79" s="16">
        <f>ROUND(G79*(1+'Interest rate projection'!AG81/Var_freq)+IF(H$5="Mortgage Starts",0,Deposit_mon_alt),2)</f>
        <v>14155.29</v>
      </c>
      <c r="I79" s="16">
        <f>ROUND(H79*(1+'Interest rate projection'!AH81/Var_freq)+IF(I$5="Mortgage Starts",0,Deposit_mon_alt),2)</f>
        <v>16207.31</v>
      </c>
      <c r="J79" s="16">
        <f>ROUND(I79*(1+'Interest rate projection'!AI81/Var_freq)+IF(J$5="Mortgage Starts",0,Deposit_mon_alt),2)</f>
        <v>18266.87</v>
      </c>
      <c r="K79" s="16">
        <f>ROUND(J79*(1+'Interest rate projection'!AJ81/Var_freq)+IF(K$5="Mortgage Starts",0,Deposit_mon_alt),2)</f>
        <v>20334</v>
      </c>
      <c r="L79" s="16">
        <f>ROUND(K79*(1+'Interest rate projection'!AK81/Var_freq)+IF(L$5="Mortgage Starts",0,Deposit_mon_alt),2)</f>
        <v>22408.720000000001</v>
      </c>
      <c r="M79" s="16">
        <f>ROUND(L79*(1+'Interest rate projection'!AL81/Var_freq)+IF(M$5="Mortgage Starts",0,Deposit_mon_alt),2)</f>
        <v>24491.07</v>
      </c>
      <c r="N79" s="57">
        <f>ROUND(M79*(1+'Interest rate projection'!AM81/Var_freq)+IF(N$5="Mortgage Starts",0,Deposit_mon_alt),2)</f>
        <v>24581.07</v>
      </c>
      <c r="O79" s="12"/>
      <c r="P79" s="38">
        <f>'Interest rate projection'!N81</f>
        <v>4.4999999999999998E-2</v>
      </c>
      <c r="Q79" s="38">
        <f>'Interest rate projection'!AN81</f>
        <v>4.4097712805242217E-2</v>
      </c>
      <c r="R79" s="59" t="str">
        <f t="shared" si="12"/>
        <v>OK</v>
      </c>
      <c r="S79" s="39">
        <f t="shared" si="13"/>
        <v>15.131610255367837</v>
      </c>
      <c r="T79" s="10"/>
      <c r="U79" s="73">
        <f t="shared" si="16"/>
        <v>24581.07</v>
      </c>
      <c r="V79" s="73">
        <f t="shared" si="14"/>
        <v>175418.93</v>
      </c>
      <c r="W79" s="74">
        <f t="shared" si="15"/>
        <v>966.07</v>
      </c>
      <c r="X79" s="12"/>
      <c r="Y79" s="73">
        <f>'Fixed rate projection Alt'!$T$3-('Variable rate projection Alt'!W79*Product_term_alt*Var_freq)</f>
        <v>2863.1999999999898</v>
      </c>
      <c r="AA79" s="14"/>
      <c r="AB79" s="10"/>
      <c r="AC79" s="11"/>
      <c r="AD79" s="11"/>
      <c r="AE79" s="11"/>
      <c r="AF79" s="12"/>
      <c r="AG79" s="12"/>
      <c r="AH79" s="13"/>
      <c r="AJ79" s="14"/>
      <c r="AK79" s="10"/>
      <c r="AL79" s="11"/>
      <c r="AM79" s="11"/>
      <c r="AN79" s="11"/>
      <c r="AO79" s="12"/>
      <c r="AP79" s="12"/>
      <c r="AQ79" s="13"/>
      <c r="AS79" s="14"/>
      <c r="AT79" s="10"/>
      <c r="AU79" s="11"/>
      <c r="AV79" s="11"/>
      <c r="AW79" s="11"/>
      <c r="AX79" s="12"/>
      <c r="AY79" s="12"/>
      <c r="AZ79" s="13"/>
      <c r="BB79" s="14"/>
      <c r="BC79" s="10"/>
      <c r="BD79" s="11"/>
      <c r="BE79" s="11"/>
      <c r="BF79" s="11"/>
      <c r="BG79" s="12"/>
      <c r="BH79" s="12"/>
      <c r="BI79" s="13"/>
      <c r="BK79" s="14"/>
      <c r="BL79" s="10"/>
      <c r="BM79" s="11"/>
      <c r="BN79" s="11"/>
      <c r="BO79" s="11"/>
      <c r="BP79" s="12"/>
      <c r="BQ79" s="12"/>
      <c r="BR79" s="13"/>
      <c r="BT79" s="14"/>
      <c r="BU79" s="10"/>
      <c r="BV79" s="11"/>
      <c r="BW79" s="11"/>
      <c r="BX79" s="11"/>
      <c r="BY79" s="12"/>
      <c r="BZ79" s="12"/>
      <c r="CA79" s="13"/>
      <c r="CC79" s="13"/>
    </row>
    <row r="80" spans="1:81" x14ac:dyDescent="0.35">
      <c r="A80" s="27">
        <v>75</v>
      </c>
      <c r="B80" s="57">
        <f t="shared" si="11"/>
        <v>2000</v>
      </c>
      <c r="C80" s="16">
        <f>ROUND(B80*(1+'Interest rate projection'!AB82/Var_freq)+IF(C$5="Mortgage Starts",0,Deposit_mon_alt),2)</f>
        <v>4007.35</v>
      </c>
      <c r="D80" s="16">
        <f>ROUND(C80*(1+'Interest rate projection'!AC82/Var_freq)+IF(D$5="Mortgage Starts",0,Deposit_mon_alt),2)</f>
        <v>6022.88</v>
      </c>
      <c r="E80" s="16">
        <f>ROUND(D80*(1+'Interest rate projection'!AD82/Var_freq)+IF(E$5="Mortgage Starts",0,Deposit_mon_alt),2)</f>
        <v>8046.22</v>
      </c>
      <c r="F80" s="16">
        <f>ROUND(E80*(1+'Interest rate projection'!AE82/Var_freq)+IF(F$5="Mortgage Starts",0,Deposit_mon_alt),2)</f>
        <v>10077.4</v>
      </c>
      <c r="G80" s="16">
        <f>ROUND(F80*(1+'Interest rate projection'!AF82/Var_freq)+IF(G$5="Mortgage Starts",0,Deposit_mon_alt),2)</f>
        <v>12116.45</v>
      </c>
      <c r="H80" s="16">
        <f>ROUND(G80*(1+'Interest rate projection'!AG82/Var_freq)+IF(H$5="Mortgage Starts",0,Deposit_mon_alt),2)</f>
        <v>14163.4</v>
      </c>
      <c r="I80" s="16">
        <f>ROUND(H80*(1+'Interest rate projection'!AH82/Var_freq)+IF(I$5="Mortgage Starts",0,Deposit_mon_alt),2)</f>
        <v>16218.28</v>
      </c>
      <c r="J80" s="16">
        <f>ROUND(I80*(1+'Interest rate projection'!AI82/Var_freq)+IF(J$5="Mortgage Starts",0,Deposit_mon_alt),2)</f>
        <v>18281.12</v>
      </c>
      <c r="K80" s="16">
        <f>ROUND(J80*(1+'Interest rate projection'!AJ82/Var_freq)+IF(K$5="Mortgage Starts",0,Deposit_mon_alt),2)</f>
        <v>20351.95</v>
      </c>
      <c r="L80" s="16">
        <f>ROUND(K80*(1+'Interest rate projection'!AK82/Var_freq)+IF(L$5="Mortgage Starts",0,Deposit_mon_alt),2)</f>
        <v>22430.81</v>
      </c>
      <c r="M80" s="16">
        <f>ROUND(L80*(1+'Interest rate projection'!AL82/Var_freq)+IF(M$5="Mortgage Starts",0,Deposit_mon_alt),2)</f>
        <v>24517.72</v>
      </c>
      <c r="N80" s="57">
        <f>ROUND(M80*(1+'Interest rate projection'!AM82/Var_freq)+IF(N$5="Mortgage Starts",0,Deposit_mon_alt),2)</f>
        <v>24612.720000000001</v>
      </c>
      <c r="O80" s="12"/>
      <c r="P80" s="38">
        <f>'Interest rate projection'!N82</f>
        <v>4.7500000000000001E-2</v>
      </c>
      <c r="Q80" s="38">
        <f>'Interest rate projection'!AN82</f>
        <v>4.6496219905550085E-2</v>
      </c>
      <c r="R80" s="59" t="str">
        <f t="shared" si="12"/>
        <v>OK</v>
      </c>
      <c r="S80" s="39">
        <f t="shared" si="13"/>
        <v>14.766012404082064</v>
      </c>
      <c r="T80" s="10"/>
      <c r="U80" s="73">
        <f t="shared" si="16"/>
        <v>24612.720000000001</v>
      </c>
      <c r="V80" s="73">
        <f t="shared" si="14"/>
        <v>175387.28</v>
      </c>
      <c r="W80" s="74">
        <f t="shared" si="15"/>
        <v>989.81</v>
      </c>
      <c r="X80" s="12"/>
      <c r="Y80" s="73">
        <f>'Fixed rate projection Alt'!$T$3-('Variable rate projection Alt'!W80*Product_term_alt*Var_freq)</f>
        <v>1438.8000000000029</v>
      </c>
      <c r="AA80" s="14"/>
      <c r="AB80" s="10"/>
      <c r="AC80" s="11"/>
      <c r="AD80" s="11"/>
      <c r="AE80" s="11"/>
      <c r="AF80" s="12"/>
      <c r="AG80" s="12"/>
      <c r="AH80" s="13"/>
      <c r="AJ80" s="14"/>
      <c r="AK80" s="10"/>
      <c r="AL80" s="11"/>
      <c r="AM80" s="11"/>
      <c r="AN80" s="11"/>
      <c r="AO80" s="12"/>
      <c r="AP80" s="12"/>
      <c r="AQ80" s="13"/>
      <c r="AS80" s="14"/>
      <c r="AT80" s="10"/>
      <c r="AU80" s="11"/>
      <c r="AV80" s="11"/>
      <c r="AW80" s="11"/>
      <c r="AX80" s="12"/>
      <c r="AY80" s="12"/>
      <c r="AZ80" s="13"/>
      <c r="BB80" s="14"/>
      <c r="BC80" s="10"/>
      <c r="BD80" s="11"/>
      <c r="BE80" s="11"/>
      <c r="BF80" s="11"/>
      <c r="BG80" s="12"/>
      <c r="BH80" s="12"/>
      <c r="BI80" s="13"/>
      <c r="BK80" s="14"/>
      <c r="BL80" s="10"/>
      <c r="BM80" s="11"/>
      <c r="BN80" s="11"/>
      <c r="BO80" s="11"/>
      <c r="BP80" s="12"/>
      <c r="BQ80" s="12"/>
      <c r="BR80" s="13"/>
      <c r="BT80" s="14"/>
      <c r="BU80" s="10"/>
      <c r="BV80" s="11"/>
      <c r="BW80" s="11"/>
      <c r="BX80" s="11"/>
      <c r="BY80" s="12"/>
      <c r="BZ80" s="12"/>
      <c r="CA80" s="13"/>
      <c r="CC80" s="13"/>
    </row>
    <row r="81" spans="1:81" x14ac:dyDescent="0.35">
      <c r="A81" s="5">
        <v>76</v>
      </c>
      <c r="B81" s="57">
        <f t="shared" si="11"/>
        <v>2000</v>
      </c>
      <c r="C81" s="16">
        <f>ROUND(B81*(1+'Interest rate projection'!AB83/Var_freq)+IF(C$5="Mortgage Starts",0,Deposit_mon_alt),2)</f>
        <v>4007.35</v>
      </c>
      <c r="D81" s="16">
        <f>ROUND(C81*(1+'Interest rate projection'!AC83/Var_freq)+IF(D$5="Mortgage Starts",0,Deposit_mon_alt),2)</f>
        <v>6022.08</v>
      </c>
      <c r="E81" s="16">
        <f>ROUND(D81*(1+'Interest rate projection'!AD83/Var_freq)+IF(E$5="Mortgage Starts",0,Deposit_mon_alt),2)</f>
        <v>8044.21</v>
      </c>
      <c r="F81" s="16">
        <f>ROUND(E81*(1+'Interest rate projection'!AE83/Var_freq)+IF(F$5="Mortgage Starts",0,Deposit_mon_alt),2)</f>
        <v>10073.77</v>
      </c>
      <c r="G81" s="16">
        <f>ROUND(F81*(1+'Interest rate projection'!AF83/Var_freq)+IF(G$5="Mortgage Starts",0,Deposit_mon_alt),2)</f>
        <v>12110.79</v>
      </c>
      <c r="H81" s="16">
        <f>ROUND(G81*(1+'Interest rate projection'!AG83/Var_freq)+IF(H$5="Mortgage Starts",0,Deposit_mon_alt),2)</f>
        <v>14155.29</v>
      </c>
      <c r="I81" s="16">
        <f>ROUND(H81*(1+'Interest rate projection'!AH83/Var_freq)+IF(I$5="Mortgage Starts",0,Deposit_mon_alt),2)</f>
        <v>16207.31</v>
      </c>
      <c r="J81" s="16">
        <f>ROUND(I81*(1+'Interest rate projection'!AI83/Var_freq)+IF(J$5="Mortgage Starts",0,Deposit_mon_alt),2)</f>
        <v>18266.87</v>
      </c>
      <c r="K81" s="16">
        <f>ROUND(J81*(1+'Interest rate projection'!AJ83/Var_freq)+IF(K$5="Mortgage Starts",0,Deposit_mon_alt),2)</f>
        <v>20334</v>
      </c>
      <c r="L81" s="16">
        <f>ROUND(K81*(1+'Interest rate projection'!AK83/Var_freq)+IF(L$5="Mortgage Starts",0,Deposit_mon_alt),2)</f>
        <v>22408.720000000001</v>
      </c>
      <c r="M81" s="16">
        <f>ROUND(L81*(1+'Interest rate projection'!AL83/Var_freq)+IF(M$5="Mortgage Starts",0,Deposit_mon_alt),2)</f>
        <v>24491.07</v>
      </c>
      <c r="N81" s="57">
        <f>ROUND(M81*(1+'Interest rate projection'!AM83/Var_freq)+IF(N$5="Mortgage Starts",0,Deposit_mon_alt),2)</f>
        <v>24581.07</v>
      </c>
      <c r="O81" s="12"/>
      <c r="P81" s="38">
        <f>'Interest rate projection'!N83</f>
        <v>4.7500000000000001E-2</v>
      </c>
      <c r="Q81" s="38">
        <f>'Interest rate projection'!AN83</f>
        <v>4.6496219905550085E-2</v>
      </c>
      <c r="R81" s="59" t="str">
        <f t="shared" si="12"/>
        <v>OK</v>
      </c>
      <c r="S81" s="39">
        <f t="shared" si="13"/>
        <v>14.766012404082064</v>
      </c>
      <c r="T81" s="10"/>
      <c r="U81" s="73">
        <f t="shared" si="16"/>
        <v>24581.07</v>
      </c>
      <c r="V81" s="73">
        <f t="shared" si="14"/>
        <v>175418.93</v>
      </c>
      <c r="W81" s="74">
        <f t="shared" si="15"/>
        <v>989.99</v>
      </c>
      <c r="X81" s="12"/>
      <c r="Y81" s="73">
        <f>'Fixed rate projection Alt'!$T$3-('Variable rate projection Alt'!W81*Product_term_alt*Var_freq)</f>
        <v>1428</v>
      </c>
      <c r="AA81" s="14"/>
      <c r="AB81" s="10"/>
      <c r="AC81" s="11"/>
      <c r="AD81" s="11"/>
      <c r="AE81" s="11"/>
      <c r="AF81" s="12"/>
      <c r="AG81" s="12"/>
      <c r="AH81" s="13"/>
      <c r="AJ81" s="14"/>
      <c r="AK81" s="10"/>
      <c r="AL81" s="11"/>
      <c r="AM81" s="11"/>
      <c r="AN81" s="11"/>
      <c r="AO81" s="12"/>
      <c r="AP81" s="12"/>
      <c r="AQ81" s="13"/>
      <c r="AS81" s="14"/>
      <c r="AT81" s="10"/>
      <c r="AU81" s="11"/>
      <c r="AV81" s="11"/>
      <c r="AW81" s="11"/>
      <c r="AX81" s="12"/>
      <c r="AY81" s="12"/>
      <c r="AZ81" s="13"/>
      <c r="BB81" s="14"/>
      <c r="BC81" s="10"/>
      <c r="BD81" s="11"/>
      <c r="BE81" s="11"/>
      <c r="BF81" s="11"/>
      <c r="BG81" s="12"/>
      <c r="BH81" s="12"/>
      <c r="BI81" s="13"/>
      <c r="BK81" s="14"/>
      <c r="BL81" s="10"/>
      <c r="BM81" s="11"/>
      <c r="BN81" s="11"/>
      <c r="BO81" s="11"/>
      <c r="BP81" s="12"/>
      <c r="BQ81" s="12"/>
      <c r="BR81" s="13"/>
      <c r="BT81" s="14"/>
      <c r="BU81" s="10"/>
      <c r="BV81" s="11"/>
      <c r="BW81" s="11"/>
      <c r="BX81" s="11"/>
      <c r="BY81" s="12"/>
      <c r="BZ81" s="12"/>
      <c r="CA81" s="13"/>
      <c r="CC81" s="13"/>
    </row>
    <row r="82" spans="1:81" x14ac:dyDescent="0.35">
      <c r="A82" s="27">
        <v>77</v>
      </c>
      <c r="B82" s="57">
        <f t="shared" si="11"/>
        <v>2000</v>
      </c>
      <c r="C82" s="16">
        <f>ROUND(B82*(1+'Interest rate projection'!AB84/Var_freq)+IF(C$5="Mortgage Starts",0,Deposit_mon_alt),2)</f>
        <v>4007.35</v>
      </c>
      <c r="D82" s="16">
        <f>ROUND(C82*(1+'Interest rate projection'!AC84/Var_freq)+IF(D$5="Mortgage Starts",0,Deposit_mon_alt),2)</f>
        <v>6022.08</v>
      </c>
      <c r="E82" s="16">
        <f>ROUND(D82*(1+'Interest rate projection'!AD84/Var_freq)+IF(E$5="Mortgage Starts",0,Deposit_mon_alt),2)</f>
        <v>8044.21</v>
      </c>
      <c r="F82" s="16">
        <f>ROUND(E82*(1+'Interest rate projection'!AE84/Var_freq)+IF(F$5="Mortgage Starts",0,Deposit_mon_alt),2)</f>
        <v>10073.77</v>
      </c>
      <c r="G82" s="16">
        <f>ROUND(F82*(1+'Interest rate projection'!AF84/Var_freq)+IF(G$5="Mortgage Starts",0,Deposit_mon_alt),2)</f>
        <v>12108.77</v>
      </c>
      <c r="H82" s="16">
        <f>ROUND(G82*(1+'Interest rate projection'!AG84/Var_freq)+IF(H$5="Mortgage Starts",0,Deposit_mon_alt),2)</f>
        <v>14150.84</v>
      </c>
      <c r="I82" s="16">
        <f>ROUND(H82*(1+'Interest rate projection'!AH84/Var_freq)+IF(I$5="Mortgage Starts",0,Deposit_mon_alt),2)</f>
        <v>16200.01</v>
      </c>
      <c r="J82" s="16">
        <f>ROUND(I82*(1+'Interest rate projection'!AI84/Var_freq)+IF(J$5="Mortgage Starts",0,Deposit_mon_alt),2)</f>
        <v>18256.3</v>
      </c>
      <c r="K82" s="16">
        <f>ROUND(J82*(1+'Interest rate projection'!AJ84/Var_freq)+IF(K$5="Mortgage Starts",0,Deposit_mon_alt),2)</f>
        <v>20319.73</v>
      </c>
      <c r="L82" s="16">
        <f>ROUND(K82*(1+'Interest rate projection'!AK84/Var_freq)+IF(L$5="Mortgage Starts",0,Deposit_mon_alt),2)</f>
        <v>22390.33</v>
      </c>
      <c r="M82" s="16">
        <f>ROUND(L82*(1+'Interest rate projection'!AL84/Var_freq)+IF(M$5="Mortgage Starts",0,Deposit_mon_alt),2)</f>
        <v>24468.13</v>
      </c>
      <c r="N82" s="57">
        <f>ROUND(M82*(1+'Interest rate projection'!AM84/Var_freq)+IF(N$5="Mortgage Starts",0,Deposit_mon_alt),2)</f>
        <v>24558.05</v>
      </c>
      <c r="O82" s="12"/>
      <c r="P82" s="38">
        <f>'Interest rate projection'!N84</f>
        <v>4.4999999999999998E-2</v>
      </c>
      <c r="Q82" s="38">
        <f>'Interest rate projection'!AN84</f>
        <v>4.4097712805242217E-2</v>
      </c>
      <c r="R82" s="59" t="str">
        <f t="shared" si="12"/>
        <v>OK</v>
      </c>
      <c r="S82" s="39">
        <f t="shared" si="13"/>
        <v>15.131610255367837</v>
      </c>
      <c r="T82" s="10"/>
      <c r="U82" s="73">
        <f t="shared" si="16"/>
        <v>24558.05</v>
      </c>
      <c r="V82" s="73">
        <f t="shared" si="14"/>
        <v>175441.95</v>
      </c>
      <c r="W82" s="74">
        <f t="shared" si="15"/>
        <v>966.2</v>
      </c>
      <c r="X82" s="12"/>
      <c r="Y82" s="73">
        <f>'Fixed rate projection Alt'!$T$3-('Variable rate projection Alt'!W82*Product_term_alt*Var_freq)</f>
        <v>2855.3999999999942</v>
      </c>
      <c r="AA82" s="14"/>
      <c r="AB82" s="10"/>
      <c r="AC82" s="11"/>
      <c r="AD82" s="11"/>
      <c r="AE82" s="11"/>
      <c r="AF82" s="12"/>
      <c r="AG82" s="12"/>
      <c r="AH82" s="13"/>
      <c r="AJ82" s="14"/>
      <c r="AK82" s="10"/>
      <c r="AL82" s="11"/>
      <c r="AM82" s="11"/>
      <c r="AN82" s="11"/>
      <c r="AO82" s="12"/>
      <c r="AP82" s="12"/>
      <c r="AQ82" s="13"/>
      <c r="AS82" s="14"/>
      <c r="AT82" s="10"/>
      <c r="AU82" s="11"/>
      <c r="AV82" s="11"/>
      <c r="AW82" s="11"/>
      <c r="AX82" s="12"/>
      <c r="AY82" s="12"/>
      <c r="AZ82" s="13"/>
      <c r="BB82" s="14"/>
      <c r="BC82" s="10"/>
      <c r="BD82" s="11"/>
      <c r="BE82" s="11"/>
      <c r="BF82" s="11"/>
      <c r="BG82" s="12"/>
      <c r="BH82" s="12"/>
      <c r="BI82" s="13"/>
      <c r="BK82" s="14"/>
      <c r="BL82" s="10"/>
      <c r="BM82" s="11"/>
      <c r="BN82" s="11"/>
      <c r="BO82" s="11"/>
      <c r="BP82" s="12"/>
      <c r="BQ82" s="12"/>
      <c r="BR82" s="13"/>
      <c r="BT82" s="14"/>
      <c r="BU82" s="10"/>
      <c r="BV82" s="11"/>
      <c r="BW82" s="11"/>
      <c r="BX82" s="11"/>
      <c r="BY82" s="12"/>
      <c r="BZ82" s="12"/>
      <c r="CA82" s="13"/>
      <c r="CC82" s="13"/>
    </row>
    <row r="83" spans="1:81" x14ac:dyDescent="0.35">
      <c r="A83" s="5">
        <v>78</v>
      </c>
      <c r="B83" s="57">
        <f t="shared" si="11"/>
        <v>2000</v>
      </c>
      <c r="C83" s="16">
        <f>ROUND(B83*(1+'Interest rate projection'!AB85/Var_freq)+IF(C$5="Mortgage Starts",0,Deposit_mon_alt),2)</f>
        <v>4007.35</v>
      </c>
      <c r="D83" s="16">
        <f>ROUND(C83*(1+'Interest rate projection'!AC85/Var_freq)+IF(D$5="Mortgage Starts",0,Deposit_mon_alt),2)</f>
        <v>6022.08</v>
      </c>
      <c r="E83" s="16">
        <f>ROUND(D83*(1+'Interest rate projection'!AD85/Var_freq)+IF(E$5="Mortgage Starts",0,Deposit_mon_alt),2)</f>
        <v>8044.21</v>
      </c>
      <c r="F83" s="16">
        <f>ROUND(E83*(1+'Interest rate projection'!AE85/Var_freq)+IF(F$5="Mortgage Starts",0,Deposit_mon_alt),2)</f>
        <v>10073.77</v>
      </c>
      <c r="G83" s="16">
        <f>ROUND(F83*(1+'Interest rate projection'!AF85/Var_freq)+IF(G$5="Mortgage Starts",0,Deposit_mon_alt),2)</f>
        <v>12110.79</v>
      </c>
      <c r="H83" s="16">
        <f>ROUND(G83*(1+'Interest rate projection'!AG85/Var_freq)+IF(H$5="Mortgage Starts",0,Deposit_mon_alt),2)</f>
        <v>14155.29</v>
      </c>
      <c r="I83" s="16">
        <f>ROUND(H83*(1+'Interest rate projection'!AH85/Var_freq)+IF(I$5="Mortgage Starts",0,Deposit_mon_alt),2)</f>
        <v>16207.31</v>
      </c>
      <c r="J83" s="16">
        <f>ROUND(I83*(1+'Interest rate projection'!AI85/Var_freq)+IF(J$5="Mortgage Starts",0,Deposit_mon_alt),2)</f>
        <v>18266.87</v>
      </c>
      <c r="K83" s="16">
        <f>ROUND(J83*(1+'Interest rate projection'!AJ85/Var_freq)+IF(K$5="Mortgage Starts",0,Deposit_mon_alt),2)</f>
        <v>20334</v>
      </c>
      <c r="L83" s="16">
        <f>ROUND(K83*(1+'Interest rate projection'!AK85/Var_freq)+IF(L$5="Mortgage Starts",0,Deposit_mon_alt),2)</f>
        <v>22408.720000000001</v>
      </c>
      <c r="M83" s="16">
        <f>ROUND(L83*(1+'Interest rate projection'!AL85/Var_freq)+IF(M$5="Mortgage Starts",0,Deposit_mon_alt),2)</f>
        <v>24491.07</v>
      </c>
      <c r="N83" s="57">
        <f>ROUND(M83*(1+'Interest rate projection'!AM85/Var_freq)+IF(N$5="Mortgage Starts",0,Deposit_mon_alt),2)</f>
        <v>24581.07</v>
      </c>
      <c r="O83" s="12"/>
      <c r="P83" s="38">
        <f>'Interest rate projection'!N85</f>
        <v>4.4999999999999998E-2</v>
      </c>
      <c r="Q83" s="38">
        <f>'Interest rate projection'!AN85</f>
        <v>4.4097712805242217E-2</v>
      </c>
      <c r="R83" s="59" t="str">
        <f t="shared" si="12"/>
        <v>OK</v>
      </c>
      <c r="S83" s="39">
        <f t="shared" si="13"/>
        <v>15.131610255367837</v>
      </c>
      <c r="T83" s="10"/>
      <c r="U83" s="73">
        <f t="shared" si="16"/>
        <v>24581.07</v>
      </c>
      <c r="V83" s="73">
        <f t="shared" si="14"/>
        <v>175418.93</v>
      </c>
      <c r="W83" s="74">
        <f t="shared" si="15"/>
        <v>966.07</v>
      </c>
      <c r="X83" s="12"/>
      <c r="Y83" s="73">
        <f>'Fixed rate projection Alt'!$T$3-('Variable rate projection Alt'!W83*Product_term_alt*Var_freq)</f>
        <v>2863.1999999999898</v>
      </c>
      <c r="AA83" s="14"/>
      <c r="AB83" s="10"/>
      <c r="AC83" s="11"/>
      <c r="AD83" s="11"/>
      <c r="AE83" s="11"/>
      <c r="AF83" s="12"/>
      <c r="AG83" s="12"/>
      <c r="AH83" s="13"/>
      <c r="AJ83" s="14"/>
      <c r="AK83" s="10"/>
      <c r="AL83" s="11"/>
      <c r="AM83" s="11"/>
      <c r="AN83" s="11"/>
      <c r="AO83" s="12"/>
      <c r="AP83" s="12"/>
      <c r="AQ83" s="13"/>
      <c r="AS83" s="14"/>
      <c r="AT83" s="10"/>
      <c r="AU83" s="11"/>
      <c r="AV83" s="11"/>
      <c r="AW83" s="11"/>
      <c r="AX83" s="12"/>
      <c r="AY83" s="12"/>
      <c r="AZ83" s="13"/>
      <c r="BB83" s="14"/>
      <c r="BC83" s="10"/>
      <c r="BD83" s="11"/>
      <c r="BE83" s="11"/>
      <c r="BF83" s="11"/>
      <c r="BG83" s="12"/>
      <c r="BH83" s="12"/>
      <c r="BI83" s="13"/>
      <c r="BK83" s="14"/>
      <c r="BL83" s="10"/>
      <c r="BM83" s="11"/>
      <c r="BN83" s="11"/>
      <c r="BO83" s="11"/>
      <c r="BP83" s="12"/>
      <c r="BQ83" s="12"/>
      <c r="BR83" s="13"/>
      <c r="BT83" s="14"/>
      <c r="BU83" s="10"/>
      <c r="BV83" s="11"/>
      <c r="BW83" s="11"/>
      <c r="BX83" s="11"/>
      <c r="BY83" s="12"/>
      <c r="BZ83" s="12"/>
      <c r="CA83" s="13"/>
      <c r="CC83" s="13"/>
    </row>
    <row r="84" spans="1:81" x14ac:dyDescent="0.35">
      <c r="A84" s="27">
        <v>79</v>
      </c>
      <c r="B84" s="57">
        <f t="shared" si="11"/>
        <v>2000</v>
      </c>
      <c r="C84" s="16">
        <f>ROUND(B84*(1+'Interest rate projection'!AB86/Var_freq)+IF(C$5="Mortgage Starts",0,Deposit_mon_alt),2)</f>
        <v>4007.35</v>
      </c>
      <c r="D84" s="16">
        <f>ROUND(C84*(1+'Interest rate projection'!AC86/Var_freq)+IF(D$5="Mortgage Starts",0,Deposit_mon_alt),2)</f>
        <v>6022.08</v>
      </c>
      <c r="E84" s="16">
        <f>ROUND(D84*(1+'Interest rate projection'!AD86/Var_freq)+IF(E$5="Mortgage Starts",0,Deposit_mon_alt),2)</f>
        <v>8044.21</v>
      </c>
      <c r="F84" s="16">
        <f>ROUND(E84*(1+'Interest rate projection'!AE86/Var_freq)+IF(F$5="Mortgage Starts",0,Deposit_mon_alt),2)</f>
        <v>10073.77</v>
      </c>
      <c r="G84" s="16">
        <f>ROUND(F84*(1+'Interest rate projection'!AF86/Var_freq)+IF(G$5="Mortgage Starts",0,Deposit_mon_alt),2)</f>
        <v>12110.79</v>
      </c>
      <c r="H84" s="16">
        <f>ROUND(G84*(1+'Interest rate projection'!AG86/Var_freq)+IF(H$5="Mortgage Starts",0,Deposit_mon_alt),2)</f>
        <v>14155.29</v>
      </c>
      <c r="I84" s="16">
        <f>ROUND(H84*(1+'Interest rate projection'!AH86/Var_freq)+IF(I$5="Mortgage Starts",0,Deposit_mon_alt),2)</f>
        <v>16207.31</v>
      </c>
      <c r="J84" s="16">
        <f>ROUND(I84*(1+'Interest rate projection'!AI86/Var_freq)+IF(J$5="Mortgage Starts",0,Deposit_mon_alt),2)</f>
        <v>18266.87</v>
      </c>
      <c r="K84" s="16">
        <f>ROUND(J84*(1+'Interest rate projection'!AJ86/Var_freq)+IF(K$5="Mortgage Starts",0,Deposit_mon_alt),2)</f>
        <v>20334</v>
      </c>
      <c r="L84" s="16">
        <f>ROUND(K84*(1+'Interest rate projection'!AK86/Var_freq)+IF(L$5="Mortgage Starts",0,Deposit_mon_alt),2)</f>
        <v>22408.720000000001</v>
      </c>
      <c r="M84" s="16">
        <f>ROUND(L84*(1+'Interest rate projection'!AL86/Var_freq)+IF(M$5="Mortgage Starts",0,Deposit_mon_alt),2)</f>
        <v>24491.07</v>
      </c>
      <c r="N84" s="57">
        <f>ROUND(M84*(1+'Interest rate projection'!AM86/Var_freq)+IF(N$5="Mortgage Starts",0,Deposit_mon_alt),2)</f>
        <v>24581.07</v>
      </c>
      <c r="O84" s="12"/>
      <c r="P84" s="38">
        <f>'Interest rate projection'!N86</f>
        <v>4.4999999999999998E-2</v>
      </c>
      <c r="Q84" s="38">
        <f>'Interest rate projection'!AN86</f>
        <v>4.4097712805242217E-2</v>
      </c>
      <c r="R84" s="59" t="str">
        <f t="shared" si="12"/>
        <v>OK</v>
      </c>
      <c r="S84" s="39">
        <f t="shared" si="13"/>
        <v>15.131610255367837</v>
      </c>
      <c r="T84" s="10"/>
      <c r="U84" s="73">
        <f t="shared" si="16"/>
        <v>24581.07</v>
      </c>
      <c r="V84" s="73">
        <f t="shared" si="14"/>
        <v>175418.93</v>
      </c>
      <c r="W84" s="74">
        <f t="shared" si="15"/>
        <v>966.07</v>
      </c>
      <c r="X84" s="12"/>
      <c r="Y84" s="73">
        <f>'Fixed rate projection Alt'!$T$3-('Variable rate projection Alt'!W84*Product_term_alt*Var_freq)</f>
        <v>2863.1999999999898</v>
      </c>
      <c r="AA84" s="14"/>
      <c r="AB84" s="10"/>
      <c r="AC84" s="11"/>
      <c r="AD84" s="11"/>
      <c r="AE84" s="11"/>
      <c r="AF84" s="12"/>
      <c r="AG84" s="12"/>
      <c r="AH84" s="13"/>
      <c r="AJ84" s="14"/>
      <c r="AK84" s="10"/>
      <c r="AL84" s="11"/>
      <c r="AM84" s="11"/>
      <c r="AN84" s="11"/>
      <c r="AO84" s="12"/>
      <c r="AP84" s="12"/>
      <c r="AQ84" s="13"/>
      <c r="AS84" s="14"/>
      <c r="AT84" s="10"/>
      <c r="AU84" s="11"/>
      <c r="AV84" s="11"/>
      <c r="AW84" s="11"/>
      <c r="AX84" s="12"/>
      <c r="AY84" s="12"/>
      <c r="AZ84" s="13"/>
      <c r="BB84" s="14"/>
      <c r="BC84" s="10"/>
      <c r="BD84" s="11"/>
      <c r="BE84" s="11"/>
      <c r="BF84" s="11"/>
      <c r="BG84" s="12"/>
      <c r="BH84" s="12"/>
      <c r="BI84" s="13"/>
      <c r="BK84" s="14"/>
      <c r="BL84" s="10"/>
      <c r="BM84" s="11"/>
      <c r="BN84" s="11"/>
      <c r="BO84" s="11"/>
      <c r="BP84" s="12"/>
      <c r="BQ84" s="12"/>
      <c r="BR84" s="13"/>
      <c r="BT84" s="14"/>
      <c r="BU84" s="10"/>
      <c r="BV84" s="11"/>
      <c r="BW84" s="11"/>
      <c r="BX84" s="11"/>
      <c r="BY84" s="12"/>
      <c r="BZ84" s="12"/>
      <c r="CA84" s="13"/>
      <c r="CC84" s="13"/>
    </row>
    <row r="85" spans="1:81" x14ac:dyDescent="0.35">
      <c r="A85" s="5">
        <v>80</v>
      </c>
      <c r="B85" s="57">
        <f t="shared" si="11"/>
        <v>2000</v>
      </c>
      <c r="C85" s="16">
        <f>ROUND(B85*(1+'Interest rate projection'!AB87/Var_freq)+IF(C$5="Mortgage Starts",0,Deposit_mon_alt),2)</f>
        <v>4007.35</v>
      </c>
      <c r="D85" s="16">
        <f>ROUND(C85*(1+'Interest rate projection'!AC87/Var_freq)+IF(D$5="Mortgage Starts",0,Deposit_mon_alt),2)</f>
        <v>6022.08</v>
      </c>
      <c r="E85" s="16">
        <f>ROUND(D85*(1+'Interest rate projection'!AD87/Var_freq)+IF(E$5="Mortgage Starts",0,Deposit_mon_alt),2)</f>
        <v>8044.21</v>
      </c>
      <c r="F85" s="16">
        <f>ROUND(E85*(1+'Interest rate projection'!AE87/Var_freq)+IF(F$5="Mortgage Starts",0,Deposit_mon_alt),2)</f>
        <v>10073.77</v>
      </c>
      <c r="G85" s="16">
        <f>ROUND(F85*(1+'Interest rate projection'!AF87/Var_freq)+IF(G$5="Mortgage Starts",0,Deposit_mon_alt),2)</f>
        <v>12110.79</v>
      </c>
      <c r="H85" s="16">
        <f>ROUND(G85*(1+'Interest rate projection'!AG87/Var_freq)+IF(H$5="Mortgage Starts",0,Deposit_mon_alt),2)</f>
        <v>14155.29</v>
      </c>
      <c r="I85" s="16">
        <f>ROUND(H85*(1+'Interest rate projection'!AH87/Var_freq)+IF(I$5="Mortgage Starts",0,Deposit_mon_alt),2)</f>
        <v>16207.31</v>
      </c>
      <c r="J85" s="16">
        <f>ROUND(I85*(1+'Interest rate projection'!AI87/Var_freq)+IF(J$5="Mortgage Starts",0,Deposit_mon_alt),2)</f>
        <v>18266.87</v>
      </c>
      <c r="K85" s="16">
        <f>ROUND(J85*(1+'Interest rate projection'!AJ87/Var_freq)+IF(K$5="Mortgage Starts",0,Deposit_mon_alt),2)</f>
        <v>20334</v>
      </c>
      <c r="L85" s="16">
        <f>ROUND(K85*(1+'Interest rate projection'!AK87/Var_freq)+IF(L$5="Mortgage Starts",0,Deposit_mon_alt),2)</f>
        <v>22416.84</v>
      </c>
      <c r="M85" s="16">
        <f>ROUND(L85*(1+'Interest rate projection'!AL87/Var_freq)+IF(M$5="Mortgage Starts",0,Deposit_mon_alt),2)</f>
        <v>24508.17</v>
      </c>
      <c r="N85" s="57">
        <f>ROUND(M85*(1+'Interest rate projection'!AM87/Var_freq)+IF(N$5="Mortgage Starts",0,Deposit_mon_alt),2)</f>
        <v>24608.02</v>
      </c>
      <c r="O85" s="12"/>
      <c r="P85" s="38">
        <f>'Interest rate projection'!N87</f>
        <v>4.7499999999999994E-2</v>
      </c>
      <c r="Q85" s="38">
        <f>'Interest rate projection'!AN87</f>
        <v>4.6496219905550085E-2</v>
      </c>
      <c r="R85" s="59" t="str">
        <f t="shared" si="12"/>
        <v>OK</v>
      </c>
      <c r="S85" s="39">
        <f t="shared" si="13"/>
        <v>14.766012404082064</v>
      </c>
      <c r="T85" s="10"/>
      <c r="U85" s="73">
        <f t="shared" si="16"/>
        <v>24608.02</v>
      </c>
      <c r="V85" s="73">
        <f t="shared" si="14"/>
        <v>175391.98</v>
      </c>
      <c r="W85" s="74">
        <f t="shared" si="15"/>
        <v>989.84</v>
      </c>
      <c r="X85" s="12"/>
      <c r="Y85" s="73">
        <f>'Fixed rate projection Alt'!$T$3-('Variable rate projection Alt'!W85*Product_term_alt*Var_freq)</f>
        <v>1437</v>
      </c>
      <c r="AA85" s="14"/>
      <c r="AB85" s="10"/>
      <c r="AC85" s="11"/>
      <c r="AD85" s="11"/>
      <c r="AE85" s="11"/>
      <c r="AF85" s="12"/>
      <c r="AG85" s="12"/>
      <c r="AH85" s="13"/>
      <c r="AJ85" s="14"/>
      <c r="AK85" s="10"/>
      <c r="AL85" s="11"/>
      <c r="AM85" s="11"/>
      <c r="AN85" s="11"/>
      <c r="AO85" s="12"/>
      <c r="AP85" s="12"/>
      <c r="AQ85" s="13"/>
      <c r="AS85" s="14"/>
      <c r="AT85" s="10"/>
      <c r="AU85" s="11"/>
      <c r="AV85" s="11"/>
      <c r="AW85" s="11"/>
      <c r="AX85" s="12"/>
      <c r="AY85" s="12"/>
      <c r="AZ85" s="13"/>
      <c r="BB85" s="14"/>
      <c r="BC85" s="10"/>
      <c r="BD85" s="11"/>
      <c r="BE85" s="11"/>
      <c r="BF85" s="11"/>
      <c r="BG85" s="12"/>
      <c r="BH85" s="12"/>
      <c r="BI85" s="13"/>
      <c r="BK85" s="14"/>
      <c r="BL85" s="10"/>
      <c r="BM85" s="11"/>
      <c r="BN85" s="11"/>
      <c r="BO85" s="11"/>
      <c r="BP85" s="12"/>
      <c r="BQ85" s="12"/>
      <c r="BR85" s="13"/>
      <c r="BT85" s="14"/>
      <c r="BU85" s="10"/>
      <c r="BV85" s="11"/>
      <c r="BW85" s="11"/>
      <c r="BX85" s="11"/>
      <c r="BY85" s="12"/>
      <c r="BZ85" s="12"/>
      <c r="CA85" s="13"/>
      <c r="CC85" s="13"/>
    </row>
    <row r="86" spans="1:81" x14ac:dyDescent="0.35">
      <c r="A86" s="27">
        <v>81</v>
      </c>
      <c r="B86" s="57">
        <f t="shared" si="11"/>
        <v>2000</v>
      </c>
      <c r="C86" s="16">
        <f>ROUND(B86*(1+'Interest rate projection'!AB88/Var_freq)+IF(C$5="Mortgage Starts",0,Deposit_mon_alt),2)</f>
        <v>4007.35</v>
      </c>
      <c r="D86" s="16">
        <f>ROUND(C86*(1+'Interest rate projection'!AC88/Var_freq)+IF(D$5="Mortgage Starts",0,Deposit_mon_alt),2)</f>
        <v>6022.08</v>
      </c>
      <c r="E86" s="16">
        <f>ROUND(D86*(1+'Interest rate projection'!AD88/Var_freq)+IF(E$5="Mortgage Starts",0,Deposit_mon_alt),2)</f>
        <v>8043</v>
      </c>
      <c r="F86" s="16">
        <f>ROUND(E86*(1+'Interest rate projection'!AE88/Var_freq)+IF(F$5="Mortgage Starts",0,Deposit_mon_alt),2)</f>
        <v>10070.950000000001</v>
      </c>
      <c r="G86" s="16">
        <f>ROUND(F86*(1+'Interest rate projection'!AF88/Var_freq)+IF(G$5="Mortgage Starts",0,Deposit_mon_alt),2)</f>
        <v>12105.94</v>
      </c>
      <c r="H86" s="16">
        <f>ROUND(G86*(1+'Interest rate projection'!AG88/Var_freq)+IF(H$5="Mortgage Starts",0,Deposit_mon_alt),2)</f>
        <v>14148</v>
      </c>
      <c r="I86" s="16">
        <f>ROUND(H86*(1+'Interest rate projection'!AH88/Var_freq)+IF(I$5="Mortgage Starts",0,Deposit_mon_alt),2)</f>
        <v>16197.16</v>
      </c>
      <c r="J86" s="16">
        <f>ROUND(I86*(1+'Interest rate projection'!AI88/Var_freq)+IF(J$5="Mortgage Starts",0,Deposit_mon_alt),2)</f>
        <v>18253.439999999999</v>
      </c>
      <c r="K86" s="16">
        <f>ROUND(J86*(1+'Interest rate projection'!AJ88/Var_freq)+IF(K$5="Mortgage Starts",0,Deposit_mon_alt),2)</f>
        <v>20316.86</v>
      </c>
      <c r="L86" s="16">
        <f>ROUND(K86*(1+'Interest rate projection'!AK88/Var_freq)+IF(L$5="Mortgage Starts",0,Deposit_mon_alt),2)</f>
        <v>22395.58</v>
      </c>
      <c r="M86" s="16">
        <f>ROUND(L86*(1+'Interest rate projection'!AL88/Var_freq)+IF(M$5="Mortgage Starts",0,Deposit_mon_alt),2)</f>
        <v>24482.36</v>
      </c>
      <c r="N86" s="57">
        <f>ROUND(M86*(1+'Interest rate projection'!AM88/Var_freq)+IF(N$5="Mortgage Starts",0,Deposit_mon_alt),2)</f>
        <v>24577.22</v>
      </c>
      <c r="O86" s="12"/>
      <c r="P86" s="38">
        <f>'Interest rate projection'!N88</f>
        <v>4.7499999999999994E-2</v>
      </c>
      <c r="Q86" s="38">
        <f>'Interest rate projection'!AN88</f>
        <v>4.6496219905550085E-2</v>
      </c>
      <c r="R86" s="59" t="str">
        <f t="shared" si="12"/>
        <v>OK</v>
      </c>
      <c r="S86" s="39">
        <f t="shared" si="13"/>
        <v>14.766012404082064</v>
      </c>
      <c r="T86" s="10"/>
      <c r="U86" s="73">
        <f t="shared" si="16"/>
        <v>24577.22</v>
      </c>
      <c r="V86" s="73">
        <f t="shared" si="14"/>
        <v>175422.78</v>
      </c>
      <c r="W86" s="74">
        <f t="shared" si="15"/>
        <v>990.01</v>
      </c>
      <c r="X86" s="12"/>
      <c r="Y86" s="73">
        <f>'Fixed rate projection Alt'!$T$3-('Variable rate projection Alt'!W86*Product_term_alt*Var_freq)</f>
        <v>1426.7999999999884</v>
      </c>
      <c r="AA86" s="14"/>
      <c r="AB86" s="10"/>
      <c r="AC86" s="11"/>
      <c r="AD86" s="11"/>
      <c r="AE86" s="11"/>
      <c r="AF86" s="12"/>
      <c r="AG86" s="12"/>
      <c r="AH86" s="13"/>
      <c r="AJ86" s="14"/>
      <c r="AK86" s="10"/>
      <c r="AL86" s="11"/>
      <c r="AM86" s="11"/>
      <c r="AN86" s="11"/>
      <c r="AO86" s="12"/>
      <c r="AP86" s="12"/>
      <c r="AQ86" s="13"/>
      <c r="AS86" s="14"/>
      <c r="AT86" s="10"/>
      <c r="AU86" s="11"/>
      <c r="AV86" s="11"/>
      <c r="AW86" s="11"/>
      <c r="AX86" s="12"/>
      <c r="AY86" s="12"/>
      <c r="AZ86" s="13"/>
      <c r="BB86" s="14"/>
      <c r="BC86" s="10"/>
      <c r="BD86" s="11"/>
      <c r="BE86" s="11"/>
      <c r="BF86" s="11"/>
      <c r="BG86" s="12"/>
      <c r="BH86" s="12"/>
      <c r="BI86" s="13"/>
      <c r="BK86" s="14"/>
      <c r="BL86" s="10"/>
      <c r="BM86" s="11"/>
      <c r="BN86" s="11"/>
      <c r="BO86" s="11"/>
      <c r="BP86" s="12"/>
      <c r="BQ86" s="12"/>
      <c r="BR86" s="13"/>
      <c r="BT86" s="14"/>
      <c r="BU86" s="10"/>
      <c r="BV86" s="11"/>
      <c r="BW86" s="11"/>
      <c r="BX86" s="11"/>
      <c r="BY86" s="12"/>
      <c r="BZ86" s="12"/>
      <c r="CA86" s="13"/>
      <c r="CC86" s="13"/>
    </row>
    <row r="87" spans="1:81" x14ac:dyDescent="0.35">
      <c r="A87" s="5">
        <v>82</v>
      </c>
      <c r="B87" s="57">
        <f t="shared" si="11"/>
        <v>2000</v>
      </c>
      <c r="C87" s="16">
        <f>ROUND(B87*(1+'Interest rate projection'!AB89/Var_freq)+IF(C$5="Mortgage Starts",0,Deposit_mon_alt),2)</f>
        <v>4007.35</v>
      </c>
      <c r="D87" s="16">
        <f>ROUND(C87*(1+'Interest rate projection'!AC89/Var_freq)+IF(D$5="Mortgage Starts",0,Deposit_mon_alt),2)</f>
        <v>6022.08</v>
      </c>
      <c r="E87" s="16">
        <f>ROUND(D87*(1+'Interest rate projection'!AD89/Var_freq)+IF(E$5="Mortgage Starts",0,Deposit_mon_alt),2)</f>
        <v>8044.21</v>
      </c>
      <c r="F87" s="16">
        <f>ROUND(E87*(1+'Interest rate projection'!AE89/Var_freq)+IF(F$5="Mortgage Starts",0,Deposit_mon_alt),2)</f>
        <v>10073.77</v>
      </c>
      <c r="G87" s="16">
        <f>ROUND(F87*(1+'Interest rate projection'!AF89/Var_freq)+IF(G$5="Mortgage Starts",0,Deposit_mon_alt),2)</f>
        <v>12110.79</v>
      </c>
      <c r="H87" s="16">
        <f>ROUND(G87*(1+'Interest rate projection'!AG89/Var_freq)+IF(H$5="Mortgage Starts",0,Deposit_mon_alt),2)</f>
        <v>14150.44</v>
      </c>
      <c r="I87" s="16">
        <f>ROUND(H87*(1+'Interest rate projection'!AH89/Var_freq)+IF(I$5="Mortgage Starts",0,Deposit_mon_alt),2)</f>
        <v>16196.76</v>
      </c>
      <c r="J87" s="16">
        <f>ROUND(I87*(1+'Interest rate projection'!AI89/Var_freq)+IF(J$5="Mortgage Starts",0,Deposit_mon_alt),2)</f>
        <v>18253.04</v>
      </c>
      <c r="K87" s="16">
        <f>ROUND(J87*(1+'Interest rate projection'!AJ89/Var_freq)+IF(K$5="Mortgage Starts",0,Deposit_mon_alt),2)</f>
        <v>20316.46</v>
      </c>
      <c r="L87" s="16">
        <f>ROUND(K87*(1+'Interest rate projection'!AK89/Var_freq)+IF(L$5="Mortgage Starts",0,Deposit_mon_alt),2)</f>
        <v>22387.05</v>
      </c>
      <c r="M87" s="16">
        <f>ROUND(L87*(1+'Interest rate projection'!AL89/Var_freq)+IF(M$5="Mortgage Starts",0,Deposit_mon_alt),2)</f>
        <v>24464.83</v>
      </c>
      <c r="N87" s="57">
        <f>ROUND(M87*(1+'Interest rate projection'!AM89/Var_freq)+IF(N$5="Mortgage Starts",0,Deposit_mon_alt),2)</f>
        <v>24549.83</v>
      </c>
      <c r="O87" s="12"/>
      <c r="P87" s="38">
        <f>'Interest rate projection'!N89</f>
        <v>3.7500000000000006E-2</v>
      </c>
      <c r="Q87" s="38">
        <f>'Interest rate projection'!AN89</f>
        <v>3.6870500439066589E-2</v>
      </c>
      <c r="R87" s="59" t="str">
        <f t="shared" si="12"/>
        <v>OK</v>
      </c>
      <c r="S87" s="39">
        <f t="shared" si="13"/>
        <v>16.317113717606386</v>
      </c>
      <c r="T87" s="10"/>
      <c r="U87" s="73">
        <f t="shared" si="16"/>
        <v>24549.83</v>
      </c>
      <c r="V87" s="73">
        <f t="shared" si="14"/>
        <v>175450.16999999998</v>
      </c>
      <c r="W87" s="74">
        <f t="shared" si="15"/>
        <v>896.04</v>
      </c>
      <c r="X87" s="12"/>
      <c r="Y87" s="73">
        <f>'Fixed rate projection Alt'!$T$3-('Variable rate projection Alt'!W87*Product_term_alt*Var_freq)</f>
        <v>7065</v>
      </c>
      <c r="AA87" s="14"/>
      <c r="AB87" s="10"/>
      <c r="AC87" s="11"/>
      <c r="AD87" s="11"/>
      <c r="AE87" s="11"/>
      <c r="AF87" s="12"/>
      <c r="AG87" s="12"/>
      <c r="AH87" s="13"/>
      <c r="AJ87" s="14"/>
      <c r="AK87" s="10"/>
      <c r="AL87" s="11"/>
      <c r="AM87" s="11"/>
      <c r="AN87" s="11"/>
      <c r="AO87" s="12"/>
      <c r="AP87" s="12"/>
      <c r="AQ87" s="13"/>
      <c r="AS87" s="14"/>
      <c r="AT87" s="10"/>
      <c r="AU87" s="11"/>
      <c r="AV87" s="11"/>
      <c r="AW87" s="11"/>
      <c r="AX87" s="12"/>
      <c r="AY87" s="12"/>
      <c r="AZ87" s="13"/>
      <c r="BB87" s="14"/>
      <c r="BC87" s="10"/>
      <c r="BD87" s="11"/>
      <c r="BE87" s="11"/>
      <c r="BF87" s="11"/>
      <c r="BG87" s="12"/>
      <c r="BH87" s="12"/>
      <c r="BI87" s="13"/>
      <c r="BK87" s="14"/>
      <c r="BL87" s="10"/>
      <c r="BM87" s="11"/>
      <c r="BN87" s="11"/>
      <c r="BO87" s="11"/>
      <c r="BP87" s="12"/>
      <c r="BQ87" s="12"/>
      <c r="BR87" s="13"/>
      <c r="BT87" s="14"/>
      <c r="BU87" s="10"/>
      <c r="BV87" s="11"/>
      <c r="BW87" s="11"/>
      <c r="BX87" s="11"/>
      <c r="BY87" s="12"/>
      <c r="BZ87" s="12"/>
      <c r="CA87" s="13"/>
      <c r="CC87" s="13"/>
    </row>
    <row r="88" spans="1:81" x14ac:dyDescent="0.35">
      <c r="A88" s="27">
        <v>83</v>
      </c>
      <c r="B88" s="57">
        <f t="shared" si="11"/>
        <v>2000</v>
      </c>
      <c r="C88" s="16">
        <f>ROUND(B88*(1+'Interest rate projection'!AB90/Var_freq)+IF(C$5="Mortgage Starts",0,Deposit_mon_alt),2)</f>
        <v>4007.35</v>
      </c>
      <c r="D88" s="16">
        <f>ROUND(C88*(1+'Interest rate projection'!AC90/Var_freq)+IF(D$5="Mortgage Starts",0,Deposit_mon_alt),2)</f>
        <v>6022.08</v>
      </c>
      <c r="E88" s="16">
        <f>ROUND(D88*(1+'Interest rate projection'!AD90/Var_freq)+IF(E$5="Mortgage Starts",0,Deposit_mon_alt),2)</f>
        <v>8041.79</v>
      </c>
      <c r="F88" s="16">
        <f>ROUND(E88*(1+'Interest rate projection'!AE90/Var_freq)+IF(F$5="Mortgage Starts",0,Deposit_mon_alt),2)</f>
        <v>10068.120000000001</v>
      </c>
      <c r="G88" s="16">
        <f>ROUND(F88*(1+'Interest rate projection'!AF90/Var_freq)+IF(G$5="Mortgage Starts",0,Deposit_mon_alt),2)</f>
        <v>12101.08</v>
      </c>
      <c r="H88" s="16">
        <f>ROUND(G88*(1+'Interest rate projection'!AG90/Var_freq)+IF(H$5="Mortgage Starts",0,Deposit_mon_alt),2)</f>
        <v>14140.7</v>
      </c>
      <c r="I88" s="16">
        <f>ROUND(H88*(1+'Interest rate projection'!AH90/Var_freq)+IF(I$5="Mortgage Starts",0,Deposit_mon_alt),2)</f>
        <v>16186.99</v>
      </c>
      <c r="J88" s="16">
        <f>ROUND(I88*(1+'Interest rate projection'!AI90/Var_freq)+IF(J$5="Mortgage Starts",0,Deposit_mon_alt),2)</f>
        <v>18239.98</v>
      </c>
      <c r="K88" s="16">
        <f>ROUND(J88*(1+'Interest rate projection'!AJ90/Var_freq)+IF(K$5="Mortgage Starts",0,Deposit_mon_alt),2)</f>
        <v>20303.349999999999</v>
      </c>
      <c r="L88" s="16">
        <f>ROUND(K88*(1+'Interest rate projection'!AK90/Var_freq)+IF(L$5="Mortgage Starts",0,Deposit_mon_alt),2)</f>
        <v>22373.89</v>
      </c>
      <c r="M88" s="16">
        <f>ROUND(L88*(1+'Interest rate projection'!AL90/Var_freq)+IF(M$5="Mortgage Starts",0,Deposit_mon_alt),2)</f>
        <v>24456.11</v>
      </c>
      <c r="N88" s="57">
        <f>ROUND(M88*(1+'Interest rate projection'!AM90/Var_freq)+IF(N$5="Mortgage Starts",0,Deposit_mon_alt),2)</f>
        <v>24545.98</v>
      </c>
      <c r="O88" s="12"/>
      <c r="P88" s="38">
        <f>'Interest rate projection'!N90</f>
        <v>4.5000000000000005E-2</v>
      </c>
      <c r="Q88" s="38">
        <f>'Interest rate projection'!AN90</f>
        <v>4.4097712805242217E-2</v>
      </c>
      <c r="R88" s="59" t="str">
        <f t="shared" si="12"/>
        <v>OK</v>
      </c>
      <c r="S88" s="39">
        <f t="shared" si="13"/>
        <v>15.131610255367837</v>
      </c>
      <c r="T88" s="10"/>
      <c r="U88" s="73">
        <f t="shared" si="16"/>
        <v>24545.98</v>
      </c>
      <c r="V88" s="73">
        <f t="shared" si="14"/>
        <v>175454.02</v>
      </c>
      <c r="W88" s="74">
        <f t="shared" si="15"/>
        <v>966.27</v>
      </c>
      <c r="X88" s="12"/>
      <c r="Y88" s="73">
        <f>'Fixed rate projection Alt'!$T$3-('Variable rate projection Alt'!W88*Product_term_alt*Var_freq)</f>
        <v>2851.1999999999898</v>
      </c>
      <c r="AA88" s="14"/>
      <c r="AB88" s="10"/>
      <c r="AC88" s="11"/>
      <c r="AD88" s="11"/>
      <c r="AE88" s="11"/>
      <c r="AF88" s="12"/>
      <c r="AG88" s="12"/>
      <c r="AH88" s="13"/>
      <c r="AJ88" s="14"/>
      <c r="AK88" s="10"/>
      <c r="AL88" s="11"/>
      <c r="AM88" s="11"/>
      <c r="AN88" s="11"/>
      <c r="AO88" s="12"/>
      <c r="AP88" s="12"/>
      <c r="AQ88" s="13"/>
      <c r="AS88" s="14"/>
      <c r="AT88" s="10"/>
      <c r="AU88" s="11"/>
      <c r="AV88" s="11"/>
      <c r="AW88" s="11"/>
      <c r="AX88" s="12"/>
      <c r="AY88" s="12"/>
      <c r="AZ88" s="13"/>
      <c r="BB88" s="14"/>
      <c r="BC88" s="10"/>
      <c r="BD88" s="11"/>
      <c r="BE88" s="11"/>
      <c r="BF88" s="11"/>
      <c r="BG88" s="12"/>
      <c r="BH88" s="12"/>
      <c r="BI88" s="13"/>
      <c r="BK88" s="14"/>
      <c r="BL88" s="10"/>
      <c r="BM88" s="11"/>
      <c r="BN88" s="11"/>
      <c r="BO88" s="11"/>
      <c r="BP88" s="12"/>
      <c r="BQ88" s="12"/>
      <c r="BR88" s="13"/>
      <c r="BT88" s="14"/>
      <c r="BU88" s="10"/>
      <c r="BV88" s="11"/>
      <c r="BW88" s="11"/>
      <c r="BX88" s="11"/>
      <c r="BY88" s="12"/>
      <c r="BZ88" s="12"/>
      <c r="CA88" s="13"/>
      <c r="CC88" s="13"/>
    </row>
    <row r="89" spans="1:81" x14ac:dyDescent="0.35">
      <c r="A89" s="5">
        <v>84</v>
      </c>
      <c r="B89" s="57">
        <f t="shared" si="11"/>
        <v>2000</v>
      </c>
      <c r="C89" s="16">
        <f>ROUND(B89*(1+'Interest rate projection'!AB91/Var_freq)+IF(C$5="Mortgage Starts",0,Deposit_mon_alt),2)</f>
        <v>4007.35</v>
      </c>
      <c r="D89" s="16">
        <f>ROUND(C89*(1+'Interest rate projection'!AC91/Var_freq)+IF(D$5="Mortgage Starts",0,Deposit_mon_alt),2)</f>
        <v>6022.08</v>
      </c>
      <c r="E89" s="16">
        <f>ROUND(D89*(1+'Interest rate projection'!AD91/Var_freq)+IF(E$5="Mortgage Starts",0,Deposit_mon_alt),2)</f>
        <v>8044.21</v>
      </c>
      <c r="F89" s="16">
        <f>ROUND(E89*(1+'Interest rate projection'!AE91/Var_freq)+IF(F$5="Mortgage Starts",0,Deposit_mon_alt),2)</f>
        <v>10073.77</v>
      </c>
      <c r="G89" s="16">
        <f>ROUND(F89*(1+'Interest rate projection'!AF91/Var_freq)+IF(G$5="Mortgage Starts",0,Deposit_mon_alt),2)</f>
        <v>12110.79</v>
      </c>
      <c r="H89" s="16">
        <f>ROUND(G89*(1+'Interest rate projection'!AG91/Var_freq)+IF(H$5="Mortgage Starts",0,Deposit_mon_alt),2)</f>
        <v>14155.29</v>
      </c>
      <c r="I89" s="16">
        <f>ROUND(H89*(1+'Interest rate projection'!AH91/Var_freq)+IF(I$5="Mortgage Starts",0,Deposit_mon_alt),2)</f>
        <v>16207.31</v>
      </c>
      <c r="J89" s="16">
        <f>ROUND(I89*(1+'Interest rate projection'!AI91/Var_freq)+IF(J$5="Mortgage Starts",0,Deposit_mon_alt),2)</f>
        <v>18266.87</v>
      </c>
      <c r="K89" s="16">
        <f>ROUND(J89*(1+'Interest rate projection'!AJ91/Var_freq)+IF(K$5="Mortgage Starts",0,Deposit_mon_alt),2)</f>
        <v>20334</v>
      </c>
      <c r="L89" s="16">
        <f>ROUND(K89*(1+'Interest rate projection'!AK91/Var_freq)+IF(L$5="Mortgage Starts",0,Deposit_mon_alt),2)</f>
        <v>22408.720000000001</v>
      </c>
      <c r="M89" s="16">
        <f>ROUND(L89*(1+'Interest rate projection'!AL91/Var_freq)+IF(M$5="Mortgage Starts",0,Deposit_mon_alt),2)</f>
        <v>24491.07</v>
      </c>
      <c r="N89" s="57">
        <f>ROUND(M89*(1+'Interest rate projection'!AM91/Var_freq)+IF(N$5="Mortgage Starts",0,Deposit_mon_alt),2)</f>
        <v>24581.07</v>
      </c>
      <c r="O89" s="12"/>
      <c r="P89" s="38">
        <f>'Interest rate projection'!N91</f>
        <v>4.4999999999999998E-2</v>
      </c>
      <c r="Q89" s="38">
        <f>'Interest rate projection'!AN91</f>
        <v>4.4097712805242217E-2</v>
      </c>
      <c r="R89" s="59" t="str">
        <f t="shared" si="12"/>
        <v>OK</v>
      </c>
      <c r="S89" s="39">
        <f t="shared" si="13"/>
        <v>15.131610255367837</v>
      </c>
      <c r="T89" s="10"/>
      <c r="U89" s="73">
        <f t="shared" si="16"/>
        <v>24581.07</v>
      </c>
      <c r="V89" s="73">
        <f t="shared" si="14"/>
        <v>175418.93</v>
      </c>
      <c r="W89" s="74">
        <f t="shared" si="15"/>
        <v>966.07</v>
      </c>
      <c r="X89" s="12"/>
      <c r="Y89" s="73">
        <f>'Fixed rate projection Alt'!$T$3-('Variable rate projection Alt'!W89*Product_term_alt*Var_freq)</f>
        <v>2863.1999999999898</v>
      </c>
      <c r="AA89" s="14"/>
      <c r="AB89" s="10"/>
      <c r="AC89" s="11"/>
      <c r="AD89" s="11"/>
      <c r="AE89" s="11"/>
      <c r="AF89" s="12"/>
      <c r="AG89" s="12"/>
      <c r="AH89" s="13"/>
      <c r="AJ89" s="14"/>
      <c r="AK89" s="10"/>
      <c r="AL89" s="11"/>
      <c r="AM89" s="11"/>
      <c r="AN89" s="11"/>
      <c r="AO89" s="12"/>
      <c r="AP89" s="12"/>
      <c r="AQ89" s="13"/>
      <c r="AS89" s="14"/>
      <c r="AT89" s="10"/>
      <c r="AU89" s="11"/>
      <c r="AV89" s="11"/>
      <c r="AW89" s="11"/>
      <c r="AX89" s="12"/>
      <c r="AY89" s="12"/>
      <c r="AZ89" s="13"/>
      <c r="BB89" s="14"/>
      <c r="BC89" s="10"/>
      <c r="BD89" s="11"/>
      <c r="BE89" s="11"/>
      <c r="BF89" s="11"/>
      <c r="BG89" s="12"/>
      <c r="BH89" s="12"/>
      <c r="BI89" s="13"/>
      <c r="BK89" s="14"/>
      <c r="BL89" s="10"/>
      <c r="BM89" s="11"/>
      <c r="BN89" s="11"/>
      <c r="BO89" s="11"/>
      <c r="BP89" s="12"/>
      <c r="BQ89" s="12"/>
      <c r="BR89" s="13"/>
      <c r="BT89" s="14"/>
      <c r="BU89" s="10"/>
      <c r="BV89" s="11"/>
      <c r="BW89" s="11"/>
      <c r="BX89" s="11"/>
      <c r="BY89" s="12"/>
      <c r="BZ89" s="12"/>
      <c r="CA89" s="13"/>
      <c r="CC89" s="13"/>
    </row>
    <row r="90" spans="1:81" x14ac:dyDescent="0.35">
      <c r="A90" s="27">
        <v>85</v>
      </c>
      <c r="B90" s="57">
        <f t="shared" si="11"/>
        <v>2000</v>
      </c>
      <c r="C90" s="16">
        <f>ROUND(B90*(1+'Interest rate projection'!AB92/Var_freq)+IF(C$5="Mortgage Starts",0,Deposit_mon_alt),2)</f>
        <v>4007.35</v>
      </c>
      <c r="D90" s="16">
        <f>ROUND(C90*(1+'Interest rate projection'!AC92/Var_freq)+IF(D$5="Mortgage Starts",0,Deposit_mon_alt),2)</f>
        <v>6022.08</v>
      </c>
      <c r="E90" s="16">
        <f>ROUND(D90*(1+'Interest rate projection'!AD92/Var_freq)+IF(E$5="Mortgage Starts",0,Deposit_mon_alt),2)</f>
        <v>8044.21</v>
      </c>
      <c r="F90" s="16">
        <f>ROUND(E90*(1+'Interest rate projection'!AE92/Var_freq)+IF(F$5="Mortgage Starts",0,Deposit_mon_alt),2)</f>
        <v>10073.77</v>
      </c>
      <c r="G90" s="16">
        <f>ROUND(F90*(1+'Interest rate projection'!AF92/Var_freq)+IF(G$5="Mortgage Starts",0,Deposit_mon_alt),2)</f>
        <v>12112.8</v>
      </c>
      <c r="H90" s="16">
        <f>ROUND(G90*(1+'Interest rate projection'!AG92/Var_freq)+IF(H$5="Mortgage Starts",0,Deposit_mon_alt),2)</f>
        <v>14159.73</v>
      </c>
      <c r="I90" s="16">
        <f>ROUND(H90*(1+'Interest rate projection'!AH92/Var_freq)+IF(I$5="Mortgage Starts",0,Deposit_mon_alt),2)</f>
        <v>16214.59</v>
      </c>
      <c r="J90" s="16">
        <f>ROUND(I90*(1+'Interest rate projection'!AI92/Var_freq)+IF(J$5="Mortgage Starts",0,Deposit_mon_alt),2)</f>
        <v>18277.419999999998</v>
      </c>
      <c r="K90" s="16">
        <f>ROUND(J90*(1+'Interest rate projection'!AJ92/Var_freq)+IF(K$5="Mortgage Starts",0,Deposit_mon_alt),2)</f>
        <v>20348.240000000002</v>
      </c>
      <c r="L90" s="16">
        <f>ROUND(K90*(1+'Interest rate projection'!AK92/Var_freq)+IF(L$5="Mortgage Starts",0,Deposit_mon_alt),2)</f>
        <v>22427.08</v>
      </c>
      <c r="M90" s="16">
        <f>ROUND(L90*(1+'Interest rate projection'!AL92/Var_freq)+IF(M$5="Mortgage Starts",0,Deposit_mon_alt),2)</f>
        <v>24513.98</v>
      </c>
      <c r="N90" s="57">
        <f>ROUND(M90*(1+'Interest rate projection'!AM92/Var_freq)+IF(N$5="Mortgage Starts",0,Deposit_mon_alt),2)</f>
        <v>24608.959999999999</v>
      </c>
      <c r="O90" s="12"/>
      <c r="P90" s="38">
        <f>'Interest rate projection'!N92</f>
        <v>4.7500000000000001E-2</v>
      </c>
      <c r="Q90" s="38">
        <f>'Interest rate projection'!AN92</f>
        <v>4.6496219905550085E-2</v>
      </c>
      <c r="R90" s="59" t="str">
        <f t="shared" si="12"/>
        <v>OK</v>
      </c>
      <c r="S90" s="39">
        <f t="shared" si="13"/>
        <v>14.766012404082064</v>
      </c>
      <c r="T90" s="10"/>
      <c r="U90" s="73">
        <f t="shared" si="16"/>
        <v>24608.959999999999</v>
      </c>
      <c r="V90" s="73">
        <f t="shared" si="14"/>
        <v>175391.04</v>
      </c>
      <c r="W90" s="74">
        <f t="shared" si="15"/>
        <v>989.84</v>
      </c>
      <c r="X90" s="12"/>
      <c r="Y90" s="73">
        <f>'Fixed rate projection Alt'!$T$3-('Variable rate projection Alt'!W90*Product_term_alt*Var_freq)</f>
        <v>1437</v>
      </c>
      <c r="AA90" s="14"/>
      <c r="AB90" s="10"/>
      <c r="AC90" s="11"/>
      <c r="AD90" s="11"/>
      <c r="AE90" s="11"/>
      <c r="AF90" s="12"/>
      <c r="AG90" s="12"/>
      <c r="AH90" s="13"/>
      <c r="AJ90" s="14"/>
      <c r="AK90" s="10"/>
      <c r="AL90" s="11"/>
      <c r="AM90" s="11"/>
      <c r="AN90" s="11"/>
      <c r="AO90" s="12"/>
      <c r="AP90" s="12"/>
      <c r="AQ90" s="13"/>
      <c r="AS90" s="14"/>
      <c r="AT90" s="10"/>
      <c r="AU90" s="11"/>
      <c r="AV90" s="11"/>
      <c r="AW90" s="11"/>
      <c r="AX90" s="12"/>
      <c r="AY90" s="12"/>
      <c r="AZ90" s="13"/>
      <c r="BB90" s="14"/>
      <c r="BC90" s="10"/>
      <c r="BD90" s="11"/>
      <c r="BE90" s="11"/>
      <c r="BF90" s="11"/>
      <c r="BG90" s="12"/>
      <c r="BH90" s="12"/>
      <c r="BI90" s="13"/>
      <c r="BK90" s="14"/>
      <c r="BL90" s="10"/>
      <c r="BM90" s="11"/>
      <c r="BN90" s="11"/>
      <c r="BO90" s="11"/>
      <c r="BP90" s="12"/>
      <c r="BQ90" s="12"/>
      <c r="BR90" s="13"/>
      <c r="BT90" s="14"/>
      <c r="BU90" s="10"/>
      <c r="BV90" s="11"/>
      <c r="BW90" s="11"/>
      <c r="BX90" s="11"/>
      <c r="BY90" s="12"/>
      <c r="BZ90" s="12"/>
      <c r="CA90" s="13"/>
      <c r="CC90" s="13"/>
    </row>
    <row r="91" spans="1:81" x14ac:dyDescent="0.35">
      <c r="A91" s="5">
        <v>86</v>
      </c>
      <c r="B91" s="57">
        <f t="shared" si="11"/>
        <v>2000</v>
      </c>
      <c r="C91" s="16">
        <f>ROUND(B91*(1+'Interest rate projection'!AB93/Var_freq)+IF(C$5="Mortgage Starts",0,Deposit_mon_alt),2)</f>
        <v>4007.35</v>
      </c>
      <c r="D91" s="16">
        <f>ROUND(C91*(1+'Interest rate projection'!AC93/Var_freq)+IF(D$5="Mortgage Starts",0,Deposit_mon_alt),2)</f>
        <v>6022.08</v>
      </c>
      <c r="E91" s="16">
        <f>ROUND(D91*(1+'Interest rate projection'!AD93/Var_freq)+IF(E$5="Mortgage Starts",0,Deposit_mon_alt),2)</f>
        <v>8046.61</v>
      </c>
      <c r="F91" s="16">
        <f>ROUND(E91*(1+'Interest rate projection'!AE93/Var_freq)+IF(F$5="Mortgage Starts",0,Deposit_mon_alt),2)</f>
        <v>10079.39</v>
      </c>
      <c r="G91" s="16">
        <f>ROUND(F91*(1+'Interest rate projection'!AF93/Var_freq)+IF(G$5="Mortgage Starts",0,Deposit_mon_alt),2)</f>
        <v>12116.43</v>
      </c>
      <c r="H91" s="16">
        <f>ROUND(G91*(1+'Interest rate projection'!AG93/Var_freq)+IF(H$5="Mortgage Starts",0,Deposit_mon_alt),2)</f>
        <v>14160.96</v>
      </c>
      <c r="I91" s="16">
        <f>ROUND(H91*(1+'Interest rate projection'!AH93/Var_freq)+IF(I$5="Mortgage Starts",0,Deposit_mon_alt),2)</f>
        <v>16213</v>
      </c>
      <c r="J91" s="16">
        <f>ROUND(I91*(1+'Interest rate projection'!AI93/Var_freq)+IF(J$5="Mortgage Starts",0,Deposit_mon_alt),2)</f>
        <v>18272.580000000002</v>
      </c>
      <c r="K91" s="16">
        <f>ROUND(J91*(1+'Interest rate projection'!AJ93/Var_freq)+IF(K$5="Mortgage Starts",0,Deposit_mon_alt),2)</f>
        <v>20339.73</v>
      </c>
      <c r="L91" s="16">
        <f>ROUND(K91*(1+'Interest rate projection'!AK93/Var_freq)+IF(L$5="Mortgage Starts",0,Deposit_mon_alt),2)</f>
        <v>22414.47</v>
      </c>
      <c r="M91" s="16">
        <f>ROUND(L91*(1+'Interest rate projection'!AL93/Var_freq)+IF(M$5="Mortgage Starts",0,Deposit_mon_alt),2)</f>
        <v>24496.84</v>
      </c>
      <c r="N91" s="57">
        <f>ROUND(M91*(1+'Interest rate projection'!AM93/Var_freq)+IF(N$5="Mortgage Starts",0,Deposit_mon_alt),2)</f>
        <v>24586.86</v>
      </c>
      <c r="O91" s="12"/>
      <c r="P91" s="38">
        <f>'Interest rate projection'!N93</f>
        <v>4.4999999999999998E-2</v>
      </c>
      <c r="Q91" s="38">
        <f>'Interest rate projection'!AN93</f>
        <v>4.4097712805242217E-2</v>
      </c>
      <c r="R91" s="59" t="str">
        <f t="shared" si="12"/>
        <v>OK</v>
      </c>
      <c r="S91" s="39">
        <f t="shared" si="13"/>
        <v>15.131610255367837</v>
      </c>
      <c r="T91" s="10"/>
      <c r="U91" s="73">
        <f t="shared" si="16"/>
        <v>24586.86</v>
      </c>
      <c r="V91" s="73">
        <f t="shared" si="14"/>
        <v>175413.14</v>
      </c>
      <c r="W91" s="74">
        <f t="shared" si="15"/>
        <v>966.04</v>
      </c>
      <c r="X91" s="12"/>
      <c r="Y91" s="73">
        <f>'Fixed rate projection Alt'!$T$3-('Variable rate projection Alt'!W91*Product_term_alt*Var_freq)</f>
        <v>2865</v>
      </c>
      <c r="AA91" s="14"/>
      <c r="AB91" s="10"/>
      <c r="AC91" s="11"/>
      <c r="AD91" s="11"/>
      <c r="AE91" s="11"/>
      <c r="AF91" s="12"/>
      <c r="AG91" s="12"/>
      <c r="AH91" s="13"/>
      <c r="AJ91" s="14"/>
      <c r="AK91" s="10"/>
      <c r="AL91" s="11"/>
      <c r="AM91" s="11"/>
      <c r="AN91" s="11"/>
      <c r="AO91" s="12"/>
      <c r="AP91" s="12"/>
      <c r="AQ91" s="13"/>
      <c r="AS91" s="14"/>
      <c r="AT91" s="10"/>
      <c r="AU91" s="11"/>
      <c r="AV91" s="11"/>
      <c r="AW91" s="11"/>
      <c r="AX91" s="12"/>
      <c r="AY91" s="12"/>
      <c r="AZ91" s="13"/>
      <c r="BB91" s="14"/>
      <c r="BC91" s="10"/>
      <c r="BD91" s="11"/>
      <c r="BE91" s="11"/>
      <c r="BF91" s="11"/>
      <c r="BG91" s="12"/>
      <c r="BH91" s="12"/>
      <c r="BI91" s="13"/>
      <c r="BK91" s="14"/>
      <c r="BL91" s="10"/>
      <c r="BM91" s="11"/>
      <c r="BN91" s="11"/>
      <c r="BO91" s="11"/>
      <c r="BP91" s="12"/>
      <c r="BQ91" s="12"/>
      <c r="BR91" s="13"/>
      <c r="BT91" s="14"/>
      <c r="BU91" s="10"/>
      <c r="BV91" s="11"/>
      <c r="BW91" s="11"/>
      <c r="BX91" s="11"/>
      <c r="BY91" s="12"/>
      <c r="BZ91" s="12"/>
      <c r="CA91" s="13"/>
      <c r="CC91" s="13"/>
    </row>
    <row r="92" spans="1:81" x14ac:dyDescent="0.35">
      <c r="A92" s="27">
        <v>87</v>
      </c>
      <c r="B92" s="57">
        <f t="shared" si="11"/>
        <v>2000</v>
      </c>
      <c r="C92" s="16">
        <f>ROUND(B92*(1+'Interest rate projection'!AB94/Var_freq)+IF(C$5="Mortgage Starts",0,Deposit_mon_alt),2)</f>
        <v>4007.35</v>
      </c>
      <c r="D92" s="16">
        <f>ROUND(C92*(1+'Interest rate projection'!AC94/Var_freq)+IF(D$5="Mortgage Starts",0,Deposit_mon_alt),2)</f>
        <v>6022.08</v>
      </c>
      <c r="E92" s="16">
        <f>ROUND(D92*(1+'Interest rate projection'!AD94/Var_freq)+IF(E$5="Mortgage Starts",0,Deposit_mon_alt),2)</f>
        <v>8044.21</v>
      </c>
      <c r="F92" s="16">
        <f>ROUND(E92*(1+'Interest rate projection'!AE94/Var_freq)+IF(F$5="Mortgage Starts",0,Deposit_mon_alt),2)</f>
        <v>10073.77</v>
      </c>
      <c r="G92" s="16">
        <f>ROUND(F92*(1+'Interest rate projection'!AF94/Var_freq)+IF(G$5="Mortgage Starts",0,Deposit_mon_alt),2)</f>
        <v>12110.79</v>
      </c>
      <c r="H92" s="16">
        <f>ROUND(G92*(1+'Interest rate projection'!AG94/Var_freq)+IF(H$5="Mortgage Starts",0,Deposit_mon_alt),2)</f>
        <v>14155.29</v>
      </c>
      <c r="I92" s="16">
        <f>ROUND(H92*(1+'Interest rate projection'!AH94/Var_freq)+IF(I$5="Mortgage Starts",0,Deposit_mon_alt),2)</f>
        <v>16207.31</v>
      </c>
      <c r="J92" s="16">
        <f>ROUND(I92*(1+'Interest rate projection'!AI94/Var_freq)+IF(J$5="Mortgage Starts",0,Deposit_mon_alt),2)</f>
        <v>18266.87</v>
      </c>
      <c r="K92" s="16">
        <f>ROUND(J92*(1+'Interest rate projection'!AJ94/Var_freq)+IF(K$5="Mortgage Starts",0,Deposit_mon_alt),2)</f>
        <v>20334</v>
      </c>
      <c r="L92" s="16">
        <f>ROUND(K92*(1+'Interest rate projection'!AK94/Var_freq)+IF(L$5="Mortgage Starts",0,Deposit_mon_alt),2)</f>
        <v>22408.720000000001</v>
      </c>
      <c r="M92" s="16">
        <f>ROUND(L92*(1+'Interest rate projection'!AL94/Var_freq)+IF(M$5="Mortgage Starts",0,Deposit_mon_alt),2)</f>
        <v>24486.58</v>
      </c>
      <c r="N92" s="57">
        <f>ROUND(M92*(1+'Interest rate projection'!AM94/Var_freq)+IF(N$5="Mortgage Starts",0,Deposit_mon_alt),2)</f>
        <v>24571.66</v>
      </c>
      <c r="O92" s="12"/>
      <c r="P92" s="38">
        <f>'Interest rate projection'!N94</f>
        <v>4.7499999999999994E-2</v>
      </c>
      <c r="Q92" s="38">
        <f>'Interest rate projection'!AN94</f>
        <v>4.6496219905550085E-2</v>
      </c>
      <c r="R92" s="59" t="str">
        <f t="shared" si="12"/>
        <v>OK</v>
      </c>
      <c r="S92" s="39">
        <f t="shared" si="13"/>
        <v>14.766012404082064</v>
      </c>
      <c r="T92" s="10"/>
      <c r="U92" s="73">
        <f t="shared" si="16"/>
        <v>24571.66</v>
      </c>
      <c r="V92" s="73">
        <f t="shared" si="14"/>
        <v>175428.34</v>
      </c>
      <c r="W92" s="74">
        <f t="shared" si="15"/>
        <v>990.05</v>
      </c>
      <c r="X92" s="12"/>
      <c r="Y92" s="73">
        <f>'Fixed rate projection Alt'!$T$3-('Variable rate projection Alt'!W92*Product_term_alt*Var_freq)</f>
        <v>1424.3999999999942</v>
      </c>
      <c r="AA92" s="14"/>
      <c r="AB92" s="10"/>
      <c r="AC92" s="11"/>
      <c r="AD92" s="11"/>
      <c r="AE92" s="11"/>
      <c r="AF92" s="12"/>
      <c r="AG92" s="12"/>
      <c r="AH92" s="13"/>
      <c r="AJ92" s="14"/>
      <c r="AK92" s="10"/>
      <c r="AL92" s="11"/>
      <c r="AM92" s="11"/>
      <c r="AN92" s="11"/>
      <c r="AO92" s="12"/>
      <c r="AP92" s="12"/>
      <c r="AQ92" s="13"/>
      <c r="AS92" s="14"/>
      <c r="AT92" s="10"/>
      <c r="AU92" s="11"/>
      <c r="AV92" s="11"/>
      <c r="AW92" s="11"/>
      <c r="AX92" s="12"/>
      <c r="AY92" s="12"/>
      <c r="AZ92" s="13"/>
      <c r="BB92" s="14"/>
      <c r="BC92" s="10"/>
      <c r="BD92" s="11"/>
      <c r="BE92" s="11"/>
      <c r="BF92" s="11"/>
      <c r="BG92" s="12"/>
      <c r="BH92" s="12"/>
      <c r="BI92" s="13"/>
      <c r="BK92" s="14"/>
      <c r="BL92" s="10"/>
      <c r="BM92" s="11"/>
      <c r="BN92" s="11"/>
      <c r="BO92" s="11"/>
      <c r="BP92" s="12"/>
      <c r="BQ92" s="12"/>
      <c r="BR92" s="13"/>
      <c r="BT92" s="14"/>
      <c r="BU92" s="10"/>
      <c r="BV92" s="11"/>
      <c r="BW92" s="11"/>
      <c r="BX92" s="11"/>
      <c r="BY92" s="12"/>
      <c r="BZ92" s="12"/>
      <c r="CA92" s="13"/>
      <c r="CC92" s="13"/>
    </row>
    <row r="93" spans="1:81" x14ac:dyDescent="0.35">
      <c r="A93" s="5">
        <v>88</v>
      </c>
      <c r="B93" s="57">
        <f t="shared" si="11"/>
        <v>2000</v>
      </c>
      <c r="C93" s="16">
        <f>ROUND(B93*(1+'Interest rate projection'!AB95/Var_freq)+IF(C$5="Mortgage Starts",0,Deposit_mon_alt),2)</f>
        <v>4007.35</v>
      </c>
      <c r="D93" s="16">
        <f>ROUND(C93*(1+'Interest rate projection'!AC95/Var_freq)+IF(D$5="Mortgage Starts",0,Deposit_mon_alt),2)</f>
        <v>6022.08</v>
      </c>
      <c r="E93" s="16">
        <f>ROUND(D93*(1+'Interest rate projection'!AD95/Var_freq)+IF(E$5="Mortgage Starts",0,Deposit_mon_alt),2)</f>
        <v>8044.21</v>
      </c>
      <c r="F93" s="16">
        <f>ROUND(E93*(1+'Interest rate projection'!AE95/Var_freq)+IF(F$5="Mortgage Starts",0,Deposit_mon_alt),2)</f>
        <v>10072.16</v>
      </c>
      <c r="G93" s="16">
        <f>ROUND(F93*(1+'Interest rate projection'!AF95/Var_freq)+IF(G$5="Mortgage Starts",0,Deposit_mon_alt),2)</f>
        <v>12107.16</v>
      </c>
      <c r="H93" s="16">
        <f>ROUND(G93*(1+'Interest rate projection'!AG95/Var_freq)+IF(H$5="Mortgage Starts",0,Deposit_mon_alt),2)</f>
        <v>14146.8</v>
      </c>
      <c r="I93" s="16">
        <f>ROUND(H93*(1+'Interest rate projection'!AH95/Var_freq)+IF(I$5="Mortgage Starts",0,Deposit_mon_alt),2)</f>
        <v>16193.11</v>
      </c>
      <c r="J93" s="16">
        <f>ROUND(I93*(1+'Interest rate projection'!AI95/Var_freq)+IF(J$5="Mortgage Starts",0,Deposit_mon_alt),2)</f>
        <v>18246.12</v>
      </c>
      <c r="K93" s="16">
        <f>ROUND(J93*(1+'Interest rate projection'!AJ95/Var_freq)+IF(K$5="Mortgage Starts",0,Deposit_mon_alt),2)</f>
        <v>20305.849999999999</v>
      </c>
      <c r="L93" s="16">
        <f>ROUND(K93*(1+'Interest rate projection'!AK95/Var_freq)+IF(L$5="Mortgage Starts",0,Deposit_mon_alt),2)</f>
        <v>22372.33</v>
      </c>
      <c r="M93" s="16">
        <f>ROUND(L93*(1+'Interest rate projection'!AL95/Var_freq)+IF(M$5="Mortgage Starts",0,Deposit_mon_alt),2)</f>
        <v>24445.57</v>
      </c>
      <c r="N93" s="57">
        <f>ROUND(M93*(1+'Interest rate projection'!AM95/Var_freq)+IF(N$5="Mortgage Starts",0,Deposit_mon_alt),2)</f>
        <v>24525.599999999999</v>
      </c>
      <c r="O93" s="12"/>
      <c r="P93" s="38">
        <f>'Interest rate projection'!N95</f>
        <v>3.9999999999999994E-2</v>
      </c>
      <c r="Q93" s="38">
        <f>'Interest rate projection'!AN95</f>
        <v>3.9284877386386974E-2</v>
      </c>
      <c r="R93" s="59" t="str">
        <f t="shared" si="12"/>
        <v>OK</v>
      </c>
      <c r="S93" s="39">
        <f t="shared" si="13"/>
        <v>15.906456614335044</v>
      </c>
      <c r="T93" s="10"/>
      <c r="U93" s="73">
        <f t="shared" si="16"/>
        <v>24525.599999999999</v>
      </c>
      <c r="V93" s="73">
        <f t="shared" si="14"/>
        <v>175474.4</v>
      </c>
      <c r="W93" s="74">
        <f t="shared" si="15"/>
        <v>919.3</v>
      </c>
      <c r="X93" s="12"/>
      <c r="Y93" s="73">
        <f>'Fixed rate projection Alt'!$T$3-('Variable rate projection Alt'!W93*Product_term_alt*Var_freq)</f>
        <v>5669.3999999999942</v>
      </c>
      <c r="AA93" s="14"/>
      <c r="AB93" s="10"/>
      <c r="AC93" s="11"/>
      <c r="AD93" s="11"/>
      <c r="AE93" s="11"/>
      <c r="AF93" s="12"/>
      <c r="AG93" s="12"/>
      <c r="AH93" s="13"/>
      <c r="AJ93" s="14"/>
      <c r="AK93" s="10"/>
      <c r="AL93" s="11"/>
      <c r="AM93" s="11"/>
      <c r="AN93" s="11"/>
      <c r="AO93" s="12"/>
      <c r="AP93" s="12"/>
      <c r="AQ93" s="13"/>
      <c r="AS93" s="14"/>
      <c r="AT93" s="10"/>
      <c r="AU93" s="11"/>
      <c r="AV93" s="11"/>
      <c r="AW93" s="11"/>
      <c r="AX93" s="12"/>
      <c r="AY93" s="12"/>
      <c r="AZ93" s="13"/>
      <c r="BB93" s="14"/>
      <c r="BC93" s="10"/>
      <c r="BD93" s="11"/>
      <c r="BE93" s="11"/>
      <c r="BF93" s="11"/>
      <c r="BG93" s="12"/>
      <c r="BH93" s="12"/>
      <c r="BI93" s="13"/>
      <c r="BK93" s="14"/>
      <c r="BL93" s="10"/>
      <c r="BM93" s="11"/>
      <c r="BN93" s="11"/>
      <c r="BO93" s="11"/>
      <c r="BP93" s="12"/>
      <c r="BQ93" s="12"/>
      <c r="BR93" s="13"/>
      <c r="BT93" s="14"/>
      <c r="BU93" s="10"/>
      <c r="BV93" s="11"/>
      <c r="BW93" s="11"/>
      <c r="BX93" s="11"/>
      <c r="BY93" s="12"/>
      <c r="BZ93" s="12"/>
      <c r="CA93" s="13"/>
      <c r="CC93" s="13"/>
    </row>
    <row r="94" spans="1:81" x14ac:dyDescent="0.35">
      <c r="A94" s="27">
        <v>89</v>
      </c>
      <c r="B94" s="57">
        <f t="shared" si="11"/>
        <v>2000</v>
      </c>
      <c r="C94" s="16">
        <f>ROUND(B94*(1+'Interest rate projection'!AB96/Var_freq)+IF(C$5="Mortgage Starts",0,Deposit_mon_alt),2)</f>
        <v>4007.35</v>
      </c>
      <c r="D94" s="16">
        <f>ROUND(C94*(1+'Interest rate projection'!AC96/Var_freq)+IF(D$5="Mortgage Starts",0,Deposit_mon_alt),2)</f>
        <v>6022.08</v>
      </c>
      <c r="E94" s="16">
        <f>ROUND(D94*(1+'Interest rate projection'!AD96/Var_freq)+IF(E$5="Mortgage Starts",0,Deposit_mon_alt),2)</f>
        <v>8044.21</v>
      </c>
      <c r="F94" s="16">
        <f>ROUND(E94*(1+'Interest rate projection'!AE96/Var_freq)+IF(F$5="Mortgage Starts",0,Deposit_mon_alt),2)</f>
        <v>10073.77</v>
      </c>
      <c r="G94" s="16">
        <f>ROUND(F94*(1+'Interest rate projection'!AF96/Var_freq)+IF(G$5="Mortgage Starts",0,Deposit_mon_alt),2)</f>
        <v>12110.79</v>
      </c>
      <c r="H94" s="16">
        <f>ROUND(G94*(1+'Interest rate projection'!AG96/Var_freq)+IF(H$5="Mortgage Starts",0,Deposit_mon_alt),2)</f>
        <v>14155.29</v>
      </c>
      <c r="I94" s="16">
        <f>ROUND(H94*(1+'Interest rate projection'!AH96/Var_freq)+IF(I$5="Mortgage Starts",0,Deposit_mon_alt),2)</f>
        <v>16207.31</v>
      </c>
      <c r="J94" s="16">
        <f>ROUND(I94*(1+'Interest rate projection'!AI96/Var_freq)+IF(J$5="Mortgage Starts",0,Deposit_mon_alt),2)</f>
        <v>18263.62</v>
      </c>
      <c r="K94" s="16">
        <f>ROUND(J94*(1+'Interest rate projection'!AJ96/Var_freq)+IF(K$5="Mortgage Starts",0,Deposit_mon_alt),2)</f>
        <v>20327.080000000002</v>
      </c>
      <c r="L94" s="16">
        <f>ROUND(K94*(1+'Interest rate projection'!AK96/Var_freq)+IF(L$5="Mortgage Starts",0,Deposit_mon_alt),2)</f>
        <v>22397.71</v>
      </c>
      <c r="M94" s="16">
        <f>ROUND(L94*(1+'Interest rate projection'!AL96/Var_freq)+IF(M$5="Mortgage Starts",0,Deposit_mon_alt),2)</f>
        <v>24475.53</v>
      </c>
      <c r="N94" s="57">
        <f>ROUND(M94*(1+'Interest rate projection'!AM96/Var_freq)+IF(N$5="Mortgage Starts",0,Deposit_mon_alt),2)</f>
        <v>24560.57</v>
      </c>
      <c r="O94" s="12"/>
      <c r="P94" s="38">
        <f>'Interest rate projection'!N96</f>
        <v>4.2499999999999996E-2</v>
      </c>
      <c r="Q94" s="38">
        <f>'Interest rate projection'!AN96</f>
        <v>4.1693940041970023E-2</v>
      </c>
      <c r="R94" s="59" t="str">
        <f t="shared" si="12"/>
        <v>OK</v>
      </c>
      <c r="S94" s="39">
        <f t="shared" si="13"/>
        <v>15.511529757864551</v>
      </c>
      <c r="T94" s="10"/>
      <c r="U94" s="73">
        <f t="shared" si="16"/>
        <v>24560.57</v>
      </c>
      <c r="V94" s="73">
        <f t="shared" si="14"/>
        <v>175439.43</v>
      </c>
      <c r="W94" s="74">
        <f t="shared" si="15"/>
        <v>942.52</v>
      </c>
      <c r="X94" s="12"/>
      <c r="Y94" s="73">
        <f>'Fixed rate projection Alt'!$T$3-('Variable rate projection Alt'!W94*Product_term_alt*Var_freq)</f>
        <v>4276.1999999999898</v>
      </c>
      <c r="AA94" s="14"/>
      <c r="AB94" s="10"/>
      <c r="AC94" s="11"/>
      <c r="AD94" s="11"/>
      <c r="AE94" s="11"/>
      <c r="AF94" s="12"/>
      <c r="AG94" s="12"/>
      <c r="AH94" s="13"/>
      <c r="AJ94" s="14"/>
      <c r="AK94" s="10"/>
      <c r="AL94" s="11"/>
      <c r="AM94" s="11"/>
      <c r="AN94" s="11"/>
      <c r="AO94" s="12"/>
      <c r="AP94" s="12"/>
      <c r="AQ94" s="13"/>
      <c r="AS94" s="14"/>
      <c r="AT94" s="10"/>
      <c r="AU94" s="11"/>
      <c r="AV94" s="11"/>
      <c r="AW94" s="11"/>
      <c r="AX94" s="12"/>
      <c r="AY94" s="12"/>
      <c r="AZ94" s="13"/>
      <c r="BB94" s="14"/>
      <c r="BC94" s="10"/>
      <c r="BD94" s="11"/>
      <c r="BE94" s="11"/>
      <c r="BF94" s="11"/>
      <c r="BG94" s="12"/>
      <c r="BH94" s="12"/>
      <c r="BI94" s="13"/>
      <c r="BK94" s="14"/>
      <c r="BL94" s="10"/>
      <c r="BM94" s="11"/>
      <c r="BN94" s="11"/>
      <c r="BO94" s="11"/>
      <c r="BP94" s="12"/>
      <c r="BQ94" s="12"/>
      <c r="BR94" s="13"/>
      <c r="BT94" s="14"/>
      <c r="BU94" s="10"/>
      <c r="BV94" s="11"/>
      <c r="BW94" s="11"/>
      <c r="BX94" s="11"/>
      <c r="BY94" s="12"/>
      <c r="BZ94" s="12"/>
      <c r="CA94" s="13"/>
      <c r="CC94" s="13"/>
    </row>
    <row r="95" spans="1:81" x14ac:dyDescent="0.35">
      <c r="A95" s="5">
        <v>90</v>
      </c>
      <c r="B95" s="57">
        <f t="shared" si="11"/>
        <v>2000</v>
      </c>
      <c r="C95" s="16">
        <f>ROUND(B95*(1+'Interest rate projection'!AB97/Var_freq)+IF(C$5="Mortgage Starts",0,Deposit_mon_alt),2)</f>
        <v>4007.35</v>
      </c>
      <c r="D95" s="16">
        <f>ROUND(C95*(1+'Interest rate projection'!AC97/Var_freq)+IF(D$5="Mortgage Starts",0,Deposit_mon_alt),2)</f>
        <v>6022.08</v>
      </c>
      <c r="E95" s="16">
        <f>ROUND(D95*(1+'Interest rate projection'!AD97/Var_freq)+IF(E$5="Mortgage Starts",0,Deposit_mon_alt),2)</f>
        <v>8044.21</v>
      </c>
      <c r="F95" s="16">
        <f>ROUND(E95*(1+'Interest rate projection'!AE97/Var_freq)+IF(F$5="Mortgage Starts",0,Deposit_mon_alt),2)</f>
        <v>10073.77</v>
      </c>
      <c r="G95" s="16">
        <f>ROUND(F95*(1+'Interest rate projection'!AF97/Var_freq)+IF(G$5="Mortgage Starts",0,Deposit_mon_alt),2)</f>
        <v>12110.79</v>
      </c>
      <c r="H95" s="16">
        <f>ROUND(G95*(1+'Interest rate projection'!AG97/Var_freq)+IF(H$5="Mortgage Starts",0,Deposit_mon_alt),2)</f>
        <v>14155.29</v>
      </c>
      <c r="I95" s="16">
        <f>ROUND(H95*(1+'Interest rate projection'!AH97/Var_freq)+IF(I$5="Mortgage Starts",0,Deposit_mon_alt),2)</f>
        <v>16207.31</v>
      </c>
      <c r="J95" s="16">
        <f>ROUND(I95*(1+'Interest rate projection'!AI97/Var_freq)+IF(J$5="Mortgage Starts",0,Deposit_mon_alt),2)</f>
        <v>18266.87</v>
      </c>
      <c r="K95" s="16">
        <f>ROUND(J95*(1+'Interest rate projection'!AJ97/Var_freq)+IF(K$5="Mortgage Starts",0,Deposit_mon_alt),2)</f>
        <v>20334</v>
      </c>
      <c r="L95" s="16">
        <f>ROUND(K95*(1+'Interest rate projection'!AK97/Var_freq)+IF(L$5="Mortgage Starts",0,Deposit_mon_alt),2)</f>
        <v>22408.720000000001</v>
      </c>
      <c r="M95" s="16">
        <f>ROUND(L95*(1+'Interest rate projection'!AL97/Var_freq)+IF(M$5="Mortgage Starts",0,Deposit_mon_alt),2)</f>
        <v>24491.07</v>
      </c>
      <c r="N95" s="57">
        <f>ROUND(M95*(1+'Interest rate projection'!AM97/Var_freq)+IF(N$5="Mortgage Starts",0,Deposit_mon_alt),2)</f>
        <v>24581.07</v>
      </c>
      <c r="O95" s="12"/>
      <c r="P95" s="38">
        <f>'Interest rate projection'!N97</f>
        <v>4.4999999999999998E-2</v>
      </c>
      <c r="Q95" s="38">
        <f>'Interest rate projection'!AN97</f>
        <v>4.4097712805242217E-2</v>
      </c>
      <c r="R95" s="59" t="str">
        <f t="shared" si="12"/>
        <v>OK</v>
      </c>
      <c r="S95" s="39">
        <f t="shared" si="13"/>
        <v>15.131610255367837</v>
      </c>
      <c r="T95" s="10"/>
      <c r="U95" s="73">
        <f t="shared" si="16"/>
        <v>24581.07</v>
      </c>
      <c r="V95" s="73">
        <f t="shared" si="14"/>
        <v>175418.93</v>
      </c>
      <c r="W95" s="74">
        <f t="shared" si="15"/>
        <v>966.07</v>
      </c>
      <c r="X95" s="12"/>
      <c r="Y95" s="73">
        <f>'Fixed rate projection Alt'!$T$3-('Variable rate projection Alt'!W95*Product_term_alt*Var_freq)</f>
        <v>2863.1999999999898</v>
      </c>
      <c r="AA95" s="14"/>
      <c r="AB95" s="10"/>
      <c r="AC95" s="11"/>
      <c r="AD95" s="11"/>
      <c r="AE95" s="11"/>
      <c r="AF95" s="12"/>
      <c r="AG95" s="12"/>
      <c r="AH95" s="13"/>
      <c r="AJ95" s="14"/>
      <c r="AK95" s="10"/>
      <c r="AL95" s="11"/>
      <c r="AM95" s="11"/>
      <c r="AN95" s="11"/>
      <c r="AO95" s="12"/>
      <c r="AP95" s="12"/>
      <c r="AQ95" s="13"/>
      <c r="AS95" s="14"/>
      <c r="AT95" s="10"/>
      <c r="AU95" s="11"/>
      <c r="AV95" s="11"/>
      <c r="AW95" s="11"/>
      <c r="AX95" s="12"/>
      <c r="AY95" s="12"/>
      <c r="AZ95" s="13"/>
      <c r="BB95" s="14"/>
      <c r="BC95" s="10"/>
      <c r="BD95" s="11"/>
      <c r="BE95" s="11"/>
      <c r="BF95" s="11"/>
      <c r="BG95" s="12"/>
      <c r="BH95" s="12"/>
      <c r="BI95" s="13"/>
      <c r="BK95" s="14"/>
      <c r="BL95" s="10"/>
      <c r="BM95" s="11"/>
      <c r="BN95" s="11"/>
      <c r="BO95" s="11"/>
      <c r="BP95" s="12"/>
      <c r="BQ95" s="12"/>
      <c r="BR95" s="13"/>
      <c r="BT95" s="14"/>
      <c r="BU95" s="10"/>
      <c r="BV95" s="11"/>
      <c r="BW95" s="11"/>
      <c r="BX95" s="11"/>
      <c r="BY95" s="12"/>
      <c r="BZ95" s="12"/>
      <c r="CA95" s="13"/>
      <c r="CC95" s="13"/>
    </row>
    <row r="96" spans="1:81" x14ac:dyDescent="0.35">
      <c r="A96" s="27">
        <v>91</v>
      </c>
      <c r="B96" s="57">
        <f t="shared" si="11"/>
        <v>2000</v>
      </c>
      <c r="C96" s="16">
        <f>ROUND(B96*(1+'Interest rate projection'!AB98/Var_freq)+IF(C$5="Mortgage Starts",0,Deposit_mon_alt),2)</f>
        <v>4007.35</v>
      </c>
      <c r="D96" s="16">
        <f>ROUND(C96*(1+'Interest rate projection'!AC98/Var_freq)+IF(D$5="Mortgage Starts",0,Deposit_mon_alt),2)</f>
        <v>6022.08</v>
      </c>
      <c r="E96" s="16">
        <f>ROUND(D96*(1+'Interest rate projection'!AD98/Var_freq)+IF(E$5="Mortgage Starts",0,Deposit_mon_alt),2)</f>
        <v>8043</v>
      </c>
      <c r="F96" s="16">
        <f>ROUND(E96*(1+'Interest rate projection'!AE98/Var_freq)+IF(F$5="Mortgage Starts",0,Deposit_mon_alt),2)</f>
        <v>10070.950000000001</v>
      </c>
      <c r="G96" s="16">
        <f>ROUND(F96*(1+'Interest rate projection'!AF98/Var_freq)+IF(G$5="Mortgage Starts",0,Deposit_mon_alt),2)</f>
        <v>12105.94</v>
      </c>
      <c r="H96" s="16">
        <f>ROUND(G96*(1+'Interest rate projection'!AG98/Var_freq)+IF(H$5="Mortgage Starts",0,Deposit_mon_alt),2)</f>
        <v>14148</v>
      </c>
      <c r="I96" s="16">
        <f>ROUND(H96*(1+'Interest rate projection'!AH98/Var_freq)+IF(I$5="Mortgage Starts",0,Deposit_mon_alt),2)</f>
        <v>16197.16</v>
      </c>
      <c r="J96" s="16">
        <f>ROUND(I96*(1+'Interest rate projection'!AI98/Var_freq)+IF(J$5="Mortgage Starts",0,Deposit_mon_alt),2)</f>
        <v>18253.439999999999</v>
      </c>
      <c r="K96" s="16">
        <f>ROUND(J96*(1+'Interest rate projection'!AJ98/Var_freq)+IF(K$5="Mortgage Starts",0,Deposit_mon_alt),2)</f>
        <v>20316.86</v>
      </c>
      <c r="L96" s="16">
        <f>ROUND(K96*(1+'Interest rate projection'!AK98/Var_freq)+IF(L$5="Mortgage Starts",0,Deposit_mon_alt),2)</f>
        <v>22387.45</v>
      </c>
      <c r="M96" s="16">
        <f>ROUND(L96*(1+'Interest rate projection'!AL98/Var_freq)+IF(M$5="Mortgage Starts",0,Deposit_mon_alt),2)</f>
        <v>24465.24</v>
      </c>
      <c r="N96" s="57">
        <f>ROUND(M96*(1+'Interest rate projection'!AM98/Var_freq)+IF(N$5="Mortgage Starts",0,Deposit_mon_alt),2)</f>
        <v>24550.240000000002</v>
      </c>
      <c r="O96" s="12"/>
      <c r="P96" s="38">
        <f>'Interest rate projection'!N98</f>
        <v>4.2499999999999996E-2</v>
      </c>
      <c r="Q96" s="38">
        <f>'Interest rate projection'!AN98</f>
        <v>4.1693940041970023E-2</v>
      </c>
      <c r="R96" s="59" t="str">
        <f t="shared" si="12"/>
        <v>OK</v>
      </c>
      <c r="S96" s="39">
        <f t="shared" si="13"/>
        <v>15.511529757864551</v>
      </c>
      <c r="T96" s="10"/>
      <c r="U96" s="73">
        <f t="shared" si="16"/>
        <v>24550.240000000002</v>
      </c>
      <c r="V96" s="73">
        <f t="shared" si="14"/>
        <v>175449.76</v>
      </c>
      <c r="W96" s="74">
        <f t="shared" si="15"/>
        <v>942.58</v>
      </c>
      <c r="X96" s="12"/>
      <c r="Y96" s="73">
        <f>'Fixed rate projection Alt'!$T$3-('Variable rate projection Alt'!W96*Product_term_alt*Var_freq)</f>
        <v>4272.5999999999913</v>
      </c>
      <c r="AA96" s="14"/>
      <c r="AB96" s="10"/>
      <c r="AC96" s="11"/>
      <c r="AD96" s="11"/>
      <c r="AE96" s="11"/>
      <c r="AF96" s="12"/>
      <c r="AG96" s="12"/>
      <c r="AH96" s="13"/>
      <c r="AJ96" s="14"/>
      <c r="AK96" s="10"/>
      <c r="AL96" s="11"/>
      <c r="AM96" s="11"/>
      <c r="AN96" s="11"/>
      <c r="AO96" s="12"/>
      <c r="AP96" s="12"/>
      <c r="AQ96" s="13"/>
      <c r="AS96" s="14"/>
      <c r="AT96" s="10"/>
      <c r="AU96" s="11"/>
      <c r="AV96" s="11"/>
      <c r="AW96" s="11"/>
      <c r="AX96" s="12"/>
      <c r="AY96" s="12"/>
      <c r="AZ96" s="13"/>
      <c r="BB96" s="14"/>
      <c r="BC96" s="10"/>
      <c r="BD96" s="11"/>
      <c r="BE96" s="11"/>
      <c r="BF96" s="11"/>
      <c r="BG96" s="12"/>
      <c r="BH96" s="12"/>
      <c r="BI96" s="13"/>
      <c r="BK96" s="14"/>
      <c r="BL96" s="10"/>
      <c r="BM96" s="11"/>
      <c r="BN96" s="11"/>
      <c r="BO96" s="11"/>
      <c r="BP96" s="12"/>
      <c r="BQ96" s="12"/>
      <c r="BR96" s="13"/>
      <c r="BT96" s="14"/>
      <c r="BU96" s="10"/>
      <c r="BV96" s="11"/>
      <c r="BW96" s="11"/>
      <c r="BX96" s="11"/>
      <c r="BY96" s="12"/>
      <c r="BZ96" s="12"/>
      <c r="CA96" s="13"/>
      <c r="CC96" s="13"/>
    </row>
    <row r="97" spans="1:81" x14ac:dyDescent="0.35">
      <c r="A97" s="5">
        <v>92</v>
      </c>
      <c r="B97" s="57">
        <f t="shared" si="11"/>
        <v>2000</v>
      </c>
      <c r="C97" s="16">
        <f>ROUND(B97*(1+'Interest rate projection'!AB99/Var_freq)+IF(C$5="Mortgage Starts",0,Deposit_mon_alt),2)</f>
        <v>4007.35</v>
      </c>
      <c r="D97" s="16">
        <f>ROUND(C97*(1+'Interest rate projection'!AC99/Var_freq)+IF(D$5="Mortgage Starts",0,Deposit_mon_alt),2)</f>
        <v>6022.08</v>
      </c>
      <c r="E97" s="16">
        <f>ROUND(D97*(1+'Interest rate projection'!AD99/Var_freq)+IF(E$5="Mortgage Starts",0,Deposit_mon_alt),2)</f>
        <v>8045.41</v>
      </c>
      <c r="F97" s="16">
        <f>ROUND(E97*(1+'Interest rate projection'!AE99/Var_freq)+IF(F$5="Mortgage Starts",0,Deposit_mon_alt),2)</f>
        <v>10073.36</v>
      </c>
      <c r="G97" s="16">
        <f>ROUND(F97*(1+'Interest rate projection'!AF99/Var_freq)+IF(G$5="Mortgage Starts",0,Deposit_mon_alt),2)</f>
        <v>12108.36</v>
      </c>
      <c r="H97" s="16">
        <f>ROUND(G97*(1+'Interest rate projection'!AG99/Var_freq)+IF(H$5="Mortgage Starts",0,Deposit_mon_alt),2)</f>
        <v>14150.43</v>
      </c>
      <c r="I97" s="16">
        <f>ROUND(H97*(1+'Interest rate projection'!AH99/Var_freq)+IF(I$5="Mortgage Starts",0,Deposit_mon_alt),2)</f>
        <v>16196.75</v>
      </c>
      <c r="J97" s="16">
        <f>ROUND(I97*(1+'Interest rate projection'!AI99/Var_freq)+IF(J$5="Mortgage Starts",0,Deposit_mon_alt),2)</f>
        <v>18249.77</v>
      </c>
      <c r="K97" s="16">
        <f>ROUND(J97*(1+'Interest rate projection'!AJ99/Var_freq)+IF(K$5="Mortgage Starts",0,Deposit_mon_alt),2)</f>
        <v>20309.509999999998</v>
      </c>
      <c r="L97" s="16">
        <f>ROUND(K97*(1+'Interest rate projection'!AK99/Var_freq)+IF(L$5="Mortgage Starts",0,Deposit_mon_alt),2)</f>
        <v>22376</v>
      </c>
      <c r="M97" s="16">
        <f>ROUND(L97*(1+'Interest rate projection'!AL99/Var_freq)+IF(M$5="Mortgage Starts",0,Deposit_mon_alt),2)</f>
        <v>24449.25</v>
      </c>
      <c r="N97" s="57">
        <f>ROUND(M97*(1+'Interest rate projection'!AM99/Var_freq)+IF(N$5="Mortgage Starts",0,Deposit_mon_alt),2)</f>
        <v>24534.2</v>
      </c>
      <c r="O97" s="12"/>
      <c r="P97" s="38">
        <f>'Interest rate projection'!N99</f>
        <v>4.2500000000000003E-2</v>
      </c>
      <c r="Q97" s="38">
        <f>'Interest rate projection'!AN99</f>
        <v>4.1693940041970023E-2</v>
      </c>
      <c r="R97" s="59" t="str">
        <f t="shared" si="12"/>
        <v>OK</v>
      </c>
      <c r="S97" s="39">
        <f t="shared" si="13"/>
        <v>15.511529757864551</v>
      </c>
      <c r="T97" s="10"/>
      <c r="U97" s="73">
        <f t="shared" si="16"/>
        <v>24534.2</v>
      </c>
      <c r="V97" s="73">
        <f t="shared" si="14"/>
        <v>175465.8</v>
      </c>
      <c r="W97" s="74">
        <f t="shared" si="15"/>
        <v>942.66</v>
      </c>
      <c r="X97" s="12"/>
      <c r="Y97" s="73">
        <f>'Fixed rate projection Alt'!$T$3-('Variable rate projection Alt'!W97*Product_term_alt*Var_freq)</f>
        <v>4267.7999999999884</v>
      </c>
      <c r="AA97" s="14"/>
      <c r="AB97" s="10"/>
      <c r="AC97" s="11"/>
      <c r="AD97" s="11"/>
      <c r="AE97" s="11"/>
      <c r="AF97" s="12"/>
      <c r="AG97" s="12"/>
      <c r="AH97" s="13"/>
      <c r="AJ97" s="14"/>
      <c r="AK97" s="10"/>
      <c r="AL97" s="11"/>
      <c r="AM97" s="11"/>
      <c r="AN97" s="11"/>
      <c r="AO97" s="12"/>
      <c r="AP97" s="12"/>
      <c r="AQ97" s="13"/>
      <c r="AS97" s="14"/>
      <c r="AT97" s="10"/>
      <c r="AU97" s="11"/>
      <c r="AV97" s="11"/>
      <c r="AW97" s="11"/>
      <c r="AX97" s="12"/>
      <c r="AY97" s="12"/>
      <c r="AZ97" s="13"/>
      <c r="BB97" s="14"/>
      <c r="BC97" s="10"/>
      <c r="BD97" s="11"/>
      <c r="BE97" s="11"/>
      <c r="BF97" s="11"/>
      <c r="BG97" s="12"/>
      <c r="BH97" s="12"/>
      <c r="BI97" s="13"/>
      <c r="BK97" s="14"/>
      <c r="BL97" s="10"/>
      <c r="BM97" s="11"/>
      <c r="BN97" s="11"/>
      <c r="BO97" s="11"/>
      <c r="BP97" s="12"/>
      <c r="BQ97" s="12"/>
      <c r="BR97" s="13"/>
      <c r="BT97" s="14"/>
      <c r="BU97" s="10"/>
      <c r="BV97" s="11"/>
      <c r="BW97" s="11"/>
      <c r="BX97" s="11"/>
      <c r="BY97" s="12"/>
      <c r="BZ97" s="12"/>
      <c r="CA97" s="13"/>
      <c r="CC97" s="13"/>
    </row>
    <row r="98" spans="1:81" x14ac:dyDescent="0.35">
      <c r="A98" s="27">
        <v>93</v>
      </c>
      <c r="B98" s="57">
        <f t="shared" si="11"/>
        <v>2000</v>
      </c>
      <c r="C98" s="16">
        <f>ROUND(B98*(1+'Interest rate projection'!AB100/Var_freq)+IF(C$5="Mortgage Starts",0,Deposit_mon_alt),2)</f>
        <v>4007.35</v>
      </c>
      <c r="D98" s="16">
        <f>ROUND(C98*(1+'Interest rate projection'!AC100/Var_freq)+IF(D$5="Mortgage Starts",0,Deposit_mon_alt),2)</f>
        <v>6022.08</v>
      </c>
      <c r="E98" s="16">
        <f>ROUND(D98*(1+'Interest rate projection'!AD100/Var_freq)+IF(E$5="Mortgage Starts",0,Deposit_mon_alt),2)</f>
        <v>8044.21</v>
      </c>
      <c r="F98" s="16">
        <f>ROUND(E98*(1+'Interest rate projection'!AE100/Var_freq)+IF(F$5="Mortgage Starts",0,Deposit_mon_alt),2)</f>
        <v>10073.77</v>
      </c>
      <c r="G98" s="16">
        <f>ROUND(F98*(1+'Interest rate projection'!AF100/Var_freq)+IF(G$5="Mortgage Starts",0,Deposit_mon_alt),2)</f>
        <v>12110.79</v>
      </c>
      <c r="H98" s="16">
        <f>ROUND(G98*(1+'Interest rate projection'!AG100/Var_freq)+IF(H$5="Mortgage Starts",0,Deposit_mon_alt),2)</f>
        <v>14155.29</v>
      </c>
      <c r="I98" s="16">
        <f>ROUND(H98*(1+'Interest rate projection'!AH100/Var_freq)+IF(I$5="Mortgage Starts",0,Deposit_mon_alt),2)</f>
        <v>16207.31</v>
      </c>
      <c r="J98" s="16">
        <f>ROUND(I98*(1+'Interest rate projection'!AI100/Var_freq)+IF(J$5="Mortgage Starts",0,Deposit_mon_alt),2)</f>
        <v>18270.11</v>
      </c>
      <c r="K98" s="16">
        <f>ROUND(J98*(1+'Interest rate projection'!AJ100/Var_freq)+IF(K$5="Mortgage Starts",0,Deposit_mon_alt),2)</f>
        <v>20340.900000000001</v>
      </c>
      <c r="L98" s="16">
        <f>ROUND(K98*(1+'Interest rate projection'!AK100/Var_freq)+IF(L$5="Mortgage Starts",0,Deposit_mon_alt),2)</f>
        <v>22419.71</v>
      </c>
      <c r="M98" s="16">
        <f>ROUND(L98*(1+'Interest rate projection'!AL100/Var_freq)+IF(M$5="Mortgage Starts",0,Deposit_mon_alt),2)</f>
        <v>24506.58</v>
      </c>
      <c r="N98" s="57">
        <f>ROUND(M98*(1+'Interest rate projection'!AM100/Var_freq)+IF(N$5="Mortgage Starts",0,Deposit_mon_alt),2)</f>
        <v>24601.54</v>
      </c>
      <c r="O98" s="12"/>
      <c r="P98" s="38">
        <f>'Interest rate projection'!N100</f>
        <v>4.7500000000000001E-2</v>
      </c>
      <c r="Q98" s="38">
        <f>'Interest rate projection'!AN100</f>
        <v>4.6496219905550085E-2</v>
      </c>
      <c r="R98" s="59" t="str">
        <f t="shared" si="12"/>
        <v>OK</v>
      </c>
      <c r="S98" s="39">
        <f t="shared" si="13"/>
        <v>14.766012404082064</v>
      </c>
      <c r="T98" s="10"/>
      <c r="U98" s="73">
        <f t="shared" si="16"/>
        <v>24601.54</v>
      </c>
      <c r="V98" s="73">
        <f t="shared" si="14"/>
        <v>175398.46</v>
      </c>
      <c r="W98" s="74">
        <f t="shared" si="15"/>
        <v>989.88</v>
      </c>
      <c r="X98" s="12"/>
      <c r="Y98" s="73">
        <f>'Fixed rate projection Alt'!$T$3-('Variable rate projection Alt'!W98*Product_term_alt*Var_freq)</f>
        <v>1434.5999999999985</v>
      </c>
      <c r="AA98" s="14"/>
      <c r="AB98" s="10"/>
      <c r="AC98" s="11"/>
      <c r="AD98" s="11"/>
      <c r="AE98" s="11"/>
      <c r="AF98" s="12"/>
      <c r="AG98" s="12"/>
      <c r="AH98" s="13"/>
      <c r="AJ98" s="14"/>
      <c r="AK98" s="10"/>
      <c r="AL98" s="11"/>
      <c r="AM98" s="11"/>
      <c r="AN98" s="11"/>
      <c r="AO98" s="12"/>
      <c r="AP98" s="12"/>
      <c r="AQ98" s="13"/>
      <c r="AS98" s="14"/>
      <c r="AT98" s="10"/>
      <c r="AU98" s="11"/>
      <c r="AV98" s="11"/>
      <c r="AW98" s="11"/>
      <c r="AX98" s="12"/>
      <c r="AY98" s="12"/>
      <c r="AZ98" s="13"/>
      <c r="BB98" s="14"/>
      <c r="BC98" s="10"/>
      <c r="BD98" s="11"/>
      <c r="BE98" s="11"/>
      <c r="BF98" s="11"/>
      <c r="BG98" s="12"/>
      <c r="BH98" s="12"/>
      <c r="BI98" s="13"/>
      <c r="BK98" s="14"/>
      <c r="BL98" s="10"/>
      <c r="BM98" s="11"/>
      <c r="BN98" s="11"/>
      <c r="BO98" s="11"/>
      <c r="BP98" s="12"/>
      <c r="BQ98" s="12"/>
      <c r="BR98" s="13"/>
      <c r="BT98" s="14"/>
      <c r="BU98" s="10"/>
      <c r="BV98" s="11"/>
      <c r="BW98" s="11"/>
      <c r="BX98" s="11"/>
      <c r="BY98" s="12"/>
      <c r="BZ98" s="12"/>
      <c r="CA98" s="13"/>
      <c r="CC98" s="13"/>
    </row>
    <row r="99" spans="1:81" x14ac:dyDescent="0.35">
      <c r="A99" s="5">
        <v>94</v>
      </c>
      <c r="B99" s="57">
        <f t="shared" si="11"/>
        <v>2000</v>
      </c>
      <c r="C99" s="16">
        <f>ROUND(B99*(1+'Interest rate projection'!AB101/Var_freq)+IF(C$5="Mortgage Starts",0,Deposit_mon_alt),2)</f>
        <v>4007.35</v>
      </c>
      <c r="D99" s="16">
        <f>ROUND(C99*(1+'Interest rate projection'!AC101/Var_freq)+IF(D$5="Mortgage Starts",0,Deposit_mon_alt),2)</f>
        <v>6022.88</v>
      </c>
      <c r="E99" s="16">
        <f>ROUND(D99*(1+'Interest rate projection'!AD101/Var_freq)+IF(E$5="Mortgage Starts",0,Deposit_mon_alt),2)</f>
        <v>8046.22</v>
      </c>
      <c r="F99" s="16">
        <f>ROUND(E99*(1+'Interest rate projection'!AE101/Var_freq)+IF(F$5="Mortgage Starts",0,Deposit_mon_alt),2)</f>
        <v>10077.4</v>
      </c>
      <c r="G99" s="16">
        <f>ROUND(F99*(1+'Interest rate projection'!AF101/Var_freq)+IF(G$5="Mortgage Starts",0,Deposit_mon_alt),2)</f>
        <v>12116.45</v>
      </c>
      <c r="H99" s="16">
        <f>ROUND(G99*(1+'Interest rate projection'!AG101/Var_freq)+IF(H$5="Mortgage Starts",0,Deposit_mon_alt),2)</f>
        <v>14165.81</v>
      </c>
      <c r="I99" s="16">
        <f>ROUND(H99*(1+'Interest rate projection'!AH101/Var_freq)+IF(I$5="Mortgage Starts",0,Deposit_mon_alt),2)</f>
        <v>16229.16</v>
      </c>
      <c r="J99" s="16">
        <f>ROUND(I99*(1+'Interest rate projection'!AI101/Var_freq)+IF(J$5="Mortgage Starts",0,Deposit_mon_alt),2)</f>
        <v>18301.73</v>
      </c>
      <c r="K99" s="16">
        <f>ROUND(J99*(1+'Interest rate projection'!AJ101/Var_freq)+IF(K$5="Mortgage Starts",0,Deposit_mon_alt),2)</f>
        <v>20383.57</v>
      </c>
      <c r="L99" s="16">
        <f>ROUND(K99*(1+'Interest rate projection'!AK101/Var_freq)+IF(L$5="Mortgage Starts",0,Deposit_mon_alt),2)</f>
        <v>22474.720000000001</v>
      </c>
      <c r="M99" s="16">
        <f>ROUND(L99*(1+'Interest rate projection'!AL101/Var_freq)+IF(M$5="Mortgage Starts",0,Deposit_mon_alt),2)</f>
        <v>24575.22</v>
      </c>
      <c r="N99" s="57">
        <f>ROUND(M99*(1+'Interest rate projection'!AM101/Var_freq)+IF(N$5="Mortgage Starts",0,Deposit_mon_alt),2)</f>
        <v>24689.98</v>
      </c>
      <c r="O99" s="12"/>
      <c r="P99" s="38">
        <f>'Interest rate projection'!N101</f>
        <v>5.7500000000000002E-2</v>
      </c>
      <c r="Q99" s="38">
        <f>'Interest rate projection'!AN101</f>
        <v>5.603807040042863E-2</v>
      </c>
      <c r="R99" s="59" t="str">
        <f t="shared" si="12"/>
        <v>OK</v>
      </c>
      <c r="S99" s="39">
        <f t="shared" si="13"/>
        <v>13.434312256020331</v>
      </c>
      <c r="T99" s="10"/>
      <c r="U99" s="73">
        <f t="shared" si="16"/>
        <v>24689.98</v>
      </c>
      <c r="V99" s="73">
        <f t="shared" si="14"/>
        <v>175310.02</v>
      </c>
      <c r="W99" s="74">
        <f t="shared" si="15"/>
        <v>1087.45</v>
      </c>
      <c r="X99" s="12"/>
      <c r="Y99" s="73">
        <f>'Fixed rate projection Alt'!$T$3-('Variable rate projection Alt'!W99*Product_term_alt*Var_freq)</f>
        <v>-4419.6000000000058</v>
      </c>
      <c r="AA99" s="14"/>
      <c r="AB99" s="10"/>
      <c r="AC99" s="11"/>
      <c r="AD99" s="11"/>
      <c r="AE99" s="11"/>
      <c r="AF99" s="12"/>
      <c r="AG99" s="12"/>
      <c r="AH99" s="13"/>
      <c r="AJ99" s="14"/>
      <c r="AK99" s="10"/>
      <c r="AL99" s="11"/>
      <c r="AM99" s="11"/>
      <c r="AN99" s="11"/>
      <c r="AO99" s="12"/>
      <c r="AP99" s="12"/>
      <c r="AQ99" s="13"/>
      <c r="AS99" s="14"/>
      <c r="AT99" s="10"/>
      <c r="AU99" s="11"/>
      <c r="AV99" s="11"/>
      <c r="AW99" s="11"/>
      <c r="AX99" s="12"/>
      <c r="AY99" s="12"/>
      <c r="AZ99" s="13"/>
      <c r="BB99" s="14"/>
      <c r="BC99" s="10"/>
      <c r="BD99" s="11"/>
      <c r="BE99" s="11"/>
      <c r="BF99" s="11"/>
      <c r="BG99" s="12"/>
      <c r="BH99" s="12"/>
      <c r="BI99" s="13"/>
      <c r="BK99" s="14"/>
      <c r="BL99" s="10"/>
      <c r="BM99" s="11"/>
      <c r="BN99" s="11"/>
      <c r="BO99" s="11"/>
      <c r="BP99" s="12"/>
      <c r="BQ99" s="12"/>
      <c r="BR99" s="13"/>
      <c r="BT99" s="14"/>
      <c r="BU99" s="10"/>
      <c r="BV99" s="11"/>
      <c r="BW99" s="11"/>
      <c r="BX99" s="11"/>
      <c r="BY99" s="12"/>
      <c r="BZ99" s="12"/>
      <c r="CA99" s="13"/>
      <c r="CC99" s="13"/>
    </row>
    <row r="100" spans="1:81" x14ac:dyDescent="0.35">
      <c r="A100" s="27">
        <v>95</v>
      </c>
      <c r="B100" s="57">
        <f t="shared" si="11"/>
        <v>2000</v>
      </c>
      <c r="C100" s="16">
        <f>ROUND(B100*(1+'Interest rate projection'!AB102/Var_freq)+IF(C$5="Mortgage Starts",0,Deposit_mon_alt),2)</f>
        <v>4007.35</v>
      </c>
      <c r="D100" s="16">
        <f>ROUND(C100*(1+'Interest rate projection'!AC102/Var_freq)+IF(D$5="Mortgage Starts",0,Deposit_mon_alt),2)</f>
        <v>6022.88</v>
      </c>
      <c r="E100" s="16">
        <f>ROUND(D100*(1+'Interest rate projection'!AD102/Var_freq)+IF(E$5="Mortgage Starts",0,Deposit_mon_alt),2)</f>
        <v>8045.01</v>
      </c>
      <c r="F100" s="16">
        <f>ROUND(E100*(1+'Interest rate projection'!AE102/Var_freq)+IF(F$5="Mortgage Starts",0,Deposit_mon_alt),2)</f>
        <v>10076.18</v>
      </c>
      <c r="G100" s="16">
        <f>ROUND(F100*(1+'Interest rate projection'!AF102/Var_freq)+IF(G$5="Mortgage Starts",0,Deposit_mon_alt),2)</f>
        <v>12115.22</v>
      </c>
      <c r="H100" s="16">
        <f>ROUND(G100*(1+'Interest rate projection'!AG102/Var_freq)+IF(H$5="Mortgage Starts",0,Deposit_mon_alt),2)</f>
        <v>14162.16</v>
      </c>
      <c r="I100" s="16">
        <f>ROUND(H100*(1+'Interest rate projection'!AH102/Var_freq)+IF(I$5="Mortgage Starts",0,Deposit_mon_alt),2)</f>
        <v>16217.03</v>
      </c>
      <c r="J100" s="16">
        <f>ROUND(I100*(1+'Interest rate projection'!AI102/Var_freq)+IF(J$5="Mortgage Starts",0,Deposit_mon_alt),2)</f>
        <v>18279.87</v>
      </c>
      <c r="K100" s="16">
        <f>ROUND(J100*(1+'Interest rate projection'!AJ102/Var_freq)+IF(K$5="Mortgage Starts",0,Deposit_mon_alt),2)</f>
        <v>20350.7</v>
      </c>
      <c r="L100" s="16">
        <f>ROUND(K100*(1+'Interest rate projection'!AK102/Var_freq)+IF(L$5="Mortgage Starts",0,Deposit_mon_alt),2)</f>
        <v>22429.55</v>
      </c>
      <c r="M100" s="16">
        <f>ROUND(L100*(1+'Interest rate projection'!AL102/Var_freq)+IF(M$5="Mortgage Starts",0,Deposit_mon_alt),2)</f>
        <v>24516.46</v>
      </c>
      <c r="N100" s="57">
        <f>ROUND(M100*(1+'Interest rate projection'!AM102/Var_freq)+IF(N$5="Mortgage Starts",0,Deposit_mon_alt),2)</f>
        <v>24611.45</v>
      </c>
      <c r="O100" s="12"/>
      <c r="P100" s="38">
        <f>'Interest rate projection'!N102</f>
        <v>4.7500000000000001E-2</v>
      </c>
      <c r="Q100" s="38">
        <f>'Interest rate projection'!AN102</f>
        <v>4.6496219905550085E-2</v>
      </c>
      <c r="R100" s="59" t="str">
        <f t="shared" si="12"/>
        <v>OK</v>
      </c>
      <c r="S100" s="39">
        <f t="shared" si="13"/>
        <v>14.766012404082064</v>
      </c>
      <c r="T100" s="10"/>
      <c r="U100" s="73">
        <f t="shared" si="16"/>
        <v>24611.45</v>
      </c>
      <c r="V100" s="73">
        <f t="shared" si="14"/>
        <v>175388.55</v>
      </c>
      <c r="W100" s="74">
        <f t="shared" si="15"/>
        <v>989.82</v>
      </c>
      <c r="X100" s="12"/>
      <c r="Y100" s="73">
        <f>'Fixed rate projection Alt'!$T$3-('Variable rate projection Alt'!W100*Product_term_alt*Var_freq)</f>
        <v>1438.1999999999898</v>
      </c>
      <c r="AA100" s="14"/>
      <c r="AB100" s="10"/>
      <c r="AC100" s="11"/>
      <c r="AD100" s="11"/>
      <c r="AE100" s="11"/>
      <c r="AF100" s="12"/>
      <c r="AG100" s="12"/>
      <c r="AH100" s="13"/>
      <c r="AJ100" s="14"/>
      <c r="AK100" s="10"/>
      <c r="AL100" s="11"/>
      <c r="AM100" s="11"/>
      <c r="AN100" s="11"/>
      <c r="AO100" s="12"/>
      <c r="AP100" s="12"/>
      <c r="AQ100" s="13"/>
      <c r="AS100" s="14"/>
      <c r="AT100" s="10"/>
      <c r="AU100" s="11"/>
      <c r="AV100" s="11"/>
      <c r="AW100" s="11"/>
      <c r="AX100" s="12"/>
      <c r="AY100" s="12"/>
      <c r="AZ100" s="13"/>
      <c r="BB100" s="14"/>
      <c r="BC100" s="10"/>
      <c r="BD100" s="11"/>
      <c r="BE100" s="11"/>
      <c r="BF100" s="11"/>
      <c r="BG100" s="12"/>
      <c r="BH100" s="12"/>
      <c r="BI100" s="13"/>
      <c r="BK100" s="14"/>
      <c r="BL100" s="10"/>
      <c r="BM100" s="11"/>
      <c r="BN100" s="11"/>
      <c r="BO100" s="11"/>
      <c r="BP100" s="12"/>
      <c r="BQ100" s="12"/>
      <c r="BR100" s="13"/>
      <c r="BT100" s="14"/>
      <c r="BU100" s="10"/>
      <c r="BV100" s="11"/>
      <c r="BW100" s="11"/>
      <c r="BX100" s="11"/>
      <c r="BY100" s="12"/>
      <c r="BZ100" s="12"/>
      <c r="CA100" s="13"/>
      <c r="CC100" s="13"/>
    </row>
    <row r="101" spans="1:81" x14ac:dyDescent="0.35">
      <c r="A101" s="5">
        <v>96</v>
      </c>
      <c r="B101" s="57">
        <f t="shared" si="11"/>
        <v>2000</v>
      </c>
      <c r="C101" s="16">
        <f>ROUND(B101*(1+'Interest rate projection'!AB103/Var_freq)+IF(C$5="Mortgage Starts",0,Deposit_mon_alt),2)</f>
        <v>4007.35</v>
      </c>
      <c r="D101" s="16">
        <f>ROUND(C101*(1+'Interest rate projection'!AC103/Var_freq)+IF(D$5="Mortgage Starts",0,Deposit_mon_alt),2)</f>
        <v>6021.27</v>
      </c>
      <c r="E101" s="16">
        <f>ROUND(D101*(1+'Interest rate projection'!AD103/Var_freq)+IF(E$5="Mortgage Starts",0,Deposit_mon_alt),2)</f>
        <v>8042.19</v>
      </c>
      <c r="F101" s="16">
        <f>ROUND(E101*(1+'Interest rate projection'!AE103/Var_freq)+IF(F$5="Mortgage Starts",0,Deposit_mon_alt),2)</f>
        <v>10070.129999999999</v>
      </c>
      <c r="G101" s="16">
        <f>ROUND(F101*(1+'Interest rate projection'!AF103/Var_freq)+IF(G$5="Mortgage Starts",0,Deposit_mon_alt),2)</f>
        <v>12105.12</v>
      </c>
      <c r="H101" s="16">
        <f>ROUND(G101*(1+'Interest rate projection'!AG103/Var_freq)+IF(H$5="Mortgage Starts",0,Deposit_mon_alt),2)</f>
        <v>14142.31</v>
      </c>
      <c r="I101" s="16">
        <f>ROUND(H101*(1+'Interest rate projection'!AH103/Var_freq)+IF(I$5="Mortgage Starts",0,Deposit_mon_alt),2)</f>
        <v>16185.76</v>
      </c>
      <c r="J101" s="16">
        <f>ROUND(I101*(1+'Interest rate projection'!AI103/Var_freq)+IF(J$5="Mortgage Starts",0,Deposit_mon_alt),2)</f>
        <v>18235.490000000002</v>
      </c>
      <c r="K101" s="16">
        <f>ROUND(J101*(1+'Interest rate projection'!AJ103/Var_freq)+IF(K$5="Mortgage Starts",0,Deposit_mon_alt),2)</f>
        <v>20291.52</v>
      </c>
      <c r="L101" s="16">
        <f>ROUND(K101*(1+'Interest rate projection'!AK103/Var_freq)+IF(L$5="Mortgage Starts",0,Deposit_mon_alt),2)</f>
        <v>22353.87</v>
      </c>
      <c r="M101" s="16">
        <f>ROUND(L101*(1+'Interest rate projection'!AL103/Var_freq)+IF(M$5="Mortgage Starts",0,Deposit_mon_alt),2)</f>
        <v>24422.55</v>
      </c>
      <c r="N101" s="57">
        <f>ROUND(M101*(1+'Interest rate projection'!AM103/Var_freq)+IF(N$5="Mortgage Starts",0,Deposit_mon_alt),2)</f>
        <v>24497.59</v>
      </c>
      <c r="O101" s="12"/>
      <c r="P101" s="38">
        <f>'Interest rate projection'!N103</f>
        <v>3.7499999999999999E-2</v>
      </c>
      <c r="Q101" s="38">
        <f>'Interest rate projection'!AN103</f>
        <v>3.6870500439066589E-2</v>
      </c>
      <c r="R101" s="59" t="str">
        <f t="shared" si="12"/>
        <v>OK</v>
      </c>
      <c r="S101" s="39">
        <f t="shared" si="13"/>
        <v>16.317113717606386</v>
      </c>
      <c r="T101" s="10"/>
      <c r="U101" s="73">
        <f t="shared" si="16"/>
        <v>24497.59</v>
      </c>
      <c r="V101" s="73">
        <f t="shared" si="14"/>
        <v>175502.41</v>
      </c>
      <c r="W101" s="74">
        <f t="shared" si="15"/>
        <v>896.31</v>
      </c>
      <c r="X101" s="12"/>
      <c r="Y101" s="73">
        <f>'Fixed rate projection Alt'!$T$3-('Variable rate projection Alt'!W101*Product_term_alt*Var_freq)</f>
        <v>7048.8000000000029</v>
      </c>
      <c r="AA101" s="14"/>
      <c r="AB101" s="10"/>
      <c r="AC101" s="11"/>
      <c r="AD101" s="11"/>
      <c r="AE101" s="11"/>
      <c r="AF101" s="12"/>
      <c r="AG101" s="12"/>
      <c r="AH101" s="13"/>
      <c r="AJ101" s="14"/>
      <c r="AK101" s="10"/>
      <c r="AL101" s="11"/>
      <c r="AM101" s="11"/>
      <c r="AN101" s="11"/>
      <c r="AO101" s="12"/>
      <c r="AP101" s="12"/>
      <c r="AQ101" s="13"/>
      <c r="AS101" s="14"/>
      <c r="AT101" s="10"/>
      <c r="AU101" s="11"/>
      <c r="AV101" s="11"/>
      <c r="AW101" s="11"/>
      <c r="AX101" s="12"/>
      <c r="AY101" s="12"/>
      <c r="AZ101" s="13"/>
      <c r="BB101" s="14"/>
      <c r="BC101" s="10"/>
      <c r="BD101" s="11"/>
      <c r="BE101" s="11"/>
      <c r="BF101" s="11"/>
      <c r="BG101" s="12"/>
      <c r="BH101" s="12"/>
      <c r="BI101" s="13"/>
      <c r="BK101" s="14"/>
      <c r="BL101" s="10"/>
      <c r="BM101" s="11"/>
      <c r="BN101" s="11"/>
      <c r="BO101" s="11"/>
      <c r="BP101" s="12"/>
      <c r="BQ101" s="12"/>
      <c r="BR101" s="13"/>
      <c r="BT101" s="14"/>
      <c r="BU101" s="10"/>
      <c r="BV101" s="11"/>
      <c r="BW101" s="11"/>
      <c r="BX101" s="11"/>
      <c r="BY101" s="12"/>
      <c r="BZ101" s="12"/>
      <c r="CA101" s="13"/>
      <c r="CC101" s="13"/>
    </row>
    <row r="102" spans="1:81" x14ac:dyDescent="0.35">
      <c r="A102" s="27">
        <v>97</v>
      </c>
      <c r="B102" s="57">
        <f t="shared" ref="B102:B133" si="17">Deposit_mon_alt</f>
        <v>2000</v>
      </c>
      <c r="C102" s="16">
        <f>ROUND(B102*(1+'Interest rate projection'!AB104/Var_freq)+IF(C$5="Mortgage Starts",0,Deposit_mon_alt),2)</f>
        <v>4007.35</v>
      </c>
      <c r="D102" s="16">
        <f>ROUND(C102*(1+'Interest rate projection'!AC104/Var_freq)+IF(D$5="Mortgage Starts",0,Deposit_mon_alt),2)</f>
        <v>6022.08</v>
      </c>
      <c r="E102" s="16">
        <f>ROUND(D102*(1+'Interest rate projection'!AD104/Var_freq)+IF(E$5="Mortgage Starts",0,Deposit_mon_alt),2)</f>
        <v>8044.21</v>
      </c>
      <c r="F102" s="16">
        <f>ROUND(E102*(1+'Interest rate projection'!AE104/Var_freq)+IF(F$5="Mortgage Starts",0,Deposit_mon_alt),2)</f>
        <v>10073.77</v>
      </c>
      <c r="G102" s="16">
        <f>ROUND(F102*(1+'Interest rate projection'!AF104/Var_freq)+IF(G$5="Mortgage Starts",0,Deposit_mon_alt),2)</f>
        <v>12110.79</v>
      </c>
      <c r="H102" s="16">
        <f>ROUND(G102*(1+'Interest rate projection'!AG104/Var_freq)+IF(H$5="Mortgage Starts",0,Deposit_mon_alt),2)</f>
        <v>14155.29</v>
      </c>
      <c r="I102" s="16">
        <f>ROUND(H102*(1+'Interest rate projection'!AH104/Var_freq)+IF(I$5="Mortgage Starts",0,Deposit_mon_alt),2)</f>
        <v>16207.31</v>
      </c>
      <c r="J102" s="16">
        <f>ROUND(I102*(1+'Interest rate projection'!AI104/Var_freq)+IF(J$5="Mortgage Starts",0,Deposit_mon_alt),2)</f>
        <v>18266.87</v>
      </c>
      <c r="K102" s="16">
        <f>ROUND(J102*(1+'Interest rate projection'!AJ104/Var_freq)+IF(K$5="Mortgage Starts",0,Deposit_mon_alt),2)</f>
        <v>20334</v>
      </c>
      <c r="L102" s="16">
        <f>ROUND(K102*(1+'Interest rate projection'!AK104/Var_freq)+IF(L$5="Mortgage Starts",0,Deposit_mon_alt),2)</f>
        <v>22408.720000000001</v>
      </c>
      <c r="M102" s="16">
        <f>ROUND(L102*(1+'Interest rate projection'!AL104/Var_freq)+IF(M$5="Mortgage Starts",0,Deposit_mon_alt),2)</f>
        <v>24491.07</v>
      </c>
      <c r="N102" s="57">
        <f>ROUND(M102*(1+'Interest rate projection'!AM104/Var_freq)+IF(N$5="Mortgage Starts",0,Deposit_mon_alt),2)</f>
        <v>24585.97</v>
      </c>
      <c r="O102" s="12"/>
      <c r="P102" s="38">
        <f>'Interest rate projection'!N104</f>
        <v>4.7500000000000001E-2</v>
      </c>
      <c r="Q102" s="38">
        <f>'Interest rate projection'!AN104</f>
        <v>4.6496219905550085E-2</v>
      </c>
      <c r="R102" s="59" t="str">
        <f t="shared" ref="R102:R133" si="18">IF(ROUND(P102,6)=ROUND((1+Q102/Var_freq)^Var_freq-1,6),"OK","ERROR")</f>
        <v>OK</v>
      </c>
      <c r="S102" s="39">
        <f t="shared" ref="S102:S133" si="19">(1-(1+P102)^-Mort_term)/Q102</f>
        <v>14.766012404082064</v>
      </c>
      <c r="T102" s="10"/>
      <c r="U102" s="73">
        <f t="shared" si="16"/>
        <v>24585.97</v>
      </c>
      <c r="V102" s="73">
        <f t="shared" si="14"/>
        <v>175414.03</v>
      </c>
      <c r="W102" s="74">
        <f t="shared" ref="W102:W133" si="20">ROUND(V102/S102/Var_freq,2)</f>
        <v>989.97</v>
      </c>
      <c r="X102" s="12"/>
      <c r="Y102" s="73">
        <f>'Fixed rate projection Alt'!$T$3-('Variable rate projection Alt'!W102*Product_term_alt*Var_freq)</f>
        <v>1429.1999999999898</v>
      </c>
      <c r="AA102" s="14"/>
      <c r="AB102" s="10"/>
      <c r="AC102" s="11"/>
      <c r="AD102" s="11"/>
      <c r="AE102" s="11"/>
      <c r="AF102" s="12"/>
      <c r="AG102" s="12"/>
      <c r="AH102" s="13"/>
      <c r="AJ102" s="14"/>
      <c r="AK102" s="10"/>
      <c r="AL102" s="11"/>
      <c r="AM102" s="11"/>
      <c r="AN102" s="11"/>
      <c r="AO102" s="12"/>
      <c r="AP102" s="12"/>
      <c r="AQ102" s="13"/>
      <c r="AS102" s="14"/>
      <c r="AT102" s="10"/>
      <c r="AU102" s="11"/>
      <c r="AV102" s="11"/>
      <c r="AW102" s="11"/>
      <c r="AX102" s="12"/>
      <c r="AY102" s="12"/>
      <c r="AZ102" s="13"/>
      <c r="BB102" s="14"/>
      <c r="BC102" s="10"/>
      <c r="BD102" s="11"/>
      <c r="BE102" s="11"/>
      <c r="BF102" s="11"/>
      <c r="BG102" s="12"/>
      <c r="BH102" s="12"/>
      <c r="BI102" s="13"/>
      <c r="BK102" s="14"/>
      <c r="BL102" s="10"/>
      <c r="BM102" s="11"/>
      <c r="BN102" s="11"/>
      <c r="BO102" s="11"/>
      <c r="BP102" s="12"/>
      <c r="BQ102" s="12"/>
      <c r="BR102" s="13"/>
      <c r="BT102" s="14"/>
      <c r="BU102" s="10"/>
      <c r="BV102" s="11"/>
      <c r="BW102" s="11"/>
      <c r="BX102" s="11"/>
      <c r="BY102" s="12"/>
      <c r="BZ102" s="12"/>
      <c r="CA102" s="13"/>
      <c r="CC102" s="13"/>
    </row>
    <row r="103" spans="1:81" x14ac:dyDescent="0.35">
      <c r="A103" s="5">
        <v>98</v>
      </c>
      <c r="B103" s="57">
        <f t="shared" si="17"/>
        <v>2000</v>
      </c>
      <c r="C103" s="16">
        <f>ROUND(B103*(1+'Interest rate projection'!AB105/Var_freq)+IF(C$5="Mortgage Starts",0,Deposit_mon_alt),2)</f>
        <v>4007.35</v>
      </c>
      <c r="D103" s="16">
        <f>ROUND(C103*(1+'Interest rate projection'!AC105/Var_freq)+IF(D$5="Mortgage Starts",0,Deposit_mon_alt),2)</f>
        <v>6022.08</v>
      </c>
      <c r="E103" s="16">
        <f>ROUND(D103*(1+'Interest rate projection'!AD105/Var_freq)+IF(E$5="Mortgage Starts",0,Deposit_mon_alt),2)</f>
        <v>8044.21</v>
      </c>
      <c r="F103" s="16">
        <f>ROUND(E103*(1+'Interest rate projection'!AE105/Var_freq)+IF(F$5="Mortgage Starts",0,Deposit_mon_alt),2)</f>
        <v>10073.77</v>
      </c>
      <c r="G103" s="16">
        <f>ROUND(F103*(1+'Interest rate projection'!AF105/Var_freq)+IF(G$5="Mortgage Starts",0,Deposit_mon_alt),2)</f>
        <v>12110.79</v>
      </c>
      <c r="H103" s="16">
        <f>ROUND(G103*(1+'Interest rate projection'!AG105/Var_freq)+IF(H$5="Mortgage Starts",0,Deposit_mon_alt),2)</f>
        <v>14155.29</v>
      </c>
      <c r="I103" s="16">
        <f>ROUND(H103*(1+'Interest rate projection'!AH105/Var_freq)+IF(I$5="Mortgage Starts",0,Deposit_mon_alt),2)</f>
        <v>16207.31</v>
      </c>
      <c r="J103" s="16">
        <f>ROUND(I103*(1+'Interest rate projection'!AI105/Var_freq)+IF(J$5="Mortgage Starts",0,Deposit_mon_alt),2)</f>
        <v>18266.87</v>
      </c>
      <c r="K103" s="16">
        <f>ROUND(J103*(1+'Interest rate projection'!AJ105/Var_freq)+IF(K$5="Mortgage Starts",0,Deposit_mon_alt),2)</f>
        <v>20330.34</v>
      </c>
      <c r="L103" s="16">
        <f>ROUND(K103*(1+'Interest rate projection'!AK105/Var_freq)+IF(L$5="Mortgage Starts",0,Deposit_mon_alt),2)</f>
        <v>22400.98</v>
      </c>
      <c r="M103" s="16">
        <f>ROUND(L103*(1+'Interest rate projection'!AL105/Var_freq)+IF(M$5="Mortgage Starts",0,Deposit_mon_alt),2)</f>
        <v>24469.81</v>
      </c>
      <c r="N103" s="57">
        <f>ROUND(M103*(1+'Interest rate projection'!AM105/Var_freq)+IF(N$5="Mortgage Starts",0,Deposit_mon_alt),2)</f>
        <v>24544.99</v>
      </c>
      <c r="O103" s="12"/>
      <c r="P103" s="38">
        <f>'Interest rate projection'!N105</f>
        <v>3.7499999999999999E-2</v>
      </c>
      <c r="Q103" s="38">
        <f>'Interest rate projection'!AN105</f>
        <v>3.6870500439066589E-2</v>
      </c>
      <c r="R103" s="59" t="str">
        <f t="shared" si="18"/>
        <v>OK</v>
      </c>
      <c r="S103" s="39">
        <f t="shared" si="19"/>
        <v>16.317113717606386</v>
      </c>
      <c r="T103" s="10"/>
      <c r="U103" s="73">
        <f t="shared" si="16"/>
        <v>24544.99</v>
      </c>
      <c r="V103" s="73">
        <f t="shared" si="14"/>
        <v>175455.01</v>
      </c>
      <c r="W103" s="74">
        <f t="shared" si="20"/>
        <v>896.07</v>
      </c>
      <c r="X103" s="12"/>
      <c r="Y103" s="73">
        <f>'Fixed rate projection Alt'!$T$3-('Variable rate projection Alt'!W103*Product_term_alt*Var_freq)</f>
        <v>7063.1999999999898</v>
      </c>
      <c r="AA103" s="14"/>
      <c r="AB103" s="10"/>
      <c r="AC103" s="11"/>
      <c r="AD103" s="11"/>
      <c r="AE103" s="11"/>
      <c r="AF103" s="12"/>
      <c r="AG103" s="12"/>
      <c r="AH103" s="13"/>
      <c r="AJ103" s="14"/>
      <c r="AK103" s="10"/>
      <c r="AL103" s="11"/>
      <c r="AM103" s="11"/>
      <c r="AN103" s="11"/>
      <c r="AO103" s="12"/>
      <c r="AP103" s="12"/>
      <c r="AQ103" s="13"/>
      <c r="AS103" s="14"/>
      <c r="AT103" s="10"/>
      <c r="AU103" s="11"/>
      <c r="AV103" s="11"/>
      <c r="AW103" s="11"/>
      <c r="AX103" s="12"/>
      <c r="AY103" s="12"/>
      <c r="AZ103" s="13"/>
      <c r="BB103" s="14"/>
      <c r="BC103" s="10"/>
      <c r="BD103" s="11"/>
      <c r="BE103" s="11"/>
      <c r="BF103" s="11"/>
      <c r="BG103" s="12"/>
      <c r="BH103" s="12"/>
      <c r="BI103" s="13"/>
      <c r="BK103" s="14"/>
      <c r="BL103" s="10"/>
      <c r="BM103" s="11"/>
      <c r="BN103" s="11"/>
      <c r="BO103" s="11"/>
      <c r="BP103" s="12"/>
      <c r="BQ103" s="12"/>
      <c r="BR103" s="13"/>
      <c r="BT103" s="14"/>
      <c r="BU103" s="10"/>
      <c r="BV103" s="11"/>
      <c r="BW103" s="11"/>
      <c r="BX103" s="11"/>
      <c r="BY103" s="12"/>
      <c r="BZ103" s="12"/>
      <c r="CA103" s="13"/>
      <c r="CC103" s="13"/>
    </row>
    <row r="104" spans="1:81" x14ac:dyDescent="0.35">
      <c r="A104" s="27">
        <v>99</v>
      </c>
      <c r="B104" s="57">
        <f t="shared" si="17"/>
        <v>2000</v>
      </c>
      <c r="C104" s="16">
        <f>ROUND(B104*(1+'Interest rate projection'!AB106/Var_freq)+IF(C$5="Mortgage Starts",0,Deposit_mon_alt),2)</f>
        <v>4007.35</v>
      </c>
      <c r="D104" s="16">
        <f>ROUND(C104*(1+'Interest rate projection'!AC106/Var_freq)+IF(D$5="Mortgage Starts",0,Deposit_mon_alt),2)</f>
        <v>6022.08</v>
      </c>
      <c r="E104" s="16">
        <f>ROUND(D104*(1+'Interest rate projection'!AD106/Var_freq)+IF(E$5="Mortgage Starts",0,Deposit_mon_alt),2)</f>
        <v>8041.79</v>
      </c>
      <c r="F104" s="16">
        <f>ROUND(E104*(1+'Interest rate projection'!AE106/Var_freq)+IF(F$5="Mortgage Starts",0,Deposit_mon_alt),2)</f>
        <v>10068.120000000001</v>
      </c>
      <c r="G104" s="16">
        <f>ROUND(F104*(1+'Interest rate projection'!AF106/Var_freq)+IF(G$5="Mortgage Starts",0,Deposit_mon_alt),2)</f>
        <v>12101.08</v>
      </c>
      <c r="H104" s="16">
        <f>ROUND(G104*(1+'Interest rate projection'!AG106/Var_freq)+IF(H$5="Mortgage Starts",0,Deposit_mon_alt),2)</f>
        <v>14140.7</v>
      </c>
      <c r="I104" s="16">
        <f>ROUND(H104*(1+'Interest rate projection'!AH106/Var_freq)+IF(I$5="Mortgage Starts",0,Deposit_mon_alt),2)</f>
        <v>16181.3</v>
      </c>
      <c r="J104" s="16">
        <f>ROUND(I104*(1+'Interest rate projection'!AI106/Var_freq)+IF(J$5="Mortgage Starts",0,Deposit_mon_alt),2)</f>
        <v>18227.75</v>
      </c>
      <c r="K104" s="16">
        <f>ROUND(J104*(1+'Interest rate projection'!AJ106/Var_freq)+IF(K$5="Mortgage Starts",0,Deposit_mon_alt),2)</f>
        <v>20280.080000000002</v>
      </c>
      <c r="L104" s="16">
        <f>ROUND(K104*(1+'Interest rate projection'!AK106/Var_freq)+IF(L$5="Mortgage Starts",0,Deposit_mon_alt),2)</f>
        <v>22338.3</v>
      </c>
      <c r="M104" s="16">
        <f>ROUND(L104*(1+'Interest rate projection'!AL106/Var_freq)+IF(M$5="Mortgage Starts",0,Deposit_mon_alt),2)</f>
        <v>24402.43</v>
      </c>
      <c r="N104" s="57">
        <f>ROUND(M104*(1+'Interest rate projection'!AM106/Var_freq)+IF(N$5="Mortgage Starts",0,Deposit_mon_alt),2)</f>
        <v>24472.49</v>
      </c>
      <c r="O104" s="12"/>
      <c r="P104" s="38">
        <f>'Interest rate projection'!N106</f>
        <v>3.5000000000000003E-2</v>
      </c>
      <c r="Q104" s="38">
        <f>'Interest rate projection'!AN106</f>
        <v>3.4450784628919706E-2</v>
      </c>
      <c r="R104" s="59" t="str">
        <f t="shared" si="18"/>
        <v>OK</v>
      </c>
      <c r="S104" s="39">
        <f t="shared" si="19"/>
        <v>16.744263358395965</v>
      </c>
      <c r="T104" s="10"/>
      <c r="U104" s="73">
        <f t="shared" si="16"/>
        <v>24472.49</v>
      </c>
      <c r="V104" s="73">
        <f t="shared" si="14"/>
        <v>175527.51</v>
      </c>
      <c r="W104" s="74">
        <f t="shared" si="20"/>
        <v>873.57</v>
      </c>
      <c r="X104" s="12"/>
      <c r="Y104" s="73">
        <f>'Fixed rate projection Alt'!$T$3-('Variable rate projection Alt'!W104*Product_term_alt*Var_freq)</f>
        <v>8413.1999999999898</v>
      </c>
      <c r="AA104" s="14"/>
      <c r="AB104" s="10"/>
      <c r="AC104" s="11"/>
      <c r="AD104" s="11"/>
      <c r="AE104" s="11"/>
      <c r="AF104" s="12"/>
      <c r="AG104" s="12"/>
      <c r="AH104" s="13"/>
      <c r="AJ104" s="14"/>
      <c r="AK104" s="10"/>
      <c r="AL104" s="11"/>
      <c r="AM104" s="11"/>
      <c r="AN104" s="11"/>
      <c r="AO104" s="12"/>
      <c r="AP104" s="12"/>
      <c r="AQ104" s="13"/>
      <c r="AS104" s="14"/>
      <c r="AT104" s="10"/>
      <c r="AU104" s="11"/>
      <c r="AV104" s="11"/>
      <c r="AW104" s="11"/>
      <c r="AX104" s="12"/>
      <c r="AY104" s="12"/>
      <c r="AZ104" s="13"/>
      <c r="BB104" s="14"/>
      <c r="BC104" s="10"/>
      <c r="BD104" s="11"/>
      <c r="BE104" s="11"/>
      <c r="BF104" s="11"/>
      <c r="BG104" s="12"/>
      <c r="BH104" s="12"/>
      <c r="BI104" s="13"/>
      <c r="BK104" s="14"/>
      <c r="BL104" s="10"/>
      <c r="BM104" s="11"/>
      <c r="BN104" s="11"/>
      <c r="BO104" s="11"/>
      <c r="BP104" s="12"/>
      <c r="BQ104" s="12"/>
      <c r="BR104" s="13"/>
      <c r="BT104" s="14"/>
      <c r="BU104" s="10"/>
      <c r="BV104" s="11"/>
      <c r="BW104" s="11"/>
      <c r="BX104" s="11"/>
      <c r="BY104" s="12"/>
      <c r="BZ104" s="12"/>
      <c r="CA104" s="13"/>
      <c r="CC104" s="13"/>
    </row>
    <row r="105" spans="1:81" x14ac:dyDescent="0.35">
      <c r="A105" s="5">
        <v>100</v>
      </c>
      <c r="B105" s="57">
        <f t="shared" si="17"/>
        <v>2000</v>
      </c>
      <c r="C105" s="16">
        <f>ROUND(B105*(1+'Interest rate projection'!AB107/Var_freq)+IF(C$5="Mortgage Starts",0,Deposit_mon_alt),2)</f>
        <v>4007.35</v>
      </c>
      <c r="D105" s="16">
        <f>ROUND(C105*(1+'Interest rate projection'!AC107/Var_freq)+IF(D$5="Mortgage Starts",0,Deposit_mon_alt),2)</f>
        <v>6022.08</v>
      </c>
      <c r="E105" s="16">
        <f>ROUND(D105*(1+'Interest rate projection'!AD107/Var_freq)+IF(E$5="Mortgage Starts",0,Deposit_mon_alt),2)</f>
        <v>8046.61</v>
      </c>
      <c r="F105" s="16">
        <f>ROUND(E105*(1+'Interest rate projection'!AE107/Var_freq)+IF(F$5="Mortgage Starts",0,Deposit_mon_alt),2)</f>
        <v>10079.39</v>
      </c>
      <c r="G105" s="16">
        <f>ROUND(F105*(1+'Interest rate projection'!AF107/Var_freq)+IF(G$5="Mortgage Starts",0,Deposit_mon_alt),2)</f>
        <v>12120.45</v>
      </c>
      <c r="H105" s="16">
        <f>ROUND(G105*(1+'Interest rate projection'!AG107/Var_freq)+IF(H$5="Mortgage Starts",0,Deposit_mon_alt),2)</f>
        <v>14169.83</v>
      </c>
      <c r="I105" s="16">
        <f>ROUND(H105*(1+'Interest rate projection'!AH107/Var_freq)+IF(I$5="Mortgage Starts",0,Deposit_mon_alt),2)</f>
        <v>16227.56</v>
      </c>
      <c r="J105" s="16">
        <f>ROUND(I105*(1+'Interest rate projection'!AI107/Var_freq)+IF(J$5="Mortgage Starts",0,Deposit_mon_alt),2)</f>
        <v>18293.669999999998</v>
      </c>
      <c r="K105" s="16">
        <f>ROUND(J105*(1+'Interest rate projection'!AJ107/Var_freq)+IF(K$5="Mortgage Starts",0,Deposit_mon_alt),2)</f>
        <v>20368.2</v>
      </c>
      <c r="L105" s="16">
        <f>ROUND(K105*(1+'Interest rate projection'!AK107/Var_freq)+IF(L$5="Mortgage Starts",0,Deposit_mon_alt),2)</f>
        <v>22451.18</v>
      </c>
      <c r="M105" s="16">
        <f>ROUND(L105*(1+'Interest rate projection'!AL107/Var_freq)+IF(M$5="Mortgage Starts",0,Deposit_mon_alt),2)</f>
        <v>24538.17</v>
      </c>
      <c r="N105" s="57">
        <f>ROUND(M105*(1+'Interest rate projection'!AM107/Var_freq)+IF(N$5="Mortgage Starts",0,Deposit_mon_alt),2)</f>
        <v>24633.25</v>
      </c>
      <c r="O105" s="12"/>
      <c r="P105" s="38">
        <f>'Interest rate projection'!N107</f>
        <v>4.7499999999999994E-2</v>
      </c>
      <c r="Q105" s="38">
        <f>'Interest rate projection'!AN107</f>
        <v>4.6496219905550085E-2</v>
      </c>
      <c r="R105" s="59" t="str">
        <f t="shared" si="18"/>
        <v>OK</v>
      </c>
      <c r="S105" s="39">
        <f t="shared" si="19"/>
        <v>14.766012404082064</v>
      </c>
      <c r="T105" s="10"/>
      <c r="U105" s="73">
        <f t="shared" si="16"/>
        <v>24633.25</v>
      </c>
      <c r="V105" s="73">
        <f t="shared" si="14"/>
        <v>175366.75</v>
      </c>
      <c r="W105" s="74">
        <f t="shared" si="20"/>
        <v>989.7</v>
      </c>
      <c r="X105" s="12"/>
      <c r="Y105" s="73">
        <f>'Fixed rate projection Alt'!$T$3-('Variable rate projection Alt'!W105*Product_term_alt*Var_freq)</f>
        <v>1445.3999999999942</v>
      </c>
      <c r="AA105" s="14"/>
      <c r="AB105" s="10"/>
      <c r="AC105" s="11"/>
      <c r="AD105" s="11"/>
      <c r="AE105" s="11"/>
      <c r="AF105" s="12"/>
      <c r="AG105" s="12"/>
      <c r="AH105" s="13"/>
      <c r="AJ105" s="14"/>
      <c r="AK105" s="10"/>
      <c r="AL105" s="11"/>
      <c r="AM105" s="11"/>
      <c r="AN105" s="11"/>
      <c r="AO105" s="12"/>
      <c r="AP105" s="12"/>
      <c r="AQ105" s="13"/>
      <c r="AS105" s="14"/>
      <c r="AT105" s="10"/>
      <c r="AU105" s="11"/>
      <c r="AV105" s="11"/>
      <c r="AW105" s="11"/>
      <c r="AX105" s="12"/>
      <c r="AY105" s="12"/>
      <c r="AZ105" s="13"/>
      <c r="BB105" s="14"/>
      <c r="BC105" s="10"/>
      <c r="BD105" s="11"/>
      <c r="BE105" s="11"/>
      <c r="BF105" s="11"/>
      <c r="BG105" s="12"/>
      <c r="BH105" s="12"/>
      <c r="BI105" s="13"/>
      <c r="BK105" s="14"/>
      <c r="BL105" s="10"/>
      <c r="BM105" s="11"/>
      <c r="BN105" s="11"/>
      <c r="BO105" s="11"/>
      <c r="BP105" s="12"/>
      <c r="BQ105" s="12"/>
      <c r="BR105" s="13"/>
      <c r="BT105" s="14"/>
      <c r="BU105" s="10"/>
      <c r="BV105" s="11"/>
      <c r="BW105" s="11"/>
      <c r="BX105" s="11"/>
      <c r="BY105" s="12"/>
      <c r="BZ105" s="12"/>
      <c r="CA105" s="13"/>
      <c r="CC105" s="13"/>
    </row>
    <row r="106" spans="1:81" x14ac:dyDescent="0.35">
      <c r="A106" s="27">
        <v>101</v>
      </c>
      <c r="B106" s="57">
        <f t="shared" si="17"/>
        <v>2000</v>
      </c>
      <c r="C106" s="16">
        <f>ROUND(B106*(1+'Interest rate projection'!AB108/Var_freq)+IF(C$5="Mortgage Starts",0,Deposit_mon_alt),2)</f>
        <v>4007.35</v>
      </c>
      <c r="D106" s="16">
        <f>ROUND(C106*(1+'Interest rate projection'!AC108/Var_freq)+IF(D$5="Mortgage Starts",0,Deposit_mon_alt),2)</f>
        <v>6022.08</v>
      </c>
      <c r="E106" s="16">
        <f>ROUND(D106*(1+'Interest rate projection'!AD108/Var_freq)+IF(E$5="Mortgage Starts",0,Deposit_mon_alt),2)</f>
        <v>8044.21</v>
      </c>
      <c r="F106" s="16">
        <f>ROUND(E106*(1+'Interest rate projection'!AE108/Var_freq)+IF(F$5="Mortgage Starts",0,Deposit_mon_alt),2)</f>
        <v>10073.77</v>
      </c>
      <c r="G106" s="16">
        <f>ROUND(F106*(1+'Interest rate projection'!AF108/Var_freq)+IF(G$5="Mortgage Starts",0,Deposit_mon_alt),2)</f>
        <v>12110.79</v>
      </c>
      <c r="H106" s="16">
        <f>ROUND(G106*(1+'Interest rate projection'!AG108/Var_freq)+IF(H$5="Mortgage Starts",0,Deposit_mon_alt),2)</f>
        <v>14152.87</v>
      </c>
      <c r="I106" s="16">
        <f>ROUND(H106*(1+'Interest rate projection'!AH108/Var_freq)+IF(I$5="Mortgage Starts",0,Deposit_mon_alt),2)</f>
        <v>16202.04</v>
      </c>
      <c r="J106" s="16">
        <f>ROUND(I106*(1+'Interest rate projection'!AI108/Var_freq)+IF(J$5="Mortgage Starts",0,Deposit_mon_alt),2)</f>
        <v>18255.080000000002</v>
      </c>
      <c r="K106" s="16">
        <f>ROUND(J106*(1+'Interest rate projection'!AJ108/Var_freq)+IF(K$5="Mortgage Starts",0,Deposit_mon_alt),2)</f>
        <v>20314.84</v>
      </c>
      <c r="L106" s="16">
        <f>ROUND(K106*(1+'Interest rate projection'!AK108/Var_freq)+IF(L$5="Mortgage Starts",0,Deposit_mon_alt),2)</f>
        <v>22377.26</v>
      </c>
      <c r="M106" s="16">
        <f>ROUND(L106*(1+'Interest rate projection'!AL108/Var_freq)+IF(M$5="Mortgage Starts",0,Deposit_mon_alt),2)</f>
        <v>24446.02</v>
      </c>
      <c r="N106" s="57">
        <f>ROUND(M106*(1+'Interest rate projection'!AM108/Var_freq)+IF(N$5="Mortgage Starts",0,Deposit_mon_alt),2)</f>
        <v>24521.13</v>
      </c>
      <c r="O106" s="12"/>
      <c r="P106" s="38">
        <f>'Interest rate projection'!N108</f>
        <v>3.7499999999999992E-2</v>
      </c>
      <c r="Q106" s="38">
        <f>'Interest rate projection'!AN108</f>
        <v>3.6870500439066589E-2</v>
      </c>
      <c r="R106" s="59" t="str">
        <f t="shared" si="18"/>
        <v>OK</v>
      </c>
      <c r="S106" s="39">
        <f t="shared" si="19"/>
        <v>16.317113717606386</v>
      </c>
      <c r="T106" s="10"/>
      <c r="U106" s="73">
        <f t="shared" si="16"/>
        <v>24521.13</v>
      </c>
      <c r="V106" s="73">
        <f t="shared" si="14"/>
        <v>175478.87</v>
      </c>
      <c r="W106" s="74">
        <f t="shared" si="20"/>
        <v>896.19</v>
      </c>
      <c r="X106" s="12"/>
      <c r="Y106" s="73">
        <f>'Fixed rate projection Alt'!$T$3-('Variable rate projection Alt'!W106*Product_term_alt*Var_freq)</f>
        <v>7055.9999999999854</v>
      </c>
      <c r="AA106" s="14"/>
      <c r="AB106" s="10"/>
      <c r="AC106" s="11"/>
      <c r="AD106" s="11"/>
      <c r="AE106" s="11"/>
      <c r="AF106" s="12"/>
      <c r="AG106" s="12"/>
      <c r="AH106" s="13"/>
      <c r="AJ106" s="14"/>
      <c r="AK106" s="10"/>
      <c r="AL106" s="11"/>
      <c r="AM106" s="11"/>
      <c r="AN106" s="11"/>
      <c r="AO106" s="12"/>
      <c r="AP106" s="12"/>
      <c r="AQ106" s="13"/>
      <c r="AS106" s="14"/>
      <c r="AT106" s="10"/>
      <c r="AU106" s="11"/>
      <c r="AV106" s="11"/>
      <c r="AW106" s="11"/>
      <c r="AX106" s="12"/>
      <c r="AY106" s="12"/>
      <c r="AZ106" s="13"/>
      <c r="BB106" s="14"/>
      <c r="BC106" s="10"/>
      <c r="BD106" s="11"/>
      <c r="BE106" s="11"/>
      <c r="BF106" s="11"/>
      <c r="BG106" s="12"/>
      <c r="BH106" s="12"/>
      <c r="BI106" s="13"/>
      <c r="BK106" s="14"/>
      <c r="BL106" s="10"/>
      <c r="BM106" s="11"/>
      <c r="BN106" s="11"/>
      <c r="BO106" s="11"/>
      <c r="BP106" s="12"/>
      <c r="BQ106" s="12"/>
      <c r="BR106" s="13"/>
      <c r="BT106" s="14"/>
      <c r="BU106" s="10"/>
      <c r="BV106" s="11"/>
      <c r="BW106" s="11"/>
      <c r="BX106" s="11"/>
      <c r="BY106" s="12"/>
      <c r="BZ106" s="12"/>
      <c r="CA106" s="13"/>
      <c r="CC106" s="13"/>
    </row>
    <row r="107" spans="1:81" x14ac:dyDescent="0.35">
      <c r="A107" s="5">
        <v>102</v>
      </c>
      <c r="B107" s="57">
        <f t="shared" si="17"/>
        <v>2000</v>
      </c>
      <c r="C107" s="16">
        <f>ROUND(B107*(1+'Interest rate projection'!AB109/Var_freq)+IF(C$5="Mortgage Starts",0,Deposit_mon_alt),2)</f>
        <v>4007.35</v>
      </c>
      <c r="D107" s="16">
        <f>ROUND(C107*(1+'Interest rate projection'!AC109/Var_freq)+IF(D$5="Mortgage Starts",0,Deposit_mon_alt),2)</f>
        <v>6022.08</v>
      </c>
      <c r="E107" s="16">
        <f>ROUND(D107*(1+'Interest rate projection'!AD109/Var_freq)+IF(E$5="Mortgage Starts",0,Deposit_mon_alt),2)</f>
        <v>8044.21</v>
      </c>
      <c r="F107" s="16">
        <f>ROUND(E107*(1+'Interest rate projection'!AE109/Var_freq)+IF(F$5="Mortgage Starts",0,Deposit_mon_alt),2)</f>
        <v>10073.77</v>
      </c>
      <c r="G107" s="16">
        <f>ROUND(F107*(1+'Interest rate projection'!AF109/Var_freq)+IF(G$5="Mortgage Starts",0,Deposit_mon_alt),2)</f>
        <v>12110.79</v>
      </c>
      <c r="H107" s="16">
        <f>ROUND(G107*(1+'Interest rate projection'!AG109/Var_freq)+IF(H$5="Mortgage Starts",0,Deposit_mon_alt),2)</f>
        <v>14155.29</v>
      </c>
      <c r="I107" s="16">
        <f>ROUND(H107*(1+'Interest rate projection'!AH109/Var_freq)+IF(I$5="Mortgage Starts",0,Deposit_mon_alt),2)</f>
        <v>16207.31</v>
      </c>
      <c r="J107" s="16">
        <f>ROUND(I107*(1+'Interest rate projection'!AI109/Var_freq)+IF(J$5="Mortgage Starts",0,Deposit_mon_alt),2)</f>
        <v>18266.87</v>
      </c>
      <c r="K107" s="16">
        <f>ROUND(J107*(1+'Interest rate projection'!AJ109/Var_freq)+IF(K$5="Mortgage Starts",0,Deposit_mon_alt),2)</f>
        <v>20334</v>
      </c>
      <c r="L107" s="16">
        <f>ROUND(K107*(1+'Interest rate projection'!AK109/Var_freq)+IF(L$5="Mortgage Starts",0,Deposit_mon_alt),2)</f>
        <v>22408.720000000001</v>
      </c>
      <c r="M107" s="16">
        <f>ROUND(L107*(1+'Interest rate projection'!AL109/Var_freq)+IF(M$5="Mortgage Starts",0,Deposit_mon_alt),2)</f>
        <v>24491.07</v>
      </c>
      <c r="N107" s="57">
        <f>ROUND(M107*(1+'Interest rate projection'!AM109/Var_freq)+IF(N$5="Mortgage Starts",0,Deposit_mon_alt),2)</f>
        <v>24581.07</v>
      </c>
      <c r="P107" s="38">
        <f>'Interest rate projection'!N109</f>
        <v>4.4999999999999998E-2</v>
      </c>
      <c r="Q107" s="38">
        <f>'Interest rate projection'!AN109</f>
        <v>4.4097712805242217E-2</v>
      </c>
      <c r="R107" s="59" t="str">
        <f t="shared" si="18"/>
        <v>OK</v>
      </c>
      <c r="S107" s="39">
        <f t="shared" si="19"/>
        <v>15.131610255367837</v>
      </c>
      <c r="U107" s="73">
        <f t="shared" si="16"/>
        <v>24581.07</v>
      </c>
      <c r="V107" s="73">
        <f t="shared" si="14"/>
        <v>175418.93</v>
      </c>
      <c r="W107" s="74">
        <f t="shared" si="20"/>
        <v>966.07</v>
      </c>
      <c r="Y107" s="73">
        <f>'Fixed rate projection Alt'!$T$3-('Variable rate projection Alt'!W107*Product_term_alt*Var_freq)</f>
        <v>2863.1999999999898</v>
      </c>
    </row>
    <row r="108" spans="1:81" x14ac:dyDescent="0.35">
      <c r="A108" s="27">
        <v>103</v>
      </c>
      <c r="B108" s="57">
        <f t="shared" si="17"/>
        <v>2000</v>
      </c>
      <c r="C108" s="16">
        <f>ROUND(B108*(1+'Interest rate projection'!AB110/Var_freq)+IF(C$5="Mortgage Starts",0,Deposit_mon_alt),2)</f>
        <v>4007.35</v>
      </c>
      <c r="D108" s="16">
        <f>ROUND(C108*(1+'Interest rate projection'!AC110/Var_freq)+IF(D$5="Mortgage Starts",0,Deposit_mon_alt),2)</f>
        <v>6022.08</v>
      </c>
      <c r="E108" s="16">
        <f>ROUND(D108*(1+'Interest rate projection'!AD110/Var_freq)+IF(E$5="Mortgage Starts",0,Deposit_mon_alt),2)</f>
        <v>8044.21</v>
      </c>
      <c r="F108" s="16">
        <f>ROUND(E108*(1+'Interest rate projection'!AE110/Var_freq)+IF(F$5="Mortgage Starts",0,Deposit_mon_alt),2)</f>
        <v>10073.77</v>
      </c>
      <c r="G108" s="16">
        <f>ROUND(F108*(1+'Interest rate projection'!AF110/Var_freq)+IF(G$5="Mortgage Starts",0,Deposit_mon_alt),2)</f>
        <v>12110.79</v>
      </c>
      <c r="H108" s="16">
        <f>ROUND(G108*(1+'Interest rate projection'!AG110/Var_freq)+IF(H$5="Mortgage Starts",0,Deposit_mon_alt),2)</f>
        <v>14155.29</v>
      </c>
      <c r="I108" s="16">
        <f>ROUND(H108*(1+'Interest rate projection'!AH110/Var_freq)+IF(I$5="Mortgage Starts",0,Deposit_mon_alt),2)</f>
        <v>16210.14</v>
      </c>
      <c r="J108" s="16">
        <f>ROUND(I108*(1+'Interest rate projection'!AI110/Var_freq)+IF(J$5="Mortgage Starts",0,Deposit_mon_alt),2)</f>
        <v>18272.95</v>
      </c>
      <c r="K108" s="16">
        <f>ROUND(J108*(1+'Interest rate projection'!AJ110/Var_freq)+IF(K$5="Mortgage Starts",0,Deposit_mon_alt),2)</f>
        <v>20343.75</v>
      </c>
      <c r="L108" s="16">
        <f>ROUND(K108*(1+'Interest rate projection'!AK110/Var_freq)+IF(L$5="Mortgage Starts",0,Deposit_mon_alt),2)</f>
        <v>22422.58</v>
      </c>
      <c r="M108" s="16">
        <f>ROUND(L108*(1+'Interest rate projection'!AL110/Var_freq)+IF(M$5="Mortgage Starts",0,Deposit_mon_alt),2)</f>
        <v>24513.93</v>
      </c>
      <c r="N108" s="57">
        <f>ROUND(M108*(1+'Interest rate projection'!AM110/Var_freq)+IF(N$5="Mortgage Starts",0,Deposit_mon_alt),2)</f>
        <v>24613.8</v>
      </c>
      <c r="P108" s="38">
        <f>'Interest rate projection'!N110</f>
        <v>0.05</v>
      </c>
      <c r="Q108" s="38">
        <f>'Interest rate projection'!AN110</f>
        <v>4.8889485403780242E-2</v>
      </c>
      <c r="R108" s="59" t="str">
        <f t="shared" si="18"/>
        <v>OK</v>
      </c>
      <c r="S108" s="39">
        <f t="shared" si="19"/>
        <v>14.4140856153857</v>
      </c>
      <c r="U108" s="73">
        <f t="shared" si="16"/>
        <v>24613.8</v>
      </c>
      <c r="V108" s="73">
        <f t="shared" si="14"/>
        <v>175386.2</v>
      </c>
      <c r="W108" s="74">
        <f t="shared" si="20"/>
        <v>1013.97</v>
      </c>
      <c r="Y108" s="73">
        <f>'Fixed rate projection Alt'!$T$3-('Variable rate projection Alt'!W108*Product_term_alt*Var_freq)</f>
        <v>-10.800000000010186</v>
      </c>
    </row>
    <row r="109" spans="1:81" x14ac:dyDescent="0.35">
      <c r="A109" s="5">
        <v>104</v>
      </c>
      <c r="B109" s="57">
        <f t="shared" si="17"/>
        <v>2000</v>
      </c>
      <c r="C109" s="16">
        <f>ROUND(B109*(1+'Interest rate projection'!AB111/Var_freq)+IF(C$5="Mortgage Starts",0,Deposit_mon_alt),2)</f>
        <v>4007.35</v>
      </c>
      <c r="D109" s="16">
        <f>ROUND(C109*(1+'Interest rate projection'!AC111/Var_freq)+IF(D$5="Mortgage Starts",0,Deposit_mon_alt),2)</f>
        <v>6022.88</v>
      </c>
      <c r="E109" s="16">
        <f>ROUND(D109*(1+'Interest rate projection'!AD111/Var_freq)+IF(E$5="Mortgage Starts",0,Deposit_mon_alt),2)</f>
        <v>8046.22</v>
      </c>
      <c r="F109" s="16">
        <f>ROUND(E109*(1+'Interest rate projection'!AE111/Var_freq)+IF(F$5="Mortgage Starts",0,Deposit_mon_alt),2)</f>
        <v>10077.4</v>
      </c>
      <c r="G109" s="16">
        <f>ROUND(F109*(1+'Interest rate projection'!AF111/Var_freq)+IF(G$5="Mortgage Starts",0,Deposit_mon_alt),2)</f>
        <v>12116.45</v>
      </c>
      <c r="H109" s="16">
        <f>ROUND(G109*(1+'Interest rate projection'!AG111/Var_freq)+IF(H$5="Mortgage Starts",0,Deposit_mon_alt),2)</f>
        <v>14163.4</v>
      </c>
      <c r="I109" s="16">
        <f>ROUND(H109*(1+'Interest rate projection'!AH111/Var_freq)+IF(I$5="Mortgage Starts",0,Deposit_mon_alt),2)</f>
        <v>16218.28</v>
      </c>
      <c r="J109" s="16">
        <f>ROUND(I109*(1+'Interest rate projection'!AI111/Var_freq)+IF(J$5="Mortgage Starts",0,Deposit_mon_alt),2)</f>
        <v>18274.63</v>
      </c>
      <c r="K109" s="16">
        <f>ROUND(J109*(1+'Interest rate projection'!AJ111/Var_freq)+IF(K$5="Mortgage Starts",0,Deposit_mon_alt),2)</f>
        <v>20338.13</v>
      </c>
      <c r="L109" s="16">
        <f>ROUND(K109*(1+'Interest rate projection'!AK111/Var_freq)+IF(L$5="Mortgage Starts",0,Deposit_mon_alt),2)</f>
        <v>22408.79</v>
      </c>
      <c r="M109" s="16">
        <f>ROUND(L109*(1+'Interest rate projection'!AL111/Var_freq)+IF(M$5="Mortgage Starts",0,Deposit_mon_alt),2)</f>
        <v>24486.65</v>
      </c>
      <c r="N109" s="57">
        <f>ROUND(M109*(1+'Interest rate projection'!AM111/Var_freq)+IF(N$5="Mortgage Starts",0,Deposit_mon_alt),2)</f>
        <v>24571.73</v>
      </c>
      <c r="P109" s="38">
        <f>'Interest rate projection'!N111</f>
        <v>4.2500000000000003E-2</v>
      </c>
      <c r="Q109" s="38">
        <f>'Interest rate projection'!AN111</f>
        <v>4.1693940041970023E-2</v>
      </c>
      <c r="R109" s="59" t="str">
        <f t="shared" si="18"/>
        <v>OK</v>
      </c>
      <c r="S109" s="39">
        <f t="shared" si="19"/>
        <v>15.511529757864551</v>
      </c>
      <c r="U109" s="73">
        <f t="shared" si="16"/>
        <v>24571.73</v>
      </c>
      <c r="V109" s="73">
        <f t="shared" si="14"/>
        <v>175428.27</v>
      </c>
      <c r="W109" s="74">
        <f t="shared" si="20"/>
        <v>942.46</v>
      </c>
      <c r="Y109" s="73">
        <f>'Fixed rate projection Alt'!$T$3-('Variable rate projection Alt'!W109*Product_term_alt*Var_freq)</f>
        <v>4279.7999999999884</v>
      </c>
    </row>
    <row r="110" spans="1:81" x14ac:dyDescent="0.35">
      <c r="A110" s="27">
        <v>105</v>
      </c>
      <c r="B110" s="57">
        <f t="shared" si="17"/>
        <v>2000</v>
      </c>
      <c r="C110" s="16">
        <f>ROUND(B110*(1+'Interest rate projection'!AB112/Var_freq)+IF(C$5="Mortgage Starts",0,Deposit_mon_alt),2)</f>
        <v>4007.35</v>
      </c>
      <c r="D110" s="16">
        <f>ROUND(C110*(1+'Interest rate projection'!AC112/Var_freq)+IF(D$5="Mortgage Starts",0,Deposit_mon_alt),2)</f>
        <v>6022.08</v>
      </c>
      <c r="E110" s="16">
        <f>ROUND(D110*(1+'Interest rate projection'!AD112/Var_freq)+IF(E$5="Mortgage Starts",0,Deposit_mon_alt),2)</f>
        <v>8044.21</v>
      </c>
      <c r="F110" s="16">
        <f>ROUND(E110*(1+'Interest rate projection'!AE112/Var_freq)+IF(F$5="Mortgage Starts",0,Deposit_mon_alt),2)</f>
        <v>10076.98</v>
      </c>
      <c r="G110" s="16">
        <f>ROUND(F110*(1+'Interest rate projection'!AF112/Var_freq)+IF(G$5="Mortgage Starts",0,Deposit_mon_alt),2)</f>
        <v>12118.03</v>
      </c>
      <c r="H110" s="16">
        <f>ROUND(G110*(1+'Interest rate projection'!AG112/Var_freq)+IF(H$5="Mortgage Starts",0,Deposit_mon_alt),2)</f>
        <v>14167.4</v>
      </c>
      <c r="I110" s="16">
        <f>ROUND(H110*(1+'Interest rate projection'!AH112/Var_freq)+IF(I$5="Mortgage Starts",0,Deposit_mon_alt),2)</f>
        <v>16227.94</v>
      </c>
      <c r="J110" s="16">
        <f>ROUND(I110*(1+'Interest rate projection'!AI112/Var_freq)+IF(J$5="Mortgage Starts",0,Deposit_mon_alt),2)</f>
        <v>18297.28</v>
      </c>
      <c r="K110" s="16">
        <f>ROUND(J110*(1+'Interest rate projection'!AJ112/Var_freq)+IF(K$5="Mortgage Starts",0,Deposit_mon_alt),2)</f>
        <v>20382.73</v>
      </c>
      <c r="L110" s="16">
        <f>ROUND(K110*(1+'Interest rate projection'!AK112/Var_freq)+IF(L$5="Mortgage Starts",0,Deposit_mon_alt),2)</f>
        <v>22477.91</v>
      </c>
      <c r="M110" s="16">
        <f>ROUND(L110*(1+'Interest rate projection'!AL112/Var_freq)+IF(M$5="Mortgage Starts",0,Deposit_mon_alt),2)</f>
        <v>24582.880000000001</v>
      </c>
      <c r="N110" s="57">
        <f>ROUND(M110*(1+'Interest rate projection'!AM112/Var_freq)+IF(N$5="Mortgage Starts",0,Deposit_mon_alt),2)</f>
        <v>24697.68</v>
      </c>
      <c r="P110" s="38">
        <f>'Interest rate projection'!N112</f>
        <v>5.7499999999999996E-2</v>
      </c>
      <c r="Q110" s="38">
        <f>'Interest rate projection'!AN112</f>
        <v>5.603807040042863E-2</v>
      </c>
      <c r="R110" s="59" t="str">
        <f t="shared" si="18"/>
        <v>OK</v>
      </c>
      <c r="S110" s="39">
        <f t="shared" si="19"/>
        <v>13.434312256020331</v>
      </c>
      <c r="U110" s="73">
        <f t="shared" si="16"/>
        <v>24697.68</v>
      </c>
      <c r="V110" s="73">
        <f t="shared" si="14"/>
        <v>175302.32</v>
      </c>
      <c r="W110" s="74">
        <f t="shared" si="20"/>
        <v>1087.4000000000001</v>
      </c>
      <c r="Y110" s="73">
        <f>'Fixed rate projection Alt'!$T$3-('Variable rate projection Alt'!W110*Product_term_alt*Var_freq)</f>
        <v>-4416.6000000000058</v>
      </c>
    </row>
    <row r="111" spans="1:81" x14ac:dyDescent="0.35">
      <c r="A111" s="5">
        <v>106</v>
      </c>
      <c r="B111" s="57">
        <f t="shared" si="17"/>
        <v>2000</v>
      </c>
      <c r="C111" s="16">
        <f>ROUND(B111*(1+'Interest rate projection'!AB113/Var_freq)+IF(C$5="Mortgage Starts",0,Deposit_mon_alt),2)</f>
        <v>4007.35</v>
      </c>
      <c r="D111" s="16">
        <f>ROUND(C111*(1+'Interest rate projection'!AC113/Var_freq)+IF(D$5="Mortgage Starts",0,Deposit_mon_alt),2)</f>
        <v>6022.08</v>
      </c>
      <c r="E111" s="16">
        <f>ROUND(D111*(1+'Interest rate projection'!AD113/Var_freq)+IF(E$5="Mortgage Starts",0,Deposit_mon_alt),2)</f>
        <v>8044.21</v>
      </c>
      <c r="F111" s="16">
        <f>ROUND(E111*(1+'Interest rate projection'!AE113/Var_freq)+IF(F$5="Mortgage Starts",0,Deposit_mon_alt),2)</f>
        <v>10073.77</v>
      </c>
      <c r="G111" s="16">
        <f>ROUND(F111*(1+'Interest rate projection'!AF113/Var_freq)+IF(G$5="Mortgage Starts",0,Deposit_mon_alt),2)</f>
        <v>12110.79</v>
      </c>
      <c r="H111" s="16">
        <f>ROUND(G111*(1+'Interest rate projection'!AG113/Var_freq)+IF(H$5="Mortgage Starts",0,Deposit_mon_alt),2)</f>
        <v>14155.29</v>
      </c>
      <c r="I111" s="16">
        <f>ROUND(H111*(1+'Interest rate projection'!AH113/Var_freq)+IF(I$5="Mortgage Starts",0,Deposit_mon_alt),2)</f>
        <v>16207.31</v>
      </c>
      <c r="J111" s="16">
        <f>ROUND(I111*(1+'Interest rate projection'!AI113/Var_freq)+IF(J$5="Mortgage Starts",0,Deposit_mon_alt),2)</f>
        <v>18273.34</v>
      </c>
      <c r="K111" s="16">
        <f>ROUND(J111*(1+'Interest rate projection'!AJ113/Var_freq)+IF(K$5="Mortgage Starts",0,Deposit_mon_alt),2)</f>
        <v>20347.79</v>
      </c>
      <c r="L111" s="16">
        <f>ROUND(K111*(1+'Interest rate projection'!AK113/Var_freq)+IF(L$5="Mortgage Starts",0,Deposit_mon_alt),2)</f>
        <v>22430.69</v>
      </c>
      <c r="M111" s="16">
        <f>ROUND(L111*(1+'Interest rate projection'!AL113/Var_freq)+IF(M$5="Mortgage Starts",0,Deposit_mon_alt),2)</f>
        <v>24522.080000000002</v>
      </c>
      <c r="N111" s="57">
        <f>ROUND(M111*(1+'Interest rate projection'!AM113/Var_freq)+IF(N$5="Mortgage Starts",0,Deposit_mon_alt),2)</f>
        <v>24621.99</v>
      </c>
      <c r="P111" s="38">
        <f>'Interest rate projection'!N113</f>
        <v>4.7499999999999994E-2</v>
      </c>
      <c r="Q111" s="38">
        <f>'Interest rate projection'!AN113</f>
        <v>4.6496219905550085E-2</v>
      </c>
      <c r="R111" s="59" t="str">
        <f t="shared" si="18"/>
        <v>OK</v>
      </c>
      <c r="S111" s="39">
        <f t="shared" si="19"/>
        <v>14.766012404082064</v>
      </c>
      <c r="U111" s="73">
        <f t="shared" si="16"/>
        <v>24621.99</v>
      </c>
      <c r="V111" s="73">
        <f t="shared" si="14"/>
        <v>175378.01</v>
      </c>
      <c r="W111" s="74">
        <f t="shared" si="20"/>
        <v>989.76</v>
      </c>
      <c r="Y111" s="73">
        <f>'Fixed rate projection Alt'!$T$3-('Variable rate projection Alt'!W111*Product_term_alt*Var_freq)</f>
        <v>1441.7999999999884</v>
      </c>
    </row>
    <row r="112" spans="1:81" x14ac:dyDescent="0.35">
      <c r="A112" s="27">
        <v>107</v>
      </c>
      <c r="B112" s="57">
        <f t="shared" si="17"/>
        <v>2000</v>
      </c>
      <c r="C112" s="16">
        <f>ROUND(B112*(1+'Interest rate projection'!AB114/Var_freq)+IF(C$5="Mortgage Starts",0,Deposit_mon_alt),2)</f>
        <v>4007.35</v>
      </c>
      <c r="D112" s="16">
        <f>ROUND(C112*(1+'Interest rate projection'!AC114/Var_freq)+IF(D$5="Mortgage Starts",0,Deposit_mon_alt),2)</f>
        <v>6022.08</v>
      </c>
      <c r="E112" s="16">
        <f>ROUND(D112*(1+'Interest rate projection'!AD114/Var_freq)+IF(E$5="Mortgage Starts",0,Deposit_mon_alt),2)</f>
        <v>8044.21</v>
      </c>
      <c r="F112" s="16">
        <f>ROUND(E112*(1+'Interest rate projection'!AE114/Var_freq)+IF(F$5="Mortgage Starts",0,Deposit_mon_alt),2)</f>
        <v>10070.540000000001</v>
      </c>
      <c r="G112" s="16">
        <f>ROUND(F112*(1+'Interest rate projection'!AF114/Var_freq)+IF(G$5="Mortgage Starts",0,Deposit_mon_alt),2)</f>
        <v>12103.51</v>
      </c>
      <c r="H112" s="16">
        <f>ROUND(G112*(1+'Interest rate projection'!AG114/Var_freq)+IF(H$5="Mortgage Starts",0,Deposit_mon_alt),2)</f>
        <v>14143.13</v>
      </c>
      <c r="I112" s="16">
        <f>ROUND(H112*(1+'Interest rate projection'!AH114/Var_freq)+IF(I$5="Mortgage Starts",0,Deposit_mon_alt),2)</f>
        <v>16189.43</v>
      </c>
      <c r="J112" s="16">
        <f>ROUND(I112*(1+'Interest rate projection'!AI114/Var_freq)+IF(J$5="Mortgage Starts",0,Deposit_mon_alt),2)</f>
        <v>18242.43</v>
      </c>
      <c r="K112" s="16">
        <f>ROUND(J112*(1+'Interest rate projection'!AJ114/Var_freq)+IF(K$5="Mortgage Starts",0,Deposit_mon_alt),2)</f>
        <v>20302.150000000001</v>
      </c>
      <c r="L112" s="16">
        <f>ROUND(K112*(1+'Interest rate projection'!AK114/Var_freq)+IF(L$5="Mortgage Starts",0,Deposit_mon_alt),2)</f>
        <v>22368.61</v>
      </c>
      <c r="M112" s="16">
        <f>ROUND(L112*(1+'Interest rate projection'!AL114/Var_freq)+IF(M$5="Mortgage Starts",0,Deposit_mon_alt),2)</f>
        <v>24441.84</v>
      </c>
      <c r="N112" s="57">
        <f>ROUND(M112*(1+'Interest rate projection'!AM114/Var_freq)+IF(N$5="Mortgage Starts",0,Deposit_mon_alt),2)</f>
        <v>24521.86</v>
      </c>
      <c r="P112" s="38">
        <f>'Interest rate projection'!N114</f>
        <v>0.04</v>
      </c>
      <c r="Q112" s="38">
        <f>'Interest rate projection'!AN114</f>
        <v>3.9284877386386974E-2</v>
      </c>
      <c r="R112" s="59" t="str">
        <f t="shared" si="18"/>
        <v>OK</v>
      </c>
      <c r="S112" s="39">
        <f t="shared" si="19"/>
        <v>15.906456614335044</v>
      </c>
      <c r="U112" s="73">
        <f t="shared" si="16"/>
        <v>24521.86</v>
      </c>
      <c r="V112" s="73">
        <f t="shared" si="14"/>
        <v>175478.14</v>
      </c>
      <c r="W112" s="74">
        <f t="shared" si="20"/>
        <v>919.32</v>
      </c>
      <c r="Y112" s="73">
        <f>'Fixed rate projection Alt'!$T$3-('Variable rate projection Alt'!W112*Product_term_alt*Var_freq)</f>
        <v>5668.1999999999898</v>
      </c>
    </row>
    <row r="113" spans="1:25" x14ac:dyDescent="0.35">
      <c r="A113" s="5">
        <v>108</v>
      </c>
      <c r="B113" s="57">
        <f t="shared" si="17"/>
        <v>2000</v>
      </c>
      <c r="C113" s="16">
        <f>ROUND(B113*(1+'Interest rate projection'!AB115/Var_freq)+IF(C$5="Mortgage Starts",0,Deposit_mon_alt),2)</f>
        <v>4007.35</v>
      </c>
      <c r="D113" s="16">
        <f>ROUND(C113*(1+'Interest rate projection'!AC115/Var_freq)+IF(D$5="Mortgage Starts",0,Deposit_mon_alt),2)</f>
        <v>6022.08</v>
      </c>
      <c r="E113" s="16">
        <f>ROUND(D113*(1+'Interest rate projection'!AD115/Var_freq)+IF(E$5="Mortgage Starts",0,Deposit_mon_alt),2)</f>
        <v>8046.61</v>
      </c>
      <c r="F113" s="16">
        <f>ROUND(E113*(1+'Interest rate projection'!AE115/Var_freq)+IF(F$5="Mortgage Starts",0,Deposit_mon_alt),2)</f>
        <v>10079.39</v>
      </c>
      <c r="G113" s="16">
        <f>ROUND(F113*(1+'Interest rate projection'!AF115/Var_freq)+IF(G$5="Mortgage Starts",0,Deposit_mon_alt),2)</f>
        <v>12120.45</v>
      </c>
      <c r="H113" s="16">
        <f>ROUND(G113*(1+'Interest rate projection'!AG115/Var_freq)+IF(H$5="Mortgage Starts",0,Deposit_mon_alt),2)</f>
        <v>14169.83</v>
      </c>
      <c r="I113" s="16">
        <f>ROUND(H113*(1+'Interest rate projection'!AH115/Var_freq)+IF(I$5="Mortgage Starts",0,Deposit_mon_alt),2)</f>
        <v>16227.56</v>
      </c>
      <c r="J113" s="16">
        <f>ROUND(I113*(1+'Interest rate projection'!AI115/Var_freq)+IF(J$5="Mortgage Starts",0,Deposit_mon_alt),2)</f>
        <v>18293.669999999998</v>
      </c>
      <c r="K113" s="16">
        <f>ROUND(J113*(1+'Interest rate projection'!AJ115/Var_freq)+IF(K$5="Mortgage Starts",0,Deposit_mon_alt),2)</f>
        <v>20368.2</v>
      </c>
      <c r="L113" s="16">
        <f>ROUND(K113*(1+'Interest rate projection'!AK115/Var_freq)+IF(L$5="Mortgage Starts",0,Deposit_mon_alt),2)</f>
        <v>22451.18</v>
      </c>
      <c r="M113" s="16">
        <f>ROUND(L113*(1+'Interest rate projection'!AL115/Var_freq)+IF(M$5="Mortgage Starts",0,Deposit_mon_alt),2)</f>
        <v>24542.65</v>
      </c>
      <c r="N113" s="57">
        <f>ROUND(M113*(1+'Interest rate projection'!AM115/Var_freq)+IF(N$5="Mortgage Starts",0,Deposit_mon_alt),2)</f>
        <v>24642.639999999999</v>
      </c>
      <c r="P113" s="38">
        <f>'Interest rate projection'!N115</f>
        <v>4.9999999999999996E-2</v>
      </c>
      <c r="Q113" s="38">
        <f>'Interest rate projection'!AN115</f>
        <v>4.8889485403780242E-2</v>
      </c>
      <c r="R113" s="59" t="str">
        <f t="shared" si="18"/>
        <v>OK</v>
      </c>
      <c r="S113" s="39">
        <f t="shared" si="19"/>
        <v>14.4140856153857</v>
      </c>
      <c r="U113" s="73">
        <f t="shared" si="16"/>
        <v>24642.639999999999</v>
      </c>
      <c r="V113" s="73">
        <f t="shared" si="14"/>
        <v>175357.36</v>
      </c>
      <c r="W113" s="74">
        <f t="shared" si="20"/>
        <v>1013.81</v>
      </c>
      <c r="Y113" s="73">
        <f>'Fixed rate projection Alt'!$T$3-('Variable rate projection Alt'!W113*Product_term_alt*Var_freq)</f>
        <v>-1.1999999999970896</v>
      </c>
    </row>
    <row r="114" spans="1:25" x14ac:dyDescent="0.35">
      <c r="A114" s="27">
        <v>109</v>
      </c>
      <c r="B114" s="57">
        <f t="shared" si="17"/>
        <v>2000</v>
      </c>
      <c r="C114" s="16">
        <f>ROUND(B114*(1+'Interest rate projection'!AB116/Var_freq)+IF(C$5="Mortgage Starts",0,Deposit_mon_alt),2)</f>
        <v>4007.35</v>
      </c>
      <c r="D114" s="16">
        <f>ROUND(C114*(1+'Interest rate projection'!AC116/Var_freq)+IF(D$5="Mortgage Starts",0,Deposit_mon_alt),2)</f>
        <v>6020.47</v>
      </c>
      <c r="E114" s="16">
        <f>ROUND(D114*(1+'Interest rate projection'!AD116/Var_freq)+IF(E$5="Mortgage Starts",0,Deposit_mon_alt),2)</f>
        <v>8040.18</v>
      </c>
      <c r="F114" s="16">
        <f>ROUND(E114*(1+'Interest rate projection'!AE116/Var_freq)+IF(F$5="Mortgage Starts",0,Deposit_mon_alt),2)</f>
        <v>10066.5</v>
      </c>
      <c r="G114" s="16">
        <f>ROUND(F114*(1+'Interest rate projection'!AF116/Var_freq)+IF(G$5="Mortgage Starts",0,Deposit_mon_alt),2)</f>
        <v>12099.46</v>
      </c>
      <c r="H114" s="16">
        <f>ROUND(G114*(1+'Interest rate projection'!AG116/Var_freq)+IF(H$5="Mortgage Starts",0,Deposit_mon_alt),2)</f>
        <v>14139.07</v>
      </c>
      <c r="I114" s="16">
        <f>ROUND(H114*(1+'Interest rate projection'!AH116/Var_freq)+IF(I$5="Mortgage Starts",0,Deposit_mon_alt),2)</f>
        <v>16185.36</v>
      </c>
      <c r="J114" s="16">
        <f>ROUND(I114*(1+'Interest rate projection'!AI116/Var_freq)+IF(J$5="Mortgage Starts",0,Deposit_mon_alt),2)</f>
        <v>18238.349999999999</v>
      </c>
      <c r="K114" s="16">
        <f>ROUND(J114*(1+'Interest rate projection'!AJ116/Var_freq)+IF(K$5="Mortgage Starts",0,Deposit_mon_alt),2)</f>
        <v>20298.060000000001</v>
      </c>
      <c r="L114" s="16">
        <f>ROUND(K114*(1+'Interest rate projection'!AK116/Var_freq)+IF(L$5="Mortgage Starts",0,Deposit_mon_alt),2)</f>
        <v>22364.51</v>
      </c>
      <c r="M114" s="16">
        <f>ROUND(L114*(1+'Interest rate projection'!AL116/Var_freq)+IF(M$5="Mortgage Starts",0,Deposit_mon_alt),2)</f>
        <v>24437.73</v>
      </c>
      <c r="N114" s="57">
        <f>ROUND(M114*(1+'Interest rate projection'!AM116/Var_freq)+IF(N$5="Mortgage Starts",0,Deposit_mon_alt),2)</f>
        <v>24527.53</v>
      </c>
      <c r="P114" s="38">
        <f>'Interest rate projection'!N116</f>
        <v>4.4999999999999998E-2</v>
      </c>
      <c r="Q114" s="38">
        <f>'Interest rate projection'!AN116</f>
        <v>4.4097712805242217E-2</v>
      </c>
      <c r="R114" s="59" t="str">
        <f t="shared" si="18"/>
        <v>OK</v>
      </c>
      <c r="S114" s="39">
        <f t="shared" si="19"/>
        <v>15.131610255367837</v>
      </c>
      <c r="U114" s="73">
        <f t="shared" si="16"/>
        <v>24527.53</v>
      </c>
      <c r="V114" s="73">
        <f t="shared" si="14"/>
        <v>175472.47</v>
      </c>
      <c r="W114" s="74">
        <f t="shared" si="20"/>
        <v>966.37</v>
      </c>
      <c r="Y114" s="73">
        <f>'Fixed rate projection Alt'!$T$3-('Variable rate projection Alt'!W114*Product_term_alt*Var_freq)</f>
        <v>2845.1999999999898</v>
      </c>
    </row>
    <row r="115" spans="1:25" x14ac:dyDescent="0.35">
      <c r="A115" s="5">
        <v>110</v>
      </c>
      <c r="B115" s="57">
        <f t="shared" si="17"/>
        <v>2000</v>
      </c>
      <c r="C115" s="16">
        <f>ROUND(B115*(1+'Interest rate projection'!AB117/Var_freq)+IF(C$5="Mortgage Starts",0,Deposit_mon_alt),2)</f>
        <v>4007.35</v>
      </c>
      <c r="D115" s="16">
        <f>ROUND(C115*(1+'Interest rate projection'!AC117/Var_freq)+IF(D$5="Mortgage Starts",0,Deposit_mon_alt),2)</f>
        <v>6022.08</v>
      </c>
      <c r="E115" s="16">
        <f>ROUND(D115*(1+'Interest rate projection'!AD117/Var_freq)+IF(E$5="Mortgage Starts",0,Deposit_mon_alt),2)</f>
        <v>8044.21</v>
      </c>
      <c r="F115" s="16">
        <f>ROUND(E115*(1+'Interest rate projection'!AE117/Var_freq)+IF(F$5="Mortgage Starts",0,Deposit_mon_alt),2)</f>
        <v>10073.77</v>
      </c>
      <c r="G115" s="16">
        <f>ROUND(F115*(1+'Interest rate projection'!AF117/Var_freq)+IF(G$5="Mortgage Starts",0,Deposit_mon_alt),2)</f>
        <v>12112.8</v>
      </c>
      <c r="H115" s="16">
        <f>ROUND(G115*(1+'Interest rate projection'!AG117/Var_freq)+IF(H$5="Mortgage Starts",0,Deposit_mon_alt),2)</f>
        <v>14159.73</v>
      </c>
      <c r="I115" s="16">
        <f>ROUND(H115*(1+'Interest rate projection'!AH117/Var_freq)+IF(I$5="Mortgage Starts",0,Deposit_mon_alt),2)</f>
        <v>16214.59</v>
      </c>
      <c r="J115" s="16">
        <f>ROUND(I115*(1+'Interest rate projection'!AI117/Var_freq)+IF(J$5="Mortgage Starts",0,Deposit_mon_alt),2)</f>
        <v>18277.419999999998</v>
      </c>
      <c r="K115" s="16">
        <f>ROUND(J115*(1+'Interest rate projection'!AJ117/Var_freq)+IF(K$5="Mortgage Starts",0,Deposit_mon_alt),2)</f>
        <v>20348.240000000002</v>
      </c>
      <c r="L115" s="16">
        <f>ROUND(K115*(1+'Interest rate projection'!AK117/Var_freq)+IF(L$5="Mortgage Starts",0,Deposit_mon_alt),2)</f>
        <v>22427.08</v>
      </c>
      <c r="M115" s="16">
        <f>ROUND(L115*(1+'Interest rate projection'!AL117/Var_freq)+IF(M$5="Mortgage Starts",0,Deposit_mon_alt),2)</f>
        <v>24513.98</v>
      </c>
      <c r="N115" s="57">
        <f>ROUND(M115*(1+'Interest rate projection'!AM117/Var_freq)+IF(N$5="Mortgage Starts",0,Deposit_mon_alt),2)</f>
        <v>24599.15</v>
      </c>
      <c r="P115" s="38">
        <f>'Interest rate projection'!N117</f>
        <v>4.2500000000000003E-2</v>
      </c>
      <c r="Q115" s="38">
        <f>'Interest rate projection'!AN117</f>
        <v>4.1693940041970023E-2</v>
      </c>
      <c r="R115" s="59" t="str">
        <f t="shared" si="18"/>
        <v>OK</v>
      </c>
      <c r="S115" s="39">
        <f t="shared" si="19"/>
        <v>15.511529757864551</v>
      </c>
      <c r="U115" s="73">
        <f t="shared" si="16"/>
        <v>24599.15</v>
      </c>
      <c r="V115" s="73">
        <f t="shared" si="14"/>
        <v>175400.85</v>
      </c>
      <c r="W115" s="74">
        <f t="shared" si="20"/>
        <v>942.31</v>
      </c>
      <c r="Y115" s="73">
        <f>'Fixed rate projection Alt'!$T$3-('Variable rate projection Alt'!W115*Product_term_alt*Var_freq)</f>
        <v>4288.8000000000029</v>
      </c>
    </row>
    <row r="116" spans="1:25" x14ac:dyDescent="0.35">
      <c r="A116" s="27">
        <v>111</v>
      </c>
      <c r="B116" s="57">
        <f t="shared" si="17"/>
        <v>2000</v>
      </c>
      <c r="C116" s="16">
        <f>ROUND(B116*(1+'Interest rate projection'!AB118/Var_freq)+IF(C$5="Mortgage Starts",0,Deposit_mon_alt),2)</f>
        <v>4007.35</v>
      </c>
      <c r="D116" s="16">
        <f>ROUND(C116*(1+'Interest rate projection'!AC118/Var_freq)+IF(D$5="Mortgage Starts",0,Deposit_mon_alt),2)</f>
        <v>6022.08</v>
      </c>
      <c r="E116" s="16">
        <f>ROUND(D116*(1+'Interest rate projection'!AD118/Var_freq)+IF(E$5="Mortgage Starts",0,Deposit_mon_alt),2)</f>
        <v>8044.21</v>
      </c>
      <c r="F116" s="16">
        <f>ROUND(E116*(1+'Interest rate projection'!AE118/Var_freq)+IF(F$5="Mortgage Starts",0,Deposit_mon_alt),2)</f>
        <v>10073.77</v>
      </c>
      <c r="G116" s="16">
        <f>ROUND(F116*(1+'Interest rate projection'!AF118/Var_freq)+IF(G$5="Mortgage Starts",0,Deposit_mon_alt),2)</f>
        <v>12110.79</v>
      </c>
      <c r="H116" s="16">
        <f>ROUND(G116*(1+'Interest rate projection'!AG118/Var_freq)+IF(H$5="Mortgage Starts",0,Deposit_mon_alt),2)</f>
        <v>14155.29</v>
      </c>
      <c r="I116" s="16">
        <f>ROUND(H116*(1+'Interest rate projection'!AH118/Var_freq)+IF(I$5="Mortgage Starts",0,Deposit_mon_alt),2)</f>
        <v>16207.31</v>
      </c>
      <c r="J116" s="16">
        <f>ROUND(I116*(1+'Interest rate projection'!AI118/Var_freq)+IF(J$5="Mortgage Starts",0,Deposit_mon_alt),2)</f>
        <v>18266.87</v>
      </c>
      <c r="K116" s="16">
        <f>ROUND(J116*(1+'Interest rate projection'!AJ118/Var_freq)+IF(K$5="Mortgage Starts",0,Deposit_mon_alt),2)</f>
        <v>20330.34</v>
      </c>
      <c r="L116" s="16">
        <f>ROUND(K116*(1+'Interest rate projection'!AK118/Var_freq)+IF(L$5="Mortgage Starts",0,Deposit_mon_alt),2)</f>
        <v>22400.98</v>
      </c>
      <c r="M116" s="16">
        <f>ROUND(L116*(1+'Interest rate projection'!AL118/Var_freq)+IF(M$5="Mortgage Starts",0,Deposit_mon_alt),2)</f>
        <v>24474.31</v>
      </c>
      <c r="N116" s="57">
        <f>ROUND(M116*(1+'Interest rate projection'!AM118/Var_freq)+IF(N$5="Mortgage Starts",0,Deposit_mon_alt),2)</f>
        <v>24554.43</v>
      </c>
      <c r="P116" s="38">
        <f>'Interest rate projection'!N118</f>
        <v>3.9999999999999994E-2</v>
      </c>
      <c r="Q116" s="38">
        <f>'Interest rate projection'!AN118</f>
        <v>3.9284877386386974E-2</v>
      </c>
      <c r="R116" s="59" t="str">
        <f t="shared" si="18"/>
        <v>OK</v>
      </c>
      <c r="S116" s="39">
        <f t="shared" si="19"/>
        <v>15.906456614335044</v>
      </c>
      <c r="U116" s="73">
        <f t="shared" si="16"/>
        <v>24554.43</v>
      </c>
      <c r="V116" s="73">
        <f t="shared" si="14"/>
        <v>175445.57</v>
      </c>
      <c r="W116" s="74">
        <f t="shared" si="20"/>
        <v>919.15</v>
      </c>
      <c r="Y116" s="73">
        <f>'Fixed rate projection Alt'!$T$3-('Variable rate projection Alt'!W116*Product_term_alt*Var_freq)</f>
        <v>5678.3999999999942</v>
      </c>
    </row>
    <row r="117" spans="1:25" x14ac:dyDescent="0.35">
      <c r="A117" s="5">
        <v>112</v>
      </c>
      <c r="B117" s="57">
        <f t="shared" si="17"/>
        <v>2000</v>
      </c>
      <c r="C117" s="16">
        <f>ROUND(B117*(1+'Interest rate projection'!AB119/Var_freq)+IF(C$5="Mortgage Starts",0,Deposit_mon_alt),2)</f>
        <v>4007.35</v>
      </c>
      <c r="D117" s="16">
        <f>ROUND(C117*(1+'Interest rate projection'!AC119/Var_freq)+IF(D$5="Mortgage Starts",0,Deposit_mon_alt),2)</f>
        <v>6022.08</v>
      </c>
      <c r="E117" s="16">
        <f>ROUND(D117*(1+'Interest rate projection'!AD119/Var_freq)+IF(E$5="Mortgage Starts",0,Deposit_mon_alt),2)</f>
        <v>8044.21</v>
      </c>
      <c r="F117" s="16">
        <f>ROUND(E117*(1+'Interest rate projection'!AE119/Var_freq)+IF(F$5="Mortgage Starts",0,Deposit_mon_alt),2)</f>
        <v>10073.77</v>
      </c>
      <c r="G117" s="16">
        <f>ROUND(F117*(1+'Interest rate projection'!AF119/Var_freq)+IF(G$5="Mortgage Starts",0,Deposit_mon_alt),2)</f>
        <v>12110.79</v>
      </c>
      <c r="H117" s="16">
        <f>ROUND(G117*(1+'Interest rate projection'!AG119/Var_freq)+IF(H$5="Mortgage Starts",0,Deposit_mon_alt),2)</f>
        <v>14155.29</v>
      </c>
      <c r="I117" s="16">
        <f>ROUND(H117*(1+'Interest rate projection'!AH119/Var_freq)+IF(I$5="Mortgage Starts",0,Deposit_mon_alt),2)</f>
        <v>16207.31</v>
      </c>
      <c r="J117" s="16">
        <f>ROUND(I117*(1+'Interest rate projection'!AI119/Var_freq)+IF(J$5="Mortgage Starts",0,Deposit_mon_alt),2)</f>
        <v>18266.87</v>
      </c>
      <c r="K117" s="16">
        <f>ROUND(J117*(1+'Interest rate projection'!AJ119/Var_freq)+IF(K$5="Mortgage Starts",0,Deposit_mon_alt),2)</f>
        <v>20334</v>
      </c>
      <c r="L117" s="16">
        <f>ROUND(K117*(1+'Interest rate projection'!AK119/Var_freq)+IF(L$5="Mortgage Starts",0,Deposit_mon_alt),2)</f>
        <v>22408.720000000001</v>
      </c>
      <c r="M117" s="16">
        <f>ROUND(L117*(1+'Interest rate projection'!AL119/Var_freq)+IF(M$5="Mortgage Starts",0,Deposit_mon_alt),2)</f>
        <v>24491.07</v>
      </c>
      <c r="N117" s="57">
        <f>ROUND(M117*(1+'Interest rate projection'!AM119/Var_freq)+IF(N$5="Mortgage Starts",0,Deposit_mon_alt),2)</f>
        <v>24581.07</v>
      </c>
      <c r="P117" s="38">
        <f>'Interest rate projection'!N119</f>
        <v>4.4999999999999998E-2</v>
      </c>
      <c r="Q117" s="38">
        <f>'Interest rate projection'!AN119</f>
        <v>4.4097712805242217E-2</v>
      </c>
      <c r="R117" s="59" t="str">
        <f t="shared" si="18"/>
        <v>OK</v>
      </c>
      <c r="S117" s="39">
        <f t="shared" si="19"/>
        <v>15.131610255367837</v>
      </c>
      <c r="U117" s="73">
        <f t="shared" si="16"/>
        <v>24581.07</v>
      </c>
      <c r="V117" s="73">
        <f t="shared" si="14"/>
        <v>175418.93</v>
      </c>
      <c r="W117" s="74">
        <f t="shared" si="20"/>
        <v>966.07</v>
      </c>
      <c r="Y117" s="73">
        <f>'Fixed rate projection Alt'!$T$3-('Variable rate projection Alt'!W117*Product_term_alt*Var_freq)</f>
        <v>2863.1999999999898</v>
      </c>
    </row>
    <row r="118" spans="1:25" x14ac:dyDescent="0.35">
      <c r="A118" s="27">
        <v>113</v>
      </c>
      <c r="B118" s="57">
        <f t="shared" si="17"/>
        <v>2000</v>
      </c>
      <c r="C118" s="16">
        <f>ROUND(B118*(1+'Interest rate projection'!AB120/Var_freq)+IF(C$5="Mortgage Starts",0,Deposit_mon_alt),2)</f>
        <v>4007.35</v>
      </c>
      <c r="D118" s="16">
        <f>ROUND(C118*(1+'Interest rate projection'!AC120/Var_freq)+IF(D$5="Mortgage Starts",0,Deposit_mon_alt),2)</f>
        <v>6022.08</v>
      </c>
      <c r="E118" s="16">
        <f>ROUND(D118*(1+'Interest rate projection'!AD120/Var_freq)+IF(E$5="Mortgage Starts",0,Deposit_mon_alt),2)</f>
        <v>8044.21</v>
      </c>
      <c r="F118" s="16">
        <f>ROUND(E118*(1+'Interest rate projection'!AE120/Var_freq)+IF(F$5="Mortgage Starts",0,Deposit_mon_alt),2)</f>
        <v>10073.77</v>
      </c>
      <c r="G118" s="16">
        <f>ROUND(F118*(1+'Interest rate projection'!AF120/Var_freq)+IF(G$5="Mortgage Starts",0,Deposit_mon_alt),2)</f>
        <v>12110.79</v>
      </c>
      <c r="H118" s="16">
        <f>ROUND(G118*(1+'Interest rate projection'!AG120/Var_freq)+IF(H$5="Mortgage Starts",0,Deposit_mon_alt),2)</f>
        <v>14155.29</v>
      </c>
      <c r="I118" s="16">
        <f>ROUND(H118*(1+'Interest rate projection'!AH120/Var_freq)+IF(I$5="Mortgage Starts",0,Deposit_mon_alt),2)</f>
        <v>16207.31</v>
      </c>
      <c r="J118" s="16">
        <f>ROUND(I118*(1+'Interest rate projection'!AI120/Var_freq)+IF(J$5="Mortgage Starts",0,Deposit_mon_alt),2)</f>
        <v>18266.87</v>
      </c>
      <c r="K118" s="16">
        <f>ROUND(J118*(1+'Interest rate projection'!AJ120/Var_freq)+IF(K$5="Mortgage Starts",0,Deposit_mon_alt),2)</f>
        <v>20334</v>
      </c>
      <c r="L118" s="16">
        <f>ROUND(K118*(1+'Interest rate projection'!AK120/Var_freq)+IF(L$5="Mortgage Starts",0,Deposit_mon_alt),2)</f>
        <v>22408.720000000001</v>
      </c>
      <c r="M118" s="16">
        <f>ROUND(L118*(1+'Interest rate projection'!AL120/Var_freq)+IF(M$5="Mortgage Starts",0,Deposit_mon_alt),2)</f>
        <v>24491.07</v>
      </c>
      <c r="N118" s="57">
        <f>ROUND(M118*(1+'Interest rate projection'!AM120/Var_freq)+IF(N$5="Mortgage Starts",0,Deposit_mon_alt),2)</f>
        <v>24581.07</v>
      </c>
      <c r="P118" s="38">
        <f>'Interest rate projection'!N120</f>
        <v>4.4999999999999998E-2</v>
      </c>
      <c r="Q118" s="38">
        <f>'Interest rate projection'!AN120</f>
        <v>4.4097712805242217E-2</v>
      </c>
      <c r="R118" s="59" t="str">
        <f t="shared" si="18"/>
        <v>OK</v>
      </c>
      <c r="S118" s="39">
        <f t="shared" si="19"/>
        <v>15.131610255367837</v>
      </c>
      <c r="U118" s="73">
        <f t="shared" si="16"/>
        <v>24581.07</v>
      </c>
      <c r="V118" s="73">
        <f t="shared" si="14"/>
        <v>175418.93</v>
      </c>
      <c r="W118" s="74">
        <f t="shared" si="20"/>
        <v>966.07</v>
      </c>
      <c r="Y118" s="73">
        <f>'Fixed rate projection Alt'!$T$3-('Variable rate projection Alt'!W118*Product_term_alt*Var_freq)</f>
        <v>2863.1999999999898</v>
      </c>
    </row>
    <row r="119" spans="1:25" x14ac:dyDescent="0.35">
      <c r="A119" s="5">
        <v>114</v>
      </c>
      <c r="B119" s="57">
        <f t="shared" si="17"/>
        <v>2000</v>
      </c>
      <c r="C119" s="16">
        <f>ROUND(B119*(1+'Interest rate projection'!AB121/Var_freq)+IF(C$5="Mortgage Starts",0,Deposit_mon_alt),2)</f>
        <v>4007.35</v>
      </c>
      <c r="D119" s="16">
        <f>ROUND(C119*(1+'Interest rate projection'!AC121/Var_freq)+IF(D$5="Mortgage Starts",0,Deposit_mon_alt),2)</f>
        <v>6022.08</v>
      </c>
      <c r="E119" s="16">
        <f>ROUND(D119*(1+'Interest rate projection'!AD121/Var_freq)+IF(E$5="Mortgage Starts",0,Deposit_mon_alt),2)</f>
        <v>8044.21</v>
      </c>
      <c r="F119" s="16">
        <f>ROUND(E119*(1+'Interest rate projection'!AE121/Var_freq)+IF(F$5="Mortgage Starts",0,Deposit_mon_alt),2)</f>
        <v>10073.77</v>
      </c>
      <c r="G119" s="16">
        <f>ROUND(F119*(1+'Interest rate projection'!AF121/Var_freq)+IF(G$5="Mortgage Starts",0,Deposit_mon_alt),2)</f>
        <v>12110.79</v>
      </c>
      <c r="H119" s="16">
        <f>ROUND(G119*(1+'Interest rate projection'!AG121/Var_freq)+IF(H$5="Mortgage Starts",0,Deposit_mon_alt),2)</f>
        <v>14155.29</v>
      </c>
      <c r="I119" s="16">
        <f>ROUND(H119*(1+'Interest rate projection'!AH121/Var_freq)+IF(I$5="Mortgage Starts",0,Deposit_mon_alt),2)</f>
        <v>16207.31</v>
      </c>
      <c r="J119" s="16">
        <f>ROUND(I119*(1+'Interest rate projection'!AI121/Var_freq)+IF(J$5="Mortgage Starts",0,Deposit_mon_alt),2)</f>
        <v>18270.11</v>
      </c>
      <c r="K119" s="16">
        <f>ROUND(J119*(1+'Interest rate projection'!AJ121/Var_freq)+IF(K$5="Mortgage Starts",0,Deposit_mon_alt),2)</f>
        <v>20340.900000000001</v>
      </c>
      <c r="L119" s="16">
        <f>ROUND(K119*(1+'Interest rate projection'!AK121/Var_freq)+IF(L$5="Mortgage Starts",0,Deposit_mon_alt),2)</f>
        <v>22419.71</v>
      </c>
      <c r="M119" s="16">
        <f>ROUND(L119*(1+'Interest rate projection'!AL121/Var_freq)+IF(M$5="Mortgage Starts",0,Deposit_mon_alt),2)</f>
        <v>24511.05</v>
      </c>
      <c r="N119" s="57">
        <f>ROUND(M119*(1+'Interest rate projection'!AM121/Var_freq)+IF(N$5="Mortgage Starts",0,Deposit_mon_alt),2)</f>
        <v>24610.91</v>
      </c>
      <c r="P119" s="38">
        <f>'Interest rate projection'!N121</f>
        <v>0.05</v>
      </c>
      <c r="Q119" s="38">
        <f>'Interest rate projection'!AN121</f>
        <v>4.8889485403780242E-2</v>
      </c>
      <c r="R119" s="59" t="str">
        <f t="shared" si="18"/>
        <v>OK</v>
      </c>
      <c r="S119" s="39">
        <f t="shared" si="19"/>
        <v>14.4140856153857</v>
      </c>
      <c r="U119" s="73">
        <f t="shared" si="16"/>
        <v>24610.91</v>
      </c>
      <c r="V119" s="73">
        <f t="shared" si="14"/>
        <v>175389.09</v>
      </c>
      <c r="W119" s="74">
        <f t="shared" si="20"/>
        <v>1013.99</v>
      </c>
      <c r="Y119" s="73">
        <f>'Fixed rate projection Alt'!$T$3-('Variable rate projection Alt'!W119*Product_term_alt*Var_freq)</f>
        <v>-12</v>
      </c>
    </row>
    <row r="120" spans="1:25" x14ac:dyDescent="0.35">
      <c r="A120" s="27">
        <v>115</v>
      </c>
      <c r="B120" s="57">
        <f t="shared" si="17"/>
        <v>2000</v>
      </c>
      <c r="C120" s="16">
        <f>ROUND(B120*(1+'Interest rate projection'!AB122/Var_freq)+IF(C$5="Mortgage Starts",0,Deposit_mon_alt),2)</f>
        <v>4007.35</v>
      </c>
      <c r="D120" s="16">
        <f>ROUND(C120*(1+'Interest rate projection'!AC122/Var_freq)+IF(D$5="Mortgage Starts",0,Deposit_mon_alt),2)</f>
        <v>6022.08</v>
      </c>
      <c r="E120" s="16">
        <f>ROUND(D120*(1+'Interest rate projection'!AD122/Var_freq)+IF(E$5="Mortgage Starts",0,Deposit_mon_alt),2)</f>
        <v>8044.21</v>
      </c>
      <c r="F120" s="16">
        <f>ROUND(E120*(1+'Interest rate projection'!AE122/Var_freq)+IF(F$5="Mortgage Starts",0,Deposit_mon_alt),2)</f>
        <v>10073.77</v>
      </c>
      <c r="G120" s="16">
        <f>ROUND(F120*(1+'Interest rate projection'!AF122/Var_freq)+IF(G$5="Mortgage Starts",0,Deposit_mon_alt),2)</f>
        <v>12110.79</v>
      </c>
      <c r="H120" s="16">
        <f>ROUND(G120*(1+'Interest rate projection'!AG122/Var_freq)+IF(H$5="Mortgage Starts",0,Deposit_mon_alt),2)</f>
        <v>14152.87</v>
      </c>
      <c r="I120" s="16">
        <f>ROUND(H120*(1+'Interest rate projection'!AH122/Var_freq)+IF(I$5="Mortgage Starts",0,Deposit_mon_alt),2)</f>
        <v>16202.04</v>
      </c>
      <c r="J120" s="16">
        <f>ROUND(I120*(1+'Interest rate projection'!AI122/Var_freq)+IF(J$5="Mortgage Starts",0,Deposit_mon_alt),2)</f>
        <v>18258.330000000002</v>
      </c>
      <c r="K120" s="16">
        <f>ROUND(J120*(1+'Interest rate projection'!AJ122/Var_freq)+IF(K$5="Mortgage Starts",0,Deposit_mon_alt),2)</f>
        <v>20321.77</v>
      </c>
      <c r="L120" s="16">
        <f>ROUND(K120*(1+'Interest rate projection'!AK122/Var_freq)+IF(L$5="Mortgage Starts",0,Deposit_mon_alt),2)</f>
        <v>22392.38</v>
      </c>
      <c r="M120" s="16">
        <f>ROUND(L120*(1+'Interest rate projection'!AL122/Var_freq)+IF(M$5="Mortgage Starts",0,Deposit_mon_alt),2)</f>
        <v>24470.18</v>
      </c>
      <c r="N120" s="57">
        <f>ROUND(M120*(1+'Interest rate projection'!AM122/Var_freq)+IF(N$5="Mortgage Starts",0,Deposit_mon_alt),2)</f>
        <v>24555.200000000001</v>
      </c>
      <c r="P120" s="38">
        <f>'Interest rate projection'!N122</f>
        <v>4.2499999999999996E-2</v>
      </c>
      <c r="Q120" s="38">
        <f>'Interest rate projection'!AN122</f>
        <v>4.1693940041970023E-2</v>
      </c>
      <c r="R120" s="59" t="str">
        <f t="shared" si="18"/>
        <v>OK</v>
      </c>
      <c r="S120" s="39">
        <f t="shared" si="19"/>
        <v>15.511529757864551</v>
      </c>
      <c r="U120" s="73">
        <f t="shared" si="16"/>
        <v>24555.200000000001</v>
      </c>
      <c r="V120" s="73">
        <f t="shared" si="14"/>
        <v>175444.8</v>
      </c>
      <c r="W120" s="74">
        <f t="shared" si="20"/>
        <v>942.55</v>
      </c>
      <c r="Y120" s="73">
        <f>'Fixed rate projection Alt'!$T$3-('Variable rate projection Alt'!W120*Product_term_alt*Var_freq)</f>
        <v>4274.3999999999942</v>
      </c>
    </row>
    <row r="121" spans="1:25" x14ac:dyDescent="0.35">
      <c r="A121" s="5">
        <v>116</v>
      </c>
      <c r="B121" s="57">
        <f t="shared" si="17"/>
        <v>2000</v>
      </c>
      <c r="C121" s="16">
        <f>ROUND(B121*(1+'Interest rate projection'!AB123/Var_freq)+IF(C$5="Mortgage Starts",0,Deposit_mon_alt),2)</f>
        <v>4007.35</v>
      </c>
      <c r="D121" s="16">
        <f>ROUND(C121*(1+'Interest rate projection'!AC123/Var_freq)+IF(D$5="Mortgage Starts",0,Deposit_mon_alt),2)</f>
        <v>6022.08</v>
      </c>
      <c r="E121" s="16">
        <f>ROUND(D121*(1+'Interest rate projection'!AD123/Var_freq)+IF(E$5="Mortgage Starts",0,Deposit_mon_alt),2)</f>
        <v>8044.21</v>
      </c>
      <c r="F121" s="16">
        <f>ROUND(E121*(1+'Interest rate projection'!AE123/Var_freq)+IF(F$5="Mortgage Starts",0,Deposit_mon_alt),2)</f>
        <v>10073.77</v>
      </c>
      <c r="G121" s="16">
        <f>ROUND(F121*(1+'Interest rate projection'!AF123/Var_freq)+IF(G$5="Mortgage Starts",0,Deposit_mon_alt),2)</f>
        <v>12110.79</v>
      </c>
      <c r="H121" s="16">
        <f>ROUND(G121*(1+'Interest rate projection'!AG123/Var_freq)+IF(H$5="Mortgage Starts",0,Deposit_mon_alt),2)</f>
        <v>14155.29</v>
      </c>
      <c r="I121" s="16">
        <f>ROUND(H121*(1+'Interest rate projection'!AH123/Var_freq)+IF(I$5="Mortgage Starts",0,Deposit_mon_alt),2)</f>
        <v>16207.31</v>
      </c>
      <c r="J121" s="16">
        <f>ROUND(I121*(1+'Interest rate projection'!AI123/Var_freq)+IF(J$5="Mortgage Starts",0,Deposit_mon_alt),2)</f>
        <v>18270.11</v>
      </c>
      <c r="K121" s="16">
        <f>ROUND(J121*(1+'Interest rate projection'!AJ123/Var_freq)+IF(K$5="Mortgage Starts",0,Deposit_mon_alt),2)</f>
        <v>20344.54</v>
      </c>
      <c r="L121" s="16">
        <f>ROUND(K121*(1+'Interest rate projection'!AK123/Var_freq)+IF(L$5="Mortgage Starts",0,Deposit_mon_alt),2)</f>
        <v>22427.43</v>
      </c>
      <c r="M121" s="16">
        <f>ROUND(L121*(1+'Interest rate projection'!AL123/Var_freq)+IF(M$5="Mortgage Starts",0,Deposit_mon_alt),2)</f>
        <v>24518.799999999999</v>
      </c>
      <c r="N121" s="57">
        <f>ROUND(M121*(1+'Interest rate projection'!AM123/Var_freq)+IF(N$5="Mortgage Starts",0,Deposit_mon_alt),2)</f>
        <v>24618.69</v>
      </c>
      <c r="P121" s="38">
        <f>'Interest rate projection'!N123</f>
        <v>4.7500000000000001E-2</v>
      </c>
      <c r="Q121" s="38">
        <f>'Interest rate projection'!AN123</f>
        <v>4.6496219905550085E-2</v>
      </c>
      <c r="R121" s="59" t="str">
        <f t="shared" si="18"/>
        <v>OK</v>
      </c>
      <c r="S121" s="39">
        <f t="shared" si="19"/>
        <v>14.766012404082064</v>
      </c>
      <c r="U121" s="73">
        <f t="shared" si="16"/>
        <v>24618.69</v>
      </c>
      <c r="V121" s="73">
        <f t="shared" si="14"/>
        <v>175381.31</v>
      </c>
      <c r="W121" s="74">
        <f t="shared" si="20"/>
        <v>989.78</v>
      </c>
      <c r="Y121" s="73">
        <f>'Fixed rate projection Alt'!$T$3-('Variable rate projection Alt'!W121*Product_term_alt*Var_freq)</f>
        <v>1440.5999999999985</v>
      </c>
    </row>
    <row r="122" spans="1:25" x14ac:dyDescent="0.35">
      <c r="A122" s="27">
        <v>117</v>
      </c>
      <c r="B122" s="57">
        <f t="shared" si="17"/>
        <v>2000</v>
      </c>
      <c r="C122" s="16">
        <f>ROUND(B122*(1+'Interest rate projection'!AB124/Var_freq)+IF(C$5="Mortgage Starts",0,Deposit_mon_alt),2)</f>
        <v>4007.35</v>
      </c>
      <c r="D122" s="16">
        <f>ROUND(C122*(1+'Interest rate projection'!AC124/Var_freq)+IF(D$5="Mortgage Starts",0,Deposit_mon_alt),2)</f>
        <v>6022.08</v>
      </c>
      <c r="E122" s="16">
        <f>ROUND(D122*(1+'Interest rate projection'!AD124/Var_freq)+IF(E$5="Mortgage Starts",0,Deposit_mon_alt),2)</f>
        <v>8044.21</v>
      </c>
      <c r="F122" s="16">
        <f>ROUND(E122*(1+'Interest rate projection'!AE124/Var_freq)+IF(F$5="Mortgage Starts",0,Deposit_mon_alt),2)</f>
        <v>10075.379999999999</v>
      </c>
      <c r="G122" s="16">
        <f>ROUND(F122*(1+'Interest rate projection'!AF124/Var_freq)+IF(G$5="Mortgage Starts",0,Deposit_mon_alt),2)</f>
        <v>12116.43</v>
      </c>
      <c r="H122" s="16">
        <f>ROUND(G122*(1+'Interest rate projection'!AG124/Var_freq)+IF(H$5="Mortgage Starts",0,Deposit_mon_alt),2)</f>
        <v>14165.79</v>
      </c>
      <c r="I122" s="16">
        <f>ROUND(H122*(1+'Interest rate projection'!AH124/Var_freq)+IF(I$5="Mortgage Starts",0,Deposit_mon_alt),2)</f>
        <v>16223.5</v>
      </c>
      <c r="J122" s="16">
        <f>ROUND(I122*(1+'Interest rate projection'!AI124/Var_freq)+IF(J$5="Mortgage Starts",0,Deposit_mon_alt),2)</f>
        <v>18289.599999999999</v>
      </c>
      <c r="K122" s="16">
        <f>ROUND(J122*(1+'Interest rate projection'!AJ124/Var_freq)+IF(K$5="Mortgage Starts",0,Deposit_mon_alt),2)</f>
        <v>20360.47</v>
      </c>
      <c r="L122" s="16">
        <f>ROUND(K122*(1+'Interest rate projection'!AK124/Var_freq)+IF(L$5="Mortgage Starts",0,Deposit_mon_alt),2)</f>
        <v>22439.360000000001</v>
      </c>
      <c r="M122" s="16">
        <f>ROUND(L122*(1+'Interest rate projection'!AL124/Var_freq)+IF(M$5="Mortgage Starts",0,Deposit_mon_alt),2)</f>
        <v>24526.31</v>
      </c>
      <c r="N122" s="57">
        <f>ROUND(M122*(1+'Interest rate projection'!AM124/Var_freq)+IF(N$5="Mortgage Starts",0,Deposit_mon_alt),2)</f>
        <v>24621.34</v>
      </c>
      <c r="P122" s="38">
        <f>'Interest rate projection'!N124</f>
        <v>4.4999999999999998E-2</v>
      </c>
      <c r="Q122" s="38">
        <f>'Interest rate projection'!AN124</f>
        <v>4.4097712805242217E-2</v>
      </c>
      <c r="R122" s="59" t="str">
        <f t="shared" si="18"/>
        <v>OK</v>
      </c>
      <c r="S122" s="39">
        <f t="shared" si="19"/>
        <v>15.131610255367837</v>
      </c>
      <c r="U122" s="73">
        <f t="shared" si="16"/>
        <v>24621.34</v>
      </c>
      <c r="V122" s="73">
        <f t="shared" si="14"/>
        <v>175378.66</v>
      </c>
      <c r="W122" s="74">
        <f t="shared" si="20"/>
        <v>965.85</v>
      </c>
      <c r="Y122" s="73">
        <f>'Fixed rate projection Alt'!$T$3-('Variable rate projection Alt'!W122*Product_term_alt*Var_freq)</f>
        <v>2876.3999999999942</v>
      </c>
    </row>
    <row r="123" spans="1:25" x14ac:dyDescent="0.35">
      <c r="A123" s="5">
        <v>118</v>
      </c>
      <c r="B123" s="57">
        <f t="shared" si="17"/>
        <v>2000</v>
      </c>
      <c r="C123" s="16">
        <f>ROUND(B123*(1+'Interest rate projection'!AB125/Var_freq)+IF(C$5="Mortgage Starts",0,Deposit_mon_alt),2)</f>
        <v>4007.35</v>
      </c>
      <c r="D123" s="16">
        <f>ROUND(C123*(1+'Interest rate projection'!AC125/Var_freq)+IF(D$5="Mortgage Starts",0,Deposit_mon_alt),2)</f>
        <v>6022.08</v>
      </c>
      <c r="E123" s="16">
        <f>ROUND(D123*(1+'Interest rate projection'!AD125/Var_freq)+IF(E$5="Mortgage Starts",0,Deposit_mon_alt),2)</f>
        <v>8044.21</v>
      </c>
      <c r="F123" s="16">
        <f>ROUND(E123*(1+'Interest rate projection'!AE125/Var_freq)+IF(F$5="Mortgage Starts",0,Deposit_mon_alt),2)</f>
        <v>10073.77</v>
      </c>
      <c r="G123" s="16">
        <f>ROUND(F123*(1+'Interest rate projection'!AF125/Var_freq)+IF(G$5="Mortgage Starts",0,Deposit_mon_alt),2)</f>
        <v>12110.79</v>
      </c>
      <c r="H123" s="16">
        <f>ROUND(G123*(1+'Interest rate projection'!AG125/Var_freq)+IF(H$5="Mortgage Starts",0,Deposit_mon_alt),2)</f>
        <v>14160.13</v>
      </c>
      <c r="I123" s="16">
        <f>ROUND(H123*(1+'Interest rate projection'!AH125/Var_freq)+IF(I$5="Mortgage Starts",0,Deposit_mon_alt),2)</f>
        <v>16217.82</v>
      </c>
      <c r="J123" s="16">
        <f>ROUND(I123*(1+'Interest rate projection'!AI125/Var_freq)+IF(J$5="Mortgage Starts",0,Deposit_mon_alt),2)</f>
        <v>18283.89</v>
      </c>
      <c r="K123" s="16">
        <f>ROUND(J123*(1+'Interest rate projection'!AJ125/Var_freq)+IF(K$5="Mortgage Starts",0,Deposit_mon_alt),2)</f>
        <v>20351.080000000002</v>
      </c>
      <c r="L123" s="16">
        <f>ROUND(K123*(1+'Interest rate projection'!AK125/Var_freq)+IF(L$5="Mortgage Starts",0,Deposit_mon_alt),2)</f>
        <v>22425.87</v>
      </c>
      <c r="M123" s="16">
        <f>ROUND(L123*(1+'Interest rate projection'!AL125/Var_freq)+IF(M$5="Mortgage Starts",0,Deposit_mon_alt),2)</f>
        <v>24508.28</v>
      </c>
      <c r="N123" s="57">
        <f>ROUND(M123*(1+'Interest rate projection'!AM125/Var_freq)+IF(N$5="Mortgage Starts",0,Deposit_mon_alt),2)</f>
        <v>24598.34</v>
      </c>
      <c r="P123" s="38">
        <f>'Interest rate projection'!N125</f>
        <v>4.4999999999999998E-2</v>
      </c>
      <c r="Q123" s="38">
        <f>'Interest rate projection'!AN125</f>
        <v>4.4097712805242217E-2</v>
      </c>
      <c r="R123" s="59" t="str">
        <f t="shared" si="18"/>
        <v>OK</v>
      </c>
      <c r="S123" s="39">
        <f t="shared" si="19"/>
        <v>15.131610255367837</v>
      </c>
      <c r="U123" s="73">
        <f t="shared" si="16"/>
        <v>24598.34</v>
      </c>
      <c r="V123" s="73">
        <f t="shared" si="14"/>
        <v>175401.66</v>
      </c>
      <c r="W123" s="74">
        <f t="shared" si="20"/>
        <v>965.98</v>
      </c>
      <c r="Y123" s="73">
        <f>'Fixed rate projection Alt'!$T$3-('Variable rate projection Alt'!W123*Product_term_alt*Var_freq)</f>
        <v>2868.5999999999985</v>
      </c>
    </row>
    <row r="124" spans="1:25" x14ac:dyDescent="0.35">
      <c r="A124" s="27">
        <v>119</v>
      </c>
      <c r="B124" s="57">
        <f t="shared" si="17"/>
        <v>2000</v>
      </c>
      <c r="C124" s="16">
        <f>ROUND(B124*(1+'Interest rate projection'!AB126/Var_freq)+IF(C$5="Mortgage Starts",0,Deposit_mon_alt),2)</f>
        <v>4007.35</v>
      </c>
      <c r="D124" s="16">
        <f>ROUND(C124*(1+'Interest rate projection'!AC126/Var_freq)+IF(D$5="Mortgage Starts",0,Deposit_mon_alt),2)</f>
        <v>6022.08</v>
      </c>
      <c r="E124" s="16">
        <f>ROUND(D124*(1+'Interest rate projection'!AD126/Var_freq)+IF(E$5="Mortgage Starts",0,Deposit_mon_alt),2)</f>
        <v>8044.21</v>
      </c>
      <c r="F124" s="16">
        <f>ROUND(E124*(1+'Interest rate projection'!AE126/Var_freq)+IF(F$5="Mortgage Starts",0,Deposit_mon_alt),2)</f>
        <v>10076.98</v>
      </c>
      <c r="G124" s="16">
        <f>ROUND(F124*(1+'Interest rate projection'!AF126/Var_freq)+IF(G$5="Mortgage Starts",0,Deposit_mon_alt),2)</f>
        <v>12118.03</v>
      </c>
      <c r="H124" s="16">
        <f>ROUND(G124*(1+'Interest rate projection'!AG126/Var_freq)+IF(H$5="Mortgage Starts",0,Deposit_mon_alt),2)</f>
        <v>14167.4</v>
      </c>
      <c r="I124" s="16">
        <f>ROUND(H124*(1+'Interest rate projection'!AH126/Var_freq)+IF(I$5="Mortgage Starts",0,Deposit_mon_alt),2)</f>
        <v>16225.12</v>
      </c>
      <c r="J124" s="16">
        <f>ROUND(I124*(1+'Interest rate projection'!AI126/Var_freq)+IF(J$5="Mortgage Starts",0,Deposit_mon_alt),2)</f>
        <v>18291.22</v>
      </c>
      <c r="K124" s="16">
        <f>ROUND(J124*(1+'Interest rate projection'!AJ126/Var_freq)+IF(K$5="Mortgage Starts",0,Deposit_mon_alt),2)</f>
        <v>20365.740000000002</v>
      </c>
      <c r="L124" s="16">
        <f>ROUND(K124*(1+'Interest rate projection'!AK126/Var_freq)+IF(L$5="Mortgage Starts",0,Deposit_mon_alt),2)</f>
        <v>22448.71</v>
      </c>
      <c r="M124" s="16">
        <f>ROUND(L124*(1+'Interest rate projection'!AL126/Var_freq)+IF(M$5="Mortgage Starts",0,Deposit_mon_alt),2)</f>
        <v>24540.17</v>
      </c>
      <c r="N124" s="57">
        <f>ROUND(M124*(1+'Interest rate projection'!AM126/Var_freq)+IF(N$5="Mortgage Starts",0,Deposit_mon_alt),2)</f>
        <v>24640.15</v>
      </c>
      <c r="P124" s="38">
        <f>'Interest rate projection'!N126</f>
        <v>4.9999999999999996E-2</v>
      </c>
      <c r="Q124" s="38">
        <f>'Interest rate projection'!AN126</f>
        <v>4.8889485403780242E-2</v>
      </c>
      <c r="R124" s="59" t="str">
        <f t="shared" si="18"/>
        <v>OK</v>
      </c>
      <c r="S124" s="39">
        <f t="shared" si="19"/>
        <v>14.4140856153857</v>
      </c>
      <c r="U124" s="73">
        <f t="shared" si="16"/>
        <v>24640.15</v>
      </c>
      <c r="V124" s="73">
        <f t="shared" si="14"/>
        <v>175359.85</v>
      </c>
      <c r="W124" s="74">
        <f t="shared" si="20"/>
        <v>1013.82</v>
      </c>
      <c r="Y124" s="73">
        <f>'Fixed rate projection Alt'!$T$3-('Variable rate projection Alt'!W124*Product_term_alt*Var_freq)</f>
        <v>-1.8000000000101863</v>
      </c>
    </row>
    <row r="125" spans="1:25" x14ac:dyDescent="0.35">
      <c r="A125" s="5">
        <v>120</v>
      </c>
      <c r="B125" s="57">
        <f t="shared" si="17"/>
        <v>2000</v>
      </c>
      <c r="C125" s="16">
        <f>ROUND(B125*(1+'Interest rate projection'!AB127/Var_freq)+IF(C$5="Mortgage Starts",0,Deposit_mon_alt),2)</f>
        <v>4007.35</v>
      </c>
      <c r="D125" s="16">
        <f>ROUND(C125*(1+'Interest rate projection'!AC127/Var_freq)+IF(D$5="Mortgage Starts",0,Deposit_mon_alt),2)</f>
        <v>6022.08</v>
      </c>
      <c r="E125" s="16">
        <f>ROUND(D125*(1+'Interest rate projection'!AD127/Var_freq)+IF(E$5="Mortgage Starts",0,Deposit_mon_alt),2)</f>
        <v>8044.21</v>
      </c>
      <c r="F125" s="16">
        <f>ROUND(E125*(1+'Interest rate projection'!AE127/Var_freq)+IF(F$5="Mortgage Starts",0,Deposit_mon_alt),2)</f>
        <v>10073.77</v>
      </c>
      <c r="G125" s="16">
        <f>ROUND(F125*(1+'Interest rate projection'!AF127/Var_freq)+IF(G$5="Mortgage Starts",0,Deposit_mon_alt),2)</f>
        <v>12110.79</v>
      </c>
      <c r="H125" s="16">
        <f>ROUND(G125*(1+'Interest rate projection'!AG127/Var_freq)+IF(H$5="Mortgage Starts",0,Deposit_mon_alt),2)</f>
        <v>14155.29</v>
      </c>
      <c r="I125" s="16">
        <f>ROUND(H125*(1+'Interest rate projection'!AH127/Var_freq)+IF(I$5="Mortgage Starts",0,Deposit_mon_alt),2)</f>
        <v>16207.31</v>
      </c>
      <c r="J125" s="16">
        <f>ROUND(I125*(1+'Interest rate projection'!AI127/Var_freq)+IF(J$5="Mortgage Starts",0,Deposit_mon_alt),2)</f>
        <v>18266.87</v>
      </c>
      <c r="K125" s="16">
        <f>ROUND(J125*(1+'Interest rate projection'!AJ127/Var_freq)+IF(K$5="Mortgage Starts",0,Deposit_mon_alt),2)</f>
        <v>20334</v>
      </c>
      <c r="L125" s="16">
        <f>ROUND(K125*(1+'Interest rate projection'!AK127/Var_freq)+IF(L$5="Mortgage Starts",0,Deposit_mon_alt),2)</f>
        <v>22404.65</v>
      </c>
      <c r="M125" s="16">
        <f>ROUND(L125*(1+'Interest rate projection'!AL127/Var_freq)+IF(M$5="Mortgage Starts",0,Deposit_mon_alt),2)</f>
        <v>24482.49</v>
      </c>
      <c r="N125" s="57">
        <f>ROUND(M125*(1+'Interest rate projection'!AM127/Var_freq)+IF(N$5="Mortgage Starts",0,Deposit_mon_alt),2)</f>
        <v>24567.55</v>
      </c>
      <c r="P125" s="38">
        <f>'Interest rate projection'!N127</f>
        <v>4.2499999999999996E-2</v>
      </c>
      <c r="Q125" s="38">
        <f>'Interest rate projection'!AN127</f>
        <v>4.1693940041970023E-2</v>
      </c>
      <c r="R125" s="59" t="str">
        <f t="shared" si="18"/>
        <v>OK</v>
      </c>
      <c r="S125" s="39">
        <f t="shared" si="19"/>
        <v>15.511529757864551</v>
      </c>
      <c r="U125" s="73">
        <f t="shared" si="16"/>
        <v>24567.55</v>
      </c>
      <c r="V125" s="73">
        <f t="shared" si="14"/>
        <v>175432.45</v>
      </c>
      <c r="W125" s="74">
        <f t="shared" si="20"/>
        <v>942.48</v>
      </c>
      <c r="Y125" s="73">
        <f>'Fixed rate projection Alt'!$T$3-('Variable rate projection Alt'!W125*Product_term_alt*Var_freq)</f>
        <v>4278.5999999999985</v>
      </c>
    </row>
    <row r="126" spans="1:25" x14ac:dyDescent="0.35">
      <c r="A126" s="27">
        <v>121</v>
      </c>
      <c r="B126" s="57">
        <f t="shared" si="17"/>
        <v>2000</v>
      </c>
      <c r="C126" s="16">
        <f>ROUND(B126*(1+'Interest rate projection'!AB128/Var_freq)+IF(C$5="Mortgage Starts",0,Deposit_mon_alt),2)</f>
        <v>4007.35</v>
      </c>
      <c r="D126" s="16">
        <f>ROUND(C126*(1+'Interest rate projection'!AC128/Var_freq)+IF(D$5="Mortgage Starts",0,Deposit_mon_alt),2)</f>
        <v>6022.08</v>
      </c>
      <c r="E126" s="16">
        <f>ROUND(D126*(1+'Interest rate projection'!AD128/Var_freq)+IF(E$5="Mortgage Starts",0,Deposit_mon_alt),2)</f>
        <v>8044.21</v>
      </c>
      <c r="F126" s="16">
        <f>ROUND(E126*(1+'Interest rate projection'!AE128/Var_freq)+IF(F$5="Mortgage Starts",0,Deposit_mon_alt),2)</f>
        <v>10073.77</v>
      </c>
      <c r="G126" s="16">
        <f>ROUND(F126*(1+'Interest rate projection'!AF128/Var_freq)+IF(G$5="Mortgage Starts",0,Deposit_mon_alt),2)</f>
        <v>12108.77</v>
      </c>
      <c r="H126" s="16">
        <f>ROUND(G126*(1+'Interest rate projection'!AG128/Var_freq)+IF(H$5="Mortgage Starts",0,Deposit_mon_alt),2)</f>
        <v>14150.84</v>
      </c>
      <c r="I126" s="16">
        <f>ROUND(H126*(1+'Interest rate projection'!AH128/Var_freq)+IF(I$5="Mortgage Starts",0,Deposit_mon_alt),2)</f>
        <v>16200.01</v>
      </c>
      <c r="J126" s="16">
        <f>ROUND(I126*(1+'Interest rate projection'!AI128/Var_freq)+IF(J$5="Mortgage Starts",0,Deposit_mon_alt),2)</f>
        <v>18256.3</v>
      </c>
      <c r="K126" s="16">
        <f>ROUND(J126*(1+'Interest rate projection'!AJ128/Var_freq)+IF(K$5="Mortgage Starts",0,Deposit_mon_alt),2)</f>
        <v>20319.73</v>
      </c>
      <c r="L126" s="16">
        <f>ROUND(K126*(1+'Interest rate projection'!AK128/Var_freq)+IF(L$5="Mortgage Starts",0,Deposit_mon_alt),2)</f>
        <v>22390.33</v>
      </c>
      <c r="M126" s="16">
        <f>ROUND(L126*(1+'Interest rate projection'!AL128/Var_freq)+IF(M$5="Mortgage Starts",0,Deposit_mon_alt),2)</f>
        <v>24472.61</v>
      </c>
      <c r="N126" s="57">
        <f>ROUND(M126*(1+'Interest rate projection'!AM128/Var_freq)+IF(N$5="Mortgage Starts",0,Deposit_mon_alt),2)</f>
        <v>24562.54</v>
      </c>
      <c r="P126" s="38">
        <f>'Interest rate projection'!N128</f>
        <v>4.4999999999999998E-2</v>
      </c>
      <c r="Q126" s="38">
        <f>'Interest rate projection'!AN128</f>
        <v>4.4097712805242217E-2</v>
      </c>
      <c r="R126" s="59" t="str">
        <f t="shared" si="18"/>
        <v>OK</v>
      </c>
      <c r="S126" s="39">
        <f t="shared" si="19"/>
        <v>15.131610255367837</v>
      </c>
      <c r="U126" s="73">
        <f t="shared" si="16"/>
        <v>24562.54</v>
      </c>
      <c r="V126" s="73">
        <f t="shared" si="14"/>
        <v>175437.46</v>
      </c>
      <c r="W126" s="74">
        <f t="shared" si="20"/>
        <v>966.18</v>
      </c>
      <c r="Y126" s="73">
        <f>'Fixed rate projection Alt'!$T$3-('Variable rate projection Alt'!W126*Product_term_alt*Var_freq)</f>
        <v>2856.5999999999985</v>
      </c>
    </row>
    <row r="127" spans="1:25" x14ac:dyDescent="0.35">
      <c r="A127" s="5">
        <v>122</v>
      </c>
      <c r="B127" s="57">
        <f t="shared" si="17"/>
        <v>2000</v>
      </c>
      <c r="C127" s="16">
        <f>ROUND(B127*(1+'Interest rate projection'!AB129/Var_freq)+IF(C$5="Mortgage Starts",0,Deposit_mon_alt),2)</f>
        <v>4007.35</v>
      </c>
      <c r="D127" s="16">
        <f>ROUND(C127*(1+'Interest rate projection'!AC129/Var_freq)+IF(D$5="Mortgage Starts",0,Deposit_mon_alt),2)</f>
        <v>6022.88</v>
      </c>
      <c r="E127" s="16">
        <f>ROUND(D127*(1+'Interest rate projection'!AD129/Var_freq)+IF(E$5="Mortgage Starts",0,Deposit_mon_alt),2)</f>
        <v>8046.22</v>
      </c>
      <c r="F127" s="16">
        <f>ROUND(E127*(1+'Interest rate projection'!AE129/Var_freq)+IF(F$5="Mortgage Starts",0,Deposit_mon_alt),2)</f>
        <v>10074.18</v>
      </c>
      <c r="G127" s="16">
        <f>ROUND(F127*(1+'Interest rate projection'!AF129/Var_freq)+IF(G$5="Mortgage Starts",0,Deposit_mon_alt),2)</f>
        <v>12109.18</v>
      </c>
      <c r="H127" s="16">
        <f>ROUND(G127*(1+'Interest rate projection'!AG129/Var_freq)+IF(H$5="Mortgage Starts",0,Deposit_mon_alt),2)</f>
        <v>14151.25</v>
      </c>
      <c r="I127" s="16">
        <f>ROUND(H127*(1+'Interest rate projection'!AH129/Var_freq)+IF(I$5="Mortgage Starts",0,Deposit_mon_alt),2)</f>
        <v>16200.42</v>
      </c>
      <c r="J127" s="16">
        <f>ROUND(I127*(1+'Interest rate projection'!AI129/Var_freq)+IF(J$5="Mortgage Starts",0,Deposit_mon_alt),2)</f>
        <v>18256.71</v>
      </c>
      <c r="K127" s="16">
        <f>ROUND(J127*(1+'Interest rate projection'!AJ129/Var_freq)+IF(K$5="Mortgage Starts",0,Deposit_mon_alt),2)</f>
        <v>20320.14</v>
      </c>
      <c r="L127" s="16">
        <f>ROUND(K127*(1+'Interest rate projection'!AK129/Var_freq)+IF(L$5="Mortgage Starts",0,Deposit_mon_alt),2)</f>
        <v>22390.74</v>
      </c>
      <c r="M127" s="16">
        <f>ROUND(L127*(1+'Interest rate projection'!AL129/Var_freq)+IF(M$5="Mortgage Starts",0,Deposit_mon_alt),2)</f>
        <v>24468.54</v>
      </c>
      <c r="N127" s="57">
        <f>ROUND(M127*(1+'Interest rate projection'!AM129/Var_freq)+IF(N$5="Mortgage Starts",0,Deposit_mon_alt),2)</f>
        <v>24553.56</v>
      </c>
      <c r="P127" s="38">
        <f>'Interest rate projection'!N129</f>
        <v>4.2500000000000003E-2</v>
      </c>
      <c r="Q127" s="38">
        <f>'Interest rate projection'!AN129</f>
        <v>4.1693940041970023E-2</v>
      </c>
      <c r="R127" s="59" t="str">
        <f t="shared" si="18"/>
        <v>OK</v>
      </c>
      <c r="S127" s="39">
        <f t="shared" si="19"/>
        <v>15.511529757864551</v>
      </c>
      <c r="U127" s="73">
        <f t="shared" si="16"/>
        <v>24553.56</v>
      </c>
      <c r="V127" s="73">
        <f t="shared" si="14"/>
        <v>175446.44</v>
      </c>
      <c r="W127" s="74">
        <f t="shared" si="20"/>
        <v>942.56</v>
      </c>
      <c r="Y127" s="73">
        <f>'Fixed rate projection Alt'!$T$3-('Variable rate projection Alt'!W127*Product_term_alt*Var_freq)</f>
        <v>4273.8000000000029</v>
      </c>
    </row>
    <row r="128" spans="1:25" x14ac:dyDescent="0.35">
      <c r="A128" s="27">
        <v>123</v>
      </c>
      <c r="B128" s="57">
        <f t="shared" si="17"/>
        <v>2000</v>
      </c>
      <c r="C128" s="16">
        <f>ROUND(B128*(1+'Interest rate projection'!AB130/Var_freq)+IF(C$5="Mortgage Starts",0,Deposit_mon_alt),2)</f>
        <v>4007.35</v>
      </c>
      <c r="D128" s="16">
        <f>ROUND(C128*(1+'Interest rate projection'!AC130/Var_freq)+IF(D$5="Mortgage Starts",0,Deposit_mon_alt),2)</f>
        <v>6022.08</v>
      </c>
      <c r="E128" s="16">
        <f>ROUND(D128*(1+'Interest rate projection'!AD130/Var_freq)+IF(E$5="Mortgage Starts",0,Deposit_mon_alt),2)</f>
        <v>8044.21</v>
      </c>
      <c r="F128" s="16">
        <f>ROUND(E128*(1+'Interest rate projection'!AE130/Var_freq)+IF(F$5="Mortgage Starts",0,Deposit_mon_alt),2)</f>
        <v>10073.77</v>
      </c>
      <c r="G128" s="16">
        <f>ROUND(F128*(1+'Interest rate projection'!AF130/Var_freq)+IF(G$5="Mortgage Starts",0,Deposit_mon_alt),2)</f>
        <v>12110.79</v>
      </c>
      <c r="H128" s="16">
        <f>ROUND(G128*(1+'Interest rate projection'!AG130/Var_freq)+IF(H$5="Mortgage Starts",0,Deposit_mon_alt),2)</f>
        <v>14155.29</v>
      </c>
      <c r="I128" s="16">
        <f>ROUND(H128*(1+'Interest rate projection'!AH130/Var_freq)+IF(I$5="Mortgage Starts",0,Deposit_mon_alt),2)</f>
        <v>16210.14</v>
      </c>
      <c r="J128" s="16">
        <f>ROUND(I128*(1+'Interest rate projection'!AI130/Var_freq)+IF(J$5="Mortgage Starts",0,Deposit_mon_alt),2)</f>
        <v>18269.71</v>
      </c>
      <c r="K128" s="16">
        <f>ROUND(J128*(1+'Interest rate projection'!AJ130/Var_freq)+IF(K$5="Mortgage Starts",0,Deposit_mon_alt),2)</f>
        <v>20336.849999999999</v>
      </c>
      <c r="L128" s="16">
        <f>ROUND(K128*(1+'Interest rate projection'!AK130/Var_freq)+IF(L$5="Mortgage Starts",0,Deposit_mon_alt),2)</f>
        <v>22411.58</v>
      </c>
      <c r="M128" s="16">
        <f>ROUND(L128*(1+'Interest rate projection'!AL130/Var_freq)+IF(M$5="Mortgage Starts",0,Deposit_mon_alt),2)</f>
        <v>24493.94</v>
      </c>
      <c r="N128" s="57">
        <f>ROUND(M128*(1+'Interest rate projection'!AM130/Var_freq)+IF(N$5="Mortgage Starts",0,Deposit_mon_alt),2)</f>
        <v>24583.95</v>
      </c>
      <c r="P128" s="38">
        <f>'Interest rate projection'!N130</f>
        <v>4.7500000000000001E-2</v>
      </c>
      <c r="Q128" s="38">
        <f>'Interest rate projection'!AN130</f>
        <v>4.6496219905550085E-2</v>
      </c>
      <c r="R128" s="59" t="str">
        <f t="shared" si="18"/>
        <v>OK</v>
      </c>
      <c r="S128" s="39">
        <f t="shared" si="19"/>
        <v>14.766012404082064</v>
      </c>
      <c r="U128" s="73">
        <f t="shared" si="16"/>
        <v>24583.95</v>
      </c>
      <c r="V128" s="73">
        <f t="shared" si="14"/>
        <v>175416.05</v>
      </c>
      <c r="W128" s="74">
        <f t="shared" si="20"/>
        <v>989.98</v>
      </c>
      <c r="Y128" s="73">
        <f>'Fixed rate projection Alt'!$T$3-('Variable rate projection Alt'!W128*Product_term_alt*Var_freq)</f>
        <v>1428.5999999999985</v>
      </c>
    </row>
    <row r="129" spans="1:25" x14ac:dyDescent="0.35">
      <c r="A129" s="5">
        <v>124</v>
      </c>
      <c r="B129" s="57">
        <f t="shared" si="17"/>
        <v>2000</v>
      </c>
      <c r="C129" s="16">
        <f>ROUND(B129*(1+'Interest rate projection'!AB131/Var_freq)+IF(C$5="Mortgage Starts",0,Deposit_mon_alt),2)</f>
        <v>4007.35</v>
      </c>
      <c r="D129" s="16">
        <f>ROUND(C129*(1+'Interest rate projection'!AC131/Var_freq)+IF(D$5="Mortgage Starts",0,Deposit_mon_alt),2)</f>
        <v>6022.08</v>
      </c>
      <c r="E129" s="16">
        <f>ROUND(D129*(1+'Interest rate projection'!AD131/Var_freq)+IF(E$5="Mortgage Starts",0,Deposit_mon_alt),2)</f>
        <v>8044.21</v>
      </c>
      <c r="F129" s="16">
        <f>ROUND(E129*(1+'Interest rate projection'!AE131/Var_freq)+IF(F$5="Mortgage Starts",0,Deposit_mon_alt),2)</f>
        <v>10073.77</v>
      </c>
      <c r="G129" s="16">
        <f>ROUND(F129*(1+'Interest rate projection'!AF131/Var_freq)+IF(G$5="Mortgage Starts",0,Deposit_mon_alt),2)</f>
        <v>12110.79</v>
      </c>
      <c r="H129" s="16">
        <f>ROUND(G129*(1+'Interest rate projection'!AG131/Var_freq)+IF(H$5="Mortgage Starts",0,Deposit_mon_alt),2)</f>
        <v>14155.29</v>
      </c>
      <c r="I129" s="16">
        <f>ROUND(H129*(1+'Interest rate projection'!AH131/Var_freq)+IF(I$5="Mortgage Starts",0,Deposit_mon_alt),2)</f>
        <v>16207.31</v>
      </c>
      <c r="J129" s="16">
        <f>ROUND(I129*(1+'Interest rate projection'!AI131/Var_freq)+IF(J$5="Mortgage Starts",0,Deposit_mon_alt),2)</f>
        <v>18266.87</v>
      </c>
      <c r="K129" s="16">
        <f>ROUND(J129*(1+'Interest rate projection'!AJ131/Var_freq)+IF(K$5="Mortgage Starts",0,Deposit_mon_alt),2)</f>
        <v>20334</v>
      </c>
      <c r="L129" s="16">
        <f>ROUND(K129*(1+'Interest rate projection'!AK131/Var_freq)+IF(L$5="Mortgage Starts",0,Deposit_mon_alt),2)</f>
        <v>22408.720000000001</v>
      </c>
      <c r="M129" s="16">
        <f>ROUND(L129*(1+'Interest rate projection'!AL131/Var_freq)+IF(M$5="Mortgage Starts",0,Deposit_mon_alt),2)</f>
        <v>24491.07</v>
      </c>
      <c r="N129" s="57">
        <f>ROUND(M129*(1+'Interest rate projection'!AM131/Var_freq)+IF(N$5="Mortgage Starts",0,Deposit_mon_alt),2)</f>
        <v>24581.07</v>
      </c>
      <c r="P129" s="38">
        <f>'Interest rate projection'!N131</f>
        <v>4.4999999999999998E-2</v>
      </c>
      <c r="Q129" s="38">
        <f>'Interest rate projection'!AN131</f>
        <v>4.4097712805242217E-2</v>
      </c>
      <c r="R129" s="59" t="str">
        <f t="shared" si="18"/>
        <v>OK</v>
      </c>
      <c r="S129" s="39">
        <f t="shared" si="19"/>
        <v>15.131610255367837</v>
      </c>
      <c r="U129" s="73">
        <f t="shared" si="16"/>
        <v>24581.07</v>
      </c>
      <c r="V129" s="73">
        <f t="shared" si="14"/>
        <v>175418.93</v>
      </c>
      <c r="W129" s="74">
        <f t="shared" si="20"/>
        <v>966.07</v>
      </c>
      <c r="Y129" s="73">
        <f>'Fixed rate projection Alt'!$T$3-('Variable rate projection Alt'!W129*Product_term_alt*Var_freq)</f>
        <v>2863.1999999999898</v>
      </c>
    </row>
    <row r="130" spans="1:25" x14ac:dyDescent="0.35">
      <c r="A130" s="27">
        <v>125</v>
      </c>
      <c r="B130" s="57">
        <f t="shared" si="17"/>
        <v>2000</v>
      </c>
      <c r="C130" s="16">
        <f>ROUND(B130*(1+'Interest rate projection'!AB132/Var_freq)+IF(C$5="Mortgage Starts",0,Deposit_mon_alt),2)</f>
        <v>4007.35</v>
      </c>
      <c r="D130" s="16">
        <f>ROUND(C130*(1+'Interest rate projection'!AC132/Var_freq)+IF(D$5="Mortgage Starts",0,Deposit_mon_alt),2)</f>
        <v>6022.08</v>
      </c>
      <c r="E130" s="16">
        <f>ROUND(D130*(1+'Interest rate projection'!AD132/Var_freq)+IF(E$5="Mortgage Starts",0,Deposit_mon_alt),2)</f>
        <v>8045.41</v>
      </c>
      <c r="F130" s="16">
        <f>ROUND(E130*(1+'Interest rate projection'!AE132/Var_freq)+IF(F$5="Mortgage Starts",0,Deposit_mon_alt),2)</f>
        <v>10076.58</v>
      </c>
      <c r="G130" s="16">
        <f>ROUND(F130*(1+'Interest rate projection'!AF132/Var_freq)+IF(G$5="Mortgage Starts",0,Deposit_mon_alt),2)</f>
        <v>12115.62</v>
      </c>
      <c r="H130" s="16">
        <f>ROUND(G130*(1+'Interest rate projection'!AG132/Var_freq)+IF(H$5="Mortgage Starts",0,Deposit_mon_alt),2)</f>
        <v>14162.56</v>
      </c>
      <c r="I130" s="16">
        <f>ROUND(H130*(1+'Interest rate projection'!AH132/Var_freq)+IF(I$5="Mortgage Starts",0,Deposit_mon_alt),2)</f>
        <v>16217.44</v>
      </c>
      <c r="J130" s="16">
        <f>ROUND(I130*(1+'Interest rate projection'!AI132/Var_freq)+IF(J$5="Mortgage Starts",0,Deposit_mon_alt),2)</f>
        <v>18280.28</v>
      </c>
      <c r="K130" s="16">
        <f>ROUND(J130*(1+'Interest rate projection'!AJ132/Var_freq)+IF(K$5="Mortgage Starts",0,Deposit_mon_alt),2)</f>
        <v>20351.11</v>
      </c>
      <c r="L130" s="16">
        <f>ROUND(K130*(1+'Interest rate projection'!AK132/Var_freq)+IF(L$5="Mortgage Starts",0,Deposit_mon_alt),2)</f>
        <v>22429.96</v>
      </c>
      <c r="M130" s="16">
        <f>ROUND(L130*(1+'Interest rate projection'!AL132/Var_freq)+IF(M$5="Mortgage Starts",0,Deposit_mon_alt),2)</f>
        <v>24516.87</v>
      </c>
      <c r="N130" s="57">
        <f>ROUND(M130*(1+'Interest rate projection'!AM132/Var_freq)+IF(N$5="Mortgage Starts",0,Deposit_mon_alt),2)</f>
        <v>24611.87</v>
      </c>
      <c r="P130" s="38">
        <f>'Interest rate projection'!N132</f>
        <v>4.7500000000000001E-2</v>
      </c>
      <c r="Q130" s="38">
        <f>'Interest rate projection'!AN132</f>
        <v>4.6496219905550085E-2</v>
      </c>
      <c r="R130" s="59" t="str">
        <f t="shared" si="18"/>
        <v>OK</v>
      </c>
      <c r="S130" s="39">
        <f t="shared" si="19"/>
        <v>14.766012404082064</v>
      </c>
      <c r="U130" s="73">
        <f t="shared" si="16"/>
        <v>24611.87</v>
      </c>
      <c r="V130" s="73">
        <f t="shared" si="14"/>
        <v>175388.13</v>
      </c>
      <c r="W130" s="74">
        <f t="shared" si="20"/>
        <v>989.82</v>
      </c>
      <c r="Y130" s="73">
        <f>'Fixed rate projection Alt'!$T$3-('Variable rate projection Alt'!W130*Product_term_alt*Var_freq)</f>
        <v>1438.1999999999898</v>
      </c>
    </row>
    <row r="131" spans="1:25" x14ac:dyDescent="0.35">
      <c r="A131" s="5">
        <v>126</v>
      </c>
      <c r="B131" s="57">
        <f t="shared" si="17"/>
        <v>2000</v>
      </c>
      <c r="C131" s="16">
        <f>ROUND(B131*(1+'Interest rate projection'!AB133/Var_freq)+IF(C$5="Mortgage Starts",0,Deposit_mon_alt),2)</f>
        <v>4007.35</v>
      </c>
      <c r="D131" s="16">
        <f>ROUND(C131*(1+'Interest rate projection'!AC133/Var_freq)+IF(D$5="Mortgage Starts",0,Deposit_mon_alt),2)</f>
        <v>6022.08</v>
      </c>
      <c r="E131" s="16">
        <f>ROUND(D131*(1+'Interest rate projection'!AD133/Var_freq)+IF(E$5="Mortgage Starts",0,Deposit_mon_alt),2)</f>
        <v>8044.21</v>
      </c>
      <c r="F131" s="16">
        <f>ROUND(E131*(1+'Interest rate projection'!AE133/Var_freq)+IF(F$5="Mortgage Starts",0,Deposit_mon_alt),2)</f>
        <v>10073.77</v>
      </c>
      <c r="G131" s="16">
        <f>ROUND(F131*(1+'Interest rate projection'!AF133/Var_freq)+IF(G$5="Mortgage Starts",0,Deposit_mon_alt),2)</f>
        <v>12110.79</v>
      </c>
      <c r="H131" s="16">
        <f>ROUND(G131*(1+'Interest rate projection'!AG133/Var_freq)+IF(H$5="Mortgage Starts",0,Deposit_mon_alt),2)</f>
        <v>14155.29</v>
      </c>
      <c r="I131" s="16">
        <f>ROUND(H131*(1+'Interest rate projection'!AH133/Var_freq)+IF(I$5="Mortgage Starts",0,Deposit_mon_alt),2)</f>
        <v>16207.31</v>
      </c>
      <c r="J131" s="16">
        <f>ROUND(I131*(1+'Interest rate projection'!AI133/Var_freq)+IF(J$5="Mortgage Starts",0,Deposit_mon_alt),2)</f>
        <v>18263.62</v>
      </c>
      <c r="K131" s="16">
        <f>ROUND(J131*(1+'Interest rate projection'!AJ133/Var_freq)+IF(K$5="Mortgage Starts",0,Deposit_mon_alt),2)</f>
        <v>20327.080000000002</v>
      </c>
      <c r="L131" s="16">
        <f>ROUND(K131*(1+'Interest rate projection'!AK133/Var_freq)+IF(L$5="Mortgage Starts",0,Deposit_mon_alt),2)</f>
        <v>22397.71</v>
      </c>
      <c r="M131" s="16">
        <f>ROUND(L131*(1+'Interest rate projection'!AL133/Var_freq)+IF(M$5="Mortgage Starts",0,Deposit_mon_alt),2)</f>
        <v>24475.53</v>
      </c>
      <c r="N131" s="57">
        <f>ROUND(M131*(1+'Interest rate projection'!AM133/Var_freq)+IF(N$5="Mortgage Starts",0,Deposit_mon_alt),2)</f>
        <v>24560.57</v>
      </c>
      <c r="P131" s="38">
        <f>'Interest rate projection'!N133</f>
        <v>3.9999999999999994E-2</v>
      </c>
      <c r="Q131" s="38">
        <f>'Interest rate projection'!AN133</f>
        <v>3.9284877386386974E-2</v>
      </c>
      <c r="R131" s="59" t="str">
        <f t="shared" si="18"/>
        <v>OK</v>
      </c>
      <c r="S131" s="39">
        <f t="shared" si="19"/>
        <v>15.906456614335044</v>
      </c>
      <c r="U131" s="73">
        <f t="shared" si="16"/>
        <v>24560.57</v>
      </c>
      <c r="V131" s="73">
        <f t="shared" si="14"/>
        <v>175439.43</v>
      </c>
      <c r="W131" s="74">
        <f t="shared" si="20"/>
        <v>919.12</v>
      </c>
      <c r="Y131" s="73">
        <f>'Fixed rate projection Alt'!$T$3-('Variable rate projection Alt'!W131*Product_term_alt*Var_freq)</f>
        <v>5680.1999999999898</v>
      </c>
    </row>
    <row r="132" spans="1:25" x14ac:dyDescent="0.35">
      <c r="A132" s="27">
        <v>127</v>
      </c>
      <c r="B132" s="57">
        <f t="shared" si="17"/>
        <v>2000</v>
      </c>
      <c r="C132" s="16">
        <f>ROUND(B132*(1+'Interest rate projection'!AB134/Var_freq)+IF(C$5="Mortgage Starts",0,Deposit_mon_alt),2)</f>
        <v>4007.35</v>
      </c>
      <c r="D132" s="16">
        <f>ROUND(C132*(1+'Interest rate projection'!AC134/Var_freq)+IF(D$5="Mortgage Starts",0,Deposit_mon_alt),2)</f>
        <v>6022.08</v>
      </c>
      <c r="E132" s="16">
        <f>ROUND(D132*(1+'Interest rate projection'!AD134/Var_freq)+IF(E$5="Mortgage Starts",0,Deposit_mon_alt),2)</f>
        <v>8044.21</v>
      </c>
      <c r="F132" s="16">
        <f>ROUND(E132*(1+'Interest rate projection'!AE134/Var_freq)+IF(F$5="Mortgage Starts",0,Deposit_mon_alt),2)</f>
        <v>10073.77</v>
      </c>
      <c r="G132" s="16">
        <f>ROUND(F132*(1+'Interest rate projection'!AF134/Var_freq)+IF(G$5="Mortgage Starts",0,Deposit_mon_alt),2)</f>
        <v>12110.79</v>
      </c>
      <c r="H132" s="16">
        <f>ROUND(G132*(1+'Interest rate projection'!AG134/Var_freq)+IF(H$5="Mortgage Starts",0,Deposit_mon_alt),2)</f>
        <v>14157.72</v>
      </c>
      <c r="I132" s="16">
        <f>ROUND(H132*(1+'Interest rate projection'!AH134/Var_freq)+IF(I$5="Mortgage Starts",0,Deposit_mon_alt),2)</f>
        <v>16212.58</v>
      </c>
      <c r="J132" s="16">
        <f>ROUND(I132*(1+'Interest rate projection'!AI134/Var_freq)+IF(J$5="Mortgage Starts",0,Deposit_mon_alt),2)</f>
        <v>18275.400000000001</v>
      </c>
      <c r="K132" s="16">
        <f>ROUND(J132*(1+'Interest rate projection'!AJ134/Var_freq)+IF(K$5="Mortgage Starts",0,Deposit_mon_alt),2)</f>
        <v>20346.21</v>
      </c>
      <c r="L132" s="16">
        <f>ROUND(K132*(1+'Interest rate projection'!AK134/Var_freq)+IF(L$5="Mortgage Starts",0,Deposit_mon_alt),2)</f>
        <v>22425.05</v>
      </c>
      <c r="M132" s="16">
        <f>ROUND(L132*(1+'Interest rate projection'!AL134/Var_freq)+IF(M$5="Mortgage Starts",0,Deposit_mon_alt),2)</f>
        <v>24511.94</v>
      </c>
      <c r="N132" s="57">
        <f>ROUND(M132*(1+'Interest rate projection'!AM134/Var_freq)+IF(N$5="Mortgage Starts",0,Deposit_mon_alt),2)</f>
        <v>24602.02</v>
      </c>
      <c r="P132" s="38">
        <f>'Interest rate projection'!N134</f>
        <v>4.2499999999999996E-2</v>
      </c>
      <c r="Q132" s="38">
        <f>'Interest rate projection'!AN134</f>
        <v>4.1693940041970023E-2</v>
      </c>
      <c r="R132" s="59" t="str">
        <f t="shared" si="18"/>
        <v>OK</v>
      </c>
      <c r="S132" s="39">
        <f t="shared" si="19"/>
        <v>15.511529757864551</v>
      </c>
      <c r="U132" s="73">
        <f t="shared" si="16"/>
        <v>24602.02</v>
      </c>
      <c r="V132" s="73">
        <f t="shared" si="14"/>
        <v>175397.98</v>
      </c>
      <c r="W132" s="74">
        <f t="shared" si="20"/>
        <v>942.3</v>
      </c>
      <c r="Y132" s="73">
        <f>'Fixed rate projection Alt'!$T$3-('Variable rate projection Alt'!W132*Product_term_alt*Var_freq)</f>
        <v>4289.3999999999942</v>
      </c>
    </row>
    <row r="133" spans="1:25" x14ac:dyDescent="0.35">
      <c r="A133" s="5">
        <v>128</v>
      </c>
      <c r="B133" s="57">
        <f t="shared" si="17"/>
        <v>2000</v>
      </c>
      <c r="C133" s="16">
        <f>ROUND(B133*(1+'Interest rate projection'!AB135/Var_freq)+IF(C$5="Mortgage Starts",0,Deposit_mon_alt),2)</f>
        <v>4007.35</v>
      </c>
      <c r="D133" s="16">
        <f>ROUND(C133*(1+'Interest rate projection'!AC135/Var_freq)+IF(D$5="Mortgage Starts",0,Deposit_mon_alt),2)</f>
        <v>6022.08</v>
      </c>
      <c r="E133" s="16">
        <f>ROUND(D133*(1+'Interest rate projection'!AD135/Var_freq)+IF(E$5="Mortgage Starts",0,Deposit_mon_alt),2)</f>
        <v>8044.21</v>
      </c>
      <c r="F133" s="16">
        <f>ROUND(E133*(1+'Interest rate projection'!AE135/Var_freq)+IF(F$5="Mortgage Starts",0,Deposit_mon_alt),2)</f>
        <v>10073.77</v>
      </c>
      <c r="G133" s="16">
        <f>ROUND(F133*(1+'Interest rate projection'!AF135/Var_freq)+IF(G$5="Mortgage Starts",0,Deposit_mon_alt),2)</f>
        <v>12112.8</v>
      </c>
      <c r="H133" s="16">
        <f>ROUND(G133*(1+'Interest rate projection'!AG135/Var_freq)+IF(H$5="Mortgage Starts",0,Deposit_mon_alt),2)</f>
        <v>14159.73</v>
      </c>
      <c r="I133" s="16">
        <f>ROUND(H133*(1+'Interest rate projection'!AH135/Var_freq)+IF(I$5="Mortgage Starts",0,Deposit_mon_alt),2)</f>
        <v>16214.59</v>
      </c>
      <c r="J133" s="16">
        <f>ROUND(I133*(1+'Interest rate projection'!AI135/Var_freq)+IF(J$5="Mortgage Starts",0,Deposit_mon_alt),2)</f>
        <v>18277.419999999998</v>
      </c>
      <c r="K133" s="16">
        <f>ROUND(J133*(1+'Interest rate projection'!AJ135/Var_freq)+IF(K$5="Mortgage Starts",0,Deposit_mon_alt),2)</f>
        <v>20348.240000000002</v>
      </c>
      <c r="L133" s="16">
        <f>ROUND(K133*(1+'Interest rate projection'!AK135/Var_freq)+IF(L$5="Mortgage Starts",0,Deposit_mon_alt),2)</f>
        <v>22427.08</v>
      </c>
      <c r="M133" s="16">
        <f>ROUND(L133*(1+'Interest rate projection'!AL135/Var_freq)+IF(M$5="Mortgage Starts",0,Deposit_mon_alt),2)</f>
        <v>24513.98</v>
      </c>
      <c r="N133" s="57">
        <f>ROUND(M133*(1+'Interest rate projection'!AM135/Var_freq)+IF(N$5="Mortgage Starts",0,Deposit_mon_alt),2)</f>
        <v>24608.959999999999</v>
      </c>
      <c r="P133" s="38">
        <f>'Interest rate projection'!N135</f>
        <v>4.7500000000000001E-2</v>
      </c>
      <c r="Q133" s="38">
        <f>'Interest rate projection'!AN135</f>
        <v>4.6496219905550085E-2</v>
      </c>
      <c r="R133" s="59" t="str">
        <f t="shared" si="18"/>
        <v>OK</v>
      </c>
      <c r="S133" s="39">
        <f t="shared" si="19"/>
        <v>14.766012404082064</v>
      </c>
      <c r="U133" s="73">
        <f t="shared" si="16"/>
        <v>24608.959999999999</v>
      </c>
      <c r="V133" s="73">
        <f t="shared" si="14"/>
        <v>175391.04</v>
      </c>
      <c r="W133" s="74">
        <f t="shared" si="20"/>
        <v>989.84</v>
      </c>
      <c r="Y133" s="73">
        <f>'Fixed rate projection Alt'!$T$3-('Variable rate projection Alt'!W133*Product_term_alt*Var_freq)</f>
        <v>1437</v>
      </c>
    </row>
    <row r="134" spans="1:25" x14ac:dyDescent="0.35">
      <c r="A134" s="27">
        <v>129</v>
      </c>
      <c r="B134" s="57">
        <f t="shared" ref="B134:B165" si="21">Deposit_mon_alt</f>
        <v>2000</v>
      </c>
      <c r="C134" s="16">
        <f>ROUND(B134*(1+'Interest rate projection'!AB136/Var_freq)+IF(C$5="Mortgage Starts",0,Deposit_mon_alt),2)</f>
        <v>4007.35</v>
      </c>
      <c r="D134" s="16">
        <f>ROUND(C134*(1+'Interest rate projection'!AC136/Var_freq)+IF(D$5="Mortgage Starts",0,Deposit_mon_alt),2)</f>
        <v>6022.08</v>
      </c>
      <c r="E134" s="16">
        <f>ROUND(D134*(1+'Interest rate projection'!AD136/Var_freq)+IF(E$5="Mortgage Starts",0,Deposit_mon_alt),2)</f>
        <v>8044.21</v>
      </c>
      <c r="F134" s="16">
        <f>ROUND(E134*(1+'Interest rate projection'!AE136/Var_freq)+IF(F$5="Mortgage Starts",0,Deposit_mon_alt),2)</f>
        <v>10073.77</v>
      </c>
      <c r="G134" s="16">
        <f>ROUND(F134*(1+'Interest rate projection'!AF136/Var_freq)+IF(G$5="Mortgage Starts",0,Deposit_mon_alt),2)</f>
        <v>12110.79</v>
      </c>
      <c r="H134" s="16">
        <f>ROUND(G134*(1+'Interest rate projection'!AG136/Var_freq)+IF(H$5="Mortgage Starts",0,Deposit_mon_alt),2)</f>
        <v>14155.29</v>
      </c>
      <c r="I134" s="16">
        <f>ROUND(H134*(1+'Interest rate projection'!AH136/Var_freq)+IF(I$5="Mortgage Starts",0,Deposit_mon_alt),2)</f>
        <v>16207.31</v>
      </c>
      <c r="J134" s="16">
        <f>ROUND(I134*(1+'Interest rate projection'!AI136/Var_freq)+IF(J$5="Mortgage Starts",0,Deposit_mon_alt),2)</f>
        <v>18266.87</v>
      </c>
      <c r="K134" s="16">
        <f>ROUND(J134*(1+'Interest rate projection'!AJ136/Var_freq)+IF(K$5="Mortgage Starts",0,Deposit_mon_alt),2)</f>
        <v>20337.650000000001</v>
      </c>
      <c r="L134" s="16">
        <f>ROUND(K134*(1+'Interest rate projection'!AK136/Var_freq)+IF(L$5="Mortgage Starts",0,Deposit_mon_alt),2)</f>
        <v>22416.45</v>
      </c>
      <c r="M134" s="16">
        <f>ROUND(L134*(1+'Interest rate projection'!AL136/Var_freq)+IF(M$5="Mortgage Starts",0,Deposit_mon_alt),2)</f>
        <v>24503.31</v>
      </c>
      <c r="N134" s="57">
        <f>ROUND(M134*(1+'Interest rate projection'!AM136/Var_freq)+IF(N$5="Mortgage Starts",0,Deposit_mon_alt),2)</f>
        <v>24593.35</v>
      </c>
      <c r="P134" s="38">
        <f>'Interest rate projection'!N136</f>
        <v>4.4999999999999998E-2</v>
      </c>
      <c r="Q134" s="38">
        <f>'Interest rate projection'!AN136</f>
        <v>4.4097712805242217E-2</v>
      </c>
      <c r="R134" s="59" t="str">
        <f t="shared" ref="R134:R165" si="22">IF(ROUND(P134,6)=ROUND((1+Q134/Var_freq)^Var_freq-1,6),"OK","ERROR")</f>
        <v>OK</v>
      </c>
      <c r="S134" s="39">
        <f t="shared" ref="S134:S165" si="23">(1-(1+P134)^-Mort_term)/Q134</f>
        <v>15.131610255367837</v>
      </c>
      <c r="U134" s="73">
        <f t="shared" si="16"/>
        <v>24593.35</v>
      </c>
      <c r="V134" s="73">
        <f t="shared" ref="V134:V197" si="24">House_price-U134</f>
        <v>175406.65</v>
      </c>
      <c r="W134" s="74">
        <f t="shared" ref="W134:W165" si="25">ROUND(V134/S134/Var_freq,2)</f>
        <v>966.01</v>
      </c>
      <c r="Y134" s="73">
        <f>'Fixed rate projection Alt'!$T$3-('Variable rate projection Alt'!W134*Product_term_alt*Var_freq)</f>
        <v>2866.7999999999884</v>
      </c>
    </row>
    <row r="135" spans="1:25" x14ac:dyDescent="0.35">
      <c r="A135" s="5">
        <v>130</v>
      </c>
      <c r="B135" s="57">
        <f t="shared" si="21"/>
        <v>2000</v>
      </c>
      <c r="C135" s="16">
        <f>ROUND(B135*(1+'Interest rate projection'!AB137/Var_freq)+IF(C$5="Mortgage Starts",0,Deposit_mon_alt),2)</f>
        <v>4007.35</v>
      </c>
      <c r="D135" s="16">
        <f>ROUND(C135*(1+'Interest rate projection'!AC137/Var_freq)+IF(D$5="Mortgage Starts",0,Deposit_mon_alt),2)</f>
        <v>6022.08</v>
      </c>
      <c r="E135" s="16">
        <f>ROUND(D135*(1+'Interest rate projection'!AD137/Var_freq)+IF(E$5="Mortgage Starts",0,Deposit_mon_alt),2)</f>
        <v>8044.21</v>
      </c>
      <c r="F135" s="16">
        <f>ROUND(E135*(1+'Interest rate projection'!AE137/Var_freq)+IF(F$5="Mortgage Starts",0,Deposit_mon_alt),2)</f>
        <v>10072.16</v>
      </c>
      <c r="G135" s="16">
        <f>ROUND(F135*(1+'Interest rate projection'!AF137/Var_freq)+IF(G$5="Mortgage Starts",0,Deposit_mon_alt),2)</f>
        <v>12107.16</v>
      </c>
      <c r="H135" s="16">
        <f>ROUND(G135*(1+'Interest rate projection'!AG137/Var_freq)+IF(H$5="Mortgage Starts",0,Deposit_mon_alt),2)</f>
        <v>14149.23</v>
      </c>
      <c r="I135" s="16">
        <f>ROUND(H135*(1+'Interest rate projection'!AH137/Var_freq)+IF(I$5="Mortgage Starts",0,Deposit_mon_alt),2)</f>
        <v>16198.39</v>
      </c>
      <c r="J135" s="16">
        <f>ROUND(I135*(1+'Interest rate projection'!AI137/Var_freq)+IF(J$5="Mortgage Starts",0,Deposit_mon_alt),2)</f>
        <v>18254.669999999998</v>
      </c>
      <c r="K135" s="16">
        <f>ROUND(J135*(1+'Interest rate projection'!AJ137/Var_freq)+IF(K$5="Mortgage Starts",0,Deposit_mon_alt),2)</f>
        <v>20318.099999999999</v>
      </c>
      <c r="L135" s="16">
        <f>ROUND(K135*(1+'Interest rate projection'!AK137/Var_freq)+IF(L$5="Mortgage Starts",0,Deposit_mon_alt),2)</f>
        <v>22388.7</v>
      </c>
      <c r="M135" s="16">
        <f>ROUND(L135*(1+'Interest rate projection'!AL137/Var_freq)+IF(M$5="Mortgage Starts",0,Deposit_mon_alt),2)</f>
        <v>24466.49</v>
      </c>
      <c r="N135" s="57">
        <f>ROUND(M135*(1+'Interest rate projection'!AM137/Var_freq)+IF(N$5="Mortgage Starts",0,Deposit_mon_alt),2)</f>
        <v>24551.5</v>
      </c>
      <c r="P135" s="38">
        <f>'Interest rate projection'!N137</f>
        <v>4.2499999999999996E-2</v>
      </c>
      <c r="Q135" s="38">
        <f>'Interest rate projection'!AN137</f>
        <v>4.1693940041970023E-2</v>
      </c>
      <c r="R135" s="59" t="str">
        <f t="shared" si="22"/>
        <v>OK</v>
      </c>
      <c r="S135" s="39">
        <f t="shared" si="23"/>
        <v>15.511529757864551</v>
      </c>
      <c r="U135" s="73">
        <f t="shared" ref="U135:U198" si="26">N135</f>
        <v>24551.5</v>
      </c>
      <c r="V135" s="73">
        <f t="shared" si="24"/>
        <v>175448.5</v>
      </c>
      <c r="W135" s="74">
        <f t="shared" si="25"/>
        <v>942.57</v>
      </c>
      <c r="Y135" s="73">
        <f>'Fixed rate projection Alt'!$T$3-('Variable rate projection Alt'!W135*Product_term_alt*Var_freq)</f>
        <v>4273.1999999999898</v>
      </c>
    </row>
    <row r="136" spans="1:25" x14ac:dyDescent="0.35">
      <c r="A136" s="27">
        <v>131</v>
      </c>
      <c r="B136" s="57">
        <f t="shared" si="21"/>
        <v>2000</v>
      </c>
      <c r="C136" s="16">
        <f>ROUND(B136*(1+'Interest rate projection'!AB138/Var_freq)+IF(C$5="Mortgage Starts",0,Deposit_mon_alt),2)</f>
        <v>4007.35</v>
      </c>
      <c r="D136" s="16">
        <f>ROUND(C136*(1+'Interest rate projection'!AC138/Var_freq)+IF(D$5="Mortgage Starts",0,Deposit_mon_alt),2)</f>
        <v>6022.08</v>
      </c>
      <c r="E136" s="16">
        <f>ROUND(D136*(1+'Interest rate projection'!AD138/Var_freq)+IF(E$5="Mortgage Starts",0,Deposit_mon_alt),2)</f>
        <v>8044.21</v>
      </c>
      <c r="F136" s="16">
        <f>ROUND(E136*(1+'Interest rate projection'!AE138/Var_freq)+IF(F$5="Mortgage Starts",0,Deposit_mon_alt),2)</f>
        <v>10073.77</v>
      </c>
      <c r="G136" s="16">
        <f>ROUND(F136*(1+'Interest rate projection'!AF138/Var_freq)+IF(G$5="Mortgage Starts",0,Deposit_mon_alt),2)</f>
        <v>12110.79</v>
      </c>
      <c r="H136" s="16">
        <f>ROUND(G136*(1+'Interest rate projection'!AG138/Var_freq)+IF(H$5="Mortgage Starts",0,Deposit_mon_alt),2)</f>
        <v>14155.29</v>
      </c>
      <c r="I136" s="16">
        <f>ROUND(H136*(1+'Interest rate projection'!AH138/Var_freq)+IF(I$5="Mortgage Starts",0,Deposit_mon_alt),2)</f>
        <v>16207.31</v>
      </c>
      <c r="J136" s="16">
        <f>ROUND(I136*(1+'Interest rate projection'!AI138/Var_freq)+IF(J$5="Mortgage Starts",0,Deposit_mon_alt),2)</f>
        <v>18266.87</v>
      </c>
      <c r="K136" s="16">
        <f>ROUND(J136*(1+'Interest rate projection'!AJ138/Var_freq)+IF(K$5="Mortgage Starts",0,Deposit_mon_alt),2)</f>
        <v>20334</v>
      </c>
      <c r="L136" s="16">
        <f>ROUND(K136*(1+'Interest rate projection'!AK138/Var_freq)+IF(L$5="Mortgage Starts",0,Deposit_mon_alt),2)</f>
        <v>22408.720000000001</v>
      </c>
      <c r="M136" s="16">
        <f>ROUND(L136*(1+'Interest rate projection'!AL138/Var_freq)+IF(M$5="Mortgage Starts",0,Deposit_mon_alt),2)</f>
        <v>24486.58</v>
      </c>
      <c r="N136" s="57">
        <f>ROUND(M136*(1+'Interest rate projection'!AM138/Var_freq)+IF(N$5="Mortgage Starts",0,Deposit_mon_alt),2)</f>
        <v>24571.66</v>
      </c>
      <c r="P136" s="38">
        <f>'Interest rate projection'!N138</f>
        <v>4.7499999999999994E-2</v>
      </c>
      <c r="Q136" s="38">
        <f>'Interest rate projection'!AN138</f>
        <v>4.6496219905550085E-2</v>
      </c>
      <c r="R136" s="59" t="str">
        <f t="shared" si="22"/>
        <v>OK</v>
      </c>
      <c r="S136" s="39">
        <f t="shared" si="23"/>
        <v>14.766012404082064</v>
      </c>
      <c r="U136" s="73">
        <f t="shared" si="26"/>
        <v>24571.66</v>
      </c>
      <c r="V136" s="73">
        <f t="shared" si="24"/>
        <v>175428.34</v>
      </c>
      <c r="W136" s="74">
        <f t="shared" si="25"/>
        <v>990.05</v>
      </c>
      <c r="Y136" s="73">
        <f>'Fixed rate projection Alt'!$T$3-('Variable rate projection Alt'!W136*Product_term_alt*Var_freq)</f>
        <v>1424.3999999999942</v>
      </c>
    </row>
    <row r="137" spans="1:25" x14ac:dyDescent="0.35">
      <c r="A137" s="5">
        <v>132</v>
      </c>
      <c r="B137" s="57">
        <f t="shared" si="21"/>
        <v>2000</v>
      </c>
      <c r="C137" s="16">
        <f>ROUND(B137*(1+'Interest rate projection'!AB139/Var_freq)+IF(C$5="Mortgage Starts",0,Deposit_mon_alt),2)</f>
        <v>4007.35</v>
      </c>
      <c r="D137" s="16">
        <f>ROUND(C137*(1+'Interest rate projection'!AC139/Var_freq)+IF(D$5="Mortgage Starts",0,Deposit_mon_alt),2)</f>
        <v>6022.08</v>
      </c>
      <c r="E137" s="16">
        <f>ROUND(D137*(1+'Interest rate projection'!AD139/Var_freq)+IF(E$5="Mortgage Starts",0,Deposit_mon_alt),2)</f>
        <v>8046.61</v>
      </c>
      <c r="F137" s="16">
        <f>ROUND(E137*(1+'Interest rate projection'!AE139/Var_freq)+IF(F$5="Mortgage Starts",0,Deposit_mon_alt),2)</f>
        <v>10082.59</v>
      </c>
      <c r="G137" s="16">
        <f>ROUND(F137*(1+'Interest rate projection'!AF139/Var_freq)+IF(G$5="Mortgage Starts",0,Deposit_mon_alt),2)</f>
        <v>12127.68</v>
      </c>
      <c r="H137" s="16">
        <f>ROUND(G137*(1+'Interest rate projection'!AG139/Var_freq)+IF(H$5="Mortgage Starts",0,Deposit_mon_alt),2)</f>
        <v>14181.91</v>
      </c>
      <c r="I137" s="16">
        <f>ROUND(H137*(1+'Interest rate projection'!AH139/Var_freq)+IF(I$5="Mortgage Starts",0,Deposit_mon_alt),2)</f>
        <v>16248.14</v>
      </c>
      <c r="J137" s="16">
        <f>ROUND(I137*(1+'Interest rate projection'!AI139/Var_freq)+IF(J$5="Mortgage Starts",0,Deposit_mon_alt),2)</f>
        <v>18324.02</v>
      </c>
      <c r="K137" s="16">
        <f>ROUND(J137*(1+'Interest rate projection'!AJ139/Var_freq)+IF(K$5="Mortgage Starts",0,Deposit_mon_alt),2)</f>
        <v>20409.59</v>
      </c>
      <c r="L137" s="16">
        <f>ROUND(K137*(1+'Interest rate projection'!AK139/Var_freq)+IF(L$5="Mortgage Starts",0,Deposit_mon_alt),2)</f>
        <v>22504.9</v>
      </c>
      <c r="M137" s="16">
        <f>ROUND(L137*(1+'Interest rate projection'!AL139/Var_freq)+IF(M$5="Mortgage Starts",0,Deposit_mon_alt),2)</f>
        <v>24609.99</v>
      </c>
      <c r="N137" s="57">
        <f>ROUND(M137*(1+'Interest rate projection'!AM139/Var_freq)+IF(N$5="Mortgage Starts",0,Deposit_mon_alt),2)</f>
        <v>24724.91</v>
      </c>
      <c r="P137" s="38">
        <f>'Interest rate projection'!N139</f>
        <v>5.7499999999999996E-2</v>
      </c>
      <c r="Q137" s="38">
        <f>'Interest rate projection'!AN139</f>
        <v>5.603807040042863E-2</v>
      </c>
      <c r="R137" s="59" t="str">
        <f t="shared" si="22"/>
        <v>OK</v>
      </c>
      <c r="S137" s="39">
        <f t="shared" si="23"/>
        <v>13.434312256020331</v>
      </c>
      <c r="U137" s="73">
        <f t="shared" si="26"/>
        <v>24724.91</v>
      </c>
      <c r="V137" s="73">
        <f t="shared" si="24"/>
        <v>175275.09</v>
      </c>
      <c r="W137" s="74">
        <f t="shared" si="25"/>
        <v>1087.24</v>
      </c>
      <c r="Y137" s="73">
        <f>'Fixed rate projection Alt'!$T$3-('Variable rate projection Alt'!W137*Product_term_alt*Var_freq)</f>
        <v>-4407</v>
      </c>
    </row>
    <row r="138" spans="1:25" x14ac:dyDescent="0.35">
      <c r="A138" s="27">
        <v>133</v>
      </c>
      <c r="B138" s="57">
        <f t="shared" si="21"/>
        <v>2000</v>
      </c>
      <c r="C138" s="16">
        <f>ROUND(B138*(1+'Interest rate projection'!AB140/Var_freq)+IF(C$5="Mortgage Starts",0,Deposit_mon_alt),2)</f>
        <v>4007.35</v>
      </c>
      <c r="D138" s="16">
        <f>ROUND(C138*(1+'Interest rate projection'!AC140/Var_freq)+IF(D$5="Mortgage Starts",0,Deposit_mon_alt),2)</f>
        <v>6022.08</v>
      </c>
      <c r="E138" s="16">
        <f>ROUND(D138*(1+'Interest rate projection'!AD140/Var_freq)+IF(E$5="Mortgage Starts",0,Deposit_mon_alt),2)</f>
        <v>8044.21</v>
      </c>
      <c r="F138" s="16">
        <f>ROUND(E138*(1+'Interest rate projection'!AE140/Var_freq)+IF(F$5="Mortgage Starts",0,Deposit_mon_alt),2)</f>
        <v>10073.77</v>
      </c>
      <c r="G138" s="16">
        <f>ROUND(F138*(1+'Interest rate projection'!AF140/Var_freq)+IF(G$5="Mortgage Starts",0,Deposit_mon_alt),2)</f>
        <v>12110.79</v>
      </c>
      <c r="H138" s="16">
        <f>ROUND(G138*(1+'Interest rate projection'!AG140/Var_freq)+IF(H$5="Mortgage Starts",0,Deposit_mon_alt),2)</f>
        <v>14155.29</v>
      </c>
      <c r="I138" s="16">
        <f>ROUND(H138*(1+'Interest rate projection'!AH140/Var_freq)+IF(I$5="Mortgage Starts",0,Deposit_mon_alt),2)</f>
        <v>16204.47</v>
      </c>
      <c r="J138" s="16">
        <f>ROUND(I138*(1+'Interest rate projection'!AI140/Var_freq)+IF(J$5="Mortgage Starts",0,Deposit_mon_alt),2)</f>
        <v>18260.77</v>
      </c>
      <c r="K138" s="16">
        <f>ROUND(J138*(1+'Interest rate projection'!AJ140/Var_freq)+IF(K$5="Mortgage Starts",0,Deposit_mon_alt),2)</f>
        <v>20324.22</v>
      </c>
      <c r="L138" s="16">
        <f>ROUND(K138*(1+'Interest rate projection'!AK140/Var_freq)+IF(L$5="Mortgage Starts",0,Deposit_mon_alt),2)</f>
        <v>22398.91</v>
      </c>
      <c r="M138" s="16">
        <f>ROUND(L138*(1+'Interest rate projection'!AL140/Var_freq)+IF(M$5="Mortgage Starts",0,Deposit_mon_alt),2)</f>
        <v>24481.22</v>
      </c>
      <c r="N138" s="57">
        <f>ROUND(M138*(1+'Interest rate projection'!AM140/Var_freq)+IF(N$5="Mortgage Starts",0,Deposit_mon_alt),2)</f>
        <v>24571.18</v>
      </c>
      <c r="P138" s="38">
        <f>'Interest rate projection'!N140</f>
        <v>4.4999999999999998E-2</v>
      </c>
      <c r="Q138" s="38">
        <f>'Interest rate projection'!AN140</f>
        <v>4.4097712805242217E-2</v>
      </c>
      <c r="R138" s="59" t="str">
        <f t="shared" si="22"/>
        <v>OK</v>
      </c>
      <c r="S138" s="39">
        <f t="shared" si="23"/>
        <v>15.131610255367837</v>
      </c>
      <c r="U138" s="73">
        <f t="shared" si="26"/>
        <v>24571.18</v>
      </c>
      <c r="V138" s="73">
        <f t="shared" si="24"/>
        <v>175428.82</v>
      </c>
      <c r="W138" s="74">
        <f t="shared" si="25"/>
        <v>966.13</v>
      </c>
      <c r="Y138" s="73">
        <f>'Fixed rate projection Alt'!$T$3-('Variable rate projection Alt'!W138*Product_term_alt*Var_freq)</f>
        <v>2859.5999999999985</v>
      </c>
    </row>
    <row r="139" spans="1:25" x14ac:dyDescent="0.35">
      <c r="A139" s="5">
        <v>134</v>
      </c>
      <c r="B139" s="57">
        <f t="shared" si="21"/>
        <v>2000</v>
      </c>
      <c r="C139" s="16">
        <f>ROUND(B139*(1+'Interest rate projection'!AB141/Var_freq)+IF(C$5="Mortgage Starts",0,Deposit_mon_alt),2)</f>
        <v>4007.35</v>
      </c>
      <c r="D139" s="16">
        <f>ROUND(C139*(1+'Interest rate projection'!AC141/Var_freq)+IF(D$5="Mortgage Starts",0,Deposit_mon_alt),2)</f>
        <v>6022.08</v>
      </c>
      <c r="E139" s="16">
        <f>ROUND(D139*(1+'Interest rate projection'!AD141/Var_freq)+IF(E$5="Mortgage Starts",0,Deposit_mon_alt),2)</f>
        <v>8044.21</v>
      </c>
      <c r="F139" s="16">
        <f>ROUND(E139*(1+'Interest rate projection'!AE141/Var_freq)+IF(F$5="Mortgage Starts",0,Deposit_mon_alt),2)</f>
        <v>10073.77</v>
      </c>
      <c r="G139" s="16">
        <f>ROUND(F139*(1+'Interest rate projection'!AF141/Var_freq)+IF(G$5="Mortgage Starts",0,Deposit_mon_alt),2)</f>
        <v>12108.77</v>
      </c>
      <c r="H139" s="16">
        <f>ROUND(G139*(1+'Interest rate projection'!AG141/Var_freq)+IF(H$5="Mortgage Starts",0,Deposit_mon_alt),2)</f>
        <v>14150.84</v>
      </c>
      <c r="I139" s="16">
        <f>ROUND(H139*(1+'Interest rate projection'!AH141/Var_freq)+IF(I$5="Mortgage Starts",0,Deposit_mon_alt),2)</f>
        <v>16200.01</v>
      </c>
      <c r="J139" s="16">
        <f>ROUND(I139*(1+'Interest rate projection'!AI141/Var_freq)+IF(J$5="Mortgage Starts",0,Deposit_mon_alt),2)</f>
        <v>18256.3</v>
      </c>
      <c r="K139" s="16">
        <f>ROUND(J139*(1+'Interest rate projection'!AJ141/Var_freq)+IF(K$5="Mortgage Starts",0,Deposit_mon_alt),2)</f>
        <v>20319.73</v>
      </c>
      <c r="L139" s="16">
        <f>ROUND(K139*(1+'Interest rate projection'!AK141/Var_freq)+IF(L$5="Mortgage Starts",0,Deposit_mon_alt),2)</f>
        <v>22390.33</v>
      </c>
      <c r="M139" s="16">
        <f>ROUND(L139*(1+'Interest rate projection'!AL141/Var_freq)+IF(M$5="Mortgage Starts",0,Deposit_mon_alt),2)</f>
        <v>24468.13</v>
      </c>
      <c r="N139" s="57">
        <f>ROUND(M139*(1+'Interest rate projection'!AM141/Var_freq)+IF(N$5="Mortgage Starts",0,Deposit_mon_alt),2)</f>
        <v>24553.14</v>
      </c>
      <c r="P139" s="38">
        <f>'Interest rate projection'!N141</f>
        <v>4.2499999999999996E-2</v>
      </c>
      <c r="Q139" s="38">
        <f>'Interest rate projection'!AN141</f>
        <v>4.1693940041970023E-2</v>
      </c>
      <c r="R139" s="59" t="str">
        <f t="shared" si="22"/>
        <v>OK</v>
      </c>
      <c r="S139" s="39">
        <f t="shared" si="23"/>
        <v>15.511529757864551</v>
      </c>
      <c r="U139" s="73">
        <f t="shared" si="26"/>
        <v>24553.14</v>
      </c>
      <c r="V139" s="73">
        <f t="shared" si="24"/>
        <v>175446.86</v>
      </c>
      <c r="W139" s="74">
        <f t="shared" si="25"/>
        <v>942.56</v>
      </c>
      <c r="Y139" s="73">
        <f>'Fixed rate projection Alt'!$T$3-('Variable rate projection Alt'!W139*Product_term_alt*Var_freq)</f>
        <v>4273.8000000000029</v>
      </c>
    </row>
    <row r="140" spans="1:25" x14ac:dyDescent="0.35">
      <c r="A140" s="27">
        <v>135</v>
      </c>
      <c r="B140" s="57">
        <f t="shared" si="21"/>
        <v>2000</v>
      </c>
      <c r="C140" s="16">
        <f>ROUND(B140*(1+'Interest rate projection'!AB142/Var_freq)+IF(C$5="Mortgage Starts",0,Deposit_mon_alt),2)</f>
        <v>4007.35</v>
      </c>
      <c r="D140" s="16">
        <f>ROUND(C140*(1+'Interest rate projection'!AC142/Var_freq)+IF(D$5="Mortgage Starts",0,Deposit_mon_alt),2)</f>
        <v>6022.08</v>
      </c>
      <c r="E140" s="16">
        <f>ROUND(D140*(1+'Interest rate projection'!AD142/Var_freq)+IF(E$5="Mortgage Starts",0,Deposit_mon_alt),2)</f>
        <v>8045.41</v>
      </c>
      <c r="F140" s="16">
        <f>ROUND(E140*(1+'Interest rate projection'!AE142/Var_freq)+IF(F$5="Mortgage Starts",0,Deposit_mon_alt),2)</f>
        <v>10076.58</v>
      </c>
      <c r="G140" s="16">
        <f>ROUND(F140*(1+'Interest rate projection'!AF142/Var_freq)+IF(G$5="Mortgage Starts",0,Deposit_mon_alt),2)</f>
        <v>12115.62</v>
      </c>
      <c r="H140" s="16">
        <f>ROUND(G140*(1+'Interest rate projection'!AG142/Var_freq)+IF(H$5="Mortgage Starts",0,Deposit_mon_alt),2)</f>
        <v>14157.72</v>
      </c>
      <c r="I140" s="16">
        <f>ROUND(H140*(1+'Interest rate projection'!AH142/Var_freq)+IF(I$5="Mortgage Starts",0,Deposit_mon_alt),2)</f>
        <v>16206.91</v>
      </c>
      <c r="J140" s="16">
        <f>ROUND(I140*(1+'Interest rate projection'!AI142/Var_freq)+IF(J$5="Mortgage Starts",0,Deposit_mon_alt),2)</f>
        <v>18263.22</v>
      </c>
      <c r="K140" s="16">
        <f>ROUND(J140*(1+'Interest rate projection'!AJ142/Var_freq)+IF(K$5="Mortgage Starts",0,Deposit_mon_alt),2)</f>
        <v>20326.68</v>
      </c>
      <c r="L140" s="16">
        <f>ROUND(K140*(1+'Interest rate projection'!AK142/Var_freq)+IF(L$5="Mortgage Starts",0,Deposit_mon_alt),2)</f>
        <v>22397.3</v>
      </c>
      <c r="M140" s="16">
        <f>ROUND(L140*(1+'Interest rate projection'!AL142/Var_freq)+IF(M$5="Mortgage Starts",0,Deposit_mon_alt),2)</f>
        <v>24475.119999999999</v>
      </c>
      <c r="N140" s="57">
        <f>ROUND(M140*(1+'Interest rate projection'!AM142/Var_freq)+IF(N$5="Mortgage Starts",0,Deposit_mon_alt),2)</f>
        <v>24560.16</v>
      </c>
      <c r="P140" s="38">
        <f>'Interest rate projection'!N142</f>
        <v>4.2500000000000003E-2</v>
      </c>
      <c r="Q140" s="38">
        <f>'Interest rate projection'!AN142</f>
        <v>4.1693940041970023E-2</v>
      </c>
      <c r="R140" s="59" t="str">
        <f t="shared" si="22"/>
        <v>OK</v>
      </c>
      <c r="S140" s="39">
        <f t="shared" si="23"/>
        <v>15.511529757864551</v>
      </c>
      <c r="U140" s="73">
        <f t="shared" si="26"/>
        <v>24560.16</v>
      </c>
      <c r="V140" s="73">
        <f t="shared" si="24"/>
        <v>175439.84</v>
      </c>
      <c r="W140" s="74">
        <f t="shared" si="25"/>
        <v>942.52</v>
      </c>
      <c r="Y140" s="73">
        <f>'Fixed rate projection Alt'!$T$3-('Variable rate projection Alt'!W140*Product_term_alt*Var_freq)</f>
        <v>4276.1999999999898</v>
      </c>
    </row>
    <row r="141" spans="1:25" x14ac:dyDescent="0.35">
      <c r="A141" s="5">
        <v>136</v>
      </c>
      <c r="B141" s="57">
        <f t="shared" si="21"/>
        <v>2000</v>
      </c>
      <c r="C141" s="16">
        <f>ROUND(B141*(1+'Interest rate projection'!AB143/Var_freq)+IF(C$5="Mortgage Starts",0,Deposit_mon_alt),2)</f>
        <v>4007.35</v>
      </c>
      <c r="D141" s="16">
        <f>ROUND(C141*(1+'Interest rate projection'!AC143/Var_freq)+IF(D$5="Mortgage Starts",0,Deposit_mon_alt),2)</f>
        <v>6022.08</v>
      </c>
      <c r="E141" s="16">
        <f>ROUND(D141*(1+'Interest rate projection'!AD143/Var_freq)+IF(E$5="Mortgage Starts",0,Deposit_mon_alt),2)</f>
        <v>8044.21</v>
      </c>
      <c r="F141" s="16">
        <f>ROUND(E141*(1+'Interest rate projection'!AE143/Var_freq)+IF(F$5="Mortgage Starts",0,Deposit_mon_alt),2)</f>
        <v>10073.77</v>
      </c>
      <c r="G141" s="16">
        <f>ROUND(F141*(1+'Interest rate projection'!AF143/Var_freq)+IF(G$5="Mortgage Starts",0,Deposit_mon_alt),2)</f>
        <v>12110.79</v>
      </c>
      <c r="H141" s="16">
        <f>ROUND(G141*(1+'Interest rate projection'!AG143/Var_freq)+IF(H$5="Mortgage Starts",0,Deposit_mon_alt),2)</f>
        <v>14155.29</v>
      </c>
      <c r="I141" s="16">
        <f>ROUND(H141*(1+'Interest rate projection'!AH143/Var_freq)+IF(I$5="Mortgage Starts",0,Deposit_mon_alt),2)</f>
        <v>16207.31</v>
      </c>
      <c r="J141" s="16">
        <f>ROUND(I141*(1+'Interest rate projection'!AI143/Var_freq)+IF(J$5="Mortgage Starts",0,Deposit_mon_alt),2)</f>
        <v>18266.87</v>
      </c>
      <c r="K141" s="16">
        <f>ROUND(J141*(1+'Interest rate projection'!AJ143/Var_freq)+IF(K$5="Mortgage Starts",0,Deposit_mon_alt),2)</f>
        <v>20334</v>
      </c>
      <c r="L141" s="16">
        <f>ROUND(K141*(1+'Interest rate projection'!AK143/Var_freq)+IF(L$5="Mortgage Starts",0,Deposit_mon_alt),2)</f>
        <v>22408.720000000001</v>
      </c>
      <c r="M141" s="16">
        <f>ROUND(L141*(1+'Interest rate projection'!AL143/Var_freq)+IF(M$5="Mortgage Starts",0,Deposit_mon_alt),2)</f>
        <v>24491.07</v>
      </c>
      <c r="N141" s="57">
        <f>ROUND(M141*(1+'Interest rate projection'!AM143/Var_freq)+IF(N$5="Mortgage Starts",0,Deposit_mon_alt),2)</f>
        <v>24581.07</v>
      </c>
      <c r="P141" s="38">
        <f>'Interest rate projection'!N143</f>
        <v>4.4999999999999998E-2</v>
      </c>
      <c r="Q141" s="38">
        <f>'Interest rate projection'!AN143</f>
        <v>4.4097712805242217E-2</v>
      </c>
      <c r="R141" s="59" t="str">
        <f t="shared" si="22"/>
        <v>OK</v>
      </c>
      <c r="S141" s="39">
        <f t="shared" si="23"/>
        <v>15.131610255367837</v>
      </c>
      <c r="U141" s="73">
        <f t="shared" si="26"/>
        <v>24581.07</v>
      </c>
      <c r="V141" s="73">
        <f t="shared" si="24"/>
        <v>175418.93</v>
      </c>
      <c r="W141" s="74">
        <f t="shared" si="25"/>
        <v>966.07</v>
      </c>
      <c r="Y141" s="73">
        <f>'Fixed rate projection Alt'!$T$3-('Variable rate projection Alt'!W141*Product_term_alt*Var_freq)</f>
        <v>2863.1999999999898</v>
      </c>
    </row>
    <row r="142" spans="1:25" x14ac:dyDescent="0.35">
      <c r="A142" s="27">
        <v>137</v>
      </c>
      <c r="B142" s="57">
        <f t="shared" si="21"/>
        <v>2000</v>
      </c>
      <c r="C142" s="16">
        <f>ROUND(B142*(1+'Interest rate projection'!AB144/Var_freq)+IF(C$5="Mortgage Starts",0,Deposit_mon_alt),2)</f>
        <v>4007.35</v>
      </c>
      <c r="D142" s="16">
        <f>ROUND(C142*(1+'Interest rate projection'!AC144/Var_freq)+IF(D$5="Mortgage Starts",0,Deposit_mon_alt),2)</f>
        <v>6022.08</v>
      </c>
      <c r="E142" s="16">
        <f>ROUND(D142*(1+'Interest rate projection'!AD144/Var_freq)+IF(E$5="Mortgage Starts",0,Deposit_mon_alt),2)</f>
        <v>8044.21</v>
      </c>
      <c r="F142" s="16">
        <f>ROUND(E142*(1+'Interest rate projection'!AE144/Var_freq)+IF(F$5="Mortgage Starts",0,Deposit_mon_alt),2)</f>
        <v>10073.77</v>
      </c>
      <c r="G142" s="16">
        <f>ROUND(F142*(1+'Interest rate projection'!AF144/Var_freq)+IF(G$5="Mortgage Starts",0,Deposit_mon_alt),2)</f>
        <v>12110.79</v>
      </c>
      <c r="H142" s="16">
        <f>ROUND(G142*(1+'Interest rate projection'!AG144/Var_freq)+IF(H$5="Mortgage Starts",0,Deposit_mon_alt),2)</f>
        <v>14155.29</v>
      </c>
      <c r="I142" s="16">
        <f>ROUND(H142*(1+'Interest rate projection'!AH144/Var_freq)+IF(I$5="Mortgage Starts",0,Deposit_mon_alt),2)</f>
        <v>16207.31</v>
      </c>
      <c r="J142" s="16">
        <f>ROUND(I142*(1+'Interest rate projection'!AI144/Var_freq)+IF(J$5="Mortgage Starts",0,Deposit_mon_alt),2)</f>
        <v>18266.87</v>
      </c>
      <c r="K142" s="16">
        <f>ROUND(J142*(1+'Interest rate projection'!AJ144/Var_freq)+IF(K$5="Mortgage Starts",0,Deposit_mon_alt),2)</f>
        <v>20334</v>
      </c>
      <c r="L142" s="16">
        <f>ROUND(K142*(1+'Interest rate projection'!AK144/Var_freq)+IF(L$5="Mortgage Starts",0,Deposit_mon_alt),2)</f>
        <v>22408.720000000001</v>
      </c>
      <c r="M142" s="16">
        <f>ROUND(L142*(1+'Interest rate projection'!AL144/Var_freq)+IF(M$5="Mortgage Starts",0,Deposit_mon_alt),2)</f>
        <v>24491.07</v>
      </c>
      <c r="N142" s="57">
        <f>ROUND(M142*(1+'Interest rate projection'!AM144/Var_freq)+IF(N$5="Mortgage Starts",0,Deposit_mon_alt),2)</f>
        <v>24581.07</v>
      </c>
      <c r="P142" s="38">
        <f>'Interest rate projection'!N144</f>
        <v>4.4999999999999998E-2</v>
      </c>
      <c r="Q142" s="38">
        <f>'Interest rate projection'!AN144</f>
        <v>4.4097712805242217E-2</v>
      </c>
      <c r="R142" s="59" t="str">
        <f t="shared" si="22"/>
        <v>OK</v>
      </c>
      <c r="S142" s="39">
        <f t="shared" si="23"/>
        <v>15.131610255367837</v>
      </c>
      <c r="U142" s="73">
        <f t="shared" si="26"/>
        <v>24581.07</v>
      </c>
      <c r="V142" s="73">
        <f t="shared" si="24"/>
        <v>175418.93</v>
      </c>
      <c r="W142" s="74">
        <f t="shared" si="25"/>
        <v>966.07</v>
      </c>
      <c r="Y142" s="73">
        <f>'Fixed rate projection Alt'!$T$3-('Variable rate projection Alt'!W142*Product_term_alt*Var_freq)</f>
        <v>2863.1999999999898</v>
      </c>
    </row>
    <row r="143" spans="1:25" x14ac:dyDescent="0.35">
      <c r="A143" s="5">
        <v>138</v>
      </c>
      <c r="B143" s="57">
        <f t="shared" si="21"/>
        <v>2000</v>
      </c>
      <c r="C143" s="16">
        <f>ROUND(B143*(1+'Interest rate projection'!AB145/Var_freq)+IF(C$5="Mortgage Starts",0,Deposit_mon_alt),2)</f>
        <v>4007.35</v>
      </c>
      <c r="D143" s="16">
        <f>ROUND(C143*(1+'Interest rate projection'!AC145/Var_freq)+IF(D$5="Mortgage Starts",0,Deposit_mon_alt),2)</f>
        <v>6022.08</v>
      </c>
      <c r="E143" s="16">
        <f>ROUND(D143*(1+'Interest rate projection'!AD145/Var_freq)+IF(E$5="Mortgage Starts",0,Deposit_mon_alt),2)</f>
        <v>8044.21</v>
      </c>
      <c r="F143" s="16">
        <f>ROUND(E143*(1+'Interest rate projection'!AE145/Var_freq)+IF(F$5="Mortgage Starts",0,Deposit_mon_alt),2)</f>
        <v>10073.77</v>
      </c>
      <c r="G143" s="16">
        <f>ROUND(F143*(1+'Interest rate projection'!AF145/Var_freq)+IF(G$5="Mortgage Starts",0,Deposit_mon_alt),2)</f>
        <v>12110.79</v>
      </c>
      <c r="H143" s="16">
        <f>ROUND(G143*(1+'Interest rate projection'!AG145/Var_freq)+IF(H$5="Mortgage Starts",0,Deposit_mon_alt),2)</f>
        <v>14155.29</v>
      </c>
      <c r="I143" s="16">
        <f>ROUND(H143*(1+'Interest rate projection'!AH145/Var_freq)+IF(I$5="Mortgage Starts",0,Deposit_mon_alt),2)</f>
        <v>16207.31</v>
      </c>
      <c r="J143" s="16">
        <f>ROUND(I143*(1+'Interest rate projection'!AI145/Var_freq)+IF(J$5="Mortgage Starts",0,Deposit_mon_alt),2)</f>
        <v>18266.87</v>
      </c>
      <c r="K143" s="16">
        <f>ROUND(J143*(1+'Interest rate projection'!AJ145/Var_freq)+IF(K$5="Mortgage Starts",0,Deposit_mon_alt),2)</f>
        <v>20334</v>
      </c>
      <c r="L143" s="16">
        <f>ROUND(K143*(1+'Interest rate projection'!AK145/Var_freq)+IF(L$5="Mortgage Starts",0,Deposit_mon_alt),2)</f>
        <v>22408.720000000001</v>
      </c>
      <c r="M143" s="16">
        <f>ROUND(L143*(1+'Interest rate projection'!AL145/Var_freq)+IF(M$5="Mortgage Starts",0,Deposit_mon_alt),2)</f>
        <v>24491.07</v>
      </c>
      <c r="N143" s="57">
        <f>ROUND(M143*(1+'Interest rate projection'!AM145/Var_freq)+IF(N$5="Mortgage Starts",0,Deposit_mon_alt),2)</f>
        <v>24581.07</v>
      </c>
      <c r="P143" s="38">
        <f>'Interest rate projection'!N145</f>
        <v>4.4999999999999998E-2</v>
      </c>
      <c r="Q143" s="38">
        <f>'Interest rate projection'!AN145</f>
        <v>4.4097712805242217E-2</v>
      </c>
      <c r="R143" s="59" t="str">
        <f t="shared" si="22"/>
        <v>OK</v>
      </c>
      <c r="S143" s="39">
        <f t="shared" si="23"/>
        <v>15.131610255367837</v>
      </c>
      <c r="U143" s="73">
        <f t="shared" si="26"/>
        <v>24581.07</v>
      </c>
      <c r="V143" s="73">
        <f t="shared" si="24"/>
        <v>175418.93</v>
      </c>
      <c r="W143" s="74">
        <f t="shared" si="25"/>
        <v>966.07</v>
      </c>
      <c r="Y143" s="73">
        <f>'Fixed rate projection Alt'!$T$3-('Variable rate projection Alt'!W143*Product_term_alt*Var_freq)</f>
        <v>2863.1999999999898</v>
      </c>
    </row>
    <row r="144" spans="1:25" x14ac:dyDescent="0.35">
      <c r="A144" s="27">
        <v>139</v>
      </c>
      <c r="B144" s="57">
        <f t="shared" si="21"/>
        <v>2000</v>
      </c>
      <c r="C144" s="16">
        <f>ROUND(B144*(1+'Interest rate projection'!AB146/Var_freq)+IF(C$5="Mortgage Starts",0,Deposit_mon_alt),2)</f>
        <v>4007.35</v>
      </c>
      <c r="D144" s="16">
        <f>ROUND(C144*(1+'Interest rate projection'!AC146/Var_freq)+IF(D$5="Mortgage Starts",0,Deposit_mon_alt),2)</f>
        <v>6022.08</v>
      </c>
      <c r="E144" s="16">
        <f>ROUND(D144*(1+'Interest rate projection'!AD146/Var_freq)+IF(E$5="Mortgage Starts",0,Deposit_mon_alt),2)</f>
        <v>8044.21</v>
      </c>
      <c r="F144" s="16">
        <f>ROUND(E144*(1+'Interest rate projection'!AE146/Var_freq)+IF(F$5="Mortgage Starts",0,Deposit_mon_alt),2)</f>
        <v>10073.77</v>
      </c>
      <c r="G144" s="16">
        <f>ROUND(F144*(1+'Interest rate projection'!AF146/Var_freq)+IF(G$5="Mortgage Starts",0,Deposit_mon_alt),2)</f>
        <v>12110.79</v>
      </c>
      <c r="H144" s="16">
        <f>ROUND(G144*(1+'Interest rate projection'!AG146/Var_freq)+IF(H$5="Mortgage Starts",0,Deposit_mon_alt),2)</f>
        <v>14155.29</v>
      </c>
      <c r="I144" s="16">
        <f>ROUND(H144*(1+'Interest rate projection'!AH146/Var_freq)+IF(I$5="Mortgage Starts",0,Deposit_mon_alt),2)</f>
        <v>16207.31</v>
      </c>
      <c r="J144" s="16">
        <f>ROUND(I144*(1+'Interest rate projection'!AI146/Var_freq)+IF(J$5="Mortgage Starts",0,Deposit_mon_alt),2)</f>
        <v>18266.87</v>
      </c>
      <c r="K144" s="16">
        <f>ROUND(J144*(1+'Interest rate projection'!AJ146/Var_freq)+IF(K$5="Mortgage Starts",0,Deposit_mon_alt),2)</f>
        <v>20334</v>
      </c>
      <c r="L144" s="16">
        <f>ROUND(K144*(1+'Interest rate projection'!AK146/Var_freq)+IF(L$5="Mortgage Starts",0,Deposit_mon_alt),2)</f>
        <v>22408.720000000001</v>
      </c>
      <c r="M144" s="16">
        <f>ROUND(L144*(1+'Interest rate projection'!AL146/Var_freq)+IF(M$5="Mortgage Starts",0,Deposit_mon_alt),2)</f>
        <v>24491.07</v>
      </c>
      <c r="N144" s="57">
        <f>ROUND(M144*(1+'Interest rate projection'!AM146/Var_freq)+IF(N$5="Mortgage Starts",0,Deposit_mon_alt),2)</f>
        <v>24581.07</v>
      </c>
      <c r="P144" s="38">
        <f>'Interest rate projection'!N146</f>
        <v>4.4999999999999998E-2</v>
      </c>
      <c r="Q144" s="38">
        <f>'Interest rate projection'!AN146</f>
        <v>4.4097712805242217E-2</v>
      </c>
      <c r="R144" s="59" t="str">
        <f t="shared" si="22"/>
        <v>OK</v>
      </c>
      <c r="S144" s="39">
        <f t="shared" si="23"/>
        <v>15.131610255367837</v>
      </c>
      <c r="U144" s="73">
        <f t="shared" si="26"/>
        <v>24581.07</v>
      </c>
      <c r="V144" s="73">
        <f t="shared" si="24"/>
        <v>175418.93</v>
      </c>
      <c r="W144" s="74">
        <f t="shared" si="25"/>
        <v>966.07</v>
      </c>
      <c r="Y144" s="73">
        <f>'Fixed rate projection Alt'!$T$3-('Variable rate projection Alt'!W144*Product_term_alt*Var_freq)</f>
        <v>2863.1999999999898</v>
      </c>
    </row>
    <row r="145" spans="1:25" x14ac:dyDescent="0.35">
      <c r="A145" s="5">
        <v>140</v>
      </c>
      <c r="B145" s="57">
        <f t="shared" si="21"/>
        <v>2000</v>
      </c>
      <c r="C145" s="16">
        <f>ROUND(B145*(1+'Interest rate projection'!AB147/Var_freq)+IF(C$5="Mortgage Starts",0,Deposit_mon_alt),2)</f>
        <v>4007.35</v>
      </c>
      <c r="D145" s="16">
        <f>ROUND(C145*(1+'Interest rate projection'!AC147/Var_freq)+IF(D$5="Mortgage Starts",0,Deposit_mon_alt),2)</f>
        <v>6022.08</v>
      </c>
      <c r="E145" s="16">
        <f>ROUND(D145*(1+'Interest rate projection'!AD147/Var_freq)+IF(E$5="Mortgage Starts",0,Deposit_mon_alt),2)</f>
        <v>8044.21</v>
      </c>
      <c r="F145" s="16">
        <f>ROUND(E145*(1+'Interest rate projection'!AE147/Var_freq)+IF(F$5="Mortgage Starts",0,Deposit_mon_alt),2)</f>
        <v>10073.77</v>
      </c>
      <c r="G145" s="16">
        <f>ROUND(F145*(1+'Interest rate projection'!AF147/Var_freq)+IF(G$5="Mortgage Starts",0,Deposit_mon_alt),2)</f>
        <v>12110.79</v>
      </c>
      <c r="H145" s="16">
        <f>ROUND(G145*(1+'Interest rate projection'!AG147/Var_freq)+IF(H$5="Mortgage Starts",0,Deposit_mon_alt),2)</f>
        <v>14155.29</v>
      </c>
      <c r="I145" s="16">
        <f>ROUND(H145*(1+'Interest rate projection'!AH147/Var_freq)+IF(I$5="Mortgage Starts",0,Deposit_mon_alt),2)</f>
        <v>16207.31</v>
      </c>
      <c r="J145" s="16">
        <f>ROUND(I145*(1+'Interest rate projection'!AI147/Var_freq)+IF(J$5="Mortgage Starts",0,Deposit_mon_alt),2)</f>
        <v>18266.87</v>
      </c>
      <c r="K145" s="16">
        <f>ROUND(J145*(1+'Interest rate projection'!AJ147/Var_freq)+IF(K$5="Mortgage Starts",0,Deposit_mon_alt),2)</f>
        <v>20334</v>
      </c>
      <c r="L145" s="16">
        <f>ROUND(K145*(1+'Interest rate projection'!AK147/Var_freq)+IF(L$5="Mortgage Starts",0,Deposit_mon_alt),2)</f>
        <v>22408.720000000001</v>
      </c>
      <c r="M145" s="16">
        <f>ROUND(L145*(1+'Interest rate projection'!AL147/Var_freq)+IF(M$5="Mortgage Starts",0,Deposit_mon_alt),2)</f>
        <v>24491.07</v>
      </c>
      <c r="N145" s="57">
        <f>ROUND(M145*(1+'Interest rate projection'!AM147/Var_freq)+IF(N$5="Mortgage Starts",0,Deposit_mon_alt),2)</f>
        <v>24581.07</v>
      </c>
      <c r="P145" s="38">
        <f>'Interest rate projection'!N147</f>
        <v>4.4999999999999998E-2</v>
      </c>
      <c r="Q145" s="38">
        <f>'Interest rate projection'!AN147</f>
        <v>4.4097712805242217E-2</v>
      </c>
      <c r="R145" s="59" t="str">
        <f t="shared" si="22"/>
        <v>OK</v>
      </c>
      <c r="S145" s="39">
        <f t="shared" si="23"/>
        <v>15.131610255367837</v>
      </c>
      <c r="U145" s="73">
        <f t="shared" si="26"/>
        <v>24581.07</v>
      </c>
      <c r="V145" s="73">
        <f t="shared" si="24"/>
        <v>175418.93</v>
      </c>
      <c r="W145" s="74">
        <f t="shared" si="25"/>
        <v>966.07</v>
      </c>
      <c r="Y145" s="73">
        <f>'Fixed rate projection Alt'!$T$3-('Variable rate projection Alt'!W145*Product_term_alt*Var_freq)</f>
        <v>2863.1999999999898</v>
      </c>
    </row>
    <row r="146" spans="1:25" x14ac:dyDescent="0.35">
      <c r="A146" s="27">
        <v>141</v>
      </c>
      <c r="B146" s="57">
        <f t="shared" si="21"/>
        <v>2000</v>
      </c>
      <c r="C146" s="16">
        <f>ROUND(B146*(1+'Interest rate projection'!AB148/Var_freq)+IF(C$5="Mortgage Starts",0,Deposit_mon_alt),2)</f>
        <v>4007.35</v>
      </c>
      <c r="D146" s="16">
        <f>ROUND(C146*(1+'Interest rate projection'!AC148/Var_freq)+IF(D$5="Mortgage Starts",0,Deposit_mon_alt),2)</f>
        <v>6022.08</v>
      </c>
      <c r="E146" s="16">
        <f>ROUND(D146*(1+'Interest rate projection'!AD148/Var_freq)+IF(E$5="Mortgage Starts",0,Deposit_mon_alt),2)</f>
        <v>8044.21</v>
      </c>
      <c r="F146" s="16">
        <f>ROUND(E146*(1+'Interest rate projection'!AE148/Var_freq)+IF(F$5="Mortgage Starts",0,Deposit_mon_alt),2)</f>
        <v>10073.77</v>
      </c>
      <c r="G146" s="16">
        <f>ROUND(F146*(1+'Interest rate projection'!AF148/Var_freq)+IF(G$5="Mortgage Starts",0,Deposit_mon_alt),2)</f>
        <v>12110.79</v>
      </c>
      <c r="H146" s="16">
        <f>ROUND(G146*(1+'Interest rate projection'!AG148/Var_freq)+IF(H$5="Mortgage Starts",0,Deposit_mon_alt),2)</f>
        <v>14155.29</v>
      </c>
      <c r="I146" s="16">
        <f>ROUND(H146*(1+'Interest rate projection'!AH148/Var_freq)+IF(I$5="Mortgage Starts",0,Deposit_mon_alt),2)</f>
        <v>16207.31</v>
      </c>
      <c r="J146" s="16">
        <f>ROUND(I146*(1+'Interest rate projection'!AI148/Var_freq)+IF(J$5="Mortgage Starts",0,Deposit_mon_alt),2)</f>
        <v>18266.87</v>
      </c>
      <c r="K146" s="16">
        <f>ROUND(J146*(1+'Interest rate projection'!AJ148/Var_freq)+IF(K$5="Mortgage Starts",0,Deposit_mon_alt),2)</f>
        <v>20334</v>
      </c>
      <c r="L146" s="16">
        <f>ROUND(K146*(1+'Interest rate projection'!AK148/Var_freq)+IF(L$5="Mortgage Starts",0,Deposit_mon_alt),2)</f>
        <v>22408.720000000001</v>
      </c>
      <c r="M146" s="16">
        <f>ROUND(L146*(1+'Interest rate projection'!AL148/Var_freq)+IF(M$5="Mortgage Starts",0,Deposit_mon_alt),2)</f>
        <v>24491.07</v>
      </c>
      <c r="N146" s="57">
        <f>ROUND(M146*(1+'Interest rate projection'!AM148/Var_freq)+IF(N$5="Mortgage Starts",0,Deposit_mon_alt),2)</f>
        <v>24581.07</v>
      </c>
      <c r="P146" s="38">
        <f>'Interest rate projection'!N148</f>
        <v>4.4999999999999998E-2</v>
      </c>
      <c r="Q146" s="38">
        <f>'Interest rate projection'!AN148</f>
        <v>4.4097712805242217E-2</v>
      </c>
      <c r="R146" s="59" t="str">
        <f t="shared" si="22"/>
        <v>OK</v>
      </c>
      <c r="S146" s="39">
        <f t="shared" si="23"/>
        <v>15.131610255367837</v>
      </c>
      <c r="U146" s="73">
        <f t="shared" si="26"/>
        <v>24581.07</v>
      </c>
      <c r="V146" s="73">
        <f t="shared" si="24"/>
        <v>175418.93</v>
      </c>
      <c r="W146" s="74">
        <f t="shared" si="25"/>
        <v>966.07</v>
      </c>
      <c r="Y146" s="73">
        <f>'Fixed rate projection Alt'!$T$3-('Variable rate projection Alt'!W146*Product_term_alt*Var_freq)</f>
        <v>2863.1999999999898</v>
      </c>
    </row>
    <row r="147" spans="1:25" x14ac:dyDescent="0.35">
      <c r="A147" s="5">
        <v>142</v>
      </c>
      <c r="B147" s="57">
        <f t="shared" si="21"/>
        <v>2000</v>
      </c>
      <c r="C147" s="16">
        <f>ROUND(B147*(1+'Interest rate projection'!AB149/Var_freq)+IF(C$5="Mortgage Starts",0,Deposit_mon_alt),2)</f>
        <v>4007.35</v>
      </c>
      <c r="D147" s="16">
        <f>ROUND(C147*(1+'Interest rate projection'!AC149/Var_freq)+IF(D$5="Mortgage Starts",0,Deposit_mon_alt),2)</f>
        <v>6022.08</v>
      </c>
      <c r="E147" s="16">
        <f>ROUND(D147*(1+'Interest rate projection'!AD149/Var_freq)+IF(E$5="Mortgage Starts",0,Deposit_mon_alt),2)</f>
        <v>8044.21</v>
      </c>
      <c r="F147" s="16">
        <f>ROUND(E147*(1+'Interest rate projection'!AE149/Var_freq)+IF(F$5="Mortgage Starts",0,Deposit_mon_alt),2)</f>
        <v>10073.77</v>
      </c>
      <c r="G147" s="16">
        <f>ROUND(F147*(1+'Interest rate projection'!AF149/Var_freq)+IF(G$5="Mortgage Starts",0,Deposit_mon_alt),2)</f>
        <v>12110.79</v>
      </c>
      <c r="H147" s="16">
        <f>ROUND(G147*(1+'Interest rate projection'!AG149/Var_freq)+IF(H$5="Mortgage Starts",0,Deposit_mon_alt),2)</f>
        <v>14155.29</v>
      </c>
      <c r="I147" s="16">
        <f>ROUND(H147*(1+'Interest rate projection'!AH149/Var_freq)+IF(I$5="Mortgage Starts",0,Deposit_mon_alt),2)</f>
        <v>16207.31</v>
      </c>
      <c r="J147" s="16">
        <f>ROUND(I147*(1+'Interest rate projection'!AI149/Var_freq)+IF(J$5="Mortgage Starts",0,Deposit_mon_alt),2)</f>
        <v>18266.87</v>
      </c>
      <c r="K147" s="16">
        <f>ROUND(J147*(1+'Interest rate projection'!AJ149/Var_freq)+IF(K$5="Mortgage Starts",0,Deposit_mon_alt),2)</f>
        <v>20334</v>
      </c>
      <c r="L147" s="16">
        <f>ROUND(K147*(1+'Interest rate projection'!AK149/Var_freq)+IF(L$5="Mortgage Starts",0,Deposit_mon_alt),2)</f>
        <v>22408.720000000001</v>
      </c>
      <c r="M147" s="16">
        <f>ROUND(L147*(1+'Interest rate projection'!AL149/Var_freq)+IF(M$5="Mortgage Starts",0,Deposit_mon_alt),2)</f>
        <v>24491.07</v>
      </c>
      <c r="N147" s="57">
        <f>ROUND(M147*(1+'Interest rate projection'!AM149/Var_freq)+IF(N$5="Mortgage Starts",0,Deposit_mon_alt),2)</f>
        <v>24581.07</v>
      </c>
      <c r="P147" s="38">
        <f>'Interest rate projection'!N149</f>
        <v>4.4999999999999998E-2</v>
      </c>
      <c r="Q147" s="38">
        <f>'Interest rate projection'!AN149</f>
        <v>4.4097712805242217E-2</v>
      </c>
      <c r="R147" s="59" t="str">
        <f t="shared" si="22"/>
        <v>OK</v>
      </c>
      <c r="S147" s="39">
        <f t="shared" si="23"/>
        <v>15.131610255367837</v>
      </c>
      <c r="U147" s="73">
        <f t="shared" si="26"/>
        <v>24581.07</v>
      </c>
      <c r="V147" s="73">
        <f t="shared" si="24"/>
        <v>175418.93</v>
      </c>
      <c r="W147" s="74">
        <f t="shared" si="25"/>
        <v>966.07</v>
      </c>
      <c r="Y147" s="73">
        <f>'Fixed rate projection Alt'!$T$3-('Variable rate projection Alt'!W147*Product_term_alt*Var_freq)</f>
        <v>2863.1999999999898</v>
      </c>
    </row>
    <row r="148" spans="1:25" x14ac:dyDescent="0.35">
      <c r="A148" s="27">
        <v>143</v>
      </c>
      <c r="B148" s="57">
        <f t="shared" si="21"/>
        <v>2000</v>
      </c>
      <c r="C148" s="16">
        <f>ROUND(B148*(1+'Interest rate projection'!AB150/Var_freq)+IF(C$5="Mortgage Starts",0,Deposit_mon_alt),2)</f>
        <v>4007.35</v>
      </c>
      <c r="D148" s="16">
        <f>ROUND(C148*(1+'Interest rate projection'!AC150/Var_freq)+IF(D$5="Mortgage Starts",0,Deposit_mon_alt),2)</f>
        <v>6022.08</v>
      </c>
      <c r="E148" s="16">
        <f>ROUND(D148*(1+'Interest rate projection'!AD150/Var_freq)+IF(E$5="Mortgage Starts",0,Deposit_mon_alt),2)</f>
        <v>8044.21</v>
      </c>
      <c r="F148" s="16">
        <f>ROUND(E148*(1+'Interest rate projection'!AE150/Var_freq)+IF(F$5="Mortgage Starts",0,Deposit_mon_alt),2)</f>
        <v>10073.77</v>
      </c>
      <c r="G148" s="16">
        <f>ROUND(F148*(1+'Interest rate projection'!AF150/Var_freq)+IF(G$5="Mortgage Starts",0,Deposit_mon_alt),2)</f>
        <v>12110.79</v>
      </c>
      <c r="H148" s="16">
        <f>ROUND(G148*(1+'Interest rate projection'!AG150/Var_freq)+IF(H$5="Mortgage Starts",0,Deposit_mon_alt),2)</f>
        <v>14155.29</v>
      </c>
      <c r="I148" s="16">
        <f>ROUND(H148*(1+'Interest rate projection'!AH150/Var_freq)+IF(I$5="Mortgage Starts",0,Deposit_mon_alt),2)</f>
        <v>16207.31</v>
      </c>
      <c r="J148" s="16">
        <f>ROUND(I148*(1+'Interest rate projection'!AI150/Var_freq)+IF(J$5="Mortgage Starts",0,Deposit_mon_alt),2)</f>
        <v>18266.87</v>
      </c>
      <c r="K148" s="16">
        <f>ROUND(J148*(1+'Interest rate projection'!AJ150/Var_freq)+IF(K$5="Mortgage Starts",0,Deposit_mon_alt),2)</f>
        <v>20334</v>
      </c>
      <c r="L148" s="16">
        <f>ROUND(K148*(1+'Interest rate projection'!AK150/Var_freq)+IF(L$5="Mortgage Starts",0,Deposit_mon_alt),2)</f>
        <v>22408.720000000001</v>
      </c>
      <c r="M148" s="16">
        <f>ROUND(L148*(1+'Interest rate projection'!AL150/Var_freq)+IF(M$5="Mortgage Starts",0,Deposit_mon_alt),2)</f>
        <v>24491.07</v>
      </c>
      <c r="N148" s="57">
        <f>ROUND(M148*(1+'Interest rate projection'!AM150/Var_freq)+IF(N$5="Mortgage Starts",0,Deposit_mon_alt),2)</f>
        <v>24581.07</v>
      </c>
      <c r="P148" s="38">
        <f>'Interest rate projection'!N150</f>
        <v>4.4999999999999998E-2</v>
      </c>
      <c r="Q148" s="38">
        <f>'Interest rate projection'!AN150</f>
        <v>4.4097712805242217E-2</v>
      </c>
      <c r="R148" s="59" t="str">
        <f t="shared" si="22"/>
        <v>OK</v>
      </c>
      <c r="S148" s="39">
        <f t="shared" si="23"/>
        <v>15.131610255367837</v>
      </c>
      <c r="U148" s="73">
        <f t="shared" si="26"/>
        <v>24581.07</v>
      </c>
      <c r="V148" s="73">
        <f t="shared" si="24"/>
        <v>175418.93</v>
      </c>
      <c r="W148" s="74">
        <f t="shared" si="25"/>
        <v>966.07</v>
      </c>
      <c r="Y148" s="73">
        <f>'Fixed rate projection Alt'!$T$3-('Variable rate projection Alt'!W148*Product_term_alt*Var_freq)</f>
        <v>2863.1999999999898</v>
      </c>
    </row>
    <row r="149" spans="1:25" x14ac:dyDescent="0.35">
      <c r="A149" s="5">
        <v>144</v>
      </c>
      <c r="B149" s="57">
        <f t="shared" si="21"/>
        <v>2000</v>
      </c>
      <c r="C149" s="16">
        <f>ROUND(B149*(1+'Interest rate projection'!AB151/Var_freq)+IF(C$5="Mortgage Starts",0,Deposit_mon_alt),2)</f>
        <v>4007.35</v>
      </c>
      <c r="D149" s="16">
        <f>ROUND(C149*(1+'Interest rate projection'!AC151/Var_freq)+IF(D$5="Mortgage Starts",0,Deposit_mon_alt),2)</f>
        <v>6022.08</v>
      </c>
      <c r="E149" s="16">
        <f>ROUND(D149*(1+'Interest rate projection'!AD151/Var_freq)+IF(E$5="Mortgage Starts",0,Deposit_mon_alt),2)</f>
        <v>8044.21</v>
      </c>
      <c r="F149" s="16">
        <f>ROUND(E149*(1+'Interest rate projection'!AE151/Var_freq)+IF(F$5="Mortgage Starts",0,Deposit_mon_alt),2)</f>
        <v>10073.77</v>
      </c>
      <c r="G149" s="16">
        <f>ROUND(F149*(1+'Interest rate projection'!AF151/Var_freq)+IF(G$5="Mortgage Starts",0,Deposit_mon_alt),2)</f>
        <v>12110.79</v>
      </c>
      <c r="H149" s="16">
        <f>ROUND(G149*(1+'Interest rate projection'!AG151/Var_freq)+IF(H$5="Mortgage Starts",0,Deposit_mon_alt),2)</f>
        <v>14157.72</v>
      </c>
      <c r="I149" s="16">
        <f>ROUND(H149*(1+'Interest rate projection'!AH151/Var_freq)+IF(I$5="Mortgage Starts",0,Deposit_mon_alt),2)</f>
        <v>16212.58</v>
      </c>
      <c r="J149" s="16">
        <f>ROUND(I149*(1+'Interest rate projection'!AI151/Var_freq)+IF(J$5="Mortgage Starts",0,Deposit_mon_alt),2)</f>
        <v>18275.400000000001</v>
      </c>
      <c r="K149" s="16">
        <f>ROUND(J149*(1+'Interest rate projection'!AJ151/Var_freq)+IF(K$5="Mortgage Starts",0,Deposit_mon_alt),2)</f>
        <v>20346.21</v>
      </c>
      <c r="L149" s="16">
        <f>ROUND(K149*(1+'Interest rate projection'!AK151/Var_freq)+IF(L$5="Mortgage Starts",0,Deposit_mon_alt),2)</f>
        <v>22420.98</v>
      </c>
      <c r="M149" s="16">
        <f>ROUND(L149*(1+'Interest rate projection'!AL151/Var_freq)+IF(M$5="Mortgage Starts",0,Deposit_mon_alt),2)</f>
        <v>24503.37</v>
      </c>
      <c r="N149" s="57">
        <f>ROUND(M149*(1+'Interest rate projection'!AM151/Var_freq)+IF(N$5="Mortgage Starts",0,Deposit_mon_alt),2)</f>
        <v>24593.42</v>
      </c>
      <c r="P149" s="38">
        <f>'Interest rate projection'!N151</f>
        <v>4.4999999999999998E-2</v>
      </c>
      <c r="Q149" s="38">
        <f>'Interest rate projection'!AN151</f>
        <v>4.4097712805242217E-2</v>
      </c>
      <c r="R149" s="59" t="str">
        <f t="shared" si="22"/>
        <v>OK</v>
      </c>
      <c r="S149" s="39">
        <f t="shared" si="23"/>
        <v>15.131610255367837</v>
      </c>
      <c r="U149" s="73">
        <f t="shared" si="26"/>
        <v>24593.42</v>
      </c>
      <c r="V149" s="73">
        <f t="shared" si="24"/>
        <v>175406.58000000002</v>
      </c>
      <c r="W149" s="74">
        <f t="shared" si="25"/>
        <v>966.01</v>
      </c>
      <c r="Y149" s="73">
        <f>'Fixed rate projection Alt'!$T$3-('Variable rate projection Alt'!W149*Product_term_alt*Var_freq)</f>
        <v>2866.7999999999884</v>
      </c>
    </row>
    <row r="150" spans="1:25" x14ac:dyDescent="0.35">
      <c r="A150" s="27">
        <v>145</v>
      </c>
      <c r="B150" s="57">
        <f t="shared" si="21"/>
        <v>2000</v>
      </c>
      <c r="C150" s="16">
        <f>ROUND(B150*(1+'Interest rate projection'!AB152/Var_freq)+IF(C$5="Mortgage Starts",0,Deposit_mon_alt),2)</f>
        <v>4007.35</v>
      </c>
      <c r="D150" s="16">
        <f>ROUND(C150*(1+'Interest rate projection'!AC152/Var_freq)+IF(D$5="Mortgage Starts",0,Deposit_mon_alt),2)</f>
        <v>6022.08</v>
      </c>
      <c r="E150" s="16">
        <f>ROUND(D150*(1+'Interest rate projection'!AD152/Var_freq)+IF(E$5="Mortgage Starts",0,Deposit_mon_alt),2)</f>
        <v>8044.21</v>
      </c>
      <c r="F150" s="16">
        <f>ROUND(E150*(1+'Interest rate projection'!AE152/Var_freq)+IF(F$5="Mortgage Starts",0,Deposit_mon_alt),2)</f>
        <v>10073.77</v>
      </c>
      <c r="G150" s="16">
        <f>ROUND(F150*(1+'Interest rate projection'!AF152/Var_freq)+IF(G$5="Mortgage Starts",0,Deposit_mon_alt),2)</f>
        <v>12112.8</v>
      </c>
      <c r="H150" s="16">
        <f>ROUND(G150*(1+'Interest rate projection'!AG152/Var_freq)+IF(H$5="Mortgage Starts",0,Deposit_mon_alt),2)</f>
        <v>14159.73</v>
      </c>
      <c r="I150" s="16">
        <f>ROUND(H150*(1+'Interest rate projection'!AH152/Var_freq)+IF(I$5="Mortgage Starts",0,Deposit_mon_alt),2)</f>
        <v>16214.59</v>
      </c>
      <c r="J150" s="16">
        <f>ROUND(I150*(1+'Interest rate projection'!AI152/Var_freq)+IF(J$5="Mortgage Starts",0,Deposit_mon_alt),2)</f>
        <v>18277.419999999998</v>
      </c>
      <c r="K150" s="16">
        <f>ROUND(J150*(1+'Interest rate projection'!AJ152/Var_freq)+IF(K$5="Mortgage Starts",0,Deposit_mon_alt),2)</f>
        <v>20355.52</v>
      </c>
      <c r="L150" s="16">
        <f>ROUND(K150*(1+'Interest rate projection'!AK152/Var_freq)+IF(L$5="Mortgage Starts",0,Deposit_mon_alt),2)</f>
        <v>22446.54</v>
      </c>
      <c r="M150" s="16">
        <f>ROUND(L150*(1+'Interest rate projection'!AL152/Var_freq)+IF(M$5="Mortgage Starts",0,Deposit_mon_alt),2)</f>
        <v>24546.91</v>
      </c>
      <c r="N150" s="57">
        <f>ROUND(M150*(1+'Interest rate projection'!AM152/Var_freq)+IF(N$5="Mortgage Starts",0,Deposit_mon_alt),2)</f>
        <v>24656.68</v>
      </c>
      <c r="P150" s="38">
        <f>'Interest rate projection'!N152</f>
        <v>5.5E-2</v>
      </c>
      <c r="Q150" s="38">
        <f>'Interest rate projection'!AN152</f>
        <v>5.3660387004516252E-2</v>
      </c>
      <c r="R150" s="59" t="str">
        <f t="shared" si="22"/>
        <v>OK</v>
      </c>
      <c r="S150" s="39">
        <f t="shared" si="23"/>
        <v>13.748806844025127</v>
      </c>
      <c r="U150" s="73">
        <f t="shared" si="26"/>
        <v>24656.68</v>
      </c>
      <c r="V150" s="73">
        <f t="shared" si="24"/>
        <v>175343.32</v>
      </c>
      <c r="W150" s="74">
        <f t="shared" si="25"/>
        <v>1062.78</v>
      </c>
      <c r="Y150" s="73">
        <f>'Fixed rate projection Alt'!$T$3-('Variable rate projection Alt'!W150*Product_term_alt*Var_freq)</f>
        <v>-2939.4000000000015</v>
      </c>
    </row>
    <row r="151" spans="1:25" x14ac:dyDescent="0.35">
      <c r="A151" s="5">
        <v>146</v>
      </c>
      <c r="B151" s="57">
        <f t="shared" si="21"/>
        <v>2000</v>
      </c>
      <c r="C151" s="16">
        <f>ROUND(B151*(1+'Interest rate projection'!AB153/Var_freq)+IF(C$5="Mortgage Starts",0,Deposit_mon_alt),2)</f>
        <v>4007.35</v>
      </c>
      <c r="D151" s="16">
        <f>ROUND(C151*(1+'Interest rate projection'!AC153/Var_freq)+IF(D$5="Mortgage Starts",0,Deposit_mon_alt),2)</f>
        <v>6022.08</v>
      </c>
      <c r="E151" s="16">
        <f>ROUND(D151*(1+'Interest rate projection'!AD153/Var_freq)+IF(E$5="Mortgage Starts",0,Deposit_mon_alt),2)</f>
        <v>8044.21</v>
      </c>
      <c r="F151" s="16">
        <f>ROUND(E151*(1+'Interest rate projection'!AE153/Var_freq)+IF(F$5="Mortgage Starts",0,Deposit_mon_alt),2)</f>
        <v>10073.77</v>
      </c>
      <c r="G151" s="16">
        <f>ROUND(F151*(1+'Interest rate projection'!AF153/Var_freq)+IF(G$5="Mortgage Starts",0,Deposit_mon_alt),2)</f>
        <v>12110.79</v>
      </c>
      <c r="H151" s="16">
        <f>ROUND(G151*(1+'Interest rate projection'!AG153/Var_freq)+IF(H$5="Mortgage Starts",0,Deposit_mon_alt),2)</f>
        <v>14155.29</v>
      </c>
      <c r="I151" s="16">
        <f>ROUND(H151*(1+'Interest rate projection'!AH153/Var_freq)+IF(I$5="Mortgage Starts",0,Deposit_mon_alt),2)</f>
        <v>16207.31</v>
      </c>
      <c r="J151" s="16">
        <f>ROUND(I151*(1+'Interest rate projection'!AI153/Var_freq)+IF(J$5="Mortgage Starts",0,Deposit_mon_alt),2)</f>
        <v>18260.37</v>
      </c>
      <c r="K151" s="16">
        <f>ROUND(J151*(1+'Interest rate projection'!AJ153/Var_freq)+IF(K$5="Mortgage Starts",0,Deposit_mon_alt),2)</f>
        <v>20320.150000000001</v>
      </c>
      <c r="L151" s="16">
        <f>ROUND(K151*(1+'Interest rate projection'!AK153/Var_freq)+IF(L$5="Mortgage Starts",0,Deposit_mon_alt),2)</f>
        <v>22386.67</v>
      </c>
      <c r="M151" s="16">
        <f>ROUND(L151*(1+'Interest rate projection'!AL153/Var_freq)+IF(M$5="Mortgage Starts",0,Deposit_mon_alt),2)</f>
        <v>24459.96</v>
      </c>
      <c r="N151" s="57">
        <f>ROUND(M151*(1+'Interest rate projection'!AM153/Var_freq)+IF(N$5="Mortgage Starts",0,Deposit_mon_alt),2)</f>
        <v>24540.04</v>
      </c>
      <c r="P151" s="38">
        <f>'Interest rate projection'!N153</f>
        <v>3.7499999999999999E-2</v>
      </c>
      <c r="Q151" s="38">
        <f>'Interest rate projection'!AN153</f>
        <v>3.6870500439066589E-2</v>
      </c>
      <c r="R151" s="59" t="str">
        <f t="shared" si="22"/>
        <v>OK</v>
      </c>
      <c r="S151" s="39">
        <f t="shared" si="23"/>
        <v>16.317113717606386</v>
      </c>
      <c r="U151" s="73">
        <f t="shared" si="26"/>
        <v>24540.04</v>
      </c>
      <c r="V151" s="73">
        <f t="shared" si="24"/>
        <v>175459.96</v>
      </c>
      <c r="W151" s="74">
        <f t="shared" si="25"/>
        <v>896.09</v>
      </c>
      <c r="Y151" s="73">
        <f>'Fixed rate projection Alt'!$T$3-('Variable rate projection Alt'!W151*Product_term_alt*Var_freq)</f>
        <v>7062</v>
      </c>
    </row>
    <row r="152" spans="1:25" x14ac:dyDescent="0.35">
      <c r="A152" s="27">
        <v>147</v>
      </c>
      <c r="B152" s="57">
        <f t="shared" si="21"/>
        <v>2000</v>
      </c>
      <c r="C152" s="16">
        <f>ROUND(B152*(1+'Interest rate projection'!AB154/Var_freq)+IF(C$5="Mortgage Starts",0,Deposit_mon_alt),2)</f>
        <v>4007.35</v>
      </c>
      <c r="D152" s="16">
        <f>ROUND(C152*(1+'Interest rate projection'!AC154/Var_freq)+IF(D$5="Mortgage Starts",0,Deposit_mon_alt),2)</f>
        <v>6022.88</v>
      </c>
      <c r="E152" s="16">
        <f>ROUND(D152*(1+'Interest rate projection'!AD154/Var_freq)+IF(E$5="Mortgage Starts",0,Deposit_mon_alt),2)</f>
        <v>8046.22</v>
      </c>
      <c r="F152" s="16">
        <f>ROUND(E152*(1+'Interest rate projection'!AE154/Var_freq)+IF(F$5="Mortgage Starts",0,Deposit_mon_alt),2)</f>
        <v>10077.4</v>
      </c>
      <c r="G152" s="16">
        <f>ROUND(F152*(1+'Interest rate projection'!AF154/Var_freq)+IF(G$5="Mortgage Starts",0,Deposit_mon_alt),2)</f>
        <v>12116.45</v>
      </c>
      <c r="H152" s="16">
        <f>ROUND(G152*(1+'Interest rate projection'!AG154/Var_freq)+IF(H$5="Mortgage Starts",0,Deposit_mon_alt),2)</f>
        <v>14163.4</v>
      </c>
      <c r="I152" s="16">
        <f>ROUND(H152*(1+'Interest rate projection'!AH154/Var_freq)+IF(I$5="Mortgage Starts",0,Deposit_mon_alt),2)</f>
        <v>16218.28</v>
      </c>
      <c r="J152" s="16">
        <f>ROUND(I152*(1+'Interest rate projection'!AI154/Var_freq)+IF(J$5="Mortgage Starts",0,Deposit_mon_alt),2)</f>
        <v>18281.12</v>
      </c>
      <c r="K152" s="16">
        <f>ROUND(J152*(1+'Interest rate projection'!AJ154/Var_freq)+IF(K$5="Mortgage Starts",0,Deposit_mon_alt),2)</f>
        <v>20351.95</v>
      </c>
      <c r="L152" s="16">
        <f>ROUND(K152*(1+'Interest rate projection'!AK154/Var_freq)+IF(L$5="Mortgage Starts",0,Deposit_mon_alt),2)</f>
        <v>22430.81</v>
      </c>
      <c r="M152" s="16">
        <f>ROUND(L152*(1+'Interest rate projection'!AL154/Var_freq)+IF(M$5="Mortgage Starts",0,Deposit_mon_alt),2)</f>
        <v>24517.72</v>
      </c>
      <c r="N152" s="57">
        <f>ROUND(M152*(1+'Interest rate projection'!AM154/Var_freq)+IF(N$5="Mortgage Starts",0,Deposit_mon_alt),2)</f>
        <v>24612.720000000001</v>
      </c>
      <c r="P152" s="38">
        <f>'Interest rate projection'!N154</f>
        <v>4.7500000000000001E-2</v>
      </c>
      <c r="Q152" s="38">
        <f>'Interest rate projection'!AN154</f>
        <v>4.6496219905550085E-2</v>
      </c>
      <c r="R152" s="59" t="str">
        <f t="shared" si="22"/>
        <v>OK</v>
      </c>
      <c r="S152" s="39">
        <f t="shared" si="23"/>
        <v>14.766012404082064</v>
      </c>
      <c r="U152" s="73">
        <f t="shared" si="26"/>
        <v>24612.720000000001</v>
      </c>
      <c r="V152" s="73">
        <f t="shared" si="24"/>
        <v>175387.28</v>
      </c>
      <c r="W152" s="74">
        <f t="shared" si="25"/>
        <v>989.81</v>
      </c>
      <c r="Y152" s="73">
        <f>'Fixed rate projection Alt'!$T$3-('Variable rate projection Alt'!W152*Product_term_alt*Var_freq)</f>
        <v>1438.8000000000029</v>
      </c>
    </row>
    <row r="153" spans="1:25" x14ac:dyDescent="0.35">
      <c r="A153" s="5">
        <v>148</v>
      </c>
      <c r="B153" s="57">
        <f t="shared" si="21"/>
        <v>2000</v>
      </c>
      <c r="C153" s="16">
        <f>ROUND(B153*(1+'Interest rate projection'!AB155/Var_freq)+IF(C$5="Mortgage Starts",0,Deposit_mon_alt),2)</f>
        <v>4007.35</v>
      </c>
      <c r="D153" s="16">
        <f>ROUND(C153*(1+'Interest rate projection'!AC155/Var_freq)+IF(D$5="Mortgage Starts",0,Deposit_mon_alt),2)</f>
        <v>6022.08</v>
      </c>
      <c r="E153" s="16">
        <f>ROUND(D153*(1+'Interest rate projection'!AD155/Var_freq)+IF(E$5="Mortgage Starts",0,Deposit_mon_alt),2)</f>
        <v>8044.21</v>
      </c>
      <c r="F153" s="16">
        <f>ROUND(E153*(1+'Interest rate projection'!AE155/Var_freq)+IF(F$5="Mortgage Starts",0,Deposit_mon_alt),2)</f>
        <v>10072.16</v>
      </c>
      <c r="G153" s="16">
        <f>ROUND(F153*(1+'Interest rate projection'!AF155/Var_freq)+IF(G$5="Mortgage Starts",0,Deposit_mon_alt),2)</f>
        <v>12107.16</v>
      </c>
      <c r="H153" s="16">
        <f>ROUND(G153*(1+'Interest rate projection'!AG155/Var_freq)+IF(H$5="Mortgage Starts",0,Deposit_mon_alt),2)</f>
        <v>14149.23</v>
      </c>
      <c r="I153" s="16">
        <f>ROUND(H153*(1+'Interest rate projection'!AH155/Var_freq)+IF(I$5="Mortgage Starts",0,Deposit_mon_alt),2)</f>
        <v>16198.39</v>
      </c>
      <c r="J153" s="16">
        <f>ROUND(I153*(1+'Interest rate projection'!AI155/Var_freq)+IF(J$5="Mortgage Starts",0,Deposit_mon_alt),2)</f>
        <v>18254.669999999998</v>
      </c>
      <c r="K153" s="16">
        <f>ROUND(J153*(1+'Interest rate projection'!AJ155/Var_freq)+IF(K$5="Mortgage Starts",0,Deposit_mon_alt),2)</f>
        <v>20318.099999999999</v>
      </c>
      <c r="L153" s="16">
        <f>ROUND(K153*(1+'Interest rate projection'!AK155/Var_freq)+IF(L$5="Mortgage Starts",0,Deposit_mon_alt),2)</f>
        <v>22388.7</v>
      </c>
      <c r="M153" s="16">
        <f>ROUND(L153*(1+'Interest rate projection'!AL155/Var_freq)+IF(M$5="Mortgage Starts",0,Deposit_mon_alt),2)</f>
        <v>24457.49</v>
      </c>
      <c r="N153" s="57">
        <f>ROUND(M153*(1+'Interest rate projection'!AM155/Var_freq)+IF(N$5="Mortgage Starts",0,Deposit_mon_alt),2)</f>
        <v>24532.639999999999</v>
      </c>
      <c r="P153" s="38">
        <f>'Interest rate projection'!N155</f>
        <v>0.04</v>
      </c>
      <c r="Q153" s="38">
        <f>'Interest rate projection'!AN155</f>
        <v>3.9284877386386974E-2</v>
      </c>
      <c r="R153" s="59" t="str">
        <f t="shared" si="22"/>
        <v>OK</v>
      </c>
      <c r="S153" s="39">
        <f t="shared" si="23"/>
        <v>15.906456614335044</v>
      </c>
      <c r="U153" s="73">
        <f t="shared" si="26"/>
        <v>24532.639999999999</v>
      </c>
      <c r="V153" s="73">
        <f t="shared" si="24"/>
        <v>175467.36</v>
      </c>
      <c r="W153" s="74">
        <f t="shared" si="25"/>
        <v>919.27</v>
      </c>
      <c r="Y153" s="73">
        <f>'Fixed rate projection Alt'!$T$3-('Variable rate projection Alt'!W153*Product_term_alt*Var_freq)</f>
        <v>5671.1999999999898</v>
      </c>
    </row>
    <row r="154" spans="1:25" x14ac:dyDescent="0.35">
      <c r="A154" s="27">
        <v>149</v>
      </c>
      <c r="B154" s="57">
        <f t="shared" si="21"/>
        <v>2000</v>
      </c>
      <c r="C154" s="16">
        <f>ROUND(B154*(1+'Interest rate projection'!AB156/Var_freq)+IF(C$5="Mortgage Starts",0,Deposit_mon_alt),2)</f>
        <v>4007.35</v>
      </c>
      <c r="D154" s="16">
        <f>ROUND(C154*(1+'Interest rate projection'!AC156/Var_freq)+IF(D$5="Mortgage Starts",0,Deposit_mon_alt),2)</f>
        <v>6022.08</v>
      </c>
      <c r="E154" s="16">
        <f>ROUND(D154*(1+'Interest rate projection'!AD156/Var_freq)+IF(E$5="Mortgage Starts",0,Deposit_mon_alt),2)</f>
        <v>8044.21</v>
      </c>
      <c r="F154" s="16">
        <f>ROUND(E154*(1+'Interest rate projection'!AE156/Var_freq)+IF(F$5="Mortgage Starts",0,Deposit_mon_alt),2)</f>
        <v>10073.77</v>
      </c>
      <c r="G154" s="16">
        <f>ROUND(F154*(1+'Interest rate projection'!AF156/Var_freq)+IF(G$5="Mortgage Starts",0,Deposit_mon_alt),2)</f>
        <v>12110.79</v>
      </c>
      <c r="H154" s="16">
        <f>ROUND(G154*(1+'Interest rate projection'!AG156/Var_freq)+IF(H$5="Mortgage Starts",0,Deposit_mon_alt),2)</f>
        <v>14157.72</v>
      </c>
      <c r="I154" s="16">
        <f>ROUND(H154*(1+'Interest rate projection'!AH156/Var_freq)+IF(I$5="Mortgage Starts",0,Deposit_mon_alt),2)</f>
        <v>16212.58</v>
      </c>
      <c r="J154" s="16">
        <f>ROUND(I154*(1+'Interest rate projection'!AI156/Var_freq)+IF(J$5="Mortgage Starts",0,Deposit_mon_alt),2)</f>
        <v>18275.400000000001</v>
      </c>
      <c r="K154" s="16">
        <f>ROUND(J154*(1+'Interest rate projection'!AJ156/Var_freq)+IF(K$5="Mortgage Starts",0,Deposit_mon_alt),2)</f>
        <v>20346.21</v>
      </c>
      <c r="L154" s="16">
        <f>ROUND(K154*(1+'Interest rate projection'!AK156/Var_freq)+IF(L$5="Mortgage Starts",0,Deposit_mon_alt),2)</f>
        <v>22425.05</v>
      </c>
      <c r="M154" s="16">
        <f>ROUND(L154*(1+'Interest rate projection'!AL156/Var_freq)+IF(M$5="Mortgage Starts",0,Deposit_mon_alt),2)</f>
        <v>24511.94</v>
      </c>
      <c r="N154" s="57">
        <f>ROUND(M154*(1+'Interest rate projection'!AM156/Var_freq)+IF(N$5="Mortgage Starts",0,Deposit_mon_alt),2)</f>
        <v>24616.68</v>
      </c>
      <c r="P154" s="38">
        <f>'Interest rate projection'!N156</f>
        <v>5.2499999999999998E-2</v>
      </c>
      <c r="Q154" s="38">
        <f>'Interest rate projection'!AN156</f>
        <v>5.1277533193896829E-2</v>
      </c>
      <c r="R154" s="59" t="str">
        <f t="shared" si="22"/>
        <v>OK</v>
      </c>
      <c r="S154" s="39">
        <f t="shared" si="23"/>
        <v>14.075212462503044</v>
      </c>
      <c r="U154" s="73">
        <f t="shared" si="26"/>
        <v>24616.68</v>
      </c>
      <c r="V154" s="73">
        <f t="shared" si="24"/>
        <v>175383.32</v>
      </c>
      <c r="W154" s="74">
        <f t="shared" si="25"/>
        <v>1038.3699999999999</v>
      </c>
      <c r="Y154" s="73">
        <f>'Fixed rate projection Alt'!$T$3-('Variable rate projection Alt'!W154*Product_term_alt*Var_freq)</f>
        <v>-1474.8000000000029</v>
      </c>
    </row>
    <row r="155" spans="1:25" x14ac:dyDescent="0.35">
      <c r="A155" s="5">
        <v>150</v>
      </c>
      <c r="B155" s="57">
        <f t="shared" si="21"/>
        <v>2000</v>
      </c>
      <c r="C155" s="16">
        <f>ROUND(B155*(1+'Interest rate projection'!AB157/Var_freq)+IF(C$5="Mortgage Starts",0,Deposit_mon_alt),2)</f>
        <v>4007.35</v>
      </c>
      <c r="D155" s="16">
        <f>ROUND(C155*(1+'Interest rate projection'!AC157/Var_freq)+IF(D$5="Mortgage Starts",0,Deposit_mon_alt),2)</f>
        <v>6022.08</v>
      </c>
      <c r="E155" s="16">
        <f>ROUND(D155*(1+'Interest rate projection'!AD157/Var_freq)+IF(E$5="Mortgage Starts",0,Deposit_mon_alt),2)</f>
        <v>8043</v>
      </c>
      <c r="F155" s="16">
        <f>ROUND(E155*(1+'Interest rate projection'!AE157/Var_freq)+IF(F$5="Mortgage Starts",0,Deposit_mon_alt),2)</f>
        <v>10070.950000000001</v>
      </c>
      <c r="G155" s="16">
        <f>ROUND(F155*(1+'Interest rate projection'!AF157/Var_freq)+IF(G$5="Mortgage Starts",0,Deposit_mon_alt),2)</f>
        <v>12105.94</v>
      </c>
      <c r="H155" s="16">
        <f>ROUND(G155*(1+'Interest rate projection'!AG157/Var_freq)+IF(H$5="Mortgage Starts",0,Deposit_mon_alt),2)</f>
        <v>14148</v>
      </c>
      <c r="I155" s="16">
        <f>ROUND(H155*(1+'Interest rate projection'!AH157/Var_freq)+IF(I$5="Mortgage Starts",0,Deposit_mon_alt),2)</f>
        <v>16199.99</v>
      </c>
      <c r="J155" s="16">
        <f>ROUND(I155*(1+'Interest rate projection'!AI157/Var_freq)+IF(J$5="Mortgage Starts",0,Deposit_mon_alt),2)</f>
        <v>18259.52</v>
      </c>
      <c r="K155" s="16">
        <f>ROUND(J155*(1+'Interest rate projection'!AJ157/Var_freq)+IF(K$5="Mortgage Starts",0,Deposit_mon_alt),2)</f>
        <v>20326.62</v>
      </c>
      <c r="L155" s="16">
        <f>ROUND(K155*(1+'Interest rate projection'!AK157/Var_freq)+IF(L$5="Mortgage Starts",0,Deposit_mon_alt),2)</f>
        <v>22401.32</v>
      </c>
      <c r="M155" s="16">
        <f>ROUND(L155*(1+'Interest rate projection'!AL157/Var_freq)+IF(M$5="Mortgage Starts",0,Deposit_mon_alt),2)</f>
        <v>24483.64</v>
      </c>
      <c r="N155" s="57">
        <f>ROUND(M155*(1+'Interest rate projection'!AM157/Var_freq)+IF(N$5="Mortgage Starts",0,Deposit_mon_alt),2)</f>
        <v>24573.61</v>
      </c>
      <c r="P155" s="38">
        <f>'Interest rate projection'!N157</f>
        <v>4.4999999999999998E-2</v>
      </c>
      <c r="Q155" s="38">
        <f>'Interest rate projection'!AN157</f>
        <v>4.4097712805242217E-2</v>
      </c>
      <c r="R155" s="59" t="str">
        <f t="shared" si="22"/>
        <v>OK</v>
      </c>
      <c r="S155" s="39">
        <f t="shared" si="23"/>
        <v>15.131610255367837</v>
      </c>
      <c r="U155" s="73">
        <f t="shared" si="26"/>
        <v>24573.61</v>
      </c>
      <c r="V155" s="73">
        <f t="shared" si="24"/>
        <v>175426.39</v>
      </c>
      <c r="W155" s="74">
        <f t="shared" si="25"/>
        <v>966.11</v>
      </c>
      <c r="Y155" s="73">
        <f>'Fixed rate projection Alt'!$T$3-('Variable rate projection Alt'!W155*Product_term_alt*Var_freq)</f>
        <v>2860.7999999999884</v>
      </c>
    </row>
    <row r="156" spans="1:25" x14ac:dyDescent="0.35">
      <c r="A156" s="27">
        <v>151</v>
      </c>
      <c r="B156" s="57">
        <f t="shared" si="21"/>
        <v>2000</v>
      </c>
      <c r="C156" s="16">
        <f>ROUND(B156*(1+'Interest rate projection'!AB158/Var_freq)+IF(C$5="Mortgage Starts",0,Deposit_mon_alt),2)</f>
        <v>4007.35</v>
      </c>
      <c r="D156" s="16">
        <f>ROUND(C156*(1+'Interest rate projection'!AC158/Var_freq)+IF(D$5="Mortgage Starts",0,Deposit_mon_alt),2)</f>
        <v>6022.88</v>
      </c>
      <c r="E156" s="16">
        <f>ROUND(D156*(1+'Interest rate projection'!AD158/Var_freq)+IF(E$5="Mortgage Starts",0,Deposit_mon_alt),2)</f>
        <v>8046.22</v>
      </c>
      <c r="F156" s="16">
        <f>ROUND(E156*(1+'Interest rate projection'!AE158/Var_freq)+IF(F$5="Mortgage Starts",0,Deposit_mon_alt),2)</f>
        <v>10077.4</v>
      </c>
      <c r="G156" s="16">
        <f>ROUND(F156*(1+'Interest rate projection'!AF158/Var_freq)+IF(G$5="Mortgage Starts",0,Deposit_mon_alt),2)</f>
        <v>12118.46</v>
      </c>
      <c r="H156" s="16">
        <f>ROUND(G156*(1+'Interest rate projection'!AG158/Var_freq)+IF(H$5="Mortgage Starts",0,Deposit_mon_alt),2)</f>
        <v>14167.83</v>
      </c>
      <c r="I156" s="16">
        <f>ROUND(H156*(1+'Interest rate projection'!AH158/Var_freq)+IF(I$5="Mortgage Starts",0,Deposit_mon_alt),2)</f>
        <v>16225.55</v>
      </c>
      <c r="J156" s="16">
        <f>ROUND(I156*(1+'Interest rate projection'!AI158/Var_freq)+IF(J$5="Mortgage Starts",0,Deposit_mon_alt),2)</f>
        <v>18294.88</v>
      </c>
      <c r="K156" s="16">
        <f>ROUND(J156*(1+'Interest rate projection'!AJ158/Var_freq)+IF(K$5="Mortgage Starts",0,Deposit_mon_alt),2)</f>
        <v>20373.060000000001</v>
      </c>
      <c r="L156" s="16">
        <f>ROUND(K156*(1+'Interest rate projection'!AK158/Var_freq)+IF(L$5="Mortgage Starts",0,Deposit_mon_alt),2)</f>
        <v>22460.12</v>
      </c>
      <c r="M156" s="16">
        <f>ROUND(L156*(1+'Interest rate projection'!AL158/Var_freq)+IF(M$5="Mortgage Starts",0,Deposit_mon_alt),2)</f>
        <v>24556.09</v>
      </c>
      <c r="N156" s="57">
        <f>ROUND(M156*(1+'Interest rate projection'!AM158/Var_freq)+IF(N$5="Mortgage Starts",0,Deposit_mon_alt),2)</f>
        <v>24661.02</v>
      </c>
      <c r="P156" s="38">
        <f>'Interest rate projection'!N158</f>
        <v>5.2500000000000005E-2</v>
      </c>
      <c r="Q156" s="38">
        <f>'Interest rate projection'!AN158</f>
        <v>5.1277533193896829E-2</v>
      </c>
      <c r="R156" s="59" t="str">
        <f t="shared" si="22"/>
        <v>OK</v>
      </c>
      <c r="S156" s="39">
        <f t="shared" si="23"/>
        <v>14.075212462503044</v>
      </c>
      <c r="U156" s="73">
        <f t="shared" si="26"/>
        <v>24661.02</v>
      </c>
      <c r="V156" s="73">
        <f t="shared" si="24"/>
        <v>175338.98</v>
      </c>
      <c r="W156" s="74">
        <f t="shared" si="25"/>
        <v>1038.1099999999999</v>
      </c>
      <c r="Y156" s="73">
        <f>'Fixed rate projection Alt'!$T$3-('Variable rate projection Alt'!W156*Product_term_alt*Var_freq)</f>
        <v>-1459.1999999999971</v>
      </c>
    </row>
    <row r="157" spans="1:25" x14ac:dyDescent="0.35">
      <c r="A157" s="5">
        <v>152</v>
      </c>
      <c r="B157" s="57">
        <f t="shared" si="21"/>
        <v>2000</v>
      </c>
      <c r="C157" s="16">
        <f>ROUND(B157*(1+'Interest rate projection'!AB159/Var_freq)+IF(C$5="Mortgage Starts",0,Deposit_mon_alt),2)</f>
        <v>4007.35</v>
      </c>
      <c r="D157" s="16">
        <f>ROUND(C157*(1+'Interest rate projection'!AC159/Var_freq)+IF(D$5="Mortgage Starts",0,Deposit_mon_alt),2)</f>
        <v>6022.08</v>
      </c>
      <c r="E157" s="16">
        <f>ROUND(D157*(1+'Interest rate projection'!AD159/Var_freq)+IF(E$5="Mortgage Starts",0,Deposit_mon_alt),2)</f>
        <v>8044.21</v>
      </c>
      <c r="F157" s="16">
        <f>ROUND(E157*(1+'Interest rate projection'!AE159/Var_freq)+IF(F$5="Mortgage Starts",0,Deposit_mon_alt),2)</f>
        <v>10073.77</v>
      </c>
      <c r="G157" s="16">
        <f>ROUND(F157*(1+'Interest rate projection'!AF159/Var_freq)+IF(G$5="Mortgage Starts",0,Deposit_mon_alt),2)</f>
        <v>12110.79</v>
      </c>
      <c r="H157" s="16">
        <f>ROUND(G157*(1+'Interest rate projection'!AG159/Var_freq)+IF(H$5="Mortgage Starts",0,Deposit_mon_alt),2)</f>
        <v>14155.29</v>
      </c>
      <c r="I157" s="16">
        <f>ROUND(H157*(1+'Interest rate projection'!AH159/Var_freq)+IF(I$5="Mortgage Starts",0,Deposit_mon_alt),2)</f>
        <v>16207.31</v>
      </c>
      <c r="J157" s="16">
        <f>ROUND(I157*(1+'Interest rate projection'!AI159/Var_freq)+IF(J$5="Mortgage Starts",0,Deposit_mon_alt),2)</f>
        <v>18266.87</v>
      </c>
      <c r="K157" s="16">
        <f>ROUND(J157*(1+'Interest rate projection'!AJ159/Var_freq)+IF(K$5="Mortgage Starts",0,Deposit_mon_alt),2)</f>
        <v>20334</v>
      </c>
      <c r="L157" s="16">
        <f>ROUND(K157*(1+'Interest rate projection'!AK159/Var_freq)+IF(L$5="Mortgage Starts",0,Deposit_mon_alt),2)</f>
        <v>22408.720000000001</v>
      </c>
      <c r="M157" s="16">
        <f>ROUND(L157*(1+'Interest rate projection'!AL159/Var_freq)+IF(M$5="Mortgage Starts",0,Deposit_mon_alt),2)</f>
        <v>24491.07</v>
      </c>
      <c r="N157" s="57">
        <f>ROUND(M157*(1+'Interest rate projection'!AM159/Var_freq)+IF(N$5="Mortgage Starts",0,Deposit_mon_alt),2)</f>
        <v>24590.85</v>
      </c>
      <c r="P157" s="38">
        <f>'Interest rate projection'!N159</f>
        <v>4.9999999999999996E-2</v>
      </c>
      <c r="Q157" s="38">
        <f>'Interest rate projection'!AN159</f>
        <v>4.8889485403780242E-2</v>
      </c>
      <c r="R157" s="59" t="str">
        <f t="shared" si="22"/>
        <v>OK</v>
      </c>
      <c r="S157" s="39">
        <f t="shared" si="23"/>
        <v>14.4140856153857</v>
      </c>
      <c r="U157" s="73">
        <f t="shared" si="26"/>
        <v>24590.85</v>
      </c>
      <c r="V157" s="73">
        <f t="shared" si="24"/>
        <v>175409.15</v>
      </c>
      <c r="W157" s="74">
        <f t="shared" si="25"/>
        <v>1014.11</v>
      </c>
      <c r="Y157" s="73">
        <f>'Fixed rate projection Alt'!$T$3-('Variable rate projection Alt'!W157*Product_term_alt*Var_freq)</f>
        <v>-19.200000000011642</v>
      </c>
    </row>
    <row r="158" spans="1:25" x14ac:dyDescent="0.35">
      <c r="A158" s="27">
        <v>153</v>
      </c>
      <c r="B158" s="57">
        <f t="shared" si="21"/>
        <v>2000</v>
      </c>
      <c r="C158" s="16">
        <f>ROUND(B158*(1+'Interest rate projection'!AB160/Var_freq)+IF(C$5="Mortgage Starts",0,Deposit_mon_alt),2)</f>
        <v>4007.35</v>
      </c>
      <c r="D158" s="16">
        <f>ROUND(C158*(1+'Interest rate projection'!AC160/Var_freq)+IF(D$5="Mortgage Starts",0,Deposit_mon_alt),2)</f>
        <v>6022.08</v>
      </c>
      <c r="E158" s="16">
        <f>ROUND(D158*(1+'Interest rate projection'!AD160/Var_freq)+IF(E$5="Mortgage Starts",0,Deposit_mon_alt),2)</f>
        <v>8044.21</v>
      </c>
      <c r="F158" s="16">
        <f>ROUND(E158*(1+'Interest rate projection'!AE160/Var_freq)+IF(F$5="Mortgage Starts",0,Deposit_mon_alt),2)</f>
        <v>10075.379999999999</v>
      </c>
      <c r="G158" s="16">
        <f>ROUND(F158*(1+'Interest rate projection'!AF160/Var_freq)+IF(G$5="Mortgage Starts",0,Deposit_mon_alt),2)</f>
        <v>12112.41</v>
      </c>
      <c r="H158" s="16">
        <f>ROUND(G158*(1+'Interest rate projection'!AG160/Var_freq)+IF(H$5="Mortgage Starts",0,Deposit_mon_alt),2)</f>
        <v>14156.92</v>
      </c>
      <c r="I158" s="16">
        <f>ROUND(H158*(1+'Interest rate projection'!AH160/Var_freq)+IF(I$5="Mortgage Starts",0,Deposit_mon_alt),2)</f>
        <v>16211.77</v>
      </c>
      <c r="J158" s="16">
        <f>ROUND(I158*(1+'Interest rate projection'!AI160/Var_freq)+IF(J$5="Mortgage Starts",0,Deposit_mon_alt),2)</f>
        <v>18274.59</v>
      </c>
      <c r="K158" s="16">
        <f>ROUND(J158*(1+'Interest rate projection'!AJ160/Var_freq)+IF(K$5="Mortgage Starts",0,Deposit_mon_alt),2)</f>
        <v>20338.080000000002</v>
      </c>
      <c r="L158" s="16">
        <f>ROUND(K158*(1+'Interest rate projection'!AK160/Var_freq)+IF(L$5="Mortgage Starts",0,Deposit_mon_alt),2)</f>
        <v>22408.74</v>
      </c>
      <c r="M158" s="16">
        <f>ROUND(L158*(1+'Interest rate projection'!AL160/Var_freq)+IF(M$5="Mortgage Starts",0,Deposit_mon_alt),2)</f>
        <v>24486.6</v>
      </c>
      <c r="N158" s="57">
        <f>ROUND(M158*(1+'Interest rate projection'!AM160/Var_freq)+IF(N$5="Mortgage Starts",0,Deposit_mon_alt),2)</f>
        <v>24571.68</v>
      </c>
      <c r="P158" s="38">
        <f>'Interest rate projection'!N160</f>
        <v>4.2500000000000003E-2</v>
      </c>
      <c r="Q158" s="38">
        <f>'Interest rate projection'!AN160</f>
        <v>4.1693940041970023E-2</v>
      </c>
      <c r="R158" s="59" t="str">
        <f t="shared" si="22"/>
        <v>OK</v>
      </c>
      <c r="S158" s="39">
        <f t="shared" si="23"/>
        <v>15.511529757864551</v>
      </c>
      <c r="U158" s="73">
        <f t="shared" si="26"/>
        <v>24571.68</v>
      </c>
      <c r="V158" s="73">
        <f t="shared" si="24"/>
        <v>175428.32</v>
      </c>
      <c r="W158" s="74">
        <f t="shared" si="25"/>
        <v>942.46</v>
      </c>
      <c r="Y158" s="73">
        <f>'Fixed rate projection Alt'!$T$3-('Variable rate projection Alt'!W158*Product_term_alt*Var_freq)</f>
        <v>4279.7999999999884</v>
      </c>
    </row>
    <row r="159" spans="1:25" x14ac:dyDescent="0.35">
      <c r="A159" s="5">
        <v>154</v>
      </c>
      <c r="B159" s="57">
        <f t="shared" si="21"/>
        <v>2000</v>
      </c>
      <c r="C159" s="16">
        <f>ROUND(B159*(1+'Interest rate projection'!AB161/Var_freq)+IF(C$5="Mortgage Starts",0,Deposit_mon_alt),2)</f>
        <v>4007.35</v>
      </c>
      <c r="D159" s="16">
        <f>ROUND(C159*(1+'Interest rate projection'!AC161/Var_freq)+IF(D$5="Mortgage Starts",0,Deposit_mon_alt),2)</f>
        <v>6022.08</v>
      </c>
      <c r="E159" s="16">
        <f>ROUND(D159*(1+'Interest rate projection'!AD161/Var_freq)+IF(E$5="Mortgage Starts",0,Deposit_mon_alt),2)</f>
        <v>8044.21</v>
      </c>
      <c r="F159" s="16">
        <f>ROUND(E159*(1+'Interest rate projection'!AE161/Var_freq)+IF(F$5="Mortgage Starts",0,Deposit_mon_alt),2)</f>
        <v>10073.77</v>
      </c>
      <c r="G159" s="16">
        <f>ROUND(F159*(1+'Interest rate projection'!AF161/Var_freq)+IF(G$5="Mortgage Starts",0,Deposit_mon_alt),2)</f>
        <v>12110.79</v>
      </c>
      <c r="H159" s="16">
        <f>ROUND(G159*(1+'Interest rate projection'!AG161/Var_freq)+IF(H$5="Mortgage Starts",0,Deposit_mon_alt),2)</f>
        <v>14155.29</v>
      </c>
      <c r="I159" s="16">
        <f>ROUND(H159*(1+'Interest rate projection'!AH161/Var_freq)+IF(I$5="Mortgage Starts",0,Deposit_mon_alt),2)</f>
        <v>16207.31</v>
      </c>
      <c r="J159" s="16">
        <f>ROUND(I159*(1+'Interest rate projection'!AI161/Var_freq)+IF(J$5="Mortgage Starts",0,Deposit_mon_alt),2)</f>
        <v>18266.87</v>
      </c>
      <c r="K159" s="16">
        <f>ROUND(J159*(1+'Interest rate projection'!AJ161/Var_freq)+IF(K$5="Mortgage Starts",0,Deposit_mon_alt),2)</f>
        <v>20334</v>
      </c>
      <c r="L159" s="16">
        <f>ROUND(K159*(1+'Interest rate projection'!AK161/Var_freq)+IF(L$5="Mortgage Starts",0,Deposit_mon_alt),2)</f>
        <v>22408.720000000001</v>
      </c>
      <c r="M159" s="16">
        <f>ROUND(L159*(1+'Interest rate projection'!AL161/Var_freq)+IF(M$5="Mortgage Starts",0,Deposit_mon_alt),2)</f>
        <v>24491.07</v>
      </c>
      <c r="N159" s="57">
        <f>ROUND(M159*(1+'Interest rate projection'!AM161/Var_freq)+IF(N$5="Mortgage Starts",0,Deposit_mon_alt),2)</f>
        <v>24581.07</v>
      </c>
      <c r="P159" s="38">
        <f>'Interest rate projection'!N161</f>
        <v>4.4999999999999998E-2</v>
      </c>
      <c r="Q159" s="38">
        <f>'Interest rate projection'!AN161</f>
        <v>4.4097712805242217E-2</v>
      </c>
      <c r="R159" s="59" t="str">
        <f t="shared" si="22"/>
        <v>OK</v>
      </c>
      <c r="S159" s="39">
        <f t="shared" si="23"/>
        <v>15.131610255367837</v>
      </c>
      <c r="U159" s="73">
        <f t="shared" si="26"/>
        <v>24581.07</v>
      </c>
      <c r="V159" s="73">
        <f t="shared" si="24"/>
        <v>175418.93</v>
      </c>
      <c r="W159" s="74">
        <f t="shared" si="25"/>
        <v>966.07</v>
      </c>
      <c r="Y159" s="73">
        <f>'Fixed rate projection Alt'!$T$3-('Variable rate projection Alt'!W159*Product_term_alt*Var_freq)</f>
        <v>2863.1999999999898</v>
      </c>
    </row>
    <row r="160" spans="1:25" x14ac:dyDescent="0.35">
      <c r="A160" s="27">
        <v>155</v>
      </c>
      <c r="B160" s="57">
        <f t="shared" si="21"/>
        <v>2000</v>
      </c>
      <c r="C160" s="16">
        <f>ROUND(B160*(1+'Interest rate projection'!AB162/Var_freq)+IF(C$5="Mortgage Starts",0,Deposit_mon_alt),2)</f>
        <v>4007.35</v>
      </c>
      <c r="D160" s="16">
        <f>ROUND(C160*(1+'Interest rate projection'!AC162/Var_freq)+IF(D$5="Mortgage Starts",0,Deposit_mon_alt),2)</f>
        <v>6022.08</v>
      </c>
      <c r="E160" s="16">
        <f>ROUND(D160*(1+'Interest rate projection'!AD162/Var_freq)+IF(E$5="Mortgage Starts",0,Deposit_mon_alt),2)</f>
        <v>8044.21</v>
      </c>
      <c r="F160" s="16">
        <f>ROUND(E160*(1+'Interest rate projection'!AE162/Var_freq)+IF(F$5="Mortgage Starts",0,Deposit_mon_alt),2)</f>
        <v>10073.77</v>
      </c>
      <c r="G160" s="16">
        <f>ROUND(F160*(1+'Interest rate projection'!AF162/Var_freq)+IF(G$5="Mortgage Starts",0,Deposit_mon_alt),2)</f>
        <v>12110.79</v>
      </c>
      <c r="H160" s="16">
        <f>ROUND(G160*(1+'Interest rate projection'!AG162/Var_freq)+IF(H$5="Mortgage Starts",0,Deposit_mon_alt),2)</f>
        <v>14160.13</v>
      </c>
      <c r="I160" s="16">
        <f>ROUND(H160*(1+'Interest rate projection'!AH162/Var_freq)+IF(I$5="Mortgage Starts",0,Deposit_mon_alt),2)</f>
        <v>16217.82</v>
      </c>
      <c r="J160" s="16">
        <f>ROUND(I160*(1+'Interest rate projection'!AI162/Var_freq)+IF(J$5="Mortgage Starts",0,Deposit_mon_alt),2)</f>
        <v>18283.89</v>
      </c>
      <c r="K160" s="16">
        <f>ROUND(J160*(1+'Interest rate projection'!AJ162/Var_freq)+IF(K$5="Mortgage Starts",0,Deposit_mon_alt),2)</f>
        <v>20358.38</v>
      </c>
      <c r="L160" s="16">
        <f>ROUND(K160*(1+'Interest rate projection'!AK162/Var_freq)+IF(L$5="Mortgage Starts",0,Deposit_mon_alt),2)</f>
        <v>22441.32</v>
      </c>
      <c r="M160" s="16">
        <f>ROUND(L160*(1+'Interest rate projection'!AL162/Var_freq)+IF(M$5="Mortgage Starts",0,Deposit_mon_alt),2)</f>
        <v>24532.75</v>
      </c>
      <c r="N160" s="57">
        <f>ROUND(M160*(1+'Interest rate projection'!AM162/Var_freq)+IF(N$5="Mortgage Starts",0,Deposit_mon_alt),2)</f>
        <v>24637.58</v>
      </c>
      <c r="P160" s="38">
        <f>'Interest rate projection'!N162</f>
        <v>5.2499999999999998E-2</v>
      </c>
      <c r="Q160" s="38">
        <f>'Interest rate projection'!AN162</f>
        <v>5.1277533193896829E-2</v>
      </c>
      <c r="R160" s="59" t="str">
        <f t="shared" si="22"/>
        <v>OK</v>
      </c>
      <c r="S160" s="39">
        <f t="shared" si="23"/>
        <v>14.075212462503044</v>
      </c>
      <c r="U160" s="73">
        <f t="shared" si="26"/>
        <v>24637.58</v>
      </c>
      <c r="V160" s="73">
        <f t="shared" si="24"/>
        <v>175362.41999999998</v>
      </c>
      <c r="W160" s="74">
        <f t="shared" si="25"/>
        <v>1038.25</v>
      </c>
      <c r="Y160" s="73">
        <f>'Fixed rate projection Alt'!$T$3-('Variable rate projection Alt'!W160*Product_term_alt*Var_freq)</f>
        <v>-1467.6000000000058</v>
      </c>
    </row>
    <row r="161" spans="1:25" x14ac:dyDescent="0.35">
      <c r="A161" s="5">
        <v>156</v>
      </c>
      <c r="B161" s="57">
        <f t="shared" si="21"/>
        <v>2000</v>
      </c>
      <c r="C161" s="16">
        <f>ROUND(B161*(1+'Interest rate projection'!AB163/Var_freq)+IF(C$5="Mortgage Starts",0,Deposit_mon_alt),2)</f>
        <v>4007.35</v>
      </c>
      <c r="D161" s="16">
        <f>ROUND(C161*(1+'Interest rate projection'!AC163/Var_freq)+IF(D$5="Mortgage Starts",0,Deposit_mon_alt),2)</f>
        <v>6022.08</v>
      </c>
      <c r="E161" s="16">
        <f>ROUND(D161*(1+'Interest rate projection'!AD163/Var_freq)+IF(E$5="Mortgage Starts",0,Deposit_mon_alt),2)</f>
        <v>8044.21</v>
      </c>
      <c r="F161" s="16">
        <f>ROUND(E161*(1+'Interest rate projection'!AE163/Var_freq)+IF(F$5="Mortgage Starts",0,Deposit_mon_alt),2)</f>
        <v>10073.77</v>
      </c>
      <c r="G161" s="16">
        <f>ROUND(F161*(1+'Interest rate projection'!AF163/Var_freq)+IF(G$5="Mortgage Starts",0,Deposit_mon_alt),2)</f>
        <v>12110.79</v>
      </c>
      <c r="H161" s="16">
        <f>ROUND(G161*(1+'Interest rate projection'!AG163/Var_freq)+IF(H$5="Mortgage Starts",0,Deposit_mon_alt),2)</f>
        <v>14155.29</v>
      </c>
      <c r="I161" s="16">
        <f>ROUND(H161*(1+'Interest rate projection'!AH163/Var_freq)+IF(I$5="Mortgage Starts",0,Deposit_mon_alt),2)</f>
        <v>16207.31</v>
      </c>
      <c r="J161" s="16">
        <f>ROUND(I161*(1+'Interest rate projection'!AI163/Var_freq)+IF(J$5="Mortgage Starts",0,Deposit_mon_alt),2)</f>
        <v>18266.87</v>
      </c>
      <c r="K161" s="16">
        <f>ROUND(J161*(1+'Interest rate projection'!AJ163/Var_freq)+IF(K$5="Mortgage Starts",0,Deposit_mon_alt),2)</f>
        <v>20334</v>
      </c>
      <c r="L161" s="16">
        <f>ROUND(K161*(1+'Interest rate projection'!AK163/Var_freq)+IF(L$5="Mortgage Starts",0,Deposit_mon_alt),2)</f>
        <v>22408.720000000001</v>
      </c>
      <c r="M161" s="16">
        <f>ROUND(L161*(1+'Interest rate projection'!AL163/Var_freq)+IF(M$5="Mortgage Starts",0,Deposit_mon_alt),2)</f>
        <v>24491.07</v>
      </c>
      <c r="N161" s="57">
        <f>ROUND(M161*(1+'Interest rate projection'!AM163/Var_freq)+IF(N$5="Mortgage Starts",0,Deposit_mon_alt),2)</f>
        <v>24581.07</v>
      </c>
      <c r="P161" s="38">
        <f>'Interest rate projection'!N163</f>
        <v>4.4999999999999998E-2</v>
      </c>
      <c r="Q161" s="38">
        <f>'Interest rate projection'!AN163</f>
        <v>4.4097712805242217E-2</v>
      </c>
      <c r="R161" s="59" t="str">
        <f t="shared" si="22"/>
        <v>OK</v>
      </c>
      <c r="S161" s="39">
        <f t="shared" si="23"/>
        <v>15.131610255367837</v>
      </c>
      <c r="U161" s="73">
        <f t="shared" si="26"/>
        <v>24581.07</v>
      </c>
      <c r="V161" s="73">
        <f t="shared" si="24"/>
        <v>175418.93</v>
      </c>
      <c r="W161" s="74">
        <f t="shared" si="25"/>
        <v>966.07</v>
      </c>
      <c r="Y161" s="73">
        <f>'Fixed rate projection Alt'!$T$3-('Variable rate projection Alt'!W161*Product_term_alt*Var_freq)</f>
        <v>2863.1999999999898</v>
      </c>
    </row>
    <row r="162" spans="1:25" x14ac:dyDescent="0.35">
      <c r="A162" s="27">
        <v>157</v>
      </c>
      <c r="B162" s="57">
        <f t="shared" si="21"/>
        <v>2000</v>
      </c>
      <c r="C162" s="16">
        <f>ROUND(B162*(1+'Interest rate projection'!AB164/Var_freq)+IF(C$5="Mortgage Starts",0,Deposit_mon_alt),2)</f>
        <v>4007.35</v>
      </c>
      <c r="D162" s="16">
        <f>ROUND(C162*(1+'Interest rate projection'!AC164/Var_freq)+IF(D$5="Mortgage Starts",0,Deposit_mon_alt),2)</f>
        <v>6022.08</v>
      </c>
      <c r="E162" s="16">
        <f>ROUND(D162*(1+'Interest rate projection'!AD164/Var_freq)+IF(E$5="Mortgage Starts",0,Deposit_mon_alt),2)</f>
        <v>8044.21</v>
      </c>
      <c r="F162" s="16">
        <f>ROUND(E162*(1+'Interest rate projection'!AE164/Var_freq)+IF(F$5="Mortgage Starts",0,Deposit_mon_alt),2)</f>
        <v>10073.77</v>
      </c>
      <c r="G162" s="16">
        <f>ROUND(F162*(1+'Interest rate projection'!AF164/Var_freq)+IF(G$5="Mortgage Starts",0,Deposit_mon_alt),2)</f>
        <v>12110.79</v>
      </c>
      <c r="H162" s="16">
        <f>ROUND(G162*(1+'Interest rate projection'!AG164/Var_freq)+IF(H$5="Mortgage Starts",0,Deposit_mon_alt),2)</f>
        <v>14155.29</v>
      </c>
      <c r="I162" s="16">
        <f>ROUND(H162*(1+'Interest rate projection'!AH164/Var_freq)+IF(I$5="Mortgage Starts",0,Deposit_mon_alt),2)</f>
        <v>16207.31</v>
      </c>
      <c r="J162" s="16">
        <f>ROUND(I162*(1+'Interest rate projection'!AI164/Var_freq)+IF(J$5="Mortgage Starts",0,Deposit_mon_alt),2)</f>
        <v>18266.87</v>
      </c>
      <c r="K162" s="16">
        <f>ROUND(J162*(1+'Interest rate projection'!AJ164/Var_freq)+IF(K$5="Mortgage Starts",0,Deposit_mon_alt),2)</f>
        <v>20334</v>
      </c>
      <c r="L162" s="16">
        <f>ROUND(K162*(1+'Interest rate projection'!AK164/Var_freq)+IF(L$5="Mortgage Starts",0,Deposit_mon_alt),2)</f>
        <v>22404.65</v>
      </c>
      <c r="M162" s="16">
        <f>ROUND(L162*(1+'Interest rate projection'!AL164/Var_freq)+IF(M$5="Mortgage Starts",0,Deposit_mon_alt),2)</f>
        <v>24482.49</v>
      </c>
      <c r="N162" s="57">
        <f>ROUND(M162*(1+'Interest rate projection'!AM164/Var_freq)+IF(N$5="Mortgage Starts",0,Deposit_mon_alt),2)</f>
        <v>24567.55</v>
      </c>
      <c r="P162" s="38">
        <f>'Interest rate projection'!N164</f>
        <v>4.4999999999999998E-2</v>
      </c>
      <c r="Q162" s="38">
        <f>'Interest rate projection'!AN164</f>
        <v>4.4097712805242217E-2</v>
      </c>
      <c r="R162" s="59" t="str">
        <f t="shared" si="22"/>
        <v>OK</v>
      </c>
      <c r="S162" s="39">
        <f t="shared" si="23"/>
        <v>15.131610255367837</v>
      </c>
      <c r="U162" s="73">
        <f t="shared" si="26"/>
        <v>24567.55</v>
      </c>
      <c r="V162" s="73">
        <f t="shared" si="24"/>
        <v>175432.45</v>
      </c>
      <c r="W162" s="74">
        <f t="shared" si="25"/>
        <v>966.15</v>
      </c>
      <c r="Y162" s="73">
        <f>'Fixed rate projection Alt'!$T$3-('Variable rate projection Alt'!W162*Product_term_alt*Var_freq)</f>
        <v>2858.3999999999942</v>
      </c>
    </row>
    <row r="163" spans="1:25" x14ac:dyDescent="0.35">
      <c r="A163" s="5">
        <v>158</v>
      </c>
      <c r="B163" s="57">
        <f t="shared" si="21"/>
        <v>2000</v>
      </c>
      <c r="C163" s="16">
        <f>ROUND(B163*(1+'Interest rate projection'!AB165/Var_freq)+IF(C$5="Mortgage Starts",0,Deposit_mon_alt),2)</f>
        <v>4007.35</v>
      </c>
      <c r="D163" s="16">
        <f>ROUND(C163*(1+'Interest rate projection'!AC165/Var_freq)+IF(D$5="Mortgage Starts",0,Deposit_mon_alt),2)</f>
        <v>6022.08</v>
      </c>
      <c r="E163" s="16">
        <f>ROUND(D163*(1+'Interest rate projection'!AD165/Var_freq)+IF(E$5="Mortgage Starts",0,Deposit_mon_alt),2)</f>
        <v>8044.21</v>
      </c>
      <c r="F163" s="16">
        <f>ROUND(E163*(1+'Interest rate projection'!AE165/Var_freq)+IF(F$5="Mortgage Starts",0,Deposit_mon_alt),2)</f>
        <v>10072.16</v>
      </c>
      <c r="G163" s="16">
        <f>ROUND(F163*(1+'Interest rate projection'!AF165/Var_freq)+IF(G$5="Mortgage Starts",0,Deposit_mon_alt),2)</f>
        <v>12107.16</v>
      </c>
      <c r="H163" s="16">
        <f>ROUND(G163*(1+'Interest rate projection'!AG165/Var_freq)+IF(H$5="Mortgage Starts",0,Deposit_mon_alt),2)</f>
        <v>14149.23</v>
      </c>
      <c r="I163" s="16">
        <f>ROUND(H163*(1+'Interest rate projection'!AH165/Var_freq)+IF(I$5="Mortgage Starts",0,Deposit_mon_alt),2)</f>
        <v>16198.39</v>
      </c>
      <c r="J163" s="16">
        <f>ROUND(I163*(1+'Interest rate projection'!AI165/Var_freq)+IF(J$5="Mortgage Starts",0,Deposit_mon_alt),2)</f>
        <v>18254.669999999998</v>
      </c>
      <c r="K163" s="16">
        <f>ROUND(J163*(1+'Interest rate projection'!AJ165/Var_freq)+IF(K$5="Mortgage Starts",0,Deposit_mon_alt),2)</f>
        <v>20314.43</v>
      </c>
      <c r="L163" s="16">
        <f>ROUND(K163*(1+'Interest rate projection'!AK165/Var_freq)+IF(L$5="Mortgage Starts",0,Deposit_mon_alt),2)</f>
        <v>22380.93</v>
      </c>
      <c r="M163" s="16">
        <f>ROUND(L163*(1+'Interest rate projection'!AL165/Var_freq)+IF(M$5="Mortgage Starts",0,Deposit_mon_alt),2)</f>
        <v>24454.2</v>
      </c>
      <c r="N163" s="57">
        <f>ROUND(M163*(1+'Interest rate projection'!AM165/Var_freq)+IF(N$5="Mortgage Starts",0,Deposit_mon_alt),2)</f>
        <v>24529.34</v>
      </c>
      <c r="P163" s="38">
        <f>'Interest rate projection'!N165</f>
        <v>3.7499999999999992E-2</v>
      </c>
      <c r="Q163" s="38">
        <f>'Interest rate projection'!AN165</f>
        <v>3.6870500439066589E-2</v>
      </c>
      <c r="R163" s="59" t="str">
        <f t="shared" si="22"/>
        <v>OK</v>
      </c>
      <c r="S163" s="39">
        <f t="shared" si="23"/>
        <v>16.317113717606386</v>
      </c>
      <c r="U163" s="73">
        <f t="shared" si="26"/>
        <v>24529.34</v>
      </c>
      <c r="V163" s="73">
        <f t="shared" si="24"/>
        <v>175470.66</v>
      </c>
      <c r="W163" s="74">
        <f t="shared" si="25"/>
        <v>896.15</v>
      </c>
      <c r="Y163" s="73">
        <f>'Fixed rate projection Alt'!$T$3-('Variable rate projection Alt'!W163*Product_term_alt*Var_freq)</f>
        <v>7058.3999999999942</v>
      </c>
    </row>
    <row r="164" spans="1:25" x14ac:dyDescent="0.35">
      <c r="A164" s="27">
        <v>159</v>
      </c>
      <c r="B164" s="57">
        <f t="shared" si="21"/>
        <v>2000</v>
      </c>
      <c r="C164" s="16">
        <f>ROUND(B164*(1+'Interest rate projection'!AB166/Var_freq)+IF(C$5="Mortgage Starts",0,Deposit_mon_alt),2)</f>
        <v>4007.35</v>
      </c>
      <c r="D164" s="16">
        <f>ROUND(C164*(1+'Interest rate projection'!AC166/Var_freq)+IF(D$5="Mortgage Starts",0,Deposit_mon_alt),2)</f>
        <v>6022.08</v>
      </c>
      <c r="E164" s="16">
        <f>ROUND(D164*(1+'Interest rate projection'!AD166/Var_freq)+IF(E$5="Mortgage Starts",0,Deposit_mon_alt),2)</f>
        <v>8044.21</v>
      </c>
      <c r="F164" s="16">
        <f>ROUND(E164*(1+'Interest rate projection'!AE166/Var_freq)+IF(F$5="Mortgage Starts",0,Deposit_mon_alt),2)</f>
        <v>10075.379999999999</v>
      </c>
      <c r="G164" s="16">
        <f>ROUND(F164*(1+'Interest rate projection'!AF166/Var_freq)+IF(G$5="Mortgage Starts",0,Deposit_mon_alt),2)</f>
        <v>12114.42</v>
      </c>
      <c r="H164" s="16">
        <f>ROUND(G164*(1+'Interest rate projection'!AG166/Var_freq)+IF(H$5="Mortgage Starts",0,Deposit_mon_alt),2)</f>
        <v>14161.36</v>
      </c>
      <c r="I164" s="16">
        <f>ROUND(H164*(1+'Interest rate projection'!AH166/Var_freq)+IF(I$5="Mortgage Starts",0,Deposit_mon_alt),2)</f>
        <v>16216.23</v>
      </c>
      <c r="J164" s="16">
        <f>ROUND(I164*(1+'Interest rate projection'!AI166/Var_freq)+IF(J$5="Mortgage Starts",0,Deposit_mon_alt),2)</f>
        <v>18279.060000000001</v>
      </c>
      <c r="K164" s="16">
        <f>ROUND(J164*(1+'Interest rate projection'!AJ166/Var_freq)+IF(K$5="Mortgage Starts",0,Deposit_mon_alt),2)</f>
        <v>20349.89</v>
      </c>
      <c r="L164" s="16">
        <f>ROUND(K164*(1+'Interest rate projection'!AK166/Var_freq)+IF(L$5="Mortgage Starts",0,Deposit_mon_alt),2)</f>
        <v>22428.74</v>
      </c>
      <c r="M164" s="16">
        <f>ROUND(L164*(1+'Interest rate projection'!AL166/Var_freq)+IF(M$5="Mortgage Starts",0,Deposit_mon_alt),2)</f>
        <v>24515.64</v>
      </c>
      <c r="N164" s="57">
        <f>ROUND(M164*(1+'Interest rate projection'!AM166/Var_freq)+IF(N$5="Mortgage Starts",0,Deposit_mon_alt),2)</f>
        <v>24610.63</v>
      </c>
      <c r="P164" s="38">
        <f>'Interest rate projection'!N166</f>
        <v>4.7500000000000001E-2</v>
      </c>
      <c r="Q164" s="38">
        <f>'Interest rate projection'!AN166</f>
        <v>4.6496219905550085E-2</v>
      </c>
      <c r="R164" s="59" t="str">
        <f t="shared" si="22"/>
        <v>OK</v>
      </c>
      <c r="S164" s="39">
        <f t="shared" si="23"/>
        <v>14.766012404082064</v>
      </c>
      <c r="U164" s="73">
        <f t="shared" si="26"/>
        <v>24610.63</v>
      </c>
      <c r="V164" s="73">
        <f t="shared" si="24"/>
        <v>175389.37</v>
      </c>
      <c r="W164" s="74">
        <f t="shared" si="25"/>
        <v>989.83</v>
      </c>
      <c r="Y164" s="73">
        <f>'Fixed rate projection Alt'!$T$3-('Variable rate projection Alt'!W164*Product_term_alt*Var_freq)</f>
        <v>1437.5999999999913</v>
      </c>
    </row>
    <row r="165" spans="1:25" x14ac:dyDescent="0.35">
      <c r="A165" s="5">
        <v>160</v>
      </c>
      <c r="B165" s="57">
        <f t="shared" si="21"/>
        <v>2000</v>
      </c>
      <c r="C165" s="16">
        <f>ROUND(B165*(1+'Interest rate projection'!AB167/Var_freq)+IF(C$5="Mortgage Starts",0,Deposit_mon_alt),2)</f>
        <v>4007.35</v>
      </c>
      <c r="D165" s="16">
        <f>ROUND(C165*(1+'Interest rate projection'!AC167/Var_freq)+IF(D$5="Mortgage Starts",0,Deposit_mon_alt),2)</f>
        <v>6022.08</v>
      </c>
      <c r="E165" s="16">
        <f>ROUND(D165*(1+'Interest rate projection'!AD167/Var_freq)+IF(E$5="Mortgage Starts",0,Deposit_mon_alt),2)</f>
        <v>8046.61</v>
      </c>
      <c r="F165" s="16">
        <f>ROUND(E165*(1+'Interest rate projection'!AE167/Var_freq)+IF(F$5="Mortgage Starts",0,Deposit_mon_alt),2)</f>
        <v>10079.39</v>
      </c>
      <c r="G165" s="16">
        <f>ROUND(F165*(1+'Interest rate projection'!AF167/Var_freq)+IF(G$5="Mortgage Starts",0,Deposit_mon_alt),2)</f>
        <v>12120.45</v>
      </c>
      <c r="H165" s="16">
        <f>ROUND(G165*(1+'Interest rate projection'!AG167/Var_freq)+IF(H$5="Mortgage Starts",0,Deposit_mon_alt),2)</f>
        <v>14169.83</v>
      </c>
      <c r="I165" s="16">
        <f>ROUND(H165*(1+'Interest rate projection'!AH167/Var_freq)+IF(I$5="Mortgage Starts",0,Deposit_mon_alt),2)</f>
        <v>16227.56</v>
      </c>
      <c r="J165" s="16">
        <f>ROUND(I165*(1+'Interest rate projection'!AI167/Var_freq)+IF(J$5="Mortgage Starts",0,Deposit_mon_alt),2)</f>
        <v>18293.669999999998</v>
      </c>
      <c r="K165" s="16">
        <f>ROUND(J165*(1+'Interest rate projection'!AJ167/Var_freq)+IF(K$5="Mortgage Starts",0,Deposit_mon_alt),2)</f>
        <v>20375.47</v>
      </c>
      <c r="L165" s="16">
        <f>ROUND(K165*(1+'Interest rate projection'!AK167/Var_freq)+IF(L$5="Mortgage Starts",0,Deposit_mon_alt),2)</f>
        <v>22466.58</v>
      </c>
      <c r="M165" s="16">
        <f>ROUND(L165*(1+'Interest rate projection'!AL167/Var_freq)+IF(M$5="Mortgage Starts",0,Deposit_mon_alt),2)</f>
        <v>24567.040000000001</v>
      </c>
      <c r="N165" s="57">
        <f>ROUND(M165*(1+'Interest rate projection'!AM167/Var_freq)+IF(N$5="Mortgage Starts",0,Deposit_mon_alt),2)</f>
        <v>24676.9</v>
      </c>
      <c r="P165" s="38">
        <f>'Interest rate projection'!N167</f>
        <v>5.4999999999999993E-2</v>
      </c>
      <c r="Q165" s="38">
        <f>'Interest rate projection'!AN167</f>
        <v>5.3660387004516252E-2</v>
      </c>
      <c r="R165" s="59" t="str">
        <f t="shared" si="22"/>
        <v>OK</v>
      </c>
      <c r="S165" s="39">
        <f t="shared" si="23"/>
        <v>13.748806844025127</v>
      </c>
      <c r="U165" s="73">
        <f t="shared" si="26"/>
        <v>24676.9</v>
      </c>
      <c r="V165" s="73">
        <f t="shared" si="24"/>
        <v>175323.1</v>
      </c>
      <c r="W165" s="74">
        <f t="shared" si="25"/>
        <v>1062.6600000000001</v>
      </c>
      <c r="Y165" s="73">
        <f>'Fixed rate projection Alt'!$T$3-('Variable rate projection Alt'!W165*Product_term_alt*Var_freq)</f>
        <v>-2932.2000000000116</v>
      </c>
    </row>
    <row r="166" spans="1:25" x14ac:dyDescent="0.35">
      <c r="A166" s="27">
        <v>161</v>
      </c>
      <c r="B166" s="57">
        <f t="shared" ref="B166:B197" si="27">Deposit_mon_alt</f>
        <v>2000</v>
      </c>
      <c r="C166" s="16">
        <f>ROUND(B166*(1+'Interest rate projection'!AB168/Var_freq)+IF(C$5="Mortgage Starts",0,Deposit_mon_alt),2)</f>
        <v>4007.35</v>
      </c>
      <c r="D166" s="16">
        <f>ROUND(C166*(1+'Interest rate projection'!AC168/Var_freq)+IF(D$5="Mortgage Starts",0,Deposit_mon_alt),2)</f>
        <v>6023.68</v>
      </c>
      <c r="E166" s="16">
        <f>ROUND(D166*(1+'Interest rate projection'!AD168/Var_freq)+IF(E$5="Mortgage Starts",0,Deposit_mon_alt),2)</f>
        <v>8048.22</v>
      </c>
      <c r="F166" s="16">
        <f>ROUND(E166*(1+'Interest rate projection'!AE168/Var_freq)+IF(F$5="Mortgage Starts",0,Deposit_mon_alt),2)</f>
        <v>10081.01</v>
      </c>
      <c r="G166" s="16">
        <f>ROUND(F166*(1+'Interest rate projection'!AF168/Var_freq)+IF(G$5="Mortgage Starts",0,Deposit_mon_alt),2)</f>
        <v>12122.08</v>
      </c>
      <c r="H166" s="16">
        <f>ROUND(G166*(1+'Interest rate projection'!AG168/Var_freq)+IF(H$5="Mortgage Starts",0,Deposit_mon_alt),2)</f>
        <v>14171.47</v>
      </c>
      <c r="I166" s="16">
        <f>ROUND(H166*(1+'Interest rate projection'!AH168/Var_freq)+IF(I$5="Mortgage Starts",0,Deposit_mon_alt),2)</f>
        <v>16229.21</v>
      </c>
      <c r="J166" s="16">
        <f>ROUND(I166*(1+'Interest rate projection'!AI168/Var_freq)+IF(J$5="Mortgage Starts",0,Deposit_mon_alt),2)</f>
        <v>18301.78</v>
      </c>
      <c r="K166" s="16">
        <f>ROUND(J166*(1+'Interest rate projection'!AJ168/Var_freq)+IF(K$5="Mortgage Starts",0,Deposit_mon_alt),2)</f>
        <v>20383.62</v>
      </c>
      <c r="L166" s="16">
        <f>ROUND(K166*(1+'Interest rate projection'!AK168/Var_freq)+IF(L$5="Mortgage Starts",0,Deposit_mon_alt),2)</f>
        <v>22474.77</v>
      </c>
      <c r="M166" s="16">
        <f>ROUND(L166*(1+'Interest rate projection'!AL168/Var_freq)+IF(M$5="Mortgage Starts",0,Deposit_mon_alt),2)</f>
        <v>24575.27</v>
      </c>
      <c r="N166" s="57">
        <f>ROUND(M166*(1+'Interest rate projection'!AM168/Var_freq)+IF(N$5="Mortgage Starts",0,Deposit_mon_alt),2)</f>
        <v>24685.16</v>
      </c>
      <c r="P166" s="38">
        <f>'Interest rate projection'!N168</f>
        <v>5.4999999999999993E-2</v>
      </c>
      <c r="Q166" s="38">
        <f>'Interest rate projection'!AN168</f>
        <v>5.3660387004516252E-2</v>
      </c>
      <c r="R166" s="59" t="str">
        <f t="shared" ref="R166:R197" si="28">IF(ROUND(P166,6)=ROUND((1+Q166/Var_freq)^Var_freq-1,6),"OK","ERROR")</f>
        <v>OK</v>
      </c>
      <c r="S166" s="39">
        <f t="shared" ref="S166:S197" si="29">(1-(1+P166)^-Mort_term)/Q166</f>
        <v>13.748806844025127</v>
      </c>
      <c r="U166" s="73">
        <f t="shared" si="26"/>
        <v>24685.16</v>
      </c>
      <c r="V166" s="73">
        <f t="shared" si="24"/>
        <v>175314.84</v>
      </c>
      <c r="W166" s="74">
        <f t="shared" ref="W166:W197" si="30">ROUND(V166/S166/Var_freq,2)</f>
        <v>1062.6099999999999</v>
      </c>
      <c r="Y166" s="73">
        <f>'Fixed rate projection Alt'!$T$3-('Variable rate projection Alt'!W166*Product_term_alt*Var_freq)</f>
        <v>-2929.1999999999971</v>
      </c>
    </row>
    <row r="167" spans="1:25" x14ac:dyDescent="0.35">
      <c r="A167" s="5">
        <v>162</v>
      </c>
      <c r="B167" s="57">
        <f t="shared" si="27"/>
        <v>2000</v>
      </c>
      <c r="C167" s="16">
        <f>ROUND(B167*(1+'Interest rate projection'!AB169/Var_freq)+IF(C$5="Mortgage Starts",0,Deposit_mon_alt),2)</f>
        <v>4007.35</v>
      </c>
      <c r="D167" s="16">
        <f>ROUND(C167*(1+'Interest rate projection'!AC169/Var_freq)+IF(D$5="Mortgage Starts",0,Deposit_mon_alt),2)</f>
        <v>6020.47</v>
      </c>
      <c r="E167" s="16">
        <f>ROUND(D167*(1+'Interest rate projection'!AD169/Var_freq)+IF(E$5="Mortgage Starts",0,Deposit_mon_alt),2)</f>
        <v>8040.18</v>
      </c>
      <c r="F167" s="16">
        <f>ROUND(E167*(1+'Interest rate projection'!AE169/Var_freq)+IF(F$5="Mortgage Starts",0,Deposit_mon_alt),2)</f>
        <v>10066.5</v>
      </c>
      <c r="G167" s="16">
        <f>ROUND(F167*(1+'Interest rate projection'!AF169/Var_freq)+IF(G$5="Mortgage Starts",0,Deposit_mon_alt),2)</f>
        <v>12099.46</v>
      </c>
      <c r="H167" s="16">
        <f>ROUND(G167*(1+'Interest rate projection'!AG169/Var_freq)+IF(H$5="Mortgage Starts",0,Deposit_mon_alt),2)</f>
        <v>14139.07</v>
      </c>
      <c r="I167" s="16">
        <f>ROUND(H167*(1+'Interest rate projection'!AH169/Var_freq)+IF(I$5="Mortgage Starts",0,Deposit_mon_alt),2)</f>
        <v>16185.36</v>
      </c>
      <c r="J167" s="16">
        <f>ROUND(I167*(1+'Interest rate projection'!AI169/Var_freq)+IF(J$5="Mortgage Starts",0,Deposit_mon_alt),2)</f>
        <v>18238.349999999999</v>
      </c>
      <c r="K167" s="16">
        <f>ROUND(J167*(1+'Interest rate projection'!AJ169/Var_freq)+IF(K$5="Mortgage Starts",0,Deposit_mon_alt),2)</f>
        <v>20298.060000000001</v>
      </c>
      <c r="L167" s="16">
        <f>ROUND(K167*(1+'Interest rate projection'!AK169/Var_freq)+IF(L$5="Mortgage Starts",0,Deposit_mon_alt),2)</f>
        <v>22364.51</v>
      </c>
      <c r="M167" s="16">
        <f>ROUND(L167*(1+'Interest rate projection'!AL169/Var_freq)+IF(M$5="Mortgage Starts",0,Deposit_mon_alt),2)</f>
        <v>24437.73</v>
      </c>
      <c r="N167" s="57">
        <f>ROUND(M167*(1+'Interest rate projection'!AM169/Var_freq)+IF(N$5="Mortgage Starts",0,Deposit_mon_alt),2)</f>
        <v>24517.73</v>
      </c>
      <c r="P167" s="38">
        <f>'Interest rate projection'!N169</f>
        <v>0.04</v>
      </c>
      <c r="Q167" s="38">
        <f>'Interest rate projection'!AN169</f>
        <v>3.9284877386386974E-2</v>
      </c>
      <c r="R167" s="59" t="str">
        <f t="shared" si="28"/>
        <v>OK</v>
      </c>
      <c r="S167" s="39">
        <f t="shared" si="29"/>
        <v>15.906456614335044</v>
      </c>
      <c r="U167" s="73">
        <f t="shared" si="26"/>
        <v>24517.73</v>
      </c>
      <c r="V167" s="73">
        <f t="shared" si="24"/>
        <v>175482.27</v>
      </c>
      <c r="W167" s="74">
        <f t="shared" si="30"/>
        <v>919.35</v>
      </c>
      <c r="Y167" s="73">
        <f>'Fixed rate projection Alt'!$T$3-('Variable rate projection Alt'!W167*Product_term_alt*Var_freq)</f>
        <v>5666.3999999999942</v>
      </c>
    </row>
    <row r="168" spans="1:25" x14ac:dyDescent="0.35">
      <c r="A168" s="27">
        <v>163</v>
      </c>
      <c r="B168" s="57">
        <f t="shared" si="27"/>
        <v>2000</v>
      </c>
      <c r="C168" s="16">
        <f>ROUND(B168*(1+'Interest rate projection'!AB170/Var_freq)+IF(C$5="Mortgage Starts",0,Deposit_mon_alt),2)</f>
        <v>4007.35</v>
      </c>
      <c r="D168" s="16">
        <f>ROUND(C168*(1+'Interest rate projection'!AC170/Var_freq)+IF(D$5="Mortgage Starts",0,Deposit_mon_alt),2)</f>
        <v>6022.08</v>
      </c>
      <c r="E168" s="16">
        <f>ROUND(D168*(1+'Interest rate projection'!AD170/Var_freq)+IF(E$5="Mortgage Starts",0,Deposit_mon_alt),2)</f>
        <v>8043</v>
      </c>
      <c r="F168" s="16">
        <f>ROUND(E168*(1+'Interest rate projection'!AE170/Var_freq)+IF(F$5="Mortgage Starts",0,Deposit_mon_alt),2)</f>
        <v>10070.950000000001</v>
      </c>
      <c r="G168" s="16">
        <f>ROUND(F168*(1+'Interest rate projection'!AF170/Var_freq)+IF(G$5="Mortgage Starts",0,Deposit_mon_alt),2)</f>
        <v>12105.94</v>
      </c>
      <c r="H168" s="16">
        <f>ROUND(G168*(1+'Interest rate projection'!AG170/Var_freq)+IF(H$5="Mortgage Starts",0,Deposit_mon_alt),2)</f>
        <v>14148</v>
      </c>
      <c r="I168" s="16">
        <f>ROUND(H168*(1+'Interest rate projection'!AH170/Var_freq)+IF(I$5="Mortgage Starts",0,Deposit_mon_alt),2)</f>
        <v>16197.16</v>
      </c>
      <c r="J168" s="16">
        <f>ROUND(I168*(1+'Interest rate projection'!AI170/Var_freq)+IF(J$5="Mortgage Starts",0,Deposit_mon_alt),2)</f>
        <v>18253.439999999999</v>
      </c>
      <c r="K168" s="16">
        <f>ROUND(J168*(1+'Interest rate projection'!AJ170/Var_freq)+IF(K$5="Mortgage Starts",0,Deposit_mon_alt),2)</f>
        <v>20316.86</v>
      </c>
      <c r="L168" s="16">
        <f>ROUND(K168*(1+'Interest rate projection'!AK170/Var_freq)+IF(L$5="Mortgage Starts",0,Deposit_mon_alt),2)</f>
        <v>22395.58</v>
      </c>
      <c r="M168" s="16">
        <f>ROUND(L168*(1+'Interest rate projection'!AL170/Var_freq)+IF(M$5="Mortgage Starts",0,Deposit_mon_alt),2)</f>
        <v>24491.279999999999</v>
      </c>
      <c r="N168" s="57">
        <f>ROUND(M168*(1+'Interest rate projection'!AM170/Var_freq)+IF(N$5="Mortgage Starts",0,Deposit_mon_alt),2)</f>
        <v>24595.93</v>
      </c>
      <c r="P168" s="38">
        <f>'Interest rate projection'!N170</f>
        <v>5.2499999999999991E-2</v>
      </c>
      <c r="Q168" s="38">
        <f>'Interest rate projection'!AN170</f>
        <v>5.1277533193896829E-2</v>
      </c>
      <c r="R168" s="59" t="str">
        <f t="shared" si="28"/>
        <v>OK</v>
      </c>
      <c r="S168" s="39">
        <f t="shared" si="29"/>
        <v>14.075212462503044</v>
      </c>
      <c r="U168" s="73">
        <f t="shared" si="26"/>
        <v>24595.93</v>
      </c>
      <c r="V168" s="73">
        <f t="shared" si="24"/>
        <v>175404.07</v>
      </c>
      <c r="W168" s="74">
        <f t="shared" si="30"/>
        <v>1038.49</v>
      </c>
      <c r="Y168" s="73">
        <f>'Fixed rate projection Alt'!$T$3-('Variable rate projection Alt'!W168*Product_term_alt*Var_freq)</f>
        <v>-1482</v>
      </c>
    </row>
    <row r="169" spans="1:25" x14ac:dyDescent="0.35">
      <c r="A169" s="5">
        <v>164</v>
      </c>
      <c r="B169" s="57">
        <f t="shared" si="27"/>
        <v>2000</v>
      </c>
      <c r="C169" s="16">
        <f>ROUND(B169*(1+'Interest rate projection'!AB171/Var_freq)+IF(C$5="Mortgage Starts",0,Deposit_mon_alt),2)</f>
        <v>4007.35</v>
      </c>
      <c r="D169" s="16">
        <f>ROUND(C169*(1+'Interest rate projection'!AC171/Var_freq)+IF(D$5="Mortgage Starts",0,Deposit_mon_alt),2)</f>
        <v>6022.08</v>
      </c>
      <c r="E169" s="16">
        <f>ROUND(D169*(1+'Interest rate projection'!AD171/Var_freq)+IF(E$5="Mortgage Starts",0,Deposit_mon_alt),2)</f>
        <v>8043</v>
      </c>
      <c r="F169" s="16">
        <f>ROUND(E169*(1+'Interest rate projection'!AE171/Var_freq)+IF(F$5="Mortgage Starts",0,Deposit_mon_alt),2)</f>
        <v>10072.56</v>
      </c>
      <c r="G169" s="16">
        <f>ROUND(F169*(1+'Interest rate projection'!AF171/Var_freq)+IF(G$5="Mortgage Starts",0,Deposit_mon_alt),2)</f>
        <v>12109.57</v>
      </c>
      <c r="H169" s="16">
        <f>ROUND(G169*(1+'Interest rate projection'!AG171/Var_freq)+IF(H$5="Mortgage Starts",0,Deposit_mon_alt),2)</f>
        <v>14154.07</v>
      </c>
      <c r="I169" s="16">
        <f>ROUND(H169*(1+'Interest rate projection'!AH171/Var_freq)+IF(I$5="Mortgage Starts",0,Deposit_mon_alt),2)</f>
        <v>16206.08</v>
      </c>
      <c r="J169" s="16">
        <f>ROUND(I169*(1+'Interest rate projection'!AI171/Var_freq)+IF(J$5="Mortgage Starts",0,Deposit_mon_alt),2)</f>
        <v>18265.63</v>
      </c>
      <c r="K169" s="16">
        <f>ROUND(J169*(1+'Interest rate projection'!AJ171/Var_freq)+IF(K$5="Mortgage Starts",0,Deposit_mon_alt),2)</f>
        <v>20332.75</v>
      </c>
      <c r="L169" s="16">
        <f>ROUND(K169*(1+'Interest rate projection'!AK171/Var_freq)+IF(L$5="Mortgage Starts",0,Deposit_mon_alt),2)</f>
        <v>22407.47</v>
      </c>
      <c r="M169" s="16">
        <f>ROUND(L169*(1+'Interest rate projection'!AL171/Var_freq)+IF(M$5="Mortgage Starts",0,Deposit_mon_alt),2)</f>
        <v>24489.81</v>
      </c>
      <c r="N169" s="57">
        <f>ROUND(M169*(1+'Interest rate projection'!AM171/Var_freq)+IF(N$5="Mortgage Starts",0,Deposit_mon_alt),2)</f>
        <v>24579.81</v>
      </c>
      <c r="P169" s="38">
        <f>'Interest rate projection'!N171</f>
        <v>4.4999999999999998E-2</v>
      </c>
      <c r="Q169" s="38">
        <f>'Interest rate projection'!AN171</f>
        <v>4.4097712805242217E-2</v>
      </c>
      <c r="R169" s="59" t="str">
        <f t="shared" si="28"/>
        <v>OK</v>
      </c>
      <c r="S169" s="39">
        <f t="shared" si="29"/>
        <v>15.131610255367837</v>
      </c>
      <c r="U169" s="73">
        <f t="shared" si="26"/>
        <v>24579.81</v>
      </c>
      <c r="V169" s="73">
        <f t="shared" si="24"/>
        <v>175420.19</v>
      </c>
      <c r="W169" s="74">
        <f t="shared" si="30"/>
        <v>966.08</v>
      </c>
      <c r="Y169" s="73">
        <f>'Fixed rate projection Alt'!$T$3-('Variable rate projection Alt'!W169*Product_term_alt*Var_freq)</f>
        <v>2862.5999999999913</v>
      </c>
    </row>
    <row r="170" spans="1:25" x14ac:dyDescent="0.35">
      <c r="A170" s="27">
        <v>165</v>
      </c>
      <c r="B170" s="57">
        <f t="shared" si="27"/>
        <v>2000</v>
      </c>
      <c r="C170" s="16">
        <f>ROUND(B170*(1+'Interest rate projection'!AB172/Var_freq)+IF(C$5="Mortgage Starts",0,Deposit_mon_alt),2)</f>
        <v>4007.35</v>
      </c>
      <c r="D170" s="16">
        <f>ROUND(C170*(1+'Interest rate projection'!AC172/Var_freq)+IF(D$5="Mortgage Starts",0,Deposit_mon_alt),2)</f>
        <v>6022.88</v>
      </c>
      <c r="E170" s="16">
        <f>ROUND(D170*(1+'Interest rate projection'!AD172/Var_freq)+IF(E$5="Mortgage Starts",0,Deposit_mon_alt),2)</f>
        <v>8048.62</v>
      </c>
      <c r="F170" s="16">
        <f>ROUND(E170*(1+'Interest rate projection'!AE172/Var_freq)+IF(F$5="Mortgage Starts",0,Deposit_mon_alt),2)</f>
        <v>10083.01</v>
      </c>
      <c r="G170" s="16">
        <f>ROUND(F170*(1+'Interest rate projection'!AF172/Var_freq)+IF(G$5="Mortgage Starts",0,Deposit_mon_alt),2)</f>
        <v>12126.1</v>
      </c>
      <c r="H170" s="16">
        <f>ROUND(G170*(1+'Interest rate projection'!AG172/Var_freq)+IF(H$5="Mortgage Starts",0,Deposit_mon_alt),2)</f>
        <v>14177.92</v>
      </c>
      <c r="I170" s="16">
        <f>ROUND(H170*(1+'Interest rate projection'!AH172/Var_freq)+IF(I$5="Mortgage Starts",0,Deposit_mon_alt),2)</f>
        <v>16238.5</v>
      </c>
      <c r="J170" s="16">
        <f>ROUND(I170*(1+'Interest rate projection'!AI172/Var_freq)+IF(J$5="Mortgage Starts",0,Deposit_mon_alt),2)</f>
        <v>18307.89</v>
      </c>
      <c r="K170" s="16">
        <f>ROUND(J170*(1+'Interest rate projection'!AJ172/Var_freq)+IF(K$5="Mortgage Starts",0,Deposit_mon_alt),2)</f>
        <v>20382.48</v>
      </c>
      <c r="L170" s="16">
        <f>ROUND(K170*(1+'Interest rate projection'!AK172/Var_freq)+IF(L$5="Mortgage Starts",0,Deposit_mon_alt),2)</f>
        <v>22465.52</v>
      </c>
      <c r="M170" s="16">
        <f>ROUND(L170*(1+'Interest rate projection'!AL172/Var_freq)+IF(M$5="Mortgage Starts",0,Deposit_mon_alt),2)</f>
        <v>24557.05</v>
      </c>
      <c r="N170" s="57">
        <f>ROUND(M170*(1+'Interest rate projection'!AM172/Var_freq)+IF(N$5="Mortgage Starts",0,Deposit_mon_alt),2)</f>
        <v>24657.1</v>
      </c>
      <c r="P170" s="38">
        <f>'Interest rate projection'!N172</f>
        <v>4.9999999999999996E-2</v>
      </c>
      <c r="Q170" s="38">
        <f>'Interest rate projection'!AN172</f>
        <v>4.8889485403780242E-2</v>
      </c>
      <c r="R170" s="59" t="str">
        <f t="shared" si="28"/>
        <v>OK</v>
      </c>
      <c r="S170" s="39">
        <f t="shared" si="29"/>
        <v>14.4140856153857</v>
      </c>
      <c r="U170" s="73">
        <f t="shared" si="26"/>
        <v>24657.1</v>
      </c>
      <c r="V170" s="73">
        <f t="shared" si="24"/>
        <v>175342.9</v>
      </c>
      <c r="W170" s="74">
        <f t="shared" si="30"/>
        <v>1013.72</v>
      </c>
      <c r="Y170" s="73">
        <f>'Fixed rate projection Alt'!$T$3-('Variable rate projection Alt'!W170*Product_term_alt*Var_freq)</f>
        <v>4.1999999999898137</v>
      </c>
    </row>
    <row r="171" spans="1:25" x14ac:dyDescent="0.35">
      <c r="A171" s="5">
        <v>166</v>
      </c>
      <c r="B171" s="57">
        <f t="shared" si="27"/>
        <v>2000</v>
      </c>
      <c r="C171" s="16">
        <f>ROUND(B171*(1+'Interest rate projection'!AB173/Var_freq)+IF(C$5="Mortgage Starts",0,Deposit_mon_alt),2)</f>
        <v>4007.35</v>
      </c>
      <c r="D171" s="16">
        <f>ROUND(C171*(1+'Interest rate projection'!AC173/Var_freq)+IF(D$5="Mortgage Starts",0,Deposit_mon_alt),2)</f>
        <v>6022.08</v>
      </c>
      <c r="E171" s="16">
        <f>ROUND(D171*(1+'Interest rate projection'!AD173/Var_freq)+IF(E$5="Mortgage Starts",0,Deposit_mon_alt),2)</f>
        <v>8045.41</v>
      </c>
      <c r="F171" s="16">
        <f>ROUND(E171*(1+'Interest rate projection'!AE173/Var_freq)+IF(F$5="Mortgage Starts",0,Deposit_mon_alt),2)</f>
        <v>10074.98</v>
      </c>
      <c r="G171" s="16">
        <f>ROUND(F171*(1+'Interest rate projection'!AF173/Var_freq)+IF(G$5="Mortgage Starts",0,Deposit_mon_alt),2)</f>
        <v>12112</v>
      </c>
      <c r="H171" s="16">
        <f>ROUND(G171*(1+'Interest rate projection'!AG173/Var_freq)+IF(H$5="Mortgage Starts",0,Deposit_mon_alt),2)</f>
        <v>14156.51</v>
      </c>
      <c r="I171" s="16">
        <f>ROUND(H171*(1+'Interest rate projection'!AH173/Var_freq)+IF(I$5="Mortgage Starts",0,Deposit_mon_alt),2)</f>
        <v>16208.53</v>
      </c>
      <c r="J171" s="16">
        <f>ROUND(I171*(1+'Interest rate projection'!AI173/Var_freq)+IF(J$5="Mortgage Starts",0,Deposit_mon_alt),2)</f>
        <v>18268.09</v>
      </c>
      <c r="K171" s="16">
        <f>ROUND(J171*(1+'Interest rate projection'!AJ173/Var_freq)+IF(K$5="Mortgage Starts",0,Deposit_mon_alt),2)</f>
        <v>20338.87</v>
      </c>
      <c r="L171" s="16">
        <f>ROUND(K171*(1+'Interest rate projection'!AK173/Var_freq)+IF(L$5="Mortgage Starts",0,Deposit_mon_alt),2)</f>
        <v>22417.68</v>
      </c>
      <c r="M171" s="16">
        <f>ROUND(L171*(1+'Interest rate projection'!AL173/Var_freq)+IF(M$5="Mortgage Starts",0,Deposit_mon_alt),2)</f>
        <v>24504.54</v>
      </c>
      <c r="N171" s="57">
        <f>ROUND(M171*(1+'Interest rate projection'!AM173/Var_freq)+IF(N$5="Mortgage Starts",0,Deposit_mon_alt),2)</f>
        <v>24599.49</v>
      </c>
      <c r="P171" s="38">
        <f>'Interest rate projection'!N173</f>
        <v>4.7500000000000001E-2</v>
      </c>
      <c r="Q171" s="38">
        <f>'Interest rate projection'!AN173</f>
        <v>4.6496219905550085E-2</v>
      </c>
      <c r="R171" s="59" t="str">
        <f t="shared" si="28"/>
        <v>OK</v>
      </c>
      <c r="S171" s="39">
        <f t="shared" si="29"/>
        <v>14.766012404082064</v>
      </c>
      <c r="U171" s="73">
        <f t="shared" si="26"/>
        <v>24599.49</v>
      </c>
      <c r="V171" s="73">
        <f t="shared" si="24"/>
        <v>175400.51</v>
      </c>
      <c r="W171" s="74">
        <f t="shared" si="30"/>
        <v>989.89</v>
      </c>
      <c r="Y171" s="73">
        <f>'Fixed rate projection Alt'!$T$3-('Variable rate projection Alt'!W171*Product_term_alt*Var_freq)</f>
        <v>1434</v>
      </c>
    </row>
    <row r="172" spans="1:25" x14ac:dyDescent="0.35">
      <c r="A172" s="27">
        <v>167</v>
      </c>
      <c r="B172" s="57">
        <f t="shared" si="27"/>
        <v>2000</v>
      </c>
      <c r="C172" s="16">
        <f>ROUND(B172*(1+'Interest rate projection'!AB174/Var_freq)+IF(C$5="Mortgage Starts",0,Deposit_mon_alt),2)</f>
        <v>4007.35</v>
      </c>
      <c r="D172" s="16">
        <f>ROUND(C172*(1+'Interest rate projection'!AC174/Var_freq)+IF(D$5="Mortgage Starts",0,Deposit_mon_alt),2)</f>
        <v>6022.08</v>
      </c>
      <c r="E172" s="16">
        <f>ROUND(D172*(1+'Interest rate projection'!AD174/Var_freq)+IF(E$5="Mortgage Starts",0,Deposit_mon_alt),2)</f>
        <v>8044.21</v>
      </c>
      <c r="F172" s="16">
        <f>ROUND(E172*(1+'Interest rate projection'!AE174/Var_freq)+IF(F$5="Mortgage Starts",0,Deposit_mon_alt),2)</f>
        <v>10073.77</v>
      </c>
      <c r="G172" s="16">
        <f>ROUND(F172*(1+'Interest rate projection'!AF174/Var_freq)+IF(G$5="Mortgage Starts",0,Deposit_mon_alt),2)</f>
        <v>12110.79</v>
      </c>
      <c r="H172" s="16">
        <f>ROUND(G172*(1+'Interest rate projection'!AG174/Var_freq)+IF(H$5="Mortgage Starts",0,Deposit_mon_alt),2)</f>
        <v>14155.29</v>
      </c>
      <c r="I172" s="16">
        <f>ROUND(H172*(1+'Interest rate projection'!AH174/Var_freq)+IF(I$5="Mortgage Starts",0,Deposit_mon_alt),2)</f>
        <v>16204.47</v>
      </c>
      <c r="J172" s="16">
        <f>ROUND(I172*(1+'Interest rate projection'!AI174/Var_freq)+IF(J$5="Mortgage Starts",0,Deposit_mon_alt),2)</f>
        <v>18260.77</v>
      </c>
      <c r="K172" s="16">
        <f>ROUND(J172*(1+'Interest rate projection'!AJ174/Var_freq)+IF(K$5="Mortgage Starts",0,Deposit_mon_alt),2)</f>
        <v>20324.22</v>
      </c>
      <c r="L172" s="16">
        <f>ROUND(K172*(1+'Interest rate projection'!AK174/Var_freq)+IF(L$5="Mortgage Starts",0,Deposit_mon_alt),2)</f>
        <v>22394.84</v>
      </c>
      <c r="M172" s="16">
        <f>ROUND(L172*(1+'Interest rate projection'!AL174/Var_freq)+IF(M$5="Mortgage Starts",0,Deposit_mon_alt),2)</f>
        <v>24472.65</v>
      </c>
      <c r="N172" s="57">
        <f>ROUND(M172*(1+'Interest rate projection'!AM174/Var_freq)+IF(N$5="Mortgage Starts",0,Deposit_mon_alt),2)</f>
        <v>24557.68</v>
      </c>
      <c r="P172" s="38">
        <f>'Interest rate projection'!N174</f>
        <v>4.2499999999999996E-2</v>
      </c>
      <c r="Q172" s="38">
        <f>'Interest rate projection'!AN174</f>
        <v>4.1693940041970023E-2</v>
      </c>
      <c r="R172" s="59" t="str">
        <f t="shared" si="28"/>
        <v>OK</v>
      </c>
      <c r="S172" s="39">
        <f t="shared" si="29"/>
        <v>15.511529757864551</v>
      </c>
      <c r="U172" s="73">
        <f t="shared" si="26"/>
        <v>24557.68</v>
      </c>
      <c r="V172" s="73">
        <f t="shared" si="24"/>
        <v>175442.32</v>
      </c>
      <c r="W172" s="74">
        <f t="shared" si="30"/>
        <v>942.54</v>
      </c>
      <c r="Y172" s="73">
        <f>'Fixed rate projection Alt'!$T$3-('Variable rate projection Alt'!W172*Product_term_alt*Var_freq)</f>
        <v>4275</v>
      </c>
    </row>
    <row r="173" spans="1:25" x14ac:dyDescent="0.35">
      <c r="A173" s="5">
        <v>168</v>
      </c>
      <c r="B173" s="57">
        <f t="shared" si="27"/>
        <v>2000</v>
      </c>
      <c r="C173" s="16">
        <f>ROUND(B173*(1+'Interest rate projection'!AB175/Var_freq)+IF(C$5="Mortgage Starts",0,Deposit_mon_alt),2)</f>
        <v>4007.35</v>
      </c>
      <c r="D173" s="16">
        <f>ROUND(C173*(1+'Interest rate projection'!AC175/Var_freq)+IF(D$5="Mortgage Starts",0,Deposit_mon_alt),2)</f>
        <v>6022.08</v>
      </c>
      <c r="E173" s="16">
        <f>ROUND(D173*(1+'Interest rate projection'!AD175/Var_freq)+IF(E$5="Mortgage Starts",0,Deposit_mon_alt),2)</f>
        <v>8044.21</v>
      </c>
      <c r="F173" s="16">
        <f>ROUND(E173*(1+'Interest rate projection'!AE175/Var_freq)+IF(F$5="Mortgage Starts",0,Deposit_mon_alt),2)</f>
        <v>10073.77</v>
      </c>
      <c r="G173" s="16">
        <f>ROUND(F173*(1+'Interest rate projection'!AF175/Var_freq)+IF(G$5="Mortgage Starts",0,Deposit_mon_alt),2)</f>
        <v>12112.8</v>
      </c>
      <c r="H173" s="16">
        <f>ROUND(G173*(1+'Interest rate projection'!AG175/Var_freq)+IF(H$5="Mortgage Starts",0,Deposit_mon_alt),2)</f>
        <v>14159.73</v>
      </c>
      <c r="I173" s="16">
        <f>ROUND(H173*(1+'Interest rate projection'!AH175/Var_freq)+IF(I$5="Mortgage Starts",0,Deposit_mon_alt),2)</f>
        <v>16214.59</v>
      </c>
      <c r="J173" s="16">
        <f>ROUND(I173*(1+'Interest rate projection'!AI175/Var_freq)+IF(J$5="Mortgage Starts",0,Deposit_mon_alt),2)</f>
        <v>18277.419999999998</v>
      </c>
      <c r="K173" s="16">
        <f>ROUND(J173*(1+'Interest rate projection'!AJ175/Var_freq)+IF(K$5="Mortgage Starts",0,Deposit_mon_alt),2)</f>
        <v>20348.240000000002</v>
      </c>
      <c r="L173" s="16">
        <f>ROUND(K173*(1+'Interest rate projection'!AK175/Var_freq)+IF(L$5="Mortgage Starts",0,Deposit_mon_alt),2)</f>
        <v>22427.08</v>
      </c>
      <c r="M173" s="16">
        <f>ROUND(L173*(1+'Interest rate projection'!AL175/Var_freq)+IF(M$5="Mortgage Starts",0,Deposit_mon_alt),2)</f>
        <v>24513.98</v>
      </c>
      <c r="N173" s="57">
        <f>ROUND(M173*(1+'Interest rate projection'!AM175/Var_freq)+IF(N$5="Mortgage Starts",0,Deposit_mon_alt),2)</f>
        <v>24608.959999999999</v>
      </c>
      <c r="P173" s="38">
        <f>'Interest rate projection'!N175</f>
        <v>4.7500000000000001E-2</v>
      </c>
      <c r="Q173" s="38">
        <f>'Interest rate projection'!AN175</f>
        <v>4.6496219905550085E-2</v>
      </c>
      <c r="R173" s="59" t="str">
        <f t="shared" si="28"/>
        <v>OK</v>
      </c>
      <c r="S173" s="39">
        <f t="shared" si="29"/>
        <v>14.766012404082064</v>
      </c>
      <c r="U173" s="73">
        <f t="shared" si="26"/>
        <v>24608.959999999999</v>
      </c>
      <c r="V173" s="73">
        <f t="shared" si="24"/>
        <v>175391.04</v>
      </c>
      <c r="W173" s="74">
        <f t="shared" si="30"/>
        <v>989.84</v>
      </c>
      <c r="Y173" s="73">
        <f>'Fixed rate projection Alt'!$T$3-('Variable rate projection Alt'!W173*Product_term_alt*Var_freq)</f>
        <v>1437</v>
      </c>
    </row>
    <row r="174" spans="1:25" x14ac:dyDescent="0.35">
      <c r="A174" s="27">
        <v>169</v>
      </c>
      <c r="B174" s="57">
        <f t="shared" si="27"/>
        <v>2000</v>
      </c>
      <c r="C174" s="16">
        <f>ROUND(B174*(1+'Interest rate projection'!AB176/Var_freq)+IF(C$5="Mortgage Starts",0,Deposit_mon_alt),2)</f>
        <v>4007.35</v>
      </c>
      <c r="D174" s="16">
        <f>ROUND(C174*(1+'Interest rate projection'!AC176/Var_freq)+IF(D$5="Mortgage Starts",0,Deposit_mon_alt),2)</f>
        <v>6022.08</v>
      </c>
      <c r="E174" s="16">
        <f>ROUND(D174*(1+'Interest rate projection'!AD176/Var_freq)+IF(E$5="Mortgage Starts",0,Deposit_mon_alt),2)</f>
        <v>8044.21</v>
      </c>
      <c r="F174" s="16">
        <f>ROUND(E174*(1+'Interest rate projection'!AE176/Var_freq)+IF(F$5="Mortgage Starts",0,Deposit_mon_alt),2)</f>
        <v>10073.77</v>
      </c>
      <c r="G174" s="16">
        <f>ROUND(F174*(1+'Interest rate projection'!AF176/Var_freq)+IF(G$5="Mortgage Starts",0,Deposit_mon_alt),2)</f>
        <v>12110.79</v>
      </c>
      <c r="H174" s="16">
        <f>ROUND(G174*(1+'Interest rate projection'!AG176/Var_freq)+IF(H$5="Mortgage Starts",0,Deposit_mon_alt),2)</f>
        <v>14155.29</v>
      </c>
      <c r="I174" s="16">
        <f>ROUND(H174*(1+'Interest rate projection'!AH176/Var_freq)+IF(I$5="Mortgage Starts",0,Deposit_mon_alt),2)</f>
        <v>16207.31</v>
      </c>
      <c r="J174" s="16">
        <f>ROUND(I174*(1+'Interest rate projection'!AI176/Var_freq)+IF(J$5="Mortgage Starts",0,Deposit_mon_alt),2)</f>
        <v>18266.87</v>
      </c>
      <c r="K174" s="16">
        <f>ROUND(J174*(1+'Interest rate projection'!AJ176/Var_freq)+IF(K$5="Mortgage Starts",0,Deposit_mon_alt),2)</f>
        <v>20334</v>
      </c>
      <c r="L174" s="16">
        <f>ROUND(K174*(1+'Interest rate projection'!AK176/Var_freq)+IF(L$5="Mortgage Starts",0,Deposit_mon_alt),2)</f>
        <v>22408.720000000001</v>
      </c>
      <c r="M174" s="16">
        <f>ROUND(L174*(1+'Interest rate projection'!AL176/Var_freq)+IF(M$5="Mortgage Starts",0,Deposit_mon_alt),2)</f>
        <v>24491.07</v>
      </c>
      <c r="N174" s="57">
        <f>ROUND(M174*(1+'Interest rate projection'!AM176/Var_freq)+IF(N$5="Mortgage Starts",0,Deposit_mon_alt),2)</f>
        <v>24581.07</v>
      </c>
      <c r="P174" s="38">
        <f>'Interest rate projection'!N176</f>
        <v>4.4999999999999998E-2</v>
      </c>
      <c r="Q174" s="38">
        <f>'Interest rate projection'!AN176</f>
        <v>4.4097712805242217E-2</v>
      </c>
      <c r="R174" s="59" t="str">
        <f t="shared" si="28"/>
        <v>OK</v>
      </c>
      <c r="S174" s="39">
        <f t="shared" si="29"/>
        <v>15.131610255367837</v>
      </c>
      <c r="U174" s="73">
        <f t="shared" si="26"/>
        <v>24581.07</v>
      </c>
      <c r="V174" s="73">
        <f t="shared" si="24"/>
        <v>175418.93</v>
      </c>
      <c r="W174" s="74">
        <f t="shared" si="30"/>
        <v>966.07</v>
      </c>
      <c r="Y174" s="73">
        <f>'Fixed rate projection Alt'!$T$3-('Variable rate projection Alt'!W174*Product_term_alt*Var_freq)</f>
        <v>2863.1999999999898</v>
      </c>
    </row>
    <row r="175" spans="1:25" x14ac:dyDescent="0.35">
      <c r="A175" s="5">
        <v>170</v>
      </c>
      <c r="B175" s="57">
        <f t="shared" si="27"/>
        <v>2000</v>
      </c>
      <c r="C175" s="16">
        <f>ROUND(B175*(1+'Interest rate projection'!AB177/Var_freq)+IF(C$5="Mortgage Starts",0,Deposit_mon_alt),2)</f>
        <v>4007.35</v>
      </c>
      <c r="D175" s="16">
        <f>ROUND(C175*(1+'Interest rate projection'!AC177/Var_freq)+IF(D$5="Mortgage Starts",0,Deposit_mon_alt),2)</f>
        <v>6022.08</v>
      </c>
      <c r="E175" s="16">
        <f>ROUND(D175*(1+'Interest rate projection'!AD177/Var_freq)+IF(E$5="Mortgage Starts",0,Deposit_mon_alt),2)</f>
        <v>8044.21</v>
      </c>
      <c r="F175" s="16">
        <f>ROUND(E175*(1+'Interest rate projection'!AE177/Var_freq)+IF(F$5="Mortgage Starts",0,Deposit_mon_alt),2)</f>
        <v>10073.77</v>
      </c>
      <c r="G175" s="16">
        <f>ROUND(F175*(1+'Interest rate projection'!AF177/Var_freq)+IF(G$5="Mortgage Starts",0,Deposit_mon_alt),2)</f>
        <v>12110.79</v>
      </c>
      <c r="H175" s="16">
        <f>ROUND(G175*(1+'Interest rate projection'!AG177/Var_freq)+IF(H$5="Mortgage Starts",0,Deposit_mon_alt),2)</f>
        <v>14155.29</v>
      </c>
      <c r="I175" s="16">
        <f>ROUND(H175*(1+'Interest rate projection'!AH177/Var_freq)+IF(I$5="Mortgage Starts",0,Deposit_mon_alt),2)</f>
        <v>16207.31</v>
      </c>
      <c r="J175" s="16">
        <f>ROUND(I175*(1+'Interest rate projection'!AI177/Var_freq)+IF(J$5="Mortgage Starts",0,Deposit_mon_alt),2)</f>
        <v>18266.87</v>
      </c>
      <c r="K175" s="16">
        <f>ROUND(J175*(1+'Interest rate projection'!AJ177/Var_freq)+IF(K$5="Mortgage Starts",0,Deposit_mon_alt),2)</f>
        <v>20334</v>
      </c>
      <c r="L175" s="16">
        <f>ROUND(K175*(1+'Interest rate projection'!AK177/Var_freq)+IF(L$5="Mortgage Starts",0,Deposit_mon_alt),2)</f>
        <v>22408.720000000001</v>
      </c>
      <c r="M175" s="16">
        <f>ROUND(L175*(1+'Interest rate projection'!AL177/Var_freq)+IF(M$5="Mortgage Starts",0,Deposit_mon_alt),2)</f>
        <v>24486.58</v>
      </c>
      <c r="N175" s="57">
        <f>ROUND(M175*(1+'Interest rate projection'!AM177/Var_freq)+IF(N$5="Mortgage Starts",0,Deposit_mon_alt),2)</f>
        <v>24571.66</v>
      </c>
      <c r="P175" s="38">
        <f>'Interest rate projection'!N177</f>
        <v>4.2499999999999996E-2</v>
      </c>
      <c r="Q175" s="38">
        <f>'Interest rate projection'!AN177</f>
        <v>4.1693940041970023E-2</v>
      </c>
      <c r="R175" s="59" t="str">
        <f t="shared" si="28"/>
        <v>OK</v>
      </c>
      <c r="S175" s="39">
        <f t="shared" si="29"/>
        <v>15.511529757864551</v>
      </c>
      <c r="U175" s="73">
        <f t="shared" si="26"/>
        <v>24571.66</v>
      </c>
      <c r="V175" s="73">
        <f t="shared" si="24"/>
        <v>175428.34</v>
      </c>
      <c r="W175" s="74">
        <f t="shared" si="30"/>
        <v>942.46</v>
      </c>
      <c r="Y175" s="73">
        <f>'Fixed rate projection Alt'!$T$3-('Variable rate projection Alt'!W175*Product_term_alt*Var_freq)</f>
        <v>4279.7999999999884</v>
      </c>
    </row>
    <row r="176" spans="1:25" x14ac:dyDescent="0.35">
      <c r="A176" s="27">
        <v>171</v>
      </c>
      <c r="B176" s="57">
        <f t="shared" si="27"/>
        <v>2000</v>
      </c>
      <c r="C176" s="16">
        <f>ROUND(B176*(1+'Interest rate projection'!AB178/Var_freq)+IF(C$5="Mortgage Starts",0,Deposit_mon_alt),2)</f>
        <v>4007.35</v>
      </c>
      <c r="D176" s="16">
        <f>ROUND(C176*(1+'Interest rate projection'!AC178/Var_freq)+IF(D$5="Mortgage Starts",0,Deposit_mon_alt),2)</f>
        <v>6022.08</v>
      </c>
      <c r="E176" s="16">
        <f>ROUND(D176*(1+'Interest rate projection'!AD178/Var_freq)+IF(E$5="Mortgage Starts",0,Deposit_mon_alt),2)</f>
        <v>8044.21</v>
      </c>
      <c r="F176" s="16">
        <f>ROUND(E176*(1+'Interest rate projection'!AE178/Var_freq)+IF(F$5="Mortgage Starts",0,Deposit_mon_alt),2)</f>
        <v>10073.77</v>
      </c>
      <c r="G176" s="16">
        <f>ROUND(F176*(1+'Interest rate projection'!AF178/Var_freq)+IF(G$5="Mortgage Starts",0,Deposit_mon_alt),2)</f>
        <v>12112.8</v>
      </c>
      <c r="H176" s="16">
        <f>ROUND(G176*(1+'Interest rate projection'!AG178/Var_freq)+IF(H$5="Mortgage Starts",0,Deposit_mon_alt),2)</f>
        <v>14159.73</v>
      </c>
      <c r="I176" s="16">
        <f>ROUND(H176*(1+'Interest rate projection'!AH178/Var_freq)+IF(I$5="Mortgage Starts",0,Deposit_mon_alt),2)</f>
        <v>16214.59</v>
      </c>
      <c r="J176" s="16">
        <f>ROUND(I176*(1+'Interest rate projection'!AI178/Var_freq)+IF(J$5="Mortgage Starts",0,Deposit_mon_alt),2)</f>
        <v>18277.419999999998</v>
      </c>
      <c r="K176" s="16">
        <f>ROUND(J176*(1+'Interest rate projection'!AJ178/Var_freq)+IF(K$5="Mortgage Starts",0,Deposit_mon_alt),2)</f>
        <v>20348.240000000002</v>
      </c>
      <c r="L176" s="16">
        <f>ROUND(K176*(1+'Interest rate projection'!AK178/Var_freq)+IF(L$5="Mortgage Starts",0,Deposit_mon_alt),2)</f>
        <v>22427.08</v>
      </c>
      <c r="M176" s="16">
        <f>ROUND(L176*(1+'Interest rate projection'!AL178/Var_freq)+IF(M$5="Mortgage Starts",0,Deposit_mon_alt),2)</f>
        <v>24518.45</v>
      </c>
      <c r="N176" s="57">
        <f>ROUND(M176*(1+'Interest rate projection'!AM178/Var_freq)+IF(N$5="Mortgage Starts",0,Deposit_mon_alt),2)</f>
        <v>24618.34</v>
      </c>
      <c r="P176" s="38">
        <f>'Interest rate projection'!N178</f>
        <v>0.05</v>
      </c>
      <c r="Q176" s="38">
        <f>'Interest rate projection'!AN178</f>
        <v>4.8889485403780242E-2</v>
      </c>
      <c r="R176" s="59" t="str">
        <f t="shared" si="28"/>
        <v>OK</v>
      </c>
      <c r="S176" s="39">
        <f t="shared" si="29"/>
        <v>14.4140856153857</v>
      </c>
      <c r="U176" s="73">
        <f t="shared" si="26"/>
        <v>24618.34</v>
      </c>
      <c r="V176" s="73">
        <f t="shared" si="24"/>
        <v>175381.66</v>
      </c>
      <c r="W176" s="74">
        <f t="shared" si="30"/>
        <v>1013.95</v>
      </c>
      <c r="Y176" s="73">
        <f>'Fixed rate projection Alt'!$T$3-('Variable rate projection Alt'!W176*Product_term_alt*Var_freq)</f>
        <v>-9.6000000000058208</v>
      </c>
    </row>
    <row r="177" spans="1:25" x14ac:dyDescent="0.35">
      <c r="A177" s="5">
        <v>172</v>
      </c>
      <c r="B177" s="57">
        <f t="shared" si="27"/>
        <v>2000</v>
      </c>
      <c r="C177" s="16">
        <f>ROUND(B177*(1+'Interest rate projection'!AB179/Var_freq)+IF(C$5="Mortgage Starts",0,Deposit_mon_alt),2)</f>
        <v>4007.35</v>
      </c>
      <c r="D177" s="16">
        <f>ROUND(C177*(1+'Interest rate projection'!AC179/Var_freq)+IF(D$5="Mortgage Starts",0,Deposit_mon_alt),2)</f>
        <v>6022.08</v>
      </c>
      <c r="E177" s="16">
        <f>ROUND(D177*(1+'Interest rate projection'!AD179/Var_freq)+IF(E$5="Mortgage Starts",0,Deposit_mon_alt),2)</f>
        <v>8044.21</v>
      </c>
      <c r="F177" s="16">
        <f>ROUND(E177*(1+'Interest rate projection'!AE179/Var_freq)+IF(F$5="Mortgage Starts",0,Deposit_mon_alt),2)</f>
        <v>10073.77</v>
      </c>
      <c r="G177" s="16">
        <f>ROUND(F177*(1+'Interest rate projection'!AF179/Var_freq)+IF(G$5="Mortgage Starts",0,Deposit_mon_alt),2)</f>
        <v>12110.79</v>
      </c>
      <c r="H177" s="16">
        <f>ROUND(G177*(1+'Interest rate projection'!AG179/Var_freq)+IF(H$5="Mortgage Starts",0,Deposit_mon_alt),2)</f>
        <v>14155.29</v>
      </c>
      <c r="I177" s="16">
        <f>ROUND(H177*(1+'Interest rate projection'!AH179/Var_freq)+IF(I$5="Mortgage Starts",0,Deposit_mon_alt),2)</f>
        <v>16207.31</v>
      </c>
      <c r="J177" s="16">
        <f>ROUND(I177*(1+'Interest rate projection'!AI179/Var_freq)+IF(J$5="Mortgage Starts",0,Deposit_mon_alt),2)</f>
        <v>18266.87</v>
      </c>
      <c r="K177" s="16">
        <f>ROUND(J177*(1+'Interest rate projection'!AJ179/Var_freq)+IF(K$5="Mortgage Starts",0,Deposit_mon_alt),2)</f>
        <v>20334</v>
      </c>
      <c r="L177" s="16">
        <f>ROUND(K177*(1+'Interest rate projection'!AK179/Var_freq)+IF(L$5="Mortgage Starts",0,Deposit_mon_alt),2)</f>
        <v>22408.720000000001</v>
      </c>
      <c r="M177" s="16">
        <f>ROUND(L177*(1+'Interest rate projection'!AL179/Var_freq)+IF(M$5="Mortgage Starts",0,Deposit_mon_alt),2)</f>
        <v>24491.07</v>
      </c>
      <c r="N177" s="57">
        <f>ROUND(M177*(1+'Interest rate projection'!AM179/Var_freq)+IF(N$5="Mortgage Starts",0,Deposit_mon_alt),2)</f>
        <v>24581.07</v>
      </c>
      <c r="P177" s="38">
        <f>'Interest rate projection'!N179</f>
        <v>4.4999999999999998E-2</v>
      </c>
      <c r="Q177" s="38">
        <f>'Interest rate projection'!AN179</f>
        <v>4.4097712805242217E-2</v>
      </c>
      <c r="R177" s="59" t="str">
        <f t="shared" si="28"/>
        <v>OK</v>
      </c>
      <c r="S177" s="39">
        <f t="shared" si="29"/>
        <v>15.131610255367837</v>
      </c>
      <c r="U177" s="73">
        <f t="shared" si="26"/>
        <v>24581.07</v>
      </c>
      <c r="V177" s="73">
        <f t="shared" si="24"/>
        <v>175418.93</v>
      </c>
      <c r="W177" s="74">
        <f t="shared" si="30"/>
        <v>966.07</v>
      </c>
      <c r="Y177" s="73">
        <f>'Fixed rate projection Alt'!$T$3-('Variable rate projection Alt'!W177*Product_term_alt*Var_freq)</f>
        <v>2863.1999999999898</v>
      </c>
    </row>
    <row r="178" spans="1:25" x14ac:dyDescent="0.35">
      <c r="A178" s="27">
        <v>173</v>
      </c>
      <c r="B178" s="57">
        <f t="shared" si="27"/>
        <v>2000</v>
      </c>
      <c r="C178" s="16">
        <f>ROUND(B178*(1+'Interest rate projection'!AB180/Var_freq)+IF(C$5="Mortgage Starts",0,Deposit_mon_alt),2)</f>
        <v>4007.35</v>
      </c>
      <c r="D178" s="16">
        <f>ROUND(C178*(1+'Interest rate projection'!AC180/Var_freq)+IF(D$5="Mortgage Starts",0,Deposit_mon_alt),2)</f>
        <v>6022.88</v>
      </c>
      <c r="E178" s="16">
        <f>ROUND(D178*(1+'Interest rate projection'!AD180/Var_freq)+IF(E$5="Mortgage Starts",0,Deposit_mon_alt),2)</f>
        <v>8046.22</v>
      </c>
      <c r="F178" s="16">
        <f>ROUND(E178*(1+'Interest rate projection'!AE180/Var_freq)+IF(F$5="Mortgage Starts",0,Deposit_mon_alt),2)</f>
        <v>10077.4</v>
      </c>
      <c r="G178" s="16">
        <f>ROUND(F178*(1+'Interest rate projection'!AF180/Var_freq)+IF(G$5="Mortgage Starts",0,Deposit_mon_alt),2)</f>
        <v>12116.45</v>
      </c>
      <c r="H178" s="16">
        <f>ROUND(G178*(1+'Interest rate projection'!AG180/Var_freq)+IF(H$5="Mortgage Starts",0,Deposit_mon_alt),2)</f>
        <v>14163.4</v>
      </c>
      <c r="I178" s="16">
        <f>ROUND(H178*(1+'Interest rate projection'!AH180/Var_freq)+IF(I$5="Mortgage Starts",0,Deposit_mon_alt),2)</f>
        <v>16218.28</v>
      </c>
      <c r="J178" s="16">
        <f>ROUND(I178*(1+'Interest rate projection'!AI180/Var_freq)+IF(J$5="Mortgage Starts",0,Deposit_mon_alt),2)</f>
        <v>18281.12</v>
      </c>
      <c r="K178" s="16">
        <f>ROUND(J178*(1+'Interest rate projection'!AJ180/Var_freq)+IF(K$5="Mortgage Starts",0,Deposit_mon_alt),2)</f>
        <v>20351.95</v>
      </c>
      <c r="L178" s="16">
        <f>ROUND(K178*(1+'Interest rate projection'!AK180/Var_freq)+IF(L$5="Mortgage Starts",0,Deposit_mon_alt),2)</f>
        <v>22430.81</v>
      </c>
      <c r="M178" s="16">
        <f>ROUND(L178*(1+'Interest rate projection'!AL180/Var_freq)+IF(M$5="Mortgage Starts",0,Deposit_mon_alt),2)</f>
        <v>24517.72</v>
      </c>
      <c r="N178" s="57">
        <f>ROUND(M178*(1+'Interest rate projection'!AM180/Var_freq)+IF(N$5="Mortgage Starts",0,Deposit_mon_alt),2)</f>
        <v>24612.720000000001</v>
      </c>
      <c r="P178" s="38">
        <f>'Interest rate projection'!N180</f>
        <v>4.7500000000000001E-2</v>
      </c>
      <c r="Q178" s="38">
        <f>'Interest rate projection'!AN180</f>
        <v>4.6496219905550085E-2</v>
      </c>
      <c r="R178" s="59" t="str">
        <f t="shared" si="28"/>
        <v>OK</v>
      </c>
      <c r="S178" s="39">
        <f t="shared" si="29"/>
        <v>14.766012404082064</v>
      </c>
      <c r="U178" s="73">
        <f t="shared" si="26"/>
        <v>24612.720000000001</v>
      </c>
      <c r="V178" s="73">
        <f t="shared" si="24"/>
        <v>175387.28</v>
      </c>
      <c r="W178" s="74">
        <f t="shared" si="30"/>
        <v>989.81</v>
      </c>
      <c r="Y178" s="73">
        <f>'Fixed rate projection Alt'!$T$3-('Variable rate projection Alt'!W178*Product_term_alt*Var_freq)</f>
        <v>1438.8000000000029</v>
      </c>
    </row>
    <row r="179" spans="1:25" x14ac:dyDescent="0.35">
      <c r="A179" s="5">
        <v>174</v>
      </c>
      <c r="B179" s="57">
        <f t="shared" si="27"/>
        <v>2000</v>
      </c>
      <c r="C179" s="16">
        <f>ROUND(B179*(1+'Interest rate projection'!AB181/Var_freq)+IF(C$5="Mortgage Starts",0,Deposit_mon_alt),2)</f>
        <v>4007.35</v>
      </c>
      <c r="D179" s="16">
        <f>ROUND(C179*(1+'Interest rate projection'!AC181/Var_freq)+IF(D$5="Mortgage Starts",0,Deposit_mon_alt),2)</f>
        <v>6022.08</v>
      </c>
      <c r="E179" s="16">
        <f>ROUND(D179*(1+'Interest rate projection'!AD181/Var_freq)+IF(E$5="Mortgage Starts",0,Deposit_mon_alt),2)</f>
        <v>8044.21</v>
      </c>
      <c r="F179" s="16">
        <f>ROUND(E179*(1+'Interest rate projection'!AE181/Var_freq)+IF(F$5="Mortgage Starts",0,Deposit_mon_alt),2)</f>
        <v>10073.77</v>
      </c>
      <c r="G179" s="16">
        <f>ROUND(F179*(1+'Interest rate projection'!AF181/Var_freq)+IF(G$5="Mortgage Starts",0,Deposit_mon_alt),2)</f>
        <v>12110.79</v>
      </c>
      <c r="H179" s="16">
        <f>ROUND(G179*(1+'Interest rate projection'!AG181/Var_freq)+IF(H$5="Mortgage Starts",0,Deposit_mon_alt),2)</f>
        <v>14155.29</v>
      </c>
      <c r="I179" s="16">
        <f>ROUND(H179*(1+'Interest rate projection'!AH181/Var_freq)+IF(I$5="Mortgage Starts",0,Deposit_mon_alt),2)</f>
        <v>16207.31</v>
      </c>
      <c r="J179" s="16">
        <f>ROUND(I179*(1+'Interest rate projection'!AI181/Var_freq)+IF(J$5="Mortgage Starts",0,Deposit_mon_alt),2)</f>
        <v>18266.87</v>
      </c>
      <c r="K179" s="16">
        <f>ROUND(J179*(1+'Interest rate projection'!AJ181/Var_freq)+IF(K$5="Mortgage Starts",0,Deposit_mon_alt),2)</f>
        <v>20334</v>
      </c>
      <c r="L179" s="16">
        <f>ROUND(K179*(1+'Interest rate projection'!AK181/Var_freq)+IF(L$5="Mortgage Starts",0,Deposit_mon_alt),2)</f>
        <v>22408.720000000001</v>
      </c>
      <c r="M179" s="16">
        <f>ROUND(L179*(1+'Interest rate projection'!AL181/Var_freq)+IF(M$5="Mortgage Starts",0,Deposit_mon_alt),2)</f>
        <v>24491.07</v>
      </c>
      <c r="N179" s="57">
        <f>ROUND(M179*(1+'Interest rate projection'!AM181/Var_freq)+IF(N$5="Mortgage Starts",0,Deposit_mon_alt),2)</f>
        <v>24585.97</v>
      </c>
      <c r="P179" s="38">
        <f>'Interest rate projection'!N181</f>
        <v>4.7500000000000001E-2</v>
      </c>
      <c r="Q179" s="38">
        <f>'Interest rate projection'!AN181</f>
        <v>4.6496219905550085E-2</v>
      </c>
      <c r="R179" s="59" t="str">
        <f t="shared" si="28"/>
        <v>OK</v>
      </c>
      <c r="S179" s="39">
        <f t="shared" si="29"/>
        <v>14.766012404082064</v>
      </c>
      <c r="U179" s="73">
        <f t="shared" si="26"/>
        <v>24585.97</v>
      </c>
      <c r="V179" s="73">
        <f t="shared" si="24"/>
        <v>175414.03</v>
      </c>
      <c r="W179" s="74">
        <f t="shared" si="30"/>
        <v>989.97</v>
      </c>
      <c r="Y179" s="73">
        <f>'Fixed rate projection Alt'!$T$3-('Variable rate projection Alt'!W179*Product_term_alt*Var_freq)</f>
        <v>1429.1999999999898</v>
      </c>
    </row>
    <row r="180" spans="1:25" x14ac:dyDescent="0.35">
      <c r="A180" s="27">
        <v>175</v>
      </c>
      <c r="B180" s="57">
        <f t="shared" si="27"/>
        <v>2000</v>
      </c>
      <c r="C180" s="16">
        <f>ROUND(B180*(1+'Interest rate projection'!AB182/Var_freq)+IF(C$5="Mortgage Starts",0,Deposit_mon_alt),2)</f>
        <v>4007.35</v>
      </c>
      <c r="D180" s="16">
        <f>ROUND(C180*(1+'Interest rate projection'!AC182/Var_freq)+IF(D$5="Mortgage Starts",0,Deposit_mon_alt),2)</f>
        <v>6022.08</v>
      </c>
      <c r="E180" s="16">
        <f>ROUND(D180*(1+'Interest rate projection'!AD182/Var_freq)+IF(E$5="Mortgage Starts",0,Deposit_mon_alt),2)</f>
        <v>8044.21</v>
      </c>
      <c r="F180" s="16">
        <f>ROUND(E180*(1+'Interest rate projection'!AE182/Var_freq)+IF(F$5="Mortgage Starts",0,Deposit_mon_alt),2)</f>
        <v>10073.77</v>
      </c>
      <c r="G180" s="16">
        <f>ROUND(F180*(1+'Interest rate projection'!AF182/Var_freq)+IF(G$5="Mortgage Starts",0,Deposit_mon_alt),2)</f>
        <v>12110.79</v>
      </c>
      <c r="H180" s="16">
        <f>ROUND(G180*(1+'Interest rate projection'!AG182/Var_freq)+IF(H$5="Mortgage Starts",0,Deposit_mon_alt),2)</f>
        <v>14155.29</v>
      </c>
      <c r="I180" s="16">
        <f>ROUND(H180*(1+'Interest rate projection'!AH182/Var_freq)+IF(I$5="Mortgage Starts",0,Deposit_mon_alt),2)</f>
        <v>16207.31</v>
      </c>
      <c r="J180" s="16">
        <f>ROUND(I180*(1+'Interest rate projection'!AI182/Var_freq)+IF(J$5="Mortgage Starts",0,Deposit_mon_alt),2)</f>
        <v>18266.87</v>
      </c>
      <c r="K180" s="16">
        <f>ROUND(J180*(1+'Interest rate projection'!AJ182/Var_freq)+IF(K$5="Mortgage Starts",0,Deposit_mon_alt),2)</f>
        <v>20334</v>
      </c>
      <c r="L180" s="16">
        <f>ROUND(K180*(1+'Interest rate projection'!AK182/Var_freq)+IF(L$5="Mortgage Starts",0,Deposit_mon_alt),2)</f>
        <v>22408.720000000001</v>
      </c>
      <c r="M180" s="16">
        <f>ROUND(L180*(1+'Interest rate projection'!AL182/Var_freq)+IF(M$5="Mortgage Starts",0,Deposit_mon_alt),2)</f>
        <v>24491.07</v>
      </c>
      <c r="N180" s="57">
        <f>ROUND(M180*(1+'Interest rate projection'!AM182/Var_freq)+IF(N$5="Mortgage Starts",0,Deposit_mon_alt),2)</f>
        <v>24576.16</v>
      </c>
      <c r="P180" s="38">
        <f>'Interest rate projection'!N182</f>
        <v>4.2499999999999996E-2</v>
      </c>
      <c r="Q180" s="38">
        <f>'Interest rate projection'!AN182</f>
        <v>4.1693940041970023E-2</v>
      </c>
      <c r="R180" s="59" t="str">
        <f t="shared" si="28"/>
        <v>OK</v>
      </c>
      <c r="S180" s="39">
        <f t="shared" si="29"/>
        <v>15.511529757864551</v>
      </c>
      <c r="U180" s="73">
        <f t="shared" si="26"/>
        <v>24576.16</v>
      </c>
      <c r="V180" s="73">
        <f t="shared" si="24"/>
        <v>175423.84</v>
      </c>
      <c r="W180" s="74">
        <f t="shared" si="30"/>
        <v>942.44</v>
      </c>
      <c r="Y180" s="73">
        <f>'Fixed rate projection Alt'!$T$3-('Variable rate projection Alt'!W180*Product_term_alt*Var_freq)</f>
        <v>4280.9999999999854</v>
      </c>
    </row>
    <row r="181" spans="1:25" x14ac:dyDescent="0.35">
      <c r="A181" s="5">
        <v>176</v>
      </c>
      <c r="B181" s="57">
        <f t="shared" si="27"/>
        <v>2000</v>
      </c>
      <c r="C181" s="16">
        <f>ROUND(B181*(1+'Interest rate projection'!AB183/Var_freq)+IF(C$5="Mortgage Starts",0,Deposit_mon_alt),2)</f>
        <v>4007.35</v>
      </c>
      <c r="D181" s="16">
        <f>ROUND(C181*(1+'Interest rate projection'!AC183/Var_freq)+IF(D$5="Mortgage Starts",0,Deposit_mon_alt),2)</f>
        <v>6022.88</v>
      </c>
      <c r="E181" s="16">
        <f>ROUND(D181*(1+'Interest rate projection'!AD183/Var_freq)+IF(E$5="Mortgage Starts",0,Deposit_mon_alt),2)</f>
        <v>8046.22</v>
      </c>
      <c r="F181" s="16">
        <f>ROUND(E181*(1+'Interest rate projection'!AE183/Var_freq)+IF(F$5="Mortgage Starts",0,Deposit_mon_alt),2)</f>
        <v>10077.4</v>
      </c>
      <c r="G181" s="16">
        <f>ROUND(F181*(1+'Interest rate projection'!AF183/Var_freq)+IF(G$5="Mortgage Starts",0,Deposit_mon_alt),2)</f>
        <v>12112.41</v>
      </c>
      <c r="H181" s="16">
        <f>ROUND(G181*(1+'Interest rate projection'!AG183/Var_freq)+IF(H$5="Mortgage Starts",0,Deposit_mon_alt),2)</f>
        <v>14154.49</v>
      </c>
      <c r="I181" s="16">
        <f>ROUND(H181*(1+'Interest rate projection'!AH183/Var_freq)+IF(I$5="Mortgage Starts",0,Deposit_mon_alt),2)</f>
        <v>16203.67</v>
      </c>
      <c r="J181" s="16">
        <f>ROUND(I181*(1+'Interest rate projection'!AI183/Var_freq)+IF(J$5="Mortgage Starts",0,Deposit_mon_alt),2)</f>
        <v>18259.97</v>
      </c>
      <c r="K181" s="16">
        <f>ROUND(J181*(1+'Interest rate projection'!AJ183/Var_freq)+IF(K$5="Mortgage Starts",0,Deposit_mon_alt),2)</f>
        <v>20323.41</v>
      </c>
      <c r="L181" s="16">
        <f>ROUND(K181*(1+'Interest rate projection'!AK183/Var_freq)+IF(L$5="Mortgage Starts",0,Deposit_mon_alt),2)</f>
        <v>22389.94</v>
      </c>
      <c r="M181" s="16">
        <f>ROUND(L181*(1+'Interest rate projection'!AL183/Var_freq)+IF(M$5="Mortgage Starts",0,Deposit_mon_alt),2)</f>
        <v>24463.24</v>
      </c>
      <c r="N181" s="57">
        <f>ROUND(M181*(1+'Interest rate projection'!AM183/Var_freq)+IF(N$5="Mortgage Starts",0,Deposit_mon_alt),2)</f>
        <v>24543.33</v>
      </c>
      <c r="P181" s="38">
        <f>'Interest rate projection'!N183</f>
        <v>0.04</v>
      </c>
      <c r="Q181" s="38">
        <f>'Interest rate projection'!AN183</f>
        <v>3.9284877386386974E-2</v>
      </c>
      <c r="R181" s="59" t="str">
        <f t="shared" si="28"/>
        <v>OK</v>
      </c>
      <c r="S181" s="39">
        <f t="shared" si="29"/>
        <v>15.906456614335044</v>
      </c>
      <c r="U181" s="73">
        <f t="shared" si="26"/>
        <v>24543.33</v>
      </c>
      <c r="V181" s="73">
        <f t="shared" si="24"/>
        <v>175456.66999999998</v>
      </c>
      <c r="W181" s="74">
        <f t="shared" si="30"/>
        <v>919.21</v>
      </c>
      <c r="Y181" s="73">
        <f>'Fixed rate projection Alt'!$T$3-('Variable rate projection Alt'!W181*Product_term_alt*Var_freq)</f>
        <v>5674.7999999999884</v>
      </c>
    </row>
    <row r="182" spans="1:25" x14ac:dyDescent="0.35">
      <c r="A182" s="27">
        <v>177</v>
      </c>
      <c r="B182" s="57">
        <f t="shared" si="27"/>
        <v>2000</v>
      </c>
      <c r="C182" s="16">
        <f>ROUND(B182*(1+'Interest rate projection'!AB184/Var_freq)+IF(C$5="Mortgage Starts",0,Deposit_mon_alt),2)</f>
        <v>4007.35</v>
      </c>
      <c r="D182" s="16">
        <f>ROUND(C182*(1+'Interest rate projection'!AC184/Var_freq)+IF(D$5="Mortgage Starts",0,Deposit_mon_alt),2)</f>
        <v>6022.08</v>
      </c>
      <c r="E182" s="16">
        <f>ROUND(D182*(1+'Interest rate projection'!AD184/Var_freq)+IF(E$5="Mortgage Starts",0,Deposit_mon_alt),2)</f>
        <v>8044.21</v>
      </c>
      <c r="F182" s="16">
        <f>ROUND(E182*(1+'Interest rate projection'!AE184/Var_freq)+IF(F$5="Mortgage Starts",0,Deposit_mon_alt),2)</f>
        <v>10073.77</v>
      </c>
      <c r="G182" s="16">
        <f>ROUND(F182*(1+'Interest rate projection'!AF184/Var_freq)+IF(G$5="Mortgage Starts",0,Deposit_mon_alt),2)</f>
        <v>12110.79</v>
      </c>
      <c r="H182" s="16">
        <f>ROUND(G182*(1+'Interest rate projection'!AG184/Var_freq)+IF(H$5="Mortgage Starts",0,Deposit_mon_alt),2)</f>
        <v>14157.72</v>
      </c>
      <c r="I182" s="16">
        <f>ROUND(H182*(1+'Interest rate projection'!AH184/Var_freq)+IF(I$5="Mortgage Starts",0,Deposit_mon_alt),2)</f>
        <v>16212.58</v>
      </c>
      <c r="J182" s="16">
        <f>ROUND(I182*(1+'Interest rate projection'!AI184/Var_freq)+IF(J$5="Mortgage Starts",0,Deposit_mon_alt),2)</f>
        <v>18275.400000000001</v>
      </c>
      <c r="K182" s="16">
        <f>ROUND(J182*(1+'Interest rate projection'!AJ184/Var_freq)+IF(K$5="Mortgage Starts",0,Deposit_mon_alt),2)</f>
        <v>20342.560000000001</v>
      </c>
      <c r="L182" s="16">
        <f>ROUND(K182*(1+'Interest rate projection'!AK184/Var_freq)+IF(L$5="Mortgage Starts",0,Deposit_mon_alt),2)</f>
        <v>22417.32</v>
      </c>
      <c r="M182" s="16">
        <f>ROUND(L182*(1+'Interest rate projection'!AL184/Var_freq)+IF(M$5="Mortgage Starts",0,Deposit_mon_alt),2)</f>
        <v>24499.7</v>
      </c>
      <c r="N182" s="57">
        <f>ROUND(M182*(1+'Interest rate projection'!AM184/Var_freq)+IF(N$5="Mortgage Starts",0,Deposit_mon_alt),2)</f>
        <v>24589.73</v>
      </c>
      <c r="P182" s="38">
        <f>'Interest rate projection'!N184</f>
        <v>4.4999999999999998E-2</v>
      </c>
      <c r="Q182" s="38">
        <f>'Interest rate projection'!AN184</f>
        <v>4.4097712805242217E-2</v>
      </c>
      <c r="R182" s="59" t="str">
        <f t="shared" si="28"/>
        <v>OK</v>
      </c>
      <c r="S182" s="39">
        <f t="shared" si="29"/>
        <v>15.131610255367837</v>
      </c>
      <c r="U182" s="73">
        <f t="shared" si="26"/>
        <v>24589.73</v>
      </c>
      <c r="V182" s="73">
        <f t="shared" si="24"/>
        <v>175410.27</v>
      </c>
      <c r="W182" s="74">
        <f t="shared" si="30"/>
        <v>966.03</v>
      </c>
      <c r="Y182" s="73">
        <f>'Fixed rate projection Alt'!$T$3-('Variable rate projection Alt'!W182*Product_term_alt*Var_freq)</f>
        <v>2865.5999999999985</v>
      </c>
    </row>
    <row r="183" spans="1:25" x14ac:dyDescent="0.35">
      <c r="A183" s="5">
        <v>178</v>
      </c>
      <c r="B183" s="57">
        <f t="shared" si="27"/>
        <v>2000</v>
      </c>
      <c r="C183" s="16">
        <f>ROUND(B183*(1+'Interest rate projection'!AB185/Var_freq)+IF(C$5="Mortgage Starts",0,Deposit_mon_alt),2)</f>
        <v>4007.35</v>
      </c>
      <c r="D183" s="16">
        <f>ROUND(C183*(1+'Interest rate projection'!AC185/Var_freq)+IF(D$5="Mortgage Starts",0,Deposit_mon_alt),2)</f>
        <v>6022.08</v>
      </c>
      <c r="E183" s="16">
        <f>ROUND(D183*(1+'Interest rate projection'!AD185/Var_freq)+IF(E$5="Mortgage Starts",0,Deposit_mon_alt),2)</f>
        <v>8041.79</v>
      </c>
      <c r="F183" s="16">
        <f>ROUND(E183*(1+'Interest rate projection'!AE185/Var_freq)+IF(F$5="Mortgage Starts",0,Deposit_mon_alt),2)</f>
        <v>10068.120000000001</v>
      </c>
      <c r="G183" s="16">
        <f>ROUND(F183*(1+'Interest rate projection'!AF185/Var_freq)+IF(G$5="Mortgage Starts",0,Deposit_mon_alt),2)</f>
        <v>12101.08</v>
      </c>
      <c r="H183" s="16">
        <f>ROUND(G183*(1+'Interest rate projection'!AG185/Var_freq)+IF(H$5="Mortgage Starts",0,Deposit_mon_alt),2)</f>
        <v>14140.7</v>
      </c>
      <c r="I183" s="16">
        <f>ROUND(H183*(1+'Interest rate projection'!AH185/Var_freq)+IF(I$5="Mortgage Starts",0,Deposit_mon_alt),2)</f>
        <v>16181.3</v>
      </c>
      <c r="J183" s="16">
        <f>ROUND(I183*(1+'Interest rate projection'!AI185/Var_freq)+IF(J$5="Mortgage Starts",0,Deposit_mon_alt),2)</f>
        <v>18227.75</v>
      </c>
      <c r="K183" s="16">
        <f>ROUND(J183*(1+'Interest rate projection'!AJ185/Var_freq)+IF(K$5="Mortgage Starts",0,Deposit_mon_alt),2)</f>
        <v>20280.080000000002</v>
      </c>
      <c r="L183" s="16">
        <f>ROUND(K183*(1+'Interest rate projection'!AK185/Var_freq)+IF(L$5="Mortgage Starts",0,Deposit_mon_alt),2)</f>
        <v>22338.3</v>
      </c>
      <c r="M183" s="16">
        <f>ROUND(L183*(1+'Interest rate projection'!AL185/Var_freq)+IF(M$5="Mortgage Starts",0,Deposit_mon_alt),2)</f>
        <v>24402.43</v>
      </c>
      <c r="N183" s="57">
        <f>ROUND(M183*(1+'Interest rate projection'!AM185/Var_freq)+IF(N$5="Mortgage Starts",0,Deposit_mon_alt),2)</f>
        <v>24472.49</v>
      </c>
      <c r="P183" s="38">
        <f>'Interest rate projection'!N185</f>
        <v>3.5000000000000003E-2</v>
      </c>
      <c r="Q183" s="38">
        <f>'Interest rate projection'!AN185</f>
        <v>3.4450784628919706E-2</v>
      </c>
      <c r="R183" s="59" t="str">
        <f t="shared" si="28"/>
        <v>OK</v>
      </c>
      <c r="S183" s="39">
        <f t="shared" si="29"/>
        <v>16.744263358395965</v>
      </c>
      <c r="U183" s="73">
        <f t="shared" si="26"/>
        <v>24472.49</v>
      </c>
      <c r="V183" s="73">
        <f t="shared" si="24"/>
        <v>175527.51</v>
      </c>
      <c r="W183" s="74">
        <f t="shared" si="30"/>
        <v>873.57</v>
      </c>
      <c r="Y183" s="73">
        <f>'Fixed rate projection Alt'!$T$3-('Variable rate projection Alt'!W183*Product_term_alt*Var_freq)</f>
        <v>8413.1999999999898</v>
      </c>
    </row>
    <row r="184" spans="1:25" x14ac:dyDescent="0.35">
      <c r="A184" s="27">
        <v>179</v>
      </c>
      <c r="B184" s="57">
        <f t="shared" si="27"/>
        <v>2000</v>
      </c>
      <c r="C184" s="16">
        <f>ROUND(B184*(1+'Interest rate projection'!AB186/Var_freq)+IF(C$5="Mortgage Starts",0,Deposit_mon_alt),2)</f>
        <v>4007.35</v>
      </c>
      <c r="D184" s="16">
        <f>ROUND(C184*(1+'Interest rate projection'!AC186/Var_freq)+IF(D$5="Mortgage Starts",0,Deposit_mon_alt),2)</f>
        <v>6022.08</v>
      </c>
      <c r="E184" s="16">
        <f>ROUND(D184*(1+'Interest rate projection'!AD186/Var_freq)+IF(E$5="Mortgage Starts",0,Deposit_mon_alt),2)</f>
        <v>8044.21</v>
      </c>
      <c r="F184" s="16">
        <f>ROUND(E184*(1+'Interest rate projection'!AE186/Var_freq)+IF(F$5="Mortgage Starts",0,Deposit_mon_alt),2)</f>
        <v>10073.77</v>
      </c>
      <c r="G184" s="16">
        <f>ROUND(F184*(1+'Interest rate projection'!AF186/Var_freq)+IF(G$5="Mortgage Starts",0,Deposit_mon_alt),2)</f>
        <v>12110.79</v>
      </c>
      <c r="H184" s="16">
        <f>ROUND(G184*(1+'Interest rate projection'!AG186/Var_freq)+IF(H$5="Mortgage Starts",0,Deposit_mon_alt),2)</f>
        <v>14155.29</v>
      </c>
      <c r="I184" s="16">
        <f>ROUND(H184*(1+'Interest rate projection'!AH186/Var_freq)+IF(I$5="Mortgage Starts",0,Deposit_mon_alt),2)</f>
        <v>16207.31</v>
      </c>
      <c r="J184" s="16">
        <f>ROUND(I184*(1+'Interest rate projection'!AI186/Var_freq)+IF(J$5="Mortgage Starts",0,Deposit_mon_alt),2)</f>
        <v>18266.87</v>
      </c>
      <c r="K184" s="16">
        <f>ROUND(J184*(1+'Interest rate projection'!AJ186/Var_freq)+IF(K$5="Mortgage Starts",0,Deposit_mon_alt),2)</f>
        <v>20334</v>
      </c>
      <c r="L184" s="16">
        <f>ROUND(K184*(1+'Interest rate projection'!AK186/Var_freq)+IF(L$5="Mortgage Starts",0,Deposit_mon_alt),2)</f>
        <v>22408.720000000001</v>
      </c>
      <c r="M184" s="16">
        <f>ROUND(L184*(1+'Interest rate projection'!AL186/Var_freq)+IF(M$5="Mortgage Starts",0,Deposit_mon_alt),2)</f>
        <v>24491.07</v>
      </c>
      <c r="N184" s="57">
        <f>ROUND(M184*(1+'Interest rate projection'!AM186/Var_freq)+IF(N$5="Mortgage Starts",0,Deposit_mon_alt),2)</f>
        <v>24581.07</v>
      </c>
      <c r="P184" s="38">
        <f>'Interest rate projection'!N186</f>
        <v>4.4999999999999998E-2</v>
      </c>
      <c r="Q184" s="38">
        <f>'Interest rate projection'!AN186</f>
        <v>4.4097712805242217E-2</v>
      </c>
      <c r="R184" s="59" t="str">
        <f t="shared" si="28"/>
        <v>OK</v>
      </c>
      <c r="S184" s="39">
        <f t="shared" si="29"/>
        <v>15.131610255367837</v>
      </c>
      <c r="U184" s="73">
        <f t="shared" si="26"/>
        <v>24581.07</v>
      </c>
      <c r="V184" s="73">
        <f t="shared" si="24"/>
        <v>175418.93</v>
      </c>
      <c r="W184" s="74">
        <f t="shared" si="30"/>
        <v>966.07</v>
      </c>
      <c r="Y184" s="73">
        <f>'Fixed rate projection Alt'!$T$3-('Variable rate projection Alt'!W184*Product_term_alt*Var_freq)</f>
        <v>2863.1999999999898</v>
      </c>
    </row>
    <row r="185" spans="1:25" x14ac:dyDescent="0.35">
      <c r="A185" s="5">
        <v>180</v>
      </c>
      <c r="B185" s="57">
        <f t="shared" si="27"/>
        <v>2000</v>
      </c>
      <c r="C185" s="16">
        <f>ROUND(B185*(1+'Interest rate projection'!AB187/Var_freq)+IF(C$5="Mortgage Starts",0,Deposit_mon_alt),2)</f>
        <v>4007.35</v>
      </c>
      <c r="D185" s="16">
        <f>ROUND(C185*(1+'Interest rate projection'!AC187/Var_freq)+IF(D$5="Mortgage Starts",0,Deposit_mon_alt),2)</f>
        <v>6022.08</v>
      </c>
      <c r="E185" s="16">
        <f>ROUND(D185*(1+'Interest rate projection'!AD187/Var_freq)+IF(E$5="Mortgage Starts",0,Deposit_mon_alt),2)</f>
        <v>8044.21</v>
      </c>
      <c r="F185" s="16">
        <f>ROUND(E185*(1+'Interest rate projection'!AE187/Var_freq)+IF(F$5="Mortgage Starts",0,Deposit_mon_alt),2)</f>
        <v>10073.77</v>
      </c>
      <c r="G185" s="16">
        <f>ROUND(F185*(1+'Interest rate projection'!AF187/Var_freq)+IF(G$5="Mortgage Starts",0,Deposit_mon_alt),2)</f>
        <v>12110.79</v>
      </c>
      <c r="H185" s="16">
        <f>ROUND(G185*(1+'Interest rate projection'!AG187/Var_freq)+IF(H$5="Mortgage Starts",0,Deposit_mon_alt),2)</f>
        <v>14155.29</v>
      </c>
      <c r="I185" s="16">
        <f>ROUND(H185*(1+'Interest rate projection'!AH187/Var_freq)+IF(I$5="Mortgage Starts",0,Deposit_mon_alt),2)</f>
        <v>16207.31</v>
      </c>
      <c r="J185" s="16">
        <f>ROUND(I185*(1+'Interest rate projection'!AI187/Var_freq)+IF(J$5="Mortgage Starts",0,Deposit_mon_alt),2)</f>
        <v>18266.87</v>
      </c>
      <c r="K185" s="16">
        <f>ROUND(J185*(1+'Interest rate projection'!AJ187/Var_freq)+IF(K$5="Mortgage Starts",0,Deposit_mon_alt),2)</f>
        <v>20334</v>
      </c>
      <c r="L185" s="16">
        <f>ROUND(K185*(1+'Interest rate projection'!AK187/Var_freq)+IF(L$5="Mortgage Starts",0,Deposit_mon_alt),2)</f>
        <v>22412.79</v>
      </c>
      <c r="M185" s="16">
        <f>ROUND(L185*(1+'Interest rate projection'!AL187/Var_freq)+IF(M$5="Mortgage Starts",0,Deposit_mon_alt),2)</f>
        <v>24499.63</v>
      </c>
      <c r="N185" s="57">
        <f>ROUND(M185*(1+'Interest rate projection'!AM187/Var_freq)+IF(N$5="Mortgage Starts",0,Deposit_mon_alt),2)</f>
        <v>24604.32</v>
      </c>
      <c r="P185" s="38">
        <f>'Interest rate projection'!N187</f>
        <v>5.2499999999999998E-2</v>
      </c>
      <c r="Q185" s="38">
        <f>'Interest rate projection'!AN187</f>
        <v>5.1277533193896829E-2</v>
      </c>
      <c r="R185" s="59" t="str">
        <f t="shared" si="28"/>
        <v>OK</v>
      </c>
      <c r="S185" s="39">
        <f t="shared" si="29"/>
        <v>14.075212462503044</v>
      </c>
      <c r="U185" s="73">
        <f t="shared" si="26"/>
        <v>24604.32</v>
      </c>
      <c r="V185" s="73">
        <f t="shared" si="24"/>
        <v>175395.68</v>
      </c>
      <c r="W185" s="74">
        <f t="shared" si="30"/>
        <v>1038.44</v>
      </c>
      <c r="Y185" s="73">
        <f>'Fixed rate projection Alt'!$T$3-('Variable rate projection Alt'!W185*Product_term_alt*Var_freq)</f>
        <v>-1479.0000000000146</v>
      </c>
    </row>
    <row r="186" spans="1:25" x14ac:dyDescent="0.35">
      <c r="A186" s="27">
        <v>181</v>
      </c>
      <c r="B186" s="57">
        <f t="shared" si="27"/>
        <v>2000</v>
      </c>
      <c r="C186" s="16">
        <f>ROUND(B186*(1+'Interest rate projection'!AB188/Var_freq)+IF(C$5="Mortgage Starts",0,Deposit_mon_alt),2)</f>
        <v>4007.35</v>
      </c>
      <c r="D186" s="16">
        <f>ROUND(C186*(1+'Interest rate projection'!AC188/Var_freq)+IF(D$5="Mortgage Starts",0,Deposit_mon_alt),2)</f>
        <v>6022.08</v>
      </c>
      <c r="E186" s="16">
        <f>ROUND(D186*(1+'Interest rate projection'!AD188/Var_freq)+IF(E$5="Mortgage Starts",0,Deposit_mon_alt),2)</f>
        <v>8044.21</v>
      </c>
      <c r="F186" s="16">
        <f>ROUND(E186*(1+'Interest rate projection'!AE188/Var_freq)+IF(F$5="Mortgage Starts",0,Deposit_mon_alt),2)</f>
        <v>10073.77</v>
      </c>
      <c r="G186" s="16">
        <f>ROUND(F186*(1+'Interest rate projection'!AF188/Var_freq)+IF(G$5="Mortgage Starts",0,Deposit_mon_alt),2)</f>
        <v>12110.79</v>
      </c>
      <c r="H186" s="16">
        <f>ROUND(G186*(1+'Interest rate projection'!AG188/Var_freq)+IF(H$5="Mortgage Starts",0,Deposit_mon_alt),2)</f>
        <v>14155.29</v>
      </c>
      <c r="I186" s="16">
        <f>ROUND(H186*(1+'Interest rate projection'!AH188/Var_freq)+IF(I$5="Mortgage Starts",0,Deposit_mon_alt),2)</f>
        <v>16204.47</v>
      </c>
      <c r="J186" s="16">
        <f>ROUND(I186*(1+'Interest rate projection'!AI188/Var_freq)+IF(J$5="Mortgage Starts",0,Deposit_mon_alt),2)</f>
        <v>18260.77</v>
      </c>
      <c r="K186" s="16">
        <f>ROUND(J186*(1+'Interest rate projection'!AJ188/Var_freq)+IF(K$5="Mortgage Starts",0,Deposit_mon_alt),2)</f>
        <v>20324.22</v>
      </c>
      <c r="L186" s="16">
        <f>ROUND(K186*(1+'Interest rate projection'!AK188/Var_freq)+IF(L$5="Mortgage Starts",0,Deposit_mon_alt),2)</f>
        <v>22394.84</v>
      </c>
      <c r="M186" s="16">
        <f>ROUND(L186*(1+'Interest rate projection'!AL188/Var_freq)+IF(M$5="Mortgage Starts",0,Deposit_mon_alt),2)</f>
        <v>24472.65</v>
      </c>
      <c r="N186" s="57">
        <f>ROUND(M186*(1+'Interest rate projection'!AM188/Var_freq)+IF(N$5="Mortgage Starts",0,Deposit_mon_alt),2)</f>
        <v>24557.68</v>
      </c>
      <c r="P186" s="38">
        <f>'Interest rate projection'!N188</f>
        <v>4.2499999999999996E-2</v>
      </c>
      <c r="Q186" s="38">
        <f>'Interest rate projection'!AN188</f>
        <v>4.1693940041970023E-2</v>
      </c>
      <c r="R186" s="59" t="str">
        <f t="shared" si="28"/>
        <v>OK</v>
      </c>
      <c r="S186" s="39">
        <f t="shared" si="29"/>
        <v>15.511529757864551</v>
      </c>
      <c r="U186" s="73">
        <f t="shared" si="26"/>
        <v>24557.68</v>
      </c>
      <c r="V186" s="73">
        <f t="shared" si="24"/>
        <v>175442.32</v>
      </c>
      <c r="W186" s="74">
        <f t="shared" si="30"/>
        <v>942.54</v>
      </c>
      <c r="Y186" s="73">
        <f>'Fixed rate projection Alt'!$T$3-('Variable rate projection Alt'!W186*Product_term_alt*Var_freq)</f>
        <v>4275</v>
      </c>
    </row>
    <row r="187" spans="1:25" x14ac:dyDescent="0.35">
      <c r="A187" s="5">
        <v>182</v>
      </c>
      <c r="B187" s="57">
        <f t="shared" si="27"/>
        <v>2000</v>
      </c>
      <c r="C187" s="16">
        <f>ROUND(B187*(1+'Interest rate projection'!AB189/Var_freq)+IF(C$5="Mortgage Starts",0,Deposit_mon_alt),2)</f>
        <v>4007.35</v>
      </c>
      <c r="D187" s="16">
        <f>ROUND(C187*(1+'Interest rate projection'!AC189/Var_freq)+IF(D$5="Mortgage Starts",0,Deposit_mon_alt),2)</f>
        <v>6020.47</v>
      </c>
      <c r="E187" s="16">
        <f>ROUND(D187*(1+'Interest rate projection'!AD189/Var_freq)+IF(E$5="Mortgage Starts",0,Deposit_mon_alt),2)</f>
        <v>8040.18</v>
      </c>
      <c r="F187" s="16">
        <f>ROUND(E187*(1+'Interest rate projection'!AE189/Var_freq)+IF(F$5="Mortgage Starts",0,Deposit_mon_alt),2)</f>
        <v>10066.5</v>
      </c>
      <c r="G187" s="16">
        <f>ROUND(F187*(1+'Interest rate projection'!AF189/Var_freq)+IF(G$5="Mortgage Starts",0,Deposit_mon_alt),2)</f>
        <v>12099.46</v>
      </c>
      <c r="H187" s="16">
        <f>ROUND(G187*(1+'Interest rate projection'!AG189/Var_freq)+IF(H$5="Mortgage Starts",0,Deposit_mon_alt),2)</f>
        <v>14139.07</v>
      </c>
      <c r="I187" s="16">
        <f>ROUND(H187*(1+'Interest rate projection'!AH189/Var_freq)+IF(I$5="Mortgage Starts",0,Deposit_mon_alt),2)</f>
        <v>16185.36</v>
      </c>
      <c r="J187" s="16">
        <f>ROUND(I187*(1+'Interest rate projection'!AI189/Var_freq)+IF(J$5="Mortgage Starts",0,Deposit_mon_alt),2)</f>
        <v>18241.599999999999</v>
      </c>
      <c r="K187" s="16">
        <f>ROUND(J187*(1+'Interest rate projection'!AJ189/Var_freq)+IF(K$5="Mortgage Starts",0,Deposit_mon_alt),2)</f>
        <v>20304.98</v>
      </c>
      <c r="L187" s="16">
        <f>ROUND(K187*(1+'Interest rate projection'!AK189/Var_freq)+IF(L$5="Mortgage Starts",0,Deposit_mon_alt),2)</f>
        <v>22375.53</v>
      </c>
      <c r="M187" s="16">
        <f>ROUND(L187*(1+'Interest rate projection'!AL189/Var_freq)+IF(M$5="Mortgage Starts",0,Deposit_mon_alt),2)</f>
        <v>24453.27</v>
      </c>
      <c r="N187" s="57">
        <f>ROUND(M187*(1+'Interest rate projection'!AM189/Var_freq)+IF(N$5="Mortgage Starts",0,Deposit_mon_alt),2)</f>
        <v>24528.400000000001</v>
      </c>
      <c r="P187" s="38">
        <f>'Interest rate projection'!N189</f>
        <v>3.7500000000000006E-2</v>
      </c>
      <c r="Q187" s="38">
        <f>'Interest rate projection'!AN189</f>
        <v>3.6870500439066589E-2</v>
      </c>
      <c r="R187" s="59" t="str">
        <f t="shared" si="28"/>
        <v>OK</v>
      </c>
      <c r="S187" s="39">
        <f t="shared" si="29"/>
        <v>16.317113717606386</v>
      </c>
      <c r="U187" s="73">
        <f t="shared" si="26"/>
        <v>24528.400000000001</v>
      </c>
      <c r="V187" s="73">
        <f t="shared" si="24"/>
        <v>175471.6</v>
      </c>
      <c r="W187" s="74">
        <f t="shared" si="30"/>
        <v>896.15</v>
      </c>
      <c r="Y187" s="73">
        <f>'Fixed rate projection Alt'!$T$3-('Variable rate projection Alt'!W187*Product_term_alt*Var_freq)</f>
        <v>7058.3999999999942</v>
      </c>
    </row>
    <row r="188" spans="1:25" x14ac:dyDescent="0.35">
      <c r="A188" s="27">
        <v>183</v>
      </c>
      <c r="B188" s="57">
        <f t="shared" si="27"/>
        <v>2000</v>
      </c>
      <c r="C188" s="16">
        <f>ROUND(B188*(1+'Interest rate projection'!AB190/Var_freq)+IF(C$5="Mortgage Starts",0,Deposit_mon_alt),2)</f>
        <v>4007.35</v>
      </c>
      <c r="D188" s="16">
        <f>ROUND(C188*(1+'Interest rate projection'!AC190/Var_freq)+IF(D$5="Mortgage Starts",0,Deposit_mon_alt),2)</f>
        <v>6022.08</v>
      </c>
      <c r="E188" s="16">
        <f>ROUND(D188*(1+'Interest rate projection'!AD190/Var_freq)+IF(E$5="Mortgage Starts",0,Deposit_mon_alt),2)</f>
        <v>8044.21</v>
      </c>
      <c r="F188" s="16">
        <f>ROUND(E188*(1+'Interest rate projection'!AE190/Var_freq)+IF(F$5="Mortgage Starts",0,Deposit_mon_alt),2)</f>
        <v>10073.77</v>
      </c>
      <c r="G188" s="16">
        <f>ROUND(F188*(1+'Interest rate projection'!AF190/Var_freq)+IF(G$5="Mortgage Starts",0,Deposit_mon_alt),2)</f>
        <v>12110.79</v>
      </c>
      <c r="H188" s="16">
        <f>ROUND(G188*(1+'Interest rate projection'!AG190/Var_freq)+IF(H$5="Mortgage Starts",0,Deposit_mon_alt),2)</f>
        <v>14155.29</v>
      </c>
      <c r="I188" s="16">
        <f>ROUND(H188*(1+'Interest rate projection'!AH190/Var_freq)+IF(I$5="Mortgage Starts",0,Deposit_mon_alt),2)</f>
        <v>16207.31</v>
      </c>
      <c r="J188" s="16">
        <f>ROUND(I188*(1+'Interest rate projection'!AI190/Var_freq)+IF(J$5="Mortgage Starts",0,Deposit_mon_alt),2)</f>
        <v>18266.87</v>
      </c>
      <c r="K188" s="16">
        <f>ROUND(J188*(1+'Interest rate projection'!AJ190/Var_freq)+IF(K$5="Mortgage Starts",0,Deposit_mon_alt),2)</f>
        <v>20334</v>
      </c>
      <c r="L188" s="16">
        <f>ROUND(K188*(1+'Interest rate projection'!AK190/Var_freq)+IF(L$5="Mortgage Starts",0,Deposit_mon_alt),2)</f>
        <v>22408.720000000001</v>
      </c>
      <c r="M188" s="16">
        <f>ROUND(L188*(1+'Interest rate projection'!AL190/Var_freq)+IF(M$5="Mortgage Starts",0,Deposit_mon_alt),2)</f>
        <v>24491.07</v>
      </c>
      <c r="N188" s="57">
        <f>ROUND(M188*(1+'Interest rate projection'!AM190/Var_freq)+IF(N$5="Mortgage Starts",0,Deposit_mon_alt),2)</f>
        <v>24576.16</v>
      </c>
      <c r="P188" s="38">
        <f>'Interest rate projection'!N190</f>
        <v>4.2499999999999996E-2</v>
      </c>
      <c r="Q188" s="38">
        <f>'Interest rate projection'!AN190</f>
        <v>4.1693940041970023E-2</v>
      </c>
      <c r="R188" s="59" t="str">
        <f t="shared" si="28"/>
        <v>OK</v>
      </c>
      <c r="S188" s="39">
        <f t="shared" si="29"/>
        <v>15.511529757864551</v>
      </c>
      <c r="U188" s="73">
        <f t="shared" si="26"/>
        <v>24576.16</v>
      </c>
      <c r="V188" s="73">
        <f t="shared" si="24"/>
        <v>175423.84</v>
      </c>
      <c r="W188" s="74">
        <f t="shared" si="30"/>
        <v>942.44</v>
      </c>
      <c r="Y188" s="73">
        <f>'Fixed rate projection Alt'!$T$3-('Variable rate projection Alt'!W188*Product_term_alt*Var_freq)</f>
        <v>4280.9999999999854</v>
      </c>
    </row>
    <row r="189" spans="1:25" x14ac:dyDescent="0.35">
      <c r="A189" s="5">
        <v>184</v>
      </c>
      <c r="B189" s="57">
        <f t="shared" si="27"/>
        <v>2000</v>
      </c>
      <c r="C189" s="16">
        <f>ROUND(B189*(1+'Interest rate projection'!AB191/Var_freq)+IF(C$5="Mortgage Starts",0,Deposit_mon_alt),2)</f>
        <v>4007.35</v>
      </c>
      <c r="D189" s="16">
        <f>ROUND(C189*(1+'Interest rate projection'!AC191/Var_freq)+IF(D$5="Mortgage Starts",0,Deposit_mon_alt),2)</f>
        <v>6022.08</v>
      </c>
      <c r="E189" s="16">
        <f>ROUND(D189*(1+'Interest rate projection'!AD191/Var_freq)+IF(E$5="Mortgage Starts",0,Deposit_mon_alt),2)</f>
        <v>8044.21</v>
      </c>
      <c r="F189" s="16">
        <f>ROUND(E189*(1+'Interest rate projection'!AE191/Var_freq)+IF(F$5="Mortgage Starts",0,Deposit_mon_alt),2)</f>
        <v>10073.77</v>
      </c>
      <c r="G189" s="16">
        <f>ROUND(F189*(1+'Interest rate projection'!AF191/Var_freq)+IF(G$5="Mortgage Starts",0,Deposit_mon_alt),2)</f>
        <v>12110.79</v>
      </c>
      <c r="H189" s="16">
        <f>ROUND(G189*(1+'Interest rate projection'!AG191/Var_freq)+IF(H$5="Mortgage Starts",0,Deposit_mon_alt),2)</f>
        <v>14155.29</v>
      </c>
      <c r="I189" s="16">
        <f>ROUND(H189*(1+'Interest rate projection'!AH191/Var_freq)+IF(I$5="Mortgage Starts",0,Deposit_mon_alt),2)</f>
        <v>16207.31</v>
      </c>
      <c r="J189" s="16">
        <f>ROUND(I189*(1+'Interest rate projection'!AI191/Var_freq)+IF(J$5="Mortgage Starts",0,Deposit_mon_alt),2)</f>
        <v>18266.87</v>
      </c>
      <c r="K189" s="16">
        <f>ROUND(J189*(1+'Interest rate projection'!AJ191/Var_freq)+IF(K$5="Mortgage Starts",0,Deposit_mon_alt),2)</f>
        <v>20337.650000000001</v>
      </c>
      <c r="L189" s="16">
        <f>ROUND(K189*(1+'Interest rate projection'!AK191/Var_freq)+IF(L$5="Mortgage Starts",0,Deposit_mon_alt),2)</f>
        <v>22416.45</v>
      </c>
      <c r="M189" s="16">
        <f>ROUND(L189*(1+'Interest rate projection'!AL191/Var_freq)+IF(M$5="Mortgage Starts",0,Deposit_mon_alt),2)</f>
        <v>24503.31</v>
      </c>
      <c r="N189" s="57">
        <f>ROUND(M189*(1+'Interest rate projection'!AM191/Var_freq)+IF(N$5="Mortgage Starts",0,Deposit_mon_alt),2)</f>
        <v>24598.25</v>
      </c>
      <c r="P189" s="38">
        <f>'Interest rate projection'!N191</f>
        <v>4.7500000000000001E-2</v>
      </c>
      <c r="Q189" s="38">
        <f>'Interest rate projection'!AN191</f>
        <v>4.6496219905550085E-2</v>
      </c>
      <c r="R189" s="59" t="str">
        <f t="shared" si="28"/>
        <v>OK</v>
      </c>
      <c r="S189" s="39">
        <f t="shared" si="29"/>
        <v>14.766012404082064</v>
      </c>
      <c r="U189" s="73">
        <f t="shared" si="26"/>
        <v>24598.25</v>
      </c>
      <c r="V189" s="73">
        <f t="shared" si="24"/>
        <v>175401.75</v>
      </c>
      <c r="W189" s="74">
        <f t="shared" si="30"/>
        <v>989.9</v>
      </c>
      <c r="Y189" s="73">
        <f>'Fixed rate projection Alt'!$T$3-('Variable rate projection Alt'!W189*Product_term_alt*Var_freq)</f>
        <v>1433.3999999999942</v>
      </c>
    </row>
    <row r="190" spans="1:25" x14ac:dyDescent="0.35">
      <c r="A190" s="27">
        <v>185</v>
      </c>
      <c r="B190" s="57">
        <f t="shared" si="27"/>
        <v>2000</v>
      </c>
      <c r="C190" s="16">
        <f>ROUND(B190*(1+'Interest rate projection'!AB192/Var_freq)+IF(C$5="Mortgage Starts",0,Deposit_mon_alt),2)</f>
        <v>4007.35</v>
      </c>
      <c r="D190" s="16">
        <f>ROUND(C190*(1+'Interest rate projection'!AC192/Var_freq)+IF(D$5="Mortgage Starts",0,Deposit_mon_alt),2)</f>
        <v>6022.08</v>
      </c>
      <c r="E190" s="16">
        <f>ROUND(D190*(1+'Interest rate projection'!AD192/Var_freq)+IF(E$5="Mortgage Starts",0,Deposit_mon_alt),2)</f>
        <v>8044.21</v>
      </c>
      <c r="F190" s="16">
        <f>ROUND(E190*(1+'Interest rate projection'!AE192/Var_freq)+IF(F$5="Mortgage Starts",0,Deposit_mon_alt),2)</f>
        <v>10073.77</v>
      </c>
      <c r="G190" s="16">
        <f>ROUND(F190*(1+'Interest rate projection'!AF192/Var_freq)+IF(G$5="Mortgage Starts",0,Deposit_mon_alt),2)</f>
        <v>12110.79</v>
      </c>
      <c r="H190" s="16">
        <f>ROUND(G190*(1+'Interest rate projection'!AG192/Var_freq)+IF(H$5="Mortgage Starts",0,Deposit_mon_alt),2)</f>
        <v>14155.29</v>
      </c>
      <c r="I190" s="16">
        <f>ROUND(H190*(1+'Interest rate projection'!AH192/Var_freq)+IF(I$5="Mortgage Starts",0,Deposit_mon_alt),2)</f>
        <v>16207.31</v>
      </c>
      <c r="J190" s="16">
        <f>ROUND(I190*(1+'Interest rate projection'!AI192/Var_freq)+IF(J$5="Mortgage Starts",0,Deposit_mon_alt),2)</f>
        <v>18266.87</v>
      </c>
      <c r="K190" s="16">
        <f>ROUND(J190*(1+'Interest rate projection'!AJ192/Var_freq)+IF(K$5="Mortgage Starts",0,Deposit_mon_alt),2)</f>
        <v>20334</v>
      </c>
      <c r="L190" s="16">
        <f>ROUND(K190*(1+'Interest rate projection'!AK192/Var_freq)+IF(L$5="Mortgage Starts",0,Deposit_mon_alt),2)</f>
        <v>22408.720000000001</v>
      </c>
      <c r="M190" s="16">
        <f>ROUND(L190*(1+'Interest rate projection'!AL192/Var_freq)+IF(M$5="Mortgage Starts",0,Deposit_mon_alt),2)</f>
        <v>24486.58</v>
      </c>
      <c r="N190" s="57">
        <f>ROUND(M190*(1+'Interest rate projection'!AM192/Var_freq)+IF(N$5="Mortgage Starts",0,Deposit_mon_alt),2)</f>
        <v>24571.66</v>
      </c>
      <c r="P190" s="38">
        <f>'Interest rate projection'!N192</f>
        <v>4.2499999999999996E-2</v>
      </c>
      <c r="Q190" s="38">
        <f>'Interest rate projection'!AN192</f>
        <v>4.1693940041970023E-2</v>
      </c>
      <c r="R190" s="59" t="str">
        <f t="shared" si="28"/>
        <v>OK</v>
      </c>
      <c r="S190" s="39">
        <f t="shared" si="29"/>
        <v>15.511529757864551</v>
      </c>
      <c r="U190" s="73">
        <f t="shared" si="26"/>
        <v>24571.66</v>
      </c>
      <c r="V190" s="73">
        <f t="shared" si="24"/>
        <v>175428.34</v>
      </c>
      <c r="W190" s="74">
        <f t="shared" si="30"/>
        <v>942.46</v>
      </c>
      <c r="Y190" s="73">
        <f>'Fixed rate projection Alt'!$T$3-('Variable rate projection Alt'!W190*Product_term_alt*Var_freq)</f>
        <v>4279.7999999999884</v>
      </c>
    </row>
    <row r="191" spans="1:25" x14ac:dyDescent="0.35">
      <c r="A191" s="5">
        <v>186</v>
      </c>
      <c r="B191" s="57">
        <f t="shared" si="27"/>
        <v>2000</v>
      </c>
      <c r="C191" s="16">
        <f>ROUND(B191*(1+'Interest rate projection'!AB193/Var_freq)+IF(C$5="Mortgage Starts",0,Deposit_mon_alt),2)</f>
        <v>4007.35</v>
      </c>
      <c r="D191" s="16">
        <f>ROUND(C191*(1+'Interest rate projection'!AC193/Var_freq)+IF(D$5="Mortgage Starts",0,Deposit_mon_alt),2)</f>
        <v>6022.08</v>
      </c>
      <c r="E191" s="16">
        <f>ROUND(D191*(1+'Interest rate projection'!AD193/Var_freq)+IF(E$5="Mortgage Starts",0,Deposit_mon_alt),2)</f>
        <v>8044.21</v>
      </c>
      <c r="F191" s="16">
        <f>ROUND(E191*(1+'Interest rate projection'!AE193/Var_freq)+IF(F$5="Mortgage Starts",0,Deposit_mon_alt),2)</f>
        <v>10076.98</v>
      </c>
      <c r="G191" s="16">
        <f>ROUND(F191*(1+'Interest rate projection'!AF193/Var_freq)+IF(G$5="Mortgage Starts",0,Deposit_mon_alt),2)</f>
        <v>12120.04</v>
      </c>
      <c r="H191" s="16">
        <f>ROUND(G191*(1+'Interest rate projection'!AG193/Var_freq)+IF(H$5="Mortgage Starts",0,Deposit_mon_alt),2)</f>
        <v>14171.83</v>
      </c>
      <c r="I191" s="16">
        <f>ROUND(H191*(1+'Interest rate projection'!AH193/Var_freq)+IF(I$5="Mortgage Starts",0,Deposit_mon_alt),2)</f>
        <v>16232.39</v>
      </c>
      <c r="J191" s="16">
        <f>ROUND(I191*(1+'Interest rate projection'!AI193/Var_freq)+IF(J$5="Mortgage Starts",0,Deposit_mon_alt),2)</f>
        <v>18308.189999999999</v>
      </c>
      <c r="K191" s="16">
        <f>ROUND(J191*(1+'Interest rate projection'!AJ193/Var_freq)+IF(K$5="Mortgage Starts",0,Deposit_mon_alt),2)</f>
        <v>20393.689999999999</v>
      </c>
      <c r="L191" s="16">
        <f>ROUND(K191*(1+'Interest rate projection'!AK193/Var_freq)+IF(L$5="Mortgage Starts",0,Deposit_mon_alt),2)</f>
        <v>22488.93</v>
      </c>
      <c r="M191" s="16">
        <f>ROUND(L191*(1+'Interest rate projection'!AL193/Var_freq)+IF(M$5="Mortgage Starts",0,Deposit_mon_alt),2)</f>
        <v>24593.95</v>
      </c>
      <c r="N191" s="57">
        <f>ROUND(M191*(1+'Interest rate projection'!AM193/Var_freq)+IF(N$5="Mortgage Starts",0,Deposit_mon_alt),2)</f>
        <v>24708.799999999999</v>
      </c>
      <c r="P191" s="38">
        <f>'Interest rate projection'!N193</f>
        <v>5.7499999999999996E-2</v>
      </c>
      <c r="Q191" s="38">
        <f>'Interest rate projection'!AN193</f>
        <v>5.603807040042863E-2</v>
      </c>
      <c r="R191" s="59" t="str">
        <f t="shared" si="28"/>
        <v>OK</v>
      </c>
      <c r="S191" s="39">
        <f t="shared" si="29"/>
        <v>13.434312256020331</v>
      </c>
      <c r="U191" s="73">
        <f t="shared" si="26"/>
        <v>24708.799999999999</v>
      </c>
      <c r="V191" s="73">
        <f t="shared" si="24"/>
        <v>175291.2</v>
      </c>
      <c r="W191" s="74">
        <f t="shared" si="30"/>
        <v>1087.3399999999999</v>
      </c>
      <c r="Y191" s="73">
        <f>'Fixed rate projection Alt'!$T$3-('Variable rate projection Alt'!W191*Product_term_alt*Var_freq)</f>
        <v>-4413</v>
      </c>
    </row>
    <row r="192" spans="1:25" x14ac:dyDescent="0.35">
      <c r="A192" s="27">
        <v>187</v>
      </c>
      <c r="B192" s="57">
        <f t="shared" si="27"/>
        <v>2000</v>
      </c>
      <c r="C192" s="16">
        <f>ROUND(B192*(1+'Interest rate projection'!AB194/Var_freq)+IF(C$5="Mortgage Starts",0,Deposit_mon_alt),2)</f>
        <v>4007.35</v>
      </c>
      <c r="D192" s="16">
        <f>ROUND(C192*(1+'Interest rate projection'!AC194/Var_freq)+IF(D$5="Mortgage Starts",0,Deposit_mon_alt),2)</f>
        <v>6021.27</v>
      </c>
      <c r="E192" s="16">
        <f>ROUND(D192*(1+'Interest rate projection'!AD194/Var_freq)+IF(E$5="Mortgage Starts",0,Deposit_mon_alt),2)</f>
        <v>8042.19</v>
      </c>
      <c r="F192" s="16">
        <f>ROUND(E192*(1+'Interest rate projection'!AE194/Var_freq)+IF(F$5="Mortgage Starts",0,Deposit_mon_alt),2)</f>
        <v>10070.129999999999</v>
      </c>
      <c r="G192" s="16">
        <f>ROUND(F192*(1+'Interest rate projection'!AF194/Var_freq)+IF(G$5="Mortgage Starts",0,Deposit_mon_alt),2)</f>
        <v>12105.12</v>
      </c>
      <c r="H192" s="16">
        <f>ROUND(G192*(1+'Interest rate projection'!AG194/Var_freq)+IF(H$5="Mortgage Starts",0,Deposit_mon_alt),2)</f>
        <v>14147.18</v>
      </c>
      <c r="I192" s="16">
        <f>ROUND(H192*(1+'Interest rate projection'!AH194/Var_freq)+IF(I$5="Mortgage Starts",0,Deposit_mon_alt),2)</f>
        <v>16193.49</v>
      </c>
      <c r="J192" s="16">
        <f>ROUND(I192*(1+'Interest rate projection'!AI194/Var_freq)+IF(J$5="Mortgage Starts",0,Deposit_mon_alt),2)</f>
        <v>18243.25</v>
      </c>
      <c r="K192" s="16">
        <f>ROUND(J192*(1+'Interest rate projection'!AJ194/Var_freq)+IF(K$5="Mortgage Starts",0,Deposit_mon_alt),2)</f>
        <v>20299.3</v>
      </c>
      <c r="L192" s="16">
        <f>ROUND(K192*(1+'Interest rate projection'!AK194/Var_freq)+IF(L$5="Mortgage Starts",0,Deposit_mon_alt),2)</f>
        <v>22361.67</v>
      </c>
      <c r="M192" s="16">
        <f>ROUND(L192*(1+'Interest rate projection'!AL194/Var_freq)+IF(M$5="Mortgage Starts",0,Deposit_mon_alt),2)</f>
        <v>24430.38</v>
      </c>
      <c r="N192" s="57">
        <f>ROUND(M192*(1+'Interest rate projection'!AM194/Var_freq)+IF(N$5="Mortgage Starts",0,Deposit_mon_alt),2)</f>
        <v>24505.439999999999</v>
      </c>
      <c r="P192" s="38">
        <f>'Interest rate projection'!N194</f>
        <v>3.9999999999999994E-2</v>
      </c>
      <c r="Q192" s="38">
        <f>'Interest rate projection'!AN194</f>
        <v>3.9284877386386974E-2</v>
      </c>
      <c r="R192" s="59" t="str">
        <f t="shared" si="28"/>
        <v>OK</v>
      </c>
      <c r="S192" s="39">
        <f t="shared" si="29"/>
        <v>15.906456614335044</v>
      </c>
      <c r="U192" s="73">
        <f t="shared" si="26"/>
        <v>24505.439999999999</v>
      </c>
      <c r="V192" s="73">
        <f t="shared" si="24"/>
        <v>175494.56</v>
      </c>
      <c r="W192" s="74">
        <f t="shared" si="30"/>
        <v>919.41</v>
      </c>
      <c r="Y192" s="73">
        <f>'Fixed rate projection Alt'!$T$3-('Variable rate projection Alt'!W192*Product_term_alt*Var_freq)</f>
        <v>5662.7999999999884</v>
      </c>
    </row>
    <row r="193" spans="1:25" x14ac:dyDescent="0.35">
      <c r="A193" s="5">
        <v>188</v>
      </c>
      <c r="B193" s="57">
        <f t="shared" si="27"/>
        <v>2000</v>
      </c>
      <c r="C193" s="16">
        <f>ROUND(B193*(1+'Interest rate projection'!AB195/Var_freq)+IF(C$5="Mortgage Starts",0,Deposit_mon_alt),2)</f>
        <v>4007.35</v>
      </c>
      <c r="D193" s="16">
        <f>ROUND(C193*(1+'Interest rate projection'!AC195/Var_freq)+IF(D$5="Mortgage Starts",0,Deposit_mon_alt),2)</f>
        <v>6022.08</v>
      </c>
      <c r="E193" s="16">
        <f>ROUND(D193*(1+'Interest rate projection'!AD195/Var_freq)+IF(E$5="Mortgage Starts",0,Deposit_mon_alt),2)</f>
        <v>8044.21</v>
      </c>
      <c r="F193" s="16">
        <f>ROUND(E193*(1+'Interest rate projection'!AE195/Var_freq)+IF(F$5="Mortgage Starts",0,Deposit_mon_alt),2)</f>
        <v>10073.77</v>
      </c>
      <c r="G193" s="16">
        <f>ROUND(F193*(1+'Interest rate projection'!AF195/Var_freq)+IF(G$5="Mortgage Starts",0,Deposit_mon_alt),2)</f>
        <v>12110.79</v>
      </c>
      <c r="H193" s="16">
        <f>ROUND(G193*(1+'Interest rate projection'!AG195/Var_freq)+IF(H$5="Mortgage Starts",0,Deposit_mon_alt),2)</f>
        <v>14155.29</v>
      </c>
      <c r="I193" s="16">
        <f>ROUND(H193*(1+'Interest rate projection'!AH195/Var_freq)+IF(I$5="Mortgage Starts",0,Deposit_mon_alt),2)</f>
        <v>16207.31</v>
      </c>
      <c r="J193" s="16">
        <f>ROUND(I193*(1+'Interest rate projection'!AI195/Var_freq)+IF(J$5="Mortgage Starts",0,Deposit_mon_alt),2)</f>
        <v>18266.87</v>
      </c>
      <c r="K193" s="16">
        <f>ROUND(J193*(1+'Interest rate projection'!AJ195/Var_freq)+IF(K$5="Mortgage Starts",0,Deposit_mon_alt),2)</f>
        <v>20334</v>
      </c>
      <c r="L193" s="16">
        <f>ROUND(K193*(1+'Interest rate projection'!AK195/Var_freq)+IF(L$5="Mortgage Starts",0,Deposit_mon_alt),2)</f>
        <v>22408.720000000001</v>
      </c>
      <c r="M193" s="16">
        <f>ROUND(L193*(1+'Interest rate projection'!AL195/Var_freq)+IF(M$5="Mortgage Starts",0,Deposit_mon_alt),2)</f>
        <v>24491.07</v>
      </c>
      <c r="N193" s="57">
        <f>ROUND(M193*(1+'Interest rate projection'!AM195/Var_freq)+IF(N$5="Mortgage Starts",0,Deposit_mon_alt),2)</f>
        <v>24581.07</v>
      </c>
      <c r="P193" s="38">
        <f>'Interest rate projection'!N195</f>
        <v>4.4999999999999998E-2</v>
      </c>
      <c r="Q193" s="38">
        <f>'Interest rate projection'!AN195</f>
        <v>4.4097712805242217E-2</v>
      </c>
      <c r="R193" s="59" t="str">
        <f t="shared" si="28"/>
        <v>OK</v>
      </c>
      <c r="S193" s="39">
        <f t="shared" si="29"/>
        <v>15.131610255367837</v>
      </c>
      <c r="U193" s="73">
        <f t="shared" si="26"/>
        <v>24581.07</v>
      </c>
      <c r="V193" s="73">
        <f t="shared" si="24"/>
        <v>175418.93</v>
      </c>
      <c r="W193" s="74">
        <f t="shared" si="30"/>
        <v>966.07</v>
      </c>
      <c r="Y193" s="73">
        <f>'Fixed rate projection Alt'!$T$3-('Variable rate projection Alt'!W193*Product_term_alt*Var_freq)</f>
        <v>2863.1999999999898</v>
      </c>
    </row>
    <row r="194" spans="1:25" x14ac:dyDescent="0.35">
      <c r="A194" s="27">
        <v>189</v>
      </c>
      <c r="B194" s="57">
        <f t="shared" si="27"/>
        <v>2000</v>
      </c>
      <c r="C194" s="16">
        <f>ROUND(B194*(1+'Interest rate projection'!AB196/Var_freq)+IF(C$5="Mortgage Starts",0,Deposit_mon_alt),2)</f>
        <v>4007.35</v>
      </c>
      <c r="D194" s="16">
        <f>ROUND(C194*(1+'Interest rate projection'!AC196/Var_freq)+IF(D$5="Mortgage Starts",0,Deposit_mon_alt),2)</f>
        <v>6022.08</v>
      </c>
      <c r="E194" s="16">
        <f>ROUND(D194*(1+'Interest rate projection'!AD196/Var_freq)+IF(E$5="Mortgage Starts",0,Deposit_mon_alt),2)</f>
        <v>8044.21</v>
      </c>
      <c r="F194" s="16">
        <f>ROUND(E194*(1+'Interest rate projection'!AE196/Var_freq)+IF(F$5="Mortgage Starts",0,Deposit_mon_alt),2)</f>
        <v>10075.379999999999</v>
      </c>
      <c r="G194" s="16">
        <f>ROUND(F194*(1+'Interest rate projection'!AF196/Var_freq)+IF(G$5="Mortgage Starts",0,Deposit_mon_alt),2)</f>
        <v>12114.42</v>
      </c>
      <c r="H194" s="16">
        <f>ROUND(G194*(1+'Interest rate projection'!AG196/Var_freq)+IF(H$5="Mortgage Starts",0,Deposit_mon_alt),2)</f>
        <v>14161.36</v>
      </c>
      <c r="I194" s="16">
        <f>ROUND(H194*(1+'Interest rate projection'!AH196/Var_freq)+IF(I$5="Mortgage Starts",0,Deposit_mon_alt),2)</f>
        <v>16216.23</v>
      </c>
      <c r="J194" s="16">
        <f>ROUND(I194*(1+'Interest rate projection'!AI196/Var_freq)+IF(J$5="Mortgage Starts",0,Deposit_mon_alt),2)</f>
        <v>18279.060000000001</v>
      </c>
      <c r="K194" s="16">
        <f>ROUND(J194*(1+'Interest rate projection'!AJ196/Var_freq)+IF(K$5="Mortgage Starts",0,Deposit_mon_alt),2)</f>
        <v>20349.89</v>
      </c>
      <c r="L194" s="16">
        <f>ROUND(K194*(1+'Interest rate projection'!AK196/Var_freq)+IF(L$5="Mortgage Starts",0,Deposit_mon_alt),2)</f>
        <v>22428.74</v>
      </c>
      <c r="M194" s="16">
        <f>ROUND(L194*(1+'Interest rate projection'!AL196/Var_freq)+IF(M$5="Mortgage Starts",0,Deposit_mon_alt),2)</f>
        <v>24515.64</v>
      </c>
      <c r="N194" s="57">
        <f>ROUND(M194*(1+'Interest rate projection'!AM196/Var_freq)+IF(N$5="Mortgage Starts",0,Deposit_mon_alt),2)</f>
        <v>24610.63</v>
      </c>
      <c r="P194" s="38">
        <f>'Interest rate projection'!N196</f>
        <v>4.7500000000000001E-2</v>
      </c>
      <c r="Q194" s="38">
        <f>'Interest rate projection'!AN196</f>
        <v>4.6496219905550085E-2</v>
      </c>
      <c r="R194" s="59" t="str">
        <f t="shared" si="28"/>
        <v>OK</v>
      </c>
      <c r="S194" s="39">
        <f t="shared" si="29"/>
        <v>14.766012404082064</v>
      </c>
      <c r="U194" s="73">
        <f t="shared" si="26"/>
        <v>24610.63</v>
      </c>
      <c r="V194" s="73">
        <f t="shared" si="24"/>
        <v>175389.37</v>
      </c>
      <c r="W194" s="74">
        <f t="shared" si="30"/>
        <v>989.83</v>
      </c>
      <c r="Y194" s="73">
        <f>'Fixed rate projection Alt'!$T$3-('Variable rate projection Alt'!W194*Product_term_alt*Var_freq)</f>
        <v>1437.5999999999913</v>
      </c>
    </row>
    <row r="195" spans="1:25" x14ac:dyDescent="0.35">
      <c r="A195" s="5">
        <v>190</v>
      </c>
      <c r="B195" s="57">
        <f t="shared" si="27"/>
        <v>2000</v>
      </c>
      <c r="C195" s="16">
        <f>ROUND(B195*(1+'Interest rate projection'!AB197/Var_freq)+IF(C$5="Mortgage Starts",0,Deposit_mon_alt),2)</f>
        <v>4007.35</v>
      </c>
      <c r="D195" s="16">
        <f>ROUND(C195*(1+'Interest rate projection'!AC197/Var_freq)+IF(D$5="Mortgage Starts",0,Deposit_mon_alt),2)</f>
        <v>6022.08</v>
      </c>
      <c r="E195" s="16">
        <f>ROUND(D195*(1+'Interest rate projection'!AD197/Var_freq)+IF(E$5="Mortgage Starts",0,Deposit_mon_alt),2)</f>
        <v>8044.21</v>
      </c>
      <c r="F195" s="16">
        <f>ROUND(E195*(1+'Interest rate projection'!AE197/Var_freq)+IF(F$5="Mortgage Starts",0,Deposit_mon_alt),2)</f>
        <v>10073.77</v>
      </c>
      <c r="G195" s="16">
        <f>ROUND(F195*(1+'Interest rate projection'!AF197/Var_freq)+IF(G$5="Mortgage Starts",0,Deposit_mon_alt),2)</f>
        <v>12110.79</v>
      </c>
      <c r="H195" s="16">
        <f>ROUND(G195*(1+'Interest rate projection'!AG197/Var_freq)+IF(H$5="Mortgage Starts",0,Deposit_mon_alt),2)</f>
        <v>14155.29</v>
      </c>
      <c r="I195" s="16">
        <f>ROUND(H195*(1+'Interest rate projection'!AH197/Var_freq)+IF(I$5="Mortgage Starts",0,Deposit_mon_alt),2)</f>
        <v>16207.31</v>
      </c>
      <c r="J195" s="16">
        <f>ROUND(I195*(1+'Interest rate projection'!AI197/Var_freq)+IF(J$5="Mortgage Starts",0,Deposit_mon_alt),2)</f>
        <v>18266.87</v>
      </c>
      <c r="K195" s="16">
        <f>ROUND(J195*(1+'Interest rate projection'!AJ197/Var_freq)+IF(K$5="Mortgage Starts",0,Deposit_mon_alt),2)</f>
        <v>20334</v>
      </c>
      <c r="L195" s="16">
        <f>ROUND(K195*(1+'Interest rate projection'!AK197/Var_freq)+IF(L$5="Mortgage Starts",0,Deposit_mon_alt),2)</f>
        <v>22404.65</v>
      </c>
      <c r="M195" s="16">
        <f>ROUND(L195*(1+'Interest rate projection'!AL197/Var_freq)+IF(M$5="Mortgage Starts",0,Deposit_mon_alt),2)</f>
        <v>24482.49</v>
      </c>
      <c r="N195" s="57">
        <f>ROUND(M195*(1+'Interest rate projection'!AM197/Var_freq)+IF(N$5="Mortgage Starts",0,Deposit_mon_alt),2)</f>
        <v>24567.55</v>
      </c>
      <c r="P195" s="38">
        <f>'Interest rate projection'!N197</f>
        <v>4.7499999999999994E-2</v>
      </c>
      <c r="Q195" s="38">
        <f>'Interest rate projection'!AN197</f>
        <v>4.6496219905550085E-2</v>
      </c>
      <c r="R195" s="59" t="str">
        <f t="shared" si="28"/>
        <v>OK</v>
      </c>
      <c r="S195" s="39">
        <f t="shared" si="29"/>
        <v>14.766012404082064</v>
      </c>
      <c r="U195" s="73">
        <f t="shared" si="26"/>
        <v>24567.55</v>
      </c>
      <c r="V195" s="73">
        <f t="shared" si="24"/>
        <v>175432.45</v>
      </c>
      <c r="W195" s="74">
        <f t="shared" si="30"/>
        <v>990.07</v>
      </c>
      <c r="Y195" s="73">
        <f>'Fixed rate projection Alt'!$T$3-('Variable rate projection Alt'!W195*Product_term_alt*Var_freq)</f>
        <v>1423.1999999999898</v>
      </c>
    </row>
    <row r="196" spans="1:25" x14ac:dyDescent="0.35">
      <c r="A196" s="27">
        <v>191</v>
      </c>
      <c r="B196" s="57">
        <f t="shared" si="27"/>
        <v>2000</v>
      </c>
      <c r="C196" s="16">
        <f>ROUND(B196*(1+'Interest rate projection'!AB198/Var_freq)+IF(C$5="Mortgage Starts",0,Deposit_mon_alt),2)</f>
        <v>4007.35</v>
      </c>
      <c r="D196" s="16">
        <f>ROUND(C196*(1+'Interest rate projection'!AC198/Var_freq)+IF(D$5="Mortgage Starts",0,Deposit_mon_alt),2)</f>
        <v>6022.08</v>
      </c>
      <c r="E196" s="16">
        <f>ROUND(D196*(1+'Interest rate projection'!AD198/Var_freq)+IF(E$5="Mortgage Starts",0,Deposit_mon_alt),2)</f>
        <v>8045.41</v>
      </c>
      <c r="F196" s="16">
        <f>ROUND(E196*(1+'Interest rate projection'!AE198/Var_freq)+IF(F$5="Mortgage Starts",0,Deposit_mon_alt),2)</f>
        <v>10076.58</v>
      </c>
      <c r="G196" s="16">
        <f>ROUND(F196*(1+'Interest rate projection'!AF198/Var_freq)+IF(G$5="Mortgage Starts",0,Deposit_mon_alt),2)</f>
        <v>12115.62</v>
      </c>
      <c r="H196" s="16">
        <f>ROUND(G196*(1+'Interest rate projection'!AG198/Var_freq)+IF(H$5="Mortgage Starts",0,Deposit_mon_alt),2)</f>
        <v>14162.56</v>
      </c>
      <c r="I196" s="16">
        <f>ROUND(H196*(1+'Interest rate projection'!AH198/Var_freq)+IF(I$5="Mortgage Starts",0,Deposit_mon_alt),2)</f>
        <v>16217.44</v>
      </c>
      <c r="J196" s="16">
        <f>ROUND(I196*(1+'Interest rate projection'!AI198/Var_freq)+IF(J$5="Mortgage Starts",0,Deposit_mon_alt),2)</f>
        <v>18283.509999999998</v>
      </c>
      <c r="K196" s="16">
        <f>ROUND(J196*(1+'Interest rate projection'!AJ198/Var_freq)+IF(K$5="Mortgage Starts",0,Deposit_mon_alt),2)</f>
        <v>20358</v>
      </c>
      <c r="L196" s="16">
        <f>ROUND(K196*(1+'Interest rate projection'!AK198/Var_freq)+IF(L$5="Mortgage Starts",0,Deposit_mon_alt),2)</f>
        <v>22440.94</v>
      </c>
      <c r="M196" s="16">
        <f>ROUND(L196*(1+'Interest rate projection'!AL198/Var_freq)+IF(M$5="Mortgage Starts",0,Deposit_mon_alt),2)</f>
        <v>24532.37</v>
      </c>
      <c r="N196" s="57">
        <f>ROUND(M196*(1+'Interest rate projection'!AM198/Var_freq)+IF(N$5="Mortgage Starts",0,Deposit_mon_alt),2)</f>
        <v>24632.32</v>
      </c>
      <c r="P196" s="38">
        <f>'Interest rate projection'!N198</f>
        <v>0.05</v>
      </c>
      <c r="Q196" s="38">
        <f>'Interest rate projection'!AN198</f>
        <v>4.8889485403780242E-2</v>
      </c>
      <c r="R196" s="59" t="str">
        <f t="shared" si="28"/>
        <v>OK</v>
      </c>
      <c r="S196" s="39">
        <f t="shared" si="29"/>
        <v>14.4140856153857</v>
      </c>
      <c r="U196" s="73">
        <f t="shared" si="26"/>
        <v>24632.32</v>
      </c>
      <c r="V196" s="73">
        <f t="shared" si="24"/>
        <v>175367.67999999999</v>
      </c>
      <c r="W196" s="74">
        <f t="shared" si="30"/>
        <v>1013.87</v>
      </c>
      <c r="Y196" s="73">
        <f>'Fixed rate projection Alt'!$T$3-('Variable rate projection Alt'!W196*Product_term_alt*Var_freq)</f>
        <v>-4.8000000000101863</v>
      </c>
    </row>
    <row r="197" spans="1:25" x14ac:dyDescent="0.35">
      <c r="A197" s="5">
        <v>192</v>
      </c>
      <c r="B197" s="57">
        <f t="shared" si="27"/>
        <v>2000</v>
      </c>
      <c r="C197" s="16">
        <f>ROUND(B197*(1+'Interest rate projection'!AB199/Var_freq)+IF(C$5="Mortgage Starts",0,Deposit_mon_alt),2)</f>
        <v>4007.35</v>
      </c>
      <c r="D197" s="16">
        <f>ROUND(C197*(1+'Interest rate projection'!AC199/Var_freq)+IF(D$5="Mortgage Starts",0,Deposit_mon_alt),2)</f>
        <v>6021.27</v>
      </c>
      <c r="E197" s="16">
        <f>ROUND(D197*(1+'Interest rate projection'!AD199/Var_freq)+IF(E$5="Mortgage Starts",0,Deposit_mon_alt),2)</f>
        <v>8042.19</v>
      </c>
      <c r="F197" s="16">
        <f>ROUND(E197*(1+'Interest rate projection'!AE199/Var_freq)+IF(F$5="Mortgage Starts",0,Deposit_mon_alt),2)</f>
        <v>10070.129999999999</v>
      </c>
      <c r="G197" s="16">
        <f>ROUND(F197*(1+'Interest rate projection'!AF199/Var_freq)+IF(G$5="Mortgage Starts",0,Deposit_mon_alt),2)</f>
        <v>12105.12</v>
      </c>
      <c r="H197" s="16">
        <f>ROUND(G197*(1+'Interest rate projection'!AG199/Var_freq)+IF(H$5="Mortgage Starts",0,Deposit_mon_alt),2)</f>
        <v>14147.18</v>
      </c>
      <c r="I197" s="16">
        <f>ROUND(H197*(1+'Interest rate projection'!AH199/Var_freq)+IF(I$5="Mortgage Starts",0,Deposit_mon_alt),2)</f>
        <v>16196.33</v>
      </c>
      <c r="J197" s="16">
        <f>ROUND(I197*(1+'Interest rate projection'!AI199/Var_freq)+IF(J$5="Mortgage Starts",0,Deposit_mon_alt),2)</f>
        <v>18252.599999999999</v>
      </c>
      <c r="K197" s="16">
        <f>ROUND(J197*(1+'Interest rate projection'!AJ199/Var_freq)+IF(K$5="Mortgage Starts",0,Deposit_mon_alt),2)</f>
        <v>20316.02</v>
      </c>
      <c r="L197" s="16">
        <f>ROUND(K197*(1+'Interest rate projection'!AK199/Var_freq)+IF(L$5="Mortgage Starts",0,Deposit_mon_alt),2)</f>
        <v>22386.61</v>
      </c>
      <c r="M197" s="16">
        <f>ROUND(L197*(1+'Interest rate projection'!AL199/Var_freq)+IF(M$5="Mortgage Starts",0,Deposit_mon_alt),2)</f>
        <v>24464.39</v>
      </c>
      <c r="N197" s="57">
        <f>ROUND(M197*(1+'Interest rate projection'!AM199/Var_freq)+IF(N$5="Mortgage Starts",0,Deposit_mon_alt),2)</f>
        <v>24539.56</v>
      </c>
      <c r="P197" s="38">
        <f>'Interest rate projection'!N199</f>
        <v>3.4999999999999996E-2</v>
      </c>
      <c r="Q197" s="38">
        <f>'Interest rate projection'!AN199</f>
        <v>3.4450784628919706E-2</v>
      </c>
      <c r="R197" s="59" t="str">
        <f t="shared" si="28"/>
        <v>OK</v>
      </c>
      <c r="S197" s="39">
        <f t="shared" si="29"/>
        <v>16.744263358395965</v>
      </c>
      <c r="U197" s="73">
        <f t="shared" si="26"/>
        <v>24539.56</v>
      </c>
      <c r="V197" s="73">
        <f t="shared" si="24"/>
        <v>175460.44</v>
      </c>
      <c r="W197" s="74">
        <f t="shared" si="30"/>
        <v>873.24</v>
      </c>
      <c r="Y197" s="73">
        <f>'Fixed rate projection Alt'!$T$3-('Variable rate projection Alt'!W197*Product_term_alt*Var_freq)</f>
        <v>8433</v>
      </c>
    </row>
    <row r="198" spans="1:25" x14ac:dyDescent="0.35">
      <c r="A198" s="27">
        <v>193</v>
      </c>
      <c r="B198" s="57">
        <f t="shared" ref="B198:B205" si="31">Deposit_mon_alt</f>
        <v>2000</v>
      </c>
      <c r="C198" s="16">
        <f>ROUND(B198*(1+'Interest rate projection'!AB200/Var_freq)+IF(C$5="Mortgage Starts",0,Deposit_mon_alt),2)</f>
        <v>4007.35</v>
      </c>
      <c r="D198" s="16">
        <f>ROUND(C198*(1+'Interest rate projection'!AC200/Var_freq)+IF(D$5="Mortgage Starts",0,Deposit_mon_alt),2)</f>
        <v>6022.08</v>
      </c>
      <c r="E198" s="16">
        <f>ROUND(D198*(1+'Interest rate projection'!AD200/Var_freq)+IF(E$5="Mortgage Starts",0,Deposit_mon_alt),2)</f>
        <v>8044.21</v>
      </c>
      <c r="F198" s="16">
        <f>ROUND(E198*(1+'Interest rate projection'!AE200/Var_freq)+IF(F$5="Mortgage Starts",0,Deposit_mon_alt),2)</f>
        <v>10073.77</v>
      </c>
      <c r="G198" s="16">
        <f>ROUND(F198*(1+'Interest rate projection'!AF200/Var_freq)+IF(G$5="Mortgage Starts",0,Deposit_mon_alt),2)</f>
        <v>12110.79</v>
      </c>
      <c r="H198" s="16">
        <f>ROUND(G198*(1+'Interest rate projection'!AG200/Var_freq)+IF(H$5="Mortgage Starts",0,Deposit_mon_alt),2)</f>
        <v>14155.29</v>
      </c>
      <c r="I198" s="16">
        <f>ROUND(H198*(1+'Interest rate projection'!AH200/Var_freq)+IF(I$5="Mortgage Starts",0,Deposit_mon_alt),2)</f>
        <v>16207.31</v>
      </c>
      <c r="J198" s="16">
        <f>ROUND(I198*(1+'Interest rate projection'!AI200/Var_freq)+IF(J$5="Mortgage Starts",0,Deposit_mon_alt),2)</f>
        <v>18266.87</v>
      </c>
      <c r="K198" s="16">
        <f>ROUND(J198*(1+'Interest rate projection'!AJ200/Var_freq)+IF(K$5="Mortgage Starts",0,Deposit_mon_alt),2)</f>
        <v>20334</v>
      </c>
      <c r="L198" s="16">
        <f>ROUND(K198*(1+'Interest rate projection'!AK200/Var_freq)+IF(L$5="Mortgage Starts",0,Deposit_mon_alt),2)</f>
        <v>22408.720000000001</v>
      </c>
      <c r="M198" s="16">
        <f>ROUND(L198*(1+'Interest rate projection'!AL200/Var_freq)+IF(M$5="Mortgage Starts",0,Deposit_mon_alt),2)</f>
        <v>24491.07</v>
      </c>
      <c r="N198" s="57">
        <f>ROUND(M198*(1+'Interest rate projection'!AM200/Var_freq)+IF(N$5="Mortgage Starts",0,Deposit_mon_alt),2)</f>
        <v>24581.07</v>
      </c>
      <c r="P198" s="38">
        <f>'Interest rate projection'!N200</f>
        <v>4.4999999999999998E-2</v>
      </c>
      <c r="Q198" s="38">
        <f>'Interest rate projection'!AN200</f>
        <v>4.4097712805242217E-2</v>
      </c>
      <c r="R198" s="59" t="str">
        <f t="shared" ref="R198:R205" si="32">IF(ROUND(P198,6)=ROUND((1+Q198/Var_freq)^Var_freq-1,6),"OK","ERROR")</f>
        <v>OK</v>
      </c>
      <c r="S198" s="39">
        <f t="shared" ref="S198:S205" si="33">(1-(1+P198)^-Mort_term)/Q198</f>
        <v>15.131610255367837</v>
      </c>
      <c r="U198" s="73">
        <f t="shared" si="26"/>
        <v>24581.07</v>
      </c>
      <c r="V198" s="73">
        <f t="shared" ref="V198:V205" si="34">House_price-U198</f>
        <v>175418.93</v>
      </c>
      <c r="W198" s="74">
        <f t="shared" ref="W198:W205" si="35">ROUND(V198/S198/Var_freq,2)</f>
        <v>966.07</v>
      </c>
      <c r="Y198" s="73">
        <f>'Fixed rate projection Alt'!$T$3-('Variable rate projection Alt'!W198*Product_term_alt*Var_freq)</f>
        <v>2863.1999999999898</v>
      </c>
    </row>
    <row r="199" spans="1:25" x14ac:dyDescent="0.35">
      <c r="A199" s="5">
        <v>194</v>
      </c>
      <c r="B199" s="57">
        <f t="shared" si="31"/>
        <v>2000</v>
      </c>
      <c r="C199" s="16">
        <f>ROUND(B199*(1+'Interest rate projection'!AB201/Var_freq)+IF(C$5="Mortgage Starts",0,Deposit_mon_alt),2)</f>
        <v>4007.35</v>
      </c>
      <c r="D199" s="16">
        <f>ROUND(C199*(1+'Interest rate projection'!AC201/Var_freq)+IF(D$5="Mortgage Starts",0,Deposit_mon_alt),2)</f>
        <v>6022.08</v>
      </c>
      <c r="E199" s="16">
        <f>ROUND(D199*(1+'Interest rate projection'!AD201/Var_freq)+IF(E$5="Mortgage Starts",0,Deposit_mon_alt),2)</f>
        <v>8041.79</v>
      </c>
      <c r="F199" s="16">
        <f>ROUND(E199*(1+'Interest rate projection'!AE201/Var_freq)+IF(F$5="Mortgage Starts",0,Deposit_mon_alt),2)</f>
        <v>10068.120000000001</v>
      </c>
      <c r="G199" s="16">
        <f>ROUND(F199*(1+'Interest rate projection'!AF201/Var_freq)+IF(G$5="Mortgage Starts",0,Deposit_mon_alt),2)</f>
        <v>12099.05</v>
      </c>
      <c r="H199" s="16">
        <f>ROUND(G199*(1+'Interest rate projection'!AG201/Var_freq)+IF(H$5="Mortgage Starts",0,Deposit_mon_alt),2)</f>
        <v>14136.22</v>
      </c>
      <c r="I199" s="16">
        <f>ROUND(H199*(1+'Interest rate projection'!AH201/Var_freq)+IF(I$5="Mortgage Starts",0,Deposit_mon_alt),2)</f>
        <v>16179.65</v>
      </c>
      <c r="J199" s="16">
        <f>ROUND(I199*(1+'Interest rate projection'!AI201/Var_freq)+IF(J$5="Mortgage Starts",0,Deposit_mon_alt),2)</f>
        <v>18226.099999999999</v>
      </c>
      <c r="K199" s="16">
        <f>ROUND(J199*(1+'Interest rate projection'!AJ201/Var_freq)+IF(K$5="Mortgage Starts",0,Deposit_mon_alt),2)</f>
        <v>20278.43</v>
      </c>
      <c r="L199" s="16">
        <f>ROUND(K199*(1+'Interest rate projection'!AK201/Var_freq)+IF(L$5="Mortgage Starts",0,Deposit_mon_alt),2)</f>
        <v>22336.65</v>
      </c>
      <c r="M199" s="16">
        <f>ROUND(L199*(1+'Interest rate projection'!AL201/Var_freq)+IF(M$5="Mortgage Starts",0,Deposit_mon_alt),2)</f>
        <v>24400.78</v>
      </c>
      <c r="N199" s="57">
        <f>ROUND(M199*(1+'Interest rate projection'!AM201/Var_freq)+IF(N$5="Mortgage Starts",0,Deposit_mon_alt),2)</f>
        <v>24465.9</v>
      </c>
      <c r="P199" s="38">
        <f>'Interest rate projection'!N201</f>
        <v>3.2499999999999994E-2</v>
      </c>
      <c r="Q199" s="38">
        <f>'Interest rate projection'!AN201</f>
        <v>3.2025705211555788E-2</v>
      </c>
      <c r="R199" s="59" t="str">
        <f t="shared" si="32"/>
        <v>OK</v>
      </c>
      <c r="S199" s="39">
        <f t="shared" si="33"/>
        <v>17.188709573985651</v>
      </c>
      <c r="U199" s="73">
        <f t="shared" ref="U199:U205" si="36">N199</f>
        <v>24465.9</v>
      </c>
      <c r="V199" s="73">
        <f t="shared" si="34"/>
        <v>175534.1</v>
      </c>
      <c r="W199" s="74">
        <f t="shared" si="35"/>
        <v>851.01</v>
      </c>
      <c r="Y199" s="73">
        <f>'Fixed rate projection Alt'!$T$3-('Variable rate projection Alt'!W199*Product_term_alt*Var_freq)</f>
        <v>9766.7999999999884</v>
      </c>
    </row>
    <row r="200" spans="1:25" x14ac:dyDescent="0.35">
      <c r="A200" s="27">
        <v>195</v>
      </c>
      <c r="B200" s="57">
        <f t="shared" si="31"/>
        <v>2000</v>
      </c>
      <c r="C200" s="16">
        <f>ROUND(B200*(1+'Interest rate projection'!AB202/Var_freq)+IF(C$5="Mortgage Starts",0,Deposit_mon_alt),2)</f>
        <v>4007.35</v>
      </c>
      <c r="D200" s="16">
        <f>ROUND(C200*(1+'Interest rate projection'!AC202/Var_freq)+IF(D$5="Mortgage Starts",0,Deposit_mon_alt),2)</f>
        <v>6022.08</v>
      </c>
      <c r="E200" s="16">
        <f>ROUND(D200*(1+'Interest rate projection'!AD202/Var_freq)+IF(E$5="Mortgage Starts",0,Deposit_mon_alt),2)</f>
        <v>8044.21</v>
      </c>
      <c r="F200" s="16">
        <f>ROUND(E200*(1+'Interest rate projection'!AE202/Var_freq)+IF(F$5="Mortgage Starts",0,Deposit_mon_alt),2)</f>
        <v>10073.77</v>
      </c>
      <c r="G200" s="16">
        <f>ROUND(F200*(1+'Interest rate projection'!AF202/Var_freq)+IF(G$5="Mortgage Starts",0,Deposit_mon_alt),2)</f>
        <v>12106.75</v>
      </c>
      <c r="H200" s="16">
        <f>ROUND(G200*(1+'Interest rate projection'!AG202/Var_freq)+IF(H$5="Mortgage Starts",0,Deposit_mon_alt),2)</f>
        <v>14146.38</v>
      </c>
      <c r="I200" s="16">
        <f>ROUND(H200*(1+'Interest rate projection'!AH202/Var_freq)+IF(I$5="Mortgage Starts",0,Deposit_mon_alt),2)</f>
        <v>16189.85</v>
      </c>
      <c r="J200" s="16">
        <f>ROUND(I200*(1+'Interest rate projection'!AI202/Var_freq)+IF(J$5="Mortgage Starts",0,Deposit_mon_alt),2)</f>
        <v>18239.59</v>
      </c>
      <c r="K200" s="16">
        <f>ROUND(J200*(1+'Interest rate projection'!AJ202/Var_freq)+IF(K$5="Mortgage Starts",0,Deposit_mon_alt),2)</f>
        <v>20295.63</v>
      </c>
      <c r="L200" s="16">
        <f>ROUND(K200*(1+'Interest rate projection'!AK202/Var_freq)+IF(L$5="Mortgage Starts",0,Deposit_mon_alt),2)</f>
        <v>22357.99</v>
      </c>
      <c r="M200" s="16">
        <f>ROUND(L200*(1+'Interest rate projection'!AL202/Var_freq)+IF(M$5="Mortgage Starts",0,Deposit_mon_alt),2)</f>
        <v>24426.69</v>
      </c>
      <c r="N200" s="57">
        <f>ROUND(M200*(1+'Interest rate projection'!AM202/Var_freq)+IF(N$5="Mortgage Starts",0,Deposit_mon_alt),2)</f>
        <v>24501.74</v>
      </c>
      <c r="P200" s="38">
        <f>'Interest rate projection'!N202</f>
        <v>3.7499999999999999E-2</v>
      </c>
      <c r="Q200" s="38">
        <f>'Interest rate projection'!AN202</f>
        <v>3.6870500439066589E-2</v>
      </c>
      <c r="R200" s="59" t="str">
        <f t="shared" si="32"/>
        <v>OK</v>
      </c>
      <c r="S200" s="39">
        <f t="shared" si="33"/>
        <v>16.317113717606386</v>
      </c>
      <c r="U200" s="73">
        <f t="shared" si="36"/>
        <v>24501.74</v>
      </c>
      <c r="V200" s="73">
        <f t="shared" si="34"/>
        <v>175498.26</v>
      </c>
      <c r="W200" s="74">
        <f t="shared" si="35"/>
        <v>896.29</v>
      </c>
      <c r="Y200" s="73">
        <f>'Fixed rate projection Alt'!$T$3-('Variable rate projection Alt'!W200*Product_term_alt*Var_freq)</f>
        <v>7050</v>
      </c>
    </row>
    <row r="201" spans="1:25" x14ac:dyDescent="0.35">
      <c r="A201" s="5">
        <v>196</v>
      </c>
      <c r="B201" s="57">
        <f t="shared" si="31"/>
        <v>2000</v>
      </c>
      <c r="C201" s="16">
        <f>ROUND(B201*(1+'Interest rate projection'!AB203/Var_freq)+IF(C$5="Mortgage Starts",0,Deposit_mon_alt),2)</f>
        <v>4007.35</v>
      </c>
      <c r="D201" s="16">
        <f>ROUND(C201*(1+'Interest rate projection'!AC203/Var_freq)+IF(D$5="Mortgage Starts",0,Deposit_mon_alt),2)</f>
        <v>6022.08</v>
      </c>
      <c r="E201" s="16">
        <f>ROUND(D201*(1+'Interest rate projection'!AD203/Var_freq)+IF(E$5="Mortgage Starts",0,Deposit_mon_alt),2)</f>
        <v>8044.21</v>
      </c>
      <c r="F201" s="16">
        <f>ROUND(E201*(1+'Interest rate projection'!AE203/Var_freq)+IF(F$5="Mortgage Starts",0,Deposit_mon_alt),2)</f>
        <v>10073.77</v>
      </c>
      <c r="G201" s="16">
        <f>ROUND(F201*(1+'Interest rate projection'!AF203/Var_freq)+IF(G$5="Mortgage Starts",0,Deposit_mon_alt),2)</f>
        <v>12110.79</v>
      </c>
      <c r="H201" s="16">
        <f>ROUND(G201*(1+'Interest rate projection'!AG203/Var_freq)+IF(H$5="Mortgage Starts",0,Deposit_mon_alt),2)</f>
        <v>14155.29</v>
      </c>
      <c r="I201" s="16">
        <f>ROUND(H201*(1+'Interest rate projection'!AH203/Var_freq)+IF(I$5="Mortgage Starts",0,Deposit_mon_alt),2)</f>
        <v>16207.31</v>
      </c>
      <c r="J201" s="16">
        <f>ROUND(I201*(1+'Interest rate projection'!AI203/Var_freq)+IF(J$5="Mortgage Starts",0,Deposit_mon_alt),2)</f>
        <v>18266.87</v>
      </c>
      <c r="K201" s="16">
        <f>ROUND(J201*(1+'Interest rate projection'!AJ203/Var_freq)+IF(K$5="Mortgage Starts",0,Deposit_mon_alt),2)</f>
        <v>20334</v>
      </c>
      <c r="L201" s="16">
        <f>ROUND(K201*(1+'Interest rate projection'!AK203/Var_freq)+IF(L$5="Mortgage Starts",0,Deposit_mon_alt),2)</f>
        <v>22408.720000000001</v>
      </c>
      <c r="M201" s="16">
        <f>ROUND(L201*(1+'Interest rate projection'!AL203/Var_freq)+IF(M$5="Mortgage Starts",0,Deposit_mon_alt),2)</f>
        <v>24491.07</v>
      </c>
      <c r="N201" s="57">
        <f>ROUND(M201*(1+'Interest rate projection'!AM203/Var_freq)+IF(N$5="Mortgage Starts",0,Deposit_mon_alt),2)</f>
        <v>24581.07</v>
      </c>
      <c r="P201" s="38">
        <f>'Interest rate projection'!N203</f>
        <v>4.4999999999999998E-2</v>
      </c>
      <c r="Q201" s="38">
        <f>'Interest rate projection'!AN203</f>
        <v>4.4097712805242217E-2</v>
      </c>
      <c r="R201" s="59" t="str">
        <f t="shared" si="32"/>
        <v>OK</v>
      </c>
      <c r="S201" s="39">
        <f t="shared" si="33"/>
        <v>15.131610255367837</v>
      </c>
      <c r="U201" s="73">
        <f t="shared" si="36"/>
        <v>24581.07</v>
      </c>
      <c r="V201" s="73">
        <f t="shared" si="34"/>
        <v>175418.93</v>
      </c>
      <c r="W201" s="74">
        <f t="shared" si="35"/>
        <v>966.07</v>
      </c>
      <c r="Y201" s="73">
        <f>'Fixed rate projection Alt'!$T$3-('Variable rate projection Alt'!W201*Product_term_alt*Var_freq)</f>
        <v>2863.1999999999898</v>
      </c>
    </row>
    <row r="202" spans="1:25" x14ac:dyDescent="0.35">
      <c r="A202" s="27">
        <v>197</v>
      </c>
      <c r="B202" s="57">
        <f t="shared" si="31"/>
        <v>2000</v>
      </c>
      <c r="C202" s="16">
        <f>ROUND(B202*(1+'Interest rate projection'!AB204/Var_freq)+IF(C$5="Mortgage Starts",0,Deposit_mon_alt),2)</f>
        <v>4007.35</v>
      </c>
      <c r="D202" s="16">
        <f>ROUND(C202*(1+'Interest rate projection'!AC204/Var_freq)+IF(D$5="Mortgage Starts",0,Deposit_mon_alt),2)</f>
        <v>6022.08</v>
      </c>
      <c r="E202" s="16">
        <f>ROUND(D202*(1+'Interest rate projection'!AD204/Var_freq)+IF(E$5="Mortgage Starts",0,Deposit_mon_alt),2)</f>
        <v>8044.21</v>
      </c>
      <c r="F202" s="16">
        <f>ROUND(E202*(1+'Interest rate projection'!AE204/Var_freq)+IF(F$5="Mortgage Starts",0,Deposit_mon_alt),2)</f>
        <v>10073.77</v>
      </c>
      <c r="G202" s="16">
        <f>ROUND(F202*(1+'Interest rate projection'!AF204/Var_freq)+IF(G$5="Mortgage Starts",0,Deposit_mon_alt),2)</f>
        <v>12110.79</v>
      </c>
      <c r="H202" s="16">
        <f>ROUND(G202*(1+'Interest rate projection'!AG204/Var_freq)+IF(H$5="Mortgage Starts",0,Deposit_mon_alt),2)</f>
        <v>14155.29</v>
      </c>
      <c r="I202" s="16">
        <f>ROUND(H202*(1+'Interest rate projection'!AH204/Var_freq)+IF(I$5="Mortgage Starts",0,Deposit_mon_alt),2)</f>
        <v>16207.31</v>
      </c>
      <c r="J202" s="16">
        <f>ROUND(I202*(1+'Interest rate projection'!AI204/Var_freq)+IF(J$5="Mortgage Starts",0,Deposit_mon_alt),2)</f>
        <v>18266.87</v>
      </c>
      <c r="K202" s="16">
        <f>ROUND(J202*(1+'Interest rate projection'!AJ204/Var_freq)+IF(K$5="Mortgage Starts",0,Deposit_mon_alt),2)</f>
        <v>20334</v>
      </c>
      <c r="L202" s="16">
        <f>ROUND(K202*(1+'Interest rate projection'!AK204/Var_freq)+IF(L$5="Mortgage Starts",0,Deposit_mon_alt),2)</f>
        <v>22412.79</v>
      </c>
      <c r="M202" s="16">
        <f>ROUND(L202*(1+'Interest rate projection'!AL204/Var_freq)+IF(M$5="Mortgage Starts",0,Deposit_mon_alt),2)</f>
        <v>24499.63</v>
      </c>
      <c r="N202" s="57">
        <f>ROUND(M202*(1+'Interest rate projection'!AM204/Var_freq)+IF(N$5="Mortgage Starts",0,Deposit_mon_alt),2)</f>
        <v>24594.560000000001</v>
      </c>
      <c r="P202" s="38">
        <f>'Interest rate projection'!N204</f>
        <v>4.7500000000000001E-2</v>
      </c>
      <c r="Q202" s="38">
        <f>'Interest rate projection'!AN204</f>
        <v>4.6496219905550085E-2</v>
      </c>
      <c r="R202" s="59" t="str">
        <f t="shared" si="32"/>
        <v>OK</v>
      </c>
      <c r="S202" s="39">
        <f t="shared" si="33"/>
        <v>14.766012404082064</v>
      </c>
      <c r="U202" s="73">
        <f t="shared" si="36"/>
        <v>24594.560000000001</v>
      </c>
      <c r="V202" s="73">
        <f t="shared" si="34"/>
        <v>175405.44</v>
      </c>
      <c r="W202" s="74">
        <f t="shared" si="35"/>
        <v>989.92</v>
      </c>
      <c r="Y202" s="73">
        <f>'Fixed rate projection Alt'!$T$3-('Variable rate projection Alt'!W202*Product_term_alt*Var_freq)</f>
        <v>1432.1999999999971</v>
      </c>
    </row>
    <row r="203" spans="1:25" x14ac:dyDescent="0.35">
      <c r="A203" s="5">
        <v>198</v>
      </c>
      <c r="B203" s="57">
        <f t="shared" si="31"/>
        <v>2000</v>
      </c>
      <c r="C203" s="16">
        <f>ROUND(B203*(1+'Interest rate projection'!AB205/Var_freq)+IF(C$5="Mortgage Starts",0,Deposit_mon_alt),2)</f>
        <v>4007.35</v>
      </c>
      <c r="D203" s="16">
        <f>ROUND(C203*(1+'Interest rate projection'!AC205/Var_freq)+IF(D$5="Mortgage Starts",0,Deposit_mon_alt),2)</f>
        <v>6022.08</v>
      </c>
      <c r="E203" s="16">
        <f>ROUND(D203*(1+'Interest rate projection'!AD205/Var_freq)+IF(E$5="Mortgage Starts",0,Deposit_mon_alt),2)</f>
        <v>8044.21</v>
      </c>
      <c r="F203" s="16">
        <f>ROUND(E203*(1+'Interest rate projection'!AE205/Var_freq)+IF(F$5="Mortgage Starts",0,Deposit_mon_alt),2)</f>
        <v>10073.77</v>
      </c>
      <c r="G203" s="16">
        <f>ROUND(F203*(1+'Interest rate projection'!AF205/Var_freq)+IF(G$5="Mortgage Starts",0,Deposit_mon_alt),2)</f>
        <v>12110.79</v>
      </c>
      <c r="H203" s="16">
        <f>ROUND(G203*(1+'Interest rate projection'!AG205/Var_freq)+IF(H$5="Mortgage Starts",0,Deposit_mon_alt),2)</f>
        <v>14155.29</v>
      </c>
      <c r="I203" s="16">
        <f>ROUND(H203*(1+'Interest rate projection'!AH205/Var_freq)+IF(I$5="Mortgage Starts",0,Deposit_mon_alt),2)</f>
        <v>16207.31</v>
      </c>
      <c r="J203" s="16">
        <f>ROUND(I203*(1+'Interest rate projection'!AI205/Var_freq)+IF(J$5="Mortgage Starts",0,Deposit_mon_alt),2)</f>
        <v>18266.87</v>
      </c>
      <c r="K203" s="16">
        <f>ROUND(J203*(1+'Interest rate projection'!AJ205/Var_freq)+IF(K$5="Mortgage Starts",0,Deposit_mon_alt),2)</f>
        <v>20334</v>
      </c>
      <c r="L203" s="16">
        <f>ROUND(K203*(1+'Interest rate projection'!AK205/Var_freq)+IF(L$5="Mortgage Starts",0,Deposit_mon_alt),2)</f>
        <v>22408.720000000001</v>
      </c>
      <c r="M203" s="16">
        <f>ROUND(L203*(1+'Interest rate projection'!AL205/Var_freq)+IF(M$5="Mortgage Starts",0,Deposit_mon_alt),2)</f>
        <v>24491.07</v>
      </c>
      <c r="N203" s="57">
        <f>ROUND(M203*(1+'Interest rate projection'!AM205/Var_freq)+IF(N$5="Mortgage Starts",0,Deposit_mon_alt),2)</f>
        <v>24581.07</v>
      </c>
      <c r="P203" s="38">
        <f>'Interest rate projection'!N205</f>
        <v>4.4999999999999998E-2</v>
      </c>
      <c r="Q203" s="38">
        <f>'Interest rate projection'!AN205</f>
        <v>4.4097712805242217E-2</v>
      </c>
      <c r="R203" s="59" t="str">
        <f t="shared" si="32"/>
        <v>OK</v>
      </c>
      <c r="S203" s="39">
        <f t="shared" si="33"/>
        <v>15.131610255367837</v>
      </c>
      <c r="U203" s="73">
        <f t="shared" si="36"/>
        <v>24581.07</v>
      </c>
      <c r="V203" s="73">
        <f t="shared" si="34"/>
        <v>175418.93</v>
      </c>
      <c r="W203" s="74">
        <f t="shared" si="35"/>
        <v>966.07</v>
      </c>
      <c r="Y203" s="73">
        <f>'Fixed rate projection Alt'!$T$3-('Variable rate projection Alt'!W203*Product_term_alt*Var_freq)</f>
        <v>2863.1999999999898</v>
      </c>
    </row>
    <row r="204" spans="1:25" x14ac:dyDescent="0.35">
      <c r="A204" s="27">
        <v>199</v>
      </c>
      <c r="B204" s="57">
        <f t="shared" si="31"/>
        <v>2000</v>
      </c>
      <c r="C204" s="16">
        <f>ROUND(B204*(1+'Interest rate projection'!AB206/Var_freq)+IF(C$5="Mortgage Starts",0,Deposit_mon_alt),2)</f>
        <v>4007.35</v>
      </c>
      <c r="D204" s="16">
        <f>ROUND(C204*(1+'Interest rate projection'!AC206/Var_freq)+IF(D$5="Mortgage Starts",0,Deposit_mon_alt),2)</f>
        <v>6022.08</v>
      </c>
      <c r="E204" s="16">
        <f>ROUND(D204*(1+'Interest rate projection'!AD206/Var_freq)+IF(E$5="Mortgage Starts",0,Deposit_mon_alt),2)</f>
        <v>8045.41</v>
      </c>
      <c r="F204" s="16">
        <f>ROUND(E204*(1+'Interest rate projection'!AE206/Var_freq)+IF(F$5="Mortgage Starts",0,Deposit_mon_alt),2)</f>
        <v>10076.58</v>
      </c>
      <c r="G204" s="16">
        <f>ROUND(F204*(1+'Interest rate projection'!AF206/Var_freq)+IF(G$5="Mortgage Starts",0,Deposit_mon_alt),2)</f>
        <v>12113.61</v>
      </c>
      <c r="H204" s="16">
        <f>ROUND(G204*(1+'Interest rate projection'!AG206/Var_freq)+IF(H$5="Mortgage Starts",0,Deposit_mon_alt),2)</f>
        <v>14158.13</v>
      </c>
      <c r="I204" s="16">
        <f>ROUND(H204*(1+'Interest rate projection'!AH206/Var_freq)+IF(I$5="Mortgage Starts",0,Deposit_mon_alt),2)</f>
        <v>16207.32</v>
      </c>
      <c r="J204" s="16">
        <f>ROUND(I204*(1+'Interest rate projection'!AI206/Var_freq)+IF(J$5="Mortgage Starts",0,Deposit_mon_alt),2)</f>
        <v>18266.88</v>
      </c>
      <c r="K204" s="16">
        <f>ROUND(J204*(1+'Interest rate projection'!AJ206/Var_freq)+IF(K$5="Mortgage Starts",0,Deposit_mon_alt),2)</f>
        <v>20334.009999999998</v>
      </c>
      <c r="L204" s="16">
        <f>ROUND(K204*(1+'Interest rate projection'!AK206/Var_freq)+IF(L$5="Mortgage Starts",0,Deposit_mon_alt),2)</f>
        <v>22408.73</v>
      </c>
      <c r="M204" s="16">
        <f>ROUND(L204*(1+'Interest rate projection'!AL206/Var_freq)+IF(M$5="Mortgage Starts",0,Deposit_mon_alt),2)</f>
        <v>24491.08</v>
      </c>
      <c r="N204" s="57">
        <f>ROUND(M204*(1+'Interest rate projection'!AM206/Var_freq)+IF(N$5="Mortgage Starts",0,Deposit_mon_alt),2)</f>
        <v>24581.08</v>
      </c>
      <c r="P204" s="38">
        <f>'Interest rate projection'!N206</f>
        <v>4.4999999999999998E-2</v>
      </c>
      <c r="Q204" s="38">
        <f>'Interest rate projection'!AN206</f>
        <v>4.4097712805242217E-2</v>
      </c>
      <c r="R204" s="59" t="str">
        <f t="shared" si="32"/>
        <v>OK</v>
      </c>
      <c r="S204" s="39">
        <f t="shared" si="33"/>
        <v>15.131610255367837</v>
      </c>
      <c r="U204" s="73">
        <f t="shared" si="36"/>
        <v>24581.08</v>
      </c>
      <c r="V204" s="73">
        <f t="shared" si="34"/>
        <v>175418.91999999998</v>
      </c>
      <c r="W204" s="74">
        <f t="shared" si="35"/>
        <v>966.07</v>
      </c>
      <c r="Y204" s="73">
        <f>'Fixed rate projection Alt'!$T$3-('Variable rate projection Alt'!W204*Product_term_alt*Var_freq)</f>
        <v>2863.1999999999898</v>
      </c>
    </row>
    <row r="205" spans="1:25" x14ac:dyDescent="0.35">
      <c r="A205" s="5">
        <v>200</v>
      </c>
      <c r="B205" s="57">
        <f t="shared" si="31"/>
        <v>2000</v>
      </c>
      <c r="C205" s="16">
        <f>ROUND(B205*(1+'Interest rate projection'!AB207/Var_freq)+IF(C$5="Mortgage Starts",0,Deposit_mon_alt),2)</f>
        <v>4007.35</v>
      </c>
      <c r="D205" s="16">
        <f>ROUND(C205*(1+'Interest rate projection'!AC207/Var_freq)+IF(D$5="Mortgage Starts",0,Deposit_mon_alt),2)</f>
        <v>6022.08</v>
      </c>
      <c r="E205" s="16">
        <f>ROUND(D205*(1+'Interest rate projection'!AD207/Var_freq)+IF(E$5="Mortgage Starts",0,Deposit_mon_alt),2)</f>
        <v>8044.21</v>
      </c>
      <c r="F205" s="16">
        <f>ROUND(E205*(1+'Interest rate projection'!AE207/Var_freq)+IF(F$5="Mortgage Starts",0,Deposit_mon_alt),2)</f>
        <v>10073.77</v>
      </c>
      <c r="G205" s="16">
        <f>ROUND(F205*(1+'Interest rate projection'!AF207/Var_freq)+IF(G$5="Mortgage Starts",0,Deposit_mon_alt),2)</f>
        <v>12110.79</v>
      </c>
      <c r="H205" s="16">
        <f>ROUND(G205*(1+'Interest rate projection'!AG207/Var_freq)+IF(H$5="Mortgage Starts",0,Deposit_mon_alt),2)</f>
        <v>14155.29</v>
      </c>
      <c r="I205" s="16">
        <f>ROUND(H205*(1+'Interest rate projection'!AH207/Var_freq)+IF(I$5="Mortgage Starts",0,Deposit_mon_alt),2)</f>
        <v>16207.31</v>
      </c>
      <c r="J205" s="16">
        <f>ROUND(I205*(1+'Interest rate projection'!AI207/Var_freq)+IF(J$5="Mortgage Starts",0,Deposit_mon_alt),2)</f>
        <v>18266.87</v>
      </c>
      <c r="K205" s="16">
        <f>ROUND(J205*(1+'Interest rate projection'!AJ207/Var_freq)+IF(K$5="Mortgage Starts",0,Deposit_mon_alt),2)</f>
        <v>20326.669999999998</v>
      </c>
      <c r="L205" s="16">
        <f>ROUND(K205*(1+'Interest rate projection'!AK207/Var_freq)+IF(L$5="Mortgage Starts",0,Deposit_mon_alt),2)</f>
        <v>22393.21</v>
      </c>
      <c r="M205" s="16">
        <f>ROUND(L205*(1+'Interest rate projection'!AL207/Var_freq)+IF(M$5="Mortgage Starts",0,Deposit_mon_alt),2)</f>
        <v>24466.52</v>
      </c>
      <c r="N205" s="57">
        <f>ROUND(M205*(1+'Interest rate projection'!AM207/Var_freq)+IF(N$5="Mortgage Starts",0,Deposit_mon_alt),2)</f>
        <v>24551.53</v>
      </c>
      <c r="P205" s="38">
        <f>'Interest rate projection'!N207</f>
        <v>4.2500000000000003E-2</v>
      </c>
      <c r="Q205" s="38">
        <f>'Interest rate projection'!AN207</f>
        <v>4.1693940041970023E-2</v>
      </c>
      <c r="R205" s="59" t="str">
        <f t="shared" si="32"/>
        <v>OK</v>
      </c>
      <c r="S205" s="39">
        <f t="shared" si="33"/>
        <v>15.511529757864551</v>
      </c>
      <c r="U205" s="73">
        <f t="shared" si="36"/>
        <v>24551.53</v>
      </c>
      <c r="V205" s="73">
        <f t="shared" si="34"/>
        <v>175448.47</v>
      </c>
      <c r="W205" s="74">
        <f t="shared" si="35"/>
        <v>942.57</v>
      </c>
      <c r="Y205" s="73">
        <f>'Fixed rate projection Alt'!$T$3-('Variable rate projection Alt'!W205*Product_term_alt*Var_freq)</f>
        <v>4273.1999999999898</v>
      </c>
    </row>
  </sheetData>
  <mergeCells count="5">
    <mergeCell ref="A2:B2"/>
    <mergeCell ref="P4:S4"/>
    <mergeCell ref="U4:W4"/>
    <mergeCell ref="AA5:AB5"/>
    <mergeCell ref="B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15</vt:i4>
      </vt:variant>
    </vt:vector>
  </HeadingPairs>
  <TitlesOfParts>
    <vt:vector size="22" baseType="lpstr">
      <vt:lpstr>Rawdata</vt:lpstr>
      <vt:lpstr>Parameters</vt:lpstr>
      <vt:lpstr>Fixed rate projection</vt:lpstr>
      <vt:lpstr>Interest rate projection</vt:lpstr>
      <vt:lpstr>Variable rate projection</vt:lpstr>
      <vt:lpstr>Fixed rate projection Alt</vt:lpstr>
      <vt:lpstr>Variable rate projection Alt</vt:lpstr>
      <vt:lpstr>Base_int_rate</vt:lpstr>
      <vt:lpstr>Claims_data</vt:lpstr>
      <vt:lpstr>Dep_term</vt:lpstr>
      <vt:lpstr>Dep_term_alt</vt:lpstr>
      <vt:lpstr>Deposit_mon</vt:lpstr>
      <vt:lpstr>Deposit_mon_alt</vt:lpstr>
      <vt:lpstr>Fixed_freq</vt:lpstr>
      <vt:lpstr>Fixed_int</vt:lpstr>
      <vt:lpstr>House_price</vt:lpstr>
      <vt:lpstr>Int_check_tolerance</vt:lpstr>
      <vt:lpstr>Int_rate_movements</vt:lpstr>
      <vt:lpstr>Mort_term</vt:lpstr>
      <vt:lpstr>Product_term</vt:lpstr>
      <vt:lpstr>Product_term_alt</vt:lpstr>
      <vt:lpstr>Var_freq</vt:lpstr>
    </vt:vector>
  </TitlesOfParts>
  <Company>Deloitte Touche Tohmatsu Services,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mshimmons</dc:creator>
  <cp:lastModifiedBy>Vickersmith, AJ (Birmingham)</cp:lastModifiedBy>
  <dcterms:created xsi:type="dcterms:W3CDTF">2015-02-05T09:20:35Z</dcterms:created>
  <dcterms:modified xsi:type="dcterms:W3CDTF">2021-12-01T15:17:11Z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700311-1b20-487f-9129-30717d50ca8e_Enabled">
    <vt:lpwstr>True</vt:lpwstr>
  </property>
  <property fmtid="{D5CDD505-2E9C-101B-9397-08002B2CF9AE}" pid="3" name="MSIP_Label_9c700311-1b20-487f-9129-30717d50ca8e_SiteId">
    <vt:lpwstr>76e3921f-489b-4b7e-9547-9ea297add9b5</vt:lpwstr>
  </property>
  <property fmtid="{D5CDD505-2E9C-101B-9397-08002B2CF9AE}" pid="4" name="MSIP_Label_9c700311-1b20-487f-9129-30717d50ca8e_Owner">
    <vt:lpwstr>aj.vickersmith@towerswatson.com</vt:lpwstr>
  </property>
  <property fmtid="{D5CDD505-2E9C-101B-9397-08002B2CF9AE}" pid="5" name="MSIP_Label_9c700311-1b20-487f-9129-30717d50ca8e_SetDate">
    <vt:lpwstr>2020-11-14T14:04:49.0859332Z</vt:lpwstr>
  </property>
  <property fmtid="{D5CDD505-2E9C-101B-9397-08002B2CF9AE}" pid="6" name="MSIP_Label_9c700311-1b20-487f-9129-30717d50ca8e_Name">
    <vt:lpwstr>Confidential</vt:lpwstr>
  </property>
  <property fmtid="{D5CDD505-2E9C-101B-9397-08002B2CF9AE}" pid="7" name="MSIP_Label_9c700311-1b20-487f-9129-30717d50ca8e_Application">
    <vt:lpwstr>Microsoft Azure Information Protection</vt:lpwstr>
  </property>
  <property fmtid="{D5CDD505-2E9C-101B-9397-08002B2CF9AE}" pid="8" name="MSIP_Label_9c700311-1b20-487f-9129-30717d50ca8e_ActionId">
    <vt:lpwstr>352e60ce-e7d2-49f9-8da8-e083b14d5d3f</vt:lpwstr>
  </property>
  <property fmtid="{D5CDD505-2E9C-101B-9397-08002B2CF9AE}" pid="9" name="MSIP_Label_9c700311-1b20-487f-9129-30717d50ca8e_Extended_MSFT_Method">
    <vt:lpwstr>Automatic</vt:lpwstr>
  </property>
  <property fmtid="{D5CDD505-2E9C-101B-9397-08002B2CF9AE}" pid="10" name="MSIP_Label_d347b247-e90e-43a3-9d7b-004f14ae6873_Enabled">
    <vt:lpwstr>True</vt:lpwstr>
  </property>
  <property fmtid="{D5CDD505-2E9C-101B-9397-08002B2CF9AE}" pid="11" name="MSIP_Label_d347b247-e90e-43a3-9d7b-004f14ae6873_SiteId">
    <vt:lpwstr>76e3921f-489b-4b7e-9547-9ea297add9b5</vt:lpwstr>
  </property>
  <property fmtid="{D5CDD505-2E9C-101B-9397-08002B2CF9AE}" pid="12" name="MSIP_Label_d347b247-e90e-43a3-9d7b-004f14ae6873_Owner">
    <vt:lpwstr>aj.vickersmith@towerswatson.com</vt:lpwstr>
  </property>
  <property fmtid="{D5CDD505-2E9C-101B-9397-08002B2CF9AE}" pid="13" name="MSIP_Label_d347b247-e90e-43a3-9d7b-004f14ae6873_SetDate">
    <vt:lpwstr>2020-11-14T14:04:49.0859332Z</vt:lpwstr>
  </property>
  <property fmtid="{D5CDD505-2E9C-101B-9397-08002B2CF9AE}" pid="14" name="MSIP_Label_d347b247-e90e-43a3-9d7b-004f14ae6873_Name">
    <vt:lpwstr>Anyone (No Protection)</vt:lpwstr>
  </property>
  <property fmtid="{D5CDD505-2E9C-101B-9397-08002B2CF9AE}" pid="15" name="MSIP_Label_d347b247-e90e-43a3-9d7b-004f14ae6873_Application">
    <vt:lpwstr>Microsoft Azure Information Protection</vt:lpwstr>
  </property>
  <property fmtid="{D5CDD505-2E9C-101B-9397-08002B2CF9AE}" pid="16" name="MSIP_Label_d347b247-e90e-43a3-9d7b-004f14ae6873_ActionId">
    <vt:lpwstr>352e60ce-e7d2-49f9-8da8-e083b14d5d3f</vt:lpwstr>
  </property>
  <property fmtid="{D5CDD505-2E9C-101B-9397-08002B2CF9AE}" pid="17" name="MSIP_Label_d347b247-e90e-43a3-9d7b-004f14ae6873_Parent">
    <vt:lpwstr>9c700311-1b20-487f-9129-30717d50ca8e</vt:lpwstr>
  </property>
  <property fmtid="{D5CDD505-2E9C-101B-9397-08002B2CF9AE}" pid="18" name="MSIP_Label_d347b247-e90e-43a3-9d7b-004f14ae6873_Extended_MSFT_Method">
    <vt:lpwstr>Automatic</vt:lpwstr>
  </property>
  <property fmtid="{D5CDD505-2E9C-101B-9397-08002B2CF9AE}" pid="19" name="Sensitivity">
    <vt:lpwstr>Confidential Anyone (No Protection)</vt:lpwstr>
  </property>
</Properties>
</file>