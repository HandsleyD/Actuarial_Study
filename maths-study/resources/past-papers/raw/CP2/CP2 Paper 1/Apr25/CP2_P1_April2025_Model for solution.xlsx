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wtwonlineuk-my.sharepoint.com/personal/aj_vickersmith_towerswatson_com/Documents/Documents/CP2/Exam writing/2025-2/April P1 (Sept P1)/"/>
    </mc:Choice>
  </mc:AlternateContent>
  <xr:revisionPtr revIDLastSave="0" documentId="8_{65E26286-C05A-4B0C-A0BE-EB5725A24CE4}" xr6:coauthVersionLast="47" xr6:coauthVersionMax="47" xr10:uidLastSave="{00000000-0000-0000-0000-000000000000}"/>
  <bookViews>
    <workbookView xWindow="-108" yWindow="-108" windowWidth="23256" windowHeight="12456" tabRatio="760" firstSheet="1" activeTab="1" xr2:uid="{00000000-000D-0000-FFFF-FFFF00000000}"/>
  </bookViews>
  <sheets>
    <sheet name="Raw_data_old" sheetId="1" state="hidden" r:id="rId1"/>
    <sheet name="Raw_data" sheetId="2" r:id="rId2"/>
    <sheet name="Parameters" sheetId="3" r:id="rId3"/>
    <sheet name="Data_correction" sheetId="4" r:id="rId4"/>
    <sheet name="Conversion to annual sales" sheetId="5" r:id="rId5"/>
    <sheet name="Revised sales &amp; total cars" sheetId="6" r:id="rId6"/>
    <sheet name="Cashflow model - base" sheetId="7" r:id="rId7"/>
    <sheet name="Cashflow model - additional" sheetId="8" r:id="rId8"/>
    <sheet name="Results summary" sheetId="9" r:id="rId9"/>
    <sheet name="Pie_chart" sheetId="10" r:id="rId10"/>
  </sheets>
  <definedNames>
    <definedName name="admin_cost">Parameters!$C$49</definedName>
    <definedName name="advert_cost">Parameters!$C$50</definedName>
    <definedName name="avg_petrol_consump_pa">Parameters!$C$60</definedName>
    <definedName name="budget">Parameters!$C$5</definedName>
    <definedName name="disc_rate">Parameters!$C$6</definedName>
    <definedName name="energy_req_fullrecharge_per_car">Parameters!$C$37</definedName>
    <definedName name="energy_supply_per_station_pa">Parameters!$C$38</definedName>
    <definedName name="expense_inflation">Parameters!$C$51</definedName>
    <definedName name="inflation_petrol">Parameters!$C$57</definedName>
    <definedName name="no_of_recharges_per_car_pa">Parameters!$C$36</definedName>
    <definedName name="petrol_cost_per_litre">Parameters!$C$56</definedName>
    <definedName name="projection_period">Parameters!$C$4</definedName>
    <definedName name="station_build_cost">Parameters!$C$40</definedName>
    <definedName name="station_build_cost_inflation">Parameters!$C$41</definedName>
    <definedName name="subsidy">Parameters!$C$7</definedName>
    <definedName name="tax_rate_petrol">Parameters!$C$59</definedName>
    <definedName name="VAL_DATE">Parameters!$C$3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4" l="1"/>
  <c r="Q92" i="4"/>
  <c r="Q29" i="4"/>
  <c r="Q147" i="4"/>
  <c r="Q222" i="4"/>
  <c r="Q47" i="4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B6" i="9" l="1"/>
  <c r="B4" i="9"/>
  <c r="K11" i="8"/>
  <c r="K10" i="8"/>
  <c r="B10" i="8"/>
  <c r="U10" i="8" s="1"/>
  <c r="B9" i="8"/>
  <c r="U3" i="8"/>
  <c r="B9" i="7"/>
  <c r="R3" i="7"/>
  <c r="G7" i="6"/>
  <c r="B7" i="6"/>
  <c r="B8" i="6" s="1"/>
  <c r="B6" i="6"/>
  <c r="C240" i="5"/>
  <c r="C228" i="5"/>
  <c r="C205" i="5"/>
  <c r="C200" i="5"/>
  <c r="B192" i="5"/>
  <c r="C192" i="5" s="1"/>
  <c r="B189" i="5"/>
  <c r="C189" i="5" s="1"/>
  <c r="B188" i="5"/>
  <c r="C188" i="5" s="1"/>
  <c r="B173" i="5"/>
  <c r="C173" i="5" s="1"/>
  <c r="B172" i="5"/>
  <c r="C172" i="5" s="1"/>
  <c r="B157" i="5"/>
  <c r="C157" i="5" s="1"/>
  <c r="B156" i="5"/>
  <c r="C156" i="5" s="1"/>
  <c r="B125" i="5"/>
  <c r="C125" i="5" s="1"/>
  <c r="B109" i="5"/>
  <c r="C109" i="5" s="1"/>
  <c r="B77" i="5"/>
  <c r="C77" i="5" s="1"/>
  <c r="B76" i="5"/>
  <c r="C76" i="5" s="1"/>
  <c r="B61" i="5"/>
  <c r="C61" i="5" s="1"/>
  <c r="B28" i="5"/>
  <c r="C28" i="5" s="1"/>
  <c r="B23" i="5"/>
  <c r="C23" i="5" s="1"/>
  <c r="C249" i="4"/>
  <c r="Q249" i="4" s="1"/>
  <c r="D246" i="5" s="1"/>
  <c r="B249" i="4"/>
  <c r="P249" i="4" s="1"/>
  <c r="B246" i="5" s="1"/>
  <c r="C246" i="5" s="1"/>
  <c r="C248" i="4"/>
  <c r="Q248" i="4" s="1"/>
  <c r="D245" i="5" s="1"/>
  <c r="B248" i="4"/>
  <c r="P248" i="4" s="1"/>
  <c r="B245" i="5" s="1"/>
  <c r="C245" i="5" s="1"/>
  <c r="P247" i="4"/>
  <c r="B244" i="5" s="1"/>
  <c r="C244" i="5" s="1"/>
  <c r="C247" i="4"/>
  <c r="Q247" i="4" s="1"/>
  <c r="D244" i="5" s="1"/>
  <c r="B247" i="4"/>
  <c r="Q246" i="4"/>
  <c r="D243" i="5" s="1"/>
  <c r="C246" i="4"/>
  <c r="B246" i="4"/>
  <c r="P246" i="4" s="1"/>
  <c r="B243" i="5" s="1"/>
  <c r="C243" i="5" s="1"/>
  <c r="P245" i="4"/>
  <c r="B242" i="5" s="1"/>
  <c r="C242" i="5" s="1"/>
  <c r="C245" i="4"/>
  <c r="Q245" i="4" s="1"/>
  <c r="D242" i="5" s="1"/>
  <c r="B245" i="4"/>
  <c r="Q244" i="4"/>
  <c r="D241" i="5" s="1"/>
  <c r="P244" i="4"/>
  <c r="B241" i="5" s="1"/>
  <c r="C241" i="5" s="1"/>
  <c r="C244" i="4"/>
  <c r="B244" i="4"/>
  <c r="C243" i="4"/>
  <c r="Q243" i="4" s="1"/>
  <c r="D240" i="5" s="1"/>
  <c r="B243" i="4"/>
  <c r="P243" i="4" s="1"/>
  <c r="B240" i="5" s="1"/>
  <c r="C242" i="4"/>
  <c r="Q242" i="4" s="1"/>
  <c r="D239" i="5" s="1"/>
  <c r="B242" i="4"/>
  <c r="P242" i="4" s="1"/>
  <c r="B239" i="5" s="1"/>
  <c r="C239" i="5" s="1"/>
  <c r="P241" i="4"/>
  <c r="B238" i="5" s="1"/>
  <c r="C238" i="5" s="1"/>
  <c r="C241" i="4"/>
  <c r="Q241" i="4" s="1"/>
  <c r="D238" i="5" s="1"/>
  <c r="B241" i="4"/>
  <c r="Q240" i="4"/>
  <c r="D237" i="5" s="1"/>
  <c r="C240" i="4"/>
  <c r="B240" i="4"/>
  <c r="P240" i="4" s="1"/>
  <c r="B237" i="5" s="1"/>
  <c r="C237" i="5" s="1"/>
  <c r="C239" i="4"/>
  <c r="Q239" i="4" s="1"/>
  <c r="D236" i="5" s="1"/>
  <c r="B239" i="4"/>
  <c r="P239" i="4" s="1"/>
  <c r="B236" i="5" s="1"/>
  <c r="C236" i="5" s="1"/>
  <c r="P238" i="4"/>
  <c r="B235" i="5" s="1"/>
  <c r="C235" i="5" s="1"/>
  <c r="C238" i="4"/>
  <c r="Q238" i="4" s="1"/>
  <c r="D235" i="5" s="1"/>
  <c r="B238" i="4"/>
  <c r="Q237" i="4"/>
  <c r="D234" i="5" s="1"/>
  <c r="C237" i="4"/>
  <c r="B237" i="4"/>
  <c r="P237" i="4" s="1"/>
  <c r="B234" i="5" s="1"/>
  <c r="C234" i="5" s="1"/>
  <c r="P236" i="4"/>
  <c r="B233" i="5" s="1"/>
  <c r="C233" i="5" s="1"/>
  <c r="C236" i="4"/>
  <c r="Q236" i="4" s="1"/>
  <c r="D233" i="5" s="1"/>
  <c r="B236" i="4"/>
  <c r="P235" i="4"/>
  <c r="B232" i="5" s="1"/>
  <c r="C232" i="5" s="1"/>
  <c r="C235" i="4"/>
  <c r="Q235" i="4" s="1"/>
  <c r="D232" i="5" s="1"/>
  <c r="B235" i="4"/>
  <c r="C234" i="4"/>
  <c r="Q234" i="4" s="1"/>
  <c r="D231" i="5" s="1"/>
  <c r="B234" i="4"/>
  <c r="P234" i="4" s="1"/>
  <c r="B231" i="5" s="1"/>
  <c r="C231" i="5" s="1"/>
  <c r="C233" i="4"/>
  <c r="Q233" i="4" s="1"/>
  <c r="D230" i="5" s="1"/>
  <c r="B233" i="4"/>
  <c r="P233" i="4" s="1"/>
  <c r="B230" i="5" s="1"/>
  <c r="C230" i="5" s="1"/>
  <c r="Q232" i="4"/>
  <c r="D229" i="5" s="1"/>
  <c r="P232" i="4"/>
  <c r="B229" i="5" s="1"/>
  <c r="C229" i="5" s="1"/>
  <c r="C232" i="4"/>
  <c r="B232" i="4"/>
  <c r="C231" i="4"/>
  <c r="Q231" i="4" s="1"/>
  <c r="D228" i="5" s="1"/>
  <c r="B231" i="4"/>
  <c r="P231" i="4" s="1"/>
  <c r="B228" i="5" s="1"/>
  <c r="C230" i="4"/>
  <c r="Q230" i="4" s="1"/>
  <c r="D227" i="5" s="1"/>
  <c r="B230" i="4"/>
  <c r="P230" i="4" s="1"/>
  <c r="B227" i="5" s="1"/>
  <c r="C227" i="5" s="1"/>
  <c r="P229" i="4"/>
  <c r="B226" i="5" s="1"/>
  <c r="C226" i="5" s="1"/>
  <c r="C229" i="4"/>
  <c r="Q229" i="4" s="1"/>
  <c r="D226" i="5" s="1"/>
  <c r="B229" i="4"/>
  <c r="Q228" i="4"/>
  <c r="D225" i="5" s="1"/>
  <c r="C228" i="4"/>
  <c r="B228" i="4"/>
  <c r="P228" i="4" s="1"/>
  <c r="B225" i="5" s="1"/>
  <c r="C225" i="5" s="1"/>
  <c r="P227" i="4"/>
  <c r="B224" i="5" s="1"/>
  <c r="C224" i="5" s="1"/>
  <c r="C227" i="4"/>
  <c r="Q227" i="4" s="1"/>
  <c r="D224" i="5" s="1"/>
  <c r="B227" i="4"/>
  <c r="P226" i="4"/>
  <c r="B223" i="5" s="1"/>
  <c r="C223" i="5" s="1"/>
  <c r="C226" i="4"/>
  <c r="Q226" i="4" s="1"/>
  <c r="D223" i="5" s="1"/>
  <c r="B226" i="4"/>
  <c r="Q225" i="4"/>
  <c r="D222" i="5" s="1"/>
  <c r="C225" i="4"/>
  <c r="B225" i="4"/>
  <c r="P225" i="4" s="1"/>
  <c r="B222" i="5" s="1"/>
  <c r="C222" i="5" s="1"/>
  <c r="C224" i="4"/>
  <c r="Q224" i="4" s="1"/>
  <c r="D221" i="5" s="1"/>
  <c r="B224" i="4"/>
  <c r="P224" i="4" s="1"/>
  <c r="B221" i="5" s="1"/>
  <c r="C221" i="5" s="1"/>
  <c r="P223" i="4"/>
  <c r="B220" i="5" s="1"/>
  <c r="C220" i="5" s="1"/>
  <c r="C223" i="4"/>
  <c r="Q223" i="4" s="1"/>
  <c r="D220" i="5" s="1"/>
  <c r="B223" i="4"/>
  <c r="C222" i="4"/>
  <c r="B222" i="4"/>
  <c r="P222" i="4" s="1"/>
  <c r="B219" i="5" s="1"/>
  <c r="C219" i="5" s="1"/>
  <c r="P221" i="4"/>
  <c r="B218" i="5" s="1"/>
  <c r="C218" i="5" s="1"/>
  <c r="C221" i="4"/>
  <c r="Q221" i="4" s="1"/>
  <c r="D218" i="5" s="1"/>
  <c r="B221" i="4"/>
  <c r="P220" i="4"/>
  <c r="B217" i="5" s="1"/>
  <c r="C217" i="5" s="1"/>
  <c r="C220" i="4"/>
  <c r="Q220" i="4" s="1"/>
  <c r="D217" i="5" s="1"/>
  <c r="B220" i="4"/>
  <c r="C219" i="4"/>
  <c r="Q219" i="4" s="1"/>
  <c r="D216" i="5" s="1"/>
  <c r="B219" i="4"/>
  <c r="P219" i="4" s="1"/>
  <c r="B216" i="5" s="1"/>
  <c r="C216" i="5" s="1"/>
  <c r="P218" i="4"/>
  <c r="B215" i="5" s="1"/>
  <c r="C215" i="5" s="1"/>
  <c r="C218" i="4"/>
  <c r="Q218" i="4" s="1"/>
  <c r="D215" i="5" s="1"/>
  <c r="B218" i="4"/>
  <c r="P217" i="4"/>
  <c r="B214" i="5" s="1"/>
  <c r="C214" i="5" s="1"/>
  <c r="C217" i="4"/>
  <c r="Q217" i="4" s="1"/>
  <c r="D214" i="5" s="1"/>
  <c r="B217" i="4"/>
  <c r="Q216" i="4"/>
  <c r="D213" i="5" s="1"/>
  <c r="C216" i="4"/>
  <c r="B216" i="4"/>
  <c r="P216" i="4" s="1"/>
  <c r="B213" i="5" s="1"/>
  <c r="C213" i="5" s="1"/>
  <c r="C215" i="4"/>
  <c r="Q215" i="4" s="1"/>
  <c r="D212" i="5" s="1"/>
  <c r="B215" i="4"/>
  <c r="P215" i="4" s="1"/>
  <c r="B212" i="5" s="1"/>
  <c r="C212" i="5" s="1"/>
  <c r="P214" i="4"/>
  <c r="B211" i="5" s="1"/>
  <c r="C211" i="5" s="1"/>
  <c r="C214" i="4"/>
  <c r="Q214" i="4" s="1"/>
  <c r="D211" i="5" s="1"/>
  <c r="B214" i="4"/>
  <c r="Q213" i="4"/>
  <c r="D210" i="5" s="1"/>
  <c r="C213" i="4"/>
  <c r="B213" i="4"/>
  <c r="P213" i="4" s="1"/>
  <c r="B210" i="5" s="1"/>
  <c r="C210" i="5" s="1"/>
  <c r="C212" i="4"/>
  <c r="Q212" i="4" s="1"/>
  <c r="D209" i="5" s="1"/>
  <c r="B212" i="4"/>
  <c r="P212" i="4" s="1"/>
  <c r="B209" i="5" s="1"/>
  <c r="C209" i="5" s="1"/>
  <c r="P211" i="4"/>
  <c r="B208" i="5" s="1"/>
  <c r="C208" i="5" s="1"/>
  <c r="C211" i="4"/>
  <c r="Q211" i="4" s="1"/>
  <c r="D208" i="5" s="1"/>
  <c r="B211" i="4"/>
  <c r="C210" i="4"/>
  <c r="Q210" i="4" s="1"/>
  <c r="D207" i="5" s="1"/>
  <c r="B210" i="4"/>
  <c r="P210" i="4" s="1"/>
  <c r="B207" i="5" s="1"/>
  <c r="C207" i="5" s="1"/>
  <c r="P209" i="4"/>
  <c r="B206" i="5" s="1"/>
  <c r="C206" i="5" s="1"/>
  <c r="C209" i="4"/>
  <c r="Q209" i="4" s="1"/>
  <c r="D206" i="5" s="1"/>
  <c r="B209" i="4"/>
  <c r="P208" i="4"/>
  <c r="B205" i="5" s="1"/>
  <c r="C208" i="4"/>
  <c r="Q208" i="4" s="1"/>
  <c r="D205" i="5" s="1"/>
  <c r="B208" i="4"/>
  <c r="Q207" i="4"/>
  <c r="D204" i="5" s="1"/>
  <c r="C207" i="4"/>
  <c r="B207" i="4"/>
  <c r="P207" i="4" s="1"/>
  <c r="B204" i="5" s="1"/>
  <c r="C204" i="5" s="1"/>
  <c r="C206" i="4"/>
  <c r="Q206" i="4" s="1"/>
  <c r="D203" i="5" s="1"/>
  <c r="B206" i="4"/>
  <c r="P206" i="4" s="1"/>
  <c r="B203" i="5" s="1"/>
  <c r="C203" i="5" s="1"/>
  <c r="P205" i="4"/>
  <c r="B202" i="5" s="1"/>
  <c r="C202" i="5" s="1"/>
  <c r="C205" i="4"/>
  <c r="Q205" i="4" s="1"/>
  <c r="D202" i="5" s="1"/>
  <c r="B205" i="4"/>
  <c r="C204" i="4"/>
  <c r="Q204" i="4" s="1"/>
  <c r="D201" i="5" s="1"/>
  <c r="B204" i="4"/>
  <c r="P204" i="4" s="1"/>
  <c r="B201" i="5" s="1"/>
  <c r="C201" i="5" s="1"/>
  <c r="P203" i="4"/>
  <c r="B200" i="5" s="1"/>
  <c r="C203" i="4"/>
  <c r="Q203" i="4" s="1"/>
  <c r="D200" i="5" s="1"/>
  <c r="B203" i="4"/>
  <c r="P202" i="4"/>
  <c r="B199" i="5" s="1"/>
  <c r="C199" i="5" s="1"/>
  <c r="C202" i="4"/>
  <c r="Q202" i="4" s="1"/>
  <c r="D199" i="5" s="1"/>
  <c r="B202" i="4"/>
  <c r="C201" i="4"/>
  <c r="Q201" i="4" s="1"/>
  <c r="D198" i="5" s="1"/>
  <c r="B201" i="4"/>
  <c r="P201" i="4" s="1"/>
  <c r="B198" i="5" s="1"/>
  <c r="C198" i="5" s="1"/>
  <c r="P200" i="4"/>
  <c r="B197" i="5" s="1"/>
  <c r="C197" i="5" s="1"/>
  <c r="C200" i="4"/>
  <c r="Q200" i="4" s="1"/>
  <c r="D197" i="5" s="1"/>
  <c r="B200" i="4"/>
  <c r="P199" i="4"/>
  <c r="B196" i="5" s="1"/>
  <c r="C196" i="5" s="1"/>
  <c r="C199" i="4"/>
  <c r="Q199" i="4" s="1"/>
  <c r="D196" i="5" s="1"/>
  <c r="B199" i="4"/>
  <c r="C198" i="4"/>
  <c r="Q198" i="4" s="1"/>
  <c r="D195" i="5" s="1"/>
  <c r="B198" i="4"/>
  <c r="P198" i="4" s="1"/>
  <c r="B195" i="5" s="1"/>
  <c r="C195" i="5" s="1"/>
  <c r="C197" i="4"/>
  <c r="Q197" i="4" s="1"/>
  <c r="D194" i="5" s="1"/>
  <c r="B197" i="4"/>
  <c r="P197" i="4" s="1"/>
  <c r="B194" i="5" s="1"/>
  <c r="C194" i="5" s="1"/>
  <c r="P196" i="4"/>
  <c r="B193" i="5" s="1"/>
  <c r="C193" i="5" s="1"/>
  <c r="C196" i="4"/>
  <c r="Q196" i="4" s="1"/>
  <c r="D193" i="5" s="1"/>
  <c r="B196" i="4"/>
  <c r="C195" i="4"/>
  <c r="Q195" i="4" s="1"/>
  <c r="D192" i="5" s="1"/>
  <c r="B195" i="4"/>
  <c r="P195" i="4" s="1"/>
  <c r="C194" i="4"/>
  <c r="Q194" i="4" s="1"/>
  <c r="D191" i="5" s="1"/>
  <c r="B194" i="4"/>
  <c r="P194" i="4" s="1"/>
  <c r="B191" i="5" s="1"/>
  <c r="C191" i="5" s="1"/>
  <c r="P193" i="4"/>
  <c r="B190" i="5" s="1"/>
  <c r="C190" i="5" s="1"/>
  <c r="C193" i="4"/>
  <c r="Q193" i="4" s="1"/>
  <c r="D190" i="5" s="1"/>
  <c r="B193" i="4"/>
  <c r="C192" i="4"/>
  <c r="Q192" i="4" s="1"/>
  <c r="D189" i="5" s="1"/>
  <c r="B192" i="4"/>
  <c r="P192" i="4" s="1"/>
  <c r="P191" i="4"/>
  <c r="C191" i="4"/>
  <c r="Q191" i="4" s="1"/>
  <c r="D188" i="5" s="1"/>
  <c r="B191" i="4"/>
  <c r="P190" i="4"/>
  <c r="B187" i="5" s="1"/>
  <c r="C187" i="5" s="1"/>
  <c r="C190" i="4"/>
  <c r="Q190" i="4" s="1"/>
  <c r="D187" i="5" s="1"/>
  <c r="B190" i="4"/>
  <c r="C189" i="4"/>
  <c r="Q189" i="4" s="1"/>
  <c r="D186" i="5" s="1"/>
  <c r="B189" i="4"/>
  <c r="P189" i="4" s="1"/>
  <c r="B186" i="5" s="1"/>
  <c r="C186" i="5" s="1"/>
  <c r="C188" i="4"/>
  <c r="Q188" i="4" s="1"/>
  <c r="D185" i="5" s="1"/>
  <c r="B188" i="4"/>
  <c r="P188" i="4" s="1"/>
  <c r="B185" i="5" s="1"/>
  <c r="C185" i="5" s="1"/>
  <c r="C187" i="4"/>
  <c r="Q187" i="4" s="1"/>
  <c r="D184" i="5" s="1"/>
  <c r="B187" i="4"/>
  <c r="P187" i="4" s="1"/>
  <c r="B184" i="5" s="1"/>
  <c r="C184" i="5" s="1"/>
  <c r="C186" i="4"/>
  <c r="Q186" i="4" s="1"/>
  <c r="D183" i="5" s="1"/>
  <c r="B186" i="4"/>
  <c r="P186" i="4" s="1"/>
  <c r="B183" i="5" s="1"/>
  <c r="C183" i="5" s="1"/>
  <c r="P185" i="4"/>
  <c r="B182" i="5" s="1"/>
  <c r="C182" i="5" s="1"/>
  <c r="C185" i="4"/>
  <c r="Q185" i="4" s="1"/>
  <c r="D182" i="5" s="1"/>
  <c r="B185" i="4"/>
  <c r="P184" i="4"/>
  <c r="B181" i="5" s="1"/>
  <c r="C181" i="5" s="1"/>
  <c r="C184" i="4"/>
  <c r="Q184" i="4" s="1"/>
  <c r="D181" i="5" s="1"/>
  <c r="B184" i="4"/>
  <c r="C183" i="4"/>
  <c r="Q183" i="4" s="1"/>
  <c r="D180" i="5" s="1"/>
  <c r="B183" i="4"/>
  <c r="P183" i="4" s="1"/>
  <c r="B180" i="5" s="1"/>
  <c r="C180" i="5" s="1"/>
  <c r="P182" i="4"/>
  <c r="B179" i="5" s="1"/>
  <c r="C179" i="5" s="1"/>
  <c r="C182" i="4"/>
  <c r="Q182" i="4" s="1"/>
  <c r="D179" i="5" s="1"/>
  <c r="B182" i="4"/>
  <c r="C181" i="4"/>
  <c r="Q181" i="4" s="1"/>
  <c r="D178" i="5" s="1"/>
  <c r="B181" i="4"/>
  <c r="P181" i="4" s="1"/>
  <c r="B178" i="5" s="1"/>
  <c r="C178" i="5" s="1"/>
  <c r="Q180" i="4"/>
  <c r="D177" i="5" s="1"/>
  <c r="C180" i="4"/>
  <c r="B180" i="4"/>
  <c r="P180" i="4" s="1"/>
  <c r="B177" i="5" s="1"/>
  <c r="C177" i="5" s="1"/>
  <c r="C179" i="4"/>
  <c r="Q179" i="4" s="1"/>
  <c r="D176" i="5" s="1"/>
  <c r="B179" i="4"/>
  <c r="P179" i="4" s="1"/>
  <c r="B176" i="5" s="1"/>
  <c r="C176" i="5" s="1"/>
  <c r="P178" i="4"/>
  <c r="B175" i="5" s="1"/>
  <c r="C175" i="5" s="1"/>
  <c r="C178" i="4"/>
  <c r="Q178" i="4" s="1"/>
  <c r="D175" i="5" s="1"/>
  <c r="B178" i="4"/>
  <c r="Q177" i="4"/>
  <c r="D174" i="5" s="1"/>
  <c r="C177" i="4"/>
  <c r="B177" i="4"/>
  <c r="P177" i="4" s="1"/>
  <c r="B174" i="5" s="1"/>
  <c r="C174" i="5" s="1"/>
  <c r="C176" i="4"/>
  <c r="Q176" i="4" s="1"/>
  <c r="D173" i="5" s="1"/>
  <c r="B176" i="4"/>
  <c r="P176" i="4" s="1"/>
  <c r="P175" i="4"/>
  <c r="C175" i="4"/>
  <c r="Q175" i="4" s="1"/>
  <c r="D172" i="5" s="1"/>
  <c r="B175" i="4"/>
  <c r="C174" i="4"/>
  <c r="Q174" i="4" s="1"/>
  <c r="D171" i="5" s="1"/>
  <c r="B174" i="4"/>
  <c r="P174" i="4" s="1"/>
  <c r="B171" i="5" s="1"/>
  <c r="C171" i="5" s="1"/>
  <c r="P173" i="4"/>
  <c r="B170" i="5" s="1"/>
  <c r="C170" i="5" s="1"/>
  <c r="C173" i="4"/>
  <c r="Q173" i="4" s="1"/>
  <c r="D170" i="5" s="1"/>
  <c r="B173" i="4"/>
  <c r="C172" i="4"/>
  <c r="Q172" i="4" s="1"/>
  <c r="D169" i="5" s="1"/>
  <c r="B172" i="4"/>
  <c r="P172" i="4" s="1"/>
  <c r="B169" i="5" s="1"/>
  <c r="C169" i="5" s="1"/>
  <c r="C171" i="4"/>
  <c r="Q171" i="4" s="1"/>
  <c r="D168" i="5" s="1"/>
  <c r="B171" i="4"/>
  <c r="P171" i="4" s="1"/>
  <c r="B168" i="5" s="1"/>
  <c r="C168" i="5" s="1"/>
  <c r="C170" i="4"/>
  <c r="Q170" i="4" s="1"/>
  <c r="D167" i="5" s="1"/>
  <c r="B170" i="4"/>
  <c r="P170" i="4" s="1"/>
  <c r="B167" i="5" s="1"/>
  <c r="C167" i="5" s="1"/>
  <c r="C169" i="4"/>
  <c r="Q169" i="4" s="1"/>
  <c r="D166" i="5" s="1"/>
  <c r="B169" i="4"/>
  <c r="P169" i="4" s="1"/>
  <c r="B166" i="5" s="1"/>
  <c r="C166" i="5" s="1"/>
  <c r="C168" i="4"/>
  <c r="Q168" i="4" s="1"/>
  <c r="D165" i="5" s="1"/>
  <c r="B168" i="4"/>
  <c r="P168" i="4" s="1"/>
  <c r="B165" i="5" s="1"/>
  <c r="C165" i="5" s="1"/>
  <c r="P167" i="4"/>
  <c r="B164" i="5" s="1"/>
  <c r="C164" i="5" s="1"/>
  <c r="C167" i="4"/>
  <c r="Q167" i="4" s="1"/>
  <c r="D164" i="5" s="1"/>
  <c r="B167" i="4"/>
  <c r="P166" i="4"/>
  <c r="B163" i="5" s="1"/>
  <c r="C163" i="5" s="1"/>
  <c r="C166" i="4"/>
  <c r="Q166" i="4" s="1"/>
  <c r="D163" i="5" s="1"/>
  <c r="B166" i="4"/>
  <c r="C165" i="4"/>
  <c r="Q165" i="4" s="1"/>
  <c r="D162" i="5" s="1"/>
  <c r="B165" i="4"/>
  <c r="P165" i="4" s="1"/>
  <c r="B162" i="5" s="1"/>
  <c r="C162" i="5" s="1"/>
  <c r="P164" i="4"/>
  <c r="B161" i="5" s="1"/>
  <c r="C161" i="5" s="1"/>
  <c r="C164" i="4"/>
  <c r="Q164" i="4" s="1"/>
  <c r="D161" i="5" s="1"/>
  <c r="B164" i="4"/>
  <c r="C163" i="4"/>
  <c r="Q163" i="4" s="1"/>
  <c r="D160" i="5" s="1"/>
  <c r="B163" i="4"/>
  <c r="P163" i="4" s="1"/>
  <c r="B160" i="5" s="1"/>
  <c r="C160" i="5" s="1"/>
  <c r="C162" i="4"/>
  <c r="Q162" i="4" s="1"/>
  <c r="D159" i="5" s="1"/>
  <c r="B162" i="4"/>
  <c r="P162" i="4" s="1"/>
  <c r="B159" i="5" s="1"/>
  <c r="C159" i="5" s="1"/>
  <c r="C161" i="4"/>
  <c r="Q161" i="4" s="1"/>
  <c r="D158" i="5" s="1"/>
  <c r="B161" i="4"/>
  <c r="P161" i="4" s="1"/>
  <c r="B158" i="5" s="1"/>
  <c r="C158" i="5" s="1"/>
  <c r="P160" i="4"/>
  <c r="C160" i="4"/>
  <c r="Q160" i="4" s="1"/>
  <c r="D157" i="5" s="1"/>
  <c r="B160" i="4"/>
  <c r="C159" i="4"/>
  <c r="Q159" i="4" s="1"/>
  <c r="D156" i="5" s="1"/>
  <c r="B159" i="4"/>
  <c r="P159" i="4" s="1"/>
  <c r="C158" i="4"/>
  <c r="Q158" i="4" s="1"/>
  <c r="D155" i="5" s="1"/>
  <c r="B158" i="4"/>
  <c r="P158" i="4" s="1"/>
  <c r="B155" i="5" s="1"/>
  <c r="C155" i="5" s="1"/>
  <c r="Q157" i="4"/>
  <c r="D154" i="5" s="1"/>
  <c r="P157" i="4"/>
  <c r="B154" i="5" s="1"/>
  <c r="C154" i="5" s="1"/>
  <c r="C157" i="4"/>
  <c r="B157" i="4"/>
  <c r="C156" i="4"/>
  <c r="Q156" i="4" s="1"/>
  <c r="D153" i="5" s="1"/>
  <c r="B156" i="4"/>
  <c r="P156" i="4" s="1"/>
  <c r="B153" i="5" s="1"/>
  <c r="C153" i="5" s="1"/>
  <c r="P155" i="4"/>
  <c r="B152" i="5" s="1"/>
  <c r="C152" i="5" s="1"/>
  <c r="C155" i="4"/>
  <c r="Q155" i="4" s="1"/>
  <c r="D152" i="5" s="1"/>
  <c r="B155" i="4"/>
  <c r="C154" i="4"/>
  <c r="Q154" i="4" s="1"/>
  <c r="D151" i="5" s="1"/>
  <c r="B154" i="4"/>
  <c r="P154" i="4" s="1"/>
  <c r="B151" i="5" s="1"/>
  <c r="C151" i="5" s="1"/>
  <c r="C153" i="4"/>
  <c r="Q153" i="4" s="1"/>
  <c r="D150" i="5" s="1"/>
  <c r="B153" i="4"/>
  <c r="P153" i="4" s="1"/>
  <c r="B150" i="5" s="1"/>
  <c r="C150" i="5" s="1"/>
  <c r="C152" i="4"/>
  <c r="Q152" i="4" s="1"/>
  <c r="D149" i="5" s="1"/>
  <c r="B152" i="4"/>
  <c r="P152" i="4" s="1"/>
  <c r="B149" i="5" s="1"/>
  <c r="C149" i="5" s="1"/>
  <c r="C151" i="4"/>
  <c r="Q151" i="4" s="1"/>
  <c r="D148" i="5" s="1"/>
  <c r="B151" i="4"/>
  <c r="P151" i="4" s="1"/>
  <c r="B148" i="5" s="1"/>
  <c r="C148" i="5" s="1"/>
  <c r="C150" i="4"/>
  <c r="Q150" i="4" s="1"/>
  <c r="D147" i="5" s="1"/>
  <c r="B150" i="4"/>
  <c r="P150" i="4" s="1"/>
  <c r="B147" i="5" s="1"/>
  <c r="C147" i="5" s="1"/>
  <c r="P149" i="4"/>
  <c r="B146" i="5" s="1"/>
  <c r="C146" i="5" s="1"/>
  <c r="C149" i="4"/>
  <c r="Q149" i="4" s="1"/>
  <c r="D146" i="5" s="1"/>
  <c r="B149" i="4"/>
  <c r="P148" i="4"/>
  <c r="B145" i="5" s="1"/>
  <c r="C145" i="5" s="1"/>
  <c r="C148" i="4"/>
  <c r="Q148" i="4" s="1"/>
  <c r="D145" i="5" s="1"/>
  <c r="B148" i="4"/>
  <c r="C147" i="4"/>
  <c r="D144" i="5" s="1"/>
  <c r="B147" i="4"/>
  <c r="P147" i="4" s="1"/>
  <c r="B144" i="5" s="1"/>
  <c r="C144" i="5" s="1"/>
  <c r="P146" i="4"/>
  <c r="B143" i="5" s="1"/>
  <c r="C143" i="5" s="1"/>
  <c r="C146" i="4"/>
  <c r="Q146" i="4" s="1"/>
  <c r="D143" i="5" s="1"/>
  <c r="B146" i="4"/>
  <c r="C145" i="4"/>
  <c r="Q145" i="4" s="1"/>
  <c r="D142" i="5" s="1"/>
  <c r="B145" i="4"/>
  <c r="P145" i="4" s="1"/>
  <c r="B142" i="5" s="1"/>
  <c r="C142" i="5" s="1"/>
  <c r="C144" i="4"/>
  <c r="Q144" i="4" s="1"/>
  <c r="D141" i="5" s="1"/>
  <c r="B144" i="4"/>
  <c r="P144" i="4" s="1"/>
  <c r="B141" i="5" s="1"/>
  <c r="C141" i="5" s="1"/>
  <c r="C143" i="4"/>
  <c r="Q143" i="4" s="1"/>
  <c r="D140" i="5" s="1"/>
  <c r="B143" i="4"/>
  <c r="P143" i="4" s="1"/>
  <c r="B140" i="5" s="1"/>
  <c r="C140" i="5" s="1"/>
  <c r="C142" i="4"/>
  <c r="Q142" i="4" s="1"/>
  <c r="D139" i="5" s="1"/>
  <c r="B142" i="4"/>
  <c r="P142" i="4" s="1"/>
  <c r="B139" i="5" s="1"/>
  <c r="C139" i="5" s="1"/>
  <c r="Q141" i="4"/>
  <c r="D138" i="5" s="1"/>
  <c r="C141" i="4"/>
  <c r="B141" i="4"/>
  <c r="P141" i="4" s="1"/>
  <c r="B138" i="5" s="1"/>
  <c r="C138" i="5" s="1"/>
  <c r="C140" i="4"/>
  <c r="Q140" i="4" s="1"/>
  <c r="D137" i="5" s="1"/>
  <c r="B140" i="4"/>
  <c r="P140" i="4" s="1"/>
  <c r="B137" i="5" s="1"/>
  <c r="C137" i="5" s="1"/>
  <c r="P139" i="4"/>
  <c r="B136" i="5" s="1"/>
  <c r="C136" i="5" s="1"/>
  <c r="C139" i="4"/>
  <c r="Q139" i="4" s="1"/>
  <c r="D136" i="5" s="1"/>
  <c r="B139" i="4"/>
  <c r="P138" i="4"/>
  <c r="B135" i="5" s="1"/>
  <c r="C135" i="5" s="1"/>
  <c r="C138" i="4"/>
  <c r="Q138" i="4" s="1"/>
  <c r="D135" i="5" s="1"/>
  <c r="B138" i="4"/>
  <c r="C137" i="4"/>
  <c r="Q137" i="4" s="1"/>
  <c r="D134" i="5" s="1"/>
  <c r="B137" i="4"/>
  <c r="P137" i="4" s="1"/>
  <c r="B134" i="5" s="1"/>
  <c r="C134" i="5" s="1"/>
  <c r="P136" i="4"/>
  <c r="B133" i="5" s="1"/>
  <c r="C133" i="5" s="1"/>
  <c r="C136" i="4"/>
  <c r="Q136" i="4" s="1"/>
  <c r="D133" i="5" s="1"/>
  <c r="B136" i="4"/>
  <c r="P135" i="4"/>
  <c r="B132" i="5" s="1"/>
  <c r="C132" i="5" s="1"/>
  <c r="C135" i="4"/>
  <c r="Q135" i="4" s="1"/>
  <c r="D132" i="5" s="1"/>
  <c r="B135" i="4"/>
  <c r="C134" i="4"/>
  <c r="Q134" i="4" s="1"/>
  <c r="D131" i="5" s="1"/>
  <c r="B134" i="4"/>
  <c r="P134" i="4" s="1"/>
  <c r="B131" i="5" s="1"/>
  <c r="C131" i="5" s="1"/>
  <c r="P133" i="4"/>
  <c r="B130" i="5" s="1"/>
  <c r="C130" i="5" s="1"/>
  <c r="C133" i="4"/>
  <c r="Q133" i="4" s="1"/>
  <c r="D130" i="5" s="1"/>
  <c r="B133" i="4"/>
  <c r="C132" i="4"/>
  <c r="Q132" i="4" s="1"/>
  <c r="D129" i="5" s="1"/>
  <c r="B132" i="4"/>
  <c r="P132" i="4" s="1"/>
  <c r="B129" i="5" s="1"/>
  <c r="C129" i="5" s="1"/>
  <c r="C131" i="4"/>
  <c r="Q131" i="4" s="1"/>
  <c r="D128" i="5" s="1"/>
  <c r="B131" i="4"/>
  <c r="P131" i="4" s="1"/>
  <c r="B128" i="5" s="1"/>
  <c r="C128" i="5" s="1"/>
  <c r="P130" i="4"/>
  <c r="B127" i="5" s="1"/>
  <c r="C127" i="5" s="1"/>
  <c r="C130" i="4"/>
  <c r="Q130" i="4" s="1"/>
  <c r="D127" i="5" s="1"/>
  <c r="B130" i="4"/>
  <c r="C129" i="4"/>
  <c r="Q129" i="4" s="1"/>
  <c r="D126" i="5" s="1"/>
  <c r="B129" i="4"/>
  <c r="P129" i="4" s="1"/>
  <c r="B126" i="5" s="1"/>
  <c r="C126" i="5" s="1"/>
  <c r="P128" i="4"/>
  <c r="C128" i="4"/>
  <c r="Q128" i="4" s="1"/>
  <c r="D125" i="5" s="1"/>
  <c r="B128" i="4"/>
  <c r="C127" i="4"/>
  <c r="Q127" i="4" s="1"/>
  <c r="D124" i="5" s="1"/>
  <c r="B127" i="4"/>
  <c r="P127" i="4" s="1"/>
  <c r="B124" i="5" s="1"/>
  <c r="C124" i="5" s="1"/>
  <c r="P126" i="4"/>
  <c r="B123" i="5" s="1"/>
  <c r="C123" i="5" s="1"/>
  <c r="C126" i="4"/>
  <c r="Q126" i="4" s="1"/>
  <c r="D123" i="5" s="1"/>
  <c r="B126" i="4"/>
  <c r="P125" i="4"/>
  <c r="B122" i="5" s="1"/>
  <c r="C122" i="5" s="1"/>
  <c r="C125" i="4"/>
  <c r="Q125" i="4" s="1"/>
  <c r="D122" i="5" s="1"/>
  <c r="B125" i="4"/>
  <c r="C124" i="4"/>
  <c r="Q124" i="4" s="1"/>
  <c r="D121" i="5" s="1"/>
  <c r="B124" i="4"/>
  <c r="P124" i="4" s="1"/>
  <c r="B121" i="5" s="1"/>
  <c r="C121" i="5" s="1"/>
  <c r="Q123" i="4"/>
  <c r="D120" i="5" s="1"/>
  <c r="P123" i="4"/>
  <c r="B120" i="5" s="1"/>
  <c r="C120" i="5" s="1"/>
  <c r="C123" i="4"/>
  <c r="B123" i="4"/>
  <c r="C122" i="4"/>
  <c r="Q122" i="4" s="1"/>
  <c r="D119" i="5" s="1"/>
  <c r="B122" i="4"/>
  <c r="P122" i="4" s="1"/>
  <c r="B119" i="5" s="1"/>
  <c r="C119" i="5" s="1"/>
  <c r="C121" i="4"/>
  <c r="Q121" i="4" s="1"/>
  <c r="D118" i="5" s="1"/>
  <c r="B121" i="4"/>
  <c r="P121" i="4" s="1"/>
  <c r="B118" i="5" s="1"/>
  <c r="C118" i="5" s="1"/>
  <c r="P120" i="4"/>
  <c r="B117" i="5" s="1"/>
  <c r="C117" i="5" s="1"/>
  <c r="C120" i="4"/>
  <c r="Q120" i="4" s="1"/>
  <c r="D117" i="5" s="1"/>
  <c r="B120" i="4"/>
  <c r="C119" i="4"/>
  <c r="Q119" i="4" s="1"/>
  <c r="D116" i="5" s="1"/>
  <c r="B119" i="4"/>
  <c r="P119" i="4" s="1"/>
  <c r="B116" i="5" s="1"/>
  <c r="C116" i="5" s="1"/>
  <c r="C118" i="4"/>
  <c r="Q118" i="4" s="1"/>
  <c r="D115" i="5" s="1"/>
  <c r="B118" i="4"/>
  <c r="P118" i="4" s="1"/>
  <c r="B115" i="5" s="1"/>
  <c r="C115" i="5" s="1"/>
  <c r="P117" i="4"/>
  <c r="B114" i="5" s="1"/>
  <c r="C114" i="5" s="1"/>
  <c r="C117" i="4"/>
  <c r="Q117" i="4" s="1"/>
  <c r="D114" i="5" s="1"/>
  <c r="B117" i="4"/>
  <c r="P116" i="4"/>
  <c r="B113" i="5" s="1"/>
  <c r="C113" i="5" s="1"/>
  <c r="C116" i="4"/>
  <c r="Q116" i="4" s="1"/>
  <c r="D113" i="5" s="1"/>
  <c r="B116" i="4"/>
  <c r="P115" i="4"/>
  <c r="B112" i="5" s="1"/>
  <c r="C112" i="5" s="1"/>
  <c r="C115" i="4"/>
  <c r="Q115" i="4" s="1"/>
  <c r="D112" i="5" s="1"/>
  <c r="B115" i="4"/>
  <c r="C114" i="4"/>
  <c r="Q114" i="4" s="1"/>
  <c r="D111" i="5" s="1"/>
  <c r="B114" i="4"/>
  <c r="P114" i="4" s="1"/>
  <c r="B111" i="5" s="1"/>
  <c r="C111" i="5" s="1"/>
  <c r="P113" i="4"/>
  <c r="B110" i="5" s="1"/>
  <c r="C110" i="5" s="1"/>
  <c r="C113" i="4"/>
  <c r="Q113" i="4" s="1"/>
  <c r="D110" i="5" s="1"/>
  <c r="B113" i="4"/>
  <c r="P112" i="4"/>
  <c r="C112" i="4"/>
  <c r="Q112" i="4" s="1"/>
  <c r="D109" i="5" s="1"/>
  <c r="B112" i="4"/>
  <c r="C111" i="4"/>
  <c r="Q111" i="4" s="1"/>
  <c r="D108" i="5" s="1"/>
  <c r="B111" i="4"/>
  <c r="P111" i="4" s="1"/>
  <c r="B108" i="5" s="1"/>
  <c r="C108" i="5" s="1"/>
  <c r="P110" i="4"/>
  <c r="B107" i="5" s="1"/>
  <c r="C107" i="5" s="1"/>
  <c r="C110" i="4"/>
  <c r="Q110" i="4" s="1"/>
  <c r="D107" i="5" s="1"/>
  <c r="B110" i="4"/>
  <c r="C109" i="4"/>
  <c r="Q109" i="4" s="1"/>
  <c r="D106" i="5" s="1"/>
  <c r="B109" i="4"/>
  <c r="P109" i="4" s="1"/>
  <c r="B106" i="5" s="1"/>
  <c r="C106" i="5" s="1"/>
  <c r="C108" i="4"/>
  <c r="Q108" i="4" s="1"/>
  <c r="D105" i="5" s="1"/>
  <c r="B108" i="4"/>
  <c r="P108" i="4" s="1"/>
  <c r="B105" i="5" s="1"/>
  <c r="C105" i="5" s="1"/>
  <c r="C107" i="4"/>
  <c r="Q107" i="4" s="1"/>
  <c r="D104" i="5" s="1"/>
  <c r="B107" i="4"/>
  <c r="P107" i="4" s="1"/>
  <c r="B104" i="5" s="1"/>
  <c r="C104" i="5" s="1"/>
  <c r="C106" i="4"/>
  <c r="Q106" i="4" s="1"/>
  <c r="D103" i="5" s="1"/>
  <c r="B106" i="4"/>
  <c r="P106" i="4" s="1"/>
  <c r="B103" i="5" s="1"/>
  <c r="C103" i="5" s="1"/>
  <c r="C105" i="4"/>
  <c r="Q105" i="4" s="1"/>
  <c r="D102" i="5" s="1"/>
  <c r="B105" i="4"/>
  <c r="P105" i="4" s="1"/>
  <c r="B102" i="5" s="1"/>
  <c r="C102" i="5" s="1"/>
  <c r="C104" i="4"/>
  <c r="Q104" i="4" s="1"/>
  <c r="D101" i="5" s="1"/>
  <c r="B104" i="4"/>
  <c r="P104" i="4" s="1"/>
  <c r="B101" i="5" s="1"/>
  <c r="C101" i="5" s="1"/>
  <c r="P103" i="4"/>
  <c r="B100" i="5" s="1"/>
  <c r="C100" i="5" s="1"/>
  <c r="C103" i="4"/>
  <c r="Q103" i="4" s="1"/>
  <c r="D100" i="5" s="1"/>
  <c r="B103" i="4"/>
  <c r="Q102" i="4"/>
  <c r="D99" i="5" s="1"/>
  <c r="P102" i="4"/>
  <c r="B99" i="5" s="1"/>
  <c r="C99" i="5" s="1"/>
  <c r="C102" i="4"/>
  <c r="B102" i="4"/>
  <c r="C101" i="4"/>
  <c r="Q101" i="4" s="1"/>
  <c r="D98" i="5" s="1"/>
  <c r="B101" i="4"/>
  <c r="P101" i="4" s="1"/>
  <c r="B98" i="5" s="1"/>
  <c r="C98" i="5" s="1"/>
  <c r="P100" i="4"/>
  <c r="B97" i="5" s="1"/>
  <c r="C97" i="5" s="1"/>
  <c r="C100" i="4"/>
  <c r="Q100" i="4" s="1"/>
  <c r="D97" i="5" s="1"/>
  <c r="B100" i="4"/>
  <c r="P99" i="4"/>
  <c r="B96" i="5" s="1"/>
  <c r="C96" i="5" s="1"/>
  <c r="C99" i="4"/>
  <c r="Q99" i="4" s="1"/>
  <c r="D96" i="5" s="1"/>
  <c r="B99" i="4"/>
  <c r="C98" i="4"/>
  <c r="Q98" i="4" s="1"/>
  <c r="D95" i="5" s="1"/>
  <c r="B98" i="4"/>
  <c r="P98" i="4" s="1"/>
  <c r="B95" i="5" s="1"/>
  <c r="C95" i="5" s="1"/>
  <c r="P97" i="4"/>
  <c r="B94" i="5" s="1"/>
  <c r="C94" i="5" s="1"/>
  <c r="C97" i="4"/>
  <c r="Q97" i="4" s="1"/>
  <c r="D94" i="5" s="1"/>
  <c r="B97" i="4"/>
  <c r="C96" i="4"/>
  <c r="Q96" i="4" s="1"/>
  <c r="D93" i="5" s="1"/>
  <c r="B96" i="4"/>
  <c r="P96" i="4" s="1"/>
  <c r="B93" i="5" s="1"/>
  <c r="C93" i="5" s="1"/>
  <c r="C95" i="4"/>
  <c r="Q95" i="4" s="1"/>
  <c r="D92" i="5" s="1"/>
  <c r="B95" i="4"/>
  <c r="P95" i="4" s="1"/>
  <c r="B92" i="5" s="1"/>
  <c r="C92" i="5" s="1"/>
  <c r="C94" i="4"/>
  <c r="Q94" i="4" s="1"/>
  <c r="D91" i="5" s="1"/>
  <c r="B94" i="4"/>
  <c r="P94" i="4" s="1"/>
  <c r="B91" i="5" s="1"/>
  <c r="C91" i="5" s="1"/>
  <c r="C93" i="4"/>
  <c r="Q93" i="4" s="1"/>
  <c r="D90" i="5" s="1"/>
  <c r="B93" i="4"/>
  <c r="P93" i="4" s="1"/>
  <c r="B90" i="5" s="1"/>
  <c r="C90" i="5" s="1"/>
  <c r="P92" i="4"/>
  <c r="B89" i="5" s="1"/>
  <c r="C89" i="5" s="1"/>
  <c r="C92" i="4"/>
  <c r="D89" i="5" s="1"/>
  <c r="B92" i="4"/>
  <c r="C91" i="4"/>
  <c r="Q91" i="4" s="1"/>
  <c r="D88" i="5" s="1"/>
  <c r="B91" i="4"/>
  <c r="P91" i="4" s="1"/>
  <c r="B88" i="5" s="1"/>
  <c r="C88" i="5" s="1"/>
  <c r="P90" i="4"/>
  <c r="B87" i="5" s="1"/>
  <c r="C87" i="5" s="1"/>
  <c r="C90" i="4"/>
  <c r="Q90" i="4" s="1"/>
  <c r="D87" i="5" s="1"/>
  <c r="B90" i="4"/>
  <c r="P89" i="4"/>
  <c r="B86" i="5" s="1"/>
  <c r="C86" i="5" s="1"/>
  <c r="C89" i="4"/>
  <c r="Q89" i="4" s="1"/>
  <c r="D86" i="5" s="1"/>
  <c r="B89" i="4"/>
  <c r="C88" i="4"/>
  <c r="Q88" i="4" s="1"/>
  <c r="D85" i="5" s="1"/>
  <c r="B88" i="4"/>
  <c r="P88" i="4" s="1"/>
  <c r="B85" i="5" s="1"/>
  <c r="C85" i="5" s="1"/>
  <c r="P87" i="4"/>
  <c r="B84" i="5" s="1"/>
  <c r="C84" i="5" s="1"/>
  <c r="C87" i="4"/>
  <c r="Q87" i="4" s="1"/>
  <c r="D84" i="5" s="1"/>
  <c r="B87" i="4"/>
  <c r="C86" i="4"/>
  <c r="Q86" i="4" s="1"/>
  <c r="D83" i="5" s="1"/>
  <c r="B86" i="4"/>
  <c r="P86" i="4" s="1"/>
  <c r="B83" i="5" s="1"/>
  <c r="C83" i="5" s="1"/>
  <c r="C85" i="4"/>
  <c r="Q85" i="4" s="1"/>
  <c r="D82" i="5" s="1"/>
  <c r="B85" i="4"/>
  <c r="P85" i="4" s="1"/>
  <c r="B82" i="5" s="1"/>
  <c r="C82" i="5" s="1"/>
  <c r="P84" i="4"/>
  <c r="B81" i="5" s="1"/>
  <c r="C81" i="5" s="1"/>
  <c r="C84" i="4"/>
  <c r="Q84" i="4" s="1"/>
  <c r="D81" i="5" s="1"/>
  <c r="B84" i="4"/>
  <c r="C83" i="4"/>
  <c r="Q83" i="4" s="1"/>
  <c r="D80" i="5" s="1"/>
  <c r="B83" i="4"/>
  <c r="P83" i="4" s="1"/>
  <c r="B80" i="5" s="1"/>
  <c r="C80" i="5" s="1"/>
  <c r="C82" i="4"/>
  <c r="Q82" i="4" s="1"/>
  <c r="D79" i="5" s="1"/>
  <c r="B82" i="4"/>
  <c r="P82" i="4" s="1"/>
  <c r="B79" i="5" s="1"/>
  <c r="C79" i="5" s="1"/>
  <c r="P81" i="4"/>
  <c r="B78" i="5" s="1"/>
  <c r="C78" i="5" s="1"/>
  <c r="C81" i="4"/>
  <c r="Q81" i="4" s="1"/>
  <c r="D78" i="5" s="1"/>
  <c r="B81" i="4"/>
  <c r="P80" i="4"/>
  <c r="C80" i="4"/>
  <c r="Q80" i="4" s="1"/>
  <c r="D77" i="5" s="1"/>
  <c r="B80" i="4"/>
  <c r="Q79" i="4"/>
  <c r="D76" i="5" s="1"/>
  <c r="P79" i="4"/>
  <c r="C79" i="4"/>
  <c r="B79" i="4"/>
  <c r="C78" i="4"/>
  <c r="B78" i="4"/>
  <c r="P78" i="4" s="1"/>
  <c r="B75" i="5" s="1"/>
  <c r="C75" i="5" s="1"/>
  <c r="P77" i="4"/>
  <c r="B74" i="5" s="1"/>
  <c r="C74" i="5" s="1"/>
  <c r="C77" i="4"/>
  <c r="Q77" i="4" s="1"/>
  <c r="D74" i="5" s="1"/>
  <c r="B77" i="4"/>
  <c r="P76" i="4"/>
  <c r="B73" i="5" s="1"/>
  <c r="C73" i="5" s="1"/>
  <c r="C76" i="4"/>
  <c r="Q76" i="4" s="1"/>
  <c r="D73" i="5" s="1"/>
  <c r="B76" i="4"/>
  <c r="C75" i="4"/>
  <c r="Q75" i="4" s="1"/>
  <c r="D72" i="5" s="1"/>
  <c r="B75" i="4"/>
  <c r="P75" i="4" s="1"/>
  <c r="B72" i="5" s="1"/>
  <c r="C72" i="5" s="1"/>
  <c r="P74" i="4"/>
  <c r="B71" i="5" s="1"/>
  <c r="C71" i="5" s="1"/>
  <c r="C74" i="4"/>
  <c r="Q74" i="4" s="1"/>
  <c r="D71" i="5" s="1"/>
  <c r="B74" i="4"/>
  <c r="P73" i="4"/>
  <c r="B70" i="5" s="1"/>
  <c r="C70" i="5" s="1"/>
  <c r="C73" i="4"/>
  <c r="Q73" i="4" s="1"/>
  <c r="D70" i="5" s="1"/>
  <c r="B73" i="4"/>
  <c r="C72" i="4"/>
  <c r="Q72" i="4" s="1"/>
  <c r="D69" i="5" s="1"/>
  <c r="B72" i="4"/>
  <c r="P72" i="4" s="1"/>
  <c r="B69" i="5" s="1"/>
  <c r="C69" i="5" s="1"/>
  <c r="P71" i="4"/>
  <c r="B68" i="5" s="1"/>
  <c r="C68" i="5" s="1"/>
  <c r="C71" i="4"/>
  <c r="Q71" i="4" s="1"/>
  <c r="D68" i="5" s="1"/>
  <c r="B71" i="4"/>
  <c r="P70" i="4"/>
  <c r="B67" i="5" s="1"/>
  <c r="C67" i="5" s="1"/>
  <c r="C70" i="4"/>
  <c r="Q70" i="4" s="1"/>
  <c r="D67" i="5" s="1"/>
  <c r="B70" i="4"/>
  <c r="C69" i="4"/>
  <c r="Q69" i="4" s="1"/>
  <c r="D66" i="5" s="1"/>
  <c r="B69" i="4"/>
  <c r="P69" i="4" s="1"/>
  <c r="B66" i="5" s="1"/>
  <c r="C66" i="5" s="1"/>
  <c r="P68" i="4"/>
  <c r="B65" i="5" s="1"/>
  <c r="C65" i="5" s="1"/>
  <c r="C68" i="4"/>
  <c r="Q68" i="4" s="1"/>
  <c r="D65" i="5" s="1"/>
  <c r="B68" i="4"/>
  <c r="P67" i="4"/>
  <c r="B64" i="5" s="1"/>
  <c r="C64" i="5" s="1"/>
  <c r="C67" i="4"/>
  <c r="Q67" i="4" s="1"/>
  <c r="D64" i="5" s="1"/>
  <c r="B67" i="4"/>
  <c r="C66" i="4"/>
  <c r="Q66" i="4" s="1"/>
  <c r="D63" i="5" s="1"/>
  <c r="B66" i="4"/>
  <c r="P66" i="4" s="1"/>
  <c r="B63" i="5" s="1"/>
  <c r="C63" i="5" s="1"/>
  <c r="P65" i="4"/>
  <c r="B62" i="5" s="1"/>
  <c r="C62" i="5" s="1"/>
  <c r="C65" i="4"/>
  <c r="Q65" i="4" s="1"/>
  <c r="D62" i="5" s="1"/>
  <c r="B65" i="4"/>
  <c r="P64" i="4"/>
  <c r="C64" i="4"/>
  <c r="Q64" i="4" s="1"/>
  <c r="D61" i="5" s="1"/>
  <c r="B64" i="4"/>
  <c r="C63" i="4"/>
  <c r="Q63" i="4" s="1"/>
  <c r="D60" i="5" s="1"/>
  <c r="B63" i="4"/>
  <c r="P63" i="4" s="1"/>
  <c r="B60" i="5" s="1"/>
  <c r="C60" i="5" s="1"/>
  <c r="P62" i="4"/>
  <c r="B59" i="5" s="1"/>
  <c r="C59" i="5" s="1"/>
  <c r="C62" i="4"/>
  <c r="Q62" i="4" s="1"/>
  <c r="D59" i="5" s="1"/>
  <c r="B62" i="4"/>
  <c r="P61" i="4"/>
  <c r="B58" i="5" s="1"/>
  <c r="C58" i="5" s="1"/>
  <c r="C61" i="4"/>
  <c r="Q61" i="4" s="1"/>
  <c r="D58" i="5" s="1"/>
  <c r="B61" i="4"/>
  <c r="C60" i="4"/>
  <c r="Q60" i="4" s="1"/>
  <c r="D57" i="5" s="1"/>
  <c r="B60" i="4"/>
  <c r="P60" i="4" s="1"/>
  <c r="B57" i="5" s="1"/>
  <c r="C57" i="5" s="1"/>
  <c r="P59" i="4"/>
  <c r="B56" i="5" s="1"/>
  <c r="C56" i="5" s="1"/>
  <c r="C59" i="4"/>
  <c r="Q59" i="4" s="1"/>
  <c r="D56" i="5" s="1"/>
  <c r="B59" i="4"/>
  <c r="P58" i="4"/>
  <c r="B55" i="5" s="1"/>
  <c r="C55" i="5" s="1"/>
  <c r="C58" i="4"/>
  <c r="Q58" i="4" s="1"/>
  <c r="D55" i="5" s="1"/>
  <c r="B58" i="4"/>
  <c r="C57" i="4"/>
  <c r="Q57" i="4" s="1"/>
  <c r="D54" i="5" s="1"/>
  <c r="B57" i="4"/>
  <c r="P57" i="4" s="1"/>
  <c r="B54" i="5" s="1"/>
  <c r="C54" i="5" s="1"/>
  <c r="P56" i="4"/>
  <c r="B53" i="5" s="1"/>
  <c r="C53" i="5" s="1"/>
  <c r="C56" i="4"/>
  <c r="Q56" i="4" s="1"/>
  <c r="D53" i="5" s="1"/>
  <c r="B56" i="4"/>
  <c r="P55" i="4"/>
  <c r="B52" i="5" s="1"/>
  <c r="C52" i="5" s="1"/>
  <c r="C55" i="4"/>
  <c r="Q55" i="4" s="1"/>
  <c r="D52" i="5" s="1"/>
  <c r="B55" i="4"/>
  <c r="C54" i="4"/>
  <c r="Q54" i="4" s="1"/>
  <c r="D51" i="5" s="1"/>
  <c r="B54" i="4"/>
  <c r="P54" i="4" s="1"/>
  <c r="B51" i="5" s="1"/>
  <c r="C51" i="5" s="1"/>
  <c r="P53" i="4"/>
  <c r="B50" i="5" s="1"/>
  <c r="C50" i="5" s="1"/>
  <c r="C53" i="4"/>
  <c r="Q53" i="4" s="1"/>
  <c r="D50" i="5" s="1"/>
  <c r="B53" i="4"/>
  <c r="P52" i="4"/>
  <c r="B49" i="5" s="1"/>
  <c r="C49" i="5" s="1"/>
  <c r="C52" i="4"/>
  <c r="Q52" i="4" s="1"/>
  <c r="D49" i="5" s="1"/>
  <c r="B52" i="4"/>
  <c r="C51" i="4"/>
  <c r="Q51" i="4" s="1"/>
  <c r="D48" i="5" s="1"/>
  <c r="B51" i="4"/>
  <c r="P51" i="4" s="1"/>
  <c r="B48" i="5" s="1"/>
  <c r="C48" i="5" s="1"/>
  <c r="P50" i="4"/>
  <c r="B47" i="5" s="1"/>
  <c r="C47" i="5" s="1"/>
  <c r="C50" i="4"/>
  <c r="Q50" i="4" s="1"/>
  <c r="D47" i="5" s="1"/>
  <c r="B50" i="4"/>
  <c r="P49" i="4"/>
  <c r="B46" i="5" s="1"/>
  <c r="C46" i="5" s="1"/>
  <c r="C49" i="4"/>
  <c r="Q49" i="4" s="1"/>
  <c r="D46" i="5" s="1"/>
  <c r="B49" i="4"/>
  <c r="C48" i="4"/>
  <c r="Q48" i="4" s="1"/>
  <c r="D45" i="5" s="1"/>
  <c r="B48" i="4"/>
  <c r="P48" i="4" s="1"/>
  <c r="B45" i="5" s="1"/>
  <c r="C45" i="5" s="1"/>
  <c r="P47" i="4"/>
  <c r="B44" i="5" s="1"/>
  <c r="C44" i="5" s="1"/>
  <c r="C47" i="4"/>
  <c r="D44" i="5" s="1"/>
  <c r="B47" i="4"/>
  <c r="P46" i="4"/>
  <c r="B43" i="5" s="1"/>
  <c r="C43" i="5" s="1"/>
  <c r="C46" i="4"/>
  <c r="Q46" i="4" s="1"/>
  <c r="D43" i="5" s="1"/>
  <c r="B46" i="4"/>
  <c r="C45" i="4"/>
  <c r="Q45" i="4" s="1"/>
  <c r="D42" i="5" s="1"/>
  <c r="B45" i="4"/>
  <c r="P45" i="4" s="1"/>
  <c r="B42" i="5" s="1"/>
  <c r="C42" i="5" s="1"/>
  <c r="P44" i="4"/>
  <c r="B41" i="5" s="1"/>
  <c r="C41" i="5" s="1"/>
  <c r="C44" i="4"/>
  <c r="Q44" i="4" s="1"/>
  <c r="D41" i="5" s="1"/>
  <c r="B44" i="4"/>
  <c r="P43" i="4"/>
  <c r="B40" i="5" s="1"/>
  <c r="C40" i="5" s="1"/>
  <c r="C43" i="4"/>
  <c r="Q43" i="4" s="1"/>
  <c r="D40" i="5" s="1"/>
  <c r="B43" i="4"/>
  <c r="C42" i="4"/>
  <c r="Q42" i="4" s="1"/>
  <c r="D39" i="5" s="1"/>
  <c r="B42" i="4"/>
  <c r="P42" i="4" s="1"/>
  <c r="B39" i="5" s="1"/>
  <c r="C39" i="5" s="1"/>
  <c r="P41" i="4"/>
  <c r="B38" i="5" s="1"/>
  <c r="C38" i="5" s="1"/>
  <c r="C41" i="4"/>
  <c r="Q41" i="4" s="1"/>
  <c r="D38" i="5" s="1"/>
  <c r="B41" i="4"/>
  <c r="P40" i="4"/>
  <c r="B37" i="5" s="1"/>
  <c r="C37" i="5" s="1"/>
  <c r="C40" i="4"/>
  <c r="Q40" i="4" s="1"/>
  <c r="D37" i="5" s="1"/>
  <c r="B40" i="4"/>
  <c r="C39" i="4"/>
  <c r="Q39" i="4" s="1"/>
  <c r="D36" i="5" s="1"/>
  <c r="B39" i="4"/>
  <c r="P39" i="4" s="1"/>
  <c r="B36" i="5" s="1"/>
  <c r="C36" i="5" s="1"/>
  <c r="P38" i="4"/>
  <c r="B35" i="5" s="1"/>
  <c r="C35" i="5" s="1"/>
  <c r="C38" i="4"/>
  <c r="Q38" i="4" s="1"/>
  <c r="D35" i="5" s="1"/>
  <c r="B38" i="4"/>
  <c r="P37" i="4"/>
  <c r="B34" i="5" s="1"/>
  <c r="C34" i="5" s="1"/>
  <c r="C37" i="4"/>
  <c r="Q37" i="4" s="1"/>
  <c r="D34" i="5" s="1"/>
  <c r="B37" i="4"/>
  <c r="C36" i="4"/>
  <c r="Q36" i="4" s="1"/>
  <c r="D33" i="5" s="1"/>
  <c r="B36" i="4"/>
  <c r="P36" i="4" s="1"/>
  <c r="B33" i="5" s="1"/>
  <c r="C33" i="5" s="1"/>
  <c r="P35" i="4"/>
  <c r="B32" i="5" s="1"/>
  <c r="C32" i="5" s="1"/>
  <c r="C35" i="4"/>
  <c r="Q35" i="4" s="1"/>
  <c r="D32" i="5" s="1"/>
  <c r="B35" i="4"/>
  <c r="P34" i="4"/>
  <c r="B31" i="5" s="1"/>
  <c r="C31" i="5" s="1"/>
  <c r="C34" i="4"/>
  <c r="Q34" i="4" s="1"/>
  <c r="D31" i="5" s="1"/>
  <c r="B34" i="4"/>
  <c r="C33" i="4"/>
  <c r="Q33" i="4" s="1"/>
  <c r="D30" i="5" s="1"/>
  <c r="B33" i="4"/>
  <c r="P33" i="4" s="1"/>
  <c r="B30" i="5" s="1"/>
  <c r="C30" i="5" s="1"/>
  <c r="P32" i="4"/>
  <c r="B29" i="5" s="1"/>
  <c r="C29" i="5" s="1"/>
  <c r="C32" i="4"/>
  <c r="Q32" i="4" s="1"/>
  <c r="D29" i="5" s="1"/>
  <c r="B32" i="4"/>
  <c r="P31" i="4"/>
  <c r="C31" i="4"/>
  <c r="Q31" i="4" s="1"/>
  <c r="D28" i="5" s="1"/>
  <c r="B31" i="4"/>
  <c r="C30" i="4"/>
  <c r="Q30" i="4" s="1"/>
  <c r="D27" i="5" s="1"/>
  <c r="B30" i="4"/>
  <c r="P30" i="4" s="1"/>
  <c r="B27" i="5" s="1"/>
  <c r="C27" i="5" s="1"/>
  <c r="P29" i="4"/>
  <c r="B26" i="5" s="1"/>
  <c r="C26" i="5" s="1"/>
  <c r="C29" i="4"/>
  <c r="B29" i="4"/>
  <c r="P28" i="4"/>
  <c r="B25" i="5" s="1"/>
  <c r="C25" i="5" s="1"/>
  <c r="C28" i="4"/>
  <c r="Q28" i="4" s="1"/>
  <c r="D25" i="5" s="1"/>
  <c r="B28" i="4"/>
  <c r="C27" i="4"/>
  <c r="Q27" i="4" s="1"/>
  <c r="D24" i="5" s="1"/>
  <c r="B27" i="4"/>
  <c r="P27" i="4" s="1"/>
  <c r="B24" i="5" s="1"/>
  <c r="C24" i="5" s="1"/>
  <c r="P26" i="4"/>
  <c r="C26" i="4"/>
  <c r="Q26" i="4" s="1"/>
  <c r="D23" i="5" s="1"/>
  <c r="B26" i="4"/>
  <c r="P25" i="4"/>
  <c r="B22" i="5" s="1"/>
  <c r="C22" i="5" s="1"/>
  <c r="C25" i="4"/>
  <c r="Q25" i="4" s="1"/>
  <c r="D22" i="5" s="1"/>
  <c r="B25" i="4"/>
  <c r="C24" i="4"/>
  <c r="Q24" i="4" s="1"/>
  <c r="D21" i="5" s="1"/>
  <c r="B24" i="4"/>
  <c r="P24" i="4" s="1"/>
  <c r="B21" i="5" s="1"/>
  <c r="C21" i="5" s="1"/>
  <c r="P23" i="4"/>
  <c r="B20" i="5" s="1"/>
  <c r="C20" i="5" s="1"/>
  <c r="C23" i="4"/>
  <c r="Q23" i="4" s="1"/>
  <c r="D20" i="5" s="1"/>
  <c r="B23" i="4"/>
  <c r="P22" i="4"/>
  <c r="B19" i="5" s="1"/>
  <c r="C19" i="5" s="1"/>
  <c r="C22" i="4"/>
  <c r="Q22" i="4" s="1"/>
  <c r="D19" i="5" s="1"/>
  <c r="B22" i="4"/>
  <c r="C21" i="4"/>
  <c r="Q21" i="4" s="1"/>
  <c r="D18" i="5" s="1"/>
  <c r="B21" i="4"/>
  <c r="P21" i="4" s="1"/>
  <c r="B18" i="5" s="1"/>
  <c r="C18" i="5" s="1"/>
  <c r="P20" i="4"/>
  <c r="B17" i="5" s="1"/>
  <c r="C17" i="5" s="1"/>
  <c r="C20" i="4"/>
  <c r="Q20" i="4" s="1"/>
  <c r="D17" i="5" s="1"/>
  <c r="B20" i="4"/>
  <c r="P19" i="4"/>
  <c r="B16" i="5" s="1"/>
  <c r="C16" i="5" s="1"/>
  <c r="C19" i="4"/>
  <c r="Q19" i="4" s="1"/>
  <c r="D16" i="5" s="1"/>
  <c r="B19" i="4"/>
  <c r="C18" i="4"/>
  <c r="Q18" i="4" s="1"/>
  <c r="D15" i="5" s="1"/>
  <c r="B18" i="4"/>
  <c r="P18" i="4" s="1"/>
  <c r="B15" i="5" s="1"/>
  <c r="C15" i="5" s="1"/>
  <c r="P17" i="4"/>
  <c r="B14" i="5" s="1"/>
  <c r="C14" i="5" s="1"/>
  <c r="C17" i="4"/>
  <c r="Q17" i="4" s="1"/>
  <c r="D14" i="5" s="1"/>
  <c r="B17" i="4"/>
  <c r="P16" i="4"/>
  <c r="B13" i="5" s="1"/>
  <c r="C13" i="5" s="1"/>
  <c r="C16" i="4"/>
  <c r="Q16" i="4" s="1"/>
  <c r="D13" i="5" s="1"/>
  <c r="B16" i="4"/>
  <c r="C15" i="4"/>
  <c r="D12" i="5" s="1"/>
  <c r="B15" i="4"/>
  <c r="P15" i="4" s="1"/>
  <c r="B12" i="5" s="1"/>
  <c r="C12" i="5" s="1"/>
  <c r="P14" i="4"/>
  <c r="B11" i="5" s="1"/>
  <c r="C11" i="5" s="1"/>
  <c r="C14" i="4"/>
  <c r="Q14" i="4" s="1"/>
  <c r="D11" i="5" s="1"/>
  <c r="B14" i="4"/>
  <c r="P13" i="4"/>
  <c r="B10" i="5" s="1"/>
  <c r="C10" i="5" s="1"/>
  <c r="C13" i="4"/>
  <c r="Q13" i="4" s="1"/>
  <c r="D10" i="5" s="1"/>
  <c r="B13" i="4"/>
  <c r="C12" i="4"/>
  <c r="Q12" i="4" s="1"/>
  <c r="D9" i="5" s="1"/>
  <c r="B12" i="4"/>
  <c r="P12" i="4" s="1"/>
  <c r="B9" i="5" s="1"/>
  <c r="C9" i="5" s="1"/>
  <c r="P11" i="4"/>
  <c r="B8" i="5" s="1"/>
  <c r="C8" i="5" s="1"/>
  <c r="C11" i="4"/>
  <c r="Q11" i="4" s="1"/>
  <c r="D8" i="5" s="1"/>
  <c r="B11" i="4"/>
  <c r="P10" i="4"/>
  <c r="B7" i="5" s="1"/>
  <c r="C7" i="5" s="1"/>
  <c r="G7" i="5" s="1"/>
  <c r="C10" i="4"/>
  <c r="B10" i="4"/>
  <c r="P9" i="4"/>
  <c r="C9" i="4"/>
  <c r="Q9" i="4" s="1"/>
  <c r="C23" i="3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17" i="3"/>
  <c r="C18" i="3" s="1"/>
  <c r="C19" i="3" s="1"/>
  <c r="C20" i="3" s="1"/>
  <c r="C21" i="3" s="1"/>
  <c r="C22" i="3" s="1"/>
  <c r="C16" i="3"/>
  <c r="C15" i="3"/>
  <c r="B15" i="3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G244" i="1"/>
  <c r="F244" i="1"/>
  <c r="D244" i="1"/>
  <c r="G243" i="1"/>
  <c r="F243" i="1"/>
  <c r="D243" i="1"/>
  <c r="G242" i="1"/>
  <c r="F242" i="1"/>
  <c r="D242" i="1"/>
  <c r="G241" i="1"/>
  <c r="F241" i="1"/>
  <c r="D241" i="1"/>
  <c r="G240" i="1"/>
  <c r="F240" i="1"/>
  <c r="D240" i="1"/>
  <c r="G239" i="1"/>
  <c r="F239" i="1"/>
  <c r="D239" i="1"/>
  <c r="G238" i="1"/>
  <c r="F238" i="1"/>
  <c r="D238" i="1"/>
  <c r="G237" i="1"/>
  <c r="F237" i="1"/>
  <c r="D237" i="1"/>
  <c r="G236" i="1"/>
  <c r="F236" i="1"/>
  <c r="D236" i="1"/>
  <c r="G235" i="1"/>
  <c r="F235" i="1"/>
  <c r="D235" i="1"/>
  <c r="G234" i="1"/>
  <c r="F234" i="1"/>
  <c r="D234" i="1"/>
  <c r="G233" i="1"/>
  <c r="F233" i="1"/>
  <c r="D233" i="1"/>
  <c r="G232" i="1"/>
  <c r="F232" i="1"/>
  <c r="D232" i="1"/>
  <c r="G231" i="1"/>
  <c r="F231" i="1"/>
  <c r="D231" i="1"/>
  <c r="G230" i="1"/>
  <c r="F230" i="1"/>
  <c r="D230" i="1"/>
  <c r="G229" i="1"/>
  <c r="F229" i="1"/>
  <c r="D229" i="1"/>
  <c r="G228" i="1"/>
  <c r="F228" i="1"/>
  <c r="D228" i="1"/>
  <c r="G227" i="1"/>
  <c r="F227" i="1"/>
  <c r="D227" i="1"/>
  <c r="G226" i="1"/>
  <c r="F226" i="1"/>
  <c r="D226" i="1"/>
  <c r="G225" i="1"/>
  <c r="F225" i="1"/>
  <c r="D225" i="1"/>
  <c r="G224" i="1"/>
  <c r="F224" i="1"/>
  <c r="D224" i="1"/>
  <c r="G223" i="1"/>
  <c r="F223" i="1"/>
  <c r="D223" i="1"/>
  <c r="G222" i="1"/>
  <c r="F222" i="1"/>
  <c r="D222" i="1"/>
  <c r="G221" i="1"/>
  <c r="F221" i="1"/>
  <c r="D221" i="1"/>
  <c r="G220" i="1"/>
  <c r="F220" i="1"/>
  <c r="D220" i="1"/>
  <c r="G219" i="1"/>
  <c r="F219" i="1"/>
  <c r="D219" i="1"/>
  <c r="G218" i="1"/>
  <c r="F218" i="1"/>
  <c r="D218" i="1"/>
  <c r="G217" i="1"/>
  <c r="F217" i="1"/>
  <c r="D217" i="1"/>
  <c r="G216" i="1"/>
  <c r="F216" i="1"/>
  <c r="D216" i="1"/>
  <c r="G215" i="1"/>
  <c r="F215" i="1"/>
  <c r="D215" i="1"/>
  <c r="G214" i="1"/>
  <c r="F214" i="1"/>
  <c r="D214" i="1"/>
  <c r="G213" i="1"/>
  <c r="F213" i="1"/>
  <c r="D213" i="1"/>
  <c r="G212" i="1"/>
  <c r="F212" i="1"/>
  <c r="D212" i="1"/>
  <c r="G211" i="1"/>
  <c r="F211" i="1"/>
  <c r="D211" i="1"/>
  <c r="G210" i="1"/>
  <c r="F210" i="1"/>
  <c r="D210" i="1"/>
  <c r="G209" i="1"/>
  <c r="F209" i="1"/>
  <c r="D209" i="1"/>
  <c r="G208" i="1"/>
  <c r="F208" i="1"/>
  <c r="D208" i="1"/>
  <c r="G207" i="1"/>
  <c r="F207" i="1"/>
  <c r="D207" i="1"/>
  <c r="G206" i="1"/>
  <c r="F206" i="1"/>
  <c r="D206" i="1"/>
  <c r="G205" i="1"/>
  <c r="F205" i="1"/>
  <c r="D205" i="1"/>
  <c r="G204" i="1"/>
  <c r="F204" i="1"/>
  <c r="D204" i="1"/>
  <c r="G203" i="1"/>
  <c r="F203" i="1"/>
  <c r="D203" i="1"/>
  <c r="G202" i="1"/>
  <c r="F202" i="1"/>
  <c r="D202" i="1"/>
  <c r="G201" i="1"/>
  <c r="F201" i="1"/>
  <c r="D201" i="1"/>
  <c r="G200" i="1"/>
  <c r="F200" i="1"/>
  <c r="D200" i="1"/>
  <c r="G199" i="1"/>
  <c r="F199" i="1"/>
  <c r="D199" i="1"/>
  <c r="G198" i="1"/>
  <c r="F198" i="1"/>
  <c r="D198" i="1"/>
  <c r="G197" i="1"/>
  <c r="F197" i="1"/>
  <c r="D197" i="1"/>
  <c r="G196" i="1"/>
  <c r="F196" i="1"/>
  <c r="D196" i="1"/>
  <c r="G195" i="1"/>
  <c r="F195" i="1"/>
  <c r="D195" i="1"/>
  <c r="G194" i="1"/>
  <c r="F194" i="1"/>
  <c r="D194" i="1"/>
  <c r="G193" i="1"/>
  <c r="F193" i="1"/>
  <c r="D193" i="1"/>
  <c r="G192" i="1"/>
  <c r="F192" i="1"/>
  <c r="D192" i="1"/>
  <c r="G191" i="1"/>
  <c r="F191" i="1"/>
  <c r="D191" i="1"/>
  <c r="G190" i="1"/>
  <c r="F190" i="1"/>
  <c r="D190" i="1"/>
  <c r="G189" i="1"/>
  <c r="F189" i="1"/>
  <c r="D189" i="1"/>
  <c r="G188" i="1"/>
  <c r="F188" i="1"/>
  <c r="D188" i="1"/>
  <c r="G187" i="1"/>
  <c r="F187" i="1"/>
  <c r="D187" i="1"/>
  <c r="G186" i="1"/>
  <c r="F186" i="1"/>
  <c r="D186" i="1"/>
  <c r="G185" i="1"/>
  <c r="F185" i="1"/>
  <c r="D185" i="1"/>
  <c r="G184" i="1"/>
  <c r="F184" i="1"/>
  <c r="D184" i="1"/>
  <c r="G183" i="1"/>
  <c r="F183" i="1"/>
  <c r="D183" i="1"/>
  <c r="G182" i="1"/>
  <c r="F182" i="1"/>
  <c r="D182" i="1"/>
  <c r="G181" i="1"/>
  <c r="F181" i="1"/>
  <c r="D181" i="1"/>
  <c r="G180" i="1"/>
  <c r="F180" i="1"/>
  <c r="D180" i="1"/>
  <c r="G179" i="1"/>
  <c r="F179" i="1"/>
  <c r="D179" i="1"/>
  <c r="G178" i="1"/>
  <c r="F178" i="1"/>
  <c r="D178" i="1"/>
  <c r="G177" i="1"/>
  <c r="F177" i="1"/>
  <c r="D177" i="1"/>
  <c r="G176" i="1"/>
  <c r="F176" i="1"/>
  <c r="D176" i="1"/>
  <c r="G175" i="1"/>
  <c r="F175" i="1"/>
  <c r="D175" i="1"/>
  <c r="G174" i="1"/>
  <c r="F174" i="1"/>
  <c r="D174" i="1"/>
  <c r="G173" i="1"/>
  <c r="F173" i="1"/>
  <c r="D173" i="1"/>
  <c r="G172" i="1"/>
  <c r="F172" i="1"/>
  <c r="D172" i="1"/>
  <c r="G171" i="1"/>
  <c r="F171" i="1"/>
  <c r="D171" i="1"/>
  <c r="G170" i="1"/>
  <c r="F170" i="1"/>
  <c r="D170" i="1"/>
  <c r="G169" i="1"/>
  <c r="F169" i="1"/>
  <c r="D169" i="1"/>
  <c r="G168" i="1"/>
  <c r="F168" i="1"/>
  <c r="D168" i="1"/>
  <c r="G167" i="1"/>
  <c r="F167" i="1"/>
  <c r="D167" i="1"/>
  <c r="G166" i="1"/>
  <c r="F166" i="1"/>
  <c r="D166" i="1"/>
  <c r="G165" i="1"/>
  <c r="F165" i="1"/>
  <c r="D165" i="1"/>
  <c r="G164" i="1"/>
  <c r="F164" i="1"/>
  <c r="D164" i="1"/>
  <c r="G163" i="1"/>
  <c r="F163" i="1"/>
  <c r="D163" i="1"/>
  <c r="G162" i="1"/>
  <c r="F162" i="1"/>
  <c r="D162" i="1"/>
  <c r="G161" i="1"/>
  <c r="F161" i="1"/>
  <c r="D161" i="1"/>
  <c r="G160" i="1"/>
  <c r="F160" i="1"/>
  <c r="D160" i="1"/>
  <c r="G159" i="1"/>
  <c r="F159" i="1"/>
  <c r="D159" i="1"/>
  <c r="G158" i="1"/>
  <c r="F158" i="1"/>
  <c r="D158" i="1"/>
  <c r="G157" i="1"/>
  <c r="F157" i="1"/>
  <c r="D157" i="1"/>
  <c r="G156" i="1"/>
  <c r="F156" i="1"/>
  <c r="D156" i="1"/>
  <c r="G155" i="1"/>
  <c r="F155" i="1"/>
  <c r="D155" i="1"/>
  <c r="G154" i="1"/>
  <c r="F154" i="1"/>
  <c r="D154" i="1"/>
  <c r="G153" i="1"/>
  <c r="F153" i="1"/>
  <c r="D153" i="1"/>
  <c r="G152" i="1"/>
  <c r="F152" i="1"/>
  <c r="D152" i="1"/>
  <c r="G151" i="1"/>
  <c r="F151" i="1"/>
  <c r="D151" i="1"/>
  <c r="G150" i="1"/>
  <c r="F150" i="1"/>
  <c r="D150" i="1"/>
  <c r="G149" i="1"/>
  <c r="F149" i="1"/>
  <c r="D149" i="1"/>
  <c r="G148" i="1"/>
  <c r="F148" i="1"/>
  <c r="D148" i="1"/>
  <c r="G147" i="1"/>
  <c r="F147" i="1"/>
  <c r="D147" i="1"/>
  <c r="G146" i="1"/>
  <c r="F146" i="1"/>
  <c r="D146" i="1"/>
  <c r="G145" i="1"/>
  <c r="F145" i="1"/>
  <c r="D145" i="1"/>
  <c r="G144" i="1"/>
  <c r="F144" i="1"/>
  <c r="D144" i="1"/>
  <c r="G143" i="1"/>
  <c r="F143" i="1"/>
  <c r="D143" i="1"/>
  <c r="G142" i="1"/>
  <c r="F142" i="1"/>
  <c r="D142" i="1"/>
  <c r="G141" i="1"/>
  <c r="F141" i="1"/>
  <c r="D141" i="1"/>
  <c r="G140" i="1"/>
  <c r="F140" i="1"/>
  <c r="D140" i="1"/>
  <c r="G139" i="1"/>
  <c r="F139" i="1"/>
  <c r="D139" i="1"/>
  <c r="G138" i="1"/>
  <c r="F138" i="1"/>
  <c r="D138" i="1"/>
  <c r="G137" i="1"/>
  <c r="F137" i="1"/>
  <c r="D137" i="1"/>
  <c r="G136" i="1"/>
  <c r="F136" i="1"/>
  <c r="D136" i="1"/>
  <c r="G135" i="1"/>
  <c r="F135" i="1"/>
  <c r="D135" i="1"/>
  <c r="G134" i="1"/>
  <c r="F134" i="1"/>
  <c r="D134" i="1"/>
  <c r="G133" i="1"/>
  <c r="F133" i="1"/>
  <c r="D133" i="1"/>
  <c r="G132" i="1"/>
  <c r="F132" i="1"/>
  <c r="D132" i="1"/>
  <c r="G131" i="1"/>
  <c r="F131" i="1"/>
  <c r="D131" i="1"/>
  <c r="G130" i="1"/>
  <c r="F130" i="1"/>
  <c r="D130" i="1"/>
  <c r="G129" i="1"/>
  <c r="F129" i="1"/>
  <c r="D129" i="1"/>
  <c r="G128" i="1"/>
  <c r="F128" i="1"/>
  <c r="D128" i="1"/>
  <c r="G127" i="1"/>
  <c r="F127" i="1"/>
  <c r="D127" i="1"/>
  <c r="G126" i="1"/>
  <c r="F126" i="1"/>
  <c r="D126" i="1"/>
  <c r="G125" i="1"/>
  <c r="F125" i="1"/>
  <c r="D125" i="1"/>
  <c r="G124" i="1"/>
  <c r="F124" i="1"/>
  <c r="D124" i="1"/>
  <c r="G123" i="1"/>
  <c r="F123" i="1"/>
  <c r="D123" i="1"/>
  <c r="G122" i="1"/>
  <c r="F122" i="1"/>
  <c r="D122" i="1"/>
  <c r="G121" i="1"/>
  <c r="F121" i="1"/>
  <c r="D121" i="1"/>
  <c r="G120" i="1"/>
  <c r="F120" i="1"/>
  <c r="D120" i="1"/>
  <c r="G119" i="1"/>
  <c r="F119" i="1"/>
  <c r="D119" i="1"/>
  <c r="G118" i="1"/>
  <c r="F118" i="1"/>
  <c r="D118" i="1"/>
  <c r="G117" i="1"/>
  <c r="F117" i="1"/>
  <c r="D117" i="1"/>
  <c r="G116" i="1"/>
  <c r="F116" i="1"/>
  <c r="D116" i="1"/>
  <c r="G115" i="1"/>
  <c r="F115" i="1"/>
  <c r="D115" i="1"/>
  <c r="G114" i="1"/>
  <c r="F114" i="1"/>
  <c r="D114" i="1"/>
  <c r="G113" i="1"/>
  <c r="F113" i="1"/>
  <c r="D113" i="1"/>
  <c r="G112" i="1"/>
  <c r="F112" i="1"/>
  <c r="D112" i="1"/>
  <c r="G111" i="1"/>
  <c r="F111" i="1"/>
  <c r="D111" i="1"/>
  <c r="G110" i="1"/>
  <c r="F110" i="1"/>
  <c r="D110" i="1"/>
  <c r="G109" i="1"/>
  <c r="F109" i="1"/>
  <c r="D109" i="1"/>
  <c r="G108" i="1"/>
  <c r="F108" i="1"/>
  <c r="D108" i="1"/>
  <c r="G107" i="1"/>
  <c r="F107" i="1"/>
  <c r="D107" i="1"/>
  <c r="G106" i="1"/>
  <c r="F106" i="1"/>
  <c r="D106" i="1"/>
  <c r="G105" i="1"/>
  <c r="F105" i="1"/>
  <c r="D105" i="1"/>
  <c r="G104" i="1"/>
  <c r="F104" i="1"/>
  <c r="D104" i="1"/>
  <c r="G103" i="1"/>
  <c r="F103" i="1"/>
  <c r="D103" i="1"/>
  <c r="G102" i="1"/>
  <c r="F102" i="1"/>
  <c r="D102" i="1"/>
  <c r="G101" i="1"/>
  <c r="F101" i="1"/>
  <c r="D101" i="1"/>
  <c r="G100" i="1"/>
  <c r="F100" i="1"/>
  <c r="D100" i="1"/>
  <c r="G99" i="1"/>
  <c r="F99" i="1"/>
  <c r="D99" i="1"/>
  <c r="G98" i="1"/>
  <c r="F98" i="1"/>
  <c r="D98" i="1"/>
  <c r="G97" i="1"/>
  <c r="F97" i="1"/>
  <c r="D97" i="1"/>
  <c r="G96" i="1"/>
  <c r="F96" i="1"/>
  <c r="D96" i="1"/>
  <c r="G95" i="1"/>
  <c r="F95" i="1"/>
  <c r="D95" i="1"/>
  <c r="G94" i="1"/>
  <c r="F94" i="1"/>
  <c r="D94" i="1"/>
  <c r="G93" i="1"/>
  <c r="F93" i="1"/>
  <c r="D93" i="1"/>
  <c r="G92" i="1"/>
  <c r="F92" i="1"/>
  <c r="D92" i="1"/>
  <c r="G91" i="1"/>
  <c r="F91" i="1"/>
  <c r="D91" i="1"/>
  <c r="G90" i="1"/>
  <c r="F90" i="1"/>
  <c r="D90" i="1"/>
  <c r="G89" i="1"/>
  <c r="F89" i="1"/>
  <c r="D89" i="1"/>
  <c r="G88" i="1"/>
  <c r="F88" i="1"/>
  <c r="D88" i="1"/>
  <c r="G87" i="1"/>
  <c r="F87" i="1"/>
  <c r="D87" i="1"/>
  <c r="G86" i="1"/>
  <c r="F86" i="1"/>
  <c r="D86" i="1"/>
  <c r="G85" i="1"/>
  <c r="F85" i="1"/>
  <c r="D85" i="1"/>
  <c r="G84" i="1"/>
  <c r="F84" i="1"/>
  <c r="D84" i="1"/>
  <c r="G83" i="1"/>
  <c r="F83" i="1"/>
  <c r="D83" i="1"/>
  <c r="G82" i="1"/>
  <c r="F82" i="1"/>
  <c r="D82" i="1"/>
  <c r="G81" i="1"/>
  <c r="F81" i="1"/>
  <c r="D81" i="1"/>
  <c r="G80" i="1"/>
  <c r="F80" i="1"/>
  <c r="D80" i="1"/>
  <c r="G79" i="1"/>
  <c r="F79" i="1"/>
  <c r="D79" i="1"/>
  <c r="G78" i="1"/>
  <c r="F78" i="1"/>
  <c r="D78" i="1"/>
  <c r="G77" i="1"/>
  <c r="F77" i="1"/>
  <c r="D77" i="1"/>
  <c r="G76" i="1"/>
  <c r="F76" i="1"/>
  <c r="D76" i="1"/>
  <c r="G75" i="1"/>
  <c r="F75" i="1"/>
  <c r="D75" i="1"/>
  <c r="G74" i="1"/>
  <c r="F74" i="1"/>
  <c r="D74" i="1"/>
  <c r="G73" i="1"/>
  <c r="F73" i="1"/>
  <c r="D73" i="1"/>
  <c r="G72" i="1"/>
  <c r="F72" i="1"/>
  <c r="D72" i="1"/>
  <c r="G71" i="1"/>
  <c r="F71" i="1"/>
  <c r="D71" i="1"/>
  <c r="G70" i="1"/>
  <c r="F70" i="1"/>
  <c r="D70" i="1"/>
  <c r="G69" i="1"/>
  <c r="F69" i="1"/>
  <c r="D69" i="1"/>
  <c r="G68" i="1"/>
  <c r="F68" i="1"/>
  <c r="D68" i="1"/>
  <c r="G67" i="1"/>
  <c r="F67" i="1"/>
  <c r="D67" i="1"/>
  <c r="G66" i="1"/>
  <c r="F66" i="1"/>
  <c r="D66" i="1"/>
  <c r="G65" i="1"/>
  <c r="F65" i="1"/>
  <c r="D65" i="1"/>
  <c r="G64" i="1"/>
  <c r="F64" i="1"/>
  <c r="D64" i="1"/>
  <c r="G63" i="1"/>
  <c r="F63" i="1"/>
  <c r="D63" i="1"/>
  <c r="G62" i="1"/>
  <c r="F62" i="1"/>
  <c r="D62" i="1"/>
  <c r="G61" i="1"/>
  <c r="F61" i="1"/>
  <c r="D61" i="1"/>
  <c r="G60" i="1"/>
  <c r="F60" i="1"/>
  <c r="D60" i="1"/>
  <c r="G59" i="1"/>
  <c r="F59" i="1"/>
  <c r="D59" i="1"/>
  <c r="G58" i="1"/>
  <c r="F58" i="1"/>
  <c r="D58" i="1"/>
  <c r="G57" i="1"/>
  <c r="F57" i="1"/>
  <c r="D57" i="1"/>
  <c r="G56" i="1"/>
  <c r="F56" i="1"/>
  <c r="D56" i="1"/>
  <c r="G55" i="1"/>
  <c r="F55" i="1"/>
  <c r="D55" i="1"/>
  <c r="G54" i="1"/>
  <c r="F54" i="1"/>
  <c r="D54" i="1"/>
  <c r="G53" i="1"/>
  <c r="F53" i="1"/>
  <c r="D53" i="1"/>
  <c r="G52" i="1"/>
  <c r="F52" i="1"/>
  <c r="D52" i="1"/>
  <c r="G51" i="1"/>
  <c r="F51" i="1"/>
  <c r="D51" i="1"/>
  <c r="G50" i="1"/>
  <c r="F50" i="1"/>
  <c r="D50" i="1"/>
  <c r="G49" i="1"/>
  <c r="F49" i="1"/>
  <c r="D49" i="1"/>
  <c r="G48" i="1"/>
  <c r="F48" i="1"/>
  <c r="D48" i="1"/>
  <c r="G47" i="1"/>
  <c r="F47" i="1"/>
  <c r="D47" i="1"/>
  <c r="G46" i="1"/>
  <c r="F46" i="1"/>
  <c r="D46" i="1"/>
  <c r="G45" i="1"/>
  <c r="F45" i="1"/>
  <c r="D45" i="1"/>
  <c r="G44" i="1"/>
  <c r="F44" i="1"/>
  <c r="D44" i="1"/>
  <c r="G43" i="1"/>
  <c r="F43" i="1"/>
  <c r="D43" i="1"/>
  <c r="G42" i="1"/>
  <c r="F42" i="1"/>
  <c r="D42" i="1"/>
  <c r="G41" i="1"/>
  <c r="F41" i="1"/>
  <c r="D41" i="1"/>
  <c r="G40" i="1"/>
  <c r="F40" i="1"/>
  <c r="D40" i="1"/>
  <c r="G39" i="1"/>
  <c r="F39" i="1"/>
  <c r="D39" i="1"/>
  <c r="G38" i="1"/>
  <c r="F38" i="1"/>
  <c r="D38" i="1"/>
  <c r="G37" i="1"/>
  <c r="F37" i="1"/>
  <c r="D37" i="1"/>
  <c r="G36" i="1"/>
  <c r="F36" i="1"/>
  <c r="D36" i="1"/>
  <c r="G35" i="1"/>
  <c r="F35" i="1"/>
  <c r="D35" i="1"/>
  <c r="G34" i="1"/>
  <c r="F34" i="1"/>
  <c r="D34" i="1"/>
  <c r="G33" i="1"/>
  <c r="F33" i="1"/>
  <c r="D33" i="1"/>
  <c r="G32" i="1"/>
  <c r="F32" i="1"/>
  <c r="D32" i="1"/>
  <c r="G31" i="1"/>
  <c r="F31" i="1"/>
  <c r="D31" i="1"/>
  <c r="G30" i="1"/>
  <c r="F30" i="1"/>
  <c r="D30" i="1"/>
  <c r="G29" i="1"/>
  <c r="F29" i="1"/>
  <c r="D29" i="1"/>
  <c r="G28" i="1"/>
  <c r="F28" i="1"/>
  <c r="D28" i="1"/>
  <c r="G27" i="1"/>
  <c r="F27" i="1"/>
  <c r="D27" i="1"/>
  <c r="G26" i="1"/>
  <c r="F26" i="1"/>
  <c r="D26" i="1"/>
  <c r="G25" i="1"/>
  <c r="F25" i="1"/>
  <c r="D25" i="1"/>
  <c r="G24" i="1"/>
  <c r="F24" i="1"/>
  <c r="D24" i="1"/>
  <c r="G23" i="1"/>
  <c r="F23" i="1"/>
  <c r="D23" i="1"/>
  <c r="G22" i="1"/>
  <c r="F22" i="1"/>
  <c r="D22" i="1"/>
  <c r="G21" i="1"/>
  <c r="F21" i="1"/>
  <c r="D21" i="1"/>
  <c r="G20" i="1"/>
  <c r="F20" i="1"/>
  <c r="D20" i="1"/>
  <c r="G19" i="1"/>
  <c r="F19" i="1"/>
  <c r="D19" i="1"/>
  <c r="G18" i="1"/>
  <c r="F18" i="1"/>
  <c r="D18" i="1"/>
  <c r="G17" i="1"/>
  <c r="F17" i="1"/>
  <c r="D17" i="1"/>
  <c r="G16" i="1"/>
  <c r="K43" i="1" s="1"/>
  <c r="F16" i="1"/>
  <c r="D16" i="1"/>
  <c r="G15" i="1"/>
  <c r="K30" i="1" s="1"/>
  <c r="F15" i="1"/>
  <c r="D15" i="1"/>
  <c r="G14" i="1"/>
  <c r="F14" i="1"/>
  <c r="D14" i="1"/>
  <c r="G13" i="1"/>
  <c r="F13" i="1"/>
  <c r="D13" i="1"/>
  <c r="G12" i="1"/>
  <c r="F12" i="1"/>
  <c r="D12" i="1"/>
  <c r="G11" i="1"/>
  <c r="F11" i="1"/>
  <c r="D11" i="1"/>
  <c r="G10" i="1"/>
  <c r="F10" i="1"/>
  <c r="D10" i="1"/>
  <c r="G9" i="1"/>
  <c r="F9" i="1"/>
  <c r="D9" i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G8" i="1"/>
  <c r="F8" i="1"/>
  <c r="D8" i="1"/>
  <c r="K7" i="1"/>
  <c r="G7" i="1"/>
  <c r="F7" i="1"/>
  <c r="D7" i="1"/>
  <c r="H6" i="1"/>
  <c r="H7" i="1" s="1"/>
  <c r="G6" i="1"/>
  <c r="F6" i="1"/>
  <c r="D6" i="1"/>
  <c r="G5" i="1"/>
  <c r="K61" i="1" s="1"/>
  <c r="F5" i="1"/>
  <c r="D5" i="1"/>
  <c r="C5" i="4" l="1"/>
  <c r="D5" i="4" s="1"/>
  <c r="D26" i="5"/>
  <c r="D219" i="5"/>
  <c r="G8" i="5"/>
  <c r="H7" i="5"/>
  <c r="I7" i="5" s="1"/>
  <c r="K8" i="1"/>
  <c r="K16" i="1"/>
  <c r="K71" i="1"/>
  <c r="K31" i="1"/>
  <c r="K45" i="1"/>
  <c r="K11" i="1"/>
  <c r="K48" i="1"/>
  <c r="Q78" i="4"/>
  <c r="D75" i="5" s="1"/>
  <c r="C3" i="4"/>
  <c r="K59" i="1"/>
  <c r="K83" i="1"/>
  <c r="K42" i="1"/>
  <c r="K37" i="1"/>
  <c r="K51" i="1"/>
  <c r="K40" i="1"/>
  <c r="K54" i="1"/>
  <c r="K57" i="1"/>
  <c r="K13" i="1"/>
  <c r="K21" i="1"/>
  <c r="K29" i="1"/>
  <c r="K6" i="1"/>
  <c r="K19" i="1"/>
  <c r="K24" i="1"/>
  <c r="K27" i="1"/>
  <c r="K60" i="1"/>
  <c r="K63" i="1"/>
  <c r="K81" i="1"/>
  <c r="K84" i="1"/>
  <c r="K9" i="1"/>
  <c r="K66" i="1"/>
  <c r="K69" i="1"/>
  <c r="K17" i="1"/>
  <c r="K49" i="1"/>
  <c r="K72" i="1"/>
  <c r="K78" i="1"/>
  <c r="K18" i="1"/>
  <c r="K35" i="1"/>
  <c r="C2" i="4"/>
  <c r="K15" i="1"/>
  <c r="K20" i="1"/>
  <c r="K25" i="1"/>
  <c r="K33" i="1"/>
  <c r="K41" i="1"/>
  <c r="K55" i="1"/>
  <c r="K80" i="1"/>
  <c r="K68" i="1"/>
  <c r="K56" i="1"/>
  <c r="K44" i="1"/>
  <c r="K32" i="1"/>
  <c r="K75" i="1"/>
  <c r="K82" i="1"/>
  <c r="K70" i="1"/>
  <c r="K58" i="1"/>
  <c r="K46" i="1"/>
  <c r="K34" i="1"/>
  <c r="K22" i="1"/>
  <c r="K10" i="1"/>
  <c r="K77" i="1"/>
  <c r="K53" i="1"/>
  <c r="K65" i="1"/>
  <c r="K79" i="1"/>
  <c r="K74" i="1"/>
  <c r="K62" i="1"/>
  <c r="K50" i="1"/>
  <c r="K38" i="1"/>
  <c r="K26" i="1"/>
  <c r="K14" i="1"/>
  <c r="K76" i="1"/>
  <c r="K64" i="1"/>
  <c r="K52" i="1"/>
  <c r="K28" i="1"/>
  <c r="K47" i="1"/>
  <c r="K67" i="1"/>
  <c r="K12" i="1"/>
  <c r="K5" i="1"/>
  <c r="K4" i="1" s="1"/>
  <c r="K23" i="1"/>
  <c r="K36" i="1"/>
  <c r="K39" i="1"/>
  <c r="K73" i="1"/>
  <c r="C4" i="4"/>
  <c r="D4" i="4" s="1"/>
  <c r="Q10" i="4"/>
  <c r="C1" i="4"/>
  <c r="D1" i="4" s="1"/>
  <c r="K12" i="8"/>
  <c r="B9" i="6"/>
  <c r="B11" i="7"/>
  <c r="B11" i="8"/>
  <c r="U11" i="8" s="1"/>
  <c r="B10" i="7"/>
  <c r="K13" i="8" l="1"/>
  <c r="B12" i="7"/>
  <c r="B12" i="8"/>
  <c r="U12" i="8" s="1"/>
  <c r="B10" i="6"/>
  <c r="R11" i="7"/>
  <c r="Q4" i="4"/>
  <c r="R4" i="4" s="1"/>
  <c r="Q3" i="4"/>
  <c r="Q2" i="4"/>
  <c r="Q5" i="4"/>
  <c r="R5" i="4" s="1"/>
  <c r="Q1" i="4"/>
  <c r="R1" i="4" s="1"/>
  <c r="D7" i="5"/>
  <c r="R10" i="7"/>
  <c r="G9" i="5"/>
  <c r="J8" i="5"/>
  <c r="C8" i="6" s="1"/>
  <c r="H8" i="5"/>
  <c r="I8" i="5" s="1"/>
  <c r="K11" i="7" l="1"/>
  <c r="H9" i="5"/>
  <c r="I9" i="5" s="1"/>
  <c r="G10" i="5"/>
  <c r="J9" i="5"/>
  <c r="C9" i="6" s="1"/>
  <c r="D8" i="6"/>
  <c r="E8" i="6" s="1"/>
  <c r="H8" i="6" s="1"/>
  <c r="K10" i="7"/>
  <c r="B13" i="8"/>
  <c r="U13" i="8" s="1"/>
  <c r="B13" i="7"/>
  <c r="B11" i="6"/>
  <c r="R12" i="7"/>
  <c r="D3" i="5"/>
  <c r="J7" i="5"/>
  <c r="K14" i="8"/>
  <c r="B14" i="7" l="1"/>
  <c r="B12" i="6"/>
  <c r="B14" i="8"/>
  <c r="U14" i="8" s="1"/>
  <c r="K12" i="7"/>
  <c r="R13" i="7"/>
  <c r="K15" i="8"/>
  <c r="N8" i="6"/>
  <c r="M11" i="7"/>
  <c r="N11" i="7" s="1"/>
  <c r="M11" i="8"/>
  <c r="N11" i="8" s="1"/>
  <c r="D9" i="6"/>
  <c r="C7" i="6"/>
  <c r="G11" i="5"/>
  <c r="H10" i="5"/>
  <c r="I10" i="5" s="1"/>
  <c r="J10" i="5"/>
  <c r="C10" i="6" s="1"/>
  <c r="D7" i="6" l="1"/>
  <c r="K16" i="8"/>
  <c r="D10" i="6"/>
  <c r="K13" i="7"/>
  <c r="J11" i="5"/>
  <c r="C11" i="6" s="1"/>
  <c r="G12" i="5"/>
  <c r="H11" i="5"/>
  <c r="I11" i="5" s="1"/>
  <c r="N9" i="6"/>
  <c r="M12" i="8"/>
  <c r="N12" i="8" s="1"/>
  <c r="M12" i="7"/>
  <c r="N12" i="7" s="1"/>
  <c r="E9" i="6"/>
  <c r="H9" i="6" s="1"/>
  <c r="B15" i="7"/>
  <c r="B13" i="6"/>
  <c r="B15" i="8"/>
  <c r="U15" i="8" s="1"/>
  <c r="R14" i="7"/>
  <c r="N10" i="6" l="1"/>
  <c r="M13" i="8"/>
  <c r="N13" i="8" s="1"/>
  <c r="M13" i="7"/>
  <c r="N13" i="7" s="1"/>
  <c r="R15" i="7"/>
  <c r="K17" i="8"/>
  <c r="B14" i="6"/>
  <c r="B16" i="8"/>
  <c r="U16" i="8" s="1"/>
  <c r="B16" i="7"/>
  <c r="D11" i="6"/>
  <c r="E11" i="6" s="1"/>
  <c r="H11" i="6" s="1"/>
  <c r="E10" i="6"/>
  <c r="H10" i="6" s="1"/>
  <c r="M10" i="8"/>
  <c r="N10" i="8" s="1"/>
  <c r="M10" i="7"/>
  <c r="N10" i="7" s="1"/>
  <c r="N7" i="6"/>
  <c r="K14" i="7"/>
  <c r="J12" i="5"/>
  <c r="C12" i="6" s="1"/>
  <c r="G13" i="5"/>
  <c r="H12" i="5"/>
  <c r="I12" i="5" s="1"/>
  <c r="E7" i="6"/>
  <c r="O7" i="6" l="1"/>
  <c r="P7" i="6" s="1"/>
  <c r="B17" i="8"/>
  <c r="U17" i="8" s="1"/>
  <c r="B15" i="6"/>
  <c r="B17" i="7"/>
  <c r="K18" i="8"/>
  <c r="K15" i="7"/>
  <c r="R16" i="7"/>
  <c r="D12" i="6"/>
  <c r="H7" i="6"/>
  <c r="H13" i="5"/>
  <c r="I13" i="5" s="1"/>
  <c r="J13" i="5"/>
  <c r="C13" i="6" s="1"/>
  <c r="G14" i="5"/>
  <c r="M14" i="8"/>
  <c r="N14" i="8" s="1"/>
  <c r="M14" i="7"/>
  <c r="N14" i="7" s="1"/>
  <c r="N11" i="6"/>
  <c r="C10" i="8" l="1"/>
  <c r="D10" i="8" s="1"/>
  <c r="E10" i="8" s="1"/>
  <c r="F10" i="8" s="1"/>
  <c r="G10" i="8" s="1"/>
  <c r="C10" i="7"/>
  <c r="D10" i="7" s="1"/>
  <c r="E10" i="7" s="1"/>
  <c r="F10" i="7" s="1"/>
  <c r="G10" i="7" s="1"/>
  <c r="Q7" i="6"/>
  <c r="I7" i="6"/>
  <c r="K19" i="8"/>
  <c r="M15" i="7"/>
  <c r="N15" i="7" s="1"/>
  <c r="M15" i="8"/>
  <c r="N15" i="8" s="1"/>
  <c r="N12" i="6"/>
  <c r="E12" i="6"/>
  <c r="K17" i="7"/>
  <c r="R17" i="7"/>
  <c r="J14" i="5"/>
  <c r="C14" i="6" s="1"/>
  <c r="G15" i="5"/>
  <c r="H14" i="5"/>
  <c r="I14" i="5" s="1"/>
  <c r="B18" i="7"/>
  <c r="B18" i="8"/>
  <c r="U18" i="8" s="1"/>
  <c r="B16" i="6"/>
  <c r="D13" i="6"/>
  <c r="K16" i="7"/>
  <c r="P10" i="8" l="1"/>
  <c r="M8" i="6"/>
  <c r="J7" i="6"/>
  <c r="M16" i="8"/>
  <c r="N16" i="8" s="1"/>
  <c r="N13" i="6"/>
  <c r="M16" i="7"/>
  <c r="N16" i="7" s="1"/>
  <c r="H12" i="6"/>
  <c r="E13" i="6"/>
  <c r="H13" i="6" s="1"/>
  <c r="R18" i="7"/>
  <c r="K20" i="8"/>
  <c r="J15" i="5"/>
  <c r="C15" i="6" s="1"/>
  <c r="H15" i="5"/>
  <c r="I15" i="5" s="1"/>
  <c r="G16" i="5"/>
  <c r="D14" i="6"/>
  <c r="B19" i="8"/>
  <c r="U19" i="8" s="1"/>
  <c r="B19" i="7"/>
  <c r="B17" i="6"/>
  <c r="O8" i="6" l="1"/>
  <c r="Q10" i="8"/>
  <c r="T10" i="8" s="1"/>
  <c r="K7" i="6"/>
  <c r="Q10" i="7"/>
  <c r="M17" i="7"/>
  <c r="N17" i="7" s="1"/>
  <c r="M17" i="8"/>
  <c r="N17" i="8" s="1"/>
  <c r="N14" i="6"/>
  <c r="G17" i="5"/>
  <c r="H16" i="5"/>
  <c r="I16" i="5" s="1"/>
  <c r="J16" i="5"/>
  <c r="C16" i="6" s="1"/>
  <c r="D15" i="6"/>
  <c r="B20" i="8"/>
  <c r="U20" i="8" s="1"/>
  <c r="B20" i="7"/>
  <c r="B18" i="6"/>
  <c r="R19" i="7"/>
  <c r="K21" i="8"/>
  <c r="E14" i="6"/>
  <c r="H14" i="6" s="1"/>
  <c r="K18" i="7"/>
  <c r="G8" i="6" l="1"/>
  <c r="C11" i="7"/>
  <c r="D11" i="7" s="1"/>
  <c r="E11" i="7" s="1"/>
  <c r="F11" i="7" s="1"/>
  <c r="G11" i="7" s="1"/>
  <c r="Q11" i="7" s="1"/>
  <c r="C11" i="8"/>
  <c r="D11" i="8" s="1"/>
  <c r="E11" i="8" s="1"/>
  <c r="F11" i="8" s="1"/>
  <c r="G11" i="8" s="1"/>
  <c r="P8" i="6"/>
  <c r="D16" i="6"/>
  <c r="K19" i="7"/>
  <c r="J17" i="5"/>
  <c r="C17" i="6" s="1"/>
  <c r="G18" i="5"/>
  <c r="H17" i="5"/>
  <c r="I17" i="5" s="1"/>
  <c r="B21" i="8"/>
  <c r="U21" i="8" s="1"/>
  <c r="B19" i="6"/>
  <c r="B21" i="7"/>
  <c r="K22" i="8"/>
  <c r="K20" i="7"/>
  <c r="R20" i="7"/>
  <c r="M18" i="7"/>
  <c r="N18" i="7" s="1"/>
  <c r="M18" i="8"/>
  <c r="N18" i="8" s="1"/>
  <c r="N15" i="6"/>
  <c r="E15" i="6"/>
  <c r="H15" i="6" s="1"/>
  <c r="Q8" i="6" l="1"/>
  <c r="I8" i="6"/>
  <c r="P11" i="8" s="1"/>
  <c r="Q11" i="8" s="1"/>
  <c r="T11" i="8" s="1"/>
  <c r="R21" i="7"/>
  <c r="K21" i="7"/>
  <c r="B20" i="6"/>
  <c r="B22" i="7"/>
  <c r="B22" i="8"/>
  <c r="U22" i="8" s="1"/>
  <c r="D17" i="6"/>
  <c r="E17" i="6" s="1"/>
  <c r="H17" i="6" s="1"/>
  <c r="G19" i="5"/>
  <c r="J18" i="5"/>
  <c r="C18" i="6" s="1"/>
  <c r="H18" i="5"/>
  <c r="I18" i="5" s="1"/>
  <c r="N16" i="6"/>
  <c r="M19" i="8"/>
  <c r="N19" i="8" s="1"/>
  <c r="M19" i="7"/>
  <c r="N19" i="7" s="1"/>
  <c r="E16" i="6"/>
  <c r="H16" i="6" s="1"/>
  <c r="K23" i="8"/>
  <c r="J8" i="6" l="1"/>
  <c r="M9" i="6"/>
  <c r="R22" i="7"/>
  <c r="K22" i="7"/>
  <c r="J19" i="5"/>
  <c r="C19" i="6" s="1"/>
  <c r="G20" i="5"/>
  <c r="H19" i="5"/>
  <c r="I19" i="5" s="1"/>
  <c r="D18" i="6"/>
  <c r="E18" i="6" s="1"/>
  <c r="H18" i="6" s="1"/>
  <c r="K24" i="8"/>
  <c r="M20" i="8"/>
  <c r="N20" i="8" s="1"/>
  <c r="M20" i="7"/>
  <c r="N20" i="7" s="1"/>
  <c r="N17" i="6"/>
  <c r="B21" i="6"/>
  <c r="B23" i="7"/>
  <c r="B23" i="8"/>
  <c r="U23" i="8" s="1"/>
  <c r="O9" i="6" l="1"/>
  <c r="C12" i="7" s="1"/>
  <c r="C12" i="8"/>
  <c r="D12" i="8" s="1"/>
  <c r="E12" i="8" s="1"/>
  <c r="F12" i="8" s="1"/>
  <c r="G12" i="8" s="1"/>
  <c r="K8" i="6"/>
  <c r="D19" i="6"/>
  <c r="E19" i="6" s="1"/>
  <c r="H19" i="6" s="1"/>
  <c r="B24" i="7"/>
  <c r="B24" i="8"/>
  <c r="U24" i="8" s="1"/>
  <c r="B22" i="6"/>
  <c r="J20" i="5"/>
  <c r="C20" i="6" s="1"/>
  <c r="G21" i="5"/>
  <c r="H20" i="5"/>
  <c r="I20" i="5" s="1"/>
  <c r="K25" i="8"/>
  <c r="R23" i="7"/>
  <c r="M21" i="8"/>
  <c r="N21" i="8" s="1"/>
  <c r="M21" i="7"/>
  <c r="N21" i="7" s="1"/>
  <c r="N18" i="6"/>
  <c r="G9" i="6" l="1"/>
  <c r="D12" i="7"/>
  <c r="E12" i="7" s="1"/>
  <c r="F12" i="7" s="1"/>
  <c r="G12" i="7" s="1"/>
  <c r="Q12" i="7" s="1"/>
  <c r="P9" i="6"/>
  <c r="D20" i="6"/>
  <c r="E20" i="6" s="1"/>
  <c r="H20" i="6" s="1"/>
  <c r="B25" i="8"/>
  <c r="U25" i="8" s="1"/>
  <c r="B23" i="6"/>
  <c r="B25" i="7"/>
  <c r="G22" i="5"/>
  <c r="H21" i="5"/>
  <c r="I21" i="5" s="1"/>
  <c r="J21" i="5"/>
  <c r="C21" i="6" s="1"/>
  <c r="K23" i="7"/>
  <c r="R24" i="7"/>
  <c r="M22" i="8"/>
  <c r="N22" i="8" s="1"/>
  <c r="N19" i="6"/>
  <c r="M22" i="7"/>
  <c r="N22" i="7" s="1"/>
  <c r="K26" i="8"/>
  <c r="Q9" i="6" l="1"/>
  <c r="I9" i="6"/>
  <c r="H22" i="5"/>
  <c r="I22" i="5" s="1"/>
  <c r="G23" i="5"/>
  <c r="J22" i="5"/>
  <c r="C22" i="6" s="1"/>
  <c r="N20" i="6"/>
  <c r="M23" i="7"/>
  <c r="N23" i="7" s="1"/>
  <c r="M23" i="8"/>
  <c r="N23" i="8" s="1"/>
  <c r="K27" i="8"/>
  <c r="B26" i="7"/>
  <c r="B24" i="6"/>
  <c r="B26" i="8"/>
  <c r="U26" i="8" s="1"/>
  <c r="K24" i="7"/>
  <c r="R25" i="7"/>
  <c r="D21" i="6"/>
  <c r="E21" i="6" s="1"/>
  <c r="H21" i="6" s="1"/>
  <c r="P12" i="8" l="1"/>
  <c r="Q12" i="8" s="1"/>
  <c r="T12" i="8" s="1"/>
  <c r="J9" i="6"/>
  <c r="M10" i="6"/>
  <c r="K25" i="7"/>
  <c r="G24" i="5"/>
  <c r="J23" i="5"/>
  <c r="C23" i="6" s="1"/>
  <c r="H23" i="5"/>
  <c r="I23" i="5" s="1"/>
  <c r="B27" i="7"/>
  <c r="B25" i="6"/>
  <c r="B27" i="8"/>
  <c r="U27" i="8" s="1"/>
  <c r="R26" i="7"/>
  <c r="D22" i="6"/>
  <c r="K28" i="8"/>
  <c r="K29" i="8"/>
  <c r="N21" i="6"/>
  <c r="M24" i="8"/>
  <c r="N24" i="8" s="1"/>
  <c r="M24" i="7"/>
  <c r="N24" i="7" s="1"/>
  <c r="K9" i="6" l="1"/>
  <c r="O10" i="6"/>
  <c r="K26" i="7"/>
  <c r="D23" i="6"/>
  <c r="E23" i="6" s="1"/>
  <c r="H23" i="6" s="1"/>
  <c r="B26" i="6"/>
  <c r="B28" i="8"/>
  <c r="U28" i="8" s="1"/>
  <c r="B28" i="7"/>
  <c r="R27" i="7"/>
  <c r="K27" i="7"/>
  <c r="H24" i="5"/>
  <c r="I24" i="5" s="1"/>
  <c r="G25" i="5"/>
  <c r="J24" i="5"/>
  <c r="C24" i="6" s="1"/>
  <c r="N22" i="6"/>
  <c r="M25" i="8"/>
  <c r="N25" i="8" s="1"/>
  <c r="M25" i="7"/>
  <c r="N25" i="7" s="1"/>
  <c r="E22" i="6"/>
  <c r="H22" i="6" s="1"/>
  <c r="C13" i="7" l="1"/>
  <c r="D13" i="7" s="1"/>
  <c r="E13" i="7" s="1"/>
  <c r="F13" i="7" s="1"/>
  <c r="G13" i="7" s="1"/>
  <c r="Q13" i="7" s="1"/>
  <c r="P10" i="6"/>
  <c r="C13" i="8"/>
  <c r="D13" i="8" s="1"/>
  <c r="E13" i="8" s="1"/>
  <c r="F13" i="8" s="1"/>
  <c r="G13" i="8" s="1"/>
  <c r="G10" i="6"/>
  <c r="B29" i="8"/>
  <c r="U29" i="8" s="1"/>
  <c r="K2" i="8" s="1"/>
  <c r="C4" i="10" s="1"/>
  <c r="B29" i="7"/>
  <c r="R28" i="7"/>
  <c r="M26" i="8"/>
  <c r="N26" i="8" s="1"/>
  <c r="M26" i="7"/>
  <c r="N26" i="7" s="1"/>
  <c r="N23" i="6"/>
  <c r="D24" i="6"/>
  <c r="J25" i="5"/>
  <c r="C25" i="6" s="1"/>
  <c r="H25" i="5"/>
  <c r="I25" i="5" s="1"/>
  <c r="G26" i="5"/>
  <c r="I10" i="6" l="1"/>
  <c r="Q10" i="6"/>
  <c r="K28" i="7"/>
  <c r="D25" i="6"/>
  <c r="E25" i="6" s="1"/>
  <c r="H25" i="6" s="1"/>
  <c r="K29" i="7"/>
  <c r="R29" i="7"/>
  <c r="M27" i="7"/>
  <c r="N27" i="7" s="1"/>
  <c r="N24" i="6"/>
  <c r="M27" i="8"/>
  <c r="N27" i="8" s="1"/>
  <c r="J26" i="5"/>
  <c r="H26" i="5"/>
  <c r="I26" i="5" s="1"/>
  <c r="E24" i="6"/>
  <c r="H24" i="6" s="1"/>
  <c r="K2" i="7" l="1"/>
  <c r="M11" i="6"/>
  <c r="P13" i="8"/>
  <c r="Q13" i="8" s="1"/>
  <c r="T13" i="8" s="1"/>
  <c r="J10" i="6"/>
  <c r="C26" i="6"/>
  <c r="C2" i="6" s="1"/>
  <c r="J3" i="5"/>
  <c r="K3" i="5" s="1"/>
  <c r="M28" i="8"/>
  <c r="N28" i="8" s="1"/>
  <c r="N25" i="6"/>
  <c r="M28" i="7"/>
  <c r="N28" i="7" s="1"/>
  <c r="K10" i="6" l="1"/>
  <c r="O11" i="6"/>
  <c r="C14" i="8" s="1"/>
  <c r="D14" i="8" s="1"/>
  <c r="E14" i="8" s="1"/>
  <c r="F14" i="8" s="1"/>
  <c r="G14" i="8" s="1"/>
  <c r="C4" i="6"/>
  <c r="D26" i="6"/>
  <c r="C14" i="7" l="1"/>
  <c r="P11" i="6"/>
  <c r="Q11" i="6" s="1"/>
  <c r="G11" i="6"/>
  <c r="M29" i="7"/>
  <c r="N29" i="7" s="1"/>
  <c r="N2" i="7" s="1"/>
  <c r="M29" i="8"/>
  <c r="N29" i="8" s="1"/>
  <c r="N2" i="8" s="1"/>
  <c r="N26" i="6"/>
  <c r="N2" i="6" s="1"/>
  <c r="D2" i="6"/>
  <c r="E26" i="6"/>
  <c r="I11" i="6" l="1"/>
  <c r="M12" i="6"/>
  <c r="D14" i="7"/>
  <c r="E14" i="7" s="1"/>
  <c r="F14" i="7" s="1"/>
  <c r="G14" i="7" s="1"/>
  <c r="Q14" i="7" s="1"/>
  <c r="H26" i="6"/>
  <c r="H2" i="6" s="1"/>
  <c r="E2" i="6"/>
  <c r="E4" i="6" s="1"/>
  <c r="O12" i="6" l="1"/>
  <c r="P12" i="6" s="1"/>
  <c r="Q12" i="6" s="1"/>
  <c r="M13" i="6" s="1"/>
  <c r="P14" i="8"/>
  <c r="Q14" i="8" s="1"/>
  <c r="T14" i="8" s="1"/>
  <c r="J11" i="6"/>
  <c r="K11" i="6" l="1"/>
  <c r="O13" i="6"/>
  <c r="C16" i="8"/>
  <c r="D16" i="8" s="1"/>
  <c r="E16" i="8" s="1"/>
  <c r="C15" i="7"/>
  <c r="D15" i="7" s="1"/>
  <c r="E15" i="7" s="1"/>
  <c r="F15" i="7" s="1"/>
  <c r="G15" i="7" s="1"/>
  <c r="Q15" i="7" s="1"/>
  <c r="C15" i="8"/>
  <c r="D15" i="8" s="1"/>
  <c r="E15" i="8" s="1"/>
  <c r="F15" i="8" s="1"/>
  <c r="G15" i="8" s="1"/>
  <c r="F16" i="8" l="1"/>
  <c r="G16" i="8" s="1"/>
  <c r="C16" i="7"/>
  <c r="D16" i="7" s="1"/>
  <c r="E16" i="7" s="1"/>
  <c r="F16" i="7" s="1"/>
  <c r="G16" i="7" s="1"/>
  <c r="Q16" i="7" s="1"/>
  <c r="P13" i="6"/>
  <c r="Q13" i="6" s="1"/>
  <c r="M14" i="6" s="1"/>
  <c r="G12" i="6"/>
  <c r="O14" i="6" l="1"/>
  <c r="P14" i="6" s="1"/>
  <c r="Q14" i="6" s="1"/>
  <c r="M15" i="6" s="1"/>
  <c r="I12" i="6"/>
  <c r="J12" i="6" s="1"/>
  <c r="K12" i="6" s="1"/>
  <c r="G13" i="6" s="1"/>
  <c r="C17" i="8" l="1"/>
  <c r="P15" i="8"/>
  <c r="Q15" i="8" s="1"/>
  <c r="T15" i="8" s="1"/>
  <c r="I13" i="6"/>
  <c r="J13" i="6" s="1"/>
  <c r="K13" i="6" s="1"/>
  <c r="G14" i="6" s="1"/>
  <c r="D17" i="8"/>
  <c r="E17" i="8" s="1"/>
  <c r="F17" i="8" s="1"/>
  <c r="G17" i="8" s="1"/>
  <c r="O15" i="6"/>
  <c r="P15" i="6" s="1"/>
  <c r="Q15" i="6" s="1"/>
  <c r="M16" i="6" s="1"/>
  <c r="C17" i="7"/>
  <c r="D17" i="7" s="1"/>
  <c r="E17" i="7" s="1"/>
  <c r="F17" i="7" s="1"/>
  <c r="G17" i="7" s="1"/>
  <c r="Q17" i="7" s="1"/>
  <c r="C18" i="7" l="1"/>
  <c r="D18" i="7" s="1"/>
  <c r="E18" i="7" s="1"/>
  <c r="P16" i="8"/>
  <c r="Q16" i="8" s="1"/>
  <c r="T16" i="8" s="1"/>
  <c r="F18" i="7"/>
  <c r="G18" i="7" s="1"/>
  <c r="Q18" i="7" s="1"/>
  <c r="O16" i="6"/>
  <c r="C19" i="7" s="1"/>
  <c r="D19" i="7" s="1"/>
  <c r="E19" i="7" s="1"/>
  <c r="F19" i="7" s="1"/>
  <c r="C18" i="8"/>
  <c r="I14" i="6"/>
  <c r="J14" i="6" s="1"/>
  <c r="K14" i="6" s="1"/>
  <c r="G15" i="6" s="1"/>
  <c r="I15" i="6" l="1"/>
  <c r="J15" i="6" s="1"/>
  <c r="K15" i="6" s="1"/>
  <c r="G16" i="6" s="1"/>
  <c r="I16" i="6" s="1"/>
  <c r="D18" i="8"/>
  <c r="E18" i="8" s="1"/>
  <c r="F18" i="8" s="1"/>
  <c r="G18" i="8" s="1"/>
  <c r="P17" i="8"/>
  <c r="Q17" i="8" s="1"/>
  <c r="T17" i="8" s="1"/>
  <c r="G19" i="7"/>
  <c r="Q19" i="7" s="1"/>
  <c r="C19" i="8"/>
  <c r="D19" i="8" s="1"/>
  <c r="E19" i="8" s="1"/>
  <c r="P16" i="6"/>
  <c r="Q16" i="6" s="1"/>
  <c r="M17" i="6" s="1"/>
  <c r="P18" i="8" l="1"/>
  <c r="Q18" i="8" s="1"/>
  <c r="T18" i="8" s="1"/>
  <c r="F19" i="8"/>
  <c r="G19" i="8" s="1"/>
  <c r="O17" i="6"/>
  <c r="C20" i="8" s="1"/>
  <c r="P19" i="8"/>
  <c r="J16" i="6"/>
  <c r="K16" i="6" s="1"/>
  <c r="G17" i="6" s="1"/>
  <c r="I17" i="6" l="1"/>
  <c r="J17" i="6" s="1"/>
  <c r="K17" i="6" s="1"/>
  <c r="G18" i="6" s="1"/>
  <c r="I18" i="6" s="1"/>
  <c r="Q19" i="8"/>
  <c r="T19" i="8" s="1"/>
  <c r="D20" i="8"/>
  <c r="E20" i="8" s="1"/>
  <c r="F20" i="8" s="1"/>
  <c r="G20" i="8" s="1"/>
  <c r="C20" i="7"/>
  <c r="D20" i="7" s="1"/>
  <c r="E20" i="7" s="1"/>
  <c r="F20" i="7" s="1"/>
  <c r="P17" i="6"/>
  <c r="Q17" i="6" s="1"/>
  <c r="M18" i="6" s="1"/>
  <c r="O18" i="6" l="1"/>
  <c r="C21" i="8" s="1"/>
  <c r="D21" i="8" s="1"/>
  <c r="E21" i="8" s="1"/>
  <c r="F21" i="8" s="1"/>
  <c r="G21" i="8" s="1"/>
  <c r="G20" i="7"/>
  <c r="Q20" i="7" s="1"/>
  <c r="P21" i="8"/>
  <c r="Q21" i="8" s="1"/>
  <c r="J18" i="6"/>
  <c r="K18" i="6" s="1"/>
  <c r="G19" i="6" s="1"/>
  <c r="P20" i="8"/>
  <c r="Q20" i="8" s="1"/>
  <c r="T20" i="8" s="1"/>
  <c r="I19" i="6" l="1"/>
  <c r="T21" i="8"/>
  <c r="C21" i="7"/>
  <c r="D21" i="7" s="1"/>
  <c r="E21" i="7" s="1"/>
  <c r="F21" i="7" s="1"/>
  <c r="P18" i="6"/>
  <c r="Q18" i="6" s="1"/>
  <c r="M19" i="6" s="1"/>
  <c r="O19" i="6" l="1"/>
  <c r="C22" i="8"/>
  <c r="D22" i="8" s="1"/>
  <c r="E22" i="8" s="1"/>
  <c r="F22" i="8" s="1"/>
  <c r="G22" i="8" s="1"/>
  <c r="G21" i="7"/>
  <c r="Q21" i="7" s="1"/>
  <c r="J19" i="6"/>
  <c r="K19" i="6" s="1"/>
  <c r="G20" i="6" s="1"/>
  <c r="P22" i="8"/>
  <c r="Q22" i="8" s="1"/>
  <c r="I20" i="6" l="1"/>
  <c r="J20" i="6" s="1"/>
  <c r="K20" i="6" s="1"/>
  <c r="G21" i="6" s="1"/>
  <c r="T22" i="8"/>
  <c r="C22" i="7"/>
  <c r="D22" i="7" s="1"/>
  <c r="E22" i="7" s="1"/>
  <c r="F22" i="7" s="1"/>
  <c r="P19" i="6"/>
  <c r="Q19" i="6" s="1"/>
  <c r="M20" i="6" s="1"/>
  <c r="P23" i="8" l="1"/>
  <c r="Q23" i="8" s="1"/>
  <c r="O20" i="6"/>
  <c r="G22" i="7"/>
  <c r="Q22" i="7" s="1"/>
  <c r="I21" i="6"/>
  <c r="J21" i="6" s="1"/>
  <c r="K21" i="6" s="1"/>
  <c r="G22" i="6" s="1"/>
  <c r="I22" i="6" s="1"/>
  <c r="P25" i="8" s="1"/>
  <c r="Q25" i="8" l="1"/>
  <c r="J22" i="6"/>
  <c r="K22" i="6" s="1"/>
  <c r="G23" i="6" s="1"/>
  <c r="P24" i="8"/>
  <c r="Q24" i="8" s="1"/>
  <c r="C23" i="8"/>
  <c r="D23" i="8" s="1"/>
  <c r="E23" i="8" s="1"/>
  <c r="F23" i="8" s="1"/>
  <c r="G23" i="8" s="1"/>
  <c r="T23" i="8" s="1"/>
  <c r="P20" i="6"/>
  <c r="Q20" i="6" s="1"/>
  <c r="M21" i="6" s="1"/>
  <c r="C23" i="7"/>
  <c r="D23" i="7" s="1"/>
  <c r="E23" i="7" s="1"/>
  <c r="F23" i="7" s="1"/>
  <c r="I23" i="6"/>
  <c r="P26" i="8" s="1"/>
  <c r="Q26" i="8" s="1"/>
  <c r="G23" i="7" l="1"/>
  <c r="Q23" i="7" s="1"/>
  <c r="O21" i="6"/>
  <c r="P21" i="6" s="1"/>
  <c r="Q21" i="6" s="1"/>
  <c r="M22" i="6" s="1"/>
  <c r="C24" i="7"/>
  <c r="D24" i="7" s="1"/>
  <c r="E24" i="7" s="1"/>
  <c r="F24" i="7" s="1"/>
  <c r="J23" i="6"/>
  <c r="K23" i="6" s="1"/>
  <c r="G24" i="6" s="1"/>
  <c r="C24" i="8" l="1"/>
  <c r="D24" i="8" s="1"/>
  <c r="E24" i="8" s="1"/>
  <c r="F24" i="8" s="1"/>
  <c r="G24" i="8" s="1"/>
  <c r="T24" i="8" s="1"/>
  <c r="G24" i="7"/>
  <c r="Q24" i="7" s="1"/>
  <c r="O22" i="6"/>
  <c r="C25" i="7" s="1"/>
  <c r="D25" i="7" s="1"/>
  <c r="E25" i="7" s="1"/>
  <c r="F25" i="7" s="1"/>
  <c r="I24" i="6"/>
  <c r="P27" i="8" s="1"/>
  <c r="Q27" i="8" l="1"/>
  <c r="G25" i="7"/>
  <c r="Q25" i="7" s="1"/>
  <c r="C25" i="8"/>
  <c r="D25" i="8" s="1"/>
  <c r="E25" i="8" s="1"/>
  <c r="F25" i="8" s="1"/>
  <c r="G25" i="8" s="1"/>
  <c r="T25" i="8" s="1"/>
  <c r="P22" i="6"/>
  <c r="Q22" i="6" s="1"/>
  <c r="M23" i="6" s="1"/>
  <c r="J24" i="6"/>
  <c r="K24" i="6" s="1"/>
  <c r="G25" i="6" s="1"/>
  <c r="O23" i="6" l="1"/>
  <c r="C26" i="8" s="1"/>
  <c r="D26" i="8" s="1"/>
  <c r="E26" i="8" s="1"/>
  <c r="F26" i="8" s="1"/>
  <c r="G26" i="8" s="1"/>
  <c r="T26" i="8" s="1"/>
  <c r="I25" i="6"/>
  <c r="C26" i="7" l="1"/>
  <c r="D26" i="7" s="1"/>
  <c r="E26" i="7" s="1"/>
  <c r="F26" i="7" s="1"/>
  <c r="P23" i="6"/>
  <c r="Q23" i="6" s="1"/>
  <c r="M24" i="6" s="1"/>
  <c r="J25" i="6"/>
  <c r="K25" i="6" s="1"/>
  <c r="G26" i="6" s="1"/>
  <c r="G2" i="6" s="1"/>
  <c r="P28" i="8"/>
  <c r="Q28" i="8" l="1"/>
  <c r="O24" i="6"/>
  <c r="C27" i="7" s="1"/>
  <c r="D27" i="7" s="1"/>
  <c r="E27" i="7" s="1"/>
  <c r="F27" i="7" s="1"/>
  <c r="G26" i="7"/>
  <c r="Q26" i="7" s="1"/>
  <c r="I26" i="6"/>
  <c r="I2" i="6" s="1"/>
  <c r="P29" i="8" l="1"/>
  <c r="Q29" i="8" s="1"/>
  <c r="Q2" i="8" s="1"/>
  <c r="C5" i="10" s="1"/>
  <c r="G27" i="7"/>
  <c r="Q27" i="7" s="1"/>
  <c r="C27" i="8"/>
  <c r="D27" i="8" s="1"/>
  <c r="E27" i="8" s="1"/>
  <c r="F27" i="8" s="1"/>
  <c r="G27" i="8" s="1"/>
  <c r="T27" i="8" s="1"/>
  <c r="P24" i="6"/>
  <c r="Q24" i="6" s="1"/>
  <c r="M25" i="6" s="1"/>
  <c r="J26" i="6"/>
  <c r="K26" i="6" l="1"/>
  <c r="K2" i="6" s="1"/>
  <c r="J2" i="6"/>
  <c r="O25" i="6"/>
  <c r="P25" i="6" s="1"/>
  <c r="Q25" i="6" s="1"/>
  <c r="M26" i="6" s="1"/>
  <c r="K4" i="6" l="1"/>
  <c r="C28" i="7"/>
  <c r="D28" i="7" s="1"/>
  <c r="E28" i="7" s="1"/>
  <c r="F28" i="7" s="1"/>
  <c r="G28" i="7" s="1"/>
  <c r="C28" i="8"/>
  <c r="D28" i="8" s="1"/>
  <c r="E28" i="8" s="1"/>
  <c r="F28" i="8" s="1"/>
  <c r="G28" i="8" s="1"/>
  <c r="T28" i="8" s="1"/>
  <c r="M2" i="6"/>
  <c r="O26" i="6"/>
  <c r="C29" i="8" s="1"/>
  <c r="D29" i="8" s="1"/>
  <c r="E29" i="8" s="1"/>
  <c r="F29" i="8" l="1"/>
  <c r="G29" i="8" s="1"/>
  <c r="C29" i="7"/>
  <c r="O2" i="6"/>
  <c r="P26" i="6"/>
  <c r="Q28" i="7"/>
  <c r="F7" i="8" l="1"/>
  <c r="Q26" i="6"/>
  <c r="Q2" i="6" s="1"/>
  <c r="P2" i="6"/>
  <c r="D29" i="7"/>
  <c r="E29" i="7" s="1"/>
  <c r="T29" i="8"/>
  <c r="U2" i="8" s="1"/>
  <c r="G2" i="8"/>
  <c r="C6" i="10" s="1"/>
  <c r="Q4" i="6" l="1"/>
  <c r="U4" i="8"/>
  <c r="E6" i="9"/>
  <c r="F29" i="7"/>
  <c r="G29" i="7" s="1"/>
  <c r="Q29" i="7" l="1"/>
  <c r="R2" i="7" s="1"/>
  <c r="G2" i="7"/>
  <c r="F6" i="9"/>
  <c r="C7" i="10"/>
  <c r="C8" i="10" s="1"/>
  <c r="C9" i="10" s="1"/>
  <c r="F7" i="7"/>
  <c r="S2" i="7" l="1"/>
  <c r="C6" i="9"/>
  <c r="R4" i="7"/>
  <c r="D6" i="9" s="1"/>
  <c r="W2" i="8"/>
  <c r="V2" i="8"/>
</calcChain>
</file>

<file path=xl/sharedStrings.xml><?xml version="1.0" encoding="utf-8"?>
<sst xmlns="http://schemas.openxmlformats.org/spreadsheetml/2006/main" count="339" uniqueCount="209">
  <si>
    <t>values pasted with removed duplicates</t>
  </si>
  <si>
    <t>No.</t>
  </si>
  <si>
    <t>Year</t>
  </si>
  <si>
    <t>Month</t>
  </si>
  <si>
    <t>Petrol car sales</t>
  </si>
  <si>
    <t>Quarter</t>
  </si>
  <si>
    <t>Q1</t>
  </si>
  <si>
    <t>Q1_2025</t>
  </si>
  <si>
    <t>Q2</t>
  </si>
  <si>
    <t>Q2_2025</t>
  </si>
  <si>
    <t>Q3</t>
  </si>
  <si>
    <t>Q3_2025</t>
  </si>
  <si>
    <t>Q4</t>
  </si>
  <si>
    <t>Q4_2025</t>
  </si>
  <si>
    <t>Q1_2026</t>
  </si>
  <si>
    <t>Q2_2026</t>
  </si>
  <si>
    <t>Q3_2026</t>
  </si>
  <si>
    <t>Q4_2026</t>
  </si>
  <si>
    <t>Q1_2027</t>
  </si>
  <si>
    <t>Q2_2027</t>
  </si>
  <si>
    <t>Q3_2027</t>
  </si>
  <si>
    <t>Q4_2027</t>
  </si>
  <si>
    <t>Q1_2028</t>
  </si>
  <si>
    <t>Q2_2028</t>
  </si>
  <si>
    <t>Q3_2028</t>
  </si>
  <si>
    <t>Q4_2028</t>
  </si>
  <si>
    <t>Q1_2029</t>
  </si>
  <si>
    <t>Q2_2029</t>
  </si>
  <si>
    <t>Q3_2029</t>
  </si>
  <si>
    <t>Q4_2029</t>
  </si>
  <si>
    <t>Q1_2030</t>
  </si>
  <si>
    <t>Q2_2030</t>
  </si>
  <si>
    <t>Q3_2030</t>
  </si>
  <si>
    <t>Q4_2030</t>
  </si>
  <si>
    <t>Q1_2031</t>
  </si>
  <si>
    <t>Q2_2031</t>
  </si>
  <si>
    <t>Q3_2031</t>
  </si>
  <si>
    <t>Q4_2031</t>
  </si>
  <si>
    <t>Q1_2032</t>
  </si>
  <si>
    <t>Q2_2032</t>
  </si>
  <si>
    <t>Q3_2032</t>
  </si>
  <si>
    <t>Q4_2032</t>
  </si>
  <si>
    <t>Q1_2033</t>
  </si>
  <si>
    <t>Q2_2033</t>
  </si>
  <si>
    <t>Q3_2033</t>
  </si>
  <si>
    <t>Q4_2033</t>
  </si>
  <si>
    <t>Q1_2034</t>
  </si>
  <si>
    <t>Q2_2034</t>
  </si>
  <si>
    <t>Q3_2034</t>
  </si>
  <si>
    <t>Q4_2034</t>
  </si>
  <si>
    <t>Q1_2035</t>
  </si>
  <si>
    <t>Q2_2035</t>
  </si>
  <si>
    <t>Q3_2035</t>
  </si>
  <si>
    <t>Q4_2035</t>
  </si>
  <si>
    <t>Q1_2036</t>
  </si>
  <si>
    <t>Q2_2036</t>
  </si>
  <si>
    <t>Q3_2036</t>
  </si>
  <si>
    <t>Q4_2036</t>
  </si>
  <si>
    <t>Q1_2037</t>
  </si>
  <si>
    <t>Q2_2037</t>
  </si>
  <si>
    <t>Q3_2037</t>
  </si>
  <si>
    <t>Q4_2037</t>
  </si>
  <si>
    <t>Q1_2038</t>
  </si>
  <si>
    <t>Q2_2038</t>
  </si>
  <si>
    <t>Q3_2038</t>
  </si>
  <si>
    <t>Q4_2038</t>
  </si>
  <si>
    <t>Q1_2039</t>
  </si>
  <si>
    <t>Q2_2039</t>
  </si>
  <si>
    <t>Q3_2039</t>
  </si>
  <si>
    <t>Q4_2039</t>
  </si>
  <si>
    <t>Q1_2040</t>
  </si>
  <si>
    <t>Q2_2040</t>
  </si>
  <si>
    <t>Q3_2040</t>
  </si>
  <si>
    <t>Q4_2040</t>
  </si>
  <si>
    <t>Q1_2041</t>
  </si>
  <si>
    <t>Q2_2041</t>
  </si>
  <si>
    <t>Q3_2041</t>
  </si>
  <si>
    <t>Q4_2041</t>
  </si>
  <si>
    <t>Q1_2042</t>
  </si>
  <si>
    <t>Q2_2042</t>
  </si>
  <si>
    <t>Q3_2042</t>
  </si>
  <si>
    <t>Q4_2042</t>
  </si>
  <si>
    <t>Q1_2043</t>
  </si>
  <si>
    <t>Q2_2043</t>
  </si>
  <si>
    <t>Q3_2043</t>
  </si>
  <si>
    <t>Q4_2043</t>
  </si>
  <si>
    <t>Q1_2044</t>
  </si>
  <si>
    <t>Q2_2044</t>
  </si>
  <si>
    <t>Q3_2044</t>
  </si>
  <si>
    <t>Q4_2044</t>
  </si>
  <si>
    <t>.</t>
  </si>
  <si>
    <t>Parameters</t>
  </si>
  <si>
    <t>LEGEND:</t>
  </si>
  <si>
    <t>model inputs</t>
  </si>
  <si>
    <t>Valuation date</t>
  </si>
  <si>
    <t>checks</t>
  </si>
  <si>
    <t>Projection period</t>
  </si>
  <si>
    <t>years</t>
  </si>
  <si>
    <t>corrected data and key results</t>
  </si>
  <si>
    <t>$</t>
  </si>
  <si>
    <t>errors in data</t>
  </si>
  <si>
    <t>Discount rate</t>
  </si>
  <si>
    <t>p.a.</t>
  </si>
  <si>
    <t>formula change or danger cells</t>
  </si>
  <si>
    <t>% of petrol car sales in the original plan that will now be replaced by electric cars</t>
  </si>
  <si>
    <t>Energy requirement for full recharge of one electric car</t>
  </si>
  <si>
    <t>kWh</t>
  </si>
  <si>
    <t>Energy supply from one charging station in a year</t>
  </si>
  <si>
    <t>$ in 2026</t>
  </si>
  <si>
    <t xml:space="preserve">Inflation on cost of building station </t>
  </si>
  <si>
    <t>p.a. from 2027 onwards</t>
  </si>
  <si>
    <t>Calendar year</t>
  </si>
  <si>
    <t>% cars scrapped</t>
  </si>
  <si>
    <t>2026 to 2040</t>
  </si>
  <si>
    <t>2041 to 2045</t>
  </si>
  <si>
    <t>Expenses (in $)</t>
  </si>
  <si>
    <t>p.a. in 2026</t>
  </si>
  <si>
    <t>Advertising and other costs</t>
  </si>
  <si>
    <t>Inflation on all expenses</t>
  </si>
  <si>
    <t>Additional scenario</t>
  </si>
  <si>
    <t>Cost of petrol per litre</t>
  </si>
  <si>
    <t>$ per litre in 2026</t>
  </si>
  <si>
    <t>Inflation in the cost of one litre of petrol</t>
  </si>
  <si>
    <t>Tax rate applied on the cost of one litre of petrol</t>
  </si>
  <si>
    <t>Average petrol consumption of a car in a year</t>
  </si>
  <si>
    <t>litres</t>
  </si>
  <si>
    <t>count</t>
  </si>
  <si>
    <t>max</t>
  </si>
  <si>
    <t>avg</t>
  </si>
  <si>
    <t>min</t>
  </si>
  <si>
    <t>count of negative values</t>
  </si>
  <si>
    <t>Raw data checks</t>
  </si>
  <si>
    <t>Corrected data</t>
  </si>
  <si>
    <t>Reason for correction</t>
  </si>
  <si>
    <t>do not expect negative sales</t>
  </si>
  <si>
    <t>negative sales, converted to positive</t>
  </si>
  <si>
    <t>seems low, outlier</t>
  </si>
  <si>
    <t>Check on total sales</t>
  </si>
  <si>
    <t>Total</t>
  </si>
  <si>
    <t>Petrol car sales - monthly</t>
  </si>
  <si>
    <t>Petrol car sales - annual</t>
  </si>
  <si>
    <t>Months included</t>
  </si>
  <si>
    <t>Check months</t>
  </si>
  <si>
    <t>Electric cars projection</t>
  </si>
  <si>
    <t>Check on total</t>
  </si>
  <si>
    <t>end of year</t>
  </si>
  <si>
    <t>Electric car sales</t>
  </si>
  <si>
    <t>Petrol cars at start of year</t>
  </si>
  <si>
    <t>Petrol sales revised</t>
  </si>
  <si>
    <t>Petrol cars after sales, before scrap</t>
  </si>
  <si>
    <t>Petrol cars scrapped</t>
  </si>
  <si>
    <t>Petrol cars at end of year</t>
  </si>
  <si>
    <t>Electric cars at start of year</t>
  </si>
  <si>
    <t>Electric cars after sales, before scrap</t>
  </si>
  <si>
    <t>Electric cars scrapped</t>
  </si>
  <si>
    <t>Electric cars at end of year</t>
  </si>
  <si>
    <t>Base scenario</t>
  </si>
  <si>
    <t>Budget</t>
  </si>
  <si>
    <t>Comparison (shortfall in budget)</t>
  </si>
  <si>
    <t>Comment:</t>
  </si>
  <si>
    <t>Cost of building stations</t>
  </si>
  <si>
    <t>Other Expenses</t>
  </si>
  <si>
    <t>Cost of subsidy on electric cars</t>
  </si>
  <si>
    <t>average no. of electric cars in a year before scrap</t>
  </si>
  <si>
    <t xml:space="preserve">Number of stations needed to meet charging requirement </t>
  </si>
  <si>
    <t>No. of new stations to be built</t>
  </si>
  <si>
    <t>Cost of building recharge stations</t>
  </si>
  <si>
    <t>Advertising and other</t>
  </si>
  <si>
    <t>Total expenses</t>
  </si>
  <si>
    <t>Net cashflow</t>
  </si>
  <si>
    <t>Comparison (excess budget)</t>
  </si>
  <si>
    <t>Tax income on petrol cost</t>
  </si>
  <si>
    <t>Average no. of petrol cars in a year before scrap</t>
  </si>
  <si>
    <t>Tax income from petrol cars</t>
  </si>
  <si>
    <t xml:space="preserve">Shortfall in budget </t>
  </si>
  <si>
    <t xml:space="preserve">Excess budget </t>
  </si>
  <si>
    <t>NPV of total expense cashflows</t>
  </si>
  <si>
    <t>NPV of "subsidy cost on electric cars net of tax income on petrol cars"</t>
  </si>
  <si>
    <t>NPV of cost of building recharging stations</t>
  </si>
  <si>
    <t>Excess budget in additional scenario</t>
  </si>
  <si>
    <t>Total-&gt;</t>
  </si>
  <si>
    <t>-&gt; sum should be equal to budget</t>
  </si>
  <si>
    <t>No. of petrol cars at 1 January 2026</t>
  </si>
  <si>
    <t>Source: Government Transport Department</t>
  </si>
  <si>
    <t>Proportion of petrol cars scrapped at the end of each year</t>
  </si>
  <si>
    <t>Proportion of electric cars expected to be scrapped at the end of each year</t>
  </si>
  <si>
    <t>very high sales, take average of preceding and succeeding years' sales</t>
  </si>
  <si>
    <t>too low sales, taken average of preceding and succeeding years' sales</t>
  </si>
  <si>
    <t>Check on cars at end of year</t>
  </si>
  <si>
    <t>(in $)</t>
  </si>
  <si>
    <t>CT program budget</t>
  </si>
  <si>
    <t xml:space="preserve">Subsidy offered on the purchase price of each electric car </t>
  </si>
  <si>
    <t>Number of full recharges required by one electric car in one year</t>
  </si>
  <si>
    <t>Cost of building one charging station</t>
  </si>
  <si>
    <t>Sales of cars after CT program launch</t>
  </si>
  <si>
    <t>Petrol cars projection (after CT program launch)</t>
  </si>
  <si>
    <t>Original - Petrol car sales (before CT launch)</t>
  </si>
  <si>
    <t>Revised - Petrol cars sales
(after CT launch)</t>
  </si>
  <si>
    <t xml:space="preserve">Energy required (in kWh) for full recharge of electric cars </t>
  </si>
  <si>
    <r>
      <t xml:space="preserve">Comment: </t>
    </r>
    <r>
      <rPr>
        <i/>
        <sz val="11"/>
        <color rgb="FFFF0000"/>
        <rFont val="Calibri"/>
        <family val="2"/>
        <scheme val="minor"/>
      </rPr>
      <t>In this scenario, the entire budget will not be used to meet the program costs as the budget exceeds the NPV of the program cashflows</t>
    </r>
    <r>
      <rPr>
        <sz val="11"/>
        <color indexed="2"/>
        <rFont val="Calibri"/>
        <family val="2"/>
        <scheme val="minor"/>
      </rPr>
      <t>.</t>
    </r>
  </si>
  <si>
    <t>NPV of program c/fs</t>
  </si>
  <si>
    <t>Corrected data before CT program launch converted from monthly to annual</t>
  </si>
  <si>
    <t>Check electric car plus petrol = Total</t>
  </si>
  <si>
    <t>Program admin costs</t>
  </si>
  <si>
    <t>The NPV of the program costs is higher than the budget and hence the current budget is not sufficient to implement the CT program.</t>
  </si>
  <si>
    <r>
      <t xml:space="preserve">Reasonable: </t>
    </r>
    <r>
      <rPr>
        <i/>
        <sz val="11"/>
        <color rgb="FFFF0000"/>
        <rFont val="Calibri"/>
        <family val="2"/>
        <scheme val="minor"/>
      </rPr>
      <t>The NPV of program cashflows is higher than that under base due to the positive tax income.</t>
    </r>
  </si>
  <si>
    <t>Summary of results (at 7% p.a. discount rate) (in $)</t>
  </si>
  <si>
    <t>NPV of CT program c/fs @ 7%</t>
  </si>
  <si>
    <t>Discount factor (7%)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</si>
</sst>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00"/>
  </numFmts>
  <fonts count="29" x14ac:knownFonts="1">
    <font>
      <sz val="11"/>
      <color theme="1"/>
      <name val="Calibri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2"/>
      <name val="Calibri"/>
      <family val="2"/>
      <scheme val="minor"/>
    </font>
    <font>
      <i/>
      <sz val="11"/>
      <color indexed="2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1"/>
      <color theme="4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u/>
      <sz val="11"/>
      <color indexed="2"/>
      <name val="Calibri"/>
      <family val="2"/>
      <scheme val="minor"/>
    </font>
    <font>
      <b/>
      <sz val="11"/>
      <color indexed="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2"/>
      <color indexed="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2"/>
      <color theme="4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6" fillId="0" borderId="0"/>
    <xf numFmtId="9" fontId="26" fillId="0" borderId="0"/>
  </cellStyleXfs>
  <cellXfs count="22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" fontId="0" fillId="0" borderId="0" xfId="0" applyNumberFormat="1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0" fontId="0" fillId="3" borderId="0" xfId="0" applyFill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7" fontId="0" fillId="0" borderId="3" xfId="0" applyNumberFormat="1" applyBorder="1" applyAlignment="1">
      <alignment horizontal="center"/>
    </xf>
    <xf numFmtId="164" fontId="26" fillId="0" borderId="4" xfId="1" applyNumberFormat="1" applyBorder="1" applyAlignment="1">
      <alignment horizontal="right"/>
    </xf>
    <xf numFmtId="0" fontId="3" fillId="0" borderId="0" xfId="0" applyFont="1"/>
    <xf numFmtId="17" fontId="0" fillId="0" borderId="5" xfId="0" applyNumberFormat="1" applyBorder="1" applyAlignment="1">
      <alignment horizontal="center"/>
    </xf>
    <xf numFmtId="3" fontId="0" fillId="0" borderId="0" xfId="0" applyNumberFormat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4" borderId="1" xfId="0" applyFill="1" applyBorder="1"/>
    <xf numFmtId="0" fontId="2" fillId="0" borderId="6" xfId="0" applyFont="1" applyBorder="1"/>
    <xf numFmtId="14" fontId="0" fillId="4" borderId="1" xfId="0" applyNumberFormat="1" applyFill="1" applyBorder="1"/>
    <xf numFmtId="0" fontId="6" fillId="0" borderId="1" xfId="0" applyFont="1" applyBorder="1"/>
    <xf numFmtId="0" fontId="0" fillId="4" borderId="7" xfId="0" applyFill="1" applyBorder="1"/>
    <xf numFmtId="0" fontId="0" fillId="5" borderId="1" xfId="0" applyFill="1" applyBorder="1"/>
    <xf numFmtId="0" fontId="2" fillId="0" borderId="1" xfId="0" applyFont="1" applyBorder="1"/>
    <xf numFmtId="164" fontId="26" fillId="4" borderId="1" xfId="1" applyNumberFormat="1" applyFill="1" applyBorder="1"/>
    <xf numFmtId="0" fontId="0" fillId="6" borderId="1" xfId="0" applyFill="1" applyBorder="1"/>
    <xf numFmtId="0" fontId="2" fillId="0" borderId="8" xfId="0" applyFont="1" applyBorder="1"/>
    <xf numFmtId="165" fontId="26" fillId="4" borderId="9" xfId="2" applyNumberFormat="1" applyFill="1" applyBorder="1"/>
    <xf numFmtId="0" fontId="0" fillId="7" borderId="1" xfId="0" applyFill="1" applyBorder="1"/>
    <xf numFmtId="9" fontId="6" fillId="0" borderId="0" xfId="0" applyNumberFormat="1" applyFont="1"/>
    <xf numFmtId="164" fontId="26" fillId="0" borderId="0" xfId="1" applyNumberFormat="1"/>
    <xf numFmtId="164" fontId="6" fillId="0" borderId="0" xfId="1" applyNumberFormat="1" applyFont="1"/>
    <xf numFmtId="9" fontId="6" fillId="0" borderId="0" xfId="2" applyFont="1"/>
    <xf numFmtId="0" fontId="1" fillId="0" borderId="0" xfId="0" applyFont="1"/>
    <xf numFmtId="0" fontId="0" fillId="0" borderId="1" xfId="0" applyBorder="1"/>
    <xf numFmtId="0" fontId="7" fillId="0" borderId="0" xfId="0" applyFont="1"/>
    <xf numFmtId="0" fontId="0" fillId="0" borderId="10" xfId="0" applyBorder="1" applyAlignment="1">
      <alignment horizontal="center"/>
    </xf>
    <xf numFmtId="9" fontId="0" fillId="4" borderId="7" xfId="0" applyNumberFormat="1" applyFill="1" applyBorder="1" applyAlignment="1">
      <alignment horizontal="center"/>
    </xf>
    <xf numFmtId="9" fontId="26" fillId="0" borderId="0" xfId="2"/>
    <xf numFmtId="0" fontId="0" fillId="0" borderId="3" xfId="0" applyBorder="1" applyAlignment="1">
      <alignment horizontal="center"/>
    </xf>
    <xf numFmtId="9" fontId="0" fillId="4" borderId="11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4" borderId="9" xfId="0" applyNumberFormat="1" applyFill="1" applyBorder="1" applyAlignment="1">
      <alignment horizontal="center"/>
    </xf>
    <xf numFmtId="0" fontId="0" fillId="0" borderId="0" xfId="0" applyAlignment="1">
      <alignment wrapText="1"/>
    </xf>
    <xf numFmtId="9" fontId="0" fillId="0" borderId="0" xfId="0" applyNumberFormat="1"/>
    <xf numFmtId="3" fontId="0" fillId="4" borderId="1" xfId="0" applyNumberFormat="1" applyFill="1" applyBorder="1" applyAlignment="1">
      <alignment horizontal="right"/>
    </xf>
    <xf numFmtId="3" fontId="0" fillId="4" borderId="6" xfId="0" applyNumberFormat="1" applyFill="1" applyBorder="1"/>
    <xf numFmtId="0" fontId="2" fillId="0" borderId="2" xfId="0" applyFont="1" applyBorder="1"/>
    <xf numFmtId="10" fontId="0" fillId="4" borderId="1" xfId="0" applyNumberFormat="1" applyFill="1" applyBorder="1"/>
    <xf numFmtId="10" fontId="0" fillId="0" borderId="0" xfId="0" applyNumberFormat="1"/>
    <xf numFmtId="0" fontId="1" fillId="0" borderId="2" xfId="0" applyFont="1" applyBorder="1"/>
    <xf numFmtId="10" fontId="1" fillId="0" borderId="1" xfId="0" applyNumberFormat="1" applyFont="1" applyBorder="1" applyAlignment="1">
      <alignment horizontal="right"/>
    </xf>
    <xf numFmtId="0" fontId="8" fillId="0" borderId="0" xfId="0" applyFont="1"/>
    <xf numFmtId="0" fontId="0" fillId="0" borderId="2" xfId="0" applyBorder="1"/>
    <xf numFmtId="10" fontId="0" fillId="4" borderId="1" xfId="0" applyNumberFormat="1" applyFill="1" applyBorder="1" applyAlignment="1">
      <alignment horizontal="right"/>
    </xf>
    <xf numFmtId="0" fontId="5" fillId="0" borderId="0" xfId="0" quotePrefix="1" applyFont="1"/>
    <xf numFmtId="0" fontId="0" fillId="0" borderId="5" xfId="0" applyBorder="1"/>
    <xf numFmtId="10" fontId="0" fillId="4" borderId="8" xfId="0" applyNumberFormat="1" applyFill="1" applyBorder="1" applyAlignment="1">
      <alignment horizontal="right"/>
    </xf>
    <xf numFmtId="0" fontId="0" fillId="0" borderId="6" xfId="0" applyBorder="1"/>
    <xf numFmtId="164" fontId="26" fillId="4" borderId="7" xfId="1" applyNumberFormat="1" applyFill="1" applyBorder="1"/>
    <xf numFmtId="0" fontId="0" fillId="0" borderId="8" xfId="0" applyBorder="1"/>
    <xf numFmtId="0" fontId="9" fillId="0" borderId="0" xfId="0" applyFont="1"/>
    <xf numFmtId="10" fontId="26" fillId="4" borderId="9" xfId="2" applyNumberFormat="1" applyFill="1" applyBorder="1"/>
    <xf numFmtId="0" fontId="0" fillId="0" borderId="1" xfId="0" applyBorder="1" applyAlignment="1">
      <alignment wrapText="1"/>
    </xf>
    <xf numFmtId="9" fontId="0" fillId="4" borderId="12" xfId="0" applyNumberFormat="1" applyFill="1" applyBorder="1"/>
    <xf numFmtId="0" fontId="0" fillId="4" borderId="9" xfId="0" applyFill="1" applyBorder="1"/>
    <xf numFmtId="0" fontId="0" fillId="0" borderId="0" xfId="0" applyAlignment="1">
      <alignment horizontal="left" vertical="top"/>
    </xf>
    <xf numFmtId="0" fontId="0" fillId="0" borderId="10" xfId="0" applyBorder="1"/>
    <xf numFmtId="0" fontId="0" fillId="0" borderId="7" xfId="0" applyBorder="1"/>
    <xf numFmtId="0" fontId="7" fillId="0" borderId="0" xfId="0" applyFont="1" applyAlignment="1">
      <alignment horizontal="left"/>
    </xf>
    <xf numFmtId="0" fontId="0" fillId="0" borderId="3" xfId="0" applyBorder="1"/>
    <xf numFmtId="164" fontId="0" fillId="0" borderId="11" xfId="0" applyNumberFormat="1" applyBorder="1"/>
    <xf numFmtId="164" fontId="7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9" xfId="0" applyBorder="1"/>
    <xf numFmtId="0" fontId="10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2" xfId="0" applyFont="1" applyBorder="1"/>
    <xf numFmtId="0" fontId="11" fillId="0" borderId="0" xfId="0" applyFont="1"/>
    <xf numFmtId="17" fontId="0" fillId="0" borderId="4" xfId="0" applyNumberFormat="1" applyBorder="1" applyAlignment="1">
      <alignment horizontal="center"/>
    </xf>
    <xf numFmtId="164" fontId="26" fillId="0" borderId="11" xfId="1" applyNumberFormat="1" applyBorder="1"/>
    <xf numFmtId="164" fontId="26" fillId="5" borderId="11" xfId="1" applyNumberFormat="1" applyFill="1" applyBorder="1"/>
    <xf numFmtId="164" fontId="5" fillId="0" borderId="0" xfId="0" applyNumberFormat="1" applyFont="1"/>
    <xf numFmtId="164" fontId="0" fillId="0" borderId="9" xfId="0" applyNumberFormat="1" applyBorder="1"/>
    <xf numFmtId="164" fontId="26" fillId="0" borderId="9" xfId="1" applyNumberFormat="1" applyBorder="1"/>
    <xf numFmtId="0" fontId="12" fillId="0" borderId="0" xfId="0" applyFont="1"/>
    <xf numFmtId="0" fontId="6" fillId="0" borderId="0" xfId="0" applyFont="1" applyAlignment="1">
      <alignment horizontal="center"/>
    </xf>
    <xf numFmtId="0" fontId="13" fillId="0" borderId="0" xfId="0" applyFont="1"/>
    <xf numFmtId="0" fontId="2" fillId="0" borderId="2" xfId="0" applyFont="1" applyBorder="1" applyAlignment="1">
      <alignment horizontal="right"/>
    </xf>
    <xf numFmtId="0" fontId="14" fillId="0" borderId="2" xfId="0" applyFont="1" applyBorder="1" applyAlignment="1">
      <alignment horizontal="center"/>
    </xf>
    <xf numFmtId="17" fontId="0" fillId="0" borderId="4" xfId="0" applyNumberFormat="1" applyBorder="1"/>
    <xf numFmtId="164" fontId="26" fillId="0" borderId="4" xfId="1" applyNumberFormat="1" applyBorder="1"/>
    <xf numFmtId="0" fontId="0" fillId="7" borderId="3" xfId="0" applyFill="1" applyBorder="1"/>
    <xf numFmtId="164" fontId="26" fillId="0" borderId="4" xfId="1" applyNumberFormat="1" applyBorder="1" applyAlignment="1">
      <alignment horizontal="center"/>
    </xf>
    <xf numFmtId="164" fontId="6" fillId="0" borderId="4" xfId="1" applyNumberFormat="1" applyFont="1" applyBorder="1" applyAlignment="1">
      <alignment horizontal="center"/>
    </xf>
    <xf numFmtId="164" fontId="26" fillId="5" borderId="4" xfId="1" applyNumberFormat="1" applyFill="1" applyBorder="1"/>
    <xf numFmtId="164" fontId="26" fillId="0" borderId="8" xfId="1" applyNumberFormat="1" applyBorder="1" applyAlignment="1">
      <alignment horizontal="center"/>
    </xf>
    <xf numFmtId="164" fontId="6" fillId="0" borderId="8" xfId="1" applyNumberFormat="1" applyFont="1" applyBorder="1" applyAlignment="1">
      <alignment horizontal="center"/>
    </xf>
    <xf numFmtId="164" fontId="26" fillId="0" borderId="8" xfId="1" applyNumberFormat="1" applyBorder="1"/>
    <xf numFmtId="0" fontId="15" fillId="0" borderId="0" xfId="0" applyFont="1"/>
    <xf numFmtId="0" fontId="16" fillId="0" borderId="0" xfId="0" applyFont="1" applyAlignment="1">
      <alignment vertical="top"/>
    </xf>
    <xf numFmtId="0" fontId="17" fillId="0" borderId="0" xfId="0" applyFont="1"/>
    <xf numFmtId="0" fontId="18" fillId="0" borderId="0" xfId="0" applyFont="1"/>
    <xf numFmtId="0" fontId="0" fillId="0" borderId="0" xfId="0" applyAlignment="1">
      <alignment vertical="top"/>
    </xf>
    <xf numFmtId="8" fontId="0" fillId="0" borderId="0" xfId="0" applyNumberFormat="1"/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8" fontId="0" fillId="0" borderId="0" xfId="0" applyNumberFormat="1" applyAlignment="1">
      <alignment vertical="top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9" fillId="0" borderId="0" xfId="0" applyFont="1"/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3" xfId="0" applyFont="1" applyBorder="1" applyAlignment="1">
      <alignment horizontal="right" vertical="top" wrapText="1"/>
    </xf>
    <xf numFmtId="0" fontId="2" fillId="5" borderId="13" xfId="0" applyFont="1" applyFill="1" applyBorder="1" applyAlignment="1">
      <alignment horizontal="right" vertical="top" wrapText="1"/>
    </xf>
    <xf numFmtId="0" fontId="2" fillId="5" borderId="12" xfId="0" applyFont="1" applyFill="1" applyBorder="1" applyAlignment="1">
      <alignment horizontal="right" vertical="top" wrapText="1"/>
    </xf>
    <xf numFmtId="0" fontId="14" fillId="0" borderId="0" xfId="0" applyFont="1" applyAlignment="1">
      <alignment vertical="top" wrapText="1"/>
    </xf>
    <xf numFmtId="0" fontId="2" fillId="0" borderId="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2" fillId="0" borderId="0" xfId="0" applyFont="1" applyAlignment="1">
      <alignment vertical="top" wrapText="1"/>
    </xf>
    <xf numFmtId="14" fontId="5" fillId="7" borderId="1" xfId="0" applyNumberFormat="1" applyFont="1" applyFill="1" applyBorder="1" applyAlignment="1">
      <alignment horizontal="left"/>
    </xf>
    <xf numFmtId="0" fontId="2" fillId="0" borderId="11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7" borderId="4" xfId="0" applyFill="1" applyBorder="1" applyAlignment="1">
      <alignment horizontal="left"/>
    </xf>
    <xf numFmtId="3" fontId="0" fillId="7" borderId="3" xfId="0" applyNumberFormat="1" applyFill="1" applyBorder="1" applyAlignment="1">
      <alignment vertical="top" wrapText="1"/>
    </xf>
    <xf numFmtId="3" fontId="0" fillId="0" borderId="0" xfId="0" applyNumberFormat="1" applyAlignment="1">
      <alignment vertical="top" wrapText="1"/>
    </xf>
    <xf numFmtId="3" fontId="0" fillId="0" borderId="11" xfId="0" applyNumberFormat="1" applyBorder="1" applyAlignment="1">
      <alignment vertical="top" wrapText="1"/>
    </xf>
    <xf numFmtId="164" fontId="26" fillId="0" borderId="0" xfId="1" applyNumberFormat="1" applyAlignment="1">
      <alignment horizontal="right" wrapText="1"/>
    </xf>
    <xf numFmtId="0" fontId="0" fillId="0" borderId="4" xfId="0" applyBorder="1" applyAlignment="1">
      <alignment horizontal="left"/>
    </xf>
    <xf numFmtId="3" fontId="0" fillId="0" borderId="3" xfId="0" applyNumberFormat="1" applyBorder="1" applyAlignment="1">
      <alignment vertical="top" wrapText="1"/>
    </xf>
    <xf numFmtId="164" fontId="26" fillId="0" borderId="3" xfId="1" applyNumberFormat="1" applyBorder="1" applyAlignment="1">
      <alignment vertical="top" wrapText="1"/>
    </xf>
    <xf numFmtId="164" fontId="26" fillId="0" borderId="0" xfId="1" applyNumberFormat="1" applyAlignment="1">
      <alignment vertical="top" wrapText="1"/>
    </xf>
    <xf numFmtId="164" fontId="26" fillId="0" borderId="11" xfId="1" applyNumberFormat="1" applyBorder="1" applyAlignment="1">
      <alignment vertical="top" wrapText="1"/>
    </xf>
    <xf numFmtId="164" fontId="26" fillId="0" borderId="3" xfId="1" applyNumberFormat="1" applyBorder="1"/>
    <xf numFmtId="164" fontId="26" fillId="0" borderId="0" xfId="1" applyNumberFormat="1" applyAlignment="1">
      <alignment horizontal="right"/>
    </xf>
    <xf numFmtId="0" fontId="0" fillId="0" borderId="8" xfId="0" applyBorder="1" applyAlignment="1">
      <alignment horizontal="left"/>
    </xf>
    <xf numFmtId="164" fontId="26" fillId="0" borderId="14" xfId="1" applyNumberFormat="1" applyBorder="1"/>
    <xf numFmtId="3" fontId="0" fillId="0" borderId="5" xfId="0" applyNumberFormat="1" applyBorder="1" applyAlignment="1">
      <alignment vertical="top" wrapText="1"/>
    </xf>
    <xf numFmtId="3" fontId="0" fillId="0" borderId="14" xfId="0" applyNumberFormat="1" applyBorder="1" applyAlignment="1">
      <alignment vertical="top" wrapText="1"/>
    </xf>
    <xf numFmtId="3" fontId="0" fillId="0" borderId="9" xfId="0" applyNumberFormat="1" applyBorder="1" applyAlignment="1">
      <alignment vertical="top" wrapText="1"/>
    </xf>
    <xf numFmtId="164" fontId="26" fillId="0" borderId="5" xfId="1" applyNumberFormat="1" applyBorder="1"/>
    <xf numFmtId="164" fontId="26" fillId="0" borderId="14" xfId="1" applyNumberFormat="1" applyBorder="1" applyAlignment="1">
      <alignment horizontal="right"/>
    </xf>
    <xf numFmtId="0" fontId="20" fillId="0" borderId="0" xfId="0" applyFont="1"/>
    <xf numFmtId="164" fontId="26" fillId="0" borderId="1" xfId="1" applyNumberFormat="1" applyBorder="1"/>
    <xf numFmtId="0" fontId="0" fillId="0" borderId="12" xfId="0" applyBorder="1"/>
    <xf numFmtId="164" fontId="2" fillId="5" borderId="12" xfId="1" applyNumberFormat="1" applyFont="1" applyFill="1" applyBorder="1"/>
    <xf numFmtId="164" fontId="26" fillId="0" borderId="12" xfId="1" applyNumberFormat="1" applyBorder="1"/>
    <xf numFmtId="0" fontId="21" fillId="0" borderId="0" xfId="0" applyFont="1"/>
    <xf numFmtId="0" fontId="2" fillId="0" borderId="1" xfId="0" applyFont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0" borderId="13" xfId="0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2" fillId="0" borderId="12" xfId="0" applyFont="1" applyBorder="1" applyAlignment="1">
      <alignment horizontal="right" vertical="top" wrapText="1"/>
    </xf>
    <xf numFmtId="14" fontId="5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1" xfId="0" applyBorder="1"/>
    <xf numFmtId="0" fontId="0" fillId="0" borderId="4" xfId="0" applyBorder="1"/>
    <xf numFmtId="164" fontId="26" fillId="0" borderId="3" xfId="1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6" fillId="0" borderId="0" xfId="1" applyNumberFormat="1" applyAlignment="1">
      <alignment horizontal="center"/>
    </xf>
    <xf numFmtId="164" fontId="26" fillId="8" borderId="0" xfId="1" applyNumberFormat="1" applyFill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3" fontId="0" fillId="0" borderId="11" xfId="0" applyNumberFormat="1" applyBorder="1"/>
    <xf numFmtId="164" fontId="0" fillId="0" borderId="4" xfId="0" applyNumberFormat="1" applyBorder="1"/>
    <xf numFmtId="166" fontId="0" fillId="0" borderId="4" xfId="0" applyNumberFormat="1" applyBorder="1"/>
    <xf numFmtId="166" fontId="0" fillId="0" borderId="0" xfId="0" applyNumberFormat="1"/>
    <xf numFmtId="0" fontId="0" fillId="0" borderId="15" xfId="0" applyBorder="1" applyAlignment="1">
      <alignment horizontal="left"/>
    </xf>
    <xf numFmtId="164" fontId="26" fillId="0" borderId="5" xfId="1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26" fillId="0" borderId="14" xfId="1" applyNumberFormat="1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3" fontId="0" fillId="0" borderId="9" xfId="0" applyNumberFormat="1" applyBorder="1"/>
    <xf numFmtId="164" fontId="0" fillId="0" borderId="8" xfId="0" applyNumberFormat="1" applyBorder="1"/>
    <xf numFmtId="166" fontId="0" fillId="0" borderId="8" xfId="0" applyNumberFormat="1" applyBorder="1"/>
    <xf numFmtId="43" fontId="2" fillId="0" borderId="0" xfId="1" applyFont="1"/>
    <xf numFmtId="0" fontId="5" fillId="0" borderId="0" xfId="0" quotePrefix="1" applyFont="1" applyAlignment="1">
      <alignment horizontal="left" vertical="top"/>
    </xf>
    <xf numFmtId="0" fontId="0" fillId="4" borderId="2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3" fillId="0" borderId="0" xfId="0" applyFont="1"/>
    <xf numFmtId="14" fontId="24" fillId="0" borderId="0" xfId="0" applyNumberFormat="1" applyFont="1" applyAlignment="1">
      <alignment horizontal="left"/>
    </xf>
    <xf numFmtId="0" fontId="2" fillId="4" borderId="18" xfId="0" applyFont="1" applyFill="1" applyBorder="1"/>
    <xf numFmtId="0" fontId="2" fillId="10" borderId="19" xfId="0" applyFont="1" applyFill="1" applyBorder="1" applyAlignment="1">
      <alignment horizontal="right"/>
    </xf>
    <xf numFmtId="0" fontId="2" fillId="10" borderId="20" xfId="0" applyFont="1" applyFill="1" applyBorder="1" applyAlignment="1">
      <alignment horizontal="right"/>
    </xf>
    <xf numFmtId="164" fontId="26" fillId="0" borderId="21" xfId="1" applyNumberFormat="1" applyBorder="1" applyAlignment="1">
      <alignment horizontal="left"/>
    </xf>
    <xf numFmtId="164" fontId="26" fillId="0" borderId="22" xfId="1" applyNumberFormat="1" applyBorder="1"/>
    <xf numFmtId="164" fontId="26" fillId="0" borderId="23" xfId="1" applyNumberFormat="1" applyBorder="1"/>
    <xf numFmtId="0" fontId="0" fillId="0" borderId="0" xfId="0" applyAlignment="1">
      <alignment horizontal="right"/>
    </xf>
    <xf numFmtId="9" fontId="7" fillId="0" borderId="0" xfId="2" applyFont="1"/>
    <xf numFmtId="0" fontId="7" fillId="0" borderId="0" xfId="0" quotePrefix="1" applyFont="1"/>
    <xf numFmtId="164" fontId="26" fillId="0" borderId="8" xfId="1" applyNumberFormat="1" applyBorder="1" applyAlignment="1">
      <alignment horizontal="right"/>
    </xf>
    <xf numFmtId="3" fontId="0" fillId="4" borderId="1" xfId="0" applyNumberFormat="1" applyFill="1" applyBorder="1"/>
    <xf numFmtId="9" fontId="26" fillId="4" borderId="1" xfId="2" applyFill="1" applyBorder="1"/>
    <xf numFmtId="2" fontId="0" fillId="4" borderId="1" xfId="0" applyNumberFormat="1" applyFill="1" applyBorder="1"/>
    <xf numFmtId="17" fontId="0" fillId="0" borderId="8" xfId="0" applyNumberFormat="1" applyBorder="1" applyAlignment="1">
      <alignment horizontal="center"/>
    </xf>
    <xf numFmtId="164" fontId="0" fillId="0" borderId="0" xfId="0" applyNumberFormat="1" applyAlignment="1">
      <alignment vertical="top"/>
    </xf>
    <xf numFmtId="164" fontId="27" fillId="0" borderId="0" xfId="0" applyNumberFormat="1" applyFont="1" applyAlignment="1">
      <alignment vertical="top"/>
    </xf>
    <xf numFmtId="0" fontId="27" fillId="0" borderId="0" xfId="0" applyFont="1"/>
    <xf numFmtId="165" fontId="7" fillId="0" borderId="0" xfId="2" applyNumberFormat="1" applyFont="1"/>
    <xf numFmtId="164" fontId="26" fillId="0" borderId="6" xfId="1" applyNumberFormat="1" applyBorder="1"/>
    <xf numFmtId="164" fontId="2" fillId="0" borderId="1" xfId="1" applyNumberFormat="1" applyFont="1" applyBorder="1"/>
    <xf numFmtId="164" fontId="26" fillId="0" borderId="0" xfId="1" applyNumberFormat="1" applyAlignment="1">
      <alignment horizontal="left" indent="11"/>
    </xf>
    <xf numFmtId="0" fontId="28" fillId="0" borderId="0" xfId="0" applyFont="1"/>
    <xf numFmtId="3" fontId="0" fillId="0" borderId="0" xfId="0" applyNumberFormat="1"/>
    <xf numFmtId="164" fontId="0" fillId="11" borderId="11" xfId="0" applyNumberFormat="1" applyFill="1" applyBorder="1"/>
    <xf numFmtId="0" fontId="26" fillId="0" borderId="13" xfId="0" applyFont="1" applyBorder="1" applyAlignment="1">
      <alignment horizontal="right" vertical="top" wrapText="1"/>
    </xf>
    <xf numFmtId="0" fontId="2" fillId="0" borderId="1" xfId="0" applyFont="1" applyBorder="1" applyAlignment="1">
      <alignment wrapText="1"/>
    </xf>
    <xf numFmtId="0" fontId="26" fillId="0" borderId="6" xfId="0" applyFont="1" applyBorder="1"/>
    <xf numFmtId="0" fontId="26" fillId="0" borderId="2" xfId="0" applyFont="1" applyBorder="1" applyAlignment="1">
      <alignment horizontal="right" vertical="top" wrapText="1"/>
    </xf>
    <xf numFmtId="0" fontId="22" fillId="9" borderId="0" xfId="0" applyFont="1" applyFill="1" applyAlignment="1">
      <alignment horizontal="center"/>
    </xf>
    <xf numFmtId="0" fontId="25" fillId="10" borderId="16" xfId="0" quotePrefix="1" applyFont="1" applyFill="1" applyBorder="1" applyAlignment="1">
      <alignment horizontal="center"/>
    </xf>
    <xf numFmtId="0" fontId="25" fillId="10" borderId="17" xfId="0" quotePrefix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</a:defRPr>
            </a:pPr>
            <a:r>
              <a:rPr lang="en-US"/>
              <a:t>Monthly petrol car sales from 2026 to 2045 (raw data)</a:t>
            </a:r>
          </a:p>
        </c:rich>
      </c:tx>
      <c:layout>
        <c:manualLayout>
          <c:xMode val="edge"/>
          <c:yMode val="edge"/>
          <c:x val="0.18733896205471917"/>
          <c:y val="2.7295769155780854E-2"/>
        </c:manualLayout>
      </c:layout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Data_correction!$C$9</c:f>
              <c:strCache>
                <c:ptCount val="1"/>
                <c:pt idx="0">
                  <c:v>Petrol car sales</c:v>
                </c:pt>
              </c:strCache>
            </c:strRef>
          </c:tx>
          <c:spPr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cat>
            <c:numRef>
              <c:f>Data_correction!$B$10:$B$249</c:f>
              <c:numCache>
                <c:formatCode>mmm\-yy</c:formatCode>
                <c:ptCount val="24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  <c:pt idx="27">
                  <c:v>46844</c:v>
                </c:pt>
                <c:pt idx="28">
                  <c:v>46874</c:v>
                </c:pt>
                <c:pt idx="29">
                  <c:v>46905</c:v>
                </c:pt>
                <c:pt idx="30">
                  <c:v>46935</c:v>
                </c:pt>
                <c:pt idx="31">
                  <c:v>46966</c:v>
                </c:pt>
                <c:pt idx="32">
                  <c:v>46997</c:v>
                </c:pt>
                <c:pt idx="33">
                  <c:v>47027</c:v>
                </c:pt>
                <c:pt idx="34">
                  <c:v>47058</c:v>
                </c:pt>
                <c:pt idx="35">
                  <c:v>47088</c:v>
                </c:pt>
                <c:pt idx="36">
                  <c:v>47119</c:v>
                </c:pt>
                <c:pt idx="37">
                  <c:v>47150</c:v>
                </c:pt>
                <c:pt idx="38">
                  <c:v>47178</c:v>
                </c:pt>
                <c:pt idx="39">
                  <c:v>47209</c:v>
                </c:pt>
                <c:pt idx="40">
                  <c:v>47239</c:v>
                </c:pt>
                <c:pt idx="41">
                  <c:v>47270</c:v>
                </c:pt>
                <c:pt idx="42">
                  <c:v>47300</c:v>
                </c:pt>
                <c:pt idx="43">
                  <c:v>47331</c:v>
                </c:pt>
                <c:pt idx="44">
                  <c:v>47362</c:v>
                </c:pt>
                <c:pt idx="45">
                  <c:v>47392</c:v>
                </c:pt>
                <c:pt idx="46">
                  <c:v>47423</c:v>
                </c:pt>
                <c:pt idx="47">
                  <c:v>47453</c:v>
                </c:pt>
                <c:pt idx="48">
                  <c:v>47484</c:v>
                </c:pt>
                <c:pt idx="49">
                  <c:v>47515</c:v>
                </c:pt>
                <c:pt idx="50">
                  <c:v>47543</c:v>
                </c:pt>
                <c:pt idx="51">
                  <c:v>47574</c:v>
                </c:pt>
                <c:pt idx="52">
                  <c:v>47604</c:v>
                </c:pt>
                <c:pt idx="53">
                  <c:v>47635</c:v>
                </c:pt>
                <c:pt idx="54">
                  <c:v>47665</c:v>
                </c:pt>
                <c:pt idx="55">
                  <c:v>47696</c:v>
                </c:pt>
                <c:pt idx="56">
                  <c:v>47727</c:v>
                </c:pt>
                <c:pt idx="57">
                  <c:v>47757</c:v>
                </c:pt>
                <c:pt idx="58">
                  <c:v>47788</c:v>
                </c:pt>
                <c:pt idx="59">
                  <c:v>47818</c:v>
                </c:pt>
                <c:pt idx="60">
                  <c:v>47849</c:v>
                </c:pt>
                <c:pt idx="61">
                  <c:v>47880</c:v>
                </c:pt>
                <c:pt idx="62">
                  <c:v>47908</c:v>
                </c:pt>
                <c:pt idx="63">
                  <c:v>47939</c:v>
                </c:pt>
                <c:pt idx="64">
                  <c:v>47969</c:v>
                </c:pt>
                <c:pt idx="65">
                  <c:v>48000</c:v>
                </c:pt>
                <c:pt idx="66">
                  <c:v>48030</c:v>
                </c:pt>
                <c:pt idx="67">
                  <c:v>48061</c:v>
                </c:pt>
                <c:pt idx="68">
                  <c:v>48092</c:v>
                </c:pt>
                <c:pt idx="69">
                  <c:v>48122</c:v>
                </c:pt>
                <c:pt idx="70">
                  <c:v>48153</c:v>
                </c:pt>
                <c:pt idx="71">
                  <c:v>48183</c:v>
                </c:pt>
                <c:pt idx="72">
                  <c:v>48214</c:v>
                </c:pt>
                <c:pt idx="73">
                  <c:v>48245</c:v>
                </c:pt>
                <c:pt idx="74">
                  <c:v>48274</c:v>
                </c:pt>
                <c:pt idx="75">
                  <c:v>48305</c:v>
                </c:pt>
                <c:pt idx="76">
                  <c:v>48335</c:v>
                </c:pt>
                <c:pt idx="77">
                  <c:v>48366</c:v>
                </c:pt>
                <c:pt idx="78">
                  <c:v>48396</c:v>
                </c:pt>
                <c:pt idx="79">
                  <c:v>48427</c:v>
                </c:pt>
                <c:pt idx="80">
                  <c:v>48458</c:v>
                </c:pt>
                <c:pt idx="81">
                  <c:v>48488</c:v>
                </c:pt>
                <c:pt idx="82">
                  <c:v>48519</c:v>
                </c:pt>
                <c:pt idx="83">
                  <c:v>48549</c:v>
                </c:pt>
                <c:pt idx="84">
                  <c:v>48580</c:v>
                </c:pt>
                <c:pt idx="85">
                  <c:v>48611</c:v>
                </c:pt>
                <c:pt idx="86">
                  <c:v>48639</c:v>
                </c:pt>
                <c:pt idx="87">
                  <c:v>48670</c:v>
                </c:pt>
                <c:pt idx="88">
                  <c:v>48700</c:v>
                </c:pt>
                <c:pt idx="89">
                  <c:v>48731</c:v>
                </c:pt>
                <c:pt idx="90">
                  <c:v>48761</c:v>
                </c:pt>
                <c:pt idx="91">
                  <c:v>48792</c:v>
                </c:pt>
                <c:pt idx="92">
                  <c:v>48823</c:v>
                </c:pt>
                <c:pt idx="93">
                  <c:v>48853</c:v>
                </c:pt>
                <c:pt idx="94">
                  <c:v>48884</c:v>
                </c:pt>
                <c:pt idx="95">
                  <c:v>48914</c:v>
                </c:pt>
                <c:pt idx="96">
                  <c:v>48945</c:v>
                </c:pt>
                <c:pt idx="97">
                  <c:v>48976</c:v>
                </c:pt>
                <c:pt idx="98">
                  <c:v>49004</c:v>
                </c:pt>
                <c:pt idx="99">
                  <c:v>49035</c:v>
                </c:pt>
                <c:pt idx="100">
                  <c:v>49065</c:v>
                </c:pt>
                <c:pt idx="101">
                  <c:v>49096</c:v>
                </c:pt>
                <c:pt idx="102">
                  <c:v>49126</c:v>
                </c:pt>
                <c:pt idx="103">
                  <c:v>49157</c:v>
                </c:pt>
                <c:pt idx="104">
                  <c:v>49188</c:v>
                </c:pt>
                <c:pt idx="105">
                  <c:v>49218</c:v>
                </c:pt>
                <c:pt idx="106">
                  <c:v>49249</c:v>
                </c:pt>
                <c:pt idx="107">
                  <c:v>49279</c:v>
                </c:pt>
                <c:pt idx="108">
                  <c:v>49310</c:v>
                </c:pt>
                <c:pt idx="109">
                  <c:v>49341</c:v>
                </c:pt>
                <c:pt idx="110">
                  <c:v>49369</c:v>
                </c:pt>
                <c:pt idx="111">
                  <c:v>49400</c:v>
                </c:pt>
                <c:pt idx="112">
                  <c:v>49430</c:v>
                </c:pt>
                <c:pt idx="113">
                  <c:v>49461</c:v>
                </c:pt>
                <c:pt idx="114">
                  <c:v>49491</c:v>
                </c:pt>
                <c:pt idx="115">
                  <c:v>49522</c:v>
                </c:pt>
                <c:pt idx="116">
                  <c:v>49553</c:v>
                </c:pt>
                <c:pt idx="117">
                  <c:v>49583</c:v>
                </c:pt>
                <c:pt idx="118">
                  <c:v>49614</c:v>
                </c:pt>
                <c:pt idx="119">
                  <c:v>49644</c:v>
                </c:pt>
                <c:pt idx="120">
                  <c:v>49675</c:v>
                </c:pt>
                <c:pt idx="121">
                  <c:v>49706</c:v>
                </c:pt>
                <c:pt idx="122">
                  <c:v>49735</c:v>
                </c:pt>
                <c:pt idx="123">
                  <c:v>49766</c:v>
                </c:pt>
                <c:pt idx="124">
                  <c:v>49796</c:v>
                </c:pt>
                <c:pt idx="125">
                  <c:v>49827</c:v>
                </c:pt>
                <c:pt idx="126">
                  <c:v>49857</c:v>
                </c:pt>
                <c:pt idx="127">
                  <c:v>49888</c:v>
                </c:pt>
                <c:pt idx="128">
                  <c:v>49919</c:v>
                </c:pt>
                <c:pt idx="129">
                  <c:v>49949</c:v>
                </c:pt>
                <c:pt idx="130">
                  <c:v>49980</c:v>
                </c:pt>
                <c:pt idx="131">
                  <c:v>50010</c:v>
                </c:pt>
                <c:pt idx="132">
                  <c:v>50041</c:v>
                </c:pt>
                <c:pt idx="133">
                  <c:v>50072</c:v>
                </c:pt>
                <c:pt idx="134">
                  <c:v>50100</c:v>
                </c:pt>
                <c:pt idx="135">
                  <c:v>50131</c:v>
                </c:pt>
                <c:pt idx="136">
                  <c:v>50161</c:v>
                </c:pt>
                <c:pt idx="137">
                  <c:v>50192</c:v>
                </c:pt>
                <c:pt idx="138">
                  <c:v>50222</c:v>
                </c:pt>
                <c:pt idx="139">
                  <c:v>50253</c:v>
                </c:pt>
                <c:pt idx="140">
                  <c:v>50284</c:v>
                </c:pt>
                <c:pt idx="141">
                  <c:v>50314</c:v>
                </c:pt>
                <c:pt idx="142">
                  <c:v>50345</c:v>
                </c:pt>
                <c:pt idx="143">
                  <c:v>50375</c:v>
                </c:pt>
                <c:pt idx="144">
                  <c:v>50406</c:v>
                </c:pt>
                <c:pt idx="145">
                  <c:v>50437</c:v>
                </c:pt>
                <c:pt idx="146">
                  <c:v>50465</c:v>
                </c:pt>
                <c:pt idx="147">
                  <c:v>50496</c:v>
                </c:pt>
                <c:pt idx="148">
                  <c:v>50526</c:v>
                </c:pt>
                <c:pt idx="149">
                  <c:v>50557</c:v>
                </c:pt>
                <c:pt idx="150">
                  <c:v>50587</c:v>
                </c:pt>
                <c:pt idx="151">
                  <c:v>50618</c:v>
                </c:pt>
                <c:pt idx="152">
                  <c:v>50649</c:v>
                </c:pt>
                <c:pt idx="153">
                  <c:v>50679</c:v>
                </c:pt>
                <c:pt idx="154">
                  <c:v>50710</c:v>
                </c:pt>
                <c:pt idx="155">
                  <c:v>50740</c:v>
                </c:pt>
                <c:pt idx="156">
                  <c:v>50771</c:v>
                </c:pt>
                <c:pt idx="157">
                  <c:v>50802</c:v>
                </c:pt>
                <c:pt idx="158">
                  <c:v>50830</c:v>
                </c:pt>
                <c:pt idx="159">
                  <c:v>50861</c:v>
                </c:pt>
                <c:pt idx="160">
                  <c:v>50891</c:v>
                </c:pt>
                <c:pt idx="161">
                  <c:v>50922</c:v>
                </c:pt>
                <c:pt idx="162">
                  <c:v>50952</c:v>
                </c:pt>
                <c:pt idx="163">
                  <c:v>50983</c:v>
                </c:pt>
                <c:pt idx="164">
                  <c:v>51014</c:v>
                </c:pt>
                <c:pt idx="165">
                  <c:v>51044</c:v>
                </c:pt>
                <c:pt idx="166">
                  <c:v>51075</c:v>
                </c:pt>
                <c:pt idx="167">
                  <c:v>51105</c:v>
                </c:pt>
                <c:pt idx="168">
                  <c:v>51136</c:v>
                </c:pt>
                <c:pt idx="169">
                  <c:v>51167</c:v>
                </c:pt>
                <c:pt idx="170">
                  <c:v>51196</c:v>
                </c:pt>
                <c:pt idx="171">
                  <c:v>51227</c:v>
                </c:pt>
                <c:pt idx="172">
                  <c:v>51257</c:v>
                </c:pt>
                <c:pt idx="173">
                  <c:v>51288</c:v>
                </c:pt>
                <c:pt idx="174">
                  <c:v>51318</c:v>
                </c:pt>
                <c:pt idx="175">
                  <c:v>51349</c:v>
                </c:pt>
                <c:pt idx="176">
                  <c:v>51380</c:v>
                </c:pt>
                <c:pt idx="177">
                  <c:v>51410</c:v>
                </c:pt>
                <c:pt idx="178">
                  <c:v>51441</c:v>
                </c:pt>
                <c:pt idx="179">
                  <c:v>51471</c:v>
                </c:pt>
                <c:pt idx="180">
                  <c:v>51502</c:v>
                </c:pt>
                <c:pt idx="181">
                  <c:v>51533</c:v>
                </c:pt>
                <c:pt idx="182">
                  <c:v>51561</c:v>
                </c:pt>
                <c:pt idx="183">
                  <c:v>51592</c:v>
                </c:pt>
                <c:pt idx="184">
                  <c:v>51622</c:v>
                </c:pt>
                <c:pt idx="185">
                  <c:v>51653</c:v>
                </c:pt>
                <c:pt idx="186">
                  <c:v>51683</c:v>
                </c:pt>
                <c:pt idx="187">
                  <c:v>51714</c:v>
                </c:pt>
                <c:pt idx="188">
                  <c:v>51745</c:v>
                </c:pt>
                <c:pt idx="189">
                  <c:v>51775</c:v>
                </c:pt>
                <c:pt idx="190">
                  <c:v>51806</c:v>
                </c:pt>
                <c:pt idx="191">
                  <c:v>51836</c:v>
                </c:pt>
                <c:pt idx="192">
                  <c:v>51867</c:v>
                </c:pt>
                <c:pt idx="193">
                  <c:v>51898</c:v>
                </c:pt>
                <c:pt idx="194">
                  <c:v>51926</c:v>
                </c:pt>
                <c:pt idx="195">
                  <c:v>51957</c:v>
                </c:pt>
                <c:pt idx="196">
                  <c:v>51987</c:v>
                </c:pt>
                <c:pt idx="197">
                  <c:v>52018</c:v>
                </c:pt>
                <c:pt idx="198">
                  <c:v>52048</c:v>
                </c:pt>
                <c:pt idx="199">
                  <c:v>52079</c:v>
                </c:pt>
                <c:pt idx="200">
                  <c:v>52110</c:v>
                </c:pt>
                <c:pt idx="201">
                  <c:v>52140</c:v>
                </c:pt>
                <c:pt idx="202">
                  <c:v>52171</c:v>
                </c:pt>
                <c:pt idx="203">
                  <c:v>52201</c:v>
                </c:pt>
                <c:pt idx="204">
                  <c:v>52232</c:v>
                </c:pt>
                <c:pt idx="205">
                  <c:v>52263</c:v>
                </c:pt>
                <c:pt idx="206">
                  <c:v>52291</c:v>
                </c:pt>
                <c:pt idx="207">
                  <c:v>52322</c:v>
                </c:pt>
                <c:pt idx="208">
                  <c:v>52352</c:v>
                </c:pt>
                <c:pt idx="209">
                  <c:v>52383</c:v>
                </c:pt>
                <c:pt idx="210">
                  <c:v>52413</c:v>
                </c:pt>
                <c:pt idx="211">
                  <c:v>52444</c:v>
                </c:pt>
                <c:pt idx="212">
                  <c:v>52475</c:v>
                </c:pt>
                <c:pt idx="213">
                  <c:v>52505</c:v>
                </c:pt>
                <c:pt idx="214">
                  <c:v>52536</c:v>
                </c:pt>
                <c:pt idx="215">
                  <c:v>52566</c:v>
                </c:pt>
                <c:pt idx="216">
                  <c:v>52597</c:v>
                </c:pt>
                <c:pt idx="217">
                  <c:v>52628</c:v>
                </c:pt>
                <c:pt idx="218">
                  <c:v>52657</c:v>
                </c:pt>
                <c:pt idx="219">
                  <c:v>52688</c:v>
                </c:pt>
                <c:pt idx="220">
                  <c:v>52718</c:v>
                </c:pt>
                <c:pt idx="221">
                  <c:v>52749</c:v>
                </c:pt>
                <c:pt idx="222">
                  <c:v>52779</c:v>
                </c:pt>
                <c:pt idx="223">
                  <c:v>52810</c:v>
                </c:pt>
                <c:pt idx="224">
                  <c:v>52841</c:v>
                </c:pt>
                <c:pt idx="225">
                  <c:v>52871</c:v>
                </c:pt>
                <c:pt idx="226">
                  <c:v>52902</c:v>
                </c:pt>
                <c:pt idx="227">
                  <c:v>52932</c:v>
                </c:pt>
                <c:pt idx="228">
                  <c:v>52963</c:v>
                </c:pt>
                <c:pt idx="229">
                  <c:v>52994</c:v>
                </c:pt>
                <c:pt idx="230">
                  <c:v>53022</c:v>
                </c:pt>
                <c:pt idx="231">
                  <c:v>53053</c:v>
                </c:pt>
                <c:pt idx="232">
                  <c:v>53083</c:v>
                </c:pt>
                <c:pt idx="233">
                  <c:v>53114</c:v>
                </c:pt>
                <c:pt idx="234">
                  <c:v>53144</c:v>
                </c:pt>
                <c:pt idx="235">
                  <c:v>53175</c:v>
                </c:pt>
                <c:pt idx="236">
                  <c:v>53206</c:v>
                </c:pt>
                <c:pt idx="237">
                  <c:v>53236</c:v>
                </c:pt>
                <c:pt idx="238">
                  <c:v>53267</c:v>
                </c:pt>
                <c:pt idx="239">
                  <c:v>53297</c:v>
                </c:pt>
              </c:numCache>
            </c:numRef>
          </c:cat>
          <c:val>
            <c:numRef>
              <c:f>Data_correction!$C$10:$C$249</c:f>
              <c:numCache>
                <c:formatCode>_-* #,##0_-;\-* #,##0_-;_-* "-"??_-;_-@_-</c:formatCode>
                <c:ptCount val="240"/>
                <c:pt idx="0">
                  <c:v>16755</c:v>
                </c:pt>
                <c:pt idx="1">
                  <c:v>18135</c:v>
                </c:pt>
                <c:pt idx="2">
                  <c:v>19675</c:v>
                </c:pt>
                <c:pt idx="3">
                  <c:v>21170</c:v>
                </c:pt>
                <c:pt idx="4">
                  <c:v>21300</c:v>
                </c:pt>
                <c:pt idx="5">
                  <c:v>21630</c:v>
                </c:pt>
                <c:pt idx="6">
                  <c:v>23100</c:v>
                </c:pt>
                <c:pt idx="7">
                  <c:v>24800</c:v>
                </c:pt>
                <c:pt idx="8">
                  <c:v>26430</c:v>
                </c:pt>
                <c:pt idx="9">
                  <c:v>28335</c:v>
                </c:pt>
                <c:pt idx="10">
                  <c:v>25925</c:v>
                </c:pt>
                <c:pt idx="11">
                  <c:v>27470</c:v>
                </c:pt>
                <c:pt idx="12">
                  <c:v>19233</c:v>
                </c:pt>
                <c:pt idx="13">
                  <c:v>20375</c:v>
                </c:pt>
                <c:pt idx="14">
                  <c:v>21570</c:v>
                </c:pt>
                <c:pt idx="15">
                  <c:v>21697</c:v>
                </c:pt>
                <c:pt idx="16">
                  <c:v>24181</c:v>
                </c:pt>
                <c:pt idx="17">
                  <c:v>25713</c:v>
                </c:pt>
                <c:pt idx="18">
                  <c:v>27233</c:v>
                </c:pt>
                <c:pt idx="19">
                  <c:v>28488</c:v>
                </c:pt>
                <c:pt idx="20">
                  <c:v>29673</c:v>
                </c:pt>
                <c:pt idx="21">
                  <c:v>30877</c:v>
                </c:pt>
                <c:pt idx="22">
                  <c:v>30181</c:v>
                </c:pt>
                <c:pt idx="23">
                  <c:v>30710</c:v>
                </c:pt>
                <c:pt idx="24">
                  <c:v>23311</c:v>
                </c:pt>
                <c:pt idx="25">
                  <c:v>24355</c:v>
                </c:pt>
                <c:pt idx="26">
                  <c:v>25464</c:v>
                </c:pt>
                <c:pt idx="27">
                  <c:v>26514</c:v>
                </c:pt>
                <c:pt idx="28">
                  <c:v>27593</c:v>
                </c:pt>
                <c:pt idx="29">
                  <c:v>28688</c:v>
                </c:pt>
                <c:pt idx="30">
                  <c:v>29787</c:v>
                </c:pt>
                <c:pt idx="31">
                  <c:v>30797</c:v>
                </c:pt>
                <c:pt idx="32">
                  <c:v>31936</c:v>
                </c:pt>
                <c:pt idx="33">
                  <c:v>32986</c:v>
                </c:pt>
                <c:pt idx="34">
                  <c:v>34050</c:v>
                </c:pt>
                <c:pt idx="35">
                  <c:v>35095</c:v>
                </c:pt>
                <c:pt idx="36">
                  <c:v>31263</c:v>
                </c:pt>
                <c:pt idx="37">
                  <c:v>11654</c:v>
                </c:pt>
                <c:pt idx="38">
                  <c:v>31939</c:v>
                </c:pt>
                <c:pt idx="39">
                  <c:v>32215</c:v>
                </c:pt>
                <c:pt idx="40">
                  <c:v>32566</c:v>
                </c:pt>
                <c:pt idx="41">
                  <c:v>32831</c:v>
                </c:pt>
                <c:pt idx="42">
                  <c:v>33227</c:v>
                </c:pt>
                <c:pt idx="43">
                  <c:v>33523</c:v>
                </c:pt>
                <c:pt idx="44">
                  <c:v>33809</c:v>
                </c:pt>
                <c:pt idx="45">
                  <c:v>34119</c:v>
                </c:pt>
                <c:pt idx="46">
                  <c:v>34455</c:v>
                </c:pt>
                <c:pt idx="47">
                  <c:v>34801</c:v>
                </c:pt>
                <c:pt idx="48">
                  <c:v>32840</c:v>
                </c:pt>
                <c:pt idx="49">
                  <c:v>33711</c:v>
                </c:pt>
                <c:pt idx="50">
                  <c:v>34623</c:v>
                </c:pt>
                <c:pt idx="51">
                  <c:v>35439</c:v>
                </c:pt>
                <c:pt idx="52">
                  <c:v>36325</c:v>
                </c:pt>
                <c:pt idx="53">
                  <c:v>37177</c:v>
                </c:pt>
                <c:pt idx="54">
                  <c:v>38118</c:v>
                </c:pt>
                <c:pt idx="55">
                  <c:v>38955</c:v>
                </c:pt>
                <c:pt idx="56">
                  <c:v>39856</c:v>
                </c:pt>
                <c:pt idx="57">
                  <c:v>40678</c:v>
                </c:pt>
                <c:pt idx="58">
                  <c:v>41599</c:v>
                </c:pt>
                <c:pt idx="59">
                  <c:v>42481</c:v>
                </c:pt>
                <c:pt idx="60">
                  <c:v>38632</c:v>
                </c:pt>
                <c:pt idx="61">
                  <c:v>39380</c:v>
                </c:pt>
                <c:pt idx="62">
                  <c:v>40222</c:v>
                </c:pt>
                <c:pt idx="63">
                  <c:v>40930</c:v>
                </c:pt>
                <c:pt idx="64">
                  <c:v>41722</c:v>
                </c:pt>
                <c:pt idx="65">
                  <c:v>42525</c:v>
                </c:pt>
                <c:pt idx="66">
                  <c:v>43282</c:v>
                </c:pt>
                <c:pt idx="67">
                  <c:v>44130</c:v>
                </c:pt>
                <c:pt idx="68">
                  <c:v>44902</c:v>
                </c:pt>
                <c:pt idx="69">
                  <c:v>45595</c:v>
                </c:pt>
                <c:pt idx="70">
                  <c:v>46392</c:v>
                </c:pt>
                <c:pt idx="71">
                  <c:v>47155</c:v>
                </c:pt>
                <c:pt idx="72">
                  <c:v>44873</c:v>
                </c:pt>
                <c:pt idx="73">
                  <c:v>45646</c:v>
                </c:pt>
                <c:pt idx="74">
                  <c:v>46404</c:v>
                </c:pt>
                <c:pt idx="75">
                  <c:v>47092</c:v>
                </c:pt>
                <c:pt idx="76">
                  <c:v>47880</c:v>
                </c:pt>
                <c:pt idx="77">
                  <c:v>48518</c:v>
                </c:pt>
                <c:pt idx="78">
                  <c:v>49296</c:v>
                </c:pt>
                <c:pt idx="79">
                  <c:v>50014</c:v>
                </c:pt>
                <c:pt idx="80">
                  <c:v>50697</c:v>
                </c:pt>
                <c:pt idx="81">
                  <c:v>51525</c:v>
                </c:pt>
                <c:pt idx="82">
                  <c:v>-52248</c:v>
                </c:pt>
                <c:pt idx="83">
                  <c:v>52921</c:v>
                </c:pt>
                <c:pt idx="84">
                  <c:v>52314</c:v>
                </c:pt>
                <c:pt idx="85">
                  <c:v>53079</c:v>
                </c:pt>
                <c:pt idx="86">
                  <c:v>53775</c:v>
                </c:pt>
                <c:pt idx="87">
                  <c:v>54450</c:v>
                </c:pt>
                <c:pt idx="88">
                  <c:v>55165</c:v>
                </c:pt>
                <c:pt idx="89">
                  <c:v>55866</c:v>
                </c:pt>
                <c:pt idx="90">
                  <c:v>56646</c:v>
                </c:pt>
                <c:pt idx="91">
                  <c:v>57292</c:v>
                </c:pt>
                <c:pt idx="92">
                  <c:v>58022</c:v>
                </c:pt>
                <c:pt idx="93">
                  <c:v>58748</c:v>
                </c:pt>
                <c:pt idx="94">
                  <c:v>59493</c:v>
                </c:pt>
                <c:pt idx="95">
                  <c:v>60148</c:v>
                </c:pt>
                <c:pt idx="96">
                  <c:v>60819</c:v>
                </c:pt>
                <c:pt idx="97">
                  <c:v>61563</c:v>
                </c:pt>
                <c:pt idx="98">
                  <c:v>62218</c:v>
                </c:pt>
                <c:pt idx="99">
                  <c:v>62972</c:v>
                </c:pt>
                <c:pt idx="100">
                  <c:v>63627</c:v>
                </c:pt>
                <c:pt idx="101">
                  <c:v>64321</c:v>
                </c:pt>
                <c:pt idx="102">
                  <c:v>65086</c:v>
                </c:pt>
                <c:pt idx="103">
                  <c:v>65815</c:v>
                </c:pt>
                <c:pt idx="104">
                  <c:v>66490</c:v>
                </c:pt>
                <c:pt idx="105">
                  <c:v>67174</c:v>
                </c:pt>
                <c:pt idx="106">
                  <c:v>67914</c:v>
                </c:pt>
                <c:pt idx="107">
                  <c:v>68598</c:v>
                </c:pt>
                <c:pt idx="108">
                  <c:v>71717</c:v>
                </c:pt>
                <c:pt idx="109">
                  <c:v>72023</c:v>
                </c:pt>
                <c:pt idx="110">
                  <c:v>72250</c:v>
                </c:pt>
                <c:pt idx="111">
                  <c:v>72551</c:v>
                </c:pt>
                <c:pt idx="112">
                  <c:v>72718</c:v>
                </c:pt>
                <c:pt idx="113">
                  <c:v>73024</c:v>
                </c:pt>
                <c:pt idx="114">
                  <c:v>73206</c:v>
                </c:pt>
                <c:pt idx="115">
                  <c:v>73522</c:v>
                </c:pt>
                <c:pt idx="116">
                  <c:v>73689</c:v>
                </c:pt>
                <c:pt idx="117">
                  <c:v>73945</c:v>
                </c:pt>
                <c:pt idx="118">
                  <c:v>74202</c:v>
                </c:pt>
                <c:pt idx="119">
                  <c:v>74484</c:v>
                </c:pt>
                <c:pt idx="120">
                  <c:v>77660</c:v>
                </c:pt>
                <c:pt idx="121">
                  <c:v>78439</c:v>
                </c:pt>
                <c:pt idx="122">
                  <c:v>79208</c:v>
                </c:pt>
                <c:pt idx="123">
                  <c:v>79952</c:v>
                </c:pt>
                <c:pt idx="124">
                  <c:v>80741</c:v>
                </c:pt>
                <c:pt idx="125">
                  <c:v>81530</c:v>
                </c:pt>
                <c:pt idx="126">
                  <c:v>82309</c:v>
                </c:pt>
                <c:pt idx="127">
                  <c:v>83003</c:v>
                </c:pt>
                <c:pt idx="128">
                  <c:v>83767</c:v>
                </c:pt>
                <c:pt idx="129">
                  <c:v>84611</c:v>
                </c:pt>
                <c:pt idx="130">
                  <c:v>85339</c:v>
                </c:pt>
                <c:pt idx="131">
                  <c:v>86068</c:v>
                </c:pt>
                <c:pt idx="132">
                  <c:v>87507</c:v>
                </c:pt>
                <c:pt idx="133">
                  <c:v>88276</c:v>
                </c:pt>
                <c:pt idx="134">
                  <c:v>89031</c:v>
                </c:pt>
                <c:pt idx="135">
                  <c:v>89765</c:v>
                </c:pt>
                <c:pt idx="136">
                  <c:v>90590</c:v>
                </c:pt>
                <c:pt idx="137">
                  <c:v>234567</c:v>
                </c:pt>
                <c:pt idx="138">
                  <c:v>92129</c:v>
                </c:pt>
                <c:pt idx="139">
                  <c:v>92903</c:v>
                </c:pt>
                <c:pt idx="140">
                  <c:v>93612</c:v>
                </c:pt>
                <c:pt idx="141">
                  <c:v>94432</c:v>
                </c:pt>
                <c:pt idx="142">
                  <c:v>95221</c:v>
                </c:pt>
                <c:pt idx="143">
                  <c:v>95971</c:v>
                </c:pt>
                <c:pt idx="144">
                  <c:v>96646</c:v>
                </c:pt>
                <c:pt idx="145">
                  <c:v>97395</c:v>
                </c:pt>
                <c:pt idx="146">
                  <c:v>98149</c:v>
                </c:pt>
                <c:pt idx="147">
                  <c:v>98953</c:v>
                </c:pt>
                <c:pt idx="148">
                  <c:v>99777</c:v>
                </c:pt>
                <c:pt idx="149">
                  <c:v>100541</c:v>
                </c:pt>
                <c:pt idx="150">
                  <c:v>101305</c:v>
                </c:pt>
                <c:pt idx="151">
                  <c:v>102079</c:v>
                </c:pt>
                <c:pt idx="152">
                  <c:v>102828</c:v>
                </c:pt>
                <c:pt idx="153">
                  <c:v>103547</c:v>
                </c:pt>
                <c:pt idx="154">
                  <c:v>104396</c:v>
                </c:pt>
                <c:pt idx="155">
                  <c:v>105155</c:v>
                </c:pt>
                <c:pt idx="156">
                  <c:v>106682</c:v>
                </c:pt>
                <c:pt idx="157">
                  <c:v>107512</c:v>
                </c:pt>
                <c:pt idx="158">
                  <c:v>108317</c:v>
                </c:pt>
                <c:pt idx="159">
                  <c:v>109027</c:v>
                </c:pt>
                <c:pt idx="160">
                  <c:v>109842</c:v>
                </c:pt>
                <c:pt idx="161">
                  <c:v>110627</c:v>
                </c:pt>
                <c:pt idx="162">
                  <c:v>111417</c:v>
                </c:pt>
                <c:pt idx="163">
                  <c:v>112092</c:v>
                </c:pt>
                <c:pt idx="164">
                  <c:v>112952</c:v>
                </c:pt>
                <c:pt idx="165">
                  <c:v>113667</c:v>
                </c:pt>
                <c:pt idx="166">
                  <c:v>114487</c:v>
                </c:pt>
                <c:pt idx="167">
                  <c:v>115227</c:v>
                </c:pt>
                <c:pt idx="168">
                  <c:v>115601</c:v>
                </c:pt>
                <c:pt idx="169">
                  <c:v>116418</c:v>
                </c:pt>
                <c:pt idx="170">
                  <c:v>117110</c:v>
                </c:pt>
                <c:pt idx="171">
                  <c:v>117897</c:v>
                </c:pt>
                <c:pt idx="172">
                  <c:v>118655</c:v>
                </c:pt>
                <c:pt idx="173">
                  <c:v>119472</c:v>
                </c:pt>
                <c:pt idx="174">
                  <c:v>120234</c:v>
                </c:pt>
                <c:pt idx="175">
                  <c:v>121022</c:v>
                </c:pt>
                <c:pt idx="176">
                  <c:v>121794</c:v>
                </c:pt>
                <c:pt idx="177">
                  <c:v>122596</c:v>
                </c:pt>
                <c:pt idx="178">
                  <c:v>123288</c:v>
                </c:pt>
                <c:pt idx="179">
                  <c:v>124126</c:v>
                </c:pt>
                <c:pt idx="180">
                  <c:v>121209</c:v>
                </c:pt>
                <c:pt idx="181">
                  <c:v>122745</c:v>
                </c:pt>
                <c:pt idx="182">
                  <c:v>124255</c:v>
                </c:pt>
                <c:pt idx="183">
                  <c:v>125696</c:v>
                </c:pt>
                <c:pt idx="184">
                  <c:v>127206</c:v>
                </c:pt>
                <c:pt idx="185">
                  <c:v>128722</c:v>
                </c:pt>
                <c:pt idx="186">
                  <c:v>130182</c:v>
                </c:pt>
                <c:pt idx="187">
                  <c:v>131677</c:v>
                </c:pt>
                <c:pt idx="188">
                  <c:v>133188</c:v>
                </c:pt>
                <c:pt idx="189">
                  <c:v>134668</c:v>
                </c:pt>
                <c:pt idx="190">
                  <c:v>136124</c:v>
                </c:pt>
                <c:pt idx="191">
                  <c:v>137609</c:v>
                </c:pt>
                <c:pt idx="192">
                  <c:v>131999</c:v>
                </c:pt>
                <c:pt idx="193">
                  <c:v>133433</c:v>
                </c:pt>
                <c:pt idx="194">
                  <c:v>134868</c:v>
                </c:pt>
                <c:pt idx="195">
                  <c:v>136232</c:v>
                </c:pt>
                <c:pt idx="196">
                  <c:v>137661</c:v>
                </c:pt>
                <c:pt idx="197">
                  <c:v>139080</c:v>
                </c:pt>
                <c:pt idx="198">
                  <c:v>140475</c:v>
                </c:pt>
                <c:pt idx="199">
                  <c:v>141889</c:v>
                </c:pt>
                <c:pt idx="200">
                  <c:v>143328</c:v>
                </c:pt>
                <c:pt idx="201">
                  <c:v>144773</c:v>
                </c:pt>
                <c:pt idx="202">
                  <c:v>146202</c:v>
                </c:pt>
                <c:pt idx="203">
                  <c:v>147606</c:v>
                </c:pt>
                <c:pt idx="204">
                  <c:v>143505</c:v>
                </c:pt>
                <c:pt idx="205">
                  <c:v>144862</c:v>
                </c:pt>
                <c:pt idx="206">
                  <c:v>146179</c:v>
                </c:pt>
                <c:pt idx="207">
                  <c:v>147612</c:v>
                </c:pt>
                <c:pt idx="208">
                  <c:v>148949</c:v>
                </c:pt>
                <c:pt idx="209">
                  <c:v>150276</c:v>
                </c:pt>
                <c:pt idx="210">
                  <c:v>151688</c:v>
                </c:pt>
                <c:pt idx="211">
                  <c:v>153035</c:v>
                </c:pt>
                <c:pt idx="212">
                  <c:v>154357</c:v>
                </c:pt>
                <c:pt idx="213">
                  <c:v>155754</c:v>
                </c:pt>
                <c:pt idx="214">
                  <c:v>157086</c:v>
                </c:pt>
                <c:pt idx="215">
                  <c:v>158438</c:v>
                </c:pt>
                <c:pt idx="216">
                  <c:v>155810</c:v>
                </c:pt>
                <c:pt idx="217">
                  <c:v>157093</c:v>
                </c:pt>
                <c:pt idx="218">
                  <c:v>158470</c:v>
                </c:pt>
                <c:pt idx="219">
                  <c:v>159717</c:v>
                </c:pt>
                <c:pt idx="220">
                  <c:v>161090</c:v>
                </c:pt>
                <c:pt idx="221">
                  <c:v>162382</c:v>
                </c:pt>
                <c:pt idx="222">
                  <c:v>163679</c:v>
                </c:pt>
                <c:pt idx="223">
                  <c:v>165087</c:v>
                </c:pt>
                <c:pt idx="224">
                  <c:v>166394</c:v>
                </c:pt>
                <c:pt idx="225">
                  <c:v>167661</c:v>
                </c:pt>
                <c:pt idx="226">
                  <c:v>169079</c:v>
                </c:pt>
                <c:pt idx="227">
                  <c:v>170356</c:v>
                </c:pt>
                <c:pt idx="228">
                  <c:v>168933</c:v>
                </c:pt>
                <c:pt idx="229">
                  <c:v>170244</c:v>
                </c:pt>
                <c:pt idx="230">
                  <c:v>171585</c:v>
                </c:pt>
                <c:pt idx="231">
                  <c:v>172871</c:v>
                </c:pt>
                <c:pt idx="232">
                  <c:v>174112</c:v>
                </c:pt>
                <c:pt idx="233">
                  <c:v>175468</c:v>
                </c:pt>
                <c:pt idx="234">
                  <c:v>176789</c:v>
                </c:pt>
                <c:pt idx="235">
                  <c:v>178075</c:v>
                </c:pt>
                <c:pt idx="236">
                  <c:v>179336</c:v>
                </c:pt>
                <c:pt idx="237">
                  <c:v>180692</c:v>
                </c:pt>
                <c:pt idx="238">
                  <c:v>181968</c:v>
                </c:pt>
                <c:pt idx="239">
                  <c:v>183254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6-4081-BCBD-F840CB566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801711"/>
        <c:axId val="818812751"/>
      </c:lineChart>
      <c:dateAx>
        <c:axId val="81880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</a:defRPr>
                </a:pPr>
                <a:r>
                  <a:rPr lang="en-GB"/>
                  <a:t>Month &amp; year</a:t>
                </a:r>
              </a:p>
            </c:rich>
          </c:tx>
          <c:layout>
            <c:manualLayout>
              <c:xMode val="edge"/>
              <c:yMode val="edge"/>
              <c:x val="0.4510972987609454"/>
              <c:y val="0.91788948937045989"/>
            </c:manualLayout>
          </c:layout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mmm\-yy" sourceLinked="1"/>
        <c:majorTickMark val="out"/>
        <c:minorTickMark val="none"/>
        <c:tickLblPos val="low"/>
        <c:spPr>
          <a:prstGeom prst="rect">
            <a:avLst/>
          </a:prstGeom>
          <a:noFill/>
          <a:ln w="3175" cap="flat" cmpd="sng" algn="ctr">
            <a:solidFill>
              <a:schemeClr val="tx1"/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</a:defRPr>
            </a:pPr>
            <a:endParaRPr lang="en-US"/>
          </a:p>
        </c:txPr>
        <c:crossAx val="818812751"/>
        <c:crossesAt val="0"/>
        <c:auto val="1"/>
        <c:lblOffset val="50"/>
        <c:baseTimeUnit val="months"/>
      </c:dateAx>
      <c:valAx>
        <c:axId val="818812751"/>
        <c:scaling>
          <c:orientation val="minMax"/>
          <c:max val="300000"/>
          <c:min val="-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</a:defRPr>
                </a:pPr>
                <a:r>
                  <a:rPr lang="en-GB"/>
                  <a:t>no. of cars sold 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_-* #,##0_-;\-* #,##0_-;_-* &quot;-&quot;??_-;_-@_-" sourceLinked="1"/>
        <c:majorTickMark val="out"/>
        <c:minorTickMark val="none"/>
        <c:tickLblPos val="nextTo"/>
        <c:spPr>
          <a:prstGeom prst="rect">
            <a:avLst/>
          </a:prstGeom>
          <a:noFill/>
          <a:ln w="3175">
            <a:solidFill>
              <a:schemeClr val="tx1"/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</a:defRPr>
            </a:pPr>
            <a:endParaRPr lang="en-US"/>
          </a:p>
        </c:txPr>
        <c:crossAx val="818801711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</a:defRPr>
            </a:pPr>
            <a:r>
              <a:rPr lang="en-GB" sz="1600" b="1"/>
              <a:t>Sales of cars split between electric and petrol variants from 2026 to 2045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'Revised sales &amp; total cars'!$E$5</c:f>
              <c:strCache>
                <c:ptCount val="1"/>
                <c:pt idx="0">
                  <c:v>Revised - Petrol cars sales
(after CT launch)</c:v>
                </c:pt>
              </c:strCache>
            </c:strRef>
          </c:tx>
          <c:spPr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cat>
            <c:numRef>
              <c:f>'Revised sales &amp; total cars'!$B$7:$B$26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'Revised sales &amp; total cars'!$E$7:$E$26</c:f>
              <c:numCache>
                <c:formatCode>_-* #,##0_-;\-* #,##0_-;_-* "-"??_-;_-@_-</c:formatCode>
                <c:ptCount val="20"/>
                <c:pt idx="0">
                  <c:v>260988.75</c:v>
                </c:pt>
                <c:pt idx="1">
                  <c:v>291335.14</c:v>
                </c:pt>
                <c:pt idx="2">
                  <c:v>326035.68</c:v>
                </c:pt>
                <c:pt idx="3">
                  <c:v>364641.08</c:v>
                </c:pt>
                <c:pt idx="4">
                  <c:v>411139.82</c:v>
                </c:pt>
                <c:pt idx="5">
                  <c:v>463380.3</c:v>
                </c:pt>
                <c:pt idx="6">
                  <c:v>522531.46</c:v>
                </c:pt>
                <c:pt idx="7">
                  <c:v>593998.24</c:v>
                </c:pt>
                <c:pt idx="8">
                  <c:v>675639.39</c:v>
                </c:pt>
                <c:pt idx="9">
                  <c:v>754504.66</c:v>
                </c:pt>
                <c:pt idx="10">
                  <c:v>835232.95</c:v>
                </c:pt>
                <c:pt idx="11">
                  <c:v>924669.06</c:v>
                </c:pt>
                <c:pt idx="12">
                  <c:v>1004939.9299999999</c:v>
                </c:pt>
                <c:pt idx="13">
                  <c:v>1092116.18</c:v>
                </c:pt>
                <c:pt idx="14">
                  <c:v>1164952.53</c:v>
                </c:pt>
                <c:pt idx="15">
                  <c:v>1242624.7999999998</c:v>
                </c:pt>
                <c:pt idx="16">
                  <c:v>1325261.3399999999</c:v>
                </c:pt>
                <c:pt idx="17">
                  <c:v>1413157.98</c:v>
                </c:pt>
                <c:pt idx="18">
                  <c:v>1506749.8599999999</c:v>
                </c:pt>
                <c:pt idx="19">
                  <c:v>1606128.5199999998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5-4932-B009-18223BBF4BFD}"/>
            </c:ext>
          </c:extLst>
        </c:ser>
        <c:ser>
          <c:idx val="0"/>
          <c:order val="1"/>
          <c:tx>
            <c:strRef>
              <c:f>'Revised sales &amp; total cars'!$D$5</c:f>
              <c:strCache>
                <c:ptCount val="1"/>
                <c:pt idx="0">
                  <c:v>Electric car sales</c:v>
                </c:pt>
              </c:strCache>
            </c:strRef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Ref>
              <c:f>'Revised sales &amp; total cars'!$B$7:$B$26</c:f>
              <c:numCache>
                <c:formatCode>General</c:formatCode>
                <c:ptCount val="2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</c:numCache>
            </c:numRef>
          </c:cat>
          <c:val>
            <c:numRef>
              <c:f>'Revised sales &amp; total cars'!$D$7:$D$26</c:f>
              <c:numCache>
                <c:formatCode>_-* #,##0_-;\-* #,##0_-;_-* "-"??_-;_-@_-</c:formatCode>
                <c:ptCount val="20"/>
                <c:pt idx="0">
                  <c:v>13736.25</c:v>
                </c:pt>
                <c:pt idx="1">
                  <c:v>18595.86</c:v>
                </c:pt>
                <c:pt idx="2">
                  <c:v>24540.320000000003</c:v>
                </c:pt>
                <c:pt idx="3">
                  <c:v>31707.920000000002</c:v>
                </c:pt>
                <c:pt idx="4">
                  <c:v>40662.18</c:v>
                </c:pt>
                <c:pt idx="5">
                  <c:v>51486.7</c:v>
                </c:pt>
                <c:pt idx="6">
                  <c:v>64582.539999999994</c:v>
                </c:pt>
                <c:pt idx="7">
                  <c:v>80999.759999999995</c:v>
                </c:pt>
                <c:pt idx="8">
                  <c:v>100957.60999999999</c:v>
                </c:pt>
                <c:pt idx="9">
                  <c:v>122826.33999999998</c:v>
                </c:pt>
                <c:pt idx="10">
                  <c:v>147394.04999999999</c:v>
                </c:pt>
                <c:pt idx="11">
                  <c:v>176127.44</c:v>
                </c:pt>
                <c:pt idx="12">
                  <c:v>205831.07</c:v>
                </c:pt>
                <c:pt idx="13">
                  <c:v>239732.82000000004</c:v>
                </c:pt>
                <c:pt idx="14">
                  <c:v>273260.47000000003</c:v>
                </c:pt>
                <c:pt idx="15">
                  <c:v>310656.20000000007</c:v>
                </c:pt>
                <c:pt idx="16">
                  <c:v>352284.66000000009</c:v>
                </c:pt>
                <c:pt idx="17">
                  <c:v>398583.02000000008</c:v>
                </c:pt>
                <c:pt idx="18">
                  <c:v>450068.14000000013</c:v>
                </c:pt>
                <c:pt idx="19">
                  <c:v>507198.48000000016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5-4932-B009-18223BBF4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7448623"/>
        <c:axId val="487440943"/>
      </c:barChart>
      <c:catAx>
        <c:axId val="487448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</a:defRPr>
                </a:pPr>
                <a:r>
                  <a:rPr lang="en-GB" sz="1050"/>
                  <a:t>Year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9621046797054391"/>
              <c:y val="0.83745511648484894"/>
            </c:manualLayout>
          </c:layout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3175" cap="flat" cmpd="sng" algn="ctr">
            <a:solidFill>
              <a:schemeClr val="tx1"/>
            </a:solidFill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</a:defRPr>
            </a:pPr>
            <a:endParaRPr lang="en-US"/>
          </a:p>
        </c:txPr>
        <c:crossAx val="487440943"/>
        <c:crosses val="autoZero"/>
        <c:auto val="1"/>
        <c:lblAlgn val="ctr"/>
        <c:lblOffset val="100"/>
        <c:noMultiLvlLbl val="0"/>
      </c:catAx>
      <c:valAx>
        <c:axId val="487440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</a:defRPr>
                </a:pPr>
                <a:r>
                  <a:rPr lang="en-GB" sz="1200"/>
                  <a:t>No. of cars </a:t>
                </a:r>
              </a:p>
            </c:rich>
          </c:tx>
          <c:layout>
            <c:manualLayout>
              <c:xMode val="edge"/>
              <c:yMode val="edge"/>
              <c:x val="1.5735390557172657E-2"/>
              <c:y val="0.38337216188626111"/>
            </c:manualLayout>
          </c:layout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_-* #,##0_-;\-* #,##0_-;_-* &quot;-&quot;??_-;_-@_-" sourceLinked="1"/>
        <c:majorTickMark val="out"/>
        <c:minorTickMark val="none"/>
        <c:tickLblPos val="nextTo"/>
        <c:spPr>
          <a:prstGeom prst="rect">
            <a:avLst/>
          </a:prstGeom>
          <a:noFill/>
          <a:ln w="3175">
            <a:solidFill>
              <a:schemeClr val="tx1">
                <a:alpha val="96000"/>
              </a:schemeClr>
            </a:solidFill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</a:defRPr>
            </a:pPr>
            <a:endParaRPr lang="en-US"/>
          </a:p>
        </c:txPr>
        <c:crossAx val="487448623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</a:defRPr>
            </a:pPr>
            <a:r>
              <a:rPr lang="en-GB"/>
              <a:t>Split of the budget under additional scenario</a:t>
            </a:r>
          </a:p>
        </c:rich>
      </c:tx>
      <c:layout>
        <c:manualLayout>
          <c:xMode val="edge"/>
          <c:yMode val="edge"/>
          <c:x val="0.25310995879590381"/>
          <c:y val="0"/>
        </c:manualLayout>
      </c:layout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E1C-42BE-9AD8-F4ED58518089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E1C-42BE-9AD8-F4ED58518089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chemeClr val="accent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E1C-42BE-9AD8-F4ED58518089}"/>
              </c:ext>
            </c:extLst>
          </c:dPt>
          <c:dPt>
            <c:idx val="3"/>
            <c:bubble3D val="0"/>
            <c:spPr>
              <a:prstGeom prst="rect">
                <a:avLst/>
              </a:prstGeom>
              <a:solidFill>
                <a:schemeClr val="accent4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E1C-42BE-9AD8-F4ED58518089}"/>
              </c:ext>
            </c:extLst>
          </c:dPt>
          <c:dLbls>
            <c:dLbl>
              <c:idx val="0"/>
              <c:layout>
                <c:manualLayout>
                  <c:x val="-7.4139353879939616E-3"/>
                  <c:y val="1.9825661267380178E-2"/>
                </c:manualLayout>
              </c:layout>
              <c:spPr>
                <a:noFill/>
                <a:ln>
                  <a:noFill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3E1C-42BE-9AD8-F4ED58518089}"/>
                </c:ext>
              </c:extLst>
            </c:dLbl>
            <c:dLbl>
              <c:idx val="1"/>
              <c:layout>
                <c:manualLayout>
                  <c:x val="-8.0960495981487052E-2"/>
                  <c:y val="-9.8873319205646459E-2"/>
                </c:manualLayout>
              </c:layout>
              <c:spPr>
                <a:noFill/>
                <a:ln>
                  <a:noFill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3E1C-42BE-9AD8-F4ED58518089}"/>
                </c:ext>
              </c:extLst>
            </c:dLbl>
            <c:dLbl>
              <c:idx val="2"/>
              <c:layout>
                <c:manualLayout>
                  <c:x val="1.2347066786143257E-2"/>
                  <c:y val="3.5761436957095754E-3"/>
                </c:manualLayout>
              </c:layout>
              <c:spPr>
                <a:noFill/>
                <a:ln>
                  <a:noFill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3E1C-42BE-9AD8-F4ED58518089}"/>
                </c:ext>
              </c:extLst>
            </c:dLbl>
            <c:dLbl>
              <c:idx val="3"/>
              <c:layout>
                <c:manualLayout>
                  <c:x val="1.1991818704348726E-2"/>
                  <c:y val="9.4008259194292385E-2"/>
                </c:manualLayout>
              </c:layout>
              <c:spPr>
                <a:noFill/>
                <a:ln>
                  <a:noFill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3E1C-42BE-9AD8-F4ED58518089}"/>
                </c:ext>
              </c:extLst>
            </c:dLbl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</a:defRPr>
                </a:pPr>
                <a:endParaRPr lang="en-US"/>
              </a:p>
            </c:txPr>
            <c:dLblPos val="inEnd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prstGeom prst="rect">
                  <a:avLst/>
                </a:prstGeom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Pie_chart!$B$4:$B$7</c:f>
              <c:strCache>
                <c:ptCount val="4"/>
                <c:pt idx="0">
                  <c:v>NPV of total expense cashflows</c:v>
                </c:pt>
                <c:pt idx="1">
                  <c:v>NPV of "subsidy cost on electric cars net of tax income on petrol cars"</c:v>
                </c:pt>
                <c:pt idx="2">
                  <c:v>NPV of cost of building recharging stations</c:v>
                </c:pt>
                <c:pt idx="3">
                  <c:v>Excess budget in additional scenario</c:v>
                </c:pt>
              </c:strCache>
            </c:strRef>
          </c:cat>
          <c:val>
            <c:numRef>
              <c:f>Pie_chart!$C$4:$C$7</c:f>
              <c:numCache>
                <c:formatCode>_-* #,##0_-;\-* #,##0_-;_-* "-"??_-;_-@_-</c:formatCode>
                <c:ptCount val="4"/>
                <c:pt idx="0">
                  <c:v>2758075.9690380096</c:v>
                </c:pt>
                <c:pt idx="1">
                  <c:v>893708335.74448872</c:v>
                </c:pt>
                <c:pt idx="2">
                  <c:v>545922230.77093971</c:v>
                </c:pt>
                <c:pt idx="3">
                  <c:v>1557611357.5155349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1C-42BE-9AD8-F4ED585180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</xdr:colOff>
      <xdr:row>6</xdr:row>
      <xdr:rowOff>133350</xdr:rowOff>
    </xdr:from>
    <xdr:to>
      <xdr:col>14</xdr:col>
      <xdr:colOff>276226</xdr:colOff>
      <xdr:row>24</xdr:row>
      <xdr:rowOff>98424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93880</xdr:colOff>
      <xdr:row>0</xdr:row>
      <xdr:rowOff>273825</xdr:rowOff>
    </xdr:from>
    <xdr:to>
      <xdr:col>21</xdr:col>
      <xdr:colOff>630094</xdr:colOff>
      <xdr:row>24</xdr:row>
      <xdr:rowOff>150503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216286</xdr:colOff>
      <xdr:row>2</xdr:row>
      <xdr:rowOff>134902</xdr:rowOff>
    </xdr:from>
    <xdr:to>
      <xdr:col>17</xdr:col>
      <xdr:colOff>47060</xdr:colOff>
      <xdr:row>22</xdr:row>
      <xdr:rowOff>177446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71"/>
  <sheetViews>
    <sheetView showGridLines="0" zoomScale="110" workbookViewId="0">
      <selection activeCell="D24" sqref="D24"/>
    </sheetView>
  </sheetViews>
  <sheetFormatPr defaultRowHeight="14.4" x14ac:dyDescent="0.3"/>
  <cols>
    <col min="1" max="2" width="8.88671875" style="1" customWidth="1"/>
    <col min="3" max="3" width="10.5546875" style="1" bestFit="1" customWidth="1"/>
    <col min="4" max="4" width="16.5546875" style="1" bestFit="1" customWidth="1"/>
  </cols>
  <sheetData>
    <row r="3" spans="1:11" x14ac:dyDescent="0.3">
      <c r="D3" s="2"/>
      <c r="I3" t="s">
        <v>0</v>
      </c>
    </row>
    <row r="4" spans="1:11" x14ac:dyDescent="0.3">
      <c r="A4" s="3" t="s">
        <v>1</v>
      </c>
      <c r="B4" s="4" t="s">
        <v>2</v>
      </c>
      <c r="C4" s="5" t="s">
        <v>3</v>
      </c>
      <c r="D4" s="4" t="s">
        <v>4</v>
      </c>
      <c r="F4" s="5" t="s">
        <v>5</v>
      </c>
      <c r="K4" t="e">
        <f>SUM(K5:K84)=SUM(D5:D244)</f>
        <v>#REF!</v>
      </c>
    </row>
    <row r="5" spans="1:11" x14ac:dyDescent="0.3">
      <c r="A5" s="1">
        <v>1</v>
      </c>
      <c r="B5" s="1">
        <v>1</v>
      </c>
      <c r="C5" s="6">
        <v>45658</v>
      </c>
      <c r="D5" t="e">
        <f>#REF!</f>
        <v>#REF!</v>
      </c>
      <c r="F5" t="str">
        <f t="shared" ref="F5:F68" si="0">"Q"&amp;ROUNDUP(MONTH(C5)/3,0)</f>
        <v>Q1</v>
      </c>
      <c r="G5" t="str">
        <f t="shared" ref="G5:G68" si="1">"Q"&amp;ROUNDUP(MONTH(C5)/3,0)&amp;"_"&amp;YEAR(C5)</f>
        <v>Q1_2025</v>
      </c>
      <c r="H5">
        <v>1</v>
      </c>
      <c r="I5" t="s">
        <v>6</v>
      </c>
      <c r="J5" t="s">
        <v>7</v>
      </c>
      <c r="K5" t="e">
        <f t="shared" ref="K5:K36" si="2">SUMIFS($D$5:$D$244,$G$5:$G$244,J5)</f>
        <v>#REF!</v>
      </c>
    </row>
    <row r="6" spans="1:11" x14ac:dyDescent="0.3">
      <c r="A6" s="1">
        <v>2</v>
      </c>
      <c r="B6" s="1">
        <v>2</v>
      </c>
      <c r="C6" s="6">
        <v>45689</v>
      </c>
      <c r="D6" t="e">
        <f>#REF!</f>
        <v>#REF!</v>
      </c>
      <c r="F6" t="str">
        <f t="shared" si="0"/>
        <v>Q1</v>
      </c>
      <c r="G6" t="str">
        <f t="shared" si="1"/>
        <v>Q1_2025</v>
      </c>
      <c r="H6">
        <f t="shared" ref="H6:H37" si="3">H5+1</f>
        <v>2</v>
      </c>
      <c r="I6" t="s">
        <v>8</v>
      </c>
      <c r="J6" t="s">
        <v>9</v>
      </c>
      <c r="K6" t="e">
        <f t="shared" si="2"/>
        <v>#REF!</v>
      </c>
    </row>
    <row r="7" spans="1:11" x14ac:dyDescent="0.3">
      <c r="A7" s="1">
        <v>3</v>
      </c>
      <c r="B7" s="1">
        <v>3</v>
      </c>
      <c r="C7" s="6">
        <v>45717</v>
      </c>
      <c r="D7" t="e">
        <f>#REF!</f>
        <v>#REF!</v>
      </c>
      <c r="F7" t="str">
        <f t="shared" si="0"/>
        <v>Q1</v>
      </c>
      <c r="G7" t="str">
        <f t="shared" si="1"/>
        <v>Q1_2025</v>
      </c>
      <c r="H7">
        <f t="shared" si="3"/>
        <v>3</v>
      </c>
      <c r="I7" t="s">
        <v>10</v>
      </c>
      <c r="J7" t="s">
        <v>11</v>
      </c>
      <c r="K7" t="e">
        <f t="shared" si="2"/>
        <v>#REF!</v>
      </c>
    </row>
    <row r="8" spans="1:11" x14ac:dyDescent="0.3">
      <c r="A8" s="1">
        <v>4</v>
      </c>
      <c r="B8" s="1">
        <v>4</v>
      </c>
      <c r="C8" s="6">
        <v>45748</v>
      </c>
      <c r="D8" t="e">
        <f>#REF!</f>
        <v>#REF!</v>
      </c>
      <c r="F8" t="str">
        <f t="shared" si="0"/>
        <v>Q2</v>
      </c>
      <c r="G8" t="str">
        <f t="shared" si="1"/>
        <v>Q2_2025</v>
      </c>
      <c r="H8">
        <f t="shared" si="3"/>
        <v>4</v>
      </c>
      <c r="I8" t="s">
        <v>12</v>
      </c>
      <c r="J8" t="s">
        <v>13</v>
      </c>
      <c r="K8" t="e">
        <f t="shared" si="2"/>
        <v>#REF!</v>
      </c>
    </row>
    <row r="9" spans="1:11" x14ac:dyDescent="0.3">
      <c r="A9" s="1">
        <v>5</v>
      </c>
      <c r="B9" s="1">
        <v>5</v>
      </c>
      <c r="C9" s="6">
        <v>45778</v>
      </c>
      <c r="D9" t="e">
        <f>#REF!</f>
        <v>#REF!</v>
      </c>
      <c r="F9" t="str">
        <f t="shared" si="0"/>
        <v>Q2</v>
      </c>
      <c r="G9" t="str">
        <f t="shared" si="1"/>
        <v>Q2_2025</v>
      </c>
      <c r="H9">
        <f t="shared" si="3"/>
        <v>5</v>
      </c>
      <c r="I9" t="s">
        <v>6</v>
      </c>
      <c r="J9" t="s">
        <v>14</v>
      </c>
      <c r="K9" t="e">
        <f t="shared" si="2"/>
        <v>#REF!</v>
      </c>
    </row>
    <row r="10" spans="1:11" x14ac:dyDescent="0.3">
      <c r="A10" s="1">
        <v>6</v>
      </c>
      <c r="B10" s="1">
        <v>6</v>
      </c>
      <c r="C10" s="6">
        <v>45809</v>
      </c>
      <c r="D10" s="7" t="e">
        <f>#REF!</f>
        <v>#REF!</v>
      </c>
      <c r="F10" t="str">
        <f t="shared" si="0"/>
        <v>Q2</v>
      </c>
      <c r="G10" t="str">
        <f t="shared" si="1"/>
        <v>Q2_2025</v>
      </c>
      <c r="H10">
        <f t="shared" si="3"/>
        <v>6</v>
      </c>
      <c r="I10" t="s">
        <v>8</v>
      </c>
      <c r="J10" t="s">
        <v>15</v>
      </c>
      <c r="K10" t="e">
        <f t="shared" si="2"/>
        <v>#REF!</v>
      </c>
    </row>
    <row r="11" spans="1:11" x14ac:dyDescent="0.3">
      <c r="A11" s="1">
        <v>7</v>
      </c>
      <c r="B11" s="1">
        <v>7</v>
      </c>
      <c r="C11" s="6">
        <v>45839</v>
      </c>
      <c r="D11" t="e">
        <f>#REF!</f>
        <v>#REF!</v>
      </c>
      <c r="F11" t="str">
        <f t="shared" si="0"/>
        <v>Q3</v>
      </c>
      <c r="G11" t="str">
        <f t="shared" si="1"/>
        <v>Q3_2025</v>
      </c>
      <c r="H11">
        <f t="shared" si="3"/>
        <v>7</v>
      </c>
      <c r="I11" t="s">
        <v>10</v>
      </c>
      <c r="J11" t="s">
        <v>16</v>
      </c>
      <c r="K11" t="e">
        <f t="shared" si="2"/>
        <v>#REF!</v>
      </c>
    </row>
    <row r="12" spans="1:11" x14ac:dyDescent="0.3">
      <c r="A12" s="1">
        <v>8</v>
      </c>
      <c r="B12" s="1">
        <v>8</v>
      </c>
      <c r="C12" s="6">
        <v>45870</v>
      </c>
      <c r="D12" t="e">
        <f>#REF!</f>
        <v>#REF!</v>
      </c>
      <c r="F12" t="str">
        <f t="shared" si="0"/>
        <v>Q3</v>
      </c>
      <c r="G12" t="str">
        <f t="shared" si="1"/>
        <v>Q3_2025</v>
      </c>
      <c r="H12">
        <f t="shared" si="3"/>
        <v>8</v>
      </c>
      <c r="I12" t="s">
        <v>12</v>
      </c>
      <c r="J12" t="s">
        <v>17</v>
      </c>
      <c r="K12" t="e">
        <f t="shared" si="2"/>
        <v>#REF!</v>
      </c>
    </row>
    <row r="13" spans="1:11" x14ac:dyDescent="0.3">
      <c r="A13" s="1">
        <v>9</v>
      </c>
      <c r="B13" s="1">
        <v>9</v>
      </c>
      <c r="C13" s="6">
        <v>45901</v>
      </c>
      <c r="D13" t="e">
        <f>#REF!</f>
        <v>#REF!</v>
      </c>
      <c r="F13" t="str">
        <f t="shared" si="0"/>
        <v>Q3</v>
      </c>
      <c r="G13" t="str">
        <f t="shared" si="1"/>
        <v>Q3_2025</v>
      </c>
      <c r="H13">
        <f t="shared" si="3"/>
        <v>9</v>
      </c>
      <c r="I13" t="s">
        <v>6</v>
      </c>
      <c r="J13" t="s">
        <v>18</v>
      </c>
      <c r="K13" t="e">
        <f t="shared" si="2"/>
        <v>#REF!</v>
      </c>
    </row>
    <row r="14" spans="1:11" x14ac:dyDescent="0.3">
      <c r="A14" s="1">
        <v>10</v>
      </c>
      <c r="B14" s="1">
        <v>10</v>
      </c>
      <c r="C14" s="6">
        <v>45931</v>
      </c>
      <c r="D14" t="e">
        <f>#REF!</f>
        <v>#REF!</v>
      </c>
      <c r="F14" t="str">
        <f t="shared" si="0"/>
        <v>Q4</v>
      </c>
      <c r="G14" t="str">
        <f t="shared" si="1"/>
        <v>Q4_2025</v>
      </c>
      <c r="H14">
        <f t="shared" si="3"/>
        <v>10</v>
      </c>
      <c r="I14" t="s">
        <v>8</v>
      </c>
      <c r="J14" t="s">
        <v>19</v>
      </c>
      <c r="K14" t="e">
        <f t="shared" si="2"/>
        <v>#REF!</v>
      </c>
    </row>
    <row r="15" spans="1:11" x14ac:dyDescent="0.3">
      <c r="A15" s="1">
        <v>11</v>
      </c>
      <c r="B15" s="1">
        <v>11</v>
      </c>
      <c r="C15" s="6">
        <v>45962</v>
      </c>
      <c r="D15" t="e">
        <f>#REF!</f>
        <v>#REF!</v>
      </c>
      <c r="F15" t="str">
        <f t="shared" si="0"/>
        <v>Q4</v>
      </c>
      <c r="G15" t="str">
        <f t="shared" si="1"/>
        <v>Q4_2025</v>
      </c>
      <c r="H15">
        <f t="shared" si="3"/>
        <v>11</v>
      </c>
      <c r="I15" t="s">
        <v>10</v>
      </c>
      <c r="J15" t="s">
        <v>20</v>
      </c>
      <c r="K15" t="e">
        <f t="shared" si="2"/>
        <v>#REF!</v>
      </c>
    </row>
    <row r="16" spans="1:11" x14ac:dyDescent="0.3">
      <c r="A16" s="1">
        <v>12</v>
      </c>
      <c r="B16" s="1">
        <v>12</v>
      </c>
      <c r="C16" s="6">
        <v>45992</v>
      </c>
      <c r="D16" t="e">
        <f>#REF!</f>
        <v>#REF!</v>
      </c>
      <c r="F16" t="str">
        <f t="shared" si="0"/>
        <v>Q4</v>
      </c>
      <c r="G16" t="str">
        <f t="shared" si="1"/>
        <v>Q4_2025</v>
      </c>
      <c r="H16">
        <f t="shared" si="3"/>
        <v>12</v>
      </c>
      <c r="I16" t="s">
        <v>12</v>
      </c>
      <c r="J16" t="s">
        <v>21</v>
      </c>
      <c r="K16" t="e">
        <f t="shared" si="2"/>
        <v>#REF!</v>
      </c>
    </row>
    <row r="17" spans="1:11" x14ac:dyDescent="0.3">
      <c r="A17" s="1">
        <v>13</v>
      </c>
      <c r="B17" s="1">
        <v>13</v>
      </c>
      <c r="C17" s="6">
        <v>46023</v>
      </c>
      <c r="D17" t="e">
        <f>#REF!</f>
        <v>#REF!</v>
      </c>
      <c r="F17" t="str">
        <f t="shared" si="0"/>
        <v>Q1</v>
      </c>
      <c r="G17" t="str">
        <f t="shared" si="1"/>
        <v>Q1_2026</v>
      </c>
      <c r="H17">
        <f t="shared" si="3"/>
        <v>13</v>
      </c>
      <c r="I17" t="s">
        <v>6</v>
      </c>
      <c r="J17" t="s">
        <v>22</v>
      </c>
      <c r="K17" t="e">
        <f t="shared" si="2"/>
        <v>#REF!</v>
      </c>
    </row>
    <row r="18" spans="1:11" x14ac:dyDescent="0.3">
      <c r="A18" s="1">
        <v>14</v>
      </c>
      <c r="B18" s="1">
        <v>14</v>
      </c>
      <c r="C18" s="6">
        <v>46054</v>
      </c>
      <c r="D18" t="e">
        <f>#REF!</f>
        <v>#REF!</v>
      </c>
      <c r="F18" t="str">
        <f t="shared" si="0"/>
        <v>Q1</v>
      </c>
      <c r="G18" t="str">
        <f t="shared" si="1"/>
        <v>Q1_2026</v>
      </c>
      <c r="H18">
        <f t="shared" si="3"/>
        <v>14</v>
      </c>
      <c r="I18" t="s">
        <v>8</v>
      </c>
      <c r="J18" t="s">
        <v>23</v>
      </c>
      <c r="K18" t="e">
        <f t="shared" si="2"/>
        <v>#REF!</v>
      </c>
    </row>
    <row r="19" spans="1:11" x14ac:dyDescent="0.3">
      <c r="A19" s="1">
        <v>15</v>
      </c>
      <c r="B19" s="1">
        <v>15</v>
      </c>
      <c r="C19" s="6">
        <v>46082</v>
      </c>
      <c r="D19" t="e">
        <f>#REF!</f>
        <v>#REF!</v>
      </c>
      <c r="F19" t="str">
        <f t="shared" si="0"/>
        <v>Q1</v>
      </c>
      <c r="G19" t="str">
        <f t="shared" si="1"/>
        <v>Q1_2026</v>
      </c>
      <c r="H19">
        <f t="shared" si="3"/>
        <v>15</v>
      </c>
      <c r="I19" t="s">
        <v>10</v>
      </c>
      <c r="J19" t="s">
        <v>24</v>
      </c>
      <c r="K19" t="e">
        <f t="shared" si="2"/>
        <v>#REF!</v>
      </c>
    </row>
    <row r="20" spans="1:11" x14ac:dyDescent="0.3">
      <c r="A20" s="1">
        <v>16</v>
      </c>
      <c r="B20" s="1">
        <v>16</v>
      </c>
      <c r="C20" s="6">
        <v>46113</v>
      </c>
      <c r="D20" s="7" t="e">
        <f>#REF!</f>
        <v>#REF!</v>
      </c>
      <c r="F20" t="str">
        <f t="shared" si="0"/>
        <v>Q2</v>
      </c>
      <c r="G20" t="str">
        <f t="shared" si="1"/>
        <v>Q2_2026</v>
      </c>
      <c r="H20">
        <f t="shared" si="3"/>
        <v>16</v>
      </c>
      <c r="I20" t="s">
        <v>12</v>
      </c>
      <c r="J20" t="s">
        <v>25</v>
      </c>
      <c r="K20" t="e">
        <f t="shared" si="2"/>
        <v>#REF!</v>
      </c>
    </row>
    <row r="21" spans="1:11" x14ac:dyDescent="0.3">
      <c r="A21" s="1">
        <v>17</v>
      </c>
      <c r="B21" s="1">
        <v>17</v>
      </c>
      <c r="C21" s="6">
        <v>46143</v>
      </c>
      <c r="D21" t="e">
        <f>#REF!</f>
        <v>#REF!</v>
      </c>
      <c r="F21" t="str">
        <f t="shared" si="0"/>
        <v>Q2</v>
      </c>
      <c r="G21" t="str">
        <f t="shared" si="1"/>
        <v>Q2_2026</v>
      </c>
      <c r="H21">
        <f t="shared" si="3"/>
        <v>17</v>
      </c>
      <c r="I21" t="s">
        <v>6</v>
      </c>
      <c r="J21" t="s">
        <v>26</v>
      </c>
      <c r="K21" t="e">
        <f t="shared" si="2"/>
        <v>#REF!</v>
      </c>
    </row>
    <row r="22" spans="1:11" x14ac:dyDescent="0.3">
      <c r="A22" s="1">
        <v>18</v>
      </c>
      <c r="B22" s="1">
        <v>18</v>
      </c>
      <c r="C22" s="6">
        <v>46174</v>
      </c>
      <c r="D22" t="e">
        <f>#REF!</f>
        <v>#REF!</v>
      </c>
      <c r="F22" t="str">
        <f t="shared" si="0"/>
        <v>Q2</v>
      </c>
      <c r="G22" t="str">
        <f t="shared" si="1"/>
        <v>Q2_2026</v>
      </c>
      <c r="H22">
        <f t="shared" si="3"/>
        <v>18</v>
      </c>
      <c r="I22" t="s">
        <v>8</v>
      </c>
      <c r="J22" t="s">
        <v>27</v>
      </c>
      <c r="K22" t="e">
        <f t="shared" si="2"/>
        <v>#REF!</v>
      </c>
    </row>
    <row r="23" spans="1:11" x14ac:dyDescent="0.3">
      <c r="A23" s="1">
        <v>19</v>
      </c>
      <c r="B23" s="1">
        <v>19</v>
      </c>
      <c r="C23" s="6">
        <v>46204</v>
      </c>
      <c r="D23" t="e">
        <f>#REF!</f>
        <v>#REF!</v>
      </c>
      <c r="F23" t="str">
        <f t="shared" si="0"/>
        <v>Q3</v>
      </c>
      <c r="G23" t="str">
        <f t="shared" si="1"/>
        <v>Q3_2026</v>
      </c>
      <c r="H23">
        <f t="shared" si="3"/>
        <v>19</v>
      </c>
      <c r="I23" t="s">
        <v>10</v>
      </c>
      <c r="J23" t="s">
        <v>28</v>
      </c>
      <c r="K23" t="e">
        <f t="shared" si="2"/>
        <v>#REF!</v>
      </c>
    </row>
    <row r="24" spans="1:11" x14ac:dyDescent="0.3">
      <c r="A24" s="1">
        <v>20</v>
      </c>
      <c r="B24" s="1">
        <v>20</v>
      </c>
      <c r="C24" s="6">
        <v>46235</v>
      </c>
      <c r="D24" s="8" t="e">
        <f>#REF!</f>
        <v>#REF!</v>
      </c>
      <c r="F24" t="str">
        <f t="shared" si="0"/>
        <v>Q3</v>
      </c>
      <c r="G24" t="str">
        <f t="shared" si="1"/>
        <v>Q3_2026</v>
      </c>
      <c r="H24">
        <f t="shared" si="3"/>
        <v>20</v>
      </c>
      <c r="I24" t="s">
        <v>12</v>
      </c>
      <c r="J24" t="s">
        <v>29</v>
      </c>
      <c r="K24" t="e">
        <f t="shared" si="2"/>
        <v>#REF!</v>
      </c>
    </row>
    <row r="25" spans="1:11" x14ac:dyDescent="0.3">
      <c r="A25" s="1">
        <v>21</v>
      </c>
      <c r="B25" s="1">
        <v>21</v>
      </c>
      <c r="C25" s="6">
        <v>46266</v>
      </c>
      <c r="D25" t="e">
        <f>#REF!</f>
        <v>#REF!</v>
      </c>
      <c r="F25" t="str">
        <f t="shared" si="0"/>
        <v>Q3</v>
      </c>
      <c r="G25" t="str">
        <f t="shared" si="1"/>
        <v>Q3_2026</v>
      </c>
      <c r="H25">
        <f t="shared" si="3"/>
        <v>21</v>
      </c>
      <c r="I25" t="s">
        <v>6</v>
      </c>
      <c r="J25" t="s">
        <v>30</v>
      </c>
      <c r="K25" t="e">
        <f t="shared" si="2"/>
        <v>#REF!</v>
      </c>
    </row>
    <row r="26" spans="1:11" x14ac:dyDescent="0.3">
      <c r="A26" s="1">
        <v>22</v>
      </c>
      <c r="B26" s="1">
        <v>22</v>
      </c>
      <c r="C26" s="6">
        <v>46296</v>
      </c>
      <c r="D26" t="e">
        <f>#REF!</f>
        <v>#REF!</v>
      </c>
      <c r="F26" t="str">
        <f t="shared" si="0"/>
        <v>Q4</v>
      </c>
      <c r="G26" t="str">
        <f t="shared" si="1"/>
        <v>Q4_2026</v>
      </c>
      <c r="H26">
        <f t="shared" si="3"/>
        <v>22</v>
      </c>
      <c r="I26" t="s">
        <v>8</v>
      </c>
      <c r="J26" t="s">
        <v>31</v>
      </c>
      <c r="K26" t="e">
        <f t="shared" si="2"/>
        <v>#REF!</v>
      </c>
    </row>
    <row r="27" spans="1:11" x14ac:dyDescent="0.3">
      <c r="A27" s="1">
        <v>23</v>
      </c>
      <c r="B27" s="1">
        <v>23</v>
      </c>
      <c r="C27" s="6">
        <v>46327</v>
      </c>
      <c r="D27" t="e">
        <f>#REF!</f>
        <v>#REF!</v>
      </c>
      <c r="F27" t="str">
        <f t="shared" si="0"/>
        <v>Q4</v>
      </c>
      <c r="G27" t="str">
        <f t="shared" si="1"/>
        <v>Q4_2026</v>
      </c>
      <c r="H27">
        <f t="shared" si="3"/>
        <v>23</v>
      </c>
      <c r="I27" t="s">
        <v>10</v>
      </c>
      <c r="J27" t="s">
        <v>32</v>
      </c>
      <c r="K27" t="e">
        <f t="shared" si="2"/>
        <v>#REF!</v>
      </c>
    </row>
    <row r="28" spans="1:11" x14ac:dyDescent="0.3">
      <c r="A28" s="1">
        <v>24</v>
      </c>
      <c r="B28" s="1">
        <v>24</v>
      </c>
      <c r="C28" s="6">
        <v>46357</v>
      </c>
      <c r="D28" t="e">
        <f>#REF!</f>
        <v>#REF!</v>
      </c>
      <c r="F28" t="str">
        <f t="shared" si="0"/>
        <v>Q4</v>
      </c>
      <c r="G28" t="str">
        <f t="shared" si="1"/>
        <v>Q4_2026</v>
      </c>
      <c r="H28">
        <f t="shared" si="3"/>
        <v>24</v>
      </c>
      <c r="I28" t="s">
        <v>12</v>
      </c>
      <c r="J28" t="s">
        <v>33</v>
      </c>
      <c r="K28" t="e">
        <f t="shared" si="2"/>
        <v>#REF!</v>
      </c>
    </row>
    <row r="29" spans="1:11" x14ac:dyDescent="0.3">
      <c r="A29" s="1">
        <v>25</v>
      </c>
      <c r="B29" s="1">
        <v>25</v>
      </c>
      <c r="C29" s="6">
        <v>46388</v>
      </c>
      <c r="D29" t="e">
        <f>#REF!</f>
        <v>#REF!</v>
      </c>
      <c r="F29" t="str">
        <f t="shared" si="0"/>
        <v>Q1</v>
      </c>
      <c r="G29" t="str">
        <f t="shared" si="1"/>
        <v>Q1_2027</v>
      </c>
      <c r="H29">
        <f t="shared" si="3"/>
        <v>25</v>
      </c>
      <c r="I29" t="s">
        <v>6</v>
      </c>
      <c r="J29" t="s">
        <v>34</v>
      </c>
      <c r="K29" t="e">
        <f t="shared" si="2"/>
        <v>#REF!</v>
      </c>
    </row>
    <row r="30" spans="1:11" x14ac:dyDescent="0.3">
      <c r="A30" s="1">
        <v>26</v>
      </c>
      <c r="B30" s="1">
        <v>26</v>
      </c>
      <c r="C30" s="6">
        <v>46419</v>
      </c>
      <c r="D30" t="e">
        <f>#REF!</f>
        <v>#REF!</v>
      </c>
      <c r="F30" t="str">
        <f t="shared" si="0"/>
        <v>Q1</v>
      </c>
      <c r="G30" t="str">
        <f t="shared" si="1"/>
        <v>Q1_2027</v>
      </c>
      <c r="H30">
        <f t="shared" si="3"/>
        <v>26</v>
      </c>
      <c r="I30" t="s">
        <v>8</v>
      </c>
      <c r="J30" t="s">
        <v>35</v>
      </c>
      <c r="K30" t="e">
        <f t="shared" si="2"/>
        <v>#REF!</v>
      </c>
    </row>
    <row r="31" spans="1:11" x14ac:dyDescent="0.3">
      <c r="A31" s="1">
        <v>27</v>
      </c>
      <c r="B31" s="1">
        <v>27</v>
      </c>
      <c r="C31" s="6">
        <v>46447</v>
      </c>
      <c r="D31" t="e">
        <f>#REF!</f>
        <v>#REF!</v>
      </c>
      <c r="F31" t="str">
        <f t="shared" si="0"/>
        <v>Q1</v>
      </c>
      <c r="G31" t="str">
        <f t="shared" si="1"/>
        <v>Q1_2027</v>
      </c>
      <c r="H31">
        <f t="shared" si="3"/>
        <v>27</v>
      </c>
      <c r="I31" t="s">
        <v>10</v>
      </c>
      <c r="J31" t="s">
        <v>36</v>
      </c>
      <c r="K31" t="e">
        <f t="shared" si="2"/>
        <v>#REF!</v>
      </c>
    </row>
    <row r="32" spans="1:11" x14ac:dyDescent="0.3">
      <c r="A32" s="1">
        <v>28</v>
      </c>
      <c r="B32" s="1">
        <v>28</v>
      </c>
      <c r="C32" s="6">
        <v>46478</v>
      </c>
      <c r="D32" t="e">
        <f>#REF!</f>
        <v>#REF!</v>
      </c>
      <c r="F32" t="str">
        <f t="shared" si="0"/>
        <v>Q2</v>
      </c>
      <c r="G32" t="str">
        <f t="shared" si="1"/>
        <v>Q2_2027</v>
      </c>
      <c r="H32">
        <f t="shared" si="3"/>
        <v>28</v>
      </c>
      <c r="I32" t="s">
        <v>12</v>
      </c>
      <c r="J32" t="s">
        <v>37</v>
      </c>
      <c r="K32" t="e">
        <f t="shared" si="2"/>
        <v>#REF!</v>
      </c>
    </row>
    <row r="33" spans="1:11" x14ac:dyDescent="0.3">
      <c r="A33" s="1">
        <v>29</v>
      </c>
      <c r="B33" s="1">
        <v>29</v>
      </c>
      <c r="C33" s="6">
        <v>46508</v>
      </c>
      <c r="D33" t="e">
        <f>#REF!</f>
        <v>#REF!</v>
      </c>
      <c r="F33" t="str">
        <f t="shared" si="0"/>
        <v>Q2</v>
      </c>
      <c r="G33" t="str">
        <f t="shared" si="1"/>
        <v>Q2_2027</v>
      </c>
      <c r="H33">
        <f t="shared" si="3"/>
        <v>29</v>
      </c>
      <c r="I33" t="s">
        <v>6</v>
      </c>
      <c r="J33" t="s">
        <v>38</v>
      </c>
      <c r="K33" t="e">
        <f t="shared" si="2"/>
        <v>#REF!</v>
      </c>
    </row>
    <row r="34" spans="1:11" x14ac:dyDescent="0.3">
      <c r="A34" s="1">
        <v>30</v>
      </c>
      <c r="B34" s="1">
        <v>30</v>
      </c>
      <c r="C34" s="6">
        <v>46539</v>
      </c>
      <c r="D34" t="e">
        <f>#REF!</f>
        <v>#REF!</v>
      </c>
      <c r="F34" t="str">
        <f t="shared" si="0"/>
        <v>Q2</v>
      </c>
      <c r="G34" t="str">
        <f t="shared" si="1"/>
        <v>Q2_2027</v>
      </c>
      <c r="H34">
        <f t="shared" si="3"/>
        <v>30</v>
      </c>
      <c r="I34" t="s">
        <v>8</v>
      </c>
      <c r="J34" t="s">
        <v>39</v>
      </c>
      <c r="K34" t="e">
        <f t="shared" si="2"/>
        <v>#REF!</v>
      </c>
    </row>
    <row r="35" spans="1:11" x14ac:dyDescent="0.3">
      <c r="A35" s="1">
        <v>31</v>
      </c>
      <c r="B35" s="1">
        <v>31</v>
      </c>
      <c r="C35" s="6">
        <v>46569</v>
      </c>
      <c r="D35" t="e">
        <f>#REF!</f>
        <v>#REF!</v>
      </c>
      <c r="F35" t="str">
        <f t="shared" si="0"/>
        <v>Q3</v>
      </c>
      <c r="G35" t="str">
        <f t="shared" si="1"/>
        <v>Q3_2027</v>
      </c>
      <c r="H35">
        <f t="shared" si="3"/>
        <v>31</v>
      </c>
      <c r="I35" t="s">
        <v>10</v>
      </c>
      <c r="J35" t="s">
        <v>40</v>
      </c>
      <c r="K35" t="e">
        <f t="shared" si="2"/>
        <v>#REF!</v>
      </c>
    </row>
    <row r="36" spans="1:11" x14ac:dyDescent="0.3">
      <c r="A36" s="1">
        <v>32</v>
      </c>
      <c r="B36" s="1">
        <v>32</v>
      </c>
      <c r="C36" s="6">
        <v>46600</v>
      </c>
      <c r="D36" t="e">
        <f>#REF!</f>
        <v>#REF!</v>
      </c>
      <c r="F36" t="str">
        <f t="shared" si="0"/>
        <v>Q3</v>
      </c>
      <c r="G36" t="str">
        <f t="shared" si="1"/>
        <v>Q3_2027</v>
      </c>
      <c r="H36">
        <f t="shared" si="3"/>
        <v>32</v>
      </c>
      <c r="I36" t="s">
        <v>12</v>
      </c>
      <c r="J36" t="s">
        <v>41</v>
      </c>
      <c r="K36" t="e">
        <f t="shared" si="2"/>
        <v>#REF!</v>
      </c>
    </row>
    <row r="37" spans="1:11" x14ac:dyDescent="0.3">
      <c r="A37" s="1">
        <v>33</v>
      </c>
      <c r="B37" s="1">
        <v>33</v>
      </c>
      <c r="C37" s="6">
        <v>46631</v>
      </c>
      <c r="D37" t="e">
        <f>#REF!</f>
        <v>#REF!</v>
      </c>
      <c r="F37" t="str">
        <f t="shared" si="0"/>
        <v>Q3</v>
      </c>
      <c r="G37" t="str">
        <f t="shared" si="1"/>
        <v>Q3_2027</v>
      </c>
      <c r="H37">
        <f t="shared" si="3"/>
        <v>33</v>
      </c>
      <c r="I37" t="s">
        <v>6</v>
      </c>
      <c r="J37" t="s">
        <v>42</v>
      </c>
      <c r="K37" t="e">
        <f t="shared" ref="K37:K68" si="4">SUMIFS($D$5:$D$244,$G$5:$G$244,J37)</f>
        <v>#REF!</v>
      </c>
    </row>
    <row r="38" spans="1:11" x14ac:dyDescent="0.3">
      <c r="A38" s="1">
        <v>34</v>
      </c>
      <c r="B38" s="1">
        <v>34</v>
      </c>
      <c r="C38" s="6">
        <v>46661</v>
      </c>
      <c r="D38" t="e">
        <f>#REF!</f>
        <v>#REF!</v>
      </c>
      <c r="F38" t="str">
        <f t="shared" si="0"/>
        <v>Q4</v>
      </c>
      <c r="G38" t="str">
        <f t="shared" si="1"/>
        <v>Q4_2027</v>
      </c>
      <c r="H38">
        <f t="shared" ref="H38:H69" si="5">H37+1</f>
        <v>34</v>
      </c>
      <c r="I38" t="s">
        <v>8</v>
      </c>
      <c r="J38" t="s">
        <v>43</v>
      </c>
      <c r="K38" t="e">
        <f t="shared" si="4"/>
        <v>#REF!</v>
      </c>
    </row>
    <row r="39" spans="1:11" x14ac:dyDescent="0.3">
      <c r="A39" s="1">
        <v>35</v>
      </c>
      <c r="B39" s="1">
        <v>35</v>
      </c>
      <c r="C39" s="6">
        <v>46692</v>
      </c>
      <c r="D39" t="e">
        <f>#REF!</f>
        <v>#REF!</v>
      </c>
      <c r="F39" t="str">
        <f t="shared" si="0"/>
        <v>Q4</v>
      </c>
      <c r="G39" t="str">
        <f t="shared" si="1"/>
        <v>Q4_2027</v>
      </c>
      <c r="H39">
        <f t="shared" si="5"/>
        <v>35</v>
      </c>
      <c r="I39" t="s">
        <v>10</v>
      </c>
      <c r="J39" t="s">
        <v>44</v>
      </c>
      <c r="K39" t="e">
        <f t="shared" si="4"/>
        <v>#REF!</v>
      </c>
    </row>
    <row r="40" spans="1:11" x14ac:dyDescent="0.3">
      <c r="A40" s="1">
        <v>36</v>
      </c>
      <c r="B40" s="1">
        <v>36</v>
      </c>
      <c r="C40" s="6">
        <v>46722</v>
      </c>
      <c r="D40" t="e">
        <f>#REF!</f>
        <v>#REF!</v>
      </c>
      <c r="F40" t="str">
        <f t="shared" si="0"/>
        <v>Q4</v>
      </c>
      <c r="G40" t="str">
        <f t="shared" si="1"/>
        <v>Q4_2027</v>
      </c>
      <c r="H40">
        <f t="shared" si="5"/>
        <v>36</v>
      </c>
      <c r="I40" t="s">
        <v>12</v>
      </c>
      <c r="J40" t="s">
        <v>45</v>
      </c>
      <c r="K40" t="e">
        <f t="shared" si="4"/>
        <v>#REF!</v>
      </c>
    </row>
    <row r="41" spans="1:11" x14ac:dyDescent="0.3">
      <c r="A41" s="1">
        <v>37</v>
      </c>
      <c r="B41" s="1">
        <v>37</v>
      </c>
      <c r="C41" s="6">
        <v>46753</v>
      </c>
      <c r="D41" t="e">
        <f>#REF!</f>
        <v>#REF!</v>
      </c>
      <c r="F41" t="str">
        <f t="shared" si="0"/>
        <v>Q1</v>
      </c>
      <c r="G41" t="str">
        <f t="shared" si="1"/>
        <v>Q1_2028</v>
      </c>
      <c r="H41">
        <f t="shared" si="5"/>
        <v>37</v>
      </c>
      <c r="I41" t="s">
        <v>6</v>
      </c>
      <c r="J41" t="s">
        <v>46</v>
      </c>
      <c r="K41" t="e">
        <f t="shared" si="4"/>
        <v>#REF!</v>
      </c>
    </row>
    <row r="42" spans="1:11" x14ac:dyDescent="0.3">
      <c r="A42" s="1">
        <v>38</v>
      </c>
      <c r="B42" s="1">
        <v>38</v>
      </c>
      <c r="C42" s="6">
        <v>46784</v>
      </c>
      <c r="D42" t="e">
        <f>#REF!</f>
        <v>#REF!</v>
      </c>
      <c r="F42" t="str">
        <f t="shared" si="0"/>
        <v>Q1</v>
      </c>
      <c r="G42" t="str">
        <f t="shared" si="1"/>
        <v>Q1_2028</v>
      </c>
      <c r="H42">
        <f t="shared" si="5"/>
        <v>38</v>
      </c>
      <c r="I42" t="s">
        <v>8</v>
      </c>
      <c r="J42" t="s">
        <v>47</v>
      </c>
      <c r="K42" t="e">
        <f t="shared" si="4"/>
        <v>#REF!</v>
      </c>
    </row>
    <row r="43" spans="1:11" x14ac:dyDescent="0.3">
      <c r="A43" s="1">
        <v>39</v>
      </c>
      <c r="B43" s="1">
        <v>39</v>
      </c>
      <c r="C43" s="6">
        <v>46813</v>
      </c>
      <c r="D43" t="e">
        <f>#REF!</f>
        <v>#REF!</v>
      </c>
      <c r="F43" t="str">
        <f t="shared" si="0"/>
        <v>Q1</v>
      </c>
      <c r="G43" t="str">
        <f t="shared" si="1"/>
        <v>Q1_2028</v>
      </c>
      <c r="H43">
        <f t="shared" si="5"/>
        <v>39</v>
      </c>
      <c r="I43" t="s">
        <v>10</v>
      </c>
      <c r="J43" t="s">
        <v>48</v>
      </c>
      <c r="K43" t="e">
        <f t="shared" si="4"/>
        <v>#REF!</v>
      </c>
    </row>
    <row r="44" spans="1:11" x14ac:dyDescent="0.3">
      <c r="A44" s="1">
        <v>40</v>
      </c>
      <c r="B44" s="1">
        <v>40</v>
      </c>
      <c r="C44" s="6">
        <v>46844</v>
      </c>
      <c r="D44" t="e">
        <f>#REF!</f>
        <v>#REF!</v>
      </c>
      <c r="F44" t="str">
        <f t="shared" si="0"/>
        <v>Q2</v>
      </c>
      <c r="G44" t="str">
        <f t="shared" si="1"/>
        <v>Q2_2028</v>
      </c>
      <c r="H44">
        <f t="shared" si="5"/>
        <v>40</v>
      </c>
      <c r="I44" t="s">
        <v>12</v>
      </c>
      <c r="J44" t="s">
        <v>49</v>
      </c>
      <c r="K44" t="e">
        <f t="shared" si="4"/>
        <v>#REF!</v>
      </c>
    </row>
    <row r="45" spans="1:11" x14ac:dyDescent="0.3">
      <c r="A45" s="1">
        <v>41</v>
      </c>
      <c r="B45" s="1">
        <v>41</v>
      </c>
      <c r="C45" s="6">
        <v>46874</v>
      </c>
      <c r="D45" t="e">
        <f>#REF!</f>
        <v>#REF!</v>
      </c>
      <c r="F45" t="str">
        <f t="shared" si="0"/>
        <v>Q2</v>
      </c>
      <c r="G45" t="str">
        <f t="shared" si="1"/>
        <v>Q2_2028</v>
      </c>
      <c r="H45">
        <f t="shared" si="5"/>
        <v>41</v>
      </c>
      <c r="I45" t="s">
        <v>6</v>
      </c>
      <c r="J45" t="s">
        <v>50</v>
      </c>
      <c r="K45" t="e">
        <f t="shared" si="4"/>
        <v>#REF!</v>
      </c>
    </row>
    <row r="46" spans="1:11" x14ac:dyDescent="0.3">
      <c r="A46" s="1">
        <v>42</v>
      </c>
      <c r="B46" s="1">
        <v>42</v>
      </c>
      <c r="C46" s="6">
        <v>46905</v>
      </c>
      <c r="D46" t="e">
        <f>#REF!</f>
        <v>#REF!</v>
      </c>
      <c r="F46" t="str">
        <f t="shared" si="0"/>
        <v>Q2</v>
      </c>
      <c r="G46" t="str">
        <f t="shared" si="1"/>
        <v>Q2_2028</v>
      </c>
      <c r="H46">
        <f t="shared" si="5"/>
        <v>42</v>
      </c>
      <c r="I46" t="s">
        <v>8</v>
      </c>
      <c r="J46" t="s">
        <v>51</v>
      </c>
      <c r="K46" t="e">
        <f t="shared" si="4"/>
        <v>#REF!</v>
      </c>
    </row>
    <row r="47" spans="1:11" x14ac:dyDescent="0.3">
      <c r="A47" s="1">
        <v>43</v>
      </c>
      <c r="B47" s="1">
        <v>43</v>
      </c>
      <c r="C47" s="6">
        <v>46935</v>
      </c>
      <c r="D47" t="e">
        <f>#REF!</f>
        <v>#REF!</v>
      </c>
      <c r="F47" t="str">
        <f t="shared" si="0"/>
        <v>Q3</v>
      </c>
      <c r="G47" t="str">
        <f t="shared" si="1"/>
        <v>Q3_2028</v>
      </c>
      <c r="H47">
        <f t="shared" si="5"/>
        <v>43</v>
      </c>
      <c r="I47" t="s">
        <v>10</v>
      </c>
      <c r="J47" t="s">
        <v>52</v>
      </c>
      <c r="K47" t="e">
        <f t="shared" si="4"/>
        <v>#REF!</v>
      </c>
    </row>
    <row r="48" spans="1:11" x14ac:dyDescent="0.3">
      <c r="A48" s="1">
        <v>44</v>
      </c>
      <c r="B48" s="1">
        <v>44</v>
      </c>
      <c r="C48" s="6">
        <v>46966</v>
      </c>
      <c r="D48" t="e">
        <f>#REF!</f>
        <v>#REF!</v>
      </c>
      <c r="F48" t="str">
        <f t="shared" si="0"/>
        <v>Q3</v>
      </c>
      <c r="G48" t="str">
        <f t="shared" si="1"/>
        <v>Q3_2028</v>
      </c>
      <c r="H48">
        <f t="shared" si="5"/>
        <v>44</v>
      </c>
      <c r="I48" t="s">
        <v>12</v>
      </c>
      <c r="J48" t="s">
        <v>53</v>
      </c>
      <c r="K48" t="e">
        <f t="shared" si="4"/>
        <v>#REF!</v>
      </c>
    </row>
    <row r="49" spans="1:11" x14ac:dyDescent="0.3">
      <c r="A49" s="1">
        <v>45</v>
      </c>
      <c r="B49" s="1">
        <v>45</v>
      </c>
      <c r="C49" s="6">
        <v>46997</v>
      </c>
      <c r="D49" t="e">
        <f>#REF!</f>
        <v>#REF!</v>
      </c>
      <c r="F49" t="str">
        <f t="shared" si="0"/>
        <v>Q3</v>
      </c>
      <c r="G49" t="str">
        <f t="shared" si="1"/>
        <v>Q3_2028</v>
      </c>
      <c r="H49">
        <f t="shared" si="5"/>
        <v>45</v>
      </c>
      <c r="I49" t="s">
        <v>6</v>
      </c>
      <c r="J49" t="s">
        <v>54</v>
      </c>
      <c r="K49" t="e">
        <f t="shared" si="4"/>
        <v>#REF!</v>
      </c>
    </row>
    <row r="50" spans="1:11" x14ac:dyDescent="0.3">
      <c r="A50" s="1">
        <v>46</v>
      </c>
      <c r="B50" s="1">
        <v>46</v>
      </c>
      <c r="C50" s="6">
        <v>47027</v>
      </c>
      <c r="D50" t="e">
        <f>#REF!</f>
        <v>#REF!</v>
      </c>
      <c r="F50" t="str">
        <f t="shared" si="0"/>
        <v>Q4</v>
      </c>
      <c r="G50" t="str">
        <f t="shared" si="1"/>
        <v>Q4_2028</v>
      </c>
      <c r="H50">
        <f t="shared" si="5"/>
        <v>46</v>
      </c>
      <c r="I50" t="s">
        <v>8</v>
      </c>
      <c r="J50" t="s">
        <v>55</v>
      </c>
      <c r="K50" t="e">
        <f t="shared" si="4"/>
        <v>#REF!</v>
      </c>
    </row>
    <row r="51" spans="1:11" x14ac:dyDescent="0.3">
      <c r="A51" s="1">
        <v>47</v>
      </c>
      <c r="B51" s="1">
        <v>47</v>
      </c>
      <c r="C51" s="6">
        <v>47058</v>
      </c>
      <c r="D51" t="e">
        <f>#REF!</f>
        <v>#REF!</v>
      </c>
      <c r="F51" t="str">
        <f t="shared" si="0"/>
        <v>Q4</v>
      </c>
      <c r="G51" t="str">
        <f t="shared" si="1"/>
        <v>Q4_2028</v>
      </c>
      <c r="H51">
        <f t="shared" si="5"/>
        <v>47</v>
      </c>
      <c r="I51" t="s">
        <v>10</v>
      </c>
      <c r="J51" t="s">
        <v>56</v>
      </c>
      <c r="K51" t="e">
        <f t="shared" si="4"/>
        <v>#REF!</v>
      </c>
    </row>
    <row r="52" spans="1:11" x14ac:dyDescent="0.3">
      <c r="A52" s="1">
        <v>48</v>
      </c>
      <c r="B52" s="1">
        <v>48</v>
      </c>
      <c r="C52" s="6">
        <v>47088</v>
      </c>
      <c r="D52" t="e">
        <f>#REF!</f>
        <v>#REF!</v>
      </c>
      <c r="F52" t="str">
        <f t="shared" si="0"/>
        <v>Q4</v>
      </c>
      <c r="G52" t="str">
        <f t="shared" si="1"/>
        <v>Q4_2028</v>
      </c>
      <c r="H52">
        <f t="shared" si="5"/>
        <v>48</v>
      </c>
      <c r="I52" t="s">
        <v>12</v>
      </c>
      <c r="J52" t="s">
        <v>57</v>
      </c>
      <c r="K52" t="e">
        <f t="shared" si="4"/>
        <v>#REF!</v>
      </c>
    </row>
    <row r="53" spans="1:11" x14ac:dyDescent="0.3">
      <c r="A53" s="1">
        <v>49</v>
      </c>
      <c r="B53" s="1">
        <v>49</v>
      </c>
      <c r="C53" s="6">
        <v>47119</v>
      </c>
      <c r="D53" t="e">
        <f>#REF!</f>
        <v>#REF!</v>
      </c>
      <c r="F53" t="str">
        <f t="shared" si="0"/>
        <v>Q1</v>
      </c>
      <c r="G53" t="str">
        <f t="shared" si="1"/>
        <v>Q1_2029</v>
      </c>
      <c r="H53">
        <f t="shared" si="5"/>
        <v>49</v>
      </c>
      <c r="I53" t="s">
        <v>6</v>
      </c>
      <c r="J53" t="s">
        <v>58</v>
      </c>
      <c r="K53" t="e">
        <f t="shared" si="4"/>
        <v>#REF!</v>
      </c>
    </row>
    <row r="54" spans="1:11" x14ac:dyDescent="0.3">
      <c r="A54" s="1">
        <v>50</v>
      </c>
      <c r="B54" s="1">
        <v>50</v>
      </c>
      <c r="C54" s="6">
        <v>47150</v>
      </c>
      <c r="D54" t="e">
        <f>#REF!</f>
        <v>#REF!</v>
      </c>
      <c r="F54" t="str">
        <f t="shared" si="0"/>
        <v>Q1</v>
      </c>
      <c r="G54" t="str">
        <f t="shared" si="1"/>
        <v>Q1_2029</v>
      </c>
      <c r="H54">
        <f t="shared" si="5"/>
        <v>50</v>
      </c>
      <c r="I54" t="s">
        <v>8</v>
      </c>
      <c r="J54" t="s">
        <v>59</v>
      </c>
      <c r="K54" t="e">
        <f t="shared" si="4"/>
        <v>#REF!</v>
      </c>
    </row>
    <row r="55" spans="1:11" x14ac:dyDescent="0.3">
      <c r="A55" s="1">
        <v>51</v>
      </c>
      <c r="B55" s="1">
        <v>51</v>
      </c>
      <c r="C55" s="6">
        <v>47178</v>
      </c>
      <c r="D55" t="e">
        <f>#REF!</f>
        <v>#REF!</v>
      </c>
      <c r="F55" t="str">
        <f t="shared" si="0"/>
        <v>Q1</v>
      </c>
      <c r="G55" t="str">
        <f t="shared" si="1"/>
        <v>Q1_2029</v>
      </c>
      <c r="H55">
        <f t="shared" si="5"/>
        <v>51</v>
      </c>
      <c r="I55" t="s">
        <v>10</v>
      </c>
      <c r="J55" t="s">
        <v>60</v>
      </c>
      <c r="K55" t="e">
        <f t="shared" si="4"/>
        <v>#REF!</v>
      </c>
    </row>
    <row r="56" spans="1:11" x14ac:dyDescent="0.3">
      <c r="A56" s="1">
        <v>52</v>
      </c>
      <c r="B56" s="1">
        <v>52</v>
      </c>
      <c r="C56" s="6">
        <v>47209</v>
      </c>
      <c r="D56" t="e">
        <f>#REF!</f>
        <v>#REF!</v>
      </c>
      <c r="F56" t="str">
        <f t="shared" si="0"/>
        <v>Q2</v>
      </c>
      <c r="G56" t="str">
        <f t="shared" si="1"/>
        <v>Q2_2029</v>
      </c>
      <c r="H56">
        <f t="shared" si="5"/>
        <v>52</v>
      </c>
      <c r="I56" t="s">
        <v>12</v>
      </c>
      <c r="J56" t="s">
        <v>61</v>
      </c>
      <c r="K56" t="e">
        <f t="shared" si="4"/>
        <v>#REF!</v>
      </c>
    </row>
    <row r="57" spans="1:11" x14ac:dyDescent="0.3">
      <c r="A57" s="1">
        <v>53</v>
      </c>
      <c r="B57" s="1">
        <v>53</v>
      </c>
      <c r="C57" s="6">
        <v>47239</v>
      </c>
      <c r="D57" t="e">
        <f>#REF!</f>
        <v>#REF!</v>
      </c>
      <c r="F57" t="str">
        <f t="shared" si="0"/>
        <v>Q2</v>
      </c>
      <c r="G57" t="str">
        <f t="shared" si="1"/>
        <v>Q2_2029</v>
      </c>
      <c r="H57">
        <f t="shared" si="5"/>
        <v>53</v>
      </c>
      <c r="I57" t="s">
        <v>6</v>
      </c>
      <c r="J57" t="s">
        <v>62</v>
      </c>
      <c r="K57" t="e">
        <f t="shared" si="4"/>
        <v>#REF!</v>
      </c>
    </row>
    <row r="58" spans="1:11" x14ac:dyDescent="0.3">
      <c r="A58" s="1">
        <v>54</v>
      </c>
      <c r="B58" s="1">
        <v>54</v>
      </c>
      <c r="C58" s="6">
        <v>47270</v>
      </c>
      <c r="D58" t="e">
        <f>#REF!</f>
        <v>#REF!</v>
      </c>
      <c r="F58" t="str">
        <f t="shared" si="0"/>
        <v>Q2</v>
      </c>
      <c r="G58" t="str">
        <f t="shared" si="1"/>
        <v>Q2_2029</v>
      </c>
      <c r="H58">
        <f t="shared" si="5"/>
        <v>54</v>
      </c>
      <c r="I58" t="s">
        <v>8</v>
      </c>
      <c r="J58" t="s">
        <v>63</v>
      </c>
      <c r="K58" t="e">
        <f t="shared" si="4"/>
        <v>#REF!</v>
      </c>
    </row>
    <row r="59" spans="1:11" x14ac:dyDescent="0.3">
      <c r="A59" s="1">
        <v>55</v>
      </c>
      <c r="B59" s="1">
        <v>55</v>
      </c>
      <c r="C59" s="6">
        <v>47300</v>
      </c>
      <c r="D59" t="e">
        <f>#REF!</f>
        <v>#REF!</v>
      </c>
      <c r="F59" t="str">
        <f t="shared" si="0"/>
        <v>Q3</v>
      </c>
      <c r="G59" t="str">
        <f t="shared" si="1"/>
        <v>Q3_2029</v>
      </c>
      <c r="H59">
        <f t="shared" si="5"/>
        <v>55</v>
      </c>
      <c r="I59" t="s">
        <v>10</v>
      </c>
      <c r="J59" t="s">
        <v>64</v>
      </c>
      <c r="K59" t="e">
        <f t="shared" si="4"/>
        <v>#REF!</v>
      </c>
    </row>
    <row r="60" spans="1:11" x14ac:dyDescent="0.3">
      <c r="A60" s="1">
        <v>56</v>
      </c>
      <c r="B60" s="1">
        <v>56</v>
      </c>
      <c r="C60" s="6">
        <v>47331</v>
      </c>
      <c r="D60" t="e">
        <f>#REF!</f>
        <v>#REF!</v>
      </c>
      <c r="F60" t="str">
        <f t="shared" si="0"/>
        <v>Q3</v>
      </c>
      <c r="G60" t="str">
        <f t="shared" si="1"/>
        <v>Q3_2029</v>
      </c>
      <c r="H60">
        <f t="shared" si="5"/>
        <v>56</v>
      </c>
      <c r="I60" t="s">
        <v>12</v>
      </c>
      <c r="J60" t="s">
        <v>65</v>
      </c>
      <c r="K60" t="e">
        <f t="shared" si="4"/>
        <v>#REF!</v>
      </c>
    </row>
    <row r="61" spans="1:11" x14ac:dyDescent="0.3">
      <c r="A61" s="1">
        <v>57</v>
      </c>
      <c r="B61" s="1">
        <v>57</v>
      </c>
      <c r="C61" s="6">
        <v>47362</v>
      </c>
      <c r="D61" t="e">
        <f>#REF!</f>
        <v>#REF!</v>
      </c>
      <c r="F61" t="str">
        <f t="shared" si="0"/>
        <v>Q3</v>
      </c>
      <c r="G61" t="str">
        <f t="shared" si="1"/>
        <v>Q3_2029</v>
      </c>
      <c r="H61">
        <f t="shared" si="5"/>
        <v>57</v>
      </c>
      <c r="I61" t="s">
        <v>6</v>
      </c>
      <c r="J61" t="s">
        <v>66</v>
      </c>
      <c r="K61" t="e">
        <f t="shared" si="4"/>
        <v>#REF!</v>
      </c>
    </row>
    <row r="62" spans="1:11" x14ac:dyDescent="0.3">
      <c r="A62" s="1">
        <v>58</v>
      </c>
      <c r="B62" s="1">
        <v>58</v>
      </c>
      <c r="C62" s="6">
        <v>47392</v>
      </c>
      <c r="D62" t="e">
        <f>#REF!</f>
        <v>#REF!</v>
      </c>
      <c r="F62" t="str">
        <f t="shared" si="0"/>
        <v>Q4</v>
      </c>
      <c r="G62" t="str">
        <f t="shared" si="1"/>
        <v>Q4_2029</v>
      </c>
      <c r="H62">
        <f t="shared" si="5"/>
        <v>58</v>
      </c>
      <c r="I62" t="s">
        <v>8</v>
      </c>
      <c r="J62" t="s">
        <v>67</v>
      </c>
      <c r="K62" t="e">
        <f t="shared" si="4"/>
        <v>#REF!</v>
      </c>
    </row>
    <row r="63" spans="1:11" x14ac:dyDescent="0.3">
      <c r="A63" s="1">
        <v>59</v>
      </c>
      <c r="B63" s="1">
        <v>59</v>
      </c>
      <c r="C63" s="6">
        <v>47423</v>
      </c>
      <c r="D63" t="e">
        <f>#REF!</f>
        <v>#REF!</v>
      </c>
      <c r="F63" t="str">
        <f t="shared" si="0"/>
        <v>Q4</v>
      </c>
      <c r="G63" t="str">
        <f t="shared" si="1"/>
        <v>Q4_2029</v>
      </c>
      <c r="H63">
        <f t="shared" si="5"/>
        <v>59</v>
      </c>
      <c r="I63" t="s">
        <v>10</v>
      </c>
      <c r="J63" t="s">
        <v>68</v>
      </c>
      <c r="K63" t="e">
        <f t="shared" si="4"/>
        <v>#REF!</v>
      </c>
    </row>
    <row r="64" spans="1:11" x14ac:dyDescent="0.3">
      <c r="A64" s="1">
        <v>60</v>
      </c>
      <c r="B64" s="1">
        <v>60</v>
      </c>
      <c r="C64" s="6">
        <v>47453</v>
      </c>
      <c r="D64" t="e">
        <f>#REF!</f>
        <v>#REF!</v>
      </c>
      <c r="F64" t="str">
        <f t="shared" si="0"/>
        <v>Q4</v>
      </c>
      <c r="G64" t="str">
        <f t="shared" si="1"/>
        <v>Q4_2029</v>
      </c>
      <c r="H64">
        <f t="shared" si="5"/>
        <v>60</v>
      </c>
      <c r="I64" t="s">
        <v>12</v>
      </c>
      <c r="J64" t="s">
        <v>69</v>
      </c>
      <c r="K64" t="e">
        <f t="shared" si="4"/>
        <v>#REF!</v>
      </c>
    </row>
    <row r="65" spans="1:11" x14ac:dyDescent="0.3">
      <c r="A65" s="1">
        <v>61</v>
      </c>
      <c r="B65" s="1">
        <v>61</v>
      </c>
      <c r="C65" s="6">
        <v>47484</v>
      </c>
      <c r="D65" t="e">
        <f>#REF!</f>
        <v>#REF!</v>
      </c>
      <c r="F65" t="str">
        <f t="shared" si="0"/>
        <v>Q1</v>
      </c>
      <c r="G65" t="str">
        <f t="shared" si="1"/>
        <v>Q1_2030</v>
      </c>
      <c r="H65">
        <f t="shared" si="5"/>
        <v>61</v>
      </c>
      <c r="I65" t="s">
        <v>6</v>
      </c>
      <c r="J65" t="s">
        <v>70</v>
      </c>
      <c r="K65" t="e">
        <f t="shared" si="4"/>
        <v>#REF!</v>
      </c>
    </row>
    <row r="66" spans="1:11" x14ac:dyDescent="0.3">
      <c r="A66" s="1">
        <v>62</v>
      </c>
      <c r="B66" s="1">
        <v>62</v>
      </c>
      <c r="C66" s="6">
        <v>47515</v>
      </c>
      <c r="D66" t="e">
        <f>#REF!</f>
        <v>#REF!</v>
      </c>
      <c r="F66" t="str">
        <f t="shared" si="0"/>
        <v>Q1</v>
      </c>
      <c r="G66" t="str">
        <f t="shared" si="1"/>
        <v>Q1_2030</v>
      </c>
      <c r="H66">
        <f t="shared" si="5"/>
        <v>62</v>
      </c>
      <c r="I66" t="s">
        <v>8</v>
      </c>
      <c r="J66" t="s">
        <v>71</v>
      </c>
      <c r="K66" t="e">
        <f t="shared" si="4"/>
        <v>#REF!</v>
      </c>
    </row>
    <row r="67" spans="1:11" x14ac:dyDescent="0.3">
      <c r="A67" s="1">
        <v>63</v>
      </c>
      <c r="B67" s="1">
        <v>63</v>
      </c>
      <c r="C67" s="6">
        <v>47543</v>
      </c>
      <c r="D67" t="e">
        <f>#REF!</f>
        <v>#REF!</v>
      </c>
      <c r="F67" t="str">
        <f t="shared" si="0"/>
        <v>Q1</v>
      </c>
      <c r="G67" t="str">
        <f t="shared" si="1"/>
        <v>Q1_2030</v>
      </c>
      <c r="H67">
        <f t="shared" si="5"/>
        <v>63</v>
      </c>
      <c r="I67" t="s">
        <v>10</v>
      </c>
      <c r="J67" t="s">
        <v>72</v>
      </c>
      <c r="K67" t="e">
        <f t="shared" si="4"/>
        <v>#REF!</v>
      </c>
    </row>
    <row r="68" spans="1:11" x14ac:dyDescent="0.3">
      <c r="A68" s="1">
        <v>64</v>
      </c>
      <c r="B68" s="1">
        <v>64</v>
      </c>
      <c r="C68" s="6">
        <v>47574</v>
      </c>
      <c r="D68" t="e">
        <f>#REF!</f>
        <v>#REF!</v>
      </c>
      <c r="F68" t="str">
        <f t="shared" si="0"/>
        <v>Q2</v>
      </c>
      <c r="G68" t="str">
        <f t="shared" si="1"/>
        <v>Q2_2030</v>
      </c>
      <c r="H68">
        <f t="shared" si="5"/>
        <v>64</v>
      </c>
      <c r="I68" t="s">
        <v>12</v>
      </c>
      <c r="J68" t="s">
        <v>73</v>
      </c>
      <c r="K68" t="e">
        <f t="shared" si="4"/>
        <v>#REF!</v>
      </c>
    </row>
    <row r="69" spans="1:11" x14ac:dyDescent="0.3">
      <c r="A69" s="1">
        <v>65</v>
      </c>
      <c r="B69" s="1">
        <v>65</v>
      </c>
      <c r="C69" s="6">
        <v>47604</v>
      </c>
      <c r="D69" t="e">
        <f>#REF!</f>
        <v>#REF!</v>
      </c>
      <c r="F69" t="str">
        <f t="shared" ref="F69:F132" si="6">"Q"&amp;ROUNDUP(MONTH(C69)/3,0)</f>
        <v>Q2</v>
      </c>
      <c r="G69" t="str">
        <f t="shared" ref="G69:G132" si="7">"Q"&amp;ROUNDUP(MONTH(C69)/3,0)&amp;"_"&amp;YEAR(C69)</f>
        <v>Q2_2030</v>
      </c>
      <c r="H69">
        <f t="shared" si="5"/>
        <v>65</v>
      </c>
      <c r="I69" t="s">
        <v>6</v>
      </c>
      <c r="J69" t="s">
        <v>74</v>
      </c>
      <c r="K69" t="e">
        <f t="shared" ref="K69:K84" si="8">SUMIFS($D$5:$D$244,$G$5:$G$244,J69)</f>
        <v>#REF!</v>
      </c>
    </row>
    <row r="70" spans="1:11" x14ac:dyDescent="0.3">
      <c r="A70" s="1">
        <v>66</v>
      </c>
      <c r="B70" s="1">
        <v>66</v>
      </c>
      <c r="C70" s="6">
        <v>47635</v>
      </c>
      <c r="D70" t="e">
        <f>#REF!</f>
        <v>#REF!</v>
      </c>
      <c r="F70" t="str">
        <f t="shared" si="6"/>
        <v>Q2</v>
      </c>
      <c r="G70" t="str">
        <f t="shared" si="7"/>
        <v>Q2_2030</v>
      </c>
      <c r="H70">
        <f t="shared" ref="H70:H84" si="9">H69+1</f>
        <v>66</v>
      </c>
      <c r="I70" t="s">
        <v>8</v>
      </c>
      <c r="J70" t="s">
        <v>75</v>
      </c>
      <c r="K70" t="e">
        <f t="shared" si="8"/>
        <v>#REF!</v>
      </c>
    </row>
    <row r="71" spans="1:11" x14ac:dyDescent="0.3">
      <c r="A71" s="1">
        <v>67</v>
      </c>
      <c r="B71" s="1">
        <v>67</v>
      </c>
      <c r="C71" s="6">
        <v>47665</v>
      </c>
      <c r="D71" t="e">
        <f>#REF!</f>
        <v>#REF!</v>
      </c>
      <c r="F71" t="str">
        <f t="shared" si="6"/>
        <v>Q3</v>
      </c>
      <c r="G71" t="str">
        <f t="shared" si="7"/>
        <v>Q3_2030</v>
      </c>
      <c r="H71">
        <f t="shared" si="9"/>
        <v>67</v>
      </c>
      <c r="I71" t="s">
        <v>10</v>
      </c>
      <c r="J71" t="s">
        <v>76</v>
      </c>
      <c r="K71" t="e">
        <f t="shared" si="8"/>
        <v>#REF!</v>
      </c>
    </row>
    <row r="72" spans="1:11" x14ac:dyDescent="0.3">
      <c r="A72" s="1">
        <v>68</v>
      </c>
      <c r="B72" s="1">
        <v>68</v>
      </c>
      <c r="C72" s="6">
        <v>47696</v>
      </c>
      <c r="D72" t="e">
        <f>#REF!</f>
        <v>#REF!</v>
      </c>
      <c r="F72" t="str">
        <f t="shared" si="6"/>
        <v>Q3</v>
      </c>
      <c r="G72" t="str">
        <f t="shared" si="7"/>
        <v>Q3_2030</v>
      </c>
      <c r="H72">
        <f t="shared" si="9"/>
        <v>68</v>
      </c>
      <c r="I72" t="s">
        <v>12</v>
      </c>
      <c r="J72" t="s">
        <v>77</v>
      </c>
      <c r="K72" t="e">
        <f t="shared" si="8"/>
        <v>#REF!</v>
      </c>
    </row>
    <row r="73" spans="1:11" x14ac:dyDescent="0.3">
      <c r="A73" s="1">
        <v>69</v>
      </c>
      <c r="B73" s="1">
        <v>69</v>
      </c>
      <c r="C73" s="6">
        <v>47727</v>
      </c>
      <c r="D73" t="e">
        <f>#REF!</f>
        <v>#REF!</v>
      </c>
      <c r="F73" t="str">
        <f t="shared" si="6"/>
        <v>Q3</v>
      </c>
      <c r="G73" t="str">
        <f t="shared" si="7"/>
        <v>Q3_2030</v>
      </c>
      <c r="H73">
        <f t="shared" si="9"/>
        <v>69</v>
      </c>
      <c r="I73" t="s">
        <v>6</v>
      </c>
      <c r="J73" t="s">
        <v>78</v>
      </c>
      <c r="K73" t="e">
        <f t="shared" si="8"/>
        <v>#REF!</v>
      </c>
    </row>
    <row r="74" spans="1:11" x14ac:dyDescent="0.3">
      <c r="A74" s="1">
        <v>70</v>
      </c>
      <c r="B74" s="1">
        <v>70</v>
      </c>
      <c r="C74" s="6">
        <v>47757</v>
      </c>
      <c r="D74" t="e">
        <f>#REF!</f>
        <v>#REF!</v>
      </c>
      <c r="F74" t="str">
        <f t="shared" si="6"/>
        <v>Q4</v>
      </c>
      <c r="G74" t="str">
        <f t="shared" si="7"/>
        <v>Q4_2030</v>
      </c>
      <c r="H74">
        <f t="shared" si="9"/>
        <v>70</v>
      </c>
      <c r="I74" t="s">
        <v>8</v>
      </c>
      <c r="J74" t="s">
        <v>79</v>
      </c>
      <c r="K74" t="e">
        <f t="shared" si="8"/>
        <v>#REF!</v>
      </c>
    </row>
    <row r="75" spans="1:11" x14ac:dyDescent="0.3">
      <c r="A75" s="1">
        <v>71</v>
      </c>
      <c r="B75" s="1">
        <v>71</v>
      </c>
      <c r="C75" s="6">
        <v>47788</v>
      </c>
      <c r="D75" t="e">
        <f>#REF!</f>
        <v>#REF!</v>
      </c>
      <c r="F75" t="str">
        <f t="shared" si="6"/>
        <v>Q4</v>
      </c>
      <c r="G75" t="str">
        <f t="shared" si="7"/>
        <v>Q4_2030</v>
      </c>
      <c r="H75">
        <f t="shared" si="9"/>
        <v>71</v>
      </c>
      <c r="I75" t="s">
        <v>10</v>
      </c>
      <c r="J75" t="s">
        <v>80</v>
      </c>
      <c r="K75" t="e">
        <f t="shared" si="8"/>
        <v>#REF!</v>
      </c>
    </row>
    <row r="76" spans="1:11" x14ac:dyDescent="0.3">
      <c r="A76" s="1">
        <v>72</v>
      </c>
      <c r="B76" s="1">
        <v>72</v>
      </c>
      <c r="C76" s="6">
        <v>47818</v>
      </c>
      <c r="D76" t="e">
        <f>#REF!</f>
        <v>#REF!</v>
      </c>
      <c r="F76" t="str">
        <f t="shared" si="6"/>
        <v>Q4</v>
      </c>
      <c r="G76" t="str">
        <f t="shared" si="7"/>
        <v>Q4_2030</v>
      </c>
      <c r="H76">
        <f t="shared" si="9"/>
        <v>72</v>
      </c>
      <c r="I76" t="s">
        <v>12</v>
      </c>
      <c r="J76" t="s">
        <v>81</v>
      </c>
      <c r="K76" t="e">
        <f t="shared" si="8"/>
        <v>#REF!</v>
      </c>
    </row>
    <row r="77" spans="1:11" x14ac:dyDescent="0.3">
      <c r="A77" s="1">
        <v>73</v>
      </c>
      <c r="B77" s="1">
        <v>73</v>
      </c>
      <c r="C77" s="6">
        <v>47849</v>
      </c>
      <c r="D77" t="e">
        <f>#REF!</f>
        <v>#REF!</v>
      </c>
      <c r="F77" t="str">
        <f t="shared" si="6"/>
        <v>Q1</v>
      </c>
      <c r="G77" t="str">
        <f t="shared" si="7"/>
        <v>Q1_2031</v>
      </c>
      <c r="H77">
        <f t="shared" si="9"/>
        <v>73</v>
      </c>
      <c r="I77" t="s">
        <v>6</v>
      </c>
      <c r="J77" t="s">
        <v>82</v>
      </c>
      <c r="K77" t="e">
        <f t="shared" si="8"/>
        <v>#REF!</v>
      </c>
    </row>
    <row r="78" spans="1:11" x14ac:dyDescent="0.3">
      <c r="A78" s="1">
        <v>74</v>
      </c>
      <c r="B78" s="1">
        <v>74</v>
      </c>
      <c r="C78" s="6">
        <v>47880</v>
      </c>
      <c r="D78" t="e">
        <f>#REF!</f>
        <v>#REF!</v>
      </c>
      <c r="F78" t="str">
        <f t="shared" si="6"/>
        <v>Q1</v>
      </c>
      <c r="G78" t="str">
        <f t="shared" si="7"/>
        <v>Q1_2031</v>
      </c>
      <c r="H78">
        <f t="shared" si="9"/>
        <v>74</v>
      </c>
      <c r="I78" t="s">
        <v>8</v>
      </c>
      <c r="J78" t="s">
        <v>83</v>
      </c>
      <c r="K78" t="e">
        <f t="shared" si="8"/>
        <v>#REF!</v>
      </c>
    </row>
    <row r="79" spans="1:11" x14ac:dyDescent="0.3">
      <c r="A79" s="1">
        <v>75</v>
      </c>
      <c r="B79" s="1">
        <v>75</v>
      </c>
      <c r="C79" s="6">
        <v>47908</v>
      </c>
      <c r="D79" t="e">
        <f>#REF!</f>
        <v>#REF!</v>
      </c>
      <c r="F79" t="str">
        <f t="shared" si="6"/>
        <v>Q1</v>
      </c>
      <c r="G79" t="str">
        <f t="shared" si="7"/>
        <v>Q1_2031</v>
      </c>
      <c r="H79">
        <f t="shared" si="9"/>
        <v>75</v>
      </c>
      <c r="I79" t="s">
        <v>10</v>
      </c>
      <c r="J79" t="s">
        <v>84</v>
      </c>
      <c r="K79" t="e">
        <f t="shared" si="8"/>
        <v>#REF!</v>
      </c>
    </row>
    <row r="80" spans="1:11" x14ac:dyDescent="0.3">
      <c r="A80" s="1">
        <v>76</v>
      </c>
      <c r="B80" s="1">
        <v>76</v>
      </c>
      <c r="C80" s="6">
        <v>47939</v>
      </c>
      <c r="D80" t="e">
        <f>#REF!</f>
        <v>#REF!</v>
      </c>
      <c r="F80" t="str">
        <f t="shared" si="6"/>
        <v>Q2</v>
      </c>
      <c r="G80" t="str">
        <f t="shared" si="7"/>
        <v>Q2_2031</v>
      </c>
      <c r="H80">
        <f t="shared" si="9"/>
        <v>76</v>
      </c>
      <c r="I80" t="s">
        <v>12</v>
      </c>
      <c r="J80" t="s">
        <v>85</v>
      </c>
      <c r="K80" t="e">
        <f t="shared" si="8"/>
        <v>#REF!</v>
      </c>
    </row>
    <row r="81" spans="1:11" x14ac:dyDescent="0.3">
      <c r="A81" s="1">
        <v>77</v>
      </c>
      <c r="B81" s="1">
        <v>77</v>
      </c>
      <c r="C81" s="6">
        <v>47969</v>
      </c>
      <c r="D81" t="e">
        <f>#REF!</f>
        <v>#REF!</v>
      </c>
      <c r="F81" t="str">
        <f t="shared" si="6"/>
        <v>Q2</v>
      </c>
      <c r="G81" t="str">
        <f t="shared" si="7"/>
        <v>Q2_2031</v>
      </c>
      <c r="H81">
        <f t="shared" si="9"/>
        <v>77</v>
      </c>
      <c r="I81" t="s">
        <v>6</v>
      </c>
      <c r="J81" t="s">
        <v>86</v>
      </c>
      <c r="K81" t="e">
        <f t="shared" si="8"/>
        <v>#REF!</v>
      </c>
    </row>
    <row r="82" spans="1:11" x14ac:dyDescent="0.3">
      <c r="A82" s="1">
        <v>78</v>
      </c>
      <c r="B82" s="1">
        <v>78</v>
      </c>
      <c r="C82" s="6">
        <v>48000</v>
      </c>
      <c r="D82" t="e">
        <f>#REF!</f>
        <v>#REF!</v>
      </c>
      <c r="F82" t="str">
        <f t="shared" si="6"/>
        <v>Q2</v>
      </c>
      <c r="G82" t="str">
        <f t="shared" si="7"/>
        <v>Q2_2031</v>
      </c>
      <c r="H82">
        <f t="shared" si="9"/>
        <v>78</v>
      </c>
      <c r="I82" t="s">
        <v>8</v>
      </c>
      <c r="J82" t="s">
        <v>87</v>
      </c>
      <c r="K82" t="e">
        <f t="shared" si="8"/>
        <v>#REF!</v>
      </c>
    </row>
    <row r="83" spans="1:11" x14ac:dyDescent="0.3">
      <c r="A83" s="1">
        <v>79</v>
      </c>
      <c r="B83" s="1">
        <v>79</v>
      </c>
      <c r="C83" s="6">
        <v>48030</v>
      </c>
      <c r="D83" t="e">
        <f>#REF!</f>
        <v>#REF!</v>
      </c>
      <c r="F83" t="str">
        <f t="shared" si="6"/>
        <v>Q3</v>
      </c>
      <c r="G83" t="str">
        <f t="shared" si="7"/>
        <v>Q3_2031</v>
      </c>
      <c r="H83">
        <f t="shared" si="9"/>
        <v>79</v>
      </c>
      <c r="I83" t="s">
        <v>10</v>
      </c>
      <c r="J83" t="s">
        <v>88</v>
      </c>
      <c r="K83" t="e">
        <f t="shared" si="8"/>
        <v>#REF!</v>
      </c>
    </row>
    <row r="84" spans="1:11" x14ac:dyDescent="0.3">
      <c r="A84" s="1">
        <v>80</v>
      </c>
      <c r="B84" s="1">
        <v>80</v>
      </c>
      <c r="C84" s="6">
        <v>48061</v>
      </c>
      <c r="D84" t="e">
        <f>#REF!</f>
        <v>#REF!</v>
      </c>
      <c r="F84" t="str">
        <f t="shared" si="6"/>
        <v>Q3</v>
      </c>
      <c r="G84" t="str">
        <f t="shared" si="7"/>
        <v>Q3_2031</v>
      </c>
      <c r="H84">
        <f t="shared" si="9"/>
        <v>80</v>
      </c>
      <c r="I84" t="s">
        <v>12</v>
      </c>
      <c r="J84" t="s">
        <v>89</v>
      </c>
      <c r="K84" t="e">
        <f t="shared" si="8"/>
        <v>#REF!</v>
      </c>
    </row>
    <row r="85" spans="1:11" x14ac:dyDescent="0.3">
      <c r="A85" s="1">
        <v>81</v>
      </c>
      <c r="B85" s="1">
        <v>81</v>
      </c>
      <c r="C85" s="6">
        <v>48092</v>
      </c>
      <c r="D85" t="e">
        <f>#REF!</f>
        <v>#REF!</v>
      </c>
      <c r="F85" t="str">
        <f t="shared" si="6"/>
        <v>Q3</v>
      </c>
      <c r="G85" t="str">
        <f t="shared" si="7"/>
        <v>Q3_2031</v>
      </c>
    </row>
    <row r="86" spans="1:11" x14ac:dyDescent="0.3">
      <c r="A86" s="1">
        <v>82</v>
      </c>
      <c r="B86" s="1">
        <v>82</v>
      </c>
      <c r="C86" s="6">
        <v>48122</v>
      </c>
      <c r="D86" t="e">
        <f>#REF!</f>
        <v>#REF!</v>
      </c>
      <c r="F86" t="str">
        <f t="shared" si="6"/>
        <v>Q4</v>
      </c>
      <c r="G86" t="str">
        <f t="shared" si="7"/>
        <v>Q4_2031</v>
      </c>
    </row>
    <row r="87" spans="1:11" x14ac:dyDescent="0.3">
      <c r="A87" s="1">
        <v>83</v>
      </c>
      <c r="B87" s="1">
        <v>83</v>
      </c>
      <c r="C87" s="6">
        <v>48153</v>
      </c>
      <c r="D87" t="e">
        <f>#REF!</f>
        <v>#REF!</v>
      </c>
      <c r="F87" t="str">
        <f t="shared" si="6"/>
        <v>Q4</v>
      </c>
      <c r="G87" t="str">
        <f t="shared" si="7"/>
        <v>Q4_2031</v>
      </c>
    </row>
    <row r="88" spans="1:11" x14ac:dyDescent="0.3">
      <c r="A88" s="1">
        <v>84</v>
      </c>
      <c r="B88" s="1">
        <v>84</v>
      </c>
      <c r="C88" s="6">
        <v>48183</v>
      </c>
      <c r="D88" t="e">
        <f>#REF!</f>
        <v>#REF!</v>
      </c>
      <c r="F88" t="str">
        <f t="shared" si="6"/>
        <v>Q4</v>
      </c>
      <c r="G88" t="str">
        <f t="shared" si="7"/>
        <v>Q4_2031</v>
      </c>
    </row>
    <row r="89" spans="1:11" x14ac:dyDescent="0.3">
      <c r="A89" s="1">
        <v>85</v>
      </c>
      <c r="B89" s="1">
        <v>85</v>
      </c>
      <c r="C89" s="6">
        <v>48214</v>
      </c>
      <c r="D89" s="8" t="e">
        <f>#REF!</f>
        <v>#REF!</v>
      </c>
      <c r="F89" t="str">
        <f t="shared" si="6"/>
        <v>Q1</v>
      </c>
      <c r="G89" t="str">
        <f t="shared" si="7"/>
        <v>Q1_2032</v>
      </c>
    </row>
    <row r="90" spans="1:11" x14ac:dyDescent="0.3">
      <c r="A90" s="1">
        <v>86</v>
      </c>
      <c r="B90" s="1">
        <v>86</v>
      </c>
      <c r="C90" s="6">
        <v>48245</v>
      </c>
      <c r="D90" t="e">
        <f>#REF!</f>
        <v>#REF!</v>
      </c>
      <c r="F90" t="str">
        <f t="shared" si="6"/>
        <v>Q1</v>
      </c>
      <c r="G90" t="str">
        <f t="shared" si="7"/>
        <v>Q1_2032</v>
      </c>
    </row>
    <row r="91" spans="1:11" x14ac:dyDescent="0.3">
      <c r="A91" s="1">
        <v>87</v>
      </c>
      <c r="B91" s="1">
        <v>87</v>
      </c>
      <c r="C91" s="6">
        <v>48274</v>
      </c>
      <c r="D91" t="e">
        <f>#REF!</f>
        <v>#REF!</v>
      </c>
      <c r="F91" t="str">
        <f t="shared" si="6"/>
        <v>Q1</v>
      </c>
      <c r="G91" t="str">
        <f t="shared" si="7"/>
        <v>Q1_2032</v>
      </c>
    </row>
    <row r="92" spans="1:11" x14ac:dyDescent="0.3">
      <c r="A92" s="1">
        <v>88</v>
      </c>
      <c r="B92" s="1">
        <v>88</v>
      </c>
      <c r="C92" s="6">
        <v>48305</v>
      </c>
      <c r="D92" t="e">
        <f>#REF!</f>
        <v>#REF!</v>
      </c>
      <c r="F92" t="str">
        <f t="shared" si="6"/>
        <v>Q2</v>
      </c>
      <c r="G92" t="str">
        <f t="shared" si="7"/>
        <v>Q2_2032</v>
      </c>
    </row>
    <row r="93" spans="1:11" x14ac:dyDescent="0.3">
      <c r="A93" s="1">
        <v>89</v>
      </c>
      <c r="B93" s="1">
        <v>89</v>
      </c>
      <c r="C93" s="6">
        <v>48335</v>
      </c>
      <c r="D93" t="e">
        <f>#REF!</f>
        <v>#REF!</v>
      </c>
      <c r="F93" t="str">
        <f t="shared" si="6"/>
        <v>Q2</v>
      </c>
      <c r="G93" t="str">
        <f t="shared" si="7"/>
        <v>Q2_2032</v>
      </c>
    </row>
    <row r="94" spans="1:11" x14ac:dyDescent="0.3">
      <c r="A94" s="1">
        <v>90</v>
      </c>
      <c r="B94" s="1">
        <v>90</v>
      </c>
      <c r="C94" s="6">
        <v>48366</v>
      </c>
      <c r="D94" t="e">
        <f>#REF!</f>
        <v>#REF!</v>
      </c>
      <c r="F94" t="str">
        <f t="shared" si="6"/>
        <v>Q2</v>
      </c>
      <c r="G94" t="str">
        <f t="shared" si="7"/>
        <v>Q2_2032</v>
      </c>
    </row>
    <row r="95" spans="1:11" x14ac:dyDescent="0.3">
      <c r="A95" s="1">
        <v>91</v>
      </c>
      <c r="B95" s="1">
        <v>91</v>
      </c>
      <c r="C95" s="6">
        <v>48396</v>
      </c>
      <c r="D95" t="e">
        <f>#REF!</f>
        <v>#REF!</v>
      </c>
      <c r="F95" t="str">
        <f t="shared" si="6"/>
        <v>Q3</v>
      </c>
      <c r="G95" t="str">
        <f t="shared" si="7"/>
        <v>Q3_2032</v>
      </c>
    </row>
    <row r="96" spans="1:11" x14ac:dyDescent="0.3">
      <c r="A96" s="1">
        <v>92</v>
      </c>
      <c r="B96" s="1">
        <v>92</v>
      </c>
      <c r="C96" s="6">
        <v>48427</v>
      </c>
      <c r="D96" t="e">
        <f>#REF!</f>
        <v>#REF!</v>
      </c>
      <c r="F96" t="str">
        <f t="shared" si="6"/>
        <v>Q3</v>
      </c>
      <c r="G96" t="str">
        <f t="shared" si="7"/>
        <v>Q3_2032</v>
      </c>
    </row>
    <row r="97" spans="1:7" x14ac:dyDescent="0.3">
      <c r="A97" s="1">
        <v>93</v>
      </c>
      <c r="B97" s="1">
        <v>93</v>
      </c>
      <c r="C97" s="6">
        <v>48458</v>
      </c>
      <c r="D97" t="e">
        <f>#REF!</f>
        <v>#REF!</v>
      </c>
      <c r="F97" t="str">
        <f t="shared" si="6"/>
        <v>Q3</v>
      </c>
      <c r="G97" t="str">
        <f t="shared" si="7"/>
        <v>Q3_2032</v>
      </c>
    </row>
    <row r="98" spans="1:7" x14ac:dyDescent="0.3">
      <c r="A98" s="1">
        <v>94</v>
      </c>
      <c r="B98" s="1">
        <v>94</v>
      </c>
      <c r="C98" s="6">
        <v>48488</v>
      </c>
      <c r="D98" t="e">
        <f>#REF!</f>
        <v>#REF!</v>
      </c>
      <c r="F98" t="str">
        <f t="shared" si="6"/>
        <v>Q4</v>
      </c>
      <c r="G98" t="str">
        <f t="shared" si="7"/>
        <v>Q4_2032</v>
      </c>
    </row>
    <row r="99" spans="1:7" x14ac:dyDescent="0.3">
      <c r="A99" s="1">
        <v>95</v>
      </c>
      <c r="B99" s="1">
        <v>95</v>
      </c>
      <c r="C99" s="6">
        <v>48519</v>
      </c>
      <c r="D99" t="e">
        <f>#REF!</f>
        <v>#REF!</v>
      </c>
      <c r="F99" t="str">
        <f t="shared" si="6"/>
        <v>Q4</v>
      </c>
      <c r="G99" t="str">
        <f t="shared" si="7"/>
        <v>Q4_2032</v>
      </c>
    </row>
    <row r="100" spans="1:7" x14ac:dyDescent="0.3">
      <c r="A100" s="1">
        <v>96</v>
      </c>
      <c r="B100" s="1">
        <v>96</v>
      </c>
      <c r="C100" s="6">
        <v>48549</v>
      </c>
      <c r="D100" t="e">
        <f>#REF!</f>
        <v>#REF!</v>
      </c>
      <c r="F100" t="str">
        <f t="shared" si="6"/>
        <v>Q4</v>
      </c>
      <c r="G100" t="str">
        <f t="shared" si="7"/>
        <v>Q4_2032</v>
      </c>
    </row>
    <row r="101" spans="1:7" x14ac:dyDescent="0.3">
      <c r="A101" s="1">
        <v>97</v>
      </c>
      <c r="B101" s="1">
        <v>97</v>
      </c>
      <c r="C101" s="6">
        <v>48580</v>
      </c>
      <c r="D101" t="e">
        <f>#REF!</f>
        <v>#REF!</v>
      </c>
      <c r="F101" t="str">
        <f t="shared" si="6"/>
        <v>Q1</v>
      </c>
      <c r="G101" t="str">
        <f t="shared" si="7"/>
        <v>Q1_2033</v>
      </c>
    </row>
    <row r="102" spans="1:7" x14ac:dyDescent="0.3">
      <c r="A102" s="1">
        <v>98</v>
      </c>
      <c r="B102" s="1">
        <v>98</v>
      </c>
      <c r="C102" s="6">
        <v>48611</v>
      </c>
      <c r="D102" t="e">
        <f>#REF!</f>
        <v>#REF!</v>
      </c>
      <c r="F102" t="str">
        <f t="shared" si="6"/>
        <v>Q1</v>
      </c>
      <c r="G102" t="str">
        <f t="shared" si="7"/>
        <v>Q1_2033</v>
      </c>
    </row>
    <row r="103" spans="1:7" x14ac:dyDescent="0.3">
      <c r="A103" s="1">
        <v>99</v>
      </c>
      <c r="B103" s="1">
        <v>99</v>
      </c>
      <c r="C103" s="6">
        <v>48639</v>
      </c>
      <c r="D103" t="e">
        <f>#REF!</f>
        <v>#REF!</v>
      </c>
      <c r="F103" t="str">
        <f t="shared" si="6"/>
        <v>Q1</v>
      </c>
      <c r="G103" t="str">
        <f t="shared" si="7"/>
        <v>Q1_2033</v>
      </c>
    </row>
    <row r="104" spans="1:7" x14ac:dyDescent="0.3">
      <c r="A104" s="1">
        <v>100</v>
      </c>
      <c r="B104" s="1">
        <v>100</v>
      </c>
      <c r="C104" s="6">
        <v>48670</v>
      </c>
      <c r="D104" t="e">
        <f>#REF!</f>
        <v>#REF!</v>
      </c>
      <c r="F104" t="str">
        <f t="shared" si="6"/>
        <v>Q2</v>
      </c>
      <c r="G104" t="str">
        <f t="shared" si="7"/>
        <v>Q2_2033</v>
      </c>
    </row>
    <row r="105" spans="1:7" x14ac:dyDescent="0.3">
      <c r="A105" s="1">
        <v>101</v>
      </c>
      <c r="B105" s="1">
        <v>101</v>
      </c>
      <c r="C105" s="6">
        <v>48700</v>
      </c>
      <c r="D105" t="e">
        <f>#REF!</f>
        <v>#REF!</v>
      </c>
      <c r="F105" t="str">
        <f t="shared" si="6"/>
        <v>Q2</v>
      </c>
      <c r="G105" t="str">
        <f t="shared" si="7"/>
        <v>Q2_2033</v>
      </c>
    </row>
    <row r="106" spans="1:7" x14ac:dyDescent="0.3">
      <c r="A106" s="1">
        <v>102</v>
      </c>
      <c r="B106" s="1">
        <v>102</v>
      </c>
      <c r="C106" s="6">
        <v>48731</v>
      </c>
      <c r="D106" t="e">
        <f>#REF!</f>
        <v>#REF!</v>
      </c>
      <c r="F106" t="str">
        <f t="shared" si="6"/>
        <v>Q2</v>
      </c>
      <c r="G106" t="str">
        <f t="shared" si="7"/>
        <v>Q2_2033</v>
      </c>
    </row>
    <row r="107" spans="1:7" x14ac:dyDescent="0.3">
      <c r="A107" s="1">
        <v>103</v>
      </c>
      <c r="B107" s="1">
        <v>103</v>
      </c>
      <c r="C107" s="6">
        <v>48761</v>
      </c>
      <c r="D107" t="e">
        <f>#REF!</f>
        <v>#REF!</v>
      </c>
      <c r="F107" t="str">
        <f t="shared" si="6"/>
        <v>Q3</v>
      </c>
      <c r="G107" t="str">
        <f t="shared" si="7"/>
        <v>Q3_2033</v>
      </c>
    </row>
    <row r="108" spans="1:7" x14ac:dyDescent="0.3">
      <c r="A108" s="1">
        <v>104</v>
      </c>
      <c r="B108" s="1">
        <v>104</v>
      </c>
      <c r="C108" s="6">
        <v>48792</v>
      </c>
      <c r="D108" t="e">
        <f>#REF!</f>
        <v>#REF!</v>
      </c>
      <c r="F108" t="str">
        <f t="shared" si="6"/>
        <v>Q3</v>
      </c>
      <c r="G108" t="str">
        <f t="shared" si="7"/>
        <v>Q3_2033</v>
      </c>
    </row>
    <row r="109" spans="1:7" x14ac:dyDescent="0.3">
      <c r="A109" s="1">
        <v>105</v>
      </c>
      <c r="B109" s="1">
        <v>105</v>
      </c>
      <c r="C109" s="6">
        <v>48823</v>
      </c>
      <c r="D109" t="e">
        <f>#REF!</f>
        <v>#REF!</v>
      </c>
      <c r="F109" t="str">
        <f t="shared" si="6"/>
        <v>Q3</v>
      </c>
      <c r="G109" t="str">
        <f t="shared" si="7"/>
        <v>Q3_2033</v>
      </c>
    </row>
    <row r="110" spans="1:7" x14ac:dyDescent="0.3">
      <c r="A110" s="1">
        <v>106</v>
      </c>
      <c r="B110" s="1">
        <v>106</v>
      </c>
      <c r="C110" s="6">
        <v>48853</v>
      </c>
      <c r="D110" t="e">
        <f>#REF!</f>
        <v>#REF!</v>
      </c>
      <c r="F110" t="str">
        <f t="shared" si="6"/>
        <v>Q4</v>
      </c>
      <c r="G110" t="str">
        <f t="shared" si="7"/>
        <v>Q4_2033</v>
      </c>
    </row>
    <row r="111" spans="1:7" x14ac:dyDescent="0.3">
      <c r="A111" s="1">
        <v>107</v>
      </c>
      <c r="B111" s="1">
        <v>107</v>
      </c>
      <c r="C111" s="6">
        <v>48884</v>
      </c>
      <c r="D111" t="e">
        <f>#REF!</f>
        <v>#REF!</v>
      </c>
      <c r="F111" t="str">
        <f t="shared" si="6"/>
        <v>Q4</v>
      </c>
      <c r="G111" t="str">
        <f t="shared" si="7"/>
        <v>Q4_2033</v>
      </c>
    </row>
    <row r="112" spans="1:7" x14ac:dyDescent="0.3">
      <c r="A112" s="1">
        <v>108</v>
      </c>
      <c r="B112" s="1">
        <v>108</v>
      </c>
      <c r="C112" s="6">
        <v>48914</v>
      </c>
      <c r="D112" t="e">
        <f>#REF!</f>
        <v>#REF!</v>
      </c>
      <c r="F112" t="str">
        <f t="shared" si="6"/>
        <v>Q4</v>
      </c>
      <c r="G112" t="str">
        <f t="shared" si="7"/>
        <v>Q4_2033</v>
      </c>
    </row>
    <row r="113" spans="1:7" x14ac:dyDescent="0.3">
      <c r="A113" s="1">
        <v>109</v>
      </c>
      <c r="B113" s="1">
        <v>109</v>
      </c>
      <c r="C113" s="6">
        <v>48945</v>
      </c>
      <c r="D113" t="e">
        <f>#REF!</f>
        <v>#REF!</v>
      </c>
      <c r="F113" t="str">
        <f t="shared" si="6"/>
        <v>Q1</v>
      </c>
      <c r="G113" t="str">
        <f t="shared" si="7"/>
        <v>Q1_2034</v>
      </c>
    </row>
    <row r="114" spans="1:7" x14ac:dyDescent="0.3">
      <c r="A114" s="1">
        <v>110</v>
      </c>
      <c r="B114" s="1">
        <v>110</v>
      </c>
      <c r="C114" s="6">
        <v>48976</v>
      </c>
      <c r="D114" t="e">
        <f>#REF!</f>
        <v>#REF!</v>
      </c>
      <c r="F114" t="str">
        <f t="shared" si="6"/>
        <v>Q1</v>
      </c>
      <c r="G114" t="str">
        <f t="shared" si="7"/>
        <v>Q1_2034</v>
      </c>
    </row>
    <row r="115" spans="1:7" x14ac:dyDescent="0.3">
      <c r="A115" s="1">
        <v>111</v>
      </c>
      <c r="B115" s="1">
        <v>111</v>
      </c>
      <c r="C115" s="6">
        <v>49004</v>
      </c>
      <c r="D115" t="e">
        <f>#REF!</f>
        <v>#REF!</v>
      </c>
      <c r="F115" t="str">
        <f t="shared" si="6"/>
        <v>Q1</v>
      </c>
      <c r="G115" t="str">
        <f t="shared" si="7"/>
        <v>Q1_2034</v>
      </c>
    </row>
    <row r="116" spans="1:7" x14ac:dyDescent="0.3">
      <c r="A116" s="1">
        <v>112</v>
      </c>
      <c r="B116" s="1">
        <v>112</v>
      </c>
      <c r="C116" s="6">
        <v>49035</v>
      </c>
      <c r="D116" t="e">
        <f>#REF!</f>
        <v>#REF!</v>
      </c>
      <c r="F116" t="str">
        <f t="shared" si="6"/>
        <v>Q2</v>
      </c>
      <c r="G116" t="str">
        <f t="shared" si="7"/>
        <v>Q2_2034</v>
      </c>
    </row>
    <row r="117" spans="1:7" x14ac:dyDescent="0.3">
      <c r="A117" s="1">
        <v>113</v>
      </c>
      <c r="B117" s="1">
        <v>113</v>
      </c>
      <c r="C117" s="6">
        <v>49065</v>
      </c>
      <c r="D117" t="e">
        <f>#REF!</f>
        <v>#REF!</v>
      </c>
      <c r="F117" t="str">
        <f t="shared" si="6"/>
        <v>Q2</v>
      </c>
      <c r="G117" t="str">
        <f t="shared" si="7"/>
        <v>Q2_2034</v>
      </c>
    </row>
    <row r="118" spans="1:7" x14ac:dyDescent="0.3">
      <c r="A118" s="1">
        <v>114</v>
      </c>
      <c r="B118" s="1">
        <v>114</v>
      </c>
      <c r="C118" s="6">
        <v>49096</v>
      </c>
      <c r="D118" t="e">
        <f>#REF!</f>
        <v>#REF!</v>
      </c>
      <c r="F118" t="str">
        <f t="shared" si="6"/>
        <v>Q2</v>
      </c>
      <c r="G118" t="str">
        <f t="shared" si="7"/>
        <v>Q2_2034</v>
      </c>
    </row>
    <row r="119" spans="1:7" x14ac:dyDescent="0.3">
      <c r="A119" s="1">
        <v>115</v>
      </c>
      <c r="B119" s="1">
        <v>115</v>
      </c>
      <c r="C119" s="6">
        <v>49126</v>
      </c>
      <c r="D119" t="e">
        <f>#REF!</f>
        <v>#REF!</v>
      </c>
      <c r="F119" t="str">
        <f t="shared" si="6"/>
        <v>Q3</v>
      </c>
      <c r="G119" t="str">
        <f t="shared" si="7"/>
        <v>Q3_2034</v>
      </c>
    </row>
    <row r="120" spans="1:7" x14ac:dyDescent="0.3">
      <c r="A120" s="1">
        <v>116</v>
      </c>
      <c r="B120" s="1">
        <v>116</v>
      </c>
      <c r="C120" s="6">
        <v>49157</v>
      </c>
      <c r="D120" t="e">
        <f>#REF!</f>
        <v>#REF!</v>
      </c>
      <c r="F120" t="str">
        <f t="shared" si="6"/>
        <v>Q3</v>
      </c>
      <c r="G120" t="str">
        <f t="shared" si="7"/>
        <v>Q3_2034</v>
      </c>
    </row>
    <row r="121" spans="1:7" x14ac:dyDescent="0.3">
      <c r="A121" s="1">
        <v>117</v>
      </c>
      <c r="B121" s="1">
        <v>117</v>
      </c>
      <c r="C121" s="6">
        <v>49188</v>
      </c>
      <c r="D121" t="e">
        <f>#REF!</f>
        <v>#REF!</v>
      </c>
      <c r="F121" t="str">
        <f t="shared" si="6"/>
        <v>Q3</v>
      </c>
      <c r="G121" t="str">
        <f t="shared" si="7"/>
        <v>Q3_2034</v>
      </c>
    </row>
    <row r="122" spans="1:7" x14ac:dyDescent="0.3">
      <c r="A122" s="1">
        <v>118</v>
      </c>
      <c r="B122" s="1">
        <v>118</v>
      </c>
      <c r="C122" s="6">
        <v>49218</v>
      </c>
      <c r="D122" t="e">
        <f>#REF!</f>
        <v>#REF!</v>
      </c>
      <c r="F122" t="str">
        <f t="shared" si="6"/>
        <v>Q4</v>
      </c>
      <c r="G122" t="str">
        <f t="shared" si="7"/>
        <v>Q4_2034</v>
      </c>
    </row>
    <row r="123" spans="1:7" x14ac:dyDescent="0.3">
      <c r="A123" s="1">
        <v>119</v>
      </c>
      <c r="B123" s="1">
        <v>119</v>
      </c>
      <c r="C123" s="6">
        <v>49249</v>
      </c>
      <c r="D123" t="e">
        <f>#REF!</f>
        <v>#REF!</v>
      </c>
      <c r="F123" t="str">
        <f t="shared" si="6"/>
        <v>Q4</v>
      </c>
      <c r="G123" t="str">
        <f t="shared" si="7"/>
        <v>Q4_2034</v>
      </c>
    </row>
    <row r="124" spans="1:7" x14ac:dyDescent="0.3">
      <c r="A124" s="1">
        <v>120</v>
      </c>
      <c r="B124" s="1">
        <v>120</v>
      </c>
      <c r="C124" s="6">
        <v>49279</v>
      </c>
      <c r="D124" s="9" t="e">
        <f>#REF!</f>
        <v>#REF!</v>
      </c>
      <c r="F124" t="str">
        <f t="shared" si="6"/>
        <v>Q4</v>
      </c>
      <c r="G124" t="str">
        <f t="shared" si="7"/>
        <v>Q4_2034</v>
      </c>
    </row>
    <row r="125" spans="1:7" x14ac:dyDescent="0.3">
      <c r="B125" s="1">
        <v>121</v>
      </c>
      <c r="C125" s="6">
        <v>49310</v>
      </c>
      <c r="D125" s="10" t="e">
        <f>#REF!</f>
        <v>#REF!</v>
      </c>
      <c r="F125" t="str">
        <f t="shared" si="6"/>
        <v>Q1</v>
      </c>
      <c r="G125" t="str">
        <f t="shared" si="7"/>
        <v>Q1_2035</v>
      </c>
    </row>
    <row r="126" spans="1:7" x14ac:dyDescent="0.3">
      <c r="B126" s="1">
        <v>122</v>
      </c>
      <c r="C126" s="6">
        <v>49341</v>
      </c>
      <c r="D126" t="e">
        <f>#REF!</f>
        <v>#REF!</v>
      </c>
      <c r="F126" t="str">
        <f t="shared" si="6"/>
        <v>Q1</v>
      </c>
      <c r="G126" t="str">
        <f t="shared" si="7"/>
        <v>Q1_2035</v>
      </c>
    </row>
    <row r="127" spans="1:7" x14ac:dyDescent="0.3">
      <c r="B127" s="1">
        <v>123</v>
      </c>
      <c r="C127" s="6">
        <v>49369</v>
      </c>
      <c r="D127" t="e">
        <f>#REF!</f>
        <v>#REF!</v>
      </c>
      <c r="F127" t="str">
        <f t="shared" si="6"/>
        <v>Q1</v>
      </c>
      <c r="G127" t="str">
        <f t="shared" si="7"/>
        <v>Q1_2035</v>
      </c>
    </row>
    <row r="128" spans="1:7" x14ac:dyDescent="0.3">
      <c r="B128" s="1">
        <v>124</v>
      </c>
      <c r="C128" s="6">
        <v>49400</v>
      </c>
      <c r="D128" t="e">
        <f>#REF!</f>
        <v>#REF!</v>
      </c>
      <c r="F128" t="str">
        <f t="shared" si="6"/>
        <v>Q2</v>
      </c>
      <c r="G128" t="str">
        <f t="shared" si="7"/>
        <v>Q2_2035</v>
      </c>
    </row>
    <row r="129" spans="2:7" x14ac:dyDescent="0.3">
      <c r="B129" s="1">
        <v>125</v>
      </c>
      <c r="C129" s="6">
        <v>49430</v>
      </c>
      <c r="D129" t="e">
        <f>#REF!</f>
        <v>#REF!</v>
      </c>
      <c r="F129" t="str">
        <f t="shared" si="6"/>
        <v>Q2</v>
      </c>
      <c r="G129" t="str">
        <f t="shared" si="7"/>
        <v>Q2_2035</v>
      </c>
    </row>
    <row r="130" spans="2:7" x14ac:dyDescent="0.3">
      <c r="B130" s="1">
        <v>126</v>
      </c>
      <c r="C130" s="6">
        <v>49461</v>
      </c>
      <c r="D130" t="e">
        <f>#REF!</f>
        <v>#REF!</v>
      </c>
      <c r="F130" t="str">
        <f t="shared" si="6"/>
        <v>Q2</v>
      </c>
      <c r="G130" t="str">
        <f t="shared" si="7"/>
        <v>Q2_2035</v>
      </c>
    </row>
    <row r="131" spans="2:7" x14ac:dyDescent="0.3">
      <c r="B131" s="1">
        <v>127</v>
      </c>
      <c r="C131" s="6">
        <v>49491</v>
      </c>
      <c r="D131" t="e">
        <f>#REF!</f>
        <v>#REF!</v>
      </c>
      <c r="F131" t="str">
        <f t="shared" si="6"/>
        <v>Q3</v>
      </c>
      <c r="G131" t="str">
        <f t="shared" si="7"/>
        <v>Q3_2035</v>
      </c>
    </row>
    <row r="132" spans="2:7" x14ac:dyDescent="0.3">
      <c r="B132" s="1">
        <v>128</v>
      </c>
      <c r="C132" s="6">
        <v>49522</v>
      </c>
      <c r="D132" t="e">
        <f>#REF!</f>
        <v>#REF!</v>
      </c>
      <c r="F132" t="str">
        <f t="shared" si="6"/>
        <v>Q3</v>
      </c>
      <c r="G132" t="str">
        <f t="shared" si="7"/>
        <v>Q3_2035</v>
      </c>
    </row>
    <row r="133" spans="2:7" x14ac:dyDescent="0.3">
      <c r="B133" s="1">
        <v>129</v>
      </c>
      <c r="C133" s="6">
        <v>49553</v>
      </c>
      <c r="D133" t="e">
        <f>#REF!</f>
        <v>#REF!</v>
      </c>
      <c r="F133" t="str">
        <f t="shared" ref="F133:F196" si="10">"Q"&amp;ROUNDUP(MONTH(C133)/3,0)</f>
        <v>Q3</v>
      </c>
      <c r="G133" t="str">
        <f t="shared" ref="G133:G196" si="11">"Q"&amp;ROUNDUP(MONTH(C133)/3,0)&amp;"_"&amp;YEAR(C133)</f>
        <v>Q3_2035</v>
      </c>
    </row>
    <row r="134" spans="2:7" x14ac:dyDescent="0.3">
      <c r="B134" s="1">
        <v>130</v>
      </c>
      <c r="C134" s="6">
        <v>49583</v>
      </c>
      <c r="D134" t="e">
        <f>#REF!</f>
        <v>#REF!</v>
      </c>
      <c r="F134" t="str">
        <f t="shared" si="10"/>
        <v>Q4</v>
      </c>
      <c r="G134" t="str">
        <f t="shared" si="11"/>
        <v>Q4_2035</v>
      </c>
    </row>
    <row r="135" spans="2:7" x14ac:dyDescent="0.3">
      <c r="B135" s="1">
        <v>131</v>
      </c>
      <c r="C135" s="6">
        <v>49614</v>
      </c>
      <c r="D135" t="e">
        <f>#REF!</f>
        <v>#REF!</v>
      </c>
      <c r="F135" t="str">
        <f t="shared" si="10"/>
        <v>Q4</v>
      </c>
      <c r="G135" t="str">
        <f t="shared" si="11"/>
        <v>Q4_2035</v>
      </c>
    </row>
    <row r="136" spans="2:7" x14ac:dyDescent="0.3">
      <c r="B136" s="1">
        <v>132</v>
      </c>
      <c r="C136" s="6">
        <v>49644</v>
      </c>
      <c r="D136" t="e">
        <f>#REF!</f>
        <v>#REF!</v>
      </c>
      <c r="F136" t="str">
        <f t="shared" si="10"/>
        <v>Q4</v>
      </c>
      <c r="G136" t="str">
        <f t="shared" si="11"/>
        <v>Q4_2035</v>
      </c>
    </row>
    <row r="137" spans="2:7" x14ac:dyDescent="0.3">
      <c r="B137" s="1">
        <v>133</v>
      </c>
      <c r="C137" s="6">
        <v>49675</v>
      </c>
      <c r="D137" t="e">
        <f>#REF!</f>
        <v>#REF!</v>
      </c>
      <c r="F137" t="str">
        <f t="shared" si="10"/>
        <v>Q1</v>
      </c>
      <c r="G137" t="str">
        <f t="shared" si="11"/>
        <v>Q1_2036</v>
      </c>
    </row>
    <row r="138" spans="2:7" x14ac:dyDescent="0.3">
      <c r="B138" s="1">
        <v>134</v>
      </c>
      <c r="C138" s="6">
        <v>49706</v>
      </c>
      <c r="D138" t="e">
        <f>#REF!</f>
        <v>#REF!</v>
      </c>
      <c r="F138" t="str">
        <f t="shared" si="10"/>
        <v>Q1</v>
      </c>
      <c r="G138" t="str">
        <f t="shared" si="11"/>
        <v>Q1_2036</v>
      </c>
    </row>
    <row r="139" spans="2:7" x14ac:dyDescent="0.3">
      <c r="B139" s="1">
        <v>135</v>
      </c>
      <c r="C139" s="6">
        <v>49735</v>
      </c>
      <c r="D139" t="e">
        <f>#REF!</f>
        <v>#REF!</v>
      </c>
      <c r="F139" t="str">
        <f t="shared" si="10"/>
        <v>Q1</v>
      </c>
      <c r="G139" t="str">
        <f t="shared" si="11"/>
        <v>Q1_2036</v>
      </c>
    </row>
    <row r="140" spans="2:7" x14ac:dyDescent="0.3">
      <c r="B140" s="1">
        <v>136</v>
      </c>
      <c r="C140" s="6">
        <v>49766</v>
      </c>
      <c r="D140" t="e">
        <f>#REF!</f>
        <v>#REF!</v>
      </c>
      <c r="F140" t="str">
        <f t="shared" si="10"/>
        <v>Q2</v>
      </c>
      <c r="G140" t="str">
        <f t="shared" si="11"/>
        <v>Q2_2036</v>
      </c>
    </row>
    <row r="141" spans="2:7" x14ac:dyDescent="0.3">
      <c r="B141" s="1">
        <v>137</v>
      </c>
      <c r="C141" s="6">
        <v>49796</v>
      </c>
      <c r="D141" t="e">
        <f>#REF!</f>
        <v>#REF!</v>
      </c>
      <c r="F141" t="str">
        <f t="shared" si="10"/>
        <v>Q2</v>
      </c>
      <c r="G141" t="str">
        <f t="shared" si="11"/>
        <v>Q2_2036</v>
      </c>
    </row>
    <row r="142" spans="2:7" x14ac:dyDescent="0.3">
      <c r="B142" s="1">
        <v>138</v>
      </c>
      <c r="C142" s="6">
        <v>49827</v>
      </c>
      <c r="D142" t="e">
        <f>#REF!</f>
        <v>#REF!</v>
      </c>
      <c r="F142" t="str">
        <f t="shared" si="10"/>
        <v>Q2</v>
      </c>
      <c r="G142" t="str">
        <f t="shared" si="11"/>
        <v>Q2_2036</v>
      </c>
    </row>
    <row r="143" spans="2:7" x14ac:dyDescent="0.3">
      <c r="B143" s="1">
        <v>139</v>
      </c>
      <c r="C143" s="6">
        <v>49857</v>
      </c>
      <c r="D143" t="e">
        <f>#REF!</f>
        <v>#REF!</v>
      </c>
      <c r="F143" t="str">
        <f t="shared" si="10"/>
        <v>Q3</v>
      </c>
      <c r="G143" t="str">
        <f t="shared" si="11"/>
        <v>Q3_2036</v>
      </c>
    </row>
    <row r="144" spans="2:7" x14ac:dyDescent="0.3">
      <c r="B144" s="1">
        <v>140</v>
      </c>
      <c r="C144" s="6">
        <v>49888</v>
      </c>
      <c r="D144" t="e">
        <f>#REF!</f>
        <v>#REF!</v>
      </c>
      <c r="F144" t="str">
        <f t="shared" si="10"/>
        <v>Q3</v>
      </c>
      <c r="G144" t="str">
        <f t="shared" si="11"/>
        <v>Q3_2036</v>
      </c>
    </row>
    <row r="145" spans="2:7" x14ac:dyDescent="0.3">
      <c r="B145" s="1">
        <v>141</v>
      </c>
      <c r="C145" s="6">
        <v>49919</v>
      </c>
      <c r="D145" t="e">
        <f>#REF!</f>
        <v>#REF!</v>
      </c>
      <c r="F145" t="str">
        <f t="shared" si="10"/>
        <v>Q3</v>
      </c>
      <c r="G145" t="str">
        <f t="shared" si="11"/>
        <v>Q3_2036</v>
      </c>
    </row>
    <row r="146" spans="2:7" x14ac:dyDescent="0.3">
      <c r="B146" s="1">
        <v>142</v>
      </c>
      <c r="C146" s="6">
        <v>49949</v>
      </c>
      <c r="D146" t="e">
        <f>#REF!</f>
        <v>#REF!</v>
      </c>
      <c r="F146" t="str">
        <f t="shared" si="10"/>
        <v>Q4</v>
      </c>
      <c r="G146" t="str">
        <f t="shared" si="11"/>
        <v>Q4_2036</v>
      </c>
    </row>
    <row r="147" spans="2:7" x14ac:dyDescent="0.3">
      <c r="B147" s="1">
        <v>143</v>
      </c>
      <c r="C147" s="6">
        <v>49980</v>
      </c>
      <c r="D147" t="e">
        <f>#REF!</f>
        <v>#REF!</v>
      </c>
      <c r="F147" t="str">
        <f t="shared" si="10"/>
        <v>Q4</v>
      </c>
      <c r="G147" t="str">
        <f t="shared" si="11"/>
        <v>Q4_2036</v>
      </c>
    </row>
    <row r="148" spans="2:7" x14ac:dyDescent="0.3">
      <c r="B148" s="1">
        <v>144</v>
      </c>
      <c r="C148" s="6">
        <v>50010</v>
      </c>
      <c r="D148" t="e">
        <f>#REF!</f>
        <v>#REF!</v>
      </c>
      <c r="F148" t="str">
        <f t="shared" si="10"/>
        <v>Q4</v>
      </c>
      <c r="G148" t="str">
        <f t="shared" si="11"/>
        <v>Q4_2036</v>
      </c>
    </row>
    <row r="149" spans="2:7" x14ac:dyDescent="0.3">
      <c r="B149" s="1">
        <v>145</v>
      </c>
      <c r="C149" s="6">
        <v>50041</v>
      </c>
      <c r="D149" t="e">
        <f>#REF!</f>
        <v>#REF!</v>
      </c>
      <c r="F149" t="str">
        <f t="shared" si="10"/>
        <v>Q1</v>
      </c>
      <c r="G149" t="str">
        <f t="shared" si="11"/>
        <v>Q1_2037</v>
      </c>
    </row>
    <row r="150" spans="2:7" x14ac:dyDescent="0.3">
      <c r="B150" s="1">
        <v>146</v>
      </c>
      <c r="C150" s="6">
        <v>50072</v>
      </c>
      <c r="D150" t="e">
        <f>#REF!</f>
        <v>#REF!</v>
      </c>
      <c r="F150" t="str">
        <f t="shared" si="10"/>
        <v>Q1</v>
      </c>
      <c r="G150" t="str">
        <f t="shared" si="11"/>
        <v>Q1_2037</v>
      </c>
    </row>
    <row r="151" spans="2:7" x14ac:dyDescent="0.3">
      <c r="B151" s="1">
        <v>147</v>
      </c>
      <c r="C151" s="6">
        <v>50100</v>
      </c>
      <c r="D151" t="e">
        <f>#REF!</f>
        <v>#REF!</v>
      </c>
      <c r="F151" t="str">
        <f t="shared" si="10"/>
        <v>Q1</v>
      </c>
      <c r="G151" t="str">
        <f t="shared" si="11"/>
        <v>Q1_2037</v>
      </c>
    </row>
    <row r="152" spans="2:7" x14ac:dyDescent="0.3">
      <c r="B152" s="1">
        <v>148</v>
      </c>
      <c r="C152" s="6">
        <v>50131</v>
      </c>
      <c r="D152" t="e">
        <f>#REF!</f>
        <v>#REF!</v>
      </c>
      <c r="F152" t="str">
        <f t="shared" si="10"/>
        <v>Q2</v>
      </c>
      <c r="G152" t="str">
        <f t="shared" si="11"/>
        <v>Q2_2037</v>
      </c>
    </row>
    <row r="153" spans="2:7" x14ac:dyDescent="0.3">
      <c r="B153" s="1">
        <v>149</v>
      </c>
      <c r="C153" s="6">
        <v>50161</v>
      </c>
      <c r="D153" t="e">
        <f>#REF!</f>
        <v>#REF!</v>
      </c>
      <c r="F153" t="str">
        <f t="shared" si="10"/>
        <v>Q2</v>
      </c>
      <c r="G153" t="str">
        <f t="shared" si="11"/>
        <v>Q2_2037</v>
      </c>
    </row>
    <row r="154" spans="2:7" x14ac:dyDescent="0.3">
      <c r="B154" s="1">
        <v>150</v>
      </c>
      <c r="C154" s="6">
        <v>50192</v>
      </c>
      <c r="D154" t="e">
        <f>#REF!</f>
        <v>#REF!</v>
      </c>
      <c r="F154" t="str">
        <f t="shared" si="10"/>
        <v>Q2</v>
      </c>
      <c r="G154" t="str">
        <f t="shared" si="11"/>
        <v>Q2_2037</v>
      </c>
    </row>
    <row r="155" spans="2:7" x14ac:dyDescent="0.3">
      <c r="B155" s="1">
        <v>151</v>
      </c>
      <c r="C155" s="6">
        <v>50222</v>
      </c>
      <c r="D155" t="e">
        <f>#REF!</f>
        <v>#REF!</v>
      </c>
      <c r="F155" t="str">
        <f t="shared" si="10"/>
        <v>Q3</v>
      </c>
      <c r="G155" t="str">
        <f t="shared" si="11"/>
        <v>Q3_2037</v>
      </c>
    </row>
    <row r="156" spans="2:7" x14ac:dyDescent="0.3">
      <c r="B156" s="1">
        <v>152</v>
      </c>
      <c r="C156" s="6">
        <v>50253</v>
      </c>
      <c r="D156" t="e">
        <f>#REF!</f>
        <v>#REF!</v>
      </c>
      <c r="F156" t="str">
        <f t="shared" si="10"/>
        <v>Q3</v>
      </c>
      <c r="G156" t="str">
        <f t="shared" si="11"/>
        <v>Q3_2037</v>
      </c>
    </row>
    <row r="157" spans="2:7" x14ac:dyDescent="0.3">
      <c r="B157" s="1">
        <v>153</v>
      </c>
      <c r="C157" s="6">
        <v>50284</v>
      </c>
      <c r="D157" t="e">
        <f>#REF!</f>
        <v>#REF!</v>
      </c>
      <c r="F157" t="str">
        <f t="shared" si="10"/>
        <v>Q3</v>
      </c>
      <c r="G157" t="str">
        <f t="shared" si="11"/>
        <v>Q3_2037</v>
      </c>
    </row>
    <row r="158" spans="2:7" x14ac:dyDescent="0.3">
      <c r="B158" s="1">
        <v>154</v>
      </c>
      <c r="C158" s="6">
        <v>50314</v>
      </c>
      <c r="D158" t="e">
        <f>#REF!</f>
        <v>#REF!</v>
      </c>
      <c r="F158" t="str">
        <f t="shared" si="10"/>
        <v>Q4</v>
      </c>
      <c r="G158" t="str">
        <f t="shared" si="11"/>
        <v>Q4_2037</v>
      </c>
    </row>
    <row r="159" spans="2:7" x14ac:dyDescent="0.3">
      <c r="B159" s="1">
        <v>155</v>
      </c>
      <c r="C159" s="6">
        <v>50345</v>
      </c>
      <c r="D159" t="e">
        <f>#REF!</f>
        <v>#REF!</v>
      </c>
      <c r="F159" t="str">
        <f t="shared" si="10"/>
        <v>Q4</v>
      </c>
      <c r="G159" t="str">
        <f t="shared" si="11"/>
        <v>Q4_2037</v>
      </c>
    </row>
    <row r="160" spans="2:7" x14ac:dyDescent="0.3">
      <c r="B160" s="1">
        <v>156</v>
      </c>
      <c r="C160" s="6">
        <v>50375</v>
      </c>
      <c r="D160" t="e">
        <f>#REF!</f>
        <v>#REF!</v>
      </c>
      <c r="F160" t="str">
        <f t="shared" si="10"/>
        <v>Q4</v>
      </c>
      <c r="G160" t="str">
        <f t="shared" si="11"/>
        <v>Q4_2037</v>
      </c>
    </row>
    <row r="161" spans="2:7" x14ac:dyDescent="0.3">
      <c r="B161" s="1">
        <v>157</v>
      </c>
      <c r="C161" s="6">
        <v>50406</v>
      </c>
      <c r="D161" t="e">
        <f>#REF!</f>
        <v>#REF!</v>
      </c>
      <c r="F161" t="str">
        <f t="shared" si="10"/>
        <v>Q1</v>
      </c>
      <c r="G161" t="str">
        <f t="shared" si="11"/>
        <v>Q1_2038</v>
      </c>
    </row>
    <row r="162" spans="2:7" x14ac:dyDescent="0.3">
      <c r="B162" s="1">
        <v>158</v>
      </c>
      <c r="C162" s="6">
        <v>50437</v>
      </c>
      <c r="D162" t="e">
        <f>#REF!</f>
        <v>#REF!</v>
      </c>
      <c r="F162" t="str">
        <f t="shared" si="10"/>
        <v>Q1</v>
      </c>
      <c r="G162" t="str">
        <f t="shared" si="11"/>
        <v>Q1_2038</v>
      </c>
    </row>
    <row r="163" spans="2:7" x14ac:dyDescent="0.3">
      <c r="B163" s="1">
        <v>159</v>
      </c>
      <c r="C163" s="6">
        <v>50465</v>
      </c>
      <c r="D163" t="e">
        <f>#REF!</f>
        <v>#REF!</v>
      </c>
      <c r="F163" t="str">
        <f t="shared" si="10"/>
        <v>Q1</v>
      </c>
      <c r="G163" t="str">
        <f t="shared" si="11"/>
        <v>Q1_2038</v>
      </c>
    </row>
    <row r="164" spans="2:7" x14ac:dyDescent="0.3">
      <c r="B164" s="1">
        <v>160</v>
      </c>
      <c r="C164" s="6">
        <v>50496</v>
      </c>
      <c r="D164" t="e">
        <f>#REF!</f>
        <v>#REF!</v>
      </c>
      <c r="F164" t="str">
        <f t="shared" si="10"/>
        <v>Q2</v>
      </c>
      <c r="G164" t="str">
        <f t="shared" si="11"/>
        <v>Q2_2038</v>
      </c>
    </row>
    <row r="165" spans="2:7" x14ac:dyDescent="0.3">
      <c r="B165" s="1">
        <v>161</v>
      </c>
      <c r="C165" s="6">
        <v>50526</v>
      </c>
      <c r="D165" t="e">
        <f>#REF!</f>
        <v>#REF!</v>
      </c>
      <c r="F165" t="str">
        <f t="shared" si="10"/>
        <v>Q2</v>
      </c>
      <c r="G165" t="str">
        <f t="shared" si="11"/>
        <v>Q2_2038</v>
      </c>
    </row>
    <row r="166" spans="2:7" x14ac:dyDescent="0.3">
      <c r="B166" s="1">
        <v>162</v>
      </c>
      <c r="C166" s="6">
        <v>50557</v>
      </c>
      <c r="D166" t="e">
        <f>#REF!</f>
        <v>#REF!</v>
      </c>
      <c r="F166" t="str">
        <f t="shared" si="10"/>
        <v>Q2</v>
      </c>
      <c r="G166" t="str">
        <f t="shared" si="11"/>
        <v>Q2_2038</v>
      </c>
    </row>
    <row r="167" spans="2:7" x14ac:dyDescent="0.3">
      <c r="B167" s="1">
        <v>163</v>
      </c>
      <c r="C167" s="6">
        <v>50587</v>
      </c>
      <c r="D167" t="e">
        <f>#REF!</f>
        <v>#REF!</v>
      </c>
      <c r="F167" t="str">
        <f t="shared" si="10"/>
        <v>Q3</v>
      </c>
      <c r="G167" t="str">
        <f t="shared" si="11"/>
        <v>Q3_2038</v>
      </c>
    </row>
    <row r="168" spans="2:7" x14ac:dyDescent="0.3">
      <c r="B168" s="1">
        <v>164</v>
      </c>
      <c r="C168" s="6">
        <v>50618</v>
      </c>
      <c r="D168" t="e">
        <f>#REF!</f>
        <v>#REF!</v>
      </c>
      <c r="F168" t="str">
        <f t="shared" si="10"/>
        <v>Q3</v>
      </c>
      <c r="G168" t="str">
        <f t="shared" si="11"/>
        <v>Q3_2038</v>
      </c>
    </row>
    <row r="169" spans="2:7" x14ac:dyDescent="0.3">
      <c r="B169" s="1">
        <v>165</v>
      </c>
      <c r="C169" s="6">
        <v>50649</v>
      </c>
      <c r="D169" t="e">
        <f>#REF!</f>
        <v>#REF!</v>
      </c>
      <c r="F169" t="str">
        <f t="shared" si="10"/>
        <v>Q3</v>
      </c>
      <c r="G169" t="str">
        <f t="shared" si="11"/>
        <v>Q3_2038</v>
      </c>
    </row>
    <row r="170" spans="2:7" x14ac:dyDescent="0.3">
      <c r="B170" s="1">
        <v>166</v>
      </c>
      <c r="C170" s="6">
        <v>50679</v>
      </c>
      <c r="D170" t="e">
        <f>#REF!</f>
        <v>#REF!</v>
      </c>
      <c r="F170" t="str">
        <f t="shared" si="10"/>
        <v>Q4</v>
      </c>
      <c r="G170" t="str">
        <f t="shared" si="11"/>
        <v>Q4_2038</v>
      </c>
    </row>
    <row r="171" spans="2:7" x14ac:dyDescent="0.3">
      <c r="B171" s="1">
        <v>167</v>
      </c>
      <c r="C171" s="6">
        <v>50710</v>
      </c>
      <c r="D171" t="e">
        <f>#REF!</f>
        <v>#REF!</v>
      </c>
      <c r="F171" t="str">
        <f t="shared" si="10"/>
        <v>Q4</v>
      </c>
      <c r="G171" t="str">
        <f t="shared" si="11"/>
        <v>Q4_2038</v>
      </c>
    </row>
    <row r="172" spans="2:7" x14ac:dyDescent="0.3">
      <c r="B172" s="1">
        <v>168</v>
      </c>
      <c r="C172" s="6">
        <v>50740</v>
      </c>
      <c r="D172" t="e">
        <f>#REF!</f>
        <v>#REF!</v>
      </c>
      <c r="F172" t="str">
        <f t="shared" si="10"/>
        <v>Q4</v>
      </c>
      <c r="G172" t="str">
        <f t="shared" si="11"/>
        <v>Q4_2038</v>
      </c>
    </row>
    <row r="173" spans="2:7" x14ac:dyDescent="0.3">
      <c r="B173" s="1">
        <v>169</v>
      </c>
      <c r="C173" s="6">
        <v>50771</v>
      </c>
      <c r="D173" t="e">
        <f>#REF!</f>
        <v>#REF!</v>
      </c>
      <c r="F173" t="str">
        <f t="shared" si="10"/>
        <v>Q1</v>
      </c>
      <c r="G173" t="str">
        <f t="shared" si="11"/>
        <v>Q1_2039</v>
      </c>
    </row>
    <row r="174" spans="2:7" x14ac:dyDescent="0.3">
      <c r="B174" s="1">
        <v>170</v>
      </c>
      <c r="C174" s="6">
        <v>50802</v>
      </c>
      <c r="D174" t="e">
        <f>#REF!</f>
        <v>#REF!</v>
      </c>
      <c r="F174" t="str">
        <f t="shared" si="10"/>
        <v>Q1</v>
      </c>
      <c r="G174" t="str">
        <f t="shared" si="11"/>
        <v>Q1_2039</v>
      </c>
    </row>
    <row r="175" spans="2:7" x14ac:dyDescent="0.3">
      <c r="B175" s="1">
        <v>171</v>
      </c>
      <c r="C175" s="6">
        <v>50830</v>
      </c>
      <c r="D175" t="e">
        <f>#REF!</f>
        <v>#REF!</v>
      </c>
      <c r="F175" t="str">
        <f t="shared" si="10"/>
        <v>Q1</v>
      </c>
      <c r="G175" t="str">
        <f t="shared" si="11"/>
        <v>Q1_2039</v>
      </c>
    </row>
    <row r="176" spans="2:7" x14ac:dyDescent="0.3">
      <c r="B176" s="1">
        <v>172</v>
      </c>
      <c r="C176" s="6">
        <v>50861</v>
      </c>
      <c r="D176" t="e">
        <f>#REF!</f>
        <v>#REF!</v>
      </c>
      <c r="F176" t="str">
        <f t="shared" si="10"/>
        <v>Q2</v>
      </c>
      <c r="G176" t="str">
        <f t="shared" si="11"/>
        <v>Q2_2039</v>
      </c>
    </row>
    <row r="177" spans="2:7" x14ac:dyDescent="0.3">
      <c r="B177" s="1">
        <v>173</v>
      </c>
      <c r="C177" s="6">
        <v>50891</v>
      </c>
      <c r="D177" t="e">
        <f>#REF!</f>
        <v>#REF!</v>
      </c>
      <c r="F177" t="str">
        <f t="shared" si="10"/>
        <v>Q2</v>
      </c>
      <c r="G177" t="str">
        <f t="shared" si="11"/>
        <v>Q2_2039</v>
      </c>
    </row>
    <row r="178" spans="2:7" x14ac:dyDescent="0.3">
      <c r="B178" s="1">
        <v>174</v>
      </c>
      <c r="C178" s="6">
        <v>50922</v>
      </c>
      <c r="D178" t="e">
        <f>#REF!</f>
        <v>#REF!</v>
      </c>
      <c r="F178" t="str">
        <f t="shared" si="10"/>
        <v>Q2</v>
      </c>
      <c r="G178" t="str">
        <f t="shared" si="11"/>
        <v>Q2_2039</v>
      </c>
    </row>
    <row r="179" spans="2:7" x14ac:dyDescent="0.3">
      <c r="B179" s="1">
        <v>175</v>
      </c>
      <c r="C179" s="6">
        <v>50952</v>
      </c>
      <c r="D179" t="e">
        <f>#REF!</f>
        <v>#REF!</v>
      </c>
      <c r="F179" t="str">
        <f t="shared" si="10"/>
        <v>Q3</v>
      </c>
      <c r="G179" t="str">
        <f t="shared" si="11"/>
        <v>Q3_2039</v>
      </c>
    </row>
    <row r="180" spans="2:7" x14ac:dyDescent="0.3">
      <c r="B180" s="1">
        <v>176</v>
      </c>
      <c r="C180" s="6">
        <v>50983</v>
      </c>
      <c r="D180" t="e">
        <f>#REF!</f>
        <v>#REF!</v>
      </c>
      <c r="F180" t="str">
        <f t="shared" si="10"/>
        <v>Q3</v>
      </c>
      <c r="G180" t="str">
        <f t="shared" si="11"/>
        <v>Q3_2039</v>
      </c>
    </row>
    <row r="181" spans="2:7" x14ac:dyDescent="0.3">
      <c r="B181" s="1">
        <v>177</v>
      </c>
      <c r="C181" s="6">
        <v>51014</v>
      </c>
      <c r="D181" t="e">
        <f>#REF!</f>
        <v>#REF!</v>
      </c>
      <c r="F181" t="str">
        <f t="shared" si="10"/>
        <v>Q3</v>
      </c>
      <c r="G181" t="str">
        <f t="shared" si="11"/>
        <v>Q3_2039</v>
      </c>
    </row>
    <row r="182" spans="2:7" x14ac:dyDescent="0.3">
      <c r="B182" s="1">
        <v>178</v>
      </c>
      <c r="C182" s="6">
        <v>51044</v>
      </c>
      <c r="D182" t="e">
        <f>#REF!</f>
        <v>#REF!</v>
      </c>
      <c r="F182" t="str">
        <f t="shared" si="10"/>
        <v>Q4</v>
      </c>
      <c r="G182" t="str">
        <f t="shared" si="11"/>
        <v>Q4_2039</v>
      </c>
    </row>
    <row r="183" spans="2:7" x14ac:dyDescent="0.3">
      <c r="B183" s="1">
        <v>179</v>
      </c>
      <c r="C183" s="6">
        <v>51075</v>
      </c>
      <c r="D183" t="e">
        <f>#REF!</f>
        <v>#REF!</v>
      </c>
      <c r="F183" t="str">
        <f t="shared" si="10"/>
        <v>Q4</v>
      </c>
      <c r="G183" t="str">
        <f t="shared" si="11"/>
        <v>Q4_2039</v>
      </c>
    </row>
    <row r="184" spans="2:7" x14ac:dyDescent="0.3">
      <c r="B184" s="1">
        <v>180</v>
      </c>
      <c r="C184" s="6">
        <v>51105</v>
      </c>
      <c r="D184" t="e">
        <f>#REF!</f>
        <v>#REF!</v>
      </c>
      <c r="F184" t="str">
        <f t="shared" si="10"/>
        <v>Q4</v>
      </c>
      <c r="G184" t="str">
        <f t="shared" si="11"/>
        <v>Q4_2039</v>
      </c>
    </row>
    <row r="185" spans="2:7" x14ac:dyDescent="0.3">
      <c r="B185" s="1">
        <v>181</v>
      </c>
      <c r="C185" s="6">
        <v>51136</v>
      </c>
      <c r="D185" t="e">
        <f>#REF!</f>
        <v>#REF!</v>
      </c>
      <c r="F185" t="str">
        <f t="shared" si="10"/>
        <v>Q1</v>
      </c>
      <c r="G185" t="str">
        <f t="shared" si="11"/>
        <v>Q1_2040</v>
      </c>
    </row>
    <row r="186" spans="2:7" x14ac:dyDescent="0.3">
      <c r="B186" s="1">
        <v>182</v>
      </c>
      <c r="C186" s="6">
        <v>51167</v>
      </c>
      <c r="D186" t="e">
        <f>#REF!</f>
        <v>#REF!</v>
      </c>
      <c r="F186" t="str">
        <f t="shared" si="10"/>
        <v>Q1</v>
      </c>
      <c r="G186" t="str">
        <f t="shared" si="11"/>
        <v>Q1_2040</v>
      </c>
    </row>
    <row r="187" spans="2:7" x14ac:dyDescent="0.3">
      <c r="B187" s="1">
        <v>183</v>
      </c>
      <c r="C187" s="6">
        <v>51196</v>
      </c>
      <c r="D187" t="e">
        <f>#REF!</f>
        <v>#REF!</v>
      </c>
      <c r="F187" t="str">
        <f t="shared" si="10"/>
        <v>Q1</v>
      </c>
      <c r="G187" t="str">
        <f t="shared" si="11"/>
        <v>Q1_2040</v>
      </c>
    </row>
    <row r="188" spans="2:7" x14ac:dyDescent="0.3">
      <c r="B188" s="1">
        <v>184</v>
      </c>
      <c r="C188" s="6">
        <v>51227</v>
      </c>
      <c r="D188" t="e">
        <f>#REF!</f>
        <v>#REF!</v>
      </c>
      <c r="F188" t="str">
        <f t="shared" si="10"/>
        <v>Q2</v>
      </c>
      <c r="G188" t="str">
        <f t="shared" si="11"/>
        <v>Q2_2040</v>
      </c>
    </row>
    <row r="189" spans="2:7" x14ac:dyDescent="0.3">
      <c r="B189" s="1">
        <v>185</v>
      </c>
      <c r="C189" s="6">
        <v>51257</v>
      </c>
      <c r="D189" t="e">
        <f>#REF!</f>
        <v>#REF!</v>
      </c>
      <c r="F189" t="str">
        <f t="shared" si="10"/>
        <v>Q2</v>
      </c>
      <c r="G189" t="str">
        <f t="shared" si="11"/>
        <v>Q2_2040</v>
      </c>
    </row>
    <row r="190" spans="2:7" x14ac:dyDescent="0.3">
      <c r="B190" s="1">
        <v>186</v>
      </c>
      <c r="C190" s="6">
        <v>51288</v>
      </c>
      <c r="D190" t="e">
        <f>#REF!</f>
        <v>#REF!</v>
      </c>
      <c r="F190" t="str">
        <f t="shared" si="10"/>
        <v>Q2</v>
      </c>
      <c r="G190" t="str">
        <f t="shared" si="11"/>
        <v>Q2_2040</v>
      </c>
    </row>
    <row r="191" spans="2:7" x14ac:dyDescent="0.3">
      <c r="B191" s="1">
        <v>187</v>
      </c>
      <c r="C191" s="6">
        <v>51318</v>
      </c>
      <c r="D191" t="e">
        <f>#REF!</f>
        <v>#REF!</v>
      </c>
      <c r="F191" t="str">
        <f t="shared" si="10"/>
        <v>Q3</v>
      </c>
      <c r="G191" t="str">
        <f t="shared" si="11"/>
        <v>Q3_2040</v>
      </c>
    </row>
    <row r="192" spans="2:7" x14ac:dyDescent="0.3">
      <c r="B192" s="1">
        <v>188</v>
      </c>
      <c r="C192" s="6">
        <v>51349</v>
      </c>
      <c r="D192" t="e">
        <f>#REF!</f>
        <v>#REF!</v>
      </c>
      <c r="F192" t="str">
        <f t="shared" si="10"/>
        <v>Q3</v>
      </c>
      <c r="G192" t="str">
        <f t="shared" si="11"/>
        <v>Q3_2040</v>
      </c>
    </row>
    <row r="193" spans="2:7" x14ac:dyDescent="0.3">
      <c r="B193" s="1">
        <v>189</v>
      </c>
      <c r="C193" s="6">
        <v>51380</v>
      </c>
      <c r="D193" t="e">
        <f>#REF!</f>
        <v>#REF!</v>
      </c>
      <c r="F193" t="str">
        <f t="shared" si="10"/>
        <v>Q3</v>
      </c>
      <c r="G193" t="str">
        <f t="shared" si="11"/>
        <v>Q3_2040</v>
      </c>
    </row>
    <row r="194" spans="2:7" x14ac:dyDescent="0.3">
      <c r="B194" s="1">
        <v>190</v>
      </c>
      <c r="C194" s="6">
        <v>51410</v>
      </c>
      <c r="D194" t="e">
        <f>#REF!</f>
        <v>#REF!</v>
      </c>
      <c r="F194" t="str">
        <f t="shared" si="10"/>
        <v>Q4</v>
      </c>
      <c r="G194" t="str">
        <f t="shared" si="11"/>
        <v>Q4_2040</v>
      </c>
    </row>
    <row r="195" spans="2:7" x14ac:dyDescent="0.3">
      <c r="B195" s="1">
        <v>191</v>
      </c>
      <c r="C195" s="6">
        <v>51441</v>
      </c>
      <c r="D195" t="e">
        <f>#REF!</f>
        <v>#REF!</v>
      </c>
      <c r="F195" t="str">
        <f t="shared" si="10"/>
        <v>Q4</v>
      </c>
      <c r="G195" t="str">
        <f t="shared" si="11"/>
        <v>Q4_2040</v>
      </c>
    </row>
    <row r="196" spans="2:7" x14ac:dyDescent="0.3">
      <c r="B196" s="1">
        <v>192</v>
      </c>
      <c r="C196" s="6">
        <v>51471</v>
      </c>
      <c r="D196" t="e">
        <f>#REF!</f>
        <v>#REF!</v>
      </c>
      <c r="F196" t="str">
        <f t="shared" si="10"/>
        <v>Q4</v>
      </c>
      <c r="G196" t="str">
        <f t="shared" si="11"/>
        <v>Q4_2040</v>
      </c>
    </row>
    <row r="197" spans="2:7" x14ac:dyDescent="0.3">
      <c r="B197" s="1">
        <v>193</v>
      </c>
      <c r="C197" s="6">
        <v>51502</v>
      </c>
      <c r="D197" t="e">
        <f>#REF!</f>
        <v>#REF!</v>
      </c>
      <c r="F197" t="str">
        <f t="shared" ref="F197:F244" si="12">"Q"&amp;ROUNDUP(MONTH(C197)/3,0)</f>
        <v>Q1</v>
      </c>
      <c r="G197" t="str">
        <f t="shared" ref="G197:G244" si="13">"Q"&amp;ROUNDUP(MONTH(C197)/3,0)&amp;"_"&amp;YEAR(C197)</f>
        <v>Q1_2041</v>
      </c>
    </row>
    <row r="198" spans="2:7" x14ac:dyDescent="0.3">
      <c r="B198" s="1">
        <v>194</v>
      </c>
      <c r="C198" s="6">
        <v>51533</v>
      </c>
      <c r="D198" t="e">
        <f>#REF!</f>
        <v>#REF!</v>
      </c>
      <c r="F198" t="str">
        <f t="shared" si="12"/>
        <v>Q1</v>
      </c>
      <c r="G198" t="str">
        <f t="shared" si="13"/>
        <v>Q1_2041</v>
      </c>
    </row>
    <row r="199" spans="2:7" x14ac:dyDescent="0.3">
      <c r="B199" s="1">
        <v>195</v>
      </c>
      <c r="C199" s="6">
        <v>51561</v>
      </c>
      <c r="D199" t="e">
        <f>#REF!</f>
        <v>#REF!</v>
      </c>
      <c r="F199" t="str">
        <f t="shared" si="12"/>
        <v>Q1</v>
      </c>
      <c r="G199" t="str">
        <f t="shared" si="13"/>
        <v>Q1_2041</v>
      </c>
    </row>
    <row r="200" spans="2:7" x14ac:dyDescent="0.3">
      <c r="B200" s="1">
        <v>196</v>
      </c>
      <c r="C200" s="6">
        <v>51592</v>
      </c>
      <c r="D200" t="e">
        <f>#REF!</f>
        <v>#REF!</v>
      </c>
      <c r="F200" t="str">
        <f t="shared" si="12"/>
        <v>Q2</v>
      </c>
      <c r="G200" t="str">
        <f t="shared" si="13"/>
        <v>Q2_2041</v>
      </c>
    </row>
    <row r="201" spans="2:7" x14ac:dyDescent="0.3">
      <c r="B201" s="1">
        <v>197</v>
      </c>
      <c r="C201" s="6">
        <v>51622</v>
      </c>
      <c r="D201" t="e">
        <f>#REF!</f>
        <v>#REF!</v>
      </c>
      <c r="F201" t="str">
        <f t="shared" si="12"/>
        <v>Q2</v>
      </c>
      <c r="G201" t="str">
        <f t="shared" si="13"/>
        <v>Q2_2041</v>
      </c>
    </row>
    <row r="202" spans="2:7" x14ac:dyDescent="0.3">
      <c r="B202" s="1">
        <v>198</v>
      </c>
      <c r="C202" s="6">
        <v>51653</v>
      </c>
      <c r="D202" t="e">
        <f>#REF!</f>
        <v>#REF!</v>
      </c>
      <c r="F202" t="str">
        <f t="shared" si="12"/>
        <v>Q2</v>
      </c>
      <c r="G202" t="str">
        <f t="shared" si="13"/>
        <v>Q2_2041</v>
      </c>
    </row>
    <row r="203" spans="2:7" x14ac:dyDescent="0.3">
      <c r="B203" s="1">
        <v>199</v>
      </c>
      <c r="C203" s="6">
        <v>51683</v>
      </c>
      <c r="D203" t="e">
        <f>#REF!</f>
        <v>#REF!</v>
      </c>
      <c r="F203" t="str">
        <f t="shared" si="12"/>
        <v>Q3</v>
      </c>
      <c r="G203" t="str">
        <f t="shared" si="13"/>
        <v>Q3_2041</v>
      </c>
    </row>
    <row r="204" spans="2:7" x14ac:dyDescent="0.3">
      <c r="B204" s="1">
        <v>200</v>
      </c>
      <c r="C204" s="6">
        <v>51714</v>
      </c>
      <c r="D204" t="e">
        <f>#REF!</f>
        <v>#REF!</v>
      </c>
      <c r="F204" t="str">
        <f t="shared" si="12"/>
        <v>Q3</v>
      </c>
      <c r="G204" t="str">
        <f t="shared" si="13"/>
        <v>Q3_2041</v>
      </c>
    </row>
    <row r="205" spans="2:7" x14ac:dyDescent="0.3">
      <c r="B205" s="1">
        <v>201</v>
      </c>
      <c r="C205" s="6">
        <v>51745</v>
      </c>
      <c r="D205" t="e">
        <f>#REF!</f>
        <v>#REF!</v>
      </c>
      <c r="F205" t="str">
        <f t="shared" si="12"/>
        <v>Q3</v>
      </c>
      <c r="G205" t="str">
        <f t="shared" si="13"/>
        <v>Q3_2041</v>
      </c>
    </row>
    <row r="206" spans="2:7" x14ac:dyDescent="0.3">
      <c r="B206" s="1">
        <v>202</v>
      </c>
      <c r="C206" s="6">
        <v>51775</v>
      </c>
      <c r="D206" t="e">
        <f>#REF!</f>
        <v>#REF!</v>
      </c>
      <c r="F206" t="str">
        <f t="shared" si="12"/>
        <v>Q4</v>
      </c>
      <c r="G206" t="str">
        <f t="shared" si="13"/>
        <v>Q4_2041</v>
      </c>
    </row>
    <row r="207" spans="2:7" x14ac:dyDescent="0.3">
      <c r="B207" s="1">
        <v>203</v>
      </c>
      <c r="C207" s="6">
        <v>51806</v>
      </c>
      <c r="D207" t="e">
        <f>#REF!</f>
        <v>#REF!</v>
      </c>
      <c r="F207" t="str">
        <f t="shared" si="12"/>
        <v>Q4</v>
      </c>
      <c r="G207" t="str">
        <f t="shared" si="13"/>
        <v>Q4_2041</v>
      </c>
    </row>
    <row r="208" spans="2:7" x14ac:dyDescent="0.3">
      <c r="B208" s="1">
        <v>204</v>
      </c>
      <c r="C208" s="6">
        <v>51836</v>
      </c>
      <c r="D208" t="e">
        <f>#REF!</f>
        <v>#REF!</v>
      </c>
      <c r="F208" t="str">
        <f t="shared" si="12"/>
        <v>Q4</v>
      </c>
      <c r="G208" t="str">
        <f t="shared" si="13"/>
        <v>Q4_2041</v>
      </c>
    </row>
    <row r="209" spans="2:7" x14ac:dyDescent="0.3">
      <c r="B209" s="1">
        <v>205</v>
      </c>
      <c r="C209" s="6">
        <v>51867</v>
      </c>
      <c r="D209" t="e">
        <f>#REF!</f>
        <v>#REF!</v>
      </c>
      <c r="F209" t="str">
        <f t="shared" si="12"/>
        <v>Q1</v>
      </c>
      <c r="G209" t="str">
        <f t="shared" si="13"/>
        <v>Q1_2042</v>
      </c>
    </row>
    <row r="210" spans="2:7" x14ac:dyDescent="0.3">
      <c r="B210" s="1">
        <v>206</v>
      </c>
      <c r="C210" s="6">
        <v>51898</v>
      </c>
      <c r="D210" t="e">
        <f>#REF!</f>
        <v>#REF!</v>
      </c>
      <c r="F210" t="str">
        <f t="shared" si="12"/>
        <v>Q1</v>
      </c>
      <c r="G210" t="str">
        <f t="shared" si="13"/>
        <v>Q1_2042</v>
      </c>
    </row>
    <row r="211" spans="2:7" x14ac:dyDescent="0.3">
      <c r="B211" s="1">
        <v>207</v>
      </c>
      <c r="C211" s="6">
        <v>51926</v>
      </c>
      <c r="D211" t="e">
        <f>#REF!</f>
        <v>#REF!</v>
      </c>
      <c r="F211" t="str">
        <f t="shared" si="12"/>
        <v>Q1</v>
      </c>
      <c r="G211" t="str">
        <f t="shared" si="13"/>
        <v>Q1_2042</v>
      </c>
    </row>
    <row r="212" spans="2:7" x14ac:dyDescent="0.3">
      <c r="B212" s="1">
        <v>208</v>
      </c>
      <c r="C212" s="6">
        <v>51957</v>
      </c>
      <c r="D212" t="e">
        <f>#REF!</f>
        <v>#REF!</v>
      </c>
      <c r="F212" t="str">
        <f t="shared" si="12"/>
        <v>Q2</v>
      </c>
      <c r="G212" t="str">
        <f t="shared" si="13"/>
        <v>Q2_2042</v>
      </c>
    </row>
    <row r="213" spans="2:7" x14ac:dyDescent="0.3">
      <c r="B213" s="1">
        <v>209</v>
      </c>
      <c r="C213" s="6">
        <v>51987</v>
      </c>
      <c r="D213" t="e">
        <f>#REF!</f>
        <v>#REF!</v>
      </c>
      <c r="F213" t="str">
        <f t="shared" si="12"/>
        <v>Q2</v>
      </c>
      <c r="G213" t="str">
        <f t="shared" si="13"/>
        <v>Q2_2042</v>
      </c>
    </row>
    <row r="214" spans="2:7" x14ac:dyDescent="0.3">
      <c r="B214" s="1">
        <v>210</v>
      </c>
      <c r="C214" s="6">
        <v>52018</v>
      </c>
      <c r="D214" t="e">
        <f>#REF!</f>
        <v>#REF!</v>
      </c>
      <c r="F214" t="str">
        <f t="shared" si="12"/>
        <v>Q2</v>
      </c>
      <c r="G214" t="str">
        <f t="shared" si="13"/>
        <v>Q2_2042</v>
      </c>
    </row>
    <row r="215" spans="2:7" x14ac:dyDescent="0.3">
      <c r="B215" s="1">
        <v>211</v>
      </c>
      <c r="C215" s="6">
        <v>52048</v>
      </c>
      <c r="D215" t="e">
        <f>#REF!</f>
        <v>#REF!</v>
      </c>
      <c r="F215" t="str">
        <f t="shared" si="12"/>
        <v>Q3</v>
      </c>
      <c r="G215" t="str">
        <f t="shared" si="13"/>
        <v>Q3_2042</v>
      </c>
    </row>
    <row r="216" spans="2:7" x14ac:dyDescent="0.3">
      <c r="B216" s="1">
        <v>212</v>
      </c>
      <c r="C216" s="6">
        <v>52079</v>
      </c>
      <c r="D216" t="e">
        <f>#REF!</f>
        <v>#REF!</v>
      </c>
      <c r="F216" t="str">
        <f t="shared" si="12"/>
        <v>Q3</v>
      </c>
      <c r="G216" t="str">
        <f t="shared" si="13"/>
        <v>Q3_2042</v>
      </c>
    </row>
    <row r="217" spans="2:7" x14ac:dyDescent="0.3">
      <c r="B217" s="1">
        <v>213</v>
      </c>
      <c r="C217" s="6">
        <v>52110</v>
      </c>
      <c r="D217" t="e">
        <f>#REF!</f>
        <v>#REF!</v>
      </c>
      <c r="F217" t="str">
        <f t="shared" si="12"/>
        <v>Q3</v>
      </c>
      <c r="G217" t="str">
        <f t="shared" si="13"/>
        <v>Q3_2042</v>
      </c>
    </row>
    <row r="218" spans="2:7" x14ac:dyDescent="0.3">
      <c r="B218" s="1">
        <v>214</v>
      </c>
      <c r="C218" s="6">
        <v>52140</v>
      </c>
      <c r="D218" t="e">
        <f>#REF!</f>
        <v>#REF!</v>
      </c>
      <c r="F218" t="str">
        <f t="shared" si="12"/>
        <v>Q4</v>
      </c>
      <c r="G218" t="str">
        <f t="shared" si="13"/>
        <v>Q4_2042</v>
      </c>
    </row>
    <row r="219" spans="2:7" x14ac:dyDescent="0.3">
      <c r="B219" s="1">
        <v>215</v>
      </c>
      <c r="C219" s="6">
        <v>52171</v>
      </c>
      <c r="D219" t="e">
        <f>#REF!</f>
        <v>#REF!</v>
      </c>
      <c r="F219" t="str">
        <f t="shared" si="12"/>
        <v>Q4</v>
      </c>
      <c r="G219" t="str">
        <f t="shared" si="13"/>
        <v>Q4_2042</v>
      </c>
    </row>
    <row r="220" spans="2:7" x14ac:dyDescent="0.3">
      <c r="B220" s="1">
        <v>216</v>
      </c>
      <c r="C220" s="6">
        <v>52201</v>
      </c>
      <c r="D220" t="e">
        <f>#REF!</f>
        <v>#REF!</v>
      </c>
      <c r="F220" t="str">
        <f t="shared" si="12"/>
        <v>Q4</v>
      </c>
      <c r="G220" t="str">
        <f t="shared" si="13"/>
        <v>Q4_2042</v>
      </c>
    </row>
    <row r="221" spans="2:7" x14ac:dyDescent="0.3">
      <c r="B221" s="1">
        <v>217</v>
      </c>
      <c r="C221" s="6">
        <v>52232</v>
      </c>
      <c r="D221" t="e">
        <f>#REF!</f>
        <v>#REF!</v>
      </c>
      <c r="F221" t="str">
        <f t="shared" si="12"/>
        <v>Q1</v>
      </c>
      <c r="G221" t="str">
        <f t="shared" si="13"/>
        <v>Q1_2043</v>
      </c>
    </row>
    <row r="222" spans="2:7" x14ac:dyDescent="0.3">
      <c r="B222" s="1">
        <v>218</v>
      </c>
      <c r="C222" s="6">
        <v>52263</v>
      </c>
      <c r="D222" t="e">
        <f>#REF!</f>
        <v>#REF!</v>
      </c>
      <c r="F222" t="str">
        <f t="shared" si="12"/>
        <v>Q1</v>
      </c>
      <c r="G222" t="str">
        <f t="shared" si="13"/>
        <v>Q1_2043</v>
      </c>
    </row>
    <row r="223" spans="2:7" x14ac:dyDescent="0.3">
      <c r="B223" s="1">
        <v>219</v>
      </c>
      <c r="C223" s="6">
        <v>52291</v>
      </c>
      <c r="D223" t="e">
        <f>#REF!</f>
        <v>#REF!</v>
      </c>
      <c r="F223" t="str">
        <f t="shared" si="12"/>
        <v>Q1</v>
      </c>
      <c r="G223" t="str">
        <f t="shared" si="13"/>
        <v>Q1_2043</v>
      </c>
    </row>
    <row r="224" spans="2:7" x14ac:dyDescent="0.3">
      <c r="B224" s="1">
        <v>220</v>
      </c>
      <c r="C224" s="6">
        <v>52322</v>
      </c>
      <c r="D224" t="e">
        <f>#REF!</f>
        <v>#REF!</v>
      </c>
      <c r="F224" t="str">
        <f t="shared" si="12"/>
        <v>Q2</v>
      </c>
      <c r="G224" t="str">
        <f t="shared" si="13"/>
        <v>Q2_2043</v>
      </c>
    </row>
    <row r="225" spans="2:7" x14ac:dyDescent="0.3">
      <c r="B225" s="1">
        <v>221</v>
      </c>
      <c r="C225" s="6">
        <v>52352</v>
      </c>
      <c r="D225" t="e">
        <f>#REF!</f>
        <v>#REF!</v>
      </c>
      <c r="F225" t="str">
        <f t="shared" si="12"/>
        <v>Q2</v>
      </c>
      <c r="G225" t="str">
        <f t="shared" si="13"/>
        <v>Q2_2043</v>
      </c>
    </row>
    <row r="226" spans="2:7" x14ac:dyDescent="0.3">
      <c r="B226" s="1">
        <v>222</v>
      </c>
      <c r="C226" s="6">
        <v>52383</v>
      </c>
      <c r="D226" t="e">
        <f>#REF!</f>
        <v>#REF!</v>
      </c>
      <c r="F226" t="str">
        <f t="shared" si="12"/>
        <v>Q2</v>
      </c>
      <c r="G226" t="str">
        <f t="shared" si="13"/>
        <v>Q2_2043</v>
      </c>
    </row>
    <row r="227" spans="2:7" x14ac:dyDescent="0.3">
      <c r="B227" s="1">
        <v>223</v>
      </c>
      <c r="C227" s="6">
        <v>52413</v>
      </c>
      <c r="D227" t="e">
        <f>#REF!</f>
        <v>#REF!</v>
      </c>
      <c r="F227" t="str">
        <f t="shared" si="12"/>
        <v>Q3</v>
      </c>
      <c r="G227" t="str">
        <f t="shared" si="13"/>
        <v>Q3_2043</v>
      </c>
    </row>
    <row r="228" spans="2:7" x14ac:dyDescent="0.3">
      <c r="B228" s="1">
        <v>224</v>
      </c>
      <c r="C228" s="6">
        <v>52444</v>
      </c>
      <c r="D228" t="e">
        <f>#REF!</f>
        <v>#REF!</v>
      </c>
      <c r="F228" t="str">
        <f t="shared" si="12"/>
        <v>Q3</v>
      </c>
      <c r="G228" t="str">
        <f t="shared" si="13"/>
        <v>Q3_2043</v>
      </c>
    </row>
    <row r="229" spans="2:7" x14ac:dyDescent="0.3">
      <c r="B229" s="1">
        <v>225</v>
      </c>
      <c r="C229" s="6">
        <v>52475</v>
      </c>
      <c r="D229" t="e">
        <f>#REF!</f>
        <v>#REF!</v>
      </c>
      <c r="F229" t="str">
        <f t="shared" si="12"/>
        <v>Q3</v>
      </c>
      <c r="G229" t="str">
        <f t="shared" si="13"/>
        <v>Q3_2043</v>
      </c>
    </row>
    <row r="230" spans="2:7" x14ac:dyDescent="0.3">
      <c r="B230" s="1">
        <v>226</v>
      </c>
      <c r="C230" s="6">
        <v>52505</v>
      </c>
      <c r="D230" t="e">
        <f>#REF!</f>
        <v>#REF!</v>
      </c>
      <c r="F230" t="str">
        <f t="shared" si="12"/>
        <v>Q4</v>
      </c>
      <c r="G230" t="str">
        <f t="shared" si="13"/>
        <v>Q4_2043</v>
      </c>
    </row>
    <row r="231" spans="2:7" x14ac:dyDescent="0.3">
      <c r="B231" s="1">
        <v>227</v>
      </c>
      <c r="C231" s="6">
        <v>52536</v>
      </c>
      <c r="D231" t="e">
        <f>#REF!</f>
        <v>#REF!</v>
      </c>
      <c r="F231" t="str">
        <f t="shared" si="12"/>
        <v>Q4</v>
      </c>
      <c r="G231" t="str">
        <f t="shared" si="13"/>
        <v>Q4_2043</v>
      </c>
    </row>
    <row r="232" spans="2:7" x14ac:dyDescent="0.3">
      <c r="B232" s="1">
        <v>228</v>
      </c>
      <c r="C232" s="6">
        <v>52566</v>
      </c>
      <c r="D232" t="e">
        <f>#REF!</f>
        <v>#REF!</v>
      </c>
      <c r="F232" t="str">
        <f t="shared" si="12"/>
        <v>Q4</v>
      </c>
      <c r="G232" t="str">
        <f t="shared" si="13"/>
        <v>Q4_2043</v>
      </c>
    </row>
    <row r="233" spans="2:7" x14ac:dyDescent="0.3">
      <c r="B233" s="1">
        <v>229</v>
      </c>
      <c r="C233" s="6">
        <v>52597</v>
      </c>
      <c r="D233" t="e">
        <f>#REF!</f>
        <v>#REF!</v>
      </c>
      <c r="F233" t="str">
        <f t="shared" si="12"/>
        <v>Q1</v>
      </c>
      <c r="G233" t="str">
        <f t="shared" si="13"/>
        <v>Q1_2044</v>
      </c>
    </row>
    <row r="234" spans="2:7" x14ac:dyDescent="0.3">
      <c r="B234" s="1">
        <v>230</v>
      </c>
      <c r="C234" s="6">
        <v>52628</v>
      </c>
      <c r="D234" t="e">
        <f>#REF!</f>
        <v>#REF!</v>
      </c>
      <c r="F234" t="str">
        <f t="shared" si="12"/>
        <v>Q1</v>
      </c>
      <c r="G234" t="str">
        <f t="shared" si="13"/>
        <v>Q1_2044</v>
      </c>
    </row>
    <row r="235" spans="2:7" x14ac:dyDescent="0.3">
      <c r="B235" s="1">
        <v>231</v>
      </c>
      <c r="C235" s="6">
        <v>52657</v>
      </c>
      <c r="D235" t="e">
        <f>#REF!</f>
        <v>#REF!</v>
      </c>
      <c r="F235" t="str">
        <f t="shared" si="12"/>
        <v>Q1</v>
      </c>
      <c r="G235" t="str">
        <f t="shared" si="13"/>
        <v>Q1_2044</v>
      </c>
    </row>
    <row r="236" spans="2:7" x14ac:dyDescent="0.3">
      <c r="B236" s="1">
        <v>232</v>
      </c>
      <c r="C236" s="6">
        <v>52688</v>
      </c>
      <c r="D236" t="e">
        <f>#REF!</f>
        <v>#REF!</v>
      </c>
      <c r="F236" t="str">
        <f t="shared" si="12"/>
        <v>Q2</v>
      </c>
      <c r="G236" t="str">
        <f t="shared" si="13"/>
        <v>Q2_2044</v>
      </c>
    </row>
    <row r="237" spans="2:7" x14ac:dyDescent="0.3">
      <c r="B237" s="1">
        <v>233</v>
      </c>
      <c r="C237" s="6">
        <v>52718</v>
      </c>
      <c r="D237" t="e">
        <f>#REF!</f>
        <v>#REF!</v>
      </c>
      <c r="F237" t="str">
        <f t="shared" si="12"/>
        <v>Q2</v>
      </c>
      <c r="G237" t="str">
        <f t="shared" si="13"/>
        <v>Q2_2044</v>
      </c>
    </row>
    <row r="238" spans="2:7" x14ac:dyDescent="0.3">
      <c r="B238" s="1">
        <v>234</v>
      </c>
      <c r="C238" s="6">
        <v>52749</v>
      </c>
      <c r="D238" t="e">
        <f>#REF!</f>
        <v>#REF!</v>
      </c>
      <c r="F238" t="str">
        <f t="shared" si="12"/>
        <v>Q2</v>
      </c>
      <c r="G238" t="str">
        <f t="shared" si="13"/>
        <v>Q2_2044</v>
      </c>
    </row>
    <row r="239" spans="2:7" x14ac:dyDescent="0.3">
      <c r="B239" s="1">
        <v>235</v>
      </c>
      <c r="C239" s="6">
        <v>52779</v>
      </c>
      <c r="D239" t="e">
        <f>#REF!</f>
        <v>#REF!</v>
      </c>
      <c r="F239" t="str">
        <f t="shared" si="12"/>
        <v>Q3</v>
      </c>
      <c r="G239" t="str">
        <f t="shared" si="13"/>
        <v>Q3_2044</v>
      </c>
    </row>
    <row r="240" spans="2:7" x14ac:dyDescent="0.3">
      <c r="B240" s="1">
        <v>236</v>
      </c>
      <c r="C240" s="6">
        <v>52810</v>
      </c>
      <c r="D240" t="e">
        <f>#REF!</f>
        <v>#REF!</v>
      </c>
      <c r="F240" t="str">
        <f t="shared" si="12"/>
        <v>Q3</v>
      </c>
      <c r="G240" t="str">
        <f t="shared" si="13"/>
        <v>Q3_2044</v>
      </c>
    </row>
    <row r="241" spans="2:7" x14ac:dyDescent="0.3">
      <c r="B241" s="1">
        <v>237</v>
      </c>
      <c r="C241" s="6">
        <v>52841</v>
      </c>
      <c r="D241" t="e">
        <f>#REF!</f>
        <v>#REF!</v>
      </c>
      <c r="F241" t="str">
        <f t="shared" si="12"/>
        <v>Q3</v>
      </c>
      <c r="G241" t="str">
        <f t="shared" si="13"/>
        <v>Q3_2044</v>
      </c>
    </row>
    <row r="242" spans="2:7" x14ac:dyDescent="0.3">
      <c r="B242" s="1">
        <v>238</v>
      </c>
      <c r="C242" s="6">
        <v>52871</v>
      </c>
      <c r="D242" t="e">
        <f>#REF!</f>
        <v>#REF!</v>
      </c>
      <c r="F242" t="str">
        <f t="shared" si="12"/>
        <v>Q4</v>
      </c>
      <c r="G242" t="str">
        <f t="shared" si="13"/>
        <v>Q4_2044</v>
      </c>
    </row>
    <row r="243" spans="2:7" x14ac:dyDescent="0.3">
      <c r="B243" s="1">
        <v>239</v>
      </c>
      <c r="C243" s="6">
        <v>52902</v>
      </c>
      <c r="D243" t="e">
        <f>#REF!</f>
        <v>#REF!</v>
      </c>
      <c r="F243" t="str">
        <f t="shared" si="12"/>
        <v>Q4</v>
      </c>
      <c r="G243" t="str">
        <f t="shared" si="13"/>
        <v>Q4_2044</v>
      </c>
    </row>
    <row r="244" spans="2:7" x14ac:dyDescent="0.3">
      <c r="B244" s="1">
        <v>240</v>
      </c>
      <c r="C244" s="6">
        <v>52932</v>
      </c>
      <c r="D244" t="e">
        <f>#REF!</f>
        <v>#REF!</v>
      </c>
      <c r="F244" t="str">
        <f t="shared" si="12"/>
        <v>Q4</v>
      </c>
      <c r="G244" t="str">
        <f t="shared" si="13"/>
        <v>Q4_2044</v>
      </c>
    </row>
    <row r="245" spans="2:7" x14ac:dyDescent="0.3">
      <c r="C245" s="1" t="s">
        <v>90</v>
      </c>
      <c r="D245" s="11"/>
    </row>
    <row r="247" spans="2:7" x14ac:dyDescent="0.3">
      <c r="D247" s="11"/>
    </row>
    <row r="249" spans="2:7" x14ac:dyDescent="0.3">
      <c r="D249" s="11"/>
    </row>
    <row r="251" spans="2:7" x14ac:dyDescent="0.3">
      <c r="D251" s="11"/>
    </row>
    <row r="253" spans="2:7" x14ac:dyDescent="0.3">
      <c r="D253" s="11"/>
    </row>
    <row r="255" spans="2:7" x14ac:dyDescent="0.3">
      <c r="D255" s="11"/>
    </row>
    <row r="257" spans="4:4" x14ac:dyDescent="0.3">
      <c r="D257" s="11"/>
    </row>
    <row r="259" spans="4:4" x14ac:dyDescent="0.3">
      <c r="D259" s="11"/>
    </row>
    <row r="261" spans="4:4" x14ac:dyDescent="0.3">
      <c r="D261" s="11"/>
    </row>
    <row r="263" spans="4:4" x14ac:dyDescent="0.3">
      <c r="D263" s="11"/>
    </row>
    <row r="265" spans="4:4" x14ac:dyDescent="0.3">
      <c r="D265" s="11"/>
    </row>
    <row r="267" spans="4:4" x14ac:dyDescent="0.3">
      <c r="D267" s="11"/>
    </row>
    <row r="269" spans="4:4" x14ac:dyDescent="0.3">
      <c r="D269" s="11"/>
    </row>
    <row r="271" spans="4:4" x14ac:dyDescent="0.3">
      <c r="D271" s="11"/>
    </row>
  </sheetData>
  <printOptions gridLinesSet="0"/>
  <pageMargins left="0.7" right="0.7" top="0.75" bottom="0.7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71"/>
  <sheetViews>
    <sheetView showGridLines="0" tabSelected="1" zoomScale="110" workbookViewId="0"/>
  </sheetViews>
  <sheetFormatPr defaultRowHeight="14.4" x14ac:dyDescent="0.3"/>
  <cols>
    <col min="1" max="1" width="8.88671875" style="1" customWidth="1"/>
    <col min="2" max="2" width="10.5546875" style="1" bestFit="1" customWidth="1"/>
    <col min="3" max="3" width="16.5546875" style="12" bestFit="1" customWidth="1"/>
    <col min="4" max="4" width="10.77734375" bestFit="1" customWidth="1"/>
    <col min="5" max="5" width="9.21875" bestFit="1" customWidth="1"/>
    <col min="6" max="6" width="3.88671875" bestFit="1" customWidth="1"/>
    <col min="7" max="7" width="4.77734375" bestFit="1" customWidth="1"/>
  </cols>
  <sheetData>
    <row r="2" spans="1:4" x14ac:dyDescent="0.3">
      <c r="A2" s="17" t="s">
        <v>183</v>
      </c>
    </row>
    <row r="3" spans="1:4" x14ac:dyDescent="0.3">
      <c r="C3" s="13"/>
    </row>
    <row r="4" spans="1:4" x14ac:dyDescent="0.3">
      <c r="B4" s="5" t="s">
        <v>3</v>
      </c>
      <c r="C4" s="14" t="s">
        <v>4</v>
      </c>
    </row>
    <row r="5" spans="1:4" x14ac:dyDescent="0.3">
      <c r="B5" s="15">
        <v>46023</v>
      </c>
      <c r="C5" s="16">
        <v>16755</v>
      </c>
      <c r="D5" s="9"/>
    </row>
    <row r="6" spans="1:4" x14ac:dyDescent="0.3">
      <c r="B6" s="15">
        <v>46054</v>
      </c>
      <c r="C6" s="16">
        <v>18135</v>
      </c>
      <c r="D6" s="9"/>
    </row>
    <row r="7" spans="1:4" x14ac:dyDescent="0.3">
      <c r="B7" s="15">
        <v>46082</v>
      </c>
      <c r="C7" s="16">
        <v>19675</v>
      </c>
      <c r="D7" s="9"/>
    </row>
    <row r="8" spans="1:4" x14ac:dyDescent="0.3">
      <c r="B8" s="15">
        <v>46113</v>
      </c>
      <c r="C8" s="16">
        <v>21170</v>
      </c>
      <c r="D8" s="9"/>
    </row>
    <row r="9" spans="1:4" x14ac:dyDescent="0.3">
      <c r="B9" s="15">
        <v>46143</v>
      </c>
      <c r="C9" s="16">
        <v>21300</v>
      </c>
      <c r="D9" s="9"/>
    </row>
    <row r="10" spans="1:4" x14ac:dyDescent="0.3">
      <c r="B10" s="15">
        <v>46174</v>
      </c>
      <c r="C10" s="16">
        <v>21630</v>
      </c>
      <c r="D10" s="9"/>
    </row>
    <row r="11" spans="1:4" x14ac:dyDescent="0.3">
      <c r="B11" s="15">
        <v>46204</v>
      </c>
      <c r="C11" s="16">
        <v>23100</v>
      </c>
      <c r="D11" s="9"/>
    </row>
    <row r="12" spans="1:4" x14ac:dyDescent="0.3">
      <c r="B12" s="15">
        <v>46235</v>
      </c>
      <c r="C12" s="16">
        <v>24800</v>
      </c>
      <c r="D12" s="9"/>
    </row>
    <row r="13" spans="1:4" x14ac:dyDescent="0.3">
      <c r="B13" s="15">
        <v>46266</v>
      </c>
      <c r="C13" s="16">
        <v>26430</v>
      </c>
      <c r="D13" s="9"/>
    </row>
    <row r="14" spans="1:4" x14ac:dyDescent="0.3">
      <c r="B14" s="15">
        <v>46296</v>
      </c>
      <c r="C14" s="16">
        <v>28335</v>
      </c>
      <c r="D14" s="9"/>
    </row>
    <row r="15" spans="1:4" x14ac:dyDescent="0.3">
      <c r="B15" s="15">
        <v>46327</v>
      </c>
      <c r="C15" s="16">
        <v>25925</v>
      </c>
      <c r="D15" s="9"/>
    </row>
    <row r="16" spans="1:4" x14ac:dyDescent="0.3">
      <c r="B16" s="15">
        <v>46357</v>
      </c>
      <c r="C16" s="16">
        <v>27470</v>
      </c>
      <c r="D16" s="9"/>
    </row>
    <row r="17" spans="2:7" x14ac:dyDescent="0.3">
      <c r="B17" s="15">
        <v>46388</v>
      </c>
      <c r="C17" s="16">
        <v>19233</v>
      </c>
      <c r="D17" s="9"/>
    </row>
    <row r="18" spans="2:7" x14ac:dyDescent="0.3">
      <c r="B18" s="15">
        <v>46419</v>
      </c>
      <c r="C18" s="16">
        <v>20375</v>
      </c>
      <c r="D18" s="9"/>
    </row>
    <row r="19" spans="2:7" x14ac:dyDescent="0.3">
      <c r="B19" s="15">
        <v>46447</v>
      </c>
      <c r="C19" s="16">
        <v>21570</v>
      </c>
      <c r="D19" s="9"/>
    </row>
    <row r="20" spans="2:7" x14ac:dyDescent="0.3">
      <c r="B20" s="15">
        <v>46478</v>
      </c>
      <c r="C20" s="16">
        <v>21697</v>
      </c>
      <c r="D20" s="9"/>
    </row>
    <row r="21" spans="2:7" x14ac:dyDescent="0.3">
      <c r="B21" s="15">
        <v>46508</v>
      </c>
      <c r="C21" s="16">
        <v>24181</v>
      </c>
      <c r="D21" s="9"/>
    </row>
    <row r="22" spans="2:7" x14ac:dyDescent="0.3">
      <c r="B22" s="15">
        <v>46539</v>
      </c>
      <c r="C22" s="16">
        <v>25713</v>
      </c>
      <c r="D22" s="9"/>
    </row>
    <row r="23" spans="2:7" x14ac:dyDescent="0.3">
      <c r="B23" s="15">
        <v>46569</v>
      </c>
      <c r="C23" s="16">
        <v>27233</v>
      </c>
      <c r="D23" s="9"/>
    </row>
    <row r="24" spans="2:7" x14ac:dyDescent="0.3">
      <c r="B24" s="15">
        <v>46600</v>
      </c>
      <c r="C24" s="16">
        <v>28488</v>
      </c>
      <c r="D24" s="9"/>
    </row>
    <row r="25" spans="2:7" x14ac:dyDescent="0.3">
      <c r="B25" s="15">
        <v>46631</v>
      </c>
      <c r="C25" s="16">
        <v>29673</v>
      </c>
      <c r="D25" s="9"/>
      <c r="E25" s="17"/>
      <c r="F25" s="17"/>
      <c r="G25" s="17"/>
    </row>
    <row r="26" spans="2:7" x14ac:dyDescent="0.3">
      <c r="B26" s="15">
        <v>46661</v>
      </c>
      <c r="C26" s="16">
        <v>30877</v>
      </c>
      <c r="D26" s="9"/>
      <c r="E26" s="17"/>
      <c r="F26" s="17"/>
      <c r="G26" s="17"/>
    </row>
    <row r="27" spans="2:7" x14ac:dyDescent="0.3">
      <c r="B27" s="15">
        <v>46692</v>
      </c>
      <c r="C27" s="16">
        <v>30181</v>
      </c>
      <c r="D27" s="9"/>
      <c r="E27" s="17"/>
      <c r="F27" s="17"/>
      <c r="G27" s="17"/>
    </row>
    <row r="28" spans="2:7" x14ac:dyDescent="0.3">
      <c r="B28" s="15">
        <v>46722</v>
      </c>
      <c r="C28" s="16">
        <v>30710</v>
      </c>
      <c r="D28" s="9"/>
      <c r="E28" s="17"/>
      <c r="F28" s="17"/>
      <c r="G28" s="17"/>
    </row>
    <row r="29" spans="2:7" x14ac:dyDescent="0.3">
      <c r="B29" s="15">
        <v>46753</v>
      </c>
      <c r="C29" s="16">
        <v>23311</v>
      </c>
      <c r="D29" s="9"/>
      <c r="E29" s="17"/>
      <c r="F29" s="17"/>
      <c r="G29" s="17"/>
    </row>
    <row r="30" spans="2:7" x14ac:dyDescent="0.3">
      <c r="B30" s="15">
        <v>46784</v>
      </c>
      <c r="C30" s="16">
        <v>24355</v>
      </c>
      <c r="D30" s="9"/>
      <c r="E30" s="17"/>
      <c r="F30" s="17"/>
      <c r="G30" s="17"/>
    </row>
    <row r="31" spans="2:7" x14ac:dyDescent="0.3">
      <c r="B31" s="15">
        <v>46813</v>
      </c>
      <c r="C31" s="16">
        <v>25464</v>
      </c>
      <c r="D31" s="9"/>
      <c r="E31" s="17"/>
      <c r="F31" s="17"/>
      <c r="G31" s="17"/>
    </row>
    <row r="32" spans="2:7" x14ac:dyDescent="0.3">
      <c r="B32" s="15">
        <v>46844</v>
      </c>
      <c r="C32" s="16">
        <v>26514</v>
      </c>
      <c r="D32" s="9"/>
      <c r="E32" s="17"/>
      <c r="F32" s="17"/>
      <c r="G32" s="17"/>
    </row>
    <row r="33" spans="2:7" x14ac:dyDescent="0.3">
      <c r="B33" s="15">
        <v>46874</v>
      </c>
      <c r="C33" s="16">
        <v>27593</v>
      </c>
      <c r="D33" s="9"/>
      <c r="E33" s="17"/>
      <c r="F33" s="17"/>
      <c r="G33" s="17"/>
    </row>
    <row r="34" spans="2:7" x14ac:dyDescent="0.3">
      <c r="B34" s="15">
        <v>46905</v>
      </c>
      <c r="C34" s="16">
        <v>28688</v>
      </c>
      <c r="D34" s="9"/>
    </row>
    <row r="35" spans="2:7" x14ac:dyDescent="0.3">
      <c r="B35" s="15">
        <v>46935</v>
      </c>
      <c r="C35" s="16">
        <v>29787</v>
      </c>
      <c r="D35" s="9"/>
    </row>
    <row r="36" spans="2:7" x14ac:dyDescent="0.3">
      <c r="B36" s="15">
        <v>46966</v>
      </c>
      <c r="C36" s="16">
        <v>30797</v>
      </c>
      <c r="D36" s="9"/>
    </row>
    <row r="37" spans="2:7" x14ac:dyDescent="0.3">
      <c r="B37" s="15">
        <v>46997</v>
      </c>
      <c r="C37" s="16">
        <v>31936</v>
      </c>
      <c r="D37" s="9"/>
    </row>
    <row r="38" spans="2:7" x14ac:dyDescent="0.3">
      <c r="B38" s="15">
        <v>47027</v>
      </c>
      <c r="C38" s="16">
        <v>32986</v>
      </c>
      <c r="D38" s="9"/>
    </row>
    <row r="39" spans="2:7" x14ac:dyDescent="0.3">
      <c r="B39" s="15">
        <v>47058</v>
      </c>
      <c r="C39" s="16">
        <v>34050</v>
      </c>
      <c r="D39" s="9"/>
    </row>
    <row r="40" spans="2:7" x14ac:dyDescent="0.3">
      <c r="B40" s="15">
        <v>47088</v>
      </c>
      <c r="C40" s="16">
        <v>35095</v>
      </c>
      <c r="D40" s="9"/>
    </row>
    <row r="41" spans="2:7" x14ac:dyDescent="0.3">
      <c r="B41" s="15">
        <v>47119</v>
      </c>
      <c r="C41" s="16">
        <v>31263</v>
      </c>
      <c r="D41" s="9"/>
    </row>
    <row r="42" spans="2:7" x14ac:dyDescent="0.3">
      <c r="B42" s="15">
        <v>47150</v>
      </c>
      <c r="C42" s="16">
        <v>11654</v>
      </c>
      <c r="D42" s="9"/>
    </row>
    <row r="43" spans="2:7" x14ac:dyDescent="0.3">
      <c r="B43" s="15">
        <v>47178</v>
      </c>
      <c r="C43" s="16">
        <v>31939</v>
      </c>
      <c r="D43" s="9"/>
    </row>
    <row r="44" spans="2:7" x14ac:dyDescent="0.3">
      <c r="B44" s="15">
        <v>47209</v>
      </c>
      <c r="C44" s="16">
        <v>32215</v>
      </c>
      <c r="D44" s="9"/>
    </row>
    <row r="45" spans="2:7" x14ac:dyDescent="0.3">
      <c r="B45" s="15">
        <v>47239</v>
      </c>
      <c r="C45" s="16">
        <v>32566</v>
      </c>
      <c r="D45" s="9"/>
    </row>
    <row r="46" spans="2:7" x14ac:dyDescent="0.3">
      <c r="B46" s="15">
        <v>47270</v>
      </c>
      <c r="C46" s="16">
        <v>32831</v>
      </c>
      <c r="D46" s="9"/>
    </row>
    <row r="47" spans="2:7" x14ac:dyDescent="0.3">
      <c r="B47" s="15">
        <v>47300</v>
      </c>
      <c r="C47" s="16">
        <v>33227</v>
      </c>
      <c r="D47" s="9"/>
    </row>
    <row r="48" spans="2:7" x14ac:dyDescent="0.3">
      <c r="B48" s="15">
        <v>47331</v>
      </c>
      <c r="C48" s="16">
        <v>33523</v>
      </c>
      <c r="D48" s="9"/>
    </row>
    <row r="49" spans="2:4" x14ac:dyDescent="0.3">
      <c r="B49" s="15">
        <v>47362</v>
      </c>
      <c r="C49" s="16">
        <v>33809</v>
      </c>
      <c r="D49" s="9"/>
    </row>
    <row r="50" spans="2:4" x14ac:dyDescent="0.3">
      <c r="B50" s="15">
        <v>47392</v>
      </c>
      <c r="C50" s="16">
        <v>34119</v>
      </c>
      <c r="D50" s="9"/>
    </row>
    <row r="51" spans="2:4" x14ac:dyDescent="0.3">
      <c r="B51" s="15">
        <v>47423</v>
      </c>
      <c r="C51" s="16">
        <v>34455</v>
      </c>
      <c r="D51" s="9"/>
    </row>
    <row r="52" spans="2:4" x14ac:dyDescent="0.3">
      <c r="B52" s="15">
        <v>47453</v>
      </c>
      <c r="C52" s="16">
        <v>34801</v>
      </c>
      <c r="D52" s="9"/>
    </row>
    <row r="53" spans="2:4" x14ac:dyDescent="0.3">
      <c r="B53" s="15">
        <v>47484</v>
      </c>
      <c r="C53" s="16">
        <v>32840</v>
      </c>
      <c r="D53" s="9"/>
    </row>
    <row r="54" spans="2:4" x14ac:dyDescent="0.3">
      <c r="B54" s="15">
        <v>47515</v>
      </c>
      <c r="C54" s="16">
        <v>33711</v>
      </c>
      <c r="D54" s="9"/>
    </row>
    <row r="55" spans="2:4" x14ac:dyDescent="0.3">
      <c r="B55" s="15">
        <v>47543</v>
      </c>
      <c r="C55" s="16">
        <v>34623</v>
      </c>
      <c r="D55" s="9"/>
    </row>
    <row r="56" spans="2:4" x14ac:dyDescent="0.3">
      <c r="B56" s="15">
        <v>47574</v>
      </c>
      <c r="C56" s="16">
        <v>35439</v>
      </c>
      <c r="D56" s="9"/>
    </row>
    <row r="57" spans="2:4" x14ac:dyDescent="0.3">
      <c r="B57" s="15">
        <v>47604</v>
      </c>
      <c r="C57" s="16">
        <v>36325</v>
      </c>
      <c r="D57" s="9"/>
    </row>
    <row r="58" spans="2:4" x14ac:dyDescent="0.3">
      <c r="B58" s="15">
        <v>47635</v>
      </c>
      <c r="C58" s="16">
        <v>37177</v>
      </c>
      <c r="D58" s="9"/>
    </row>
    <row r="59" spans="2:4" x14ac:dyDescent="0.3">
      <c r="B59" s="15">
        <v>47665</v>
      </c>
      <c r="C59" s="16">
        <v>38118</v>
      </c>
      <c r="D59" s="9"/>
    </row>
    <row r="60" spans="2:4" x14ac:dyDescent="0.3">
      <c r="B60" s="15">
        <v>47696</v>
      </c>
      <c r="C60" s="16">
        <v>38955</v>
      </c>
      <c r="D60" s="9"/>
    </row>
    <row r="61" spans="2:4" x14ac:dyDescent="0.3">
      <c r="B61" s="15">
        <v>47727</v>
      </c>
      <c r="C61" s="16">
        <v>39856</v>
      </c>
      <c r="D61" s="9"/>
    </row>
    <row r="62" spans="2:4" x14ac:dyDescent="0.3">
      <c r="B62" s="15">
        <v>47757</v>
      </c>
      <c r="C62" s="16">
        <v>40678</v>
      </c>
      <c r="D62" s="9"/>
    </row>
    <row r="63" spans="2:4" x14ac:dyDescent="0.3">
      <c r="B63" s="15">
        <v>47788</v>
      </c>
      <c r="C63" s="16">
        <v>41599</v>
      </c>
      <c r="D63" s="9"/>
    </row>
    <row r="64" spans="2:4" x14ac:dyDescent="0.3">
      <c r="B64" s="15">
        <v>47818</v>
      </c>
      <c r="C64" s="16">
        <v>42481</v>
      </c>
      <c r="D64" s="9"/>
    </row>
    <row r="65" spans="2:4" x14ac:dyDescent="0.3">
      <c r="B65" s="15">
        <v>47849</v>
      </c>
      <c r="C65" s="16">
        <v>38632</v>
      </c>
      <c r="D65" s="9"/>
    </row>
    <row r="66" spans="2:4" x14ac:dyDescent="0.3">
      <c r="B66" s="15">
        <v>47880</v>
      </c>
      <c r="C66" s="16">
        <v>39380</v>
      </c>
      <c r="D66" s="9"/>
    </row>
    <row r="67" spans="2:4" x14ac:dyDescent="0.3">
      <c r="B67" s="15">
        <v>47908</v>
      </c>
      <c r="C67" s="16">
        <v>40222</v>
      </c>
      <c r="D67" s="9"/>
    </row>
    <row r="68" spans="2:4" x14ac:dyDescent="0.3">
      <c r="B68" s="15">
        <v>47939</v>
      </c>
      <c r="C68" s="16">
        <v>40930</v>
      </c>
      <c r="D68" s="9"/>
    </row>
    <row r="69" spans="2:4" x14ac:dyDescent="0.3">
      <c r="B69" s="15">
        <v>47969</v>
      </c>
      <c r="C69" s="16">
        <v>41722</v>
      </c>
      <c r="D69" s="9"/>
    </row>
    <row r="70" spans="2:4" x14ac:dyDescent="0.3">
      <c r="B70" s="15">
        <v>48000</v>
      </c>
      <c r="C70" s="16">
        <v>42525</v>
      </c>
      <c r="D70" s="9"/>
    </row>
    <row r="71" spans="2:4" x14ac:dyDescent="0.3">
      <c r="B71" s="15">
        <v>48030</v>
      </c>
      <c r="C71" s="16">
        <v>43282</v>
      </c>
      <c r="D71" s="9"/>
    </row>
    <row r="72" spans="2:4" x14ac:dyDescent="0.3">
      <c r="B72" s="15">
        <v>48061</v>
      </c>
      <c r="C72" s="16">
        <v>44130</v>
      </c>
      <c r="D72" s="9"/>
    </row>
    <row r="73" spans="2:4" x14ac:dyDescent="0.3">
      <c r="B73" s="15">
        <v>48092</v>
      </c>
      <c r="C73" s="16">
        <v>44902</v>
      </c>
      <c r="D73" s="9"/>
    </row>
    <row r="74" spans="2:4" x14ac:dyDescent="0.3">
      <c r="B74" s="15">
        <v>48122</v>
      </c>
      <c r="C74" s="16">
        <v>45595</v>
      </c>
      <c r="D74" s="9"/>
    </row>
    <row r="75" spans="2:4" x14ac:dyDescent="0.3">
      <c r="B75" s="15">
        <v>48153</v>
      </c>
      <c r="C75" s="16">
        <v>46392</v>
      </c>
      <c r="D75" s="9"/>
    </row>
    <row r="76" spans="2:4" x14ac:dyDescent="0.3">
      <c r="B76" s="15">
        <v>48183</v>
      </c>
      <c r="C76" s="16">
        <v>47155</v>
      </c>
      <c r="D76" s="9"/>
    </row>
    <row r="77" spans="2:4" x14ac:dyDescent="0.3">
      <c r="B77" s="15">
        <v>48214</v>
      </c>
      <c r="C77" s="16">
        <v>44873</v>
      </c>
      <c r="D77" s="9"/>
    </row>
    <row r="78" spans="2:4" x14ac:dyDescent="0.3">
      <c r="B78" s="15">
        <v>48245</v>
      </c>
      <c r="C78" s="16">
        <v>45646</v>
      </c>
      <c r="D78" s="9"/>
    </row>
    <row r="79" spans="2:4" x14ac:dyDescent="0.3">
      <c r="B79" s="15">
        <v>48274</v>
      </c>
      <c r="C79" s="16">
        <v>46404</v>
      </c>
      <c r="D79" s="9"/>
    </row>
    <row r="80" spans="2:4" x14ac:dyDescent="0.3">
      <c r="B80" s="15">
        <v>48305</v>
      </c>
      <c r="C80" s="16">
        <v>47092</v>
      </c>
      <c r="D80" s="9"/>
    </row>
    <row r="81" spans="2:4" x14ac:dyDescent="0.3">
      <c r="B81" s="15">
        <v>48335</v>
      </c>
      <c r="C81" s="16">
        <v>47880</v>
      </c>
      <c r="D81" s="9"/>
    </row>
    <row r="82" spans="2:4" x14ac:dyDescent="0.3">
      <c r="B82" s="15">
        <v>48366</v>
      </c>
      <c r="C82" s="16">
        <v>48518</v>
      </c>
      <c r="D82" s="9"/>
    </row>
    <row r="83" spans="2:4" x14ac:dyDescent="0.3">
      <c r="B83" s="15">
        <v>48396</v>
      </c>
      <c r="C83" s="16">
        <v>49296</v>
      </c>
      <c r="D83" s="9"/>
    </row>
    <row r="84" spans="2:4" x14ac:dyDescent="0.3">
      <c r="B84" s="15">
        <v>48427</v>
      </c>
      <c r="C84" s="16">
        <v>50014</v>
      </c>
      <c r="D84" s="9"/>
    </row>
    <row r="85" spans="2:4" x14ac:dyDescent="0.3">
      <c r="B85" s="15">
        <v>48458</v>
      </c>
      <c r="C85" s="16">
        <v>50697</v>
      </c>
      <c r="D85" s="9"/>
    </row>
    <row r="86" spans="2:4" x14ac:dyDescent="0.3">
      <c r="B86" s="15">
        <v>48488</v>
      </c>
      <c r="C86" s="16">
        <v>51525</v>
      </c>
      <c r="D86" s="9"/>
    </row>
    <row r="87" spans="2:4" x14ac:dyDescent="0.3">
      <c r="B87" s="15">
        <v>48519</v>
      </c>
      <c r="C87" s="16">
        <v>-52248</v>
      </c>
      <c r="D87" s="9"/>
    </row>
    <row r="88" spans="2:4" x14ac:dyDescent="0.3">
      <c r="B88" s="15">
        <v>48549</v>
      </c>
      <c r="C88" s="16">
        <v>52921</v>
      </c>
      <c r="D88" s="9"/>
    </row>
    <row r="89" spans="2:4" x14ac:dyDescent="0.3">
      <c r="B89" s="15">
        <v>48580</v>
      </c>
      <c r="C89" s="16">
        <v>52314</v>
      </c>
      <c r="D89" s="9"/>
    </row>
    <row r="90" spans="2:4" x14ac:dyDescent="0.3">
      <c r="B90" s="15">
        <v>48611</v>
      </c>
      <c r="C90" s="16">
        <v>53079</v>
      </c>
      <c r="D90" s="9"/>
    </row>
    <row r="91" spans="2:4" x14ac:dyDescent="0.3">
      <c r="B91" s="15">
        <v>48639</v>
      </c>
      <c r="C91" s="16">
        <v>53775</v>
      </c>
      <c r="D91" s="9"/>
    </row>
    <row r="92" spans="2:4" x14ac:dyDescent="0.3">
      <c r="B92" s="15">
        <v>48670</v>
      </c>
      <c r="C92" s="16">
        <v>54450</v>
      </c>
      <c r="D92" s="9"/>
    </row>
    <row r="93" spans="2:4" x14ac:dyDescent="0.3">
      <c r="B93" s="15">
        <v>48700</v>
      </c>
      <c r="C93" s="16">
        <v>55165</v>
      </c>
      <c r="D93" s="9"/>
    </row>
    <row r="94" spans="2:4" x14ac:dyDescent="0.3">
      <c r="B94" s="15">
        <v>48731</v>
      </c>
      <c r="C94" s="16">
        <v>55866</v>
      </c>
      <c r="D94" s="9"/>
    </row>
    <row r="95" spans="2:4" x14ac:dyDescent="0.3">
      <c r="B95" s="15">
        <v>48761</v>
      </c>
      <c r="C95" s="16">
        <v>56646</v>
      </c>
      <c r="D95" s="9"/>
    </row>
    <row r="96" spans="2:4" x14ac:dyDescent="0.3">
      <c r="B96" s="15">
        <v>48792</v>
      </c>
      <c r="C96" s="16">
        <v>57292</v>
      </c>
      <c r="D96" s="9"/>
    </row>
    <row r="97" spans="2:4" x14ac:dyDescent="0.3">
      <c r="B97" s="15">
        <v>48823</v>
      </c>
      <c r="C97" s="16">
        <v>58022</v>
      </c>
      <c r="D97" s="9"/>
    </row>
    <row r="98" spans="2:4" x14ac:dyDescent="0.3">
      <c r="B98" s="15">
        <v>48853</v>
      </c>
      <c r="C98" s="16">
        <v>58748</v>
      </c>
      <c r="D98" s="9"/>
    </row>
    <row r="99" spans="2:4" x14ac:dyDescent="0.3">
      <c r="B99" s="15">
        <v>48884</v>
      </c>
      <c r="C99" s="16">
        <v>59493</v>
      </c>
      <c r="D99" s="9"/>
    </row>
    <row r="100" spans="2:4" x14ac:dyDescent="0.3">
      <c r="B100" s="15">
        <v>48914</v>
      </c>
      <c r="C100" s="16">
        <v>60148</v>
      </c>
      <c r="D100" s="9"/>
    </row>
    <row r="101" spans="2:4" x14ac:dyDescent="0.3">
      <c r="B101" s="15">
        <v>48945</v>
      </c>
      <c r="C101" s="16">
        <v>60819</v>
      </c>
      <c r="D101" s="9"/>
    </row>
    <row r="102" spans="2:4" x14ac:dyDescent="0.3">
      <c r="B102" s="15">
        <v>48976</v>
      </c>
      <c r="C102" s="16">
        <v>61563</v>
      </c>
      <c r="D102" s="9"/>
    </row>
    <row r="103" spans="2:4" x14ac:dyDescent="0.3">
      <c r="B103" s="15">
        <v>49004</v>
      </c>
      <c r="C103" s="16">
        <v>62218</v>
      </c>
      <c r="D103" s="9"/>
    </row>
    <row r="104" spans="2:4" x14ac:dyDescent="0.3">
      <c r="B104" s="15">
        <v>49035</v>
      </c>
      <c r="C104" s="16">
        <v>62972</v>
      </c>
      <c r="D104" s="9"/>
    </row>
    <row r="105" spans="2:4" x14ac:dyDescent="0.3">
      <c r="B105" s="15">
        <v>49065</v>
      </c>
      <c r="C105" s="16">
        <v>63627</v>
      </c>
      <c r="D105" s="9"/>
    </row>
    <row r="106" spans="2:4" x14ac:dyDescent="0.3">
      <c r="B106" s="15">
        <v>49096</v>
      </c>
      <c r="C106" s="16">
        <v>64321</v>
      </c>
      <c r="D106" s="9"/>
    </row>
    <row r="107" spans="2:4" x14ac:dyDescent="0.3">
      <c r="B107" s="15">
        <v>49126</v>
      </c>
      <c r="C107" s="16">
        <v>65086</v>
      </c>
      <c r="D107" s="9"/>
    </row>
    <row r="108" spans="2:4" x14ac:dyDescent="0.3">
      <c r="B108" s="15">
        <v>49157</v>
      </c>
      <c r="C108" s="16">
        <v>65815</v>
      </c>
      <c r="D108" s="9"/>
    </row>
    <row r="109" spans="2:4" x14ac:dyDescent="0.3">
      <c r="B109" s="15">
        <v>49188</v>
      </c>
      <c r="C109" s="16">
        <v>66490</v>
      </c>
      <c r="D109" s="9"/>
    </row>
    <row r="110" spans="2:4" x14ac:dyDescent="0.3">
      <c r="B110" s="15">
        <v>49218</v>
      </c>
      <c r="C110" s="16">
        <v>67174</v>
      </c>
      <c r="D110" s="9"/>
    </row>
    <row r="111" spans="2:4" x14ac:dyDescent="0.3">
      <c r="B111" s="15">
        <v>49249</v>
      </c>
      <c r="C111" s="16">
        <v>67914</v>
      </c>
      <c r="D111" s="9"/>
    </row>
    <row r="112" spans="2:4" x14ac:dyDescent="0.3">
      <c r="B112" s="15">
        <v>49279</v>
      </c>
      <c r="C112" s="16">
        <v>68598</v>
      </c>
      <c r="D112" s="9"/>
    </row>
    <row r="113" spans="2:4" x14ac:dyDescent="0.3">
      <c r="B113" s="15">
        <v>49310</v>
      </c>
      <c r="C113" s="16">
        <v>71717</v>
      </c>
      <c r="D113" s="9"/>
    </row>
    <row r="114" spans="2:4" x14ac:dyDescent="0.3">
      <c r="B114" s="15">
        <v>49341</v>
      </c>
      <c r="C114" s="16">
        <v>72023</v>
      </c>
      <c r="D114" s="9"/>
    </row>
    <row r="115" spans="2:4" x14ac:dyDescent="0.3">
      <c r="B115" s="15">
        <v>49369</v>
      </c>
      <c r="C115" s="16">
        <v>72250</v>
      </c>
      <c r="D115" s="9"/>
    </row>
    <row r="116" spans="2:4" x14ac:dyDescent="0.3">
      <c r="B116" s="15">
        <v>49400</v>
      </c>
      <c r="C116" s="16">
        <v>72551</v>
      </c>
      <c r="D116" s="9"/>
    </row>
    <row r="117" spans="2:4" x14ac:dyDescent="0.3">
      <c r="B117" s="15">
        <v>49430</v>
      </c>
      <c r="C117" s="16">
        <v>72718</v>
      </c>
      <c r="D117" s="9"/>
    </row>
    <row r="118" spans="2:4" x14ac:dyDescent="0.3">
      <c r="B118" s="15">
        <v>49461</v>
      </c>
      <c r="C118" s="16">
        <v>73024</v>
      </c>
      <c r="D118" s="9"/>
    </row>
    <row r="119" spans="2:4" x14ac:dyDescent="0.3">
      <c r="B119" s="15">
        <v>49491</v>
      </c>
      <c r="C119" s="16">
        <v>73206</v>
      </c>
      <c r="D119" s="9"/>
    </row>
    <row r="120" spans="2:4" x14ac:dyDescent="0.3">
      <c r="B120" s="15">
        <v>49522</v>
      </c>
      <c r="C120" s="16">
        <v>73522</v>
      </c>
      <c r="D120" s="9"/>
    </row>
    <row r="121" spans="2:4" x14ac:dyDescent="0.3">
      <c r="B121" s="15">
        <v>49553</v>
      </c>
      <c r="C121" s="16">
        <v>73689</v>
      </c>
      <c r="D121" s="9"/>
    </row>
    <row r="122" spans="2:4" x14ac:dyDescent="0.3">
      <c r="B122" s="15">
        <v>49583</v>
      </c>
      <c r="C122" s="16">
        <v>73945</v>
      </c>
      <c r="D122" s="9"/>
    </row>
    <row r="123" spans="2:4" x14ac:dyDescent="0.3">
      <c r="B123" s="15">
        <v>49614</v>
      </c>
      <c r="C123" s="16">
        <v>74202</v>
      </c>
      <c r="D123" s="9"/>
    </row>
    <row r="124" spans="2:4" x14ac:dyDescent="0.3">
      <c r="B124" s="15">
        <v>49644</v>
      </c>
      <c r="C124" s="16">
        <v>74484</v>
      </c>
      <c r="D124" s="9"/>
    </row>
    <row r="125" spans="2:4" x14ac:dyDescent="0.3">
      <c r="B125" s="15">
        <v>49675</v>
      </c>
      <c r="C125" s="16">
        <v>77660</v>
      </c>
      <c r="D125" s="9"/>
    </row>
    <row r="126" spans="2:4" x14ac:dyDescent="0.3">
      <c r="B126" s="15">
        <v>49706</v>
      </c>
      <c r="C126" s="16">
        <v>78439</v>
      </c>
      <c r="D126" s="9"/>
    </row>
    <row r="127" spans="2:4" x14ac:dyDescent="0.3">
      <c r="B127" s="15">
        <v>49735</v>
      </c>
      <c r="C127" s="16">
        <v>79208</v>
      </c>
      <c r="D127" s="9"/>
    </row>
    <row r="128" spans="2:4" x14ac:dyDescent="0.3">
      <c r="B128" s="15">
        <v>49766</v>
      </c>
      <c r="C128" s="16">
        <v>79952</v>
      </c>
      <c r="D128" s="9"/>
    </row>
    <row r="129" spans="2:4" x14ac:dyDescent="0.3">
      <c r="B129" s="15">
        <v>49796</v>
      </c>
      <c r="C129" s="16">
        <v>80741</v>
      </c>
      <c r="D129" s="9"/>
    </row>
    <row r="130" spans="2:4" x14ac:dyDescent="0.3">
      <c r="B130" s="15">
        <v>49827</v>
      </c>
      <c r="C130" s="16">
        <v>81530</v>
      </c>
      <c r="D130" s="9"/>
    </row>
    <row r="131" spans="2:4" x14ac:dyDescent="0.3">
      <c r="B131" s="15">
        <v>49857</v>
      </c>
      <c r="C131" s="16">
        <v>82309</v>
      </c>
      <c r="D131" s="9"/>
    </row>
    <row r="132" spans="2:4" x14ac:dyDescent="0.3">
      <c r="B132" s="15">
        <v>49888</v>
      </c>
      <c r="C132" s="16">
        <v>83003</v>
      </c>
      <c r="D132" s="9"/>
    </row>
    <row r="133" spans="2:4" x14ac:dyDescent="0.3">
      <c r="B133" s="15">
        <v>49919</v>
      </c>
      <c r="C133" s="16">
        <v>83767</v>
      </c>
      <c r="D133" s="9"/>
    </row>
    <row r="134" spans="2:4" x14ac:dyDescent="0.3">
      <c r="B134" s="15">
        <v>49949</v>
      </c>
      <c r="C134" s="16">
        <v>84611</v>
      </c>
      <c r="D134" s="9"/>
    </row>
    <row r="135" spans="2:4" x14ac:dyDescent="0.3">
      <c r="B135" s="15">
        <v>49980</v>
      </c>
      <c r="C135" s="16">
        <v>85339</v>
      </c>
      <c r="D135" s="9"/>
    </row>
    <row r="136" spans="2:4" x14ac:dyDescent="0.3">
      <c r="B136" s="15">
        <v>50010</v>
      </c>
      <c r="C136" s="16">
        <v>86068</v>
      </c>
      <c r="D136" s="9"/>
    </row>
    <row r="137" spans="2:4" x14ac:dyDescent="0.3">
      <c r="B137" s="15">
        <v>50041</v>
      </c>
      <c r="C137" s="16">
        <v>87507</v>
      </c>
      <c r="D137" s="9"/>
    </row>
    <row r="138" spans="2:4" x14ac:dyDescent="0.3">
      <c r="B138" s="15">
        <v>50072</v>
      </c>
      <c r="C138" s="16">
        <v>88276</v>
      </c>
      <c r="D138" s="9"/>
    </row>
    <row r="139" spans="2:4" x14ac:dyDescent="0.3">
      <c r="B139" s="15">
        <v>50100</v>
      </c>
      <c r="C139" s="16">
        <v>89031</v>
      </c>
      <c r="D139" s="9"/>
    </row>
    <row r="140" spans="2:4" x14ac:dyDescent="0.3">
      <c r="B140" s="15">
        <v>50131</v>
      </c>
      <c r="C140" s="16">
        <v>89765</v>
      </c>
      <c r="D140" s="9"/>
    </row>
    <row r="141" spans="2:4" x14ac:dyDescent="0.3">
      <c r="B141" s="15">
        <v>50161</v>
      </c>
      <c r="C141" s="16">
        <v>90590</v>
      </c>
      <c r="D141" s="9"/>
    </row>
    <row r="142" spans="2:4" x14ac:dyDescent="0.3">
      <c r="B142" s="15">
        <v>50192</v>
      </c>
      <c r="C142" s="16">
        <v>234567</v>
      </c>
      <c r="D142" s="9"/>
    </row>
    <row r="143" spans="2:4" x14ac:dyDescent="0.3">
      <c r="B143" s="15">
        <v>50222</v>
      </c>
      <c r="C143" s="16">
        <v>92129</v>
      </c>
      <c r="D143" s="9"/>
    </row>
    <row r="144" spans="2:4" x14ac:dyDescent="0.3">
      <c r="B144" s="15">
        <v>50253</v>
      </c>
      <c r="C144" s="16">
        <v>92903</v>
      </c>
      <c r="D144" s="9"/>
    </row>
    <row r="145" spans="2:4" x14ac:dyDescent="0.3">
      <c r="B145" s="15">
        <v>50284</v>
      </c>
      <c r="C145" s="16">
        <v>93612</v>
      </c>
      <c r="D145" s="9"/>
    </row>
    <row r="146" spans="2:4" x14ac:dyDescent="0.3">
      <c r="B146" s="15">
        <v>50314</v>
      </c>
      <c r="C146" s="16">
        <v>94432</v>
      </c>
      <c r="D146" s="9"/>
    </row>
    <row r="147" spans="2:4" x14ac:dyDescent="0.3">
      <c r="B147" s="15">
        <v>50345</v>
      </c>
      <c r="C147" s="16">
        <v>95221</v>
      </c>
      <c r="D147" s="9"/>
    </row>
    <row r="148" spans="2:4" x14ac:dyDescent="0.3">
      <c r="B148" s="15">
        <v>50375</v>
      </c>
      <c r="C148" s="16">
        <v>95971</v>
      </c>
      <c r="D148" s="9"/>
    </row>
    <row r="149" spans="2:4" x14ac:dyDescent="0.3">
      <c r="B149" s="15">
        <v>50406</v>
      </c>
      <c r="C149" s="16">
        <v>96646</v>
      </c>
      <c r="D149" s="9"/>
    </row>
    <row r="150" spans="2:4" x14ac:dyDescent="0.3">
      <c r="B150" s="15">
        <v>50437</v>
      </c>
      <c r="C150" s="16">
        <v>97395</v>
      </c>
      <c r="D150" s="9"/>
    </row>
    <row r="151" spans="2:4" x14ac:dyDescent="0.3">
      <c r="B151" s="15">
        <v>50465</v>
      </c>
      <c r="C151" s="16">
        <v>98149</v>
      </c>
      <c r="D151" s="9"/>
    </row>
    <row r="152" spans="2:4" x14ac:dyDescent="0.3">
      <c r="B152" s="15">
        <v>50496</v>
      </c>
      <c r="C152" s="16">
        <v>98953</v>
      </c>
      <c r="D152" s="9"/>
    </row>
    <row r="153" spans="2:4" x14ac:dyDescent="0.3">
      <c r="B153" s="15">
        <v>50526</v>
      </c>
      <c r="C153" s="16">
        <v>99777</v>
      </c>
      <c r="D153" s="9"/>
    </row>
    <row r="154" spans="2:4" x14ac:dyDescent="0.3">
      <c r="B154" s="15">
        <v>50557</v>
      </c>
      <c r="C154" s="16">
        <v>100541</v>
      </c>
      <c r="D154" s="9"/>
    </row>
    <row r="155" spans="2:4" x14ac:dyDescent="0.3">
      <c r="B155" s="15">
        <v>50587</v>
      </c>
      <c r="C155" s="16">
        <v>101305</v>
      </c>
      <c r="D155" s="9"/>
    </row>
    <row r="156" spans="2:4" x14ac:dyDescent="0.3">
      <c r="B156" s="15">
        <v>50618</v>
      </c>
      <c r="C156" s="16">
        <v>102079</v>
      </c>
      <c r="D156" s="9"/>
    </row>
    <row r="157" spans="2:4" x14ac:dyDescent="0.3">
      <c r="B157" s="15">
        <v>50649</v>
      </c>
      <c r="C157" s="16">
        <v>102828</v>
      </c>
      <c r="D157" s="9"/>
    </row>
    <row r="158" spans="2:4" x14ac:dyDescent="0.3">
      <c r="B158" s="15">
        <v>50679</v>
      </c>
      <c r="C158" s="16">
        <v>103547</v>
      </c>
      <c r="D158" s="9"/>
    </row>
    <row r="159" spans="2:4" x14ac:dyDescent="0.3">
      <c r="B159" s="15">
        <v>50710</v>
      </c>
      <c r="C159" s="16">
        <v>104396</v>
      </c>
      <c r="D159" s="9"/>
    </row>
    <row r="160" spans="2:4" x14ac:dyDescent="0.3">
      <c r="B160" s="15">
        <v>50740</v>
      </c>
      <c r="C160" s="16">
        <v>105155</v>
      </c>
      <c r="D160" s="9"/>
    </row>
    <row r="161" spans="2:4" x14ac:dyDescent="0.3">
      <c r="B161" s="15">
        <v>50771</v>
      </c>
      <c r="C161" s="16">
        <v>106682</v>
      </c>
      <c r="D161" s="9"/>
    </row>
    <row r="162" spans="2:4" x14ac:dyDescent="0.3">
      <c r="B162" s="15">
        <v>50802</v>
      </c>
      <c r="C162" s="16">
        <v>107512</v>
      </c>
      <c r="D162" s="9"/>
    </row>
    <row r="163" spans="2:4" x14ac:dyDescent="0.3">
      <c r="B163" s="15">
        <v>50830</v>
      </c>
      <c r="C163" s="16">
        <v>108317</v>
      </c>
      <c r="D163" s="9"/>
    </row>
    <row r="164" spans="2:4" x14ac:dyDescent="0.3">
      <c r="B164" s="15">
        <v>50861</v>
      </c>
      <c r="C164" s="16">
        <v>109027</v>
      </c>
      <c r="D164" s="9"/>
    </row>
    <row r="165" spans="2:4" x14ac:dyDescent="0.3">
      <c r="B165" s="15">
        <v>50891</v>
      </c>
      <c r="C165" s="16">
        <v>109842</v>
      </c>
      <c r="D165" s="9"/>
    </row>
    <row r="166" spans="2:4" x14ac:dyDescent="0.3">
      <c r="B166" s="15">
        <v>50922</v>
      </c>
      <c r="C166" s="16">
        <v>110627</v>
      </c>
      <c r="D166" s="9"/>
    </row>
    <row r="167" spans="2:4" x14ac:dyDescent="0.3">
      <c r="B167" s="15">
        <v>50952</v>
      </c>
      <c r="C167" s="16">
        <v>111417</v>
      </c>
      <c r="D167" s="9"/>
    </row>
    <row r="168" spans="2:4" x14ac:dyDescent="0.3">
      <c r="B168" s="15">
        <v>50983</v>
      </c>
      <c r="C168" s="16">
        <v>112092</v>
      </c>
      <c r="D168" s="9"/>
    </row>
    <row r="169" spans="2:4" x14ac:dyDescent="0.3">
      <c r="B169" s="15">
        <v>51014</v>
      </c>
      <c r="C169" s="16">
        <v>112952</v>
      </c>
      <c r="D169" s="9"/>
    </row>
    <row r="170" spans="2:4" x14ac:dyDescent="0.3">
      <c r="B170" s="15">
        <v>51044</v>
      </c>
      <c r="C170" s="16">
        <v>113667</v>
      </c>
      <c r="D170" s="9"/>
    </row>
    <row r="171" spans="2:4" x14ac:dyDescent="0.3">
      <c r="B171" s="15">
        <v>51075</v>
      </c>
      <c r="C171" s="16">
        <v>114487</v>
      </c>
      <c r="D171" s="9"/>
    </row>
    <row r="172" spans="2:4" x14ac:dyDescent="0.3">
      <c r="B172" s="15">
        <v>51105</v>
      </c>
      <c r="C172" s="16">
        <v>115227</v>
      </c>
      <c r="D172" s="9"/>
    </row>
    <row r="173" spans="2:4" x14ac:dyDescent="0.3">
      <c r="B173" s="15">
        <v>51136</v>
      </c>
      <c r="C173" s="16">
        <v>115601</v>
      </c>
      <c r="D173" s="9"/>
    </row>
    <row r="174" spans="2:4" x14ac:dyDescent="0.3">
      <c r="B174" s="15">
        <v>51167</v>
      </c>
      <c r="C174" s="16">
        <v>116418</v>
      </c>
      <c r="D174" s="9"/>
    </row>
    <row r="175" spans="2:4" x14ac:dyDescent="0.3">
      <c r="B175" s="15">
        <v>51196</v>
      </c>
      <c r="C175" s="16">
        <v>117110</v>
      </c>
      <c r="D175" s="9"/>
    </row>
    <row r="176" spans="2:4" x14ac:dyDescent="0.3">
      <c r="B176" s="15">
        <v>51227</v>
      </c>
      <c r="C176" s="16">
        <v>117897</v>
      </c>
      <c r="D176" s="9"/>
    </row>
    <row r="177" spans="2:4" x14ac:dyDescent="0.3">
      <c r="B177" s="15">
        <v>51257</v>
      </c>
      <c r="C177" s="16">
        <v>118655</v>
      </c>
      <c r="D177" s="9"/>
    </row>
    <row r="178" spans="2:4" x14ac:dyDescent="0.3">
      <c r="B178" s="15">
        <v>51288</v>
      </c>
      <c r="C178" s="16">
        <v>119472</v>
      </c>
      <c r="D178" s="9"/>
    </row>
    <row r="179" spans="2:4" x14ac:dyDescent="0.3">
      <c r="B179" s="15">
        <v>51318</v>
      </c>
      <c r="C179" s="16">
        <v>120234</v>
      </c>
      <c r="D179" s="9"/>
    </row>
    <row r="180" spans="2:4" x14ac:dyDescent="0.3">
      <c r="B180" s="15">
        <v>51349</v>
      </c>
      <c r="C180" s="16">
        <v>121022</v>
      </c>
      <c r="D180" s="9"/>
    </row>
    <row r="181" spans="2:4" x14ac:dyDescent="0.3">
      <c r="B181" s="15">
        <v>51380</v>
      </c>
      <c r="C181" s="16">
        <v>121794</v>
      </c>
      <c r="D181" s="9"/>
    </row>
    <row r="182" spans="2:4" x14ac:dyDescent="0.3">
      <c r="B182" s="15">
        <v>51410</v>
      </c>
      <c r="C182" s="16">
        <v>122596</v>
      </c>
      <c r="D182" s="9"/>
    </row>
    <row r="183" spans="2:4" x14ac:dyDescent="0.3">
      <c r="B183" s="15">
        <v>51441</v>
      </c>
      <c r="C183" s="16">
        <v>123288</v>
      </c>
      <c r="D183" s="9"/>
    </row>
    <row r="184" spans="2:4" x14ac:dyDescent="0.3">
      <c r="B184" s="15">
        <v>51471</v>
      </c>
      <c r="C184" s="16">
        <v>124126</v>
      </c>
      <c r="D184" s="9"/>
    </row>
    <row r="185" spans="2:4" x14ac:dyDescent="0.3">
      <c r="B185" s="15">
        <v>51502</v>
      </c>
      <c r="C185" s="16">
        <v>121209</v>
      </c>
      <c r="D185" s="9"/>
    </row>
    <row r="186" spans="2:4" x14ac:dyDescent="0.3">
      <c r="B186" s="15">
        <v>51533</v>
      </c>
      <c r="C186" s="16">
        <v>122745</v>
      </c>
      <c r="D186" s="9"/>
    </row>
    <row r="187" spans="2:4" x14ac:dyDescent="0.3">
      <c r="B187" s="15">
        <v>51561</v>
      </c>
      <c r="C187" s="16">
        <v>124255</v>
      </c>
      <c r="D187" s="9"/>
    </row>
    <row r="188" spans="2:4" x14ac:dyDescent="0.3">
      <c r="B188" s="15">
        <v>51592</v>
      </c>
      <c r="C188" s="16">
        <v>125696</v>
      </c>
      <c r="D188" s="9"/>
    </row>
    <row r="189" spans="2:4" x14ac:dyDescent="0.3">
      <c r="B189" s="15">
        <v>51622</v>
      </c>
      <c r="C189" s="16">
        <v>127206</v>
      </c>
      <c r="D189" s="9"/>
    </row>
    <row r="190" spans="2:4" x14ac:dyDescent="0.3">
      <c r="B190" s="15">
        <v>51653</v>
      </c>
      <c r="C190" s="16">
        <v>128722</v>
      </c>
      <c r="D190" s="9"/>
    </row>
    <row r="191" spans="2:4" x14ac:dyDescent="0.3">
      <c r="B191" s="15">
        <v>51683</v>
      </c>
      <c r="C191" s="16">
        <v>130182</v>
      </c>
      <c r="D191" s="9"/>
    </row>
    <row r="192" spans="2:4" x14ac:dyDescent="0.3">
      <c r="B192" s="15">
        <v>51714</v>
      </c>
      <c r="C192" s="16">
        <v>131677</v>
      </c>
      <c r="D192" s="9"/>
    </row>
    <row r="193" spans="2:4" x14ac:dyDescent="0.3">
      <c r="B193" s="15">
        <v>51745</v>
      </c>
      <c r="C193" s="16">
        <v>133188</v>
      </c>
      <c r="D193" s="9"/>
    </row>
    <row r="194" spans="2:4" x14ac:dyDescent="0.3">
      <c r="B194" s="15">
        <v>51775</v>
      </c>
      <c r="C194" s="16">
        <v>134668</v>
      </c>
      <c r="D194" s="9"/>
    </row>
    <row r="195" spans="2:4" x14ac:dyDescent="0.3">
      <c r="B195" s="15">
        <v>51806</v>
      </c>
      <c r="C195" s="16">
        <v>136124</v>
      </c>
      <c r="D195" s="9"/>
    </row>
    <row r="196" spans="2:4" x14ac:dyDescent="0.3">
      <c r="B196" s="15">
        <v>51836</v>
      </c>
      <c r="C196" s="16">
        <v>137609</v>
      </c>
      <c r="D196" s="9"/>
    </row>
    <row r="197" spans="2:4" x14ac:dyDescent="0.3">
      <c r="B197" s="15">
        <v>51867</v>
      </c>
      <c r="C197" s="16">
        <v>131999</v>
      </c>
      <c r="D197" s="9"/>
    </row>
    <row r="198" spans="2:4" x14ac:dyDescent="0.3">
      <c r="B198" s="15">
        <v>51898</v>
      </c>
      <c r="C198" s="16">
        <v>133433</v>
      </c>
      <c r="D198" s="9"/>
    </row>
    <row r="199" spans="2:4" x14ac:dyDescent="0.3">
      <c r="B199" s="15">
        <v>51926</v>
      </c>
      <c r="C199" s="16">
        <v>134868</v>
      </c>
      <c r="D199" s="9"/>
    </row>
    <row r="200" spans="2:4" x14ac:dyDescent="0.3">
      <c r="B200" s="15">
        <v>51957</v>
      </c>
      <c r="C200" s="16">
        <v>136232</v>
      </c>
      <c r="D200" s="9"/>
    </row>
    <row r="201" spans="2:4" x14ac:dyDescent="0.3">
      <c r="B201" s="15">
        <v>51987</v>
      </c>
      <c r="C201" s="16">
        <v>137661</v>
      </c>
      <c r="D201" s="9"/>
    </row>
    <row r="202" spans="2:4" x14ac:dyDescent="0.3">
      <c r="B202" s="15">
        <v>52018</v>
      </c>
      <c r="C202" s="16">
        <v>139080</v>
      </c>
      <c r="D202" s="9"/>
    </row>
    <row r="203" spans="2:4" x14ac:dyDescent="0.3">
      <c r="B203" s="15">
        <v>52048</v>
      </c>
      <c r="C203" s="16">
        <v>140475</v>
      </c>
      <c r="D203" s="9"/>
    </row>
    <row r="204" spans="2:4" x14ac:dyDescent="0.3">
      <c r="B204" s="15">
        <v>52079</v>
      </c>
      <c r="C204" s="16">
        <v>141889</v>
      </c>
      <c r="D204" s="9"/>
    </row>
    <row r="205" spans="2:4" x14ac:dyDescent="0.3">
      <c r="B205" s="15">
        <v>52110</v>
      </c>
      <c r="C205" s="16">
        <v>143328</v>
      </c>
      <c r="D205" s="9"/>
    </row>
    <row r="206" spans="2:4" x14ac:dyDescent="0.3">
      <c r="B206" s="15">
        <v>52140</v>
      </c>
      <c r="C206" s="16">
        <v>144773</v>
      </c>
      <c r="D206" s="9"/>
    </row>
    <row r="207" spans="2:4" x14ac:dyDescent="0.3">
      <c r="B207" s="15">
        <v>52171</v>
      </c>
      <c r="C207" s="16">
        <v>146202</v>
      </c>
      <c r="D207" s="9"/>
    </row>
    <row r="208" spans="2:4" x14ac:dyDescent="0.3">
      <c r="B208" s="15">
        <v>52201</v>
      </c>
      <c r="C208" s="16">
        <v>147606</v>
      </c>
      <c r="D208" s="9"/>
    </row>
    <row r="209" spans="2:4" x14ac:dyDescent="0.3">
      <c r="B209" s="15">
        <v>52232</v>
      </c>
      <c r="C209" s="16">
        <v>143505</v>
      </c>
      <c r="D209" s="9"/>
    </row>
    <row r="210" spans="2:4" x14ac:dyDescent="0.3">
      <c r="B210" s="15">
        <v>52263</v>
      </c>
      <c r="C210" s="16">
        <v>144862</v>
      </c>
      <c r="D210" s="9"/>
    </row>
    <row r="211" spans="2:4" x14ac:dyDescent="0.3">
      <c r="B211" s="15">
        <v>52291</v>
      </c>
      <c r="C211" s="16">
        <v>146179</v>
      </c>
      <c r="D211" s="9"/>
    </row>
    <row r="212" spans="2:4" x14ac:dyDescent="0.3">
      <c r="B212" s="15">
        <v>52322</v>
      </c>
      <c r="C212" s="16">
        <v>147612</v>
      </c>
      <c r="D212" s="9"/>
    </row>
    <row r="213" spans="2:4" x14ac:dyDescent="0.3">
      <c r="B213" s="15">
        <v>52352</v>
      </c>
      <c r="C213" s="16">
        <v>148949</v>
      </c>
      <c r="D213" s="9"/>
    </row>
    <row r="214" spans="2:4" x14ac:dyDescent="0.3">
      <c r="B214" s="15">
        <v>52383</v>
      </c>
      <c r="C214" s="16">
        <v>150276</v>
      </c>
      <c r="D214" s="9"/>
    </row>
    <row r="215" spans="2:4" x14ac:dyDescent="0.3">
      <c r="B215" s="15">
        <v>52413</v>
      </c>
      <c r="C215" s="16">
        <v>151688</v>
      </c>
      <c r="D215" s="9"/>
    </row>
    <row r="216" spans="2:4" x14ac:dyDescent="0.3">
      <c r="B216" s="15">
        <v>52444</v>
      </c>
      <c r="C216" s="16">
        <v>153035</v>
      </c>
      <c r="D216" s="9"/>
    </row>
    <row r="217" spans="2:4" x14ac:dyDescent="0.3">
      <c r="B217" s="15">
        <v>52475</v>
      </c>
      <c r="C217" s="16">
        <v>154357</v>
      </c>
      <c r="D217" s="9"/>
    </row>
    <row r="218" spans="2:4" x14ac:dyDescent="0.3">
      <c r="B218" s="15">
        <v>52505</v>
      </c>
      <c r="C218" s="16">
        <v>155754</v>
      </c>
      <c r="D218" s="9"/>
    </row>
    <row r="219" spans="2:4" x14ac:dyDescent="0.3">
      <c r="B219" s="15">
        <v>52536</v>
      </c>
      <c r="C219" s="16">
        <v>157086</v>
      </c>
      <c r="D219" s="9"/>
    </row>
    <row r="220" spans="2:4" x14ac:dyDescent="0.3">
      <c r="B220" s="15">
        <v>52566</v>
      </c>
      <c r="C220" s="16">
        <v>158438</v>
      </c>
      <c r="D220" s="9"/>
    </row>
    <row r="221" spans="2:4" x14ac:dyDescent="0.3">
      <c r="B221" s="15">
        <v>52597</v>
      </c>
      <c r="C221" s="16">
        <v>155810</v>
      </c>
      <c r="D221" s="9"/>
    </row>
    <row r="222" spans="2:4" x14ac:dyDescent="0.3">
      <c r="B222" s="15">
        <v>52628</v>
      </c>
      <c r="C222" s="16">
        <v>157093</v>
      </c>
      <c r="D222" s="9"/>
    </row>
    <row r="223" spans="2:4" x14ac:dyDescent="0.3">
      <c r="B223" s="15">
        <v>52657</v>
      </c>
      <c r="C223" s="16">
        <v>158470</v>
      </c>
      <c r="D223" s="9"/>
    </row>
    <row r="224" spans="2:4" x14ac:dyDescent="0.3">
      <c r="B224" s="15">
        <v>52688</v>
      </c>
      <c r="C224" s="16">
        <v>159717</v>
      </c>
      <c r="D224" s="9"/>
    </row>
    <row r="225" spans="2:4" x14ac:dyDescent="0.3">
      <c r="B225" s="15">
        <v>52718</v>
      </c>
      <c r="C225" s="16">
        <v>161090</v>
      </c>
      <c r="D225" s="9"/>
    </row>
    <row r="226" spans="2:4" x14ac:dyDescent="0.3">
      <c r="B226" s="15">
        <v>52749</v>
      </c>
      <c r="C226" s="16">
        <v>162382</v>
      </c>
      <c r="D226" s="9"/>
    </row>
    <row r="227" spans="2:4" x14ac:dyDescent="0.3">
      <c r="B227" s="15">
        <v>52779</v>
      </c>
      <c r="C227" s="16">
        <v>163679</v>
      </c>
      <c r="D227" s="9"/>
    </row>
    <row r="228" spans="2:4" x14ac:dyDescent="0.3">
      <c r="B228" s="15">
        <v>52810</v>
      </c>
      <c r="C228" s="16">
        <v>165087</v>
      </c>
      <c r="D228" s="9"/>
    </row>
    <row r="229" spans="2:4" x14ac:dyDescent="0.3">
      <c r="B229" s="15">
        <v>52841</v>
      </c>
      <c r="C229" s="16">
        <v>166394</v>
      </c>
      <c r="D229" s="9"/>
    </row>
    <row r="230" spans="2:4" x14ac:dyDescent="0.3">
      <c r="B230" s="15">
        <v>52871</v>
      </c>
      <c r="C230" s="16">
        <v>167661</v>
      </c>
      <c r="D230" s="9"/>
    </row>
    <row r="231" spans="2:4" x14ac:dyDescent="0.3">
      <c r="B231" s="15">
        <v>52902</v>
      </c>
      <c r="C231" s="16">
        <v>169079</v>
      </c>
      <c r="D231" s="9"/>
    </row>
    <row r="232" spans="2:4" x14ac:dyDescent="0.3">
      <c r="B232" s="15">
        <v>52932</v>
      </c>
      <c r="C232" s="16">
        <v>170356</v>
      </c>
      <c r="D232" s="9"/>
    </row>
    <row r="233" spans="2:4" x14ac:dyDescent="0.3">
      <c r="B233" s="15">
        <v>52963</v>
      </c>
      <c r="C233" s="16">
        <v>168933</v>
      </c>
      <c r="D233" s="9"/>
    </row>
    <row r="234" spans="2:4" x14ac:dyDescent="0.3">
      <c r="B234" s="15">
        <v>52994</v>
      </c>
      <c r="C234" s="16">
        <v>170244</v>
      </c>
      <c r="D234" s="9"/>
    </row>
    <row r="235" spans="2:4" x14ac:dyDescent="0.3">
      <c r="B235" s="15">
        <v>53022</v>
      </c>
      <c r="C235" s="16">
        <v>171585</v>
      </c>
      <c r="D235" s="9"/>
    </row>
    <row r="236" spans="2:4" x14ac:dyDescent="0.3">
      <c r="B236" s="15">
        <v>53053</v>
      </c>
      <c r="C236" s="16">
        <v>172871</v>
      </c>
      <c r="D236" s="9"/>
    </row>
    <row r="237" spans="2:4" x14ac:dyDescent="0.3">
      <c r="B237" s="15">
        <v>53083</v>
      </c>
      <c r="C237" s="16">
        <v>174112</v>
      </c>
      <c r="D237" s="9"/>
    </row>
    <row r="238" spans="2:4" x14ac:dyDescent="0.3">
      <c r="B238" s="15">
        <v>53114</v>
      </c>
      <c r="C238" s="16">
        <v>175468</v>
      </c>
      <c r="D238" s="9"/>
    </row>
    <row r="239" spans="2:4" x14ac:dyDescent="0.3">
      <c r="B239" s="15">
        <v>53144</v>
      </c>
      <c r="C239" s="16">
        <v>176789</v>
      </c>
      <c r="D239" s="9"/>
    </row>
    <row r="240" spans="2:4" x14ac:dyDescent="0.3">
      <c r="B240" s="15">
        <v>53175</v>
      </c>
      <c r="C240" s="16">
        <v>178075</v>
      </c>
      <c r="D240" s="9"/>
    </row>
    <row r="241" spans="2:4" x14ac:dyDescent="0.3">
      <c r="B241" s="15">
        <v>53206</v>
      </c>
      <c r="C241" s="16">
        <v>179336</v>
      </c>
      <c r="D241" s="9"/>
    </row>
    <row r="242" spans="2:4" x14ac:dyDescent="0.3">
      <c r="B242" s="15">
        <v>53236</v>
      </c>
      <c r="C242" s="16">
        <v>180692</v>
      </c>
      <c r="D242" s="9"/>
    </row>
    <row r="243" spans="2:4" x14ac:dyDescent="0.3">
      <c r="B243" s="15">
        <v>53267</v>
      </c>
      <c r="C243" s="16">
        <v>181968</v>
      </c>
      <c r="D243" s="9"/>
    </row>
    <row r="244" spans="2:4" x14ac:dyDescent="0.3">
      <c r="B244" s="18">
        <v>53297</v>
      </c>
      <c r="C244" s="201">
        <v>183254</v>
      </c>
      <c r="D244" s="9"/>
    </row>
    <row r="245" spans="2:4" x14ac:dyDescent="0.3">
      <c r="C245" s="19"/>
    </row>
    <row r="247" spans="2:4" x14ac:dyDescent="0.3">
      <c r="C247" s="19"/>
    </row>
    <row r="249" spans="2:4" x14ac:dyDescent="0.3">
      <c r="C249" s="19"/>
    </row>
    <row r="251" spans="2:4" x14ac:dyDescent="0.3">
      <c r="C251" s="19"/>
    </row>
    <row r="253" spans="2:4" x14ac:dyDescent="0.3">
      <c r="C253" s="19"/>
    </row>
    <row r="255" spans="2:4" x14ac:dyDescent="0.3">
      <c r="C255" s="19"/>
    </row>
    <row r="257" spans="3:3" x14ac:dyDescent="0.3">
      <c r="C257" s="19"/>
    </row>
    <row r="259" spans="3:3" x14ac:dyDescent="0.3">
      <c r="C259" s="19"/>
    </row>
    <row r="261" spans="3:3" x14ac:dyDescent="0.3">
      <c r="C261" s="19"/>
    </row>
    <row r="263" spans="3:3" x14ac:dyDescent="0.3">
      <c r="C263" s="19"/>
    </row>
    <row r="265" spans="3:3" x14ac:dyDescent="0.3">
      <c r="C265" s="19"/>
    </row>
    <row r="267" spans="3:3" x14ac:dyDescent="0.3">
      <c r="C267" s="19"/>
    </row>
    <row r="269" spans="3:3" x14ac:dyDescent="0.3">
      <c r="C269" s="19"/>
    </row>
    <row r="271" spans="3:3" x14ac:dyDescent="0.3">
      <c r="C271" s="19"/>
    </row>
  </sheetData>
  <printOptions gridLinesSet="0"/>
  <pageMargins left="0.7" right="0.7" top="0.75" bottom="0.75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3"/>
  <sheetViews>
    <sheetView showGridLines="0" workbookViewId="0"/>
  </sheetViews>
  <sheetFormatPr defaultRowHeight="14.4" x14ac:dyDescent="0.3"/>
  <cols>
    <col min="1" max="1" width="5.44140625" customWidth="1"/>
    <col min="2" max="2" width="51.21875" customWidth="1"/>
    <col min="3" max="3" width="50.33203125" customWidth="1"/>
    <col min="4" max="4" width="9.77734375" customWidth="1"/>
    <col min="5" max="5" width="26.21875" bestFit="1" customWidth="1"/>
    <col min="6" max="6" width="11.5546875" bestFit="1" customWidth="1"/>
    <col min="7" max="7" width="10.44140625" bestFit="1" customWidth="1"/>
  </cols>
  <sheetData>
    <row r="1" spans="2:6" ht="15.6" x14ac:dyDescent="0.3">
      <c r="B1" s="20" t="s">
        <v>91</v>
      </c>
      <c r="E1" s="21" t="s">
        <v>92</v>
      </c>
    </row>
    <row r="2" spans="2:6" x14ac:dyDescent="0.3">
      <c r="D2" s="22"/>
      <c r="E2" s="23" t="s">
        <v>93</v>
      </c>
    </row>
    <row r="3" spans="2:6" x14ac:dyDescent="0.3">
      <c r="B3" s="24" t="s">
        <v>94</v>
      </c>
      <c r="C3" s="25">
        <v>46023</v>
      </c>
      <c r="E3" s="26" t="s">
        <v>95</v>
      </c>
    </row>
    <row r="4" spans="2:6" x14ac:dyDescent="0.3">
      <c r="B4" s="24" t="s">
        <v>96</v>
      </c>
      <c r="C4" s="27">
        <v>20</v>
      </c>
      <c r="D4" s="21" t="s">
        <v>97</v>
      </c>
      <c r="E4" s="28" t="s">
        <v>98</v>
      </c>
      <c r="F4" s="22"/>
    </row>
    <row r="5" spans="2:6" x14ac:dyDescent="0.3">
      <c r="B5" s="29" t="s">
        <v>190</v>
      </c>
      <c r="C5" s="30">
        <v>3000000000</v>
      </c>
      <c r="D5" s="21" t="s">
        <v>99</v>
      </c>
      <c r="E5" s="31" t="s">
        <v>100</v>
      </c>
      <c r="F5" s="22"/>
    </row>
    <row r="6" spans="2:6" x14ac:dyDescent="0.3">
      <c r="B6" s="32" t="s">
        <v>101</v>
      </c>
      <c r="C6" s="33">
        <v>7.0000000000000007E-2</v>
      </c>
      <c r="D6" s="21" t="s">
        <v>102</v>
      </c>
      <c r="E6" s="34" t="s">
        <v>103</v>
      </c>
      <c r="F6" s="22"/>
    </row>
    <row r="7" spans="2:6" x14ac:dyDescent="0.3">
      <c r="B7" s="29" t="s">
        <v>191</v>
      </c>
      <c r="C7" s="30">
        <v>3000</v>
      </c>
      <c r="D7" s="21" t="s">
        <v>99</v>
      </c>
      <c r="F7" s="35"/>
    </row>
    <row r="8" spans="2:6" x14ac:dyDescent="0.3">
      <c r="C8" s="36"/>
      <c r="D8" s="21"/>
      <c r="F8" s="37"/>
    </row>
    <row r="9" spans="2:6" x14ac:dyDescent="0.3">
      <c r="B9" s="21"/>
      <c r="F9" s="38"/>
    </row>
    <row r="10" spans="2:6" x14ac:dyDescent="0.3">
      <c r="B10" s="29" t="s">
        <v>182</v>
      </c>
      <c r="C10" s="30">
        <v>5000000</v>
      </c>
      <c r="E10" s="39"/>
    </row>
    <row r="11" spans="2:6" x14ac:dyDescent="0.3">
      <c r="B11" s="29" t="s">
        <v>184</v>
      </c>
      <c r="C11" s="33">
        <v>0.04</v>
      </c>
      <c r="E11" s="39"/>
    </row>
    <row r="13" spans="2:6" x14ac:dyDescent="0.3">
      <c r="B13" s="29" t="s">
        <v>104</v>
      </c>
      <c r="C13" s="40"/>
      <c r="D13" s="41"/>
    </row>
    <row r="14" spans="2:6" x14ac:dyDescent="0.3">
      <c r="B14" s="42">
        <v>2026</v>
      </c>
      <c r="C14" s="43">
        <v>0.05</v>
      </c>
      <c r="D14" s="41"/>
      <c r="F14" s="44"/>
    </row>
    <row r="15" spans="2:6" x14ac:dyDescent="0.3">
      <c r="B15" s="45">
        <f t="shared" ref="B15:B33" si="0">B14+1</f>
        <v>2027</v>
      </c>
      <c r="C15" s="46">
        <f t="shared" ref="C15:C33" si="1">C14+1%</f>
        <v>6.0000000000000005E-2</v>
      </c>
      <c r="D15" s="41"/>
    </row>
    <row r="16" spans="2:6" x14ac:dyDescent="0.3">
      <c r="B16" s="45">
        <f t="shared" si="0"/>
        <v>2028</v>
      </c>
      <c r="C16" s="46">
        <f t="shared" si="1"/>
        <v>7.0000000000000007E-2</v>
      </c>
      <c r="D16" s="41"/>
    </row>
    <row r="17" spans="2:4" x14ac:dyDescent="0.3">
      <c r="B17" s="45">
        <f t="shared" si="0"/>
        <v>2029</v>
      </c>
      <c r="C17" s="46">
        <f t="shared" si="1"/>
        <v>0.08</v>
      </c>
      <c r="D17" s="41"/>
    </row>
    <row r="18" spans="2:4" x14ac:dyDescent="0.3">
      <c r="B18" s="45">
        <f t="shared" si="0"/>
        <v>2030</v>
      </c>
      <c r="C18" s="46">
        <f t="shared" si="1"/>
        <v>0.09</v>
      </c>
      <c r="D18" s="41"/>
    </row>
    <row r="19" spans="2:4" x14ac:dyDescent="0.3">
      <c r="B19" s="45">
        <f t="shared" si="0"/>
        <v>2031</v>
      </c>
      <c r="C19" s="46">
        <f t="shared" si="1"/>
        <v>9.9999999999999992E-2</v>
      </c>
      <c r="D19" s="41"/>
    </row>
    <row r="20" spans="2:4" x14ac:dyDescent="0.3">
      <c r="B20" s="45">
        <f t="shared" si="0"/>
        <v>2032</v>
      </c>
      <c r="C20" s="46">
        <f t="shared" si="1"/>
        <v>0.10999999999999999</v>
      </c>
      <c r="D20" s="41"/>
    </row>
    <row r="21" spans="2:4" x14ac:dyDescent="0.3">
      <c r="B21" s="45">
        <f t="shared" si="0"/>
        <v>2033</v>
      </c>
      <c r="C21" s="46">
        <f t="shared" si="1"/>
        <v>0.11999999999999998</v>
      </c>
      <c r="D21" s="41"/>
    </row>
    <row r="22" spans="2:4" x14ac:dyDescent="0.3">
      <c r="B22" s="45">
        <f t="shared" si="0"/>
        <v>2034</v>
      </c>
      <c r="C22" s="46">
        <f t="shared" si="1"/>
        <v>0.12999999999999998</v>
      </c>
      <c r="D22" s="41"/>
    </row>
    <row r="23" spans="2:4" x14ac:dyDescent="0.3">
      <c r="B23" s="45">
        <f t="shared" si="0"/>
        <v>2035</v>
      </c>
      <c r="C23" s="46">
        <f t="shared" si="1"/>
        <v>0.13999999999999999</v>
      </c>
      <c r="D23" s="41"/>
    </row>
    <row r="24" spans="2:4" x14ac:dyDescent="0.3">
      <c r="B24" s="45">
        <f t="shared" si="0"/>
        <v>2036</v>
      </c>
      <c r="C24" s="46">
        <f t="shared" si="1"/>
        <v>0.15</v>
      </c>
      <c r="D24" s="41"/>
    </row>
    <row r="25" spans="2:4" x14ac:dyDescent="0.3">
      <c r="B25" s="45">
        <f t="shared" si="0"/>
        <v>2037</v>
      </c>
      <c r="C25" s="46">
        <f t="shared" si="1"/>
        <v>0.16</v>
      </c>
      <c r="D25" s="41"/>
    </row>
    <row r="26" spans="2:4" x14ac:dyDescent="0.3">
      <c r="B26" s="45">
        <f t="shared" si="0"/>
        <v>2038</v>
      </c>
      <c r="C26" s="46">
        <f t="shared" si="1"/>
        <v>0.17</v>
      </c>
      <c r="D26" s="41"/>
    </row>
    <row r="27" spans="2:4" x14ac:dyDescent="0.3">
      <c r="B27" s="45">
        <f t="shared" si="0"/>
        <v>2039</v>
      </c>
      <c r="C27" s="46">
        <f t="shared" si="1"/>
        <v>0.18000000000000002</v>
      </c>
      <c r="D27" s="41"/>
    </row>
    <row r="28" spans="2:4" x14ac:dyDescent="0.3">
      <c r="B28" s="45">
        <f t="shared" si="0"/>
        <v>2040</v>
      </c>
      <c r="C28" s="46">
        <f t="shared" si="1"/>
        <v>0.19000000000000003</v>
      </c>
      <c r="D28" s="41"/>
    </row>
    <row r="29" spans="2:4" x14ac:dyDescent="0.3">
      <c r="B29" s="45">
        <f t="shared" si="0"/>
        <v>2041</v>
      </c>
      <c r="C29" s="46">
        <f t="shared" si="1"/>
        <v>0.20000000000000004</v>
      </c>
      <c r="D29" s="41"/>
    </row>
    <row r="30" spans="2:4" x14ac:dyDescent="0.3">
      <c r="B30" s="45">
        <f t="shared" si="0"/>
        <v>2042</v>
      </c>
      <c r="C30" s="46">
        <f t="shared" si="1"/>
        <v>0.21000000000000005</v>
      </c>
      <c r="D30" s="41"/>
    </row>
    <row r="31" spans="2:4" x14ac:dyDescent="0.3">
      <c r="B31" s="45">
        <f t="shared" si="0"/>
        <v>2043</v>
      </c>
      <c r="C31" s="46">
        <f t="shared" si="1"/>
        <v>0.22000000000000006</v>
      </c>
      <c r="D31" s="41"/>
    </row>
    <row r="32" spans="2:4" x14ac:dyDescent="0.3">
      <c r="B32" s="45">
        <f t="shared" si="0"/>
        <v>2044</v>
      </c>
      <c r="C32" s="46">
        <f t="shared" si="1"/>
        <v>0.23000000000000007</v>
      </c>
      <c r="D32" s="41"/>
    </row>
    <row r="33" spans="1:5" x14ac:dyDescent="0.3">
      <c r="B33" s="47">
        <f t="shared" si="0"/>
        <v>2045</v>
      </c>
      <c r="C33" s="48">
        <f t="shared" si="1"/>
        <v>0.24000000000000007</v>
      </c>
      <c r="D33" s="41"/>
    </row>
    <row r="34" spans="1:5" x14ac:dyDescent="0.3">
      <c r="B34" s="49"/>
      <c r="C34" s="41"/>
      <c r="D34" s="41"/>
    </row>
    <row r="35" spans="1:5" x14ac:dyDescent="0.3">
      <c r="B35" s="49"/>
      <c r="C35" s="50"/>
      <c r="D35" s="41"/>
    </row>
    <row r="36" spans="1:5" ht="28.8" x14ac:dyDescent="0.3">
      <c r="B36" s="217" t="s">
        <v>192</v>
      </c>
      <c r="C36" s="51">
        <v>90</v>
      </c>
    </row>
    <row r="37" spans="1:5" x14ac:dyDescent="0.3">
      <c r="B37" s="29" t="s">
        <v>105</v>
      </c>
      <c r="C37" s="51">
        <v>50</v>
      </c>
      <c r="D37" s="21" t="s">
        <v>106</v>
      </c>
    </row>
    <row r="38" spans="1:5" x14ac:dyDescent="0.3">
      <c r="B38" s="29" t="s">
        <v>107</v>
      </c>
      <c r="C38" s="202">
        <v>438000</v>
      </c>
      <c r="D38" s="21" t="s">
        <v>106</v>
      </c>
    </row>
    <row r="40" spans="1:5" x14ac:dyDescent="0.3">
      <c r="B40" s="53" t="s">
        <v>193</v>
      </c>
      <c r="C40" s="52">
        <v>30000</v>
      </c>
      <c r="D40" s="21" t="s">
        <v>108</v>
      </c>
    </row>
    <row r="41" spans="1:5" x14ac:dyDescent="0.3">
      <c r="B41" s="53" t="s">
        <v>109</v>
      </c>
      <c r="C41" s="54">
        <v>0.03</v>
      </c>
      <c r="D41" s="21" t="s">
        <v>110</v>
      </c>
    </row>
    <row r="42" spans="1:5" x14ac:dyDescent="0.3">
      <c r="C42" s="55"/>
      <c r="D42" s="21"/>
    </row>
    <row r="43" spans="1:5" x14ac:dyDescent="0.3">
      <c r="B43" s="39" t="s">
        <v>185</v>
      </c>
      <c r="C43" s="55"/>
      <c r="D43" s="21"/>
    </row>
    <row r="44" spans="1:5" x14ac:dyDescent="0.3">
      <c r="B44" s="56" t="s">
        <v>111</v>
      </c>
      <c r="C44" s="57" t="s">
        <v>112</v>
      </c>
      <c r="D44" s="21"/>
    </row>
    <row r="45" spans="1:5" x14ac:dyDescent="0.3">
      <c r="A45" s="58">
        <v>2026</v>
      </c>
      <c r="B45" s="59" t="s">
        <v>113</v>
      </c>
      <c r="C45" s="60">
        <v>0</v>
      </c>
      <c r="D45" s="61"/>
      <c r="E45" s="44"/>
    </row>
    <row r="46" spans="1:5" x14ac:dyDescent="0.3">
      <c r="A46" s="58">
        <v>2041</v>
      </c>
      <c r="B46" s="62" t="s">
        <v>114</v>
      </c>
      <c r="C46" s="63">
        <v>0.03</v>
      </c>
      <c r="D46" s="61"/>
    </row>
    <row r="47" spans="1:5" x14ac:dyDescent="0.3">
      <c r="C47" s="55"/>
      <c r="D47" s="21"/>
    </row>
    <row r="48" spans="1:5" x14ac:dyDescent="0.3">
      <c r="B48" s="39" t="s">
        <v>115</v>
      </c>
      <c r="D48" s="21"/>
    </row>
    <row r="49" spans="2:21" x14ac:dyDescent="0.3">
      <c r="B49" s="218" t="s">
        <v>203</v>
      </c>
      <c r="C49" s="65">
        <v>150000</v>
      </c>
      <c r="D49" s="21" t="s">
        <v>116</v>
      </c>
    </row>
    <row r="50" spans="2:21" x14ac:dyDescent="0.3">
      <c r="B50" s="40" t="s">
        <v>117</v>
      </c>
      <c r="C50" s="65">
        <v>50000</v>
      </c>
      <c r="D50" s="21" t="s">
        <v>116</v>
      </c>
    </row>
    <row r="51" spans="2:21" x14ac:dyDescent="0.3">
      <c r="B51" s="66" t="s">
        <v>118</v>
      </c>
      <c r="C51" s="203">
        <v>0.03</v>
      </c>
      <c r="D51" s="21" t="s">
        <v>110</v>
      </c>
    </row>
    <row r="52" spans="2:21" x14ac:dyDescent="0.3">
      <c r="C52" s="50"/>
      <c r="D52" s="21"/>
    </row>
    <row r="53" spans="2:21" x14ac:dyDescent="0.3">
      <c r="D53" s="21"/>
    </row>
    <row r="54" spans="2:21" x14ac:dyDescent="0.3">
      <c r="D54" s="21"/>
    </row>
    <row r="55" spans="2:21" ht="15.6" x14ac:dyDescent="0.3">
      <c r="B55" s="67" t="s">
        <v>119</v>
      </c>
    </row>
    <row r="56" spans="2:21" x14ac:dyDescent="0.3">
      <c r="B56" s="64" t="s">
        <v>120</v>
      </c>
      <c r="C56" s="204">
        <v>1.2</v>
      </c>
      <c r="D56" s="21" t="s">
        <v>121</v>
      </c>
    </row>
    <row r="57" spans="2:21" x14ac:dyDescent="0.3">
      <c r="B57" s="40" t="s">
        <v>122</v>
      </c>
      <c r="C57" s="68">
        <v>1.4999999999999999E-2</v>
      </c>
      <c r="D57" s="21" t="s">
        <v>110</v>
      </c>
    </row>
    <row r="59" spans="2:21" x14ac:dyDescent="0.3">
      <c r="B59" s="69" t="s">
        <v>123</v>
      </c>
      <c r="C59" s="70">
        <v>0.1</v>
      </c>
      <c r="D59" s="21"/>
    </row>
    <row r="60" spans="2:21" x14ac:dyDescent="0.3">
      <c r="B60" s="69" t="s">
        <v>124</v>
      </c>
      <c r="C60" s="71">
        <v>300</v>
      </c>
      <c r="D60" s="21" t="s">
        <v>125</v>
      </c>
    </row>
    <row r="63" spans="2:21" x14ac:dyDescent="0.3"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</row>
  </sheetData>
  <printOptions gridLinesSet="0"/>
  <pageMargins left="0.7" right="0.7" top="0.75" bottom="0.7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49"/>
  <sheetViews>
    <sheetView showGridLines="0" topLeftCell="A138" zoomScale="80" zoomScaleNormal="80" workbookViewId="0"/>
  </sheetViews>
  <sheetFormatPr defaultRowHeight="14.4" x14ac:dyDescent="0.3"/>
  <cols>
    <col min="1" max="1" width="4.77734375" customWidth="1"/>
    <col min="2" max="2" width="22.77734375" customWidth="1"/>
    <col min="3" max="3" width="13.5546875" bestFit="1" customWidth="1"/>
    <col min="4" max="4" width="23.5546875" customWidth="1"/>
    <col min="15" max="15" width="17.21875" customWidth="1"/>
    <col min="16" max="16" width="22.77734375" customWidth="1"/>
    <col min="17" max="17" width="13.5546875" bestFit="1" customWidth="1"/>
    <col min="19" max="19" width="27.6640625" customWidth="1"/>
    <col min="37" max="37" width="11.109375" bestFit="1" customWidth="1"/>
  </cols>
  <sheetData>
    <row r="1" spans="1:31" x14ac:dyDescent="0.3">
      <c r="B1" s="73" t="s">
        <v>126</v>
      </c>
      <c r="C1" s="74">
        <f>COUNT(C$10:C$249)</f>
        <v>240</v>
      </c>
      <c r="D1" s="75" t="b">
        <f>C1=Parameters!$C$4*12</f>
        <v>1</v>
      </c>
      <c r="P1" s="73" t="s">
        <v>126</v>
      </c>
      <c r="Q1" s="74">
        <f>COUNT(Q$10:Q$249)</f>
        <v>240</v>
      </c>
      <c r="R1" s="75" t="b">
        <f>Q1=Parameters!$C$4*12</f>
        <v>1</v>
      </c>
    </row>
    <row r="2" spans="1:31" x14ac:dyDescent="0.3">
      <c r="B2" s="76" t="s">
        <v>127</v>
      </c>
      <c r="C2" s="77">
        <f>MAX(C10:C249)</f>
        <v>234567</v>
      </c>
      <c r="D2" s="78"/>
      <c r="P2" s="76" t="s">
        <v>127</v>
      </c>
      <c r="Q2" s="77">
        <f>MAX(Q10:Q249)</f>
        <v>183254</v>
      </c>
      <c r="R2" s="78"/>
      <c r="Z2" s="9"/>
      <c r="AA2" s="9"/>
      <c r="AB2" s="9"/>
      <c r="AC2" s="9"/>
      <c r="AD2" s="9"/>
      <c r="AE2" s="9"/>
    </row>
    <row r="3" spans="1:31" x14ac:dyDescent="0.3">
      <c r="B3" s="76" t="s">
        <v>128</v>
      </c>
      <c r="C3" s="77">
        <f>AVERAGE(C10:C249)</f>
        <v>85041.766666666663</v>
      </c>
      <c r="D3" s="79"/>
      <c r="P3" s="76" t="s">
        <v>128</v>
      </c>
      <c r="Q3" s="77">
        <f>AVERAGE(Q10:Q249)</f>
        <v>84963.581250000003</v>
      </c>
      <c r="R3" s="79"/>
      <c r="Z3" s="9"/>
      <c r="AA3" s="9"/>
      <c r="AB3" s="9"/>
      <c r="AC3" s="9"/>
      <c r="AD3" s="9"/>
      <c r="AE3" s="9"/>
    </row>
    <row r="4" spans="1:31" x14ac:dyDescent="0.3">
      <c r="B4" s="76" t="s">
        <v>129</v>
      </c>
      <c r="C4" s="77">
        <f>MIN(C10:C249)</f>
        <v>-52248</v>
      </c>
      <c r="D4" s="78" t="b">
        <f>C4&gt;0</f>
        <v>0</v>
      </c>
      <c r="P4" s="76" t="s">
        <v>129</v>
      </c>
      <c r="Q4" s="77">
        <f>MIN(Q10:Q249)</f>
        <v>16755</v>
      </c>
      <c r="R4" s="78" t="b">
        <f>Q4&gt;0</f>
        <v>1</v>
      </c>
      <c r="Z4" s="9"/>
      <c r="AA4" s="9"/>
      <c r="AB4" s="9"/>
      <c r="AC4" s="9"/>
      <c r="AD4" s="9"/>
      <c r="AE4" s="9"/>
    </row>
    <row r="5" spans="1:31" ht="15.45" customHeight="1" x14ac:dyDescent="0.3">
      <c r="B5" s="80" t="s">
        <v>130</v>
      </c>
      <c r="C5" s="81">
        <f>COUNTIF($C$10:$C$249,"&lt;=0")</f>
        <v>1</v>
      </c>
      <c r="D5" s="78" t="b">
        <f>C5=0</f>
        <v>0</v>
      </c>
      <c r="F5" s="9"/>
      <c r="G5" s="9"/>
      <c r="H5" s="9"/>
      <c r="I5" s="9"/>
      <c r="J5" s="9"/>
      <c r="K5" s="9"/>
      <c r="L5" s="9"/>
      <c r="M5" s="9"/>
      <c r="N5" s="9"/>
      <c r="P5" s="80" t="s">
        <v>130</v>
      </c>
      <c r="Q5" s="81">
        <f>COUNTIF($Q$10:$Q$249,"&lt;=0")</f>
        <v>0</v>
      </c>
      <c r="R5" s="78" t="b">
        <f>Q5=0</f>
        <v>1</v>
      </c>
      <c r="S5" s="9"/>
      <c r="Z5" s="9"/>
      <c r="AA5" s="9"/>
      <c r="AB5" s="9"/>
      <c r="AC5" s="9"/>
      <c r="AD5" s="9"/>
      <c r="AE5" s="9"/>
    </row>
    <row r="7" spans="1:31" x14ac:dyDescent="0.3">
      <c r="B7" s="82" t="s">
        <v>131</v>
      </c>
      <c r="P7" s="82" t="s">
        <v>132</v>
      </c>
    </row>
    <row r="8" spans="1:31" x14ac:dyDescent="0.3">
      <c r="B8" s="39" t="s">
        <v>4</v>
      </c>
      <c r="P8" s="39" t="s">
        <v>4</v>
      </c>
    </row>
    <row r="9" spans="1:31" x14ac:dyDescent="0.3">
      <c r="A9" s="83"/>
      <c r="B9" s="84" t="s">
        <v>3</v>
      </c>
      <c r="C9" s="85" t="str">
        <f>Raw_data!C4</f>
        <v>Petrol car sales</v>
      </c>
      <c r="D9" s="21"/>
      <c r="J9" s="83"/>
      <c r="K9" s="83"/>
      <c r="L9" s="83"/>
      <c r="M9" s="83"/>
      <c r="N9" s="83"/>
      <c r="P9" s="84" t="str">
        <f t="shared" ref="P9:Q15" si="0">B9</f>
        <v>Month</v>
      </c>
      <c r="Q9" s="85" t="str">
        <f t="shared" si="0"/>
        <v>Petrol car sales</v>
      </c>
      <c r="R9" s="86" t="s">
        <v>133</v>
      </c>
    </row>
    <row r="10" spans="1:31" x14ac:dyDescent="0.3">
      <c r="B10" s="15">
        <f>Raw_data!B5</f>
        <v>46023</v>
      </c>
      <c r="C10" s="77">
        <f>Raw_data!C5</f>
        <v>16755</v>
      </c>
      <c r="J10" s="9"/>
      <c r="K10" s="9"/>
      <c r="L10" s="9"/>
      <c r="M10" s="9"/>
      <c r="N10" s="9"/>
      <c r="P10" s="87">
        <f t="shared" si="0"/>
        <v>46023</v>
      </c>
      <c r="Q10" s="88">
        <f t="shared" si="0"/>
        <v>16755</v>
      </c>
      <c r="R10" s="9"/>
      <c r="T10" s="9"/>
    </row>
    <row r="11" spans="1:31" x14ac:dyDescent="0.3">
      <c r="B11" s="15">
        <f>Raw_data!B6</f>
        <v>46054</v>
      </c>
      <c r="C11" s="77">
        <f>Raw_data!C6</f>
        <v>18135</v>
      </c>
      <c r="J11" s="9"/>
      <c r="K11" s="9"/>
      <c r="L11" s="9"/>
      <c r="M11" s="9"/>
      <c r="N11" s="9"/>
      <c r="P11" s="87">
        <f t="shared" si="0"/>
        <v>46054</v>
      </c>
      <c r="Q11" s="88">
        <f t="shared" si="0"/>
        <v>18135</v>
      </c>
      <c r="R11" s="9"/>
      <c r="T11" s="9"/>
    </row>
    <row r="12" spans="1:31" x14ac:dyDescent="0.3">
      <c r="B12" s="15">
        <f>Raw_data!B7</f>
        <v>46082</v>
      </c>
      <c r="C12" s="77">
        <f>Raw_data!C7</f>
        <v>19675</v>
      </c>
      <c r="J12" s="9"/>
      <c r="K12" s="9"/>
      <c r="L12" s="9"/>
      <c r="M12" s="9"/>
      <c r="N12" s="9"/>
      <c r="P12" s="87">
        <f t="shared" si="0"/>
        <v>46082</v>
      </c>
      <c r="Q12" s="88">
        <f t="shared" si="0"/>
        <v>19675</v>
      </c>
      <c r="R12" s="9"/>
      <c r="T12" s="9"/>
    </row>
    <row r="13" spans="1:31" x14ac:dyDescent="0.3">
      <c r="B13" s="15">
        <f>Raw_data!B8</f>
        <v>46113</v>
      </c>
      <c r="C13" s="77">
        <f>Raw_data!C8</f>
        <v>21170</v>
      </c>
      <c r="J13" s="9"/>
      <c r="K13" s="9"/>
      <c r="L13" s="9"/>
      <c r="M13" s="9"/>
      <c r="N13" s="9"/>
      <c r="P13" s="87">
        <f t="shared" si="0"/>
        <v>46113</v>
      </c>
      <c r="Q13" s="88">
        <f t="shared" si="0"/>
        <v>21170</v>
      </c>
      <c r="R13" s="9"/>
      <c r="T13" s="9"/>
    </row>
    <row r="14" spans="1:31" x14ac:dyDescent="0.3">
      <c r="B14" s="15">
        <f>Raw_data!B9</f>
        <v>46143</v>
      </c>
      <c r="C14" s="77">
        <f>Raw_data!C9</f>
        <v>21300</v>
      </c>
      <c r="J14" s="9"/>
      <c r="K14" s="9"/>
      <c r="L14" s="9"/>
      <c r="M14" s="9"/>
      <c r="N14" s="9"/>
      <c r="P14" s="87">
        <f t="shared" si="0"/>
        <v>46143</v>
      </c>
      <c r="Q14" s="88">
        <f t="shared" si="0"/>
        <v>21300</v>
      </c>
      <c r="R14" s="9"/>
      <c r="T14" s="9"/>
    </row>
    <row r="15" spans="1:31" x14ac:dyDescent="0.3">
      <c r="B15" s="15">
        <f>Raw_data!B10</f>
        <v>46174</v>
      </c>
      <c r="C15" s="77">
        <f>Raw_data!C10</f>
        <v>21630</v>
      </c>
      <c r="D15" s="21"/>
      <c r="P15" s="87">
        <f t="shared" ref="P15:P78" si="1">B15</f>
        <v>46174</v>
      </c>
      <c r="Q15" s="88">
        <f t="shared" si="0"/>
        <v>21630</v>
      </c>
      <c r="R15" s="90"/>
      <c r="T15" s="9"/>
    </row>
    <row r="16" spans="1:31" x14ac:dyDescent="0.3">
      <c r="B16" s="15">
        <f>Raw_data!B11</f>
        <v>46204</v>
      </c>
      <c r="C16" s="77">
        <f>Raw_data!C11</f>
        <v>23100</v>
      </c>
      <c r="D16" s="9"/>
      <c r="P16" s="87">
        <f t="shared" si="1"/>
        <v>46204</v>
      </c>
      <c r="Q16" s="88">
        <f t="shared" ref="Q16:Q29" si="2">C16</f>
        <v>23100</v>
      </c>
      <c r="R16" s="9"/>
      <c r="T16" s="9"/>
    </row>
    <row r="17" spans="2:20" x14ac:dyDescent="0.3">
      <c r="B17" s="15">
        <f>Raw_data!B12</f>
        <v>46235</v>
      </c>
      <c r="C17" s="77">
        <f>Raw_data!C12</f>
        <v>24800</v>
      </c>
      <c r="D17" s="9"/>
      <c r="P17" s="87">
        <f t="shared" si="1"/>
        <v>46235</v>
      </c>
      <c r="Q17" s="88">
        <f t="shared" si="2"/>
        <v>24800</v>
      </c>
      <c r="R17" s="9"/>
      <c r="T17" s="9"/>
    </row>
    <row r="18" spans="2:20" x14ac:dyDescent="0.3">
      <c r="B18" s="15">
        <f>Raw_data!B13</f>
        <v>46266</v>
      </c>
      <c r="C18" s="77">
        <f>Raw_data!C13</f>
        <v>26430</v>
      </c>
      <c r="D18" s="9"/>
      <c r="P18" s="87">
        <f t="shared" si="1"/>
        <v>46266</v>
      </c>
      <c r="Q18" s="88">
        <f t="shared" si="2"/>
        <v>26430</v>
      </c>
      <c r="R18" s="9"/>
      <c r="T18" s="9"/>
    </row>
    <row r="19" spans="2:20" x14ac:dyDescent="0.3">
      <c r="B19" s="15">
        <f>Raw_data!B14</f>
        <v>46296</v>
      </c>
      <c r="C19" s="77">
        <f>Raw_data!C14</f>
        <v>28335</v>
      </c>
      <c r="D19" s="9"/>
      <c r="P19" s="87">
        <f t="shared" si="1"/>
        <v>46296</v>
      </c>
      <c r="Q19" s="88">
        <f t="shared" si="2"/>
        <v>28335</v>
      </c>
      <c r="R19" s="9"/>
      <c r="T19" s="9"/>
    </row>
    <row r="20" spans="2:20" x14ac:dyDescent="0.3">
      <c r="B20" s="15">
        <f>Raw_data!B15</f>
        <v>46327</v>
      </c>
      <c r="C20" s="77">
        <f>Raw_data!C15</f>
        <v>25925</v>
      </c>
      <c r="D20" s="9"/>
      <c r="P20" s="87">
        <f t="shared" si="1"/>
        <v>46327</v>
      </c>
      <c r="Q20" s="88">
        <f t="shared" si="2"/>
        <v>25925</v>
      </c>
      <c r="R20" s="9"/>
      <c r="T20" s="9"/>
    </row>
    <row r="21" spans="2:20" x14ac:dyDescent="0.3">
      <c r="B21" s="15">
        <f>Raw_data!B16</f>
        <v>46357</v>
      </c>
      <c r="C21" s="77">
        <f>Raw_data!C16</f>
        <v>27470</v>
      </c>
      <c r="D21" s="9"/>
      <c r="P21" s="87">
        <f t="shared" si="1"/>
        <v>46357</v>
      </c>
      <c r="Q21" s="88">
        <f t="shared" si="2"/>
        <v>27470</v>
      </c>
      <c r="R21" s="9"/>
      <c r="T21" s="9"/>
    </row>
    <row r="22" spans="2:20" x14ac:dyDescent="0.3">
      <c r="B22" s="15">
        <f>Raw_data!B17</f>
        <v>46388</v>
      </c>
      <c r="C22" s="77">
        <f>Raw_data!C17</f>
        <v>19233</v>
      </c>
      <c r="D22" s="9"/>
      <c r="P22" s="87">
        <f t="shared" si="1"/>
        <v>46388</v>
      </c>
      <c r="Q22" s="88">
        <f t="shared" si="2"/>
        <v>19233</v>
      </c>
      <c r="R22" s="9"/>
      <c r="T22" s="9"/>
    </row>
    <row r="23" spans="2:20" x14ac:dyDescent="0.3">
      <c r="B23" s="15">
        <f>Raw_data!B18</f>
        <v>46419</v>
      </c>
      <c r="C23" s="77">
        <f>Raw_data!C18</f>
        <v>20375</v>
      </c>
      <c r="D23" s="9"/>
      <c r="P23" s="87">
        <f t="shared" si="1"/>
        <v>46419</v>
      </c>
      <c r="Q23" s="88">
        <f t="shared" si="2"/>
        <v>20375</v>
      </c>
      <c r="R23" s="9"/>
      <c r="T23" s="9"/>
    </row>
    <row r="24" spans="2:20" x14ac:dyDescent="0.3">
      <c r="B24" s="15">
        <f>Raw_data!B19</f>
        <v>46447</v>
      </c>
      <c r="C24" s="77">
        <f>Raw_data!C19</f>
        <v>21570</v>
      </c>
      <c r="D24" s="9"/>
      <c r="P24" s="87">
        <f t="shared" si="1"/>
        <v>46447</v>
      </c>
      <c r="Q24" s="88">
        <f t="shared" si="2"/>
        <v>21570</v>
      </c>
      <c r="R24" s="9"/>
      <c r="T24" s="9"/>
    </row>
    <row r="25" spans="2:20" x14ac:dyDescent="0.3">
      <c r="B25" s="15">
        <f>Raw_data!B20</f>
        <v>46478</v>
      </c>
      <c r="C25" s="77">
        <f>Raw_data!C20</f>
        <v>21697</v>
      </c>
      <c r="P25" s="87">
        <f t="shared" si="1"/>
        <v>46478</v>
      </c>
      <c r="Q25" s="88">
        <f t="shared" si="2"/>
        <v>21697</v>
      </c>
      <c r="T25" s="9"/>
    </row>
    <row r="26" spans="2:20" x14ac:dyDescent="0.3">
      <c r="B26" s="15">
        <f>Raw_data!B21</f>
        <v>46508</v>
      </c>
      <c r="C26" s="77">
        <f>Raw_data!C21</f>
        <v>24181</v>
      </c>
      <c r="D26" s="9"/>
      <c r="P26" s="87">
        <f t="shared" si="1"/>
        <v>46508</v>
      </c>
      <c r="Q26" s="88">
        <f t="shared" si="2"/>
        <v>24181</v>
      </c>
      <c r="R26" s="9"/>
      <c r="T26" s="9"/>
    </row>
    <row r="27" spans="2:20" x14ac:dyDescent="0.3">
      <c r="B27" s="15">
        <f>Raw_data!B22</f>
        <v>46539</v>
      </c>
      <c r="C27" s="77">
        <f>Raw_data!C22</f>
        <v>25713</v>
      </c>
      <c r="D27" s="9"/>
      <c r="P27" s="87">
        <f t="shared" si="1"/>
        <v>46539</v>
      </c>
      <c r="Q27" s="88">
        <f t="shared" si="2"/>
        <v>25713</v>
      </c>
      <c r="R27" s="9"/>
      <c r="T27" s="9"/>
    </row>
    <row r="28" spans="2:20" x14ac:dyDescent="0.3">
      <c r="B28" s="15">
        <f>Raw_data!B23</f>
        <v>46569</v>
      </c>
      <c r="C28" s="77">
        <f>Raw_data!C23</f>
        <v>27233</v>
      </c>
      <c r="D28" s="9"/>
      <c r="P28" s="87">
        <f t="shared" si="1"/>
        <v>46569</v>
      </c>
      <c r="Q28" s="88">
        <f t="shared" si="2"/>
        <v>27233</v>
      </c>
      <c r="R28" s="9"/>
      <c r="T28" s="9"/>
    </row>
    <row r="29" spans="2:20" x14ac:dyDescent="0.3">
      <c r="B29" s="15">
        <f>Raw_data!B24</f>
        <v>46600</v>
      </c>
      <c r="C29" s="77">
        <f>Raw_data!C24</f>
        <v>28488</v>
      </c>
      <c r="D29" s="90"/>
      <c r="P29" s="87">
        <f t="shared" si="1"/>
        <v>46600</v>
      </c>
      <c r="Q29" s="88">
        <f t="shared" si="2"/>
        <v>28488</v>
      </c>
      <c r="R29" s="90"/>
      <c r="T29" s="9"/>
    </row>
    <row r="30" spans="2:20" x14ac:dyDescent="0.3">
      <c r="B30" s="15">
        <f>Raw_data!B25</f>
        <v>46631</v>
      </c>
      <c r="C30" s="77">
        <f>Raw_data!C25</f>
        <v>29673</v>
      </c>
      <c r="P30" s="87">
        <f t="shared" si="1"/>
        <v>46631</v>
      </c>
      <c r="Q30" s="88">
        <f t="shared" ref="Q30:Q61" si="3">C30</f>
        <v>29673</v>
      </c>
    </row>
    <row r="31" spans="2:20" x14ac:dyDescent="0.3">
      <c r="B31" s="15">
        <f>Raw_data!B26</f>
        <v>46661</v>
      </c>
      <c r="C31" s="77">
        <f>Raw_data!C26</f>
        <v>30877</v>
      </c>
      <c r="P31" s="87">
        <f t="shared" si="1"/>
        <v>46661</v>
      </c>
      <c r="Q31" s="88">
        <f t="shared" si="3"/>
        <v>30877</v>
      </c>
    </row>
    <row r="32" spans="2:20" x14ac:dyDescent="0.3">
      <c r="B32" s="15">
        <f>Raw_data!B27</f>
        <v>46692</v>
      </c>
      <c r="C32" s="77">
        <f>Raw_data!C27</f>
        <v>30181</v>
      </c>
      <c r="P32" s="87">
        <f t="shared" si="1"/>
        <v>46692</v>
      </c>
      <c r="Q32" s="88">
        <f t="shared" si="3"/>
        <v>30181</v>
      </c>
    </row>
    <row r="33" spans="2:18" x14ac:dyDescent="0.3">
      <c r="B33" s="15">
        <f>Raw_data!B28</f>
        <v>46722</v>
      </c>
      <c r="C33" s="77">
        <f>Raw_data!C28</f>
        <v>30710</v>
      </c>
      <c r="P33" s="87">
        <f t="shared" si="1"/>
        <v>46722</v>
      </c>
      <c r="Q33" s="88">
        <f t="shared" si="3"/>
        <v>30710</v>
      </c>
    </row>
    <row r="34" spans="2:18" x14ac:dyDescent="0.3">
      <c r="B34" s="15">
        <f>Raw_data!B29</f>
        <v>46753</v>
      </c>
      <c r="C34" s="77">
        <f>Raw_data!C29</f>
        <v>23311</v>
      </c>
      <c r="P34" s="87">
        <f t="shared" si="1"/>
        <v>46753</v>
      </c>
      <c r="Q34" s="88">
        <f t="shared" si="3"/>
        <v>23311</v>
      </c>
    </row>
    <row r="35" spans="2:18" x14ac:dyDescent="0.3">
      <c r="B35" s="15">
        <f>Raw_data!B30</f>
        <v>46784</v>
      </c>
      <c r="C35" s="77">
        <f>Raw_data!C30</f>
        <v>24355</v>
      </c>
      <c r="P35" s="87">
        <f t="shared" si="1"/>
        <v>46784</v>
      </c>
      <c r="Q35" s="99">
        <f t="shared" si="3"/>
        <v>24355</v>
      </c>
    </row>
    <row r="36" spans="2:18" x14ac:dyDescent="0.3">
      <c r="B36" s="15">
        <f>Raw_data!B31</f>
        <v>46813</v>
      </c>
      <c r="C36" s="77">
        <f>Raw_data!C31</f>
        <v>25464</v>
      </c>
      <c r="P36" s="87">
        <f t="shared" si="1"/>
        <v>46813</v>
      </c>
      <c r="Q36" s="99">
        <f t="shared" si="3"/>
        <v>25464</v>
      </c>
    </row>
    <row r="37" spans="2:18" x14ac:dyDescent="0.3">
      <c r="B37" s="15">
        <f>Raw_data!B32</f>
        <v>46844</v>
      </c>
      <c r="C37" s="77">
        <f>Raw_data!C32</f>
        <v>26514</v>
      </c>
      <c r="P37" s="87">
        <f t="shared" si="1"/>
        <v>46844</v>
      </c>
      <c r="Q37" s="99">
        <f t="shared" si="3"/>
        <v>26514</v>
      </c>
    </row>
    <row r="38" spans="2:18" x14ac:dyDescent="0.3">
      <c r="B38" s="15">
        <f>Raw_data!B33</f>
        <v>46874</v>
      </c>
      <c r="C38" s="77">
        <f>Raw_data!C33</f>
        <v>27593</v>
      </c>
      <c r="P38" s="87">
        <f t="shared" si="1"/>
        <v>46874</v>
      </c>
      <c r="Q38" s="99">
        <f t="shared" si="3"/>
        <v>27593</v>
      </c>
    </row>
    <row r="39" spans="2:18" x14ac:dyDescent="0.3">
      <c r="B39" s="15">
        <f>Raw_data!B34</f>
        <v>46905</v>
      </c>
      <c r="C39" s="77">
        <f>Raw_data!C34</f>
        <v>28688</v>
      </c>
      <c r="P39" s="87">
        <f t="shared" si="1"/>
        <v>46905</v>
      </c>
      <c r="Q39" s="99">
        <f t="shared" si="3"/>
        <v>28688</v>
      </c>
    </row>
    <row r="40" spans="2:18" x14ac:dyDescent="0.3">
      <c r="B40" s="15">
        <f>Raw_data!B35</f>
        <v>46935</v>
      </c>
      <c r="C40" s="77">
        <f>Raw_data!C35</f>
        <v>29787</v>
      </c>
      <c r="P40" s="87">
        <f t="shared" si="1"/>
        <v>46935</v>
      </c>
      <c r="Q40" s="99">
        <f t="shared" si="3"/>
        <v>29787</v>
      </c>
    </row>
    <row r="41" spans="2:18" x14ac:dyDescent="0.3">
      <c r="B41" s="15">
        <f>Raw_data!B36</f>
        <v>46966</v>
      </c>
      <c r="C41" s="77">
        <f>Raw_data!C36</f>
        <v>30797</v>
      </c>
      <c r="P41" s="87">
        <f t="shared" si="1"/>
        <v>46966</v>
      </c>
      <c r="Q41" s="99">
        <f t="shared" si="3"/>
        <v>30797</v>
      </c>
    </row>
    <row r="42" spans="2:18" x14ac:dyDescent="0.3">
      <c r="B42" s="15">
        <f>Raw_data!B37</f>
        <v>46997</v>
      </c>
      <c r="C42" s="77">
        <f>Raw_data!C37</f>
        <v>31936</v>
      </c>
      <c r="P42" s="87">
        <f t="shared" si="1"/>
        <v>46997</v>
      </c>
      <c r="Q42" s="99">
        <f t="shared" si="3"/>
        <v>31936</v>
      </c>
    </row>
    <row r="43" spans="2:18" x14ac:dyDescent="0.3">
      <c r="B43" s="15">
        <f>Raw_data!B38</f>
        <v>47027</v>
      </c>
      <c r="C43" s="77">
        <f>Raw_data!C38</f>
        <v>32986</v>
      </c>
      <c r="P43" s="87">
        <f t="shared" si="1"/>
        <v>47027</v>
      </c>
      <c r="Q43" s="99">
        <f t="shared" si="3"/>
        <v>32986</v>
      </c>
    </row>
    <row r="44" spans="2:18" x14ac:dyDescent="0.3">
      <c r="B44" s="15">
        <f>Raw_data!B39</f>
        <v>47058</v>
      </c>
      <c r="C44" s="77">
        <f>Raw_data!C39</f>
        <v>34050</v>
      </c>
      <c r="P44" s="87">
        <f t="shared" si="1"/>
        <v>47058</v>
      </c>
      <c r="Q44" s="99">
        <f t="shared" si="3"/>
        <v>34050</v>
      </c>
    </row>
    <row r="45" spans="2:18" x14ac:dyDescent="0.3">
      <c r="B45" s="15">
        <f>Raw_data!B40</f>
        <v>47088</v>
      </c>
      <c r="C45" s="77">
        <f>Raw_data!C40</f>
        <v>35095</v>
      </c>
      <c r="P45" s="87">
        <f t="shared" si="1"/>
        <v>47088</v>
      </c>
      <c r="Q45" s="99">
        <f t="shared" si="3"/>
        <v>35095</v>
      </c>
    </row>
    <row r="46" spans="2:18" x14ac:dyDescent="0.3">
      <c r="B46" s="15">
        <f>Raw_data!B41</f>
        <v>47119</v>
      </c>
      <c r="C46" s="77">
        <f>Raw_data!C41</f>
        <v>31263</v>
      </c>
      <c r="P46" s="87">
        <f t="shared" si="1"/>
        <v>47119</v>
      </c>
      <c r="Q46" s="99">
        <f t="shared" si="3"/>
        <v>31263</v>
      </c>
    </row>
    <row r="47" spans="2:18" x14ac:dyDescent="0.3">
      <c r="B47" s="15">
        <f>Raw_data!B42</f>
        <v>47150</v>
      </c>
      <c r="C47" s="215">
        <f>Raw_data!C42</f>
        <v>11654</v>
      </c>
      <c r="D47" s="21" t="s">
        <v>136</v>
      </c>
      <c r="P47" s="87">
        <f t="shared" si="1"/>
        <v>47150</v>
      </c>
      <c r="Q47" s="89">
        <f>(Q46+Q48)/2</f>
        <v>31601</v>
      </c>
      <c r="R47" s="90" t="s">
        <v>187</v>
      </c>
    </row>
    <row r="48" spans="2:18" x14ac:dyDescent="0.3">
      <c r="B48" s="15">
        <f>Raw_data!B43</f>
        <v>47178</v>
      </c>
      <c r="C48" s="77">
        <f>Raw_data!C43</f>
        <v>31939</v>
      </c>
      <c r="P48" s="87">
        <f t="shared" si="1"/>
        <v>47178</v>
      </c>
      <c r="Q48" s="99">
        <f t="shared" si="3"/>
        <v>31939</v>
      </c>
    </row>
    <row r="49" spans="2:17" x14ac:dyDescent="0.3">
      <c r="B49" s="15">
        <f>Raw_data!B44</f>
        <v>47209</v>
      </c>
      <c r="C49" s="77">
        <f>Raw_data!C44</f>
        <v>32215</v>
      </c>
      <c r="P49" s="87">
        <f t="shared" si="1"/>
        <v>47209</v>
      </c>
      <c r="Q49" s="99">
        <f t="shared" si="3"/>
        <v>32215</v>
      </c>
    </row>
    <row r="50" spans="2:17" x14ac:dyDescent="0.3">
      <c r="B50" s="15">
        <f>Raw_data!B45</f>
        <v>47239</v>
      </c>
      <c r="C50" s="77">
        <f>Raw_data!C45</f>
        <v>32566</v>
      </c>
      <c r="P50" s="87">
        <f t="shared" si="1"/>
        <v>47239</v>
      </c>
      <c r="Q50" s="99">
        <f t="shared" si="3"/>
        <v>32566</v>
      </c>
    </row>
    <row r="51" spans="2:17" x14ac:dyDescent="0.3">
      <c r="B51" s="15">
        <f>Raw_data!B46</f>
        <v>47270</v>
      </c>
      <c r="C51" s="77">
        <f>Raw_data!C46</f>
        <v>32831</v>
      </c>
      <c r="P51" s="87">
        <f t="shared" si="1"/>
        <v>47270</v>
      </c>
      <c r="Q51" s="99">
        <f t="shared" si="3"/>
        <v>32831</v>
      </c>
    </row>
    <row r="52" spans="2:17" x14ac:dyDescent="0.3">
      <c r="B52" s="15">
        <f>Raw_data!B47</f>
        <v>47300</v>
      </c>
      <c r="C52" s="77">
        <f>Raw_data!C47</f>
        <v>33227</v>
      </c>
      <c r="P52" s="87">
        <f t="shared" si="1"/>
        <v>47300</v>
      </c>
      <c r="Q52" s="99">
        <f t="shared" si="3"/>
        <v>33227</v>
      </c>
    </row>
    <row r="53" spans="2:17" x14ac:dyDescent="0.3">
      <c r="B53" s="15">
        <f>Raw_data!B48</f>
        <v>47331</v>
      </c>
      <c r="C53" s="77">
        <f>Raw_data!C48</f>
        <v>33523</v>
      </c>
      <c r="P53" s="87">
        <f t="shared" si="1"/>
        <v>47331</v>
      </c>
      <c r="Q53" s="99">
        <f t="shared" si="3"/>
        <v>33523</v>
      </c>
    </row>
    <row r="54" spans="2:17" x14ac:dyDescent="0.3">
      <c r="B54" s="15">
        <f>Raw_data!B49</f>
        <v>47362</v>
      </c>
      <c r="C54" s="77">
        <f>Raw_data!C49</f>
        <v>33809</v>
      </c>
      <c r="P54" s="87">
        <f t="shared" si="1"/>
        <v>47362</v>
      </c>
      <c r="Q54" s="99">
        <f t="shared" si="3"/>
        <v>33809</v>
      </c>
    </row>
    <row r="55" spans="2:17" x14ac:dyDescent="0.3">
      <c r="B55" s="15">
        <f>Raw_data!B50</f>
        <v>47392</v>
      </c>
      <c r="C55" s="77">
        <f>Raw_data!C50</f>
        <v>34119</v>
      </c>
      <c r="P55" s="87">
        <f t="shared" si="1"/>
        <v>47392</v>
      </c>
      <c r="Q55" s="99">
        <f t="shared" si="3"/>
        <v>34119</v>
      </c>
    </row>
    <row r="56" spans="2:17" x14ac:dyDescent="0.3">
      <c r="B56" s="15">
        <f>Raw_data!B51</f>
        <v>47423</v>
      </c>
      <c r="C56" s="77">
        <f>Raw_data!C51</f>
        <v>34455</v>
      </c>
      <c r="P56" s="87">
        <f t="shared" si="1"/>
        <v>47423</v>
      </c>
      <c r="Q56" s="99">
        <f t="shared" si="3"/>
        <v>34455</v>
      </c>
    </row>
    <row r="57" spans="2:17" x14ac:dyDescent="0.3">
      <c r="B57" s="15">
        <f>Raw_data!B52</f>
        <v>47453</v>
      </c>
      <c r="C57" s="77">
        <f>Raw_data!C52</f>
        <v>34801</v>
      </c>
      <c r="P57" s="87">
        <f t="shared" si="1"/>
        <v>47453</v>
      </c>
      <c r="Q57" s="99">
        <f t="shared" si="3"/>
        <v>34801</v>
      </c>
    </row>
    <row r="58" spans="2:17" x14ac:dyDescent="0.3">
      <c r="B58" s="15">
        <f>Raw_data!B53</f>
        <v>47484</v>
      </c>
      <c r="C58" s="77">
        <f>Raw_data!C53</f>
        <v>32840</v>
      </c>
      <c r="P58" s="87">
        <f t="shared" si="1"/>
        <v>47484</v>
      </c>
      <c r="Q58" s="99">
        <f t="shared" si="3"/>
        <v>32840</v>
      </c>
    </row>
    <row r="59" spans="2:17" x14ac:dyDescent="0.3">
      <c r="B59" s="15">
        <f>Raw_data!B54</f>
        <v>47515</v>
      </c>
      <c r="C59" s="77">
        <f>Raw_data!C54</f>
        <v>33711</v>
      </c>
      <c r="P59" s="87">
        <f t="shared" si="1"/>
        <v>47515</v>
      </c>
      <c r="Q59" s="99">
        <f t="shared" si="3"/>
        <v>33711</v>
      </c>
    </row>
    <row r="60" spans="2:17" x14ac:dyDescent="0.3">
      <c r="B60" s="15">
        <f>Raw_data!B55</f>
        <v>47543</v>
      </c>
      <c r="C60" s="77">
        <f>Raw_data!C55</f>
        <v>34623</v>
      </c>
      <c r="P60" s="87">
        <f t="shared" si="1"/>
        <v>47543</v>
      </c>
      <c r="Q60" s="99">
        <f t="shared" si="3"/>
        <v>34623</v>
      </c>
    </row>
    <row r="61" spans="2:17" x14ac:dyDescent="0.3">
      <c r="B61" s="15">
        <f>Raw_data!B56</f>
        <v>47574</v>
      </c>
      <c r="C61" s="77">
        <f>Raw_data!C56</f>
        <v>35439</v>
      </c>
      <c r="P61" s="87">
        <f t="shared" si="1"/>
        <v>47574</v>
      </c>
      <c r="Q61" s="99">
        <f t="shared" si="3"/>
        <v>35439</v>
      </c>
    </row>
    <row r="62" spans="2:17" x14ac:dyDescent="0.3">
      <c r="B62" s="15">
        <f>Raw_data!B57</f>
        <v>47604</v>
      </c>
      <c r="C62" s="77">
        <f>Raw_data!C57</f>
        <v>36325</v>
      </c>
      <c r="P62" s="87">
        <f t="shared" si="1"/>
        <v>47604</v>
      </c>
      <c r="Q62" s="99">
        <f t="shared" ref="Q62:Q93" si="4">C62</f>
        <v>36325</v>
      </c>
    </row>
    <row r="63" spans="2:17" x14ac:dyDescent="0.3">
      <c r="B63" s="15">
        <f>Raw_data!B58</f>
        <v>47635</v>
      </c>
      <c r="C63" s="77">
        <f>Raw_data!C58</f>
        <v>37177</v>
      </c>
      <c r="P63" s="87">
        <f t="shared" si="1"/>
        <v>47635</v>
      </c>
      <c r="Q63" s="99">
        <f t="shared" si="4"/>
        <v>37177</v>
      </c>
    </row>
    <row r="64" spans="2:17" x14ac:dyDescent="0.3">
      <c r="B64" s="15">
        <f>Raw_data!B59</f>
        <v>47665</v>
      </c>
      <c r="C64" s="77">
        <f>Raw_data!C59</f>
        <v>38118</v>
      </c>
      <c r="P64" s="87">
        <f t="shared" si="1"/>
        <v>47665</v>
      </c>
      <c r="Q64" s="99">
        <f t="shared" si="4"/>
        <v>38118</v>
      </c>
    </row>
    <row r="65" spans="2:17" x14ac:dyDescent="0.3">
      <c r="B65" s="15">
        <f>Raw_data!B60</f>
        <v>47696</v>
      </c>
      <c r="C65" s="77">
        <f>Raw_data!C60</f>
        <v>38955</v>
      </c>
      <c r="P65" s="87">
        <f t="shared" si="1"/>
        <v>47696</v>
      </c>
      <c r="Q65" s="99">
        <f t="shared" si="4"/>
        <v>38955</v>
      </c>
    </row>
    <row r="66" spans="2:17" x14ac:dyDescent="0.3">
      <c r="B66" s="15">
        <f>Raw_data!B61</f>
        <v>47727</v>
      </c>
      <c r="C66" s="77">
        <f>Raw_data!C61</f>
        <v>39856</v>
      </c>
      <c r="P66" s="87">
        <f t="shared" si="1"/>
        <v>47727</v>
      </c>
      <c r="Q66" s="99">
        <f t="shared" si="4"/>
        <v>39856</v>
      </c>
    </row>
    <row r="67" spans="2:17" x14ac:dyDescent="0.3">
      <c r="B67" s="15">
        <f>Raw_data!B62</f>
        <v>47757</v>
      </c>
      <c r="C67" s="77">
        <f>Raw_data!C62</f>
        <v>40678</v>
      </c>
      <c r="P67" s="87">
        <f t="shared" si="1"/>
        <v>47757</v>
      </c>
      <c r="Q67" s="99">
        <f t="shared" si="4"/>
        <v>40678</v>
      </c>
    </row>
    <row r="68" spans="2:17" x14ac:dyDescent="0.3">
      <c r="B68" s="15">
        <f>Raw_data!B63</f>
        <v>47788</v>
      </c>
      <c r="C68" s="77">
        <f>Raw_data!C63</f>
        <v>41599</v>
      </c>
      <c r="P68" s="87">
        <f t="shared" si="1"/>
        <v>47788</v>
      </c>
      <c r="Q68" s="99">
        <f t="shared" si="4"/>
        <v>41599</v>
      </c>
    </row>
    <row r="69" spans="2:17" x14ac:dyDescent="0.3">
      <c r="B69" s="15">
        <f>Raw_data!B64</f>
        <v>47818</v>
      </c>
      <c r="C69" s="77">
        <f>Raw_data!C64</f>
        <v>42481</v>
      </c>
      <c r="P69" s="87">
        <f t="shared" si="1"/>
        <v>47818</v>
      </c>
      <c r="Q69" s="99">
        <f t="shared" si="4"/>
        <v>42481</v>
      </c>
    </row>
    <row r="70" spans="2:17" x14ac:dyDescent="0.3">
      <c r="B70" s="15">
        <f>Raw_data!B65</f>
        <v>47849</v>
      </c>
      <c r="C70" s="77">
        <f>Raw_data!C65</f>
        <v>38632</v>
      </c>
      <c r="P70" s="87">
        <f t="shared" si="1"/>
        <v>47849</v>
      </c>
      <c r="Q70" s="99">
        <f t="shared" si="4"/>
        <v>38632</v>
      </c>
    </row>
    <row r="71" spans="2:17" x14ac:dyDescent="0.3">
      <c r="B71" s="15">
        <f>Raw_data!B66</f>
        <v>47880</v>
      </c>
      <c r="C71" s="77">
        <f>Raw_data!C66</f>
        <v>39380</v>
      </c>
      <c r="P71" s="87">
        <f t="shared" si="1"/>
        <v>47880</v>
      </c>
      <c r="Q71" s="99">
        <f t="shared" si="4"/>
        <v>39380</v>
      </c>
    </row>
    <row r="72" spans="2:17" x14ac:dyDescent="0.3">
      <c r="B72" s="15">
        <f>Raw_data!B67</f>
        <v>47908</v>
      </c>
      <c r="C72" s="77">
        <f>Raw_data!C67</f>
        <v>40222</v>
      </c>
      <c r="P72" s="87">
        <f t="shared" si="1"/>
        <v>47908</v>
      </c>
      <c r="Q72" s="99">
        <f t="shared" si="4"/>
        <v>40222</v>
      </c>
    </row>
    <row r="73" spans="2:17" x14ac:dyDescent="0.3">
      <c r="B73" s="15">
        <f>Raw_data!B68</f>
        <v>47939</v>
      </c>
      <c r="C73" s="77">
        <f>Raw_data!C68</f>
        <v>40930</v>
      </c>
      <c r="P73" s="87">
        <f t="shared" si="1"/>
        <v>47939</v>
      </c>
      <c r="Q73" s="99">
        <f t="shared" si="4"/>
        <v>40930</v>
      </c>
    </row>
    <row r="74" spans="2:17" x14ac:dyDescent="0.3">
      <c r="B74" s="15">
        <f>Raw_data!B69</f>
        <v>47969</v>
      </c>
      <c r="C74" s="77">
        <f>Raw_data!C69</f>
        <v>41722</v>
      </c>
      <c r="P74" s="87">
        <f t="shared" si="1"/>
        <v>47969</v>
      </c>
      <c r="Q74" s="99">
        <f t="shared" si="4"/>
        <v>41722</v>
      </c>
    </row>
    <row r="75" spans="2:17" x14ac:dyDescent="0.3">
      <c r="B75" s="15">
        <f>Raw_data!B70</f>
        <v>48000</v>
      </c>
      <c r="C75" s="77">
        <f>Raw_data!C70</f>
        <v>42525</v>
      </c>
      <c r="P75" s="87">
        <f t="shared" si="1"/>
        <v>48000</v>
      </c>
      <c r="Q75" s="99">
        <f t="shared" si="4"/>
        <v>42525</v>
      </c>
    </row>
    <row r="76" spans="2:17" x14ac:dyDescent="0.3">
      <c r="B76" s="15">
        <f>Raw_data!B71</f>
        <v>48030</v>
      </c>
      <c r="C76" s="77">
        <f>Raw_data!C71</f>
        <v>43282</v>
      </c>
      <c r="P76" s="87">
        <f t="shared" si="1"/>
        <v>48030</v>
      </c>
      <c r="Q76" s="99">
        <f t="shared" si="4"/>
        <v>43282</v>
      </c>
    </row>
    <row r="77" spans="2:17" x14ac:dyDescent="0.3">
      <c r="B77" s="15">
        <f>Raw_data!B72</f>
        <v>48061</v>
      </c>
      <c r="C77" s="77">
        <f>Raw_data!C72</f>
        <v>44130</v>
      </c>
      <c r="P77" s="87">
        <f t="shared" si="1"/>
        <v>48061</v>
      </c>
      <c r="Q77" s="99">
        <f t="shared" si="4"/>
        <v>44130</v>
      </c>
    </row>
    <row r="78" spans="2:17" x14ac:dyDescent="0.3">
      <c r="B78" s="15">
        <f>Raw_data!B73</f>
        <v>48092</v>
      </c>
      <c r="C78" s="77">
        <f>Raw_data!C73</f>
        <v>44902</v>
      </c>
      <c r="P78" s="87">
        <f t="shared" si="1"/>
        <v>48092</v>
      </c>
      <c r="Q78" s="99">
        <f t="shared" si="4"/>
        <v>44902</v>
      </c>
    </row>
    <row r="79" spans="2:17" x14ac:dyDescent="0.3">
      <c r="B79" s="15">
        <f>Raw_data!B74</f>
        <v>48122</v>
      </c>
      <c r="C79" s="77">
        <f>Raw_data!C74</f>
        <v>45595</v>
      </c>
      <c r="P79" s="87">
        <f t="shared" ref="P79:P142" si="5">B79</f>
        <v>48122</v>
      </c>
      <c r="Q79" s="99">
        <f t="shared" si="4"/>
        <v>45595</v>
      </c>
    </row>
    <row r="80" spans="2:17" x14ac:dyDescent="0.3">
      <c r="B80" s="15">
        <f>Raw_data!B75</f>
        <v>48153</v>
      </c>
      <c r="C80" s="77">
        <f>Raw_data!C75</f>
        <v>46392</v>
      </c>
      <c r="P80" s="87">
        <f t="shared" si="5"/>
        <v>48153</v>
      </c>
      <c r="Q80" s="99">
        <f t="shared" si="4"/>
        <v>46392</v>
      </c>
    </row>
    <row r="81" spans="2:18" x14ac:dyDescent="0.3">
      <c r="B81" s="15">
        <f>Raw_data!B76</f>
        <v>48183</v>
      </c>
      <c r="C81" s="77">
        <f>Raw_data!C76</f>
        <v>47155</v>
      </c>
      <c r="P81" s="87">
        <f t="shared" si="5"/>
        <v>48183</v>
      </c>
      <c r="Q81" s="99">
        <f t="shared" si="4"/>
        <v>47155</v>
      </c>
    </row>
    <row r="82" spans="2:18" x14ac:dyDescent="0.3">
      <c r="B82" s="15">
        <f>Raw_data!B77</f>
        <v>48214</v>
      </c>
      <c r="C82" s="77">
        <f>Raw_data!C77</f>
        <v>44873</v>
      </c>
      <c r="P82" s="87">
        <f t="shared" si="5"/>
        <v>48214</v>
      </c>
      <c r="Q82" s="99">
        <f t="shared" si="4"/>
        <v>44873</v>
      </c>
    </row>
    <row r="83" spans="2:18" x14ac:dyDescent="0.3">
      <c r="B83" s="15">
        <f>Raw_data!B78</f>
        <v>48245</v>
      </c>
      <c r="C83" s="77">
        <f>Raw_data!C78</f>
        <v>45646</v>
      </c>
      <c r="P83" s="87">
        <f t="shared" si="5"/>
        <v>48245</v>
      </c>
      <c r="Q83" s="99">
        <f t="shared" si="4"/>
        <v>45646</v>
      </c>
    </row>
    <row r="84" spans="2:18" x14ac:dyDescent="0.3">
      <c r="B84" s="15">
        <f>Raw_data!B79</f>
        <v>48274</v>
      </c>
      <c r="C84" s="77">
        <f>Raw_data!C79</f>
        <v>46404</v>
      </c>
      <c r="P84" s="87">
        <f t="shared" si="5"/>
        <v>48274</v>
      </c>
      <c r="Q84" s="99">
        <f t="shared" si="4"/>
        <v>46404</v>
      </c>
    </row>
    <row r="85" spans="2:18" x14ac:dyDescent="0.3">
      <c r="B85" s="15">
        <f>Raw_data!B80</f>
        <v>48305</v>
      </c>
      <c r="C85" s="77">
        <f>Raw_data!C80</f>
        <v>47092</v>
      </c>
      <c r="P85" s="87">
        <f t="shared" si="5"/>
        <v>48305</v>
      </c>
      <c r="Q85" s="99">
        <f t="shared" si="4"/>
        <v>47092</v>
      </c>
    </row>
    <row r="86" spans="2:18" x14ac:dyDescent="0.3">
      <c r="B86" s="15">
        <f>Raw_data!B81</f>
        <v>48335</v>
      </c>
      <c r="C86" s="77">
        <f>Raw_data!C81</f>
        <v>47880</v>
      </c>
      <c r="P86" s="87">
        <f t="shared" si="5"/>
        <v>48335</v>
      </c>
      <c r="Q86" s="99">
        <f t="shared" si="4"/>
        <v>47880</v>
      </c>
    </row>
    <row r="87" spans="2:18" x14ac:dyDescent="0.3">
      <c r="B87" s="15">
        <f>Raw_data!B82</f>
        <v>48366</v>
      </c>
      <c r="C87" s="77">
        <f>Raw_data!C82</f>
        <v>48518</v>
      </c>
      <c r="P87" s="87">
        <f t="shared" si="5"/>
        <v>48366</v>
      </c>
      <c r="Q87" s="99">
        <f t="shared" si="4"/>
        <v>48518</v>
      </c>
    </row>
    <row r="88" spans="2:18" x14ac:dyDescent="0.3">
      <c r="B88" s="15">
        <f>Raw_data!B83</f>
        <v>48396</v>
      </c>
      <c r="C88" s="77">
        <f>Raw_data!C83</f>
        <v>49296</v>
      </c>
      <c r="P88" s="87">
        <f t="shared" si="5"/>
        <v>48396</v>
      </c>
      <c r="Q88" s="99">
        <f t="shared" si="4"/>
        <v>49296</v>
      </c>
    </row>
    <row r="89" spans="2:18" x14ac:dyDescent="0.3">
      <c r="B89" s="15">
        <f>Raw_data!B84</f>
        <v>48427</v>
      </c>
      <c r="C89" s="77">
        <f>Raw_data!C84</f>
        <v>50014</v>
      </c>
      <c r="P89" s="87">
        <f t="shared" si="5"/>
        <v>48427</v>
      </c>
      <c r="Q89" s="99">
        <f t="shared" si="4"/>
        <v>50014</v>
      </c>
    </row>
    <row r="90" spans="2:18" x14ac:dyDescent="0.3">
      <c r="B90" s="15">
        <f>Raw_data!B85</f>
        <v>48458</v>
      </c>
      <c r="C90" s="77">
        <f>Raw_data!C85</f>
        <v>50697</v>
      </c>
      <c r="P90" s="87">
        <f t="shared" si="5"/>
        <v>48458</v>
      </c>
      <c r="Q90" s="99">
        <f t="shared" si="4"/>
        <v>50697</v>
      </c>
    </row>
    <row r="91" spans="2:18" x14ac:dyDescent="0.3">
      <c r="B91" s="15">
        <f>Raw_data!B86</f>
        <v>48488</v>
      </c>
      <c r="C91" s="77">
        <f>Raw_data!C86</f>
        <v>51525</v>
      </c>
      <c r="P91" s="87">
        <f t="shared" si="5"/>
        <v>48488</v>
      </c>
      <c r="Q91" s="99">
        <f t="shared" si="4"/>
        <v>51525</v>
      </c>
    </row>
    <row r="92" spans="2:18" x14ac:dyDescent="0.3">
      <c r="B92" s="15">
        <f>Raw_data!B87</f>
        <v>48519</v>
      </c>
      <c r="C92" s="215">
        <f>Raw_data!C87</f>
        <v>-52248</v>
      </c>
      <c r="D92" s="21" t="s">
        <v>134</v>
      </c>
      <c r="P92" s="87">
        <f t="shared" si="5"/>
        <v>48519</v>
      </c>
      <c r="Q92" s="89">
        <f>-C92</f>
        <v>52248</v>
      </c>
      <c r="R92" s="90" t="s">
        <v>135</v>
      </c>
    </row>
    <row r="93" spans="2:18" x14ac:dyDescent="0.3">
      <c r="B93" s="15">
        <f>Raw_data!B88</f>
        <v>48549</v>
      </c>
      <c r="C93" s="77">
        <f>Raw_data!C88</f>
        <v>52921</v>
      </c>
      <c r="P93" s="87">
        <f t="shared" si="5"/>
        <v>48549</v>
      </c>
      <c r="Q93" s="99">
        <f t="shared" si="4"/>
        <v>52921</v>
      </c>
    </row>
    <row r="94" spans="2:18" x14ac:dyDescent="0.3">
      <c r="B94" s="15">
        <f>Raw_data!B89</f>
        <v>48580</v>
      </c>
      <c r="C94" s="77">
        <f>Raw_data!C89</f>
        <v>52314</v>
      </c>
      <c r="D94" s="90"/>
      <c r="P94" s="87">
        <f t="shared" si="5"/>
        <v>48580</v>
      </c>
      <c r="Q94" s="99">
        <f t="shared" ref="Q94:Q125" si="6">C94</f>
        <v>52314</v>
      </c>
    </row>
    <row r="95" spans="2:18" x14ac:dyDescent="0.3">
      <c r="B95" s="15">
        <f>Raw_data!B90</f>
        <v>48611</v>
      </c>
      <c r="C95" s="77">
        <f>Raw_data!C90</f>
        <v>53079</v>
      </c>
      <c r="P95" s="87">
        <f t="shared" si="5"/>
        <v>48611</v>
      </c>
      <c r="Q95" s="99">
        <f t="shared" si="6"/>
        <v>53079</v>
      </c>
    </row>
    <row r="96" spans="2:18" x14ac:dyDescent="0.3">
      <c r="B96" s="15">
        <f>Raw_data!B91</f>
        <v>48639</v>
      </c>
      <c r="C96" s="77">
        <f>Raw_data!C91</f>
        <v>53775</v>
      </c>
      <c r="P96" s="87">
        <f t="shared" si="5"/>
        <v>48639</v>
      </c>
      <c r="Q96" s="99">
        <f t="shared" si="6"/>
        <v>53775</v>
      </c>
    </row>
    <row r="97" spans="2:17" x14ac:dyDescent="0.3">
      <c r="B97" s="15">
        <f>Raw_data!B92</f>
        <v>48670</v>
      </c>
      <c r="C97" s="77">
        <f>Raw_data!C92</f>
        <v>54450</v>
      </c>
      <c r="P97" s="87">
        <f t="shared" si="5"/>
        <v>48670</v>
      </c>
      <c r="Q97" s="99">
        <f t="shared" si="6"/>
        <v>54450</v>
      </c>
    </row>
    <row r="98" spans="2:17" x14ac:dyDescent="0.3">
      <c r="B98" s="15">
        <f>Raw_data!B93</f>
        <v>48700</v>
      </c>
      <c r="C98" s="77">
        <f>Raw_data!C93</f>
        <v>55165</v>
      </c>
      <c r="P98" s="87">
        <f t="shared" si="5"/>
        <v>48700</v>
      </c>
      <c r="Q98" s="99">
        <f t="shared" si="6"/>
        <v>55165</v>
      </c>
    </row>
    <row r="99" spans="2:17" x14ac:dyDescent="0.3">
      <c r="B99" s="15">
        <f>Raw_data!B94</f>
        <v>48731</v>
      </c>
      <c r="C99" s="77">
        <f>Raw_data!C94</f>
        <v>55866</v>
      </c>
      <c r="P99" s="87">
        <f t="shared" si="5"/>
        <v>48731</v>
      </c>
      <c r="Q99" s="99">
        <f t="shared" si="6"/>
        <v>55866</v>
      </c>
    </row>
    <row r="100" spans="2:17" x14ac:dyDescent="0.3">
      <c r="B100" s="15">
        <f>Raw_data!B95</f>
        <v>48761</v>
      </c>
      <c r="C100" s="77">
        <f>Raw_data!C95</f>
        <v>56646</v>
      </c>
      <c r="P100" s="87">
        <f t="shared" si="5"/>
        <v>48761</v>
      </c>
      <c r="Q100" s="99">
        <f t="shared" si="6"/>
        <v>56646</v>
      </c>
    </row>
    <row r="101" spans="2:17" x14ac:dyDescent="0.3">
      <c r="B101" s="15">
        <f>Raw_data!B96</f>
        <v>48792</v>
      </c>
      <c r="C101" s="77">
        <f>Raw_data!C96</f>
        <v>57292</v>
      </c>
      <c r="P101" s="87">
        <f t="shared" si="5"/>
        <v>48792</v>
      </c>
      <c r="Q101" s="99">
        <f t="shared" si="6"/>
        <v>57292</v>
      </c>
    </row>
    <row r="102" spans="2:17" x14ac:dyDescent="0.3">
      <c r="B102" s="15">
        <f>Raw_data!B97</f>
        <v>48823</v>
      </c>
      <c r="C102" s="77">
        <f>Raw_data!C97</f>
        <v>58022</v>
      </c>
      <c r="P102" s="87">
        <f t="shared" si="5"/>
        <v>48823</v>
      </c>
      <c r="Q102" s="99">
        <f t="shared" si="6"/>
        <v>58022</v>
      </c>
    </row>
    <row r="103" spans="2:17" x14ac:dyDescent="0.3">
      <c r="B103" s="15">
        <f>Raw_data!B98</f>
        <v>48853</v>
      </c>
      <c r="C103" s="77">
        <f>Raw_data!C98</f>
        <v>58748</v>
      </c>
      <c r="P103" s="87">
        <f t="shared" si="5"/>
        <v>48853</v>
      </c>
      <c r="Q103" s="99">
        <f t="shared" si="6"/>
        <v>58748</v>
      </c>
    </row>
    <row r="104" spans="2:17" x14ac:dyDescent="0.3">
      <c r="B104" s="15">
        <f>Raw_data!B99</f>
        <v>48884</v>
      </c>
      <c r="C104" s="77">
        <f>Raw_data!C99</f>
        <v>59493</v>
      </c>
      <c r="P104" s="87">
        <f t="shared" si="5"/>
        <v>48884</v>
      </c>
      <c r="Q104" s="99">
        <f t="shared" si="6"/>
        <v>59493</v>
      </c>
    </row>
    <row r="105" spans="2:17" x14ac:dyDescent="0.3">
      <c r="B105" s="15">
        <f>Raw_data!B100</f>
        <v>48914</v>
      </c>
      <c r="C105" s="77">
        <f>Raw_data!C100</f>
        <v>60148</v>
      </c>
      <c r="P105" s="87">
        <f t="shared" si="5"/>
        <v>48914</v>
      </c>
      <c r="Q105" s="99">
        <f t="shared" si="6"/>
        <v>60148</v>
      </c>
    </row>
    <row r="106" spans="2:17" x14ac:dyDescent="0.3">
      <c r="B106" s="15">
        <f>Raw_data!B101</f>
        <v>48945</v>
      </c>
      <c r="C106" s="77">
        <f>Raw_data!C101</f>
        <v>60819</v>
      </c>
      <c r="P106" s="87">
        <f t="shared" si="5"/>
        <v>48945</v>
      </c>
      <c r="Q106" s="99">
        <f t="shared" si="6"/>
        <v>60819</v>
      </c>
    </row>
    <row r="107" spans="2:17" x14ac:dyDescent="0.3">
      <c r="B107" s="15">
        <f>Raw_data!B102</f>
        <v>48976</v>
      </c>
      <c r="C107" s="77">
        <f>Raw_data!C102</f>
        <v>61563</v>
      </c>
      <c r="P107" s="87">
        <f t="shared" si="5"/>
        <v>48976</v>
      </c>
      <c r="Q107" s="99">
        <f t="shared" si="6"/>
        <v>61563</v>
      </c>
    </row>
    <row r="108" spans="2:17" x14ac:dyDescent="0.3">
      <c r="B108" s="15">
        <f>Raw_data!B103</f>
        <v>49004</v>
      </c>
      <c r="C108" s="77">
        <f>Raw_data!C103</f>
        <v>62218</v>
      </c>
      <c r="P108" s="87">
        <f t="shared" si="5"/>
        <v>49004</v>
      </c>
      <c r="Q108" s="99">
        <f t="shared" si="6"/>
        <v>62218</v>
      </c>
    </row>
    <row r="109" spans="2:17" x14ac:dyDescent="0.3">
      <c r="B109" s="15">
        <f>Raw_data!B104</f>
        <v>49035</v>
      </c>
      <c r="C109" s="77">
        <f>Raw_data!C104</f>
        <v>62972</v>
      </c>
      <c r="P109" s="87">
        <f t="shared" si="5"/>
        <v>49035</v>
      </c>
      <c r="Q109" s="99">
        <f t="shared" si="6"/>
        <v>62972</v>
      </c>
    </row>
    <row r="110" spans="2:17" x14ac:dyDescent="0.3">
      <c r="B110" s="15">
        <f>Raw_data!B105</f>
        <v>49065</v>
      </c>
      <c r="C110" s="77">
        <f>Raw_data!C105</f>
        <v>63627</v>
      </c>
      <c r="P110" s="87">
        <f t="shared" si="5"/>
        <v>49065</v>
      </c>
      <c r="Q110" s="99">
        <f t="shared" si="6"/>
        <v>63627</v>
      </c>
    </row>
    <row r="111" spans="2:17" x14ac:dyDescent="0.3">
      <c r="B111" s="15">
        <f>Raw_data!B106</f>
        <v>49096</v>
      </c>
      <c r="C111" s="77">
        <f>Raw_data!C106</f>
        <v>64321</v>
      </c>
      <c r="P111" s="87">
        <f t="shared" si="5"/>
        <v>49096</v>
      </c>
      <c r="Q111" s="99">
        <f t="shared" si="6"/>
        <v>64321</v>
      </c>
    </row>
    <row r="112" spans="2:17" x14ac:dyDescent="0.3">
      <c r="B112" s="15">
        <f>Raw_data!B107</f>
        <v>49126</v>
      </c>
      <c r="C112" s="77">
        <f>Raw_data!C107</f>
        <v>65086</v>
      </c>
      <c r="P112" s="87">
        <f t="shared" si="5"/>
        <v>49126</v>
      </c>
      <c r="Q112" s="99">
        <f t="shared" si="6"/>
        <v>65086</v>
      </c>
    </row>
    <row r="113" spans="2:17" x14ac:dyDescent="0.3">
      <c r="B113" s="15">
        <f>Raw_data!B108</f>
        <v>49157</v>
      </c>
      <c r="C113" s="77">
        <f>Raw_data!C108</f>
        <v>65815</v>
      </c>
      <c r="P113" s="87">
        <f t="shared" si="5"/>
        <v>49157</v>
      </c>
      <c r="Q113" s="99">
        <f t="shared" si="6"/>
        <v>65815</v>
      </c>
    </row>
    <row r="114" spans="2:17" x14ac:dyDescent="0.3">
      <c r="B114" s="15">
        <f>Raw_data!B109</f>
        <v>49188</v>
      </c>
      <c r="C114" s="77">
        <f>Raw_data!C109</f>
        <v>66490</v>
      </c>
      <c r="P114" s="87">
        <f t="shared" si="5"/>
        <v>49188</v>
      </c>
      <c r="Q114" s="99">
        <f t="shared" si="6"/>
        <v>66490</v>
      </c>
    </row>
    <row r="115" spans="2:17" x14ac:dyDescent="0.3">
      <c r="B115" s="15">
        <f>Raw_data!B110</f>
        <v>49218</v>
      </c>
      <c r="C115" s="77">
        <f>Raw_data!C110</f>
        <v>67174</v>
      </c>
      <c r="P115" s="87">
        <f t="shared" si="5"/>
        <v>49218</v>
      </c>
      <c r="Q115" s="99">
        <f t="shared" si="6"/>
        <v>67174</v>
      </c>
    </row>
    <row r="116" spans="2:17" x14ac:dyDescent="0.3">
      <c r="B116" s="15">
        <f>Raw_data!B111</f>
        <v>49249</v>
      </c>
      <c r="C116" s="77">
        <f>Raw_data!C111</f>
        <v>67914</v>
      </c>
      <c r="P116" s="87">
        <f t="shared" si="5"/>
        <v>49249</v>
      </c>
      <c r="Q116" s="99">
        <f t="shared" si="6"/>
        <v>67914</v>
      </c>
    </row>
    <row r="117" spans="2:17" x14ac:dyDescent="0.3">
      <c r="B117" s="15">
        <f>Raw_data!B112</f>
        <v>49279</v>
      </c>
      <c r="C117" s="77">
        <f>Raw_data!C112</f>
        <v>68598</v>
      </c>
      <c r="P117" s="87">
        <f t="shared" si="5"/>
        <v>49279</v>
      </c>
      <c r="Q117" s="99">
        <f t="shared" si="6"/>
        <v>68598</v>
      </c>
    </row>
    <row r="118" spans="2:17" x14ac:dyDescent="0.3">
      <c r="B118" s="15">
        <f>Raw_data!B113</f>
        <v>49310</v>
      </c>
      <c r="C118" s="77">
        <f>Raw_data!C113</f>
        <v>71717</v>
      </c>
      <c r="P118" s="87">
        <f t="shared" si="5"/>
        <v>49310</v>
      </c>
      <c r="Q118" s="99">
        <f t="shared" si="6"/>
        <v>71717</v>
      </c>
    </row>
    <row r="119" spans="2:17" x14ac:dyDescent="0.3">
      <c r="B119" s="15">
        <f>Raw_data!B114</f>
        <v>49341</v>
      </c>
      <c r="C119" s="77">
        <f>Raw_data!C114</f>
        <v>72023</v>
      </c>
      <c r="P119" s="87">
        <f t="shared" si="5"/>
        <v>49341</v>
      </c>
      <c r="Q119" s="99">
        <f t="shared" si="6"/>
        <v>72023</v>
      </c>
    </row>
    <row r="120" spans="2:17" x14ac:dyDescent="0.3">
      <c r="B120" s="15">
        <f>Raw_data!B115</f>
        <v>49369</v>
      </c>
      <c r="C120" s="77">
        <f>Raw_data!C115</f>
        <v>72250</v>
      </c>
      <c r="P120" s="87">
        <f t="shared" si="5"/>
        <v>49369</v>
      </c>
      <c r="Q120" s="99">
        <f t="shared" si="6"/>
        <v>72250</v>
      </c>
    </row>
    <row r="121" spans="2:17" x14ac:dyDescent="0.3">
      <c r="B121" s="15">
        <f>Raw_data!B116</f>
        <v>49400</v>
      </c>
      <c r="C121" s="77">
        <f>Raw_data!C116</f>
        <v>72551</v>
      </c>
      <c r="P121" s="87">
        <f t="shared" si="5"/>
        <v>49400</v>
      </c>
      <c r="Q121" s="99">
        <f t="shared" si="6"/>
        <v>72551</v>
      </c>
    </row>
    <row r="122" spans="2:17" x14ac:dyDescent="0.3">
      <c r="B122" s="15">
        <f>Raw_data!B117</f>
        <v>49430</v>
      </c>
      <c r="C122" s="77">
        <f>Raw_data!C117</f>
        <v>72718</v>
      </c>
      <c r="P122" s="87">
        <f t="shared" si="5"/>
        <v>49430</v>
      </c>
      <c r="Q122" s="99">
        <f t="shared" si="6"/>
        <v>72718</v>
      </c>
    </row>
    <row r="123" spans="2:17" x14ac:dyDescent="0.3">
      <c r="B123" s="15">
        <f>Raw_data!B118</f>
        <v>49461</v>
      </c>
      <c r="C123" s="77">
        <f>Raw_data!C118</f>
        <v>73024</v>
      </c>
      <c r="P123" s="87">
        <f t="shared" si="5"/>
        <v>49461</v>
      </c>
      <c r="Q123" s="99">
        <f t="shared" si="6"/>
        <v>73024</v>
      </c>
    </row>
    <row r="124" spans="2:17" x14ac:dyDescent="0.3">
      <c r="B124" s="15">
        <f>Raw_data!B119</f>
        <v>49491</v>
      </c>
      <c r="C124" s="77">
        <f>Raw_data!C119</f>
        <v>73206</v>
      </c>
      <c r="P124" s="87">
        <f t="shared" si="5"/>
        <v>49491</v>
      </c>
      <c r="Q124" s="99">
        <f t="shared" si="6"/>
        <v>73206</v>
      </c>
    </row>
    <row r="125" spans="2:17" x14ac:dyDescent="0.3">
      <c r="B125" s="15">
        <f>Raw_data!B120</f>
        <v>49522</v>
      </c>
      <c r="C125" s="77">
        <f>Raw_data!C120</f>
        <v>73522</v>
      </c>
      <c r="P125" s="87">
        <f t="shared" si="5"/>
        <v>49522</v>
      </c>
      <c r="Q125" s="99">
        <f t="shared" si="6"/>
        <v>73522</v>
      </c>
    </row>
    <row r="126" spans="2:17" x14ac:dyDescent="0.3">
      <c r="B126" s="15">
        <f>Raw_data!B121</f>
        <v>49553</v>
      </c>
      <c r="C126" s="77">
        <f>Raw_data!C121</f>
        <v>73689</v>
      </c>
      <c r="P126" s="87">
        <f t="shared" si="5"/>
        <v>49553</v>
      </c>
      <c r="Q126" s="99">
        <f t="shared" ref="Q126:Q157" si="7">C126</f>
        <v>73689</v>
      </c>
    </row>
    <row r="127" spans="2:17" x14ac:dyDescent="0.3">
      <c r="B127" s="15">
        <f>Raw_data!B122</f>
        <v>49583</v>
      </c>
      <c r="C127" s="77">
        <f>Raw_data!C122</f>
        <v>73945</v>
      </c>
      <c r="P127" s="87">
        <f t="shared" si="5"/>
        <v>49583</v>
      </c>
      <c r="Q127" s="99">
        <f t="shared" si="7"/>
        <v>73945</v>
      </c>
    </row>
    <row r="128" spans="2:17" x14ac:dyDescent="0.3">
      <c r="B128" s="15">
        <f>Raw_data!B123</f>
        <v>49614</v>
      </c>
      <c r="C128" s="77">
        <f>Raw_data!C123</f>
        <v>74202</v>
      </c>
      <c r="P128" s="87">
        <f t="shared" si="5"/>
        <v>49614</v>
      </c>
      <c r="Q128" s="99">
        <f t="shared" si="7"/>
        <v>74202</v>
      </c>
    </row>
    <row r="129" spans="2:17" x14ac:dyDescent="0.3">
      <c r="B129" s="15">
        <f>Raw_data!B124</f>
        <v>49644</v>
      </c>
      <c r="C129" s="77">
        <f>Raw_data!C124</f>
        <v>74484</v>
      </c>
      <c r="P129" s="87">
        <f t="shared" si="5"/>
        <v>49644</v>
      </c>
      <c r="Q129" s="99">
        <f t="shared" si="7"/>
        <v>74484</v>
      </c>
    </row>
    <row r="130" spans="2:17" x14ac:dyDescent="0.3">
      <c r="B130" s="15">
        <f>Raw_data!B125</f>
        <v>49675</v>
      </c>
      <c r="C130" s="77">
        <f>Raw_data!C125</f>
        <v>77660</v>
      </c>
      <c r="P130" s="87">
        <f t="shared" si="5"/>
        <v>49675</v>
      </c>
      <c r="Q130" s="99">
        <f t="shared" si="7"/>
        <v>77660</v>
      </c>
    </row>
    <row r="131" spans="2:17" x14ac:dyDescent="0.3">
      <c r="B131" s="15">
        <f>Raw_data!B126</f>
        <v>49706</v>
      </c>
      <c r="C131" s="77">
        <f>Raw_data!C126</f>
        <v>78439</v>
      </c>
      <c r="P131" s="87">
        <f t="shared" si="5"/>
        <v>49706</v>
      </c>
      <c r="Q131" s="99">
        <f t="shared" si="7"/>
        <v>78439</v>
      </c>
    </row>
    <row r="132" spans="2:17" x14ac:dyDescent="0.3">
      <c r="B132" s="15">
        <f>Raw_data!B127</f>
        <v>49735</v>
      </c>
      <c r="C132" s="77">
        <f>Raw_data!C127</f>
        <v>79208</v>
      </c>
      <c r="P132" s="87">
        <f t="shared" si="5"/>
        <v>49735</v>
      </c>
      <c r="Q132" s="99">
        <f t="shared" si="7"/>
        <v>79208</v>
      </c>
    </row>
    <row r="133" spans="2:17" x14ac:dyDescent="0.3">
      <c r="B133" s="15">
        <f>Raw_data!B128</f>
        <v>49766</v>
      </c>
      <c r="C133" s="77">
        <f>Raw_data!C128</f>
        <v>79952</v>
      </c>
      <c r="P133" s="87">
        <f t="shared" si="5"/>
        <v>49766</v>
      </c>
      <c r="Q133" s="99">
        <f t="shared" si="7"/>
        <v>79952</v>
      </c>
    </row>
    <row r="134" spans="2:17" x14ac:dyDescent="0.3">
      <c r="B134" s="15">
        <f>Raw_data!B129</f>
        <v>49796</v>
      </c>
      <c r="C134" s="77">
        <f>Raw_data!C129</f>
        <v>80741</v>
      </c>
      <c r="P134" s="87">
        <f t="shared" si="5"/>
        <v>49796</v>
      </c>
      <c r="Q134" s="99">
        <f t="shared" si="7"/>
        <v>80741</v>
      </c>
    </row>
    <row r="135" spans="2:17" x14ac:dyDescent="0.3">
      <c r="B135" s="15">
        <f>Raw_data!B130</f>
        <v>49827</v>
      </c>
      <c r="C135" s="77">
        <f>Raw_data!C130</f>
        <v>81530</v>
      </c>
      <c r="P135" s="87">
        <f t="shared" si="5"/>
        <v>49827</v>
      </c>
      <c r="Q135" s="99">
        <f t="shared" si="7"/>
        <v>81530</v>
      </c>
    </row>
    <row r="136" spans="2:17" x14ac:dyDescent="0.3">
      <c r="B136" s="15">
        <f>Raw_data!B131</f>
        <v>49857</v>
      </c>
      <c r="C136" s="77">
        <f>Raw_data!C131</f>
        <v>82309</v>
      </c>
      <c r="P136" s="87">
        <f t="shared" si="5"/>
        <v>49857</v>
      </c>
      <c r="Q136" s="99">
        <f t="shared" si="7"/>
        <v>82309</v>
      </c>
    </row>
    <row r="137" spans="2:17" x14ac:dyDescent="0.3">
      <c r="B137" s="15">
        <f>Raw_data!B132</f>
        <v>49888</v>
      </c>
      <c r="C137" s="77">
        <f>Raw_data!C132</f>
        <v>83003</v>
      </c>
      <c r="P137" s="87">
        <f t="shared" si="5"/>
        <v>49888</v>
      </c>
      <c r="Q137" s="99">
        <f t="shared" si="7"/>
        <v>83003</v>
      </c>
    </row>
    <row r="138" spans="2:17" x14ac:dyDescent="0.3">
      <c r="B138" s="15">
        <f>Raw_data!B133</f>
        <v>49919</v>
      </c>
      <c r="C138" s="77">
        <f>Raw_data!C133</f>
        <v>83767</v>
      </c>
      <c r="P138" s="87">
        <f t="shared" si="5"/>
        <v>49919</v>
      </c>
      <c r="Q138" s="99">
        <f t="shared" si="7"/>
        <v>83767</v>
      </c>
    </row>
    <row r="139" spans="2:17" x14ac:dyDescent="0.3">
      <c r="B139" s="15">
        <f>Raw_data!B134</f>
        <v>49949</v>
      </c>
      <c r="C139" s="77">
        <f>Raw_data!C134</f>
        <v>84611</v>
      </c>
      <c r="P139" s="87">
        <f t="shared" si="5"/>
        <v>49949</v>
      </c>
      <c r="Q139" s="99">
        <f t="shared" si="7"/>
        <v>84611</v>
      </c>
    </row>
    <row r="140" spans="2:17" x14ac:dyDescent="0.3">
      <c r="B140" s="15">
        <f>Raw_data!B135</f>
        <v>49980</v>
      </c>
      <c r="C140" s="77">
        <f>Raw_data!C135</f>
        <v>85339</v>
      </c>
      <c r="P140" s="87">
        <f t="shared" si="5"/>
        <v>49980</v>
      </c>
      <c r="Q140" s="99">
        <f t="shared" si="7"/>
        <v>85339</v>
      </c>
    </row>
    <row r="141" spans="2:17" x14ac:dyDescent="0.3">
      <c r="B141" s="15">
        <f>Raw_data!B136</f>
        <v>50010</v>
      </c>
      <c r="C141" s="77">
        <f>Raw_data!C136</f>
        <v>86068</v>
      </c>
      <c r="P141" s="87">
        <f t="shared" si="5"/>
        <v>50010</v>
      </c>
      <c r="Q141" s="99">
        <f t="shared" si="7"/>
        <v>86068</v>
      </c>
    </row>
    <row r="142" spans="2:17" x14ac:dyDescent="0.3">
      <c r="B142" s="15">
        <f>Raw_data!B137</f>
        <v>50041</v>
      </c>
      <c r="C142" s="77">
        <f>Raw_data!C137</f>
        <v>87507</v>
      </c>
      <c r="P142" s="87">
        <f t="shared" si="5"/>
        <v>50041</v>
      </c>
      <c r="Q142" s="99">
        <f t="shared" si="7"/>
        <v>87507</v>
      </c>
    </row>
    <row r="143" spans="2:17" x14ac:dyDescent="0.3">
      <c r="B143" s="15">
        <f>Raw_data!B138</f>
        <v>50072</v>
      </c>
      <c r="C143" s="77">
        <f>Raw_data!C138</f>
        <v>88276</v>
      </c>
      <c r="P143" s="87">
        <f t="shared" ref="P143:P206" si="8">B143</f>
        <v>50072</v>
      </c>
      <c r="Q143" s="99">
        <f t="shared" si="7"/>
        <v>88276</v>
      </c>
    </row>
    <row r="144" spans="2:17" x14ac:dyDescent="0.3">
      <c r="B144" s="15">
        <f>Raw_data!B139</f>
        <v>50100</v>
      </c>
      <c r="C144" s="77">
        <f>Raw_data!C139</f>
        <v>89031</v>
      </c>
      <c r="P144" s="87">
        <f t="shared" si="8"/>
        <v>50100</v>
      </c>
      <c r="Q144" s="99">
        <f t="shared" si="7"/>
        <v>89031</v>
      </c>
    </row>
    <row r="145" spans="2:18" x14ac:dyDescent="0.3">
      <c r="B145" s="15">
        <f>Raw_data!B140</f>
        <v>50131</v>
      </c>
      <c r="C145" s="77">
        <f>Raw_data!C140</f>
        <v>89765</v>
      </c>
      <c r="P145" s="87">
        <f t="shared" si="8"/>
        <v>50131</v>
      </c>
      <c r="Q145" s="99">
        <f t="shared" si="7"/>
        <v>89765</v>
      </c>
    </row>
    <row r="146" spans="2:18" x14ac:dyDescent="0.3">
      <c r="B146" s="15">
        <f>Raw_data!B141</f>
        <v>50161</v>
      </c>
      <c r="C146" s="77">
        <f>Raw_data!C141</f>
        <v>90590</v>
      </c>
      <c r="P146" s="87">
        <f t="shared" si="8"/>
        <v>50161</v>
      </c>
      <c r="Q146" s="99">
        <f t="shared" si="7"/>
        <v>90590</v>
      </c>
    </row>
    <row r="147" spans="2:18" x14ac:dyDescent="0.3">
      <c r="B147" s="15">
        <f>Raw_data!B142</f>
        <v>50192</v>
      </c>
      <c r="C147" s="215">
        <f>Raw_data!C142</f>
        <v>234567</v>
      </c>
      <c r="P147" s="87">
        <f t="shared" si="8"/>
        <v>50192</v>
      </c>
      <c r="Q147" s="89">
        <f>(Q146+Q148)/2</f>
        <v>91359.5</v>
      </c>
      <c r="R147" s="90" t="s">
        <v>186</v>
      </c>
    </row>
    <row r="148" spans="2:18" x14ac:dyDescent="0.3">
      <c r="B148" s="15">
        <f>Raw_data!B143</f>
        <v>50222</v>
      </c>
      <c r="C148" s="77">
        <f>Raw_data!C143</f>
        <v>92129</v>
      </c>
      <c r="P148" s="87">
        <f t="shared" si="8"/>
        <v>50222</v>
      </c>
      <c r="Q148" s="99">
        <f t="shared" si="7"/>
        <v>92129</v>
      </c>
    </row>
    <row r="149" spans="2:18" x14ac:dyDescent="0.3">
      <c r="B149" s="15">
        <f>Raw_data!B144</f>
        <v>50253</v>
      </c>
      <c r="C149" s="77">
        <f>Raw_data!C144</f>
        <v>92903</v>
      </c>
      <c r="P149" s="87">
        <f t="shared" si="8"/>
        <v>50253</v>
      </c>
      <c r="Q149" s="99">
        <f t="shared" si="7"/>
        <v>92903</v>
      </c>
    </row>
    <row r="150" spans="2:18" x14ac:dyDescent="0.3">
      <c r="B150" s="15">
        <f>Raw_data!B145</f>
        <v>50284</v>
      </c>
      <c r="C150" s="77">
        <f>Raw_data!C145</f>
        <v>93612</v>
      </c>
      <c r="P150" s="87">
        <f t="shared" si="8"/>
        <v>50284</v>
      </c>
      <c r="Q150" s="99">
        <f t="shared" si="7"/>
        <v>93612</v>
      </c>
    </row>
    <row r="151" spans="2:18" x14ac:dyDescent="0.3">
      <c r="B151" s="15">
        <f>Raw_data!B146</f>
        <v>50314</v>
      </c>
      <c r="C151" s="77">
        <f>Raw_data!C146</f>
        <v>94432</v>
      </c>
      <c r="P151" s="87">
        <f t="shared" si="8"/>
        <v>50314</v>
      </c>
      <c r="Q151" s="99">
        <f t="shared" si="7"/>
        <v>94432</v>
      </c>
    </row>
    <row r="152" spans="2:18" x14ac:dyDescent="0.3">
      <c r="B152" s="15">
        <f>Raw_data!B147</f>
        <v>50345</v>
      </c>
      <c r="C152" s="77">
        <f>Raw_data!C147</f>
        <v>95221</v>
      </c>
      <c r="P152" s="87">
        <f t="shared" si="8"/>
        <v>50345</v>
      </c>
      <c r="Q152" s="99">
        <f t="shared" si="7"/>
        <v>95221</v>
      </c>
    </row>
    <row r="153" spans="2:18" x14ac:dyDescent="0.3">
      <c r="B153" s="15">
        <f>Raw_data!B148</f>
        <v>50375</v>
      </c>
      <c r="C153" s="77">
        <f>Raw_data!C148</f>
        <v>95971</v>
      </c>
      <c r="P153" s="87">
        <f t="shared" si="8"/>
        <v>50375</v>
      </c>
      <c r="Q153" s="99">
        <f t="shared" si="7"/>
        <v>95971</v>
      </c>
    </row>
    <row r="154" spans="2:18" x14ac:dyDescent="0.3">
      <c r="B154" s="15">
        <f>Raw_data!B149</f>
        <v>50406</v>
      </c>
      <c r="C154" s="77">
        <f>Raw_data!C149</f>
        <v>96646</v>
      </c>
      <c r="P154" s="87">
        <f t="shared" si="8"/>
        <v>50406</v>
      </c>
      <c r="Q154" s="99">
        <f t="shared" si="7"/>
        <v>96646</v>
      </c>
    </row>
    <row r="155" spans="2:18" x14ac:dyDescent="0.3">
      <c r="B155" s="15">
        <f>Raw_data!B150</f>
        <v>50437</v>
      </c>
      <c r="C155" s="77">
        <f>Raw_data!C150</f>
        <v>97395</v>
      </c>
      <c r="P155" s="87">
        <f t="shared" si="8"/>
        <v>50437</v>
      </c>
      <c r="Q155" s="99">
        <f t="shared" si="7"/>
        <v>97395</v>
      </c>
    </row>
    <row r="156" spans="2:18" x14ac:dyDescent="0.3">
      <c r="B156" s="15">
        <f>Raw_data!B151</f>
        <v>50465</v>
      </c>
      <c r="C156" s="77">
        <f>Raw_data!C151</f>
        <v>98149</v>
      </c>
      <c r="P156" s="87">
        <f t="shared" si="8"/>
        <v>50465</v>
      </c>
      <c r="Q156" s="99">
        <f t="shared" si="7"/>
        <v>98149</v>
      </c>
    </row>
    <row r="157" spans="2:18" x14ac:dyDescent="0.3">
      <c r="B157" s="15">
        <f>Raw_data!B152</f>
        <v>50496</v>
      </c>
      <c r="C157" s="77">
        <f>Raw_data!C152</f>
        <v>98953</v>
      </c>
      <c r="P157" s="87">
        <f t="shared" si="8"/>
        <v>50496</v>
      </c>
      <c r="Q157" s="99">
        <f t="shared" si="7"/>
        <v>98953</v>
      </c>
    </row>
    <row r="158" spans="2:18" x14ac:dyDescent="0.3">
      <c r="B158" s="15">
        <f>Raw_data!B153</f>
        <v>50526</v>
      </c>
      <c r="C158" s="77">
        <f>Raw_data!C153</f>
        <v>99777</v>
      </c>
      <c r="P158" s="87">
        <f t="shared" si="8"/>
        <v>50526</v>
      </c>
      <c r="Q158" s="99">
        <f t="shared" ref="Q158:Q189" si="9">C158</f>
        <v>99777</v>
      </c>
    </row>
    <row r="159" spans="2:18" x14ac:dyDescent="0.3">
      <c r="B159" s="15">
        <f>Raw_data!B154</f>
        <v>50557</v>
      </c>
      <c r="C159" s="77">
        <f>Raw_data!C154</f>
        <v>100541</v>
      </c>
      <c r="P159" s="87">
        <f t="shared" si="8"/>
        <v>50557</v>
      </c>
      <c r="Q159" s="99">
        <f t="shared" si="9"/>
        <v>100541</v>
      </c>
    </row>
    <row r="160" spans="2:18" x14ac:dyDescent="0.3">
      <c r="B160" s="15">
        <f>Raw_data!B155</f>
        <v>50587</v>
      </c>
      <c r="C160" s="77">
        <f>Raw_data!C155</f>
        <v>101305</v>
      </c>
      <c r="P160" s="87">
        <f t="shared" si="8"/>
        <v>50587</v>
      </c>
      <c r="Q160" s="99">
        <f t="shared" si="9"/>
        <v>101305</v>
      </c>
    </row>
    <row r="161" spans="2:17" x14ac:dyDescent="0.3">
      <c r="B161" s="15">
        <f>Raw_data!B156</f>
        <v>50618</v>
      </c>
      <c r="C161" s="77">
        <f>Raw_data!C156</f>
        <v>102079</v>
      </c>
      <c r="P161" s="87">
        <f t="shared" si="8"/>
        <v>50618</v>
      </c>
      <c r="Q161" s="99">
        <f t="shared" si="9"/>
        <v>102079</v>
      </c>
    </row>
    <row r="162" spans="2:17" x14ac:dyDescent="0.3">
      <c r="B162" s="15">
        <f>Raw_data!B157</f>
        <v>50649</v>
      </c>
      <c r="C162" s="77">
        <f>Raw_data!C157</f>
        <v>102828</v>
      </c>
      <c r="P162" s="87">
        <f t="shared" si="8"/>
        <v>50649</v>
      </c>
      <c r="Q162" s="99">
        <f t="shared" si="9"/>
        <v>102828</v>
      </c>
    </row>
    <row r="163" spans="2:17" x14ac:dyDescent="0.3">
      <c r="B163" s="15">
        <f>Raw_data!B158</f>
        <v>50679</v>
      </c>
      <c r="C163" s="77">
        <f>Raw_data!C158</f>
        <v>103547</v>
      </c>
      <c r="P163" s="87">
        <f t="shared" si="8"/>
        <v>50679</v>
      </c>
      <c r="Q163" s="99">
        <f t="shared" si="9"/>
        <v>103547</v>
      </c>
    </row>
    <row r="164" spans="2:17" x14ac:dyDescent="0.3">
      <c r="B164" s="15">
        <f>Raw_data!B159</f>
        <v>50710</v>
      </c>
      <c r="C164" s="77">
        <f>Raw_data!C159</f>
        <v>104396</v>
      </c>
      <c r="P164" s="87">
        <f t="shared" si="8"/>
        <v>50710</v>
      </c>
      <c r="Q164" s="99">
        <f t="shared" si="9"/>
        <v>104396</v>
      </c>
    </row>
    <row r="165" spans="2:17" x14ac:dyDescent="0.3">
      <c r="B165" s="15">
        <f>Raw_data!B160</f>
        <v>50740</v>
      </c>
      <c r="C165" s="77">
        <f>Raw_data!C160</f>
        <v>105155</v>
      </c>
      <c r="P165" s="87">
        <f t="shared" si="8"/>
        <v>50740</v>
      </c>
      <c r="Q165" s="99">
        <f t="shared" si="9"/>
        <v>105155</v>
      </c>
    </row>
    <row r="166" spans="2:17" x14ac:dyDescent="0.3">
      <c r="B166" s="15">
        <f>Raw_data!B161</f>
        <v>50771</v>
      </c>
      <c r="C166" s="77">
        <f>Raw_data!C161</f>
        <v>106682</v>
      </c>
      <c r="P166" s="87">
        <f t="shared" si="8"/>
        <v>50771</v>
      </c>
      <c r="Q166" s="99">
        <f t="shared" si="9"/>
        <v>106682</v>
      </c>
    </row>
    <row r="167" spans="2:17" x14ac:dyDescent="0.3">
      <c r="B167" s="15">
        <f>Raw_data!B162</f>
        <v>50802</v>
      </c>
      <c r="C167" s="77">
        <f>Raw_data!C162</f>
        <v>107512</v>
      </c>
      <c r="P167" s="87">
        <f t="shared" si="8"/>
        <v>50802</v>
      </c>
      <c r="Q167" s="99">
        <f t="shared" si="9"/>
        <v>107512</v>
      </c>
    </row>
    <row r="168" spans="2:17" x14ac:dyDescent="0.3">
      <c r="B168" s="15">
        <f>Raw_data!B163</f>
        <v>50830</v>
      </c>
      <c r="C168" s="77">
        <f>Raw_data!C163</f>
        <v>108317</v>
      </c>
      <c r="P168" s="87">
        <f t="shared" si="8"/>
        <v>50830</v>
      </c>
      <c r="Q168" s="99">
        <f t="shared" si="9"/>
        <v>108317</v>
      </c>
    </row>
    <row r="169" spans="2:17" x14ac:dyDescent="0.3">
      <c r="B169" s="15">
        <f>Raw_data!B164</f>
        <v>50861</v>
      </c>
      <c r="C169" s="77">
        <f>Raw_data!C164</f>
        <v>109027</v>
      </c>
      <c r="P169" s="87">
        <f t="shared" si="8"/>
        <v>50861</v>
      </c>
      <c r="Q169" s="99">
        <f t="shared" si="9"/>
        <v>109027</v>
      </c>
    </row>
    <row r="170" spans="2:17" x14ac:dyDescent="0.3">
      <c r="B170" s="15">
        <f>Raw_data!B165</f>
        <v>50891</v>
      </c>
      <c r="C170" s="77">
        <f>Raw_data!C165</f>
        <v>109842</v>
      </c>
      <c r="P170" s="87">
        <f t="shared" si="8"/>
        <v>50891</v>
      </c>
      <c r="Q170" s="99">
        <f t="shared" si="9"/>
        <v>109842</v>
      </c>
    </row>
    <row r="171" spans="2:17" x14ac:dyDescent="0.3">
      <c r="B171" s="15">
        <f>Raw_data!B166</f>
        <v>50922</v>
      </c>
      <c r="C171" s="77">
        <f>Raw_data!C166</f>
        <v>110627</v>
      </c>
      <c r="P171" s="87">
        <f t="shared" si="8"/>
        <v>50922</v>
      </c>
      <c r="Q171" s="99">
        <f t="shared" si="9"/>
        <v>110627</v>
      </c>
    </row>
    <row r="172" spans="2:17" x14ac:dyDescent="0.3">
      <c r="B172" s="15">
        <f>Raw_data!B167</f>
        <v>50952</v>
      </c>
      <c r="C172" s="77">
        <f>Raw_data!C167</f>
        <v>111417</v>
      </c>
      <c r="P172" s="87">
        <f t="shared" si="8"/>
        <v>50952</v>
      </c>
      <c r="Q172" s="99">
        <f t="shared" si="9"/>
        <v>111417</v>
      </c>
    </row>
    <row r="173" spans="2:17" x14ac:dyDescent="0.3">
      <c r="B173" s="15">
        <f>Raw_data!B168</f>
        <v>50983</v>
      </c>
      <c r="C173" s="77">
        <f>Raw_data!C168</f>
        <v>112092</v>
      </c>
      <c r="P173" s="87">
        <f t="shared" si="8"/>
        <v>50983</v>
      </c>
      <c r="Q173" s="99">
        <f t="shared" si="9"/>
        <v>112092</v>
      </c>
    </row>
    <row r="174" spans="2:17" x14ac:dyDescent="0.3">
      <c r="B174" s="15">
        <f>Raw_data!B169</f>
        <v>51014</v>
      </c>
      <c r="C174" s="77">
        <f>Raw_data!C169</f>
        <v>112952</v>
      </c>
      <c r="P174" s="87">
        <f t="shared" si="8"/>
        <v>51014</v>
      </c>
      <c r="Q174" s="99">
        <f t="shared" si="9"/>
        <v>112952</v>
      </c>
    </row>
    <row r="175" spans="2:17" x14ac:dyDescent="0.3">
      <c r="B175" s="15">
        <f>Raw_data!B170</f>
        <v>51044</v>
      </c>
      <c r="C175" s="77">
        <f>Raw_data!C170</f>
        <v>113667</v>
      </c>
      <c r="P175" s="87">
        <f t="shared" si="8"/>
        <v>51044</v>
      </c>
      <c r="Q175" s="99">
        <f t="shared" si="9"/>
        <v>113667</v>
      </c>
    </row>
    <row r="176" spans="2:17" x14ac:dyDescent="0.3">
      <c r="B176" s="15">
        <f>Raw_data!B171</f>
        <v>51075</v>
      </c>
      <c r="C176" s="77">
        <f>Raw_data!C171</f>
        <v>114487</v>
      </c>
      <c r="P176" s="87">
        <f t="shared" si="8"/>
        <v>51075</v>
      </c>
      <c r="Q176" s="99">
        <f t="shared" si="9"/>
        <v>114487</v>
      </c>
    </row>
    <row r="177" spans="2:17" x14ac:dyDescent="0.3">
      <c r="B177" s="15">
        <f>Raw_data!B172</f>
        <v>51105</v>
      </c>
      <c r="C177" s="77">
        <f>Raw_data!C172</f>
        <v>115227</v>
      </c>
      <c r="P177" s="87">
        <f t="shared" si="8"/>
        <v>51105</v>
      </c>
      <c r="Q177" s="99">
        <f t="shared" si="9"/>
        <v>115227</v>
      </c>
    </row>
    <row r="178" spans="2:17" x14ac:dyDescent="0.3">
      <c r="B178" s="15">
        <f>Raw_data!B173</f>
        <v>51136</v>
      </c>
      <c r="C178" s="77">
        <f>Raw_data!C173</f>
        <v>115601</v>
      </c>
      <c r="P178" s="87">
        <f t="shared" si="8"/>
        <v>51136</v>
      </c>
      <c r="Q178" s="99">
        <f t="shared" si="9"/>
        <v>115601</v>
      </c>
    </row>
    <row r="179" spans="2:17" x14ac:dyDescent="0.3">
      <c r="B179" s="15">
        <f>Raw_data!B174</f>
        <v>51167</v>
      </c>
      <c r="C179" s="77">
        <f>Raw_data!C174</f>
        <v>116418</v>
      </c>
      <c r="P179" s="87">
        <f t="shared" si="8"/>
        <v>51167</v>
      </c>
      <c r="Q179" s="99">
        <f t="shared" si="9"/>
        <v>116418</v>
      </c>
    </row>
    <row r="180" spans="2:17" x14ac:dyDescent="0.3">
      <c r="B180" s="15">
        <f>Raw_data!B175</f>
        <v>51196</v>
      </c>
      <c r="C180" s="77">
        <f>Raw_data!C175</f>
        <v>117110</v>
      </c>
      <c r="P180" s="87">
        <f t="shared" si="8"/>
        <v>51196</v>
      </c>
      <c r="Q180" s="99">
        <f t="shared" si="9"/>
        <v>117110</v>
      </c>
    </row>
    <row r="181" spans="2:17" x14ac:dyDescent="0.3">
      <c r="B181" s="15">
        <f>Raw_data!B176</f>
        <v>51227</v>
      </c>
      <c r="C181" s="77">
        <f>Raw_data!C176</f>
        <v>117897</v>
      </c>
      <c r="P181" s="87">
        <f t="shared" si="8"/>
        <v>51227</v>
      </c>
      <c r="Q181" s="99">
        <f t="shared" si="9"/>
        <v>117897</v>
      </c>
    </row>
    <row r="182" spans="2:17" x14ac:dyDescent="0.3">
      <c r="B182" s="15">
        <f>Raw_data!B177</f>
        <v>51257</v>
      </c>
      <c r="C182" s="77">
        <f>Raw_data!C177</f>
        <v>118655</v>
      </c>
      <c r="P182" s="87">
        <f t="shared" si="8"/>
        <v>51257</v>
      </c>
      <c r="Q182" s="99">
        <f t="shared" si="9"/>
        <v>118655</v>
      </c>
    </row>
    <row r="183" spans="2:17" x14ac:dyDescent="0.3">
      <c r="B183" s="15">
        <f>Raw_data!B178</f>
        <v>51288</v>
      </c>
      <c r="C183" s="77">
        <f>Raw_data!C178</f>
        <v>119472</v>
      </c>
      <c r="P183" s="87">
        <f t="shared" si="8"/>
        <v>51288</v>
      </c>
      <c r="Q183" s="99">
        <f t="shared" si="9"/>
        <v>119472</v>
      </c>
    </row>
    <row r="184" spans="2:17" x14ac:dyDescent="0.3">
      <c r="B184" s="15">
        <f>Raw_data!B179</f>
        <v>51318</v>
      </c>
      <c r="C184" s="77">
        <f>Raw_data!C179</f>
        <v>120234</v>
      </c>
      <c r="P184" s="87">
        <f t="shared" si="8"/>
        <v>51318</v>
      </c>
      <c r="Q184" s="99">
        <f t="shared" si="9"/>
        <v>120234</v>
      </c>
    </row>
    <row r="185" spans="2:17" x14ac:dyDescent="0.3">
      <c r="B185" s="15">
        <f>Raw_data!B180</f>
        <v>51349</v>
      </c>
      <c r="C185" s="77">
        <f>Raw_data!C180</f>
        <v>121022</v>
      </c>
      <c r="P185" s="87">
        <f t="shared" si="8"/>
        <v>51349</v>
      </c>
      <c r="Q185" s="99">
        <f t="shared" si="9"/>
        <v>121022</v>
      </c>
    </row>
    <row r="186" spans="2:17" x14ac:dyDescent="0.3">
      <c r="B186" s="15">
        <f>Raw_data!B181</f>
        <v>51380</v>
      </c>
      <c r="C186" s="77">
        <f>Raw_data!C181</f>
        <v>121794</v>
      </c>
      <c r="P186" s="87">
        <f t="shared" si="8"/>
        <v>51380</v>
      </c>
      <c r="Q186" s="99">
        <f t="shared" si="9"/>
        <v>121794</v>
      </c>
    </row>
    <row r="187" spans="2:17" x14ac:dyDescent="0.3">
      <c r="B187" s="15">
        <f>Raw_data!B182</f>
        <v>51410</v>
      </c>
      <c r="C187" s="77">
        <f>Raw_data!C182</f>
        <v>122596</v>
      </c>
      <c r="P187" s="87">
        <f t="shared" si="8"/>
        <v>51410</v>
      </c>
      <c r="Q187" s="99">
        <f t="shared" si="9"/>
        <v>122596</v>
      </c>
    </row>
    <row r="188" spans="2:17" x14ac:dyDescent="0.3">
      <c r="B188" s="15">
        <f>Raw_data!B183</f>
        <v>51441</v>
      </c>
      <c r="C188" s="77">
        <f>Raw_data!C183</f>
        <v>123288</v>
      </c>
      <c r="P188" s="87">
        <f t="shared" si="8"/>
        <v>51441</v>
      </c>
      <c r="Q188" s="99">
        <f t="shared" si="9"/>
        <v>123288</v>
      </c>
    </row>
    <row r="189" spans="2:17" x14ac:dyDescent="0.3">
      <c r="B189" s="15">
        <f>Raw_data!B184</f>
        <v>51471</v>
      </c>
      <c r="C189" s="77">
        <f>Raw_data!C184</f>
        <v>124126</v>
      </c>
      <c r="P189" s="87">
        <f t="shared" si="8"/>
        <v>51471</v>
      </c>
      <c r="Q189" s="99">
        <f t="shared" si="9"/>
        <v>124126</v>
      </c>
    </row>
    <row r="190" spans="2:17" x14ac:dyDescent="0.3">
      <c r="B190" s="15">
        <f>Raw_data!B185</f>
        <v>51502</v>
      </c>
      <c r="C190" s="77">
        <f>Raw_data!C185</f>
        <v>121209</v>
      </c>
      <c r="P190" s="87">
        <f t="shared" si="8"/>
        <v>51502</v>
      </c>
      <c r="Q190" s="99">
        <f t="shared" ref="Q190:Q222" si="10">C190</f>
        <v>121209</v>
      </c>
    </row>
    <row r="191" spans="2:17" x14ac:dyDescent="0.3">
      <c r="B191" s="15">
        <f>Raw_data!B186</f>
        <v>51533</v>
      </c>
      <c r="C191" s="77">
        <f>Raw_data!C186</f>
        <v>122745</v>
      </c>
      <c r="P191" s="87">
        <f t="shared" si="8"/>
        <v>51533</v>
      </c>
      <c r="Q191" s="99">
        <f t="shared" si="10"/>
        <v>122745</v>
      </c>
    </row>
    <row r="192" spans="2:17" x14ac:dyDescent="0.3">
      <c r="B192" s="15">
        <f>Raw_data!B187</f>
        <v>51561</v>
      </c>
      <c r="C192" s="77">
        <f>Raw_data!C187</f>
        <v>124255</v>
      </c>
      <c r="P192" s="87">
        <f t="shared" si="8"/>
        <v>51561</v>
      </c>
      <c r="Q192" s="99">
        <f t="shared" si="10"/>
        <v>124255</v>
      </c>
    </row>
    <row r="193" spans="2:17" x14ac:dyDescent="0.3">
      <c r="B193" s="15">
        <f>Raw_data!B188</f>
        <v>51592</v>
      </c>
      <c r="C193" s="77">
        <f>Raw_data!C188</f>
        <v>125696</v>
      </c>
      <c r="P193" s="87">
        <f t="shared" si="8"/>
        <v>51592</v>
      </c>
      <c r="Q193" s="99">
        <f t="shared" si="10"/>
        <v>125696</v>
      </c>
    </row>
    <row r="194" spans="2:17" x14ac:dyDescent="0.3">
      <c r="B194" s="15">
        <f>Raw_data!B189</f>
        <v>51622</v>
      </c>
      <c r="C194" s="77">
        <f>Raw_data!C189</f>
        <v>127206</v>
      </c>
      <c r="P194" s="87">
        <f t="shared" si="8"/>
        <v>51622</v>
      </c>
      <c r="Q194" s="99">
        <f t="shared" si="10"/>
        <v>127206</v>
      </c>
    </row>
    <row r="195" spans="2:17" x14ac:dyDescent="0.3">
      <c r="B195" s="15">
        <f>Raw_data!B190</f>
        <v>51653</v>
      </c>
      <c r="C195" s="77">
        <f>Raw_data!C190</f>
        <v>128722</v>
      </c>
      <c r="P195" s="87">
        <f t="shared" si="8"/>
        <v>51653</v>
      </c>
      <c r="Q195" s="99">
        <f t="shared" si="10"/>
        <v>128722</v>
      </c>
    </row>
    <row r="196" spans="2:17" x14ac:dyDescent="0.3">
      <c r="B196" s="15">
        <f>Raw_data!B191</f>
        <v>51683</v>
      </c>
      <c r="C196" s="77">
        <f>Raw_data!C191</f>
        <v>130182</v>
      </c>
      <c r="P196" s="87">
        <f t="shared" si="8"/>
        <v>51683</v>
      </c>
      <c r="Q196" s="99">
        <f t="shared" si="10"/>
        <v>130182</v>
      </c>
    </row>
    <row r="197" spans="2:17" x14ac:dyDescent="0.3">
      <c r="B197" s="15">
        <f>Raw_data!B192</f>
        <v>51714</v>
      </c>
      <c r="C197" s="77">
        <f>Raw_data!C192</f>
        <v>131677</v>
      </c>
      <c r="P197" s="87">
        <f t="shared" si="8"/>
        <v>51714</v>
      </c>
      <c r="Q197" s="99">
        <f t="shared" si="10"/>
        <v>131677</v>
      </c>
    </row>
    <row r="198" spans="2:17" x14ac:dyDescent="0.3">
      <c r="B198" s="15">
        <f>Raw_data!B193</f>
        <v>51745</v>
      </c>
      <c r="C198" s="77">
        <f>Raw_data!C193</f>
        <v>133188</v>
      </c>
      <c r="P198" s="87">
        <f t="shared" si="8"/>
        <v>51745</v>
      </c>
      <c r="Q198" s="99">
        <f t="shared" si="10"/>
        <v>133188</v>
      </c>
    </row>
    <row r="199" spans="2:17" x14ac:dyDescent="0.3">
      <c r="B199" s="15">
        <f>Raw_data!B194</f>
        <v>51775</v>
      </c>
      <c r="C199" s="77">
        <f>Raw_data!C194</f>
        <v>134668</v>
      </c>
      <c r="P199" s="87">
        <f t="shared" si="8"/>
        <v>51775</v>
      </c>
      <c r="Q199" s="99">
        <f t="shared" si="10"/>
        <v>134668</v>
      </c>
    </row>
    <row r="200" spans="2:17" x14ac:dyDescent="0.3">
      <c r="B200" s="15">
        <f>Raw_data!B195</f>
        <v>51806</v>
      </c>
      <c r="C200" s="77">
        <f>Raw_data!C195</f>
        <v>136124</v>
      </c>
      <c r="P200" s="87">
        <f t="shared" si="8"/>
        <v>51806</v>
      </c>
      <c r="Q200" s="99">
        <f t="shared" si="10"/>
        <v>136124</v>
      </c>
    </row>
    <row r="201" spans="2:17" x14ac:dyDescent="0.3">
      <c r="B201" s="15">
        <f>Raw_data!B196</f>
        <v>51836</v>
      </c>
      <c r="C201" s="77">
        <f>Raw_data!C196</f>
        <v>137609</v>
      </c>
      <c r="P201" s="87">
        <f t="shared" si="8"/>
        <v>51836</v>
      </c>
      <c r="Q201" s="99">
        <f t="shared" si="10"/>
        <v>137609</v>
      </c>
    </row>
    <row r="202" spans="2:17" x14ac:dyDescent="0.3">
      <c r="B202" s="15">
        <f>Raw_data!B197</f>
        <v>51867</v>
      </c>
      <c r="C202" s="77">
        <f>Raw_data!C197</f>
        <v>131999</v>
      </c>
      <c r="P202" s="87">
        <f t="shared" si="8"/>
        <v>51867</v>
      </c>
      <c r="Q202" s="99">
        <f t="shared" si="10"/>
        <v>131999</v>
      </c>
    </row>
    <row r="203" spans="2:17" x14ac:dyDescent="0.3">
      <c r="B203" s="15">
        <f>Raw_data!B198</f>
        <v>51898</v>
      </c>
      <c r="C203" s="77">
        <f>Raw_data!C198</f>
        <v>133433</v>
      </c>
      <c r="P203" s="87">
        <f t="shared" si="8"/>
        <v>51898</v>
      </c>
      <c r="Q203" s="99">
        <f t="shared" si="10"/>
        <v>133433</v>
      </c>
    </row>
    <row r="204" spans="2:17" x14ac:dyDescent="0.3">
      <c r="B204" s="15">
        <f>Raw_data!B199</f>
        <v>51926</v>
      </c>
      <c r="C204" s="77">
        <f>Raw_data!C199</f>
        <v>134868</v>
      </c>
      <c r="P204" s="87">
        <f t="shared" si="8"/>
        <v>51926</v>
      </c>
      <c r="Q204" s="99">
        <f t="shared" si="10"/>
        <v>134868</v>
      </c>
    </row>
    <row r="205" spans="2:17" x14ac:dyDescent="0.3">
      <c r="B205" s="15">
        <f>Raw_data!B200</f>
        <v>51957</v>
      </c>
      <c r="C205" s="77">
        <f>Raw_data!C200</f>
        <v>136232</v>
      </c>
      <c r="P205" s="87">
        <f t="shared" si="8"/>
        <v>51957</v>
      </c>
      <c r="Q205" s="99">
        <f t="shared" si="10"/>
        <v>136232</v>
      </c>
    </row>
    <row r="206" spans="2:17" x14ac:dyDescent="0.3">
      <c r="B206" s="15">
        <f>Raw_data!B201</f>
        <v>51987</v>
      </c>
      <c r="C206" s="77">
        <f>Raw_data!C201</f>
        <v>137661</v>
      </c>
      <c r="P206" s="87">
        <f t="shared" si="8"/>
        <v>51987</v>
      </c>
      <c r="Q206" s="99">
        <f t="shared" si="10"/>
        <v>137661</v>
      </c>
    </row>
    <row r="207" spans="2:17" x14ac:dyDescent="0.3">
      <c r="B207" s="15">
        <f>Raw_data!B202</f>
        <v>52018</v>
      </c>
      <c r="C207" s="77">
        <f>Raw_data!C202</f>
        <v>139080</v>
      </c>
      <c r="P207" s="87">
        <f t="shared" ref="P207:P249" si="11">B207</f>
        <v>52018</v>
      </c>
      <c r="Q207" s="99">
        <f t="shared" si="10"/>
        <v>139080</v>
      </c>
    </row>
    <row r="208" spans="2:17" x14ac:dyDescent="0.3">
      <c r="B208" s="15">
        <f>Raw_data!B203</f>
        <v>52048</v>
      </c>
      <c r="C208" s="77">
        <f>Raw_data!C203</f>
        <v>140475</v>
      </c>
      <c r="P208" s="87">
        <f t="shared" si="11"/>
        <v>52048</v>
      </c>
      <c r="Q208" s="99">
        <f t="shared" si="10"/>
        <v>140475</v>
      </c>
    </row>
    <row r="209" spans="2:18" x14ac:dyDescent="0.3">
      <c r="B209" s="15">
        <f>Raw_data!B204</f>
        <v>52079</v>
      </c>
      <c r="C209" s="77">
        <f>Raw_data!C204</f>
        <v>141889</v>
      </c>
      <c r="P209" s="87">
        <f t="shared" si="11"/>
        <v>52079</v>
      </c>
      <c r="Q209" s="99">
        <f t="shared" si="10"/>
        <v>141889</v>
      </c>
    </row>
    <row r="210" spans="2:18" x14ac:dyDescent="0.3">
      <c r="B210" s="15">
        <f>Raw_data!B205</f>
        <v>52110</v>
      </c>
      <c r="C210" s="77">
        <f>Raw_data!C205</f>
        <v>143328</v>
      </c>
      <c r="P210" s="87">
        <f t="shared" si="11"/>
        <v>52110</v>
      </c>
      <c r="Q210" s="99">
        <f t="shared" si="10"/>
        <v>143328</v>
      </c>
    </row>
    <row r="211" spans="2:18" x14ac:dyDescent="0.3">
      <c r="B211" s="15">
        <f>Raw_data!B206</f>
        <v>52140</v>
      </c>
      <c r="C211" s="77">
        <f>Raw_data!C206</f>
        <v>144773</v>
      </c>
      <c r="P211" s="87">
        <f t="shared" si="11"/>
        <v>52140</v>
      </c>
      <c r="Q211" s="99">
        <f t="shared" si="10"/>
        <v>144773</v>
      </c>
    </row>
    <row r="212" spans="2:18" x14ac:dyDescent="0.3">
      <c r="B212" s="15">
        <f>Raw_data!B207</f>
        <v>52171</v>
      </c>
      <c r="C212" s="77">
        <f>Raw_data!C207</f>
        <v>146202</v>
      </c>
      <c r="P212" s="87">
        <f t="shared" si="11"/>
        <v>52171</v>
      </c>
      <c r="Q212" s="99">
        <f t="shared" si="10"/>
        <v>146202</v>
      </c>
    </row>
    <row r="213" spans="2:18" x14ac:dyDescent="0.3">
      <c r="B213" s="15">
        <f>Raw_data!B208</f>
        <v>52201</v>
      </c>
      <c r="C213" s="77">
        <f>Raw_data!C208</f>
        <v>147606</v>
      </c>
      <c r="P213" s="87">
        <f t="shared" si="11"/>
        <v>52201</v>
      </c>
      <c r="Q213" s="99">
        <f t="shared" si="10"/>
        <v>147606</v>
      </c>
    </row>
    <row r="214" spans="2:18" x14ac:dyDescent="0.3">
      <c r="B214" s="15">
        <f>Raw_data!B209</f>
        <v>52232</v>
      </c>
      <c r="C214" s="77">
        <f>Raw_data!C209</f>
        <v>143505</v>
      </c>
      <c r="P214" s="87">
        <f t="shared" si="11"/>
        <v>52232</v>
      </c>
      <c r="Q214" s="99">
        <f t="shared" si="10"/>
        <v>143505</v>
      </c>
    </row>
    <row r="215" spans="2:18" x14ac:dyDescent="0.3">
      <c r="B215" s="15">
        <f>Raw_data!B210</f>
        <v>52263</v>
      </c>
      <c r="C215" s="77">
        <f>Raw_data!C210</f>
        <v>144862</v>
      </c>
      <c r="P215" s="87">
        <f t="shared" si="11"/>
        <v>52263</v>
      </c>
      <c r="Q215" s="99">
        <f t="shared" si="10"/>
        <v>144862</v>
      </c>
    </row>
    <row r="216" spans="2:18" x14ac:dyDescent="0.3">
      <c r="B216" s="15">
        <f>Raw_data!B211</f>
        <v>52291</v>
      </c>
      <c r="C216" s="77">
        <f>Raw_data!C211</f>
        <v>146179</v>
      </c>
      <c r="P216" s="87">
        <f t="shared" si="11"/>
        <v>52291</v>
      </c>
      <c r="Q216" s="99">
        <f t="shared" si="10"/>
        <v>146179</v>
      </c>
    </row>
    <row r="217" spans="2:18" x14ac:dyDescent="0.3">
      <c r="B217" s="15">
        <f>Raw_data!B212</f>
        <v>52322</v>
      </c>
      <c r="C217" s="77">
        <f>Raw_data!C212</f>
        <v>147612</v>
      </c>
      <c r="P217" s="87">
        <f t="shared" si="11"/>
        <v>52322</v>
      </c>
      <c r="Q217" s="99">
        <f t="shared" si="10"/>
        <v>147612</v>
      </c>
    </row>
    <row r="218" spans="2:18" x14ac:dyDescent="0.3">
      <c r="B218" s="15">
        <f>Raw_data!B213</f>
        <v>52352</v>
      </c>
      <c r="C218" s="77">
        <f>Raw_data!C213</f>
        <v>148949</v>
      </c>
      <c r="P218" s="87">
        <f t="shared" si="11"/>
        <v>52352</v>
      </c>
      <c r="Q218" s="99">
        <f t="shared" si="10"/>
        <v>148949</v>
      </c>
    </row>
    <row r="219" spans="2:18" x14ac:dyDescent="0.3">
      <c r="B219" s="15">
        <f>Raw_data!B214</f>
        <v>52383</v>
      </c>
      <c r="C219" s="77">
        <f>Raw_data!C214</f>
        <v>150276</v>
      </c>
      <c r="P219" s="87">
        <f t="shared" si="11"/>
        <v>52383</v>
      </c>
      <c r="Q219" s="99">
        <f t="shared" si="10"/>
        <v>150276</v>
      </c>
    </row>
    <row r="220" spans="2:18" x14ac:dyDescent="0.3">
      <c r="B220" s="15">
        <f>Raw_data!B215</f>
        <v>52413</v>
      </c>
      <c r="C220" s="77">
        <f>Raw_data!C215</f>
        <v>151688</v>
      </c>
      <c r="P220" s="87">
        <f t="shared" si="11"/>
        <v>52413</v>
      </c>
      <c r="Q220" s="99">
        <f t="shared" si="10"/>
        <v>151688</v>
      </c>
    </row>
    <row r="221" spans="2:18" x14ac:dyDescent="0.3">
      <c r="B221" s="15">
        <f>Raw_data!B216</f>
        <v>52444</v>
      </c>
      <c r="C221" s="77">
        <f>Raw_data!C216</f>
        <v>153035</v>
      </c>
      <c r="P221" s="87">
        <f t="shared" si="11"/>
        <v>52444</v>
      </c>
      <c r="Q221" s="99">
        <f t="shared" si="10"/>
        <v>153035</v>
      </c>
    </row>
    <row r="222" spans="2:18" x14ac:dyDescent="0.3">
      <c r="B222" s="15">
        <f>Raw_data!B217</f>
        <v>52475</v>
      </c>
      <c r="C222" s="77">
        <f>Raw_data!C217</f>
        <v>154357</v>
      </c>
      <c r="D222" s="21"/>
      <c r="P222" s="87">
        <f t="shared" si="11"/>
        <v>52475</v>
      </c>
      <c r="Q222" s="99">
        <f t="shared" si="10"/>
        <v>154357</v>
      </c>
      <c r="R222" s="90"/>
    </row>
    <row r="223" spans="2:18" x14ac:dyDescent="0.3">
      <c r="B223" s="15">
        <f>Raw_data!B218</f>
        <v>52505</v>
      </c>
      <c r="C223" s="77">
        <f>Raw_data!C218</f>
        <v>155754</v>
      </c>
      <c r="P223" s="87">
        <f t="shared" si="11"/>
        <v>52505</v>
      </c>
      <c r="Q223" s="99">
        <f t="shared" ref="Q223:Q249" si="12">C223</f>
        <v>155754</v>
      </c>
    </row>
    <row r="224" spans="2:18" x14ac:dyDescent="0.3">
      <c r="B224" s="15">
        <f>Raw_data!B219</f>
        <v>52536</v>
      </c>
      <c r="C224" s="77">
        <f>Raw_data!C219</f>
        <v>157086</v>
      </c>
      <c r="P224" s="87">
        <f t="shared" si="11"/>
        <v>52536</v>
      </c>
      <c r="Q224" s="99">
        <f t="shared" si="12"/>
        <v>157086</v>
      </c>
    </row>
    <row r="225" spans="2:17" x14ac:dyDescent="0.3">
      <c r="B225" s="15">
        <f>Raw_data!B220</f>
        <v>52566</v>
      </c>
      <c r="C225" s="77">
        <f>Raw_data!C220</f>
        <v>158438</v>
      </c>
      <c r="P225" s="87">
        <f t="shared" si="11"/>
        <v>52566</v>
      </c>
      <c r="Q225" s="99">
        <f t="shared" si="12"/>
        <v>158438</v>
      </c>
    </row>
    <row r="226" spans="2:17" x14ac:dyDescent="0.3">
      <c r="B226" s="15">
        <f>Raw_data!B221</f>
        <v>52597</v>
      </c>
      <c r="C226" s="77">
        <f>Raw_data!C221</f>
        <v>155810</v>
      </c>
      <c r="P226" s="87">
        <f t="shared" si="11"/>
        <v>52597</v>
      </c>
      <c r="Q226" s="99">
        <f t="shared" si="12"/>
        <v>155810</v>
      </c>
    </row>
    <row r="227" spans="2:17" x14ac:dyDescent="0.3">
      <c r="B227" s="15">
        <f>Raw_data!B222</f>
        <v>52628</v>
      </c>
      <c r="C227" s="77">
        <f>Raw_data!C222</f>
        <v>157093</v>
      </c>
      <c r="P227" s="87">
        <f t="shared" si="11"/>
        <v>52628</v>
      </c>
      <c r="Q227" s="99">
        <f t="shared" si="12"/>
        <v>157093</v>
      </c>
    </row>
    <row r="228" spans="2:17" x14ac:dyDescent="0.3">
      <c r="B228" s="15">
        <f>Raw_data!B223</f>
        <v>52657</v>
      </c>
      <c r="C228" s="77">
        <f>Raw_data!C223</f>
        <v>158470</v>
      </c>
      <c r="P228" s="87">
        <f t="shared" si="11"/>
        <v>52657</v>
      </c>
      <c r="Q228" s="99">
        <f t="shared" si="12"/>
        <v>158470</v>
      </c>
    </row>
    <row r="229" spans="2:17" x14ac:dyDescent="0.3">
      <c r="B229" s="15">
        <f>Raw_data!B224</f>
        <v>52688</v>
      </c>
      <c r="C229" s="77">
        <f>Raw_data!C224</f>
        <v>159717</v>
      </c>
      <c r="P229" s="87">
        <f t="shared" si="11"/>
        <v>52688</v>
      </c>
      <c r="Q229" s="99">
        <f t="shared" si="12"/>
        <v>159717</v>
      </c>
    </row>
    <row r="230" spans="2:17" x14ac:dyDescent="0.3">
      <c r="B230" s="15">
        <f>Raw_data!B225</f>
        <v>52718</v>
      </c>
      <c r="C230" s="77">
        <f>Raw_data!C225</f>
        <v>161090</v>
      </c>
      <c r="P230" s="87">
        <f t="shared" si="11"/>
        <v>52718</v>
      </c>
      <c r="Q230" s="99">
        <f t="shared" si="12"/>
        <v>161090</v>
      </c>
    </row>
    <row r="231" spans="2:17" x14ac:dyDescent="0.3">
      <c r="B231" s="15">
        <f>Raw_data!B226</f>
        <v>52749</v>
      </c>
      <c r="C231" s="77">
        <f>Raw_data!C226</f>
        <v>162382</v>
      </c>
      <c r="P231" s="87">
        <f t="shared" si="11"/>
        <v>52749</v>
      </c>
      <c r="Q231" s="99">
        <f t="shared" si="12"/>
        <v>162382</v>
      </c>
    </row>
    <row r="232" spans="2:17" x14ac:dyDescent="0.3">
      <c r="B232" s="15">
        <f>Raw_data!B227</f>
        <v>52779</v>
      </c>
      <c r="C232" s="77">
        <f>Raw_data!C227</f>
        <v>163679</v>
      </c>
      <c r="P232" s="87">
        <f t="shared" si="11"/>
        <v>52779</v>
      </c>
      <c r="Q232" s="99">
        <f t="shared" si="12"/>
        <v>163679</v>
      </c>
    </row>
    <row r="233" spans="2:17" x14ac:dyDescent="0.3">
      <c r="B233" s="15">
        <f>Raw_data!B228</f>
        <v>52810</v>
      </c>
      <c r="C233" s="77">
        <f>Raw_data!C228</f>
        <v>165087</v>
      </c>
      <c r="P233" s="87">
        <f t="shared" si="11"/>
        <v>52810</v>
      </c>
      <c r="Q233" s="99">
        <f t="shared" si="12"/>
        <v>165087</v>
      </c>
    </row>
    <row r="234" spans="2:17" x14ac:dyDescent="0.3">
      <c r="B234" s="15">
        <f>Raw_data!B229</f>
        <v>52841</v>
      </c>
      <c r="C234" s="77">
        <f>Raw_data!C229</f>
        <v>166394</v>
      </c>
      <c r="P234" s="87">
        <f t="shared" si="11"/>
        <v>52841</v>
      </c>
      <c r="Q234" s="99">
        <f t="shared" si="12"/>
        <v>166394</v>
      </c>
    </row>
    <row r="235" spans="2:17" x14ac:dyDescent="0.3">
      <c r="B235" s="15">
        <f>Raw_data!B230</f>
        <v>52871</v>
      </c>
      <c r="C235" s="77">
        <f>Raw_data!C230</f>
        <v>167661</v>
      </c>
      <c r="P235" s="87">
        <f t="shared" si="11"/>
        <v>52871</v>
      </c>
      <c r="Q235" s="99">
        <f t="shared" si="12"/>
        <v>167661</v>
      </c>
    </row>
    <row r="236" spans="2:17" x14ac:dyDescent="0.3">
      <c r="B236" s="15">
        <f>Raw_data!B231</f>
        <v>52902</v>
      </c>
      <c r="C236" s="77">
        <f>Raw_data!C231</f>
        <v>169079</v>
      </c>
      <c r="P236" s="87">
        <f t="shared" si="11"/>
        <v>52902</v>
      </c>
      <c r="Q236" s="99">
        <f t="shared" si="12"/>
        <v>169079</v>
      </c>
    </row>
    <row r="237" spans="2:17" x14ac:dyDescent="0.3">
      <c r="B237" s="15">
        <f>Raw_data!B232</f>
        <v>52932</v>
      </c>
      <c r="C237" s="77">
        <f>Raw_data!C232</f>
        <v>170356</v>
      </c>
      <c r="P237" s="87">
        <f t="shared" si="11"/>
        <v>52932</v>
      </c>
      <c r="Q237" s="99">
        <f t="shared" si="12"/>
        <v>170356</v>
      </c>
    </row>
    <row r="238" spans="2:17" x14ac:dyDescent="0.3">
      <c r="B238" s="15">
        <f>Raw_data!B233</f>
        <v>52963</v>
      </c>
      <c r="C238" s="77">
        <f>Raw_data!C233</f>
        <v>168933</v>
      </c>
      <c r="P238" s="87">
        <f t="shared" si="11"/>
        <v>52963</v>
      </c>
      <c r="Q238" s="99">
        <f t="shared" si="12"/>
        <v>168933</v>
      </c>
    </row>
    <row r="239" spans="2:17" x14ac:dyDescent="0.3">
      <c r="B239" s="15">
        <f>Raw_data!B234</f>
        <v>52994</v>
      </c>
      <c r="C239" s="77">
        <f>Raw_data!C234</f>
        <v>170244</v>
      </c>
      <c r="P239" s="87">
        <f t="shared" si="11"/>
        <v>52994</v>
      </c>
      <c r="Q239" s="99">
        <f t="shared" si="12"/>
        <v>170244</v>
      </c>
    </row>
    <row r="240" spans="2:17" x14ac:dyDescent="0.3">
      <c r="B240" s="15">
        <f>Raw_data!B235</f>
        <v>53022</v>
      </c>
      <c r="C240" s="77">
        <f>Raw_data!C235</f>
        <v>171585</v>
      </c>
      <c r="P240" s="87">
        <f t="shared" si="11"/>
        <v>53022</v>
      </c>
      <c r="Q240" s="99">
        <f t="shared" si="12"/>
        <v>171585</v>
      </c>
    </row>
    <row r="241" spans="2:17" x14ac:dyDescent="0.3">
      <c r="B241" s="15">
        <f>Raw_data!B236</f>
        <v>53053</v>
      </c>
      <c r="C241" s="77">
        <f>Raw_data!C236</f>
        <v>172871</v>
      </c>
      <c r="P241" s="87">
        <f t="shared" si="11"/>
        <v>53053</v>
      </c>
      <c r="Q241" s="99">
        <f t="shared" si="12"/>
        <v>172871</v>
      </c>
    </row>
    <row r="242" spans="2:17" x14ac:dyDescent="0.3">
      <c r="B242" s="15">
        <f>Raw_data!B237</f>
        <v>53083</v>
      </c>
      <c r="C242" s="77">
        <f>Raw_data!C237</f>
        <v>174112</v>
      </c>
      <c r="P242" s="87">
        <f t="shared" si="11"/>
        <v>53083</v>
      </c>
      <c r="Q242" s="99">
        <f t="shared" si="12"/>
        <v>174112</v>
      </c>
    </row>
    <row r="243" spans="2:17" x14ac:dyDescent="0.3">
      <c r="B243" s="15">
        <f>Raw_data!B238</f>
        <v>53114</v>
      </c>
      <c r="C243" s="77">
        <f>Raw_data!C238</f>
        <v>175468</v>
      </c>
      <c r="P243" s="87">
        <f t="shared" si="11"/>
        <v>53114</v>
      </c>
      <c r="Q243" s="99">
        <f t="shared" si="12"/>
        <v>175468</v>
      </c>
    </row>
    <row r="244" spans="2:17" x14ac:dyDescent="0.3">
      <c r="B244" s="15">
        <f>Raw_data!B239</f>
        <v>53144</v>
      </c>
      <c r="C244" s="77">
        <f>Raw_data!C239</f>
        <v>176789</v>
      </c>
      <c r="P244" s="87">
        <f t="shared" si="11"/>
        <v>53144</v>
      </c>
      <c r="Q244" s="99">
        <f t="shared" si="12"/>
        <v>176789</v>
      </c>
    </row>
    <row r="245" spans="2:17" x14ac:dyDescent="0.3">
      <c r="B245" s="15">
        <f>Raw_data!B240</f>
        <v>53175</v>
      </c>
      <c r="C245" s="77">
        <f>Raw_data!C240</f>
        <v>178075</v>
      </c>
      <c r="P245" s="87">
        <f t="shared" si="11"/>
        <v>53175</v>
      </c>
      <c r="Q245" s="99">
        <f t="shared" si="12"/>
        <v>178075</v>
      </c>
    </row>
    <row r="246" spans="2:17" x14ac:dyDescent="0.3">
      <c r="B246" s="15">
        <f>Raw_data!B241</f>
        <v>53206</v>
      </c>
      <c r="C246" s="77">
        <f>Raw_data!C241</f>
        <v>179336</v>
      </c>
      <c r="P246" s="87">
        <f t="shared" si="11"/>
        <v>53206</v>
      </c>
      <c r="Q246" s="99">
        <f t="shared" si="12"/>
        <v>179336</v>
      </c>
    </row>
    <row r="247" spans="2:17" x14ac:dyDescent="0.3">
      <c r="B247" s="15">
        <f>Raw_data!B242</f>
        <v>53236</v>
      </c>
      <c r="C247" s="77">
        <f>Raw_data!C242</f>
        <v>180692</v>
      </c>
      <c r="P247" s="87">
        <f t="shared" si="11"/>
        <v>53236</v>
      </c>
      <c r="Q247" s="99">
        <f t="shared" si="12"/>
        <v>180692</v>
      </c>
    </row>
    <row r="248" spans="2:17" x14ac:dyDescent="0.3">
      <c r="B248" s="15">
        <f>Raw_data!B243</f>
        <v>53267</v>
      </c>
      <c r="C248" s="77">
        <f>Raw_data!C243</f>
        <v>181968</v>
      </c>
      <c r="P248" s="87">
        <f t="shared" si="11"/>
        <v>53267</v>
      </c>
      <c r="Q248" s="99">
        <f t="shared" si="12"/>
        <v>181968</v>
      </c>
    </row>
    <row r="249" spans="2:17" x14ac:dyDescent="0.3">
      <c r="B249" s="18">
        <f>Raw_data!B244</f>
        <v>53297</v>
      </c>
      <c r="C249" s="91">
        <f>Raw_data!C244</f>
        <v>183254</v>
      </c>
      <c r="P249" s="205">
        <f t="shared" si="11"/>
        <v>53297</v>
      </c>
      <c r="Q249" s="106">
        <f t="shared" si="12"/>
        <v>183254</v>
      </c>
    </row>
  </sheetData>
  <printOptions gridLinesSet="0"/>
  <pageMargins left="0.7" right="0.7" top="0.75" bottom="0.75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246"/>
  <sheetViews>
    <sheetView showGridLines="0" workbookViewId="0"/>
  </sheetViews>
  <sheetFormatPr defaultRowHeight="14.4" x14ac:dyDescent="0.3"/>
  <cols>
    <col min="4" max="4" width="13.5546875" bestFit="1" customWidth="1"/>
    <col min="8" max="8" width="16.6640625" customWidth="1"/>
    <col min="9" max="9" width="16.6640625" style="22" customWidth="1"/>
    <col min="10" max="10" width="13.5546875" bestFit="1" customWidth="1"/>
  </cols>
  <sheetData>
    <row r="1" spans="2:11" x14ac:dyDescent="0.3">
      <c r="B1" s="93" t="s">
        <v>201</v>
      </c>
    </row>
    <row r="2" spans="2:11" x14ac:dyDescent="0.3">
      <c r="K2" s="22" t="s">
        <v>137</v>
      </c>
    </row>
    <row r="3" spans="2:11" x14ac:dyDescent="0.3">
      <c r="B3" s="83" t="s">
        <v>138</v>
      </c>
      <c r="D3" s="9">
        <f>SUM(D7:D246)</f>
        <v>20391259.5</v>
      </c>
      <c r="J3" s="9">
        <f>SUM(J7:J26)</f>
        <v>20391259.5</v>
      </c>
      <c r="K3" s="94" t="str">
        <f>IF(D3=J3,"OK","CHECK")</f>
        <v>OK</v>
      </c>
    </row>
    <row r="5" spans="2:11" x14ac:dyDescent="0.3">
      <c r="B5" s="39" t="s">
        <v>139</v>
      </c>
      <c r="C5" s="39"/>
      <c r="G5" s="39" t="s">
        <v>140</v>
      </c>
      <c r="H5" s="39"/>
      <c r="I5" s="95"/>
    </row>
    <row r="6" spans="2:11" x14ac:dyDescent="0.3">
      <c r="B6" s="29" t="s">
        <v>3</v>
      </c>
      <c r="C6" s="53" t="s">
        <v>2</v>
      </c>
      <c r="D6" s="29" t="s">
        <v>4</v>
      </c>
      <c r="G6" s="53" t="s">
        <v>2</v>
      </c>
      <c r="H6" s="96" t="s">
        <v>141</v>
      </c>
      <c r="I6" s="97" t="s">
        <v>142</v>
      </c>
      <c r="J6" s="29" t="s">
        <v>4</v>
      </c>
      <c r="K6" s="22"/>
    </row>
    <row r="7" spans="2:11" x14ac:dyDescent="0.3">
      <c r="B7" s="98">
        <f>Data_correction!P10</f>
        <v>46023</v>
      </c>
      <c r="C7" s="76">
        <f t="shared" ref="C7:C70" si="0">YEAR(B7)</f>
        <v>2026</v>
      </c>
      <c r="D7" s="99">
        <f>Data_correction!Q10</f>
        <v>16755</v>
      </c>
      <c r="G7" s="100">
        <f>C7</f>
        <v>2026</v>
      </c>
      <c r="H7" s="101">
        <f t="shared" ref="H7:H26" si="1">COUNTIF($C$7:$C$246,G7)</f>
        <v>12</v>
      </c>
      <c r="I7" s="102" t="str">
        <f t="shared" ref="I7:I26" si="2">IF(H7=12,"OK","CHECK")</f>
        <v>OK</v>
      </c>
      <c r="J7" s="99">
        <f t="shared" ref="J7:J26" si="3">SUMIF($C$7:$C$246,G7,$D$7:$D$246)</f>
        <v>274725</v>
      </c>
    </row>
    <row r="8" spans="2:11" x14ac:dyDescent="0.3">
      <c r="B8" s="98">
        <f>Data_correction!P11</f>
        <v>46054</v>
      </c>
      <c r="C8" s="76">
        <f t="shared" si="0"/>
        <v>2026</v>
      </c>
      <c r="D8" s="99">
        <f>Data_correction!Q11</f>
        <v>18135</v>
      </c>
      <c r="G8" s="76">
        <f t="shared" ref="G8:G26" si="4">G7+1</f>
        <v>2027</v>
      </c>
      <c r="H8" s="101">
        <f t="shared" si="1"/>
        <v>12</v>
      </c>
      <c r="I8" s="102" t="str">
        <f t="shared" si="2"/>
        <v>OK</v>
      </c>
      <c r="J8" s="99">
        <f t="shared" si="3"/>
        <v>309931</v>
      </c>
    </row>
    <row r="9" spans="2:11" x14ac:dyDescent="0.3">
      <c r="B9" s="98">
        <f>Data_correction!P12</f>
        <v>46082</v>
      </c>
      <c r="C9" s="76">
        <f t="shared" si="0"/>
        <v>2026</v>
      </c>
      <c r="D9" s="99">
        <f>Data_correction!Q12</f>
        <v>19675</v>
      </c>
      <c r="G9" s="76">
        <f t="shared" si="4"/>
        <v>2028</v>
      </c>
      <c r="H9" s="101">
        <f t="shared" si="1"/>
        <v>12</v>
      </c>
      <c r="I9" s="102" t="str">
        <f t="shared" si="2"/>
        <v>OK</v>
      </c>
      <c r="J9" s="99">
        <f t="shared" si="3"/>
        <v>350576</v>
      </c>
    </row>
    <row r="10" spans="2:11" x14ac:dyDescent="0.3">
      <c r="B10" s="98">
        <f>Data_correction!P13</f>
        <v>46113</v>
      </c>
      <c r="C10" s="76">
        <f t="shared" si="0"/>
        <v>2026</v>
      </c>
      <c r="D10" s="99">
        <f>Data_correction!Q13</f>
        <v>21170</v>
      </c>
      <c r="G10" s="76">
        <f t="shared" si="4"/>
        <v>2029</v>
      </c>
      <c r="H10" s="101">
        <f t="shared" si="1"/>
        <v>12</v>
      </c>
      <c r="I10" s="102" t="str">
        <f t="shared" si="2"/>
        <v>OK</v>
      </c>
      <c r="J10" s="99">
        <f t="shared" si="3"/>
        <v>396349</v>
      </c>
    </row>
    <row r="11" spans="2:11" x14ac:dyDescent="0.3">
      <c r="B11" s="98">
        <f>Data_correction!P14</f>
        <v>46143</v>
      </c>
      <c r="C11" s="76">
        <f t="shared" si="0"/>
        <v>2026</v>
      </c>
      <c r="D11" s="99">
        <f>Data_correction!Q14</f>
        <v>21300</v>
      </c>
      <c r="G11" s="76">
        <f t="shared" si="4"/>
        <v>2030</v>
      </c>
      <c r="H11" s="101">
        <f t="shared" si="1"/>
        <v>12</v>
      </c>
      <c r="I11" s="102" t="str">
        <f t="shared" si="2"/>
        <v>OK</v>
      </c>
      <c r="J11" s="99">
        <f t="shared" si="3"/>
        <v>451802</v>
      </c>
    </row>
    <row r="12" spans="2:11" x14ac:dyDescent="0.3">
      <c r="B12" s="98">
        <f>Data_correction!P15</f>
        <v>46174</v>
      </c>
      <c r="C12" s="76">
        <f t="shared" si="0"/>
        <v>2026</v>
      </c>
      <c r="D12" s="103">
        <f>Data_correction!Q15</f>
        <v>21630</v>
      </c>
      <c r="G12" s="76">
        <f t="shared" si="4"/>
        <v>2031</v>
      </c>
      <c r="H12" s="101">
        <f t="shared" si="1"/>
        <v>12</v>
      </c>
      <c r="I12" s="102" t="str">
        <f t="shared" si="2"/>
        <v>OK</v>
      </c>
      <c r="J12" s="99">
        <f t="shared" si="3"/>
        <v>514867</v>
      </c>
    </row>
    <row r="13" spans="2:11" x14ac:dyDescent="0.3">
      <c r="B13" s="98">
        <f>Data_correction!P16</f>
        <v>46204</v>
      </c>
      <c r="C13" s="76">
        <f t="shared" si="0"/>
        <v>2026</v>
      </c>
      <c r="D13" s="99">
        <f>Data_correction!Q16</f>
        <v>23100</v>
      </c>
      <c r="G13" s="76">
        <f t="shared" si="4"/>
        <v>2032</v>
      </c>
      <c r="H13" s="101">
        <f t="shared" si="1"/>
        <v>12</v>
      </c>
      <c r="I13" s="102" t="str">
        <f t="shared" si="2"/>
        <v>OK</v>
      </c>
      <c r="J13" s="99">
        <f t="shared" si="3"/>
        <v>587114</v>
      </c>
    </row>
    <row r="14" spans="2:11" x14ac:dyDescent="0.3">
      <c r="B14" s="98">
        <f>Data_correction!P17</f>
        <v>46235</v>
      </c>
      <c r="C14" s="76">
        <f t="shared" si="0"/>
        <v>2026</v>
      </c>
      <c r="D14" s="99">
        <f>Data_correction!Q17</f>
        <v>24800</v>
      </c>
      <c r="G14" s="76">
        <f t="shared" si="4"/>
        <v>2033</v>
      </c>
      <c r="H14" s="101">
        <f t="shared" si="1"/>
        <v>12</v>
      </c>
      <c r="I14" s="102" t="str">
        <f t="shared" si="2"/>
        <v>OK</v>
      </c>
      <c r="J14" s="99">
        <f t="shared" si="3"/>
        <v>674998</v>
      </c>
    </row>
    <row r="15" spans="2:11" x14ac:dyDescent="0.3">
      <c r="B15" s="98">
        <f>Data_correction!P18</f>
        <v>46266</v>
      </c>
      <c r="C15" s="76">
        <f t="shared" si="0"/>
        <v>2026</v>
      </c>
      <c r="D15" s="99">
        <f>Data_correction!Q18</f>
        <v>26430</v>
      </c>
      <c r="G15" s="76">
        <f t="shared" si="4"/>
        <v>2034</v>
      </c>
      <c r="H15" s="101">
        <f t="shared" si="1"/>
        <v>12</v>
      </c>
      <c r="I15" s="102" t="str">
        <f t="shared" si="2"/>
        <v>OK</v>
      </c>
      <c r="J15" s="99">
        <f t="shared" si="3"/>
        <v>776597</v>
      </c>
    </row>
    <row r="16" spans="2:11" x14ac:dyDescent="0.3">
      <c r="B16" s="98">
        <f>Data_correction!P19</f>
        <v>46296</v>
      </c>
      <c r="C16" s="76">
        <f t="shared" si="0"/>
        <v>2026</v>
      </c>
      <c r="D16" s="99">
        <f>Data_correction!Q19</f>
        <v>28335</v>
      </c>
      <c r="G16" s="76">
        <f t="shared" si="4"/>
        <v>2035</v>
      </c>
      <c r="H16" s="101">
        <f t="shared" si="1"/>
        <v>12</v>
      </c>
      <c r="I16" s="102" t="str">
        <f t="shared" si="2"/>
        <v>OK</v>
      </c>
      <c r="J16" s="99">
        <f t="shared" si="3"/>
        <v>877331</v>
      </c>
    </row>
    <row r="17" spans="2:10" x14ac:dyDescent="0.3">
      <c r="B17" s="98">
        <f>Data_correction!P20</f>
        <v>46327</v>
      </c>
      <c r="C17" s="76">
        <f t="shared" si="0"/>
        <v>2026</v>
      </c>
      <c r="D17" s="99">
        <f>Data_correction!Q20</f>
        <v>25925</v>
      </c>
      <c r="G17" s="76">
        <f t="shared" si="4"/>
        <v>2036</v>
      </c>
      <c r="H17" s="101">
        <f t="shared" si="1"/>
        <v>12</v>
      </c>
      <c r="I17" s="102" t="str">
        <f t="shared" si="2"/>
        <v>OK</v>
      </c>
      <c r="J17" s="99">
        <f t="shared" si="3"/>
        <v>982627</v>
      </c>
    </row>
    <row r="18" spans="2:10" x14ac:dyDescent="0.3">
      <c r="B18" s="98">
        <f>Data_correction!P21</f>
        <v>46357</v>
      </c>
      <c r="C18" s="76">
        <f t="shared" si="0"/>
        <v>2026</v>
      </c>
      <c r="D18" s="99">
        <f>Data_correction!Q21</f>
        <v>27470</v>
      </c>
      <c r="G18" s="76">
        <f t="shared" si="4"/>
        <v>2037</v>
      </c>
      <c r="H18" s="101">
        <f t="shared" si="1"/>
        <v>12</v>
      </c>
      <c r="I18" s="102" t="str">
        <f t="shared" si="2"/>
        <v>OK</v>
      </c>
      <c r="J18" s="99">
        <f t="shared" si="3"/>
        <v>1100796.5</v>
      </c>
    </row>
    <row r="19" spans="2:10" x14ac:dyDescent="0.3">
      <c r="B19" s="98">
        <f>Data_correction!P22</f>
        <v>46388</v>
      </c>
      <c r="C19" s="76">
        <f t="shared" si="0"/>
        <v>2027</v>
      </c>
      <c r="D19" s="99">
        <f>Data_correction!Q22</f>
        <v>19233</v>
      </c>
      <c r="G19" s="76">
        <f t="shared" si="4"/>
        <v>2038</v>
      </c>
      <c r="H19" s="101">
        <f t="shared" si="1"/>
        <v>12</v>
      </c>
      <c r="I19" s="102" t="str">
        <f t="shared" si="2"/>
        <v>OK</v>
      </c>
      <c r="J19" s="99">
        <f t="shared" si="3"/>
        <v>1210771</v>
      </c>
    </row>
    <row r="20" spans="2:10" x14ac:dyDescent="0.3">
      <c r="B20" s="98">
        <f>Data_correction!P23</f>
        <v>46419</v>
      </c>
      <c r="C20" s="76">
        <f t="shared" si="0"/>
        <v>2027</v>
      </c>
      <c r="D20" s="99">
        <f>Data_correction!Q23</f>
        <v>20375</v>
      </c>
      <c r="G20" s="76">
        <f t="shared" si="4"/>
        <v>2039</v>
      </c>
      <c r="H20" s="101">
        <f t="shared" si="1"/>
        <v>12</v>
      </c>
      <c r="I20" s="102" t="str">
        <f t="shared" si="2"/>
        <v>OK</v>
      </c>
      <c r="J20" s="99">
        <f t="shared" si="3"/>
        <v>1331849</v>
      </c>
    </row>
    <row r="21" spans="2:10" x14ac:dyDescent="0.3">
      <c r="B21" s="98">
        <f>Data_correction!P24</f>
        <v>46447</v>
      </c>
      <c r="C21" s="76">
        <f t="shared" si="0"/>
        <v>2027</v>
      </c>
      <c r="D21" s="99">
        <f>Data_correction!Q24</f>
        <v>21570</v>
      </c>
      <c r="G21" s="76">
        <f t="shared" si="4"/>
        <v>2040</v>
      </c>
      <c r="H21" s="101">
        <f t="shared" si="1"/>
        <v>12</v>
      </c>
      <c r="I21" s="102" t="str">
        <f t="shared" si="2"/>
        <v>OK</v>
      </c>
      <c r="J21" s="99">
        <f t="shared" si="3"/>
        <v>1438213</v>
      </c>
    </row>
    <row r="22" spans="2:10" x14ac:dyDescent="0.3">
      <c r="B22" s="98">
        <f>Data_correction!P25</f>
        <v>46478</v>
      </c>
      <c r="C22" s="76">
        <f t="shared" si="0"/>
        <v>2027</v>
      </c>
      <c r="D22" s="99">
        <f>Data_correction!Q25</f>
        <v>21697</v>
      </c>
      <c r="G22" s="76">
        <f t="shared" si="4"/>
        <v>2041</v>
      </c>
      <c r="H22" s="101">
        <f t="shared" si="1"/>
        <v>12</v>
      </c>
      <c r="I22" s="102" t="str">
        <f t="shared" si="2"/>
        <v>OK</v>
      </c>
      <c r="J22" s="99">
        <f t="shared" si="3"/>
        <v>1553281</v>
      </c>
    </row>
    <row r="23" spans="2:10" x14ac:dyDescent="0.3">
      <c r="B23" s="98">
        <f>Data_correction!P26</f>
        <v>46508</v>
      </c>
      <c r="C23" s="76">
        <f t="shared" si="0"/>
        <v>2027</v>
      </c>
      <c r="D23" s="99">
        <f>Data_correction!Q26</f>
        <v>24181</v>
      </c>
      <c r="G23" s="76">
        <f t="shared" si="4"/>
        <v>2042</v>
      </c>
      <c r="H23" s="101">
        <f t="shared" si="1"/>
        <v>12</v>
      </c>
      <c r="I23" s="102" t="str">
        <f t="shared" si="2"/>
        <v>OK</v>
      </c>
      <c r="J23" s="99">
        <f t="shared" si="3"/>
        <v>1677546</v>
      </c>
    </row>
    <row r="24" spans="2:10" x14ac:dyDescent="0.3">
      <c r="B24" s="98">
        <f>Data_correction!P27</f>
        <v>46539</v>
      </c>
      <c r="C24" s="76">
        <f t="shared" si="0"/>
        <v>2027</v>
      </c>
      <c r="D24" s="99">
        <f>Data_correction!Q27</f>
        <v>25713</v>
      </c>
      <c r="G24" s="76">
        <f t="shared" si="4"/>
        <v>2043</v>
      </c>
      <c r="H24" s="101">
        <f t="shared" si="1"/>
        <v>12</v>
      </c>
      <c r="I24" s="102" t="str">
        <f t="shared" si="2"/>
        <v>OK</v>
      </c>
      <c r="J24" s="99">
        <f t="shared" si="3"/>
        <v>1811741</v>
      </c>
    </row>
    <row r="25" spans="2:10" x14ac:dyDescent="0.3">
      <c r="B25" s="98">
        <f>Data_correction!P28</f>
        <v>46569</v>
      </c>
      <c r="C25" s="76">
        <f t="shared" si="0"/>
        <v>2027</v>
      </c>
      <c r="D25" s="99">
        <f>Data_correction!Q28</f>
        <v>27233</v>
      </c>
      <c r="G25" s="76">
        <f t="shared" si="4"/>
        <v>2044</v>
      </c>
      <c r="H25" s="101">
        <f t="shared" si="1"/>
        <v>12</v>
      </c>
      <c r="I25" s="102" t="str">
        <f t="shared" si="2"/>
        <v>OK</v>
      </c>
      <c r="J25" s="99">
        <f t="shared" si="3"/>
        <v>1956818</v>
      </c>
    </row>
    <row r="26" spans="2:10" x14ac:dyDescent="0.3">
      <c r="B26" s="98">
        <f>Data_correction!P29</f>
        <v>46600</v>
      </c>
      <c r="C26" s="76">
        <f t="shared" si="0"/>
        <v>2027</v>
      </c>
      <c r="D26" s="103">
        <f>Data_correction!Q29</f>
        <v>28488</v>
      </c>
      <c r="G26" s="62">
        <f t="shared" si="4"/>
        <v>2045</v>
      </c>
      <c r="H26" s="104">
        <f t="shared" si="1"/>
        <v>12</v>
      </c>
      <c r="I26" s="105" t="str">
        <f t="shared" si="2"/>
        <v>OK</v>
      </c>
      <c r="J26" s="106">
        <f t="shared" si="3"/>
        <v>2113327</v>
      </c>
    </row>
    <row r="27" spans="2:10" x14ac:dyDescent="0.3">
      <c r="B27" s="98">
        <f>Data_correction!P30</f>
        <v>46631</v>
      </c>
      <c r="C27" s="76">
        <f t="shared" si="0"/>
        <v>2027</v>
      </c>
      <c r="D27" s="99">
        <f>Data_correction!Q30</f>
        <v>29673</v>
      </c>
    </row>
    <row r="28" spans="2:10" x14ac:dyDescent="0.3">
      <c r="B28" s="98">
        <f>Data_correction!P31</f>
        <v>46661</v>
      </c>
      <c r="C28" s="76">
        <f t="shared" si="0"/>
        <v>2027</v>
      </c>
      <c r="D28" s="99">
        <f>Data_correction!Q31</f>
        <v>30877</v>
      </c>
    </row>
    <row r="29" spans="2:10" x14ac:dyDescent="0.3">
      <c r="B29" s="98">
        <f>Data_correction!P32</f>
        <v>46692</v>
      </c>
      <c r="C29" s="76">
        <f t="shared" si="0"/>
        <v>2027</v>
      </c>
      <c r="D29" s="99">
        <f>Data_correction!Q32</f>
        <v>30181</v>
      </c>
    </row>
    <row r="30" spans="2:10" x14ac:dyDescent="0.3">
      <c r="B30" s="98">
        <f>Data_correction!P33</f>
        <v>46722</v>
      </c>
      <c r="C30" s="76">
        <f t="shared" si="0"/>
        <v>2027</v>
      </c>
      <c r="D30" s="99">
        <f>Data_correction!Q33</f>
        <v>30710</v>
      </c>
    </row>
    <row r="31" spans="2:10" x14ac:dyDescent="0.3">
      <c r="B31" s="98">
        <f>Data_correction!P34</f>
        <v>46753</v>
      </c>
      <c r="C31" s="76">
        <f t="shared" si="0"/>
        <v>2028</v>
      </c>
      <c r="D31" s="99">
        <f>Data_correction!Q34</f>
        <v>23311</v>
      </c>
    </row>
    <row r="32" spans="2:10" x14ac:dyDescent="0.3">
      <c r="B32" s="98">
        <f>Data_correction!P35</f>
        <v>46784</v>
      </c>
      <c r="C32" s="76">
        <f t="shared" si="0"/>
        <v>2028</v>
      </c>
      <c r="D32" s="99">
        <f>Data_correction!Q35</f>
        <v>24355</v>
      </c>
    </row>
    <row r="33" spans="2:4" x14ac:dyDescent="0.3">
      <c r="B33" s="98">
        <f>Data_correction!P36</f>
        <v>46813</v>
      </c>
      <c r="C33" s="76">
        <f t="shared" si="0"/>
        <v>2028</v>
      </c>
      <c r="D33" s="99">
        <f>Data_correction!Q36</f>
        <v>25464</v>
      </c>
    </row>
    <row r="34" spans="2:4" x14ac:dyDescent="0.3">
      <c r="B34" s="98">
        <f>Data_correction!P37</f>
        <v>46844</v>
      </c>
      <c r="C34" s="76">
        <f t="shared" si="0"/>
        <v>2028</v>
      </c>
      <c r="D34" s="99">
        <f>Data_correction!Q37</f>
        <v>26514</v>
      </c>
    </row>
    <row r="35" spans="2:4" x14ac:dyDescent="0.3">
      <c r="B35" s="98">
        <f>Data_correction!P38</f>
        <v>46874</v>
      </c>
      <c r="C35" s="76">
        <f t="shared" si="0"/>
        <v>2028</v>
      </c>
      <c r="D35" s="99">
        <f>Data_correction!Q38</f>
        <v>27593</v>
      </c>
    </row>
    <row r="36" spans="2:4" x14ac:dyDescent="0.3">
      <c r="B36" s="98">
        <f>Data_correction!P39</f>
        <v>46905</v>
      </c>
      <c r="C36" s="76">
        <f t="shared" si="0"/>
        <v>2028</v>
      </c>
      <c r="D36" s="99">
        <f>Data_correction!Q39</f>
        <v>28688</v>
      </c>
    </row>
    <row r="37" spans="2:4" x14ac:dyDescent="0.3">
      <c r="B37" s="98">
        <f>Data_correction!P40</f>
        <v>46935</v>
      </c>
      <c r="C37" s="76">
        <f t="shared" si="0"/>
        <v>2028</v>
      </c>
      <c r="D37" s="99">
        <f>Data_correction!Q40</f>
        <v>29787</v>
      </c>
    </row>
    <row r="38" spans="2:4" x14ac:dyDescent="0.3">
      <c r="B38" s="98">
        <f>Data_correction!P41</f>
        <v>46966</v>
      </c>
      <c r="C38" s="76">
        <f t="shared" si="0"/>
        <v>2028</v>
      </c>
      <c r="D38" s="99">
        <f>Data_correction!Q41</f>
        <v>30797</v>
      </c>
    </row>
    <row r="39" spans="2:4" x14ac:dyDescent="0.3">
      <c r="B39" s="98">
        <f>Data_correction!P42</f>
        <v>46997</v>
      </c>
      <c r="C39" s="76">
        <f t="shared" si="0"/>
        <v>2028</v>
      </c>
      <c r="D39" s="99">
        <f>Data_correction!Q42</f>
        <v>31936</v>
      </c>
    </row>
    <row r="40" spans="2:4" x14ac:dyDescent="0.3">
      <c r="B40" s="98">
        <f>Data_correction!P43</f>
        <v>47027</v>
      </c>
      <c r="C40" s="76">
        <f t="shared" si="0"/>
        <v>2028</v>
      </c>
      <c r="D40" s="99">
        <f>Data_correction!Q43</f>
        <v>32986</v>
      </c>
    </row>
    <row r="41" spans="2:4" x14ac:dyDescent="0.3">
      <c r="B41" s="98">
        <f>Data_correction!P44</f>
        <v>47058</v>
      </c>
      <c r="C41" s="76">
        <f t="shared" si="0"/>
        <v>2028</v>
      </c>
      <c r="D41" s="99">
        <f>Data_correction!Q44</f>
        <v>34050</v>
      </c>
    </row>
    <row r="42" spans="2:4" x14ac:dyDescent="0.3">
      <c r="B42" s="98">
        <f>Data_correction!P45</f>
        <v>47088</v>
      </c>
      <c r="C42" s="76">
        <f t="shared" si="0"/>
        <v>2028</v>
      </c>
      <c r="D42" s="99">
        <f>Data_correction!Q45</f>
        <v>35095</v>
      </c>
    </row>
    <row r="43" spans="2:4" x14ac:dyDescent="0.3">
      <c r="B43" s="98">
        <f>Data_correction!P46</f>
        <v>47119</v>
      </c>
      <c r="C43" s="76">
        <f t="shared" si="0"/>
        <v>2029</v>
      </c>
      <c r="D43" s="99">
        <f>Data_correction!Q46</f>
        <v>31263</v>
      </c>
    </row>
    <row r="44" spans="2:4" x14ac:dyDescent="0.3">
      <c r="B44" s="98">
        <f>Data_correction!P47</f>
        <v>47150</v>
      </c>
      <c r="C44" s="76">
        <f t="shared" si="0"/>
        <v>2029</v>
      </c>
      <c r="D44" s="99">
        <f>Data_correction!Q47</f>
        <v>31601</v>
      </c>
    </row>
    <row r="45" spans="2:4" x14ac:dyDescent="0.3">
      <c r="B45" s="98">
        <f>Data_correction!P48</f>
        <v>47178</v>
      </c>
      <c r="C45" s="76">
        <f t="shared" si="0"/>
        <v>2029</v>
      </c>
      <c r="D45" s="99">
        <f>Data_correction!Q48</f>
        <v>31939</v>
      </c>
    </row>
    <row r="46" spans="2:4" x14ac:dyDescent="0.3">
      <c r="B46" s="98">
        <f>Data_correction!P49</f>
        <v>47209</v>
      </c>
      <c r="C46" s="76">
        <f t="shared" si="0"/>
        <v>2029</v>
      </c>
      <c r="D46" s="99">
        <f>Data_correction!Q49</f>
        <v>32215</v>
      </c>
    </row>
    <row r="47" spans="2:4" x14ac:dyDescent="0.3">
      <c r="B47" s="98">
        <f>Data_correction!P50</f>
        <v>47239</v>
      </c>
      <c r="C47" s="76">
        <f t="shared" si="0"/>
        <v>2029</v>
      </c>
      <c r="D47" s="99">
        <f>Data_correction!Q50</f>
        <v>32566</v>
      </c>
    </row>
    <row r="48" spans="2:4" x14ac:dyDescent="0.3">
      <c r="B48" s="98">
        <f>Data_correction!P51</f>
        <v>47270</v>
      </c>
      <c r="C48" s="76">
        <f t="shared" si="0"/>
        <v>2029</v>
      </c>
      <c r="D48" s="99">
        <f>Data_correction!Q51</f>
        <v>32831</v>
      </c>
    </row>
    <row r="49" spans="2:4" x14ac:dyDescent="0.3">
      <c r="B49" s="98">
        <f>Data_correction!P52</f>
        <v>47300</v>
      </c>
      <c r="C49" s="76">
        <f t="shared" si="0"/>
        <v>2029</v>
      </c>
      <c r="D49" s="99">
        <f>Data_correction!Q52</f>
        <v>33227</v>
      </c>
    </row>
    <row r="50" spans="2:4" x14ac:dyDescent="0.3">
      <c r="B50" s="98">
        <f>Data_correction!P53</f>
        <v>47331</v>
      </c>
      <c r="C50" s="76">
        <f t="shared" si="0"/>
        <v>2029</v>
      </c>
      <c r="D50" s="99">
        <f>Data_correction!Q53</f>
        <v>33523</v>
      </c>
    </row>
    <row r="51" spans="2:4" x14ac:dyDescent="0.3">
      <c r="B51" s="98">
        <f>Data_correction!P54</f>
        <v>47362</v>
      </c>
      <c r="C51" s="76">
        <f t="shared" si="0"/>
        <v>2029</v>
      </c>
      <c r="D51" s="99">
        <f>Data_correction!Q54</f>
        <v>33809</v>
      </c>
    </row>
    <row r="52" spans="2:4" x14ac:dyDescent="0.3">
      <c r="B52" s="98">
        <f>Data_correction!P55</f>
        <v>47392</v>
      </c>
      <c r="C52" s="76">
        <f t="shared" si="0"/>
        <v>2029</v>
      </c>
      <c r="D52" s="99">
        <f>Data_correction!Q55</f>
        <v>34119</v>
      </c>
    </row>
    <row r="53" spans="2:4" x14ac:dyDescent="0.3">
      <c r="B53" s="98">
        <f>Data_correction!P56</f>
        <v>47423</v>
      </c>
      <c r="C53" s="76">
        <f t="shared" si="0"/>
        <v>2029</v>
      </c>
      <c r="D53" s="99">
        <f>Data_correction!Q56</f>
        <v>34455</v>
      </c>
    </row>
    <row r="54" spans="2:4" x14ac:dyDescent="0.3">
      <c r="B54" s="98">
        <f>Data_correction!P57</f>
        <v>47453</v>
      </c>
      <c r="C54" s="76">
        <f t="shared" si="0"/>
        <v>2029</v>
      </c>
      <c r="D54" s="99">
        <f>Data_correction!Q57</f>
        <v>34801</v>
      </c>
    </row>
    <row r="55" spans="2:4" x14ac:dyDescent="0.3">
      <c r="B55" s="98">
        <f>Data_correction!P58</f>
        <v>47484</v>
      </c>
      <c r="C55" s="76">
        <f t="shared" si="0"/>
        <v>2030</v>
      </c>
      <c r="D55" s="99">
        <f>Data_correction!Q58</f>
        <v>32840</v>
      </c>
    </row>
    <row r="56" spans="2:4" x14ac:dyDescent="0.3">
      <c r="B56" s="98">
        <f>Data_correction!P59</f>
        <v>47515</v>
      </c>
      <c r="C56" s="76">
        <f t="shared" si="0"/>
        <v>2030</v>
      </c>
      <c r="D56" s="99">
        <f>Data_correction!Q59</f>
        <v>33711</v>
      </c>
    </row>
    <row r="57" spans="2:4" x14ac:dyDescent="0.3">
      <c r="B57" s="98">
        <f>Data_correction!P60</f>
        <v>47543</v>
      </c>
      <c r="C57" s="76">
        <f t="shared" si="0"/>
        <v>2030</v>
      </c>
      <c r="D57" s="99">
        <f>Data_correction!Q60</f>
        <v>34623</v>
      </c>
    </row>
    <row r="58" spans="2:4" x14ac:dyDescent="0.3">
      <c r="B58" s="98">
        <f>Data_correction!P61</f>
        <v>47574</v>
      </c>
      <c r="C58" s="76">
        <f t="shared" si="0"/>
        <v>2030</v>
      </c>
      <c r="D58" s="99">
        <f>Data_correction!Q61</f>
        <v>35439</v>
      </c>
    </row>
    <row r="59" spans="2:4" x14ac:dyDescent="0.3">
      <c r="B59" s="98">
        <f>Data_correction!P62</f>
        <v>47604</v>
      </c>
      <c r="C59" s="76">
        <f t="shared" si="0"/>
        <v>2030</v>
      </c>
      <c r="D59" s="99">
        <f>Data_correction!Q62</f>
        <v>36325</v>
      </c>
    </row>
    <row r="60" spans="2:4" x14ac:dyDescent="0.3">
      <c r="B60" s="98">
        <f>Data_correction!P63</f>
        <v>47635</v>
      </c>
      <c r="C60" s="76">
        <f t="shared" si="0"/>
        <v>2030</v>
      </c>
      <c r="D60" s="99">
        <f>Data_correction!Q63</f>
        <v>37177</v>
      </c>
    </row>
    <row r="61" spans="2:4" x14ac:dyDescent="0.3">
      <c r="B61" s="98">
        <f>Data_correction!P64</f>
        <v>47665</v>
      </c>
      <c r="C61" s="76">
        <f t="shared" si="0"/>
        <v>2030</v>
      </c>
      <c r="D61" s="99">
        <f>Data_correction!Q64</f>
        <v>38118</v>
      </c>
    </row>
    <row r="62" spans="2:4" x14ac:dyDescent="0.3">
      <c r="B62" s="98">
        <f>Data_correction!P65</f>
        <v>47696</v>
      </c>
      <c r="C62" s="76">
        <f t="shared" si="0"/>
        <v>2030</v>
      </c>
      <c r="D62" s="99">
        <f>Data_correction!Q65</f>
        <v>38955</v>
      </c>
    </row>
    <row r="63" spans="2:4" x14ac:dyDescent="0.3">
      <c r="B63" s="98">
        <f>Data_correction!P66</f>
        <v>47727</v>
      </c>
      <c r="C63" s="76">
        <f t="shared" si="0"/>
        <v>2030</v>
      </c>
      <c r="D63" s="99">
        <f>Data_correction!Q66</f>
        <v>39856</v>
      </c>
    </row>
    <row r="64" spans="2:4" x14ac:dyDescent="0.3">
      <c r="B64" s="98">
        <f>Data_correction!P67</f>
        <v>47757</v>
      </c>
      <c r="C64" s="76">
        <f t="shared" si="0"/>
        <v>2030</v>
      </c>
      <c r="D64" s="99">
        <f>Data_correction!Q67</f>
        <v>40678</v>
      </c>
    </row>
    <row r="65" spans="2:4" x14ac:dyDescent="0.3">
      <c r="B65" s="98">
        <f>Data_correction!P68</f>
        <v>47788</v>
      </c>
      <c r="C65" s="76">
        <f t="shared" si="0"/>
        <v>2030</v>
      </c>
      <c r="D65" s="99">
        <f>Data_correction!Q68</f>
        <v>41599</v>
      </c>
    </row>
    <row r="66" spans="2:4" x14ac:dyDescent="0.3">
      <c r="B66" s="98">
        <f>Data_correction!P69</f>
        <v>47818</v>
      </c>
      <c r="C66" s="76">
        <f t="shared" si="0"/>
        <v>2030</v>
      </c>
      <c r="D66" s="99">
        <f>Data_correction!Q69</f>
        <v>42481</v>
      </c>
    </row>
    <row r="67" spans="2:4" x14ac:dyDescent="0.3">
      <c r="B67" s="98">
        <f>Data_correction!P70</f>
        <v>47849</v>
      </c>
      <c r="C67" s="76">
        <f t="shared" si="0"/>
        <v>2031</v>
      </c>
      <c r="D67" s="99">
        <f>Data_correction!Q70</f>
        <v>38632</v>
      </c>
    </row>
    <row r="68" spans="2:4" x14ac:dyDescent="0.3">
      <c r="B68" s="98">
        <f>Data_correction!P71</f>
        <v>47880</v>
      </c>
      <c r="C68" s="76">
        <f t="shared" si="0"/>
        <v>2031</v>
      </c>
      <c r="D68" s="99">
        <f>Data_correction!Q71</f>
        <v>39380</v>
      </c>
    </row>
    <row r="69" spans="2:4" x14ac:dyDescent="0.3">
      <c r="B69" s="98">
        <f>Data_correction!P72</f>
        <v>47908</v>
      </c>
      <c r="C69" s="76">
        <f t="shared" si="0"/>
        <v>2031</v>
      </c>
      <c r="D69" s="99">
        <f>Data_correction!Q72</f>
        <v>40222</v>
      </c>
    </row>
    <row r="70" spans="2:4" x14ac:dyDescent="0.3">
      <c r="B70" s="98">
        <f>Data_correction!P73</f>
        <v>47939</v>
      </c>
      <c r="C70" s="76">
        <f t="shared" si="0"/>
        <v>2031</v>
      </c>
      <c r="D70" s="99">
        <f>Data_correction!Q73</f>
        <v>40930</v>
      </c>
    </row>
    <row r="71" spans="2:4" x14ac:dyDescent="0.3">
      <c r="B71" s="98">
        <f>Data_correction!P74</f>
        <v>47969</v>
      </c>
      <c r="C71" s="76">
        <f t="shared" ref="C71:C134" si="5">YEAR(B71)</f>
        <v>2031</v>
      </c>
      <c r="D71" s="99">
        <f>Data_correction!Q74</f>
        <v>41722</v>
      </c>
    </row>
    <row r="72" spans="2:4" x14ac:dyDescent="0.3">
      <c r="B72" s="98">
        <f>Data_correction!P75</f>
        <v>48000</v>
      </c>
      <c r="C72" s="76">
        <f t="shared" si="5"/>
        <v>2031</v>
      </c>
      <c r="D72" s="99">
        <f>Data_correction!Q75</f>
        <v>42525</v>
      </c>
    </row>
    <row r="73" spans="2:4" x14ac:dyDescent="0.3">
      <c r="B73" s="98">
        <f>Data_correction!P76</f>
        <v>48030</v>
      </c>
      <c r="C73" s="76">
        <f t="shared" si="5"/>
        <v>2031</v>
      </c>
      <c r="D73" s="99">
        <f>Data_correction!Q76</f>
        <v>43282</v>
      </c>
    </row>
    <row r="74" spans="2:4" x14ac:dyDescent="0.3">
      <c r="B74" s="98">
        <f>Data_correction!P77</f>
        <v>48061</v>
      </c>
      <c r="C74" s="76">
        <f t="shared" si="5"/>
        <v>2031</v>
      </c>
      <c r="D74" s="99">
        <f>Data_correction!Q77</f>
        <v>44130</v>
      </c>
    </row>
    <row r="75" spans="2:4" x14ac:dyDescent="0.3">
      <c r="B75" s="98">
        <f>Data_correction!P78</f>
        <v>48092</v>
      </c>
      <c r="C75" s="76">
        <f t="shared" si="5"/>
        <v>2031</v>
      </c>
      <c r="D75" s="99">
        <f>Data_correction!Q78</f>
        <v>44902</v>
      </c>
    </row>
    <row r="76" spans="2:4" x14ac:dyDescent="0.3">
      <c r="B76" s="98">
        <f>Data_correction!P79</f>
        <v>48122</v>
      </c>
      <c r="C76" s="76">
        <f t="shared" si="5"/>
        <v>2031</v>
      </c>
      <c r="D76" s="99">
        <f>Data_correction!Q79</f>
        <v>45595</v>
      </c>
    </row>
    <row r="77" spans="2:4" x14ac:dyDescent="0.3">
      <c r="B77" s="98">
        <f>Data_correction!P80</f>
        <v>48153</v>
      </c>
      <c r="C77" s="76">
        <f t="shared" si="5"/>
        <v>2031</v>
      </c>
      <c r="D77" s="99">
        <f>Data_correction!Q80</f>
        <v>46392</v>
      </c>
    </row>
    <row r="78" spans="2:4" x14ac:dyDescent="0.3">
      <c r="B78" s="98">
        <f>Data_correction!P81</f>
        <v>48183</v>
      </c>
      <c r="C78" s="76">
        <f t="shared" si="5"/>
        <v>2031</v>
      </c>
      <c r="D78" s="99">
        <f>Data_correction!Q81</f>
        <v>47155</v>
      </c>
    </row>
    <row r="79" spans="2:4" x14ac:dyDescent="0.3">
      <c r="B79" s="98">
        <f>Data_correction!P82</f>
        <v>48214</v>
      </c>
      <c r="C79" s="76">
        <f t="shared" si="5"/>
        <v>2032</v>
      </c>
      <c r="D79" s="99">
        <f>Data_correction!Q82</f>
        <v>44873</v>
      </c>
    </row>
    <row r="80" spans="2:4" x14ac:dyDescent="0.3">
      <c r="B80" s="98">
        <f>Data_correction!P83</f>
        <v>48245</v>
      </c>
      <c r="C80" s="76">
        <f t="shared" si="5"/>
        <v>2032</v>
      </c>
      <c r="D80" s="99">
        <f>Data_correction!Q83</f>
        <v>45646</v>
      </c>
    </row>
    <row r="81" spans="2:4" x14ac:dyDescent="0.3">
      <c r="B81" s="98">
        <f>Data_correction!P84</f>
        <v>48274</v>
      </c>
      <c r="C81" s="76">
        <f t="shared" si="5"/>
        <v>2032</v>
      </c>
      <c r="D81" s="99">
        <f>Data_correction!Q84</f>
        <v>46404</v>
      </c>
    </row>
    <row r="82" spans="2:4" x14ac:dyDescent="0.3">
      <c r="B82" s="98">
        <f>Data_correction!P85</f>
        <v>48305</v>
      </c>
      <c r="C82" s="76">
        <f t="shared" si="5"/>
        <v>2032</v>
      </c>
      <c r="D82" s="99">
        <f>Data_correction!Q85</f>
        <v>47092</v>
      </c>
    </row>
    <row r="83" spans="2:4" x14ac:dyDescent="0.3">
      <c r="B83" s="98">
        <f>Data_correction!P86</f>
        <v>48335</v>
      </c>
      <c r="C83" s="76">
        <f t="shared" si="5"/>
        <v>2032</v>
      </c>
      <c r="D83" s="99">
        <f>Data_correction!Q86</f>
        <v>47880</v>
      </c>
    </row>
    <row r="84" spans="2:4" x14ac:dyDescent="0.3">
      <c r="B84" s="98">
        <f>Data_correction!P87</f>
        <v>48366</v>
      </c>
      <c r="C84" s="76">
        <f t="shared" si="5"/>
        <v>2032</v>
      </c>
      <c r="D84" s="99">
        <f>Data_correction!Q87</f>
        <v>48518</v>
      </c>
    </row>
    <row r="85" spans="2:4" x14ac:dyDescent="0.3">
      <c r="B85" s="98">
        <f>Data_correction!P88</f>
        <v>48396</v>
      </c>
      <c r="C85" s="76">
        <f t="shared" si="5"/>
        <v>2032</v>
      </c>
      <c r="D85" s="99">
        <f>Data_correction!Q88</f>
        <v>49296</v>
      </c>
    </row>
    <row r="86" spans="2:4" x14ac:dyDescent="0.3">
      <c r="B86" s="98">
        <f>Data_correction!P89</f>
        <v>48427</v>
      </c>
      <c r="C86" s="76">
        <f t="shared" si="5"/>
        <v>2032</v>
      </c>
      <c r="D86" s="99">
        <f>Data_correction!Q89</f>
        <v>50014</v>
      </c>
    </row>
    <row r="87" spans="2:4" x14ac:dyDescent="0.3">
      <c r="B87" s="98">
        <f>Data_correction!P90</f>
        <v>48458</v>
      </c>
      <c r="C87" s="76">
        <f t="shared" si="5"/>
        <v>2032</v>
      </c>
      <c r="D87" s="99">
        <f>Data_correction!Q90</f>
        <v>50697</v>
      </c>
    </row>
    <row r="88" spans="2:4" x14ac:dyDescent="0.3">
      <c r="B88" s="98">
        <f>Data_correction!P91</f>
        <v>48488</v>
      </c>
      <c r="C88" s="76">
        <f t="shared" si="5"/>
        <v>2032</v>
      </c>
      <c r="D88" s="99">
        <f>Data_correction!Q91</f>
        <v>51525</v>
      </c>
    </row>
    <row r="89" spans="2:4" x14ac:dyDescent="0.3">
      <c r="B89" s="98">
        <f>Data_correction!P92</f>
        <v>48519</v>
      </c>
      <c r="C89" s="76">
        <f t="shared" si="5"/>
        <v>2032</v>
      </c>
      <c r="D89" s="99">
        <f>Data_correction!Q92</f>
        <v>52248</v>
      </c>
    </row>
    <row r="90" spans="2:4" x14ac:dyDescent="0.3">
      <c r="B90" s="98">
        <f>Data_correction!P93</f>
        <v>48549</v>
      </c>
      <c r="C90" s="76">
        <f t="shared" si="5"/>
        <v>2032</v>
      </c>
      <c r="D90" s="99">
        <f>Data_correction!Q93</f>
        <v>52921</v>
      </c>
    </row>
    <row r="91" spans="2:4" x14ac:dyDescent="0.3">
      <c r="B91" s="98">
        <f>Data_correction!P94</f>
        <v>48580</v>
      </c>
      <c r="C91" s="76">
        <f t="shared" si="5"/>
        <v>2033</v>
      </c>
      <c r="D91" s="99">
        <f>Data_correction!Q94</f>
        <v>52314</v>
      </c>
    </row>
    <row r="92" spans="2:4" x14ac:dyDescent="0.3">
      <c r="B92" s="98">
        <f>Data_correction!P95</f>
        <v>48611</v>
      </c>
      <c r="C92" s="76">
        <f t="shared" si="5"/>
        <v>2033</v>
      </c>
      <c r="D92" s="99">
        <f>Data_correction!Q95</f>
        <v>53079</v>
      </c>
    </row>
    <row r="93" spans="2:4" x14ac:dyDescent="0.3">
      <c r="B93" s="98">
        <f>Data_correction!P96</f>
        <v>48639</v>
      </c>
      <c r="C93" s="76">
        <f t="shared" si="5"/>
        <v>2033</v>
      </c>
      <c r="D93" s="99">
        <f>Data_correction!Q96</f>
        <v>53775</v>
      </c>
    </row>
    <row r="94" spans="2:4" x14ac:dyDescent="0.3">
      <c r="B94" s="98">
        <f>Data_correction!P97</f>
        <v>48670</v>
      </c>
      <c r="C94" s="76">
        <f t="shared" si="5"/>
        <v>2033</v>
      </c>
      <c r="D94" s="99">
        <f>Data_correction!Q97</f>
        <v>54450</v>
      </c>
    </row>
    <row r="95" spans="2:4" x14ac:dyDescent="0.3">
      <c r="B95" s="98">
        <f>Data_correction!P98</f>
        <v>48700</v>
      </c>
      <c r="C95" s="76">
        <f t="shared" si="5"/>
        <v>2033</v>
      </c>
      <c r="D95" s="99">
        <f>Data_correction!Q98</f>
        <v>55165</v>
      </c>
    </row>
    <row r="96" spans="2:4" x14ac:dyDescent="0.3">
      <c r="B96" s="98">
        <f>Data_correction!P99</f>
        <v>48731</v>
      </c>
      <c r="C96" s="76">
        <f t="shared" si="5"/>
        <v>2033</v>
      </c>
      <c r="D96" s="99">
        <f>Data_correction!Q99</f>
        <v>55866</v>
      </c>
    </row>
    <row r="97" spans="2:4" x14ac:dyDescent="0.3">
      <c r="B97" s="98">
        <f>Data_correction!P100</f>
        <v>48761</v>
      </c>
      <c r="C97" s="76">
        <f t="shared" si="5"/>
        <v>2033</v>
      </c>
      <c r="D97" s="99">
        <f>Data_correction!Q100</f>
        <v>56646</v>
      </c>
    </row>
    <row r="98" spans="2:4" x14ac:dyDescent="0.3">
      <c r="B98" s="98">
        <f>Data_correction!P101</f>
        <v>48792</v>
      </c>
      <c r="C98" s="76">
        <f t="shared" si="5"/>
        <v>2033</v>
      </c>
      <c r="D98" s="99">
        <f>Data_correction!Q101</f>
        <v>57292</v>
      </c>
    </row>
    <row r="99" spans="2:4" x14ac:dyDescent="0.3">
      <c r="B99" s="98">
        <f>Data_correction!P102</f>
        <v>48823</v>
      </c>
      <c r="C99" s="76">
        <f t="shared" si="5"/>
        <v>2033</v>
      </c>
      <c r="D99" s="99">
        <f>Data_correction!Q102</f>
        <v>58022</v>
      </c>
    </row>
    <row r="100" spans="2:4" x14ac:dyDescent="0.3">
      <c r="B100" s="98">
        <f>Data_correction!P103</f>
        <v>48853</v>
      </c>
      <c r="C100" s="76">
        <f t="shared" si="5"/>
        <v>2033</v>
      </c>
      <c r="D100" s="99">
        <f>Data_correction!Q103</f>
        <v>58748</v>
      </c>
    </row>
    <row r="101" spans="2:4" x14ac:dyDescent="0.3">
      <c r="B101" s="98">
        <f>Data_correction!P104</f>
        <v>48884</v>
      </c>
      <c r="C101" s="76">
        <f t="shared" si="5"/>
        <v>2033</v>
      </c>
      <c r="D101" s="99">
        <f>Data_correction!Q104</f>
        <v>59493</v>
      </c>
    </row>
    <row r="102" spans="2:4" x14ac:dyDescent="0.3">
      <c r="B102" s="98">
        <f>Data_correction!P105</f>
        <v>48914</v>
      </c>
      <c r="C102" s="76">
        <f t="shared" si="5"/>
        <v>2033</v>
      </c>
      <c r="D102" s="99">
        <f>Data_correction!Q105</f>
        <v>60148</v>
      </c>
    </row>
    <row r="103" spans="2:4" x14ac:dyDescent="0.3">
      <c r="B103" s="98">
        <f>Data_correction!P106</f>
        <v>48945</v>
      </c>
      <c r="C103" s="76">
        <f t="shared" si="5"/>
        <v>2034</v>
      </c>
      <c r="D103" s="99">
        <f>Data_correction!Q106</f>
        <v>60819</v>
      </c>
    </row>
    <row r="104" spans="2:4" x14ac:dyDescent="0.3">
      <c r="B104" s="98">
        <f>Data_correction!P107</f>
        <v>48976</v>
      </c>
      <c r="C104" s="76">
        <f t="shared" si="5"/>
        <v>2034</v>
      </c>
      <c r="D104" s="99">
        <f>Data_correction!Q107</f>
        <v>61563</v>
      </c>
    </row>
    <row r="105" spans="2:4" x14ac:dyDescent="0.3">
      <c r="B105" s="98">
        <f>Data_correction!P108</f>
        <v>49004</v>
      </c>
      <c r="C105" s="76">
        <f t="shared" si="5"/>
        <v>2034</v>
      </c>
      <c r="D105" s="99">
        <f>Data_correction!Q108</f>
        <v>62218</v>
      </c>
    </row>
    <row r="106" spans="2:4" x14ac:dyDescent="0.3">
      <c r="B106" s="98">
        <f>Data_correction!P109</f>
        <v>49035</v>
      </c>
      <c r="C106" s="76">
        <f t="shared" si="5"/>
        <v>2034</v>
      </c>
      <c r="D106" s="99">
        <f>Data_correction!Q109</f>
        <v>62972</v>
      </c>
    </row>
    <row r="107" spans="2:4" x14ac:dyDescent="0.3">
      <c r="B107" s="98">
        <f>Data_correction!P110</f>
        <v>49065</v>
      </c>
      <c r="C107" s="76">
        <f t="shared" si="5"/>
        <v>2034</v>
      </c>
      <c r="D107" s="99">
        <f>Data_correction!Q110</f>
        <v>63627</v>
      </c>
    </row>
    <row r="108" spans="2:4" x14ac:dyDescent="0.3">
      <c r="B108" s="98">
        <f>Data_correction!P111</f>
        <v>49096</v>
      </c>
      <c r="C108" s="76">
        <f t="shared" si="5"/>
        <v>2034</v>
      </c>
      <c r="D108" s="99">
        <f>Data_correction!Q111</f>
        <v>64321</v>
      </c>
    </row>
    <row r="109" spans="2:4" x14ac:dyDescent="0.3">
      <c r="B109" s="98">
        <f>Data_correction!P112</f>
        <v>49126</v>
      </c>
      <c r="C109" s="76">
        <f t="shared" si="5"/>
        <v>2034</v>
      </c>
      <c r="D109" s="99">
        <f>Data_correction!Q112</f>
        <v>65086</v>
      </c>
    </row>
    <row r="110" spans="2:4" x14ac:dyDescent="0.3">
      <c r="B110" s="98">
        <f>Data_correction!P113</f>
        <v>49157</v>
      </c>
      <c r="C110" s="76">
        <f t="shared" si="5"/>
        <v>2034</v>
      </c>
      <c r="D110" s="99">
        <f>Data_correction!Q113</f>
        <v>65815</v>
      </c>
    </row>
    <row r="111" spans="2:4" x14ac:dyDescent="0.3">
      <c r="B111" s="98">
        <f>Data_correction!P114</f>
        <v>49188</v>
      </c>
      <c r="C111" s="76">
        <f t="shared" si="5"/>
        <v>2034</v>
      </c>
      <c r="D111" s="99">
        <f>Data_correction!Q114</f>
        <v>66490</v>
      </c>
    </row>
    <row r="112" spans="2:4" x14ac:dyDescent="0.3">
      <c r="B112" s="98">
        <f>Data_correction!P115</f>
        <v>49218</v>
      </c>
      <c r="C112" s="76">
        <f t="shared" si="5"/>
        <v>2034</v>
      </c>
      <c r="D112" s="99">
        <f>Data_correction!Q115</f>
        <v>67174</v>
      </c>
    </row>
    <row r="113" spans="2:4" x14ac:dyDescent="0.3">
      <c r="B113" s="98">
        <f>Data_correction!P116</f>
        <v>49249</v>
      </c>
      <c r="C113" s="76">
        <f t="shared" si="5"/>
        <v>2034</v>
      </c>
      <c r="D113" s="99">
        <f>Data_correction!Q116</f>
        <v>67914</v>
      </c>
    </row>
    <row r="114" spans="2:4" x14ac:dyDescent="0.3">
      <c r="B114" s="98">
        <f>Data_correction!P117</f>
        <v>49279</v>
      </c>
      <c r="C114" s="76">
        <f t="shared" si="5"/>
        <v>2034</v>
      </c>
      <c r="D114" s="99">
        <f>Data_correction!Q117</f>
        <v>68598</v>
      </c>
    </row>
    <row r="115" spans="2:4" x14ac:dyDescent="0.3">
      <c r="B115" s="98">
        <f>Data_correction!P118</f>
        <v>49310</v>
      </c>
      <c r="C115" s="76">
        <f t="shared" si="5"/>
        <v>2035</v>
      </c>
      <c r="D115" s="99">
        <f>Data_correction!Q118</f>
        <v>71717</v>
      </c>
    </row>
    <row r="116" spans="2:4" x14ac:dyDescent="0.3">
      <c r="B116" s="98">
        <f>Data_correction!P119</f>
        <v>49341</v>
      </c>
      <c r="C116" s="76">
        <f t="shared" si="5"/>
        <v>2035</v>
      </c>
      <c r="D116" s="99">
        <f>Data_correction!Q119</f>
        <v>72023</v>
      </c>
    </row>
    <row r="117" spans="2:4" x14ac:dyDescent="0.3">
      <c r="B117" s="98">
        <f>Data_correction!P120</f>
        <v>49369</v>
      </c>
      <c r="C117" s="76">
        <f t="shared" si="5"/>
        <v>2035</v>
      </c>
      <c r="D117" s="99">
        <f>Data_correction!Q120</f>
        <v>72250</v>
      </c>
    </row>
    <row r="118" spans="2:4" x14ac:dyDescent="0.3">
      <c r="B118" s="98">
        <f>Data_correction!P121</f>
        <v>49400</v>
      </c>
      <c r="C118" s="76">
        <f t="shared" si="5"/>
        <v>2035</v>
      </c>
      <c r="D118" s="99">
        <f>Data_correction!Q121</f>
        <v>72551</v>
      </c>
    </row>
    <row r="119" spans="2:4" x14ac:dyDescent="0.3">
      <c r="B119" s="98">
        <f>Data_correction!P122</f>
        <v>49430</v>
      </c>
      <c r="C119" s="76">
        <f t="shared" si="5"/>
        <v>2035</v>
      </c>
      <c r="D119" s="99">
        <f>Data_correction!Q122</f>
        <v>72718</v>
      </c>
    </row>
    <row r="120" spans="2:4" x14ac:dyDescent="0.3">
      <c r="B120" s="98">
        <f>Data_correction!P123</f>
        <v>49461</v>
      </c>
      <c r="C120" s="76">
        <f t="shared" si="5"/>
        <v>2035</v>
      </c>
      <c r="D120" s="99">
        <f>Data_correction!Q123</f>
        <v>73024</v>
      </c>
    </row>
    <row r="121" spans="2:4" x14ac:dyDescent="0.3">
      <c r="B121" s="98">
        <f>Data_correction!P124</f>
        <v>49491</v>
      </c>
      <c r="C121" s="76">
        <f t="shared" si="5"/>
        <v>2035</v>
      </c>
      <c r="D121" s="99">
        <f>Data_correction!Q124</f>
        <v>73206</v>
      </c>
    </row>
    <row r="122" spans="2:4" x14ac:dyDescent="0.3">
      <c r="B122" s="98">
        <f>Data_correction!P125</f>
        <v>49522</v>
      </c>
      <c r="C122" s="76">
        <f t="shared" si="5"/>
        <v>2035</v>
      </c>
      <c r="D122" s="99">
        <f>Data_correction!Q125</f>
        <v>73522</v>
      </c>
    </row>
    <row r="123" spans="2:4" x14ac:dyDescent="0.3">
      <c r="B123" s="98">
        <f>Data_correction!P126</f>
        <v>49553</v>
      </c>
      <c r="C123" s="76">
        <f t="shared" si="5"/>
        <v>2035</v>
      </c>
      <c r="D123" s="99">
        <f>Data_correction!Q126</f>
        <v>73689</v>
      </c>
    </row>
    <row r="124" spans="2:4" x14ac:dyDescent="0.3">
      <c r="B124" s="98">
        <f>Data_correction!P127</f>
        <v>49583</v>
      </c>
      <c r="C124" s="76">
        <f t="shared" si="5"/>
        <v>2035</v>
      </c>
      <c r="D124" s="99">
        <f>Data_correction!Q127</f>
        <v>73945</v>
      </c>
    </row>
    <row r="125" spans="2:4" x14ac:dyDescent="0.3">
      <c r="B125" s="98">
        <f>Data_correction!P128</f>
        <v>49614</v>
      </c>
      <c r="C125" s="76">
        <f t="shared" si="5"/>
        <v>2035</v>
      </c>
      <c r="D125" s="99">
        <f>Data_correction!Q128</f>
        <v>74202</v>
      </c>
    </row>
    <row r="126" spans="2:4" x14ac:dyDescent="0.3">
      <c r="B126" s="98">
        <f>Data_correction!P129</f>
        <v>49644</v>
      </c>
      <c r="C126" s="76">
        <f t="shared" si="5"/>
        <v>2035</v>
      </c>
      <c r="D126" s="99">
        <f>Data_correction!Q129</f>
        <v>74484</v>
      </c>
    </row>
    <row r="127" spans="2:4" x14ac:dyDescent="0.3">
      <c r="B127" s="98">
        <f>Data_correction!P130</f>
        <v>49675</v>
      </c>
      <c r="C127" s="76">
        <f t="shared" si="5"/>
        <v>2036</v>
      </c>
      <c r="D127" s="99">
        <f>Data_correction!Q130</f>
        <v>77660</v>
      </c>
    </row>
    <row r="128" spans="2:4" x14ac:dyDescent="0.3">
      <c r="B128" s="98">
        <f>Data_correction!P131</f>
        <v>49706</v>
      </c>
      <c r="C128" s="76">
        <f t="shared" si="5"/>
        <v>2036</v>
      </c>
      <c r="D128" s="99">
        <f>Data_correction!Q131</f>
        <v>78439</v>
      </c>
    </row>
    <row r="129" spans="2:4" x14ac:dyDescent="0.3">
      <c r="B129" s="98">
        <f>Data_correction!P132</f>
        <v>49735</v>
      </c>
      <c r="C129" s="76">
        <f t="shared" si="5"/>
        <v>2036</v>
      </c>
      <c r="D129" s="99">
        <f>Data_correction!Q132</f>
        <v>79208</v>
      </c>
    </row>
    <row r="130" spans="2:4" x14ac:dyDescent="0.3">
      <c r="B130" s="98">
        <f>Data_correction!P133</f>
        <v>49766</v>
      </c>
      <c r="C130" s="76">
        <f t="shared" si="5"/>
        <v>2036</v>
      </c>
      <c r="D130" s="99">
        <f>Data_correction!Q133</f>
        <v>79952</v>
      </c>
    </row>
    <row r="131" spans="2:4" x14ac:dyDescent="0.3">
      <c r="B131" s="98">
        <f>Data_correction!P134</f>
        <v>49796</v>
      </c>
      <c r="C131" s="76">
        <f t="shared" si="5"/>
        <v>2036</v>
      </c>
      <c r="D131" s="99">
        <f>Data_correction!Q134</f>
        <v>80741</v>
      </c>
    </row>
    <row r="132" spans="2:4" x14ac:dyDescent="0.3">
      <c r="B132" s="98">
        <f>Data_correction!P135</f>
        <v>49827</v>
      </c>
      <c r="C132" s="76">
        <f t="shared" si="5"/>
        <v>2036</v>
      </c>
      <c r="D132" s="99">
        <f>Data_correction!Q135</f>
        <v>81530</v>
      </c>
    </row>
    <row r="133" spans="2:4" x14ac:dyDescent="0.3">
      <c r="B133" s="98">
        <f>Data_correction!P136</f>
        <v>49857</v>
      </c>
      <c r="C133" s="76">
        <f t="shared" si="5"/>
        <v>2036</v>
      </c>
      <c r="D133" s="99">
        <f>Data_correction!Q136</f>
        <v>82309</v>
      </c>
    </row>
    <row r="134" spans="2:4" x14ac:dyDescent="0.3">
      <c r="B134" s="98">
        <f>Data_correction!P137</f>
        <v>49888</v>
      </c>
      <c r="C134" s="76">
        <f t="shared" si="5"/>
        <v>2036</v>
      </c>
      <c r="D134" s="99">
        <f>Data_correction!Q137</f>
        <v>83003</v>
      </c>
    </row>
    <row r="135" spans="2:4" x14ac:dyDescent="0.3">
      <c r="B135" s="98">
        <f>Data_correction!P138</f>
        <v>49919</v>
      </c>
      <c r="C135" s="76">
        <f t="shared" ref="C135:C198" si="6">YEAR(B135)</f>
        <v>2036</v>
      </c>
      <c r="D135" s="99">
        <f>Data_correction!Q138</f>
        <v>83767</v>
      </c>
    </row>
    <row r="136" spans="2:4" x14ac:dyDescent="0.3">
      <c r="B136" s="98">
        <f>Data_correction!P139</f>
        <v>49949</v>
      </c>
      <c r="C136" s="76">
        <f t="shared" si="6"/>
        <v>2036</v>
      </c>
      <c r="D136" s="99">
        <f>Data_correction!Q139</f>
        <v>84611</v>
      </c>
    </row>
    <row r="137" spans="2:4" x14ac:dyDescent="0.3">
      <c r="B137" s="98">
        <f>Data_correction!P140</f>
        <v>49980</v>
      </c>
      <c r="C137" s="76">
        <f t="shared" si="6"/>
        <v>2036</v>
      </c>
      <c r="D137" s="99">
        <f>Data_correction!Q140</f>
        <v>85339</v>
      </c>
    </row>
    <row r="138" spans="2:4" x14ac:dyDescent="0.3">
      <c r="B138" s="98">
        <f>Data_correction!P141</f>
        <v>50010</v>
      </c>
      <c r="C138" s="76">
        <f t="shared" si="6"/>
        <v>2036</v>
      </c>
      <c r="D138" s="99">
        <f>Data_correction!Q141</f>
        <v>86068</v>
      </c>
    </row>
    <row r="139" spans="2:4" x14ac:dyDescent="0.3">
      <c r="B139" s="98">
        <f>Data_correction!P142</f>
        <v>50041</v>
      </c>
      <c r="C139" s="76">
        <f t="shared" si="6"/>
        <v>2037</v>
      </c>
      <c r="D139" s="99">
        <f>Data_correction!Q142</f>
        <v>87507</v>
      </c>
    </row>
    <row r="140" spans="2:4" x14ac:dyDescent="0.3">
      <c r="B140" s="98">
        <f>Data_correction!P143</f>
        <v>50072</v>
      </c>
      <c r="C140" s="76">
        <f t="shared" si="6"/>
        <v>2037</v>
      </c>
      <c r="D140" s="99">
        <f>Data_correction!Q143</f>
        <v>88276</v>
      </c>
    </row>
    <row r="141" spans="2:4" x14ac:dyDescent="0.3">
      <c r="B141" s="98">
        <f>Data_correction!P144</f>
        <v>50100</v>
      </c>
      <c r="C141" s="76">
        <f t="shared" si="6"/>
        <v>2037</v>
      </c>
      <c r="D141" s="99">
        <f>Data_correction!Q144</f>
        <v>89031</v>
      </c>
    </row>
    <row r="142" spans="2:4" x14ac:dyDescent="0.3">
      <c r="B142" s="98">
        <f>Data_correction!P145</f>
        <v>50131</v>
      </c>
      <c r="C142" s="76">
        <f t="shared" si="6"/>
        <v>2037</v>
      </c>
      <c r="D142" s="99">
        <f>Data_correction!Q145</f>
        <v>89765</v>
      </c>
    </row>
    <row r="143" spans="2:4" x14ac:dyDescent="0.3">
      <c r="B143" s="98">
        <f>Data_correction!P146</f>
        <v>50161</v>
      </c>
      <c r="C143" s="76">
        <f t="shared" si="6"/>
        <v>2037</v>
      </c>
      <c r="D143" s="99">
        <f>Data_correction!Q146</f>
        <v>90590</v>
      </c>
    </row>
    <row r="144" spans="2:4" x14ac:dyDescent="0.3">
      <c r="B144" s="98">
        <f>Data_correction!P147</f>
        <v>50192</v>
      </c>
      <c r="C144" s="76">
        <f t="shared" si="6"/>
        <v>2037</v>
      </c>
      <c r="D144" s="99">
        <f>Data_correction!Q147</f>
        <v>91359.5</v>
      </c>
    </row>
    <row r="145" spans="2:4" x14ac:dyDescent="0.3">
      <c r="B145" s="98">
        <f>Data_correction!P148</f>
        <v>50222</v>
      </c>
      <c r="C145" s="76">
        <f t="shared" si="6"/>
        <v>2037</v>
      </c>
      <c r="D145" s="99">
        <f>Data_correction!Q148</f>
        <v>92129</v>
      </c>
    </row>
    <row r="146" spans="2:4" x14ac:dyDescent="0.3">
      <c r="B146" s="98">
        <f>Data_correction!P149</f>
        <v>50253</v>
      </c>
      <c r="C146" s="76">
        <f t="shared" si="6"/>
        <v>2037</v>
      </c>
      <c r="D146" s="99">
        <f>Data_correction!Q149</f>
        <v>92903</v>
      </c>
    </row>
    <row r="147" spans="2:4" x14ac:dyDescent="0.3">
      <c r="B147" s="98">
        <f>Data_correction!P150</f>
        <v>50284</v>
      </c>
      <c r="C147" s="76">
        <f t="shared" si="6"/>
        <v>2037</v>
      </c>
      <c r="D147" s="99">
        <f>Data_correction!Q150</f>
        <v>93612</v>
      </c>
    </row>
    <row r="148" spans="2:4" x14ac:dyDescent="0.3">
      <c r="B148" s="98">
        <f>Data_correction!P151</f>
        <v>50314</v>
      </c>
      <c r="C148" s="76">
        <f t="shared" si="6"/>
        <v>2037</v>
      </c>
      <c r="D148" s="99">
        <f>Data_correction!Q151</f>
        <v>94432</v>
      </c>
    </row>
    <row r="149" spans="2:4" x14ac:dyDescent="0.3">
      <c r="B149" s="98">
        <f>Data_correction!P152</f>
        <v>50345</v>
      </c>
      <c r="C149" s="76">
        <f t="shared" si="6"/>
        <v>2037</v>
      </c>
      <c r="D149" s="99">
        <f>Data_correction!Q152</f>
        <v>95221</v>
      </c>
    </row>
    <row r="150" spans="2:4" x14ac:dyDescent="0.3">
      <c r="B150" s="98">
        <f>Data_correction!P153</f>
        <v>50375</v>
      </c>
      <c r="C150" s="76">
        <f t="shared" si="6"/>
        <v>2037</v>
      </c>
      <c r="D150" s="99">
        <f>Data_correction!Q153</f>
        <v>95971</v>
      </c>
    </row>
    <row r="151" spans="2:4" x14ac:dyDescent="0.3">
      <c r="B151" s="98">
        <f>Data_correction!P154</f>
        <v>50406</v>
      </c>
      <c r="C151" s="76">
        <f t="shared" si="6"/>
        <v>2038</v>
      </c>
      <c r="D151" s="99">
        <f>Data_correction!Q154</f>
        <v>96646</v>
      </c>
    </row>
    <row r="152" spans="2:4" x14ac:dyDescent="0.3">
      <c r="B152" s="98">
        <f>Data_correction!P155</f>
        <v>50437</v>
      </c>
      <c r="C152" s="76">
        <f t="shared" si="6"/>
        <v>2038</v>
      </c>
      <c r="D152" s="99">
        <f>Data_correction!Q155</f>
        <v>97395</v>
      </c>
    </row>
    <row r="153" spans="2:4" x14ac:dyDescent="0.3">
      <c r="B153" s="98">
        <f>Data_correction!P156</f>
        <v>50465</v>
      </c>
      <c r="C153" s="76">
        <f t="shared" si="6"/>
        <v>2038</v>
      </c>
      <c r="D153" s="99">
        <f>Data_correction!Q156</f>
        <v>98149</v>
      </c>
    </row>
    <row r="154" spans="2:4" x14ac:dyDescent="0.3">
      <c r="B154" s="98">
        <f>Data_correction!P157</f>
        <v>50496</v>
      </c>
      <c r="C154" s="76">
        <f t="shared" si="6"/>
        <v>2038</v>
      </c>
      <c r="D154" s="99">
        <f>Data_correction!Q157</f>
        <v>98953</v>
      </c>
    </row>
    <row r="155" spans="2:4" x14ac:dyDescent="0.3">
      <c r="B155" s="98">
        <f>Data_correction!P158</f>
        <v>50526</v>
      </c>
      <c r="C155" s="76">
        <f t="shared" si="6"/>
        <v>2038</v>
      </c>
      <c r="D155" s="99">
        <f>Data_correction!Q158</f>
        <v>99777</v>
      </c>
    </row>
    <row r="156" spans="2:4" x14ac:dyDescent="0.3">
      <c r="B156" s="98">
        <f>Data_correction!P159</f>
        <v>50557</v>
      </c>
      <c r="C156" s="76">
        <f t="shared" si="6"/>
        <v>2038</v>
      </c>
      <c r="D156" s="99">
        <f>Data_correction!Q159</f>
        <v>100541</v>
      </c>
    </row>
    <row r="157" spans="2:4" x14ac:dyDescent="0.3">
      <c r="B157" s="98">
        <f>Data_correction!P160</f>
        <v>50587</v>
      </c>
      <c r="C157" s="76">
        <f t="shared" si="6"/>
        <v>2038</v>
      </c>
      <c r="D157" s="99">
        <f>Data_correction!Q160</f>
        <v>101305</v>
      </c>
    </row>
    <row r="158" spans="2:4" x14ac:dyDescent="0.3">
      <c r="B158" s="98">
        <f>Data_correction!P161</f>
        <v>50618</v>
      </c>
      <c r="C158" s="76">
        <f t="shared" si="6"/>
        <v>2038</v>
      </c>
      <c r="D158" s="99">
        <f>Data_correction!Q161</f>
        <v>102079</v>
      </c>
    </row>
    <row r="159" spans="2:4" x14ac:dyDescent="0.3">
      <c r="B159" s="98">
        <f>Data_correction!P162</f>
        <v>50649</v>
      </c>
      <c r="C159" s="76">
        <f t="shared" si="6"/>
        <v>2038</v>
      </c>
      <c r="D159" s="99">
        <f>Data_correction!Q162</f>
        <v>102828</v>
      </c>
    </row>
    <row r="160" spans="2:4" x14ac:dyDescent="0.3">
      <c r="B160" s="98">
        <f>Data_correction!P163</f>
        <v>50679</v>
      </c>
      <c r="C160" s="76">
        <f t="shared" si="6"/>
        <v>2038</v>
      </c>
      <c r="D160" s="99">
        <f>Data_correction!Q163</f>
        <v>103547</v>
      </c>
    </row>
    <row r="161" spans="2:4" x14ac:dyDescent="0.3">
      <c r="B161" s="98">
        <f>Data_correction!P164</f>
        <v>50710</v>
      </c>
      <c r="C161" s="76">
        <f t="shared" si="6"/>
        <v>2038</v>
      </c>
      <c r="D161" s="99">
        <f>Data_correction!Q164</f>
        <v>104396</v>
      </c>
    </row>
    <row r="162" spans="2:4" x14ac:dyDescent="0.3">
      <c r="B162" s="98">
        <f>Data_correction!P165</f>
        <v>50740</v>
      </c>
      <c r="C162" s="76">
        <f t="shared" si="6"/>
        <v>2038</v>
      </c>
      <c r="D162" s="99">
        <f>Data_correction!Q165</f>
        <v>105155</v>
      </c>
    </row>
    <row r="163" spans="2:4" x14ac:dyDescent="0.3">
      <c r="B163" s="98">
        <f>Data_correction!P166</f>
        <v>50771</v>
      </c>
      <c r="C163" s="76">
        <f t="shared" si="6"/>
        <v>2039</v>
      </c>
      <c r="D163" s="99">
        <f>Data_correction!Q166</f>
        <v>106682</v>
      </c>
    </row>
    <row r="164" spans="2:4" x14ac:dyDescent="0.3">
      <c r="B164" s="98">
        <f>Data_correction!P167</f>
        <v>50802</v>
      </c>
      <c r="C164" s="76">
        <f t="shared" si="6"/>
        <v>2039</v>
      </c>
      <c r="D164" s="99">
        <f>Data_correction!Q167</f>
        <v>107512</v>
      </c>
    </row>
    <row r="165" spans="2:4" x14ac:dyDescent="0.3">
      <c r="B165" s="98">
        <f>Data_correction!P168</f>
        <v>50830</v>
      </c>
      <c r="C165" s="76">
        <f t="shared" si="6"/>
        <v>2039</v>
      </c>
      <c r="D165" s="99">
        <f>Data_correction!Q168</f>
        <v>108317</v>
      </c>
    </row>
    <row r="166" spans="2:4" x14ac:dyDescent="0.3">
      <c r="B166" s="98">
        <f>Data_correction!P169</f>
        <v>50861</v>
      </c>
      <c r="C166" s="76">
        <f t="shared" si="6"/>
        <v>2039</v>
      </c>
      <c r="D166" s="99">
        <f>Data_correction!Q169</f>
        <v>109027</v>
      </c>
    </row>
    <row r="167" spans="2:4" x14ac:dyDescent="0.3">
      <c r="B167" s="98">
        <f>Data_correction!P170</f>
        <v>50891</v>
      </c>
      <c r="C167" s="76">
        <f t="shared" si="6"/>
        <v>2039</v>
      </c>
      <c r="D167" s="99">
        <f>Data_correction!Q170</f>
        <v>109842</v>
      </c>
    </row>
    <row r="168" spans="2:4" x14ac:dyDescent="0.3">
      <c r="B168" s="98">
        <f>Data_correction!P171</f>
        <v>50922</v>
      </c>
      <c r="C168" s="76">
        <f t="shared" si="6"/>
        <v>2039</v>
      </c>
      <c r="D168" s="99">
        <f>Data_correction!Q171</f>
        <v>110627</v>
      </c>
    </row>
    <row r="169" spans="2:4" x14ac:dyDescent="0.3">
      <c r="B169" s="98">
        <f>Data_correction!P172</f>
        <v>50952</v>
      </c>
      <c r="C169" s="76">
        <f t="shared" si="6"/>
        <v>2039</v>
      </c>
      <c r="D169" s="99">
        <f>Data_correction!Q172</f>
        <v>111417</v>
      </c>
    </row>
    <row r="170" spans="2:4" x14ac:dyDescent="0.3">
      <c r="B170" s="98">
        <f>Data_correction!P173</f>
        <v>50983</v>
      </c>
      <c r="C170" s="76">
        <f t="shared" si="6"/>
        <v>2039</v>
      </c>
      <c r="D170" s="99">
        <f>Data_correction!Q173</f>
        <v>112092</v>
      </c>
    </row>
    <row r="171" spans="2:4" x14ac:dyDescent="0.3">
      <c r="B171" s="98">
        <f>Data_correction!P174</f>
        <v>51014</v>
      </c>
      <c r="C171" s="76">
        <f t="shared" si="6"/>
        <v>2039</v>
      </c>
      <c r="D171" s="99">
        <f>Data_correction!Q174</f>
        <v>112952</v>
      </c>
    </row>
    <row r="172" spans="2:4" x14ac:dyDescent="0.3">
      <c r="B172" s="98">
        <f>Data_correction!P175</f>
        <v>51044</v>
      </c>
      <c r="C172" s="76">
        <f t="shared" si="6"/>
        <v>2039</v>
      </c>
      <c r="D172" s="99">
        <f>Data_correction!Q175</f>
        <v>113667</v>
      </c>
    </row>
    <row r="173" spans="2:4" x14ac:dyDescent="0.3">
      <c r="B173" s="98">
        <f>Data_correction!P176</f>
        <v>51075</v>
      </c>
      <c r="C173" s="76">
        <f t="shared" si="6"/>
        <v>2039</v>
      </c>
      <c r="D173" s="99">
        <f>Data_correction!Q176</f>
        <v>114487</v>
      </c>
    </row>
    <row r="174" spans="2:4" x14ac:dyDescent="0.3">
      <c r="B174" s="98">
        <f>Data_correction!P177</f>
        <v>51105</v>
      </c>
      <c r="C174" s="76">
        <f t="shared" si="6"/>
        <v>2039</v>
      </c>
      <c r="D174" s="99">
        <f>Data_correction!Q177</f>
        <v>115227</v>
      </c>
    </row>
    <row r="175" spans="2:4" x14ac:dyDescent="0.3">
      <c r="B175" s="98">
        <f>Data_correction!P178</f>
        <v>51136</v>
      </c>
      <c r="C175" s="76">
        <f t="shared" si="6"/>
        <v>2040</v>
      </c>
      <c r="D175" s="99">
        <f>Data_correction!Q178</f>
        <v>115601</v>
      </c>
    </row>
    <row r="176" spans="2:4" x14ac:dyDescent="0.3">
      <c r="B176" s="98">
        <f>Data_correction!P179</f>
        <v>51167</v>
      </c>
      <c r="C176" s="76">
        <f t="shared" si="6"/>
        <v>2040</v>
      </c>
      <c r="D176" s="99">
        <f>Data_correction!Q179</f>
        <v>116418</v>
      </c>
    </row>
    <row r="177" spans="2:4" x14ac:dyDescent="0.3">
      <c r="B177" s="98">
        <f>Data_correction!P180</f>
        <v>51196</v>
      </c>
      <c r="C177" s="76">
        <f t="shared" si="6"/>
        <v>2040</v>
      </c>
      <c r="D177" s="99">
        <f>Data_correction!Q180</f>
        <v>117110</v>
      </c>
    </row>
    <row r="178" spans="2:4" x14ac:dyDescent="0.3">
      <c r="B178" s="98">
        <f>Data_correction!P181</f>
        <v>51227</v>
      </c>
      <c r="C178" s="76">
        <f t="shared" si="6"/>
        <v>2040</v>
      </c>
      <c r="D178" s="99">
        <f>Data_correction!Q181</f>
        <v>117897</v>
      </c>
    </row>
    <row r="179" spans="2:4" x14ac:dyDescent="0.3">
      <c r="B179" s="98">
        <f>Data_correction!P182</f>
        <v>51257</v>
      </c>
      <c r="C179" s="76">
        <f t="shared" si="6"/>
        <v>2040</v>
      </c>
      <c r="D179" s="99">
        <f>Data_correction!Q182</f>
        <v>118655</v>
      </c>
    </row>
    <row r="180" spans="2:4" x14ac:dyDescent="0.3">
      <c r="B180" s="98">
        <f>Data_correction!P183</f>
        <v>51288</v>
      </c>
      <c r="C180" s="76">
        <f t="shared" si="6"/>
        <v>2040</v>
      </c>
      <c r="D180" s="99">
        <f>Data_correction!Q183</f>
        <v>119472</v>
      </c>
    </row>
    <row r="181" spans="2:4" x14ac:dyDescent="0.3">
      <c r="B181" s="98">
        <f>Data_correction!P184</f>
        <v>51318</v>
      </c>
      <c r="C181" s="76">
        <f t="shared" si="6"/>
        <v>2040</v>
      </c>
      <c r="D181" s="99">
        <f>Data_correction!Q184</f>
        <v>120234</v>
      </c>
    </row>
    <row r="182" spans="2:4" x14ac:dyDescent="0.3">
      <c r="B182" s="98">
        <f>Data_correction!P185</f>
        <v>51349</v>
      </c>
      <c r="C182" s="76">
        <f t="shared" si="6"/>
        <v>2040</v>
      </c>
      <c r="D182" s="99">
        <f>Data_correction!Q185</f>
        <v>121022</v>
      </c>
    </row>
    <row r="183" spans="2:4" x14ac:dyDescent="0.3">
      <c r="B183" s="98">
        <f>Data_correction!P186</f>
        <v>51380</v>
      </c>
      <c r="C183" s="76">
        <f t="shared" si="6"/>
        <v>2040</v>
      </c>
      <c r="D183" s="99">
        <f>Data_correction!Q186</f>
        <v>121794</v>
      </c>
    </row>
    <row r="184" spans="2:4" x14ac:dyDescent="0.3">
      <c r="B184" s="98">
        <f>Data_correction!P187</f>
        <v>51410</v>
      </c>
      <c r="C184" s="76">
        <f t="shared" si="6"/>
        <v>2040</v>
      </c>
      <c r="D184" s="99">
        <f>Data_correction!Q187</f>
        <v>122596</v>
      </c>
    </row>
    <row r="185" spans="2:4" x14ac:dyDescent="0.3">
      <c r="B185" s="98">
        <f>Data_correction!P188</f>
        <v>51441</v>
      </c>
      <c r="C185" s="76">
        <f t="shared" si="6"/>
        <v>2040</v>
      </c>
      <c r="D185" s="99">
        <f>Data_correction!Q188</f>
        <v>123288</v>
      </c>
    </row>
    <row r="186" spans="2:4" x14ac:dyDescent="0.3">
      <c r="B186" s="98">
        <f>Data_correction!P189</f>
        <v>51471</v>
      </c>
      <c r="C186" s="76">
        <f t="shared" si="6"/>
        <v>2040</v>
      </c>
      <c r="D186" s="99">
        <f>Data_correction!Q189</f>
        <v>124126</v>
      </c>
    </row>
    <row r="187" spans="2:4" x14ac:dyDescent="0.3">
      <c r="B187" s="98">
        <f>Data_correction!P190</f>
        <v>51502</v>
      </c>
      <c r="C187" s="76">
        <f t="shared" si="6"/>
        <v>2041</v>
      </c>
      <c r="D187" s="99">
        <f>Data_correction!Q190</f>
        <v>121209</v>
      </c>
    </row>
    <row r="188" spans="2:4" x14ac:dyDescent="0.3">
      <c r="B188" s="98">
        <f>Data_correction!P191</f>
        <v>51533</v>
      </c>
      <c r="C188" s="76">
        <f t="shared" si="6"/>
        <v>2041</v>
      </c>
      <c r="D188" s="99">
        <f>Data_correction!Q191</f>
        <v>122745</v>
      </c>
    </row>
    <row r="189" spans="2:4" x14ac:dyDescent="0.3">
      <c r="B189" s="98">
        <f>Data_correction!P192</f>
        <v>51561</v>
      </c>
      <c r="C189" s="76">
        <f t="shared" si="6"/>
        <v>2041</v>
      </c>
      <c r="D189" s="99">
        <f>Data_correction!Q192</f>
        <v>124255</v>
      </c>
    </row>
    <row r="190" spans="2:4" x14ac:dyDescent="0.3">
      <c r="B190" s="98">
        <f>Data_correction!P193</f>
        <v>51592</v>
      </c>
      <c r="C190" s="76">
        <f t="shared" si="6"/>
        <v>2041</v>
      </c>
      <c r="D190" s="99">
        <f>Data_correction!Q193</f>
        <v>125696</v>
      </c>
    </row>
    <row r="191" spans="2:4" x14ac:dyDescent="0.3">
      <c r="B191" s="98">
        <f>Data_correction!P194</f>
        <v>51622</v>
      </c>
      <c r="C191" s="76">
        <f t="shared" si="6"/>
        <v>2041</v>
      </c>
      <c r="D191" s="99">
        <f>Data_correction!Q194</f>
        <v>127206</v>
      </c>
    </row>
    <row r="192" spans="2:4" x14ac:dyDescent="0.3">
      <c r="B192" s="98">
        <f>Data_correction!P195</f>
        <v>51653</v>
      </c>
      <c r="C192" s="76">
        <f t="shared" si="6"/>
        <v>2041</v>
      </c>
      <c r="D192" s="99">
        <f>Data_correction!Q195</f>
        <v>128722</v>
      </c>
    </row>
    <row r="193" spans="2:4" x14ac:dyDescent="0.3">
      <c r="B193" s="98">
        <f>Data_correction!P196</f>
        <v>51683</v>
      </c>
      <c r="C193" s="76">
        <f t="shared" si="6"/>
        <v>2041</v>
      </c>
      <c r="D193" s="99">
        <f>Data_correction!Q196</f>
        <v>130182</v>
      </c>
    </row>
    <row r="194" spans="2:4" x14ac:dyDescent="0.3">
      <c r="B194" s="98">
        <f>Data_correction!P197</f>
        <v>51714</v>
      </c>
      <c r="C194" s="76">
        <f t="shared" si="6"/>
        <v>2041</v>
      </c>
      <c r="D194" s="99">
        <f>Data_correction!Q197</f>
        <v>131677</v>
      </c>
    </row>
    <row r="195" spans="2:4" x14ac:dyDescent="0.3">
      <c r="B195" s="98">
        <f>Data_correction!P198</f>
        <v>51745</v>
      </c>
      <c r="C195" s="76">
        <f t="shared" si="6"/>
        <v>2041</v>
      </c>
      <c r="D195" s="99">
        <f>Data_correction!Q198</f>
        <v>133188</v>
      </c>
    </row>
    <row r="196" spans="2:4" x14ac:dyDescent="0.3">
      <c r="B196" s="98">
        <f>Data_correction!P199</f>
        <v>51775</v>
      </c>
      <c r="C196" s="76">
        <f t="shared" si="6"/>
        <v>2041</v>
      </c>
      <c r="D196" s="99">
        <f>Data_correction!Q199</f>
        <v>134668</v>
      </c>
    </row>
    <row r="197" spans="2:4" x14ac:dyDescent="0.3">
      <c r="B197" s="98">
        <f>Data_correction!P200</f>
        <v>51806</v>
      </c>
      <c r="C197" s="76">
        <f t="shared" si="6"/>
        <v>2041</v>
      </c>
      <c r="D197" s="99">
        <f>Data_correction!Q200</f>
        <v>136124</v>
      </c>
    </row>
    <row r="198" spans="2:4" x14ac:dyDescent="0.3">
      <c r="B198" s="98">
        <f>Data_correction!P201</f>
        <v>51836</v>
      </c>
      <c r="C198" s="76">
        <f t="shared" si="6"/>
        <v>2041</v>
      </c>
      <c r="D198" s="99">
        <f>Data_correction!Q201</f>
        <v>137609</v>
      </c>
    </row>
    <row r="199" spans="2:4" x14ac:dyDescent="0.3">
      <c r="B199" s="98">
        <f>Data_correction!P202</f>
        <v>51867</v>
      </c>
      <c r="C199" s="76">
        <f t="shared" ref="C199:C246" si="7">YEAR(B199)</f>
        <v>2042</v>
      </c>
      <c r="D199" s="99">
        <f>Data_correction!Q202</f>
        <v>131999</v>
      </c>
    </row>
    <row r="200" spans="2:4" x14ac:dyDescent="0.3">
      <c r="B200" s="98">
        <f>Data_correction!P203</f>
        <v>51898</v>
      </c>
      <c r="C200" s="76">
        <f t="shared" si="7"/>
        <v>2042</v>
      </c>
      <c r="D200" s="99">
        <f>Data_correction!Q203</f>
        <v>133433</v>
      </c>
    </row>
    <row r="201" spans="2:4" x14ac:dyDescent="0.3">
      <c r="B201" s="98">
        <f>Data_correction!P204</f>
        <v>51926</v>
      </c>
      <c r="C201" s="76">
        <f t="shared" si="7"/>
        <v>2042</v>
      </c>
      <c r="D201" s="99">
        <f>Data_correction!Q204</f>
        <v>134868</v>
      </c>
    </row>
    <row r="202" spans="2:4" x14ac:dyDescent="0.3">
      <c r="B202" s="98">
        <f>Data_correction!P205</f>
        <v>51957</v>
      </c>
      <c r="C202" s="76">
        <f t="shared" si="7"/>
        <v>2042</v>
      </c>
      <c r="D202" s="99">
        <f>Data_correction!Q205</f>
        <v>136232</v>
      </c>
    </row>
    <row r="203" spans="2:4" x14ac:dyDescent="0.3">
      <c r="B203" s="98">
        <f>Data_correction!P206</f>
        <v>51987</v>
      </c>
      <c r="C203" s="76">
        <f t="shared" si="7"/>
        <v>2042</v>
      </c>
      <c r="D203" s="99">
        <f>Data_correction!Q206</f>
        <v>137661</v>
      </c>
    </row>
    <row r="204" spans="2:4" x14ac:dyDescent="0.3">
      <c r="B204" s="98">
        <f>Data_correction!P207</f>
        <v>52018</v>
      </c>
      <c r="C204" s="76">
        <f t="shared" si="7"/>
        <v>2042</v>
      </c>
      <c r="D204" s="99">
        <f>Data_correction!Q207</f>
        <v>139080</v>
      </c>
    </row>
    <row r="205" spans="2:4" x14ac:dyDescent="0.3">
      <c r="B205" s="98">
        <f>Data_correction!P208</f>
        <v>52048</v>
      </c>
      <c r="C205" s="76">
        <f t="shared" si="7"/>
        <v>2042</v>
      </c>
      <c r="D205" s="99">
        <f>Data_correction!Q208</f>
        <v>140475</v>
      </c>
    </row>
    <row r="206" spans="2:4" x14ac:dyDescent="0.3">
      <c r="B206" s="98">
        <f>Data_correction!P209</f>
        <v>52079</v>
      </c>
      <c r="C206" s="76">
        <f t="shared" si="7"/>
        <v>2042</v>
      </c>
      <c r="D206" s="99">
        <f>Data_correction!Q209</f>
        <v>141889</v>
      </c>
    </row>
    <row r="207" spans="2:4" x14ac:dyDescent="0.3">
      <c r="B207" s="98">
        <f>Data_correction!P210</f>
        <v>52110</v>
      </c>
      <c r="C207" s="76">
        <f t="shared" si="7"/>
        <v>2042</v>
      </c>
      <c r="D207" s="99">
        <f>Data_correction!Q210</f>
        <v>143328</v>
      </c>
    </row>
    <row r="208" spans="2:4" x14ac:dyDescent="0.3">
      <c r="B208" s="98">
        <f>Data_correction!P211</f>
        <v>52140</v>
      </c>
      <c r="C208" s="76">
        <f t="shared" si="7"/>
        <v>2042</v>
      </c>
      <c r="D208" s="99">
        <f>Data_correction!Q211</f>
        <v>144773</v>
      </c>
    </row>
    <row r="209" spans="2:4" x14ac:dyDescent="0.3">
      <c r="B209" s="98">
        <f>Data_correction!P212</f>
        <v>52171</v>
      </c>
      <c r="C209" s="76">
        <f t="shared" si="7"/>
        <v>2042</v>
      </c>
      <c r="D209" s="99">
        <f>Data_correction!Q212</f>
        <v>146202</v>
      </c>
    </row>
    <row r="210" spans="2:4" x14ac:dyDescent="0.3">
      <c r="B210" s="98">
        <f>Data_correction!P213</f>
        <v>52201</v>
      </c>
      <c r="C210" s="76">
        <f t="shared" si="7"/>
        <v>2042</v>
      </c>
      <c r="D210" s="99">
        <f>Data_correction!Q213</f>
        <v>147606</v>
      </c>
    </row>
    <row r="211" spans="2:4" x14ac:dyDescent="0.3">
      <c r="B211" s="98">
        <f>Data_correction!P214</f>
        <v>52232</v>
      </c>
      <c r="C211" s="76">
        <f t="shared" si="7"/>
        <v>2043</v>
      </c>
      <c r="D211" s="99">
        <f>Data_correction!Q214</f>
        <v>143505</v>
      </c>
    </row>
    <row r="212" spans="2:4" x14ac:dyDescent="0.3">
      <c r="B212" s="98">
        <f>Data_correction!P215</f>
        <v>52263</v>
      </c>
      <c r="C212" s="76">
        <f t="shared" si="7"/>
        <v>2043</v>
      </c>
      <c r="D212" s="99">
        <f>Data_correction!Q215</f>
        <v>144862</v>
      </c>
    </row>
    <row r="213" spans="2:4" x14ac:dyDescent="0.3">
      <c r="B213" s="98">
        <f>Data_correction!P216</f>
        <v>52291</v>
      </c>
      <c r="C213" s="76">
        <f t="shared" si="7"/>
        <v>2043</v>
      </c>
      <c r="D213" s="99">
        <f>Data_correction!Q216</f>
        <v>146179</v>
      </c>
    </row>
    <row r="214" spans="2:4" x14ac:dyDescent="0.3">
      <c r="B214" s="98">
        <f>Data_correction!P217</f>
        <v>52322</v>
      </c>
      <c r="C214" s="76">
        <f t="shared" si="7"/>
        <v>2043</v>
      </c>
      <c r="D214" s="99">
        <f>Data_correction!Q217</f>
        <v>147612</v>
      </c>
    </row>
    <row r="215" spans="2:4" x14ac:dyDescent="0.3">
      <c r="B215" s="98">
        <f>Data_correction!P218</f>
        <v>52352</v>
      </c>
      <c r="C215" s="76">
        <f t="shared" si="7"/>
        <v>2043</v>
      </c>
      <c r="D215" s="99">
        <f>Data_correction!Q218</f>
        <v>148949</v>
      </c>
    </row>
    <row r="216" spans="2:4" x14ac:dyDescent="0.3">
      <c r="B216" s="98">
        <f>Data_correction!P219</f>
        <v>52383</v>
      </c>
      <c r="C216" s="76">
        <f t="shared" si="7"/>
        <v>2043</v>
      </c>
      <c r="D216" s="99">
        <f>Data_correction!Q219</f>
        <v>150276</v>
      </c>
    </row>
    <row r="217" spans="2:4" x14ac:dyDescent="0.3">
      <c r="B217" s="98">
        <f>Data_correction!P220</f>
        <v>52413</v>
      </c>
      <c r="C217" s="76">
        <f t="shared" si="7"/>
        <v>2043</v>
      </c>
      <c r="D217" s="99">
        <f>Data_correction!Q220</f>
        <v>151688</v>
      </c>
    </row>
    <row r="218" spans="2:4" x14ac:dyDescent="0.3">
      <c r="B218" s="98">
        <f>Data_correction!P221</f>
        <v>52444</v>
      </c>
      <c r="C218" s="76">
        <f t="shared" si="7"/>
        <v>2043</v>
      </c>
      <c r="D218" s="99">
        <f>Data_correction!Q221</f>
        <v>153035</v>
      </c>
    </row>
    <row r="219" spans="2:4" x14ac:dyDescent="0.3">
      <c r="B219" s="98">
        <f>Data_correction!P222</f>
        <v>52475</v>
      </c>
      <c r="C219" s="76">
        <f t="shared" si="7"/>
        <v>2043</v>
      </c>
      <c r="D219" s="103">
        <f>Data_correction!Q222</f>
        <v>154357</v>
      </c>
    </row>
    <row r="220" spans="2:4" x14ac:dyDescent="0.3">
      <c r="B220" s="98">
        <f>Data_correction!P223</f>
        <v>52505</v>
      </c>
      <c r="C220" s="76">
        <f t="shared" si="7"/>
        <v>2043</v>
      </c>
      <c r="D220" s="99">
        <f>Data_correction!Q223</f>
        <v>155754</v>
      </c>
    </row>
    <row r="221" spans="2:4" x14ac:dyDescent="0.3">
      <c r="B221" s="98">
        <f>Data_correction!P224</f>
        <v>52536</v>
      </c>
      <c r="C221" s="76">
        <f t="shared" si="7"/>
        <v>2043</v>
      </c>
      <c r="D221" s="99">
        <f>Data_correction!Q224</f>
        <v>157086</v>
      </c>
    </row>
    <row r="222" spans="2:4" x14ac:dyDescent="0.3">
      <c r="B222" s="98">
        <f>Data_correction!P225</f>
        <v>52566</v>
      </c>
      <c r="C222" s="76">
        <f t="shared" si="7"/>
        <v>2043</v>
      </c>
      <c r="D222" s="99">
        <f>Data_correction!Q225</f>
        <v>158438</v>
      </c>
    </row>
    <row r="223" spans="2:4" x14ac:dyDescent="0.3">
      <c r="B223" s="98">
        <f>Data_correction!P226</f>
        <v>52597</v>
      </c>
      <c r="C223" s="76">
        <f t="shared" si="7"/>
        <v>2044</v>
      </c>
      <c r="D223" s="99">
        <f>Data_correction!Q226</f>
        <v>155810</v>
      </c>
    </row>
    <row r="224" spans="2:4" x14ac:dyDescent="0.3">
      <c r="B224" s="98">
        <f>Data_correction!P227</f>
        <v>52628</v>
      </c>
      <c r="C224" s="76">
        <f t="shared" si="7"/>
        <v>2044</v>
      </c>
      <c r="D224" s="99">
        <f>Data_correction!Q227</f>
        <v>157093</v>
      </c>
    </row>
    <row r="225" spans="2:4" x14ac:dyDescent="0.3">
      <c r="B225" s="98">
        <f>Data_correction!P228</f>
        <v>52657</v>
      </c>
      <c r="C225" s="76">
        <f t="shared" si="7"/>
        <v>2044</v>
      </c>
      <c r="D225" s="99">
        <f>Data_correction!Q228</f>
        <v>158470</v>
      </c>
    </row>
    <row r="226" spans="2:4" x14ac:dyDescent="0.3">
      <c r="B226" s="98">
        <f>Data_correction!P229</f>
        <v>52688</v>
      </c>
      <c r="C226" s="76">
        <f t="shared" si="7"/>
        <v>2044</v>
      </c>
      <c r="D226" s="99">
        <f>Data_correction!Q229</f>
        <v>159717</v>
      </c>
    </row>
    <row r="227" spans="2:4" x14ac:dyDescent="0.3">
      <c r="B227" s="98">
        <f>Data_correction!P230</f>
        <v>52718</v>
      </c>
      <c r="C227" s="76">
        <f t="shared" si="7"/>
        <v>2044</v>
      </c>
      <c r="D227" s="99">
        <f>Data_correction!Q230</f>
        <v>161090</v>
      </c>
    </row>
    <row r="228" spans="2:4" x14ac:dyDescent="0.3">
      <c r="B228" s="98">
        <f>Data_correction!P231</f>
        <v>52749</v>
      </c>
      <c r="C228" s="76">
        <f t="shared" si="7"/>
        <v>2044</v>
      </c>
      <c r="D228" s="99">
        <f>Data_correction!Q231</f>
        <v>162382</v>
      </c>
    </row>
    <row r="229" spans="2:4" x14ac:dyDescent="0.3">
      <c r="B229" s="98">
        <f>Data_correction!P232</f>
        <v>52779</v>
      </c>
      <c r="C229" s="76">
        <f t="shared" si="7"/>
        <v>2044</v>
      </c>
      <c r="D229" s="99">
        <f>Data_correction!Q232</f>
        <v>163679</v>
      </c>
    </row>
    <row r="230" spans="2:4" x14ac:dyDescent="0.3">
      <c r="B230" s="98">
        <f>Data_correction!P233</f>
        <v>52810</v>
      </c>
      <c r="C230" s="76">
        <f t="shared" si="7"/>
        <v>2044</v>
      </c>
      <c r="D230" s="99">
        <f>Data_correction!Q233</f>
        <v>165087</v>
      </c>
    </row>
    <row r="231" spans="2:4" x14ac:dyDescent="0.3">
      <c r="B231" s="98">
        <f>Data_correction!P234</f>
        <v>52841</v>
      </c>
      <c r="C231" s="76">
        <f t="shared" si="7"/>
        <v>2044</v>
      </c>
      <c r="D231" s="99">
        <f>Data_correction!Q234</f>
        <v>166394</v>
      </c>
    </row>
    <row r="232" spans="2:4" x14ac:dyDescent="0.3">
      <c r="B232" s="98">
        <f>Data_correction!P235</f>
        <v>52871</v>
      </c>
      <c r="C232" s="76">
        <f t="shared" si="7"/>
        <v>2044</v>
      </c>
      <c r="D232" s="99">
        <f>Data_correction!Q235</f>
        <v>167661</v>
      </c>
    </row>
    <row r="233" spans="2:4" x14ac:dyDescent="0.3">
      <c r="B233" s="98">
        <f>Data_correction!P236</f>
        <v>52902</v>
      </c>
      <c r="C233" s="76">
        <f t="shared" si="7"/>
        <v>2044</v>
      </c>
      <c r="D233" s="99">
        <f>Data_correction!Q236</f>
        <v>169079</v>
      </c>
    </row>
    <row r="234" spans="2:4" x14ac:dyDescent="0.3">
      <c r="B234" s="98">
        <f>Data_correction!P237</f>
        <v>52932</v>
      </c>
      <c r="C234" s="76">
        <f t="shared" si="7"/>
        <v>2044</v>
      </c>
      <c r="D234" s="99">
        <f>Data_correction!Q237</f>
        <v>170356</v>
      </c>
    </row>
    <row r="235" spans="2:4" x14ac:dyDescent="0.3">
      <c r="B235" s="98">
        <f>Data_correction!P238</f>
        <v>52963</v>
      </c>
      <c r="C235" s="76">
        <f t="shared" si="7"/>
        <v>2045</v>
      </c>
      <c r="D235" s="99">
        <f>Data_correction!Q238</f>
        <v>168933</v>
      </c>
    </row>
    <row r="236" spans="2:4" x14ac:dyDescent="0.3">
      <c r="B236" s="98">
        <f>Data_correction!P239</f>
        <v>52994</v>
      </c>
      <c r="C236" s="76">
        <f t="shared" si="7"/>
        <v>2045</v>
      </c>
      <c r="D236" s="99">
        <f>Data_correction!Q239</f>
        <v>170244</v>
      </c>
    </row>
    <row r="237" spans="2:4" x14ac:dyDescent="0.3">
      <c r="B237" s="98">
        <f>Data_correction!P240</f>
        <v>53022</v>
      </c>
      <c r="C237" s="76">
        <f t="shared" si="7"/>
        <v>2045</v>
      </c>
      <c r="D237" s="99">
        <f>Data_correction!Q240</f>
        <v>171585</v>
      </c>
    </row>
    <row r="238" spans="2:4" x14ac:dyDescent="0.3">
      <c r="B238" s="98">
        <f>Data_correction!P241</f>
        <v>53053</v>
      </c>
      <c r="C238" s="76">
        <f t="shared" si="7"/>
        <v>2045</v>
      </c>
      <c r="D238" s="99">
        <f>Data_correction!Q241</f>
        <v>172871</v>
      </c>
    </row>
    <row r="239" spans="2:4" x14ac:dyDescent="0.3">
      <c r="B239" s="98">
        <f>Data_correction!P242</f>
        <v>53083</v>
      </c>
      <c r="C239" s="76">
        <f t="shared" si="7"/>
        <v>2045</v>
      </c>
      <c r="D239" s="99">
        <f>Data_correction!Q242</f>
        <v>174112</v>
      </c>
    </row>
    <row r="240" spans="2:4" x14ac:dyDescent="0.3">
      <c r="B240" s="98">
        <f>Data_correction!P243</f>
        <v>53114</v>
      </c>
      <c r="C240" s="76">
        <f t="shared" si="7"/>
        <v>2045</v>
      </c>
      <c r="D240" s="99">
        <f>Data_correction!Q243</f>
        <v>175468</v>
      </c>
    </row>
    <row r="241" spans="2:4" x14ac:dyDescent="0.3">
      <c r="B241" s="98">
        <f>Data_correction!P244</f>
        <v>53144</v>
      </c>
      <c r="C241" s="76">
        <f t="shared" si="7"/>
        <v>2045</v>
      </c>
      <c r="D241" s="99">
        <f>Data_correction!Q244</f>
        <v>176789</v>
      </c>
    </row>
    <row r="242" spans="2:4" x14ac:dyDescent="0.3">
      <c r="B242" s="98">
        <f>Data_correction!P245</f>
        <v>53175</v>
      </c>
      <c r="C242" s="76">
        <f t="shared" si="7"/>
        <v>2045</v>
      </c>
      <c r="D242" s="99">
        <f>Data_correction!Q245</f>
        <v>178075</v>
      </c>
    </row>
    <row r="243" spans="2:4" x14ac:dyDescent="0.3">
      <c r="B243" s="98">
        <f>Data_correction!P246</f>
        <v>53206</v>
      </c>
      <c r="C243" s="76">
        <f t="shared" si="7"/>
        <v>2045</v>
      </c>
      <c r="D243" s="99">
        <f>Data_correction!Q246</f>
        <v>179336</v>
      </c>
    </row>
    <row r="244" spans="2:4" x14ac:dyDescent="0.3">
      <c r="B244" s="98">
        <f>Data_correction!P247</f>
        <v>53236</v>
      </c>
      <c r="C244" s="76">
        <f t="shared" si="7"/>
        <v>2045</v>
      </c>
      <c r="D244" s="99">
        <f>Data_correction!Q247</f>
        <v>180692</v>
      </c>
    </row>
    <row r="245" spans="2:4" x14ac:dyDescent="0.3">
      <c r="B245" s="98">
        <f>Data_correction!P248</f>
        <v>53267</v>
      </c>
      <c r="C245" s="76">
        <f t="shared" si="7"/>
        <v>2045</v>
      </c>
      <c r="D245" s="99">
        <f>Data_correction!Q248</f>
        <v>181968</v>
      </c>
    </row>
    <row r="246" spans="2:4" x14ac:dyDescent="0.3">
      <c r="B246" s="98">
        <f>Data_correction!P249</f>
        <v>53297</v>
      </c>
      <c r="C246" s="62">
        <f t="shared" si="7"/>
        <v>2045</v>
      </c>
      <c r="D246" s="106">
        <f>Data_correction!Q249</f>
        <v>183254</v>
      </c>
    </row>
  </sheetData>
  <printOptions gridLinesSet="0"/>
  <pageMargins left="0.7" right="0.7" top="0.75" bottom="0.75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A26"/>
  <sheetViews>
    <sheetView showGridLines="0" workbookViewId="0">
      <selection activeCell="G5" sqref="G5"/>
    </sheetView>
  </sheetViews>
  <sheetFormatPr defaultRowHeight="14.4" x14ac:dyDescent="0.3"/>
  <cols>
    <col min="1" max="1" width="2.6640625" customWidth="1"/>
    <col min="2" max="2" width="11.5546875" customWidth="1"/>
    <col min="3" max="3" width="22.6640625" customWidth="1"/>
    <col min="4" max="4" width="12.21875" customWidth="1"/>
    <col min="5" max="5" width="24" customWidth="1"/>
    <col min="6" max="6" width="10.5546875" customWidth="1"/>
    <col min="7" max="8" width="12.5546875" customWidth="1"/>
    <col min="9" max="9" width="16.6640625" customWidth="1"/>
    <col min="10" max="10" width="12.5546875" customWidth="1"/>
    <col min="11" max="11" width="24.77734375" customWidth="1"/>
    <col min="12" max="12" width="6.109375" customWidth="1"/>
    <col min="13" max="13" width="13.21875" customWidth="1"/>
    <col min="14" max="14" width="12.5546875" customWidth="1"/>
    <col min="15" max="15" width="16.33203125" customWidth="1"/>
    <col min="16" max="16" width="12.5546875" customWidth="1"/>
    <col min="17" max="17" width="25.77734375" bestFit="1" customWidth="1"/>
    <col min="18" max="18" width="9.33203125" customWidth="1"/>
    <col min="19" max="19" width="37.109375" customWidth="1"/>
    <col min="20" max="20" width="25.6640625" customWidth="1"/>
    <col min="21" max="21" width="21.6640625" customWidth="1"/>
    <col min="22" max="22" width="23.6640625" customWidth="1"/>
    <col min="28" max="28" width="26.109375" customWidth="1"/>
  </cols>
  <sheetData>
    <row r="1" spans="2:27" s="107" customFormat="1" ht="16.8" customHeight="1" x14ac:dyDescent="0.3">
      <c r="D1" s="108" t="s">
        <v>194</v>
      </c>
      <c r="G1" s="108" t="s">
        <v>195</v>
      </c>
      <c r="M1" s="108" t="s">
        <v>143</v>
      </c>
      <c r="P1" s="109"/>
      <c r="AA1" s="110"/>
    </row>
    <row r="2" spans="2:27" x14ac:dyDescent="0.3">
      <c r="B2" t="s">
        <v>138</v>
      </c>
      <c r="C2" s="9">
        <f>SUM(C7:C26)</f>
        <v>20391259.5</v>
      </c>
      <c r="D2" s="9">
        <f>SUM(D7:D26)</f>
        <v>3611231.8300000005</v>
      </c>
      <c r="E2" s="9">
        <f>SUM(E7:E26)</f>
        <v>16780027.669999998</v>
      </c>
      <c r="G2" s="9">
        <f t="shared" ref="G2:K2" si="0">SUM(G7:G26)</f>
        <v>158323018.29893348</v>
      </c>
      <c r="H2" s="9">
        <f t="shared" si="0"/>
        <v>16780027.669999998</v>
      </c>
      <c r="I2" s="9">
        <f t="shared" si="0"/>
        <v>175103045.96893346</v>
      </c>
      <c r="J2" s="9">
        <f t="shared" si="0"/>
        <v>7004121.838757338</v>
      </c>
      <c r="K2" s="9">
        <f t="shared" si="0"/>
        <v>168098924.13017613</v>
      </c>
      <c r="M2" s="9">
        <f t="shared" ref="M2:Q2" si="1">SUM(M7:M26)</f>
        <v>16863910.755120631</v>
      </c>
      <c r="N2" s="9">
        <f t="shared" si="1"/>
        <v>3611231.8300000005</v>
      </c>
      <c r="O2" s="9">
        <f t="shared" si="1"/>
        <v>20475142.585120633</v>
      </c>
      <c r="P2" s="9">
        <f t="shared" si="1"/>
        <v>385874.5510536189</v>
      </c>
      <c r="Q2" s="9">
        <f t="shared" si="1"/>
        <v>20089268.034067012</v>
      </c>
      <c r="AA2" s="112"/>
    </row>
    <row r="3" spans="2:27" s="111" customFormat="1" ht="16.95" customHeight="1" x14ac:dyDescent="0.3">
      <c r="C3" s="113" t="s">
        <v>144</v>
      </c>
      <c r="D3" s="114"/>
      <c r="E3" s="115" t="s">
        <v>202</v>
      </c>
      <c r="G3" s="206"/>
      <c r="K3" s="207" t="s">
        <v>188</v>
      </c>
      <c r="M3" s="21"/>
      <c r="P3" s="115"/>
      <c r="Q3" s="207" t="s">
        <v>188</v>
      </c>
      <c r="AA3" s="116"/>
    </row>
    <row r="4" spans="2:27" s="21" customFormat="1" x14ac:dyDescent="0.3">
      <c r="B4" s="86"/>
      <c r="C4" s="117" t="b">
        <f>C2='Conversion to annual sales'!J3</f>
        <v>1</v>
      </c>
      <c r="D4" s="35"/>
      <c r="E4" s="117" t="b">
        <f>(E2+D2)=C2</f>
        <v>1</v>
      </c>
      <c r="I4" s="118" t="s">
        <v>145</v>
      </c>
      <c r="J4" s="118" t="s">
        <v>145</v>
      </c>
      <c r="K4" s="117" t="b">
        <f>(G2+H2-J2)=K2</f>
        <v>1</v>
      </c>
      <c r="O4" s="21" t="s">
        <v>145</v>
      </c>
      <c r="P4" s="21" t="s">
        <v>145</v>
      </c>
      <c r="Q4" s="117" t="b">
        <f>(M2+N2-P2)=Q2</f>
        <v>1</v>
      </c>
      <c r="Z4" s="119"/>
    </row>
    <row r="5" spans="2:27" s="120" customFormat="1" ht="31.8" customHeight="1" x14ac:dyDescent="0.3">
      <c r="B5" s="121" t="s">
        <v>2</v>
      </c>
      <c r="C5" s="122" t="s">
        <v>196</v>
      </c>
      <c r="D5" s="123" t="s">
        <v>146</v>
      </c>
      <c r="E5" s="124" t="s">
        <v>197</v>
      </c>
      <c r="F5" s="125"/>
      <c r="G5" s="126" t="s">
        <v>147</v>
      </c>
      <c r="H5" s="127" t="s">
        <v>148</v>
      </c>
      <c r="I5" s="127" t="s">
        <v>149</v>
      </c>
      <c r="J5" s="127" t="s">
        <v>150</v>
      </c>
      <c r="K5" s="124" t="s">
        <v>151</v>
      </c>
      <c r="L5" s="128"/>
      <c r="M5" s="126" t="s">
        <v>152</v>
      </c>
      <c r="N5" s="127" t="s">
        <v>146</v>
      </c>
      <c r="O5" s="127" t="s">
        <v>153</v>
      </c>
      <c r="P5" s="127" t="s">
        <v>154</v>
      </c>
      <c r="Q5" s="124" t="s">
        <v>155</v>
      </c>
      <c r="R5" s="128"/>
      <c r="U5" s="128"/>
      <c r="V5" s="128"/>
    </row>
    <row r="6" spans="2:27" s="120" customFormat="1" x14ac:dyDescent="0.3">
      <c r="B6" s="129">
        <f>VAL_DATE</f>
        <v>46023</v>
      </c>
      <c r="C6" s="128"/>
      <c r="D6" s="128"/>
      <c r="E6" s="130"/>
      <c r="F6" s="128"/>
      <c r="G6" s="131"/>
      <c r="H6" s="128"/>
      <c r="I6" s="128"/>
      <c r="J6" s="128"/>
      <c r="K6" s="130"/>
      <c r="L6" s="128"/>
      <c r="M6" s="132"/>
      <c r="N6" s="128"/>
      <c r="O6" s="128"/>
      <c r="P6" s="128"/>
      <c r="Q6" s="130"/>
      <c r="R6" s="128"/>
      <c r="U6" s="128"/>
      <c r="V6" s="128"/>
    </row>
    <row r="7" spans="2:27" x14ac:dyDescent="0.3">
      <c r="B7" s="133">
        <f>YEAR(B6)</f>
        <v>2026</v>
      </c>
      <c r="C7" s="36">
        <f>'Conversion to annual sales'!J7</f>
        <v>274725</v>
      </c>
      <c r="D7" s="36">
        <f>C7*VLOOKUP(B7,Parameters!$B$14:$C$33,2,0)</f>
        <v>13736.25</v>
      </c>
      <c r="E7" s="88">
        <f t="shared" ref="E7:E26" si="2">C7-D7</f>
        <v>260988.75</v>
      </c>
      <c r="F7" s="44"/>
      <c r="G7" s="134">
        <f>Parameters!C10</f>
        <v>5000000</v>
      </c>
      <c r="H7" s="135">
        <f t="shared" ref="H7:H26" si="3">E7</f>
        <v>260988.75</v>
      </c>
      <c r="I7" s="135">
        <f t="shared" ref="I7:I26" si="4">G7+H7</f>
        <v>5260988.75</v>
      </c>
      <c r="J7" s="135">
        <f>I7*Parameters!$C$11</f>
        <v>210439.55000000002</v>
      </c>
      <c r="K7" s="136">
        <f t="shared" ref="K7:K26" si="5">I7-J7</f>
        <v>5050549.2</v>
      </c>
      <c r="L7" s="135"/>
      <c r="M7" s="134">
        <v>0</v>
      </c>
      <c r="N7" s="135">
        <f t="shared" ref="N7:N26" si="6">D7</f>
        <v>13736.25</v>
      </c>
      <c r="O7" s="135">
        <f t="shared" ref="O7:O26" si="7">M7+N7</f>
        <v>13736.25</v>
      </c>
      <c r="P7" s="137">
        <f>O7*VLOOKUP($B7,Parameters!$A$45:$C$46,3,TRUE)</f>
        <v>0</v>
      </c>
      <c r="Q7" s="136">
        <f t="shared" ref="Q7:Q26" si="8">O7-P7</f>
        <v>13736.25</v>
      </c>
      <c r="R7" s="135"/>
      <c r="X7" s="9"/>
      <c r="Y7" s="36"/>
      <c r="Z7" s="36"/>
      <c r="AA7" s="9"/>
    </row>
    <row r="8" spans="2:27" x14ac:dyDescent="0.3">
      <c r="B8" s="138">
        <f t="shared" ref="B8:B26" si="9">B7+1</f>
        <v>2027</v>
      </c>
      <c r="C8" s="36">
        <f>'Conversion to annual sales'!J8</f>
        <v>309931</v>
      </c>
      <c r="D8" s="36">
        <f>C8*VLOOKUP(B8,Parameters!$B$14:$C$33,2,0)</f>
        <v>18595.86</v>
      </c>
      <c r="E8" s="88">
        <f t="shared" si="2"/>
        <v>291335.14</v>
      </c>
      <c r="F8" s="44"/>
      <c r="G8" s="139">
        <f t="shared" ref="G8:G26" si="10">K7</f>
        <v>5050549.2</v>
      </c>
      <c r="H8" s="135">
        <f t="shared" si="3"/>
        <v>291335.14</v>
      </c>
      <c r="I8" s="135">
        <f t="shared" si="4"/>
        <v>5341884.34</v>
      </c>
      <c r="J8" s="135">
        <f>I8*Parameters!$C$11</f>
        <v>213675.37359999999</v>
      </c>
      <c r="K8" s="136">
        <f t="shared" si="5"/>
        <v>5128208.9664000003</v>
      </c>
      <c r="L8" s="135"/>
      <c r="M8" s="140">
        <f t="shared" ref="M8:M26" si="11">Q7</f>
        <v>13736.25</v>
      </c>
      <c r="N8" s="141">
        <f t="shared" si="6"/>
        <v>18595.86</v>
      </c>
      <c r="O8" s="141">
        <f t="shared" si="7"/>
        <v>32332.11</v>
      </c>
      <c r="P8" s="137">
        <f>O8*VLOOKUP($B8,Parameters!$A$45:$C$46,3,TRUE)</f>
        <v>0</v>
      </c>
      <c r="Q8" s="142">
        <f t="shared" si="8"/>
        <v>32332.11</v>
      </c>
      <c r="R8" s="44"/>
      <c r="X8" s="9"/>
      <c r="Y8" s="36"/>
      <c r="Z8" s="36"/>
      <c r="AA8" s="9"/>
    </row>
    <row r="9" spans="2:27" x14ac:dyDescent="0.3">
      <c r="B9" s="138">
        <f t="shared" si="9"/>
        <v>2028</v>
      </c>
      <c r="C9" s="36">
        <f>'Conversion to annual sales'!J9</f>
        <v>350576</v>
      </c>
      <c r="D9" s="36">
        <f>C9*VLOOKUP(B9,Parameters!$B$14:$C$33,2,0)</f>
        <v>24540.320000000003</v>
      </c>
      <c r="E9" s="88">
        <f t="shared" si="2"/>
        <v>326035.68</v>
      </c>
      <c r="F9" s="44"/>
      <c r="G9" s="139">
        <f t="shared" si="10"/>
        <v>5128208.9664000003</v>
      </c>
      <c r="H9" s="135">
        <f t="shared" si="3"/>
        <v>326035.68</v>
      </c>
      <c r="I9" s="135">
        <f t="shared" si="4"/>
        <v>5454244.6464</v>
      </c>
      <c r="J9" s="135">
        <f>I9*Parameters!$C$11</f>
        <v>218169.785856</v>
      </c>
      <c r="K9" s="136">
        <f t="shared" si="5"/>
        <v>5236074.8605439998</v>
      </c>
      <c r="L9" s="135"/>
      <c r="M9" s="143">
        <f t="shared" si="11"/>
        <v>32332.11</v>
      </c>
      <c r="N9" s="36">
        <f t="shared" si="6"/>
        <v>24540.320000000003</v>
      </c>
      <c r="O9" s="36">
        <f t="shared" si="7"/>
        <v>56872.430000000008</v>
      </c>
      <c r="P9" s="137">
        <f>O9*VLOOKUP($B9,Parameters!$A$45:$C$46,3,TRUE)</f>
        <v>0</v>
      </c>
      <c r="Q9" s="88">
        <f t="shared" si="8"/>
        <v>56872.430000000008</v>
      </c>
      <c r="R9" s="44"/>
      <c r="X9" s="9"/>
      <c r="Y9" s="36"/>
      <c r="Z9" s="36"/>
      <c r="AA9" s="9"/>
    </row>
    <row r="10" spans="2:27" x14ac:dyDescent="0.3">
      <c r="B10" s="138">
        <f t="shared" si="9"/>
        <v>2029</v>
      </c>
      <c r="C10" s="36">
        <f>'Conversion to annual sales'!J10</f>
        <v>396349</v>
      </c>
      <c r="D10" s="36">
        <f>C10*VLOOKUP(B10,Parameters!$B$14:$C$33,2,0)</f>
        <v>31707.920000000002</v>
      </c>
      <c r="E10" s="88">
        <f t="shared" si="2"/>
        <v>364641.08</v>
      </c>
      <c r="F10" s="44"/>
      <c r="G10" s="139">
        <f t="shared" si="10"/>
        <v>5236074.8605439998</v>
      </c>
      <c r="H10" s="135">
        <f t="shared" si="3"/>
        <v>364641.08</v>
      </c>
      <c r="I10" s="135">
        <f t="shared" si="4"/>
        <v>5600715.9405439999</v>
      </c>
      <c r="J10" s="135">
        <f>I10*Parameters!$C$11</f>
        <v>224028.63762175999</v>
      </c>
      <c r="K10" s="136">
        <f t="shared" si="5"/>
        <v>5376687.3029222395</v>
      </c>
      <c r="L10" s="135"/>
      <c r="M10" s="143">
        <f t="shared" si="11"/>
        <v>56872.430000000008</v>
      </c>
      <c r="N10" s="36">
        <f t="shared" si="6"/>
        <v>31707.920000000002</v>
      </c>
      <c r="O10" s="36">
        <f t="shared" si="7"/>
        <v>88580.35</v>
      </c>
      <c r="P10" s="137">
        <f>O10*VLOOKUP($B10,Parameters!$A$45:$C$46,3,TRUE)</f>
        <v>0</v>
      </c>
      <c r="Q10" s="88">
        <f t="shared" si="8"/>
        <v>88580.35</v>
      </c>
      <c r="R10" s="44"/>
      <c r="X10" s="9"/>
      <c r="Y10" s="36"/>
      <c r="Z10" s="36"/>
      <c r="AA10" s="9"/>
    </row>
    <row r="11" spans="2:27" x14ac:dyDescent="0.3">
      <c r="B11" s="138">
        <f t="shared" si="9"/>
        <v>2030</v>
      </c>
      <c r="C11" s="36">
        <f>'Conversion to annual sales'!J11</f>
        <v>451802</v>
      </c>
      <c r="D11" s="36">
        <f>C11*VLOOKUP(B11,Parameters!$B$14:$C$33,2,0)</f>
        <v>40662.18</v>
      </c>
      <c r="E11" s="88">
        <f t="shared" si="2"/>
        <v>411139.82</v>
      </c>
      <c r="F11" s="44"/>
      <c r="G11" s="139">
        <f t="shared" si="10"/>
        <v>5376687.3029222395</v>
      </c>
      <c r="H11" s="135">
        <f t="shared" si="3"/>
        <v>411139.82</v>
      </c>
      <c r="I11" s="135">
        <f t="shared" si="4"/>
        <v>5787827.1229222398</v>
      </c>
      <c r="J11" s="135">
        <f>I11*Parameters!$C$11</f>
        <v>231513.08491688961</v>
      </c>
      <c r="K11" s="136">
        <f t="shared" si="5"/>
        <v>5556314.0380053502</v>
      </c>
      <c r="L11" s="135"/>
      <c r="M11" s="143">
        <f t="shared" si="11"/>
        <v>88580.35</v>
      </c>
      <c r="N11" s="36">
        <f t="shared" si="6"/>
        <v>40662.18</v>
      </c>
      <c r="O11" s="36">
        <f t="shared" si="7"/>
        <v>129242.53</v>
      </c>
      <c r="P11" s="137">
        <f>O11*VLOOKUP($B11,Parameters!$A$45:$C$46,3,TRUE)</f>
        <v>0</v>
      </c>
      <c r="Q11" s="88">
        <f t="shared" si="8"/>
        <v>129242.53</v>
      </c>
      <c r="R11" s="44"/>
      <c r="X11" s="9"/>
      <c r="Y11" s="36"/>
      <c r="Z11" s="36"/>
      <c r="AA11" s="9"/>
    </row>
    <row r="12" spans="2:27" x14ac:dyDescent="0.3">
      <c r="B12" s="138">
        <f t="shared" si="9"/>
        <v>2031</v>
      </c>
      <c r="C12" s="36">
        <f>'Conversion to annual sales'!J12</f>
        <v>514867</v>
      </c>
      <c r="D12" s="36">
        <f>C12*VLOOKUP(B12,Parameters!$B$14:$C$33,2,0)</f>
        <v>51486.7</v>
      </c>
      <c r="E12" s="88">
        <f t="shared" si="2"/>
        <v>463380.3</v>
      </c>
      <c r="F12" s="44"/>
      <c r="G12" s="139">
        <f t="shared" si="10"/>
        <v>5556314.0380053502</v>
      </c>
      <c r="H12" s="135">
        <f t="shared" si="3"/>
        <v>463380.3</v>
      </c>
      <c r="I12" s="135">
        <f t="shared" si="4"/>
        <v>6019694.33800535</v>
      </c>
      <c r="J12" s="135">
        <f>I12*Parameters!$C$11</f>
        <v>240787.77352021402</v>
      </c>
      <c r="K12" s="136">
        <f t="shared" si="5"/>
        <v>5778906.5644851364</v>
      </c>
      <c r="L12" s="135"/>
      <c r="M12" s="143">
        <f t="shared" si="11"/>
        <v>129242.53</v>
      </c>
      <c r="N12" s="36">
        <f t="shared" si="6"/>
        <v>51486.7</v>
      </c>
      <c r="O12" s="36">
        <f t="shared" si="7"/>
        <v>180729.22999999998</v>
      </c>
      <c r="P12" s="137">
        <f>O12*VLOOKUP($B12,Parameters!$A$45:$C$46,3,TRUE)</f>
        <v>0</v>
      </c>
      <c r="Q12" s="88">
        <f t="shared" si="8"/>
        <v>180729.22999999998</v>
      </c>
      <c r="R12" s="44"/>
      <c r="X12" s="9"/>
      <c r="Y12" s="36"/>
      <c r="Z12" s="36"/>
      <c r="AA12" s="9"/>
    </row>
    <row r="13" spans="2:27" x14ac:dyDescent="0.3">
      <c r="B13" s="138">
        <f t="shared" si="9"/>
        <v>2032</v>
      </c>
      <c r="C13" s="36">
        <f>'Conversion to annual sales'!J13</f>
        <v>587114</v>
      </c>
      <c r="D13" s="36">
        <f>C13*VLOOKUP(B13,Parameters!$B$14:$C$33,2,0)</f>
        <v>64582.539999999994</v>
      </c>
      <c r="E13" s="88">
        <f t="shared" si="2"/>
        <v>522531.46</v>
      </c>
      <c r="F13" s="44"/>
      <c r="G13" s="139">
        <f t="shared" si="10"/>
        <v>5778906.5644851364</v>
      </c>
      <c r="H13" s="135">
        <f t="shared" si="3"/>
        <v>522531.46</v>
      </c>
      <c r="I13" s="135">
        <f t="shared" si="4"/>
        <v>6301438.0244851364</v>
      </c>
      <c r="J13" s="135">
        <f>I13*Parameters!$C$11</f>
        <v>252057.52097940547</v>
      </c>
      <c r="K13" s="136">
        <f t="shared" si="5"/>
        <v>6049380.503505731</v>
      </c>
      <c r="L13" s="44"/>
      <c r="M13" s="143">
        <f t="shared" si="11"/>
        <v>180729.22999999998</v>
      </c>
      <c r="N13" s="36">
        <f t="shared" si="6"/>
        <v>64582.539999999994</v>
      </c>
      <c r="O13" s="36">
        <f t="shared" si="7"/>
        <v>245311.76999999996</v>
      </c>
      <c r="P13" s="137">
        <f>O13*VLOOKUP($B13,Parameters!$A$45:$C$46,3,TRUE)</f>
        <v>0</v>
      </c>
      <c r="Q13" s="88">
        <f t="shared" si="8"/>
        <v>245311.76999999996</v>
      </c>
      <c r="R13" s="44"/>
      <c r="X13" s="9"/>
      <c r="Y13" s="36"/>
      <c r="Z13" s="36"/>
      <c r="AA13" s="9"/>
    </row>
    <row r="14" spans="2:27" x14ac:dyDescent="0.3">
      <c r="B14" s="138">
        <f t="shared" si="9"/>
        <v>2033</v>
      </c>
      <c r="C14" s="36">
        <f>'Conversion to annual sales'!J14</f>
        <v>674998</v>
      </c>
      <c r="D14" s="36">
        <f>C14*VLOOKUP(B14,Parameters!$B$14:$C$33,2,0)</f>
        <v>80999.759999999995</v>
      </c>
      <c r="E14" s="88">
        <f t="shared" si="2"/>
        <v>593998.24</v>
      </c>
      <c r="F14" s="44"/>
      <c r="G14" s="139">
        <f t="shared" si="10"/>
        <v>6049380.503505731</v>
      </c>
      <c r="H14" s="135">
        <f t="shared" si="3"/>
        <v>593998.24</v>
      </c>
      <c r="I14" s="135">
        <f t="shared" si="4"/>
        <v>6643378.7435057312</v>
      </c>
      <c r="J14" s="135">
        <f>I14*Parameters!$C$11</f>
        <v>265735.14974022924</v>
      </c>
      <c r="K14" s="136">
        <f t="shared" si="5"/>
        <v>6377643.5937655019</v>
      </c>
      <c r="L14" s="44"/>
      <c r="M14" s="143">
        <f t="shared" si="11"/>
        <v>245311.76999999996</v>
      </c>
      <c r="N14" s="36">
        <f t="shared" si="6"/>
        <v>80999.759999999995</v>
      </c>
      <c r="O14" s="36">
        <f t="shared" si="7"/>
        <v>326311.52999999997</v>
      </c>
      <c r="P14" s="137">
        <f>O14*VLOOKUP($B14,Parameters!$A$45:$C$46,3,TRUE)</f>
        <v>0</v>
      </c>
      <c r="Q14" s="88">
        <f t="shared" si="8"/>
        <v>326311.52999999997</v>
      </c>
      <c r="R14" s="44"/>
      <c r="X14" s="9"/>
      <c r="Y14" s="36"/>
      <c r="Z14" s="36"/>
      <c r="AA14" s="9"/>
    </row>
    <row r="15" spans="2:27" x14ac:dyDescent="0.3">
      <c r="B15" s="138">
        <f t="shared" si="9"/>
        <v>2034</v>
      </c>
      <c r="C15" s="36">
        <f>'Conversion to annual sales'!J15</f>
        <v>776597</v>
      </c>
      <c r="D15" s="36">
        <f>C15*VLOOKUP(B15,Parameters!$B$14:$C$33,2,0)</f>
        <v>100957.60999999999</v>
      </c>
      <c r="E15" s="88">
        <f t="shared" si="2"/>
        <v>675639.39</v>
      </c>
      <c r="F15" s="44"/>
      <c r="G15" s="139">
        <f t="shared" si="10"/>
        <v>6377643.5937655019</v>
      </c>
      <c r="H15" s="135">
        <f t="shared" si="3"/>
        <v>675639.39</v>
      </c>
      <c r="I15" s="135">
        <f t="shared" si="4"/>
        <v>7053282.9837655015</v>
      </c>
      <c r="J15" s="135">
        <f>I15*Parameters!$C$11</f>
        <v>282131.31935062009</v>
      </c>
      <c r="K15" s="136">
        <f t="shared" si="5"/>
        <v>6771151.6644148817</v>
      </c>
      <c r="L15" s="44"/>
      <c r="M15" s="143">
        <f t="shared" si="11"/>
        <v>326311.52999999997</v>
      </c>
      <c r="N15" s="36">
        <f t="shared" si="6"/>
        <v>100957.60999999999</v>
      </c>
      <c r="O15" s="36">
        <f t="shared" si="7"/>
        <v>427269.13999999996</v>
      </c>
      <c r="P15" s="137">
        <f>O15*VLOOKUP($B15,Parameters!$A$45:$C$46,3,TRUE)</f>
        <v>0</v>
      </c>
      <c r="Q15" s="88">
        <f t="shared" si="8"/>
        <v>427269.13999999996</v>
      </c>
      <c r="R15" s="44"/>
      <c r="X15" s="9"/>
      <c r="Y15" s="36"/>
      <c r="Z15" s="36"/>
      <c r="AA15" s="9"/>
    </row>
    <row r="16" spans="2:27" x14ac:dyDescent="0.3">
      <c r="B16" s="138">
        <f t="shared" si="9"/>
        <v>2035</v>
      </c>
      <c r="C16" s="36">
        <f>'Conversion to annual sales'!J16</f>
        <v>877331</v>
      </c>
      <c r="D16" s="36">
        <f>C16*VLOOKUP(B16,Parameters!$B$14:$C$33,2,0)</f>
        <v>122826.33999999998</v>
      </c>
      <c r="E16" s="88">
        <f t="shared" si="2"/>
        <v>754504.66</v>
      </c>
      <c r="F16" s="44"/>
      <c r="G16" s="139">
        <f t="shared" si="10"/>
        <v>6771151.6644148817</v>
      </c>
      <c r="H16" s="135">
        <f t="shared" si="3"/>
        <v>754504.66</v>
      </c>
      <c r="I16" s="135">
        <f t="shared" si="4"/>
        <v>7525656.3244148819</v>
      </c>
      <c r="J16" s="135">
        <f>I16*Parameters!$C$11</f>
        <v>301026.25297659531</v>
      </c>
      <c r="K16" s="136">
        <f t="shared" si="5"/>
        <v>7224630.0714382865</v>
      </c>
      <c r="L16" s="44"/>
      <c r="M16" s="143">
        <f t="shared" si="11"/>
        <v>427269.13999999996</v>
      </c>
      <c r="N16" s="36">
        <f t="shared" si="6"/>
        <v>122826.33999999998</v>
      </c>
      <c r="O16" s="36">
        <f t="shared" si="7"/>
        <v>550095.48</v>
      </c>
      <c r="P16" s="137">
        <f>O16*VLOOKUP($B16,Parameters!$A$45:$C$46,3,TRUE)</f>
        <v>0</v>
      </c>
      <c r="Q16" s="88">
        <f t="shared" si="8"/>
        <v>550095.48</v>
      </c>
      <c r="R16" s="44"/>
      <c r="X16" s="9"/>
      <c r="Y16" s="36"/>
      <c r="Z16" s="36"/>
      <c r="AA16" s="9"/>
    </row>
    <row r="17" spans="2:27" x14ac:dyDescent="0.3">
      <c r="B17" s="138">
        <f t="shared" si="9"/>
        <v>2036</v>
      </c>
      <c r="C17" s="36">
        <f>'Conversion to annual sales'!J17</f>
        <v>982627</v>
      </c>
      <c r="D17" s="36">
        <f>C17*VLOOKUP(B17,Parameters!$B$14:$C$33,2,0)</f>
        <v>147394.04999999999</v>
      </c>
      <c r="E17" s="88">
        <f t="shared" si="2"/>
        <v>835232.95</v>
      </c>
      <c r="F17" s="44"/>
      <c r="G17" s="139">
        <f t="shared" si="10"/>
        <v>7224630.0714382865</v>
      </c>
      <c r="H17" s="135">
        <f t="shared" si="3"/>
        <v>835232.95</v>
      </c>
      <c r="I17" s="135">
        <f t="shared" si="4"/>
        <v>8059863.0214382866</v>
      </c>
      <c r="J17" s="135">
        <f>I17*Parameters!$C$11</f>
        <v>322394.52085753146</v>
      </c>
      <c r="K17" s="136">
        <f t="shared" si="5"/>
        <v>7737468.5005807551</v>
      </c>
      <c r="L17" s="44"/>
      <c r="M17" s="143">
        <f t="shared" si="11"/>
        <v>550095.48</v>
      </c>
      <c r="N17" s="36">
        <f t="shared" si="6"/>
        <v>147394.04999999999</v>
      </c>
      <c r="O17" s="36">
        <f t="shared" si="7"/>
        <v>697489.53</v>
      </c>
      <c r="P17" s="137">
        <f>O17*VLOOKUP($B17,Parameters!$A$45:$C$46,3,TRUE)</f>
        <v>0</v>
      </c>
      <c r="Q17" s="88">
        <f t="shared" si="8"/>
        <v>697489.53</v>
      </c>
      <c r="R17" s="44"/>
      <c r="X17" s="9"/>
      <c r="Y17" s="36"/>
      <c r="Z17" s="36"/>
      <c r="AA17" s="9"/>
    </row>
    <row r="18" spans="2:27" x14ac:dyDescent="0.3">
      <c r="B18" s="138">
        <f t="shared" si="9"/>
        <v>2037</v>
      </c>
      <c r="C18" s="36">
        <f>'Conversion to annual sales'!J18</f>
        <v>1100796.5</v>
      </c>
      <c r="D18" s="36">
        <f>C18*VLOOKUP(B18,Parameters!$B$14:$C$33,2,0)</f>
        <v>176127.44</v>
      </c>
      <c r="E18" s="88">
        <f t="shared" si="2"/>
        <v>924669.06</v>
      </c>
      <c r="F18" s="44"/>
      <c r="G18" s="139">
        <f t="shared" si="10"/>
        <v>7737468.5005807551</v>
      </c>
      <c r="H18" s="135">
        <f t="shared" si="3"/>
        <v>924669.06</v>
      </c>
      <c r="I18" s="135">
        <f t="shared" si="4"/>
        <v>8662137.5605807547</v>
      </c>
      <c r="J18" s="135">
        <f>I18*Parameters!$C$11</f>
        <v>346485.50242323021</v>
      </c>
      <c r="K18" s="136">
        <f t="shared" si="5"/>
        <v>8315652.0581575241</v>
      </c>
      <c r="L18" s="44"/>
      <c r="M18" s="143">
        <f t="shared" si="11"/>
        <v>697489.53</v>
      </c>
      <c r="N18" s="36">
        <f t="shared" si="6"/>
        <v>176127.44</v>
      </c>
      <c r="O18" s="36">
        <f t="shared" si="7"/>
        <v>873616.97</v>
      </c>
      <c r="P18" s="137">
        <f>O18*VLOOKUP($B18,Parameters!$A$45:$C$46,3,TRUE)</f>
        <v>0</v>
      </c>
      <c r="Q18" s="88">
        <f t="shared" si="8"/>
        <v>873616.97</v>
      </c>
      <c r="R18" s="44"/>
      <c r="X18" s="9"/>
      <c r="Y18" s="36"/>
      <c r="Z18" s="36"/>
      <c r="AA18" s="9"/>
    </row>
    <row r="19" spans="2:27" x14ac:dyDescent="0.3">
      <c r="B19" s="138">
        <f t="shared" si="9"/>
        <v>2038</v>
      </c>
      <c r="C19" s="36">
        <f>'Conversion to annual sales'!J19</f>
        <v>1210771</v>
      </c>
      <c r="D19" s="36">
        <f>C19*VLOOKUP(B19,Parameters!$B$14:$C$33,2,0)</f>
        <v>205831.07</v>
      </c>
      <c r="E19" s="88">
        <f t="shared" si="2"/>
        <v>1004939.9299999999</v>
      </c>
      <c r="F19" s="44"/>
      <c r="G19" s="139">
        <f t="shared" si="10"/>
        <v>8315652.0581575241</v>
      </c>
      <c r="H19" s="135">
        <f t="shared" si="3"/>
        <v>1004939.9299999999</v>
      </c>
      <c r="I19" s="135">
        <f t="shared" si="4"/>
        <v>9320591.9881575238</v>
      </c>
      <c r="J19" s="135">
        <f>I19*Parameters!$C$11</f>
        <v>372823.67952630098</v>
      </c>
      <c r="K19" s="136">
        <f t="shared" si="5"/>
        <v>8947768.3086312227</v>
      </c>
      <c r="L19" s="44"/>
      <c r="M19" s="143">
        <f t="shared" si="11"/>
        <v>873616.97</v>
      </c>
      <c r="N19" s="36">
        <f t="shared" si="6"/>
        <v>205831.07</v>
      </c>
      <c r="O19" s="36">
        <f t="shared" si="7"/>
        <v>1079448.04</v>
      </c>
      <c r="P19" s="137">
        <f>O19*VLOOKUP($B19,Parameters!$A$45:$C$46,3,TRUE)</f>
        <v>0</v>
      </c>
      <c r="Q19" s="88">
        <f t="shared" si="8"/>
        <v>1079448.04</v>
      </c>
      <c r="R19" s="44"/>
      <c r="X19" s="9"/>
      <c r="Y19" s="36"/>
      <c r="Z19" s="36"/>
      <c r="AA19" s="9"/>
    </row>
    <row r="20" spans="2:27" x14ac:dyDescent="0.3">
      <c r="B20" s="138">
        <f t="shared" si="9"/>
        <v>2039</v>
      </c>
      <c r="C20" s="36">
        <f>'Conversion to annual sales'!J20</f>
        <v>1331849</v>
      </c>
      <c r="D20" s="36">
        <f>C20*VLOOKUP(B20,Parameters!$B$14:$C$33,2,0)</f>
        <v>239732.82000000004</v>
      </c>
      <c r="E20" s="88">
        <f t="shared" si="2"/>
        <v>1092116.18</v>
      </c>
      <c r="F20" s="44"/>
      <c r="G20" s="139">
        <f t="shared" si="10"/>
        <v>8947768.3086312227</v>
      </c>
      <c r="H20" s="135">
        <f t="shared" si="3"/>
        <v>1092116.18</v>
      </c>
      <c r="I20" s="135">
        <f t="shared" si="4"/>
        <v>10039884.488631222</v>
      </c>
      <c r="J20" s="135">
        <f>I20*Parameters!$C$11</f>
        <v>401595.37954524893</v>
      </c>
      <c r="K20" s="136">
        <f t="shared" si="5"/>
        <v>9638289.1090859734</v>
      </c>
      <c r="L20" s="44"/>
      <c r="M20" s="143">
        <f t="shared" si="11"/>
        <v>1079448.04</v>
      </c>
      <c r="N20" s="36">
        <f t="shared" si="6"/>
        <v>239732.82000000004</v>
      </c>
      <c r="O20" s="36">
        <f t="shared" si="7"/>
        <v>1319180.8600000001</v>
      </c>
      <c r="P20" s="137">
        <f>O20*VLOOKUP($B20,Parameters!$A$45:$C$46,3,TRUE)</f>
        <v>0</v>
      </c>
      <c r="Q20" s="88">
        <f t="shared" si="8"/>
        <v>1319180.8600000001</v>
      </c>
      <c r="R20" s="44"/>
      <c r="X20" s="9"/>
      <c r="Y20" s="36"/>
      <c r="Z20" s="36"/>
      <c r="AA20" s="9"/>
    </row>
    <row r="21" spans="2:27" x14ac:dyDescent="0.3">
      <c r="B21" s="138">
        <f t="shared" si="9"/>
        <v>2040</v>
      </c>
      <c r="C21" s="36">
        <f>'Conversion to annual sales'!J21</f>
        <v>1438213</v>
      </c>
      <c r="D21" s="36">
        <f>C21*VLOOKUP(B21,Parameters!$B$14:$C$33,2,0)</f>
        <v>273260.47000000003</v>
      </c>
      <c r="E21" s="88">
        <f t="shared" si="2"/>
        <v>1164952.53</v>
      </c>
      <c r="F21" s="44"/>
      <c r="G21" s="139">
        <f t="shared" si="10"/>
        <v>9638289.1090859734</v>
      </c>
      <c r="H21" s="135">
        <f t="shared" si="3"/>
        <v>1164952.53</v>
      </c>
      <c r="I21" s="135">
        <f t="shared" si="4"/>
        <v>10803241.639085973</v>
      </c>
      <c r="J21" s="135">
        <f>I21*Parameters!$C$11</f>
        <v>432129.6655634389</v>
      </c>
      <c r="K21" s="136">
        <f t="shared" si="5"/>
        <v>10371111.973522535</v>
      </c>
      <c r="L21" s="44"/>
      <c r="M21" s="143">
        <f t="shared" si="11"/>
        <v>1319180.8600000001</v>
      </c>
      <c r="N21" s="36">
        <f t="shared" si="6"/>
        <v>273260.47000000003</v>
      </c>
      <c r="O21" s="36">
        <f t="shared" si="7"/>
        <v>1592441.33</v>
      </c>
      <c r="P21" s="137">
        <f>O21*VLOOKUP($B21,Parameters!$A$45:$C$46,3,TRUE)</f>
        <v>0</v>
      </c>
      <c r="Q21" s="88">
        <f t="shared" si="8"/>
        <v>1592441.33</v>
      </c>
      <c r="R21" s="44"/>
      <c r="X21" s="9"/>
      <c r="Y21" s="36"/>
      <c r="Z21" s="36"/>
      <c r="AA21" s="9"/>
    </row>
    <row r="22" spans="2:27" x14ac:dyDescent="0.3">
      <c r="B22" s="138">
        <f t="shared" si="9"/>
        <v>2041</v>
      </c>
      <c r="C22" s="36">
        <f>'Conversion to annual sales'!J22</f>
        <v>1553281</v>
      </c>
      <c r="D22" s="36">
        <f>C22*VLOOKUP(B22,Parameters!$B$14:$C$33,2,0)</f>
        <v>310656.20000000007</v>
      </c>
      <c r="E22" s="88">
        <f t="shared" si="2"/>
        <v>1242624.7999999998</v>
      </c>
      <c r="F22" s="44"/>
      <c r="G22" s="139">
        <f t="shared" si="10"/>
        <v>10371111.973522535</v>
      </c>
      <c r="H22" s="135">
        <f t="shared" si="3"/>
        <v>1242624.7999999998</v>
      </c>
      <c r="I22" s="135">
        <f t="shared" si="4"/>
        <v>11613736.773522533</v>
      </c>
      <c r="J22" s="135">
        <f>I22*Parameters!$C$11</f>
        <v>464549.47094090137</v>
      </c>
      <c r="K22" s="136">
        <f t="shared" si="5"/>
        <v>11149187.302581633</v>
      </c>
      <c r="L22" s="44"/>
      <c r="M22" s="143">
        <f t="shared" si="11"/>
        <v>1592441.33</v>
      </c>
      <c r="N22" s="36">
        <f t="shared" si="6"/>
        <v>310656.20000000007</v>
      </c>
      <c r="O22" s="36">
        <f t="shared" si="7"/>
        <v>1903097.5300000003</v>
      </c>
      <c r="P22" s="144">
        <f>O22*VLOOKUP($B22,Parameters!$A$45:$C$46,3,TRUE)</f>
        <v>57092.925900000009</v>
      </c>
      <c r="Q22" s="88">
        <f t="shared" si="8"/>
        <v>1846004.6041000003</v>
      </c>
      <c r="R22" s="44"/>
      <c r="X22" s="9"/>
      <c r="Y22" s="36"/>
      <c r="Z22" s="36"/>
      <c r="AA22" s="9"/>
    </row>
    <row r="23" spans="2:27" x14ac:dyDescent="0.3">
      <c r="B23" s="138">
        <f t="shared" si="9"/>
        <v>2042</v>
      </c>
      <c r="C23" s="36">
        <f>'Conversion to annual sales'!J23</f>
        <v>1677546</v>
      </c>
      <c r="D23" s="36">
        <f>C23*VLOOKUP(B23,Parameters!$B$14:$C$33,2,0)</f>
        <v>352284.66000000009</v>
      </c>
      <c r="E23" s="88">
        <f t="shared" si="2"/>
        <v>1325261.3399999999</v>
      </c>
      <c r="F23" s="44"/>
      <c r="G23" s="139">
        <f t="shared" si="10"/>
        <v>11149187.302581633</v>
      </c>
      <c r="H23" s="135">
        <f t="shared" si="3"/>
        <v>1325261.3399999999</v>
      </c>
      <c r="I23" s="135">
        <f t="shared" si="4"/>
        <v>12474448.642581632</v>
      </c>
      <c r="J23" s="135">
        <f>I23*Parameters!$C$11</f>
        <v>498977.94570326532</v>
      </c>
      <c r="K23" s="136">
        <f t="shared" si="5"/>
        <v>11975470.696878366</v>
      </c>
      <c r="L23" s="44"/>
      <c r="M23" s="143">
        <f t="shared" si="11"/>
        <v>1846004.6041000003</v>
      </c>
      <c r="N23" s="36">
        <f t="shared" si="6"/>
        <v>352284.66000000009</v>
      </c>
      <c r="O23" s="36">
        <f t="shared" si="7"/>
        <v>2198289.2641000003</v>
      </c>
      <c r="P23" s="144">
        <f>O23*VLOOKUP($B23,Parameters!$A$45:$C$46,3,TRUE)</f>
        <v>65948.67792300001</v>
      </c>
      <c r="Q23" s="88">
        <f t="shared" si="8"/>
        <v>2132340.5861770003</v>
      </c>
      <c r="R23" s="44"/>
      <c r="X23" s="9"/>
      <c r="Y23" s="36"/>
      <c r="Z23" s="36"/>
      <c r="AA23" s="9"/>
    </row>
    <row r="24" spans="2:27" x14ac:dyDescent="0.3">
      <c r="B24" s="138">
        <f t="shared" si="9"/>
        <v>2043</v>
      </c>
      <c r="C24" s="36">
        <f>'Conversion to annual sales'!J24</f>
        <v>1811741</v>
      </c>
      <c r="D24" s="36">
        <f>C24*VLOOKUP(B24,Parameters!$B$14:$C$33,2,0)</f>
        <v>398583.02000000008</v>
      </c>
      <c r="E24" s="88">
        <f t="shared" si="2"/>
        <v>1413157.98</v>
      </c>
      <c r="F24" s="44"/>
      <c r="G24" s="139">
        <f t="shared" si="10"/>
        <v>11975470.696878366</v>
      </c>
      <c r="H24" s="135">
        <f t="shared" si="3"/>
        <v>1413157.98</v>
      </c>
      <c r="I24" s="135">
        <f t="shared" si="4"/>
        <v>13388628.676878367</v>
      </c>
      <c r="J24" s="135">
        <f>I24*Parameters!$C$11</f>
        <v>535545.14707513468</v>
      </c>
      <c r="K24" s="136">
        <f t="shared" si="5"/>
        <v>12853083.529803231</v>
      </c>
      <c r="L24" s="44"/>
      <c r="M24" s="143">
        <f t="shared" si="11"/>
        <v>2132340.5861770003</v>
      </c>
      <c r="N24" s="36">
        <f t="shared" si="6"/>
        <v>398583.02000000008</v>
      </c>
      <c r="O24" s="36">
        <f t="shared" si="7"/>
        <v>2530923.6061770003</v>
      </c>
      <c r="P24" s="144">
        <f>O24*VLOOKUP($B24,Parameters!$A$45:$C$46,3,TRUE)</f>
        <v>75927.70818531001</v>
      </c>
      <c r="Q24" s="88">
        <f t="shared" si="8"/>
        <v>2454995.8979916903</v>
      </c>
      <c r="R24" s="44"/>
      <c r="X24" s="9"/>
      <c r="Y24" s="36"/>
      <c r="Z24" s="36"/>
      <c r="AA24" s="9"/>
    </row>
    <row r="25" spans="2:27" x14ac:dyDescent="0.3">
      <c r="B25" s="138">
        <f t="shared" si="9"/>
        <v>2044</v>
      </c>
      <c r="C25" s="36">
        <f>'Conversion to annual sales'!J25</f>
        <v>1956818</v>
      </c>
      <c r="D25" s="36">
        <f>C25*VLOOKUP(B25,Parameters!$B$14:$C$33,2,0)</f>
        <v>450068.14000000013</v>
      </c>
      <c r="E25" s="88">
        <f t="shared" si="2"/>
        <v>1506749.8599999999</v>
      </c>
      <c r="F25" s="44"/>
      <c r="G25" s="139">
        <f t="shared" si="10"/>
        <v>12853083.529803231</v>
      </c>
      <c r="H25" s="135">
        <f t="shared" si="3"/>
        <v>1506749.8599999999</v>
      </c>
      <c r="I25" s="135">
        <f t="shared" si="4"/>
        <v>14359833.389803231</v>
      </c>
      <c r="J25" s="135">
        <f>I25*Parameters!$C$11</f>
        <v>574393.33559212927</v>
      </c>
      <c r="K25" s="136">
        <f t="shared" si="5"/>
        <v>13785440.054211102</v>
      </c>
      <c r="L25" s="44"/>
      <c r="M25" s="143">
        <f t="shared" si="11"/>
        <v>2454995.8979916903</v>
      </c>
      <c r="N25" s="36">
        <f t="shared" si="6"/>
        <v>450068.14000000013</v>
      </c>
      <c r="O25" s="36">
        <f t="shared" si="7"/>
        <v>2905064.0379916904</v>
      </c>
      <c r="P25" s="144">
        <f>O25*VLOOKUP($B25,Parameters!$A$45:$C$46,3,TRUE)</f>
        <v>87151.921139750717</v>
      </c>
      <c r="Q25" s="88">
        <f t="shared" si="8"/>
        <v>2817912.1168519398</v>
      </c>
      <c r="R25" s="44"/>
    </row>
    <row r="26" spans="2:27" x14ac:dyDescent="0.3">
      <c r="B26" s="145">
        <f t="shared" si="9"/>
        <v>2045</v>
      </c>
      <c r="C26" s="146">
        <f>'Conversion to annual sales'!J26</f>
        <v>2113327</v>
      </c>
      <c r="D26" s="146">
        <f>C26*VLOOKUP(B26,Parameters!$B$14:$C$33,2,0)</f>
        <v>507198.48000000016</v>
      </c>
      <c r="E26" s="92">
        <f t="shared" si="2"/>
        <v>1606128.5199999998</v>
      </c>
      <c r="F26" s="44"/>
      <c r="G26" s="147">
        <f t="shared" si="10"/>
        <v>13785440.054211102</v>
      </c>
      <c r="H26" s="148">
        <f t="shared" si="3"/>
        <v>1606128.5199999998</v>
      </c>
      <c r="I26" s="148">
        <f t="shared" si="4"/>
        <v>15391568.574211102</v>
      </c>
      <c r="J26" s="148">
        <f>I26*Parameters!$C$11</f>
        <v>615662.74296844413</v>
      </c>
      <c r="K26" s="149">
        <f t="shared" si="5"/>
        <v>14775905.831242658</v>
      </c>
      <c r="L26" s="44"/>
      <c r="M26" s="150">
        <f t="shared" si="11"/>
        <v>2817912.1168519398</v>
      </c>
      <c r="N26" s="146">
        <f t="shared" si="6"/>
        <v>507198.48000000016</v>
      </c>
      <c r="O26" s="146">
        <f t="shared" si="7"/>
        <v>3325110.5968519398</v>
      </c>
      <c r="P26" s="151">
        <f>O26*VLOOKUP($B26,Parameters!$A$45:$C$46,3,TRUE)</f>
        <v>99753.317905558186</v>
      </c>
      <c r="Q26" s="92">
        <f t="shared" si="8"/>
        <v>3225357.2789463815</v>
      </c>
      <c r="R26" s="44"/>
      <c r="X26" s="9"/>
      <c r="Y26" s="36"/>
      <c r="Z26" s="36"/>
      <c r="AA26" s="9"/>
    </row>
  </sheetData>
  <printOptions gridLinesSet="0"/>
  <pageMargins left="0.7" right="0.7" top="0.75" bottom="0.75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9"/>
  <sheetViews>
    <sheetView showGridLines="0" workbookViewId="0"/>
  </sheetViews>
  <sheetFormatPr defaultRowHeight="14.4" x14ac:dyDescent="0.3"/>
  <cols>
    <col min="1" max="1" width="4" customWidth="1"/>
    <col min="2" max="2" width="14" customWidth="1"/>
    <col min="3" max="3" width="25" customWidth="1"/>
    <col min="4" max="4" width="23.77734375" customWidth="1"/>
    <col min="5" max="5" width="26.6640625" customWidth="1"/>
    <col min="6" max="7" width="17.33203125" customWidth="1"/>
    <col min="8" max="8" width="12" bestFit="1" customWidth="1"/>
    <col min="9" max="10" width="15.44140625" customWidth="1"/>
    <col min="11" max="11" width="13.33203125" customWidth="1"/>
    <col min="12" max="12" width="6.77734375" customWidth="1"/>
    <col min="13" max="13" width="16.77734375" customWidth="1"/>
    <col min="14" max="14" width="22.21875" customWidth="1"/>
    <col min="15" max="15" width="5" customWidth="1"/>
    <col min="16" max="16" width="13.44140625" customWidth="1"/>
    <col min="17" max="17" width="16.88671875" customWidth="1"/>
    <col min="18" max="18" width="16.109375" customWidth="1"/>
    <col min="19" max="19" width="7.44140625" customWidth="1"/>
  </cols>
  <sheetData>
    <row r="1" spans="1:19" ht="15.6" x14ac:dyDescent="0.3">
      <c r="A1" s="152" t="s">
        <v>156</v>
      </c>
      <c r="R1" s="90"/>
      <c r="S1" s="21"/>
    </row>
    <row r="2" spans="1:19" x14ac:dyDescent="0.3">
      <c r="G2" s="153">
        <f>SUMPRODUCT(G10:G29,$R10:$R29)</f>
        <v>545922230.77093971</v>
      </c>
      <c r="K2" s="153">
        <f>SUMPRODUCT(K10:K29,$R10:$R29)</f>
        <v>2758075.9690380096</v>
      </c>
      <c r="N2" s="153">
        <f>SUMPRODUCT(N10:N29,$R10:$R29)</f>
        <v>4211600771.1593204</v>
      </c>
      <c r="P2" s="29" t="s">
        <v>207</v>
      </c>
      <c r="Q2" s="154"/>
      <c r="R2" s="155">
        <f>SUMPRODUCT(Q10:Q29,$R10:$R29)</f>
        <v>-4760281077.8992968</v>
      </c>
      <c r="S2" s="22" t="b">
        <f>(G2+K2+N2)=-R2</f>
        <v>1</v>
      </c>
    </row>
    <row r="3" spans="1:19" x14ac:dyDescent="0.3">
      <c r="P3" s="59" t="s">
        <v>157</v>
      </c>
      <c r="Q3" s="154"/>
      <c r="R3" s="156">
        <f>budget</f>
        <v>3000000000</v>
      </c>
    </row>
    <row r="4" spans="1:19" x14ac:dyDescent="0.3">
      <c r="G4" s="9"/>
      <c r="P4" s="29" t="s">
        <v>158</v>
      </c>
      <c r="Q4" s="154"/>
      <c r="R4" s="155">
        <f>R2+R3</f>
        <v>-1760281077.8992968</v>
      </c>
      <c r="S4" s="36"/>
    </row>
    <row r="5" spans="1:19" x14ac:dyDescent="0.3">
      <c r="P5" s="22" t="s">
        <v>159</v>
      </c>
      <c r="R5" s="44"/>
    </row>
    <row r="6" spans="1:19" x14ac:dyDescent="0.3">
      <c r="C6" s="157" t="s">
        <v>160</v>
      </c>
      <c r="I6" s="157" t="s">
        <v>161</v>
      </c>
      <c r="M6" s="157" t="s">
        <v>162</v>
      </c>
      <c r="P6" s="41" t="s">
        <v>204</v>
      </c>
      <c r="S6" s="83"/>
    </row>
    <row r="7" spans="1:19" x14ac:dyDescent="0.3">
      <c r="C7" s="21"/>
      <c r="D7" s="21"/>
      <c r="E7" s="21"/>
      <c r="F7" s="213" t="b">
        <f>SUM(F10:F29)=E29</f>
        <v>1</v>
      </c>
    </row>
    <row r="8" spans="1:19" s="120" customFormat="1" ht="32.549999999999997" customHeight="1" x14ac:dyDescent="0.3">
      <c r="B8" s="158" t="s">
        <v>2</v>
      </c>
      <c r="C8" s="159" t="s">
        <v>163</v>
      </c>
      <c r="D8" s="216" t="s">
        <v>198</v>
      </c>
      <c r="E8" s="160" t="s">
        <v>164</v>
      </c>
      <c r="F8" s="160" t="s">
        <v>165</v>
      </c>
      <c r="G8" s="161" t="s">
        <v>166</v>
      </c>
      <c r="H8" s="128"/>
      <c r="I8" s="219" t="s">
        <v>203</v>
      </c>
      <c r="J8" s="160" t="s">
        <v>167</v>
      </c>
      <c r="K8" s="163" t="s">
        <v>168</v>
      </c>
      <c r="M8" s="162" t="s">
        <v>146</v>
      </c>
      <c r="N8" s="163" t="s">
        <v>162</v>
      </c>
      <c r="Q8" s="121" t="s">
        <v>169</v>
      </c>
      <c r="R8" s="121" t="s">
        <v>208</v>
      </c>
      <c r="S8" s="128"/>
    </row>
    <row r="9" spans="1:19" x14ac:dyDescent="0.3">
      <c r="B9" s="164">
        <f>'Revised sales &amp; total cars'!B6</f>
        <v>46023</v>
      </c>
      <c r="C9" s="165"/>
      <c r="D9" s="165"/>
      <c r="E9" s="165"/>
      <c r="F9" s="165"/>
      <c r="G9" s="166"/>
      <c r="I9" s="76"/>
      <c r="K9" s="167"/>
      <c r="M9" s="76"/>
      <c r="N9" s="167"/>
      <c r="Q9" s="64"/>
      <c r="R9" s="168"/>
    </row>
    <row r="10" spans="1:19" x14ac:dyDescent="0.3">
      <c r="B10" s="138">
        <f>'Revised sales &amp; total cars'!B7</f>
        <v>2026</v>
      </c>
      <c r="C10" s="169">
        <f>AVERAGE('Revised sales &amp; total cars'!M7,'Revised sales &amp; total cars'!O7)</f>
        <v>6868.125</v>
      </c>
      <c r="D10" s="170">
        <f t="shared" ref="D10:D29" si="0">C10*no_of_recharges_per_car_pa*energy_req_fullrecharge_per_car</f>
        <v>30906562.5</v>
      </c>
      <c r="E10" s="171">
        <f t="shared" ref="E10:E29" si="1">ROUNDUP(D10/energy_supply_per_station_pa,0)</f>
        <v>71</v>
      </c>
      <c r="F10" s="172">
        <f>E10</f>
        <v>71</v>
      </c>
      <c r="G10" s="173">
        <f t="shared" ref="G10:G29" si="2">F10*station_build_cost*(1+station_build_cost_inflation)^(B10-$B$10)</f>
        <v>2130000</v>
      </c>
      <c r="H10" s="9"/>
      <c r="I10" s="143">
        <f t="shared" ref="I10:I29" si="3">admin_cost*(1+expense_inflation)^(B10-$B$10)</f>
        <v>150000</v>
      </c>
      <c r="J10" s="36">
        <f t="shared" ref="J10:J29" si="4">advert_cost*(1+expense_inflation)^(B10-$B$10)</f>
        <v>50000</v>
      </c>
      <c r="K10" s="174">
        <f t="shared" ref="K10:K29" si="5">J10+I10</f>
        <v>200000</v>
      </c>
      <c r="M10" s="143">
        <f>'Revised sales &amp; total cars'!D7</f>
        <v>13736.25</v>
      </c>
      <c r="N10" s="88">
        <f t="shared" ref="N10:N29" si="6">M10*subsidy</f>
        <v>41208750</v>
      </c>
      <c r="Q10" s="175">
        <f t="shared" ref="Q10:Q29" si="7">-(G10+K10+N10)</f>
        <v>-43538750</v>
      </c>
      <c r="R10" s="176">
        <f>(1+disc_rate)^-($B10- YEAR($B$9)+0.5)</f>
        <v>0.96673648904566356</v>
      </c>
      <c r="S10" s="177"/>
    </row>
    <row r="11" spans="1:19" x14ac:dyDescent="0.3">
      <c r="B11" s="138">
        <f>'Revised sales &amp; total cars'!B8</f>
        <v>2027</v>
      </c>
      <c r="C11" s="169">
        <f>AVERAGE('Revised sales &amp; total cars'!M8,'Revised sales &amp; total cars'!O8)</f>
        <v>23034.18</v>
      </c>
      <c r="D11" s="170">
        <f t="shared" si="0"/>
        <v>103653810</v>
      </c>
      <c r="E11" s="171">
        <f t="shared" si="1"/>
        <v>237</v>
      </c>
      <c r="F11" s="171">
        <f>MAX(0,E11-E10)</f>
        <v>166</v>
      </c>
      <c r="G11" s="173">
        <f t="shared" si="2"/>
        <v>5129400</v>
      </c>
      <c r="H11" s="9"/>
      <c r="I11" s="143">
        <f t="shared" si="3"/>
        <v>154500</v>
      </c>
      <c r="J11" s="36">
        <f t="shared" si="4"/>
        <v>51500</v>
      </c>
      <c r="K11" s="174">
        <f t="shared" si="5"/>
        <v>206000</v>
      </c>
      <c r="M11" s="143">
        <f>'Revised sales &amp; total cars'!D8</f>
        <v>18595.86</v>
      </c>
      <c r="N11" s="88">
        <f t="shared" si="6"/>
        <v>55787580</v>
      </c>
      <c r="Q11" s="175">
        <f t="shared" si="7"/>
        <v>-61122980</v>
      </c>
      <c r="R11" s="176">
        <f t="shared" ref="R11:R29" si="8">(1+disc_rate)^-($B11-YEAR($B$9)+0.5)</f>
        <v>0.90349204583706866</v>
      </c>
      <c r="S11" s="177"/>
    </row>
    <row r="12" spans="1:19" x14ac:dyDescent="0.3">
      <c r="B12" s="138">
        <f>'Revised sales &amp; total cars'!B9</f>
        <v>2028</v>
      </c>
      <c r="C12" s="169">
        <f>AVERAGE('Revised sales &amp; total cars'!M9,'Revised sales &amp; total cars'!O9)</f>
        <v>44602.270000000004</v>
      </c>
      <c r="D12" s="170">
        <f t="shared" si="0"/>
        <v>200710215</v>
      </c>
      <c r="E12" s="171">
        <f t="shared" si="1"/>
        <v>459</v>
      </c>
      <c r="F12" s="171">
        <f t="shared" ref="F12:F29" si="9">MAX(0,E12-E11)</f>
        <v>222</v>
      </c>
      <c r="G12" s="173">
        <f t="shared" si="2"/>
        <v>7065594</v>
      </c>
      <c r="H12" s="9"/>
      <c r="I12" s="143">
        <f t="shared" si="3"/>
        <v>159135</v>
      </c>
      <c r="J12" s="36">
        <f t="shared" si="4"/>
        <v>53045</v>
      </c>
      <c r="K12" s="174">
        <f t="shared" si="5"/>
        <v>212180</v>
      </c>
      <c r="M12" s="143">
        <f>'Revised sales &amp; total cars'!D9</f>
        <v>24540.320000000003</v>
      </c>
      <c r="N12" s="88">
        <f t="shared" si="6"/>
        <v>73620960.000000015</v>
      </c>
      <c r="Q12" s="175">
        <f t="shared" si="7"/>
        <v>-80898734.000000015</v>
      </c>
      <c r="R12" s="176">
        <f t="shared" si="8"/>
        <v>0.84438508956735392</v>
      </c>
      <c r="S12" s="177"/>
    </row>
    <row r="13" spans="1:19" x14ac:dyDescent="0.3">
      <c r="B13" s="138">
        <f>'Revised sales &amp; total cars'!B10</f>
        <v>2029</v>
      </c>
      <c r="C13" s="169">
        <f>AVERAGE('Revised sales &amp; total cars'!M10,'Revised sales &amp; total cars'!O10)</f>
        <v>72726.390000000014</v>
      </c>
      <c r="D13" s="170">
        <f t="shared" si="0"/>
        <v>327268755.00000006</v>
      </c>
      <c r="E13" s="171">
        <f t="shared" si="1"/>
        <v>748</v>
      </c>
      <c r="F13" s="171">
        <f t="shared" si="9"/>
        <v>289</v>
      </c>
      <c r="G13" s="173">
        <f t="shared" si="2"/>
        <v>9473943.0899999999</v>
      </c>
      <c r="H13" s="9"/>
      <c r="I13" s="143">
        <f t="shared" si="3"/>
        <v>163909.04999999999</v>
      </c>
      <c r="J13" s="36">
        <f t="shared" si="4"/>
        <v>54636.35</v>
      </c>
      <c r="K13" s="174">
        <f t="shared" si="5"/>
        <v>218545.4</v>
      </c>
      <c r="M13" s="143">
        <f>'Revised sales &amp; total cars'!D10</f>
        <v>31707.920000000002</v>
      </c>
      <c r="N13" s="88">
        <f t="shared" si="6"/>
        <v>95123760</v>
      </c>
      <c r="Q13" s="175">
        <f t="shared" si="7"/>
        <v>-104816248.48999999</v>
      </c>
      <c r="R13" s="176">
        <f t="shared" si="8"/>
        <v>0.78914494352089137</v>
      </c>
      <c r="S13" s="177"/>
    </row>
    <row r="14" spans="1:19" x14ac:dyDescent="0.3">
      <c r="B14" s="138">
        <f>'Revised sales &amp; total cars'!B11</f>
        <v>2030</v>
      </c>
      <c r="C14" s="169">
        <f>AVERAGE('Revised sales &amp; total cars'!M11,'Revised sales &amp; total cars'!O11)</f>
        <v>108911.44</v>
      </c>
      <c r="D14" s="170">
        <f t="shared" si="0"/>
        <v>490101480</v>
      </c>
      <c r="E14" s="171">
        <f t="shared" si="1"/>
        <v>1119</v>
      </c>
      <c r="F14" s="171">
        <f t="shared" si="9"/>
        <v>371</v>
      </c>
      <c r="G14" s="173">
        <f t="shared" si="2"/>
        <v>12526913.055299999</v>
      </c>
      <c r="H14" s="9"/>
      <c r="I14" s="143">
        <f t="shared" si="3"/>
        <v>168826.32149999999</v>
      </c>
      <c r="J14" s="36">
        <f t="shared" si="4"/>
        <v>56275.440499999997</v>
      </c>
      <c r="K14" s="174">
        <f t="shared" si="5"/>
        <v>225101.76199999999</v>
      </c>
      <c r="M14" s="143">
        <f>'Revised sales &amp; total cars'!D11</f>
        <v>40662.18</v>
      </c>
      <c r="N14" s="88">
        <f t="shared" si="6"/>
        <v>121986540</v>
      </c>
      <c r="Q14" s="175">
        <f t="shared" si="7"/>
        <v>-134738554.81729999</v>
      </c>
      <c r="R14" s="176">
        <f t="shared" si="8"/>
        <v>0.73751863880457136</v>
      </c>
      <c r="S14" s="177"/>
    </row>
    <row r="15" spans="1:19" x14ac:dyDescent="0.3">
      <c r="B15" s="138">
        <f>'Revised sales &amp; total cars'!B12</f>
        <v>2031</v>
      </c>
      <c r="C15" s="169">
        <f>AVERAGE('Revised sales &amp; total cars'!M12,'Revised sales &amp; total cars'!O12)</f>
        <v>154985.88</v>
      </c>
      <c r="D15" s="170">
        <f t="shared" si="0"/>
        <v>697436460</v>
      </c>
      <c r="E15" s="171">
        <f t="shared" si="1"/>
        <v>1593</v>
      </c>
      <c r="F15" s="171">
        <f t="shared" si="9"/>
        <v>474</v>
      </c>
      <c r="G15" s="173">
        <f t="shared" si="2"/>
        <v>16484877.336545998</v>
      </c>
      <c r="H15" s="9"/>
      <c r="I15" s="143">
        <f t="shared" si="3"/>
        <v>173891.11114499997</v>
      </c>
      <c r="J15" s="36">
        <f t="shared" si="4"/>
        <v>57963.703714999989</v>
      </c>
      <c r="K15" s="174">
        <f t="shared" si="5"/>
        <v>231854.81485999995</v>
      </c>
      <c r="M15" s="143">
        <f>'Revised sales &amp; total cars'!D12</f>
        <v>51486.7</v>
      </c>
      <c r="N15" s="88">
        <f t="shared" si="6"/>
        <v>154460100</v>
      </c>
      <c r="Q15" s="175">
        <f t="shared" si="7"/>
        <v>-171176832.15140599</v>
      </c>
      <c r="R15" s="176">
        <f t="shared" si="8"/>
        <v>0.68926975589212269</v>
      </c>
      <c r="S15" s="177"/>
    </row>
    <row r="16" spans="1:19" x14ac:dyDescent="0.3">
      <c r="B16" s="138">
        <f>'Revised sales &amp; total cars'!B13</f>
        <v>2032</v>
      </c>
      <c r="C16" s="169">
        <f>AVERAGE('Revised sales &amp; total cars'!M13,'Revised sales &amp; total cars'!O13)</f>
        <v>213020.49999999997</v>
      </c>
      <c r="D16" s="170">
        <f t="shared" si="0"/>
        <v>958592249.99999976</v>
      </c>
      <c r="E16" s="171">
        <f t="shared" si="1"/>
        <v>2189</v>
      </c>
      <c r="F16" s="171">
        <f t="shared" si="9"/>
        <v>596</v>
      </c>
      <c r="G16" s="173">
        <f t="shared" si="2"/>
        <v>21349655.061938517</v>
      </c>
      <c r="H16" s="9"/>
      <c r="I16" s="143">
        <f t="shared" si="3"/>
        <v>179107.84447934999</v>
      </c>
      <c r="J16" s="36">
        <f t="shared" si="4"/>
        <v>59702.614826449993</v>
      </c>
      <c r="K16" s="174">
        <f t="shared" si="5"/>
        <v>238810.45930579997</v>
      </c>
      <c r="M16" s="143">
        <f>'Revised sales &amp; total cars'!D13</f>
        <v>64582.539999999994</v>
      </c>
      <c r="N16" s="88">
        <f t="shared" si="6"/>
        <v>193747619.99999997</v>
      </c>
      <c r="Q16" s="175">
        <f t="shared" si="7"/>
        <v>-215336085.52124429</v>
      </c>
      <c r="R16" s="176">
        <f t="shared" si="8"/>
        <v>0.64417734195525478</v>
      </c>
      <c r="S16" s="177"/>
    </row>
    <row r="17" spans="2:19" x14ac:dyDescent="0.3">
      <c r="B17" s="138">
        <f>'Revised sales &amp; total cars'!B14</f>
        <v>2033</v>
      </c>
      <c r="C17" s="169">
        <f>AVERAGE('Revised sales &amp; total cars'!M14,'Revised sales &amp; total cars'!O14)</f>
        <v>285811.64999999997</v>
      </c>
      <c r="D17" s="170">
        <f t="shared" si="0"/>
        <v>1286152424.9999998</v>
      </c>
      <c r="E17" s="171">
        <f t="shared" si="1"/>
        <v>2937</v>
      </c>
      <c r="F17" s="171">
        <f t="shared" si="9"/>
        <v>748</v>
      </c>
      <c r="G17" s="173">
        <f t="shared" si="2"/>
        <v>27598369.540134083</v>
      </c>
      <c r="H17" s="9"/>
      <c r="I17" s="143">
        <f t="shared" si="3"/>
        <v>184481.0798137305</v>
      </c>
      <c r="J17" s="36">
        <f t="shared" si="4"/>
        <v>61493.693271243501</v>
      </c>
      <c r="K17" s="174">
        <f t="shared" si="5"/>
        <v>245974.773084974</v>
      </c>
      <c r="M17" s="143">
        <f>'Revised sales &amp; total cars'!D14</f>
        <v>80999.759999999995</v>
      </c>
      <c r="N17" s="88">
        <f t="shared" si="6"/>
        <v>242999279.99999997</v>
      </c>
      <c r="Q17" s="175">
        <f t="shared" si="7"/>
        <v>-270843624.31321901</v>
      </c>
      <c r="R17" s="176">
        <f t="shared" si="8"/>
        <v>0.60203489902360263</v>
      </c>
      <c r="S17" s="177"/>
    </row>
    <row r="18" spans="2:19" x14ac:dyDescent="0.3">
      <c r="B18" s="138">
        <f>'Revised sales &amp; total cars'!B15</f>
        <v>2034</v>
      </c>
      <c r="C18" s="169">
        <f>AVERAGE('Revised sales &amp; total cars'!M15,'Revised sales &amp; total cars'!O15)</f>
        <v>376790.33499999996</v>
      </c>
      <c r="D18" s="170">
        <f t="shared" si="0"/>
        <v>1695556507.5</v>
      </c>
      <c r="E18" s="171">
        <f t="shared" si="1"/>
        <v>3872</v>
      </c>
      <c r="F18" s="171">
        <f t="shared" si="9"/>
        <v>935</v>
      </c>
      <c r="G18" s="173">
        <f t="shared" si="2"/>
        <v>35532900.782922626</v>
      </c>
      <c r="H18" s="9"/>
      <c r="I18" s="143">
        <f t="shared" si="3"/>
        <v>190015.51220814238</v>
      </c>
      <c r="J18" s="36">
        <f t="shared" si="4"/>
        <v>63338.504069380797</v>
      </c>
      <c r="K18" s="174">
        <f t="shared" si="5"/>
        <v>253354.01627752319</v>
      </c>
      <c r="M18" s="143">
        <f>'Revised sales &amp; total cars'!D15</f>
        <v>100957.60999999999</v>
      </c>
      <c r="N18" s="88">
        <f t="shared" si="6"/>
        <v>302872829.99999994</v>
      </c>
      <c r="Q18" s="175">
        <f t="shared" si="7"/>
        <v>-338659084.79920006</v>
      </c>
      <c r="R18" s="176">
        <f t="shared" si="8"/>
        <v>0.56264943833981551</v>
      </c>
      <c r="S18" s="177"/>
    </row>
    <row r="19" spans="2:19" x14ac:dyDescent="0.3">
      <c r="B19" s="138">
        <f>'Revised sales &amp; total cars'!B16</f>
        <v>2035</v>
      </c>
      <c r="C19" s="169">
        <f>AVERAGE('Revised sales &amp; total cars'!M16,'Revised sales &amp; total cars'!O16)</f>
        <v>488682.30999999994</v>
      </c>
      <c r="D19" s="170">
        <f t="shared" si="0"/>
        <v>2199070394.9999995</v>
      </c>
      <c r="E19" s="171">
        <f t="shared" si="1"/>
        <v>5021</v>
      </c>
      <c r="F19" s="171">
        <f t="shared" si="9"/>
        <v>1149</v>
      </c>
      <c r="G19" s="173">
        <f t="shared" si="2"/>
        <v>44975531.646594055</v>
      </c>
      <c r="H19" s="9"/>
      <c r="I19" s="143">
        <f t="shared" si="3"/>
        <v>195715.97757438666</v>
      </c>
      <c r="J19" s="36">
        <f t="shared" si="4"/>
        <v>65238.659191462226</v>
      </c>
      <c r="K19" s="174">
        <f t="shared" si="5"/>
        <v>260954.6367658489</v>
      </c>
      <c r="M19" s="143">
        <f>'Revised sales &amp; total cars'!D16</f>
        <v>122826.33999999998</v>
      </c>
      <c r="N19" s="88">
        <f t="shared" si="6"/>
        <v>368479019.99999994</v>
      </c>
      <c r="Q19" s="175">
        <f t="shared" si="7"/>
        <v>-413715506.28335983</v>
      </c>
      <c r="R19" s="176">
        <f t="shared" si="8"/>
        <v>0.52584059657926685</v>
      </c>
      <c r="S19" s="177"/>
    </row>
    <row r="20" spans="2:19" x14ac:dyDescent="0.3">
      <c r="B20" s="138">
        <f>'Revised sales &amp; total cars'!B17</f>
        <v>2036</v>
      </c>
      <c r="C20" s="169">
        <f>AVERAGE('Revised sales &amp; total cars'!M17,'Revised sales &amp; total cars'!O17)</f>
        <v>623792.505</v>
      </c>
      <c r="D20" s="170">
        <f t="shared" si="0"/>
        <v>2807066272.5</v>
      </c>
      <c r="E20" s="171">
        <f t="shared" si="1"/>
        <v>6409</v>
      </c>
      <c r="F20" s="171">
        <f t="shared" si="9"/>
        <v>1388</v>
      </c>
      <c r="G20" s="173">
        <f t="shared" si="2"/>
        <v>55960678.035889231</v>
      </c>
      <c r="H20" s="9"/>
      <c r="I20" s="143">
        <f t="shared" si="3"/>
        <v>201587.45690161828</v>
      </c>
      <c r="J20" s="36">
        <f t="shared" si="4"/>
        <v>67195.818967206083</v>
      </c>
      <c r="K20" s="174">
        <f t="shared" si="5"/>
        <v>268783.27586882433</v>
      </c>
      <c r="M20" s="143">
        <f>'Revised sales &amp; total cars'!D17</f>
        <v>147394.04999999999</v>
      </c>
      <c r="N20" s="88">
        <f t="shared" si="6"/>
        <v>442182149.99999994</v>
      </c>
      <c r="Q20" s="175">
        <f t="shared" si="7"/>
        <v>-498411611.31175798</v>
      </c>
      <c r="R20" s="176">
        <f t="shared" si="8"/>
        <v>0.49143980988716524</v>
      </c>
      <c r="S20" s="177"/>
    </row>
    <row r="21" spans="2:19" x14ac:dyDescent="0.3">
      <c r="B21" s="138">
        <f>'Revised sales &amp; total cars'!B18</f>
        <v>2037</v>
      </c>
      <c r="C21" s="169">
        <f>AVERAGE('Revised sales &amp; total cars'!M18,'Revised sales &amp; total cars'!O18)</f>
        <v>785553.25</v>
      </c>
      <c r="D21" s="170">
        <f t="shared" si="0"/>
        <v>3534989625</v>
      </c>
      <c r="E21" s="171">
        <f t="shared" si="1"/>
        <v>8071</v>
      </c>
      <c r="F21" s="171">
        <f t="shared" si="9"/>
        <v>1662</v>
      </c>
      <c r="G21" s="173">
        <f t="shared" si="2"/>
        <v>69017900.794320852</v>
      </c>
      <c r="H21" s="9"/>
      <c r="I21" s="143">
        <f t="shared" si="3"/>
        <v>207635.08060866682</v>
      </c>
      <c r="J21" s="36">
        <f t="shared" si="4"/>
        <v>69211.693536222272</v>
      </c>
      <c r="K21" s="174">
        <f t="shared" si="5"/>
        <v>276846.77414488909</v>
      </c>
      <c r="M21" s="143">
        <f>'Revised sales &amp; total cars'!D18</f>
        <v>176127.44</v>
      </c>
      <c r="N21" s="88">
        <f t="shared" si="6"/>
        <v>528382320</v>
      </c>
      <c r="Q21" s="175">
        <f t="shared" si="7"/>
        <v>-597677067.56846571</v>
      </c>
      <c r="R21" s="176">
        <f t="shared" si="8"/>
        <v>0.45928954195062172</v>
      </c>
      <c r="S21" s="177"/>
    </row>
    <row r="22" spans="2:19" x14ac:dyDescent="0.3">
      <c r="B22" s="138">
        <f>'Revised sales &amp; total cars'!B19</f>
        <v>2038</v>
      </c>
      <c r="C22" s="169">
        <f>AVERAGE('Revised sales &amp; total cars'!M19,'Revised sales &amp; total cars'!O19)</f>
        <v>976532.505</v>
      </c>
      <c r="D22" s="170">
        <f t="shared" si="0"/>
        <v>4394396272.5</v>
      </c>
      <c r="E22" s="171">
        <f t="shared" si="1"/>
        <v>10033</v>
      </c>
      <c r="F22" s="171">
        <f t="shared" si="9"/>
        <v>1962</v>
      </c>
      <c r="G22" s="173">
        <f t="shared" si="2"/>
        <v>83920285.799766079</v>
      </c>
      <c r="H22" s="9"/>
      <c r="I22" s="143">
        <f t="shared" si="3"/>
        <v>213864.13302692681</v>
      </c>
      <c r="J22" s="36">
        <f t="shared" si="4"/>
        <v>71288.044342308931</v>
      </c>
      <c r="K22" s="174">
        <f t="shared" si="5"/>
        <v>285152.17736923572</v>
      </c>
      <c r="M22" s="143">
        <f>'Revised sales &amp; total cars'!D19</f>
        <v>205831.07</v>
      </c>
      <c r="N22" s="88">
        <f t="shared" si="6"/>
        <v>617493210</v>
      </c>
      <c r="Q22" s="175">
        <f t="shared" si="7"/>
        <v>-701698647.9771353</v>
      </c>
      <c r="R22" s="176">
        <f t="shared" si="8"/>
        <v>0.42924256257067445</v>
      </c>
      <c r="S22" s="177"/>
    </row>
    <row r="23" spans="2:19" x14ac:dyDescent="0.3">
      <c r="B23" s="138">
        <f>'Revised sales &amp; total cars'!B20</f>
        <v>2039</v>
      </c>
      <c r="C23" s="169">
        <f>AVERAGE('Revised sales &amp; total cars'!M20,'Revised sales &amp; total cars'!O20)</f>
        <v>1199314.4500000002</v>
      </c>
      <c r="D23" s="170">
        <f t="shared" si="0"/>
        <v>5396915025.000001</v>
      </c>
      <c r="E23" s="171">
        <f t="shared" si="1"/>
        <v>12322</v>
      </c>
      <c r="F23" s="171">
        <f t="shared" si="9"/>
        <v>2289</v>
      </c>
      <c r="G23" s="173">
        <f t="shared" si="2"/>
        <v>100844210.10271889</v>
      </c>
      <c r="H23" s="9"/>
      <c r="I23" s="143">
        <f t="shared" si="3"/>
        <v>220280.05701773459</v>
      </c>
      <c r="J23" s="36">
        <f t="shared" si="4"/>
        <v>73426.685672578198</v>
      </c>
      <c r="K23" s="174">
        <f t="shared" si="5"/>
        <v>293706.74269031279</v>
      </c>
      <c r="M23" s="143">
        <f>'Revised sales &amp; total cars'!D20</f>
        <v>239732.82000000004</v>
      </c>
      <c r="N23" s="88">
        <f t="shared" si="6"/>
        <v>719198460.00000012</v>
      </c>
      <c r="Q23" s="175">
        <f t="shared" si="7"/>
        <v>-820336376.84540927</v>
      </c>
      <c r="R23" s="176">
        <f t="shared" si="8"/>
        <v>0.40116127343053681</v>
      </c>
      <c r="S23" s="177"/>
    </row>
    <row r="24" spans="2:19" x14ac:dyDescent="0.3">
      <c r="B24" s="138">
        <f>'Revised sales &amp; total cars'!B21</f>
        <v>2040</v>
      </c>
      <c r="C24" s="169">
        <f>AVERAGE('Revised sales &amp; total cars'!M21,'Revised sales &amp; total cars'!O21)</f>
        <v>1455811.0950000002</v>
      </c>
      <c r="D24" s="170">
        <f t="shared" si="0"/>
        <v>6551149927.500001</v>
      </c>
      <c r="E24" s="171">
        <f t="shared" si="1"/>
        <v>14957</v>
      </c>
      <c r="F24" s="171">
        <f t="shared" si="9"/>
        <v>2635</v>
      </c>
      <c r="G24" s="173">
        <f t="shared" si="2"/>
        <v>119570217.74979652</v>
      </c>
      <c r="H24" s="9"/>
      <c r="I24" s="143">
        <f t="shared" si="3"/>
        <v>226888.45872826665</v>
      </c>
      <c r="J24" s="36">
        <f t="shared" si="4"/>
        <v>75629.486242755549</v>
      </c>
      <c r="K24" s="174">
        <f t="shared" si="5"/>
        <v>302517.9449710222</v>
      </c>
      <c r="M24" s="143">
        <f>'Revised sales &amp; total cars'!D21</f>
        <v>273260.47000000003</v>
      </c>
      <c r="N24" s="88">
        <f t="shared" si="6"/>
        <v>819781410.00000012</v>
      </c>
      <c r="Q24" s="175">
        <f t="shared" si="7"/>
        <v>-939654145.69476771</v>
      </c>
      <c r="R24" s="176">
        <f t="shared" si="8"/>
        <v>0.37491707797246426</v>
      </c>
      <c r="S24" s="177"/>
    </row>
    <row r="25" spans="2:19" x14ac:dyDescent="0.3">
      <c r="B25" s="138">
        <f>'Revised sales &amp; total cars'!B22</f>
        <v>2041</v>
      </c>
      <c r="C25" s="169">
        <f>AVERAGE('Revised sales &amp; total cars'!M22,'Revised sales &amp; total cars'!O22)</f>
        <v>1747769.4300000002</v>
      </c>
      <c r="D25" s="170">
        <f t="shared" si="0"/>
        <v>7864962435.000001</v>
      </c>
      <c r="E25" s="171">
        <f t="shared" si="1"/>
        <v>17957</v>
      </c>
      <c r="F25" s="171">
        <f t="shared" si="9"/>
        <v>3000</v>
      </c>
      <c r="G25" s="173">
        <f t="shared" si="2"/>
        <v>140217067.4940688</v>
      </c>
      <c r="H25" s="9"/>
      <c r="I25" s="143">
        <f t="shared" si="3"/>
        <v>233695.11249011467</v>
      </c>
      <c r="J25" s="36">
        <f t="shared" si="4"/>
        <v>77898.370830038228</v>
      </c>
      <c r="K25" s="174">
        <f t="shared" si="5"/>
        <v>311593.48332015291</v>
      </c>
      <c r="M25" s="143">
        <f>'Revised sales &amp; total cars'!D22</f>
        <v>310656.20000000007</v>
      </c>
      <c r="N25" s="88">
        <f t="shared" si="6"/>
        <v>931968600.00000024</v>
      </c>
      <c r="Q25" s="175">
        <f t="shared" si="7"/>
        <v>-1072497260.9773892</v>
      </c>
      <c r="R25" s="176">
        <f t="shared" si="8"/>
        <v>0.35038979249763014</v>
      </c>
      <c r="S25" s="177"/>
    </row>
    <row r="26" spans="2:19" x14ac:dyDescent="0.3">
      <c r="B26" s="138">
        <f>'Revised sales &amp; total cars'!B23</f>
        <v>2042</v>
      </c>
      <c r="C26" s="169">
        <f>AVERAGE('Revised sales &amp; total cars'!M23,'Revised sales &amp; total cars'!O23)</f>
        <v>2022146.9341000002</v>
      </c>
      <c r="D26" s="170">
        <f t="shared" si="0"/>
        <v>9099661203.4500008</v>
      </c>
      <c r="E26" s="171">
        <f t="shared" si="1"/>
        <v>20776</v>
      </c>
      <c r="F26" s="171">
        <f t="shared" si="9"/>
        <v>2819</v>
      </c>
      <c r="G26" s="173">
        <f t="shared" si="2"/>
        <v>135710023.55458441</v>
      </c>
      <c r="H26" s="9"/>
      <c r="I26" s="143">
        <f t="shared" si="3"/>
        <v>240705.96586481805</v>
      </c>
      <c r="J26" s="36">
        <f t="shared" si="4"/>
        <v>80235.321954939354</v>
      </c>
      <c r="K26" s="174">
        <f t="shared" si="5"/>
        <v>320941.28781975742</v>
      </c>
      <c r="M26" s="143">
        <f>'Revised sales &amp; total cars'!D23</f>
        <v>352284.66000000009</v>
      </c>
      <c r="N26" s="88">
        <f t="shared" si="6"/>
        <v>1056853980.0000002</v>
      </c>
      <c r="Q26" s="175">
        <f t="shared" si="7"/>
        <v>-1192884944.8424044</v>
      </c>
      <c r="R26" s="176">
        <f t="shared" si="8"/>
        <v>0.3274670957921777</v>
      </c>
      <c r="S26" s="177"/>
    </row>
    <row r="27" spans="2:19" x14ac:dyDescent="0.3">
      <c r="B27" s="138">
        <f>'Revised sales &amp; total cars'!B24</f>
        <v>2043</v>
      </c>
      <c r="C27" s="169">
        <f>AVERAGE('Revised sales &amp; total cars'!M24,'Revised sales &amp; total cars'!O24)</f>
        <v>2331632.0961770006</v>
      </c>
      <c r="D27" s="170">
        <f t="shared" si="0"/>
        <v>10492344432.796501</v>
      </c>
      <c r="E27" s="171">
        <f t="shared" si="1"/>
        <v>23956</v>
      </c>
      <c r="F27" s="171">
        <f t="shared" si="9"/>
        <v>3180</v>
      </c>
      <c r="G27" s="173">
        <f t="shared" si="2"/>
        <v>157681664.118725</v>
      </c>
      <c r="H27" s="9"/>
      <c r="I27" s="143">
        <f t="shared" si="3"/>
        <v>247927.1448407626</v>
      </c>
      <c r="J27" s="36">
        <f t="shared" si="4"/>
        <v>82642.381613587539</v>
      </c>
      <c r="K27" s="174">
        <f t="shared" si="5"/>
        <v>330569.52645435015</v>
      </c>
      <c r="M27" s="143">
        <f>'Revised sales &amp; total cars'!D24</f>
        <v>398583.02000000008</v>
      </c>
      <c r="N27" s="88">
        <f t="shared" si="6"/>
        <v>1195749060.0000002</v>
      </c>
      <c r="Q27" s="175">
        <f t="shared" si="7"/>
        <v>-1353761293.6451795</v>
      </c>
      <c r="R27" s="176">
        <f t="shared" si="8"/>
        <v>0.30604401475904458</v>
      </c>
      <c r="S27" s="177"/>
    </row>
    <row r="28" spans="2:19" x14ac:dyDescent="0.3">
      <c r="B28" s="138">
        <f>'Revised sales &amp; total cars'!B25</f>
        <v>2044</v>
      </c>
      <c r="C28" s="169">
        <f>AVERAGE('Revised sales &amp; total cars'!M25,'Revised sales &amp; total cars'!O25)</f>
        <v>2680029.9679916902</v>
      </c>
      <c r="D28" s="170">
        <f t="shared" si="0"/>
        <v>12060134855.962606</v>
      </c>
      <c r="E28" s="171">
        <f t="shared" si="1"/>
        <v>27535</v>
      </c>
      <c r="F28" s="171">
        <f t="shared" si="9"/>
        <v>3579</v>
      </c>
      <c r="G28" s="173">
        <f t="shared" si="2"/>
        <v>182790237.78532842</v>
      </c>
      <c r="H28" s="9"/>
      <c r="I28" s="143">
        <f t="shared" si="3"/>
        <v>255364.9591859855</v>
      </c>
      <c r="J28" s="36">
        <f t="shared" si="4"/>
        <v>85121.653061995166</v>
      </c>
      <c r="K28" s="174">
        <f t="shared" si="5"/>
        <v>340486.61224798067</v>
      </c>
      <c r="M28" s="143">
        <f>'Revised sales &amp; total cars'!D25</f>
        <v>450068.14000000013</v>
      </c>
      <c r="N28" s="88">
        <f t="shared" si="6"/>
        <v>1350204420.0000005</v>
      </c>
      <c r="Q28" s="175">
        <f t="shared" si="7"/>
        <v>-1533335144.3975768</v>
      </c>
      <c r="R28" s="176">
        <f t="shared" si="8"/>
        <v>0.28602244370004165</v>
      </c>
      <c r="S28" s="177"/>
    </row>
    <row r="29" spans="2:19" x14ac:dyDescent="0.3">
      <c r="B29" s="178">
        <f>'Revised sales &amp; total cars'!B26</f>
        <v>2045</v>
      </c>
      <c r="C29" s="179">
        <f>AVERAGE('Revised sales &amp; total cars'!M26,'Revised sales &amp; total cars'!O26)</f>
        <v>3071511.35685194</v>
      </c>
      <c r="D29" s="180">
        <f t="shared" si="0"/>
        <v>13821801105.833731</v>
      </c>
      <c r="E29" s="181">
        <f t="shared" si="1"/>
        <v>31557</v>
      </c>
      <c r="F29" s="181">
        <f t="shared" si="9"/>
        <v>4022</v>
      </c>
      <c r="G29" s="182">
        <f t="shared" si="2"/>
        <v>211578040.36428291</v>
      </c>
      <c r="I29" s="150">
        <f t="shared" si="3"/>
        <v>263025.90796156507</v>
      </c>
      <c r="J29" s="146">
        <f t="shared" si="4"/>
        <v>87675.302653855018</v>
      </c>
      <c r="K29" s="183">
        <f t="shared" si="5"/>
        <v>350701.21061542007</v>
      </c>
      <c r="M29" s="150">
        <f>'Revised sales &amp; total cars'!D26</f>
        <v>507198.48000000016</v>
      </c>
      <c r="N29" s="92">
        <f t="shared" si="6"/>
        <v>1521595440.0000005</v>
      </c>
      <c r="Q29" s="184">
        <f t="shared" si="7"/>
        <v>-1733524181.5748987</v>
      </c>
      <c r="R29" s="185">
        <f t="shared" si="8"/>
        <v>0.26731069504676785</v>
      </c>
      <c r="S29" s="177"/>
    </row>
    <row r="30" spans="2:19" x14ac:dyDescent="0.3">
      <c r="B30" s="1"/>
    </row>
    <row r="31" spans="2:19" x14ac:dyDescent="0.3">
      <c r="B31" s="1"/>
    </row>
    <row r="32" spans="2:19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</sheetData>
  <printOptions gridLinesSet="0"/>
  <pageMargins left="0.7" right="0.7" top="0.75" bottom="0.75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9"/>
  <sheetViews>
    <sheetView showGridLines="0" topLeftCell="Q1" zoomScale="90" workbookViewId="0">
      <selection activeCell="U9" sqref="U9"/>
    </sheetView>
  </sheetViews>
  <sheetFormatPr defaultRowHeight="14.4" x14ac:dyDescent="0.3"/>
  <cols>
    <col min="1" max="1" width="4" customWidth="1"/>
    <col min="2" max="2" width="12.44140625" customWidth="1"/>
    <col min="3" max="3" width="22.6640625" customWidth="1"/>
    <col min="4" max="4" width="23.77734375" customWidth="1"/>
    <col min="5" max="5" width="26.6640625" customWidth="1"/>
    <col min="6" max="7" width="17.33203125" customWidth="1"/>
    <col min="8" max="8" width="11.77734375" customWidth="1"/>
    <col min="9" max="10" width="15.5546875" customWidth="1"/>
    <col min="11" max="11" width="13.33203125" customWidth="1"/>
    <col min="12" max="12" width="6.77734375" customWidth="1"/>
    <col min="13" max="13" width="16.77734375" customWidth="1"/>
    <col min="14" max="14" width="22.21875" customWidth="1"/>
    <col min="15" max="15" width="5.33203125" customWidth="1"/>
    <col min="16" max="16" width="24.109375" customWidth="1"/>
    <col min="17" max="17" width="17.44140625" customWidth="1"/>
    <col min="18" max="18" width="9" bestFit="1" customWidth="1"/>
    <col min="19" max="19" width="13.44140625" customWidth="1"/>
    <col min="20" max="20" width="16.88671875" customWidth="1"/>
    <col min="21" max="21" width="24.5546875" customWidth="1"/>
    <col min="22" max="22" width="9.77734375" customWidth="1"/>
    <col min="23" max="23" width="50.21875" customWidth="1"/>
    <col min="24" max="24" width="28.6640625" customWidth="1"/>
    <col min="25" max="25" width="21.88671875" customWidth="1"/>
  </cols>
  <sheetData>
    <row r="1" spans="1:24" ht="15.6" x14ac:dyDescent="0.3">
      <c r="A1" s="152" t="s">
        <v>119</v>
      </c>
      <c r="U1" s="21"/>
      <c r="V1" s="208" t="s">
        <v>205</v>
      </c>
      <c r="W1" s="208"/>
      <c r="X1" s="208"/>
    </row>
    <row r="2" spans="1:24" x14ac:dyDescent="0.3">
      <c r="G2" s="153">
        <f>SUMPRODUCT(G10:G29,$U10:$U29)</f>
        <v>545922230.77093971</v>
      </c>
      <c r="K2" s="153">
        <f>SUMPRODUCT(K10:K29,$U10:$U29)</f>
        <v>2758075.9690380096</v>
      </c>
      <c r="N2" s="153">
        <f>SUMPRODUCT(N10:N29,$U10:$U29)</f>
        <v>4211600771.1593204</v>
      </c>
      <c r="Q2" s="153">
        <f>SUMPRODUCT(Q10:Q29,$U10:$U29)</f>
        <v>3317892435.4148316</v>
      </c>
      <c r="S2" s="29" t="s">
        <v>207</v>
      </c>
      <c r="T2" s="154"/>
      <c r="U2" s="155">
        <f>SUMPRODUCT(T10:T29,U10:U29)</f>
        <v>-1442388642.4844651</v>
      </c>
      <c r="V2" s="208" t="b">
        <f>U2&gt;'Cashflow model - base'!R2</f>
        <v>1</v>
      </c>
      <c r="W2" s="208" t="b">
        <f>(U2-'Cashflow model - base'!R2)=Q2</f>
        <v>1</v>
      </c>
    </row>
    <row r="3" spans="1:24" x14ac:dyDescent="0.3">
      <c r="Q3" s="9"/>
      <c r="S3" s="59" t="s">
        <v>157</v>
      </c>
      <c r="T3" s="154"/>
      <c r="U3" s="156">
        <f>budget</f>
        <v>3000000000</v>
      </c>
    </row>
    <row r="4" spans="1:24" x14ac:dyDescent="0.3">
      <c r="G4" s="9"/>
      <c r="S4" s="29" t="s">
        <v>170</v>
      </c>
      <c r="T4" s="154"/>
      <c r="U4" s="155">
        <f>U2+U3</f>
        <v>1557611357.5155349</v>
      </c>
      <c r="V4" s="41"/>
    </row>
    <row r="5" spans="1:24" x14ac:dyDescent="0.3">
      <c r="N5" s="21"/>
      <c r="O5" s="21"/>
      <c r="P5" s="21"/>
      <c r="Q5" s="41"/>
      <c r="S5" s="22" t="s">
        <v>199</v>
      </c>
    </row>
    <row r="6" spans="1:24" x14ac:dyDescent="0.3">
      <c r="C6" s="157" t="s">
        <v>160</v>
      </c>
      <c r="I6" s="157" t="s">
        <v>161</v>
      </c>
      <c r="M6" s="157" t="s">
        <v>162</v>
      </c>
      <c r="P6" s="220" t="s">
        <v>171</v>
      </c>
      <c r="Q6" s="220"/>
      <c r="S6" s="41"/>
      <c r="T6" s="186"/>
      <c r="U6" s="187"/>
      <c r="V6" s="83"/>
    </row>
    <row r="7" spans="1:24" x14ac:dyDescent="0.3">
      <c r="C7" s="21"/>
      <c r="D7" s="21"/>
      <c r="E7" s="21"/>
      <c r="F7" s="21" t="b">
        <f>SUM(F10:F29)=E29</f>
        <v>1</v>
      </c>
    </row>
    <row r="8" spans="1:24" s="120" customFormat="1" ht="32.549999999999997" customHeight="1" x14ac:dyDescent="0.3">
      <c r="B8" s="158" t="s">
        <v>2</v>
      </c>
      <c r="C8" s="159" t="s">
        <v>163</v>
      </c>
      <c r="D8" s="216" t="s">
        <v>198</v>
      </c>
      <c r="E8" s="160" t="s">
        <v>164</v>
      </c>
      <c r="F8" s="160" t="s">
        <v>165</v>
      </c>
      <c r="G8" s="161" t="s">
        <v>166</v>
      </c>
      <c r="H8" s="128"/>
      <c r="I8" s="219" t="s">
        <v>203</v>
      </c>
      <c r="J8" s="160" t="s">
        <v>167</v>
      </c>
      <c r="K8" s="163" t="s">
        <v>168</v>
      </c>
      <c r="M8" s="162" t="s">
        <v>146</v>
      </c>
      <c r="N8" s="163" t="s">
        <v>162</v>
      </c>
      <c r="O8" s="128"/>
      <c r="P8" s="188" t="s">
        <v>172</v>
      </c>
      <c r="Q8" s="189" t="s">
        <v>173</v>
      </c>
      <c r="T8" s="121" t="s">
        <v>169</v>
      </c>
      <c r="U8" s="121" t="s">
        <v>208</v>
      </c>
      <c r="V8" s="128"/>
    </row>
    <row r="9" spans="1:24" x14ac:dyDescent="0.3">
      <c r="B9" s="164">
        <f>'Revised sales &amp; total cars'!B6</f>
        <v>46023</v>
      </c>
      <c r="C9" s="165"/>
      <c r="D9" s="165"/>
      <c r="E9" s="165"/>
      <c r="F9" s="165"/>
      <c r="G9" s="166"/>
      <c r="I9" s="76"/>
      <c r="K9" s="167"/>
      <c r="M9" s="76"/>
      <c r="N9" s="167"/>
      <c r="P9" s="76"/>
      <c r="Q9" s="167"/>
      <c r="T9" s="64"/>
      <c r="U9" s="168"/>
    </row>
    <row r="10" spans="1:24" x14ac:dyDescent="0.3">
      <c r="B10" s="138">
        <f>'Revised sales &amp; total cars'!B7</f>
        <v>2026</v>
      </c>
      <c r="C10" s="169">
        <f>AVERAGE('Revised sales &amp; total cars'!M7,'Revised sales &amp; total cars'!O7)</f>
        <v>6868.125</v>
      </c>
      <c r="D10" s="170">
        <f t="shared" ref="D10:D29" si="0">C10*no_of_recharges_per_car_pa*energy_req_fullrecharge_per_car</f>
        <v>30906562.5</v>
      </c>
      <c r="E10" s="171">
        <f t="shared" ref="E10:E29" si="1">ROUNDUP(D10/energy_supply_per_station_pa,0)</f>
        <v>71</v>
      </c>
      <c r="F10" s="172">
        <f>E10</f>
        <v>71</v>
      </c>
      <c r="G10" s="173">
        <f t="shared" ref="G10:G29" si="2">F10*station_build_cost*(1+station_build_cost_inflation)^(B10-$B$10)</f>
        <v>2130000</v>
      </c>
      <c r="H10" s="9"/>
      <c r="I10" s="143">
        <f t="shared" ref="I10:I29" si="3">admin_cost*(1+expense_inflation)^(B10-$B$10)</f>
        <v>150000</v>
      </c>
      <c r="J10" s="36">
        <f t="shared" ref="J10:J29" si="4">advert_cost*(1+expense_inflation)^(B10-$B$10)</f>
        <v>50000</v>
      </c>
      <c r="K10" s="174">
        <f t="shared" ref="K10:K29" si="5">J10+I10</f>
        <v>200000</v>
      </c>
      <c r="M10" s="143">
        <f>'Revised sales &amp; total cars'!D7</f>
        <v>13736.25</v>
      </c>
      <c r="N10" s="88">
        <f t="shared" ref="N10:N29" si="6">M10*subsidy</f>
        <v>41208750</v>
      </c>
      <c r="O10" s="36"/>
      <c r="P10" s="143">
        <f>AVERAGE('Revised sales &amp; total cars'!G7,'Revised sales &amp; total cars'!I7)</f>
        <v>5130494.375</v>
      </c>
      <c r="Q10" s="88">
        <f t="shared" ref="Q10:Q29" si="7">P10*avg_petrol_consump_pa*tax_rate_petrol*petrol_cost_per_litre*(1+inflation_petrol)^(B10-$B$10)</f>
        <v>184697797.5</v>
      </c>
      <c r="R10" s="214"/>
      <c r="T10" s="175">
        <f t="shared" ref="T10:T29" si="8">-(G10+K10+N10)+Q10</f>
        <v>141159047.5</v>
      </c>
      <c r="U10" s="176">
        <f>(1+disc_rate)^-($B10- YEAR($B$9)+0.5)</f>
        <v>0.96673648904566356</v>
      </c>
      <c r="V10" s="177"/>
    </row>
    <row r="11" spans="1:24" x14ac:dyDescent="0.3">
      <c r="B11" s="138">
        <f>'Revised sales &amp; total cars'!B8</f>
        <v>2027</v>
      </c>
      <c r="C11" s="169">
        <f>AVERAGE('Revised sales &amp; total cars'!M8,'Revised sales &amp; total cars'!O8)</f>
        <v>23034.18</v>
      </c>
      <c r="D11" s="170">
        <f t="shared" si="0"/>
        <v>103653810</v>
      </c>
      <c r="E11" s="171">
        <f t="shared" si="1"/>
        <v>237</v>
      </c>
      <c r="F11" s="171">
        <f>MAX(0,E11-E10)</f>
        <v>166</v>
      </c>
      <c r="G11" s="173">
        <f t="shared" si="2"/>
        <v>5129400</v>
      </c>
      <c r="H11" s="9"/>
      <c r="I11" s="143">
        <f t="shared" si="3"/>
        <v>154500</v>
      </c>
      <c r="J11" s="36">
        <f t="shared" si="4"/>
        <v>51500</v>
      </c>
      <c r="K11" s="174">
        <f t="shared" si="5"/>
        <v>206000</v>
      </c>
      <c r="M11" s="143">
        <f>'Revised sales &amp; total cars'!D8</f>
        <v>18595.86</v>
      </c>
      <c r="N11" s="88">
        <f t="shared" si="6"/>
        <v>55787580</v>
      </c>
      <c r="O11" s="36"/>
      <c r="P11" s="143">
        <f>AVERAGE('Revised sales &amp; total cars'!G8,'Revised sales &amp; total cars'!I8)</f>
        <v>5196216.7699999996</v>
      </c>
      <c r="Q11" s="88">
        <f t="shared" si="7"/>
        <v>189869760.77579999</v>
      </c>
      <c r="T11" s="175">
        <f t="shared" si="8"/>
        <v>128746780.77579999</v>
      </c>
      <c r="U11" s="176">
        <f t="shared" ref="U11:U29" si="9">(1+disc_rate)^-($B11-YEAR($B$9)+0.5)</f>
        <v>0.90349204583706866</v>
      </c>
      <c r="V11" s="177"/>
    </row>
    <row r="12" spans="1:24" x14ac:dyDescent="0.3">
      <c r="B12" s="138">
        <f>'Revised sales &amp; total cars'!B9</f>
        <v>2028</v>
      </c>
      <c r="C12" s="169">
        <f>AVERAGE('Revised sales &amp; total cars'!M9,'Revised sales &amp; total cars'!O9)</f>
        <v>44602.270000000004</v>
      </c>
      <c r="D12" s="170">
        <f t="shared" si="0"/>
        <v>200710215</v>
      </c>
      <c r="E12" s="171">
        <f t="shared" si="1"/>
        <v>459</v>
      </c>
      <c r="F12" s="171">
        <f t="shared" ref="F12:F29" si="10">MAX(0,E12-E11)</f>
        <v>222</v>
      </c>
      <c r="G12" s="173">
        <f t="shared" si="2"/>
        <v>7065594</v>
      </c>
      <c r="H12" s="9"/>
      <c r="I12" s="143">
        <f t="shared" si="3"/>
        <v>159135</v>
      </c>
      <c r="J12" s="36">
        <f t="shared" si="4"/>
        <v>53045</v>
      </c>
      <c r="K12" s="174">
        <f t="shared" si="5"/>
        <v>212180</v>
      </c>
      <c r="M12" s="143">
        <f>'Revised sales &amp; total cars'!D9</f>
        <v>24540.320000000003</v>
      </c>
      <c r="N12" s="88">
        <f t="shared" si="6"/>
        <v>73620960.000000015</v>
      </c>
      <c r="O12" s="36"/>
      <c r="P12" s="143">
        <f>AVERAGE('Revised sales &amp; total cars'!G9,'Revised sales &amp; total cars'!I9)</f>
        <v>5291226.8064000001</v>
      </c>
      <c r="Q12" s="88">
        <f t="shared" si="7"/>
        <v>196241548.9184438</v>
      </c>
      <c r="T12" s="175">
        <f t="shared" si="8"/>
        <v>115342814.91844378</v>
      </c>
      <c r="U12" s="176">
        <f t="shared" si="9"/>
        <v>0.84438508956735392</v>
      </c>
      <c r="V12" s="177"/>
    </row>
    <row r="13" spans="1:24" x14ac:dyDescent="0.3">
      <c r="B13" s="138">
        <f>'Revised sales &amp; total cars'!B10</f>
        <v>2029</v>
      </c>
      <c r="C13" s="169">
        <f>AVERAGE('Revised sales &amp; total cars'!M10,'Revised sales &amp; total cars'!O10)</f>
        <v>72726.390000000014</v>
      </c>
      <c r="D13" s="170">
        <f t="shared" si="0"/>
        <v>327268755.00000006</v>
      </c>
      <c r="E13" s="171">
        <f t="shared" si="1"/>
        <v>748</v>
      </c>
      <c r="F13" s="171">
        <f t="shared" si="10"/>
        <v>289</v>
      </c>
      <c r="G13" s="173">
        <f t="shared" si="2"/>
        <v>9473943.0899999999</v>
      </c>
      <c r="H13" s="9"/>
      <c r="I13" s="143">
        <f t="shared" si="3"/>
        <v>163909.04999999999</v>
      </c>
      <c r="J13" s="36">
        <f t="shared" si="4"/>
        <v>54636.35</v>
      </c>
      <c r="K13" s="174">
        <f t="shared" si="5"/>
        <v>218545.4</v>
      </c>
      <c r="M13" s="143">
        <f>'Revised sales &amp; total cars'!D10</f>
        <v>31707.920000000002</v>
      </c>
      <c r="N13" s="88">
        <f t="shared" si="6"/>
        <v>95123760</v>
      </c>
      <c r="O13" s="36"/>
      <c r="P13" s="143">
        <f>AVERAGE('Revised sales &amp; total cars'!G10,'Revised sales &amp; total cars'!I10)</f>
        <v>5418395.4005439999</v>
      </c>
      <c r="Q13" s="88">
        <f t="shared" si="7"/>
        <v>203972360.31173956</v>
      </c>
      <c r="T13" s="175">
        <f t="shared" si="8"/>
        <v>99156111.821739569</v>
      </c>
      <c r="U13" s="176">
        <f t="shared" si="9"/>
        <v>0.78914494352089137</v>
      </c>
      <c r="V13" s="177"/>
    </row>
    <row r="14" spans="1:24" x14ac:dyDescent="0.3">
      <c r="B14" s="138">
        <f>'Revised sales &amp; total cars'!B11</f>
        <v>2030</v>
      </c>
      <c r="C14" s="169">
        <f>AVERAGE('Revised sales &amp; total cars'!M11,'Revised sales &amp; total cars'!O11)</f>
        <v>108911.44</v>
      </c>
      <c r="D14" s="170">
        <f t="shared" si="0"/>
        <v>490101480</v>
      </c>
      <c r="E14" s="171">
        <f t="shared" si="1"/>
        <v>1119</v>
      </c>
      <c r="F14" s="171">
        <f t="shared" si="10"/>
        <v>371</v>
      </c>
      <c r="G14" s="173">
        <f t="shared" si="2"/>
        <v>12526913.055299999</v>
      </c>
      <c r="H14" s="9"/>
      <c r="I14" s="143">
        <f t="shared" si="3"/>
        <v>168826.32149999999</v>
      </c>
      <c r="J14" s="36">
        <f t="shared" si="4"/>
        <v>56275.440499999997</v>
      </c>
      <c r="K14" s="174">
        <f t="shared" si="5"/>
        <v>225101.76199999999</v>
      </c>
      <c r="M14" s="143">
        <f>'Revised sales &amp; total cars'!D11</f>
        <v>40662.18</v>
      </c>
      <c r="N14" s="88">
        <f t="shared" si="6"/>
        <v>121986540</v>
      </c>
      <c r="O14" s="36"/>
      <c r="P14" s="143">
        <f>AVERAGE('Revised sales &amp; total cars'!G11,'Revised sales &amp; total cars'!I11)</f>
        <v>5582257.2129222397</v>
      </c>
      <c r="Q14" s="88">
        <f t="shared" si="7"/>
        <v>213292956.09632981</v>
      </c>
      <c r="T14" s="175">
        <f t="shared" si="8"/>
        <v>78554401.279029816</v>
      </c>
      <c r="U14" s="176">
        <f t="shared" si="9"/>
        <v>0.73751863880457136</v>
      </c>
      <c r="V14" s="177"/>
    </row>
    <row r="15" spans="1:24" x14ac:dyDescent="0.3">
      <c r="B15" s="138">
        <f>'Revised sales &amp; total cars'!B12</f>
        <v>2031</v>
      </c>
      <c r="C15" s="169">
        <f>AVERAGE('Revised sales &amp; total cars'!M12,'Revised sales &amp; total cars'!O12)</f>
        <v>154985.88</v>
      </c>
      <c r="D15" s="170">
        <f t="shared" si="0"/>
        <v>697436460</v>
      </c>
      <c r="E15" s="171">
        <f t="shared" si="1"/>
        <v>1593</v>
      </c>
      <c r="F15" s="171">
        <f t="shared" si="10"/>
        <v>474</v>
      </c>
      <c r="G15" s="173">
        <f t="shared" si="2"/>
        <v>16484877.336545998</v>
      </c>
      <c r="H15" s="9"/>
      <c r="I15" s="143">
        <f t="shared" si="3"/>
        <v>173891.11114499997</v>
      </c>
      <c r="J15" s="36">
        <f t="shared" si="4"/>
        <v>57963.703714999989</v>
      </c>
      <c r="K15" s="174">
        <f t="shared" si="5"/>
        <v>231854.81485999995</v>
      </c>
      <c r="M15" s="143">
        <f>'Revised sales &amp; total cars'!D12</f>
        <v>51486.7</v>
      </c>
      <c r="N15" s="88">
        <f t="shared" si="6"/>
        <v>154460100</v>
      </c>
      <c r="O15" s="36"/>
      <c r="P15" s="143">
        <f>AVERAGE('Revised sales &amp; total cars'!G12,'Revised sales &amp; total cars'!I12)</f>
        <v>5788004.1880053505</v>
      </c>
      <c r="Q15" s="88">
        <f t="shared" si="7"/>
        <v>224471675.7415415</v>
      </c>
      <c r="T15" s="175">
        <f t="shared" si="8"/>
        <v>53294843.590135515</v>
      </c>
      <c r="U15" s="176">
        <f t="shared" si="9"/>
        <v>0.68926975589212269</v>
      </c>
      <c r="V15" s="177"/>
    </row>
    <row r="16" spans="1:24" x14ac:dyDescent="0.3">
      <c r="B16" s="138">
        <f>'Revised sales &amp; total cars'!B13</f>
        <v>2032</v>
      </c>
      <c r="C16" s="169">
        <f>AVERAGE('Revised sales &amp; total cars'!M13,'Revised sales &amp; total cars'!O13)</f>
        <v>213020.49999999997</v>
      </c>
      <c r="D16" s="170">
        <f t="shared" si="0"/>
        <v>958592249.99999976</v>
      </c>
      <c r="E16" s="171">
        <f t="shared" si="1"/>
        <v>2189</v>
      </c>
      <c r="F16" s="171">
        <f t="shared" si="10"/>
        <v>596</v>
      </c>
      <c r="G16" s="173">
        <f t="shared" si="2"/>
        <v>21349655.061938517</v>
      </c>
      <c r="H16" s="9"/>
      <c r="I16" s="143">
        <f t="shared" si="3"/>
        <v>179107.84447934999</v>
      </c>
      <c r="J16" s="36">
        <f t="shared" si="4"/>
        <v>59702.614826449993</v>
      </c>
      <c r="K16" s="174">
        <f t="shared" si="5"/>
        <v>238810.45930579997</v>
      </c>
      <c r="M16" s="143">
        <f>'Revised sales &amp; total cars'!D13</f>
        <v>64582.539999999994</v>
      </c>
      <c r="N16" s="88">
        <f t="shared" si="6"/>
        <v>193747619.99999997</v>
      </c>
      <c r="O16" s="36"/>
      <c r="P16" s="143">
        <f>AVERAGE('Revised sales &amp; total cars'!G13,'Revised sales &amp; total cars'!I13)</f>
        <v>6040172.2944851369</v>
      </c>
      <c r="Q16" s="88">
        <f t="shared" si="7"/>
        <v>237765085.50447831</v>
      </c>
      <c r="T16" s="175">
        <f t="shared" si="8"/>
        <v>22428999.983234018</v>
      </c>
      <c r="U16" s="176">
        <f t="shared" si="9"/>
        <v>0.64417734195525478</v>
      </c>
      <c r="V16" s="177"/>
    </row>
    <row r="17" spans="2:22" x14ac:dyDescent="0.3">
      <c r="B17" s="138">
        <f>'Revised sales &amp; total cars'!B14</f>
        <v>2033</v>
      </c>
      <c r="C17" s="169">
        <f>AVERAGE('Revised sales &amp; total cars'!M14,'Revised sales &amp; total cars'!O14)</f>
        <v>285811.64999999997</v>
      </c>
      <c r="D17" s="170">
        <f t="shared" si="0"/>
        <v>1286152424.9999998</v>
      </c>
      <c r="E17" s="171">
        <f t="shared" si="1"/>
        <v>2937</v>
      </c>
      <c r="F17" s="171">
        <f t="shared" si="10"/>
        <v>748</v>
      </c>
      <c r="G17" s="173">
        <f t="shared" si="2"/>
        <v>27598369.540134083</v>
      </c>
      <c r="H17" s="9"/>
      <c r="I17" s="143">
        <f t="shared" si="3"/>
        <v>184481.0798137305</v>
      </c>
      <c r="J17" s="36">
        <f t="shared" si="4"/>
        <v>61493.693271243501</v>
      </c>
      <c r="K17" s="174">
        <f t="shared" si="5"/>
        <v>245974.773084974</v>
      </c>
      <c r="M17" s="143">
        <f>'Revised sales &amp; total cars'!D14</f>
        <v>80999.759999999995</v>
      </c>
      <c r="N17" s="88">
        <f t="shared" si="6"/>
        <v>242999279.99999997</v>
      </c>
      <c r="O17" s="36"/>
      <c r="P17" s="143">
        <f>AVERAGE('Revised sales &amp; total cars'!G14,'Revised sales &amp; total cars'!I14)</f>
        <v>6346379.6235057311</v>
      </c>
      <c r="Q17" s="88">
        <f t="shared" si="7"/>
        <v>253565897.05768839</v>
      </c>
      <c r="T17" s="175">
        <f t="shared" si="8"/>
        <v>-17277727.255530626</v>
      </c>
      <c r="U17" s="176">
        <f t="shared" si="9"/>
        <v>0.60203489902360263</v>
      </c>
      <c r="V17" s="177"/>
    </row>
    <row r="18" spans="2:22" x14ac:dyDescent="0.3">
      <c r="B18" s="138">
        <f>'Revised sales &amp; total cars'!B15</f>
        <v>2034</v>
      </c>
      <c r="C18" s="169">
        <f>AVERAGE('Revised sales &amp; total cars'!M15,'Revised sales &amp; total cars'!O15)</f>
        <v>376790.33499999996</v>
      </c>
      <c r="D18" s="170">
        <f t="shared" si="0"/>
        <v>1695556507.5</v>
      </c>
      <c r="E18" s="171">
        <f t="shared" si="1"/>
        <v>3872</v>
      </c>
      <c r="F18" s="171">
        <f t="shared" si="10"/>
        <v>935</v>
      </c>
      <c r="G18" s="173">
        <f t="shared" si="2"/>
        <v>35532900.782922626</v>
      </c>
      <c r="H18" s="9"/>
      <c r="I18" s="143">
        <f t="shared" si="3"/>
        <v>190015.51220814238</v>
      </c>
      <c r="J18" s="36">
        <f t="shared" si="4"/>
        <v>63338.504069380797</v>
      </c>
      <c r="K18" s="174">
        <f t="shared" si="5"/>
        <v>253354.01627752319</v>
      </c>
      <c r="M18" s="143">
        <f>'Revised sales &amp; total cars'!D15</f>
        <v>100957.60999999999</v>
      </c>
      <c r="N18" s="88">
        <f t="shared" si="6"/>
        <v>302872829.99999994</v>
      </c>
      <c r="O18" s="36"/>
      <c r="P18" s="143">
        <f>AVERAGE('Revised sales &amp; total cars'!G15,'Revised sales &amp; total cars'!I15)</f>
        <v>6715463.2887655012</v>
      </c>
      <c r="Q18" s="88">
        <f t="shared" si="7"/>
        <v>272337105.97250164</v>
      </c>
      <c r="T18" s="175">
        <f t="shared" si="8"/>
        <v>-66321978.826698422</v>
      </c>
      <c r="U18" s="176">
        <f t="shared" si="9"/>
        <v>0.56264943833981551</v>
      </c>
      <c r="V18" s="177"/>
    </row>
    <row r="19" spans="2:22" x14ac:dyDescent="0.3">
      <c r="B19" s="138">
        <f>'Revised sales &amp; total cars'!B16</f>
        <v>2035</v>
      </c>
      <c r="C19" s="169">
        <f>AVERAGE('Revised sales &amp; total cars'!M16,'Revised sales &amp; total cars'!O16)</f>
        <v>488682.30999999994</v>
      </c>
      <c r="D19" s="170">
        <f t="shared" si="0"/>
        <v>2199070394.9999995</v>
      </c>
      <c r="E19" s="171">
        <f t="shared" si="1"/>
        <v>5021</v>
      </c>
      <c r="F19" s="171">
        <f t="shared" si="10"/>
        <v>1149</v>
      </c>
      <c r="G19" s="173">
        <f t="shared" si="2"/>
        <v>44975531.646594055</v>
      </c>
      <c r="H19" s="9"/>
      <c r="I19" s="143">
        <f t="shared" si="3"/>
        <v>195715.97757438666</v>
      </c>
      <c r="J19" s="36">
        <f t="shared" si="4"/>
        <v>65238.659191462226</v>
      </c>
      <c r="K19" s="174">
        <f t="shared" si="5"/>
        <v>260954.6367658489</v>
      </c>
      <c r="M19" s="143">
        <f>'Revised sales &amp; total cars'!D16</f>
        <v>122826.33999999998</v>
      </c>
      <c r="N19" s="88">
        <f t="shared" si="6"/>
        <v>368479019.99999994</v>
      </c>
      <c r="O19" s="36"/>
      <c r="P19" s="143">
        <f>AVERAGE('Revised sales &amp; total cars'!G16,'Revised sales &amp; total cars'!I16)</f>
        <v>7148403.9944148818</v>
      </c>
      <c r="Q19" s="88">
        <f t="shared" si="7"/>
        <v>294242884.822155</v>
      </c>
      <c r="T19" s="175">
        <f t="shared" si="8"/>
        <v>-119472621.46120483</v>
      </c>
      <c r="U19" s="176">
        <f t="shared" si="9"/>
        <v>0.52584059657926685</v>
      </c>
      <c r="V19" s="177"/>
    </row>
    <row r="20" spans="2:22" x14ac:dyDescent="0.3">
      <c r="B20" s="138">
        <f>'Revised sales &amp; total cars'!B17</f>
        <v>2036</v>
      </c>
      <c r="C20" s="169">
        <f>AVERAGE('Revised sales &amp; total cars'!M17,'Revised sales &amp; total cars'!O17)</f>
        <v>623792.505</v>
      </c>
      <c r="D20" s="170">
        <f t="shared" si="0"/>
        <v>2807066272.5</v>
      </c>
      <c r="E20" s="171">
        <f t="shared" si="1"/>
        <v>6409</v>
      </c>
      <c r="F20" s="171">
        <f t="shared" si="10"/>
        <v>1388</v>
      </c>
      <c r="G20" s="173">
        <f t="shared" si="2"/>
        <v>55960678.035889231</v>
      </c>
      <c r="H20" s="9"/>
      <c r="I20" s="143">
        <f t="shared" si="3"/>
        <v>201587.45690161828</v>
      </c>
      <c r="J20" s="36">
        <f t="shared" si="4"/>
        <v>67195.818967206083</v>
      </c>
      <c r="K20" s="174">
        <f t="shared" si="5"/>
        <v>268783.27586882433</v>
      </c>
      <c r="M20" s="143">
        <f>'Revised sales &amp; total cars'!D17</f>
        <v>147394.04999999999</v>
      </c>
      <c r="N20" s="88">
        <f t="shared" si="6"/>
        <v>442182149.99999994</v>
      </c>
      <c r="O20" s="36"/>
      <c r="P20" s="143">
        <f>AVERAGE('Revised sales &amp; total cars'!G17,'Revised sales &amp; total cars'!I17)</f>
        <v>7642246.5464382861</v>
      </c>
      <c r="Q20" s="88">
        <f t="shared" si="7"/>
        <v>319289008.03376687</v>
      </c>
      <c r="T20" s="175">
        <f t="shared" si="8"/>
        <v>-179122603.27799112</v>
      </c>
      <c r="U20" s="176">
        <f t="shared" si="9"/>
        <v>0.49143980988716524</v>
      </c>
      <c r="V20" s="177"/>
    </row>
    <row r="21" spans="2:22" x14ac:dyDescent="0.3">
      <c r="B21" s="138">
        <f>'Revised sales &amp; total cars'!B18</f>
        <v>2037</v>
      </c>
      <c r="C21" s="169">
        <f>AVERAGE('Revised sales &amp; total cars'!M18,'Revised sales &amp; total cars'!O18)</f>
        <v>785553.25</v>
      </c>
      <c r="D21" s="170">
        <f t="shared" si="0"/>
        <v>3534989625</v>
      </c>
      <c r="E21" s="171">
        <f t="shared" si="1"/>
        <v>8071</v>
      </c>
      <c r="F21" s="171">
        <f t="shared" si="10"/>
        <v>1662</v>
      </c>
      <c r="G21" s="173">
        <f t="shared" si="2"/>
        <v>69017900.794320852</v>
      </c>
      <c r="H21" s="9"/>
      <c r="I21" s="143">
        <f t="shared" si="3"/>
        <v>207635.08060866682</v>
      </c>
      <c r="J21" s="36">
        <f t="shared" si="4"/>
        <v>69211.693536222272</v>
      </c>
      <c r="K21" s="174">
        <f t="shared" si="5"/>
        <v>276846.77414488909</v>
      </c>
      <c r="M21" s="143">
        <f>'Revised sales &amp; total cars'!D18</f>
        <v>176127.44</v>
      </c>
      <c r="N21" s="88">
        <f t="shared" si="6"/>
        <v>528382320</v>
      </c>
      <c r="O21" s="36"/>
      <c r="P21" s="143">
        <f>AVERAGE('Revised sales &amp; total cars'!G18,'Revised sales &amp; total cars'!I18)</f>
        <v>8199803.0305807553</v>
      </c>
      <c r="Q21" s="88">
        <f t="shared" si="7"/>
        <v>347722173.60358357</v>
      </c>
      <c r="T21" s="175">
        <f t="shared" si="8"/>
        <v>-249954893.96488214</v>
      </c>
      <c r="U21" s="176">
        <f t="shared" si="9"/>
        <v>0.45928954195062172</v>
      </c>
      <c r="V21" s="177"/>
    </row>
    <row r="22" spans="2:22" x14ac:dyDescent="0.3">
      <c r="B22" s="138">
        <f>'Revised sales &amp; total cars'!B19</f>
        <v>2038</v>
      </c>
      <c r="C22" s="169">
        <f>AVERAGE('Revised sales &amp; total cars'!M19,'Revised sales &amp; total cars'!O19)</f>
        <v>976532.505</v>
      </c>
      <c r="D22" s="170">
        <f t="shared" si="0"/>
        <v>4394396272.5</v>
      </c>
      <c r="E22" s="171">
        <f t="shared" si="1"/>
        <v>10033</v>
      </c>
      <c r="F22" s="171">
        <f t="shared" si="10"/>
        <v>1962</v>
      </c>
      <c r="G22" s="173">
        <f t="shared" si="2"/>
        <v>83920285.799766079</v>
      </c>
      <c r="H22" s="9"/>
      <c r="I22" s="143">
        <f t="shared" si="3"/>
        <v>213864.13302692681</v>
      </c>
      <c r="J22" s="36">
        <f t="shared" si="4"/>
        <v>71288.044342308931</v>
      </c>
      <c r="K22" s="174">
        <f t="shared" si="5"/>
        <v>285152.17736923572</v>
      </c>
      <c r="M22" s="143">
        <f>'Revised sales &amp; total cars'!D19</f>
        <v>205831.07</v>
      </c>
      <c r="N22" s="88">
        <f t="shared" si="6"/>
        <v>617493210</v>
      </c>
      <c r="O22" s="36"/>
      <c r="P22" s="143">
        <f>AVERAGE('Revised sales &amp; total cars'!G19,'Revised sales &amp; total cars'!I19)</f>
        <v>8818122.0231575239</v>
      </c>
      <c r="Q22" s="88">
        <f t="shared" si="7"/>
        <v>379551849.4458819</v>
      </c>
      <c r="T22" s="175">
        <f t="shared" si="8"/>
        <v>-322146798.5312534</v>
      </c>
      <c r="U22" s="176">
        <f t="shared" si="9"/>
        <v>0.42924256257067445</v>
      </c>
      <c r="V22" s="177"/>
    </row>
    <row r="23" spans="2:22" x14ac:dyDescent="0.3">
      <c r="B23" s="138">
        <f>'Revised sales &amp; total cars'!B20</f>
        <v>2039</v>
      </c>
      <c r="C23" s="169">
        <f>AVERAGE('Revised sales &amp; total cars'!M20,'Revised sales &amp; total cars'!O20)</f>
        <v>1199314.4500000002</v>
      </c>
      <c r="D23" s="170">
        <f t="shared" si="0"/>
        <v>5396915025.000001</v>
      </c>
      <c r="E23" s="171">
        <f t="shared" si="1"/>
        <v>12322</v>
      </c>
      <c r="F23" s="171">
        <f t="shared" si="10"/>
        <v>2289</v>
      </c>
      <c r="G23" s="173">
        <f t="shared" si="2"/>
        <v>100844210.10271889</v>
      </c>
      <c r="H23" s="9"/>
      <c r="I23" s="143">
        <f t="shared" si="3"/>
        <v>220280.05701773459</v>
      </c>
      <c r="J23" s="36">
        <f t="shared" si="4"/>
        <v>73426.685672578198</v>
      </c>
      <c r="K23" s="174">
        <f t="shared" si="5"/>
        <v>293706.74269031279</v>
      </c>
      <c r="M23" s="143">
        <f>'Revised sales &amp; total cars'!D20</f>
        <v>239732.82000000004</v>
      </c>
      <c r="N23" s="88">
        <f t="shared" si="6"/>
        <v>719198460.00000012</v>
      </c>
      <c r="O23" s="36"/>
      <c r="P23" s="143">
        <f>AVERAGE('Revised sales &amp; total cars'!G20,'Revised sales &amp; total cars'!I20)</f>
        <v>9493826.3986312225</v>
      </c>
      <c r="Q23" s="88">
        <f t="shared" si="7"/>
        <v>414765224.2543776</v>
      </c>
      <c r="T23" s="175">
        <f t="shared" si="8"/>
        <v>-405571152.59103167</v>
      </c>
      <c r="U23" s="176">
        <f t="shared" si="9"/>
        <v>0.40116127343053681</v>
      </c>
      <c r="V23" s="177"/>
    </row>
    <row r="24" spans="2:22" x14ac:dyDescent="0.3">
      <c r="B24" s="138">
        <f>'Revised sales &amp; total cars'!B21</f>
        <v>2040</v>
      </c>
      <c r="C24" s="169">
        <f>AVERAGE('Revised sales &amp; total cars'!M21,'Revised sales &amp; total cars'!O21)</f>
        <v>1455811.0950000002</v>
      </c>
      <c r="D24" s="170">
        <f t="shared" si="0"/>
        <v>6551149927.500001</v>
      </c>
      <c r="E24" s="171">
        <f t="shared" si="1"/>
        <v>14957</v>
      </c>
      <c r="F24" s="171">
        <f t="shared" si="10"/>
        <v>2635</v>
      </c>
      <c r="G24" s="173">
        <f t="shared" si="2"/>
        <v>119570217.74979652</v>
      </c>
      <c r="H24" s="9"/>
      <c r="I24" s="143">
        <f t="shared" si="3"/>
        <v>226888.45872826665</v>
      </c>
      <c r="J24" s="36">
        <f t="shared" si="4"/>
        <v>75629.486242755549</v>
      </c>
      <c r="K24" s="174">
        <f t="shared" si="5"/>
        <v>302517.9449710222</v>
      </c>
      <c r="M24" s="143">
        <f>'Revised sales &amp; total cars'!D21</f>
        <v>273260.47000000003</v>
      </c>
      <c r="N24" s="88">
        <f t="shared" si="6"/>
        <v>819781410.00000012</v>
      </c>
      <c r="O24" s="36"/>
      <c r="P24" s="143">
        <f>AVERAGE('Revised sales &amp; total cars'!G21,'Revised sales &amp; total cars'!I21)</f>
        <v>10220765.374085974</v>
      </c>
      <c r="Q24" s="88">
        <f t="shared" si="7"/>
        <v>453221507.57791579</v>
      </c>
      <c r="T24" s="175">
        <f t="shared" si="8"/>
        <v>-486432638.11685193</v>
      </c>
      <c r="U24" s="176">
        <f t="shared" si="9"/>
        <v>0.37491707797246426</v>
      </c>
      <c r="V24" s="177"/>
    </row>
    <row r="25" spans="2:22" x14ac:dyDescent="0.3">
      <c r="B25" s="138">
        <f>'Revised sales &amp; total cars'!B22</f>
        <v>2041</v>
      </c>
      <c r="C25" s="169">
        <f>AVERAGE('Revised sales &amp; total cars'!M22,'Revised sales &amp; total cars'!O22)</f>
        <v>1747769.4300000002</v>
      </c>
      <c r="D25" s="170">
        <f t="shared" si="0"/>
        <v>7864962435.000001</v>
      </c>
      <c r="E25" s="171">
        <f t="shared" si="1"/>
        <v>17957</v>
      </c>
      <c r="F25" s="171">
        <f t="shared" si="10"/>
        <v>3000</v>
      </c>
      <c r="G25" s="173">
        <f t="shared" si="2"/>
        <v>140217067.4940688</v>
      </c>
      <c r="H25" s="9"/>
      <c r="I25" s="143">
        <f t="shared" si="3"/>
        <v>233695.11249011467</v>
      </c>
      <c r="J25" s="36">
        <f t="shared" si="4"/>
        <v>77898.370830038228</v>
      </c>
      <c r="K25" s="174">
        <f t="shared" si="5"/>
        <v>311593.48332015291</v>
      </c>
      <c r="M25" s="143">
        <f>'Revised sales &amp; total cars'!D22</f>
        <v>310656.20000000007</v>
      </c>
      <c r="N25" s="88">
        <f t="shared" si="6"/>
        <v>931968600.00000024</v>
      </c>
      <c r="O25" s="36"/>
      <c r="P25" s="143">
        <f>AVERAGE('Revised sales &amp; total cars'!G22,'Revised sales &amp; total cars'!I22)</f>
        <v>10992424.373522535</v>
      </c>
      <c r="Q25" s="88">
        <f t="shared" si="7"/>
        <v>494750931.9138329</v>
      </c>
      <c r="T25" s="175">
        <f t="shared" si="8"/>
        <v>-577746329.06355631</v>
      </c>
      <c r="U25" s="176">
        <f t="shared" si="9"/>
        <v>0.35038979249763014</v>
      </c>
      <c r="V25" s="177"/>
    </row>
    <row r="26" spans="2:22" x14ac:dyDescent="0.3">
      <c r="B26" s="138">
        <f>'Revised sales &amp; total cars'!B23</f>
        <v>2042</v>
      </c>
      <c r="C26" s="169">
        <f>AVERAGE('Revised sales &amp; total cars'!M23,'Revised sales &amp; total cars'!O23)</f>
        <v>2022146.9341000002</v>
      </c>
      <c r="D26" s="170">
        <f t="shared" si="0"/>
        <v>9099661203.4500008</v>
      </c>
      <c r="E26" s="171">
        <f t="shared" si="1"/>
        <v>20776</v>
      </c>
      <c r="F26" s="171">
        <f t="shared" si="10"/>
        <v>2819</v>
      </c>
      <c r="G26" s="173">
        <f t="shared" si="2"/>
        <v>135710023.55458441</v>
      </c>
      <c r="H26" s="9"/>
      <c r="I26" s="143">
        <f t="shared" si="3"/>
        <v>240705.96586481805</v>
      </c>
      <c r="J26" s="36">
        <f t="shared" si="4"/>
        <v>80235.321954939354</v>
      </c>
      <c r="K26" s="174">
        <f t="shared" si="5"/>
        <v>320941.28781975742</v>
      </c>
      <c r="M26" s="143">
        <f>'Revised sales &amp; total cars'!D23</f>
        <v>352284.66000000009</v>
      </c>
      <c r="N26" s="88">
        <f t="shared" si="6"/>
        <v>1056853980.0000002</v>
      </c>
      <c r="O26" s="36"/>
      <c r="P26" s="143">
        <f>AVERAGE('Revised sales &amp; total cars'!G23,'Revised sales &amp; total cars'!I23)</f>
        <v>11811817.972581632</v>
      </c>
      <c r="Q26" s="88">
        <f t="shared" si="7"/>
        <v>539604946.75420856</v>
      </c>
      <c r="T26" s="175">
        <f t="shared" si="8"/>
        <v>-653279998.0881958</v>
      </c>
      <c r="U26" s="176">
        <f t="shared" si="9"/>
        <v>0.3274670957921777</v>
      </c>
      <c r="V26" s="177"/>
    </row>
    <row r="27" spans="2:22" x14ac:dyDescent="0.3">
      <c r="B27" s="138">
        <f>'Revised sales &amp; total cars'!B24</f>
        <v>2043</v>
      </c>
      <c r="C27" s="169">
        <f>AVERAGE('Revised sales &amp; total cars'!M24,'Revised sales &amp; total cars'!O24)</f>
        <v>2331632.0961770006</v>
      </c>
      <c r="D27" s="170">
        <f t="shared" si="0"/>
        <v>10492344432.796501</v>
      </c>
      <c r="E27" s="171">
        <f t="shared" si="1"/>
        <v>23956</v>
      </c>
      <c r="F27" s="171">
        <f t="shared" si="10"/>
        <v>3180</v>
      </c>
      <c r="G27" s="173">
        <f t="shared" si="2"/>
        <v>157681664.118725</v>
      </c>
      <c r="H27" s="9"/>
      <c r="I27" s="143">
        <f t="shared" si="3"/>
        <v>247927.1448407626</v>
      </c>
      <c r="J27" s="36">
        <f t="shared" si="4"/>
        <v>82642.381613587539</v>
      </c>
      <c r="K27" s="174">
        <f t="shared" si="5"/>
        <v>330569.52645435015</v>
      </c>
      <c r="M27" s="143">
        <f>'Revised sales &amp; total cars'!D24</f>
        <v>398583.02000000008</v>
      </c>
      <c r="N27" s="88">
        <f t="shared" si="6"/>
        <v>1195749060.0000002</v>
      </c>
      <c r="O27" s="36"/>
      <c r="P27" s="143">
        <f>AVERAGE('Revised sales &amp; total cars'!G24,'Revised sales &amp; total cars'!I24)</f>
        <v>12682049.686878366</v>
      </c>
      <c r="Q27" s="88">
        <f t="shared" si="7"/>
        <v>588050562.01644385</v>
      </c>
      <c r="T27" s="175">
        <f t="shared" si="8"/>
        <v>-765710731.62873566</v>
      </c>
      <c r="U27" s="176">
        <f t="shared" si="9"/>
        <v>0.30604401475904458</v>
      </c>
      <c r="V27" s="177"/>
    </row>
    <row r="28" spans="2:22" x14ac:dyDescent="0.3">
      <c r="B28" s="138">
        <f>'Revised sales &amp; total cars'!B25</f>
        <v>2044</v>
      </c>
      <c r="C28" s="169">
        <f>AVERAGE('Revised sales &amp; total cars'!M25,'Revised sales &amp; total cars'!O25)</f>
        <v>2680029.9679916902</v>
      </c>
      <c r="D28" s="170">
        <f t="shared" si="0"/>
        <v>12060134855.962606</v>
      </c>
      <c r="E28" s="171">
        <f t="shared" si="1"/>
        <v>27535</v>
      </c>
      <c r="F28" s="171">
        <f t="shared" si="10"/>
        <v>3579</v>
      </c>
      <c r="G28" s="173">
        <f t="shared" si="2"/>
        <v>182790237.78532842</v>
      </c>
      <c r="H28" s="9"/>
      <c r="I28" s="143">
        <f t="shared" si="3"/>
        <v>255364.9591859855</v>
      </c>
      <c r="J28" s="36">
        <f t="shared" si="4"/>
        <v>85121.653061995166</v>
      </c>
      <c r="K28" s="174">
        <f t="shared" si="5"/>
        <v>340486.61224798067</v>
      </c>
      <c r="M28" s="143">
        <f>'Revised sales &amp; total cars'!D25</f>
        <v>450068.14000000013</v>
      </c>
      <c r="N28" s="88">
        <f t="shared" si="6"/>
        <v>1350204420.0000005</v>
      </c>
      <c r="O28" s="36"/>
      <c r="P28" s="143">
        <f>AVERAGE('Revised sales &amp; total cars'!G25,'Revised sales &amp; total cars'!I25)</f>
        <v>13606458.459803231</v>
      </c>
      <c r="Q28" s="88">
        <f t="shared" si="7"/>
        <v>640377937.95340514</v>
      </c>
      <c r="T28" s="175">
        <f t="shared" si="8"/>
        <v>-892957206.44417167</v>
      </c>
      <c r="U28" s="176">
        <f t="shared" si="9"/>
        <v>0.28602244370004165</v>
      </c>
      <c r="V28" s="177"/>
    </row>
    <row r="29" spans="2:22" x14ac:dyDescent="0.3">
      <c r="B29" s="178">
        <f>'Revised sales &amp; total cars'!B26</f>
        <v>2045</v>
      </c>
      <c r="C29" s="179">
        <f>AVERAGE('Revised sales &amp; total cars'!M26,'Revised sales &amp; total cars'!O26)</f>
        <v>3071511.35685194</v>
      </c>
      <c r="D29" s="180">
        <f t="shared" si="0"/>
        <v>13821801105.833731</v>
      </c>
      <c r="E29" s="181">
        <f t="shared" si="1"/>
        <v>31557</v>
      </c>
      <c r="F29" s="181">
        <f t="shared" si="10"/>
        <v>4022</v>
      </c>
      <c r="G29" s="182">
        <f t="shared" si="2"/>
        <v>211578040.36428291</v>
      </c>
      <c r="I29" s="150">
        <f t="shared" si="3"/>
        <v>263025.90796156507</v>
      </c>
      <c r="J29" s="146">
        <f t="shared" si="4"/>
        <v>87675.302653855018</v>
      </c>
      <c r="K29" s="183">
        <f t="shared" si="5"/>
        <v>350701.21061542007</v>
      </c>
      <c r="M29" s="150">
        <f>'Revised sales &amp; total cars'!D26</f>
        <v>507198.48000000016</v>
      </c>
      <c r="N29" s="92">
        <f t="shared" si="6"/>
        <v>1521595440.0000005</v>
      </c>
      <c r="O29" s="36"/>
      <c r="P29" s="150">
        <f>AVERAGE('Revised sales &amp; total cars'!G26,'Revised sales &amp; total cars'!I26)</f>
        <v>14588504.314211102</v>
      </c>
      <c r="Q29" s="92">
        <f t="shared" si="7"/>
        <v>696896160.24847436</v>
      </c>
      <c r="T29" s="184">
        <f t="shared" si="8"/>
        <v>-1036628021.3264244</v>
      </c>
      <c r="U29" s="185">
        <f t="shared" si="9"/>
        <v>0.26731069504676785</v>
      </c>
      <c r="V29" s="177"/>
    </row>
    <row r="30" spans="2:22" x14ac:dyDescent="0.3">
      <c r="B30" s="1"/>
    </row>
    <row r="31" spans="2:22" x14ac:dyDescent="0.3">
      <c r="B31" s="1"/>
    </row>
    <row r="32" spans="2:2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</sheetData>
  <mergeCells count="1">
    <mergeCell ref="P6:Q6"/>
  </mergeCells>
  <printOptions gridLinesSet="0"/>
  <pageMargins left="0.7" right="0.7" top="0.75" bottom="0.75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7"/>
  <sheetViews>
    <sheetView showGridLines="0" zoomScale="115" workbookViewId="0">
      <selection activeCell="B3" sqref="B3"/>
    </sheetView>
  </sheetViews>
  <sheetFormatPr defaultRowHeight="14.4" x14ac:dyDescent="0.3"/>
  <cols>
    <col min="1" max="1" width="3.44140625" customWidth="1"/>
    <col min="2" max="2" width="14.88671875" customWidth="1"/>
    <col min="3" max="6" width="22.21875" customWidth="1"/>
  </cols>
  <sheetData>
    <row r="2" spans="2:6" x14ac:dyDescent="0.3">
      <c r="B2" s="190" t="s">
        <v>206</v>
      </c>
    </row>
    <row r="3" spans="2:6" x14ac:dyDescent="0.3">
      <c r="D3" s="21"/>
    </row>
    <row r="4" spans="2:6" x14ac:dyDescent="0.3">
      <c r="B4" s="191">
        <f>VAL_DATE</f>
        <v>46023</v>
      </c>
      <c r="C4" s="221" t="s">
        <v>156</v>
      </c>
      <c r="D4" s="222"/>
      <c r="E4" s="221" t="s">
        <v>119</v>
      </c>
      <c r="F4" s="222"/>
    </row>
    <row r="5" spans="2:6" x14ac:dyDescent="0.3">
      <c r="B5" s="192" t="s">
        <v>157</v>
      </c>
      <c r="C5" s="193" t="s">
        <v>200</v>
      </c>
      <c r="D5" s="194" t="s">
        <v>174</v>
      </c>
      <c r="E5" s="193" t="s">
        <v>200</v>
      </c>
      <c r="F5" s="194" t="s">
        <v>175</v>
      </c>
    </row>
    <row r="6" spans="2:6" x14ac:dyDescent="0.3">
      <c r="B6" s="195">
        <f>Parameters!C5</f>
        <v>3000000000</v>
      </c>
      <c r="C6" s="196">
        <f>'Cashflow model - base'!$R$2</f>
        <v>-4760281077.8992968</v>
      </c>
      <c r="D6" s="197">
        <f>'Cashflow model - base'!R4</f>
        <v>-1760281077.8992968</v>
      </c>
      <c r="E6" s="196">
        <f>'Cashflow model - additional'!$U$2</f>
        <v>-1442388642.4844651</v>
      </c>
      <c r="F6" s="197">
        <f>'Cashflow model - additional'!U4</f>
        <v>1557611357.5155349</v>
      </c>
    </row>
    <row r="7" spans="2:6" x14ac:dyDescent="0.3">
      <c r="C7" s="90"/>
      <c r="D7" s="9"/>
    </row>
  </sheetData>
  <mergeCells count="2">
    <mergeCell ref="C4:D4"/>
    <mergeCell ref="E4:F4"/>
  </mergeCells>
  <printOptions gridLinesSet="0"/>
  <pageMargins left="0.7" right="0.7" top="0.75" bottom="0.75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E9"/>
  <sheetViews>
    <sheetView showGridLines="0" zoomScale="90" zoomScaleNormal="90" workbookViewId="0"/>
  </sheetViews>
  <sheetFormatPr defaultRowHeight="14.4" x14ac:dyDescent="0.3"/>
  <cols>
    <col min="1" max="1" width="2.6640625" customWidth="1"/>
    <col min="2" max="2" width="60.6640625" customWidth="1"/>
    <col min="3" max="3" width="22.21875" customWidth="1"/>
  </cols>
  <sheetData>
    <row r="3" spans="2:5" x14ac:dyDescent="0.3">
      <c r="B3" s="198"/>
      <c r="C3" s="212" t="s">
        <v>189</v>
      </c>
    </row>
    <row r="4" spans="2:5" x14ac:dyDescent="0.3">
      <c r="B4" s="73" t="s">
        <v>176</v>
      </c>
      <c r="C4" s="210">
        <f>'Cashflow model - additional'!K2</f>
        <v>2758075.9690380096</v>
      </c>
      <c r="E4" s="209"/>
    </row>
    <row r="5" spans="2:5" x14ac:dyDescent="0.3">
      <c r="B5" s="76" t="s">
        <v>177</v>
      </c>
      <c r="C5" s="99">
        <f>'Cashflow model - additional'!N2-'Cashflow model - additional'!Q2</f>
        <v>893708335.74448872</v>
      </c>
      <c r="D5" s="200"/>
      <c r="E5" s="199"/>
    </row>
    <row r="6" spans="2:5" x14ac:dyDescent="0.3">
      <c r="B6" s="76" t="s">
        <v>178</v>
      </c>
      <c r="C6" s="99">
        <f>'Cashflow model - additional'!G2</f>
        <v>545922230.77093971</v>
      </c>
      <c r="E6" s="199"/>
    </row>
    <row r="7" spans="2:5" x14ac:dyDescent="0.3">
      <c r="B7" s="62" t="s">
        <v>179</v>
      </c>
      <c r="C7" s="99">
        <f>'Cashflow model - additional'!U4</f>
        <v>1557611357.5155349</v>
      </c>
      <c r="E7" s="199"/>
    </row>
    <row r="8" spans="2:5" x14ac:dyDescent="0.3">
      <c r="B8" s="53" t="s">
        <v>180</v>
      </c>
      <c r="C8" s="211">
        <f>SUM(C4:C7)</f>
        <v>3000000000.0000014</v>
      </c>
      <c r="D8" s="61" t="s">
        <v>181</v>
      </c>
      <c r="E8" s="199"/>
    </row>
    <row r="9" spans="2:5" x14ac:dyDescent="0.3">
      <c r="C9" s="22" t="b">
        <f>budget=C8</f>
        <v>1</v>
      </c>
    </row>
  </sheetData>
  <printOptions gridLinesSet="0"/>
  <pageMargins left="0.7" right="0.7" top="0.75" bottom="0.75" header="0.5" footer="0.5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E7FAEBF9D39E4BB70877A4534DF4D4" ma:contentTypeVersion="14" ma:contentTypeDescription="Create a new document." ma:contentTypeScope="" ma:versionID="d17b23e7f82f591316f54a22cc267329">
  <xsd:schema xmlns:xsd="http://www.w3.org/2001/XMLSchema" xmlns:xs="http://www.w3.org/2001/XMLSchema" xmlns:p="http://schemas.microsoft.com/office/2006/metadata/properties" xmlns:ns2="1bbcdec9-fc60-4578-bac0-1072297c933a" xmlns:ns3="e0a82e4c-fab7-409b-9177-d9582bcd9bf0" targetNamespace="http://schemas.microsoft.com/office/2006/metadata/properties" ma:root="true" ma:fieldsID="6816aed2f4dd212ae2d51d22c9f98e20" ns2:_="" ns3:_="">
    <xsd:import namespace="1bbcdec9-fc60-4578-bac0-1072297c933a"/>
    <xsd:import namespace="e0a82e4c-fab7-409b-9177-d9582bcd9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dec9-fc60-4578-bac0-1072297c9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c5664ec-2097-44f6-aef9-a995d752d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82e4c-fab7-409b-9177-d9582bcd9b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7052dd5-5980-458a-a238-fb2113b35011}" ma:internalName="TaxCatchAll" ma:showField="CatchAllData" ma:web="e0a82e4c-fab7-409b-9177-d9582bcd9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a82e4c-fab7-409b-9177-d9582bcd9bf0" xsi:nil="true"/>
    <lcf76f155ced4ddcb4097134ff3c332f xmlns="1bbcdec9-fc60-4578-bac0-1072297c93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BFCD56-B9B1-4492-8631-2AA07FF7081B}"/>
</file>

<file path=customXml/itemProps2.xml><?xml version="1.0" encoding="utf-8"?>
<ds:datastoreItem xmlns:ds="http://schemas.openxmlformats.org/officeDocument/2006/customXml" ds:itemID="{72AC1BF1-147A-491B-A32E-20F8972A69F0}"/>
</file>

<file path=customXml/itemProps3.xml><?xml version="1.0" encoding="utf-8"?>
<ds:datastoreItem xmlns:ds="http://schemas.openxmlformats.org/officeDocument/2006/customXml" ds:itemID="{7CCE6AA9-6226-45C3-8A40-FE6CCD96C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17</vt:i4>
      </vt:variant>
    </vt:vector>
  </HeadingPairs>
  <TitlesOfParts>
    <vt:vector size="27" baseType="lpstr">
      <vt:lpstr>Raw_data_old</vt:lpstr>
      <vt:lpstr>Raw_data</vt:lpstr>
      <vt:lpstr>Parameters</vt:lpstr>
      <vt:lpstr>Data_correction</vt:lpstr>
      <vt:lpstr>Conversion to annual sales</vt:lpstr>
      <vt:lpstr>Revised sales &amp; total cars</vt:lpstr>
      <vt:lpstr>Cashflow model - base</vt:lpstr>
      <vt:lpstr>Cashflow model - additional</vt:lpstr>
      <vt:lpstr>Results summary</vt:lpstr>
      <vt:lpstr>Pie_chart</vt:lpstr>
      <vt:lpstr>admin_cost</vt:lpstr>
      <vt:lpstr>advert_cost</vt:lpstr>
      <vt:lpstr>avg_petrol_consump_pa</vt:lpstr>
      <vt:lpstr>budget</vt:lpstr>
      <vt:lpstr>disc_rate</vt:lpstr>
      <vt:lpstr>energy_req_fullrecharge_per_car</vt:lpstr>
      <vt:lpstr>energy_supply_per_station_pa</vt:lpstr>
      <vt:lpstr>expense_inflation</vt:lpstr>
      <vt:lpstr>inflation_petrol</vt:lpstr>
      <vt:lpstr>no_of_recharges_per_car_pa</vt:lpstr>
      <vt:lpstr>petrol_cost_per_litre</vt:lpstr>
      <vt:lpstr>projection_period</vt:lpstr>
      <vt:lpstr>station_build_cost</vt:lpstr>
      <vt:lpstr>station_build_cost_inflation</vt:lpstr>
      <vt:lpstr>subsidy</vt:lpstr>
      <vt:lpstr>tax_rate_petrol</vt:lpstr>
      <vt:lpstr>VAL_DATE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Gupta</dc:creator>
  <cp:lastModifiedBy>Vickersmith, AJ (Birmingham)</cp:lastModifiedBy>
  <dcterms:created xsi:type="dcterms:W3CDTF">2024-11-23T07:50:08Z</dcterms:created>
  <dcterms:modified xsi:type="dcterms:W3CDTF">2025-02-23T09:23:00Z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2024-09-04T12:43:32Z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e7c50dbc-cb3b-4915-8e37-4a4edb7547c7</vt:lpwstr>
  </property>
  <property fmtid="{D5CDD505-2E9C-101B-9397-08002B2CF9AE}" pid="8" name="MSIP_Label_d347b247-e90e-43a3-9d7b-004f14ae6873_ContentBits">
    <vt:lpwstr>0</vt:lpwstr>
  </property>
  <property fmtid="{D5CDD505-2E9C-101B-9397-08002B2CF9AE}" pid="9" name="ContentTypeId">
    <vt:lpwstr>0x01010098E7FAEBF9D39E4BB70877A4534DF4D4</vt:lpwstr>
  </property>
</Properties>
</file>