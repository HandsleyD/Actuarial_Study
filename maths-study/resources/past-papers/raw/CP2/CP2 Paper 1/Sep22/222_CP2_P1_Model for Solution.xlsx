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2/Nick/"/>
    </mc:Choice>
  </mc:AlternateContent>
  <xr:revisionPtr revIDLastSave="11" documentId="13_ncr:1_{C88FA97D-A391-4C40-A53E-109AB38866B2}" xr6:coauthVersionLast="46" xr6:coauthVersionMax="47" xr10:uidLastSave="{A9EBE694-4E05-4F9D-8FB8-23233DB112E0}"/>
  <bookViews>
    <workbookView xWindow="-110" yWindow="-110" windowWidth="19420" windowHeight="10420" activeTab="1" xr2:uid="{00000000-000D-0000-FFFF-FFFF00000000}"/>
  </bookViews>
  <sheets>
    <sheet name="Prices" sheetId="9" r:id="rId1"/>
    <sheet name="Data Checks" sheetId="6" r:id="rId2"/>
    <sheet name="Parameters" sheetId="7" r:id="rId3"/>
    <sheet name="Moving Ave" sheetId="11" r:id="rId4"/>
    <sheet name="Modelling" sheetId="8" r:id="rId5"/>
    <sheet name="Summary" sheetId="10" r:id="rId6"/>
  </sheets>
  <definedNames>
    <definedName name="_xlchart.v1.0" hidden="1">'Data Checks'!$L$3</definedName>
    <definedName name="_xlchart.v1.1" hidden="1">'Data Checks'!$L$5:$L$256</definedName>
    <definedName name="_xlchart.v1.2" hidden="1">'Data Checks'!$M$3</definedName>
    <definedName name="_xlchart.v1.3" hidden="1">'Data Checks'!$M$5:$M$256</definedName>
    <definedName name="_xlchart.v1.4" hidden="1">'Data Checks'!$N$3</definedName>
    <definedName name="_xlchart.v1.5" hidden="1">'Data Checks'!$N$5:$N$256</definedName>
    <definedName name="_xlchart.v1.6" hidden="1">'Data Checks'!$O$3</definedName>
    <definedName name="_xlchart.v1.7" hidden="1">'Data Checks'!$O$5:$O$256</definedName>
    <definedName name="_xlchart.v1.8" hidden="1">'Data Checks'!$P$3</definedName>
    <definedName name="_xlchart.v1.9" hidden="1">'Data Checks'!$P$5:$P$256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7" i="6" l="1"/>
  <c r="AE28" i="6"/>
  <c r="I7" i="10"/>
  <c r="H8" i="10" l="1"/>
  <c r="H9" i="10"/>
  <c r="H10" i="10"/>
  <c r="H7" i="10"/>
  <c r="B5" i="7"/>
  <c r="O6" i="8" s="1"/>
  <c r="S6" i="8" l="1"/>
  <c r="B6" i="8"/>
  <c r="Q6" i="8"/>
  <c r="F6" i="8"/>
  <c r="P6" i="8"/>
  <c r="E6" i="8"/>
  <c r="D6" i="8"/>
  <c r="C6" i="8"/>
  <c r="AC6" i="8"/>
  <c r="AP6" i="8"/>
  <c r="AF6" i="8"/>
  <c r="AO6" i="8"/>
  <c r="AE6" i="8"/>
  <c r="AQ6" i="8"/>
  <c r="AB6" i="8"/>
  <c r="AR6" i="8"/>
  <c r="AD6" i="8"/>
  <c r="AS6" i="8"/>
  <c r="R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6" i="8"/>
  <c r="AF5" i="8" l="1"/>
  <c r="AE5" i="8"/>
  <c r="AD5" i="8"/>
  <c r="AC5" i="8"/>
  <c r="AB5" i="8"/>
  <c r="H3" i="11"/>
  <c r="I3" i="11"/>
  <c r="J3" i="11"/>
  <c r="K3" i="11"/>
  <c r="G3" i="11"/>
  <c r="F467" i="11"/>
  <c r="E467" i="11"/>
  <c r="D467" i="11"/>
  <c r="C467" i="11"/>
  <c r="B467" i="11"/>
  <c r="A467" i="11"/>
  <c r="F466" i="11"/>
  <c r="E466" i="11"/>
  <c r="D466" i="11"/>
  <c r="C466" i="11"/>
  <c r="B466" i="11"/>
  <c r="A466" i="11"/>
  <c r="F465" i="11"/>
  <c r="E465" i="11"/>
  <c r="D465" i="11"/>
  <c r="C465" i="11"/>
  <c r="B465" i="11"/>
  <c r="A465" i="11"/>
  <c r="F464" i="11"/>
  <c r="E464" i="11"/>
  <c r="D464" i="11"/>
  <c r="C464" i="11"/>
  <c r="B464" i="11"/>
  <c r="A464" i="11"/>
  <c r="F463" i="11"/>
  <c r="E463" i="11"/>
  <c r="D463" i="11"/>
  <c r="C463" i="11"/>
  <c r="B463" i="11"/>
  <c r="A463" i="11"/>
  <c r="F462" i="11"/>
  <c r="E462" i="11"/>
  <c r="D462" i="11"/>
  <c r="C462" i="11"/>
  <c r="B462" i="11"/>
  <c r="A462" i="11"/>
  <c r="F461" i="11"/>
  <c r="E461" i="11"/>
  <c r="D461" i="11"/>
  <c r="C461" i="11"/>
  <c r="B461" i="11"/>
  <c r="A461" i="11"/>
  <c r="F460" i="11"/>
  <c r="E460" i="11"/>
  <c r="D460" i="11"/>
  <c r="C460" i="11"/>
  <c r="B460" i="11"/>
  <c r="A460" i="11"/>
  <c r="F459" i="11"/>
  <c r="E459" i="11"/>
  <c r="D459" i="11"/>
  <c r="C459" i="11"/>
  <c r="B459" i="11"/>
  <c r="A459" i="11"/>
  <c r="F458" i="11"/>
  <c r="E458" i="11"/>
  <c r="D458" i="11"/>
  <c r="C458" i="11"/>
  <c r="B458" i="11"/>
  <c r="A458" i="11"/>
  <c r="F457" i="11"/>
  <c r="E457" i="11"/>
  <c r="D457" i="11"/>
  <c r="C457" i="11"/>
  <c r="B457" i="11"/>
  <c r="A457" i="11"/>
  <c r="F456" i="11"/>
  <c r="E456" i="11"/>
  <c r="D456" i="11"/>
  <c r="C456" i="11"/>
  <c r="B456" i="11"/>
  <c r="A456" i="11"/>
  <c r="F455" i="11"/>
  <c r="E455" i="11"/>
  <c r="D455" i="11"/>
  <c r="C455" i="11"/>
  <c r="B455" i="11"/>
  <c r="A455" i="11"/>
  <c r="F454" i="11"/>
  <c r="E454" i="11"/>
  <c r="D454" i="11"/>
  <c r="C454" i="11"/>
  <c r="B454" i="11"/>
  <c r="A454" i="11"/>
  <c r="F453" i="11"/>
  <c r="E453" i="11"/>
  <c r="D453" i="11"/>
  <c r="C453" i="11"/>
  <c r="B453" i="11"/>
  <c r="A453" i="11"/>
  <c r="F452" i="11"/>
  <c r="E452" i="11"/>
  <c r="D452" i="11"/>
  <c r="C452" i="11"/>
  <c r="B452" i="11"/>
  <c r="A452" i="11"/>
  <c r="F451" i="11"/>
  <c r="E451" i="11"/>
  <c r="D451" i="11"/>
  <c r="C451" i="11"/>
  <c r="B451" i="11"/>
  <c r="A451" i="11"/>
  <c r="F450" i="11"/>
  <c r="E450" i="11"/>
  <c r="D450" i="11"/>
  <c r="C450" i="11"/>
  <c r="B450" i="11"/>
  <c r="A450" i="11"/>
  <c r="F449" i="11"/>
  <c r="E449" i="11"/>
  <c r="D449" i="11"/>
  <c r="C449" i="11"/>
  <c r="B449" i="11"/>
  <c r="A449" i="11"/>
  <c r="F448" i="11"/>
  <c r="E448" i="11"/>
  <c r="D448" i="11"/>
  <c r="C448" i="11"/>
  <c r="B448" i="11"/>
  <c r="A448" i="11"/>
  <c r="F447" i="11"/>
  <c r="E447" i="11"/>
  <c r="D447" i="11"/>
  <c r="C447" i="11"/>
  <c r="B447" i="11"/>
  <c r="A447" i="11"/>
  <c r="F446" i="11"/>
  <c r="E446" i="11"/>
  <c r="D446" i="11"/>
  <c r="C446" i="11"/>
  <c r="B446" i="11"/>
  <c r="A446" i="11"/>
  <c r="F445" i="11"/>
  <c r="E445" i="11"/>
  <c r="D445" i="11"/>
  <c r="C445" i="11"/>
  <c r="B445" i="11"/>
  <c r="A445" i="11"/>
  <c r="F444" i="11"/>
  <c r="E444" i="11"/>
  <c r="D444" i="11"/>
  <c r="C444" i="11"/>
  <c r="B444" i="11"/>
  <c r="A444" i="11"/>
  <c r="F443" i="11"/>
  <c r="E443" i="11"/>
  <c r="D443" i="11"/>
  <c r="C443" i="11"/>
  <c r="B443" i="11"/>
  <c r="A443" i="11"/>
  <c r="F442" i="11"/>
  <c r="E442" i="11"/>
  <c r="D442" i="11"/>
  <c r="C442" i="11"/>
  <c r="B442" i="11"/>
  <c r="A442" i="11"/>
  <c r="F441" i="11"/>
  <c r="E441" i="11"/>
  <c r="D441" i="11"/>
  <c r="C441" i="11"/>
  <c r="B441" i="11"/>
  <c r="A441" i="11"/>
  <c r="F440" i="11"/>
  <c r="E440" i="11"/>
  <c r="D440" i="11"/>
  <c r="C440" i="11"/>
  <c r="B440" i="11"/>
  <c r="A440" i="11"/>
  <c r="F439" i="11"/>
  <c r="E439" i="11"/>
  <c r="D439" i="11"/>
  <c r="C439" i="11"/>
  <c r="B439" i="11"/>
  <c r="A439" i="11"/>
  <c r="F438" i="11"/>
  <c r="E438" i="11"/>
  <c r="D438" i="11"/>
  <c r="C438" i="11"/>
  <c r="B438" i="11"/>
  <c r="A438" i="11"/>
  <c r="F437" i="11"/>
  <c r="E437" i="11"/>
  <c r="D437" i="11"/>
  <c r="C437" i="11"/>
  <c r="B437" i="11"/>
  <c r="A437" i="11"/>
  <c r="F436" i="11"/>
  <c r="E436" i="11"/>
  <c r="D436" i="11"/>
  <c r="C436" i="11"/>
  <c r="B436" i="11"/>
  <c r="A436" i="11"/>
  <c r="F435" i="11"/>
  <c r="E435" i="11"/>
  <c r="D435" i="11"/>
  <c r="C435" i="11"/>
  <c r="B435" i="11"/>
  <c r="A435" i="11"/>
  <c r="F434" i="11"/>
  <c r="E434" i="11"/>
  <c r="D434" i="11"/>
  <c r="C434" i="11"/>
  <c r="B434" i="11"/>
  <c r="A434" i="11"/>
  <c r="F433" i="11"/>
  <c r="E433" i="11"/>
  <c r="D433" i="11"/>
  <c r="C433" i="11"/>
  <c r="B433" i="11"/>
  <c r="A433" i="11"/>
  <c r="F432" i="11"/>
  <c r="E432" i="11"/>
  <c r="D432" i="11"/>
  <c r="C432" i="11"/>
  <c r="B432" i="11"/>
  <c r="A432" i="11"/>
  <c r="F431" i="11"/>
  <c r="E431" i="11"/>
  <c r="D431" i="11"/>
  <c r="C431" i="11"/>
  <c r="B431" i="11"/>
  <c r="A431" i="11"/>
  <c r="F430" i="11"/>
  <c r="E430" i="11"/>
  <c r="D430" i="11"/>
  <c r="C430" i="11"/>
  <c r="B430" i="11"/>
  <c r="A430" i="11"/>
  <c r="F429" i="11"/>
  <c r="E429" i="11"/>
  <c r="D429" i="11"/>
  <c r="C429" i="11"/>
  <c r="B429" i="11"/>
  <c r="A429" i="11"/>
  <c r="F428" i="11"/>
  <c r="E428" i="11"/>
  <c r="D428" i="11"/>
  <c r="C428" i="11"/>
  <c r="B428" i="11"/>
  <c r="A428" i="11"/>
  <c r="F427" i="11"/>
  <c r="E427" i="11"/>
  <c r="D427" i="11"/>
  <c r="C427" i="11"/>
  <c r="B427" i="11"/>
  <c r="A427" i="11"/>
  <c r="F426" i="11"/>
  <c r="E426" i="11"/>
  <c r="D426" i="11"/>
  <c r="C426" i="11"/>
  <c r="B426" i="11"/>
  <c r="A426" i="11"/>
  <c r="F425" i="11"/>
  <c r="E425" i="11"/>
  <c r="D425" i="11"/>
  <c r="C425" i="11"/>
  <c r="B425" i="11"/>
  <c r="A425" i="11"/>
  <c r="F424" i="11"/>
  <c r="E424" i="11"/>
  <c r="D424" i="11"/>
  <c r="C424" i="11"/>
  <c r="B424" i="11"/>
  <c r="A424" i="11"/>
  <c r="F423" i="11"/>
  <c r="E423" i="11"/>
  <c r="D423" i="11"/>
  <c r="C423" i="11"/>
  <c r="B423" i="11"/>
  <c r="A423" i="11"/>
  <c r="F422" i="11"/>
  <c r="E422" i="11"/>
  <c r="D422" i="11"/>
  <c r="C422" i="11"/>
  <c r="B422" i="11"/>
  <c r="A422" i="11"/>
  <c r="F421" i="11"/>
  <c r="E421" i="11"/>
  <c r="D421" i="11"/>
  <c r="C421" i="11"/>
  <c r="B421" i="11"/>
  <c r="A421" i="11"/>
  <c r="F420" i="11"/>
  <c r="E420" i="11"/>
  <c r="D420" i="11"/>
  <c r="C420" i="11"/>
  <c r="B420" i="11"/>
  <c r="A420" i="11"/>
  <c r="F419" i="11"/>
  <c r="E419" i="11"/>
  <c r="D419" i="11"/>
  <c r="C419" i="11"/>
  <c r="B419" i="11"/>
  <c r="A419" i="11"/>
  <c r="F418" i="11"/>
  <c r="E418" i="11"/>
  <c r="D418" i="11"/>
  <c r="C418" i="11"/>
  <c r="B418" i="11"/>
  <c r="A418" i="11"/>
  <c r="F417" i="11"/>
  <c r="E417" i="11"/>
  <c r="D417" i="11"/>
  <c r="C417" i="11"/>
  <c r="B417" i="11"/>
  <c r="A417" i="11"/>
  <c r="F416" i="11"/>
  <c r="E416" i="11"/>
  <c r="D416" i="11"/>
  <c r="C416" i="11"/>
  <c r="B416" i="11"/>
  <c r="A416" i="11"/>
  <c r="F415" i="11"/>
  <c r="E415" i="11"/>
  <c r="D415" i="11"/>
  <c r="C415" i="11"/>
  <c r="B415" i="11"/>
  <c r="A415" i="11"/>
  <c r="F414" i="11"/>
  <c r="E414" i="11"/>
  <c r="D414" i="11"/>
  <c r="C414" i="11"/>
  <c r="B414" i="11"/>
  <c r="A414" i="11"/>
  <c r="F413" i="11"/>
  <c r="E413" i="11"/>
  <c r="D413" i="11"/>
  <c r="C413" i="11"/>
  <c r="B413" i="11"/>
  <c r="A413" i="11"/>
  <c r="F412" i="11"/>
  <c r="E412" i="11"/>
  <c r="D412" i="11"/>
  <c r="C412" i="11"/>
  <c r="B412" i="11"/>
  <c r="A412" i="11"/>
  <c r="F411" i="11"/>
  <c r="E411" i="11"/>
  <c r="D411" i="11"/>
  <c r="C411" i="11"/>
  <c r="B411" i="11"/>
  <c r="A411" i="11"/>
  <c r="F410" i="11"/>
  <c r="E410" i="11"/>
  <c r="D410" i="11"/>
  <c r="C410" i="11"/>
  <c r="B410" i="11"/>
  <c r="A410" i="11"/>
  <c r="F409" i="11"/>
  <c r="E409" i="11"/>
  <c r="D409" i="11"/>
  <c r="C409" i="11"/>
  <c r="B409" i="11"/>
  <c r="A409" i="11"/>
  <c r="F408" i="11"/>
  <c r="E408" i="11"/>
  <c r="D408" i="11"/>
  <c r="C408" i="11"/>
  <c r="B408" i="11"/>
  <c r="A408" i="11"/>
  <c r="F407" i="11"/>
  <c r="E407" i="11"/>
  <c r="D407" i="11"/>
  <c r="C407" i="11"/>
  <c r="B407" i="11"/>
  <c r="A407" i="11"/>
  <c r="F406" i="11"/>
  <c r="E406" i="11"/>
  <c r="D406" i="11"/>
  <c r="C406" i="11"/>
  <c r="B406" i="11"/>
  <c r="A406" i="11"/>
  <c r="F405" i="11"/>
  <c r="E405" i="11"/>
  <c r="D405" i="11"/>
  <c r="C405" i="11"/>
  <c r="B405" i="11"/>
  <c r="A405" i="11"/>
  <c r="F404" i="11"/>
  <c r="E404" i="11"/>
  <c r="D404" i="11"/>
  <c r="C404" i="11"/>
  <c r="B404" i="11"/>
  <c r="A404" i="11"/>
  <c r="F403" i="11"/>
  <c r="E403" i="11"/>
  <c r="D403" i="11"/>
  <c r="C403" i="11"/>
  <c r="B403" i="11"/>
  <c r="A403" i="11"/>
  <c r="F402" i="11"/>
  <c r="E402" i="11"/>
  <c r="D402" i="11"/>
  <c r="C402" i="11"/>
  <c r="B402" i="11"/>
  <c r="A402" i="11"/>
  <c r="F401" i="11"/>
  <c r="E401" i="11"/>
  <c r="D401" i="11"/>
  <c r="C401" i="11"/>
  <c r="B401" i="11"/>
  <c r="A401" i="11"/>
  <c r="F400" i="11"/>
  <c r="E400" i="11"/>
  <c r="D400" i="11"/>
  <c r="C400" i="11"/>
  <c r="B400" i="11"/>
  <c r="A400" i="11"/>
  <c r="F399" i="11"/>
  <c r="E399" i="11"/>
  <c r="D399" i="11"/>
  <c r="C399" i="11"/>
  <c r="B399" i="11"/>
  <c r="A399" i="11"/>
  <c r="F398" i="11"/>
  <c r="E398" i="11"/>
  <c r="D398" i="11"/>
  <c r="C398" i="11"/>
  <c r="B398" i="11"/>
  <c r="A398" i="11"/>
  <c r="F397" i="11"/>
  <c r="E397" i="11"/>
  <c r="D397" i="11"/>
  <c r="C397" i="11"/>
  <c r="B397" i="11"/>
  <c r="A397" i="11"/>
  <c r="F396" i="11"/>
  <c r="E396" i="11"/>
  <c r="D396" i="11"/>
  <c r="C396" i="11"/>
  <c r="B396" i="11"/>
  <c r="A396" i="11"/>
  <c r="F395" i="11"/>
  <c r="E395" i="11"/>
  <c r="D395" i="11"/>
  <c r="C395" i="11"/>
  <c r="B395" i="11"/>
  <c r="A395" i="11"/>
  <c r="F394" i="11"/>
  <c r="E394" i="11"/>
  <c r="D394" i="11"/>
  <c r="C394" i="11"/>
  <c r="B394" i="11"/>
  <c r="A394" i="11"/>
  <c r="F393" i="11"/>
  <c r="E393" i="11"/>
  <c r="D393" i="11"/>
  <c r="C393" i="11"/>
  <c r="B393" i="11"/>
  <c r="A393" i="11"/>
  <c r="F392" i="11"/>
  <c r="E392" i="11"/>
  <c r="D392" i="11"/>
  <c r="C392" i="11"/>
  <c r="B392" i="11"/>
  <c r="A392" i="11"/>
  <c r="F391" i="11"/>
  <c r="E391" i="11"/>
  <c r="D391" i="11"/>
  <c r="C391" i="11"/>
  <c r="B391" i="11"/>
  <c r="A391" i="11"/>
  <c r="F390" i="11"/>
  <c r="E390" i="11"/>
  <c r="D390" i="11"/>
  <c r="C390" i="11"/>
  <c r="B390" i="11"/>
  <c r="A390" i="11"/>
  <c r="F389" i="11"/>
  <c r="E389" i="11"/>
  <c r="D389" i="11"/>
  <c r="C389" i="11"/>
  <c r="B389" i="11"/>
  <c r="A389" i="11"/>
  <c r="F388" i="11"/>
  <c r="E388" i="11"/>
  <c r="D388" i="11"/>
  <c r="C388" i="11"/>
  <c r="B388" i="11"/>
  <c r="A388" i="11"/>
  <c r="F387" i="11"/>
  <c r="E387" i="11"/>
  <c r="D387" i="11"/>
  <c r="C387" i="11"/>
  <c r="B387" i="11"/>
  <c r="A387" i="11"/>
  <c r="F386" i="11"/>
  <c r="E386" i="11"/>
  <c r="D386" i="11"/>
  <c r="C386" i="11"/>
  <c r="B386" i="11"/>
  <c r="A386" i="11"/>
  <c r="F385" i="11"/>
  <c r="E385" i="11"/>
  <c r="D385" i="11"/>
  <c r="C385" i="11"/>
  <c r="B385" i="11"/>
  <c r="A385" i="11"/>
  <c r="F384" i="11"/>
  <c r="E384" i="11"/>
  <c r="D384" i="11"/>
  <c r="C384" i="11"/>
  <c r="B384" i="11"/>
  <c r="A384" i="11"/>
  <c r="F383" i="11"/>
  <c r="E383" i="11"/>
  <c r="D383" i="11"/>
  <c r="C383" i="11"/>
  <c r="B383" i="11"/>
  <c r="A383" i="11"/>
  <c r="F382" i="11"/>
  <c r="E382" i="11"/>
  <c r="D382" i="11"/>
  <c r="C382" i="11"/>
  <c r="B382" i="11"/>
  <c r="A382" i="11"/>
  <c r="F381" i="11"/>
  <c r="E381" i="11"/>
  <c r="D381" i="11"/>
  <c r="C381" i="11"/>
  <c r="B381" i="11"/>
  <c r="A381" i="11"/>
  <c r="F380" i="11"/>
  <c r="E380" i="11"/>
  <c r="D380" i="11"/>
  <c r="C380" i="11"/>
  <c r="B380" i="11"/>
  <c r="A380" i="11"/>
  <c r="F379" i="11"/>
  <c r="E379" i="11"/>
  <c r="D379" i="11"/>
  <c r="C379" i="11"/>
  <c r="B379" i="11"/>
  <c r="A379" i="11"/>
  <c r="F378" i="11"/>
  <c r="E378" i="11"/>
  <c r="D378" i="11"/>
  <c r="C378" i="11"/>
  <c r="B378" i="11"/>
  <c r="A378" i="11"/>
  <c r="F377" i="11"/>
  <c r="E377" i="11"/>
  <c r="D377" i="11"/>
  <c r="C377" i="11"/>
  <c r="B377" i="11"/>
  <c r="A377" i="11"/>
  <c r="F376" i="11"/>
  <c r="E376" i="11"/>
  <c r="D376" i="11"/>
  <c r="C376" i="11"/>
  <c r="B376" i="11"/>
  <c r="A376" i="11"/>
  <c r="F375" i="11"/>
  <c r="E375" i="11"/>
  <c r="D375" i="11"/>
  <c r="C375" i="11"/>
  <c r="B375" i="11"/>
  <c r="A375" i="11"/>
  <c r="F374" i="11"/>
  <c r="E374" i="11"/>
  <c r="D374" i="11"/>
  <c r="C374" i="11"/>
  <c r="B374" i="11"/>
  <c r="A374" i="11"/>
  <c r="F373" i="11"/>
  <c r="E373" i="11"/>
  <c r="D373" i="11"/>
  <c r="C373" i="11"/>
  <c r="B373" i="11"/>
  <c r="A373" i="11"/>
  <c r="F372" i="11"/>
  <c r="E372" i="11"/>
  <c r="D372" i="11"/>
  <c r="C372" i="11"/>
  <c r="B372" i="11"/>
  <c r="A372" i="11"/>
  <c r="F371" i="11"/>
  <c r="E371" i="11"/>
  <c r="D371" i="11"/>
  <c r="C371" i="11"/>
  <c r="B371" i="11"/>
  <c r="A371" i="11"/>
  <c r="F370" i="11"/>
  <c r="E370" i="11"/>
  <c r="D370" i="11"/>
  <c r="C370" i="11"/>
  <c r="B370" i="11"/>
  <c r="A370" i="11"/>
  <c r="F369" i="11"/>
  <c r="E369" i="11"/>
  <c r="D369" i="11"/>
  <c r="C369" i="11"/>
  <c r="B369" i="11"/>
  <c r="A369" i="11"/>
  <c r="F368" i="11"/>
  <c r="E368" i="11"/>
  <c r="D368" i="11"/>
  <c r="C368" i="11"/>
  <c r="B368" i="11"/>
  <c r="A368" i="11"/>
  <c r="F367" i="11"/>
  <c r="E367" i="11"/>
  <c r="D367" i="11"/>
  <c r="C367" i="11"/>
  <c r="B367" i="11"/>
  <c r="A367" i="11"/>
  <c r="F366" i="11"/>
  <c r="E366" i="11"/>
  <c r="D366" i="11"/>
  <c r="C366" i="11"/>
  <c r="B366" i="11"/>
  <c r="A366" i="11"/>
  <c r="F365" i="11"/>
  <c r="E365" i="11"/>
  <c r="D365" i="11"/>
  <c r="C365" i="11"/>
  <c r="B365" i="11"/>
  <c r="A365" i="11"/>
  <c r="F364" i="11"/>
  <c r="E364" i="11"/>
  <c r="D364" i="11"/>
  <c r="C364" i="11"/>
  <c r="B364" i="11"/>
  <c r="A364" i="11"/>
  <c r="F363" i="11"/>
  <c r="E363" i="11"/>
  <c r="D363" i="11"/>
  <c r="C363" i="11"/>
  <c r="B363" i="11"/>
  <c r="A363" i="11"/>
  <c r="F362" i="11"/>
  <c r="E362" i="11"/>
  <c r="D362" i="11"/>
  <c r="C362" i="11"/>
  <c r="B362" i="11"/>
  <c r="A362" i="11"/>
  <c r="F361" i="11"/>
  <c r="E361" i="11"/>
  <c r="D361" i="11"/>
  <c r="C361" i="11"/>
  <c r="B361" i="11"/>
  <c r="A361" i="11"/>
  <c r="F360" i="11"/>
  <c r="E360" i="11"/>
  <c r="D360" i="11"/>
  <c r="C360" i="11"/>
  <c r="B360" i="11"/>
  <c r="A360" i="11"/>
  <c r="F359" i="11"/>
  <c r="E359" i="11"/>
  <c r="D359" i="11"/>
  <c r="C359" i="11"/>
  <c r="B359" i="11"/>
  <c r="A359" i="11"/>
  <c r="F358" i="11"/>
  <c r="E358" i="11"/>
  <c r="D358" i="11"/>
  <c r="C358" i="11"/>
  <c r="B358" i="11"/>
  <c r="A358" i="11"/>
  <c r="F357" i="11"/>
  <c r="E357" i="11"/>
  <c r="D357" i="11"/>
  <c r="C357" i="11"/>
  <c r="B357" i="11"/>
  <c r="A357" i="11"/>
  <c r="F356" i="11"/>
  <c r="E356" i="11"/>
  <c r="D356" i="11"/>
  <c r="C356" i="11"/>
  <c r="B356" i="11"/>
  <c r="A356" i="11"/>
  <c r="F355" i="11"/>
  <c r="E355" i="11"/>
  <c r="D355" i="11"/>
  <c r="C355" i="11"/>
  <c r="B355" i="11"/>
  <c r="A355" i="11"/>
  <c r="F354" i="11"/>
  <c r="E354" i="11"/>
  <c r="D354" i="11"/>
  <c r="C354" i="11"/>
  <c r="B354" i="11"/>
  <c r="A354" i="11"/>
  <c r="F353" i="11"/>
  <c r="E353" i="11"/>
  <c r="D353" i="11"/>
  <c r="C353" i="11"/>
  <c r="B353" i="11"/>
  <c r="A353" i="11"/>
  <c r="F352" i="11"/>
  <c r="E352" i="11"/>
  <c r="D352" i="11"/>
  <c r="C352" i="11"/>
  <c r="B352" i="11"/>
  <c r="A352" i="11"/>
  <c r="F351" i="11"/>
  <c r="E351" i="11"/>
  <c r="D351" i="11"/>
  <c r="C351" i="11"/>
  <c r="B351" i="11"/>
  <c r="A351" i="11"/>
  <c r="F350" i="11"/>
  <c r="E350" i="11"/>
  <c r="D350" i="11"/>
  <c r="C350" i="11"/>
  <c r="B350" i="11"/>
  <c r="A350" i="11"/>
  <c r="F349" i="11"/>
  <c r="E349" i="11"/>
  <c r="D349" i="11"/>
  <c r="C349" i="11"/>
  <c r="B349" i="11"/>
  <c r="A349" i="11"/>
  <c r="F348" i="11"/>
  <c r="E348" i="11"/>
  <c r="D348" i="11"/>
  <c r="C348" i="11"/>
  <c r="B348" i="11"/>
  <c r="A348" i="11"/>
  <c r="F347" i="11"/>
  <c r="E347" i="11"/>
  <c r="D347" i="11"/>
  <c r="C347" i="11"/>
  <c r="B347" i="11"/>
  <c r="A347" i="11"/>
  <c r="F346" i="11"/>
  <c r="E346" i="11"/>
  <c r="D346" i="11"/>
  <c r="C346" i="11"/>
  <c r="B346" i="11"/>
  <c r="A346" i="11"/>
  <c r="F345" i="11"/>
  <c r="E345" i="11"/>
  <c r="D345" i="11"/>
  <c r="C345" i="11"/>
  <c r="B345" i="11"/>
  <c r="A345" i="11"/>
  <c r="F344" i="11"/>
  <c r="E344" i="11"/>
  <c r="D344" i="11"/>
  <c r="C344" i="11"/>
  <c r="B344" i="11"/>
  <c r="A344" i="11"/>
  <c r="F343" i="11"/>
  <c r="E343" i="11"/>
  <c r="D343" i="11"/>
  <c r="C343" i="11"/>
  <c r="B343" i="11"/>
  <c r="A343" i="11"/>
  <c r="F342" i="11"/>
  <c r="E342" i="11"/>
  <c r="D342" i="11"/>
  <c r="C342" i="11"/>
  <c r="B342" i="11"/>
  <c r="A342" i="11"/>
  <c r="F341" i="11"/>
  <c r="E341" i="11"/>
  <c r="D341" i="11"/>
  <c r="C341" i="11"/>
  <c r="B341" i="11"/>
  <c r="A341" i="11"/>
  <c r="F340" i="11"/>
  <c r="E340" i="11"/>
  <c r="D340" i="11"/>
  <c r="C340" i="11"/>
  <c r="B340" i="11"/>
  <c r="A340" i="11"/>
  <c r="F339" i="11"/>
  <c r="E339" i="11"/>
  <c r="D339" i="11"/>
  <c r="C339" i="11"/>
  <c r="B339" i="11"/>
  <c r="A339" i="11"/>
  <c r="F338" i="11"/>
  <c r="E338" i="11"/>
  <c r="D338" i="11"/>
  <c r="C338" i="11"/>
  <c r="B338" i="11"/>
  <c r="A338" i="11"/>
  <c r="F337" i="11"/>
  <c r="E337" i="11"/>
  <c r="D337" i="11"/>
  <c r="C337" i="11"/>
  <c r="B337" i="11"/>
  <c r="A337" i="11"/>
  <c r="F336" i="11"/>
  <c r="E336" i="11"/>
  <c r="D336" i="11"/>
  <c r="C336" i="11"/>
  <c r="B336" i="11"/>
  <c r="A336" i="11"/>
  <c r="F335" i="11"/>
  <c r="E335" i="11"/>
  <c r="D335" i="11"/>
  <c r="C335" i="11"/>
  <c r="B335" i="11"/>
  <c r="A335" i="11"/>
  <c r="F334" i="11"/>
  <c r="E334" i="11"/>
  <c r="D334" i="11"/>
  <c r="C334" i="11"/>
  <c r="B334" i="11"/>
  <c r="A334" i="11"/>
  <c r="F333" i="11"/>
  <c r="E333" i="11"/>
  <c r="D333" i="11"/>
  <c r="C333" i="11"/>
  <c r="B333" i="11"/>
  <c r="A333" i="11"/>
  <c r="F332" i="11"/>
  <c r="E332" i="11"/>
  <c r="D332" i="11"/>
  <c r="C332" i="11"/>
  <c r="B332" i="11"/>
  <c r="A332" i="11"/>
  <c r="F331" i="11"/>
  <c r="E331" i="11"/>
  <c r="D331" i="11"/>
  <c r="C331" i="11"/>
  <c r="B331" i="11"/>
  <c r="A331" i="11"/>
  <c r="F330" i="11"/>
  <c r="E330" i="11"/>
  <c r="D330" i="11"/>
  <c r="C330" i="11"/>
  <c r="B330" i="11"/>
  <c r="A330" i="11"/>
  <c r="F329" i="11"/>
  <c r="E329" i="11"/>
  <c r="D329" i="11"/>
  <c r="C329" i="11"/>
  <c r="B329" i="11"/>
  <c r="A329" i="11"/>
  <c r="F328" i="11"/>
  <c r="E328" i="11"/>
  <c r="D328" i="11"/>
  <c r="C328" i="11"/>
  <c r="B328" i="11"/>
  <c r="A328" i="11"/>
  <c r="F327" i="11"/>
  <c r="E327" i="11"/>
  <c r="D327" i="11"/>
  <c r="C327" i="11"/>
  <c r="B327" i="11"/>
  <c r="A327" i="11"/>
  <c r="F326" i="11"/>
  <c r="E326" i="11"/>
  <c r="D326" i="11"/>
  <c r="C326" i="11"/>
  <c r="B326" i="11"/>
  <c r="A326" i="11"/>
  <c r="F325" i="11"/>
  <c r="E325" i="11"/>
  <c r="D325" i="11"/>
  <c r="C325" i="11"/>
  <c r="B325" i="11"/>
  <c r="A325" i="11"/>
  <c r="F324" i="11"/>
  <c r="E324" i="11"/>
  <c r="D324" i="11"/>
  <c r="C324" i="11"/>
  <c r="B324" i="11"/>
  <c r="A324" i="11"/>
  <c r="F323" i="11"/>
  <c r="E323" i="11"/>
  <c r="D323" i="11"/>
  <c r="C323" i="11"/>
  <c r="B323" i="11"/>
  <c r="A323" i="11"/>
  <c r="F322" i="11"/>
  <c r="E322" i="11"/>
  <c r="D322" i="11"/>
  <c r="C322" i="11"/>
  <c r="B322" i="11"/>
  <c r="A322" i="11"/>
  <c r="F321" i="11"/>
  <c r="E321" i="11"/>
  <c r="D321" i="11"/>
  <c r="C321" i="11"/>
  <c r="B321" i="11"/>
  <c r="A321" i="11"/>
  <c r="F320" i="11"/>
  <c r="E320" i="11"/>
  <c r="D320" i="11"/>
  <c r="C320" i="11"/>
  <c r="B320" i="11"/>
  <c r="A320" i="11"/>
  <c r="F319" i="11"/>
  <c r="E319" i="11"/>
  <c r="D319" i="11"/>
  <c r="C319" i="11"/>
  <c r="B319" i="11"/>
  <c r="A319" i="11"/>
  <c r="F318" i="11"/>
  <c r="E318" i="11"/>
  <c r="D318" i="11"/>
  <c r="C318" i="11"/>
  <c r="B318" i="11"/>
  <c r="A318" i="11"/>
  <c r="F317" i="11"/>
  <c r="E317" i="11"/>
  <c r="D317" i="11"/>
  <c r="C317" i="11"/>
  <c r="B317" i="11"/>
  <c r="A317" i="11"/>
  <c r="F316" i="11"/>
  <c r="E316" i="11"/>
  <c r="D316" i="11"/>
  <c r="C316" i="11"/>
  <c r="B316" i="11"/>
  <c r="A316" i="11"/>
  <c r="F315" i="11"/>
  <c r="E315" i="11"/>
  <c r="D315" i="11"/>
  <c r="C315" i="11"/>
  <c r="B315" i="11"/>
  <c r="A315" i="11"/>
  <c r="F314" i="11"/>
  <c r="E314" i="11"/>
  <c r="D314" i="11"/>
  <c r="C314" i="11"/>
  <c r="B314" i="11"/>
  <c r="A314" i="11"/>
  <c r="F313" i="11"/>
  <c r="E313" i="11"/>
  <c r="D313" i="11"/>
  <c r="C313" i="11"/>
  <c r="B313" i="11"/>
  <c r="A313" i="11"/>
  <c r="F312" i="11"/>
  <c r="E312" i="11"/>
  <c r="D312" i="11"/>
  <c r="C312" i="11"/>
  <c r="B312" i="11"/>
  <c r="A312" i="11"/>
  <c r="F311" i="11"/>
  <c r="E311" i="11"/>
  <c r="D311" i="11"/>
  <c r="C311" i="11"/>
  <c r="B311" i="11"/>
  <c r="A311" i="11"/>
  <c r="F310" i="11"/>
  <c r="E310" i="11"/>
  <c r="D310" i="11"/>
  <c r="C310" i="11"/>
  <c r="B310" i="11"/>
  <c r="A310" i="11"/>
  <c r="F309" i="11"/>
  <c r="E309" i="11"/>
  <c r="D309" i="11"/>
  <c r="C309" i="11"/>
  <c r="B309" i="11"/>
  <c r="A309" i="11"/>
  <c r="F308" i="11"/>
  <c r="E308" i="11"/>
  <c r="D308" i="11"/>
  <c r="C308" i="11"/>
  <c r="B308" i="11"/>
  <c r="A308" i="11"/>
  <c r="F307" i="11"/>
  <c r="E307" i="11"/>
  <c r="D307" i="11"/>
  <c r="C307" i="11"/>
  <c r="B307" i="11"/>
  <c r="A307" i="11"/>
  <c r="F306" i="11"/>
  <c r="E306" i="11"/>
  <c r="D306" i="11"/>
  <c r="C306" i="11"/>
  <c r="B306" i="11"/>
  <c r="A306" i="11"/>
  <c r="F305" i="11"/>
  <c r="E305" i="11"/>
  <c r="D305" i="11"/>
  <c r="C305" i="11"/>
  <c r="B305" i="11"/>
  <c r="A305" i="11"/>
  <c r="F304" i="11"/>
  <c r="E304" i="11"/>
  <c r="D304" i="11"/>
  <c r="C304" i="11"/>
  <c r="B304" i="11"/>
  <c r="A304" i="11"/>
  <c r="F303" i="11"/>
  <c r="E303" i="11"/>
  <c r="D303" i="11"/>
  <c r="C303" i="11"/>
  <c r="B303" i="11"/>
  <c r="A303" i="11"/>
  <c r="F302" i="11"/>
  <c r="E302" i="11"/>
  <c r="D302" i="11"/>
  <c r="C302" i="11"/>
  <c r="B302" i="11"/>
  <c r="A302" i="11"/>
  <c r="F301" i="11"/>
  <c r="E301" i="11"/>
  <c r="D301" i="11"/>
  <c r="C301" i="11"/>
  <c r="B301" i="11"/>
  <c r="A301" i="11"/>
  <c r="F300" i="11"/>
  <c r="E300" i="11"/>
  <c r="D300" i="11"/>
  <c r="C300" i="11"/>
  <c r="B300" i="11"/>
  <c r="A300" i="11"/>
  <c r="F299" i="11"/>
  <c r="E299" i="11"/>
  <c r="D299" i="11"/>
  <c r="C299" i="11"/>
  <c r="B299" i="11"/>
  <c r="A299" i="11"/>
  <c r="F298" i="11"/>
  <c r="E298" i="11"/>
  <c r="D298" i="11"/>
  <c r="C298" i="11"/>
  <c r="B298" i="11"/>
  <c r="A298" i="11"/>
  <c r="F297" i="11"/>
  <c r="E297" i="11"/>
  <c r="D297" i="11"/>
  <c r="C297" i="11"/>
  <c r="B297" i="11"/>
  <c r="A297" i="11"/>
  <c r="F296" i="11"/>
  <c r="E296" i="11"/>
  <c r="D296" i="11"/>
  <c r="C296" i="11"/>
  <c r="B296" i="11"/>
  <c r="A296" i="11"/>
  <c r="F295" i="11"/>
  <c r="E295" i="11"/>
  <c r="D295" i="11"/>
  <c r="C295" i="11"/>
  <c r="B295" i="11"/>
  <c r="A295" i="11"/>
  <c r="F294" i="11"/>
  <c r="E294" i="11"/>
  <c r="D294" i="11"/>
  <c r="C294" i="11"/>
  <c r="B294" i="11"/>
  <c r="A294" i="11"/>
  <c r="F293" i="11"/>
  <c r="E293" i="11"/>
  <c r="D293" i="11"/>
  <c r="C293" i="11"/>
  <c r="B293" i="11"/>
  <c r="A293" i="11"/>
  <c r="F292" i="11"/>
  <c r="E292" i="11"/>
  <c r="D292" i="11"/>
  <c r="C292" i="11"/>
  <c r="B292" i="11"/>
  <c r="A292" i="11"/>
  <c r="F291" i="11"/>
  <c r="E291" i="11"/>
  <c r="D291" i="11"/>
  <c r="C291" i="11"/>
  <c r="B291" i="11"/>
  <c r="A291" i="11"/>
  <c r="F290" i="11"/>
  <c r="E290" i="11"/>
  <c r="D290" i="11"/>
  <c r="C290" i="11"/>
  <c r="B290" i="11"/>
  <c r="A290" i="11"/>
  <c r="F289" i="11"/>
  <c r="E289" i="11"/>
  <c r="D289" i="11"/>
  <c r="C289" i="11"/>
  <c r="B289" i="11"/>
  <c r="A289" i="11"/>
  <c r="F288" i="11"/>
  <c r="E288" i="11"/>
  <c r="D288" i="11"/>
  <c r="C288" i="11"/>
  <c r="B288" i="11"/>
  <c r="A288" i="11"/>
  <c r="F287" i="11"/>
  <c r="E287" i="11"/>
  <c r="D287" i="11"/>
  <c r="C287" i="11"/>
  <c r="B287" i="11"/>
  <c r="A287" i="11"/>
  <c r="F286" i="11"/>
  <c r="E286" i="11"/>
  <c r="D286" i="11"/>
  <c r="C286" i="11"/>
  <c r="B286" i="11"/>
  <c r="A286" i="11"/>
  <c r="F285" i="11"/>
  <c r="E285" i="11"/>
  <c r="D285" i="11"/>
  <c r="C285" i="11"/>
  <c r="B285" i="11"/>
  <c r="A285" i="11"/>
  <c r="F284" i="11"/>
  <c r="E284" i="11"/>
  <c r="D284" i="11"/>
  <c r="C284" i="11"/>
  <c r="B284" i="11"/>
  <c r="A284" i="11"/>
  <c r="F283" i="11"/>
  <c r="E283" i="11"/>
  <c r="D283" i="11"/>
  <c r="C283" i="11"/>
  <c r="B283" i="11"/>
  <c r="A283" i="11"/>
  <c r="F282" i="11"/>
  <c r="E282" i="11"/>
  <c r="D282" i="11"/>
  <c r="C282" i="11"/>
  <c r="B282" i="11"/>
  <c r="A282" i="11"/>
  <c r="F281" i="11"/>
  <c r="E281" i="11"/>
  <c r="D281" i="11"/>
  <c r="C281" i="11"/>
  <c r="B281" i="11"/>
  <c r="A281" i="11"/>
  <c r="F280" i="11"/>
  <c r="E280" i="11"/>
  <c r="D280" i="11"/>
  <c r="C280" i="11"/>
  <c r="B280" i="11"/>
  <c r="A280" i="11"/>
  <c r="F279" i="11"/>
  <c r="E279" i="11"/>
  <c r="D279" i="11"/>
  <c r="C279" i="11"/>
  <c r="B279" i="11"/>
  <c r="A279" i="11"/>
  <c r="F278" i="11"/>
  <c r="E278" i="11"/>
  <c r="D278" i="11"/>
  <c r="C278" i="11"/>
  <c r="B278" i="11"/>
  <c r="A278" i="11"/>
  <c r="F277" i="11"/>
  <c r="E277" i="11"/>
  <c r="D277" i="11"/>
  <c r="C277" i="11"/>
  <c r="B277" i="11"/>
  <c r="A277" i="11"/>
  <c r="F276" i="11"/>
  <c r="E276" i="11"/>
  <c r="D276" i="11"/>
  <c r="C276" i="11"/>
  <c r="B276" i="11"/>
  <c r="A276" i="11"/>
  <c r="F275" i="11"/>
  <c r="E275" i="11"/>
  <c r="D275" i="11"/>
  <c r="C275" i="11"/>
  <c r="B275" i="11"/>
  <c r="A275" i="11"/>
  <c r="F274" i="11"/>
  <c r="E274" i="11"/>
  <c r="D274" i="11"/>
  <c r="C274" i="11"/>
  <c r="B274" i="11"/>
  <c r="A274" i="11"/>
  <c r="F273" i="11"/>
  <c r="E273" i="11"/>
  <c r="D273" i="11"/>
  <c r="C273" i="11"/>
  <c r="B273" i="11"/>
  <c r="A273" i="11"/>
  <c r="F272" i="11"/>
  <c r="E272" i="11"/>
  <c r="D272" i="11"/>
  <c r="C272" i="11"/>
  <c r="B272" i="11"/>
  <c r="A272" i="11"/>
  <c r="F271" i="11"/>
  <c r="E271" i="11"/>
  <c r="D271" i="11"/>
  <c r="C271" i="11"/>
  <c r="B271" i="11"/>
  <c r="A271" i="11"/>
  <c r="F270" i="11"/>
  <c r="E270" i="11"/>
  <c r="D270" i="11"/>
  <c r="C270" i="11"/>
  <c r="B270" i="11"/>
  <c r="A270" i="11"/>
  <c r="F269" i="11"/>
  <c r="E269" i="11"/>
  <c r="D269" i="11"/>
  <c r="C269" i="11"/>
  <c r="B269" i="11"/>
  <c r="A269" i="11"/>
  <c r="F268" i="11"/>
  <c r="E268" i="11"/>
  <c r="D268" i="11"/>
  <c r="C268" i="11"/>
  <c r="B268" i="11"/>
  <c r="A268" i="11"/>
  <c r="F267" i="11"/>
  <c r="E267" i="11"/>
  <c r="D267" i="11"/>
  <c r="C267" i="11"/>
  <c r="B267" i="11"/>
  <c r="A267" i="11"/>
  <c r="F266" i="11"/>
  <c r="E266" i="11"/>
  <c r="D266" i="11"/>
  <c r="C266" i="11"/>
  <c r="B266" i="11"/>
  <c r="A266" i="11"/>
  <c r="F265" i="11"/>
  <c r="E265" i="11"/>
  <c r="D265" i="11"/>
  <c r="C265" i="11"/>
  <c r="B265" i="11"/>
  <c r="A265" i="11"/>
  <c r="F264" i="11"/>
  <c r="E264" i="11"/>
  <c r="D264" i="11"/>
  <c r="C264" i="11"/>
  <c r="B264" i="11"/>
  <c r="A264" i="11"/>
  <c r="F263" i="11"/>
  <c r="E263" i="11"/>
  <c r="D263" i="11"/>
  <c r="C263" i="11"/>
  <c r="B263" i="11"/>
  <c r="A263" i="11"/>
  <c r="F262" i="11"/>
  <c r="E262" i="11"/>
  <c r="D262" i="11"/>
  <c r="C262" i="11"/>
  <c r="B262" i="11"/>
  <c r="A262" i="11"/>
  <c r="F261" i="11"/>
  <c r="E261" i="11"/>
  <c r="D261" i="11"/>
  <c r="C261" i="11"/>
  <c r="B261" i="11"/>
  <c r="A261" i="11"/>
  <c r="F260" i="11"/>
  <c r="E260" i="11"/>
  <c r="D260" i="11"/>
  <c r="C260" i="11"/>
  <c r="B260" i="11"/>
  <c r="A260" i="11"/>
  <c r="F259" i="11"/>
  <c r="E259" i="11"/>
  <c r="D259" i="11"/>
  <c r="C259" i="11"/>
  <c r="B259" i="11"/>
  <c r="A259" i="11"/>
  <c r="F258" i="11"/>
  <c r="E258" i="11"/>
  <c r="D258" i="11"/>
  <c r="C258" i="11"/>
  <c r="B258" i="11"/>
  <c r="A258" i="11"/>
  <c r="F257" i="11"/>
  <c r="E257" i="11"/>
  <c r="D257" i="11"/>
  <c r="C257" i="11"/>
  <c r="B257" i="11"/>
  <c r="A257" i="11"/>
  <c r="F256" i="11"/>
  <c r="E256" i="11"/>
  <c r="D256" i="11"/>
  <c r="C256" i="11"/>
  <c r="B256" i="11"/>
  <c r="A256" i="11"/>
  <c r="F255" i="11"/>
  <c r="E255" i="11"/>
  <c r="D255" i="11"/>
  <c r="C255" i="11"/>
  <c r="B255" i="11"/>
  <c r="A255" i="11"/>
  <c r="F254" i="11"/>
  <c r="E254" i="11"/>
  <c r="D254" i="11"/>
  <c r="C254" i="11"/>
  <c r="B254" i="11"/>
  <c r="A254" i="11"/>
  <c r="F253" i="11"/>
  <c r="E253" i="11"/>
  <c r="D253" i="11"/>
  <c r="C253" i="11"/>
  <c r="B253" i="11"/>
  <c r="A253" i="11"/>
  <c r="F252" i="11"/>
  <c r="E252" i="11"/>
  <c r="D252" i="11"/>
  <c r="C252" i="11"/>
  <c r="B252" i="11"/>
  <c r="A252" i="11"/>
  <c r="F251" i="11"/>
  <c r="E251" i="11"/>
  <c r="D251" i="11"/>
  <c r="C251" i="11"/>
  <c r="B251" i="11"/>
  <c r="A251" i="11"/>
  <c r="F250" i="11"/>
  <c r="E250" i="11"/>
  <c r="D250" i="11"/>
  <c r="C250" i="11"/>
  <c r="B250" i="11"/>
  <c r="A250" i="11"/>
  <c r="F249" i="11"/>
  <c r="E249" i="11"/>
  <c r="D249" i="11"/>
  <c r="C249" i="11"/>
  <c r="B249" i="11"/>
  <c r="A249" i="11"/>
  <c r="F248" i="11"/>
  <c r="E248" i="11"/>
  <c r="D248" i="11"/>
  <c r="C248" i="11"/>
  <c r="B248" i="11"/>
  <c r="A248" i="11"/>
  <c r="F247" i="11"/>
  <c r="E247" i="11"/>
  <c r="D247" i="11"/>
  <c r="C247" i="11"/>
  <c r="B247" i="11"/>
  <c r="A247" i="11"/>
  <c r="F246" i="11"/>
  <c r="E246" i="11"/>
  <c r="D246" i="11"/>
  <c r="C246" i="11"/>
  <c r="B246" i="11"/>
  <c r="A246" i="11"/>
  <c r="F245" i="11"/>
  <c r="E245" i="11"/>
  <c r="D245" i="11"/>
  <c r="C245" i="11"/>
  <c r="B245" i="11"/>
  <c r="A245" i="11"/>
  <c r="F244" i="11"/>
  <c r="E244" i="11"/>
  <c r="D244" i="11"/>
  <c r="C244" i="11"/>
  <c r="B244" i="11"/>
  <c r="A244" i="11"/>
  <c r="F243" i="11"/>
  <c r="E243" i="11"/>
  <c r="D243" i="11"/>
  <c r="C243" i="11"/>
  <c r="B243" i="11"/>
  <c r="A243" i="11"/>
  <c r="F242" i="11"/>
  <c r="E242" i="11"/>
  <c r="D242" i="11"/>
  <c r="C242" i="11"/>
  <c r="B242" i="11"/>
  <c r="A242" i="11"/>
  <c r="F241" i="11"/>
  <c r="E241" i="11"/>
  <c r="D241" i="11"/>
  <c r="C241" i="11"/>
  <c r="B241" i="11"/>
  <c r="A241" i="11"/>
  <c r="F240" i="11"/>
  <c r="E240" i="11"/>
  <c r="D240" i="11"/>
  <c r="C240" i="11"/>
  <c r="B240" i="11"/>
  <c r="A240" i="11"/>
  <c r="F239" i="11"/>
  <c r="E239" i="11"/>
  <c r="D239" i="11"/>
  <c r="C239" i="11"/>
  <c r="B239" i="11"/>
  <c r="A239" i="11"/>
  <c r="F238" i="11"/>
  <c r="E238" i="11"/>
  <c r="D238" i="11"/>
  <c r="C238" i="11"/>
  <c r="B238" i="11"/>
  <c r="A238" i="11"/>
  <c r="F237" i="11"/>
  <c r="E237" i="11"/>
  <c r="D237" i="11"/>
  <c r="C237" i="11"/>
  <c r="B237" i="11"/>
  <c r="A237" i="11"/>
  <c r="F236" i="11"/>
  <c r="E236" i="11"/>
  <c r="D236" i="11"/>
  <c r="C236" i="11"/>
  <c r="B236" i="11"/>
  <c r="A236" i="11"/>
  <c r="F235" i="11"/>
  <c r="E235" i="11"/>
  <c r="D235" i="11"/>
  <c r="C235" i="11"/>
  <c r="B235" i="11"/>
  <c r="A235" i="11"/>
  <c r="F234" i="11"/>
  <c r="E234" i="11"/>
  <c r="D234" i="11"/>
  <c r="C234" i="11"/>
  <c r="B234" i="11"/>
  <c r="A234" i="11"/>
  <c r="F233" i="11"/>
  <c r="E233" i="11"/>
  <c r="D233" i="11"/>
  <c r="C233" i="11"/>
  <c r="B233" i="11"/>
  <c r="A233" i="11"/>
  <c r="F232" i="11"/>
  <c r="E232" i="11"/>
  <c r="D232" i="11"/>
  <c r="C232" i="11"/>
  <c r="B232" i="11"/>
  <c r="A232" i="11"/>
  <c r="F231" i="11"/>
  <c r="E231" i="11"/>
  <c r="D231" i="11"/>
  <c r="C231" i="11"/>
  <c r="B231" i="11"/>
  <c r="A231" i="11"/>
  <c r="F230" i="11"/>
  <c r="E230" i="11"/>
  <c r="D230" i="11"/>
  <c r="C230" i="11"/>
  <c r="B230" i="11"/>
  <c r="A230" i="11"/>
  <c r="F229" i="11"/>
  <c r="E229" i="11"/>
  <c r="D229" i="11"/>
  <c r="C229" i="11"/>
  <c r="B229" i="11"/>
  <c r="A229" i="11"/>
  <c r="F228" i="11"/>
  <c r="E228" i="11"/>
  <c r="D228" i="11"/>
  <c r="C228" i="11"/>
  <c r="B228" i="11"/>
  <c r="A228" i="11"/>
  <c r="F227" i="11"/>
  <c r="E227" i="11"/>
  <c r="D227" i="11"/>
  <c r="C227" i="11"/>
  <c r="B227" i="11"/>
  <c r="A227" i="11"/>
  <c r="F226" i="11"/>
  <c r="E226" i="11"/>
  <c r="D226" i="11"/>
  <c r="C226" i="11"/>
  <c r="B226" i="11"/>
  <c r="A226" i="11"/>
  <c r="F225" i="11"/>
  <c r="E225" i="11"/>
  <c r="D225" i="11"/>
  <c r="C225" i="11"/>
  <c r="B225" i="11"/>
  <c r="A225" i="11"/>
  <c r="F224" i="11"/>
  <c r="E224" i="11"/>
  <c r="D224" i="11"/>
  <c r="C224" i="11"/>
  <c r="B224" i="11"/>
  <c r="A224" i="11"/>
  <c r="F223" i="11"/>
  <c r="E223" i="11"/>
  <c r="D223" i="11"/>
  <c r="C223" i="11"/>
  <c r="B223" i="11"/>
  <c r="A223" i="11"/>
  <c r="F222" i="11"/>
  <c r="E222" i="11"/>
  <c r="D222" i="11"/>
  <c r="C222" i="11"/>
  <c r="B222" i="11"/>
  <c r="A222" i="11"/>
  <c r="F221" i="11"/>
  <c r="E221" i="11"/>
  <c r="D221" i="11"/>
  <c r="C221" i="11"/>
  <c r="B221" i="11"/>
  <c r="A221" i="11"/>
  <c r="F220" i="11"/>
  <c r="E220" i="11"/>
  <c r="D220" i="11"/>
  <c r="C220" i="11"/>
  <c r="B220" i="11"/>
  <c r="A220" i="11"/>
  <c r="F219" i="11"/>
  <c r="E219" i="11"/>
  <c r="D219" i="11"/>
  <c r="C219" i="11"/>
  <c r="B219" i="11"/>
  <c r="A219" i="11"/>
  <c r="F218" i="11"/>
  <c r="E218" i="11"/>
  <c r="D218" i="11"/>
  <c r="C218" i="11"/>
  <c r="B218" i="11"/>
  <c r="A218" i="11"/>
  <c r="F217" i="11"/>
  <c r="E217" i="11"/>
  <c r="D217" i="11"/>
  <c r="C217" i="11"/>
  <c r="B217" i="11"/>
  <c r="A217" i="11"/>
  <c r="F216" i="11"/>
  <c r="E216" i="11"/>
  <c r="D216" i="11"/>
  <c r="C216" i="11"/>
  <c r="B216" i="11"/>
  <c r="A216" i="11"/>
  <c r="F215" i="11"/>
  <c r="E215" i="11"/>
  <c r="D215" i="11"/>
  <c r="C215" i="11"/>
  <c r="B215" i="11"/>
  <c r="A215" i="11"/>
  <c r="F214" i="11"/>
  <c r="E214" i="11"/>
  <c r="D214" i="11"/>
  <c r="C214" i="11"/>
  <c r="B214" i="11"/>
  <c r="A214" i="11"/>
  <c r="F213" i="11"/>
  <c r="E213" i="11"/>
  <c r="D213" i="11"/>
  <c r="C213" i="11"/>
  <c r="B213" i="11"/>
  <c r="A213" i="11"/>
  <c r="F212" i="11"/>
  <c r="E212" i="11"/>
  <c r="D212" i="11"/>
  <c r="C212" i="11"/>
  <c r="B212" i="11"/>
  <c r="A212" i="11"/>
  <c r="F211" i="11"/>
  <c r="E211" i="11"/>
  <c r="D211" i="11"/>
  <c r="C211" i="11"/>
  <c r="B211" i="11"/>
  <c r="A211" i="11"/>
  <c r="F210" i="11"/>
  <c r="E210" i="11"/>
  <c r="D210" i="11"/>
  <c r="C210" i="11"/>
  <c r="B210" i="11"/>
  <c r="A210" i="11"/>
  <c r="F209" i="11"/>
  <c r="E209" i="11"/>
  <c r="D209" i="11"/>
  <c r="C209" i="11"/>
  <c r="B209" i="11"/>
  <c r="A209" i="11"/>
  <c r="F208" i="11"/>
  <c r="E208" i="11"/>
  <c r="D208" i="11"/>
  <c r="C208" i="11"/>
  <c r="B208" i="11"/>
  <c r="A208" i="11"/>
  <c r="F207" i="11"/>
  <c r="E207" i="11"/>
  <c r="D207" i="11"/>
  <c r="C207" i="11"/>
  <c r="B207" i="11"/>
  <c r="A207" i="11"/>
  <c r="F206" i="11"/>
  <c r="E206" i="11"/>
  <c r="D206" i="11"/>
  <c r="C206" i="11"/>
  <c r="B206" i="11"/>
  <c r="A206" i="11"/>
  <c r="F205" i="11"/>
  <c r="E205" i="11"/>
  <c r="D205" i="11"/>
  <c r="C205" i="11"/>
  <c r="B205" i="11"/>
  <c r="A205" i="11"/>
  <c r="F204" i="11"/>
  <c r="E204" i="11"/>
  <c r="D204" i="11"/>
  <c r="C204" i="11"/>
  <c r="B204" i="11"/>
  <c r="A204" i="11"/>
  <c r="F203" i="11"/>
  <c r="E203" i="11"/>
  <c r="D203" i="11"/>
  <c r="C203" i="11"/>
  <c r="B203" i="11"/>
  <c r="A203" i="11"/>
  <c r="F202" i="11"/>
  <c r="E202" i="11"/>
  <c r="D202" i="11"/>
  <c r="C202" i="11"/>
  <c r="B202" i="11"/>
  <c r="A202" i="11"/>
  <c r="F201" i="11"/>
  <c r="E201" i="11"/>
  <c r="D201" i="11"/>
  <c r="C201" i="11"/>
  <c r="B201" i="11"/>
  <c r="A201" i="11"/>
  <c r="F200" i="11"/>
  <c r="E200" i="11"/>
  <c r="D200" i="11"/>
  <c r="C200" i="11"/>
  <c r="B200" i="11"/>
  <c r="A200" i="11"/>
  <c r="F199" i="11"/>
  <c r="E199" i="11"/>
  <c r="D199" i="11"/>
  <c r="C199" i="11"/>
  <c r="B199" i="11"/>
  <c r="A199" i="11"/>
  <c r="F198" i="11"/>
  <c r="E198" i="11"/>
  <c r="D198" i="11"/>
  <c r="C198" i="11"/>
  <c r="B198" i="11"/>
  <c r="A198" i="11"/>
  <c r="F197" i="11"/>
  <c r="E197" i="11"/>
  <c r="D197" i="11"/>
  <c r="C197" i="11"/>
  <c r="B197" i="11"/>
  <c r="A197" i="11"/>
  <c r="F196" i="11"/>
  <c r="E196" i="11"/>
  <c r="D196" i="11"/>
  <c r="C196" i="11"/>
  <c r="B196" i="11"/>
  <c r="A196" i="11"/>
  <c r="F195" i="11"/>
  <c r="E195" i="11"/>
  <c r="D195" i="11"/>
  <c r="C195" i="11"/>
  <c r="B195" i="11"/>
  <c r="A195" i="11"/>
  <c r="F194" i="11"/>
  <c r="E194" i="11"/>
  <c r="D194" i="11"/>
  <c r="C194" i="11"/>
  <c r="B194" i="11"/>
  <c r="A194" i="11"/>
  <c r="F193" i="11"/>
  <c r="E193" i="11"/>
  <c r="D193" i="11"/>
  <c r="C193" i="11"/>
  <c r="B193" i="11"/>
  <c r="A193" i="11"/>
  <c r="F192" i="11"/>
  <c r="E192" i="11"/>
  <c r="D192" i="11"/>
  <c r="C192" i="11"/>
  <c r="B192" i="11"/>
  <c r="A192" i="11"/>
  <c r="F191" i="11"/>
  <c r="E191" i="11"/>
  <c r="D191" i="11"/>
  <c r="C191" i="11"/>
  <c r="B191" i="11"/>
  <c r="A191" i="11"/>
  <c r="F190" i="11"/>
  <c r="E190" i="11"/>
  <c r="D190" i="11"/>
  <c r="C190" i="11"/>
  <c r="B190" i="11"/>
  <c r="A190" i="11"/>
  <c r="F189" i="11"/>
  <c r="E189" i="11"/>
  <c r="D189" i="11"/>
  <c r="C189" i="11"/>
  <c r="B189" i="11"/>
  <c r="A189" i="11"/>
  <c r="F188" i="11"/>
  <c r="E188" i="11"/>
  <c r="D188" i="11"/>
  <c r="C188" i="11"/>
  <c r="B188" i="11"/>
  <c r="A188" i="11"/>
  <c r="F187" i="11"/>
  <c r="E187" i="11"/>
  <c r="D187" i="11"/>
  <c r="C187" i="11"/>
  <c r="B187" i="11"/>
  <c r="A187" i="11"/>
  <c r="F186" i="11"/>
  <c r="E186" i="11"/>
  <c r="D186" i="11"/>
  <c r="C186" i="11"/>
  <c r="B186" i="11"/>
  <c r="A186" i="11"/>
  <c r="F185" i="11"/>
  <c r="E185" i="11"/>
  <c r="D185" i="11"/>
  <c r="C185" i="11"/>
  <c r="B185" i="11"/>
  <c r="A185" i="11"/>
  <c r="F184" i="11"/>
  <c r="E184" i="11"/>
  <c r="D184" i="11"/>
  <c r="C184" i="11"/>
  <c r="B184" i="11"/>
  <c r="A184" i="11"/>
  <c r="F183" i="11"/>
  <c r="E183" i="11"/>
  <c r="D183" i="11"/>
  <c r="C183" i="11"/>
  <c r="B183" i="11"/>
  <c r="A183" i="11"/>
  <c r="F182" i="11"/>
  <c r="E182" i="11"/>
  <c r="D182" i="11"/>
  <c r="C182" i="11"/>
  <c r="B182" i="11"/>
  <c r="A182" i="11"/>
  <c r="F181" i="11"/>
  <c r="E181" i="11"/>
  <c r="D181" i="11"/>
  <c r="C181" i="11"/>
  <c r="B181" i="11"/>
  <c r="A181" i="11"/>
  <c r="F180" i="11"/>
  <c r="E180" i="11"/>
  <c r="D180" i="11"/>
  <c r="C180" i="11"/>
  <c r="B180" i="11"/>
  <c r="A180" i="11"/>
  <c r="F179" i="11"/>
  <c r="E179" i="11"/>
  <c r="D179" i="11"/>
  <c r="C179" i="11"/>
  <c r="B179" i="11"/>
  <c r="A179" i="11"/>
  <c r="F178" i="11"/>
  <c r="E178" i="11"/>
  <c r="D178" i="11"/>
  <c r="C178" i="11"/>
  <c r="B178" i="11"/>
  <c r="A178" i="11"/>
  <c r="F177" i="11"/>
  <c r="E177" i="11"/>
  <c r="D177" i="11"/>
  <c r="C177" i="11"/>
  <c r="B177" i="11"/>
  <c r="A177" i="11"/>
  <c r="F176" i="11"/>
  <c r="E176" i="11"/>
  <c r="D176" i="11"/>
  <c r="C176" i="11"/>
  <c r="B176" i="11"/>
  <c r="A176" i="11"/>
  <c r="F175" i="11"/>
  <c r="E175" i="11"/>
  <c r="D175" i="11"/>
  <c r="C175" i="11"/>
  <c r="B175" i="11"/>
  <c r="A175" i="11"/>
  <c r="F174" i="11"/>
  <c r="E174" i="11"/>
  <c r="D174" i="11"/>
  <c r="C174" i="11"/>
  <c r="B174" i="11"/>
  <c r="A174" i="11"/>
  <c r="F173" i="11"/>
  <c r="E173" i="11"/>
  <c r="D173" i="11"/>
  <c r="C173" i="11"/>
  <c r="B173" i="11"/>
  <c r="A173" i="11"/>
  <c r="F172" i="11"/>
  <c r="E172" i="11"/>
  <c r="D172" i="11"/>
  <c r="C172" i="11"/>
  <c r="B172" i="11"/>
  <c r="A172" i="11"/>
  <c r="F171" i="11"/>
  <c r="E171" i="11"/>
  <c r="D171" i="11"/>
  <c r="C171" i="11"/>
  <c r="B171" i="11"/>
  <c r="A171" i="11"/>
  <c r="F170" i="11"/>
  <c r="E170" i="11"/>
  <c r="D170" i="11"/>
  <c r="C170" i="11"/>
  <c r="B170" i="11"/>
  <c r="A170" i="11"/>
  <c r="F169" i="11"/>
  <c r="E169" i="11"/>
  <c r="D169" i="11"/>
  <c r="C169" i="11"/>
  <c r="B169" i="11"/>
  <c r="A169" i="11"/>
  <c r="F168" i="11"/>
  <c r="E168" i="11"/>
  <c r="D168" i="11"/>
  <c r="C168" i="11"/>
  <c r="B168" i="11"/>
  <c r="A168" i="11"/>
  <c r="F167" i="11"/>
  <c r="E167" i="11"/>
  <c r="D167" i="11"/>
  <c r="C167" i="11"/>
  <c r="B167" i="11"/>
  <c r="A167" i="11"/>
  <c r="F166" i="11"/>
  <c r="E166" i="11"/>
  <c r="D166" i="11"/>
  <c r="C166" i="11"/>
  <c r="B166" i="11"/>
  <c r="A166" i="11"/>
  <c r="F165" i="11"/>
  <c r="E165" i="11"/>
  <c r="D165" i="11"/>
  <c r="C165" i="11"/>
  <c r="B165" i="11"/>
  <c r="A165" i="11"/>
  <c r="F164" i="11"/>
  <c r="E164" i="11"/>
  <c r="D164" i="11"/>
  <c r="C164" i="11"/>
  <c r="B164" i="11"/>
  <c r="A164" i="11"/>
  <c r="F163" i="11"/>
  <c r="E163" i="11"/>
  <c r="D163" i="11"/>
  <c r="C163" i="11"/>
  <c r="B163" i="11"/>
  <c r="A163" i="11"/>
  <c r="F162" i="11"/>
  <c r="E162" i="11"/>
  <c r="D162" i="11"/>
  <c r="C162" i="11"/>
  <c r="B162" i="11"/>
  <c r="A162" i="11"/>
  <c r="F161" i="11"/>
  <c r="E161" i="11"/>
  <c r="D161" i="11"/>
  <c r="C161" i="11"/>
  <c r="B161" i="11"/>
  <c r="A161" i="11"/>
  <c r="F160" i="11"/>
  <c r="E160" i="11"/>
  <c r="D160" i="11"/>
  <c r="C160" i="11"/>
  <c r="B160" i="11"/>
  <c r="A160" i="11"/>
  <c r="F159" i="11"/>
  <c r="E159" i="11"/>
  <c r="D159" i="11"/>
  <c r="C159" i="11"/>
  <c r="B159" i="11"/>
  <c r="A159" i="11"/>
  <c r="F158" i="11"/>
  <c r="E158" i="11"/>
  <c r="D158" i="11"/>
  <c r="C158" i="11"/>
  <c r="B158" i="11"/>
  <c r="A158" i="11"/>
  <c r="F157" i="11"/>
  <c r="E157" i="11"/>
  <c r="D157" i="11"/>
  <c r="C157" i="11"/>
  <c r="B157" i="11"/>
  <c r="A157" i="11"/>
  <c r="F156" i="11"/>
  <c r="E156" i="11"/>
  <c r="D156" i="11"/>
  <c r="C156" i="11"/>
  <c r="B156" i="11"/>
  <c r="A156" i="11"/>
  <c r="F155" i="11"/>
  <c r="E155" i="11"/>
  <c r="D155" i="11"/>
  <c r="C155" i="11"/>
  <c r="B155" i="11"/>
  <c r="A155" i="11"/>
  <c r="F154" i="11"/>
  <c r="E154" i="11"/>
  <c r="D154" i="11"/>
  <c r="C154" i="11"/>
  <c r="B154" i="11"/>
  <c r="A154" i="11"/>
  <c r="F153" i="11"/>
  <c r="E153" i="11"/>
  <c r="D153" i="11"/>
  <c r="C153" i="11"/>
  <c r="B153" i="11"/>
  <c r="A153" i="11"/>
  <c r="F152" i="11"/>
  <c r="E152" i="11"/>
  <c r="D152" i="11"/>
  <c r="C152" i="11"/>
  <c r="B152" i="11"/>
  <c r="A152" i="11"/>
  <c r="F151" i="11"/>
  <c r="E151" i="11"/>
  <c r="D151" i="11"/>
  <c r="C151" i="11"/>
  <c r="B151" i="11"/>
  <c r="A151" i="11"/>
  <c r="F150" i="11"/>
  <c r="E150" i="11"/>
  <c r="D150" i="11"/>
  <c r="C150" i="11"/>
  <c r="B150" i="11"/>
  <c r="A150" i="11"/>
  <c r="F149" i="11"/>
  <c r="E149" i="11"/>
  <c r="D149" i="11"/>
  <c r="C149" i="11"/>
  <c r="B149" i="11"/>
  <c r="A149" i="11"/>
  <c r="F148" i="11"/>
  <c r="E148" i="11"/>
  <c r="D148" i="11"/>
  <c r="C148" i="11"/>
  <c r="B148" i="11"/>
  <c r="A148" i="11"/>
  <c r="F147" i="11"/>
  <c r="E147" i="11"/>
  <c r="D147" i="11"/>
  <c r="C147" i="11"/>
  <c r="B147" i="11"/>
  <c r="A147" i="11"/>
  <c r="F146" i="11"/>
  <c r="E146" i="11"/>
  <c r="D146" i="11"/>
  <c r="C146" i="11"/>
  <c r="B146" i="11"/>
  <c r="A146" i="11"/>
  <c r="F145" i="11"/>
  <c r="E145" i="11"/>
  <c r="D145" i="11"/>
  <c r="C145" i="11"/>
  <c r="B145" i="11"/>
  <c r="A145" i="11"/>
  <c r="F144" i="11"/>
  <c r="E144" i="11"/>
  <c r="D144" i="11"/>
  <c r="C144" i="11"/>
  <c r="B144" i="11"/>
  <c r="A144" i="11"/>
  <c r="F143" i="11"/>
  <c r="E143" i="11"/>
  <c r="D143" i="11"/>
  <c r="C143" i="11"/>
  <c r="B143" i="11"/>
  <c r="A143" i="11"/>
  <c r="F142" i="11"/>
  <c r="E142" i="11"/>
  <c r="D142" i="11"/>
  <c r="C142" i="11"/>
  <c r="B142" i="11"/>
  <c r="A142" i="11"/>
  <c r="F141" i="11"/>
  <c r="E141" i="11"/>
  <c r="D141" i="11"/>
  <c r="C141" i="11"/>
  <c r="B141" i="11"/>
  <c r="A141" i="11"/>
  <c r="F140" i="11"/>
  <c r="E140" i="11"/>
  <c r="D140" i="11"/>
  <c r="C140" i="11"/>
  <c r="B140" i="11"/>
  <c r="A140" i="11"/>
  <c r="F139" i="11"/>
  <c r="E139" i="11"/>
  <c r="D139" i="11"/>
  <c r="C139" i="11"/>
  <c r="B139" i="11"/>
  <c r="A139" i="11"/>
  <c r="F138" i="11"/>
  <c r="E138" i="11"/>
  <c r="D138" i="11"/>
  <c r="C138" i="11"/>
  <c r="B138" i="11"/>
  <c r="A138" i="11"/>
  <c r="F137" i="11"/>
  <c r="E137" i="11"/>
  <c r="D137" i="11"/>
  <c r="C137" i="11"/>
  <c r="B137" i="11"/>
  <c r="A137" i="11"/>
  <c r="F136" i="11"/>
  <c r="E136" i="11"/>
  <c r="D136" i="11"/>
  <c r="C136" i="11"/>
  <c r="B136" i="11"/>
  <c r="A136" i="11"/>
  <c r="F135" i="11"/>
  <c r="E135" i="11"/>
  <c r="D135" i="11"/>
  <c r="C135" i="11"/>
  <c r="B135" i="11"/>
  <c r="A135" i="11"/>
  <c r="F134" i="11"/>
  <c r="E134" i="11"/>
  <c r="D134" i="11"/>
  <c r="C134" i="11"/>
  <c r="B134" i="11"/>
  <c r="A134" i="11"/>
  <c r="F133" i="11"/>
  <c r="E133" i="11"/>
  <c r="D133" i="11"/>
  <c r="C133" i="11"/>
  <c r="B133" i="11"/>
  <c r="A133" i="11"/>
  <c r="F132" i="11"/>
  <c r="E132" i="11"/>
  <c r="D132" i="11"/>
  <c r="C132" i="11"/>
  <c r="B132" i="11"/>
  <c r="A132" i="11"/>
  <c r="F131" i="11"/>
  <c r="E131" i="11"/>
  <c r="D131" i="11"/>
  <c r="C131" i="11"/>
  <c r="B131" i="11"/>
  <c r="A131" i="11"/>
  <c r="F130" i="11"/>
  <c r="E130" i="11"/>
  <c r="D130" i="11"/>
  <c r="C130" i="11"/>
  <c r="B130" i="11"/>
  <c r="A130" i="11"/>
  <c r="F129" i="11"/>
  <c r="E129" i="11"/>
  <c r="D129" i="11"/>
  <c r="C129" i="11"/>
  <c r="B129" i="11"/>
  <c r="A129" i="11"/>
  <c r="F128" i="11"/>
  <c r="E128" i="11"/>
  <c r="D128" i="11"/>
  <c r="C128" i="11"/>
  <c r="B128" i="11"/>
  <c r="A128" i="11"/>
  <c r="F127" i="11"/>
  <c r="E127" i="11"/>
  <c r="D127" i="11"/>
  <c r="C127" i="11"/>
  <c r="B127" i="11"/>
  <c r="A127" i="11"/>
  <c r="F126" i="11"/>
  <c r="E126" i="11"/>
  <c r="D126" i="11"/>
  <c r="C126" i="11"/>
  <c r="B126" i="11"/>
  <c r="A126" i="11"/>
  <c r="F125" i="11"/>
  <c r="E125" i="11"/>
  <c r="D125" i="11"/>
  <c r="C125" i="11"/>
  <c r="B125" i="11"/>
  <c r="A125" i="11"/>
  <c r="F124" i="11"/>
  <c r="E124" i="11"/>
  <c r="D124" i="11"/>
  <c r="C124" i="11"/>
  <c r="B124" i="11"/>
  <c r="A124" i="11"/>
  <c r="F123" i="11"/>
  <c r="E123" i="11"/>
  <c r="D123" i="11"/>
  <c r="C123" i="11"/>
  <c r="B123" i="11"/>
  <c r="A123" i="11"/>
  <c r="F122" i="11"/>
  <c r="E122" i="11"/>
  <c r="D122" i="11"/>
  <c r="C122" i="11"/>
  <c r="B122" i="11"/>
  <c r="A122" i="11"/>
  <c r="F121" i="11"/>
  <c r="E121" i="11"/>
  <c r="D121" i="11"/>
  <c r="C121" i="11"/>
  <c r="B121" i="11"/>
  <c r="A121" i="11"/>
  <c r="F120" i="11"/>
  <c r="E120" i="11"/>
  <c r="D120" i="11"/>
  <c r="C120" i="11"/>
  <c r="B120" i="11"/>
  <c r="A120" i="11"/>
  <c r="F119" i="11"/>
  <c r="E119" i="11"/>
  <c r="D119" i="11"/>
  <c r="C119" i="11"/>
  <c r="B119" i="11"/>
  <c r="A119" i="11"/>
  <c r="F118" i="11"/>
  <c r="E118" i="11"/>
  <c r="D118" i="11"/>
  <c r="C118" i="11"/>
  <c r="B118" i="11"/>
  <c r="A118" i="11"/>
  <c r="F117" i="11"/>
  <c r="E117" i="11"/>
  <c r="D117" i="11"/>
  <c r="C117" i="11"/>
  <c r="B117" i="11"/>
  <c r="A117" i="11"/>
  <c r="F116" i="11"/>
  <c r="E116" i="11"/>
  <c r="D116" i="11"/>
  <c r="C116" i="11"/>
  <c r="B116" i="11"/>
  <c r="A116" i="11"/>
  <c r="F115" i="11"/>
  <c r="E115" i="11"/>
  <c r="D115" i="11"/>
  <c r="C115" i="11"/>
  <c r="B115" i="11"/>
  <c r="A115" i="11"/>
  <c r="F114" i="11"/>
  <c r="E114" i="11"/>
  <c r="D114" i="11"/>
  <c r="C114" i="11"/>
  <c r="B114" i="11"/>
  <c r="A114" i="11"/>
  <c r="F113" i="11"/>
  <c r="E113" i="11"/>
  <c r="D113" i="11"/>
  <c r="C113" i="11"/>
  <c r="B113" i="11"/>
  <c r="A113" i="11"/>
  <c r="F112" i="11"/>
  <c r="E112" i="11"/>
  <c r="D112" i="11"/>
  <c r="C112" i="11"/>
  <c r="B112" i="11"/>
  <c r="A112" i="11"/>
  <c r="F111" i="11"/>
  <c r="E111" i="11"/>
  <c r="D111" i="11"/>
  <c r="C111" i="11"/>
  <c r="B111" i="11"/>
  <c r="A111" i="11"/>
  <c r="F110" i="11"/>
  <c r="E110" i="11"/>
  <c r="D110" i="11"/>
  <c r="C110" i="11"/>
  <c r="B110" i="11"/>
  <c r="A110" i="11"/>
  <c r="F109" i="11"/>
  <c r="E109" i="11"/>
  <c r="D109" i="11"/>
  <c r="C109" i="11"/>
  <c r="B109" i="11"/>
  <c r="A109" i="11"/>
  <c r="F108" i="11"/>
  <c r="E108" i="11"/>
  <c r="D108" i="11"/>
  <c r="C108" i="11"/>
  <c r="B108" i="11"/>
  <c r="A108" i="11"/>
  <c r="F107" i="11"/>
  <c r="E107" i="11"/>
  <c r="D107" i="11"/>
  <c r="C107" i="11"/>
  <c r="B107" i="11"/>
  <c r="A107" i="11"/>
  <c r="F106" i="11"/>
  <c r="E106" i="11"/>
  <c r="D106" i="11"/>
  <c r="C106" i="11"/>
  <c r="B106" i="11"/>
  <c r="A106" i="11"/>
  <c r="F105" i="11"/>
  <c r="E105" i="11"/>
  <c r="D105" i="11"/>
  <c r="C105" i="11"/>
  <c r="B105" i="11"/>
  <c r="A105" i="11"/>
  <c r="F104" i="11"/>
  <c r="E104" i="11"/>
  <c r="D104" i="11"/>
  <c r="C104" i="11"/>
  <c r="B104" i="11"/>
  <c r="A104" i="11"/>
  <c r="F103" i="11"/>
  <c r="E103" i="11"/>
  <c r="D103" i="11"/>
  <c r="C103" i="11"/>
  <c r="B103" i="11"/>
  <c r="A103" i="11"/>
  <c r="F102" i="11"/>
  <c r="E102" i="11"/>
  <c r="D102" i="11"/>
  <c r="C102" i="11"/>
  <c r="B102" i="11"/>
  <c r="A102" i="11"/>
  <c r="F101" i="11"/>
  <c r="E101" i="11"/>
  <c r="D101" i="11"/>
  <c r="C101" i="11"/>
  <c r="B101" i="11"/>
  <c r="A101" i="11"/>
  <c r="F100" i="11"/>
  <c r="E100" i="11"/>
  <c r="D100" i="11"/>
  <c r="C100" i="11"/>
  <c r="B100" i="11"/>
  <c r="A100" i="11"/>
  <c r="F99" i="11"/>
  <c r="E99" i="11"/>
  <c r="D99" i="11"/>
  <c r="C99" i="11"/>
  <c r="B99" i="11"/>
  <c r="A99" i="11"/>
  <c r="F98" i="11"/>
  <c r="E98" i="11"/>
  <c r="D98" i="11"/>
  <c r="C98" i="11"/>
  <c r="B98" i="11"/>
  <c r="A98" i="11"/>
  <c r="F97" i="11"/>
  <c r="E97" i="11"/>
  <c r="D97" i="11"/>
  <c r="C97" i="11"/>
  <c r="B97" i="11"/>
  <c r="A97" i="11"/>
  <c r="F96" i="11"/>
  <c r="E96" i="11"/>
  <c r="D96" i="11"/>
  <c r="C96" i="11"/>
  <c r="B96" i="11"/>
  <c r="A96" i="11"/>
  <c r="F95" i="11"/>
  <c r="E95" i="11"/>
  <c r="D95" i="11"/>
  <c r="C95" i="11"/>
  <c r="B95" i="11"/>
  <c r="A95" i="11"/>
  <c r="F94" i="11"/>
  <c r="E94" i="11"/>
  <c r="D94" i="11"/>
  <c r="C94" i="11"/>
  <c r="B94" i="11"/>
  <c r="A94" i="11"/>
  <c r="F93" i="11"/>
  <c r="E93" i="11"/>
  <c r="D93" i="11"/>
  <c r="C93" i="11"/>
  <c r="B93" i="11"/>
  <c r="A93" i="11"/>
  <c r="F92" i="11"/>
  <c r="E92" i="11"/>
  <c r="D92" i="11"/>
  <c r="C92" i="11"/>
  <c r="B92" i="11"/>
  <c r="A92" i="11"/>
  <c r="F91" i="11"/>
  <c r="E91" i="11"/>
  <c r="D91" i="11"/>
  <c r="C91" i="11"/>
  <c r="B91" i="11"/>
  <c r="A91" i="11"/>
  <c r="F90" i="11"/>
  <c r="E90" i="11"/>
  <c r="D90" i="11"/>
  <c r="C90" i="11"/>
  <c r="B90" i="11"/>
  <c r="A90" i="11"/>
  <c r="F89" i="11"/>
  <c r="E89" i="11"/>
  <c r="D89" i="11"/>
  <c r="C89" i="11"/>
  <c r="B89" i="11"/>
  <c r="A89" i="11"/>
  <c r="F88" i="11"/>
  <c r="E88" i="11"/>
  <c r="D88" i="11"/>
  <c r="C88" i="11"/>
  <c r="B88" i="11"/>
  <c r="A88" i="11"/>
  <c r="F87" i="11"/>
  <c r="E87" i="11"/>
  <c r="D87" i="11"/>
  <c r="C87" i="11"/>
  <c r="B87" i="11"/>
  <c r="A87" i="11"/>
  <c r="F86" i="11"/>
  <c r="E86" i="11"/>
  <c r="D86" i="11"/>
  <c r="C86" i="11"/>
  <c r="B86" i="11"/>
  <c r="A86" i="11"/>
  <c r="F85" i="11"/>
  <c r="E85" i="11"/>
  <c r="D85" i="11"/>
  <c r="C85" i="11"/>
  <c r="B85" i="11"/>
  <c r="A85" i="11"/>
  <c r="F84" i="11"/>
  <c r="E84" i="11"/>
  <c r="D84" i="11"/>
  <c r="C84" i="11"/>
  <c r="B84" i="11"/>
  <c r="A84" i="11"/>
  <c r="F83" i="11"/>
  <c r="E83" i="11"/>
  <c r="D83" i="11"/>
  <c r="C83" i="11"/>
  <c r="B83" i="11"/>
  <c r="A83" i="11"/>
  <c r="F82" i="11"/>
  <c r="E82" i="11"/>
  <c r="D82" i="11"/>
  <c r="C82" i="11"/>
  <c r="B82" i="11"/>
  <c r="A82" i="11"/>
  <c r="F81" i="11"/>
  <c r="E81" i="11"/>
  <c r="D81" i="11"/>
  <c r="C81" i="11"/>
  <c r="B81" i="11"/>
  <c r="A81" i="11"/>
  <c r="F80" i="11"/>
  <c r="E80" i="11"/>
  <c r="D80" i="11"/>
  <c r="C80" i="11"/>
  <c r="B80" i="11"/>
  <c r="A80" i="11"/>
  <c r="F79" i="11"/>
  <c r="E79" i="11"/>
  <c r="D79" i="11"/>
  <c r="C79" i="11"/>
  <c r="B79" i="11"/>
  <c r="A79" i="11"/>
  <c r="F78" i="11"/>
  <c r="E78" i="11"/>
  <c r="D78" i="11"/>
  <c r="C78" i="11"/>
  <c r="B78" i="11"/>
  <c r="A78" i="11"/>
  <c r="F77" i="11"/>
  <c r="E77" i="11"/>
  <c r="D77" i="11"/>
  <c r="C77" i="11"/>
  <c r="B77" i="11"/>
  <c r="A77" i="11"/>
  <c r="F76" i="11"/>
  <c r="E76" i="11"/>
  <c r="D76" i="11"/>
  <c r="C76" i="11"/>
  <c r="B76" i="11"/>
  <c r="A76" i="11"/>
  <c r="F75" i="11"/>
  <c r="E75" i="11"/>
  <c r="D75" i="11"/>
  <c r="C75" i="11"/>
  <c r="B75" i="11"/>
  <c r="A75" i="11"/>
  <c r="F74" i="11"/>
  <c r="E74" i="11"/>
  <c r="D74" i="11"/>
  <c r="C74" i="11"/>
  <c r="B74" i="11"/>
  <c r="A74" i="11"/>
  <c r="F73" i="11"/>
  <c r="E73" i="11"/>
  <c r="D73" i="11"/>
  <c r="C73" i="11"/>
  <c r="B73" i="11"/>
  <c r="A73" i="11"/>
  <c r="F72" i="11"/>
  <c r="E72" i="11"/>
  <c r="D72" i="11"/>
  <c r="C72" i="11"/>
  <c r="B72" i="11"/>
  <c r="A72" i="11"/>
  <c r="F71" i="11"/>
  <c r="E71" i="11"/>
  <c r="D71" i="11"/>
  <c r="C71" i="11"/>
  <c r="B71" i="11"/>
  <c r="A71" i="11"/>
  <c r="F70" i="11"/>
  <c r="E70" i="11"/>
  <c r="D70" i="11"/>
  <c r="C70" i="11"/>
  <c r="B70" i="11"/>
  <c r="A70" i="11"/>
  <c r="F69" i="11"/>
  <c r="E69" i="11"/>
  <c r="D69" i="11"/>
  <c r="C69" i="11"/>
  <c r="B69" i="11"/>
  <c r="A69" i="11"/>
  <c r="F68" i="11"/>
  <c r="E68" i="11"/>
  <c r="D68" i="11"/>
  <c r="C68" i="11"/>
  <c r="B68" i="11"/>
  <c r="A68" i="11"/>
  <c r="F67" i="11"/>
  <c r="E67" i="11"/>
  <c r="D67" i="11"/>
  <c r="C67" i="11"/>
  <c r="B67" i="11"/>
  <c r="A67" i="11"/>
  <c r="F66" i="11"/>
  <c r="E66" i="11"/>
  <c r="D66" i="11"/>
  <c r="C66" i="11"/>
  <c r="B66" i="11"/>
  <c r="A66" i="11"/>
  <c r="F65" i="11"/>
  <c r="E65" i="11"/>
  <c r="D65" i="11"/>
  <c r="C65" i="11"/>
  <c r="B65" i="11"/>
  <c r="A65" i="11"/>
  <c r="F64" i="11"/>
  <c r="E64" i="11"/>
  <c r="D64" i="11"/>
  <c r="C64" i="11"/>
  <c r="B64" i="11"/>
  <c r="A64" i="11"/>
  <c r="F63" i="11"/>
  <c r="E63" i="11"/>
  <c r="D63" i="11"/>
  <c r="C63" i="11"/>
  <c r="B63" i="11"/>
  <c r="A63" i="11"/>
  <c r="F62" i="11"/>
  <c r="E62" i="11"/>
  <c r="D62" i="11"/>
  <c r="C62" i="11"/>
  <c r="B62" i="11"/>
  <c r="A62" i="11"/>
  <c r="F61" i="11"/>
  <c r="E61" i="11"/>
  <c r="D61" i="11"/>
  <c r="C61" i="11"/>
  <c r="B61" i="11"/>
  <c r="A61" i="11"/>
  <c r="F60" i="11"/>
  <c r="E60" i="11"/>
  <c r="D60" i="11"/>
  <c r="C60" i="11"/>
  <c r="B60" i="11"/>
  <c r="A60" i="11"/>
  <c r="F59" i="11"/>
  <c r="E59" i="11"/>
  <c r="D59" i="11"/>
  <c r="C59" i="11"/>
  <c r="B59" i="11"/>
  <c r="A59" i="11"/>
  <c r="F58" i="11"/>
  <c r="E58" i="11"/>
  <c r="D58" i="11"/>
  <c r="C58" i="11"/>
  <c r="B58" i="11"/>
  <c r="A58" i="11"/>
  <c r="F57" i="11"/>
  <c r="E57" i="11"/>
  <c r="D57" i="11"/>
  <c r="C57" i="11"/>
  <c r="B57" i="11"/>
  <c r="A57" i="11"/>
  <c r="F56" i="11"/>
  <c r="E56" i="11"/>
  <c r="D56" i="11"/>
  <c r="C56" i="11"/>
  <c r="B56" i="11"/>
  <c r="A56" i="11"/>
  <c r="F55" i="11"/>
  <c r="E55" i="11"/>
  <c r="D55" i="11"/>
  <c r="C55" i="11"/>
  <c r="B55" i="11"/>
  <c r="A55" i="11"/>
  <c r="F54" i="11"/>
  <c r="E54" i="11"/>
  <c r="D54" i="11"/>
  <c r="C54" i="11"/>
  <c r="B54" i="11"/>
  <c r="A54" i="11"/>
  <c r="F53" i="11"/>
  <c r="E53" i="11"/>
  <c r="D53" i="11"/>
  <c r="C53" i="11"/>
  <c r="B53" i="11"/>
  <c r="A53" i="11"/>
  <c r="F52" i="11"/>
  <c r="E52" i="11"/>
  <c r="D52" i="11"/>
  <c r="C52" i="11"/>
  <c r="B52" i="11"/>
  <c r="A52" i="11"/>
  <c r="F51" i="11"/>
  <c r="E51" i="11"/>
  <c r="D51" i="11"/>
  <c r="C51" i="11"/>
  <c r="B51" i="11"/>
  <c r="A51" i="11"/>
  <c r="F50" i="11"/>
  <c r="E50" i="11"/>
  <c r="D50" i="11"/>
  <c r="C50" i="11"/>
  <c r="B50" i="11"/>
  <c r="A50" i="11"/>
  <c r="F49" i="11"/>
  <c r="E49" i="11"/>
  <c r="D49" i="11"/>
  <c r="C49" i="11"/>
  <c r="B49" i="11"/>
  <c r="A49" i="11"/>
  <c r="F48" i="11"/>
  <c r="E48" i="11"/>
  <c r="D48" i="11"/>
  <c r="C48" i="11"/>
  <c r="B48" i="11"/>
  <c r="A48" i="11"/>
  <c r="F47" i="11"/>
  <c r="E47" i="11"/>
  <c r="D47" i="11"/>
  <c r="C47" i="11"/>
  <c r="B47" i="11"/>
  <c r="A47" i="11"/>
  <c r="F46" i="11"/>
  <c r="E46" i="11"/>
  <c r="D46" i="11"/>
  <c r="C46" i="11"/>
  <c r="B46" i="11"/>
  <c r="A46" i="11"/>
  <c r="F45" i="11"/>
  <c r="E45" i="11"/>
  <c r="D45" i="11"/>
  <c r="C45" i="11"/>
  <c r="B45" i="11"/>
  <c r="A45" i="11"/>
  <c r="F44" i="11"/>
  <c r="E44" i="11"/>
  <c r="D44" i="11"/>
  <c r="C44" i="11"/>
  <c r="B44" i="11"/>
  <c r="A44" i="11"/>
  <c r="F43" i="11"/>
  <c r="E43" i="11"/>
  <c r="D43" i="11"/>
  <c r="C43" i="11"/>
  <c r="B43" i="11"/>
  <c r="A43" i="11"/>
  <c r="F42" i="11"/>
  <c r="E42" i="11"/>
  <c r="D42" i="11"/>
  <c r="C42" i="11"/>
  <c r="B42" i="11"/>
  <c r="A42" i="11"/>
  <c r="F41" i="11"/>
  <c r="E41" i="11"/>
  <c r="D41" i="11"/>
  <c r="C41" i="11"/>
  <c r="B41" i="11"/>
  <c r="A41" i="11"/>
  <c r="F40" i="11"/>
  <c r="E40" i="11"/>
  <c r="D40" i="11"/>
  <c r="C40" i="11"/>
  <c r="B40" i="11"/>
  <c r="A40" i="11"/>
  <c r="F39" i="11"/>
  <c r="E39" i="11"/>
  <c r="D39" i="11"/>
  <c r="C39" i="11"/>
  <c r="B39" i="11"/>
  <c r="A39" i="11"/>
  <c r="F38" i="11"/>
  <c r="E38" i="11"/>
  <c r="D38" i="11"/>
  <c r="C38" i="11"/>
  <c r="B38" i="11"/>
  <c r="A38" i="11"/>
  <c r="F37" i="11"/>
  <c r="E37" i="11"/>
  <c r="D37" i="11"/>
  <c r="C37" i="11"/>
  <c r="B37" i="11"/>
  <c r="A37" i="11"/>
  <c r="F36" i="11"/>
  <c r="E36" i="11"/>
  <c r="D36" i="11"/>
  <c r="C36" i="11"/>
  <c r="B36" i="11"/>
  <c r="A36" i="11"/>
  <c r="F35" i="11"/>
  <c r="E35" i="11"/>
  <c r="D35" i="11"/>
  <c r="C35" i="11"/>
  <c r="B35" i="11"/>
  <c r="A35" i="11"/>
  <c r="F34" i="11"/>
  <c r="E34" i="11"/>
  <c r="D34" i="11"/>
  <c r="C34" i="11"/>
  <c r="B34" i="11"/>
  <c r="A34" i="11"/>
  <c r="F33" i="11"/>
  <c r="E33" i="11"/>
  <c r="D33" i="11"/>
  <c r="C33" i="11"/>
  <c r="B33" i="11"/>
  <c r="A33" i="11"/>
  <c r="F32" i="11"/>
  <c r="E32" i="11"/>
  <c r="D32" i="11"/>
  <c r="C32" i="11"/>
  <c r="B32" i="11"/>
  <c r="A32" i="11"/>
  <c r="F31" i="11"/>
  <c r="E31" i="11"/>
  <c r="D31" i="11"/>
  <c r="C31" i="11"/>
  <c r="B31" i="11"/>
  <c r="A31" i="11"/>
  <c r="F30" i="11"/>
  <c r="E30" i="11"/>
  <c r="D30" i="11"/>
  <c r="C30" i="11"/>
  <c r="B30" i="11"/>
  <c r="A30" i="11"/>
  <c r="F29" i="11"/>
  <c r="E29" i="11"/>
  <c r="D29" i="11"/>
  <c r="C29" i="11"/>
  <c r="B29" i="11"/>
  <c r="A29" i="11"/>
  <c r="F28" i="11"/>
  <c r="E28" i="11"/>
  <c r="D28" i="11"/>
  <c r="C28" i="11"/>
  <c r="B28" i="11"/>
  <c r="A28" i="11"/>
  <c r="F27" i="11"/>
  <c r="E27" i="11"/>
  <c r="D27" i="11"/>
  <c r="C27" i="11"/>
  <c r="B27" i="11"/>
  <c r="A27" i="11"/>
  <c r="F26" i="11"/>
  <c r="E26" i="11"/>
  <c r="D26" i="11"/>
  <c r="C26" i="11"/>
  <c r="B26" i="11"/>
  <c r="A26" i="11"/>
  <c r="F25" i="11"/>
  <c r="E25" i="11"/>
  <c r="D25" i="11"/>
  <c r="C25" i="11"/>
  <c r="B25" i="11"/>
  <c r="A25" i="11"/>
  <c r="F24" i="11"/>
  <c r="E24" i="11"/>
  <c r="D24" i="11"/>
  <c r="C24" i="11"/>
  <c r="B24" i="11"/>
  <c r="A24" i="11"/>
  <c r="F23" i="11"/>
  <c r="E23" i="11"/>
  <c r="D23" i="11"/>
  <c r="C23" i="11"/>
  <c r="B23" i="11"/>
  <c r="A23" i="11"/>
  <c r="F22" i="11"/>
  <c r="E22" i="11"/>
  <c r="D22" i="11"/>
  <c r="C22" i="11"/>
  <c r="B22" i="11"/>
  <c r="A22" i="11"/>
  <c r="F21" i="11"/>
  <c r="E21" i="11"/>
  <c r="D21" i="11"/>
  <c r="C21" i="11"/>
  <c r="B21" i="11"/>
  <c r="A21" i="11"/>
  <c r="F20" i="11"/>
  <c r="E20" i="11"/>
  <c r="D20" i="11"/>
  <c r="C20" i="11"/>
  <c r="B20" i="11"/>
  <c r="A20" i="11"/>
  <c r="F19" i="11"/>
  <c r="E19" i="11"/>
  <c r="D19" i="11"/>
  <c r="C19" i="11"/>
  <c r="B19" i="11"/>
  <c r="A19" i="11"/>
  <c r="F18" i="11"/>
  <c r="E18" i="11"/>
  <c r="D18" i="11"/>
  <c r="C18" i="11"/>
  <c r="B18" i="11"/>
  <c r="A18" i="11"/>
  <c r="F17" i="11"/>
  <c r="E17" i="11"/>
  <c r="D17" i="11"/>
  <c r="C17" i="11"/>
  <c r="B17" i="11"/>
  <c r="A17" i="11"/>
  <c r="F16" i="11"/>
  <c r="E16" i="11"/>
  <c r="D16" i="11"/>
  <c r="C16" i="11"/>
  <c r="B16" i="11"/>
  <c r="A16" i="11"/>
  <c r="F15" i="11"/>
  <c r="E15" i="11"/>
  <c r="D15" i="11"/>
  <c r="C15" i="11"/>
  <c r="B15" i="11"/>
  <c r="A15" i="11"/>
  <c r="F14" i="11"/>
  <c r="E14" i="11"/>
  <c r="D14" i="11"/>
  <c r="C14" i="11"/>
  <c r="B14" i="11"/>
  <c r="A14" i="11"/>
  <c r="F13" i="11"/>
  <c r="E13" i="11"/>
  <c r="D13" i="11"/>
  <c r="C13" i="11"/>
  <c r="B13" i="11"/>
  <c r="A13" i="11"/>
  <c r="F12" i="11"/>
  <c r="E12" i="11"/>
  <c r="D12" i="11"/>
  <c r="C12" i="11"/>
  <c r="B12" i="11"/>
  <c r="A12" i="11"/>
  <c r="F11" i="11"/>
  <c r="E11" i="11"/>
  <c r="D11" i="11"/>
  <c r="C11" i="11"/>
  <c r="B11" i="11"/>
  <c r="A11" i="11"/>
  <c r="F10" i="11"/>
  <c r="E10" i="11"/>
  <c r="D10" i="11"/>
  <c r="C10" i="11"/>
  <c r="B10" i="11"/>
  <c r="A10" i="11"/>
  <c r="F9" i="11"/>
  <c r="E9" i="11"/>
  <c r="D9" i="11"/>
  <c r="C9" i="11"/>
  <c r="B9" i="11"/>
  <c r="A9" i="11"/>
  <c r="F8" i="11"/>
  <c r="E8" i="11"/>
  <c r="D8" i="11"/>
  <c r="C8" i="11"/>
  <c r="B8" i="11"/>
  <c r="A8" i="11"/>
  <c r="F7" i="11"/>
  <c r="E7" i="11"/>
  <c r="D7" i="11"/>
  <c r="C7" i="11"/>
  <c r="B7" i="11"/>
  <c r="A7" i="11"/>
  <c r="F6" i="11"/>
  <c r="E6" i="11"/>
  <c r="D6" i="11"/>
  <c r="C6" i="11"/>
  <c r="B6" i="11"/>
  <c r="A6" i="11"/>
  <c r="F5" i="11"/>
  <c r="E5" i="11"/>
  <c r="D5" i="11"/>
  <c r="C5" i="11"/>
  <c r="B5" i="11"/>
  <c r="A5" i="11"/>
  <c r="F4" i="11"/>
  <c r="E4" i="11"/>
  <c r="D4" i="11"/>
  <c r="C4" i="11"/>
  <c r="B4" i="11"/>
  <c r="A4" i="11"/>
  <c r="N3" i="11"/>
  <c r="P3" i="11"/>
  <c r="O3" i="11"/>
  <c r="M3" i="11"/>
  <c r="L3" i="11"/>
  <c r="N217" i="11" l="1"/>
  <c r="N221" i="11"/>
  <c r="P226" i="11"/>
  <c r="N229" i="11"/>
  <c r="P242" i="11"/>
  <c r="P246" i="11"/>
  <c r="N273" i="11"/>
  <c r="L356" i="11"/>
  <c r="N365" i="11"/>
  <c r="K220" i="11"/>
  <c r="K228" i="11"/>
  <c r="K236" i="11"/>
  <c r="L388" i="11"/>
  <c r="I319" i="11"/>
  <c r="I327" i="11"/>
  <c r="I331" i="11"/>
  <c r="I335" i="11"/>
  <c r="I339" i="11"/>
  <c r="I367" i="11"/>
  <c r="I379" i="11"/>
  <c r="I387" i="11"/>
  <c r="G390" i="11"/>
  <c r="K392" i="11"/>
  <c r="G398" i="11"/>
  <c r="K400" i="11"/>
  <c r="G406" i="11"/>
  <c r="K408" i="11"/>
  <c r="K420" i="11"/>
  <c r="G422" i="11"/>
  <c r="G430" i="11"/>
  <c r="G438" i="11"/>
  <c r="K444" i="11"/>
  <c r="I451" i="11"/>
  <c r="I459" i="11"/>
  <c r="I463" i="11"/>
  <c r="P218" i="11"/>
  <c r="N225" i="11"/>
  <c r="P230" i="11"/>
  <c r="P222" i="11"/>
  <c r="P238" i="11"/>
  <c r="O218" i="11"/>
  <c r="O226" i="11"/>
  <c r="O230" i="11"/>
  <c r="O234" i="11"/>
  <c r="O266" i="11"/>
  <c r="O298" i="11"/>
  <c r="O358" i="11"/>
  <c r="M365" i="11"/>
  <c r="J220" i="11"/>
  <c r="J228" i="11"/>
  <c r="O390" i="11"/>
  <c r="J324" i="11"/>
  <c r="J344" i="11"/>
  <c r="H351" i="11"/>
  <c r="H359" i="11"/>
  <c r="H367" i="11"/>
  <c r="H371" i="11"/>
  <c r="J380" i="11"/>
  <c r="J392" i="11"/>
  <c r="J396" i="11"/>
  <c r="J400" i="11"/>
  <c r="J408" i="11"/>
  <c r="J412" i="11"/>
  <c r="H427" i="11"/>
  <c r="J428" i="11"/>
  <c r="H435" i="11"/>
  <c r="H447" i="11"/>
  <c r="H451" i="11"/>
  <c r="H455" i="11"/>
  <c r="H463" i="11"/>
  <c r="AG6" i="8"/>
  <c r="O222" i="11"/>
  <c r="P234" i="11"/>
  <c r="P282" i="11"/>
  <c r="P298" i="11"/>
  <c r="I455" i="11"/>
  <c r="O217" i="11"/>
  <c r="O221" i="11"/>
  <c r="O225" i="11"/>
  <c r="O229" i="11"/>
  <c r="O233" i="11"/>
  <c r="O237" i="11"/>
  <c r="M264" i="11"/>
  <c r="O273" i="11"/>
  <c r="M280" i="11"/>
  <c r="O289" i="11"/>
  <c r="M296" i="11"/>
  <c r="O309" i="11"/>
  <c r="M312" i="11"/>
  <c r="O313" i="11"/>
  <c r="M316" i="11"/>
  <c r="O321" i="11"/>
  <c r="M324" i="11"/>
  <c r="O325" i="11"/>
  <c r="M328" i="11"/>
  <c r="O333" i="11"/>
  <c r="O337" i="11"/>
  <c r="M340" i="11"/>
  <c r="M344" i="11"/>
  <c r="M348" i="11"/>
  <c r="M352" i="11"/>
  <c r="M360" i="11"/>
  <c r="O365" i="11"/>
  <c r="H230" i="11"/>
  <c r="M384" i="11"/>
  <c r="H238" i="11"/>
  <c r="O389" i="11"/>
  <c r="J319" i="11"/>
  <c r="J323" i="11"/>
  <c r="J327" i="11"/>
  <c r="J331" i="11"/>
  <c r="J343" i="11"/>
  <c r="J351" i="11"/>
  <c r="J359" i="11"/>
  <c r="J367" i="11"/>
  <c r="J379" i="11"/>
  <c r="J387" i="11"/>
  <c r="J391" i="11"/>
  <c r="H394" i="11"/>
  <c r="H398" i="11"/>
  <c r="H410" i="11"/>
  <c r="H422" i="11"/>
  <c r="H430" i="11"/>
  <c r="H438" i="11"/>
  <c r="H450" i="11"/>
  <c r="J451" i="11"/>
  <c r="H454" i="11"/>
  <c r="J455" i="11"/>
  <c r="J459" i="11"/>
  <c r="O282" i="11"/>
  <c r="J236" i="11"/>
  <c r="N216" i="11"/>
  <c r="P217" i="11"/>
  <c r="N220" i="11"/>
  <c r="P221" i="11"/>
  <c r="N224" i="11"/>
  <c r="P225" i="11"/>
  <c r="N228" i="11"/>
  <c r="P229" i="11"/>
  <c r="P233" i="11"/>
  <c r="P237" i="11"/>
  <c r="P241" i="11"/>
  <c r="P245" i="11"/>
  <c r="L303" i="11"/>
  <c r="P309" i="11"/>
  <c r="N312" i="11"/>
  <c r="P313" i="11"/>
  <c r="N316" i="11"/>
  <c r="P321" i="11"/>
  <c r="N324" i="11"/>
  <c r="P329" i="11"/>
  <c r="N332" i="11"/>
  <c r="P333" i="11"/>
  <c r="N336" i="11"/>
  <c r="P337" i="11"/>
  <c r="N360" i="11"/>
  <c r="I222" i="11"/>
  <c r="K223" i="11"/>
  <c r="I230" i="11"/>
  <c r="K231" i="11"/>
  <c r="L383" i="11"/>
  <c r="I238" i="11"/>
  <c r="K239" i="11"/>
  <c r="L391" i="11"/>
  <c r="N392" i="11"/>
  <c r="I294" i="11"/>
  <c r="K319" i="11"/>
  <c r="K327" i="11"/>
  <c r="G337" i="11"/>
  <c r="K339" i="11"/>
  <c r="K343" i="11"/>
  <c r="I346" i="11"/>
  <c r="I354" i="11"/>
  <c r="I362" i="11"/>
  <c r="G381" i="11"/>
  <c r="G389" i="11"/>
  <c r="K391" i="11"/>
  <c r="G393" i="11"/>
  <c r="K395" i="11"/>
  <c r="K403" i="11"/>
  <c r="K407" i="11"/>
  <c r="G409" i="11"/>
  <c r="K411" i="11"/>
  <c r="G413" i="11"/>
  <c r="G417" i="11"/>
  <c r="K423" i="11"/>
  <c r="I430" i="11"/>
  <c r="K431" i="11"/>
  <c r="I438" i="11"/>
  <c r="I446" i="11"/>
  <c r="I450" i="11"/>
  <c r="I454" i="11"/>
  <c r="I458" i="11"/>
  <c r="G465" i="11"/>
  <c r="I466" i="11"/>
  <c r="P266" i="11"/>
  <c r="N289" i="11"/>
  <c r="O216" i="11"/>
  <c r="O220" i="11"/>
  <c r="O224" i="11"/>
  <c r="O228" i="11"/>
  <c r="O232" i="11"/>
  <c r="O236" i="11"/>
  <c r="M287" i="11"/>
  <c r="O296" i="11"/>
  <c r="O360" i="11"/>
  <c r="M383" i="11"/>
  <c r="M391" i="11"/>
  <c r="J294" i="11"/>
  <c r="J302" i="11"/>
  <c r="H321" i="11"/>
  <c r="J346" i="11"/>
  <c r="J354" i="11"/>
  <c r="J362" i="11"/>
  <c r="J370" i="11"/>
  <c r="H381" i="11"/>
  <c r="H389" i="11"/>
  <c r="H393" i="11"/>
  <c r="H397" i="11"/>
  <c r="H409" i="11"/>
  <c r="H413" i="11"/>
  <c r="H425" i="11"/>
  <c r="J426" i="11"/>
  <c r="H433" i="11"/>
  <c r="J434" i="11"/>
  <c r="J442" i="11"/>
  <c r="J446" i="11"/>
  <c r="J454" i="11"/>
  <c r="J458" i="11"/>
  <c r="J462" i="11"/>
  <c r="H465" i="11"/>
  <c r="P216" i="11"/>
  <c r="N219" i="11"/>
  <c r="P220" i="11"/>
  <c r="AN10" i="8" s="1"/>
  <c r="N223" i="11"/>
  <c r="P224" i="11"/>
  <c r="N227" i="11"/>
  <c r="P228" i="11"/>
  <c r="AN18" i="8" s="1"/>
  <c r="P232" i="11"/>
  <c r="P236" i="11"/>
  <c r="AN26" i="8" s="1"/>
  <c r="P240" i="11"/>
  <c r="P244" i="11"/>
  <c r="P248" i="11"/>
  <c r="P252" i="11"/>
  <c r="N263" i="11"/>
  <c r="L270" i="11"/>
  <c r="N279" i="11"/>
  <c r="L286" i="11"/>
  <c r="N295" i="11"/>
  <c r="L302" i="11"/>
  <c r="N303" i="11"/>
  <c r="N339" i="11"/>
  <c r="AL129" i="8" s="1"/>
  <c r="N343" i="11"/>
  <c r="N347" i="11"/>
  <c r="N351" i="11"/>
  <c r="N355" i="11"/>
  <c r="L362" i="11"/>
  <c r="I225" i="11"/>
  <c r="AL15" i="8" s="1"/>
  <c r="I233" i="11"/>
  <c r="N387" i="11"/>
  <c r="AL177" i="8" s="1"/>
  <c r="I241" i="11"/>
  <c r="K318" i="11"/>
  <c r="G320" i="11"/>
  <c r="K322" i="11"/>
  <c r="K326" i="11"/>
  <c r="G328" i="11"/>
  <c r="K330" i="11"/>
  <c r="G332" i="11"/>
  <c r="G340" i="11"/>
  <c r="K342" i="11"/>
  <c r="G348" i="11"/>
  <c r="G356" i="11"/>
  <c r="G364" i="11"/>
  <c r="K370" i="11"/>
  <c r="G380" i="11"/>
  <c r="K382" i="11"/>
  <c r="G388" i="11"/>
  <c r="AJ178" i="8" s="1"/>
  <c r="I393" i="11"/>
  <c r="I397" i="11"/>
  <c r="I409" i="11"/>
  <c r="I421" i="11"/>
  <c r="I425" i="11"/>
  <c r="I433" i="11"/>
  <c r="I441" i="11"/>
  <c r="G452" i="11"/>
  <c r="K454" i="11"/>
  <c r="G460" i="11"/>
  <c r="K462" i="11"/>
  <c r="I465" i="11"/>
  <c r="H299" i="11"/>
  <c r="O219" i="11"/>
  <c r="O223" i="11"/>
  <c r="O227" i="11"/>
  <c r="O231" i="11"/>
  <c r="O235" i="11"/>
  <c r="M270" i="11"/>
  <c r="M286" i="11"/>
  <c r="M302" i="11"/>
  <c r="O355" i="11"/>
  <c r="J233" i="11"/>
  <c r="AM23" i="8" s="1"/>
  <c r="M386" i="11"/>
  <c r="O387" i="11"/>
  <c r="J241" i="11"/>
  <c r="H324" i="11"/>
  <c r="AK114" i="8" s="1"/>
  <c r="H332" i="11"/>
  <c r="H344" i="11"/>
  <c r="AK134" i="8" s="1"/>
  <c r="H348" i="11"/>
  <c r="AK138" i="8" s="1"/>
  <c r="H356" i="11"/>
  <c r="H364" i="11"/>
  <c r="H376" i="11"/>
  <c r="H384" i="11"/>
  <c r="AK174" i="8" s="1"/>
  <c r="J397" i="11"/>
  <c r="J405" i="11"/>
  <c r="J449" i="11"/>
  <c r="H452" i="11"/>
  <c r="J453" i="11"/>
  <c r="H460" i="11"/>
  <c r="J465" i="11"/>
  <c r="N218" i="11"/>
  <c r="P219" i="11"/>
  <c r="N222" i="11"/>
  <c r="P223" i="11"/>
  <c r="N226" i="11"/>
  <c r="P227" i="11"/>
  <c r="P231" i="11"/>
  <c r="P235" i="11"/>
  <c r="P239" i="11"/>
  <c r="P243" i="11"/>
  <c r="P247" i="11"/>
  <c r="P275" i="11"/>
  <c r="P291" i="11"/>
  <c r="L301" i="11"/>
  <c r="L357" i="11"/>
  <c r="G235" i="11"/>
  <c r="N386" i="11"/>
  <c r="L389" i="11"/>
  <c r="K297" i="11"/>
  <c r="G299" i="11"/>
  <c r="G307" i="11"/>
  <c r="I320" i="11"/>
  <c r="G323" i="11"/>
  <c r="I324" i="11"/>
  <c r="AL114" i="8" s="1"/>
  <c r="I328" i="11"/>
  <c r="I336" i="11"/>
  <c r="AL126" i="8" s="1"/>
  <c r="I340" i="11"/>
  <c r="K349" i="11"/>
  <c r="K357" i="11"/>
  <c r="K365" i="11"/>
  <c r="G367" i="11"/>
  <c r="I384" i="11"/>
  <c r="I392" i="11"/>
  <c r="AL182" i="8" s="1"/>
  <c r="I396" i="11"/>
  <c r="I404" i="11"/>
  <c r="I408" i="11"/>
  <c r="I412" i="11"/>
  <c r="I420" i="11"/>
  <c r="G427" i="11"/>
  <c r="K429" i="11"/>
  <c r="G435" i="11"/>
  <c r="I436" i="11"/>
  <c r="K437" i="11"/>
  <c r="G443" i="11"/>
  <c r="K449" i="11"/>
  <c r="G451" i="11"/>
  <c r="K453" i="11"/>
  <c r="G455" i="11"/>
  <c r="K461" i="11"/>
  <c r="G463" i="11"/>
  <c r="G467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O249" i="11"/>
  <c r="L251" i="11"/>
  <c r="L255" i="11"/>
  <c r="L259" i="11"/>
  <c r="M263" i="11"/>
  <c r="M269" i="11"/>
  <c r="O272" i="11"/>
  <c r="L276" i="11"/>
  <c r="M279" i="11"/>
  <c r="M285" i="11"/>
  <c r="O288" i="11"/>
  <c r="L292" i="11"/>
  <c r="M295" i="11"/>
  <c r="M301" i="11"/>
  <c r="O238" i="11"/>
  <c r="O239" i="11"/>
  <c r="O240" i="11"/>
  <c r="O241" i="11"/>
  <c r="O242" i="11"/>
  <c r="O243" i="11"/>
  <c r="O244" i="11"/>
  <c r="O245" i="11"/>
  <c r="O246" i="11"/>
  <c r="O247" i="11"/>
  <c r="O248" i="11"/>
  <c r="P249" i="11"/>
  <c r="P272" i="11"/>
  <c r="P288" i="11"/>
  <c r="L250" i="11"/>
  <c r="L254" i="11"/>
  <c r="L258" i="11"/>
  <c r="O263" i="11"/>
  <c r="O279" i="11"/>
  <c r="O295" i="11"/>
  <c r="M336" i="11"/>
  <c r="L261" i="11"/>
  <c r="N264" i="11"/>
  <c r="N270" i="11"/>
  <c r="L271" i="11"/>
  <c r="P273" i="11"/>
  <c r="L277" i="11"/>
  <c r="N280" i="11"/>
  <c r="N286" i="11"/>
  <c r="L287" i="11"/>
  <c r="P289" i="11"/>
  <c r="L293" i="11"/>
  <c r="N296" i="11"/>
  <c r="N302" i="11"/>
  <c r="P251" i="11"/>
  <c r="L253" i="11"/>
  <c r="L257" i="11"/>
  <c r="M261" i="11"/>
  <c r="O264" i="11"/>
  <c r="L268" i="11"/>
  <c r="M271" i="11"/>
  <c r="M277" i="11"/>
  <c r="O280" i="11"/>
  <c r="L284" i="11"/>
  <c r="M293" i="11"/>
  <c r="L300" i="11"/>
  <c r="L249" i="11"/>
  <c r="L262" i="11"/>
  <c r="P264" i="11"/>
  <c r="N265" i="11"/>
  <c r="P267" i="11"/>
  <c r="N271" i="11"/>
  <c r="O274" i="11"/>
  <c r="L278" i="11"/>
  <c r="P280" i="11"/>
  <c r="N281" i="11"/>
  <c r="P283" i="11"/>
  <c r="N287" i="11"/>
  <c r="O290" i="11"/>
  <c r="L294" i="11"/>
  <c r="P296" i="11"/>
  <c r="N297" i="11"/>
  <c r="P299" i="11"/>
  <c r="O303" i="11"/>
  <c r="O304" i="11"/>
  <c r="M308" i="11"/>
  <c r="P325" i="11"/>
  <c r="N328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P250" i="11"/>
  <c r="L252" i="11"/>
  <c r="L256" i="11"/>
  <c r="L260" i="11"/>
  <c r="M262" i="11"/>
  <c r="O265" i="11"/>
  <c r="O271" i="11"/>
  <c r="M272" i="11"/>
  <c r="P274" i="11"/>
  <c r="M278" i="11"/>
  <c r="O281" i="11"/>
  <c r="O287" i="11"/>
  <c r="M288" i="11"/>
  <c r="P290" i="11"/>
  <c r="M294" i="11"/>
  <c r="O297" i="11"/>
  <c r="P304" i="11"/>
  <c r="P305" i="11"/>
  <c r="N308" i="11"/>
  <c r="O317" i="11"/>
  <c r="M320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N249" i="11"/>
  <c r="N262" i="11"/>
  <c r="L263" i="11"/>
  <c r="P265" i="11"/>
  <c r="L269" i="11"/>
  <c r="N272" i="11"/>
  <c r="N278" i="11"/>
  <c r="L279" i="11"/>
  <c r="P281" i="11"/>
  <c r="L285" i="11"/>
  <c r="N288" i="11"/>
  <c r="N294" i="11"/>
  <c r="L295" i="11"/>
  <c r="P297" i="11"/>
  <c r="P317" i="11"/>
  <c r="N320" i="11"/>
  <c r="O329" i="11"/>
  <c r="M332" i="11"/>
  <c r="M304" i="11"/>
  <c r="N305" i="11"/>
  <c r="O306" i="11"/>
  <c r="M309" i="11"/>
  <c r="O310" i="11"/>
  <c r="M313" i="11"/>
  <c r="O314" i="11"/>
  <c r="M317" i="11"/>
  <c r="O318" i="11"/>
  <c r="M321" i="11"/>
  <c r="O322" i="11"/>
  <c r="M325" i="11"/>
  <c r="O326" i="11"/>
  <c r="M329" i="11"/>
  <c r="O330" i="11"/>
  <c r="M333" i="11"/>
  <c r="O334" i="11"/>
  <c r="M337" i="11"/>
  <c r="O338" i="11"/>
  <c r="P341" i="11"/>
  <c r="N342" i="11"/>
  <c r="P345" i="11"/>
  <c r="N346" i="11"/>
  <c r="P349" i="11"/>
  <c r="N350" i="11"/>
  <c r="P353" i="11"/>
  <c r="N354" i="11"/>
  <c r="P363" i="11"/>
  <c r="P368" i="11"/>
  <c r="K218" i="11"/>
  <c r="AN8" i="8" s="1"/>
  <c r="K217" i="11"/>
  <c r="AN7" i="8" s="1"/>
  <c r="N371" i="11"/>
  <c r="I221" i="11"/>
  <c r="AL11" i="8" s="1"/>
  <c r="L380" i="11"/>
  <c r="G229" i="11"/>
  <c r="AJ19" i="8" s="1"/>
  <c r="G230" i="11"/>
  <c r="L381" i="11"/>
  <c r="G231" i="11"/>
  <c r="M303" i="11"/>
  <c r="N304" i="11"/>
  <c r="O305" i="11"/>
  <c r="P306" i="11"/>
  <c r="N309" i="11"/>
  <c r="P310" i="11"/>
  <c r="N313" i="11"/>
  <c r="P314" i="11"/>
  <c r="N317" i="11"/>
  <c r="P318" i="11"/>
  <c r="N321" i="11"/>
  <c r="P322" i="11"/>
  <c r="N325" i="11"/>
  <c r="P326" i="11"/>
  <c r="N329" i="11"/>
  <c r="P330" i="11"/>
  <c r="N333" i="11"/>
  <c r="P334" i="11"/>
  <c r="N337" i="11"/>
  <c r="P338" i="11"/>
  <c r="M339" i="11"/>
  <c r="O342" i="11"/>
  <c r="M343" i="11"/>
  <c r="O346" i="11"/>
  <c r="M347" i="11"/>
  <c r="O350" i="11"/>
  <c r="M351" i="11"/>
  <c r="O354" i="11"/>
  <c r="P358" i="11"/>
  <c r="P369" i="11"/>
  <c r="K219" i="11"/>
  <c r="AN9" i="8" s="1"/>
  <c r="N373" i="11"/>
  <c r="I223" i="11"/>
  <c r="AL13" i="8" s="1"/>
  <c r="L375" i="11"/>
  <c r="G225" i="11"/>
  <c r="AJ15" i="8" s="1"/>
  <c r="G227" i="11"/>
  <c r="AJ17" i="8" s="1"/>
  <c r="P342" i="11"/>
  <c r="P346" i="11"/>
  <c r="P350" i="11"/>
  <c r="P354" i="11"/>
  <c r="L367" i="11"/>
  <c r="G217" i="11"/>
  <c r="AJ7" i="8" s="1"/>
  <c r="P371" i="11"/>
  <c r="K221" i="11"/>
  <c r="O373" i="11"/>
  <c r="J223" i="11"/>
  <c r="AM13" i="8" s="1"/>
  <c r="M375" i="11"/>
  <c r="H224" i="11"/>
  <c r="AK14" i="8" s="1"/>
  <c r="H225" i="11"/>
  <c r="AK15" i="8" s="1"/>
  <c r="N378" i="11"/>
  <c r="I228" i="11"/>
  <c r="AL18" i="8" s="1"/>
  <c r="N379" i="11"/>
  <c r="AL169" i="8" s="1"/>
  <c r="I229" i="11"/>
  <c r="AL19" i="8" s="1"/>
  <c r="O339" i="11"/>
  <c r="O343" i="11"/>
  <c r="O347" i="11"/>
  <c r="O351" i="11"/>
  <c r="M362" i="11"/>
  <c r="M367" i="11"/>
  <c r="H216" i="11"/>
  <c r="AK6" i="8" s="1"/>
  <c r="H217" i="11"/>
  <c r="O374" i="11"/>
  <c r="J224" i="11"/>
  <c r="AM14" i="8" s="1"/>
  <c r="M376" i="11"/>
  <c r="H226" i="11"/>
  <c r="O381" i="11"/>
  <c r="J231" i="11"/>
  <c r="O382" i="11"/>
  <c r="J232" i="11"/>
  <c r="AM22" i="8" s="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N261" i="11"/>
  <c r="O262" i="11"/>
  <c r="P263" i="11"/>
  <c r="L267" i="11"/>
  <c r="M268" i="11"/>
  <c r="N269" i="11"/>
  <c r="O270" i="11"/>
  <c r="P271" i="11"/>
  <c r="L275" i="11"/>
  <c r="M276" i="11"/>
  <c r="N277" i="11"/>
  <c r="O278" i="11"/>
  <c r="P279" i="11"/>
  <c r="L283" i="11"/>
  <c r="M284" i="11"/>
  <c r="N285" i="11"/>
  <c r="O286" i="11"/>
  <c r="P287" i="11"/>
  <c r="L291" i="11"/>
  <c r="M292" i="11"/>
  <c r="N293" i="11"/>
  <c r="O294" i="11"/>
  <c r="P295" i="11"/>
  <c r="L299" i="11"/>
  <c r="M300" i="11"/>
  <c r="N301" i="11"/>
  <c r="O302" i="11"/>
  <c r="P303" i="11"/>
  <c r="M307" i="11"/>
  <c r="O308" i="11"/>
  <c r="M311" i="11"/>
  <c r="O312" i="11"/>
  <c r="M315" i="11"/>
  <c r="O316" i="11"/>
  <c r="M319" i="11"/>
  <c r="O320" i="11"/>
  <c r="M323" i="11"/>
  <c r="O324" i="11"/>
  <c r="M327" i="11"/>
  <c r="O328" i="11"/>
  <c r="M331" i="11"/>
  <c r="O332" i="11"/>
  <c r="M335" i="11"/>
  <c r="O336" i="11"/>
  <c r="P339" i="11"/>
  <c r="N340" i="11"/>
  <c r="P343" i="11"/>
  <c r="N344" i="11"/>
  <c r="P347" i="11"/>
  <c r="N348" i="11"/>
  <c r="P351" i="11"/>
  <c r="N352" i="11"/>
  <c r="P355" i="11"/>
  <c r="M357" i="11"/>
  <c r="P360" i="11"/>
  <c r="N362" i="11"/>
  <c r="O366" i="11"/>
  <c r="J216" i="11"/>
  <c r="I217" i="11"/>
  <c r="AL7" i="8" s="1"/>
  <c r="J225" i="11"/>
  <c r="N250" i="11"/>
  <c r="N251" i="11"/>
  <c r="N252" i="11"/>
  <c r="N253" i="11"/>
  <c r="N254" i="11"/>
  <c r="N255" i="11"/>
  <c r="N256" i="11"/>
  <c r="N257" i="11"/>
  <c r="N258" i="11"/>
  <c r="N259" i="11"/>
  <c r="N260" i="11"/>
  <c r="O261" i="11"/>
  <c r="P262" i="11"/>
  <c r="L266" i="11"/>
  <c r="M267" i="11"/>
  <c r="N268" i="11"/>
  <c r="O269" i="11"/>
  <c r="P270" i="11"/>
  <c r="L274" i="11"/>
  <c r="M275" i="11"/>
  <c r="N276" i="11"/>
  <c r="O277" i="11"/>
  <c r="P278" i="11"/>
  <c r="L282" i="11"/>
  <c r="M283" i="11"/>
  <c r="N284" i="11"/>
  <c r="O285" i="11"/>
  <c r="P286" i="11"/>
  <c r="L290" i="11"/>
  <c r="M291" i="11"/>
  <c r="N292" i="11"/>
  <c r="O293" i="11"/>
  <c r="P294" i="11"/>
  <c r="L298" i="11"/>
  <c r="M299" i="11"/>
  <c r="N300" i="11"/>
  <c r="O301" i="11"/>
  <c r="P302" i="11"/>
  <c r="N307" i="11"/>
  <c r="P308" i="11"/>
  <c r="N311" i="11"/>
  <c r="P312" i="11"/>
  <c r="N315" i="11"/>
  <c r="P316" i="11"/>
  <c r="N319" i="11"/>
  <c r="P320" i="11"/>
  <c r="N323" i="11"/>
  <c r="P324" i="11"/>
  <c r="N327" i="11"/>
  <c r="P328" i="11"/>
  <c r="N331" i="11"/>
  <c r="P332" i="11"/>
  <c r="N335" i="11"/>
  <c r="AL125" i="8" s="1"/>
  <c r="P336" i="11"/>
  <c r="O340" i="11"/>
  <c r="M341" i="11"/>
  <c r="O344" i="11"/>
  <c r="M345" i="11"/>
  <c r="O348" i="11"/>
  <c r="M349" i="11"/>
  <c r="O352" i="11"/>
  <c r="M353" i="11"/>
  <c r="N357" i="11"/>
  <c r="P361" i="11"/>
  <c r="L364" i="11"/>
  <c r="P366" i="11"/>
  <c r="K216" i="11"/>
  <c r="AN6" i="8" s="1"/>
  <c r="J217" i="11"/>
  <c r="AM7" i="8" s="1"/>
  <c r="M368" i="11"/>
  <c r="H218" i="11"/>
  <c r="G219" i="11"/>
  <c r="AJ9" i="8" s="1"/>
  <c r="P377" i="11"/>
  <c r="K227" i="11"/>
  <c r="AN17" i="8" s="1"/>
  <c r="O250" i="11"/>
  <c r="O251" i="11"/>
  <c r="O252" i="11"/>
  <c r="O253" i="11"/>
  <c r="O254" i="11"/>
  <c r="O255" i="11"/>
  <c r="O256" i="11"/>
  <c r="O257" i="11"/>
  <c r="O258" i="11"/>
  <c r="O259" i="11"/>
  <c r="O260" i="11"/>
  <c r="P261" i="11"/>
  <c r="L265" i="11"/>
  <c r="M266" i="11"/>
  <c r="N267" i="11"/>
  <c r="O268" i="11"/>
  <c r="P269" i="11"/>
  <c r="L273" i="11"/>
  <c r="M274" i="11"/>
  <c r="N275" i="11"/>
  <c r="O276" i="11"/>
  <c r="P277" i="11"/>
  <c r="L281" i="11"/>
  <c r="M282" i="11"/>
  <c r="N283" i="11"/>
  <c r="O284" i="11"/>
  <c r="P285" i="11"/>
  <c r="L289" i="11"/>
  <c r="M290" i="11"/>
  <c r="N291" i="11"/>
  <c r="O292" i="11"/>
  <c r="P293" i="11"/>
  <c r="L297" i="11"/>
  <c r="M298" i="11"/>
  <c r="N299" i="11"/>
  <c r="O300" i="11"/>
  <c r="P301" i="11"/>
  <c r="L305" i="11"/>
  <c r="M306" i="11"/>
  <c r="O307" i="11"/>
  <c r="M310" i="11"/>
  <c r="O311" i="11"/>
  <c r="M314" i="11"/>
  <c r="O315" i="11"/>
  <c r="M318" i="11"/>
  <c r="O319" i="11"/>
  <c r="M322" i="11"/>
  <c r="O323" i="11"/>
  <c r="M326" i="11"/>
  <c r="O327" i="11"/>
  <c r="M330" i="11"/>
  <c r="O331" i="11"/>
  <c r="M334" i="11"/>
  <c r="O335" i="11"/>
  <c r="M338" i="11"/>
  <c r="P340" i="11"/>
  <c r="N341" i="11"/>
  <c r="P344" i="11"/>
  <c r="N345" i="11"/>
  <c r="P348" i="11"/>
  <c r="N349" i="11"/>
  <c r="P352" i="11"/>
  <c r="N353" i="11"/>
  <c r="O357" i="11"/>
  <c r="L359" i="11"/>
  <c r="N363" i="11"/>
  <c r="N368" i="11"/>
  <c r="I218" i="11"/>
  <c r="AL8" i="8" s="1"/>
  <c r="M370" i="11"/>
  <c r="H220" i="11"/>
  <c r="AK10" i="8" s="1"/>
  <c r="L372" i="11"/>
  <c r="G221" i="11"/>
  <c r="AJ11" i="8" s="1"/>
  <c r="G222" i="11"/>
  <c r="AJ12" i="8" s="1"/>
  <c r="P376" i="11"/>
  <c r="K226" i="11"/>
  <c r="AN16" i="8" s="1"/>
  <c r="K225" i="11"/>
  <c r="AN15" i="8" s="1"/>
  <c r="P253" i="11"/>
  <c r="P254" i="11"/>
  <c r="P255" i="11"/>
  <c r="P256" i="11"/>
  <c r="P257" i="11"/>
  <c r="P258" i="11"/>
  <c r="P259" i="11"/>
  <c r="P260" i="11"/>
  <c r="L264" i="11"/>
  <c r="M265" i="11"/>
  <c r="N266" i="11"/>
  <c r="O267" i="11"/>
  <c r="P268" i="11"/>
  <c r="L272" i="11"/>
  <c r="M273" i="11"/>
  <c r="N274" i="11"/>
  <c r="O275" i="11"/>
  <c r="P276" i="11"/>
  <c r="L280" i="11"/>
  <c r="M281" i="11"/>
  <c r="N282" i="11"/>
  <c r="O283" i="11"/>
  <c r="P284" i="11"/>
  <c r="L288" i="11"/>
  <c r="M289" i="11"/>
  <c r="N290" i="11"/>
  <c r="O291" i="11"/>
  <c r="P292" i="11"/>
  <c r="L296" i="11"/>
  <c r="M297" i="11"/>
  <c r="N298" i="11"/>
  <c r="O299" i="11"/>
  <c r="P300" i="11"/>
  <c r="L304" i="11"/>
  <c r="M305" i="11"/>
  <c r="N306" i="11"/>
  <c r="P307" i="11"/>
  <c r="N310" i="11"/>
  <c r="P311" i="11"/>
  <c r="N314" i="11"/>
  <c r="P315" i="11"/>
  <c r="N318" i="11"/>
  <c r="P319" i="11"/>
  <c r="N322" i="11"/>
  <c r="P323" i="11"/>
  <c r="N326" i="11"/>
  <c r="P327" i="11"/>
  <c r="N330" i="11"/>
  <c r="P331" i="11"/>
  <c r="N334" i="11"/>
  <c r="P335" i="11"/>
  <c r="N338" i="11"/>
  <c r="O341" i="11"/>
  <c r="M342" i="11"/>
  <c r="O345" i="11"/>
  <c r="M346" i="11"/>
  <c r="O349" i="11"/>
  <c r="M350" i="11"/>
  <c r="O353" i="11"/>
  <c r="M354" i="11"/>
  <c r="M359" i="11"/>
  <c r="O363" i="11"/>
  <c r="L365" i="11"/>
  <c r="O368" i="11"/>
  <c r="J218" i="11"/>
  <c r="AM8" i="8" s="1"/>
  <c r="N370" i="11"/>
  <c r="I220" i="11"/>
  <c r="H222" i="11"/>
  <c r="AK12" i="8" s="1"/>
  <c r="L373" i="11"/>
  <c r="G223" i="11"/>
  <c r="P385" i="11"/>
  <c r="M392" i="11"/>
  <c r="H242" i="11"/>
  <c r="P393" i="11"/>
  <c r="K243" i="11"/>
  <c r="AN33" i="8" s="1"/>
  <c r="N395" i="11"/>
  <c r="I245" i="11"/>
  <c r="AL35" i="8" s="1"/>
  <c r="L397" i="11"/>
  <c r="G247" i="11"/>
  <c r="AJ37" i="8" s="1"/>
  <c r="O398" i="11"/>
  <c r="J248" i="11"/>
  <c r="AM38" i="8" s="1"/>
  <c r="M400" i="11"/>
  <c r="H250" i="11"/>
  <c r="AK40" i="8" s="1"/>
  <c r="P401" i="11"/>
  <c r="K251" i="11"/>
  <c r="AN41" i="8" s="1"/>
  <c r="N403" i="11"/>
  <c r="I253" i="11"/>
  <c r="AL43" i="8" s="1"/>
  <c r="L405" i="11"/>
  <c r="G255" i="11"/>
  <c r="O406" i="11"/>
  <c r="J256" i="11"/>
  <c r="AM46" i="8" s="1"/>
  <c r="M408" i="11"/>
  <c r="H258" i="11"/>
  <c r="AK48" i="8" s="1"/>
  <c r="P409" i="11"/>
  <c r="K259" i="11"/>
  <c r="AN49" i="8" s="1"/>
  <c r="N411" i="11"/>
  <c r="I261" i="11"/>
  <c r="L413" i="11"/>
  <c r="G263" i="11"/>
  <c r="AJ53" i="8" s="1"/>
  <c r="O414" i="11"/>
  <c r="J264" i="11"/>
  <c r="AM54" i="8" s="1"/>
  <c r="M416" i="11"/>
  <c r="H266" i="11"/>
  <c r="AK56" i="8" s="1"/>
  <c r="L418" i="11"/>
  <c r="G268" i="11"/>
  <c r="AJ58" i="8" s="1"/>
  <c r="N419" i="11"/>
  <c r="I269" i="11"/>
  <c r="AL59" i="8" s="1"/>
  <c r="M421" i="11"/>
  <c r="H271" i="11"/>
  <c r="AK61" i="8" s="1"/>
  <c r="P422" i="11"/>
  <c r="K272" i="11"/>
  <c r="M424" i="11"/>
  <c r="H274" i="11"/>
  <c r="L426" i="11"/>
  <c r="G276" i="11"/>
  <c r="AJ66" i="8" s="1"/>
  <c r="N427" i="11"/>
  <c r="I277" i="11"/>
  <c r="M429" i="11"/>
  <c r="H279" i="11"/>
  <c r="AK69" i="8" s="1"/>
  <c r="P430" i="11"/>
  <c r="K280" i="11"/>
  <c r="M432" i="11"/>
  <c r="H282" i="11"/>
  <c r="AK72" i="8" s="1"/>
  <c r="H233" i="11"/>
  <c r="L434" i="11"/>
  <c r="G284" i="11"/>
  <c r="N435" i="11"/>
  <c r="I285" i="11"/>
  <c r="I236" i="11"/>
  <c r="AL26" i="8" s="1"/>
  <c r="M437" i="11"/>
  <c r="H287" i="11"/>
  <c r="AK77" i="8" s="1"/>
  <c r="P438" i="11"/>
  <c r="K288" i="11"/>
  <c r="AN78" i="8" s="1"/>
  <c r="J239" i="11"/>
  <c r="AM29" i="8" s="1"/>
  <c r="M440" i="11"/>
  <c r="H290" i="11"/>
  <c r="AK80" i="8" s="1"/>
  <c r="H241" i="11"/>
  <c r="L442" i="11"/>
  <c r="G292" i="11"/>
  <c r="AJ82" i="8" s="1"/>
  <c r="P443" i="11"/>
  <c r="K293" i="11"/>
  <c r="AN83" i="8" s="1"/>
  <c r="L370" i="11"/>
  <c r="G220" i="11"/>
  <c r="AJ10" i="8" s="1"/>
  <c r="O371" i="11"/>
  <c r="M373" i="11"/>
  <c r="H223" i="11"/>
  <c r="AK13" i="8" s="1"/>
  <c r="P374" i="11"/>
  <c r="N376" i="11"/>
  <c r="L378" i="11"/>
  <c r="G228" i="11"/>
  <c r="AJ18" i="8" s="1"/>
  <c r="O379" i="11"/>
  <c r="M381" i="11"/>
  <c r="H231" i="11"/>
  <c r="AK21" i="8" s="1"/>
  <c r="P382" i="11"/>
  <c r="N384" i="11"/>
  <c r="L386" i="11"/>
  <c r="G236" i="11"/>
  <c r="AJ26" i="8" s="1"/>
  <c r="M389" i="11"/>
  <c r="H239" i="11"/>
  <c r="AK29" i="8" s="1"/>
  <c r="P390" i="11"/>
  <c r="L394" i="11"/>
  <c r="G244" i="11"/>
  <c r="AJ34" i="8" s="1"/>
  <c r="O395" i="11"/>
  <c r="J245" i="11"/>
  <c r="AM35" i="8" s="1"/>
  <c r="M397" i="11"/>
  <c r="H247" i="11"/>
  <c r="AK37" i="8" s="1"/>
  <c r="P398" i="11"/>
  <c r="K248" i="11"/>
  <c r="AN38" i="8" s="1"/>
  <c r="N400" i="11"/>
  <c r="I250" i="11"/>
  <c r="AL40" i="8" s="1"/>
  <c r="L402" i="11"/>
  <c r="G252" i="11"/>
  <c r="O403" i="11"/>
  <c r="J253" i="11"/>
  <c r="M405" i="11"/>
  <c r="H255" i="11"/>
  <c r="P406" i="11"/>
  <c r="K256" i="11"/>
  <c r="AN46" i="8" s="1"/>
  <c r="N408" i="11"/>
  <c r="I258" i="11"/>
  <c r="AL48" i="8" s="1"/>
  <c r="L410" i="11"/>
  <c r="G260" i="11"/>
  <c r="AJ50" i="8" s="1"/>
  <c r="O411" i="11"/>
  <c r="J261" i="11"/>
  <c r="M413" i="11"/>
  <c r="H263" i="11"/>
  <c r="AK53" i="8" s="1"/>
  <c r="P414" i="11"/>
  <c r="K264" i="11"/>
  <c r="AN54" i="8" s="1"/>
  <c r="N416" i="11"/>
  <c r="I266" i="11"/>
  <c r="AL56" i="8" s="1"/>
  <c r="M418" i="11"/>
  <c r="H268" i="11"/>
  <c r="AK58" i="8" s="1"/>
  <c r="O419" i="11"/>
  <c r="J269" i="11"/>
  <c r="AM59" i="8" s="1"/>
  <c r="N421" i="11"/>
  <c r="I271" i="11"/>
  <c r="N424" i="11"/>
  <c r="I274" i="11"/>
  <c r="M426" i="11"/>
  <c r="H276" i="11"/>
  <c r="AK66" i="8" s="1"/>
  <c r="O427" i="11"/>
  <c r="J277" i="11"/>
  <c r="AM67" i="8" s="1"/>
  <c r="N429" i="11"/>
  <c r="I279" i="11"/>
  <c r="N432" i="11"/>
  <c r="I282" i="11"/>
  <c r="AL72" i="8" s="1"/>
  <c r="M434" i="11"/>
  <c r="H284" i="11"/>
  <c r="AK74" i="8" s="1"/>
  <c r="O435" i="11"/>
  <c r="J285" i="11"/>
  <c r="AM75" i="8" s="1"/>
  <c r="N437" i="11"/>
  <c r="I287" i="11"/>
  <c r="AL77" i="8" s="1"/>
  <c r="G238" i="11"/>
  <c r="AJ28" i="8" s="1"/>
  <c r="N440" i="11"/>
  <c r="I290" i="11"/>
  <c r="AL80" i="8" s="1"/>
  <c r="M442" i="11"/>
  <c r="H292" i="11"/>
  <c r="AK82" i="8" s="1"/>
  <c r="O376" i="11"/>
  <c r="J226" i="11"/>
  <c r="AM16" i="8" s="1"/>
  <c r="M378" i="11"/>
  <c r="P379" i="11"/>
  <c r="N381" i="11"/>
  <c r="I231" i="11"/>
  <c r="AL21" i="8" s="1"/>
  <c r="O384" i="11"/>
  <c r="J234" i="11"/>
  <c r="AM24" i="8" s="1"/>
  <c r="P387" i="11"/>
  <c r="N389" i="11"/>
  <c r="I239" i="11"/>
  <c r="AL29" i="8" s="1"/>
  <c r="O392" i="11"/>
  <c r="J242" i="11"/>
  <c r="M394" i="11"/>
  <c r="H244" i="11"/>
  <c r="AK34" i="8" s="1"/>
  <c r="P395" i="11"/>
  <c r="K245" i="11"/>
  <c r="N397" i="11"/>
  <c r="I247" i="11"/>
  <c r="AL37" i="8" s="1"/>
  <c r="L399" i="11"/>
  <c r="G249" i="11"/>
  <c r="AJ39" i="8" s="1"/>
  <c r="O400" i="11"/>
  <c r="J250" i="11"/>
  <c r="AM40" i="8" s="1"/>
  <c r="M402" i="11"/>
  <c r="H252" i="11"/>
  <c r="P403" i="11"/>
  <c r="K253" i="11"/>
  <c r="AN43" i="8" s="1"/>
  <c r="N405" i="11"/>
  <c r="I255" i="11"/>
  <c r="AL45" i="8" s="1"/>
  <c r="L407" i="11"/>
  <c r="G257" i="11"/>
  <c r="AJ47" i="8" s="1"/>
  <c r="O408" i="11"/>
  <c r="J258" i="11"/>
  <c r="AM48" i="8" s="1"/>
  <c r="M410" i="11"/>
  <c r="H260" i="11"/>
  <c r="P411" i="11"/>
  <c r="K261" i="11"/>
  <c r="N413" i="11"/>
  <c r="I263" i="11"/>
  <c r="AL53" i="8" s="1"/>
  <c r="L415" i="11"/>
  <c r="G265" i="11"/>
  <c r="AJ55" i="8" s="1"/>
  <c r="O416" i="11"/>
  <c r="J266" i="11"/>
  <c r="AM56" i="8" s="1"/>
  <c r="P419" i="11"/>
  <c r="K269" i="11"/>
  <c r="AN59" i="8" s="1"/>
  <c r="O421" i="11"/>
  <c r="J271" i="11"/>
  <c r="O424" i="11"/>
  <c r="J274" i="11"/>
  <c r="P427" i="11"/>
  <c r="K277" i="11"/>
  <c r="O429" i="11"/>
  <c r="J279" i="11"/>
  <c r="AM69" i="8" s="1"/>
  <c r="O432" i="11"/>
  <c r="J282" i="11"/>
  <c r="AM72" i="8" s="1"/>
  <c r="P435" i="11"/>
  <c r="K285" i="11"/>
  <c r="O437" i="11"/>
  <c r="J287" i="11"/>
  <c r="AM77" i="8" s="1"/>
  <c r="O440" i="11"/>
  <c r="J290" i="11"/>
  <c r="AM80" i="8" s="1"/>
  <c r="P384" i="11"/>
  <c r="K234" i="11"/>
  <c r="AN24" i="8" s="1"/>
  <c r="P392" i="11"/>
  <c r="K242" i="11"/>
  <c r="AN32" i="8" s="1"/>
  <c r="N394" i="11"/>
  <c r="I244" i="11"/>
  <c r="AL34" i="8" s="1"/>
  <c r="L396" i="11"/>
  <c r="G246" i="11"/>
  <c r="AJ36" i="8" s="1"/>
  <c r="O397" i="11"/>
  <c r="J247" i="11"/>
  <c r="AM37" i="8" s="1"/>
  <c r="M399" i="11"/>
  <c r="H249" i="11"/>
  <c r="AK39" i="8" s="1"/>
  <c r="P400" i="11"/>
  <c r="AN190" i="8" s="1"/>
  <c r="K250" i="11"/>
  <c r="AN40" i="8" s="1"/>
  <c r="N402" i="11"/>
  <c r="I252" i="11"/>
  <c r="AL42" i="8" s="1"/>
  <c r="L404" i="11"/>
  <c r="G254" i="11"/>
  <c r="AJ44" i="8" s="1"/>
  <c r="O405" i="11"/>
  <c r="J255" i="11"/>
  <c r="AM45" i="8" s="1"/>
  <c r="M407" i="11"/>
  <c r="H257" i="11"/>
  <c r="AK47" i="8" s="1"/>
  <c r="P408" i="11"/>
  <c r="AN198" i="8" s="1"/>
  <c r="K258" i="11"/>
  <c r="AN48" i="8" s="1"/>
  <c r="N410" i="11"/>
  <c r="I260" i="11"/>
  <c r="AL50" i="8" s="1"/>
  <c r="L412" i="11"/>
  <c r="G262" i="11"/>
  <c r="AJ52" i="8" s="1"/>
  <c r="O413" i="11"/>
  <c r="J263" i="11"/>
  <c r="AM53" i="8" s="1"/>
  <c r="M415" i="11"/>
  <c r="H265" i="11"/>
  <c r="P416" i="11"/>
  <c r="K266" i="11"/>
  <c r="AN56" i="8" s="1"/>
  <c r="L417" i="11"/>
  <c r="G267" i="11"/>
  <c r="AJ57" i="8" s="1"/>
  <c r="L420" i="11"/>
  <c r="G270" i="11"/>
  <c r="G269" i="11"/>
  <c r="AJ59" i="8" s="1"/>
  <c r="P424" i="11"/>
  <c r="K274" i="11"/>
  <c r="AN64" i="8" s="1"/>
  <c r="L425" i="11"/>
  <c r="G275" i="11"/>
  <c r="L428" i="11"/>
  <c r="G278" i="11"/>
  <c r="AJ68" i="8" s="1"/>
  <c r="G277" i="11"/>
  <c r="AJ67" i="8" s="1"/>
  <c r="P432" i="11"/>
  <c r="K282" i="11"/>
  <c r="AN72" i="8" s="1"/>
  <c r="H232" i="11"/>
  <c r="AK22" i="8" s="1"/>
  <c r="L433" i="11"/>
  <c r="G283" i="11"/>
  <c r="AJ73" i="8" s="1"/>
  <c r="K233" i="11"/>
  <c r="AN23" i="8" s="1"/>
  <c r="L436" i="11"/>
  <c r="G286" i="11"/>
  <c r="AJ76" i="8" s="1"/>
  <c r="G237" i="11"/>
  <c r="AJ27" i="8" s="1"/>
  <c r="P440" i="11"/>
  <c r="K290" i="11"/>
  <c r="AN80" i="8" s="1"/>
  <c r="H240" i="11"/>
  <c r="AK30" i="8" s="1"/>
  <c r="L441" i="11"/>
  <c r="G291" i="11"/>
  <c r="AJ81" i="8" s="1"/>
  <c r="K241" i="11"/>
  <c r="M356" i="11"/>
  <c r="P357" i="11"/>
  <c r="N359" i="11"/>
  <c r="L361" i="11"/>
  <c r="O362" i="11"/>
  <c r="M364" i="11"/>
  <c r="P365" i="11"/>
  <c r="N367" i="11"/>
  <c r="AL157" i="8" s="1"/>
  <c r="L369" i="11"/>
  <c r="O370" i="11"/>
  <c r="M372" i="11"/>
  <c r="P373" i="11"/>
  <c r="N375" i="11"/>
  <c r="L377" i="11"/>
  <c r="O378" i="11"/>
  <c r="M380" i="11"/>
  <c r="P381" i="11"/>
  <c r="N383" i="11"/>
  <c r="L385" i="11"/>
  <c r="O386" i="11"/>
  <c r="M388" i="11"/>
  <c r="P389" i="11"/>
  <c r="N391" i="11"/>
  <c r="L393" i="11"/>
  <c r="G243" i="11"/>
  <c r="AJ33" i="8" s="1"/>
  <c r="O394" i="11"/>
  <c r="J244" i="11"/>
  <c r="AM34" i="8" s="1"/>
  <c r="M396" i="11"/>
  <c r="H246" i="11"/>
  <c r="AK36" i="8" s="1"/>
  <c r="P397" i="11"/>
  <c r="K247" i="11"/>
  <c r="AN37" i="8" s="1"/>
  <c r="N399" i="11"/>
  <c r="I249" i="11"/>
  <c r="L401" i="11"/>
  <c r="G251" i="11"/>
  <c r="O402" i="11"/>
  <c r="J252" i="11"/>
  <c r="M404" i="11"/>
  <c r="H254" i="11"/>
  <c r="AK44" i="8" s="1"/>
  <c r="P405" i="11"/>
  <c r="K255" i="11"/>
  <c r="AN45" i="8" s="1"/>
  <c r="N407" i="11"/>
  <c r="I257" i="11"/>
  <c r="AL47" i="8" s="1"/>
  <c r="L409" i="11"/>
  <c r="G259" i="11"/>
  <c r="AJ49" i="8" s="1"/>
  <c r="O410" i="11"/>
  <c r="J260" i="11"/>
  <c r="M412" i="11"/>
  <c r="H262" i="11"/>
  <c r="AK52" i="8" s="1"/>
  <c r="P413" i="11"/>
  <c r="K263" i="11"/>
  <c r="AN53" i="8" s="1"/>
  <c r="N415" i="11"/>
  <c r="I265" i="11"/>
  <c r="AL55" i="8" s="1"/>
  <c r="I216" i="11"/>
  <c r="AL6" i="8" s="1"/>
  <c r="M417" i="11"/>
  <c r="H267" i="11"/>
  <c r="P418" i="11"/>
  <c r="K268" i="11"/>
  <c r="AN58" i="8" s="1"/>
  <c r="K267" i="11"/>
  <c r="AN57" i="8" s="1"/>
  <c r="J219" i="11"/>
  <c r="AM9" i="8" s="1"/>
  <c r="M420" i="11"/>
  <c r="H270" i="11"/>
  <c r="AK60" i="8" s="1"/>
  <c r="H221" i="11"/>
  <c r="AK11" i="8" s="1"/>
  <c r="L422" i="11"/>
  <c r="AJ212" i="8" s="1"/>
  <c r="G272" i="11"/>
  <c r="AJ62" i="8" s="1"/>
  <c r="N423" i="11"/>
  <c r="I273" i="11"/>
  <c r="I272" i="11"/>
  <c r="AL62" i="8" s="1"/>
  <c r="I224" i="11"/>
  <c r="AL14" i="8" s="1"/>
  <c r="M425" i="11"/>
  <c r="H275" i="11"/>
  <c r="P426" i="11"/>
  <c r="K276" i="11"/>
  <c r="K275" i="11"/>
  <c r="AN65" i="8" s="1"/>
  <c r="J227" i="11"/>
  <c r="AM17" i="8" s="1"/>
  <c r="M428" i="11"/>
  <c r="H278" i="11"/>
  <c r="AK68" i="8" s="1"/>
  <c r="H229" i="11"/>
  <c r="AK19" i="8" s="1"/>
  <c r="L430" i="11"/>
  <c r="AJ220" i="8" s="1"/>
  <c r="G280" i="11"/>
  <c r="AJ70" i="8" s="1"/>
  <c r="N431" i="11"/>
  <c r="I281" i="11"/>
  <c r="AL71" i="8" s="1"/>
  <c r="I232" i="11"/>
  <c r="AL22" i="8" s="1"/>
  <c r="M433" i="11"/>
  <c r="H283" i="11"/>
  <c r="AK73" i="8" s="1"/>
  <c r="P434" i="11"/>
  <c r="K284" i="11"/>
  <c r="J235" i="11"/>
  <c r="M436" i="11"/>
  <c r="H286" i="11"/>
  <c r="AK76" i="8" s="1"/>
  <c r="H237" i="11"/>
  <c r="AK27" i="8" s="1"/>
  <c r="L438" i="11"/>
  <c r="AJ228" i="8" s="1"/>
  <c r="G288" i="11"/>
  <c r="AJ78" i="8" s="1"/>
  <c r="N439" i="11"/>
  <c r="I289" i="11"/>
  <c r="AL79" i="8" s="1"/>
  <c r="I240" i="11"/>
  <c r="AL30" i="8" s="1"/>
  <c r="M441" i="11"/>
  <c r="H291" i="11"/>
  <c r="AK81" i="8" s="1"/>
  <c r="P442" i="11"/>
  <c r="K292" i="11"/>
  <c r="AN82" i="8" s="1"/>
  <c r="N356" i="11"/>
  <c r="L358" i="11"/>
  <c r="O359" i="11"/>
  <c r="M361" i="11"/>
  <c r="P362" i="11"/>
  <c r="N364" i="11"/>
  <c r="L366" i="11"/>
  <c r="G216" i="11"/>
  <c r="O367" i="11"/>
  <c r="M369" i="11"/>
  <c r="H219" i="11"/>
  <c r="AK9" i="8" s="1"/>
  <c r="P370" i="11"/>
  <c r="N372" i="11"/>
  <c r="L374" i="11"/>
  <c r="G224" i="11"/>
  <c r="O375" i="11"/>
  <c r="M377" i="11"/>
  <c r="H227" i="11"/>
  <c r="AK17" i="8" s="1"/>
  <c r="P378" i="11"/>
  <c r="N380" i="11"/>
  <c r="L382" i="11"/>
  <c r="G232" i="11"/>
  <c r="O383" i="11"/>
  <c r="M385" i="11"/>
  <c r="H235" i="11"/>
  <c r="AK25" i="8" s="1"/>
  <c r="P386" i="11"/>
  <c r="N388" i="11"/>
  <c r="L390" i="11"/>
  <c r="AJ180" i="8" s="1"/>
  <c r="G240" i="11"/>
  <c r="O391" i="11"/>
  <c r="M393" i="11"/>
  <c r="H243" i="11"/>
  <c r="AK33" i="8" s="1"/>
  <c r="P394" i="11"/>
  <c r="K244" i="11"/>
  <c r="AN34" i="8" s="1"/>
  <c r="N396" i="11"/>
  <c r="I246" i="11"/>
  <c r="AL36" i="8" s="1"/>
  <c r="L398" i="11"/>
  <c r="G248" i="11"/>
  <c r="O399" i="11"/>
  <c r="J249" i="11"/>
  <c r="AM39" i="8" s="1"/>
  <c r="M401" i="11"/>
  <c r="H251" i="11"/>
  <c r="AK41" i="8" s="1"/>
  <c r="P402" i="11"/>
  <c r="K252" i="11"/>
  <c r="AN42" i="8" s="1"/>
  <c r="N404" i="11"/>
  <c r="I254" i="11"/>
  <c r="L406" i="11"/>
  <c r="AJ196" i="8" s="1"/>
  <c r="G256" i="11"/>
  <c r="AJ46" i="8" s="1"/>
  <c r="O407" i="11"/>
  <c r="J257" i="11"/>
  <c r="AM47" i="8" s="1"/>
  <c r="M409" i="11"/>
  <c r="H259" i="11"/>
  <c r="AK49" i="8" s="1"/>
  <c r="P410" i="11"/>
  <c r="K260" i="11"/>
  <c r="N412" i="11"/>
  <c r="I262" i="11"/>
  <c r="L414" i="11"/>
  <c r="G264" i="11"/>
  <c r="AJ54" i="8" s="1"/>
  <c r="O415" i="11"/>
  <c r="J265" i="11"/>
  <c r="AM55" i="8" s="1"/>
  <c r="N417" i="11"/>
  <c r="I267" i="11"/>
  <c r="AL57" i="8" s="1"/>
  <c r="G218" i="11"/>
  <c r="AJ8" i="8" s="1"/>
  <c r="N420" i="11"/>
  <c r="I270" i="11"/>
  <c r="AL60" i="8" s="1"/>
  <c r="M422" i="11"/>
  <c r="H272" i="11"/>
  <c r="O423" i="11"/>
  <c r="J273" i="11"/>
  <c r="AM63" i="8" s="1"/>
  <c r="N425" i="11"/>
  <c r="I275" i="11"/>
  <c r="G226" i="11"/>
  <c r="AJ16" i="8" s="1"/>
  <c r="N428" i="11"/>
  <c r="I278" i="11"/>
  <c r="AL68" i="8" s="1"/>
  <c r="M430" i="11"/>
  <c r="H280" i="11"/>
  <c r="AK70" i="8" s="1"/>
  <c r="O431" i="11"/>
  <c r="J281" i="11"/>
  <c r="AM71" i="8" s="1"/>
  <c r="N433" i="11"/>
  <c r="I283" i="11"/>
  <c r="AL73" i="8" s="1"/>
  <c r="G234" i="11"/>
  <c r="AJ24" i="8" s="1"/>
  <c r="K235" i="11"/>
  <c r="N436" i="11"/>
  <c r="I286" i="11"/>
  <c r="I237" i="11"/>
  <c r="AL27" i="8" s="1"/>
  <c r="M438" i="11"/>
  <c r="H288" i="11"/>
  <c r="AK78" i="8" s="1"/>
  <c r="O439" i="11"/>
  <c r="J289" i="11"/>
  <c r="AM79" i="8" s="1"/>
  <c r="J240" i="11"/>
  <c r="AM30" i="8" s="1"/>
  <c r="N441" i="11"/>
  <c r="I291" i="11"/>
  <c r="G242" i="11"/>
  <c r="AJ32" i="8" s="1"/>
  <c r="L355" i="11"/>
  <c r="O356" i="11"/>
  <c r="M358" i="11"/>
  <c r="P359" i="11"/>
  <c r="N361" i="11"/>
  <c r="L363" i="11"/>
  <c r="O364" i="11"/>
  <c r="M366" i="11"/>
  <c r="P367" i="11"/>
  <c r="N369" i="11"/>
  <c r="I219" i="11"/>
  <c r="AL9" i="8" s="1"/>
  <c r="L371" i="11"/>
  <c r="O372" i="11"/>
  <c r="J222" i="11"/>
  <c r="AM12" i="8" s="1"/>
  <c r="M374" i="11"/>
  <c r="P375" i="11"/>
  <c r="N377" i="11"/>
  <c r="I227" i="11"/>
  <c r="AL17" i="8" s="1"/>
  <c r="L379" i="11"/>
  <c r="O380" i="11"/>
  <c r="J230" i="11"/>
  <c r="AM20" i="8" s="1"/>
  <c r="M382" i="11"/>
  <c r="P383" i="11"/>
  <c r="N385" i="11"/>
  <c r="I235" i="11"/>
  <c r="L387" i="11"/>
  <c r="O388" i="11"/>
  <c r="J238" i="11"/>
  <c r="AM28" i="8" s="1"/>
  <c r="M390" i="11"/>
  <c r="P391" i="11"/>
  <c r="N393" i="11"/>
  <c r="I243" i="11"/>
  <c r="L395" i="11"/>
  <c r="G245" i="11"/>
  <c r="AJ35" i="8" s="1"/>
  <c r="O396" i="11"/>
  <c r="J246" i="11"/>
  <c r="AM36" i="8" s="1"/>
  <c r="M398" i="11"/>
  <c r="H248" i="11"/>
  <c r="AK38" i="8" s="1"/>
  <c r="P399" i="11"/>
  <c r="K249" i="11"/>
  <c r="N401" i="11"/>
  <c r="I251" i="11"/>
  <c r="AL41" i="8" s="1"/>
  <c r="L403" i="11"/>
  <c r="G253" i="11"/>
  <c r="AJ43" i="8" s="1"/>
  <c r="O404" i="11"/>
  <c r="J254" i="11"/>
  <c r="AM44" i="8" s="1"/>
  <c r="M406" i="11"/>
  <c r="H256" i="11"/>
  <c r="AK46" i="8" s="1"/>
  <c r="P407" i="11"/>
  <c r="K257" i="11"/>
  <c r="AN47" i="8" s="1"/>
  <c r="N409" i="11"/>
  <c r="I259" i="11"/>
  <c r="AL49" i="8" s="1"/>
  <c r="L411" i="11"/>
  <c r="G261" i="11"/>
  <c r="AJ51" i="8" s="1"/>
  <c r="O412" i="11"/>
  <c r="J262" i="11"/>
  <c r="AM52" i="8" s="1"/>
  <c r="M414" i="11"/>
  <c r="H264" i="11"/>
  <c r="AK54" i="8" s="1"/>
  <c r="P415" i="11"/>
  <c r="K265" i="11"/>
  <c r="AN55" i="8" s="1"/>
  <c r="O417" i="11"/>
  <c r="J267" i="11"/>
  <c r="AM57" i="8" s="1"/>
  <c r="O420" i="11"/>
  <c r="J270" i="11"/>
  <c r="AM60" i="8" s="1"/>
  <c r="J221" i="11"/>
  <c r="P423" i="11"/>
  <c r="K273" i="11"/>
  <c r="AN63" i="8" s="1"/>
  <c r="K224" i="11"/>
  <c r="AN14" i="8" s="1"/>
  <c r="O425" i="11"/>
  <c r="J275" i="11"/>
  <c r="AM65" i="8" s="1"/>
  <c r="O428" i="11"/>
  <c r="J278" i="11"/>
  <c r="AM68" i="8" s="1"/>
  <c r="J229" i="11"/>
  <c r="AM19" i="8" s="1"/>
  <c r="P431" i="11"/>
  <c r="K281" i="11"/>
  <c r="AN71" i="8" s="1"/>
  <c r="K232" i="11"/>
  <c r="AN22" i="8" s="1"/>
  <c r="O433" i="11"/>
  <c r="J283" i="11"/>
  <c r="AM73" i="8" s="1"/>
  <c r="H234" i="11"/>
  <c r="O436" i="11"/>
  <c r="J286" i="11"/>
  <c r="J237" i="11"/>
  <c r="AM27" i="8" s="1"/>
  <c r="P439" i="11"/>
  <c r="K289" i="11"/>
  <c r="AN79" i="8" s="1"/>
  <c r="K240" i="11"/>
  <c r="AN30" i="8" s="1"/>
  <c r="O441" i="11"/>
  <c r="J291" i="11"/>
  <c r="AM81" i="8" s="1"/>
  <c r="I242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M355" i="11"/>
  <c r="P356" i="11"/>
  <c r="N358" i="11"/>
  <c r="L360" i="11"/>
  <c r="O361" i="11"/>
  <c r="M363" i="11"/>
  <c r="P364" i="11"/>
  <c r="N366" i="11"/>
  <c r="L368" i="11"/>
  <c r="O369" i="11"/>
  <c r="M371" i="11"/>
  <c r="P372" i="11"/>
  <c r="K222" i="11"/>
  <c r="N374" i="11"/>
  <c r="L376" i="11"/>
  <c r="O377" i="11"/>
  <c r="M379" i="11"/>
  <c r="P380" i="11"/>
  <c r="K230" i="11"/>
  <c r="AN20" i="8" s="1"/>
  <c r="N382" i="11"/>
  <c r="L384" i="11"/>
  <c r="O385" i="11"/>
  <c r="M387" i="11"/>
  <c r="P388" i="11"/>
  <c r="K238" i="11"/>
  <c r="N390" i="11"/>
  <c r="L392" i="11"/>
  <c r="O393" i="11"/>
  <c r="J243" i="11"/>
  <c r="AM33" i="8" s="1"/>
  <c r="M395" i="11"/>
  <c r="H245" i="11"/>
  <c r="AK35" i="8" s="1"/>
  <c r="P396" i="11"/>
  <c r="K246" i="11"/>
  <c r="AN36" i="8" s="1"/>
  <c r="N398" i="11"/>
  <c r="I248" i="11"/>
  <c r="AL38" i="8" s="1"/>
  <c r="L400" i="11"/>
  <c r="G250" i="11"/>
  <c r="AJ40" i="8" s="1"/>
  <c r="O401" i="11"/>
  <c r="J251" i="11"/>
  <c r="AM41" i="8" s="1"/>
  <c r="M403" i="11"/>
  <c r="H253" i="11"/>
  <c r="P404" i="11"/>
  <c r="K254" i="11"/>
  <c r="AN44" i="8" s="1"/>
  <c r="N406" i="11"/>
  <c r="I256" i="11"/>
  <c r="AL46" i="8" s="1"/>
  <c r="L408" i="11"/>
  <c r="G258" i="11"/>
  <c r="AJ48" i="8" s="1"/>
  <c r="O409" i="11"/>
  <c r="J259" i="11"/>
  <c r="AM49" i="8" s="1"/>
  <c r="M411" i="11"/>
  <c r="H261" i="11"/>
  <c r="AK51" i="8" s="1"/>
  <c r="P412" i="11"/>
  <c r="K262" i="11"/>
  <c r="N414" i="11"/>
  <c r="I264" i="11"/>
  <c r="AL54" i="8" s="1"/>
  <c r="L416" i="11"/>
  <c r="G266" i="11"/>
  <c r="AJ56" i="8" s="1"/>
  <c r="P420" i="11"/>
  <c r="AN210" i="8" s="1"/>
  <c r="K270" i="11"/>
  <c r="AN60" i="8" s="1"/>
  <c r="L421" i="11"/>
  <c r="G271" i="11"/>
  <c r="AJ61" i="8" s="1"/>
  <c r="L424" i="11"/>
  <c r="G274" i="11"/>
  <c r="AJ64" i="8" s="1"/>
  <c r="I226" i="11"/>
  <c r="AL16" i="8" s="1"/>
  <c r="P428" i="11"/>
  <c r="K278" i="11"/>
  <c r="AN68" i="8" s="1"/>
  <c r="H228" i="11"/>
  <c r="AK18" i="8" s="1"/>
  <c r="L429" i="11"/>
  <c r="G279" i="11"/>
  <c r="AJ69" i="8" s="1"/>
  <c r="K229" i="11"/>
  <c r="AN19" i="8" s="1"/>
  <c r="L432" i="11"/>
  <c r="G282" i="11"/>
  <c r="AJ72" i="8" s="1"/>
  <c r="G233" i="11"/>
  <c r="AJ23" i="8" s="1"/>
  <c r="I234" i="11"/>
  <c r="AL24" i="8" s="1"/>
  <c r="P436" i="11"/>
  <c r="K286" i="11"/>
  <c r="H236" i="11"/>
  <c r="AK26" i="8" s="1"/>
  <c r="L437" i="11"/>
  <c r="G287" i="11"/>
  <c r="AJ77" i="8" s="1"/>
  <c r="K237" i="11"/>
  <c r="AN27" i="8" s="1"/>
  <c r="G239" i="11"/>
  <c r="L440" i="11"/>
  <c r="G290" i="11"/>
  <c r="AJ80" i="8" s="1"/>
  <c r="G241" i="11"/>
  <c r="AJ31" i="8" s="1"/>
  <c r="O443" i="11"/>
  <c r="J293" i="11"/>
  <c r="AM83" i="8" s="1"/>
  <c r="N443" i="11"/>
  <c r="I293" i="11"/>
  <c r="AL83" i="8" s="1"/>
  <c r="L444" i="11"/>
  <c r="G294" i="11"/>
  <c r="AJ84" i="8" s="1"/>
  <c r="N445" i="11"/>
  <c r="I295" i="11"/>
  <c r="AL85" i="8" s="1"/>
  <c r="M447" i="11"/>
  <c r="H297" i="11"/>
  <c r="AK87" i="8" s="1"/>
  <c r="P448" i="11"/>
  <c r="K298" i="11"/>
  <c r="AN88" i="8" s="1"/>
  <c r="M450" i="11"/>
  <c r="H300" i="11"/>
  <c r="L452" i="11"/>
  <c r="G302" i="11"/>
  <c r="AJ92" i="8" s="1"/>
  <c r="N453" i="11"/>
  <c r="I303" i="11"/>
  <c r="AL93" i="8" s="1"/>
  <c r="M455" i="11"/>
  <c r="H305" i="11"/>
  <c r="AK95" i="8" s="1"/>
  <c r="P456" i="11"/>
  <c r="K306" i="11"/>
  <c r="AN96" i="8" s="1"/>
  <c r="M458" i="11"/>
  <c r="H308" i="11"/>
  <c r="AK98" i="8" s="1"/>
  <c r="L460" i="11"/>
  <c r="G310" i="11"/>
  <c r="AJ100" i="8" s="1"/>
  <c r="N461" i="11"/>
  <c r="I311" i="11"/>
  <c r="AL101" i="8" s="1"/>
  <c r="M463" i="11"/>
  <c r="H313" i="11"/>
  <c r="AK103" i="8" s="1"/>
  <c r="P464" i="11"/>
  <c r="K314" i="11"/>
  <c r="AN104" i="8" s="1"/>
  <c r="M466" i="11"/>
  <c r="H316" i="11"/>
  <c r="AK106" i="8" s="1"/>
  <c r="G318" i="11"/>
  <c r="AJ108" i="8" s="1"/>
  <c r="G326" i="11"/>
  <c r="AJ116" i="8" s="1"/>
  <c r="H329" i="11"/>
  <c r="AK119" i="8" s="1"/>
  <c r="G333" i="11"/>
  <c r="J335" i="11"/>
  <c r="AM125" i="8" s="1"/>
  <c r="M444" i="11"/>
  <c r="H294" i="11"/>
  <c r="O445" i="11"/>
  <c r="J295" i="11"/>
  <c r="N447" i="11"/>
  <c r="I297" i="11"/>
  <c r="AL87" i="8" s="1"/>
  <c r="N450" i="11"/>
  <c r="I300" i="11"/>
  <c r="AL90" i="8" s="1"/>
  <c r="M452" i="11"/>
  <c r="H302" i="11"/>
  <c r="AK92" i="8" s="1"/>
  <c r="O453" i="11"/>
  <c r="J303" i="11"/>
  <c r="AM93" i="8" s="1"/>
  <c r="N455" i="11"/>
  <c r="I305" i="11"/>
  <c r="AL95" i="8" s="1"/>
  <c r="N458" i="11"/>
  <c r="I308" i="11"/>
  <c r="AL98" i="8" s="1"/>
  <c r="M460" i="11"/>
  <c r="H310" i="11"/>
  <c r="AK100" i="8" s="1"/>
  <c r="O461" i="11"/>
  <c r="J311" i="11"/>
  <c r="AM101" i="8" s="1"/>
  <c r="N463" i="11"/>
  <c r="AL253" i="8" s="1"/>
  <c r="I313" i="11"/>
  <c r="AL103" i="8" s="1"/>
  <c r="N466" i="11"/>
  <c r="I316" i="11"/>
  <c r="AL106" i="8" s="1"/>
  <c r="H318" i="11"/>
  <c r="AK108" i="8" s="1"/>
  <c r="I321" i="11"/>
  <c r="AL111" i="8" s="1"/>
  <c r="H326" i="11"/>
  <c r="AK116" i="8" s="1"/>
  <c r="I329" i="11"/>
  <c r="AL119" i="8" s="1"/>
  <c r="K335" i="11"/>
  <c r="AN125" i="8" s="1"/>
  <c r="G336" i="11"/>
  <c r="AJ126" i="8" s="1"/>
  <c r="P445" i="11"/>
  <c r="K295" i="11"/>
  <c r="AN85" i="8" s="1"/>
  <c r="O447" i="11"/>
  <c r="J297" i="11"/>
  <c r="O450" i="11"/>
  <c r="J300" i="11"/>
  <c r="I302" i="11"/>
  <c r="AL92" i="8" s="1"/>
  <c r="P453" i="11"/>
  <c r="K303" i="11"/>
  <c r="AN93" i="8" s="1"/>
  <c r="O455" i="11"/>
  <c r="J305" i="11"/>
  <c r="AM95" i="8" s="1"/>
  <c r="O458" i="11"/>
  <c r="J308" i="11"/>
  <c r="AM98" i="8" s="1"/>
  <c r="I310" i="11"/>
  <c r="AL100" i="8" s="1"/>
  <c r="P461" i="11"/>
  <c r="K311" i="11"/>
  <c r="O463" i="11"/>
  <c r="J313" i="11"/>
  <c r="AM103" i="8" s="1"/>
  <c r="G315" i="11"/>
  <c r="AJ105" i="8" s="1"/>
  <c r="O466" i="11"/>
  <c r="J316" i="11"/>
  <c r="AM106" i="8" s="1"/>
  <c r="I318" i="11"/>
  <c r="AL108" i="8" s="1"/>
  <c r="J321" i="11"/>
  <c r="AM111" i="8" s="1"/>
  <c r="H336" i="11"/>
  <c r="L446" i="11"/>
  <c r="G296" i="11"/>
  <c r="AJ86" i="8" s="1"/>
  <c r="P450" i="11"/>
  <c r="K300" i="11"/>
  <c r="AN90" i="8" s="1"/>
  <c r="L451" i="11"/>
  <c r="G301" i="11"/>
  <c r="AJ91" i="8" s="1"/>
  <c r="L454" i="11"/>
  <c r="G304" i="11"/>
  <c r="AJ94" i="8" s="1"/>
  <c r="K305" i="11"/>
  <c r="AN95" i="8" s="1"/>
  <c r="H307" i="11"/>
  <c r="AK97" i="8" s="1"/>
  <c r="P458" i="11"/>
  <c r="K308" i="11"/>
  <c r="AN98" i="8" s="1"/>
  <c r="L459" i="11"/>
  <c r="G309" i="11"/>
  <c r="J310" i="11"/>
  <c r="AM100" i="8" s="1"/>
  <c r="L462" i="11"/>
  <c r="G312" i="11"/>
  <c r="AJ102" i="8" s="1"/>
  <c r="K313" i="11"/>
  <c r="AN103" i="8" s="1"/>
  <c r="H315" i="11"/>
  <c r="P466" i="11"/>
  <c r="K316" i="11"/>
  <c r="L467" i="11"/>
  <c r="G317" i="11"/>
  <c r="J318" i="11"/>
  <c r="AM108" i="8" s="1"/>
  <c r="K321" i="11"/>
  <c r="AN111" i="8" s="1"/>
  <c r="K324" i="11"/>
  <c r="AN114" i="8" s="1"/>
  <c r="G325" i="11"/>
  <c r="I332" i="11"/>
  <c r="AL122" i="8" s="1"/>
  <c r="K334" i="11"/>
  <c r="P444" i="11"/>
  <c r="K294" i="11"/>
  <c r="AN84" i="8" s="1"/>
  <c r="M446" i="11"/>
  <c r="H296" i="11"/>
  <c r="L448" i="11"/>
  <c r="G298" i="11"/>
  <c r="AJ88" i="8" s="1"/>
  <c r="N449" i="11"/>
  <c r="I299" i="11"/>
  <c r="M451" i="11"/>
  <c r="H301" i="11"/>
  <c r="AK91" i="8" s="1"/>
  <c r="P452" i="11"/>
  <c r="K302" i="11"/>
  <c r="AN92" i="8" s="1"/>
  <c r="M454" i="11"/>
  <c r="H304" i="11"/>
  <c r="AK94" i="8" s="1"/>
  <c r="L456" i="11"/>
  <c r="G306" i="11"/>
  <c r="AJ96" i="8" s="1"/>
  <c r="N457" i="11"/>
  <c r="I307" i="11"/>
  <c r="AL97" i="8" s="1"/>
  <c r="M459" i="11"/>
  <c r="H309" i="11"/>
  <c r="AK99" i="8" s="1"/>
  <c r="P460" i="11"/>
  <c r="K310" i="11"/>
  <c r="AN100" i="8" s="1"/>
  <c r="M462" i="11"/>
  <c r="H312" i="11"/>
  <c r="AK102" i="8" s="1"/>
  <c r="L464" i="11"/>
  <c r="G314" i="11"/>
  <c r="AJ104" i="8" s="1"/>
  <c r="N465" i="11"/>
  <c r="I315" i="11"/>
  <c r="AL105" i="8" s="1"/>
  <c r="M467" i="11"/>
  <c r="H317" i="11"/>
  <c r="H320" i="11"/>
  <c r="AK110" i="8" s="1"/>
  <c r="G322" i="11"/>
  <c r="AJ112" i="8" s="1"/>
  <c r="I323" i="11"/>
  <c r="AL113" i="8" s="1"/>
  <c r="H325" i="11"/>
  <c r="AK115" i="8" s="1"/>
  <c r="H328" i="11"/>
  <c r="J332" i="11"/>
  <c r="AM122" i="8" s="1"/>
  <c r="K338" i="11"/>
  <c r="AN128" i="8" s="1"/>
  <c r="N446" i="11"/>
  <c r="I296" i="11"/>
  <c r="AL86" i="8" s="1"/>
  <c r="M448" i="11"/>
  <c r="H298" i="11"/>
  <c r="AK88" i="8" s="1"/>
  <c r="O449" i="11"/>
  <c r="J299" i="11"/>
  <c r="N451" i="11"/>
  <c r="AL241" i="8" s="1"/>
  <c r="I301" i="11"/>
  <c r="AL91" i="8" s="1"/>
  <c r="N454" i="11"/>
  <c r="I304" i="11"/>
  <c r="M456" i="11"/>
  <c r="H306" i="11"/>
  <c r="AK96" i="8" s="1"/>
  <c r="O457" i="11"/>
  <c r="J307" i="11"/>
  <c r="AM97" i="8" s="1"/>
  <c r="N459" i="11"/>
  <c r="AL249" i="8" s="1"/>
  <c r="I309" i="11"/>
  <c r="AL99" i="8" s="1"/>
  <c r="N462" i="11"/>
  <c r="I312" i="11"/>
  <c r="AL102" i="8" s="1"/>
  <c r="M464" i="11"/>
  <c r="H314" i="11"/>
  <c r="O465" i="11"/>
  <c r="J315" i="11"/>
  <c r="N467" i="11"/>
  <c r="I317" i="11"/>
  <c r="AL107" i="8" s="1"/>
  <c r="H322" i="11"/>
  <c r="AK112" i="8" s="1"/>
  <c r="I325" i="11"/>
  <c r="AL115" i="8" s="1"/>
  <c r="H340" i="11"/>
  <c r="AK130" i="8" s="1"/>
  <c r="P417" i="11"/>
  <c r="N418" i="11"/>
  <c r="L419" i="11"/>
  <c r="P421" i="11"/>
  <c r="N422" i="11"/>
  <c r="L423" i="11"/>
  <c r="P425" i="11"/>
  <c r="N426" i="11"/>
  <c r="L427" i="11"/>
  <c r="P429" i="11"/>
  <c r="K279" i="11"/>
  <c r="AN69" i="8" s="1"/>
  <c r="N430" i="11"/>
  <c r="I280" i="11"/>
  <c r="AL70" i="8" s="1"/>
  <c r="L431" i="11"/>
  <c r="G281" i="11"/>
  <c r="AJ71" i="8" s="1"/>
  <c r="P433" i="11"/>
  <c r="K283" i="11"/>
  <c r="AN73" i="8" s="1"/>
  <c r="N434" i="11"/>
  <c r="I284" i="11"/>
  <c r="AL74" i="8" s="1"/>
  <c r="L435" i="11"/>
  <c r="G285" i="11"/>
  <c r="AJ75" i="8" s="1"/>
  <c r="P437" i="11"/>
  <c r="K287" i="11"/>
  <c r="AN77" i="8" s="1"/>
  <c r="N438" i="11"/>
  <c r="I288" i="11"/>
  <c r="AL78" i="8" s="1"/>
  <c r="L439" i="11"/>
  <c r="G289" i="11"/>
  <c r="P441" i="11"/>
  <c r="K291" i="11"/>
  <c r="AN81" i="8" s="1"/>
  <c r="N442" i="11"/>
  <c r="I292" i="11"/>
  <c r="AL82" i="8" s="1"/>
  <c r="L443" i="11"/>
  <c r="G293" i="11"/>
  <c r="AJ83" i="8" s="1"/>
  <c r="O446" i="11"/>
  <c r="J296" i="11"/>
  <c r="AM86" i="8" s="1"/>
  <c r="P449" i="11"/>
  <c r="K299" i="11"/>
  <c r="AN89" i="8" s="1"/>
  <c r="O451" i="11"/>
  <c r="J301" i="11"/>
  <c r="O454" i="11"/>
  <c r="J304" i="11"/>
  <c r="AM94" i="8" s="1"/>
  <c r="P457" i="11"/>
  <c r="K307" i="11"/>
  <c r="AN97" i="8" s="1"/>
  <c r="O459" i="11"/>
  <c r="J309" i="11"/>
  <c r="AM99" i="8" s="1"/>
  <c r="O462" i="11"/>
  <c r="J312" i="11"/>
  <c r="P465" i="11"/>
  <c r="K315" i="11"/>
  <c r="AN105" i="8" s="1"/>
  <c r="O467" i="11"/>
  <c r="J317" i="11"/>
  <c r="AM107" i="8" s="1"/>
  <c r="G319" i="11"/>
  <c r="AJ109" i="8" s="1"/>
  <c r="J320" i="11"/>
  <c r="AM110" i="8" s="1"/>
  <c r="I322" i="11"/>
  <c r="AL112" i="8" s="1"/>
  <c r="K323" i="11"/>
  <c r="AN113" i="8" s="1"/>
  <c r="J325" i="11"/>
  <c r="J328" i="11"/>
  <c r="K331" i="11"/>
  <c r="AN121" i="8" s="1"/>
  <c r="J339" i="11"/>
  <c r="AM129" i="8" s="1"/>
  <c r="O418" i="11"/>
  <c r="J268" i="11"/>
  <c r="AM58" i="8" s="1"/>
  <c r="M419" i="11"/>
  <c r="H269" i="11"/>
  <c r="AK59" i="8" s="1"/>
  <c r="O422" i="11"/>
  <c r="J272" i="11"/>
  <c r="AM62" i="8" s="1"/>
  <c r="M423" i="11"/>
  <c r="H273" i="11"/>
  <c r="O426" i="11"/>
  <c r="J276" i="11"/>
  <c r="AM66" i="8" s="1"/>
  <c r="M427" i="11"/>
  <c r="H277" i="11"/>
  <c r="AK67" i="8" s="1"/>
  <c r="O430" i="11"/>
  <c r="J280" i="11"/>
  <c r="AM70" i="8" s="1"/>
  <c r="M431" i="11"/>
  <c r="H281" i="11"/>
  <c r="AK71" i="8" s="1"/>
  <c r="O434" i="11"/>
  <c r="J284" i="11"/>
  <c r="AM74" i="8" s="1"/>
  <c r="M435" i="11"/>
  <c r="H285" i="11"/>
  <c r="O438" i="11"/>
  <c r="J288" i="11"/>
  <c r="M439" i="11"/>
  <c r="H289" i="11"/>
  <c r="AK79" i="8" s="1"/>
  <c r="O442" i="11"/>
  <c r="J292" i="11"/>
  <c r="AM82" i="8" s="1"/>
  <c r="M443" i="11"/>
  <c r="H293" i="11"/>
  <c r="P446" i="11"/>
  <c r="K296" i="11"/>
  <c r="L447" i="11"/>
  <c r="G297" i="11"/>
  <c r="AJ87" i="8" s="1"/>
  <c r="L450" i="11"/>
  <c r="G300" i="11"/>
  <c r="AJ90" i="8" s="1"/>
  <c r="P454" i="11"/>
  <c r="K304" i="11"/>
  <c r="AN94" i="8" s="1"/>
  <c r="L455" i="11"/>
  <c r="G305" i="11"/>
  <c r="AJ95" i="8" s="1"/>
  <c r="L458" i="11"/>
  <c r="G308" i="11"/>
  <c r="P462" i="11"/>
  <c r="K312" i="11"/>
  <c r="AN102" i="8" s="1"/>
  <c r="L463" i="11"/>
  <c r="G313" i="11"/>
  <c r="AJ103" i="8" s="1"/>
  <c r="L466" i="11"/>
  <c r="G316" i="11"/>
  <c r="I268" i="11"/>
  <c r="AL58" i="8" s="1"/>
  <c r="H319" i="11"/>
  <c r="AK109" i="8" s="1"/>
  <c r="K320" i="11"/>
  <c r="AN110" i="8" s="1"/>
  <c r="G321" i="11"/>
  <c r="AJ111" i="8" s="1"/>
  <c r="K271" i="11"/>
  <c r="G273" i="11"/>
  <c r="AJ63" i="8" s="1"/>
  <c r="G324" i="11"/>
  <c r="K325" i="11"/>
  <c r="AN115" i="8" s="1"/>
  <c r="I276" i="11"/>
  <c r="K328" i="11"/>
  <c r="AN118" i="8" s="1"/>
  <c r="G329" i="11"/>
  <c r="AJ119" i="8" s="1"/>
  <c r="I343" i="11"/>
  <c r="AL133" i="8" s="1"/>
  <c r="G344" i="11"/>
  <c r="AJ134" i="8" s="1"/>
  <c r="K347" i="11"/>
  <c r="G351" i="11"/>
  <c r="K355" i="11"/>
  <c r="AN145" i="8" s="1"/>
  <c r="G359" i="11"/>
  <c r="AJ149" i="8" s="1"/>
  <c r="K363" i="11"/>
  <c r="AN153" i="8" s="1"/>
  <c r="K374" i="11"/>
  <c r="AN164" i="8" s="1"/>
  <c r="G345" i="11"/>
  <c r="AJ135" i="8" s="1"/>
  <c r="G353" i="11"/>
  <c r="AJ143" i="8" s="1"/>
  <c r="G361" i="11"/>
  <c r="G369" i="11"/>
  <c r="AJ159" i="8" s="1"/>
  <c r="I375" i="11"/>
  <c r="G376" i="11"/>
  <c r="AJ166" i="8" s="1"/>
  <c r="G341" i="11"/>
  <c r="I344" i="11"/>
  <c r="AL134" i="8" s="1"/>
  <c r="H345" i="11"/>
  <c r="AK135" i="8" s="1"/>
  <c r="I348" i="11"/>
  <c r="AL138" i="8" s="1"/>
  <c r="I351" i="11"/>
  <c r="H353" i="11"/>
  <c r="AK143" i="8" s="1"/>
  <c r="I356" i="11"/>
  <c r="I359" i="11"/>
  <c r="AL149" i="8" s="1"/>
  <c r="H361" i="11"/>
  <c r="AK151" i="8" s="1"/>
  <c r="I364" i="11"/>
  <c r="AL154" i="8" s="1"/>
  <c r="H369" i="11"/>
  <c r="AK159" i="8" s="1"/>
  <c r="I371" i="11"/>
  <c r="J375" i="11"/>
  <c r="H333" i="11"/>
  <c r="J336" i="11"/>
  <c r="AM126" i="8" s="1"/>
  <c r="H337" i="11"/>
  <c r="AK127" i="8" s="1"/>
  <c r="J340" i="11"/>
  <c r="AM130" i="8" s="1"/>
  <c r="H341" i="11"/>
  <c r="AK131" i="8" s="1"/>
  <c r="I345" i="11"/>
  <c r="AL135" i="8" s="1"/>
  <c r="K346" i="11"/>
  <c r="AN136" i="8" s="1"/>
  <c r="J348" i="11"/>
  <c r="AM138" i="8" s="1"/>
  <c r="G350" i="11"/>
  <c r="AJ140" i="8" s="1"/>
  <c r="I353" i="11"/>
  <c r="AL143" i="8" s="1"/>
  <c r="K354" i="11"/>
  <c r="AN144" i="8" s="1"/>
  <c r="J356" i="11"/>
  <c r="AM146" i="8" s="1"/>
  <c r="G358" i="11"/>
  <c r="AJ148" i="8" s="1"/>
  <c r="I361" i="11"/>
  <c r="AL151" i="8" s="1"/>
  <c r="K362" i="11"/>
  <c r="AN152" i="8" s="1"/>
  <c r="J364" i="11"/>
  <c r="AM154" i="8" s="1"/>
  <c r="J371" i="11"/>
  <c r="G330" i="11"/>
  <c r="AJ120" i="8" s="1"/>
  <c r="K332" i="11"/>
  <c r="I333" i="11"/>
  <c r="G334" i="11"/>
  <c r="AJ124" i="8" s="1"/>
  <c r="K336" i="11"/>
  <c r="AN126" i="8" s="1"/>
  <c r="I337" i="11"/>
  <c r="AL127" i="8" s="1"/>
  <c r="G338" i="11"/>
  <c r="AJ128" i="8" s="1"/>
  <c r="K340" i="11"/>
  <c r="AN130" i="8" s="1"/>
  <c r="I341" i="11"/>
  <c r="AL131" i="8" s="1"/>
  <c r="G342" i="11"/>
  <c r="AJ132" i="8" s="1"/>
  <c r="K344" i="11"/>
  <c r="AN134" i="8" s="1"/>
  <c r="G347" i="11"/>
  <c r="AJ137" i="8" s="1"/>
  <c r="K348" i="11"/>
  <c r="AN138" i="8" s="1"/>
  <c r="K351" i="11"/>
  <c r="AN141" i="8" s="1"/>
  <c r="G352" i="11"/>
  <c r="AJ142" i="8" s="1"/>
  <c r="G355" i="11"/>
  <c r="AJ145" i="8" s="1"/>
  <c r="K356" i="11"/>
  <c r="K359" i="11"/>
  <c r="G360" i="11"/>
  <c r="AJ150" i="8" s="1"/>
  <c r="G363" i="11"/>
  <c r="AJ153" i="8" s="1"/>
  <c r="K367" i="11"/>
  <c r="AN157" i="8" s="1"/>
  <c r="G368" i="11"/>
  <c r="AJ158" i="8" s="1"/>
  <c r="K371" i="11"/>
  <c r="AN161" i="8" s="1"/>
  <c r="G372" i="11"/>
  <c r="AJ162" i="8" s="1"/>
  <c r="J329" i="11"/>
  <c r="H330" i="11"/>
  <c r="J333" i="11"/>
  <c r="AM123" i="8" s="1"/>
  <c r="H334" i="11"/>
  <c r="AK124" i="8" s="1"/>
  <c r="J337" i="11"/>
  <c r="AM127" i="8" s="1"/>
  <c r="H338" i="11"/>
  <c r="AK128" i="8" s="1"/>
  <c r="J341" i="11"/>
  <c r="AM131" i="8" s="1"/>
  <c r="H342" i="11"/>
  <c r="AK132" i="8" s="1"/>
  <c r="K345" i="11"/>
  <c r="AN135" i="8" s="1"/>
  <c r="H347" i="11"/>
  <c r="G349" i="11"/>
  <c r="I350" i="11"/>
  <c r="AL140" i="8" s="1"/>
  <c r="H352" i="11"/>
  <c r="AK142" i="8" s="1"/>
  <c r="K353" i="11"/>
  <c r="AN143" i="8" s="1"/>
  <c r="H355" i="11"/>
  <c r="AK145" i="8" s="1"/>
  <c r="G357" i="11"/>
  <c r="AJ147" i="8" s="1"/>
  <c r="I358" i="11"/>
  <c r="H360" i="11"/>
  <c r="K361" i="11"/>
  <c r="AN151" i="8" s="1"/>
  <c r="H363" i="11"/>
  <c r="AK153" i="8" s="1"/>
  <c r="G365" i="11"/>
  <c r="AJ155" i="8" s="1"/>
  <c r="I366" i="11"/>
  <c r="AL156" i="8" s="1"/>
  <c r="H368" i="11"/>
  <c r="H372" i="11"/>
  <c r="AK162" i="8" s="1"/>
  <c r="N444" i="11"/>
  <c r="L445" i="11"/>
  <c r="P447" i="11"/>
  <c r="N448" i="11"/>
  <c r="L449" i="11"/>
  <c r="P451" i="11"/>
  <c r="N452" i="11"/>
  <c r="L453" i="11"/>
  <c r="P455" i="11"/>
  <c r="N456" i="11"/>
  <c r="L457" i="11"/>
  <c r="P459" i="11"/>
  <c r="N460" i="11"/>
  <c r="L461" i="11"/>
  <c r="P463" i="11"/>
  <c r="N464" i="11"/>
  <c r="L465" i="11"/>
  <c r="P467" i="11"/>
  <c r="I326" i="11"/>
  <c r="AL116" i="8" s="1"/>
  <c r="G327" i="11"/>
  <c r="AJ117" i="8" s="1"/>
  <c r="K329" i="11"/>
  <c r="AN119" i="8" s="1"/>
  <c r="I330" i="11"/>
  <c r="G331" i="11"/>
  <c r="AJ121" i="8" s="1"/>
  <c r="K333" i="11"/>
  <c r="AN123" i="8" s="1"/>
  <c r="I334" i="11"/>
  <c r="AL124" i="8" s="1"/>
  <c r="G335" i="11"/>
  <c r="K337" i="11"/>
  <c r="AN127" i="8" s="1"/>
  <c r="I338" i="11"/>
  <c r="AL128" i="8" s="1"/>
  <c r="G339" i="11"/>
  <c r="AJ129" i="8" s="1"/>
  <c r="K341" i="11"/>
  <c r="AN131" i="8" s="1"/>
  <c r="I342" i="11"/>
  <c r="AL132" i="8" s="1"/>
  <c r="G343" i="11"/>
  <c r="G295" i="11"/>
  <c r="AJ85" i="8" s="1"/>
  <c r="I347" i="11"/>
  <c r="I298" i="11"/>
  <c r="H349" i="11"/>
  <c r="AK139" i="8" s="1"/>
  <c r="J350" i="11"/>
  <c r="AM140" i="8" s="1"/>
  <c r="I352" i="11"/>
  <c r="AL142" i="8" s="1"/>
  <c r="G303" i="11"/>
  <c r="AJ93" i="8" s="1"/>
  <c r="I355" i="11"/>
  <c r="AL145" i="8" s="1"/>
  <c r="I306" i="11"/>
  <c r="AL96" i="8" s="1"/>
  <c r="H357" i="11"/>
  <c r="AK147" i="8" s="1"/>
  <c r="J358" i="11"/>
  <c r="I360" i="11"/>
  <c r="AL150" i="8" s="1"/>
  <c r="G311" i="11"/>
  <c r="I363" i="11"/>
  <c r="AL153" i="8" s="1"/>
  <c r="I314" i="11"/>
  <c r="H365" i="11"/>
  <c r="AK155" i="8" s="1"/>
  <c r="J366" i="11"/>
  <c r="I368" i="11"/>
  <c r="O444" i="11"/>
  <c r="M445" i="11"/>
  <c r="O448" i="11"/>
  <c r="M449" i="11"/>
  <c r="O452" i="11"/>
  <c r="M453" i="11"/>
  <c r="O456" i="11"/>
  <c r="M457" i="11"/>
  <c r="O460" i="11"/>
  <c r="M461" i="11"/>
  <c r="O464" i="11"/>
  <c r="M465" i="11"/>
  <c r="J322" i="11"/>
  <c r="AM112" i="8" s="1"/>
  <c r="H323" i="11"/>
  <c r="AK113" i="8" s="1"/>
  <c r="J326" i="11"/>
  <c r="AM116" i="8" s="1"/>
  <c r="H327" i="11"/>
  <c r="AK117" i="8" s="1"/>
  <c r="J330" i="11"/>
  <c r="H331" i="11"/>
  <c r="J334" i="11"/>
  <c r="AM124" i="8" s="1"/>
  <c r="H335" i="11"/>
  <c r="AK125" i="8" s="1"/>
  <c r="J338" i="11"/>
  <c r="AM128" i="8" s="1"/>
  <c r="H339" i="11"/>
  <c r="AK129" i="8" s="1"/>
  <c r="J342" i="11"/>
  <c r="AM132" i="8" s="1"/>
  <c r="H343" i="11"/>
  <c r="AK133" i="8" s="1"/>
  <c r="H295" i="11"/>
  <c r="AK85" i="8" s="1"/>
  <c r="J347" i="11"/>
  <c r="AM137" i="8" s="1"/>
  <c r="J298" i="11"/>
  <c r="AM88" i="8" s="1"/>
  <c r="K350" i="11"/>
  <c r="AN140" i="8" s="1"/>
  <c r="K301" i="11"/>
  <c r="AN91" i="8" s="1"/>
  <c r="J352" i="11"/>
  <c r="H303" i="11"/>
  <c r="J355" i="11"/>
  <c r="AM145" i="8" s="1"/>
  <c r="J306" i="11"/>
  <c r="AM96" i="8" s="1"/>
  <c r="K358" i="11"/>
  <c r="AN148" i="8" s="1"/>
  <c r="K309" i="11"/>
  <c r="AN99" i="8" s="1"/>
  <c r="J360" i="11"/>
  <c r="H311" i="11"/>
  <c r="AK101" i="8" s="1"/>
  <c r="J363" i="11"/>
  <c r="AM153" i="8" s="1"/>
  <c r="J314" i="11"/>
  <c r="K366" i="11"/>
  <c r="AN156" i="8" s="1"/>
  <c r="K317" i="11"/>
  <c r="AN107" i="8" s="1"/>
  <c r="J368" i="11"/>
  <c r="K378" i="11"/>
  <c r="AN168" i="8" s="1"/>
  <c r="K369" i="11"/>
  <c r="AN159" i="8" s="1"/>
  <c r="I370" i="11"/>
  <c r="AL160" i="8" s="1"/>
  <c r="G371" i="11"/>
  <c r="K373" i="11"/>
  <c r="I374" i="11"/>
  <c r="AL164" i="8" s="1"/>
  <c r="G375" i="11"/>
  <c r="K377" i="11"/>
  <c r="AN167" i="8" s="1"/>
  <c r="I378" i="11"/>
  <c r="AL168" i="8" s="1"/>
  <c r="G379" i="11"/>
  <c r="K383" i="11"/>
  <c r="AN173" i="8" s="1"/>
  <c r="J385" i="11"/>
  <c r="AM175" i="8" s="1"/>
  <c r="J388" i="11"/>
  <c r="H391" i="11"/>
  <c r="AK181" i="8" s="1"/>
  <c r="I401" i="11"/>
  <c r="AL191" i="8" s="1"/>
  <c r="H407" i="11"/>
  <c r="AK197" i="8" s="1"/>
  <c r="J374" i="11"/>
  <c r="AM164" i="8" s="1"/>
  <c r="H375" i="11"/>
  <c r="AK165" i="8" s="1"/>
  <c r="J378" i="11"/>
  <c r="AM168" i="8" s="1"/>
  <c r="H379" i="11"/>
  <c r="AK169" i="8" s="1"/>
  <c r="G384" i="11"/>
  <c r="K388" i="11"/>
  <c r="AN178" i="8" s="1"/>
  <c r="H402" i="11"/>
  <c r="AK192" i="8" s="1"/>
  <c r="G403" i="11"/>
  <c r="AJ193" i="8" s="1"/>
  <c r="K405" i="11"/>
  <c r="AN195" i="8" s="1"/>
  <c r="G386" i="11"/>
  <c r="AJ176" i="8" s="1"/>
  <c r="I402" i="11"/>
  <c r="AL192" i="8" s="1"/>
  <c r="H403" i="11"/>
  <c r="AK193" i="8" s="1"/>
  <c r="H380" i="11"/>
  <c r="AK170" i="8" s="1"/>
  <c r="I381" i="11"/>
  <c r="AL171" i="8" s="1"/>
  <c r="H386" i="11"/>
  <c r="AK176" i="8" s="1"/>
  <c r="I389" i="11"/>
  <c r="AL179" i="8" s="1"/>
  <c r="I398" i="11"/>
  <c r="G399" i="11"/>
  <c r="AJ189" i="8" s="1"/>
  <c r="J402" i="11"/>
  <c r="I372" i="11"/>
  <c r="AL162" i="8" s="1"/>
  <c r="G373" i="11"/>
  <c r="AJ163" i="8" s="1"/>
  <c r="K375" i="11"/>
  <c r="AN165" i="8" s="1"/>
  <c r="I376" i="11"/>
  <c r="AL166" i="8" s="1"/>
  <c r="G377" i="11"/>
  <c r="AJ167" i="8" s="1"/>
  <c r="K379" i="11"/>
  <c r="AN169" i="8" s="1"/>
  <c r="I380" i="11"/>
  <c r="AL170" i="8" s="1"/>
  <c r="J381" i="11"/>
  <c r="J384" i="11"/>
  <c r="K387" i="11"/>
  <c r="AN177" i="8" s="1"/>
  <c r="J389" i="11"/>
  <c r="AM179" i="8" s="1"/>
  <c r="H399" i="11"/>
  <c r="AK189" i="8" s="1"/>
  <c r="J420" i="11"/>
  <c r="AM210" i="8" s="1"/>
  <c r="J372" i="11"/>
  <c r="AM162" i="8" s="1"/>
  <c r="H373" i="11"/>
  <c r="AK163" i="8" s="1"/>
  <c r="J376" i="11"/>
  <c r="AM166" i="8" s="1"/>
  <c r="H377" i="11"/>
  <c r="K384" i="11"/>
  <c r="G385" i="11"/>
  <c r="AJ175" i="8" s="1"/>
  <c r="G395" i="11"/>
  <c r="AJ185" i="8" s="1"/>
  <c r="K397" i="11"/>
  <c r="AN187" i="8" s="1"/>
  <c r="G411" i="11"/>
  <c r="AJ201" i="8" s="1"/>
  <c r="I416" i="11"/>
  <c r="AL206" i="8" s="1"/>
  <c r="H417" i="11"/>
  <c r="AK207" i="8" s="1"/>
  <c r="G346" i="11"/>
  <c r="AJ136" i="8" s="1"/>
  <c r="I349" i="11"/>
  <c r="AL139" i="8" s="1"/>
  <c r="K352" i="11"/>
  <c r="AN142" i="8" s="1"/>
  <c r="G354" i="11"/>
  <c r="AJ144" i="8" s="1"/>
  <c r="I357" i="11"/>
  <c r="AL147" i="8" s="1"/>
  <c r="K360" i="11"/>
  <c r="AN150" i="8" s="1"/>
  <c r="G362" i="11"/>
  <c r="AJ152" i="8" s="1"/>
  <c r="K364" i="11"/>
  <c r="AN154" i="8" s="1"/>
  <c r="I365" i="11"/>
  <c r="AL155" i="8" s="1"/>
  <c r="G366" i="11"/>
  <c r="AJ156" i="8" s="1"/>
  <c r="K368" i="11"/>
  <c r="AN158" i="8" s="1"/>
  <c r="I369" i="11"/>
  <c r="AL159" i="8" s="1"/>
  <c r="G370" i="11"/>
  <c r="AJ160" i="8" s="1"/>
  <c r="K372" i="11"/>
  <c r="AN162" i="8" s="1"/>
  <c r="I373" i="11"/>
  <c r="AL163" i="8" s="1"/>
  <c r="G374" i="11"/>
  <c r="AJ164" i="8" s="1"/>
  <c r="K376" i="11"/>
  <c r="AN166" i="8" s="1"/>
  <c r="I377" i="11"/>
  <c r="AL167" i="8" s="1"/>
  <c r="G378" i="11"/>
  <c r="AJ168" i="8" s="1"/>
  <c r="K380" i="11"/>
  <c r="G382" i="11"/>
  <c r="AJ172" i="8" s="1"/>
  <c r="I383" i="11"/>
  <c r="AL173" i="8" s="1"/>
  <c r="H385" i="11"/>
  <c r="K386" i="11"/>
  <c r="AN176" i="8" s="1"/>
  <c r="H388" i="11"/>
  <c r="H390" i="11"/>
  <c r="AK180" i="8" s="1"/>
  <c r="I394" i="11"/>
  <c r="AL184" i="8" s="1"/>
  <c r="H395" i="11"/>
  <c r="AK185" i="8" s="1"/>
  <c r="G401" i="11"/>
  <c r="AJ191" i="8" s="1"/>
  <c r="J404" i="11"/>
  <c r="AM194" i="8" s="1"/>
  <c r="H405" i="11"/>
  <c r="H406" i="11"/>
  <c r="AK196" i="8" s="1"/>
  <c r="I410" i="11"/>
  <c r="H411" i="11"/>
  <c r="G414" i="11"/>
  <c r="J416" i="11"/>
  <c r="AM206" i="8" s="1"/>
  <c r="J345" i="11"/>
  <c r="AM135" i="8" s="1"/>
  <c r="H346" i="11"/>
  <c r="AK136" i="8" s="1"/>
  <c r="J349" i="11"/>
  <c r="AM139" i="8" s="1"/>
  <c r="H350" i="11"/>
  <c r="AK140" i="8" s="1"/>
  <c r="J353" i="11"/>
  <c r="AM143" i="8" s="1"/>
  <c r="H354" i="11"/>
  <c r="AK144" i="8" s="1"/>
  <c r="J357" i="11"/>
  <c r="AM147" i="8" s="1"/>
  <c r="H358" i="11"/>
  <c r="J361" i="11"/>
  <c r="AM151" i="8" s="1"/>
  <c r="H362" i="11"/>
  <c r="AK152" i="8" s="1"/>
  <c r="J365" i="11"/>
  <c r="H366" i="11"/>
  <c r="AK156" i="8" s="1"/>
  <c r="J369" i="11"/>
  <c r="H370" i="11"/>
  <c r="AK160" i="8" s="1"/>
  <c r="J373" i="11"/>
  <c r="AM163" i="8" s="1"/>
  <c r="H374" i="11"/>
  <c r="AK164" i="8" s="1"/>
  <c r="J377" i="11"/>
  <c r="AM167" i="8" s="1"/>
  <c r="H378" i="11"/>
  <c r="AK168" i="8" s="1"/>
  <c r="H382" i="11"/>
  <c r="AK172" i="8" s="1"/>
  <c r="J383" i="11"/>
  <c r="AM173" i="8" s="1"/>
  <c r="I385" i="11"/>
  <c r="AL175" i="8" s="1"/>
  <c r="I388" i="11"/>
  <c r="I390" i="11"/>
  <c r="G391" i="11"/>
  <c r="AJ181" i="8" s="1"/>
  <c r="J394" i="11"/>
  <c r="AM184" i="8" s="1"/>
  <c r="K399" i="11"/>
  <c r="AN189" i="8" s="1"/>
  <c r="I400" i="11"/>
  <c r="AL190" i="8" s="1"/>
  <c r="H401" i="11"/>
  <c r="I405" i="11"/>
  <c r="AL195" i="8" s="1"/>
  <c r="I406" i="11"/>
  <c r="AL196" i="8" s="1"/>
  <c r="G407" i="11"/>
  <c r="J410" i="11"/>
  <c r="AM200" i="8" s="1"/>
  <c r="K416" i="11"/>
  <c r="AN206" i="8" s="1"/>
  <c r="H421" i="11"/>
  <c r="AK211" i="8" s="1"/>
  <c r="I413" i="11"/>
  <c r="K415" i="11"/>
  <c r="I417" i="11"/>
  <c r="AL207" i="8" s="1"/>
  <c r="K381" i="11"/>
  <c r="AN171" i="8" s="1"/>
  <c r="I382" i="11"/>
  <c r="AL172" i="8" s="1"/>
  <c r="G383" i="11"/>
  <c r="AJ173" i="8" s="1"/>
  <c r="K385" i="11"/>
  <c r="AN175" i="8" s="1"/>
  <c r="I386" i="11"/>
  <c r="AL176" i="8" s="1"/>
  <c r="G387" i="11"/>
  <c r="AJ177" i="8" s="1"/>
  <c r="K389" i="11"/>
  <c r="AN179" i="8" s="1"/>
  <c r="J390" i="11"/>
  <c r="AM180" i="8" s="1"/>
  <c r="J393" i="11"/>
  <c r="AM183" i="8" s="1"/>
  <c r="K396" i="11"/>
  <c r="AN186" i="8" s="1"/>
  <c r="J398" i="11"/>
  <c r="J401" i="11"/>
  <c r="AM191" i="8" s="1"/>
  <c r="K404" i="11"/>
  <c r="J406" i="11"/>
  <c r="AM196" i="8" s="1"/>
  <c r="J409" i="11"/>
  <c r="AM199" i="8" s="1"/>
  <c r="K412" i="11"/>
  <c r="AN202" i="8" s="1"/>
  <c r="J413" i="11"/>
  <c r="AM203" i="8" s="1"/>
  <c r="J382" i="11"/>
  <c r="AM172" i="8" s="1"/>
  <c r="H383" i="11"/>
  <c r="J386" i="11"/>
  <c r="AM176" i="8" s="1"/>
  <c r="H387" i="11"/>
  <c r="AK177" i="8" s="1"/>
  <c r="H392" i="11"/>
  <c r="K393" i="11"/>
  <c r="AN183" i="8" s="1"/>
  <c r="G394" i="11"/>
  <c r="AJ184" i="8" s="1"/>
  <c r="G397" i="11"/>
  <c r="AJ187" i="8" s="1"/>
  <c r="K401" i="11"/>
  <c r="AN191" i="8" s="1"/>
  <c r="G402" i="11"/>
  <c r="AJ192" i="8" s="1"/>
  <c r="G405" i="11"/>
  <c r="K409" i="11"/>
  <c r="AN199" i="8" s="1"/>
  <c r="G410" i="11"/>
  <c r="AJ200" i="8" s="1"/>
  <c r="G418" i="11"/>
  <c r="K419" i="11"/>
  <c r="AN209" i="8" s="1"/>
  <c r="G421" i="11"/>
  <c r="AJ211" i="8" s="1"/>
  <c r="J423" i="11"/>
  <c r="AM213" i="8" s="1"/>
  <c r="J431" i="11"/>
  <c r="AM221" i="8" s="1"/>
  <c r="J439" i="11"/>
  <c r="AM229" i="8" s="1"/>
  <c r="K426" i="11"/>
  <c r="AN216" i="8" s="1"/>
  <c r="K434" i="11"/>
  <c r="AN224" i="8" s="1"/>
  <c r="K442" i="11"/>
  <c r="AN232" i="8" s="1"/>
  <c r="I447" i="11"/>
  <c r="AL237" i="8" s="1"/>
  <c r="G448" i="11"/>
  <c r="G424" i="11"/>
  <c r="AJ214" i="8" s="1"/>
  <c r="K428" i="11"/>
  <c r="AN218" i="8" s="1"/>
  <c r="G432" i="11"/>
  <c r="AJ222" i="8" s="1"/>
  <c r="K436" i="11"/>
  <c r="AN226" i="8" s="1"/>
  <c r="G440" i="11"/>
  <c r="H443" i="11"/>
  <c r="AK233" i="8" s="1"/>
  <c r="K446" i="11"/>
  <c r="AN236" i="8" s="1"/>
  <c r="J447" i="11"/>
  <c r="AM237" i="8" s="1"/>
  <c r="H448" i="11"/>
  <c r="AK238" i="8" s="1"/>
  <c r="H414" i="11"/>
  <c r="AK204" i="8" s="1"/>
  <c r="J417" i="11"/>
  <c r="AM207" i="8" s="1"/>
  <c r="H418" i="11"/>
  <c r="AK208" i="8" s="1"/>
  <c r="J421" i="11"/>
  <c r="I422" i="11"/>
  <c r="H424" i="11"/>
  <c r="J425" i="11"/>
  <c r="AM215" i="8" s="1"/>
  <c r="I427" i="11"/>
  <c r="AL217" i="8" s="1"/>
  <c r="H432" i="11"/>
  <c r="AK222" i="8" s="1"/>
  <c r="J433" i="11"/>
  <c r="AM223" i="8" s="1"/>
  <c r="I435" i="11"/>
  <c r="AL225" i="8" s="1"/>
  <c r="H440" i="11"/>
  <c r="J441" i="11"/>
  <c r="AM231" i="8" s="1"/>
  <c r="I443" i="11"/>
  <c r="AL233" i="8" s="1"/>
  <c r="K413" i="11"/>
  <c r="AN203" i="8" s="1"/>
  <c r="I414" i="11"/>
  <c r="AL204" i="8" s="1"/>
  <c r="G415" i="11"/>
  <c r="AJ205" i="8" s="1"/>
  <c r="K417" i="11"/>
  <c r="AN207" i="8" s="1"/>
  <c r="I418" i="11"/>
  <c r="AL208" i="8" s="1"/>
  <c r="G419" i="11"/>
  <c r="AJ209" i="8" s="1"/>
  <c r="K421" i="11"/>
  <c r="J422" i="11"/>
  <c r="AM212" i="8" s="1"/>
  <c r="I424" i="11"/>
  <c r="AL214" i="8" s="1"/>
  <c r="K425" i="11"/>
  <c r="J427" i="11"/>
  <c r="AM217" i="8" s="1"/>
  <c r="G429" i="11"/>
  <c r="AJ219" i="8" s="1"/>
  <c r="J430" i="11"/>
  <c r="AM220" i="8" s="1"/>
  <c r="I432" i="11"/>
  <c r="AL222" i="8" s="1"/>
  <c r="K433" i="11"/>
  <c r="AN223" i="8" s="1"/>
  <c r="J435" i="11"/>
  <c r="AM225" i="8" s="1"/>
  <c r="G437" i="11"/>
  <c r="AJ227" i="8" s="1"/>
  <c r="J438" i="11"/>
  <c r="AM228" i="8" s="1"/>
  <c r="I440" i="11"/>
  <c r="AL230" i="8" s="1"/>
  <c r="K441" i="11"/>
  <c r="AN231" i="8" s="1"/>
  <c r="J443" i="11"/>
  <c r="J414" i="11"/>
  <c r="AM204" i="8" s="1"/>
  <c r="H415" i="11"/>
  <c r="AK205" i="8" s="1"/>
  <c r="J418" i="11"/>
  <c r="H419" i="11"/>
  <c r="AK209" i="8" s="1"/>
  <c r="K422" i="11"/>
  <c r="AN212" i="8" s="1"/>
  <c r="G423" i="11"/>
  <c r="AJ213" i="8" s="1"/>
  <c r="J424" i="11"/>
  <c r="AM214" i="8" s="1"/>
  <c r="G426" i="11"/>
  <c r="AJ216" i="8" s="1"/>
  <c r="K427" i="11"/>
  <c r="AN217" i="8" s="1"/>
  <c r="H429" i="11"/>
  <c r="AK219" i="8" s="1"/>
  <c r="K430" i="11"/>
  <c r="G431" i="11"/>
  <c r="AJ221" i="8" s="1"/>
  <c r="J432" i="11"/>
  <c r="G434" i="11"/>
  <c r="AJ224" i="8" s="1"/>
  <c r="K438" i="11"/>
  <c r="AN228" i="8" s="1"/>
  <c r="G439" i="11"/>
  <c r="AJ229" i="8" s="1"/>
  <c r="G442" i="11"/>
  <c r="AJ232" i="8" s="1"/>
  <c r="K390" i="11"/>
  <c r="I391" i="11"/>
  <c r="AL181" i="8" s="1"/>
  <c r="G392" i="11"/>
  <c r="K394" i="11"/>
  <c r="I395" i="11"/>
  <c r="AL185" i="8" s="1"/>
  <c r="G396" i="11"/>
  <c r="AJ186" i="8" s="1"/>
  <c r="K398" i="11"/>
  <c r="AN188" i="8" s="1"/>
  <c r="I399" i="11"/>
  <c r="AL189" i="8" s="1"/>
  <c r="G400" i="11"/>
  <c r="AJ190" i="8" s="1"/>
  <c r="K402" i="11"/>
  <c r="AN192" i="8" s="1"/>
  <c r="I403" i="11"/>
  <c r="AL193" i="8" s="1"/>
  <c r="G404" i="11"/>
  <c r="K406" i="11"/>
  <c r="AN196" i="8" s="1"/>
  <c r="I407" i="11"/>
  <c r="AL197" i="8" s="1"/>
  <c r="G408" i="11"/>
  <c r="AJ198" i="8" s="1"/>
  <c r="K410" i="11"/>
  <c r="AN200" i="8" s="1"/>
  <c r="I411" i="11"/>
  <c r="G412" i="11"/>
  <c r="AJ202" i="8" s="1"/>
  <c r="K414" i="11"/>
  <c r="AN204" i="8" s="1"/>
  <c r="I415" i="11"/>
  <c r="G416" i="11"/>
  <c r="AJ206" i="8" s="1"/>
  <c r="K418" i="11"/>
  <c r="AN208" i="8" s="1"/>
  <c r="I419" i="11"/>
  <c r="AL209" i="8" s="1"/>
  <c r="G420" i="11"/>
  <c r="AJ210" i="8" s="1"/>
  <c r="H423" i="11"/>
  <c r="AK213" i="8" s="1"/>
  <c r="K424" i="11"/>
  <c r="AN214" i="8" s="1"/>
  <c r="H426" i="11"/>
  <c r="G428" i="11"/>
  <c r="AJ218" i="8" s="1"/>
  <c r="I429" i="11"/>
  <c r="AL219" i="8" s="1"/>
  <c r="H431" i="11"/>
  <c r="AK221" i="8" s="1"/>
  <c r="K432" i="11"/>
  <c r="AN222" i="8" s="1"/>
  <c r="H434" i="11"/>
  <c r="G436" i="11"/>
  <c r="AJ226" i="8" s="1"/>
  <c r="I437" i="11"/>
  <c r="AL227" i="8" s="1"/>
  <c r="H439" i="11"/>
  <c r="AK229" i="8" s="1"/>
  <c r="K440" i="11"/>
  <c r="AN230" i="8" s="1"/>
  <c r="H442" i="11"/>
  <c r="G444" i="11"/>
  <c r="AJ234" i="8" s="1"/>
  <c r="J445" i="11"/>
  <c r="AM235" i="8" s="1"/>
  <c r="J450" i="11"/>
  <c r="AM240" i="8" s="1"/>
  <c r="J395" i="11"/>
  <c r="AM185" i="8" s="1"/>
  <c r="H396" i="11"/>
  <c r="J399" i="11"/>
  <c r="AM189" i="8" s="1"/>
  <c r="H400" i="11"/>
  <c r="AK190" i="8" s="1"/>
  <c r="J403" i="11"/>
  <c r="AM193" i="8" s="1"/>
  <c r="H404" i="11"/>
  <c r="AK194" i="8" s="1"/>
  <c r="J407" i="11"/>
  <c r="AM197" i="8" s="1"/>
  <c r="H408" i="11"/>
  <c r="AK198" i="8" s="1"/>
  <c r="J411" i="11"/>
  <c r="H412" i="11"/>
  <c r="AK202" i="8" s="1"/>
  <c r="J415" i="11"/>
  <c r="AM205" i="8" s="1"/>
  <c r="H416" i="11"/>
  <c r="AK206" i="8" s="1"/>
  <c r="J419" i="11"/>
  <c r="AM209" i="8" s="1"/>
  <c r="H420" i="11"/>
  <c r="I423" i="11"/>
  <c r="AL213" i="8" s="1"/>
  <c r="I426" i="11"/>
  <c r="AL216" i="8" s="1"/>
  <c r="H428" i="11"/>
  <c r="J429" i="11"/>
  <c r="AM219" i="8" s="1"/>
  <c r="I431" i="11"/>
  <c r="AL221" i="8" s="1"/>
  <c r="I434" i="11"/>
  <c r="AL224" i="8" s="1"/>
  <c r="H436" i="11"/>
  <c r="AK226" i="8" s="1"/>
  <c r="J437" i="11"/>
  <c r="AM227" i="8" s="1"/>
  <c r="I439" i="11"/>
  <c r="AL229" i="8" s="1"/>
  <c r="I442" i="11"/>
  <c r="AL232" i="8" s="1"/>
  <c r="H444" i="11"/>
  <c r="AK234" i="8" s="1"/>
  <c r="K445" i="11"/>
  <c r="H446" i="11"/>
  <c r="AK236" i="8" s="1"/>
  <c r="G447" i="11"/>
  <c r="AJ237" i="8" s="1"/>
  <c r="K450" i="11"/>
  <c r="AN240" i="8" s="1"/>
  <c r="I445" i="11"/>
  <c r="G446" i="11"/>
  <c r="K448" i="11"/>
  <c r="AN238" i="8" s="1"/>
  <c r="I449" i="11"/>
  <c r="AL239" i="8" s="1"/>
  <c r="G450" i="11"/>
  <c r="K452" i="11"/>
  <c r="AN242" i="8" s="1"/>
  <c r="I453" i="11"/>
  <c r="G454" i="11"/>
  <c r="AJ244" i="8" s="1"/>
  <c r="H456" i="11"/>
  <c r="AK246" i="8" s="1"/>
  <c r="K457" i="11"/>
  <c r="AN247" i="8" s="1"/>
  <c r="H459" i="11"/>
  <c r="AK249" i="8" s="1"/>
  <c r="G461" i="11"/>
  <c r="AJ251" i="8" s="1"/>
  <c r="I462" i="11"/>
  <c r="AL252" i="8" s="1"/>
  <c r="H464" i="11"/>
  <c r="AK254" i="8" s="1"/>
  <c r="I456" i="11"/>
  <c r="AL246" i="8" s="1"/>
  <c r="H461" i="11"/>
  <c r="I464" i="11"/>
  <c r="AL254" i="8" s="1"/>
  <c r="J456" i="11"/>
  <c r="AM246" i="8" s="1"/>
  <c r="J464" i="11"/>
  <c r="K459" i="11"/>
  <c r="G457" i="11"/>
  <c r="AJ247" i="8" s="1"/>
  <c r="H467" i="11"/>
  <c r="H457" i="11"/>
  <c r="AK247" i="8" s="1"/>
  <c r="I460" i="11"/>
  <c r="I467" i="11"/>
  <c r="AL257" i="8" s="1"/>
  <c r="G425" i="11"/>
  <c r="AJ215" i="8" s="1"/>
  <c r="I428" i="11"/>
  <c r="G433" i="11"/>
  <c r="K435" i="11"/>
  <c r="AN225" i="8" s="1"/>
  <c r="K439" i="11"/>
  <c r="G441" i="11"/>
  <c r="AJ231" i="8" s="1"/>
  <c r="K443" i="11"/>
  <c r="AN233" i="8" s="1"/>
  <c r="I444" i="11"/>
  <c r="AL234" i="8" s="1"/>
  <c r="G445" i="11"/>
  <c r="AJ235" i="8" s="1"/>
  <c r="K447" i="11"/>
  <c r="AN237" i="8" s="1"/>
  <c r="I448" i="11"/>
  <c r="G449" i="11"/>
  <c r="K451" i="11"/>
  <c r="AN241" i="8" s="1"/>
  <c r="I452" i="11"/>
  <c r="G453" i="11"/>
  <c r="AJ243" i="8" s="1"/>
  <c r="K455" i="11"/>
  <c r="AN245" i="8" s="1"/>
  <c r="K458" i="11"/>
  <c r="AN248" i="8" s="1"/>
  <c r="J460" i="11"/>
  <c r="AM250" i="8" s="1"/>
  <c r="J463" i="11"/>
  <c r="J466" i="11"/>
  <c r="J467" i="11"/>
  <c r="AM257" i="8" s="1"/>
  <c r="J436" i="11"/>
  <c r="AM226" i="8" s="1"/>
  <c r="H437" i="11"/>
  <c r="AK227" i="8" s="1"/>
  <c r="J440" i="11"/>
  <c r="AM230" i="8" s="1"/>
  <c r="H441" i="11"/>
  <c r="AK231" i="8" s="1"/>
  <c r="J444" i="11"/>
  <c r="AM234" i="8" s="1"/>
  <c r="H445" i="11"/>
  <c r="J448" i="11"/>
  <c r="H449" i="11"/>
  <c r="AK239" i="8" s="1"/>
  <c r="J452" i="11"/>
  <c r="H453" i="11"/>
  <c r="AK243" i="8" s="1"/>
  <c r="G456" i="11"/>
  <c r="AJ246" i="8" s="1"/>
  <c r="G459" i="11"/>
  <c r="AJ249" i="8" s="1"/>
  <c r="K463" i="11"/>
  <c r="G464" i="11"/>
  <c r="AJ254" i="8" s="1"/>
  <c r="K466" i="11"/>
  <c r="K456" i="11"/>
  <c r="AN246" i="8" s="1"/>
  <c r="I457" i="11"/>
  <c r="AL247" i="8" s="1"/>
  <c r="G458" i="11"/>
  <c r="AJ248" i="8" s="1"/>
  <c r="K460" i="11"/>
  <c r="I461" i="11"/>
  <c r="AL251" i="8" s="1"/>
  <c r="G462" i="11"/>
  <c r="AJ252" i="8" s="1"/>
  <c r="K464" i="11"/>
  <c r="K465" i="11"/>
  <c r="AN255" i="8" s="1"/>
  <c r="G466" i="11"/>
  <c r="AJ256" i="8" s="1"/>
  <c r="K467" i="11"/>
  <c r="AN257" i="8" s="1"/>
  <c r="J457" i="11"/>
  <c r="AM247" i="8" s="1"/>
  <c r="H458" i="11"/>
  <c r="J461" i="11"/>
  <c r="AM251" i="8" s="1"/>
  <c r="H462" i="11"/>
  <c r="H466" i="11"/>
  <c r="AK256" i="8" s="1"/>
  <c r="AK252" i="8" l="1"/>
  <c r="AN253" i="8"/>
  <c r="AN70" i="8"/>
  <c r="AJ236" i="8"/>
  <c r="AM233" i="8"/>
  <c r="AN194" i="8"/>
  <c r="AL188" i="8"/>
  <c r="AJ101" i="8"/>
  <c r="AM42" i="8"/>
  <c r="AM61" i="8"/>
  <c r="AM51" i="8"/>
  <c r="AK45" i="8"/>
  <c r="AL75" i="8"/>
  <c r="AL109" i="8"/>
  <c r="AK55" i="8"/>
  <c r="AM242" i="8"/>
  <c r="AL242" i="8"/>
  <c r="AL243" i="8"/>
  <c r="AN215" i="8"/>
  <c r="AJ125" i="8"/>
  <c r="AL67" i="8"/>
  <c r="AL178" i="8"/>
  <c r="AJ174" i="8"/>
  <c r="AN66" i="8"/>
  <c r="AN67" i="8"/>
  <c r="AJ42" i="8"/>
  <c r="AJ20" i="8"/>
  <c r="AN256" i="8"/>
  <c r="AM256" i="8"/>
  <c r="AJ133" i="8"/>
  <c r="AJ141" i="8"/>
  <c r="AL81" i="8"/>
  <c r="AK57" i="8"/>
  <c r="AL250" i="8"/>
  <c r="AK251" i="8"/>
  <c r="AK232" i="8"/>
  <c r="AK173" i="8"/>
  <c r="AM188" i="8"/>
  <c r="AK148" i="8"/>
  <c r="AN170" i="8"/>
  <c r="AJ165" i="8"/>
  <c r="AM120" i="8"/>
  <c r="AM148" i="8"/>
  <c r="AL88" i="8"/>
  <c r="AJ139" i="8"/>
  <c r="AL123" i="8"/>
  <c r="AJ131" i="8"/>
  <c r="AJ98" i="8"/>
  <c r="AK63" i="8"/>
  <c r="AJ79" i="8"/>
  <c r="AM105" i="8"/>
  <c r="AM89" i="8"/>
  <c r="AK118" i="8"/>
  <c r="AK126" i="8"/>
  <c r="AN101" i="8"/>
  <c r="AJ29" i="8"/>
  <c r="AK43" i="8"/>
  <c r="AN28" i="8"/>
  <c r="AL65" i="8"/>
  <c r="AJ14" i="8"/>
  <c r="AL63" i="8"/>
  <c r="AJ41" i="8"/>
  <c r="AN51" i="8"/>
  <c r="AM32" i="8"/>
  <c r="AL64" i="8"/>
  <c r="AM43" i="8"/>
  <c r="AJ74" i="8"/>
  <c r="AJ13" i="8"/>
  <c r="AL121" i="8"/>
  <c r="AJ21" i="8"/>
  <c r="AK248" i="8"/>
  <c r="AM158" i="8"/>
  <c r="AK86" i="8"/>
  <c r="AL52" i="8"/>
  <c r="AJ6" i="8"/>
  <c r="AL205" i="8"/>
  <c r="AJ194" i="8"/>
  <c r="AN184" i="8"/>
  <c r="AM222" i="8"/>
  <c r="AJ197" i="8"/>
  <c r="AL180" i="8"/>
  <c r="AJ204" i="8"/>
  <c r="AL158" i="8"/>
  <c r="AL137" i="8"/>
  <c r="AK150" i="8"/>
  <c r="AK137" i="8"/>
  <c r="AK120" i="8"/>
  <c r="AN149" i="8"/>
  <c r="AN122" i="8"/>
  <c r="AL66" i="8"/>
  <c r="AJ107" i="8"/>
  <c r="AM76" i="8"/>
  <c r="AM11" i="8"/>
  <c r="AL25" i="8"/>
  <c r="AN50" i="8"/>
  <c r="AL44" i="8"/>
  <c r="AJ38" i="8"/>
  <c r="AJ22" i="8"/>
  <c r="AJ195" i="8"/>
  <c r="AN62" i="8"/>
  <c r="AK216" i="8"/>
  <c r="AJ182" i="8"/>
  <c r="AJ238" i="8"/>
  <c r="AK201" i="8"/>
  <c r="AN174" i="8"/>
  <c r="AM178" i="8"/>
  <c r="AN163" i="8"/>
  <c r="AM104" i="8"/>
  <c r="AK93" i="8"/>
  <c r="AM156" i="8"/>
  <c r="AL148" i="8"/>
  <c r="AM119" i="8"/>
  <c r="AN146" i="8"/>
  <c r="AL146" i="8"/>
  <c r="AL165" i="8"/>
  <c r="AJ106" i="8"/>
  <c r="AN86" i="8"/>
  <c r="AM78" i="8"/>
  <c r="AM118" i="8"/>
  <c r="AK104" i="8"/>
  <c r="AN234" i="8"/>
  <c r="AJ99" i="8"/>
  <c r="AM90" i="8"/>
  <c r="AM85" i="8"/>
  <c r="AL32" i="8"/>
  <c r="AN39" i="8"/>
  <c r="AL33" i="8"/>
  <c r="AJ188" i="8"/>
  <c r="AJ30" i="8"/>
  <c r="AL39" i="8"/>
  <c r="AJ60" i="8"/>
  <c r="AK50" i="8"/>
  <c r="AL69" i="8"/>
  <c r="AL61" i="8"/>
  <c r="AK23" i="8"/>
  <c r="AL117" i="8"/>
  <c r="AL235" i="8"/>
  <c r="AK90" i="8"/>
  <c r="AN229" i="8"/>
  <c r="AM238" i="8"/>
  <c r="AJ239" i="8"/>
  <c r="AJ240" i="8"/>
  <c r="AK186" i="8"/>
  <c r="AN220" i="8"/>
  <c r="AK214" i="8"/>
  <c r="AM159" i="8"/>
  <c r="AL200" i="8"/>
  <c r="AJ161" i="8"/>
  <c r="AM142" i="8"/>
  <c r="AM161" i="8"/>
  <c r="AK123" i="8"/>
  <c r="AJ114" i="8"/>
  <c r="AM115" i="8"/>
  <c r="AL89" i="8"/>
  <c r="AN124" i="8"/>
  <c r="AN106" i="8"/>
  <c r="AK24" i="8"/>
  <c r="AL76" i="8"/>
  <c r="AM25" i="8"/>
  <c r="AN31" i="8"/>
  <c r="AL10" i="8"/>
  <c r="AM15" i="8"/>
  <c r="AK7" i="8"/>
  <c r="AN250" i="8"/>
  <c r="AK121" i="8"/>
  <c r="AK16" i="8"/>
  <c r="AK257" i="8"/>
  <c r="AN235" i="8"/>
  <c r="AM208" i="8"/>
  <c r="AK178" i="8"/>
  <c r="AK167" i="8"/>
  <c r="AM174" i="8"/>
  <c r="AN254" i="8"/>
  <c r="AK235" i="8"/>
  <c r="AM253" i="8"/>
  <c r="AL238" i="8"/>
  <c r="AJ223" i="8"/>
  <c r="AN249" i="8"/>
  <c r="AK218" i="8"/>
  <c r="AM201" i="8"/>
  <c r="AL201" i="8"/>
  <c r="AN180" i="8"/>
  <c r="AN211" i="8"/>
  <c r="AL212" i="8"/>
  <c r="AJ208" i="8"/>
  <c r="AN205" i="8"/>
  <c r="AK191" i="8"/>
  <c r="AM171" i="8"/>
  <c r="AM192" i="8"/>
  <c r="AL104" i="8"/>
  <c r="AK158" i="8"/>
  <c r="AM165" i="8"/>
  <c r="AL141" i="8"/>
  <c r="AJ151" i="8"/>
  <c r="AN137" i="8"/>
  <c r="AK83" i="8"/>
  <c r="AK75" i="8"/>
  <c r="AM102" i="8"/>
  <c r="AM91" i="8"/>
  <c r="AL94" i="8"/>
  <c r="AM87" i="8"/>
  <c r="AK84" i="8"/>
  <c r="AN52" i="8"/>
  <c r="AN12" i="8"/>
  <c r="AK62" i="8"/>
  <c r="AN74" i="8"/>
  <c r="AK65" i="8"/>
  <c r="AM50" i="8"/>
  <c r="AN75" i="8"/>
  <c r="AM64" i="8"/>
  <c r="AK42" i="8"/>
  <c r="AN35" i="8"/>
  <c r="AN11" i="8"/>
  <c r="AK210" i="8"/>
  <c r="AJ123" i="8"/>
  <c r="AL218" i="8"/>
  <c r="AM254" i="8"/>
  <c r="AK224" i="8"/>
  <c r="AK230" i="8"/>
  <c r="AM211" i="8"/>
  <c r="AJ230" i="8"/>
  <c r="AK182" i="8"/>
  <c r="AL203" i="8"/>
  <c r="AM155" i="8"/>
  <c r="AK195" i="8"/>
  <c r="AK175" i="8"/>
  <c r="AJ169" i="8"/>
  <c r="AM150" i="8"/>
  <c r="AL120" i="8"/>
  <c r="AL161" i="8"/>
  <c r="AN61" i="8"/>
  <c r="AK107" i="8"/>
  <c r="AJ115" i="8"/>
  <c r="AK105" i="8"/>
  <c r="AN76" i="8"/>
  <c r="AN25" i="8"/>
  <c r="AJ65" i="8"/>
  <c r="AN182" i="8"/>
  <c r="AK31" i="8"/>
  <c r="AK64" i="8"/>
  <c r="AL51" i="8"/>
  <c r="AJ45" i="8"/>
  <c r="AK32" i="8"/>
  <c r="AK8" i="8"/>
  <c r="AM6" i="8"/>
  <c r="AM21" i="8"/>
  <c r="AJ146" i="8"/>
  <c r="AJ233" i="8"/>
  <c r="AL198" i="8"/>
  <c r="AN139" i="8"/>
  <c r="AJ89" i="8"/>
  <c r="AM239" i="8"/>
  <c r="AK89" i="8"/>
  <c r="AL215" i="8"/>
  <c r="AN160" i="8"/>
  <c r="AJ118" i="8"/>
  <c r="AM232" i="8"/>
  <c r="AK183" i="8"/>
  <c r="AM92" i="8"/>
  <c r="AJ255" i="8"/>
  <c r="AN213" i="8"/>
  <c r="AJ183" i="8"/>
  <c r="AN129" i="8"/>
  <c r="AL28" i="8"/>
  <c r="AK212" i="8"/>
  <c r="AM149" i="8"/>
  <c r="AK28" i="8"/>
  <c r="AK225" i="8"/>
  <c r="AM170" i="8"/>
  <c r="AM18" i="8"/>
  <c r="AJ257" i="8"/>
  <c r="AN227" i="8"/>
  <c r="AL194" i="8"/>
  <c r="AL130" i="8"/>
  <c r="AN87" i="8"/>
  <c r="AM195" i="8"/>
  <c r="AK122" i="8"/>
  <c r="AL255" i="8"/>
  <c r="AL211" i="8"/>
  <c r="AJ154" i="8"/>
  <c r="AN116" i="8"/>
  <c r="AM224" i="8"/>
  <c r="AK179" i="8"/>
  <c r="AM84" i="8"/>
  <c r="AL248" i="8"/>
  <c r="AJ207" i="8"/>
  <c r="AN181" i="8"/>
  <c r="AJ127" i="8"/>
  <c r="AM249" i="8"/>
  <c r="AK200" i="8"/>
  <c r="AM141" i="8"/>
  <c r="AM218" i="8"/>
  <c r="AK161" i="8"/>
  <c r="AM10" i="8"/>
  <c r="AJ253" i="8"/>
  <c r="AL226" i="8"/>
  <c r="AL186" i="8"/>
  <c r="AM187" i="8"/>
  <c r="AN252" i="8"/>
  <c r="AL199" i="8"/>
  <c r="AN112" i="8"/>
  <c r="AK223" i="8"/>
  <c r="AK171" i="8"/>
  <c r="AL244" i="8"/>
  <c r="AJ203" i="8"/>
  <c r="AJ179" i="8"/>
  <c r="AN117" i="8"/>
  <c r="AN21" i="8"/>
  <c r="AM245" i="8"/>
  <c r="AK188" i="8"/>
  <c r="AM133" i="8"/>
  <c r="AK20" i="8"/>
  <c r="AK217" i="8"/>
  <c r="AK157" i="8"/>
  <c r="AN251" i="8"/>
  <c r="AJ225" i="8"/>
  <c r="AL118" i="8"/>
  <c r="AM31" i="8"/>
  <c r="AJ250" i="8"/>
  <c r="AL187" i="8"/>
  <c r="AJ138" i="8"/>
  <c r="AJ110" i="8"/>
  <c r="AK255" i="8"/>
  <c r="AM216" i="8"/>
  <c r="AM160" i="8"/>
  <c r="AL240" i="8"/>
  <c r="AN201" i="8"/>
  <c r="AJ171" i="8"/>
  <c r="AN109" i="8"/>
  <c r="AL20" i="8"/>
  <c r="AK244" i="8"/>
  <c r="AK184" i="8"/>
  <c r="AM121" i="8"/>
  <c r="AM202" i="8"/>
  <c r="AK149" i="8"/>
  <c r="AJ245" i="8"/>
  <c r="AN219" i="8"/>
  <c r="AL174" i="8"/>
  <c r="AJ25" i="8"/>
  <c r="AM255" i="8"/>
  <c r="AK166" i="8"/>
  <c r="AN244" i="8"/>
  <c r="AL183" i="8"/>
  <c r="AN132" i="8"/>
  <c r="AN108" i="8"/>
  <c r="AM252" i="8"/>
  <c r="AK215" i="8"/>
  <c r="AM152" i="8"/>
  <c r="AL236" i="8"/>
  <c r="AJ199" i="8"/>
  <c r="AL152" i="8"/>
  <c r="AL84" i="8"/>
  <c r="AN13" i="8"/>
  <c r="AM241" i="8"/>
  <c r="AM181" i="8"/>
  <c r="AM117" i="8"/>
  <c r="AK253" i="8"/>
  <c r="AM198" i="8"/>
  <c r="AK141" i="8"/>
  <c r="AN243" i="8"/>
  <c r="AJ217" i="8"/>
  <c r="AJ157" i="8"/>
  <c r="AJ113" i="8"/>
  <c r="AK250" i="8"/>
  <c r="AK154" i="8"/>
  <c r="AJ242" i="8"/>
  <c r="AJ130" i="8"/>
  <c r="AL31" i="8"/>
  <c r="AM248" i="8"/>
  <c r="AK203" i="8"/>
  <c r="AM144" i="8"/>
  <c r="AL228" i="8"/>
  <c r="AN197" i="8"/>
  <c r="AL144" i="8"/>
  <c r="AL12" i="8"/>
  <c r="AK240" i="8"/>
  <c r="AM177" i="8"/>
  <c r="AM113" i="8"/>
  <c r="AK245" i="8"/>
  <c r="AM190" i="8"/>
  <c r="AM134" i="8"/>
  <c r="AJ241" i="8"/>
  <c r="AL210" i="8"/>
  <c r="AN155" i="8"/>
  <c r="AL110" i="8"/>
  <c r="AM243" i="8"/>
  <c r="AK146" i="8"/>
  <c r="AL231" i="8"/>
  <c r="AN172" i="8"/>
  <c r="AJ122" i="8"/>
  <c r="AM244" i="8"/>
  <c r="AK199" i="8"/>
  <c r="AM136" i="8"/>
  <c r="AN221" i="8"/>
  <c r="AN193" i="8"/>
  <c r="AL136" i="8"/>
  <c r="AK228" i="8"/>
  <c r="AM169" i="8"/>
  <c r="AM109" i="8"/>
  <c r="AL245" i="8"/>
  <c r="AK241" i="8"/>
  <c r="AM186" i="8"/>
  <c r="AM114" i="8"/>
  <c r="AN239" i="8"/>
  <c r="AL202" i="8"/>
  <c r="AN147" i="8"/>
  <c r="AJ97" i="8"/>
  <c r="AK242" i="8"/>
  <c r="AL223" i="8"/>
  <c r="AJ170" i="8"/>
  <c r="AN120" i="8"/>
  <c r="AL23" i="8"/>
  <c r="AM236" i="8"/>
  <c r="AK187" i="8"/>
  <c r="AK111" i="8"/>
  <c r="AL256" i="8"/>
  <c r="AL220" i="8"/>
  <c r="AN185" i="8"/>
  <c r="AN133" i="8"/>
  <c r="AN29" i="8"/>
  <c r="AM26" i="8"/>
  <c r="AK220" i="8"/>
  <c r="AM157" i="8"/>
  <c r="AK237" i="8"/>
  <c r="AM182" i="8"/>
  <c r="AS5" i="8"/>
  <c r="AR5" i="8"/>
  <c r="AQ5" i="8"/>
  <c r="AP5" i="8"/>
  <c r="AO5" i="8"/>
  <c r="P5" i="8"/>
  <c r="Q5" i="8"/>
  <c r="R5" i="8"/>
  <c r="S5" i="8"/>
  <c r="O5" i="8"/>
  <c r="G6" i="8" l="1"/>
  <c r="AT6" i="8"/>
  <c r="T6" i="8"/>
  <c r="A257" i="6"/>
  <c r="B257" i="6"/>
  <c r="C257" i="6"/>
  <c r="D257" i="6"/>
  <c r="E257" i="6"/>
  <c r="F257" i="6"/>
  <c r="A258" i="6"/>
  <c r="B258" i="6"/>
  <c r="C258" i="6"/>
  <c r="D258" i="6"/>
  <c r="E258" i="6"/>
  <c r="F258" i="6"/>
  <c r="A259" i="6"/>
  <c r="B259" i="6"/>
  <c r="C259" i="6"/>
  <c r="D259" i="6"/>
  <c r="E259" i="6"/>
  <c r="F259" i="6"/>
  <c r="A260" i="6"/>
  <c r="B260" i="6"/>
  <c r="C260" i="6"/>
  <c r="D260" i="6"/>
  <c r="E260" i="6"/>
  <c r="F260" i="6"/>
  <c r="A261" i="6"/>
  <c r="B261" i="6"/>
  <c r="C261" i="6"/>
  <c r="D261" i="6"/>
  <c r="E261" i="6"/>
  <c r="F261" i="6"/>
  <c r="A262" i="6"/>
  <c r="B262" i="6"/>
  <c r="C262" i="6"/>
  <c r="D262" i="6"/>
  <c r="E262" i="6"/>
  <c r="F262" i="6"/>
  <c r="A263" i="6"/>
  <c r="B263" i="6"/>
  <c r="C263" i="6"/>
  <c r="D263" i="6"/>
  <c r="E263" i="6"/>
  <c r="F263" i="6"/>
  <c r="A264" i="6"/>
  <c r="B264" i="6"/>
  <c r="C264" i="6"/>
  <c r="D264" i="6"/>
  <c r="E264" i="6"/>
  <c r="F264" i="6"/>
  <c r="A265" i="6"/>
  <c r="B265" i="6"/>
  <c r="C265" i="6"/>
  <c r="D265" i="6"/>
  <c r="E265" i="6"/>
  <c r="F265" i="6"/>
  <c r="A266" i="6"/>
  <c r="B266" i="6"/>
  <c r="C266" i="6"/>
  <c r="D266" i="6"/>
  <c r="E266" i="6"/>
  <c r="F266" i="6"/>
  <c r="A267" i="6"/>
  <c r="B267" i="6"/>
  <c r="C267" i="6"/>
  <c r="D267" i="6"/>
  <c r="E267" i="6"/>
  <c r="F267" i="6"/>
  <c r="A268" i="6"/>
  <c r="B268" i="6"/>
  <c r="C268" i="6"/>
  <c r="D268" i="6"/>
  <c r="E268" i="6"/>
  <c r="F268" i="6"/>
  <c r="A269" i="6"/>
  <c r="B269" i="6"/>
  <c r="C269" i="6"/>
  <c r="D269" i="6"/>
  <c r="E269" i="6"/>
  <c r="F269" i="6"/>
  <c r="A270" i="6"/>
  <c r="B270" i="6"/>
  <c r="C270" i="6"/>
  <c r="D270" i="6"/>
  <c r="E270" i="6"/>
  <c r="F270" i="6"/>
  <c r="A271" i="6"/>
  <c r="B271" i="6"/>
  <c r="C271" i="6"/>
  <c r="D271" i="6"/>
  <c r="E271" i="6"/>
  <c r="F271" i="6"/>
  <c r="A272" i="6"/>
  <c r="B272" i="6"/>
  <c r="C272" i="6"/>
  <c r="D272" i="6"/>
  <c r="E272" i="6"/>
  <c r="F272" i="6"/>
  <c r="A273" i="6"/>
  <c r="B273" i="6"/>
  <c r="C273" i="6"/>
  <c r="D273" i="6"/>
  <c r="E273" i="6"/>
  <c r="F273" i="6"/>
  <c r="A274" i="6"/>
  <c r="B274" i="6"/>
  <c r="C274" i="6"/>
  <c r="D274" i="6"/>
  <c r="E274" i="6"/>
  <c r="F274" i="6"/>
  <c r="A275" i="6"/>
  <c r="B275" i="6"/>
  <c r="C275" i="6"/>
  <c r="D275" i="6"/>
  <c r="E275" i="6"/>
  <c r="F275" i="6"/>
  <c r="A276" i="6"/>
  <c r="B276" i="6"/>
  <c r="C276" i="6"/>
  <c r="D276" i="6"/>
  <c r="E276" i="6"/>
  <c r="F276" i="6"/>
  <c r="A277" i="6"/>
  <c r="B277" i="6"/>
  <c r="C277" i="6"/>
  <c r="D277" i="6"/>
  <c r="E277" i="6"/>
  <c r="F277" i="6"/>
  <c r="A278" i="6"/>
  <c r="B278" i="6"/>
  <c r="C278" i="6"/>
  <c r="D278" i="6"/>
  <c r="E278" i="6"/>
  <c r="F278" i="6"/>
  <c r="A279" i="6"/>
  <c r="B279" i="6"/>
  <c r="C279" i="6"/>
  <c r="D279" i="6"/>
  <c r="E279" i="6"/>
  <c r="F279" i="6"/>
  <c r="A280" i="6"/>
  <c r="B280" i="6"/>
  <c r="C280" i="6"/>
  <c r="D280" i="6"/>
  <c r="E280" i="6"/>
  <c r="F280" i="6"/>
  <c r="A281" i="6"/>
  <c r="B281" i="6"/>
  <c r="C281" i="6"/>
  <c r="D281" i="6"/>
  <c r="E281" i="6"/>
  <c r="F281" i="6"/>
  <c r="A282" i="6"/>
  <c r="B282" i="6"/>
  <c r="C282" i="6"/>
  <c r="D282" i="6"/>
  <c r="E282" i="6"/>
  <c r="F282" i="6"/>
  <c r="A283" i="6"/>
  <c r="B283" i="6"/>
  <c r="C283" i="6"/>
  <c r="D283" i="6"/>
  <c r="E283" i="6"/>
  <c r="F283" i="6"/>
  <c r="A284" i="6"/>
  <c r="B284" i="6"/>
  <c r="C284" i="6"/>
  <c r="D284" i="6"/>
  <c r="E284" i="6"/>
  <c r="F284" i="6"/>
  <c r="A285" i="6"/>
  <c r="B285" i="6"/>
  <c r="C285" i="6"/>
  <c r="D285" i="6"/>
  <c r="E285" i="6"/>
  <c r="F285" i="6"/>
  <c r="A286" i="6"/>
  <c r="B286" i="6"/>
  <c r="C286" i="6"/>
  <c r="D286" i="6"/>
  <c r="E286" i="6"/>
  <c r="F286" i="6"/>
  <c r="A287" i="6"/>
  <c r="B287" i="6"/>
  <c r="C287" i="6"/>
  <c r="D287" i="6"/>
  <c r="E287" i="6"/>
  <c r="F287" i="6"/>
  <c r="A288" i="6"/>
  <c r="B288" i="6"/>
  <c r="C288" i="6"/>
  <c r="D288" i="6"/>
  <c r="E288" i="6"/>
  <c r="F288" i="6"/>
  <c r="A289" i="6"/>
  <c r="B289" i="6"/>
  <c r="C289" i="6"/>
  <c r="D289" i="6"/>
  <c r="E289" i="6"/>
  <c r="F289" i="6"/>
  <c r="A290" i="6"/>
  <c r="B290" i="6"/>
  <c r="C290" i="6"/>
  <c r="D290" i="6"/>
  <c r="E290" i="6"/>
  <c r="F290" i="6"/>
  <c r="A291" i="6"/>
  <c r="B291" i="6"/>
  <c r="C291" i="6"/>
  <c r="D291" i="6"/>
  <c r="E291" i="6"/>
  <c r="F291" i="6"/>
  <c r="A292" i="6"/>
  <c r="B292" i="6"/>
  <c r="C292" i="6"/>
  <c r="D292" i="6"/>
  <c r="E292" i="6"/>
  <c r="F292" i="6"/>
  <c r="A293" i="6"/>
  <c r="B293" i="6"/>
  <c r="C293" i="6"/>
  <c r="D293" i="6"/>
  <c r="E293" i="6"/>
  <c r="F293" i="6"/>
  <c r="A294" i="6"/>
  <c r="B294" i="6"/>
  <c r="C294" i="6"/>
  <c r="D294" i="6"/>
  <c r="E294" i="6"/>
  <c r="F294" i="6"/>
  <c r="A295" i="6"/>
  <c r="B295" i="6"/>
  <c r="C295" i="6"/>
  <c r="D295" i="6"/>
  <c r="E295" i="6"/>
  <c r="F295" i="6"/>
  <c r="A296" i="6"/>
  <c r="B296" i="6"/>
  <c r="C296" i="6"/>
  <c r="D296" i="6"/>
  <c r="E296" i="6"/>
  <c r="F296" i="6"/>
  <c r="A297" i="6"/>
  <c r="B297" i="6"/>
  <c r="C297" i="6"/>
  <c r="D297" i="6"/>
  <c r="E297" i="6"/>
  <c r="F297" i="6"/>
  <c r="A298" i="6"/>
  <c r="B298" i="6"/>
  <c r="C298" i="6"/>
  <c r="D298" i="6"/>
  <c r="E298" i="6"/>
  <c r="F298" i="6"/>
  <c r="A299" i="6"/>
  <c r="B299" i="6"/>
  <c r="C299" i="6"/>
  <c r="D299" i="6"/>
  <c r="E299" i="6"/>
  <c r="F299" i="6"/>
  <c r="A300" i="6"/>
  <c r="B300" i="6"/>
  <c r="C300" i="6"/>
  <c r="D300" i="6"/>
  <c r="E300" i="6"/>
  <c r="F300" i="6"/>
  <c r="A301" i="6"/>
  <c r="B301" i="6"/>
  <c r="C301" i="6"/>
  <c r="D301" i="6"/>
  <c r="E301" i="6"/>
  <c r="F301" i="6"/>
  <c r="A302" i="6"/>
  <c r="B302" i="6"/>
  <c r="C302" i="6"/>
  <c r="D302" i="6"/>
  <c r="E302" i="6"/>
  <c r="F302" i="6"/>
  <c r="A303" i="6"/>
  <c r="B303" i="6"/>
  <c r="C303" i="6"/>
  <c r="D303" i="6"/>
  <c r="E303" i="6"/>
  <c r="F303" i="6"/>
  <c r="A304" i="6"/>
  <c r="B304" i="6"/>
  <c r="C304" i="6"/>
  <c r="D304" i="6"/>
  <c r="E304" i="6"/>
  <c r="F304" i="6"/>
  <c r="A305" i="6"/>
  <c r="B305" i="6"/>
  <c r="C305" i="6"/>
  <c r="D305" i="6"/>
  <c r="E305" i="6"/>
  <c r="F305" i="6"/>
  <c r="A306" i="6"/>
  <c r="B306" i="6"/>
  <c r="C306" i="6"/>
  <c r="D306" i="6"/>
  <c r="E306" i="6"/>
  <c r="F306" i="6"/>
  <c r="A307" i="6"/>
  <c r="B307" i="6"/>
  <c r="C307" i="6"/>
  <c r="D307" i="6"/>
  <c r="E307" i="6"/>
  <c r="F307" i="6"/>
  <c r="A308" i="6"/>
  <c r="B308" i="6"/>
  <c r="C308" i="6"/>
  <c r="D308" i="6"/>
  <c r="E308" i="6"/>
  <c r="F308" i="6"/>
  <c r="A309" i="6"/>
  <c r="B309" i="6"/>
  <c r="C309" i="6"/>
  <c r="D309" i="6"/>
  <c r="E309" i="6"/>
  <c r="F309" i="6"/>
  <c r="A310" i="6"/>
  <c r="B310" i="6"/>
  <c r="C310" i="6"/>
  <c r="D310" i="6"/>
  <c r="E310" i="6"/>
  <c r="F310" i="6"/>
  <c r="A311" i="6"/>
  <c r="B311" i="6"/>
  <c r="C311" i="6"/>
  <c r="D311" i="6"/>
  <c r="E311" i="6"/>
  <c r="F311" i="6"/>
  <c r="A312" i="6"/>
  <c r="B312" i="6"/>
  <c r="C312" i="6"/>
  <c r="D312" i="6"/>
  <c r="E312" i="6"/>
  <c r="F312" i="6"/>
  <c r="A313" i="6"/>
  <c r="B313" i="6"/>
  <c r="C313" i="6"/>
  <c r="D313" i="6"/>
  <c r="E313" i="6"/>
  <c r="F313" i="6"/>
  <c r="A314" i="6"/>
  <c r="B314" i="6"/>
  <c r="C314" i="6"/>
  <c r="D314" i="6"/>
  <c r="E314" i="6"/>
  <c r="F314" i="6"/>
  <c r="A315" i="6"/>
  <c r="B315" i="6"/>
  <c r="C315" i="6"/>
  <c r="D315" i="6"/>
  <c r="E315" i="6"/>
  <c r="F315" i="6"/>
  <c r="A316" i="6"/>
  <c r="B316" i="6"/>
  <c r="C316" i="6"/>
  <c r="D316" i="6"/>
  <c r="E316" i="6"/>
  <c r="F316" i="6"/>
  <c r="A317" i="6"/>
  <c r="B317" i="6"/>
  <c r="C317" i="6"/>
  <c r="D317" i="6"/>
  <c r="E317" i="6"/>
  <c r="F317" i="6"/>
  <c r="A318" i="6"/>
  <c r="B318" i="6"/>
  <c r="C318" i="6"/>
  <c r="D318" i="6"/>
  <c r="E318" i="6"/>
  <c r="F318" i="6"/>
  <c r="A319" i="6"/>
  <c r="B319" i="6"/>
  <c r="C319" i="6"/>
  <c r="D319" i="6"/>
  <c r="E319" i="6"/>
  <c r="F319" i="6"/>
  <c r="A320" i="6"/>
  <c r="B320" i="6"/>
  <c r="C320" i="6"/>
  <c r="D320" i="6"/>
  <c r="E320" i="6"/>
  <c r="F320" i="6"/>
  <c r="A321" i="6"/>
  <c r="B321" i="6"/>
  <c r="C321" i="6"/>
  <c r="D321" i="6"/>
  <c r="E321" i="6"/>
  <c r="F321" i="6"/>
  <c r="A322" i="6"/>
  <c r="B322" i="6"/>
  <c r="C322" i="6"/>
  <c r="D322" i="6"/>
  <c r="E322" i="6"/>
  <c r="F322" i="6"/>
  <c r="A323" i="6"/>
  <c r="B323" i="6"/>
  <c r="C323" i="6"/>
  <c r="D323" i="6"/>
  <c r="E323" i="6"/>
  <c r="F323" i="6"/>
  <c r="A324" i="6"/>
  <c r="B324" i="6"/>
  <c r="C324" i="6"/>
  <c r="D324" i="6"/>
  <c r="E324" i="6"/>
  <c r="F324" i="6"/>
  <c r="A325" i="6"/>
  <c r="B325" i="6"/>
  <c r="C325" i="6"/>
  <c r="D325" i="6"/>
  <c r="E325" i="6"/>
  <c r="F325" i="6"/>
  <c r="A326" i="6"/>
  <c r="B326" i="6"/>
  <c r="C326" i="6"/>
  <c r="D326" i="6"/>
  <c r="E326" i="6"/>
  <c r="F326" i="6"/>
  <c r="A327" i="6"/>
  <c r="B327" i="6"/>
  <c r="C327" i="6"/>
  <c r="D327" i="6"/>
  <c r="E327" i="6"/>
  <c r="F327" i="6"/>
  <c r="A328" i="6"/>
  <c r="B328" i="6"/>
  <c r="C328" i="6"/>
  <c r="D328" i="6"/>
  <c r="E328" i="6"/>
  <c r="F328" i="6"/>
  <c r="A329" i="6"/>
  <c r="B329" i="6"/>
  <c r="C329" i="6"/>
  <c r="D329" i="6"/>
  <c r="E329" i="6"/>
  <c r="F329" i="6"/>
  <c r="A330" i="6"/>
  <c r="B330" i="6"/>
  <c r="C330" i="6"/>
  <c r="D330" i="6"/>
  <c r="E330" i="6"/>
  <c r="F330" i="6"/>
  <c r="A331" i="6"/>
  <c r="B331" i="6"/>
  <c r="C331" i="6"/>
  <c r="D331" i="6"/>
  <c r="E331" i="6"/>
  <c r="F331" i="6"/>
  <c r="A332" i="6"/>
  <c r="B332" i="6"/>
  <c r="C332" i="6"/>
  <c r="D332" i="6"/>
  <c r="E332" i="6"/>
  <c r="F332" i="6"/>
  <c r="A333" i="6"/>
  <c r="B333" i="6"/>
  <c r="C333" i="6"/>
  <c r="D333" i="6"/>
  <c r="E333" i="6"/>
  <c r="F333" i="6"/>
  <c r="A334" i="6"/>
  <c r="B334" i="6"/>
  <c r="C334" i="6"/>
  <c r="D334" i="6"/>
  <c r="E334" i="6"/>
  <c r="F334" i="6"/>
  <c r="A335" i="6"/>
  <c r="B335" i="6"/>
  <c r="C335" i="6"/>
  <c r="D335" i="6"/>
  <c r="E335" i="6"/>
  <c r="F335" i="6"/>
  <c r="A336" i="6"/>
  <c r="B336" i="6"/>
  <c r="C336" i="6"/>
  <c r="D336" i="6"/>
  <c r="E336" i="6"/>
  <c r="F336" i="6"/>
  <c r="A337" i="6"/>
  <c r="B337" i="6"/>
  <c r="C337" i="6"/>
  <c r="D337" i="6"/>
  <c r="E337" i="6"/>
  <c r="F337" i="6"/>
  <c r="A338" i="6"/>
  <c r="B338" i="6"/>
  <c r="C338" i="6"/>
  <c r="D338" i="6"/>
  <c r="E338" i="6"/>
  <c r="F338" i="6"/>
  <c r="A339" i="6"/>
  <c r="B339" i="6"/>
  <c r="C339" i="6"/>
  <c r="D339" i="6"/>
  <c r="E339" i="6"/>
  <c r="F339" i="6"/>
  <c r="A340" i="6"/>
  <c r="B340" i="6"/>
  <c r="C340" i="6"/>
  <c r="D340" i="6"/>
  <c r="E340" i="6"/>
  <c r="F340" i="6"/>
  <c r="A341" i="6"/>
  <c r="B341" i="6"/>
  <c r="C341" i="6"/>
  <c r="D341" i="6"/>
  <c r="E341" i="6"/>
  <c r="F341" i="6"/>
  <c r="A342" i="6"/>
  <c r="B342" i="6"/>
  <c r="C342" i="6"/>
  <c r="D342" i="6"/>
  <c r="E342" i="6"/>
  <c r="F342" i="6"/>
  <c r="A343" i="6"/>
  <c r="B343" i="6"/>
  <c r="C343" i="6"/>
  <c r="D343" i="6"/>
  <c r="E343" i="6"/>
  <c r="F343" i="6"/>
  <c r="A344" i="6"/>
  <c r="B344" i="6"/>
  <c r="C344" i="6"/>
  <c r="D344" i="6"/>
  <c r="E344" i="6"/>
  <c r="F344" i="6"/>
  <c r="A345" i="6"/>
  <c r="B345" i="6"/>
  <c r="C345" i="6"/>
  <c r="D345" i="6"/>
  <c r="E345" i="6"/>
  <c r="F345" i="6"/>
  <c r="A346" i="6"/>
  <c r="B346" i="6"/>
  <c r="C346" i="6"/>
  <c r="D346" i="6"/>
  <c r="E346" i="6"/>
  <c r="F346" i="6"/>
  <c r="A347" i="6"/>
  <c r="B347" i="6"/>
  <c r="C347" i="6"/>
  <c r="D347" i="6"/>
  <c r="E347" i="6"/>
  <c r="F347" i="6"/>
  <c r="A348" i="6"/>
  <c r="B348" i="6"/>
  <c r="C348" i="6"/>
  <c r="D348" i="6"/>
  <c r="E348" i="6"/>
  <c r="F348" i="6"/>
  <c r="A349" i="6"/>
  <c r="B349" i="6"/>
  <c r="C349" i="6"/>
  <c r="D349" i="6"/>
  <c r="E349" i="6"/>
  <c r="F349" i="6"/>
  <c r="A350" i="6"/>
  <c r="B350" i="6"/>
  <c r="C350" i="6"/>
  <c r="D350" i="6"/>
  <c r="E350" i="6"/>
  <c r="F350" i="6"/>
  <c r="A351" i="6"/>
  <c r="B351" i="6"/>
  <c r="C351" i="6"/>
  <c r="D351" i="6"/>
  <c r="E351" i="6"/>
  <c r="F351" i="6"/>
  <c r="A352" i="6"/>
  <c r="B352" i="6"/>
  <c r="C352" i="6"/>
  <c r="D352" i="6"/>
  <c r="E352" i="6"/>
  <c r="F352" i="6"/>
  <c r="A353" i="6"/>
  <c r="B353" i="6"/>
  <c r="C353" i="6"/>
  <c r="D353" i="6"/>
  <c r="E353" i="6"/>
  <c r="F353" i="6"/>
  <c r="A354" i="6"/>
  <c r="B354" i="6"/>
  <c r="C354" i="6"/>
  <c r="D354" i="6"/>
  <c r="E354" i="6"/>
  <c r="F354" i="6"/>
  <c r="A355" i="6"/>
  <c r="B355" i="6"/>
  <c r="C355" i="6"/>
  <c r="D355" i="6"/>
  <c r="E355" i="6"/>
  <c r="F355" i="6"/>
  <c r="A356" i="6"/>
  <c r="B356" i="6"/>
  <c r="C356" i="6"/>
  <c r="D356" i="6"/>
  <c r="E356" i="6"/>
  <c r="F356" i="6"/>
  <c r="A357" i="6"/>
  <c r="B357" i="6"/>
  <c r="C357" i="6"/>
  <c r="D357" i="6"/>
  <c r="E357" i="6"/>
  <c r="F357" i="6"/>
  <c r="A358" i="6"/>
  <c r="B358" i="6"/>
  <c r="C358" i="6"/>
  <c r="D358" i="6"/>
  <c r="E358" i="6"/>
  <c r="F358" i="6"/>
  <c r="A359" i="6"/>
  <c r="B359" i="6"/>
  <c r="C359" i="6"/>
  <c r="D359" i="6"/>
  <c r="E359" i="6"/>
  <c r="F359" i="6"/>
  <c r="A360" i="6"/>
  <c r="B360" i="6"/>
  <c r="C360" i="6"/>
  <c r="D360" i="6"/>
  <c r="E360" i="6"/>
  <c r="F360" i="6"/>
  <c r="A361" i="6"/>
  <c r="B361" i="6"/>
  <c r="C361" i="6"/>
  <c r="D361" i="6"/>
  <c r="E361" i="6"/>
  <c r="F361" i="6"/>
  <c r="A362" i="6"/>
  <c r="B362" i="6"/>
  <c r="C362" i="6"/>
  <c r="D362" i="6"/>
  <c r="E362" i="6"/>
  <c r="F362" i="6"/>
  <c r="A363" i="6"/>
  <c r="B363" i="6"/>
  <c r="C363" i="6"/>
  <c r="D363" i="6"/>
  <c r="E363" i="6"/>
  <c r="F363" i="6"/>
  <c r="A364" i="6"/>
  <c r="B364" i="6"/>
  <c r="C364" i="6"/>
  <c r="D364" i="6"/>
  <c r="E364" i="6"/>
  <c r="F364" i="6"/>
  <c r="A365" i="6"/>
  <c r="B365" i="6"/>
  <c r="C365" i="6"/>
  <c r="D365" i="6"/>
  <c r="E365" i="6"/>
  <c r="F365" i="6"/>
  <c r="A366" i="6"/>
  <c r="B366" i="6"/>
  <c r="C366" i="6"/>
  <c r="D366" i="6"/>
  <c r="E366" i="6"/>
  <c r="F366" i="6"/>
  <c r="A367" i="6"/>
  <c r="B367" i="6"/>
  <c r="C367" i="6"/>
  <c r="D367" i="6"/>
  <c r="E367" i="6"/>
  <c r="F367" i="6"/>
  <c r="A368" i="6"/>
  <c r="B368" i="6"/>
  <c r="C368" i="6"/>
  <c r="D368" i="6"/>
  <c r="E368" i="6"/>
  <c r="F368" i="6"/>
  <c r="A369" i="6"/>
  <c r="B369" i="6"/>
  <c r="C369" i="6"/>
  <c r="D369" i="6"/>
  <c r="E369" i="6"/>
  <c r="F369" i="6"/>
  <c r="A370" i="6"/>
  <c r="B370" i="6"/>
  <c r="C370" i="6"/>
  <c r="D370" i="6"/>
  <c r="E370" i="6"/>
  <c r="F370" i="6"/>
  <c r="A371" i="6"/>
  <c r="B371" i="6"/>
  <c r="C371" i="6"/>
  <c r="D371" i="6"/>
  <c r="E371" i="6"/>
  <c r="F371" i="6"/>
  <c r="A372" i="6"/>
  <c r="B372" i="6"/>
  <c r="C372" i="6"/>
  <c r="D372" i="6"/>
  <c r="E372" i="6"/>
  <c r="F372" i="6"/>
  <c r="A373" i="6"/>
  <c r="B373" i="6"/>
  <c r="C373" i="6"/>
  <c r="D373" i="6"/>
  <c r="E373" i="6"/>
  <c r="F373" i="6"/>
  <c r="A374" i="6"/>
  <c r="B374" i="6"/>
  <c r="C374" i="6"/>
  <c r="D374" i="6"/>
  <c r="E374" i="6"/>
  <c r="F374" i="6"/>
  <c r="A375" i="6"/>
  <c r="B375" i="6"/>
  <c r="C375" i="6"/>
  <c r="D375" i="6"/>
  <c r="E375" i="6"/>
  <c r="F375" i="6"/>
  <c r="A376" i="6"/>
  <c r="B376" i="6"/>
  <c r="C376" i="6"/>
  <c r="D376" i="6"/>
  <c r="E376" i="6"/>
  <c r="F376" i="6"/>
  <c r="A377" i="6"/>
  <c r="B377" i="6"/>
  <c r="C377" i="6"/>
  <c r="D377" i="6"/>
  <c r="E377" i="6"/>
  <c r="F377" i="6"/>
  <c r="A378" i="6"/>
  <c r="B378" i="6"/>
  <c r="C378" i="6"/>
  <c r="D378" i="6"/>
  <c r="E378" i="6"/>
  <c r="F378" i="6"/>
  <c r="A379" i="6"/>
  <c r="B379" i="6"/>
  <c r="C379" i="6"/>
  <c r="D379" i="6"/>
  <c r="E379" i="6"/>
  <c r="F379" i="6"/>
  <c r="A380" i="6"/>
  <c r="B380" i="6"/>
  <c r="C380" i="6"/>
  <c r="D380" i="6"/>
  <c r="E380" i="6"/>
  <c r="F380" i="6"/>
  <c r="A381" i="6"/>
  <c r="B381" i="6"/>
  <c r="C381" i="6"/>
  <c r="D381" i="6"/>
  <c r="E381" i="6"/>
  <c r="F381" i="6"/>
  <c r="A382" i="6"/>
  <c r="B382" i="6"/>
  <c r="C382" i="6"/>
  <c r="D382" i="6"/>
  <c r="E382" i="6"/>
  <c r="F382" i="6"/>
  <c r="A383" i="6"/>
  <c r="B383" i="6"/>
  <c r="C383" i="6"/>
  <c r="D383" i="6"/>
  <c r="E383" i="6"/>
  <c r="F383" i="6"/>
  <c r="A384" i="6"/>
  <c r="B384" i="6"/>
  <c r="C384" i="6"/>
  <c r="D384" i="6"/>
  <c r="E384" i="6"/>
  <c r="F384" i="6"/>
  <c r="A385" i="6"/>
  <c r="B385" i="6"/>
  <c r="C385" i="6"/>
  <c r="D385" i="6"/>
  <c r="E385" i="6"/>
  <c r="F385" i="6"/>
  <c r="A386" i="6"/>
  <c r="B386" i="6"/>
  <c r="C386" i="6"/>
  <c r="D386" i="6"/>
  <c r="E386" i="6"/>
  <c r="F386" i="6"/>
  <c r="A387" i="6"/>
  <c r="B387" i="6"/>
  <c r="C387" i="6"/>
  <c r="D387" i="6"/>
  <c r="E387" i="6"/>
  <c r="F387" i="6"/>
  <c r="A388" i="6"/>
  <c r="B388" i="6"/>
  <c r="C388" i="6"/>
  <c r="D388" i="6"/>
  <c r="E388" i="6"/>
  <c r="F388" i="6"/>
  <c r="A389" i="6"/>
  <c r="B389" i="6"/>
  <c r="C389" i="6"/>
  <c r="D389" i="6"/>
  <c r="E389" i="6"/>
  <c r="F389" i="6"/>
  <c r="A390" i="6"/>
  <c r="B390" i="6"/>
  <c r="C390" i="6"/>
  <c r="D390" i="6"/>
  <c r="E390" i="6"/>
  <c r="F390" i="6"/>
  <c r="A391" i="6"/>
  <c r="B391" i="6"/>
  <c r="C391" i="6"/>
  <c r="D391" i="6"/>
  <c r="E391" i="6"/>
  <c r="F391" i="6"/>
  <c r="A392" i="6"/>
  <c r="B392" i="6"/>
  <c r="C392" i="6"/>
  <c r="D392" i="6"/>
  <c r="E392" i="6"/>
  <c r="F392" i="6"/>
  <c r="A393" i="6"/>
  <c r="B393" i="6"/>
  <c r="C393" i="6"/>
  <c r="D393" i="6"/>
  <c r="E393" i="6"/>
  <c r="F393" i="6"/>
  <c r="A394" i="6"/>
  <c r="B394" i="6"/>
  <c r="C394" i="6"/>
  <c r="D394" i="6"/>
  <c r="E394" i="6"/>
  <c r="F394" i="6"/>
  <c r="A395" i="6"/>
  <c r="B395" i="6"/>
  <c r="C395" i="6"/>
  <c r="D395" i="6"/>
  <c r="E395" i="6"/>
  <c r="F395" i="6"/>
  <c r="A396" i="6"/>
  <c r="B396" i="6"/>
  <c r="C396" i="6"/>
  <c r="D396" i="6"/>
  <c r="E396" i="6"/>
  <c r="F396" i="6"/>
  <c r="A397" i="6"/>
  <c r="B397" i="6"/>
  <c r="C397" i="6"/>
  <c r="D397" i="6"/>
  <c r="E397" i="6"/>
  <c r="F397" i="6"/>
  <c r="A398" i="6"/>
  <c r="B398" i="6"/>
  <c r="C398" i="6"/>
  <c r="D398" i="6"/>
  <c r="E398" i="6"/>
  <c r="F398" i="6"/>
  <c r="A399" i="6"/>
  <c r="B399" i="6"/>
  <c r="C399" i="6"/>
  <c r="D399" i="6"/>
  <c r="E399" i="6"/>
  <c r="F399" i="6"/>
  <c r="A400" i="6"/>
  <c r="B400" i="6"/>
  <c r="C400" i="6"/>
  <c r="D400" i="6"/>
  <c r="E400" i="6"/>
  <c r="F400" i="6"/>
  <c r="A401" i="6"/>
  <c r="B401" i="6"/>
  <c r="C401" i="6"/>
  <c r="D401" i="6"/>
  <c r="E401" i="6"/>
  <c r="F401" i="6"/>
  <c r="A402" i="6"/>
  <c r="B402" i="6"/>
  <c r="C402" i="6"/>
  <c r="D402" i="6"/>
  <c r="E402" i="6"/>
  <c r="F402" i="6"/>
  <c r="A403" i="6"/>
  <c r="B403" i="6"/>
  <c r="C403" i="6"/>
  <c r="D403" i="6"/>
  <c r="E403" i="6"/>
  <c r="F403" i="6"/>
  <c r="A404" i="6"/>
  <c r="B404" i="6"/>
  <c r="C404" i="6"/>
  <c r="D404" i="6"/>
  <c r="E404" i="6"/>
  <c r="F404" i="6"/>
  <c r="A405" i="6"/>
  <c r="B405" i="6"/>
  <c r="C405" i="6"/>
  <c r="D405" i="6"/>
  <c r="E405" i="6"/>
  <c r="F405" i="6"/>
  <c r="A406" i="6"/>
  <c r="B406" i="6"/>
  <c r="C406" i="6"/>
  <c r="D406" i="6"/>
  <c r="E406" i="6"/>
  <c r="F406" i="6"/>
  <c r="A407" i="6"/>
  <c r="B407" i="6"/>
  <c r="C407" i="6"/>
  <c r="D407" i="6"/>
  <c r="E407" i="6"/>
  <c r="F407" i="6"/>
  <c r="A408" i="6"/>
  <c r="B408" i="6"/>
  <c r="C408" i="6"/>
  <c r="D408" i="6"/>
  <c r="E408" i="6"/>
  <c r="F408" i="6"/>
  <c r="A409" i="6"/>
  <c r="B409" i="6"/>
  <c r="C409" i="6"/>
  <c r="D409" i="6"/>
  <c r="E409" i="6"/>
  <c r="F409" i="6"/>
  <c r="A410" i="6"/>
  <c r="B410" i="6"/>
  <c r="C410" i="6"/>
  <c r="D410" i="6"/>
  <c r="E410" i="6"/>
  <c r="F410" i="6"/>
  <c r="A411" i="6"/>
  <c r="B411" i="6"/>
  <c r="C411" i="6"/>
  <c r="D411" i="6"/>
  <c r="E411" i="6"/>
  <c r="F411" i="6"/>
  <c r="A412" i="6"/>
  <c r="B412" i="6"/>
  <c r="C412" i="6"/>
  <c r="D412" i="6"/>
  <c r="E412" i="6"/>
  <c r="F412" i="6"/>
  <c r="A413" i="6"/>
  <c r="B413" i="6"/>
  <c r="C413" i="6"/>
  <c r="D413" i="6"/>
  <c r="E413" i="6"/>
  <c r="F413" i="6"/>
  <c r="A414" i="6"/>
  <c r="B414" i="6"/>
  <c r="C414" i="6"/>
  <c r="D414" i="6"/>
  <c r="E414" i="6"/>
  <c r="F414" i="6"/>
  <c r="A415" i="6"/>
  <c r="B415" i="6"/>
  <c r="C415" i="6"/>
  <c r="D415" i="6"/>
  <c r="E415" i="6"/>
  <c r="F415" i="6"/>
  <c r="A416" i="6"/>
  <c r="B416" i="6"/>
  <c r="C416" i="6"/>
  <c r="D416" i="6"/>
  <c r="E416" i="6"/>
  <c r="F416" i="6"/>
  <c r="A417" i="6"/>
  <c r="B417" i="6"/>
  <c r="C417" i="6"/>
  <c r="D417" i="6"/>
  <c r="E417" i="6"/>
  <c r="F417" i="6"/>
  <c r="A418" i="6"/>
  <c r="B418" i="6"/>
  <c r="C418" i="6"/>
  <c r="D418" i="6"/>
  <c r="E418" i="6"/>
  <c r="F418" i="6"/>
  <c r="A419" i="6"/>
  <c r="B419" i="6"/>
  <c r="C419" i="6"/>
  <c r="D419" i="6"/>
  <c r="E419" i="6"/>
  <c r="F419" i="6"/>
  <c r="A420" i="6"/>
  <c r="B420" i="6"/>
  <c r="C420" i="6"/>
  <c r="D420" i="6"/>
  <c r="E420" i="6"/>
  <c r="F420" i="6"/>
  <c r="A421" i="6"/>
  <c r="B421" i="6"/>
  <c r="C421" i="6"/>
  <c r="D421" i="6"/>
  <c r="E421" i="6"/>
  <c r="F421" i="6"/>
  <c r="A422" i="6"/>
  <c r="B422" i="6"/>
  <c r="C422" i="6"/>
  <c r="D422" i="6"/>
  <c r="E422" i="6"/>
  <c r="F422" i="6"/>
  <c r="A423" i="6"/>
  <c r="B423" i="6"/>
  <c r="C423" i="6"/>
  <c r="D423" i="6"/>
  <c r="E423" i="6"/>
  <c r="F423" i="6"/>
  <c r="A424" i="6"/>
  <c r="B424" i="6"/>
  <c r="C424" i="6"/>
  <c r="D424" i="6"/>
  <c r="E424" i="6"/>
  <c r="F424" i="6"/>
  <c r="A425" i="6"/>
  <c r="B425" i="6"/>
  <c r="C425" i="6"/>
  <c r="D425" i="6"/>
  <c r="E425" i="6"/>
  <c r="F425" i="6"/>
  <c r="A426" i="6"/>
  <c r="B426" i="6"/>
  <c r="C426" i="6"/>
  <c r="D426" i="6"/>
  <c r="E426" i="6"/>
  <c r="F426" i="6"/>
  <c r="A427" i="6"/>
  <c r="B427" i="6"/>
  <c r="C427" i="6"/>
  <c r="D427" i="6"/>
  <c r="E427" i="6"/>
  <c r="F427" i="6"/>
  <c r="A428" i="6"/>
  <c r="B428" i="6"/>
  <c r="C428" i="6"/>
  <c r="D428" i="6"/>
  <c r="E428" i="6"/>
  <c r="F428" i="6"/>
  <c r="A429" i="6"/>
  <c r="B429" i="6"/>
  <c r="C429" i="6"/>
  <c r="D429" i="6"/>
  <c r="E429" i="6"/>
  <c r="F429" i="6"/>
  <c r="A430" i="6"/>
  <c r="B430" i="6"/>
  <c r="C430" i="6"/>
  <c r="D430" i="6"/>
  <c r="E430" i="6"/>
  <c r="F430" i="6"/>
  <c r="A431" i="6"/>
  <c r="B431" i="6"/>
  <c r="C431" i="6"/>
  <c r="D431" i="6"/>
  <c r="E431" i="6"/>
  <c r="F431" i="6"/>
  <c r="A432" i="6"/>
  <c r="B432" i="6"/>
  <c r="C432" i="6"/>
  <c r="D432" i="6"/>
  <c r="E432" i="6"/>
  <c r="F432" i="6"/>
  <c r="A433" i="6"/>
  <c r="B433" i="6"/>
  <c r="C433" i="6"/>
  <c r="D433" i="6"/>
  <c r="E433" i="6"/>
  <c r="F433" i="6"/>
  <c r="A434" i="6"/>
  <c r="B434" i="6"/>
  <c r="C434" i="6"/>
  <c r="D434" i="6"/>
  <c r="E434" i="6"/>
  <c r="F434" i="6"/>
  <c r="A435" i="6"/>
  <c r="B435" i="6"/>
  <c r="C435" i="6"/>
  <c r="D435" i="6"/>
  <c r="E435" i="6"/>
  <c r="F435" i="6"/>
  <c r="A436" i="6"/>
  <c r="B436" i="6"/>
  <c r="C436" i="6"/>
  <c r="D436" i="6"/>
  <c r="E436" i="6"/>
  <c r="F436" i="6"/>
  <c r="A437" i="6"/>
  <c r="B437" i="6"/>
  <c r="C437" i="6"/>
  <c r="D437" i="6"/>
  <c r="E437" i="6"/>
  <c r="F437" i="6"/>
  <c r="A438" i="6"/>
  <c r="B438" i="6"/>
  <c r="C438" i="6"/>
  <c r="D438" i="6"/>
  <c r="E438" i="6"/>
  <c r="F438" i="6"/>
  <c r="A439" i="6"/>
  <c r="B439" i="6"/>
  <c r="C439" i="6"/>
  <c r="D439" i="6"/>
  <c r="E439" i="6"/>
  <c r="F439" i="6"/>
  <c r="A440" i="6"/>
  <c r="B440" i="6"/>
  <c r="C440" i="6"/>
  <c r="D440" i="6"/>
  <c r="E440" i="6"/>
  <c r="F440" i="6"/>
  <c r="A441" i="6"/>
  <c r="B441" i="6"/>
  <c r="C441" i="6"/>
  <c r="D441" i="6"/>
  <c r="E441" i="6"/>
  <c r="F441" i="6"/>
  <c r="A442" i="6"/>
  <c r="B442" i="6"/>
  <c r="C442" i="6"/>
  <c r="D442" i="6"/>
  <c r="E442" i="6"/>
  <c r="F442" i="6"/>
  <c r="A443" i="6"/>
  <c r="B443" i="6"/>
  <c r="C443" i="6"/>
  <c r="D443" i="6"/>
  <c r="E443" i="6"/>
  <c r="F443" i="6"/>
  <c r="A444" i="6"/>
  <c r="B444" i="6"/>
  <c r="C444" i="6"/>
  <c r="D444" i="6"/>
  <c r="E444" i="6"/>
  <c r="F444" i="6"/>
  <c r="A445" i="6"/>
  <c r="B445" i="6"/>
  <c r="C445" i="6"/>
  <c r="D445" i="6"/>
  <c r="E445" i="6"/>
  <c r="F445" i="6"/>
  <c r="A446" i="6"/>
  <c r="B446" i="6"/>
  <c r="C446" i="6"/>
  <c r="D446" i="6"/>
  <c r="E446" i="6"/>
  <c r="F446" i="6"/>
  <c r="A447" i="6"/>
  <c r="B447" i="6"/>
  <c r="C447" i="6"/>
  <c r="D447" i="6"/>
  <c r="E447" i="6"/>
  <c r="F447" i="6"/>
  <c r="A448" i="6"/>
  <c r="B448" i="6"/>
  <c r="C448" i="6"/>
  <c r="D448" i="6"/>
  <c r="E448" i="6"/>
  <c r="F448" i="6"/>
  <c r="A449" i="6"/>
  <c r="B449" i="6"/>
  <c r="C449" i="6"/>
  <c r="D449" i="6"/>
  <c r="E449" i="6"/>
  <c r="F449" i="6"/>
  <c r="A450" i="6"/>
  <c r="B450" i="6"/>
  <c r="C450" i="6"/>
  <c r="D450" i="6"/>
  <c r="E450" i="6"/>
  <c r="F450" i="6"/>
  <c r="A451" i="6"/>
  <c r="B451" i="6"/>
  <c r="C451" i="6"/>
  <c r="D451" i="6"/>
  <c r="E451" i="6"/>
  <c r="F451" i="6"/>
  <c r="A452" i="6"/>
  <c r="B452" i="6"/>
  <c r="C452" i="6"/>
  <c r="D452" i="6"/>
  <c r="E452" i="6"/>
  <c r="F452" i="6"/>
  <c r="A453" i="6"/>
  <c r="B453" i="6"/>
  <c r="C453" i="6"/>
  <c r="D453" i="6"/>
  <c r="E453" i="6"/>
  <c r="F453" i="6"/>
  <c r="A454" i="6"/>
  <c r="B454" i="6"/>
  <c r="C454" i="6"/>
  <c r="D454" i="6"/>
  <c r="E454" i="6"/>
  <c r="F454" i="6"/>
  <c r="A455" i="6"/>
  <c r="B455" i="6"/>
  <c r="C455" i="6"/>
  <c r="D455" i="6"/>
  <c r="E455" i="6"/>
  <c r="F455" i="6"/>
  <c r="A456" i="6"/>
  <c r="B456" i="6"/>
  <c r="C456" i="6"/>
  <c r="D456" i="6"/>
  <c r="E456" i="6"/>
  <c r="F456" i="6"/>
  <c r="A457" i="6"/>
  <c r="B457" i="6"/>
  <c r="C457" i="6"/>
  <c r="D457" i="6"/>
  <c r="E457" i="6"/>
  <c r="F457" i="6"/>
  <c r="A458" i="6"/>
  <c r="B458" i="6"/>
  <c r="C458" i="6"/>
  <c r="D458" i="6"/>
  <c r="E458" i="6"/>
  <c r="F458" i="6"/>
  <c r="A459" i="6"/>
  <c r="B459" i="6"/>
  <c r="C459" i="6"/>
  <c r="D459" i="6"/>
  <c r="E459" i="6"/>
  <c r="F459" i="6"/>
  <c r="A460" i="6"/>
  <c r="B460" i="6"/>
  <c r="C460" i="6"/>
  <c r="D460" i="6"/>
  <c r="E460" i="6"/>
  <c r="F460" i="6"/>
  <c r="A461" i="6"/>
  <c r="B461" i="6"/>
  <c r="C461" i="6"/>
  <c r="D461" i="6"/>
  <c r="E461" i="6"/>
  <c r="F461" i="6"/>
  <c r="A462" i="6"/>
  <c r="B462" i="6"/>
  <c r="C462" i="6"/>
  <c r="D462" i="6"/>
  <c r="E462" i="6"/>
  <c r="F462" i="6"/>
  <c r="A463" i="6"/>
  <c r="B463" i="6"/>
  <c r="C463" i="6"/>
  <c r="D463" i="6"/>
  <c r="E463" i="6"/>
  <c r="F463" i="6"/>
  <c r="A464" i="6"/>
  <c r="B464" i="6"/>
  <c r="C464" i="6"/>
  <c r="D464" i="6"/>
  <c r="E464" i="6"/>
  <c r="F464" i="6"/>
  <c r="A465" i="6"/>
  <c r="B465" i="6"/>
  <c r="C465" i="6"/>
  <c r="D465" i="6"/>
  <c r="E465" i="6"/>
  <c r="F465" i="6"/>
  <c r="A466" i="6"/>
  <c r="B466" i="6"/>
  <c r="C466" i="6"/>
  <c r="D466" i="6"/>
  <c r="E466" i="6"/>
  <c r="F466" i="6"/>
  <c r="A467" i="6"/>
  <c r="B467" i="6"/>
  <c r="C467" i="6"/>
  <c r="D467" i="6"/>
  <c r="E467" i="6"/>
  <c r="F467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B25" i="6"/>
  <c r="C25" i="6"/>
  <c r="D25" i="6"/>
  <c r="E25" i="6"/>
  <c r="F25" i="6"/>
  <c r="B26" i="6"/>
  <c r="C26" i="6"/>
  <c r="D26" i="6"/>
  <c r="E26" i="6"/>
  <c r="F26" i="6"/>
  <c r="B27" i="6"/>
  <c r="C27" i="6"/>
  <c r="D27" i="6"/>
  <c r="E27" i="6"/>
  <c r="F27" i="6"/>
  <c r="B28" i="6"/>
  <c r="C28" i="6"/>
  <c r="D28" i="6"/>
  <c r="E28" i="6"/>
  <c r="F28" i="6"/>
  <c r="B29" i="6"/>
  <c r="C29" i="6"/>
  <c r="D29" i="6"/>
  <c r="E29" i="6"/>
  <c r="F29" i="6"/>
  <c r="B30" i="6"/>
  <c r="C30" i="6"/>
  <c r="D30" i="6"/>
  <c r="E30" i="6"/>
  <c r="F30" i="6"/>
  <c r="B31" i="6"/>
  <c r="C31" i="6"/>
  <c r="D31" i="6"/>
  <c r="E31" i="6"/>
  <c r="F31" i="6"/>
  <c r="B32" i="6"/>
  <c r="C32" i="6"/>
  <c r="D32" i="6"/>
  <c r="E32" i="6"/>
  <c r="F32" i="6"/>
  <c r="B33" i="6"/>
  <c r="C33" i="6"/>
  <c r="D33" i="6"/>
  <c r="E33" i="6"/>
  <c r="F33" i="6"/>
  <c r="B34" i="6"/>
  <c r="C34" i="6"/>
  <c r="D34" i="6"/>
  <c r="E34" i="6"/>
  <c r="F34" i="6"/>
  <c r="B35" i="6"/>
  <c r="C35" i="6"/>
  <c r="D35" i="6"/>
  <c r="E35" i="6"/>
  <c r="F35" i="6"/>
  <c r="B36" i="6"/>
  <c r="C36" i="6"/>
  <c r="D36" i="6"/>
  <c r="E36" i="6"/>
  <c r="F36" i="6"/>
  <c r="B37" i="6"/>
  <c r="C37" i="6"/>
  <c r="D37" i="6"/>
  <c r="E37" i="6"/>
  <c r="F37" i="6"/>
  <c r="B38" i="6"/>
  <c r="C38" i="6"/>
  <c r="D38" i="6"/>
  <c r="E38" i="6"/>
  <c r="F38" i="6"/>
  <c r="B39" i="6"/>
  <c r="C39" i="6"/>
  <c r="D39" i="6"/>
  <c r="E39" i="6"/>
  <c r="F39" i="6"/>
  <c r="B40" i="6"/>
  <c r="C40" i="6"/>
  <c r="D40" i="6"/>
  <c r="E40" i="6"/>
  <c r="F40" i="6"/>
  <c r="B41" i="6"/>
  <c r="C41" i="6"/>
  <c r="D41" i="6"/>
  <c r="E41" i="6"/>
  <c r="F41" i="6"/>
  <c r="B42" i="6"/>
  <c r="C42" i="6"/>
  <c r="D42" i="6"/>
  <c r="E42" i="6"/>
  <c r="F42" i="6"/>
  <c r="B43" i="6"/>
  <c r="C43" i="6"/>
  <c r="D43" i="6"/>
  <c r="E43" i="6"/>
  <c r="F43" i="6"/>
  <c r="B44" i="6"/>
  <c r="C44" i="6"/>
  <c r="D44" i="6"/>
  <c r="E44" i="6"/>
  <c r="F44" i="6"/>
  <c r="B45" i="6"/>
  <c r="C45" i="6"/>
  <c r="D45" i="6"/>
  <c r="E45" i="6"/>
  <c r="F45" i="6"/>
  <c r="B46" i="6"/>
  <c r="C46" i="6"/>
  <c r="D46" i="6"/>
  <c r="E46" i="6"/>
  <c r="F46" i="6"/>
  <c r="B47" i="6"/>
  <c r="C47" i="6"/>
  <c r="D47" i="6"/>
  <c r="E47" i="6"/>
  <c r="F47" i="6"/>
  <c r="B48" i="6"/>
  <c r="C48" i="6"/>
  <c r="D48" i="6"/>
  <c r="E48" i="6"/>
  <c r="F48" i="6"/>
  <c r="B49" i="6"/>
  <c r="C49" i="6"/>
  <c r="D49" i="6"/>
  <c r="E49" i="6"/>
  <c r="F49" i="6"/>
  <c r="B50" i="6"/>
  <c r="C50" i="6"/>
  <c r="D50" i="6"/>
  <c r="E50" i="6"/>
  <c r="F50" i="6"/>
  <c r="B51" i="6"/>
  <c r="C51" i="6"/>
  <c r="D51" i="6"/>
  <c r="E51" i="6"/>
  <c r="F51" i="6"/>
  <c r="B52" i="6"/>
  <c r="C52" i="6"/>
  <c r="D52" i="6"/>
  <c r="E52" i="6"/>
  <c r="F52" i="6"/>
  <c r="B53" i="6"/>
  <c r="C53" i="6"/>
  <c r="D53" i="6"/>
  <c r="E53" i="6"/>
  <c r="F53" i="6"/>
  <c r="B54" i="6"/>
  <c r="C54" i="6"/>
  <c r="D54" i="6"/>
  <c r="E54" i="6"/>
  <c r="F54" i="6"/>
  <c r="B55" i="6"/>
  <c r="C55" i="6"/>
  <c r="D55" i="6"/>
  <c r="E55" i="6"/>
  <c r="F55" i="6"/>
  <c r="B56" i="6"/>
  <c r="C56" i="6"/>
  <c r="D56" i="6"/>
  <c r="E56" i="6"/>
  <c r="F56" i="6"/>
  <c r="B57" i="6"/>
  <c r="C57" i="6"/>
  <c r="D57" i="6"/>
  <c r="E57" i="6"/>
  <c r="F57" i="6"/>
  <c r="B58" i="6"/>
  <c r="C58" i="6"/>
  <c r="D58" i="6"/>
  <c r="E58" i="6"/>
  <c r="F58" i="6"/>
  <c r="B59" i="6"/>
  <c r="C59" i="6"/>
  <c r="D59" i="6"/>
  <c r="E59" i="6"/>
  <c r="F59" i="6"/>
  <c r="B60" i="6"/>
  <c r="C60" i="6"/>
  <c r="D60" i="6"/>
  <c r="E60" i="6"/>
  <c r="F60" i="6"/>
  <c r="B61" i="6"/>
  <c r="C61" i="6"/>
  <c r="D61" i="6"/>
  <c r="E61" i="6"/>
  <c r="F61" i="6"/>
  <c r="B62" i="6"/>
  <c r="C62" i="6"/>
  <c r="D62" i="6"/>
  <c r="E62" i="6"/>
  <c r="F62" i="6"/>
  <c r="B63" i="6"/>
  <c r="C63" i="6"/>
  <c r="D63" i="6"/>
  <c r="E63" i="6"/>
  <c r="F63" i="6"/>
  <c r="B64" i="6"/>
  <c r="C64" i="6"/>
  <c r="D64" i="6"/>
  <c r="E64" i="6"/>
  <c r="F64" i="6"/>
  <c r="B65" i="6"/>
  <c r="C65" i="6"/>
  <c r="D65" i="6"/>
  <c r="E65" i="6"/>
  <c r="F65" i="6"/>
  <c r="B66" i="6"/>
  <c r="C66" i="6"/>
  <c r="D66" i="6"/>
  <c r="E66" i="6"/>
  <c r="F66" i="6"/>
  <c r="B67" i="6"/>
  <c r="C67" i="6"/>
  <c r="D67" i="6"/>
  <c r="E67" i="6"/>
  <c r="F67" i="6"/>
  <c r="B68" i="6"/>
  <c r="C68" i="6"/>
  <c r="D68" i="6"/>
  <c r="E68" i="6"/>
  <c r="F68" i="6"/>
  <c r="B69" i="6"/>
  <c r="C69" i="6"/>
  <c r="D69" i="6"/>
  <c r="E69" i="6"/>
  <c r="F69" i="6"/>
  <c r="B70" i="6"/>
  <c r="C70" i="6"/>
  <c r="D70" i="6"/>
  <c r="E70" i="6"/>
  <c r="F70" i="6"/>
  <c r="B71" i="6"/>
  <c r="C71" i="6"/>
  <c r="D71" i="6"/>
  <c r="E71" i="6"/>
  <c r="F71" i="6"/>
  <c r="B72" i="6"/>
  <c r="C72" i="6"/>
  <c r="D72" i="6"/>
  <c r="E72" i="6"/>
  <c r="F72" i="6"/>
  <c r="B73" i="6"/>
  <c r="C73" i="6"/>
  <c r="D73" i="6"/>
  <c r="E73" i="6"/>
  <c r="F73" i="6"/>
  <c r="B74" i="6"/>
  <c r="C74" i="6"/>
  <c r="D74" i="6"/>
  <c r="E74" i="6"/>
  <c r="F74" i="6"/>
  <c r="B75" i="6"/>
  <c r="C75" i="6"/>
  <c r="D75" i="6"/>
  <c r="E75" i="6"/>
  <c r="F75" i="6"/>
  <c r="B76" i="6"/>
  <c r="C76" i="6"/>
  <c r="D76" i="6"/>
  <c r="E76" i="6"/>
  <c r="F76" i="6"/>
  <c r="B77" i="6"/>
  <c r="C77" i="6"/>
  <c r="D77" i="6"/>
  <c r="E77" i="6"/>
  <c r="F77" i="6"/>
  <c r="B78" i="6"/>
  <c r="C78" i="6"/>
  <c r="D78" i="6"/>
  <c r="E78" i="6"/>
  <c r="F78" i="6"/>
  <c r="B79" i="6"/>
  <c r="C79" i="6"/>
  <c r="D79" i="6"/>
  <c r="E79" i="6"/>
  <c r="F79" i="6"/>
  <c r="B80" i="6"/>
  <c r="C80" i="6"/>
  <c r="D80" i="6"/>
  <c r="E80" i="6"/>
  <c r="F80" i="6"/>
  <c r="B81" i="6"/>
  <c r="C81" i="6"/>
  <c r="D81" i="6"/>
  <c r="E81" i="6"/>
  <c r="F81" i="6"/>
  <c r="B82" i="6"/>
  <c r="C82" i="6"/>
  <c r="D82" i="6"/>
  <c r="E82" i="6"/>
  <c r="F82" i="6"/>
  <c r="B83" i="6"/>
  <c r="C83" i="6"/>
  <c r="D83" i="6"/>
  <c r="E83" i="6"/>
  <c r="F83" i="6"/>
  <c r="B84" i="6"/>
  <c r="C84" i="6"/>
  <c r="D84" i="6"/>
  <c r="E84" i="6"/>
  <c r="F84" i="6"/>
  <c r="B85" i="6"/>
  <c r="C85" i="6"/>
  <c r="D85" i="6"/>
  <c r="E85" i="6"/>
  <c r="F85" i="6"/>
  <c r="B86" i="6"/>
  <c r="C86" i="6"/>
  <c r="D86" i="6"/>
  <c r="E86" i="6"/>
  <c r="F86" i="6"/>
  <c r="B87" i="6"/>
  <c r="C87" i="6"/>
  <c r="D87" i="6"/>
  <c r="E87" i="6"/>
  <c r="F87" i="6"/>
  <c r="B88" i="6"/>
  <c r="C88" i="6"/>
  <c r="D88" i="6"/>
  <c r="E88" i="6"/>
  <c r="F88" i="6"/>
  <c r="B89" i="6"/>
  <c r="C89" i="6"/>
  <c r="D89" i="6"/>
  <c r="E89" i="6"/>
  <c r="F89" i="6"/>
  <c r="B90" i="6"/>
  <c r="C90" i="6"/>
  <c r="D90" i="6"/>
  <c r="E90" i="6"/>
  <c r="F90" i="6"/>
  <c r="B91" i="6"/>
  <c r="C91" i="6"/>
  <c r="D91" i="6"/>
  <c r="E91" i="6"/>
  <c r="F91" i="6"/>
  <c r="B92" i="6"/>
  <c r="C92" i="6"/>
  <c r="D92" i="6"/>
  <c r="E92" i="6"/>
  <c r="F92" i="6"/>
  <c r="B93" i="6"/>
  <c r="C93" i="6"/>
  <c r="D93" i="6"/>
  <c r="E93" i="6"/>
  <c r="F93" i="6"/>
  <c r="B94" i="6"/>
  <c r="C94" i="6"/>
  <c r="D94" i="6"/>
  <c r="E94" i="6"/>
  <c r="F94" i="6"/>
  <c r="B95" i="6"/>
  <c r="C95" i="6"/>
  <c r="D95" i="6"/>
  <c r="E95" i="6"/>
  <c r="F95" i="6"/>
  <c r="B96" i="6"/>
  <c r="C96" i="6"/>
  <c r="D96" i="6"/>
  <c r="E96" i="6"/>
  <c r="F96" i="6"/>
  <c r="B97" i="6"/>
  <c r="C97" i="6"/>
  <c r="D97" i="6"/>
  <c r="E97" i="6"/>
  <c r="F97" i="6"/>
  <c r="B98" i="6"/>
  <c r="C98" i="6"/>
  <c r="D98" i="6"/>
  <c r="E98" i="6"/>
  <c r="F98" i="6"/>
  <c r="B99" i="6"/>
  <c r="C99" i="6"/>
  <c r="D99" i="6"/>
  <c r="E99" i="6"/>
  <c r="F99" i="6"/>
  <c r="B100" i="6"/>
  <c r="C100" i="6"/>
  <c r="D100" i="6"/>
  <c r="E100" i="6"/>
  <c r="F100" i="6"/>
  <c r="B101" i="6"/>
  <c r="C101" i="6"/>
  <c r="D101" i="6"/>
  <c r="E101" i="6"/>
  <c r="F101" i="6"/>
  <c r="B102" i="6"/>
  <c r="C102" i="6"/>
  <c r="D102" i="6"/>
  <c r="E102" i="6"/>
  <c r="F102" i="6"/>
  <c r="B103" i="6"/>
  <c r="C103" i="6"/>
  <c r="D103" i="6"/>
  <c r="E103" i="6"/>
  <c r="F103" i="6"/>
  <c r="B104" i="6"/>
  <c r="C104" i="6"/>
  <c r="D104" i="6"/>
  <c r="E104" i="6"/>
  <c r="F104" i="6"/>
  <c r="B105" i="6"/>
  <c r="C105" i="6"/>
  <c r="D105" i="6"/>
  <c r="E105" i="6"/>
  <c r="F105" i="6"/>
  <c r="B106" i="6"/>
  <c r="C106" i="6"/>
  <c r="D106" i="6"/>
  <c r="E106" i="6"/>
  <c r="F106" i="6"/>
  <c r="B107" i="6"/>
  <c r="C107" i="6"/>
  <c r="D107" i="6"/>
  <c r="E107" i="6"/>
  <c r="F107" i="6"/>
  <c r="B108" i="6"/>
  <c r="C108" i="6"/>
  <c r="D108" i="6"/>
  <c r="E108" i="6"/>
  <c r="F108" i="6"/>
  <c r="B109" i="6"/>
  <c r="C109" i="6"/>
  <c r="D109" i="6"/>
  <c r="E109" i="6"/>
  <c r="F109" i="6"/>
  <c r="B110" i="6"/>
  <c r="C110" i="6"/>
  <c r="D110" i="6"/>
  <c r="E110" i="6"/>
  <c r="F110" i="6"/>
  <c r="B111" i="6"/>
  <c r="C111" i="6"/>
  <c r="D111" i="6"/>
  <c r="E111" i="6"/>
  <c r="F111" i="6"/>
  <c r="B112" i="6"/>
  <c r="C112" i="6"/>
  <c r="D112" i="6"/>
  <c r="E112" i="6"/>
  <c r="F112" i="6"/>
  <c r="B113" i="6"/>
  <c r="C113" i="6"/>
  <c r="D113" i="6"/>
  <c r="E113" i="6"/>
  <c r="F113" i="6"/>
  <c r="B114" i="6"/>
  <c r="C114" i="6"/>
  <c r="D114" i="6"/>
  <c r="E114" i="6"/>
  <c r="F114" i="6"/>
  <c r="B115" i="6"/>
  <c r="C115" i="6"/>
  <c r="D115" i="6"/>
  <c r="E115" i="6"/>
  <c r="F115" i="6"/>
  <c r="B116" i="6"/>
  <c r="C116" i="6"/>
  <c r="D116" i="6"/>
  <c r="E116" i="6"/>
  <c r="F116" i="6"/>
  <c r="B117" i="6"/>
  <c r="C117" i="6"/>
  <c r="D117" i="6"/>
  <c r="E117" i="6"/>
  <c r="F117" i="6"/>
  <c r="B118" i="6"/>
  <c r="C118" i="6"/>
  <c r="D118" i="6"/>
  <c r="E118" i="6"/>
  <c r="F118" i="6"/>
  <c r="B119" i="6"/>
  <c r="C119" i="6"/>
  <c r="D119" i="6"/>
  <c r="E119" i="6"/>
  <c r="F119" i="6"/>
  <c r="B120" i="6"/>
  <c r="C120" i="6"/>
  <c r="D120" i="6"/>
  <c r="E120" i="6"/>
  <c r="F120" i="6"/>
  <c r="B121" i="6"/>
  <c r="C121" i="6"/>
  <c r="D121" i="6"/>
  <c r="E121" i="6"/>
  <c r="F121" i="6"/>
  <c r="B122" i="6"/>
  <c r="C122" i="6"/>
  <c r="D122" i="6"/>
  <c r="E122" i="6"/>
  <c r="F122" i="6"/>
  <c r="B123" i="6"/>
  <c r="C123" i="6"/>
  <c r="D123" i="6"/>
  <c r="E123" i="6"/>
  <c r="F123" i="6"/>
  <c r="B124" i="6"/>
  <c r="C124" i="6"/>
  <c r="D124" i="6"/>
  <c r="E124" i="6"/>
  <c r="F124" i="6"/>
  <c r="B125" i="6"/>
  <c r="C125" i="6"/>
  <c r="D125" i="6"/>
  <c r="E125" i="6"/>
  <c r="F125" i="6"/>
  <c r="B126" i="6"/>
  <c r="C126" i="6"/>
  <c r="D126" i="6"/>
  <c r="E126" i="6"/>
  <c r="F126" i="6"/>
  <c r="B127" i="6"/>
  <c r="C127" i="6"/>
  <c r="D127" i="6"/>
  <c r="E127" i="6"/>
  <c r="F127" i="6"/>
  <c r="B128" i="6"/>
  <c r="C128" i="6"/>
  <c r="D128" i="6"/>
  <c r="E128" i="6"/>
  <c r="F128" i="6"/>
  <c r="B129" i="6"/>
  <c r="C129" i="6"/>
  <c r="D129" i="6"/>
  <c r="E129" i="6"/>
  <c r="F129" i="6"/>
  <c r="B130" i="6"/>
  <c r="C130" i="6"/>
  <c r="D130" i="6"/>
  <c r="E130" i="6"/>
  <c r="F130" i="6"/>
  <c r="B131" i="6"/>
  <c r="C131" i="6"/>
  <c r="D131" i="6"/>
  <c r="E131" i="6"/>
  <c r="F131" i="6"/>
  <c r="B132" i="6"/>
  <c r="C132" i="6"/>
  <c r="D132" i="6"/>
  <c r="E132" i="6"/>
  <c r="F132" i="6"/>
  <c r="B133" i="6"/>
  <c r="C133" i="6"/>
  <c r="D133" i="6"/>
  <c r="E133" i="6"/>
  <c r="F133" i="6"/>
  <c r="B134" i="6"/>
  <c r="C134" i="6"/>
  <c r="D134" i="6"/>
  <c r="E134" i="6"/>
  <c r="F134" i="6"/>
  <c r="B135" i="6"/>
  <c r="C135" i="6"/>
  <c r="D135" i="6"/>
  <c r="E135" i="6"/>
  <c r="F135" i="6"/>
  <c r="B136" i="6"/>
  <c r="C136" i="6"/>
  <c r="D136" i="6"/>
  <c r="E136" i="6"/>
  <c r="F136" i="6"/>
  <c r="B137" i="6"/>
  <c r="C137" i="6"/>
  <c r="D137" i="6"/>
  <c r="E137" i="6"/>
  <c r="F137" i="6"/>
  <c r="B138" i="6"/>
  <c r="C138" i="6"/>
  <c r="D138" i="6"/>
  <c r="E138" i="6"/>
  <c r="F138" i="6"/>
  <c r="B139" i="6"/>
  <c r="C139" i="6"/>
  <c r="D139" i="6"/>
  <c r="E139" i="6"/>
  <c r="F139" i="6"/>
  <c r="B140" i="6"/>
  <c r="C140" i="6"/>
  <c r="D140" i="6"/>
  <c r="E140" i="6"/>
  <c r="F140" i="6"/>
  <c r="B141" i="6"/>
  <c r="C141" i="6"/>
  <c r="D141" i="6"/>
  <c r="E141" i="6"/>
  <c r="F141" i="6"/>
  <c r="B142" i="6"/>
  <c r="C142" i="6"/>
  <c r="D142" i="6"/>
  <c r="E142" i="6"/>
  <c r="F142" i="6"/>
  <c r="B143" i="6"/>
  <c r="C143" i="6"/>
  <c r="D143" i="6"/>
  <c r="E143" i="6"/>
  <c r="F143" i="6"/>
  <c r="B144" i="6"/>
  <c r="C144" i="6"/>
  <c r="D144" i="6"/>
  <c r="E144" i="6"/>
  <c r="F144" i="6"/>
  <c r="B145" i="6"/>
  <c r="C145" i="6"/>
  <c r="D145" i="6"/>
  <c r="E145" i="6"/>
  <c r="F145" i="6"/>
  <c r="B146" i="6"/>
  <c r="C146" i="6"/>
  <c r="D146" i="6"/>
  <c r="E146" i="6"/>
  <c r="F146" i="6"/>
  <c r="B147" i="6"/>
  <c r="C147" i="6"/>
  <c r="D147" i="6"/>
  <c r="E147" i="6"/>
  <c r="F147" i="6"/>
  <c r="B148" i="6"/>
  <c r="C148" i="6"/>
  <c r="D148" i="6"/>
  <c r="E148" i="6"/>
  <c r="F148" i="6"/>
  <c r="B149" i="6"/>
  <c r="C149" i="6"/>
  <c r="D149" i="6"/>
  <c r="E149" i="6"/>
  <c r="F149" i="6"/>
  <c r="B150" i="6"/>
  <c r="C150" i="6"/>
  <c r="D150" i="6"/>
  <c r="E150" i="6"/>
  <c r="F150" i="6"/>
  <c r="B151" i="6"/>
  <c r="C151" i="6"/>
  <c r="D151" i="6"/>
  <c r="E151" i="6"/>
  <c r="F151" i="6"/>
  <c r="B152" i="6"/>
  <c r="C152" i="6"/>
  <c r="D152" i="6"/>
  <c r="E152" i="6"/>
  <c r="F152" i="6"/>
  <c r="B153" i="6"/>
  <c r="C153" i="6"/>
  <c r="D153" i="6"/>
  <c r="E153" i="6"/>
  <c r="F153" i="6"/>
  <c r="B154" i="6"/>
  <c r="C154" i="6"/>
  <c r="D154" i="6"/>
  <c r="E154" i="6"/>
  <c r="F154" i="6"/>
  <c r="B155" i="6"/>
  <c r="C155" i="6"/>
  <c r="D155" i="6"/>
  <c r="E155" i="6"/>
  <c r="F155" i="6"/>
  <c r="B156" i="6"/>
  <c r="C156" i="6"/>
  <c r="D156" i="6"/>
  <c r="E156" i="6"/>
  <c r="F156" i="6"/>
  <c r="B157" i="6"/>
  <c r="C157" i="6"/>
  <c r="D157" i="6"/>
  <c r="E157" i="6"/>
  <c r="F157" i="6"/>
  <c r="B158" i="6"/>
  <c r="C158" i="6"/>
  <c r="D158" i="6"/>
  <c r="E158" i="6"/>
  <c r="F158" i="6"/>
  <c r="B159" i="6"/>
  <c r="C159" i="6"/>
  <c r="D159" i="6"/>
  <c r="E159" i="6"/>
  <c r="F159" i="6"/>
  <c r="B160" i="6"/>
  <c r="C160" i="6"/>
  <c r="D160" i="6"/>
  <c r="E160" i="6"/>
  <c r="F160" i="6"/>
  <c r="B161" i="6"/>
  <c r="C161" i="6"/>
  <c r="D161" i="6"/>
  <c r="E161" i="6"/>
  <c r="F161" i="6"/>
  <c r="B162" i="6"/>
  <c r="C162" i="6"/>
  <c r="D162" i="6"/>
  <c r="E162" i="6"/>
  <c r="F162" i="6"/>
  <c r="B163" i="6"/>
  <c r="C163" i="6"/>
  <c r="D163" i="6"/>
  <c r="E163" i="6"/>
  <c r="F163" i="6"/>
  <c r="B164" i="6"/>
  <c r="C164" i="6"/>
  <c r="D164" i="6"/>
  <c r="E164" i="6"/>
  <c r="F164" i="6"/>
  <c r="B165" i="6"/>
  <c r="C165" i="6"/>
  <c r="D165" i="6"/>
  <c r="E165" i="6"/>
  <c r="F165" i="6"/>
  <c r="B166" i="6"/>
  <c r="C166" i="6"/>
  <c r="D166" i="6"/>
  <c r="E166" i="6"/>
  <c r="F166" i="6"/>
  <c r="B167" i="6"/>
  <c r="C167" i="6"/>
  <c r="D167" i="6"/>
  <c r="E167" i="6"/>
  <c r="F167" i="6"/>
  <c r="B168" i="6"/>
  <c r="C168" i="6"/>
  <c r="D168" i="6"/>
  <c r="E168" i="6"/>
  <c r="F168" i="6"/>
  <c r="B169" i="6"/>
  <c r="C169" i="6"/>
  <c r="D169" i="6"/>
  <c r="E169" i="6"/>
  <c r="F169" i="6"/>
  <c r="B170" i="6"/>
  <c r="C170" i="6"/>
  <c r="D170" i="6"/>
  <c r="E170" i="6"/>
  <c r="F170" i="6"/>
  <c r="B171" i="6"/>
  <c r="C171" i="6"/>
  <c r="D171" i="6"/>
  <c r="E171" i="6"/>
  <c r="F171" i="6"/>
  <c r="B172" i="6"/>
  <c r="C172" i="6"/>
  <c r="D172" i="6"/>
  <c r="E172" i="6"/>
  <c r="F172" i="6"/>
  <c r="B173" i="6"/>
  <c r="C173" i="6"/>
  <c r="D173" i="6"/>
  <c r="E173" i="6"/>
  <c r="F173" i="6"/>
  <c r="B174" i="6"/>
  <c r="C174" i="6"/>
  <c r="D174" i="6"/>
  <c r="E174" i="6"/>
  <c r="F174" i="6"/>
  <c r="B175" i="6"/>
  <c r="C175" i="6"/>
  <c r="D175" i="6"/>
  <c r="E175" i="6"/>
  <c r="F175" i="6"/>
  <c r="B176" i="6"/>
  <c r="C176" i="6"/>
  <c r="D176" i="6"/>
  <c r="E176" i="6"/>
  <c r="F176" i="6"/>
  <c r="B177" i="6"/>
  <c r="C177" i="6"/>
  <c r="D177" i="6"/>
  <c r="E177" i="6"/>
  <c r="F177" i="6"/>
  <c r="B178" i="6"/>
  <c r="C178" i="6"/>
  <c r="D178" i="6"/>
  <c r="E178" i="6"/>
  <c r="F178" i="6"/>
  <c r="B179" i="6"/>
  <c r="C179" i="6"/>
  <c r="D179" i="6"/>
  <c r="E179" i="6"/>
  <c r="F179" i="6"/>
  <c r="B180" i="6"/>
  <c r="C180" i="6"/>
  <c r="D180" i="6"/>
  <c r="E180" i="6"/>
  <c r="F180" i="6"/>
  <c r="B181" i="6"/>
  <c r="C181" i="6"/>
  <c r="D181" i="6"/>
  <c r="E181" i="6"/>
  <c r="F181" i="6"/>
  <c r="B182" i="6"/>
  <c r="C182" i="6"/>
  <c r="D182" i="6"/>
  <c r="E182" i="6"/>
  <c r="F182" i="6"/>
  <c r="B183" i="6"/>
  <c r="C183" i="6"/>
  <c r="D183" i="6"/>
  <c r="E183" i="6"/>
  <c r="F183" i="6"/>
  <c r="B184" i="6"/>
  <c r="C184" i="6"/>
  <c r="D184" i="6"/>
  <c r="E184" i="6"/>
  <c r="F184" i="6"/>
  <c r="B185" i="6"/>
  <c r="C185" i="6"/>
  <c r="D185" i="6"/>
  <c r="E185" i="6"/>
  <c r="F185" i="6"/>
  <c r="B186" i="6"/>
  <c r="C186" i="6"/>
  <c r="D186" i="6"/>
  <c r="E186" i="6"/>
  <c r="F186" i="6"/>
  <c r="B187" i="6"/>
  <c r="C187" i="6"/>
  <c r="D187" i="6"/>
  <c r="E187" i="6"/>
  <c r="F187" i="6"/>
  <c r="B188" i="6"/>
  <c r="C188" i="6"/>
  <c r="D188" i="6"/>
  <c r="E188" i="6"/>
  <c r="F188" i="6"/>
  <c r="B189" i="6"/>
  <c r="C189" i="6"/>
  <c r="D189" i="6"/>
  <c r="E189" i="6"/>
  <c r="F189" i="6"/>
  <c r="B190" i="6"/>
  <c r="C190" i="6"/>
  <c r="D190" i="6"/>
  <c r="E190" i="6"/>
  <c r="F190" i="6"/>
  <c r="B191" i="6"/>
  <c r="C191" i="6"/>
  <c r="D191" i="6"/>
  <c r="E191" i="6"/>
  <c r="F191" i="6"/>
  <c r="B192" i="6"/>
  <c r="C192" i="6"/>
  <c r="D192" i="6"/>
  <c r="E192" i="6"/>
  <c r="F192" i="6"/>
  <c r="B193" i="6"/>
  <c r="C193" i="6"/>
  <c r="D193" i="6"/>
  <c r="E193" i="6"/>
  <c r="F193" i="6"/>
  <c r="B194" i="6"/>
  <c r="C194" i="6"/>
  <c r="D194" i="6"/>
  <c r="E194" i="6"/>
  <c r="F194" i="6"/>
  <c r="B195" i="6"/>
  <c r="C195" i="6"/>
  <c r="D195" i="6"/>
  <c r="E195" i="6"/>
  <c r="F195" i="6"/>
  <c r="B196" i="6"/>
  <c r="C196" i="6"/>
  <c r="D196" i="6"/>
  <c r="E196" i="6"/>
  <c r="F196" i="6"/>
  <c r="B197" i="6"/>
  <c r="C197" i="6"/>
  <c r="D197" i="6"/>
  <c r="E197" i="6"/>
  <c r="F197" i="6"/>
  <c r="B198" i="6"/>
  <c r="C198" i="6"/>
  <c r="D198" i="6"/>
  <c r="E198" i="6"/>
  <c r="F198" i="6"/>
  <c r="B199" i="6"/>
  <c r="C199" i="6"/>
  <c r="D199" i="6"/>
  <c r="E199" i="6"/>
  <c r="F199" i="6"/>
  <c r="B200" i="6"/>
  <c r="C200" i="6"/>
  <c r="D200" i="6"/>
  <c r="E200" i="6"/>
  <c r="F200" i="6"/>
  <c r="B201" i="6"/>
  <c r="C201" i="6"/>
  <c r="D201" i="6"/>
  <c r="E201" i="6"/>
  <c r="F201" i="6"/>
  <c r="B202" i="6"/>
  <c r="C202" i="6"/>
  <c r="D202" i="6"/>
  <c r="E202" i="6"/>
  <c r="F202" i="6"/>
  <c r="B203" i="6"/>
  <c r="C203" i="6"/>
  <c r="D203" i="6"/>
  <c r="E203" i="6"/>
  <c r="F203" i="6"/>
  <c r="B204" i="6"/>
  <c r="C204" i="6"/>
  <c r="D204" i="6"/>
  <c r="E204" i="6"/>
  <c r="F204" i="6"/>
  <c r="B205" i="6"/>
  <c r="C205" i="6"/>
  <c r="D205" i="6"/>
  <c r="E205" i="6"/>
  <c r="F205" i="6"/>
  <c r="B206" i="6"/>
  <c r="C206" i="6"/>
  <c r="D206" i="6"/>
  <c r="E206" i="6"/>
  <c r="F206" i="6"/>
  <c r="B207" i="6"/>
  <c r="C207" i="6"/>
  <c r="D207" i="6"/>
  <c r="E207" i="6"/>
  <c r="F207" i="6"/>
  <c r="B208" i="6"/>
  <c r="C208" i="6"/>
  <c r="D208" i="6"/>
  <c r="E208" i="6"/>
  <c r="F208" i="6"/>
  <c r="B209" i="6"/>
  <c r="C209" i="6"/>
  <c r="D209" i="6"/>
  <c r="E209" i="6"/>
  <c r="F209" i="6"/>
  <c r="B210" i="6"/>
  <c r="C210" i="6"/>
  <c r="D210" i="6"/>
  <c r="E210" i="6"/>
  <c r="F210" i="6"/>
  <c r="B211" i="6"/>
  <c r="C211" i="6"/>
  <c r="D211" i="6"/>
  <c r="E211" i="6"/>
  <c r="F211" i="6"/>
  <c r="B212" i="6"/>
  <c r="C212" i="6"/>
  <c r="D212" i="6"/>
  <c r="E212" i="6"/>
  <c r="F212" i="6"/>
  <c r="B213" i="6"/>
  <c r="C213" i="6"/>
  <c r="D213" i="6"/>
  <c r="E213" i="6"/>
  <c r="F213" i="6"/>
  <c r="B214" i="6"/>
  <c r="C214" i="6"/>
  <c r="D214" i="6"/>
  <c r="E214" i="6"/>
  <c r="F214" i="6"/>
  <c r="B215" i="6"/>
  <c r="C215" i="6"/>
  <c r="D215" i="6"/>
  <c r="E215" i="6"/>
  <c r="F215" i="6"/>
  <c r="B216" i="6"/>
  <c r="C216" i="6"/>
  <c r="D216" i="6"/>
  <c r="E216" i="6"/>
  <c r="F216" i="6"/>
  <c r="B217" i="6"/>
  <c r="C217" i="6"/>
  <c r="D217" i="6"/>
  <c r="E217" i="6"/>
  <c r="F217" i="6"/>
  <c r="B218" i="6"/>
  <c r="C218" i="6"/>
  <c r="D218" i="6"/>
  <c r="E218" i="6"/>
  <c r="F218" i="6"/>
  <c r="B219" i="6"/>
  <c r="C219" i="6"/>
  <c r="D219" i="6"/>
  <c r="E219" i="6"/>
  <c r="F219" i="6"/>
  <c r="B220" i="6"/>
  <c r="C220" i="6"/>
  <c r="D220" i="6"/>
  <c r="E220" i="6"/>
  <c r="F220" i="6"/>
  <c r="B221" i="6"/>
  <c r="C221" i="6"/>
  <c r="D221" i="6"/>
  <c r="E221" i="6"/>
  <c r="F221" i="6"/>
  <c r="B222" i="6"/>
  <c r="C222" i="6"/>
  <c r="D222" i="6"/>
  <c r="E222" i="6"/>
  <c r="F222" i="6"/>
  <c r="B223" i="6"/>
  <c r="C223" i="6"/>
  <c r="D223" i="6"/>
  <c r="E223" i="6"/>
  <c r="F223" i="6"/>
  <c r="B224" i="6"/>
  <c r="C224" i="6"/>
  <c r="D224" i="6"/>
  <c r="E224" i="6"/>
  <c r="F224" i="6"/>
  <c r="B225" i="6"/>
  <c r="C225" i="6"/>
  <c r="D225" i="6"/>
  <c r="E225" i="6"/>
  <c r="F225" i="6"/>
  <c r="B226" i="6"/>
  <c r="C226" i="6"/>
  <c r="D226" i="6"/>
  <c r="E226" i="6"/>
  <c r="F226" i="6"/>
  <c r="B227" i="6"/>
  <c r="C227" i="6"/>
  <c r="D227" i="6"/>
  <c r="E227" i="6"/>
  <c r="F227" i="6"/>
  <c r="B228" i="6"/>
  <c r="C228" i="6"/>
  <c r="D228" i="6"/>
  <c r="E228" i="6"/>
  <c r="F228" i="6"/>
  <c r="B229" i="6"/>
  <c r="C229" i="6"/>
  <c r="D229" i="6"/>
  <c r="E229" i="6"/>
  <c r="F229" i="6"/>
  <c r="B230" i="6"/>
  <c r="C230" i="6"/>
  <c r="D230" i="6"/>
  <c r="E230" i="6"/>
  <c r="F230" i="6"/>
  <c r="B231" i="6"/>
  <c r="C231" i="6"/>
  <c r="D231" i="6"/>
  <c r="E231" i="6"/>
  <c r="F231" i="6"/>
  <c r="B232" i="6"/>
  <c r="C232" i="6"/>
  <c r="D232" i="6"/>
  <c r="E232" i="6"/>
  <c r="F232" i="6"/>
  <c r="B233" i="6"/>
  <c r="C233" i="6"/>
  <c r="D233" i="6"/>
  <c r="E233" i="6"/>
  <c r="F233" i="6"/>
  <c r="B234" i="6"/>
  <c r="C234" i="6"/>
  <c r="D234" i="6"/>
  <c r="E234" i="6"/>
  <c r="F234" i="6"/>
  <c r="B235" i="6"/>
  <c r="C235" i="6"/>
  <c r="D235" i="6"/>
  <c r="E235" i="6"/>
  <c r="F235" i="6"/>
  <c r="B236" i="6"/>
  <c r="C236" i="6"/>
  <c r="D236" i="6"/>
  <c r="E236" i="6"/>
  <c r="F236" i="6"/>
  <c r="B237" i="6"/>
  <c r="C237" i="6"/>
  <c r="D237" i="6"/>
  <c r="E237" i="6"/>
  <c r="F237" i="6"/>
  <c r="B238" i="6"/>
  <c r="C238" i="6"/>
  <c r="D238" i="6"/>
  <c r="E238" i="6"/>
  <c r="F238" i="6"/>
  <c r="B239" i="6"/>
  <c r="C239" i="6"/>
  <c r="D239" i="6"/>
  <c r="E239" i="6"/>
  <c r="F239" i="6"/>
  <c r="B240" i="6"/>
  <c r="C240" i="6"/>
  <c r="D240" i="6"/>
  <c r="E240" i="6"/>
  <c r="F240" i="6"/>
  <c r="B241" i="6"/>
  <c r="C241" i="6"/>
  <c r="D241" i="6"/>
  <c r="E241" i="6"/>
  <c r="F241" i="6"/>
  <c r="B242" i="6"/>
  <c r="C242" i="6"/>
  <c r="D242" i="6"/>
  <c r="E242" i="6"/>
  <c r="F242" i="6"/>
  <c r="B243" i="6"/>
  <c r="C243" i="6"/>
  <c r="D243" i="6"/>
  <c r="E243" i="6"/>
  <c r="F243" i="6"/>
  <c r="B244" i="6"/>
  <c r="C244" i="6"/>
  <c r="D244" i="6"/>
  <c r="E244" i="6"/>
  <c r="F244" i="6"/>
  <c r="B245" i="6"/>
  <c r="C245" i="6"/>
  <c r="D245" i="6"/>
  <c r="E245" i="6"/>
  <c r="F245" i="6"/>
  <c r="B246" i="6"/>
  <c r="C246" i="6"/>
  <c r="D246" i="6"/>
  <c r="E246" i="6"/>
  <c r="F246" i="6"/>
  <c r="B247" i="6"/>
  <c r="C247" i="6"/>
  <c r="D247" i="6"/>
  <c r="E247" i="6"/>
  <c r="F247" i="6"/>
  <c r="B248" i="6"/>
  <c r="C248" i="6"/>
  <c r="D248" i="6"/>
  <c r="E248" i="6"/>
  <c r="F248" i="6"/>
  <c r="B249" i="6"/>
  <c r="C249" i="6"/>
  <c r="D249" i="6"/>
  <c r="E249" i="6"/>
  <c r="F249" i="6"/>
  <c r="B250" i="6"/>
  <c r="C250" i="6"/>
  <c r="D250" i="6"/>
  <c r="E250" i="6"/>
  <c r="F250" i="6"/>
  <c r="B251" i="6"/>
  <c r="C251" i="6"/>
  <c r="D251" i="6"/>
  <c r="E251" i="6"/>
  <c r="F251" i="6"/>
  <c r="B252" i="6"/>
  <c r="C252" i="6"/>
  <c r="D252" i="6"/>
  <c r="E252" i="6"/>
  <c r="F252" i="6"/>
  <c r="B253" i="6"/>
  <c r="C253" i="6"/>
  <c r="D253" i="6"/>
  <c r="E253" i="6"/>
  <c r="F253" i="6"/>
  <c r="B254" i="6"/>
  <c r="C254" i="6"/>
  <c r="D254" i="6"/>
  <c r="E254" i="6"/>
  <c r="F254" i="6"/>
  <c r="B255" i="6"/>
  <c r="C255" i="6"/>
  <c r="D255" i="6"/>
  <c r="E255" i="6"/>
  <c r="F255" i="6"/>
  <c r="B256" i="6"/>
  <c r="C256" i="6"/>
  <c r="D256" i="6"/>
  <c r="E256" i="6"/>
  <c r="F256" i="6"/>
  <c r="C4" i="6"/>
  <c r="D4" i="6"/>
  <c r="E4" i="6"/>
  <c r="F4" i="6"/>
  <c r="B4" i="6"/>
  <c r="P14" i="6" l="1"/>
  <c r="M13" i="6"/>
  <c r="O11" i="6"/>
  <c r="L10" i="6"/>
  <c r="Y41" i="8"/>
  <c r="L41" i="8"/>
  <c r="Y25" i="8"/>
  <c r="L25" i="8"/>
  <c r="Y9" i="8"/>
  <c r="L9" i="8"/>
  <c r="AA43" i="8"/>
  <c r="N43" i="8"/>
  <c r="X45" i="8"/>
  <c r="K45" i="8"/>
  <c r="W42" i="8"/>
  <c r="J42" i="8"/>
  <c r="X37" i="8"/>
  <c r="K37" i="8"/>
  <c r="AA30" i="8"/>
  <c r="N30" i="8"/>
  <c r="Z46" i="8"/>
  <c r="M46" i="8"/>
  <c r="W45" i="8"/>
  <c r="J45" i="8"/>
  <c r="Y43" i="8"/>
  <c r="L43" i="8"/>
  <c r="AA41" i="8"/>
  <c r="N41" i="8"/>
  <c r="X40" i="8"/>
  <c r="K40" i="8"/>
  <c r="Z38" i="8"/>
  <c r="M38" i="8"/>
  <c r="W37" i="8"/>
  <c r="J37" i="8"/>
  <c r="Y35" i="8"/>
  <c r="L35" i="8"/>
  <c r="AA33" i="8"/>
  <c r="N33" i="8"/>
  <c r="X32" i="8"/>
  <c r="K32" i="8"/>
  <c r="Z30" i="8"/>
  <c r="M30" i="8"/>
  <c r="W29" i="8"/>
  <c r="J29" i="8"/>
  <c r="Y27" i="8"/>
  <c r="L27" i="8"/>
  <c r="AA25" i="8"/>
  <c r="N25" i="8"/>
  <c r="X24" i="8"/>
  <c r="K24" i="8"/>
  <c r="Z22" i="8"/>
  <c r="M22" i="8"/>
  <c r="W21" i="8"/>
  <c r="J21" i="8"/>
  <c r="Y19" i="8"/>
  <c r="L19" i="8"/>
  <c r="AA17" i="8"/>
  <c r="N17" i="8"/>
  <c r="X16" i="8"/>
  <c r="K16" i="8"/>
  <c r="Z14" i="8"/>
  <c r="M14" i="8"/>
  <c r="W13" i="8"/>
  <c r="J13" i="8"/>
  <c r="Y11" i="8"/>
  <c r="L11" i="8"/>
  <c r="AA9" i="8"/>
  <c r="N9" i="8"/>
  <c r="X8" i="8"/>
  <c r="K8" i="8"/>
  <c r="Z6" i="8"/>
  <c r="AE7" i="8" s="1"/>
  <c r="M6" i="8"/>
  <c r="R7" i="8" s="1"/>
  <c r="AA257" i="8"/>
  <c r="N257" i="8"/>
  <c r="Y256" i="8"/>
  <c r="L256" i="8"/>
  <c r="W255" i="8"/>
  <c r="J255" i="8"/>
  <c r="AA253" i="8"/>
  <c r="N253" i="8"/>
  <c r="Y252" i="8"/>
  <c r="L252" i="8"/>
  <c r="W251" i="8"/>
  <c r="J251" i="8"/>
  <c r="AA249" i="8"/>
  <c r="N249" i="8"/>
  <c r="Y248" i="8"/>
  <c r="L248" i="8"/>
  <c r="W247" i="8"/>
  <c r="J247" i="8"/>
  <c r="AA245" i="8"/>
  <c r="N245" i="8"/>
  <c r="Y244" i="8"/>
  <c r="L244" i="8"/>
  <c r="W243" i="8"/>
  <c r="J243" i="8"/>
  <c r="AA241" i="8"/>
  <c r="N241" i="8"/>
  <c r="Y240" i="8"/>
  <c r="L240" i="8"/>
  <c r="W239" i="8"/>
  <c r="J239" i="8"/>
  <c r="AA237" i="8"/>
  <c r="N237" i="8"/>
  <c r="Y236" i="8"/>
  <c r="L236" i="8"/>
  <c r="W235" i="8"/>
  <c r="J235" i="8"/>
  <c r="AA233" i="8"/>
  <c r="N233" i="8"/>
  <c r="Y232" i="8"/>
  <c r="L232" i="8"/>
  <c r="W231" i="8"/>
  <c r="J231" i="8"/>
  <c r="AA229" i="8"/>
  <c r="N229" i="8"/>
  <c r="Y228" i="8"/>
  <c r="L228" i="8"/>
  <c r="W227" i="8"/>
  <c r="J227" i="8"/>
  <c r="AA225" i="8"/>
  <c r="N225" i="8"/>
  <c r="Y224" i="8"/>
  <c r="L224" i="8"/>
  <c r="W223" i="8"/>
  <c r="J223" i="8"/>
  <c r="AA221" i="8"/>
  <c r="N221" i="8"/>
  <c r="Y220" i="8"/>
  <c r="L220" i="8"/>
  <c r="W219" i="8"/>
  <c r="J219" i="8"/>
  <c r="AA217" i="8"/>
  <c r="N217" i="8"/>
  <c r="Y216" i="8"/>
  <c r="L216" i="8"/>
  <c r="W215" i="8"/>
  <c r="J215" i="8"/>
  <c r="AA213" i="8"/>
  <c r="N213" i="8"/>
  <c r="Y212" i="8"/>
  <c r="L212" i="8"/>
  <c r="W211" i="8"/>
  <c r="J211" i="8"/>
  <c r="AA209" i="8"/>
  <c r="N209" i="8"/>
  <c r="Y208" i="8"/>
  <c r="L208" i="8"/>
  <c r="W207" i="8"/>
  <c r="J207" i="8"/>
  <c r="AA205" i="8"/>
  <c r="N205" i="8"/>
  <c r="Y204" i="8"/>
  <c r="L204" i="8"/>
  <c r="W203" i="8"/>
  <c r="J203" i="8"/>
  <c r="AA201" i="8"/>
  <c r="N201" i="8"/>
  <c r="Y200" i="8"/>
  <c r="L200" i="8"/>
  <c r="W199" i="8"/>
  <c r="J199" i="8"/>
  <c r="AA197" i="8"/>
  <c r="N197" i="8"/>
  <c r="Y196" i="8"/>
  <c r="L196" i="8"/>
  <c r="W195" i="8"/>
  <c r="J195" i="8"/>
  <c r="AA193" i="8"/>
  <c r="N193" i="8"/>
  <c r="Y192" i="8"/>
  <c r="L192" i="8"/>
  <c r="W191" i="8"/>
  <c r="J191" i="8"/>
  <c r="AA189" i="8"/>
  <c r="N189" i="8"/>
  <c r="Y188" i="8"/>
  <c r="L188" i="8"/>
  <c r="W187" i="8"/>
  <c r="J187" i="8"/>
  <c r="AA185" i="8"/>
  <c r="N185" i="8"/>
  <c r="Y184" i="8"/>
  <c r="L184" i="8"/>
  <c r="W183" i="8"/>
  <c r="J183" i="8"/>
  <c r="AA181" i="8"/>
  <c r="N181" i="8"/>
  <c r="Y180" i="8"/>
  <c r="L180" i="8"/>
  <c r="W179" i="8"/>
  <c r="J179" i="8"/>
  <c r="AA177" i="8"/>
  <c r="N177" i="8"/>
  <c r="Y176" i="8"/>
  <c r="L176" i="8"/>
  <c r="W175" i="8"/>
  <c r="J175" i="8"/>
  <c r="AA173" i="8"/>
  <c r="N173" i="8"/>
  <c r="Y172" i="8"/>
  <c r="L172" i="8"/>
  <c r="W171" i="8"/>
  <c r="J171" i="8"/>
  <c r="AA169" i="8"/>
  <c r="N169" i="8"/>
  <c r="Y168" i="8"/>
  <c r="L168" i="8"/>
  <c r="W167" i="8"/>
  <c r="J167" i="8"/>
  <c r="AA165" i="8"/>
  <c r="N165" i="8"/>
  <c r="Y164" i="8"/>
  <c r="L164" i="8"/>
  <c r="W163" i="8"/>
  <c r="J163" i="8"/>
  <c r="AA161" i="8"/>
  <c r="N161" i="8"/>
  <c r="Y160" i="8"/>
  <c r="L160" i="8"/>
  <c r="W159" i="8"/>
  <c r="J159" i="8"/>
  <c r="AA157" i="8"/>
  <c r="N157" i="8"/>
  <c r="Y156" i="8"/>
  <c r="L156" i="8"/>
  <c r="W155" i="8"/>
  <c r="J155" i="8"/>
  <c r="AA153" i="8"/>
  <c r="N153" i="8"/>
  <c r="Y152" i="8"/>
  <c r="L152" i="8"/>
  <c r="W151" i="8"/>
  <c r="J151" i="8"/>
  <c r="AA149" i="8"/>
  <c r="N149" i="8"/>
  <c r="Y148" i="8"/>
  <c r="L148" i="8"/>
  <c r="W147" i="8"/>
  <c r="J147" i="8"/>
  <c r="AA145" i="8"/>
  <c r="N145" i="8"/>
  <c r="Y144" i="8"/>
  <c r="L144" i="8"/>
  <c r="W143" i="8"/>
  <c r="J143" i="8"/>
  <c r="AA141" i="8"/>
  <c r="N141" i="8"/>
  <c r="Y140" i="8"/>
  <c r="L140" i="8"/>
  <c r="W139" i="8"/>
  <c r="J139" i="8"/>
  <c r="AA137" i="8"/>
  <c r="N137" i="8"/>
  <c r="Y136" i="8"/>
  <c r="L136" i="8"/>
  <c r="W135" i="8"/>
  <c r="J135" i="8"/>
  <c r="AA133" i="8"/>
  <c r="N133" i="8"/>
  <c r="Y132" i="8"/>
  <c r="L132" i="8"/>
  <c r="W131" i="8"/>
  <c r="J131" i="8"/>
  <c r="AA129" i="8"/>
  <c r="N129" i="8"/>
  <c r="Y128" i="8"/>
  <c r="L128" i="8"/>
  <c r="W127" i="8"/>
  <c r="J127" i="8"/>
  <c r="AA125" i="8"/>
  <c r="N125" i="8"/>
  <c r="Y124" i="8"/>
  <c r="L124" i="8"/>
  <c r="W123" i="8"/>
  <c r="J123" i="8"/>
  <c r="AA121" i="8"/>
  <c r="N121" i="8"/>
  <c r="Y120" i="8"/>
  <c r="L120" i="8"/>
  <c r="W119" i="8"/>
  <c r="J119" i="8"/>
  <c r="AA117" i="8"/>
  <c r="N117" i="8"/>
  <c r="Y116" i="8"/>
  <c r="L116" i="8"/>
  <c r="W115" i="8"/>
  <c r="J115" i="8"/>
  <c r="AA113" i="8"/>
  <c r="N113" i="8"/>
  <c r="Y112" i="8"/>
  <c r="L112" i="8"/>
  <c r="W111" i="8"/>
  <c r="J111" i="8"/>
  <c r="AA109" i="8"/>
  <c r="N109" i="8"/>
  <c r="Y108" i="8"/>
  <c r="L108" i="8"/>
  <c r="W107" i="8"/>
  <c r="J107" i="8"/>
  <c r="AA105" i="8"/>
  <c r="N105" i="8"/>
  <c r="Y104" i="8"/>
  <c r="L104" i="8"/>
  <c r="W103" i="8"/>
  <c r="J103" i="8"/>
  <c r="AA101" i="8"/>
  <c r="N101" i="8"/>
  <c r="Y100" i="8"/>
  <c r="L100" i="8"/>
  <c r="W99" i="8"/>
  <c r="J99" i="8"/>
  <c r="AA97" i="8"/>
  <c r="N97" i="8"/>
  <c r="Y96" i="8"/>
  <c r="L96" i="8"/>
  <c r="W95" i="8"/>
  <c r="J95" i="8"/>
  <c r="AA93" i="8"/>
  <c r="N93" i="8"/>
  <c r="Y92" i="8"/>
  <c r="L92" i="8"/>
  <c r="W91" i="8"/>
  <c r="J91" i="8"/>
  <c r="AA89" i="8"/>
  <c r="N89" i="8"/>
  <c r="Y88" i="8"/>
  <c r="L88" i="8"/>
  <c r="J87" i="8"/>
  <c r="W87" i="8"/>
  <c r="AA85" i="8"/>
  <c r="N85" i="8"/>
  <c r="Y84" i="8"/>
  <c r="L84" i="8"/>
  <c r="W83" i="8"/>
  <c r="J83" i="8"/>
  <c r="AA81" i="8"/>
  <c r="N81" i="8"/>
  <c r="Y80" i="8"/>
  <c r="L80" i="8"/>
  <c r="W79" i="8"/>
  <c r="J79" i="8"/>
  <c r="AA77" i="8"/>
  <c r="N77" i="8"/>
  <c r="Y76" i="8"/>
  <c r="L76" i="8"/>
  <c r="W75" i="8"/>
  <c r="J75" i="8"/>
  <c r="AA73" i="8"/>
  <c r="N73" i="8"/>
  <c r="Y72" i="8"/>
  <c r="L72" i="8"/>
  <c r="W71" i="8"/>
  <c r="J71" i="8"/>
  <c r="AA69" i="8"/>
  <c r="N69" i="8"/>
  <c r="Y68" i="8"/>
  <c r="L68" i="8"/>
  <c r="W67" i="8"/>
  <c r="J67" i="8"/>
  <c r="AA65" i="8"/>
  <c r="N65" i="8"/>
  <c r="Y64" i="8"/>
  <c r="L64" i="8"/>
  <c r="W63" i="8"/>
  <c r="J63" i="8"/>
  <c r="AA61" i="8"/>
  <c r="N61" i="8"/>
  <c r="Y60" i="8"/>
  <c r="L60" i="8"/>
  <c r="W59" i="8"/>
  <c r="J59" i="8"/>
  <c r="AA57" i="8"/>
  <c r="N57" i="8"/>
  <c r="Y56" i="8"/>
  <c r="L56" i="8"/>
  <c r="W55" i="8"/>
  <c r="J55" i="8"/>
  <c r="AA53" i="8"/>
  <c r="N53" i="8"/>
  <c r="Y52" i="8"/>
  <c r="L52" i="8"/>
  <c r="W51" i="8"/>
  <c r="J51" i="8"/>
  <c r="AA49" i="8"/>
  <c r="N49" i="8"/>
  <c r="Y48" i="8"/>
  <c r="L48" i="8"/>
  <c r="W47" i="8"/>
  <c r="J47" i="8"/>
  <c r="Z44" i="8"/>
  <c r="M44" i="8"/>
  <c r="W27" i="8"/>
  <c r="J27" i="8"/>
  <c r="W11" i="8"/>
  <c r="J11" i="8"/>
  <c r="Z40" i="8"/>
  <c r="M40" i="8"/>
  <c r="Z43" i="8"/>
  <c r="M43" i="8"/>
  <c r="AA38" i="8"/>
  <c r="N38" i="8"/>
  <c r="Z35" i="8"/>
  <c r="M35" i="8"/>
  <c r="Y32" i="8"/>
  <c r="L32" i="8"/>
  <c r="Y46" i="8"/>
  <c r="L46" i="8"/>
  <c r="AA44" i="8"/>
  <c r="N44" i="8"/>
  <c r="X43" i="8"/>
  <c r="K43" i="8"/>
  <c r="Z41" i="8"/>
  <c r="M41" i="8"/>
  <c r="W40" i="8"/>
  <c r="J40" i="8"/>
  <c r="Y38" i="8"/>
  <c r="L38" i="8"/>
  <c r="AA36" i="8"/>
  <c r="N36" i="8"/>
  <c r="X35" i="8"/>
  <c r="K35" i="8"/>
  <c r="Z33" i="8"/>
  <c r="M33" i="8"/>
  <c r="W32" i="8"/>
  <c r="J32" i="8"/>
  <c r="Y30" i="8"/>
  <c r="L30" i="8"/>
  <c r="AA28" i="8"/>
  <c r="N28" i="8"/>
  <c r="X27" i="8"/>
  <c r="K27" i="8"/>
  <c r="Z25" i="8"/>
  <c r="M25" i="8"/>
  <c r="W24" i="8"/>
  <c r="J24" i="8"/>
  <c r="Y22" i="8"/>
  <c r="L22" i="8"/>
  <c r="AA20" i="8"/>
  <c r="N20" i="8"/>
  <c r="X19" i="8"/>
  <c r="K19" i="8"/>
  <c r="Z17" i="8"/>
  <c r="M17" i="8"/>
  <c r="W16" i="8"/>
  <c r="J16" i="8"/>
  <c r="Y14" i="8"/>
  <c r="L14" i="8"/>
  <c r="AA12" i="8"/>
  <c r="N12" i="8"/>
  <c r="X11" i="8"/>
  <c r="K11" i="8"/>
  <c r="Z9" i="8"/>
  <c r="M9" i="8"/>
  <c r="W8" i="8"/>
  <c r="J8" i="8"/>
  <c r="Y6" i="8"/>
  <c r="AD7" i="8" s="1"/>
  <c r="L6" i="8"/>
  <c r="N8" i="6"/>
  <c r="P6" i="6"/>
  <c r="Z257" i="8"/>
  <c r="M257" i="8"/>
  <c r="X256" i="8"/>
  <c r="K256" i="8"/>
  <c r="Z253" i="8"/>
  <c r="M253" i="8"/>
  <c r="X252" i="8"/>
  <c r="K252" i="8"/>
  <c r="Z249" i="8"/>
  <c r="M249" i="8"/>
  <c r="X248" i="8"/>
  <c r="K248" i="8"/>
  <c r="Z245" i="8"/>
  <c r="M245" i="8"/>
  <c r="X244" i="8"/>
  <c r="K244" i="8"/>
  <c r="Z241" i="8"/>
  <c r="M241" i="8"/>
  <c r="X240" i="8"/>
  <c r="K240" i="8"/>
  <c r="Z237" i="8"/>
  <c r="M237" i="8"/>
  <c r="X236" i="8"/>
  <c r="K236" i="8"/>
  <c r="Z233" i="8"/>
  <c r="M233" i="8"/>
  <c r="X232" i="8"/>
  <c r="K232" i="8"/>
  <c r="Z229" i="8"/>
  <c r="M229" i="8"/>
  <c r="X228" i="8"/>
  <c r="K228" i="8"/>
  <c r="Z225" i="8"/>
  <c r="M225" i="8"/>
  <c r="X224" i="8"/>
  <c r="K224" i="8"/>
  <c r="Z221" i="8"/>
  <c r="M221" i="8"/>
  <c r="X220" i="8"/>
  <c r="K220" i="8"/>
  <c r="Z217" i="8"/>
  <c r="M217" i="8"/>
  <c r="X216" i="8"/>
  <c r="K216" i="8"/>
  <c r="Z213" i="8"/>
  <c r="M213" i="8"/>
  <c r="X212" i="8"/>
  <c r="K212" i="8"/>
  <c r="Z209" i="8"/>
  <c r="M209" i="8"/>
  <c r="X208" i="8"/>
  <c r="K208" i="8"/>
  <c r="Z205" i="8"/>
  <c r="M205" i="8"/>
  <c r="X204" i="8"/>
  <c r="K204" i="8"/>
  <c r="Z201" i="8"/>
  <c r="M201" i="8"/>
  <c r="X200" i="8"/>
  <c r="K200" i="8"/>
  <c r="Z197" i="8"/>
  <c r="M197" i="8"/>
  <c r="X196" i="8"/>
  <c r="K196" i="8"/>
  <c r="Z193" i="8"/>
  <c r="M193" i="8"/>
  <c r="X192" i="8"/>
  <c r="K192" i="8"/>
  <c r="Z189" i="8"/>
  <c r="M189" i="8"/>
  <c r="X188" i="8"/>
  <c r="K188" i="8"/>
  <c r="Z185" i="8"/>
  <c r="M185" i="8"/>
  <c r="X184" i="8"/>
  <c r="K184" i="8"/>
  <c r="Z181" i="8"/>
  <c r="M181" i="8"/>
  <c r="X180" i="8"/>
  <c r="K180" i="8"/>
  <c r="Z177" i="8"/>
  <c r="M177" i="8"/>
  <c r="X176" i="8"/>
  <c r="K176" i="8"/>
  <c r="Z173" i="8"/>
  <c r="M173" i="8"/>
  <c r="X172" i="8"/>
  <c r="K172" i="8"/>
  <c r="Z169" i="8"/>
  <c r="M169" i="8"/>
  <c r="X168" i="8"/>
  <c r="K168" i="8"/>
  <c r="Z165" i="8"/>
  <c r="M165" i="8"/>
  <c r="X164" i="8"/>
  <c r="K164" i="8"/>
  <c r="Z161" i="8"/>
  <c r="M161" i="8"/>
  <c r="X160" i="8"/>
  <c r="K160" i="8"/>
  <c r="Z157" i="8"/>
  <c r="M157" i="8"/>
  <c r="X156" i="8"/>
  <c r="K156" i="8"/>
  <c r="Z153" i="8"/>
  <c r="M153" i="8"/>
  <c r="X152" i="8"/>
  <c r="K152" i="8"/>
  <c r="Z149" i="8"/>
  <c r="M149" i="8"/>
  <c r="X148" i="8"/>
  <c r="K148" i="8"/>
  <c r="Z145" i="8"/>
  <c r="M145" i="8"/>
  <c r="X144" i="8"/>
  <c r="K144" i="8"/>
  <c r="Z141" i="8"/>
  <c r="M141" i="8"/>
  <c r="X140" i="8"/>
  <c r="K140" i="8"/>
  <c r="Z137" i="8"/>
  <c r="M137" i="8"/>
  <c r="X136" i="8"/>
  <c r="K136" i="8"/>
  <c r="Z133" i="8"/>
  <c r="M133" i="8"/>
  <c r="X132" i="8"/>
  <c r="K132" i="8"/>
  <c r="Z129" i="8"/>
  <c r="M129" i="8"/>
  <c r="X128" i="8"/>
  <c r="K128" i="8"/>
  <c r="Z125" i="8"/>
  <c r="M125" i="8"/>
  <c r="X124" i="8"/>
  <c r="K124" i="8"/>
  <c r="Z121" i="8"/>
  <c r="M121" i="8"/>
  <c r="X120" i="8"/>
  <c r="K120" i="8"/>
  <c r="Z117" i="8"/>
  <c r="M117" i="8"/>
  <c r="X116" i="8"/>
  <c r="K116" i="8"/>
  <c r="Z113" i="8"/>
  <c r="M113" i="8"/>
  <c r="X112" i="8"/>
  <c r="K112" i="8"/>
  <c r="Z109" i="8"/>
  <c r="M109" i="8"/>
  <c r="X108" i="8"/>
  <c r="K108" i="8"/>
  <c r="Z105" i="8"/>
  <c r="M105" i="8"/>
  <c r="X104" i="8"/>
  <c r="K104" i="8"/>
  <c r="Z101" i="8"/>
  <c r="M101" i="8"/>
  <c r="X100" i="8"/>
  <c r="K100" i="8"/>
  <c r="Z97" i="8"/>
  <c r="M97" i="8"/>
  <c r="X96" i="8"/>
  <c r="K96" i="8"/>
  <c r="Z93" i="8"/>
  <c r="M93" i="8"/>
  <c r="X92" i="8"/>
  <c r="K92" i="8"/>
  <c r="Z89" i="8"/>
  <c r="M89" i="8"/>
  <c r="X88" i="8"/>
  <c r="K88" i="8"/>
  <c r="Z85" i="8"/>
  <c r="M85" i="8"/>
  <c r="X84" i="8"/>
  <c r="K84" i="8"/>
  <c r="Z81" i="8"/>
  <c r="M81" i="8"/>
  <c r="X80" i="8"/>
  <c r="K80" i="8"/>
  <c r="Z77" i="8"/>
  <c r="M77" i="8"/>
  <c r="X76" i="8"/>
  <c r="K76" i="8"/>
  <c r="Z73" i="8"/>
  <c r="M73" i="8"/>
  <c r="X72" i="8"/>
  <c r="K72" i="8"/>
  <c r="Z69" i="8"/>
  <c r="M69" i="8"/>
  <c r="X68" i="8"/>
  <c r="K68" i="8"/>
  <c r="Z65" i="8"/>
  <c r="M65" i="8"/>
  <c r="X64" i="8"/>
  <c r="K64" i="8"/>
  <c r="Z61" i="8"/>
  <c r="M61" i="8"/>
  <c r="X60" i="8"/>
  <c r="K60" i="8"/>
  <c r="Z57" i="8"/>
  <c r="M57" i="8"/>
  <c r="X56" i="8"/>
  <c r="K56" i="8"/>
  <c r="Z53" i="8"/>
  <c r="M53" i="8"/>
  <c r="X52" i="8"/>
  <c r="K52" i="8"/>
  <c r="Z49" i="8"/>
  <c r="M49" i="8"/>
  <c r="X48" i="8"/>
  <c r="K48" i="8"/>
  <c r="AA31" i="8"/>
  <c r="N31" i="8"/>
  <c r="X14" i="8"/>
  <c r="K14" i="8"/>
  <c r="Y257" i="8"/>
  <c r="L257" i="8"/>
  <c r="W256" i="8"/>
  <c r="J256" i="8"/>
  <c r="AA254" i="8"/>
  <c r="N254" i="8"/>
  <c r="Y253" i="8"/>
  <c r="L253" i="8"/>
  <c r="W252" i="8"/>
  <c r="J252" i="8"/>
  <c r="AA250" i="8"/>
  <c r="N250" i="8"/>
  <c r="Y249" i="8"/>
  <c r="L249" i="8"/>
  <c r="W248" i="8"/>
  <c r="J248" i="8"/>
  <c r="AA246" i="8"/>
  <c r="N246" i="8"/>
  <c r="Y245" i="8"/>
  <c r="L245" i="8"/>
  <c r="W244" i="8"/>
  <c r="J244" i="8"/>
  <c r="AA242" i="8"/>
  <c r="N242" i="8"/>
  <c r="Y241" i="8"/>
  <c r="L241" i="8"/>
  <c r="W240" i="8"/>
  <c r="J240" i="8"/>
  <c r="AA238" i="8"/>
  <c r="N238" i="8"/>
  <c r="Y237" i="8"/>
  <c r="L237" i="8"/>
  <c r="W236" i="8"/>
  <c r="J236" i="8"/>
  <c r="AA234" i="8"/>
  <c r="N234" i="8"/>
  <c r="Y233" i="8"/>
  <c r="L233" i="8"/>
  <c r="W232" i="8"/>
  <c r="J232" i="8"/>
  <c r="AA230" i="8"/>
  <c r="N230" i="8"/>
  <c r="Y229" i="8"/>
  <c r="L229" i="8"/>
  <c r="W228" i="8"/>
  <c r="J228" i="8"/>
  <c r="AA226" i="8"/>
  <c r="N226" i="8"/>
  <c r="Y225" i="8"/>
  <c r="L225" i="8"/>
  <c r="W224" i="8"/>
  <c r="J224" i="8"/>
  <c r="AA222" i="8"/>
  <c r="N222" i="8"/>
  <c r="Y221" i="8"/>
  <c r="L221" i="8"/>
  <c r="W220" i="8"/>
  <c r="J220" i="8"/>
  <c r="AA218" i="8"/>
  <c r="N218" i="8"/>
  <c r="Y217" i="8"/>
  <c r="L217" i="8"/>
  <c r="W216" i="8"/>
  <c r="J216" i="8"/>
  <c r="AA214" i="8"/>
  <c r="N214" i="8"/>
  <c r="Y213" i="8"/>
  <c r="L213" i="8"/>
  <c r="W212" i="8"/>
  <c r="J212" i="8"/>
  <c r="AA210" i="8"/>
  <c r="N210" i="8"/>
  <c r="Y209" i="8"/>
  <c r="L209" i="8"/>
  <c r="W208" i="8"/>
  <c r="J208" i="8"/>
  <c r="AA206" i="8"/>
  <c r="N206" i="8"/>
  <c r="Y205" i="8"/>
  <c r="L205" i="8"/>
  <c r="W204" i="8"/>
  <c r="J204" i="8"/>
  <c r="AA202" i="8"/>
  <c r="N202" i="8"/>
  <c r="Y201" i="8"/>
  <c r="L201" i="8"/>
  <c r="W200" i="8"/>
  <c r="J200" i="8"/>
  <c r="AA198" i="8"/>
  <c r="N198" i="8"/>
  <c r="Y197" i="8"/>
  <c r="L197" i="8"/>
  <c r="W196" i="8"/>
  <c r="J196" i="8"/>
  <c r="AA194" i="8"/>
  <c r="N194" i="8"/>
  <c r="Y193" i="8"/>
  <c r="L193" i="8"/>
  <c r="W192" i="8"/>
  <c r="J192" i="8"/>
  <c r="AA190" i="8"/>
  <c r="N190" i="8"/>
  <c r="Y189" i="8"/>
  <c r="L189" i="8"/>
  <c r="W188" i="8"/>
  <c r="J188" i="8"/>
  <c r="AA186" i="8"/>
  <c r="N186" i="8"/>
  <c r="Y185" i="8"/>
  <c r="L185" i="8"/>
  <c r="W184" i="8"/>
  <c r="J184" i="8"/>
  <c r="AA182" i="8"/>
  <c r="N182" i="8"/>
  <c r="Y181" i="8"/>
  <c r="L181" i="8"/>
  <c r="W180" i="8"/>
  <c r="J180" i="8"/>
  <c r="AA178" i="8"/>
  <c r="N178" i="8"/>
  <c r="Y177" i="8"/>
  <c r="L177" i="8"/>
  <c r="W176" i="8"/>
  <c r="J176" i="8"/>
  <c r="AA174" i="8"/>
  <c r="N174" i="8"/>
  <c r="Y173" i="8"/>
  <c r="L173" i="8"/>
  <c r="W172" i="8"/>
  <c r="J172" i="8"/>
  <c r="AA170" i="8"/>
  <c r="N170" i="8"/>
  <c r="Y169" i="8"/>
  <c r="L169" i="8"/>
  <c r="W168" i="8"/>
  <c r="J168" i="8"/>
  <c r="AA166" i="8"/>
  <c r="N166" i="8"/>
  <c r="Y165" i="8"/>
  <c r="L165" i="8"/>
  <c r="W164" i="8"/>
  <c r="J164" i="8"/>
  <c r="AA162" i="8"/>
  <c r="N162" i="8"/>
  <c r="Y161" i="8"/>
  <c r="L161" i="8"/>
  <c r="W160" i="8"/>
  <c r="J160" i="8"/>
  <c r="AA158" i="8"/>
  <c r="N158" i="8"/>
  <c r="Y157" i="8"/>
  <c r="L157" i="8"/>
  <c r="W156" i="8"/>
  <c r="J156" i="8"/>
  <c r="AA154" i="8"/>
  <c r="N154" i="8"/>
  <c r="Y153" i="8"/>
  <c r="L153" i="8"/>
  <c r="W152" i="8"/>
  <c r="J152" i="8"/>
  <c r="AA150" i="8"/>
  <c r="N150" i="8"/>
  <c r="Y149" i="8"/>
  <c r="L149" i="8"/>
  <c r="W148" i="8"/>
  <c r="J148" i="8"/>
  <c r="AA146" i="8"/>
  <c r="N146" i="8"/>
  <c r="Y145" i="8"/>
  <c r="L145" i="8"/>
  <c r="W144" i="8"/>
  <c r="J144" i="8"/>
  <c r="AA142" i="8"/>
  <c r="N142" i="8"/>
  <c r="Y141" i="8"/>
  <c r="L141" i="8"/>
  <c r="W140" i="8"/>
  <c r="J140" i="8"/>
  <c r="AA138" i="8"/>
  <c r="N138" i="8"/>
  <c r="Y137" i="8"/>
  <c r="L137" i="8"/>
  <c r="W136" i="8"/>
  <c r="J136" i="8"/>
  <c r="AA134" i="8"/>
  <c r="N134" i="8"/>
  <c r="Y133" i="8"/>
  <c r="L133" i="8"/>
  <c r="W132" i="8"/>
  <c r="J132" i="8"/>
  <c r="AA130" i="8"/>
  <c r="N130" i="8"/>
  <c r="Y129" i="8"/>
  <c r="L129" i="8"/>
  <c r="W128" i="8"/>
  <c r="J128" i="8"/>
  <c r="AA126" i="8"/>
  <c r="N126" i="8"/>
  <c r="Y125" i="8"/>
  <c r="L125" i="8"/>
  <c r="W124" i="8"/>
  <c r="J124" i="8"/>
  <c r="AA122" i="8"/>
  <c r="N122" i="8"/>
  <c r="Y121" i="8"/>
  <c r="L121" i="8"/>
  <c r="W120" i="8"/>
  <c r="J120" i="8"/>
  <c r="AA118" i="8"/>
  <c r="N118" i="8"/>
  <c r="Y117" i="8"/>
  <c r="L117" i="8"/>
  <c r="W116" i="8"/>
  <c r="J116" i="8"/>
  <c r="AA114" i="8"/>
  <c r="N114" i="8"/>
  <c r="Y113" i="8"/>
  <c r="L113" i="8"/>
  <c r="W112" i="8"/>
  <c r="J112" i="8"/>
  <c r="AA110" i="8"/>
  <c r="N110" i="8"/>
  <c r="Y109" i="8"/>
  <c r="L109" i="8"/>
  <c r="W108" i="8"/>
  <c r="J108" i="8"/>
  <c r="AA106" i="8"/>
  <c r="N106" i="8"/>
  <c r="Y105" i="8"/>
  <c r="L105" i="8"/>
  <c r="W104" i="8"/>
  <c r="J104" i="8"/>
  <c r="AA102" i="8"/>
  <c r="N102" i="8"/>
  <c r="Y101" i="8"/>
  <c r="L101" i="8"/>
  <c r="W100" i="8"/>
  <c r="J100" i="8"/>
  <c r="AA98" i="8"/>
  <c r="N98" i="8"/>
  <c r="Y97" i="8"/>
  <c r="L97" i="8"/>
  <c r="W96" i="8"/>
  <c r="J96" i="8"/>
  <c r="AA94" i="8"/>
  <c r="N94" i="8"/>
  <c r="Y93" i="8"/>
  <c r="L93" i="8"/>
  <c r="W92" i="8"/>
  <c r="J92" i="8"/>
  <c r="AA90" i="8"/>
  <c r="N90" i="8"/>
  <c r="Y89" i="8"/>
  <c r="L89" i="8"/>
  <c r="W88" i="8"/>
  <c r="J88" i="8"/>
  <c r="AA86" i="8"/>
  <c r="N86" i="8"/>
  <c r="Y85" i="8"/>
  <c r="L85" i="8"/>
  <c r="W84" i="8"/>
  <c r="J84" i="8"/>
  <c r="AA82" i="8"/>
  <c r="N82" i="8"/>
  <c r="Y81" i="8"/>
  <c r="L81" i="8"/>
  <c r="W80" i="8"/>
  <c r="J80" i="8"/>
  <c r="AA78" i="8"/>
  <c r="N78" i="8"/>
  <c r="Y77" i="8"/>
  <c r="L77" i="8"/>
  <c r="W76" i="8"/>
  <c r="J76" i="8"/>
  <c r="AA74" i="8"/>
  <c r="N74" i="8"/>
  <c r="Y73" i="8"/>
  <c r="L73" i="8"/>
  <c r="W72" i="8"/>
  <c r="J72" i="8"/>
  <c r="AA70" i="8"/>
  <c r="N70" i="8"/>
  <c r="Y69" i="8"/>
  <c r="L69" i="8"/>
  <c r="W68" i="8"/>
  <c r="J68" i="8"/>
  <c r="AA66" i="8"/>
  <c r="N66" i="8"/>
  <c r="Y65" i="8"/>
  <c r="L65" i="8"/>
  <c r="W64" i="8"/>
  <c r="J64" i="8"/>
  <c r="AA62" i="8"/>
  <c r="N62" i="8"/>
  <c r="Y61" i="8"/>
  <c r="L61" i="8"/>
  <c r="W60" i="8"/>
  <c r="J60" i="8"/>
  <c r="AA58" i="8"/>
  <c r="N58" i="8"/>
  <c r="Y57" i="8"/>
  <c r="L57" i="8"/>
  <c r="W56" i="8"/>
  <c r="J56" i="8"/>
  <c r="AA54" i="8"/>
  <c r="N54" i="8"/>
  <c r="Y53" i="8"/>
  <c r="L53" i="8"/>
  <c r="W52" i="8"/>
  <c r="J52" i="8"/>
  <c r="AA50" i="8"/>
  <c r="N50" i="8"/>
  <c r="Y49" i="8"/>
  <c r="L49" i="8"/>
  <c r="W48" i="8"/>
  <c r="J48" i="8"/>
  <c r="W43" i="8"/>
  <c r="J43" i="8"/>
  <c r="Z36" i="8"/>
  <c r="M36" i="8"/>
  <c r="Z28" i="8"/>
  <c r="M28" i="8"/>
  <c r="Z20" i="8"/>
  <c r="M20" i="8"/>
  <c r="Z12" i="8"/>
  <c r="M12" i="8"/>
  <c r="Y44" i="8"/>
  <c r="L44" i="8"/>
  <c r="Y36" i="8"/>
  <c r="L36" i="8"/>
  <c r="W30" i="8"/>
  <c r="J30" i="8"/>
  <c r="X25" i="8"/>
  <c r="K25" i="8"/>
  <c r="Y20" i="8"/>
  <c r="L20" i="8"/>
  <c r="AA18" i="8"/>
  <c r="N18" i="8"/>
  <c r="X17" i="8"/>
  <c r="K17" i="8"/>
  <c r="Z15" i="8"/>
  <c r="M15" i="8"/>
  <c r="W14" i="8"/>
  <c r="J14" i="8"/>
  <c r="Y12" i="8"/>
  <c r="L12" i="8"/>
  <c r="AA10" i="8"/>
  <c r="N10" i="8"/>
  <c r="X9" i="8"/>
  <c r="K9" i="8"/>
  <c r="Z7" i="8"/>
  <c r="M7" i="8"/>
  <c r="W6" i="8"/>
  <c r="AB7" i="8" s="1"/>
  <c r="J6" i="8"/>
  <c r="O7" i="8" s="1"/>
  <c r="X257" i="8"/>
  <c r="K257" i="8"/>
  <c r="Z254" i="8"/>
  <c r="M254" i="8"/>
  <c r="X253" i="8"/>
  <c r="K253" i="8"/>
  <c r="Z250" i="8"/>
  <c r="M250" i="8"/>
  <c r="X249" i="8"/>
  <c r="K249" i="8"/>
  <c r="Z246" i="8"/>
  <c r="M246" i="8"/>
  <c r="X245" i="8"/>
  <c r="K245" i="8"/>
  <c r="Z242" i="8"/>
  <c r="M242" i="8"/>
  <c r="X241" i="8"/>
  <c r="K241" i="8"/>
  <c r="Z238" i="8"/>
  <c r="M238" i="8"/>
  <c r="X237" i="8"/>
  <c r="K237" i="8"/>
  <c r="Z234" i="8"/>
  <c r="M234" i="8"/>
  <c r="X233" i="8"/>
  <c r="K233" i="8"/>
  <c r="Z230" i="8"/>
  <c r="M230" i="8"/>
  <c r="X229" i="8"/>
  <c r="K229" i="8"/>
  <c r="Z226" i="8"/>
  <c r="M226" i="8"/>
  <c r="X225" i="8"/>
  <c r="K225" i="8"/>
  <c r="Z222" i="8"/>
  <c r="M222" i="8"/>
  <c r="X221" i="8"/>
  <c r="K221" i="8"/>
  <c r="Z218" i="8"/>
  <c r="M218" i="8"/>
  <c r="X217" i="8"/>
  <c r="K217" i="8"/>
  <c r="Z214" i="8"/>
  <c r="M214" i="8"/>
  <c r="X213" i="8"/>
  <c r="K213" i="8"/>
  <c r="Z210" i="8"/>
  <c r="M210" i="8"/>
  <c r="X209" i="8"/>
  <c r="K209" i="8"/>
  <c r="Z206" i="8"/>
  <c r="M206" i="8"/>
  <c r="X205" i="8"/>
  <c r="K205" i="8"/>
  <c r="Z202" i="8"/>
  <c r="M202" i="8"/>
  <c r="X201" i="8"/>
  <c r="K201" i="8"/>
  <c r="Z198" i="8"/>
  <c r="M198" i="8"/>
  <c r="X197" i="8"/>
  <c r="K197" i="8"/>
  <c r="Z194" i="8"/>
  <c r="M194" i="8"/>
  <c r="X193" i="8"/>
  <c r="K193" i="8"/>
  <c r="Z190" i="8"/>
  <c r="M190" i="8"/>
  <c r="X189" i="8"/>
  <c r="K189" i="8"/>
  <c r="Z186" i="8"/>
  <c r="M186" i="8"/>
  <c r="X185" i="8"/>
  <c r="K185" i="8"/>
  <c r="Z182" i="8"/>
  <c r="M182" i="8"/>
  <c r="X181" i="8"/>
  <c r="K181" i="8"/>
  <c r="Z178" i="8"/>
  <c r="M178" i="8"/>
  <c r="X177" i="8"/>
  <c r="K177" i="8"/>
  <c r="Z174" i="8"/>
  <c r="M174" i="8"/>
  <c r="X173" i="8"/>
  <c r="K173" i="8"/>
  <c r="Z170" i="8"/>
  <c r="M170" i="8"/>
  <c r="X169" i="8"/>
  <c r="K169" i="8"/>
  <c r="Z166" i="8"/>
  <c r="M166" i="8"/>
  <c r="X165" i="8"/>
  <c r="K165" i="8"/>
  <c r="Z162" i="8"/>
  <c r="M162" i="8"/>
  <c r="X161" i="8"/>
  <c r="K161" i="8"/>
  <c r="Z158" i="8"/>
  <c r="M158" i="8"/>
  <c r="X157" i="8"/>
  <c r="K157" i="8"/>
  <c r="Z154" i="8"/>
  <c r="M154" i="8"/>
  <c r="X153" i="8"/>
  <c r="K153" i="8"/>
  <c r="Z150" i="8"/>
  <c r="M150" i="8"/>
  <c r="X149" i="8"/>
  <c r="K149" i="8"/>
  <c r="Z146" i="8"/>
  <c r="M146" i="8"/>
  <c r="X145" i="8"/>
  <c r="K145" i="8"/>
  <c r="Z142" i="8"/>
  <c r="M142" i="8"/>
  <c r="X141" i="8"/>
  <c r="K141" i="8"/>
  <c r="Z138" i="8"/>
  <c r="M138" i="8"/>
  <c r="X137" i="8"/>
  <c r="K137" i="8"/>
  <c r="Z134" i="8"/>
  <c r="M134" i="8"/>
  <c r="X133" i="8"/>
  <c r="K133" i="8"/>
  <c r="Z130" i="8"/>
  <c r="M130" i="8"/>
  <c r="X129" i="8"/>
  <c r="K129" i="8"/>
  <c r="Z126" i="8"/>
  <c r="M126" i="8"/>
  <c r="X125" i="8"/>
  <c r="K125" i="8"/>
  <c r="Z122" i="8"/>
  <c r="M122" i="8"/>
  <c r="X121" i="8"/>
  <c r="K121" i="8"/>
  <c r="Z118" i="8"/>
  <c r="M118" i="8"/>
  <c r="X117" i="8"/>
  <c r="K117" i="8"/>
  <c r="Z114" i="8"/>
  <c r="M114" i="8"/>
  <c r="X113" i="8"/>
  <c r="K113" i="8"/>
  <c r="Z110" i="8"/>
  <c r="M110" i="8"/>
  <c r="X109" i="8"/>
  <c r="K109" i="8"/>
  <c r="Z106" i="8"/>
  <c r="M106" i="8"/>
  <c r="X105" i="8"/>
  <c r="K105" i="8"/>
  <c r="Z102" i="8"/>
  <c r="M102" i="8"/>
  <c r="X101" i="8"/>
  <c r="K101" i="8"/>
  <c r="Z98" i="8"/>
  <c r="M98" i="8"/>
  <c r="X97" i="8"/>
  <c r="K97" i="8"/>
  <c r="Z94" i="8"/>
  <c r="M94" i="8"/>
  <c r="X93" i="8"/>
  <c r="K93" i="8"/>
  <c r="Z90" i="8"/>
  <c r="M90" i="8"/>
  <c r="X89" i="8"/>
  <c r="K89" i="8"/>
  <c r="Z86" i="8"/>
  <c r="M86" i="8"/>
  <c r="X85" i="8"/>
  <c r="K85" i="8"/>
  <c r="Z82" i="8"/>
  <c r="M82" i="8"/>
  <c r="X81" i="8"/>
  <c r="K81" i="8"/>
  <c r="Z78" i="8"/>
  <c r="M78" i="8"/>
  <c r="X77" i="8"/>
  <c r="K77" i="8"/>
  <c r="Z74" i="8"/>
  <c r="M74" i="8"/>
  <c r="X73" i="8"/>
  <c r="K73" i="8"/>
  <c r="Z70" i="8"/>
  <c r="M70" i="8"/>
  <c r="X69" i="8"/>
  <c r="K69" i="8"/>
  <c r="Z66" i="8"/>
  <c r="M66" i="8"/>
  <c r="X65" i="8"/>
  <c r="K65" i="8"/>
  <c r="Z62" i="8"/>
  <c r="M62" i="8"/>
  <c r="X61" i="8"/>
  <c r="K61" i="8"/>
  <c r="Z58" i="8"/>
  <c r="M58" i="8"/>
  <c r="X57" i="8"/>
  <c r="K57" i="8"/>
  <c r="Z54" i="8"/>
  <c r="M54" i="8"/>
  <c r="X53" i="8"/>
  <c r="K53" i="8"/>
  <c r="Z50" i="8"/>
  <c r="M50" i="8"/>
  <c r="X49" i="8"/>
  <c r="K49" i="8"/>
  <c r="X46" i="8"/>
  <c r="K46" i="8"/>
  <c r="Y33" i="8"/>
  <c r="L33" i="8"/>
  <c r="Y17" i="8"/>
  <c r="L17" i="8"/>
  <c r="AA42" i="8"/>
  <c r="N42" i="8"/>
  <c r="Z39" i="8"/>
  <c r="M39" i="8"/>
  <c r="AA34" i="8"/>
  <c r="N34" i="8"/>
  <c r="Z31" i="8"/>
  <c r="M31" i="8"/>
  <c r="AA26" i="8"/>
  <c r="N26" i="8"/>
  <c r="Z23" i="8"/>
  <c r="M23" i="8"/>
  <c r="AA45" i="8"/>
  <c r="N45" i="8"/>
  <c r="X44" i="8"/>
  <c r="K44" i="8"/>
  <c r="Z42" i="8"/>
  <c r="M42" i="8"/>
  <c r="W41" i="8"/>
  <c r="J41" i="8"/>
  <c r="Y39" i="8"/>
  <c r="L39" i="8"/>
  <c r="AA37" i="8"/>
  <c r="N37" i="8"/>
  <c r="X36" i="8"/>
  <c r="K36" i="8"/>
  <c r="Z34" i="8"/>
  <c r="M34" i="8"/>
  <c r="W33" i="8"/>
  <c r="J33" i="8"/>
  <c r="Y31" i="8"/>
  <c r="L31" i="8"/>
  <c r="AA29" i="8"/>
  <c r="N29" i="8"/>
  <c r="X28" i="8"/>
  <c r="K28" i="8"/>
  <c r="Z26" i="8"/>
  <c r="M26" i="8"/>
  <c r="W25" i="8"/>
  <c r="J25" i="8"/>
  <c r="Y23" i="8"/>
  <c r="L23" i="8"/>
  <c r="AA21" i="8"/>
  <c r="N21" i="8"/>
  <c r="X20" i="8"/>
  <c r="K20" i="8"/>
  <c r="Z18" i="8"/>
  <c r="M18" i="8"/>
  <c r="W17" i="8"/>
  <c r="J17" i="8"/>
  <c r="Y15" i="8"/>
  <c r="L15" i="8"/>
  <c r="AA13" i="8"/>
  <c r="N13" i="8"/>
  <c r="X12" i="8"/>
  <c r="K12" i="8"/>
  <c r="Z10" i="8"/>
  <c r="M10" i="8"/>
  <c r="W9" i="8"/>
  <c r="J9" i="8"/>
  <c r="Y7" i="8"/>
  <c r="L7" i="8"/>
  <c r="W257" i="8"/>
  <c r="J257" i="8"/>
  <c r="AA255" i="8"/>
  <c r="N255" i="8"/>
  <c r="Y254" i="8"/>
  <c r="L254" i="8"/>
  <c r="W253" i="8"/>
  <c r="J253" i="8"/>
  <c r="AA251" i="8"/>
  <c r="N251" i="8"/>
  <c r="Y250" i="8"/>
  <c r="L250" i="8"/>
  <c r="W249" i="8"/>
  <c r="J249" i="8"/>
  <c r="AA247" i="8"/>
  <c r="N247" i="8"/>
  <c r="Y246" i="8"/>
  <c r="L246" i="8"/>
  <c r="W245" i="8"/>
  <c r="J245" i="8"/>
  <c r="AA243" i="8"/>
  <c r="N243" i="8"/>
  <c r="Y242" i="8"/>
  <c r="L242" i="8"/>
  <c r="W241" i="8"/>
  <c r="J241" i="8"/>
  <c r="AA239" i="8"/>
  <c r="N239" i="8"/>
  <c r="Y238" i="8"/>
  <c r="L238" i="8"/>
  <c r="W237" i="8"/>
  <c r="J237" i="8"/>
  <c r="AA235" i="8"/>
  <c r="N235" i="8"/>
  <c r="Y234" i="8"/>
  <c r="L234" i="8"/>
  <c r="W233" i="8"/>
  <c r="J233" i="8"/>
  <c r="AA231" i="8"/>
  <c r="N231" i="8"/>
  <c r="Y230" i="8"/>
  <c r="L230" i="8"/>
  <c r="W229" i="8"/>
  <c r="J229" i="8"/>
  <c r="AA227" i="8"/>
  <c r="N227" i="8"/>
  <c r="Y226" i="8"/>
  <c r="L226" i="8"/>
  <c r="W225" i="8"/>
  <c r="J225" i="8"/>
  <c r="AA223" i="8"/>
  <c r="N223" i="8"/>
  <c r="Y222" i="8"/>
  <c r="L222" i="8"/>
  <c r="W221" i="8"/>
  <c r="J221" i="8"/>
  <c r="AA219" i="8"/>
  <c r="N219" i="8"/>
  <c r="Y218" i="8"/>
  <c r="L218" i="8"/>
  <c r="W217" i="8"/>
  <c r="J217" i="8"/>
  <c r="AA215" i="8"/>
  <c r="N215" i="8"/>
  <c r="Y214" i="8"/>
  <c r="L214" i="8"/>
  <c r="W213" i="8"/>
  <c r="J213" i="8"/>
  <c r="AA211" i="8"/>
  <c r="N211" i="8"/>
  <c r="Y210" i="8"/>
  <c r="L210" i="8"/>
  <c r="W209" i="8"/>
  <c r="J209" i="8"/>
  <c r="AA207" i="8"/>
  <c r="N207" i="8"/>
  <c r="Y206" i="8"/>
  <c r="L206" i="8"/>
  <c r="W205" i="8"/>
  <c r="J205" i="8"/>
  <c r="AA203" i="8"/>
  <c r="N203" i="8"/>
  <c r="Y202" i="8"/>
  <c r="L202" i="8"/>
  <c r="W201" i="8"/>
  <c r="J201" i="8"/>
  <c r="AA199" i="8"/>
  <c r="N199" i="8"/>
  <c r="Y198" i="8"/>
  <c r="L198" i="8"/>
  <c r="W197" i="8"/>
  <c r="J197" i="8"/>
  <c r="AA195" i="8"/>
  <c r="N195" i="8"/>
  <c r="Y194" i="8"/>
  <c r="L194" i="8"/>
  <c r="W193" i="8"/>
  <c r="J193" i="8"/>
  <c r="AA191" i="8"/>
  <c r="N191" i="8"/>
  <c r="Y190" i="8"/>
  <c r="L190" i="8"/>
  <c r="W189" i="8"/>
  <c r="J189" i="8"/>
  <c r="AA187" i="8"/>
  <c r="N187" i="8"/>
  <c r="Y186" i="8"/>
  <c r="L186" i="8"/>
  <c r="W185" i="8"/>
  <c r="J185" i="8"/>
  <c r="AA183" i="8"/>
  <c r="N183" i="8"/>
  <c r="Y182" i="8"/>
  <c r="L182" i="8"/>
  <c r="W181" i="8"/>
  <c r="J181" i="8"/>
  <c r="AA179" i="8"/>
  <c r="N179" i="8"/>
  <c r="Y178" i="8"/>
  <c r="L178" i="8"/>
  <c r="W177" i="8"/>
  <c r="J177" i="8"/>
  <c r="AA175" i="8"/>
  <c r="N175" i="8"/>
  <c r="Y174" i="8"/>
  <c r="L174" i="8"/>
  <c r="W173" i="8"/>
  <c r="J173" i="8"/>
  <c r="AA171" i="8"/>
  <c r="N171" i="8"/>
  <c r="Y170" i="8"/>
  <c r="L170" i="8"/>
  <c r="W169" i="8"/>
  <c r="J169" i="8"/>
  <c r="AA167" i="8"/>
  <c r="N167" i="8"/>
  <c r="Y166" i="8"/>
  <c r="L166" i="8"/>
  <c r="W165" i="8"/>
  <c r="J165" i="8"/>
  <c r="AA163" i="8"/>
  <c r="N163" i="8"/>
  <c r="Y162" i="8"/>
  <c r="L162" i="8"/>
  <c r="W161" i="8"/>
  <c r="J161" i="8"/>
  <c r="AA159" i="8"/>
  <c r="N159" i="8"/>
  <c r="Y158" i="8"/>
  <c r="L158" i="8"/>
  <c r="W157" i="8"/>
  <c r="J157" i="8"/>
  <c r="AA155" i="8"/>
  <c r="N155" i="8"/>
  <c r="Y154" i="8"/>
  <c r="L154" i="8"/>
  <c r="W153" i="8"/>
  <c r="J153" i="8"/>
  <c r="AA151" i="8"/>
  <c r="N151" i="8"/>
  <c r="Y150" i="8"/>
  <c r="L150" i="8"/>
  <c r="W149" i="8"/>
  <c r="J149" i="8"/>
  <c r="AA147" i="8"/>
  <c r="N147" i="8"/>
  <c r="Y146" i="8"/>
  <c r="L146" i="8"/>
  <c r="W145" i="8"/>
  <c r="J145" i="8"/>
  <c r="AA143" i="8"/>
  <c r="N143" i="8"/>
  <c r="Y142" i="8"/>
  <c r="L142" i="8"/>
  <c r="W141" i="8"/>
  <c r="J141" i="8"/>
  <c r="AA139" i="8"/>
  <c r="N139" i="8"/>
  <c r="Y138" i="8"/>
  <c r="L138" i="8"/>
  <c r="W137" i="8"/>
  <c r="J137" i="8"/>
  <c r="AA135" i="8"/>
  <c r="N135" i="8"/>
  <c r="Y134" i="8"/>
  <c r="L134" i="8"/>
  <c r="W133" i="8"/>
  <c r="J133" i="8"/>
  <c r="AA131" i="8"/>
  <c r="N131" i="8"/>
  <c r="Y130" i="8"/>
  <c r="L130" i="8"/>
  <c r="W129" i="8"/>
  <c r="J129" i="8"/>
  <c r="AA127" i="8"/>
  <c r="N127" i="8"/>
  <c r="Y126" i="8"/>
  <c r="L126" i="8"/>
  <c r="W125" i="8"/>
  <c r="J125" i="8"/>
  <c r="AA123" i="8"/>
  <c r="N123" i="8"/>
  <c r="Y122" i="8"/>
  <c r="L122" i="8"/>
  <c r="W121" i="8"/>
  <c r="J121" i="8"/>
  <c r="AA119" i="8"/>
  <c r="N119" i="8"/>
  <c r="Y118" i="8"/>
  <c r="L118" i="8"/>
  <c r="W117" i="8"/>
  <c r="J117" i="8"/>
  <c r="AA115" i="8"/>
  <c r="N115" i="8"/>
  <c r="Y114" i="8"/>
  <c r="L114" i="8"/>
  <c r="W113" i="8"/>
  <c r="J113" i="8"/>
  <c r="AA111" i="8"/>
  <c r="N111" i="8"/>
  <c r="Y110" i="8"/>
  <c r="L110" i="8"/>
  <c r="W109" i="8"/>
  <c r="J109" i="8"/>
  <c r="AA107" i="8"/>
  <c r="N107" i="8"/>
  <c r="Y106" i="8"/>
  <c r="L106" i="8"/>
  <c r="W105" i="8"/>
  <c r="J105" i="8"/>
  <c r="AA103" i="8"/>
  <c r="N103" i="8"/>
  <c r="Y102" i="8"/>
  <c r="L102" i="8"/>
  <c r="W101" i="8"/>
  <c r="J101" i="8"/>
  <c r="AA99" i="8"/>
  <c r="N99" i="8"/>
  <c r="Y98" i="8"/>
  <c r="L98" i="8"/>
  <c r="W97" i="8"/>
  <c r="J97" i="8"/>
  <c r="AA95" i="8"/>
  <c r="N95" i="8"/>
  <c r="Y94" i="8"/>
  <c r="L94" i="8"/>
  <c r="W93" i="8"/>
  <c r="J93" i="8"/>
  <c r="AA91" i="8"/>
  <c r="N91" i="8"/>
  <c r="Y90" i="8"/>
  <c r="L90" i="8"/>
  <c r="W89" i="8"/>
  <c r="J89" i="8"/>
  <c r="AA87" i="8"/>
  <c r="N87" i="8"/>
  <c r="Y86" i="8"/>
  <c r="L86" i="8"/>
  <c r="W85" i="8"/>
  <c r="J85" i="8"/>
  <c r="AA83" i="8"/>
  <c r="N83" i="8"/>
  <c r="Y82" i="8"/>
  <c r="L82" i="8"/>
  <c r="W81" i="8"/>
  <c r="J81" i="8"/>
  <c r="AA79" i="8"/>
  <c r="N79" i="8"/>
  <c r="Y78" i="8"/>
  <c r="L78" i="8"/>
  <c r="W77" i="8"/>
  <c r="J77" i="8"/>
  <c r="AA75" i="8"/>
  <c r="N75" i="8"/>
  <c r="Y74" i="8"/>
  <c r="L74" i="8"/>
  <c r="W73" i="8"/>
  <c r="J73" i="8"/>
  <c r="AA71" i="8"/>
  <c r="N71" i="8"/>
  <c r="Y70" i="8"/>
  <c r="L70" i="8"/>
  <c r="W69" i="8"/>
  <c r="J69" i="8"/>
  <c r="AA67" i="8"/>
  <c r="N67" i="8"/>
  <c r="Y66" i="8"/>
  <c r="L66" i="8"/>
  <c r="W65" i="8"/>
  <c r="J65" i="8"/>
  <c r="AA63" i="8"/>
  <c r="N63" i="8"/>
  <c r="Y62" i="8"/>
  <c r="L62" i="8"/>
  <c r="W61" i="8"/>
  <c r="J61" i="8"/>
  <c r="AA59" i="8"/>
  <c r="N59" i="8"/>
  <c r="Y58" i="8"/>
  <c r="L58" i="8"/>
  <c r="W57" i="8"/>
  <c r="J57" i="8"/>
  <c r="AA55" i="8"/>
  <c r="N55" i="8"/>
  <c r="Y54" i="8"/>
  <c r="L54" i="8"/>
  <c r="W53" i="8"/>
  <c r="J53" i="8"/>
  <c r="AA51" i="8"/>
  <c r="N51" i="8"/>
  <c r="Y50" i="8"/>
  <c r="L50" i="8"/>
  <c r="W49" i="8"/>
  <c r="J49" i="8"/>
  <c r="AA47" i="8"/>
  <c r="N47" i="8"/>
  <c r="W35" i="8"/>
  <c r="J35" i="8"/>
  <c r="W19" i="8"/>
  <c r="J19" i="8"/>
  <c r="W46" i="8"/>
  <c r="J46" i="8"/>
  <c r="X41" i="8"/>
  <c r="K41" i="8"/>
  <c r="W38" i="8"/>
  <c r="J38" i="8"/>
  <c r="X33" i="8"/>
  <c r="K33" i="8"/>
  <c r="Y28" i="8"/>
  <c r="L28" i="8"/>
  <c r="W22" i="8"/>
  <c r="J22" i="8"/>
  <c r="Z45" i="8"/>
  <c r="M45" i="8"/>
  <c r="W44" i="8"/>
  <c r="J44" i="8"/>
  <c r="Y42" i="8"/>
  <c r="L42" i="8"/>
  <c r="AA40" i="8"/>
  <c r="N40" i="8"/>
  <c r="X39" i="8"/>
  <c r="K39" i="8"/>
  <c r="Z37" i="8"/>
  <c r="M37" i="8"/>
  <c r="W36" i="8"/>
  <c r="J36" i="8"/>
  <c r="Y34" i="8"/>
  <c r="L34" i="8"/>
  <c r="AA32" i="8"/>
  <c r="N32" i="8"/>
  <c r="X31" i="8"/>
  <c r="K31" i="8"/>
  <c r="Z29" i="8"/>
  <c r="M29" i="8"/>
  <c r="W28" i="8"/>
  <c r="J28" i="8"/>
  <c r="Y26" i="8"/>
  <c r="L26" i="8"/>
  <c r="AA24" i="8"/>
  <c r="N24" i="8"/>
  <c r="X23" i="8"/>
  <c r="K23" i="8"/>
  <c r="Z21" i="8"/>
  <c r="M21" i="8"/>
  <c r="W20" i="8"/>
  <c r="J20" i="8"/>
  <c r="Y18" i="8"/>
  <c r="L18" i="8"/>
  <c r="AA16" i="8"/>
  <c r="N16" i="8"/>
  <c r="X15" i="8"/>
  <c r="K15" i="8"/>
  <c r="Z13" i="8"/>
  <c r="M13" i="8"/>
  <c r="W12" i="8"/>
  <c r="J12" i="8"/>
  <c r="Y10" i="8"/>
  <c r="L10" i="8"/>
  <c r="AA8" i="8"/>
  <c r="N8" i="8"/>
  <c r="X7" i="8"/>
  <c r="K7" i="8"/>
  <c r="Z255" i="8"/>
  <c r="M255" i="8"/>
  <c r="X254" i="8"/>
  <c r="K254" i="8"/>
  <c r="Z251" i="8"/>
  <c r="M251" i="8"/>
  <c r="X250" i="8"/>
  <c r="K250" i="8"/>
  <c r="Z247" i="8"/>
  <c r="M247" i="8"/>
  <c r="K246" i="8"/>
  <c r="X246" i="8"/>
  <c r="Z243" i="8"/>
  <c r="M243" i="8"/>
  <c r="X242" i="8"/>
  <c r="K242" i="8"/>
  <c r="Z239" i="8"/>
  <c r="M239" i="8"/>
  <c r="X238" i="8"/>
  <c r="K238" i="8"/>
  <c r="Z235" i="8"/>
  <c r="M235" i="8"/>
  <c r="X234" i="8"/>
  <c r="K234" i="8"/>
  <c r="Z231" i="8"/>
  <c r="M231" i="8"/>
  <c r="K230" i="8"/>
  <c r="X230" i="8"/>
  <c r="Z227" i="8"/>
  <c r="M227" i="8"/>
  <c r="X226" i="8"/>
  <c r="K226" i="8"/>
  <c r="Z223" i="8"/>
  <c r="M223" i="8"/>
  <c r="X222" i="8"/>
  <c r="K222" i="8"/>
  <c r="Z219" i="8"/>
  <c r="M219" i="8"/>
  <c r="X218" i="8"/>
  <c r="K218" i="8"/>
  <c r="Z215" i="8"/>
  <c r="M215" i="8"/>
  <c r="K214" i="8"/>
  <c r="X214" i="8"/>
  <c r="Z211" i="8"/>
  <c r="M211" i="8"/>
  <c r="X210" i="8"/>
  <c r="K210" i="8"/>
  <c r="Z207" i="8"/>
  <c r="M207" i="8"/>
  <c r="X206" i="8"/>
  <c r="K206" i="8"/>
  <c r="Z203" i="8"/>
  <c r="M203" i="8"/>
  <c r="X202" i="8"/>
  <c r="K202" i="8"/>
  <c r="Z199" i="8"/>
  <c r="M199" i="8"/>
  <c r="K198" i="8"/>
  <c r="X198" i="8"/>
  <c r="Z195" i="8"/>
  <c r="M195" i="8"/>
  <c r="X194" i="8"/>
  <c r="K194" i="8"/>
  <c r="Z191" i="8"/>
  <c r="M191" i="8"/>
  <c r="X190" i="8"/>
  <c r="K190" i="8"/>
  <c r="Z187" i="8"/>
  <c r="M187" i="8"/>
  <c r="X186" i="8"/>
  <c r="K186" i="8"/>
  <c r="Z183" i="8"/>
  <c r="M183" i="8"/>
  <c r="X182" i="8"/>
  <c r="K182" i="8"/>
  <c r="Z179" i="8"/>
  <c r="M179" i="8"/>
  <c r="X178" i="8"/>
  <c r="K178" i="8"/>
  <c r="Z175" i="8"/>
  <c r="M175" i="8"/>
  <c r="X174" i="8"/>
  <c r="K174" i="8"/>
  <c r="Z171" i="8"/>
  <c r="M171" i="8"/>
  <c r="X170" i="8"/>
  <c r="K170" i="8"/>
  <c r="Z167" i="8"/>
  <c r="M167" i="8"/>
  <c r="X166" i="8"/>
  <c r="K166" i="8"/>
  <c r="Z163" i="8"/>
  <c r="M163" i="8"/>
  <c r="X162" i="8"/>
  <c r="K162" i="8"/>
  <c r="Z159" i="8"/>
  <c r="M159" i="8"/>
  <c r="X158" i="8"/>
  <c r="K158" i="8"/>
  <c r="Z155" i="8"/>
  <c r="M155" i="8"/>
  <c r="X154" i="8"/>
  <c r="K154" i="8"/>
  <c r="Z151" i="8"/>
  <c r="M151" i="8"/>
  <c r="X150" i="8"/>
  <c r="K150" i="8"/>
  <c r="Z147" i="8"/>
  <c r="M147" i="8"/>
  <c r="X146" i="8"/>
  <c r="K146" i="8"/>
  <c r="Z143" i="8"/>
  <c r="M143" i="8"/>
  <c r="X142" i="8"/>
  <c r="K142" i="8"/>
  <c r="Z139" i="8"/>
  <c r="M139" i="8"/>
  <c r="X138" i="8"/>
  <c r="K138" i="8"/>
  <c r="Z135" i="8"/>
  <c r="M135" i="8"/>
  <c r="X134" i="8"/>
  <c r="K134" i="8"/>
  <c r="Z131" i="8"/>
  <c r="M131" i="8"/>
  <c r="X130" i="8"/>
  <c r="K130" i="8"/>
  <c r="Z127" i="8"/>
  <c r="M127" i="8"/>
  <c r="X126" i="8"/>
  <c r="K126" i="8"/>
  <c r="Z123" i="8"/>
  <c r="M123" i="8"/>
  <c r="X122" i="8"/>
  <c r="K122" i="8"/>
  <c r="Z119" i="8"/>
  <c r="M119" i="8"/>
  <c r="X118" i="8"/>
  <c r="K118" i="8"/>
  <c r="Z115" i="8"/>
  <c r="M115" i="8"/>
  <c r="X114" i="8"/>
  <c r="K114" i="8"/>
  <c r="Z111" i="8"/>
  <c r="M111" i="8"/>
  <c r="X110" i="8"/>
  <c r="K110" i="8"/>
  <c r="Z107" i="8"/>
  <c r="M107" i="8"/>
  <c r="X106" i="8"/>
  <c r="K106" i="8"/>
  <c r="Z103" i="8"/>
  <c r="M103" i="8"/>
  <c r="X102" i="8"/>
  <c r="K102" i="8"/>
  <c r="Z99" i="8"/>
  <c r="M99" i="8"/>
  <c r="X98" i="8"/>
  <c r="K98" i="8"/>
  <c r="Z95" i="8"/>
  <c r="M95" i="8"/>
  <c r="X94" i="8"/>
  <c r="K94" i="8"/>
  <c r="Z91" i="8"/>
  <c r="M91" i="8"/>
  <c r="X90" i="8"/>
  <c r="K90" i="8"/>
  <c r="Z87" i="8"/>
  <c r="M87" i="8"/>
  <c r="X86" i="8"/>
  <c r="K86" i="8"/>
  <c r="Z83" i="8"/>
  <c r="M83" i="8"/>
  <c r="X82" i="8"/>
  <c r="K82" i="8"/>
  <c r="Z79" i="8"/>
  <c r="M79" i="8"/>
  <c r="X78" i="8"/>
  <c r="K78" i="8"/>
  <c r="Z75" i="8"/>
  <c r="M75" i="8"/>
  <c r="X74" i="8"/>
  <c r="K74" i="8"/>
  <c r="Z71" i="8"/>
  <c r="M71" i="8"/>
  <c r="X70" i="8"/>
  <c r="K70" i="8"/>
  <c r="Z67" i="8"/>
  <c r="M67" i="8"/>
  <c r="X66" i="8"/>
  <c r="K66" i="8"/>
  <c r="Z63" i="8"/>
  <c r="M63" i="8"/>
  <c r="X62" i="8"/>
  <c r="K62" i="8"/>
  <c r="Z59" i="8"/>
  <c r="M59" i="8"/>
  <c r="X58" i="8"/>
  <c r="K58" i="8"/>
  <c r="Z55" i="8"/>
  <c r="M55" i="8"/>
  <c r="X54" i="8"/>
  <c r="K54" i="8"/>
  <c r="Z51" i="8"/>
  <c r="M51" i="8"/>
  <c r="X50" i="8"/>
  <c r="K50" i="8"/>
  <c r="Z47" i="8"/>
  <c r="M47" i="8"/>
  <c r="X38" i="8"/>
  <c r="K38" i="8"/>
  <c r="X22" i="8"/>
  <c r="K22" i="8"/>
  <c r="X6" i="8"/>
  <c r="AC7" i="8" s="1"/>
  <c r="AC8" i="8" s="1"/>
  <c r="K6" i="8"/>
  <c r="P7" i="8" s="1"/>
  <c r="X42" i="8"/>
  <c r="K42" i="8"/>
  <c r="W39" i="8"/>
  <c r="J39" i="8"/>
  <c r="Y37" i="8"/>
  <c r="L37" i="8"/>
  <c r="AA35" i="8"/>
  <c r="N35" i="8"/>
  <c r="X34" i="8"/>
  <c r="K34" i="8"/>
  <c r="Z32" i="8"/>
  <c r="M32" i="8"/>
  <c r="W31" i="8"/>
  <c r="J31" i="8"/>
  <c r="Y29" i="8"/>
  <c r="L29" i="8"/>
  <c r="AA27" i="8"/>
  <c r="N27" i="8"/>
  <c r="X26" i="8"/>
  <c r="K26" i="8"/>
  <c r="Z24" i="8"/>
  <c r="M24" i="8"/>
  <c r="J23" i="8"/>
  <c r="W23" i="8"/>
  <c r="Y21" i="8"/>
  <c r="L21" i="8"/>
  <c r="AA19" i="8"/>
  <c r="N19" i="8"/>
  <c r="X18" i="8"/>
  <c r="K18" i="8"/>
  <c r="Z16" i="8"/>
  <c r="M16" i="8"/>
  <c r="W15" i="8"/>
  <c r="J15" i="8"/>
  <c r="Y13" i="8"/>
  <c r="L13" i="8"/>
  <c r="AA11" i="8"/>
  <c r="N11" i="8"/>
  <c r="X10" i="8"/>
  <c r="K10" i="8"/>
  <c r="Z8" i="8"/>
  <c r="M8" i="8"/>
  <c r="W7" i="8"/>
  <c r="AB8" i="8" s="1"/>
  <c r="J7" i="8"/>
  <c r="AA256" i="8"/>
  <c r="N256" i="8"/>
  <c r="Y255" i="8"/>
  <c r="L255" i="8"/>
  <c r="W254" i="8"/>
  <c r="J254" i="8"/>
  <c r="AA252" i="8"/>
  <c r="N252" i="8"/>
  <c r="Y251" i="8"/>
  <c r="L251" i="8"/>
  <c r="W250" i="8"/>
  <c r="J250" i="8"/>
  <c r="AA248" i="8"/>
  <c r="N248" i="8"/>
  <c r="Y247" i="8"/>
  <c r="L247" i="8"/>
  <c r="W246" i="8"/>
  <c r="J246" i="8"/>
  <c r="AA244" i="8"/>
  <c r="N244" i="8"/>
  <c r="Y243" i="8"/>
  <c r="L243" i="8"/>
  <c r="W242" i="8"/>
  <c r="J242" i="8"/>
  <c r="AA240" i="8"/>
  <c r="N240" i="8"/>
  <c r="Y239" i="8"/>
  <c r="L239" i="8"/>
  <c r="W238" i="8"/>
  <c r="J238" i="8"/>
  <c r="AA236" i="8"/>
  <c r="N236" i="8"/>
  <c r="Y235" i="8"/>
  <c r="L235" i="8"/>
  <c r="W234" i="8"/>
  <c r="J234" i="8"/>
  <c r="AA232" i="8"/>
  <c r="N232" i="8"/>
  <c r="Y231" i="8"/>
  <c r="L231" i="8"/>
  <c r="W230" i="8"/>
  <c r="J230" i="8"/>
  <c r="AA228" i="8"/>
  <c r="N228" i="8"/>
  <c r="Y227" i="8"/>
  <c r="L227" i="8"/>
  <c r="W226" i="8"/>
  <c r="J226" i="8"/>
  <c r="AA224" i="8"/>
  <c r="N224" i="8"/>
  <c r="Y223" i="8"/>
  <c r="L223" i="8"/>
  <c r="W222" i="8"/>
  <c r="J222" i="8"/>
  <c r="AA220" i="8"/>
  <c r="N220" i="8"/>
  <c r="Y219" i="8"/>
  <c r="L219" i="8"/>
  <c r="W218" i="8"/>
  <c r="J218" i="8"/>
  <c r="AA216" i="8"/>
  <c r="N216" i="8"/>
  <c r="Y215" i="8"/>
  <c r="L215" i="8"/>
  <c r="W214" i="8"/>
  <c r="J214" i="8"/>
  <c r="AA212" i="8"/>
  <c r="N212" i="8"/>
  <c r="Y211" i="8"/>
  <c r="L211" i="8"/>
  <c r="W210" i="8"/>
  <c r="J210" i="8"/>
  <c r="AA208" i="8"/>
  <c r="N208" i="8"/>
  <c r="Y207" i="8"/>
  <c r="L207" i="8"/>
  <c r="W206" i="8"/>
  <c r="J206" i="8"/>
  <c r="AA204" i="8"/>
  <c r="N204" i="8"/>
  <c r="Y203" i="8"/>
  <c r="L203" i="8"/>
  <c r="W202" i="8"/>
  <c r="J202" i="8"/>
  <c r="AA200" i="8"/>
  <c r="N200" i="8"/>
  <c r="Y199" i="8"/>
  <c r="L199" i="8"/>
  <c r="W198" i="8"/>
  <c r="J198" i="8"/>
  <c r="AA196" i="8"/>
  <c r="N196" i="8"/>
  <c r="Y195" i="8"/>
  <c r="L195" i="8"/>
  <c r="W194" i="8"/>
  <c r="J194" i="8"/>
  <c r="AA192" i="8"/>
  <c r="N192" i="8"/>
  <c r="Y191" i="8"/>
  <c r="L191" i="8"/>
  <c r="W190" i="8"/>
  <c r="J190" i="8"/>
  <c r="AA188" i="8"/>
  <c r="N188" i="8"/>
  <c r="Y187" i="8"/>
  <c r="L187" i="8"/>
  <c r="W186" i="8"/>
  <c r="J186" i="8"/>
  <c r="AA184" i="8"/>
  <c r="N184" i="8"/>
  <c r="Y183" i="8"/>
  <c r="L183" i="8"/>
  <c r="W182" i="8"/>
  <c r="J182" i="8"/>
  <c r="AA180" i="8"/>
  <c r="N180" i="8"/>
  <c r="Y179" i="8"/>
  <c r="L179" i="8"/>
  <c r="W178" i="8"/>
  <c r="J178" i="8"/>
  <c r="AA176" i="8"/>
  <c r="N176" i="8"/>
  <c r="Y175" i="8"/>
  <c r="L175" i="8"/>
  <c r="W174" i="8"/>
  <c r="J174" i="8"/>
  <c r="AA172" i="8"/>
  <c r="N172" i="8"/>
  <c r="Y171" i="8"/>
  <c r="L171" i="8"/>
  <c r="W170" i="8"/>
  <c r="J170" i="8"/>
  <c r="AA168" i="8"/>
  <c r="N168" i="8"/>
  <c r="Y167" i="8"/>
  <c r="L167" i="8"/>
  <c r="W166" i="8"/>
  <c r="J166" i="8"/>
  <c r="AA164" i="8"/>
  <c r="N164" i="8"/>
  <c r="Y163" i="8"/>
  <c r="L163" i="8"/>
  <c r="W162" i="8"/>
  <c r="J162" i="8"/>
  <c r="AA160" i="8"/>
  <c r="N160" i="8"/>
  <c r="Y159" i="8"/>
  <c r="L159" i="8"/>
  <c r="W158" i="8"/>
  <c r="J158" i="8"/>
  <c r="AA156" i="8"/>
  <c r="N156" i="8"/>
  <c r="Y155" i="8"/>
  <c r="L155" i="8"/>
  <c r="W154" i="8"/>
  <c r="J154" i="8"/>
  <c r="AA152" i="8"/>
  <c r="N152" i="8"/>
  <c r="Y151" i="8"/>
  <c r="L151" i="8"/>
  <c r="W150" i="8"/>
  <c r="J150" i="8"/>
  <c r="AA148" i="8"/>
  <c r="N148" i="8"/>
  <c r="Y147" i="8"/>
  <c r="L147" i="8"/>
  <c r="W146" i="8"/>
  <c r="J146" i="8"/>
  <c r="AA144" i="8"/>
  <c r="N144" i="8"/>
  <c r="Y143" i="8"/>
  <c r="L143" i="8"/>
  <c r="W142" i="8"/>
  <c r="J142" i="8"/>
  <c r="AA140" i="8"/>
  <c r="N140" i="8"/>
  <c r="Y139" i="8"/>
  <c r="L139" i="8"/>
  <c r="W138" i="8"/>
  <c r="J138" i="8"/>
  <c r="AA136" i="8"/>
  <c r="N136" i="8"/>
  <c r="Y135" i="8"/>
  <c r="L135" i="8"/>
  <c r="W134" i="8"/>
  <c r="J134" i="8"/>
  <c r="AA132" i="8"/>
  <c r="N132" i="8"/>
  <c r="Y131" i="8"/>
  <c r="L131" i="8"/>
  <c r="W130" i="8"/>
  <c r="J130" i="8"/>
  <c r="AA128" i="8"/>
  <c r="N128" i="8"/>
  <c r="Y127" i="8"/>
  <c r="L127" i="8"/>
  <c r="W126" i="8"/>
  <c r="J126" i="8"/>
  <c r="AA124" i="8"/>
  <c r="N124" i="8"/>
  <c r="Y123" i="8"/>
  <c r="L123" i="8"/>
  <c r="W122" i="8"/>
  <c r="J122" i="8"/>
  <c r="AA120" i="8"/>
  <c r="N120" i="8"/>
  <c r="Y119" i="8"/>
  <c r="L119" i="8"/>
  <c r="W118" i="8"/>
  <c r="J118" i="8"/>
  <c r="AA116" i="8"/>
  <c r="N116" i="8"/>
  <c r="Y115" i="8"/>
  <c r="L115" i="8"/>
  <c r="W114" i="8"/>
  <c r="J114" i="8"/>
  <c r="AA112" i="8"/>
  <c r="N112" i="8"/>
  <c r="Y111" i="8"/>
  <c r="L111" i="8"/>
  <c r="W110" i="8"/>
  <c r="J110" i="8"/>
  <c r="AA108" i="8"/>
  <c r="N108" i="8"/>
  <c r="Y107" i="8"/>
  <c r="L107" i="8"/>
  <c r="W106" i="8"/>
  <c r="J106" i="8"/>
  <c r="AA104" i="8"/>
  <c r="N104" i="8"/>
  <c r="Y103" i="8"/>
  <c r="L103" i="8"/>
  <c r="W102" i="8"/>
  <c r="J102" i="8"/>
  <c r="AA100" i="8"/>
  <c r="N100" i="8"/>
  <c r="Y99" i="8"/>
  <c r="L99" i="8"/>
  <c r="W98" i="8"/>
  <c r="J98" i="8"/>
  <c r="AA96" i="8"/>
  <c r="N96" i="8"/>
  <c r="Y95" i="8"/>
  <c r="L95" i="8"/>
  <c r="W94" i="8"/>
  <c r="J94" i="8"/>
  <c r="AA92" i="8"/>
  <c r="N92" i="8"/>
  <c r="Y91" i="8"/>
  <c r="L91" i="8"/>
  <c r="W90" i="8"/>
  <c r="J90" i="8"/>
  <c r="AA88" i="8"/>
  <c r="N88" i="8"/>
  <c r="Y87" i="8"/>
  <c r="L87" i="8"/>
  <c r="W86" i="8"/>
  <c r="J86" i="8"/>
  <c r="AA84" i="8"/>
  <c r="N84" i="8"/>
  <c r="Y83" i="8"/>
  <c r="L83" i="8"/>
  <c r="W82" i="8"/>
  <c r="J82" i="8"/>
  <c r="AA80" i="8"/>
  <c r="N80" i="8"/>
  <c r="Y79" i="8"/>
  <c r="L79" i="8"/>
  <c r="W78" i="8"/>
  <c r="J78" i="8"/>
  <c r="AA76" i="8"/>
  <c r="N76" i="8"/>
  <c r="Y75" i="8"/>
  <c r="L75" i="8"/>
  <c r="W74" i="8"/>
  <c r="J74" i="8"/>
  <c r="AA72" i="8"/>
  <c r="N72" i="8"/>
  <c r="Y71" i="8"/>
  <c r="L71" i="8"/>
  <c r="W70" i="8"/>
  <c r="J70" i="8"/>
  <c r="AA68" i="8"/>
  <c r="N68" i="8"/>
  <c r="Y67" i="8"/>
  <c r="L67" i="8"/>
  <c r="W66" i="8"/>
  <c r="J66" i="8"/>
  <c r="AA64" i="8"/>
  <c r="N64" i="8"/>
  <c r="Y63" i="8"/>
  <c r="L63" i="8"/>
  <c r="W62" i="8"/>
  <c r="J62" i="8"/>
  <c r="AA60" i="8"/>
  <c r="N60" i="8"/>
  <c r="Y59" i="8"/>
  <c r="L59" i="8"/>
  <c r="W58" i="8"/>
  <c r="J58" i="8"/>
  <c r="AA56" i="8"/>
  <c r="N56" i="8"/>
  <c r="Y55" i="8"/>
  <c r="L55" i="8"/>
  <c r="W54" i="8"/>
  <c r="J54" i="8"/>
  <c r="AA52" i="8"/>
  <c r="N52" i="8"/>
  <c r="Y51" i="8"/>
  <c r="L51" i="8"/>
  <c r="W50" i="8"/>
  <c r="J50" i="8"/>
  <c r="AA48" i="8"/>
  <c r="N48" i="8"/>
  <c r="Y47" i="8"/>
  <c r="L47" i="8"/>
  <c r="AA39" i="8"/>
  <c r="N39" i="8"/>
  <c r="X30" i="8"/>
  <c r="K30" i="8"/>
  <c r="AA23" i="8"/>
  <c r="N23" i="8"/>
  <c r="AA15" i="8"/>
  <c r="N15" i="8"/>
  <c r="AA7" i="8"/>
  <c r="N7" i="8"/>
  <c r="Y45" i="8"/>
  <c r="L45" i="8"/>
  <c r="AA46" i="8"/>
  <c r="N46" i="8"/>
  <c r="Y40" i="8"/>
  <c r="L40" i="8"/>
  <c r="W34" i="8"/>
  <c r="J34" i="8"/>
  <c r="X29" i="8"/>
  <c r="K29" i="8"/>
  <c r="Z27" i="8"/>
  <c r="M27" i="8"/>
  <c r="W26" i="8"/>
  <c r="J26" i="8"/>
  <c r="Y24" i="8"/>
  <c r="L24" i="8"/>
  <c r="AA22" i="8"/>
  <c r="N22" i="8"/>
  <c r="X21" i="8"/>
  <c r="K21" i="8"/>
  <c r="Z19" i="8"/>
  <c r="M19" i="8"/>
  <c r="W18" i="8"/>
  <c r="J18" i="8"/>
  <c r="Y16" i="8"/>
  <c r="L16" i="8"/>
  <c r="AA14" i="8"/>
  <c r="N14" i="8"/>
  <c r="X13" i="8"/>
  <c r="K13" i="8"/>
  <c r="Z11" i="8"/>
  <c r="M11" i="8"/>
  <c r="W10" i="8"/>
  <c r="J10" i="8"/>
  <c r="Y8" i="8"/>
  <c r="L8" i="8"/>
  <c r="AA6" i="8"/>
  <c r="AF7" i="8" s="1"/>
  <c r="N6" i="8"/>
  <c r="Z256" i="8"/>
  <c r="M256" i="8"/>
  <c r="X255" i="8"/>
  <c r="K255" i="8"/>
  <c r="Z252" i="8"/>
  <c r="M252" i="8"/>
  <c r="X251" i="8"/>
  <c r="K251" i="8"/>
  <c r="Z248" i="8"/>
  <c r="M248" i="8"/>
  <c r="X247" i="8"/>
  <c r="K247" i="8"/>
  <c r="Z244" i="8"/>
  <c r="M244" i="8"/>
  <c r="X243" i="8"/>
  <c r="K243" i="8"/>
  <c r="Z240" i="8"/>
  <c r="M240" i="8"/>
  <c r="X239" i="8"/>
  <c r="K239" i="8"/>
  <c r="Z236" i="8"/>
  <c r="M236" i="8"/>
  <c r="X235" i="8"/>
  <c r="K235" i="8"/>
  <c r="Z232" i="8"/>
  <c r="M232" i="8"/>
  <c r="X231" i="8"/>
  <c r="K231" i="8"/>
  <c r="Z228" i="8"/>
  <c r="M228" i="8"/>
  <c r="X227" i="8"/>
  <c r="K227" i="8"/>
  <c r="Z224" i="8"/>
  <c r="M224" i="8"/>
  <c r="X223" i="8"/>
  <c r="K223" i="8"/>
  <c r="Z220" i="8"/>
  <c r="M220" i="8"/>
  <c r="X219" i="8"/>
  <c r="K219" i="8"/>
  <c r="Z216" i="8"/>
  <c r="M216" i="8"/>
  <c r="X215" i="8"/>
  <c r="K215" i="8"/>
  <c r="Z212" i="8"/>
  <c r="M212" i="8"/>
  <c r="X211" i="8"/>
  <c r="K211" i="8"/>
  <c r="Z208" i="8"/>
  <c r="M208" i="8"/>
  <c r="X207" i="8"/>
  <c r="K207" i="8"/>
  <c r="Z204" i="8"/>
  <c r="M204" i="8"/>
  <c r="X203" i="8"/>
  <c r="K203" i="8"/>
  <c r="Z200" i="8"/>
  <c r="M200" i="8"/>
  <c r="X199" i="8"/>
  <c r="K199" i="8"/>
  <c r="Z196" i="8"/>
  <c r="M196" i="8"/>
  <c r="X195" i="8"/>
  <c r="K195" i="8"/>
  <c r="Z192" i="8"/>
  <c r="M192" i="8"/>
  <c r="X191" i="8"/>
  <c r="K191" i="8"/>
  <c r="Z188" i="8"/>
  <c r="M188" i="8"/>
  <c r="X187" i="8"/>
  <c r="K187" i="8"/>
  <c r="Z184" i="8"/>
  <c r="M184" i="8"/>
  <c r="X183" i="8"/>
  <c r="K183" i="8"/>
  <c r="Z180" i="8"/>
  <c r="M180" i="8"/>
  <c r="X179" i="8"/>
  <c r="K179" i="8"/>
  <c r="Z176" i="8"/>
  <c r="M176" i="8"/>
  <c r="X175" i="8"/>
  <c r="K175" i="8"/>
  <c r="Z172" i="8"/>
  <c r="M172" i="8"/>
  <c r="X171" i="8"/>
  <c r="K171" i="8"/>
  <c r="Z168" i="8"/>
  <c r="M168" i="8"/>
  <c r="X167" i="8"/>
  <c r="K167" i="8"/>
  <c r="Z164" i="8"/>
  <c r="M164" i="8"/>
  <c r="X163" i="8"/>
  <c r="K163" i="8"/>
  <c r="Z160" i="8"/>
  <c r="M160" i="8"/>
  <c r="X159" i="8"/>
  <c r="K159" i="8"/>
  <c r="Z156" i="8"/>
  <c r="M156" i="8"/>
  <c r="X155" i="8"/>
  <c r="K155" i="8"/>
  <c r="Z152" i="8"/>
  <c r="M152" i="8"/>
  <c r="X151" i="8"/>
  <c r="K151" i="8"/>
  <c r="Z148" i="8"/>
  <c r="M148" i="8"/>
  <c r="X147" i="8"/>
  <c r="K147" i="8"/>
  <c r="Z144" i="8"/>
  <c r="M144" i="8"/>
  <c r="X143" i="8"/>
  <c r="K143" i="8"/>
  <c r="Z140" i="8"/>
  <c r="M140" i="8"/>
  <c r="X139" i="8"/>
  <c r="K139" i="8"/>
  <c r="Z136" i="8"/>
  <c r="M136" i="8"/>
  <c r="X135" i="8"/>
  <c r="K135" i="8"/>
  <c r="Z132" i="8"/>
  <c r="M132" i="8"/>
  <c r="X131" i="8"/>
  <c r="K131" i="8"/>
  <c r="Z128" i="8"/>
  <c r="M128" i="8"/>
  <c r="X127" i="8"/>
  <c r="K127" i="8"/>
  <c r="Z124" i="8"/>
  <c r="M124" i="8"/>
  <c r="X123" i="8"/>
  <c r="K123" i="8"/>
  <c r="Z120" i="8"/>
  <c r="M120" i="8"/>
  <c r="X119" i="8"/>
  <c r="K119" i="8"/>
  <c r="Z116" i="8"/>
  <c r="M116" i="8"/>
  <c r="X115" i="8"/>
  <c r="K115" i="8"/>
  <c r="Z112" i="8"/>
  <c r="M112" i="8"/>
  <c r="X111" i="8"/>
  <c r="K111" i="8"/>
  <c r="Z108" i="8"/>
  <c r="M108" i="8"/>
  <c r="X107" i="8"/>
  <c r="K107" i="8"/>
  <c r="Z104" i="8"/>
  <c r="M104" i="8"/>
  <c r="X103" i="8"/>
  <c r="K103" i="8"/>
  <c r="Z100" i="8"/>
  <c r="M100" i="8"/>
  <c r="X99" i="8"/>
  <c r="K99" i="8"/>
  <c r="Z96" i="8"/>
  <c r="M96" i="8"/>
  <c r="X95" i="8"/>
  <c r="K95" i="8"/>
  <c r="Z92" i="8"/>
  <c r="M92" i="8"/>
  <c r="X91" i="8"/>
  <c r="K91" i="8"/>
  <c r="Z88" i="8"/>
  <c r="M88" i="8"/>
  <c r="X87" i="8"/>
  <c r="K87" i="8"/>
  <c r="Z84" i="8"/>
  <c r="M84" i="8"/>
  <c r="X83" i="8"/>
  <c r="K83" i="8"/>
  <c r="Z80" i="8"/>
  <c r="M80" i="8"/>
  <c r="X79" i="8"/>
  <c r="K79" i="8"/>
  <c r="Z76" i="8"/>
  <c r="M76" i="8"/>
  <c r="X75" i="8"/>
  <c r="K75" i="8"/>
  <c r="Z72" i="8"/>
  <c r="M72" i="8"/>
  <c r="X71" i="8"/>
  <c r="K71" i="8"/>
  <c r="Z68" i="8"/>
  <c r="M68" i="8"/>
  <c r="X67" i="8"/>
  <c r="K67" i="8"/>
  <c r="Z64" i="8"/>
  <c r="M64" i="8"/>
  <c r="X63" i="8"/>
  <c r="K63" i="8"/>
  <c r="Z60" i="8"/>
  <c r="M60" i="8"/>
  <c r="X59" i="8"/>
  <c r="K59" i="8"/>
  <c r="Z56" i="8"/>
  <c r="M56" i="8"/>
  <c r="X55" i="8"/>
  <c r="K55" i="8"/>
  <c r="Z52" i="8"/>
  <c r="M52" i="8"/>
  <c r="X51" i="8"/>
  <c r="K51" i="8"/>
  <c r="Z48" i="8"/>
  <c r="M48" i="8"/>
  <c r="X47" i="8"/>
  <c r="K47" i="8"/>
  <c r="G5" i="6"/>
  <c r="L94" i="6"/>
  <c r="L78" i="6"/>
  <c r="L62" i="6"/>
  <c r="L46" i="6"/>
  <c r="L30" i="6"/>
  <c r="O15" i="6"/>
  <c r="L14" i="6"/>
  <c r="N12" i="6"/>
  <c r="P10" i="6"/>
  <c r="M9" i="6"/>
  <c r="O7" i="6"/>
  <c r="L6" i="6"/>
  <c r="K5" i="6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J305" i="6" s="1"/>
  <c r="J306" i="6" s="1"/>
  <c r="J307" i="6" s="1"/>
  <c r="J308" i="6" s="1"/>
  <c r="J309" i="6" s="1"/>
  <c r="J310" i="6" s="1"/>
  <c r="J311" i="6" s="1"/>
  <c r="J312" i="6" s="1"/>
  <c r="J313" i="6" s="1"/>
  <c r="J314" i="6" s="1"/>
  <c r="J315" i="6" s="1"/>
  <c r="J316" i="6" s="1"/>
  <c r="J317" i="6" s="1"/>
  <c r="J318" i="6" s="1"/>
  <c r="J319" i="6" s="1"/>
  <c r="J320" i="6" s="1"/>
  <c r="J321" i="6" s="1"/>
  <c r="J322" i="6" s="1"/>
  <c r="J323" i="6" s="1"/>
  <c r="J324" i="6" s="1"/>
  <c r="J325" i="6" s="1"/>
  <c r="J326" i="6" s="1"/>
  <c r="J327" i="6" s="1"/>
  <c r="J328" i="6" s="1"/>
  <c r="J329" i="6" s="1"/>
  <c r="J330" i="6" s="1"/>
  <c r="J331" i="6" s="1"/>
  <c r="J332" i="6" s="1"/>
  <c r="J333" i="6" s="1"/>
  <c r="J334" i="6" s="1"/>
  <c r="J335" i="6" s="1"/>
  <c r="J336" i="6" s="1"/>
  <c r="J337" i="6" s="1"/>
  <c r="J338" i="6" s="1"/>
  <c r="J339" i="6" s="1"/>
  <c r="J340" i="6" s="1"/>
  <c r="J341" i="6" s="1"/>
  <c r="J342" i="6" s="1"/>
  <c r="J343" i="6" s="1"/>
  <c r="J344" i="6" s="1"/>
  <c r="J345" i="6" s="1"/>
  <c r="J346" i="6" s="1"/>
  <c r="J347" i="6" s="1"/>
  <c r="J348" i="6" s="1"/>
  <c r="J349" i="6" s="1"/>
  <c r="J350" i="6" s="1"/>
  <c r="J351" i="6" s="1"/>
  <c r="J352" i="6" s="1"/>
  <c r="J353" i="6" s="1"/>
  <c r="J354" i="6" s="1"/>
  <c r="J355" i="6" s="1"/>
  <c r="J356" i="6" s="1"/>
  <c r="J357" i="6" s="1"/>
  <c r="J358" i="6" s="1"/>
  <c r="J359" i="6" s="1"/>
  <c r="J360" i="6" s="1"/>
  <c r="J361" i="6" s="1"/>
  <c r="J362" i="6" s="1"/>
  <c r="J363" i="6" s="1"/>
  <c r="J364" i="6" s="1"/>
  <c r="J365" i="6" s="1"/>
  <c r="J366" i="6" s="1"/>
  <c r="J367" i="6" s="1"/>
  <c r="J368" i="6" s="1"/>
  <c r="J369" i="6" s="1"/>
  <c r="J370" i="6" s="1"/>
  <c r="J371" i="6" s="1"/>
  <c r="J372" i="6" s="1"/>
  <c r="J373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398" i="6" s="1"/>
  <c r="J399" i="6" s="1"/>
  <c r="J400" i="6" s="1"/>
  <c r="J401" i="6" s="1"/>
  <c r="J402" i="6" s="1"/>
  <c r="J403" i="6" s="1"/>
  <c r="J404" i="6" s="1"/>
  <c r="J405" i="6" s="1"/>
  <c r="J406" i="6" s="1"/>
  <c r="J407" i="6" s="1"/>
  <c r="J408" i="6" s="1"/>
  <c r="J409" i="6" s="1"/>
  <c r="J410" i="6" s="1"/>
  <c r="J411" i="6" s="1"/>
  <c r="J412" i="6" s="1"/>
  <c r="J413" i="6" s="1"/>
  <c r="J414" i="6" s="1"/>
  <c r="J415" i="6" s="1"/>
  <c r="J416" i="6" s="1"/>
  <c r="J417" i="6" s="1"/>
  <c r="J418" i="6" s="1"/>
  <c r="J419" i="6" s="1"/>
  <c r="J420" i="6" s="1"/>
  <c r="J421" i="6" s="1"/>
  <c r="J422" i="6" s="1"/>
  <c r="J423" i="6" s="1"/>
  <c r="J424" i="6" s="1"/>
  <c r="J425" i="6" s="1"/>
  <c r="J426" i="6" s="1"/>
  <c r="J4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456" i="6" s="1"/>
  <c r="J457" i="6" s="1"/>
  <c r="J458" i="6" s="1"/>
  <c r="J459" i="6" s="1"/>
  <c r="J460" i="6" s="1"/>
  <c r="J461" i="6" s="1"/>
  <c r="J462" i="6" s="1"/>
  <c r="J463" i="6" s="1"/>
  <c r="J464" i="6" s="1"/>
  <c r="J465" i="6" s="1"/>
  <c r="J466" i="6" s="1"/>
  <c r="J467" i="6" s="1"/>
  <c r="I5" i="6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292" i="6" s="1"/>
  <c r="I293" i="6" s="1"/>
  <c r="I294" i="6" s="1"/>
  <c r="I295" i="6" s="1"/>
  <c r="I296" i="6" s="1"/>
  <c r="I297" i="6" s="1"/>
  <c r="I298" i="6" s="1"/>
  <c r="I299" i="6" s="1"/>
  <c r="I300" i="6" s="1"/>
  <c r="I301" i="6" s="1"/>
  <c r="I302" i="6" s="1"/>
  <c r="I303" i="6" s="1"/>
  <c r="I304" i="6" s="1"/>
  <c r="I305" i="6" s="1"/>
  <c r="I306" i="6" s="1"/>
  <c r="I307" i="6" s="1"/>
  <c r="I308" i="6" s="1"/>
  <c r="I309" i="6" s="1"/>
  <c r="I310" i="6" s="1"/>
  <c r="I311" i="6" s="1"/>
  <c r="I312" i="6" s="1"/>
  <c r="I313" i="6" s="1"/>
  <c r="I314" i="6" s="1"/>
  <c r="I315" i="6" s="1"/>
  <c r="I316" i="6" s="1"/>
  <c r="I317" i="6" s="1"/>
  <c r="I318" i="6" s="1"/>
  <c r="I319" i="6" s="1"/>
  <c r="I320" i="6" s="1"/>
  <c r="I321" i="6" s="1"/>
  <c r="I322" i="6" s="1"/>
  <c r="I323" i="6" s="1"/>
  <c r="I324" i="6" s="1"/>
  <c r="I325" i="6" s="1"/>
  <c r="I326" i="6" s="1"/>
  <c r="I327" i="6" s="1"/>
  <c r="I328" i="6" s="1"/>
  <c r="I329" i="6" s="1"/>
  <c r="I330" i="6" s="1"/>
  <c r="I331" i="6" s="1"/>
  <c r="I332" i="6" s="1"/>
  <c r="I333" i="6" s="1"/>
  <c r="I334" i="6" s="1"/>
  <c r="I335" i="6" s="1"/>
  <c r="I336" i="6" s="1"/>
  <c r="I337" i="6" s="1"/>
  <c r="I338" i="6" s="1"/>
  <c r="I339" i="6" s="1"/>
  <c r="I340" i="6" s="1"/>
  <c r="I341" i="6" s="1"/>
  <c r="I342" i="6" s="1"/>
  <c r="I343" i="6" s="1"/>
  <c r="I344" i="6" s="1"/>
  <c r="I345" i="6" s="1"/>
  <c r="I346" i="6" s="1"/>
  <c r="I347" i="6" s="1"/>
  <c r="I348" i="6" s="1"/>
  <c r="I349" i="6" s="1"/>
  <c r="I350" i="6" s="1"/>
  <c r="I351" i="6" s="1"/>
  <c r="I352" i="6" s="1"/>
  <c r="I353" i="6" s="1"/>
  <c r="I354" i="6" s="1"/>
  <c r="I355" i="6" s="1"/>
  <c r="I356" i="6" s="1"/>
  <c r="I357" i="6" s="1"/>
  <c r="I358" i="6" s="1"/>
  <c r="I359" i="6" s="1"/>
  <c r="I360" i="6" s="1"/>
  <c r="I361" i="6" s="1"/>
  <c r="I362" i="6" s="1"/>
  <c r="I363" i="6" s="1"/>
  <c r="I364" i="6" s="1"/>
  <c r="I365" i="6" s="1"/>
  <c r="I366" i="6" s="1"/>
  <c r="I367" i="6" s="1"/>
  <c r="I368" i="6" s="1"/>
  <c r="I369" i="6" s="1"/>
  <c r="I370" i="6" s="1"/>
  <c r="I371" i="6" s="1"/>
  <c r="I372" i="6" s="1"/>
  <c r="I373" i="6" s="1"/>
  <c r="I374" i="6" s="1"/>
  <c r="I375" i="6" s="1"/>
  <c r="I376" i="6" s="1"/>
  <c r="I377" i="6" s="1"/>
  <c r="I378" i="6" s="1"/>
  <c r="I379" i="6" s="1"/>
  <c r="I380" i="6" s="1"/>
  <c r="I381" i="6" s="1"/>
  <c r="I382" i="6" s="1"/>
  <c r="I383" i="6" s="1"/>
  <c r="I384" i="6" s="1"/>
  <c r="I385" i="6" s="1"/>
  <c r="I386" i="6" s="1"/>
  <c r="I387" i="6" s="1"/>
  <c r="I388" i="6" s="1"/>
  <c r="I389" i="6" s="1"/>
  <c r="I390" i="6" s="1"/>
  <c r="I391" i="6" s="1"/>
  <c r="I392" i="6" s="1"/>
  <c r="I393" i="6" s="1"/>
  <c r="I394" i="6" s="1"/>
  <c r="I395" i="6" s="1"/>
  <c r="I396" i="6" s="1"/>
  <c r="I397" i="6" s="1"/>
  <c r="I398" i="6" s="1"/>
  <c r="I399" i="6" s="1"/>
  <c r="I400" i="6" s="1"/>
  <c r="I401" i="6" s="1"/>
  <c r="I402" i="6" s="1"/>
  <c r="I403" i="6" s="1"/>
  <c r="I404" i="6" s="1"/>
  <c r="I405" i="6" s="1"/>
  <c r="I406" i="6" s="1"/>
  <c r="I407" i="6" s="1"/>
  <c r="I408" i="6" s="1"/>
  <c r="I409" i="6" s="1"/>
  <c r="I410" i="6" s="1"/>
  <c r="I411" i="6" s="1"/>
  <c r="I412" i="6" s="1"/>
  <c r="I413" i="6" s="1"/>
  <c r="I414" i="6" s="1"/>
  <c r="I415" i="6" s="1"/>
  <c r="I416" i="6" s="1"/>
  <c r="I417" i="6" s="1"/>
  <c r="I418" i="6" s="1"/>
  <c r="I419" i="6" s="1"/>
  <c r="I420" i="6" s="1"/>
  <c r="I421" i="6" s="1"/>
  <c r="I422" i="6" s="1"/>
  <c r="I423" i="6" s="1"/>
  <c r="I424" i="6" s="1"/>
  <c r="I425" i="6" s="1"/>
  <c r="I426" i="6" s="1"/>
  <c r="I427" i="6" s="1"/>
  <c r="I428" i="6" s="1"/>
  <c r="I429" i="6" s="1"/>
  <c r="I430" i="6" s="1"/>
  <c r="I431" i="6" s="1"/>
  <c r="I432" i="6" s="1"/>
  <c r="I433" i="6" s="1"/>
  <c r="I434" i="6" s="1"/>
  <c r="I435" i="6" s="1"/>
  <c r="I436" i="6" s="1"/>
  <c r="I437" i="6" s="1"/>
  <c r="I438" i="6" s="1"/>
  <c r="I439" i="6" s="1"/>
  <c r="I440" i="6" s="1"/>
  <c r="I441" i="6" s="1"/>
  <c r="I442" i="6" s="1"/>
  <c r="I443" i="6" s="1"/>
  <c r="I444" i="6" s="1"/>
  <c r="I445" i="6" s="1"/>
  <c r="I446" i="6" s="1"/>
  <c r="I447" i="6" s="1"/>
  <c r="I448" i="6" s="1"/>
  <c r="I449" i="6" s="1"/>
  <c r="I450" i="6" s="1"/>
  <c r="I451" i="6" s="1"/>
  <c r="I452" i="6" s="1"/>
  <c r="I453" i="6" s="1"/>
  <c r="I454" i="6" s="1"/>
  <c r="I455" i="6" s="1"/>
  <c r="I456" i="6" s="1"/>
  <c r="I457" i="6" s="1"/>
  <c r="I458" i="6" s="1"/>
  <c r="I459" i="6" s="1"/>
  <c r="I460" i="6" s="1"/>
  <c r="I461" i="6" s="1"/>
  <c r="I462" i="6" s="1"/>
  <c r="I463" i="6" s="1"/>
  <c r="I464" i="6" s="1"/>
  <c r="I465" i="6" s="1"/>
  <c r="I466" i="6" s="1"/>
  <c r="I467" i="6" s="1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L16" i="6"/>
  <c r="M15" i="6"/>
  <c r="N14" i="6"/>
  <c r="O13" i="6"/>
  <c r="P12" i="6"/>
  <c r="L12" i="6"/>
  <c r="M11" i="6"/>
  <c r="N10" i="6"/>
  <c r="O9" i="6"/>
  <c r="P8" i="6"/>
  <c r="L8" i="6"/>
  <c r="M7" i="6"/>
  <c r="N6" i="6"/>
  <c r="D7" i="8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7" i="10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7" i="10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7" i="10" s="1"/>
  <c r="M5" i="6"/>
  <c r="F7" i="8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7" i="10" s="1"/>
  <c r="B7" i="8"/>
  <c r="N256" i="6"/>
  <c r="O255" i="6"/>
  <c r="P254" i="6"/>
  <c r="L254" i="6"/>
  <c r="M253" i="6"/>
  <c r="N252" i="6"/>
  <c r="O251" i="6"/>
  <c r="P250" i="6"/>
  <c r="L250" i="6"/>
  <c r="M249" i="6"/>
  <c r="N248" i="6"/>
  <c r="O247" i="6"/>
  <c r="P246" i="6"/>
  <c r="L246" i="6"/>
  <c r="M245" i="6"/>
  <c r="N244" i="6"/>
  <c r="O243" i="6"/>
  <c r="P242" i="6"/>
  <c r="L242" i="6"/>
  <c r="M241" i="6"/>
  <c r="N240" i="6"/>
  <c r="O239" i="6"/>
  <c r="P238" i="6"/>
  <c r="L238" i="6"/>
  <c r="M237" i="6"/>
  <c r="N236" i="6"/>
  <c r="O235" i="6"/>
  <c r="P234" i="6"/>
  <c r="L234" i="6"/>
  <c r="M233" i="6"/>
  <c r="N232" i="6"/>
  <c r="O231" i="6"/>
  <c r="P230" i="6"/>
  <c r="L230" i="6"/>
  <c r="M229" i="6"/>
  <c r="N228" i="6"/>
  <c r="O227" i="6"/>
  <c r="P226" i="6"/>
  <c r="L226" i="6"/>
  <c r="M225" i="6"/>
  <c r="N224" i="6"/>
  <c r="O223" i="6"/>
  <c r="P222" i="6"/>
  <c r="L222" i="6"/>
  <c r="M221" i="6"/>
  <c r="N220" i="6"/>
  <c r="O219" i="6"/>
  <c r="P218" i="6"/>
  <c r="L218" i="6"/>
  <c r="M217" i="6"/>
  <c r="N216" i="6"/>
  <c r="Q7" i="8"/>
  <c r="O215" i="6"/>
  <c r="P214" i="6"/>
  <c r="L214" i="6"/>
  <c r="M213" i="6"/>
  <c r="N212" i="6"/>
  <c r="O211" i="6"/>
  <c r="P210" i="6"/>
  <c r="L210" i="6"/>
  <c r="M209" i="6"/>
  <c r="N208" i="6"/>
  <c r="O207" i="6"/>
  <c r="P206" i="6"/>
  <c r="L206" i="6"/>
  <c r="M205" i="6"/>
  <c r="N204" i="6"/>
  <c r="O203" i="6"/>
  <c r="P202" i="6"/>
  <c r="L202" i="6"/>
  <c r="M201" i="6"/>
  <c r="N200" i="6"/>
  <c r="O199" i="6"/>
  <c r="P198" i="6"/>
  <c r="L198" i="6"/>
  <c r="M197" i="6"/>
  <c r="N196" i="6"/>
  <c r="O195" i="6"/>
  <c r="P194" i="6"/>
  <c r="L194" i="6"/>
  <c r="M193" i="6"/>
  <c r="N192" i="6"/>
  <c r="O191" i="6"/>
  <c r="P190" i="6"/>
  <c r="L190" i="6"/>
  <c r="M189" i="6"/>
  <c r="N188" i="6"/>
  <c r="O187" i="6"/>
  <c r="P186" i="6"/>
  <c r="L186" i="6"/>
  <c r="M185" i="6"/>
  <c r="N184" i="6"/>
  <c r="O183" i="6"/>
  <c r="P182" i="6"/>
  <c r="L182" i="6"/>
  <c r="M181" i="6"/>
  <c r="N180" i="6"/>
  <c r="O179" i="6"/>
  <c r="P178" i="6"/>
  <c r="L178" i="6"/>
  <c r="M177" i="6"/>
  <c r="N176" i="6"/>
  <c r="O175" i="6"/>
  <c r="P174" i="6"/>
  <c r="L174" i="6"/>
  <c r="M173" i="6"/>
  <c r="N172" i="6"/>
  <c r="O171" i="6"/>
  <c r="P170" i="6"/>
  <c r="L170" i="6"/>
  <c r="M169" i="6"/>
  <c r="N168" i="6"/>
  <c r="O167" i="6"/>
  <c r="P166" i="6"/>
  <c r="L166" i="6"/>
  <c r="M165" i="6"/>
  <c r="N164" i="6"/>
  <c r="O163" i="6"/>
  <c r="P162" i="6"/>
  <c r="L162" i="6"/>
  <c r="M161" i="6"/>
  <c r="N160" i="6"/>
  <c r="O159" i="6"/>
  <c r="P158" i="6"/>
  <c r="L158" i="6"/>
  <c r="M157" i="6"/>
  <c r="N156" i="6"/>
  <c r="O155" i="6"/>
  <c r="P154" i="6"/>
  <c r="L154" i="6"/>
  <c r="M153" i="6"/>
  <c r="N152" i="6"/>
  <c r="O151" i="6"/>
  <c r="P150" i="6"/>
  <c r="L150" i="6"/>
  <c r="M149" i="6"/>
  <c r="N148" i="6"/>
  <c r="O147" i="6"/>
  <c r="P146" i="6"/>
  <c r="L146" i="6"/>
  <c r="M145" i="6"/>
  <c r="N144" i="6"/>
  <c r="O143" i="6"/>
  <c r="P142" i="6"/>
  <c r="L142" i="6"/>
  <c r="M141" i="6"/>
  <c r="N140" i="6"/>
  <c r="O139" i="6"/>
  <c r="P138" i="6"/>
  <c r="L138" i="6"/>
  <c r="M137" i="6"/>
  <c r="N136" i="6"/>
  <c r="O135" i="6"/>
  <c r="P134" i="6"/>
  <c r="L134" i="6"/>
  <c r="M133" i="6"/>
  <c r="N132" i="6"/>
  <c r="O131" i="6"/>
  <c r="P130" i="6"/>
  <c r="L130" i="6"/>
  <c r="M129" i="6"/>
  <c r="N128" i="6"/>
  <c r="O127" i="6"/>
  <c r="P126" i="6"/>
  <c r="L126" i="6"/>
  <c r="M125" i="6"/>
  <c r="N124" i="6"/>
  <c r="O123" i="6"/>
  <c r="P122" i="6"/>
  <c r="L122" i="6"/>
  <c r="M121" i="6"/>
  <c r="N120" i="6"/>
  <c r="O119" i="6"/>
  <c r="P118" i="6"/>
  <c r="L118" i="6"/>
  <c r="M117" i="6"/>
  <c r="N116" i="6"/>
  <c r="O115" i="6"/>
  <c r="P114" i="6"/>
  <c r="L114" i="6"/>
  <c r="M113" i="6"/>
  <c r="N112" i="6"/>
  <c r="O111" i="6"/>
  <c r="P110" i="6"/>
  <c r="L110" i="6"/>
  <c r="M109" i="6"/>
  <c r="N108" i="6"/>
  <c r="O107" i="6"/>
  <c r="P106" i="6"/>
  <c r="L106" i="6"/>
  <c r="M105" i="6"/>
  <c r="N104" i="6"/>
  <c r="O103" i="6"/>
  <c r="P102" i="6"/>
  <c r="L102" i="6"/>
  <c r="M101" i="6"/>
  <c r="N100" i="6"/>
  <c r="O95" i="6"/>
  <c r="L98" i="6"/>
  <c r="P90" i="6"/>
  <c r="M89" i="6"/>
  <c r="O87" i="6"/>
  <c r="L86" i="6"/>
  <c r="N84" i="6"/>
  <c r="P82" i="6"/>
  <c r="M81" i="6"/>
  <c r="N80" i="6"/>
  <c r="O79" i="6"/>
  <c r="P78" i="6"/>
  <c r="N76" i="6"/>
  <c r="M73" i="6"/>
  <c r="M69" i="6"/>
  <c r="M57" i="6"/>
  <c r="M53" i="6"/>
  <c r="L50" i="6"/>
  <c r="O47" i="6"/>
  <c r="P42" i="6"/>
  <c r="P38" i="6"/>
  <c r="O35" i="6"/>
  <c r="N32" i="6"/>
  <c r="N28" i="6"/>
  <c r="L22" i="6"/>
  <c r="O467" i="6"/>
  <c r="M462" i="6"/>
  <c r="O455" i="6"/>
  <c r="M452" i="6"/>
  <c r="O449" i="6"/>
  <c r="M444" i="6"/>
  <c r="O437" i="6"/>
  <c r="M432" i="6"/>
  <c r="O429" i="6"/>
  <c r="M426" i="6"/>
  <c r="O423" i="6"/>
  <c r="O417" i="6"/>
  <c r="M412" i="6"/>
  <c r="O409" i="6"/>
  <c r="M406" i="6"/>
  <c r="O403" i="6"/>
  <c r="O401" i="6"/>
  <c r="O395" i="6"/>
  <c r="M394" i="6"/>
  <c r="O391" i="6"/>
  <c r="M390" i="6"/>
  <c r="O387" i="6"/>
  <c r="M386" i="6"/>
  <c r="M384" i="6"/>
  <c r="O381" i="6"/>
  <c r="O379" i="6"/>
  <c r="O375" i="6"/>
  <c r="M374" i="6"/>
  <c r="O371" i="6"/>
  <c r="M370" i="6"/>
  <c r="O365" i="6"/>
  <c r="M364" i="6"/>
  <c r="O361" i="6"/>
  <c r="O359" i="6"/>
  <c r="M358" i="6"/>
  <c r="O355" i="6"/>
  <c r="M354" i="6"/>
  <c r="M352" i="6"/>
  <c r="O349" i="6"/>
  <c r="M348" i="6"/>
  <c r="O345" i="6"/>
  <c r="M344" i="6"/>
  <c r="O343" i="6"/>
  <c r="M342" i="6"/>
  <c r="O339" i="6"/>
  <c r="M338" i="6"/>
  <c r="O335" i="6"/>
  <c r="M334" i="6"/>
  <c r="O331" i="6"/>
  <c r="M330" i="6"/>
  <c r="O327" i="6"/>
  <c r="M326" i="6"/>
  <c r="O323" i="6"/>
  <c r="M322" i="6"/>
  <c r="O319" i="6"/>
  <c r="M318" i="6"/>
  <c r="O313" i="6"/>
  <c r="M312" i="6"/>
  <c r="O309" i="6"/>
  <c r="O307" i="6"/>
  <c r="M306" i="6"/>
  <c r="O303" i="6"/>
  <c r="M302" i="6"/>
  <c r="O299" i="6"/>
  <c r="M298" i="6"/>
  <c r="O295" i="6"/>
  <c r="M294" i="6"/>
  <c r="O289" i="6"/>
  <c r="M288" i="6"/>
  <c r="O285" i="6"/>
  <c r="O277" i="6"/>
  <c r="M276" i="6"/>
  <c r="O273" i="6"/>
  <c r="M272" i="6"/>
  <c r="O269" i="6"/>
  <c r="M268" i="6"/>
  <c r="O265" i="6"/>
  <c r="M264" i="6"/>
  <c r="O261" i="6"/>
  <c r="O259" i="6"/>
  <c r="N92" i="6"/>
  <c r="L70" i="6"/>
  <c r="P66" i="6"/>
  <c r="M65" i="6"/>
  <c r="O63" i="6"/>
  <c r="M61" i="6"/>
  <c r="O59" i="6"/>
  <c r="N56" i="6"/>
  <c r="L54" i="6"/>
  <c r="P50" i="6"/>
  <c r="N48" i="6"/>
  <c r="M45" i="6"/>
  <c r="M41" i="6"/>
  <c r="L38" i="6"/>
  <c r="P34" i="6"/>
  <c r="P26" i="6"/>
  <c r="N24" i="6"/>
  <c r="M21" i="6"/>
  <c r="L18" i="6"/>
  <c r="O465" i="6"/>
  <c r="M460" i="6"/>
  <c r="O457" i="6"/>
  <c r="M450" i="6"/>
  <c r="O447" i="6"/>
  <c r="M442" i="6"/>
  <c r="M436" i="6"/>
  <c r="O433" i="6"/>
  <c r="M428" i="6"/>
  <c r="O425" i="6"/>
  <c r="M420" i="6"/>
  <c r="M418" i="6"/>
  <c r="M416" i="6"/>
  <c r="M410" i="6"/>
  <c r="O407" i="6"/>
  <c r="O405" i="6"/>
  <c r="M404" i="6"/>
  <c r="M402" i="6"/>
  <c r="O399" i="6"/>
  <c r="M398" i="6"/>
  <c r="M396" i="6"/>
  <c r="O393" i="6"/>
  <c r="M392" i="6"/>
  <c r="O389" i="6"/>
  <c r="M388" i="6"/>
  <c r="O385" i="6"/>
  <c r="O383" i="6"/>
  <c r="M382" i="6"/>
  <c r="M380" i="6"/>
  <c r="O377" i="6"/>
  <c r="M376" i="6"/>
  <c r="O373" i="6"/>
  <c r="M372" i="6"/>
  <c r="O369" i="6"/>
  <c r="M368" i="6"/>
  <c r="M366" i="6"/>
  <c r="O363" i="6"/>
  <c r="M362" i="6"/>
  <c r="M360" i="6"/>
  <c r="O357" i="6"/>
  <c r="M356" i="6"/>
  <c r="O353" i="6"/>
  <c r="O351" i="6"/>
  <c r="M350" i="6"/>
  <c r="O347" i="6"/>
  <c r="M346" i="6"/>
  <c r="O341" i="6"/>
  <c r="M340" i="6"/>
  <c r="O337" i="6"/>
  <c r="M336" i="6"/>
  <c r="O333" i="6"/>
  <c r="M332" i="6"/>
  <c r="O329" i="6"/>
  <c r="M328" i="6"/>
  <c r="O325" i="6"/>
  <c r="M324" i="6"/>
  <c r="O321" i="6"/>
  <c r="M320" i="6"/>
  <c r="O317" i="6"/>
  <c r="M316" i="6"/>
  <c r="O315" i="6"/>
  <c r="M314" i="6"/>
  <c r="O311" i="6"/>
  <c r="M310" i="6"/>
  <c r="M308" i="6"/>
  <c r="O305" i="6"/>
  <c r="M304" i="6"/>
  <c r="O301" i="6"/>
  <c r="M300" i="6"/>
  <c r="O297" i="6"/>
  <c r="M296" i="6"/>
  <c r="O293" i="6"/>
  <c r="M292" i="6"/>
  <c r="O291" i="6"/>
  <c r="M290" i="6"/>
  <c r="O287" i="6"/>
  <c r="M286" i="6"/>
  <c r="M284" i="6"/>
  <c r="M282" i="6"/>
  <c r="M280" i="6"/>
  <c r="O279" i="6"/>
  <c r="M278" i="6"/>
  <c r="O275" i="6"/>
  <c r="M274" i="6"/>
  <c r="O271" i="6"/>
  <c r="M270" i="6"/>
  <c r="O267" i="6"/>
  <c r="M266" i="6"/>
  <c r="O263" i="6"/>
  <c r="M262" i="6"/>
  <c r="M260" i="6"/>
  <c r="M258" i="6"/>
  <c r="O257" i="6"/>
  <c r="M256" i="6"/>
  <c r="N255" i="6"/>
  <c r="O254" i="6"/>
  <c r="P253" i="6"/>
  <c r="L253" i="6"/>
  <c r="M252" i="6"/>
  <c r="N251" i="6"/>
  <c r="O250" i="6"/>
  <c r="P249" i="6"/>
  <c r="L249" i="6"/>
  <c r="M248" i="6"/>
  <c r="N247" i="6"/>
  <c r="O246" i="6"/>
  <c r="P245" i="6"/>
  <c r="L245" i="6"/>
  <c r="M244" i="6"/>
  <c r="N243" i="6"/>
  <c r="O242" i="6"/>
  <c r="P241" i="6"/>
  <c r="L241" i="6"/>
  <c r="M240" i="6"/>
  <c r="N239" i="6"/>
  <c r="O238" i="6"/>
  <c r="P237" i="6"/>
  <c r="L237" i="6"/>
  <c r="M236" i="6"/>
  <c r="N235" i="6"/>
  <c r="O234" i="6"/>
  <c r="P233" i="6"/>
  <c r="L233" i="6"/>
  <c r="M232" i="6"/>
  <c r="N231" i="6"/>
  <c r="O230" i="6"/>
  <c r="P229" i="6"/>
  <c r="L229" i="6"/>
  <c r="M228" i="6"/>
  <c r="N227" i="6"/>
  <c r="O226" i="6"/>
  <c r="P225" i="6"/>
  <c r="L225" i="6"/>
  <c r="M224" i="6"/>
  <c r="N223" i="6"/>
  <c r="O222" i="6"/>
  <c r="P221" i="6"/>
  <c r="L221" i="6"/>
  <c r="M220" i="6"/>
  <c r="N219" i="6"/>
  <c r="O218" i="6"/>
  <c r="P217" i="6"/>
  <c r="L217" i="6"/>
  <c r="M216" i="6"/>
  <c r="N215" i="6"/>
  <c r="O214" i="6"/>
  <c r="P213" i="6"/>
  <c r="L213" i="6"/>
  <c r="M212" i="6"/>
  <c r="N211" i="6"/>
  <c r="O210" i="6"/>
  <c r="P209" i="6"/>
  <c r="L209" i="6"/>
  <c r="M208" i="6"/>
  <c r="N207" i="6"/>
  <c r="O206" i="6"/>
  <c r="P205" i="6"/>
  <c r="L205" i="6"/>
  <c r="M204" i="6"/>
  <c r="N203" i="6"/>
  <c r="O202" i="6"/>
  <c r="P201" i="6"/>
  <c r="L201" i="6"/>
  <c r="M200" i="6"/>
  <c r="N199" i="6"/>
  <c r="O198" i="6"/>
  <c r="P197" i="6"/>
  <c r="L197" i="6"/>
  <c r="M196" i="6"/>
  <c r="N195" i="6"/>
  <c r="O194" i="6"/>
  <c r="P193" i="6"/>
  <c r="L193" i="6"/>
  <c r="M192" i="6"/>
  <c r="N191" i="6"/>
  <c r="O190" i="6"/>
  <c r="P189" i="6"/>
  <c r="L189" i="6"/>
  <c r="M188" i="6"/>
  <c r="N187" i="6"/>
  <c r="O186" i="6"/>
  <c r="P185" i="6"/>
  <c r="L185" i="6"/>
  <c r="M184" i="6"/>
  <c r="N183" i="6"/>
  <c r="O182" i="6"/>
  <c r="P181" i="6"/>
  <c r="L181" i="6"/>
  <c r="M180" i="6"/>
  <c r="N179" i="6"/>
  <c r="O178" i="6"/>
  <c r="P177" i="6"/>
  <c r="L177" i="6"/>
  <c r="M176" i="6"/>
  <c r="N175" i="6"/>
  <c r="O174" i="6"/>
  <c r="P173" i="6"/>
  <c r="L173" i="6"/>
  <c r="M172" i="6"/>
  <c r="N171" i="6"/>
  <c r="O170" i="6"/>
  <c r="P169" i="6"/>
  <c r="L169" i="6"/>
  <c r="M168" i="6"/>
  <c r="N167" i="6"/>
  <c r="O166" i="6"/>
  <c r="P165" i="6"/>
  <c r="L165" i="6"/>
  <c r="M164" i="6"/>
  <c r="N163" i="6"/>
  <c r="O162" i="6"/>
  <c r="P161" i="6"/>
  <c r="L161" i="6"/>
  <c r="M160" i="6"/>
  <c r="N159" i="6"/>
  <c r="O158" i="6"/>
  <c r="P157" i="6"/>
  <c r="L157" i="6"/>
  <c r="M156" i="6"/>
  <c r="N155" i="6"/>
  <c r="O154" i="6"/>
  <c r="P153" i="6"/>
  <c r="L153" i="6"/>
  <c r="M152" i="6"/>
  <c r="N151" i="6"/>
  <c r="O150" i="6"/>
  <c r="P149" i="6"/>
  <c r="L149" i="6"/>
  <c r="M148" i="6"/>
  <c r="N147" i="6"/>
  <c r="O146" i="6"/>
  <c r="P145" i="6"/>
  <c r="L145" i="6"/>
  <c r="M144" i="6"/>
  <c r="N143" i="6"/>
  <c r="O142" i="6"/>
  <c r="P141" i="6"/>
  <c r="L141" i="6"/>
  <c r="M140" i="6"/>
  <c r="N139" i="6"/>
  <c r="O138" i="6"/>
  <c r="P137" i="6"/>
  <c r="L137" i="6"/>
  <c r="M136" i="6"/>
  <c r="N135" i="6"/>
  <c r="O134" i="6"/>
  <c r="P133" i="6"/>
  <c r="L133" i="6"/>
  <c r="M132" i="6"/>
  <c r="N131" i="6"/>
  <c r="O130" i="6"/>
  <c r="P129" i="6"/>
  <c r="L129" i="6"/>
  <c r="M128" i="6"/>
  <c r="N127" i="6"/>
  <c r="O126" i="6"/>
  <c r="P125" i="6"/>
  <c r="L125" i="6"/>
  <c r="M124" i="6"/>
  <c r="N123" i="6"/>
  <c r="O122" i="6"/>
  <c r="P121" i="6"/>
  <c r="L121" i="6"/>
  <c r="M120" i="6"/>
  <c r="N119" i="6"/>
  <c r="O118" i="6"/>
  <c r="P117" i="6"/>
  <c r="L117" i="6"/>
  <c r="M116" i="6"/>
  <c r="N115" i="6"/>
  <c r="O114" i="6"/>
  <c r="P113" i="6"/>
  <c r="L113" i="6"/>
  <c r="M112" i="6"/>
  <c r="N111" i="6"/>
  <c r="O110" i="6"/>
  <c r="P109" i="6"/>
  <c r="L109" i="6"/>
  <c r="M108" i="6"/>
  <c r="N107" i="6"/>
  <c r="O106" i="6"/>
  <c r="P105" i="6"/>
  <c r="L105" i="6"/>
  <c r="M104" i="6"/>
  <c r="N103" i="6"/>
  <c r="O102" i="6"/>
  <c r="P101" i="6"/>
  <c r="L101" i="6"/>
  <c r="M100" i="6"/>
  <c r="N99" i="6"/>
  <c r="O98" i="6"/>
  <c r="P97" i="6"/>
  <c r="L97" i="6"/>
  <c r="M96" i="6"/>
  <c r="N95" i="6"/>
  <c r="O94" i="6"/>
  <c r="P93" i="6"/>
  <c r="L93" i="6"/>
  <c r="M92" i="6"/>
  <c r="N91" i="6"/>
  <c r="O90" i="6"/>
  <c r="P89" i="6"/>
  <c r="L89" i="6"/>
  <c r="M88" i="6"/>
  <c r="N87" i="6"/>
  <c r="O86" i="6"/>
  <c r="P85" i="6"/>
  <c r="L85" i="6"/>
  <c r="M84" i="6"/>
  <c r="N83" i="6"/>
  <c r="O82" i="6"/>
  <c r="P81" i="6"/>
  <c r="L81" i="6"/>
  <c r="M80" i="6"/>
  <c r="N79" i="6"/>
  <c r="O78" i="6"/>
  <c r="P77" i="6"/>
  <c r="L77" i="6"/>
  <c r="M76" i="6"/>
  <c r="N75" i="6"/>
  <c r="O74" i="6"/>
  <c r="P73" i="6"/>
  <c r="L73" i="6"/>
  <c r="M72" i="6"/>
  <c r="N71" i="6"/>
  <c r="O70" i="6"/>
  <c r="P69" i="6"/>
  <c r="L69" i="6"/>
  <c r="M68" i="6"/>
  <c r="N67" i="6"/>
  <c r="O66" i="6"/>
  <c r="P65" i="6"/>
  <c r="L65" i="6"/>
  <c r="M64" i="6"/>
  <c r="N63" i="6"/>
  <c r="O62" i="6"/>
  <c r="P61" i="6"/>
  <c r="L61" i="6"/>
  <c r="M60" i="6"/>
  <c r="N59" i="6"/>
  <c r="O58" i="6"/>
  <c r="P57" i="6"/>
  <c r="L57" i="6"/>
  <c r="M56" i="6"/>
  <c r="N55" i="6"/>
  <c r="O54" i="6"/>
  <c r="P53" i="6"/>
  <c r="L53" i="6"/>
  <c r="M52" i="6"/>
  <c r="N51" i="6"/>
  <c r="O50" i="6"/>
  <c r="P49" i="6"/>
  <c r="L49" i="6"/>
  <c r="M48" i="6"/>
  <c r="N47" i="6"/>
  <c r="O46" i="6"/>
  <c r="P45" i="6"/>
  <c r="L45" i="6"/>
  <c r="M44" i="6"/>
  <c r="N43" i="6"/>
  <c r="O42" i="6"/>
  <c r="P41" i="6"/>
  <c r="L41" i="6"/>
  <c r="M40" i="6"/>
  <c r="N39" i="6"/>
  <c r="O38" i="6"/>
  <c r="P37" i="6"/>
  <c r="L37" i="6"/>
  <c r="M36" i="6"/>
  <c r="N35" i="6"/>
  <c r="O34" i="6"/>
  <c r="P33" i="6"/>
  <c r="L33" i="6"/>
  <c r="M32" i="6"/>
  <c r="N31" i="6"/>
  <c r="O30" i="6"/>
  <c r="P29" i="6"/>
  <c r="L29" i="6"/>
  <c r="M28" i="6"/>
  <c r="N27" i="6"/>
  <c r="O26" i="6"/>
  <c r="P25" i="6"/>
  <c r="L25" i="6"/>
  <c r="M24" i="6"/>
  <c r="N23" i="6"/>
  <c r="O22" i="6"/>
  <c r="P21" i="6"/>
  <c r="L21" i="6"/>
  <c r="M20" i="6"/>
  <c r="N19" i="6"/>
  <c r="O18" i="6"/>
  <c r="P17" i="6"/>
  <c r="L17" i="6"/>
  <c r="M16" i="6"/>
  <c r="N15" i="6"/>
  <c r="O14" i="6"/>
  <c r="P13" i="6"/>
  <c r="L13" i="6"/>
  <c r="M12" i="6"/>
  <c r="N11" i="6"/>
  <c r="O10" i="6"/>
  <c r="P9" i="6"/>
  <c r="L9" i="6"/>
  <c r="M8" i="6"/>
  <c r="N7" i="6"/>
  <c r="O6" i="6"/>
  <c r="P5" i="6"/>
  <c r="L5" i="6"/>
  <c r="N467" i="6"/>
  <c r="P466" i="6"/>
  <c r="L466" i="6"/>
  <c r="N465" i="6"/>
  <c r="P464" i="6"/>
  <c r="L464" i="6"/>
  <c r="N463" i="6"/>
  <c r="P462" i="6"/>
  <c r="L462" i="6"/>
  <c r="N461" i="6"/>
  <c r="P460" i="6"/>
  <c r="L460" i="6"/>
  <c r="N459" i="6"/>
  <c r="P458" i="6"/>
  <c r="L458" i="6"/>
  <c r="N457" i="6"/>
  <c r="P456" i="6"/>
  <c r="L456" i="6"/>
  <c r="N455" i="6"/>
  <c r="P454" i="6"/>
  <c r="L454" i="6"/>
  <c r="N453" i="6"/>
  <c r="P452" i="6"/>
  <c r="L452" i="6"/>
  <c r="N451" i="6"/>
  <c r="P450" i="6"/>
  <c r="L450" i="6"/>
  <c r="N449" i="6"/>
  <c r="P448" i="6"/>
  <c r="L448" i="6"/>
  <c r="N447" i="6"/>
  <c r="P446" i="6"/>
  <c r="L446" i="6"/>
  <c r="N445" i="6"/>
  <c r="P444" i="6"/>
  <c r="L444" i="6"/>
  <c r="N443" i="6"/>
  <c r="P442" i="6"/>
  <c r="L442" i="6"/>
  <c r="N441" i="6"/>
  <c r="P440" i="6"/>
  <c r="L440" i="6"/>
  <c r="N439" i="6"/>
  <c r="P438" i="6"/>
  <c r="L438" i="6"/>
  <c r="N437" i="6"/>
  <c r="P436" i="6"/>
  <c r="L436" i="6"/>
  <c r="N435" i="6"/>
  <c r="P434" i="6"/>
  <c r="L434" i="6"/>
  <c r="N433" i="6"/>
  <c r="P432" i="6"/>
  <c r="L432" i="6"/>
  <c r="N431" i="6"/>
  <c r="P430" i="6"/>
  <c r="L430" i="6"/>
  <c r="N429" i="6"/>
  <c r="P428" i="6"/>
  <c r="L428" i="6"/>
  <c r="N427" i="6"/>
  <c r="P426" i="6"/>
  <c r="L426" i="6"/>
  <c r="N425" i="6"/>
  <c r="P424" i="6"/>
  <c r="L424" i="6"/>
  <c r="N423" i="6"/>
  <c r="P422" i="6"/>
  <c r="L422" i="6"/>
  <c r="N421" i="6"/>
  <c r="P420" i="6"/>
  <c r="L420" i="6"/>
  <c r="N419" i="6"/>
  <c r="P418" i="6"/>
  <c r="L418" i="6"/>
  <c r="N417" i="6"/>
  <c r="P416" i="6"/>
  <c r="L416" i="6"/>
  <c r="N415" i="6"/>
  <c r="P414" i="6"/>
  <c r="L414" i="6"/>
  <c r="N413" i="6"/>
  <c r="P412" i="6"/>
  <c r="L412" i="6"/>
  <c r="N411" i="6"/>
  <c r="P410" i="6"/>
  <c r="L410" i="6"/>
  <c r="N409" i="6"/>
  <c r="P408" i="6"/>
  <c r="L408" i="6"/>
  <c r="N407" i="6"/>
  <c r="P406" i="6"/>
  <c r="L406" i="6"/>
  <c r="N405" i="6"/>
  <c r="P404" i="6"/>
  <c r="L404" i="6"/>
  <c r="N403" i="6"/>
  <c r="P402" i="6"/>
  <c r="L402" i="6"/>
  <c r="N401" i="6"/>
  <c r="P400" i="6"/>
  <c r="L400" i="6"/>
  <c r="N399" i="6"/>
  <c r="P398" i="6"/>
  <c r="L398" i="6"/>
  <c r="N397" i="6"/>
  <c r="P396" i="6"/>
  <c r="L396" i="6"/>
  <c r="N395" i="6"/>
  <c r="P394" i="6"/>
  <c r="L394" i="6"/>
  <c r="N393" i="6"/>
  <c r="P392" i="6"/>
  <c r="L392" i="6"/>
  <c r="N391" i="6"/>
  <c r="P390" i="6"/>
  <c r="L390" i="6"/>
  <c r="N389" i="6"/>
  <c r="P388" i="6"/>
  <c r="L388" i="6"/>
  <c r="N387" i="6"/>
  <c r="P386" i="6"/>
  <c r="L386" i="6"/>
  <c r="N385" i="6"/>
  <c r="P384" i="6"/>
  <c r="L384" i="6"/>
  <c r="N383" i="6"/>
  <c r="P382" i="6"/>
  <c r="L382" i="6"/>
  <c r="N381" i="6"/>
  <c r="P380" i="6"/>
  <c r="L380" i="6"/>
  <c r="N379" i="6"/>
  <c r="P378" i="6"/>
  <c r="L378" i="6"/>
  <c r="N377" i="6"/>
  <c r="P376" i="6"/>
  <c r="L376" i="6"/>
  <c r="N375" i="6"/>
  <c r="P374" i="6"/>
  <c r="L374" i="6"/>
  <c r="N373" i="6"/>
  <c r="P372" i="6"/>
  <c r="L372" i="6"/>
  <c r="N371" i="6"/>
  <c r="P370" i="6"/>
  <c r="L370" i="6"/>
  <c r="N369" i="6"/>
  <c r="P368" i="6"/>
  <c r="L368" i="6"/>
  <c r="N367" i="6"/>
  <c r="P366" i="6"/>
  <c r="L366" i="6"/>
  <c r="N365" i="6"/>
  <c r="P364" i="6"/>
  <c r="L364" i="6"/>
  <c r="N363" i="6"/>
  <c r="O99" i="6"/>
  <c r="P98" i="6"/>
  <c r="M97" i="6"/>
  <c r="N96" i="6"/>
  <c r="P94" i="6"/>
  <c r="M93" i="6"/>
  <c r="O91" i="6"/>
  <c r="L90" i="6"/>
  <c r="N88" i="6"/>
  <c r="P86" i="6"/>
  <c r="M85" i="6"/>
  <c r="O83" i="6"/>
  <c r="L82" i="6"/>
  <c r="M77" i="6"/>
  <c r="O75" i="6"/>
  <c r="P74" i="6"/>
  <c r="L74" i="6"/>
  <c r="O71" i="6"/>
  <c r="N68" i="6"/>
  <c r="L66" i="6"/>
  <c r="P62" i="6"/>
  <c r="P58" i="6"/>
  <c r="O55" i="6"/>
  <c r="O51" i="6"/>
  <c r="L42" i="6"/>
  <c r="N40" i="6"/>
  <c r="M37" i="6"/>
  <c r="M33" i="6"/>
  <c r="P30" i="6"/>
  <c r="O27" i="6"/>
  <c r="M25" i="6"/>
  <c r="P22" i="6"/>
  <c r="O19" i="6"/>
  <c r="M17" i="6"/>
  <c r="M466" i="6"/>
  <c r="O463" i="6"/>
  <c r="M458" i="6"/>
  <c r="M456" i="6"/>
  <c r="O453" i="6"/>
  <c r="M448" i="6"/>
  <c r="O445" i="6"/>
  <c r="O443" i="6"/>
  <c r="O441" i="6"/>
  <c r="O439" i="6"/>
  <c r="M434" i="6"/>
  <c r="O431" i="6"/>
  <c r="M424" i="6"/>
  <c r="O421" i="6"/>
  <c r="O415" i="6"/>
  <c r="O413" i="6"/>
  <c r="M408" i="6"/>
  <c r="O367" i="6"/>
  <c r="O283" i="6"/>
  <c r="L256" i="6"/>
  <c r="N254" i="6"/>
  <c r="P252" i="6"/>
  <c r="L252" i="6"/>
  <c r="N250" i="6"/>
  <c r="P248" i="6"/>
  <c r="N246" i="6"/>
  <c r="L244" i="6"/>
  <c r="N242" i="6"/>
  <c r="L240" i="6"/>
  <c r="O237" i="6"/>
  <c r="L236" i="6"/>
  <c r="N234" i="6"/>
  <c r="P232" i="6"/>
  <c r="M231" i="6"/>
  <c r="L228" i="6"/>
  <c r="O225" i="6"/>
  <c r="L224" i="6"/>
  <c r="O221" i="6"/>
  <c r="L220" i="6"/>
  <c r="O217" i="6"/>
  <c r="M215" i="6"/>
  <c r="O213" i="6"/>
  <c r="L212" i="6"/>
  <c r="N210" i="6"/>
  <c r="P208" i="6"/>
  <c r="M207" i="6"/>
  <c r="O205" i="6"/>
  <c r="L204" i="6"/>
  <c r="N202" i="6"/>
  <c r="O201" i="6"/>
  <c r="L200" i="6"/>
  <c r="M199" i="6"/>
  <c r="N198" i="6"/>
  <c r="P196" i="6"/>
  <c r="L196" i="6"/>
  <c r="M195" i="6"/>
  <c r="N194" i="6"/>
  <c r="O193" i="6"/>
  <c r="P192" i="6"/>
  <c r="L192" i="6"/>
  <c r="M191" i="6"/>
  <c r="N190" i="6"/>
  <c r="P188" i="6"/>
  <c r="L188" i="6"/>
  <c r="M187" i="6"/>
  <c r="N186" i="6"/>
  <c r="O185" i="6"/>
  <c r="P184" i="6"/>
  <c r="L184" i="6"/>
  <c r="M183" i="6"/>
  <c r="N182" i="6"/>
  <c r="O181" i="6"/>
  <c r="P180" i="6"/>
  <c r="L180" i="6"/>
  <c r="M179" i="6"/>
  <c r="N178" i="6"/>
  <c r="O177" i="6"/>
  <c r="P176" i="6"/>
  <c r="L176" i="6"/>
  <c r="M175" i="6"/>
  <c r="N174" i="6"/>
  <c r="O173" i="6"/>
  <c r="P172" i="6"/>
  <c r="L172" i="6"/>
  <c r="M171" i="6"/>
  <c r="N170" i="6"/>
  <c r="O169" i="6"/>
  <c r="P168" i="6"/>
  <c r="L168" i="6"/>
  <c r="M167" i="6"/>
  <c r="N166" i="6"/>
  <c r="O165" i="6"/>
  <c r="P164" i="6"/>
  <c r="L164" i="6"/>
  <c r="M163" i="6"/>
  <c r="N162" i="6"/>
  <c r="O161" i="6"/>
  <c r="P160" i="6"/>
  <c r="L160" i="6"/>
  <c r="M159" i="6"/>
  <c r="N158" i="6"/>
  <c r="O157" i="6"/>
  <c r="P156" i="6"/>
  <c r="L156" i="6"/>
  <c r="M155" i="6"/>
  <c r="N154" i="6"/>
  <c r="O153" i="6"/>
  <c r="P152" i="6"/>
  <c r="L152" i="6"/>
  <c r="M151" i="6"/>
  <c r="N150" i="6"/>
  <c r="O149" i="6"/>
  <c r="P148" i="6"/>
  <c r="L148" i="6"/>
  <c r="M147" i="6"/>
  <c r="N146" i="6"/>
  <c r="O145" i="6"/>
  <c r="P144" i="6"/>
  <c r="L144" i="6"/>
  <c r="M143" i="6"/>
  <c r="N142" i="6"/>
  <c r="O141" i="6"/>
  <c r="P140" i="6"/>
  <c r="L140" i="6"/>
  <c r="M139" i="6"/>
  <c r="N138" i="6"/>
  <c r="O137" i="6"/>
  <c r="P136" i="6"/>
  <c r="L136" i="6"/>
  <c r="M135" i="6"/>
  <c r="N134" i="6"/>
  <c r="O133" i="6"/>
  <c r="P132" i="6"/>
  <c r="L132" i="6"/>
  <c r="M131" i="6"/>
  <c r="N130" i="6"/>
  <c r="O129" i="6"/>
  <c r="P128" i="6"/>
  <c r="L128" i="6"/>
  <c r="M127" i="6"/>
  <c r="N126" i="6"/>
  <c r="O125" i="6"/>
  <c r="P124" i="6"/>
  <c r="L124" i="6"/>
  <c r="M123" i="6"/>
  <c r="N122" i="6"/>
  <c r="O121" i="6"/>
  <c r="P120" i="6"/>
  <c r="L120" i="6"/>
  <c r="M119" i="6"/>
  <c r="N118" i="6"/>
  <c r="O117" i="6"/>
  <c r="P116" i="6"/>
  <c r="L116" i="6"/>
  <c r="M115" i="6"/>
  <c r="N114" i="6"/>
  <c r="O113" i="6"/>
  <c r="P112" i="6"/>
  <c r="L112" i="6"/>
  <c r="M111" i="6"/>
  <c r="N110" i="6"/>
  <c r="O109" i="6"/>
  <c r="P108" i="6"/>
  <c r="L108" i="6"/>
  <c r="M107" i="6"/>
  <c r="N106" i="6"/>
  <c r="O105" i="6"/>
  <c r="P104" i="6"/>
  <c r="L104" i="6"/>
  <c r="M103" i="6"/>
  <c r="N102" i="6"/>
  <c r="O101" i="6"/>
  <c r="P100" i="6"/>
  <c r="L100" i="6"/>
  <c r="M99" i="6"/>
  <c r="N98" i="6"/>
  <c r="O97" i="6"/>
  <c r="P96" i="6"/>
  <c r="L96" i="6"/>
  <c r="M95" i="6"/>
  <c r="N94" i="6"/>
  <c r="O93" i="6"/>
  <c r="P92" i="6"/>
  <c r="L92" i="6"/>
  <c r="M91" i="6"/>
  <c r="N90" i="6"/>
  <c r="O89" i="6"/>
  <c r="P88" i="6"/>
  <c r="L88" i="6"/>
  <c r="M87" i="6"/>
  <c r="N86" i="6"/>
  <c r="O85" i="6"/>
  <c r="P84" i="6"/>
  <c r="L84" i="6"/>
  <c r="M83" i="6"/>
  <c r="N82" i="6"/>
  <c r="O81" i="6"/>
  <c r="P80" i="6"/>
  <c r="L80" i="6"/>
  <c r="M79" i="6"/>
  <c r="N78" i="6"/>
  <c r="O77" i="6"/>
  <c r="P76" i="6"/>
  <c r="L76" i="6"/>
  <c r="M75" i="6"/>
  <c r="N74" i="6"/>
  <c r="O73" i="6"/>
  <c r="P72" i="6"/>
  <c r="L72" i="6"/>
  <c r="M71" i="6"/>
  <c r="N70" i="6"/>
  <c r="O69" i="6"/>
  <c r="P68" i="6"/>
  <c r="L68" i="6"/>
  <c r="M67" i="6"/>
  <c r="N66" i="6"/>
  <c r="O65" i="6"/>
  <c r="P64" i="6"/>
  <c r="L64" i="6"/>
  <c r="M63" i="6"/>
  <c r="N62" i="6"/>
  <c r="O61" i="6"/>
  <c r="P60" i="6"/>
  <c r="L60" i="6"/>
  <c r="M59" i="6"/>
  <c r="N58" i="6"/>
  <c r="O57" i="6"/>
  <c r="P56" i="6"/>
  <c r="L56" i="6"/>
  <c r="M55" i="6"/>
  <c r="N54" i="6"/>
  <c r="O53" i="6"/>
  <c r="P52" i="6"/>
  <c r="L52" i="6"/>
  <c r="M51" i="6"/>
  <c r="N50" i="6"/>
  <c r="O49" i="6"/>
  <c r="P48" i="6"/>
  <c r="L48" i="6"/>
  <c r="M47" i="6"/>
  <c r="N46" i="6"/>
  <c r="O45" i="6"/>
  <c r="P44" i="6"/>
  <c r="L44" i="6"/>
  <c r="M43" i="6"/>
  <c r="N42" i="6"/>
  <c r="O41" i="6"/>
  <c r="P40" i="6"/>
  <c r="L40" i="6"/>
  <c r="M39" i="6"/>
  <c r="N38" i="6"/>
  <c r="O37" i="6"/>
  <c r="P36" i="6"/>
  <c r="L36" i="6"/>
  <c r="M35" i="6"/>
  <c r="N34" i="6"/>
  <c r="O33" i="6"/>
  <c r="P32" i="6"/>
  <c r="L32" i="6"/>
  <c r="M31" i="6"/>
  <c r="N30" i="6"/>
  <c r="O29" i="6"/>
  <c r="P28" i="6"/>
  <c r="L28" i="6"/>
  <c r="M27" i="6"/>
  <c r="N26" i="6"/>
  <c r="O25" i="6"/>
  <c r="P24" i="6"/>
  <c r="L24" i="6"/>
  <c r="M23" i="6"/>
  <c r="N22" i="6"/>
  <c r="O21" i="6"/>
  <c r="P20" i="6"/>
  <c r="L20" i="6"/>
  <c r="M19" i="6"/>
  <c r="N18" i="6"/>
  <c r="O17" i="6"/>
  <c r="P16" i="6"/>
  <c r="O5" i="6"/>
  <c r="M467" i="6"/>
  <c r="O466" i="6"/>
  <c r="M465" i="6"/>
  <c r="O464" i="6"/>
  <c r="M463" i="6"/>
  <c r="O462" i="6"/>
  <c r="M461" i="6"/>
  <c r="O460" i="6"/>
  <c r="M459" i="6"/>
  <c r="O458" i="6"/>
  <c r="M457" i="6"/>
  <c r="O456" i="6"/>
  <c r="M455" i="6"/>
  <c r="O454" i="6"/>
  <c r="M453" i="6"/>
  <c r="O452" i="6"/>
  <c r="M451" i="6"/>
  <c r="O450" i="6"/>
  <c r="M449" i="6"/>
  <c r="O448" i="6"/>
  <c r="M447" i="6"/>
  <c r="O446" i="6"/>
  <c r="M445" i="6"/>
  <c r="O444" i="6"/>
  <c r="M443" i="6"/>
  <c r="O442" i="6"/>
  <c r="M441" i="6"/>
  <c r="O440" i="6"/>
  <c r="M439" i="6"/>
  <c r="O438" i="6"/>
  <c r="M437" i="6"/>
  <c r="O436" i="6"/>
  <c r="M435" i="6"/>
  <c r="O434" i="6"/>
  <c r="M433" i="6"/>
  <c r="O432" i="6"/>
  <c r="M431" i="6"/>
  <c r="O430" i="6"/>
  <c r="M429" i="6"/>
  <c r="O428" i="6"/>
  <c r="M427" i="6"/>
  <c r="O426" i="6"/>
  <c r="M425" i="6"/>
  <c r="O424" i="6"/>
  <c r="M423" i="6"/>
  <c r="O422" i="6"/>
  <c r="M421" i="6"/>
  <c r="O420" i="6"/>
  <c r="M419" i="6"/>
  <c r="O418" i="6"/>
  <c r="M417" i="6"/>
  <c r="O416" i="6"/>
  <c r="M415" i="6"/>
  <c r="O414" i="6"/>
  <c r="M413" i="6"/>
  <c r="O412" i="6"/>
  <c r="M411" i="6"/>
  <c r="O410" i="6"/>
  <c r="M409" i="6"/>
  <c r="O408" i="6"/>
  <c r="M407" i="6"/>
  <c r="O406" i="6"/>
  <c r="M405" i="6"/>
  <c r="O404" i="6"/>
  <c r="M403" i="6"/>
  <c r="O402" i="6"/>
  <c r="M401" i="6"/>
  <c r="O400" i="6"/>
  <c r="M399" i="6"/>
  <c r="O398" i="6"/>
  <c r="M397" i="6"/>
  <c r="O396" i="6"/>
  <c r="M395" i="6"/>
  <c r="O394" i="6"/>
  <c r="M393" i="6"/>
  <c r="O392" i="6"/>
  <c r="M391" i="6"/>
  <c r="O390" i="6"/>
  <c r="M389" i="6"/>
  <c r="O388" i="6"/>
  <c r="M387" i="6"/>
  <c r="O386" i="6"/>
  <c r="M385" i="6"/>
  <c r="O384" i="6"/>
  <c r="M383" i="6"/>
  <c r="O382" i="6"/>
  <c r="M381" i="6"/>
  <c r="O380" i="6"/>
  <c r="M379" i="6"/>
  <c r="O378" i="6"/>
  <c r="M377" i="6"/>
  <c r="O376" i="6"/>
  <c r="M375" i="6"/>
  <c r="O374" i="6"/>
  <c r="M373" i="6"/>
  <c r="O372" i="6"/>
  <c r="M371" i="6"/>
  <c r="O370" i="6"/>
  <c r="M369" i="6"/>
  <c r="O368" i="6"/>
  <c r="M367" i="6"/>
  <c r="O366" i="6"/>
  <c r="M365" i="6"/>
  <c r="O364" i="6"/>
  <c r="M363" i="6"/>
  <c r="O362" i="6"/>
  <c r="M361" i="6"/>
  <c r="O360" i="6"/>
  <c r="M359" i="6"/>
  <c r="O358" i="6"/>
  <c r="M357" i="6"/>
  <c r="O356" i="6"/>
  <c r="M355" i="6"/>
  <c r="O354" i="6"/>
  <c r="M353" i="6"/>
  <c r="O352" i="6"/>
  <c r="M351" i="6"/>
  <c r="O350" i="6"/>
  <c r="M349" i="6"/>
  <c r="O348" i="6"/>
  <c r="M347" i="6"/>
  <c r="O346" i="6"/>
  <c r="M345" i="6"/>
  <c r="O344" i="6"/>
  <c r="M343" i="6"/>
  <c r="O342" i="6"/>
  <c r="M341" i="6"/>
  <c r="O340" i="6"/>
  <c r="M339" i="6"/>
  <c r="O338" i="6"/>
  <c r="M337" i="6"/>
  <c r="O336" i="6"/>
  <c r="M335" i="6"/>
  <c r="O334" i="6"/>
  <c r="M333" i="6"/>
  <c r="O332" i="6"/>
  <c r="M331" i="6"/>
  <c r="O330" i="6"/>
  <c r="M329" i="6"/>
  <c r="O328" i="6"/>
  <c r="M327" i="6"/>
  <c r="O326" i="6"/>
  <c r="M325" i="6"/>
  <c r="O324" i="6"/>
  <c r="M323" i="6"/>
  <c r="O322" i="6"/>
  <c r="M321" i="6"/>
  <c r="O320" i="6"/>
  <c r="M319" i="6"/>
  <c r="O318" i="6"/>
  <c r="M317" i="6"/>
  <c r="O316" i="6"/>
  <c r="M315" i="6"/>
  <c r="O314" i="6"/>
  <c r="M313" i="6"/>
  <c r="O312" i="6"/>
  <c r="M311" i="6"/>
  <c r="O310" i="6"/>
  <c r="M309" i="6"/>
  <c r="O308" i="6"/>
  <c r="M307" i="6"/>
  <c r="O306" i="6"/>
  <c r="M305" i="6"/>
  <c r="O304" i="6"/>
  <c r="M303" i="6"/>
  <c r="O302" i="6"/>
  <c r="M301" i="6"/>
  <c r="O300" i="6"/>
  <c r="M299" i="6"/>
  <c r="O298" i="6"/>
  <c r="M297" i="6"/>
  <c r="O296" i="6"/>
  <c r="M295" i="6"/>
  <c r="O294" i="6"/>
  <c r="M293" i="6"/>
  <c r="O292" i="6"/>
  <c r="M291" i="6"/>
  <c r="O290" i="6"/>
  <c r="M289" i="6"/>
  <c r="O288" i="6"/>
  <c r="M287" i="6"/>
  <c r="O286" i="6"/>
  <c r="M285" i="6"/>
  <c r="O284" i="6"/>
  <c r="M283" i="6"/>
  <c r="O282" i="6"/>
  <c r="M281" i="6"/>
  <c r="O280" i="6"/>
  <c r="M279" i="6"/>
  <c r="O278" i="6"/>
  <c r="M277" i="6"/>
  <c r="O276" i="6"/>
  <c r="M275" i="6"/>
  <c r="O274" i="6"/>
  <c r="M273" i="6"/>
  <c r="O272" i="6"/>
  <c r="M271" i="6"/>
  <c r="O270" i="6"/>
  <c r="M269" i="6"/>
  <c r="O268" i="6"/>
  <c r="M267" i="6"/>
  <c r="O266" i="6"/>
  <c r="M265" i="6"/>
  <c r="O264" i="6"/>
  <c r="M263" i="6"/>
  <c r="O262" i="6"/>
  <c r="M261" i="6"/>
  <c r="O260" i="6"/>
  <c r="M259" i="6"/>
  <c r="O258" i="6"/>
  <c r="M257" i="6"/>
  <c r="N72" i="6"/>
  <c r="P70" i="6"/>
  <c r="O67" i="6"/>
  <c r="N64" i="6"/>
  <c r="N60" i="6"/>
  <c r="L58" i="6"/>
  <c r="P54" i="6"/>
  <c r="N52" i="6"/>
  <c r="M49" i="6"/>
  <c r="P46" i="6"/>
  <c r="N44" i="6"/>
  <c r="O43" i="6"/>
  <c r="O39" i="6"/>
  <c r="N36" i="6"/>
  <c r="L34" i="6"/>
  <c r="O31" i="6"/>
  <c r="M29" i="6"/>
  <c r="L26" i="6"/>
  <c r="O23" i="6"/>
  <c r="N20" i="6"/>
  <c r="P18" i="6"/>
  <c r="N16" i="6"/>
  <c r="M464" i="6"/>
  <c r="O461" i="6"/>
  <c r="O459" i="6"/>
  <c r="M454" i="6"/>
  <c r="O451" i="6"/>
  <c r="M446" i="6"/>
  <c r="M440" i="6"/>
  <c r="M438" i="6"/>
  <c r="O435" i="6"/>
  <c r="M430" i="6"/>
  <c r="O427" i="6"/>
  <c r="M422" i="6"/>
  <c r="O419" i="6"/>
  <c r="M414" i="6"/>
  <c r="O411" i="6"/>
  <c r="M400" i="6"/>
  <c r="O397" i="6"/>
  <c r="M378" i="6"/>
  <c r="O281" i="6"/>
  <c r="P256" i="6"/>
  <c r="M255" i="6"/>
  <c r="O253" i="6"/>
  <c r="M251" i="6"/>
  <c r="O249" i="6"/>
  <c r="L248" i="6"/>
  <c r="M247" i="6"/>
  <c r="O245" i="6"/>
  <c r="P244" i="6"/>
  <c r="M243" i="6"/>
  <c r="O241" i="6"/>
  <c r="P240" i="6"/>
  <c r="M239" i="6"/>
  <c r="N238" i="6"/>
  <c r="P236" i="6"/>
  <c r="M235" i="6"/>
  <c r="O233" i="6"/>
  <c r="L232" i="6"/>
  <c r="N230" i="6"/>
  <c r="O229" i="6"/>
  <c r="P228" i="6"/>
  <c r="M227" i="6"/>
  <c r="N226" i="6"/>
  <c r="P224" i="6"/>
  <c r="M223" i="6"/>
  <c r="N222" i="6"/>
  <c r="P220" i="6"/>
  <c r="M219" i="6"/>
  <c r="N218" i="6"/>
  <c r="P216" i="6"/>
  <c r="S7" i="8"/>
  <c r="L216" i="6"/>
  <c r="N214" i="6"/>
  <c r="P212" i="6"/>
  <c r="M211" i="6"/>
  <c r="O209" i="6"/>
  <c r="L208" i="6"/>
  <c r="N206" i="6"/>
  <c r="P204" i="6"/>
  <c r="M203" i="6"/>
  <c r="P200" i="6"/>
  <c r="O197" i="6"/>
  <c r="O189" i="6"/>
  <c r="O256" i="6"/>
  <c r="P255" i="6"/>
  <c r="L255" i="6"/>
  <c r="M254" i="6"/>
  <c r="N253" i="6"/>
  <c r="O252" i="6"/>
  <c r="P251" i="6"/>
  <c r="L251" i="6"/>
  <c r="M250" i="6"/>
  <c r="N249" i="6"/>
  <c r="O248" i="6"/>
  <c r="P247" i="6"/>
  <c r="L247" i="6"/>
  <c r="M246" i="6"/>
  <c r="N245" i="6"/>
  <c r="O244" i="6"/>
  <c r="P243" i="6"/>
  <c r="L243" i="6"/>
  <c r="M242" i="6"/>
  <c r="N241" i="6"/>
  <c r="O240" i="6"/>
  <c r="P239" i="6"/>
  <c r="L239" i="6"/>
  <c r="M238" i="6"/>
  <c r="N237" i="6"/>
  <c r="O236" i="6"/>
  <c r="P235" i="6"/>
  <c r="L235" i="6"/>
  <c r="M234" i="6"/>
  <c r="N233" i="6"/>
  <c r="O232" i="6"/>
  <c r="P231" i="6"/>
  <c r="L231" i="6"/>
  <c r="M230" i="6"/>
  <c r="N229" i="6"/>
  <c r="O228" i="6"/>
  <c r="P227" i="6"/>
  <c r="L227" i="6"/>
  <c r="M226" i="6"/>
  <c r="N225" i="6"/>
  <c r="O224" i="6"/>
  <c r="P223" i="6"/>
  <c r="L223" i="6"/>
  <c r="M222" i="6"/>
  <c r="N221" i="6"/>
  <c r="O220" i="6"/>
  <c r="P219" i="6"/>
  <c r="L219" i="6"/>
  <c r="M218" i="6"/>
  <c r="N217" i="6"/>
  <c r="O216" i="6"/>
  <c r="P215" i="6"/>
  <c r="L215" i="6"/>
  <c r="M214" i="6"/>
  <c r="N213" i="6"/>
  <c r="O212" i="6"/>
  <c r="P211" i="6"/>
  <c r="L211" i="6"/>
  <c r="M210" i="6"/>
  <c r="N209" i="6"/>
  <c r="O208" i="6"/>
  <c r="P207" i="6"/>
  <c r="L207" i="6"/>
  <c r="M206" i="6"/>
  <c r="N205" i="6"/>
  <c r="O204" i="6"/>
  <c r="P203" i="6"/>
  <c r="L203" i="6"/>
  <c r="M202" i="6"/>
  <c r="N201" i="6"/>
  <c r="O200" i="6"/>
  <c r="P199" i="6"/>
  <c r="L199" i="6"/>
  <c r="M198" i="6"/>
  <c r="N197" i="6"/>
  <c r="O196" i="6"/>
  <c r="P195" i="6"/>
  <c r="L195" i="6"/>
  <c r="M194" i="6"/>
  <c r="N193" i="6"/>
  <c r="O192" i="6"/>
  <c r="P191" i="6"/>
  <c r="L191" i="6"/>
  <c r="M190" i="6"/>
  <c r="N189" i="6"/>
  <c r="O188" i="6"/>
  <c r="P187" i="6"/>
  <c r="L187" i="6"/>
  <c r="M186" i="6"/>
  <c r="N185" i="6"/>
  <c r="O184" i="6"/>
  <c r="P183" i="6"/>
  <c r="L183" i="6"/>
  <c r="M182" i="6"/>
  <c r="N181" i="6"/>
  <c r="O180" i="6"/>
  <c r="P179" i="6"/>
  <c r="L179" i="6"/>
  <c r="M178" i="6"/>
  <c r="N177" i="6"/>
  <c r="O176" i="6"/>
  <c r="P175" i="6"/>
  <c r="L175" i="6"/>
  <c r="M174" i="6"/>
  <c r="N173" i="6"/>
  <c r="O172" i="6"/>
  <c r="P171" i="6"/>
  <c r="L171" i="6"/>
  <c r="M170" i="6"/>
  <c r="N169" i="6"/>
  <c r="O168" i="6"/>
  <c r="P167" i="6"/>
  <c r="L167" i="6"/>
  <c r="M166" i="6"/>
  <c r="AP7" i="8"/>
  <c r="N165" i="6"/>
  <c r="O164" i="6"/>
  <c r="P163" i="6"/>
  <c r="L163" i="6"/>
  <c r="M162" i="6"/>
  <c r="N161" i="6"/>
  <c r="O160" i="6"/>
  <c r="P159" i="6"/>
  <c r="L159" i="6"/>
  <c r="M158" i="6"/>
  <c r="N157" i="6"/>
  <c r="O156" i="6"/>
  <c r="P155" i="6"/>
  <c r="L155" i="6"/>
  <c r="M154" i="6"/>
  <c r="N153" i="6"/>
  <c r="O152" i="6"/>
  <c r="P151" i="6"/>
  <c r="L151" i="6"/>
  <c r="M150" i="6"/>
  <c r="N149" i="6"/>
  <c r="O148" i="6"/>
  <c r="P147" i="6"/>
  <c r="L147" i="6"/>
  <c r="M146" i="6"/>
  <c r="N145" i="6"/>
  <c r="O144" i="6"/>
  <c r="P143" i="6"/>
  <c r="L143" i="6"/>
  <c r="M142" i="6"/>
  <c r="N141" i="6"/>
  <c r="O140" i="6"/>
  <c r="P139" i="6"/>
  <c r="L139" i="6"/>
  <c r="M138" i="6"/>
  <c r="N137" i="6"/>
  <c r="O136" i="6"/>
  <c r="P135" i="6"/>
  <c r="L135" i="6"/>
  <c r="M134" i="6"/>
  <c r="N133" i="6"/>
  <c r="O132" i="6"/>
  <c r="P131" i="6"/>
  <c r="L131" i="6"/>
  <c r="M130" i="6"/>
  <c r="N129" i="6"/>
  <c r="O128" i="6"/>
  <c r="P127" i="6"/>
  <c r="L127" i="6"/>
  <c r="M126" i="6"/>
  <c r="N125" i="6"/>
  <c r="O124" i="6"/>
  <c r="P123" i="6"/>
  <c r="L123" i="6"/>
  <c r="M122" i="6"/>
  <c r="N121" i="6"/>
  <c r="O120" i="6"/>
  <c r="P119" i="6"/>
  <c r="L119" i="6"/>
  <c r="M118" i="6"/>
  <c r="N117" i="6"/>
  <c r="O116" i="6"/>
  <c r="P115" i="6"/>
  <c r="L115" i="6"/>
  <c r="M114" i="6"/>
  <c r="N113" i="6"/>
  <c r="O112" i="6"/>
  <c r="P111" i="6"/>
  <c r="L111" i="6"/>
  <c r="M110" i="6"/>
  <c r="N109" i="6"/>
  <c r="O108" i="6"/>
  <c r="P107" i="6"/>
  <c r="L107" i="6"/>
  <c r="M106" i="6"/>
  <c r="N105" i="6"/>
  <c r="O104" i="6"/>
  <c r="P103" i="6"/>
  <c r="L103" i="6"/>
  <c r="M102" i="6"/>
  <c r="N101" i="6"/>
  <c r="O100" i="6"/>
  <c r="P99" i="6"/>
  <c r="L99" i="6"/>
  <c r="M98" i="6"/>
  <c r="N97" i="6"/>
  <c r="O96" i="6"/>
  <c r="P95" i="6"/>
  <c r="L95" i="6"/>
  <c r="M94" i="6"/>
  <c r="N93" i="6"/>
  <c r="O92" i="6"/>
  <c r="P91" i="6"/>
  <c r="L91" i="6"/>
  <c r="M90" i="6"/>
  <c r="N89" i="6"/>
  <c r="O88" i="6"/>
  <c r="P87" i="6"/>
  <c r="L87" i="6"/>
  <c r="M86" i="6"/>
  <c r="N85" i="6"/>
  <c r="O84" i="6"/>
  <c r="P83" i="6"/>
  <c r="L83" i="6"/>
  <c r="M82" i="6"/>
  <c r="N81" i="6"/>
  <c r="O80" i="6"/>
  <c r="P79" i="6"/>
  <c r="L79" i="6"/>
  <c r="M78" i="6"/>
  <c r="N77" i="6"/>
  <c r="O76" i="6"/>
  <c r="P75" i="6"/>
  <c r="L75" i="6"/>
  <c r="M74" i="6"/>
  <c r="N73" i="6"/>
  <c r="O72" i="6"/>
  <c r="P71" i="6"/>
  <c r="L71" i="6"/>
  <c r="M70" i="6"/>
  <c r="N69" i="6"/>
  <c r="O68" i="6"/>
  <c r="P67" i="6"/>
  <c r="L67" i="6"/>
  <c r="M66" i="6"/>
  <c r="N65" i="6"/>
  <c r="O64" i="6"/>
  <c r="P63" i="6"/>
  <c r="L63" i="6"/>
  <c r="M62" i="6"/>
  <c r="N61" i="6"/>
  <c r="O60" i="6"/>
  <c r="P59" i="6"/>
  <c r="L59" i="6"/>
  <c r="M58" i="6"/>
  <c r="N57" i="6"/>
  <c r="O56" i="6"/>
  <c r="P55" i="6"/>
  <c r="L55" i="6"/>
  <c r="M54" i="6"/>
  <c r="N53" i="6"/>
  <c r="O52" i="6"/>
  <c r="P51" i="6"/>
  <c r="L51" i="6"/>
  <c r="M50" i="6"/>
  <c r="N49" i="6"/>
  <c r="O48" i="6"/>
  <c r="P47" i="6"/>
  <c r="L47" i="6"/>
  <c r="M46" i="6"/>
  <c r="N45" i="6"/>
  <c r="O44" i="6"/>
  <c r="P43" i="6"/>
  <c r="L43" i="6"/>
  <c r="M42" i="6"/>
  <c r="N41" i="6"/>
  <c r="O40" i="6"/>
  <c r="P39" i="6"/>
  <c r="L39" i="6"/>
  <c r="M38" i="6"/>
  <c r="N37" i="6"/>
  <c r="O36" i="6"/>
  <c r="P35" i="6"/>
  <c r="L35" i="6"/>
  <c r="M34" i="6"/>
  <c r="N33" i="6"/>
  <c r="O32" i="6"/>
  <c r="P31" i="6"/>
  <c r="L31" i="6"/>
  <c r="M30" i="6"/>
  <c r="N29" i="6"/>
  <c r="O28" i="6"/>
  <c r="P27" i="6"/>
  <c r="L27" i="6"/>
  <c r="M26" i="6"/>
  <c r="N25" i="6"/>
  <c r="O24" i="6"/>
  <c r="P23" i="6"/>
  <c r="L23" i="6"/>
  <c r="M22" i="6"/>
  <c r="N21" i="6"/>
  <c r="O20" i="6"/>
  <c r="P19" i="6"/>
  <c r="L19" i="6"/>
  <c r="M18" i="6"/>
  <c r="N17" i="6"/>
  <c r="O16" i="6"/>
  <c r="P15" i="6"/>
  <c r="L15" i="6"/>
  <c r="M14" i="6"/>
  <c r="N13" i="6"/>
  <c r="O12" i="6"/>
  <c r="P11" i="6"/>
  <c r="L11" i="6"/>
  <c r="M10" i="6"/>
  <c r="N9" i="6"/>
  <c r="O8" i="6"/>
  <c r="P7" i="6"/>
  <c r="L7" i="6"/>
  <c r="M6" i="6"/>
  <c r="N5" i="6"/>
  <c r="P467" i="6"/>
  <c r="L467" i="6"/>
  <c r="N466" i="6"/>
  <c r="P465" i="6"/>
  <c r="L465" i="6"/>
  <c r="N464" i="6"/>
  <c r="P463" i="6"/>
  <c r="L463" i="6"/>
  <c r="N462" i="6"/>
  <c r="P461" i="6"/>
  <c r="L461" i="6"/>
  <c r="N460" i="6"/>
  <c r="P459" i="6"/>
  <c r="L459" i="6"/>
  <c r="N458" i="6"/>
  <c r="P457" i="6"/>
  <c r="L457" i="6"/>
  <c r="N456" i="6"/>
  <c r="P455" i="6"/>
  <c r="L455" i="6"/>
  <c r="N454" i="6"/>
  <c r="P453" i="6"/>
  <c r="L453" i="6"/>
  <c r="N452" i="6"/>
  <c r="P451" i="6"/>
  <c r="L451" i="6"/>
  <c r="N450" i="6"/>
  <c r="P449" i="6"/>
  <c r="L449" i="6"/>
  <c r="N448" i="6"/>
  <c r="P447" i="6"/>
  <c r="L447" i="6"/>
  <c r="N446" i="6"/>
  <c r="P445" i="6"/>
  <c r="L445" i="6"/>
  <c r="N444" i="6"/>
  <c r="P443" i="6"/>
  <c r="L443" i="6"/>
  <c r="N442" i="6"/>
  <c r="P441" i="6"/>
  <c r="L441" i="6"/>
  <c r="N440" i="6"/>
  <c r="P439" i="6"/>
  <c r="L439" i="6"/>
  <c r="N438" i="6"/>
  <c r="P437" i="6"/>
  <c r="L437" i="6"/>
  <c r="N436" i="6"/>
  <c r="P435" i="6"/>
  <c r="L435" i="6"/>
  <c r="N434" i="6"/>
  <c r="P433" i="6"/>
  <c r="L433" i="6"/>
  <c r="N432" i="6"/>
  <c r="P431" i="6"/>
  <c r="L431" i="6"/>
  <c r="N430" i="6"/>
  <c r="P429" i="6"/>
  <c r="L429" i="6"/>
  <c r="N428" i="6"/>
  <c r="P427" i="6"/>
  <c r="L427" i="6"/>
  <c r="N426" i="6"/>
  <c r="P425" i="6"/>
  <c r="L425" i="6"/>
  <c r="N424" i="6"/>
  <c r="P423" i="6"/>
  <c r="L423" i="6"/>
  <c r="N422" i="6"/>
  <c r="P421" i="6"/>
  <c r="L421" i="6"/>
  <c r="N420" i="6"/>
  <c r="P419" i="6"/>
  <c r="L419" i="6"/>
  <c r="N418" i="6"/>
  <c r="P417" i="6"/>
  <c r="L417" i="6"/>
  <c r="N416" i="6"/>
  <c r="P415" i="6"/>
  <c r="L415" i="6"/>
  <c r="N414" i="6"/>
  <c r="P413" i="6"/>
  <c r="L413" i="6"/>
  <c r="N412" i="6"/>
  <c r="P411" i="6"/>
  <c r="L411" i="6"/>
  <c r="N410" i="6"/>
  <c r="P409" i="6"/>
  <c r="L409" i="6"/>
  <c r="N408" i="6"/>
  <c r="P407" i="6"/>
  <c r="L407" i="6"/>
  <c r="N406" i="6"/>
  <c r="P405" i="6"/>
  <c r="L405" i="6"/>
  <c r="N404" i="6"/>
  <c r="P403" i="6"/>
  <c r="L403" i="6"/>
  <c r="N402" i="6"/>
  <c r="P401" i="6"/>
  <c r="L401" i="6"/>
  <c r="N400" i="6"/>
  <c r="P399" i="6"/>
  <c r="L399" i="6"/>
  <c r="N398" i="6"/>
  <c r="P397" i="6"/>
  <c r="L397" i="6"/>
  <c r="N396" i="6"/>
  <c r="P395" i="6"/>
  <c r="L395" i="6"/>
  <c r="N394" i="6"/>
  <c r="P393" i="6"/>
  <c r="L393" i="6"/>
  <c r="N392" i="6"/>
  <c r="P391" i="6"/>
  <c r="L391" i="6"/>
  <c r="N390" i="6"/>
  <c r="P389" i="6"/>
  <c r="L389" i="6"/>
  <c r="N388" i="6"/>
  <c r="P387" i="6"/>
  <c r="L387" i="6"/>
  <c r="N386" i="6"/>
  <c r="P385" i="6"/>
  <c r="L385" i="6"/>
  <c r="N384" i="6"/>
  <c r="P383" i="6"/>
  <c r="L383" i="6"/>
  <c r="N382" i="6"/>
  <c r="P381" i="6"/>
  <c r="L381" i="6"/>
  <c r="N380" i="6"/>
  <c r="P379" i="6"/>
  <c r="L379" i="6"/>
  <c r="N378" i="6"/>
  <c r="P377" i="6"/>
  <c r="L377" i="6"/>
  <c r="N376" i="6"/>
  <c r="P375" i="6"/>
  <c r="L375" i="6"/>
  <c r="N374" i="6"/>
  <c r="P373" i="6"/>
  <c r="L373" i="6"/>
  <c r="N372" i="6"/>
  <c r="P371" i="6"/>
  <c r="L371" i="6"/>
  <c r="N370" i="6"/>
  <c r="P369" i="6"/>
  <c r="L369" i="6"/>
  <c r="N368" i="6"/>
  <c r="P367" i="6"/>
  <c r="L367" i="6"/>
  <c r="N366" i="6"/>
  <c r="P365" i="6"/>
  <c r="L365" i="6"/>
  <c r="N364" i="6"/>
  <c r="P363" i="6"/>
  <c r="L363" i="6"/>
  <c r="N362" i="6"/>
  <c r="P361" i="6"/>
  <c r="L361" i="6"/>
  <c r="N360" i="6"/>
  <c r="P359" i="6"/>
  <c r="L359" i="6"/>
  <c r="N358" i="6"/>
  <c r="P357" i="6"/>
  <c r="L357" i="6"/>
  <c r="N356" i="6"/>
  <c r="P355" i="6"/>
  <c r="L355" i="6"/>
  <c r="N354" i="6"/>
  <c r="P353" i="6"/>
  <c r="L353" i="6"/>
  <c r="N352" i="6"/>
  <c r="P351" i="6"/>
  <c r="L351" i="6"/>
  <c r="N350" i="6"/>
  <c r="P349" i="6"/>
  <c r="L349" i="6"/>
  <c r="N348" i="6"/>
  <c r="P347" i="6"/>
  <c r="L347" i="6"/>
  <c r="N346" i="6"/>
  <c r="P345" i="6"/>
  <c r="L345" i="6"/>
  <c r="N344" i="6"/>
  <c r="P343" i="6"/>
  <c r="L343" i="6"/>
  <c r="N342" i="6"/>
  <c r="P341" i="6"/>
  <c r="L341" i="6"/>
  <c r="N340" i="6"/>
  <c r="P339" i="6"/>
  <c r="L339" i="6"/>
  <c r="N338" i="6"/>
  <c r="P337" i="6"/>
  <c r="L337" i="6"/>
  <c r="N336" i="6"/>
  <c r="P335" i="6"/>
  <c r="L335" i="6"/>
  <c r="N334" i="6"/>
  <c r="P333" i="6"/>
  <c r="L333" i="6"/>
  <c r="N332" i="6"/>
  <c r="P331" i="6"/>
  <c r="L331" i="6"/>
  <c r="N330" i="6"/>
  <c r="P329" i="6"/>
  <c r="L329" i="6"/>
  <c r="N328" i="6"/>
  <c r="P327" i="6"/>
  <c r="L327" i="6"/>
  <c r="N326" i="6"/>
  <c r="P325" i="6"/>
  <c r="L325" i="6"/>
  <c r="N324" i="6"/>
  <c r="P323" i="6"/>
  <c r="L323" i="6"/>
  <c r="N322" i="6"/>
  <c r="P321" i="6"/>
  <c r="L321" i="6"/>
  <c r="N320" i="6"/>
  <c r="P319" i="6"/>
  <c r="L319" i="6"/>
  <c r="N318" i="6"/>
  <c r="P317" i="6"/>
  <c r="L317" i="6"/>
  <c r="N316" i="6"/>
  <c r="P315" i="6"/>
  <c r="L315" i="6"/>
  <c r="N314" i="6"/>
  <c r="P313" i="6"/>
  <c r="L313" i="6"/>
  <c r="N312" i="6"/>
  <c r="P311" i="6"/>
  <c r="L311" i="6"/>
  <c r="N310" i="6"/>
  <c r="P309" i="6"/>
  <c r="L309" i="6"/>
  <c r="N308" i="6"/>
  <c r="P307" i="6"/>
  <c r="L307" i="6"/>
  <c r="N306" i="6"/>
  <c r="P305" i="6"/>
  <c r="L305" i="6"/>
  <c r="N304" i="6"/>
  <c r="P303" i="6"/>
  <c r="L303" i="6"/>
  <c r="N302" i="6"/>
  <c r="P301" i="6"/>
  <c r="L301" i="6"/>
  <c r="N300" i="6"/>
  <c r="P299" i="6"/>
  <c r="L299" i="6"/>
  <c r="N298" i="6"/>
  <c r="P297" i="6"/>
  <c r="L297" i="6"/>
  <c r="N296" i="6"/>
  <c r="P295" i="6"/>
  <c r="L295" i="6"/>
  <c r="N294" i="6"/>
  <c r="P293" i="6"/>
  <c r="L293" i="6"/>
  <c r="N292" i="6"/>
  <c r="P291" i="6"/>
  <c r="L291" i="6"/>
  <c r="N290" i="6"/>
  <c r="P289" i="6"/>
  <c r="L289" i="6"/>
  <c r="N288" i="6"/>
  <c r="P287" i="6"/>
  <c r="L287" i="6"/>
  <c r="N286" i="6"/>
  <c r="P285" i="6"/>
  <c r="L285" i="6"/>
  <c r="N284" i="6"/>
  <c r="P283" i="6"/>
  <c r="L283" i="6"/>
  <c r="N282" i="6"/>
  <c r="P281" i="6"/>
  <c r="L281" i="6"/>
  <c r="N280" i="6"/>
  <c r="P279" i="6"/>
  <c r="L279" i="6"/>
  <c r="N278" i="6"/>
  <c r="P277" i="6"/>
  <c r="L277" i="6"/>
  <c r="N276" i="6"/>
  <c r="P275" i="6"/>
  <c r="L275" i="6"/>
  <c r="N274" i="6"/>
  <c r="P273" i="6"/>
  <c r="L273" i="6"/>
  <c r="N272" i="6"/>
  <c r="P271" i="6"/>
  <c r="L271" i="6"/>
  <c r="N270" i="6"/>
  <c r="P269" i="6"/>
  <c r="L269" i="6"/>
  <c r="N268" i="6"/>
  <c r="P267" i="6"/>
  <c r="L267" i="6"/>
  <c r="N266" i="6"/>
  <c r="P265" i="6"/>
  <c r="P362" i="6"/>
  <c r="L362" i="6"/>
  <c r="N361" i="6"/>
  <c r="P360" i="6"/>
  <c r="L360" i="6"/>
  <c r="N359" i="6"/>
  <c r="P358" i="6"/>
  <c r="L358" i="6"/>
  <c r="N357" i="6"/>
  <c r="P356" i="6"/>
  <c r="L356" i="6"/>
  <c r="N355" i="6"/>
  <c r="P354" i="6"/>
  <c r="L354" i="6"/>
  <c r="N353" i="6"/>
  <c r="P352" i="6"/>
  <c r="L352" i="6"/>
  <c r="N351" i="6"/>
  <c r="P350" i="6"/>
  <c r="L350" i="6"/>
  <c r="N349" i="6"/>
  <c r="P348" i="6"/>
  <c r="L348" i="6"/>
  <c r="N347" i="6"/>
  <c r="P346" i="6"/>
  <c r="L346" i="6"/>
  <c r="N345" i="6"/>
  <c r="P344" i="6"/>
  <c r="L344" i="6"/>
  <c r="N343" i="6"/>
  <c r="P342" i="6"/>
  <c r="L342" i="6"/>
  <c r="N341" i="6"/>
  <c r="P340" i="6"/>
  <c r="L340" i="6"/>
  <c r="N339" i="6"/>
  <c r="P338" i="6"/>
  <c r="L338" i="6"/>
  <c r="N337" i="6"/>
  <c r="P336" i="6"/>
  <c r="L336" i="6"/>
  <c r="N335" i="6"/>
  <c r="P334" i="6"/>
  <c r="L334" i="6"/>
  <c r="N333" i="6"/>
  <c r="P332" i="6"/>
  <c r="L332" i="6"/>
  <c r="N331" i="6"/>
  <c r="P330" i="6"/>
  <c r="L330" i="6"/>
  <c r="N329" i="6"/>
  <c r="P328" i="6"/>
  <c r="L328" i="6"/>
  <c r="N327" i="6"/>
  <c r="P326" i="6"/>
  <c r="L326" i="6"/>
  <c r="N325" i="6"/>
  <c r="P324" i="6"/>
  <c r="L324" i="6"/>
  <c r="N323" i="6"/>
  <c r="P322" i="6"/>
  <c r="L322" i="6"/>
  <c r="N321" i="6"/>
  <c r="P320" i="6"/>
  <c r="L320" i="6"/>
  <c r="N319" i="6"/>
  <c r="P318" i="6"/>
  <c r="L318" i="6"/>
  <c r="N317" i="6"/>
  <c r="P316" i="6"/>
  <c r="L316" i="6"/>
  <c r="N315" i="6"/>
  <c r="P314" i="6"/>
  <c r="L314" i="6"/>
  <c r="N313" i="6"/>
  <c r="P312" i="6"/>
  <c r="L312" i="6"/>
  <c r="N311" i="6"/>
  <c r="P310" i="6"/>
  <c r="L310" i="6"/>
  <c r="N309" i="6"/>
  <c r="P308" i="6"/>
  <c r="L308" i="6"/>
  <c r="N307" i="6"/>
  <c r="P306" i="6"/>
  <c r="L306" i="6"/>
  <c r="N305" i="6"/>
  <c r="P304" i="6"/>
  <c r="L304" i="6"/>
  <c r="N303" i="6"/>
  <c r="P302" i="6"/>
  <c r="L302" i="6"/>
  <c r="N301" i="6"/>
  <c r="P300" i="6"/>
  <c r="L300" i="6"/>
  <c r="N299" i="6"/>
  <c r="P298" i="6"/>
  <c r="L298" i="6"/>
  <c r="N297" i="6"/>
  <c r="P296" i="6"/>
  <c r="L296" i="6"/>
  <c r="N295" i="6"/>
  <c r="P294" i="6"/>
  <c r="L294" i="6"/>
  <c r="N293" i="6"/>
  <c r="P292" i="6"/>
  <c r="L292" i="6"/>
  <c r="N291" i="6"/>
  <c r="P290" i="6"/>
  <c r="L290" i="6"/>
  <c r="N289" i="6"/>
  <c r="P288" i="6"/>
  <c r="L288" i="6"/>
  <c r="N287" i="6"/>
  <c r="P286" i="6"/>
  <c r="L286" i="6"/>
  <c r="N285" i="6"/>
  <c r="P284" i="6"/>
  <c r="L284" i="6"/>
  <c r="N283" i="6"/>
  <c r="P282" i="6"/>
  <c r="L282" i="6"/>
  <c r="N281" i="6"/>
  <c r="P280" i="6"/>
  <c r="L280" i="6"/>
  <c r="N279" i="6"/>
  <c r="P278" i="6"/>
  <c r="L278" i="6"/>
  <c r="N277" i="6"/>
  <c r="P276" i="6"/>
  <c r="L276" i="6"/>
  <c r="N275" i="6"/>
  <c r="P274" i="6"/>
  <c r="L274" i="6"/>
  <c r="N273" i="6"/>
  <c r="P272" i="6"/>
  <c r="L272" i="6"/>
  <c r="N271" i="6"/>
  <c r="P270" i="6"/>
  <c r="L270" i="6"/>
  <c r="N269" i="6"/>
  <c r="P268" i="6"/>
  <c r="L268" i="6"/>
  <c r="N267" i="6"/>
  <c r="P266" i="6"/>
  <c r="L266" i="6"/>
  <c r="N265" i="6"/>
  <c r="P264" i="6"/>
  <c r="L264" i="6"/>
  <c r="N263" i="6"/>
  <c r="P262" i="6"/>
  <c r="L262" i="6"/>
  <c r="N261" i="6"/>
  <c r="P260" i="6"/>
  <c r="L260" i="6"/>
  <c r="N259" i="6"/>
  <c r="P258" i="6"/>
  <c r="L258" i="6"/>
  <c r="N257" i="6"/>
  <c r="L265" i="6"/>
  <c r="N264" i="6"/>
  <c r="P263" i="6"/>
  <c r="L263" i="6"/>
  <c r="N262" i="6"/>
  <c r="P261" i="6"/>
  <c r="L261" i="6"/>
  <c r="N260" i="6"/>
  <c r="P259" i="6"/>
  <c r="L259" i="6"/>
  <c r="N258" i="6"/>
  <c r="P257" i="6"/>
  <c r="L257" i="6"/>
  <c r="AA17" i="6" l="1"/>
  <c r="V17" i="6"/>
  <c r="X17" i="6"/>
  <c r="Z17" i="6"/>
  <c r="Y17" i="6"/>
  <c r="W17" i="6"/>
  <c r="AC9" i="8"/>
  <c r="AC10" i="8" s="1"/>
  <c r="W7" i="6"/>
  <c r="V7" i="6"/>
  <c r="AA7" i="6"/>
  <c r="Z7" i="6"/>
  <c r="AA16" i="6"/>
  <c r="AA14" i="6"/>
  <c r="AA15" i="6"/>
  <c r="AA13" i="6"/>
  <c r="Z13" i="6"/>
  <c r="Y7" i="6"/>
  <c r="X7" i="6"/>
  <c r="V6" i="6"/>
  <c r="W6" i="6"/>
  <c r="Z6" i="6"/>
  <c r="X6" i="6"/>
  <c r="Y6" i="6"/>
  <c r="Y10" i="6"/>
  <c r="Z10" i="6"/>
  <c r="X10" i="6"/>
  <c r="AF8" i="8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F131" i="8" s="1"/>
  <c r="AF132" i="8" s="1"/>
  <c r="AF133" i="8" s="1"/>
  <c r="AF134" i="8" s="1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F145" i="8" s="1"/>
  <c r="AF146" i="8" s="1"/>
  <c r="AF147" i="8" s="1"/>
  <c r="AF148" i="8" s="1"/>
  <c r="AF149" i="8" s="1"/>
  <c r="AF150" i="8" s="1"/>
  <c r="AF151" i="8" s="1"/>
  <c r="AF152" i="8" s="1"/>
  <c r="AF153" i="8" s="1"/>
  <c r="AF154" i="8" s="1"/>
  <c r="AF155" i="8" s="1"/>
  <c r="AF156" i="8" s="1"/>
  <c r="AF157" i="8" s="1"/>
  <c r="AF158" i="8" s="1"/>
  <c r="AF159" i="8" s="1"/>
  <c r="AF160" i="8" s="1"/>
  <c r="AF161" i="8" s="1"/>
  <c r="AF162" i="8" s="1"/>
  <c r="AF163" i="8" s="1"/>
  <c r="AF164" i="8" s="1"/>
  <c r="AF165" i="8" s="1"/>
  <c r="AF166" i="8" s="1"/>
  <c r="AF167" i="8" s="1"/>
  <c r="AF168" i="8" s="1"/>
  <c r="AF169" i="8" s="1"/>
  <c r="AF170" i="8" s="1"/>
  <c r="AF171" i="8" s="1"/>
  <c r="AF172" i="8" s="1"/>
  <c r="AF173" i="8" s="1"/>
  <c r="AF174" i="8" s="1"/>
  <c r="AF175" i="8" s="1"/>
  <c r="AF176" i="8" s="1"/>
  <c r="AF177" i="8" s="1"/>
  <c r="AF178" i="8" s="1"/>
  <c r="AF179" i="8" s="1"/>
  <c r="AF180" i="8" s="1"/>
  <c r="AF181" i="8" s="1"/>
  <c r="AF182" i="8" s="1"/>
  <c r="AF183" i="8" s="1"/>
  <c r="AF184" i="8" s="1"/>
  <c r="AF185" i="8" s="1"/>
  <c r="AF186" i="8" s="1"/>
  <c r="AF187" i="8" s="1"/>
  <c r="AF188" i="8" s="1"/>
  <c r="AF189" i="8" s="1"/>
  <c r="AF190" i="8" s="1"/>
  <c r="AF191" i="8" s="1"/>
  <c r="AF192" i="8" s="1"/>
  <c r="AF193" i="8" s="1"/>
  <c r="AF194" i="8" s="1"/>
  <c r="AF195" i="8" s="1"/>
  <c r="AF196" i="8" s="1"/>
  <c r="AF197" i="8" s="1"/>
  <c r="AF198" i="8" s="1"/>
  <c r="AF199" i="8" s="1"/>
  <c r="AF200" i="8" s="1"/>
  <c r="AF201" i="8" s="1"/>
  <c r="AF202" i="8" s="1"/>
  <c r="AF203" i="8" s="1"/>
  <c r="AF204" i="8" s="1"/>
  <c r="AF205" i="8" s="1"/>
  <c r="AF206" i="8" s="1"/>
  <c r="AF207" i="8" s="1"/>
  <c r="AF208" i="8" s="1"/>
  <c r="AF209" i="8" s="1"/>
  <c r="AF210" i="8" s="1"/>
  <c r="AF211" i="8" s="1"/>
  <c r="AF212" i="8" s="1"/>
  <c r="AF213" i="8" s="1"/>
  <c r="AF214" i="8" s="1"/>
  <c r="AF215" i="8" s="1"/>
  <c r="AF216" i="8" s="1"/>
  <c r="AF217" i="8" s="1"/>
  <c r="AF218" i="8" s="1"/>
  <c r="AF219" i="8" s="1"/>
  <c r="AF220" i="8" s="1"/>
  <c r="AF221" i="8" s="1"/>
  <c r="AF222" i="8" s="1"/>
  <c r="AF223" i="8" s="1"/>
  <c r="AF224" i="8" s="1"/>
  <c r="AF225" i="8" s="1"/>
  <c r="AF226" i="8" s="1"/>
  <c r="AF227" i="8" s="1"/>
  <c r="AF228" i="8" s="1"/>
  <c r="AF229" i="8" s="1"/>
  <c r="AF230" i="8" s="1"/>
  <c r="AF231" i="8" s="1"/>
  <c r="AF232" i="8" s="1"/>
  <c r="AF233" i="8" s="1"/>
  <c r="AF234" i="8" s="1"/>
  <c r="AF235" i="8" s="1"/>
  <c r="AF236" i="8" s="1"/>
  <c r="AF237" i="8" s="1"/>
  <c r="AF238" i="8" s="1"/>
  <c r="AF239" i="8" s="1"/>
  <c r="AF240" i="8" s="1"/>
  <c r="AF241" i="8" s="1"/>
  <c r="AF242" i="8" s="1"/>
  <c r="AF243" i="8" s="1"/>
  <c r="AF244" i="8" s="1"/>
  <c r="AF245" i="8" s="1"/>
  <c r="AF246" i="8" s="1"/>
  <c r="AF247" i="8" s="1"/>
  <c r="AF248" i="8" s="1"/>
  <c r="AF249" i="8" s="1"/>
  <c r="AF250" i="8" s="1"/>
  <c r="AF251" i="8" s="1"/>
  <c r="AF252" i="8" s="1"/>
  <c r="AF253" i="8" s="1"/>
  <c r="AF254" i="8" s="1"/>
  <c r="AF255" i="8" s="1"/>
  <c r="AF256" i="8" s="1"/>
  <c r="AF257" i="8" s="1"/>
  <c r="F9" i="10" s="1"/>
  <c r="AD30" i="6"/>
  <c r="AD34" i="6"/>
  <c r="AD28" i="6"/>
  <c r="AC32" i="6"/>
  <c r="AC36" i="6"/>
  <c r="AD37" i="6"/>
  <c r="AC31" i="6"/>
  <c r="AD31" i="6"/>
  <c r="AD35" i="6"/>
  <c r="AC29" i="6"/>
  <c r="AC33" i="6"/>
  <c r="AC37" i="6"/>
  <c r="AA10" i="6"/>
  <c r="AD29" i="6"/>
  <c r="AC35" i="6"/>
  <c r="AD32" i="6"/>
  <c r="AD36" i="6"/>
  <c r="AC30" i="6"/>
  <c r="AE30" i="6" s="1"/>
  <c r="AC34" i="6"/>
  <c r="AC28" i="6"/>
  <c r="V10" i="6"/>
  <c r="AD33" i="6"/>
  <c r="W10" i="6"/>
  <c r="AE31" i="6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AA6" i="6"/>
  <c r="AC46" i="6"/>
  <c r="AA9" i="6"/>
  <c r="AA8" i="6"/>
  <c r="Q8" i="8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0" i="8" s="1"/>
  <c r="Q141" i="8" s="1"/>
  <c r="Q142" i="8" s="1"/>
  <c r="Q143" i="8" s="1"/>
  <c r="Q144" i="8" s="1"/>
  <c r="Q145" i="8" s="1"/>
  <c r="Q146" i="8" s="1"/>
  <c r="Q147" i="8" s="1"/>
  <c r="Q148" i="8" s="1"/>
  <c r="Q149" i="8" s="1"/>
  <c r="Q150" i="8" s="1"/>
  <c r="Q151" i="8" s="1"/>
  <c r="Q152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6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D8" i="10" s="1"/>
  <c r="AC11" i="8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C123" i="8" s="1"/>
  <c r="AC124" i="8" s="1"/>
  <c r="AC125" i="8" s="1"/>
  <c r="AC126" i="8" s="1"/>
  <c r="AC127" i="8" s="1"/>
  <c r="AC128" i="8" s="1"/>
  <c r="AC129" i="8" s="1"/>
  <c r="AC130" i="8" s="1"/>
  <c r="AC131" i="8" s="1"/>
  <c r="AC132" i="8" s="1"/>
  <c r="AC133" i="8" s="1"/>
  <c r="AC134" i="8" s="1"/>
  <c r="AC135" i="8" s="1"/>
  <c r="AC136" i="8" s="1"/>
  <c r="AC137" i="8" s="1"/>
  <c r="AC138" i="8" s="1"/>
  <c r="AC139" i="8" s="1"/>
  <c r="AC140" i="8" s="1"/>
  <c r="AC141" i="8" s="1"/>
  <c r="AC142" i="8" s="1"/>
  <c r="AC143" i="8" s="1"/>
  <c r="AC144" i="8" s="1"/>
  <c r="AC145" i="8" s="1"/>
  <c r="AC146" i="8" s="1"/>
  <c r="AC147" i="8" s="1"/>
  <c r="AC148" i="8" s="1"/>
  <c r="AC149" i="8" s="1"/>
  <c r="AC150" i="8" s="1"/>
  <c r="AC151" i="8" s="1"/>
  <c r="AC152" i="8" s="1"/>
  <c r="AC153" i="8" s="1"/>
  <c r="AC154" i="8" s="1"/>
  <c r="AC155" i="8" s="1"/>
  <c r="AC156" i="8" s="1"/>
  <c r="AC157" i="8" s="1"/>
  <c r="AC158" i="8" s="1"/>
  <c r="AC159" i="8" s="1"/>
  <c r="AC160" i="8" s="1"/>
  <c r="AC161" i="8" s="1"/>
  <c r="AC162" i="8" s="1"/>
  <c r="AC163" i="8" s="1"/>
  <c r="AC164" i="8" s="1"/>
  <c r="AC165" i="8" s="1"/>
  <c r="AC166" i="8" s="1"/>
  <c r="AC167" i="8" s="1"/>
  <c r="AC168" i="8" s="1"/>
  <c r="AC169" i="8" s="1"/>
  <c r="AC170" i="8" s="1"/>
  <c r="AC171" i="8" s="1"/>
  <c r="AC172" i="8" s="1"/>
  <c r="AC173" i="8" s="1"/>
  <c r="AC174" i="8" s="1"/>
  <c r="AC175" i="8" s="1"/>
  <c r="AC176" i="8" s="1"/>
  <c r="AC177" i="8" s="1"/>
  <c r="AC178" i="8" s="1"/>
  <c r="AC179" i="8" s="1"/>
  <c r="AC180" i="8" s="1"/>
  <c r="AC181" i="8" s="1"/>
  <c r="AC182" i="8" s="1"/>
  <c r="AC183" i="8" s="1"/>
  <c r="AC184" i="8" s="1"/>
  <c r="AC185" i="8" s="1"/>
  <c r="AC186" i="8" s="1"/>
  <c r="AC187" i="8" s="1"/>
  <c r="AC188" i="8" s="1"/>
  <c r="AC189" i="8" s="1"/>
  <c r="AC190" i="8" s="1"/>
  <c r="AC191" i="8" s="1"/>
  <c r="AC192" i="8" s="1"/>
  <c r="AC193" i="8" s="1"/>
  <c r="AC194" i="8" s="1"/>
  <c r="AC195" i="8" s="1"/>
  <c r="AC196" i="8" s="1"/>
  <c r="AC197" i="8" s="1"/>
  <c r="AC198" i="8" s="1"/>
  <c r="AC199" i="8" s="1"/>
  <c r="AC200" i="8" s="1"/>
  <c r="AC201" i="8" s="1"/>
  <c r="AC202" i="8" s="1"/>
  <c r="AC203" i="8" s="1"/>
  <c r="AC204" i="8" s="1"/>
  <c r="AC205" i="8" s="1"/>
  <c r="AC206" i="8" s="1"/>
  <c r="AC207" i="8" s="1"/>
  <c r="AC208" i="8" s="1"/>
  <c r="AC209" i="8" s="1"/>
  <c r="AC210" i="8" s="1"/>
  <c r="AC211" i="8" s="1"/>
  <c r="AC212" i="8" s="1"/>
  <c r="AC213" i="8" s="1"/>
  <c r="AC214" i="8" s="1"/>
  <c r="AC215" i="8" s="1"/>
  <c r="AC216" i="8" s="1"/>
  <c r="AC217" i="8" s="1"/>
  <c r="AC218" i="8" s="1"/>
  <c r="AC219" i="8" s="1"/>
  <c r="AC220" i="8" s="1"/>
  <c r="AC221" i="8" s="1"/>
  <c r="AC222" i="8" s="1"/>
  <c r="AC223" i="8" s="1"/>
  <c r="AC224" i="8" s="1"/>
  <c r="AC225" i="8" s="1"/>
  <c r="AC226" i="8" s="1"/>
  <c r="AC227" i="8" s="1"/>
  <c r="AC228" i="8" s="1"/>
  <c r="AC229" i="8" s="1"/>
  <c r="AC230" i="8" s="1"/>
  <c r="AC231" i="8" s="1"/>
  <c r="AC232" i="8" s="1"/>
  <c r="AC233" i="8" s="1"/>
  <c r="AC234" i="8" s="1"/>
  <c r="AC235" i="8" s="1"/>
  <c r="AC236" i="8" s="1"/>
  <c r="AC237" i="8" s="1"/>
  <c r="AC238" i="8" s="1"/>
  <c r="AC239" i="8" s="1"/>
  <c r="AC240" i="8" s="1"/>
  <c r="AC241" i="8" s="1"/>
  <c r="AC242" i="8" s="1"/>
  <c r="AC243" i="8" s="1"/>
  <c r="AC244" i="8" s="1"/>
  <c r="AC245" i="8" s="1"/>
  <c r="AC246" i="8" s="1"/>
  <c r="AC247" i="8" s="1"/>
  <c r="AC248" i="8" s="1"/>
  <c r="AC249" i="8" s="1"/>
  <c r="AC250" i="8" s="1"/>
  <c r="AC251" i="8" s="1"/>
  <c r="AC252" i="8" s="1"/>
  <c r="AC253" i="8" s="1"/>
  <c r="AC254" i="8" s="1"/>
  <c r="AC255" i="8" s="1"/>
  <c r="AC256" i="8" s="1"/>
  <c r="AC257" i="8" s="1"/>
  <c r="C9" i="10" s="1"/>
  <c r="AD8" i="8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D131" i="8" s="1"/>
  <c r="AD132" i="8" s="1"/>
  <c r="AD133" i="8" s="1"/>
  <c r="AD134" i="8" s="1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D145" i="8" s="1"/>
  <c r="AD146" i="8" s="1"/>
  <c r="AD147" i="8" s="1"/>
  <c r="AD148" i="8" s="1"/>
  <c r="AD149" i="8" s="1"/>
  <c r="AD150" i="8" s="1"/>
  <c r="AD151" i="8" s="1"/>
  <c r="AD152" i="8" s="1"/>
  <c r="AD153" i="8" s="1"/>
  <c r="AD154" i="8" s="1"/>
  <c r="AD155" i="8" s="1"/>
  <c r="AD156" i="8" s="1"/>
  <c r="AD157" i="8" s="1"/>
  <c r="AD158" i="8" s="1"/>
  <c r="AD159" i="8" s="1"/>
  <c r="AD160" i="8" s="1"/>
  <c r="AD161" i="8" s="1"/>
  <c r="AD162" i="8" s="1"/>
  <c r="AD163" i="8" s="1"/>
  <c r="AD164" i="8" s="1"/>
  <c r="AD165" i="8" s="1"/>
  <c r="AD166" i="8" s="1"/>
  <c r="AD167" i="8" s="1"/>
  <c r="AD168" i="8" s="1"/>
  <c r="AD169" i="8" s="1"/>
  <c r="AD170" i="8" s="1"/>
  <c r="AD171" i="8" s="1"/>
  <c r="AD172" i="8" s="1"/>
  <c r="AD173" i="8" s="1"/>
  <c r="AD174" i="8" s="1"/>
  <c r="AD175" i="8" s="1"/>
  <c r="AD176" i="8" s="1"/>
  <c r="AD177" i="8" s="1"/>
  <c r="AD178" i="8" s="1"/>
  <c r="AD179" i="8" s="1"/>
  <c r="AD180" i="8" s="1"/>
  <c r="AD181" i="8" s="1"/>
  <c r="AD182" i="8" s="1"/>
  <c r="AD183" i="8" s="1"/>
  <c r="AD184" i="8" s="1"/>
  <c r="AD185" i="8" s="1"/>
  <c r="AD186" i="8" s="1"/>
  <c r="AD187" i="8" s="1"/>
  <c r="AD188" i="8" s="1"/>
  <c r="AD189" i="8" s="1"/>
  <c r="AD190" i="8" s="1"/>
  <c r="AD191" i="8" s="1"/>
  <c r="AD192" i="8" s="1"/>
  <c r="AD193" i="8" s="1"/>
  <c r="AD194" i="8" s="1"/>
  <c r="AD195" i="8" s="1"/>
  <c r="AD196" i="8" s="1"/>
  <c r="AD197" i="8" s="1"/>
  <c r="AD198" i="8" s="1"/>
  <c r="AD199" i="8" s="1"/>
  <c r="AD200" i="8" s="1"/>
  <c r="AD201" i="8" s="1"/>
  <c r="AD202" i="8" s="1"/>
  <c r="AD203" i="8" s="1"/>
  <c r="AD204" i="8" s="1"/>
  <c r="AD205" i="8" s="1"/>
  <c r="AD206" i="8" s="1"/>
  <c r="AD207" i="8" s="1"/>
  <c r="AD208" i="8" s="1"/>
  <c r="AD209" i="8" s="1"/>
  <c r="AD210" i="8" s="1"/>
  <c r="AD211" i="8" s="1"/>
  <c r="AD212" i="8" s="1"/>
  <c r="AD213" i="8" s="1"/>
  <c r="AD214" i="8" s="1"/>
  <c r="AD215" i="8" s="1"/>
  <c r="AD216" i="8" s="1"/>
  <c r="AD217" i="8" s="1"/>
  <c r="AD218" i="8" s="1"/>
  <c r="AD219" i="8" s="1"/>
  <c r="AD220" i="8" s="1"/>
  <c r="AD221" i="8" s="1"/>
  <c r="AD222" i="8" s="1"/>
  <c r="AD223" i="8" s="1"/>
  <c r="AD224" i="8" s="1"/>
  <c r="AD225" i="8" s="1"/>
  <c r="AD226" i="8" s="1"/>
  <c r="AD227" i="8" s="1"/>
  <c r="AD228" i="8" s="1"/>
  <c r="AD229" i="8" s="1"/>
  <c r="AD230" i="8" s="1"/>
  <c r="AD231" i="8" s="1"/>
  <c r="AD232" i="8" s="1"/>
  <c r="AD233" i="8" s="1"/>
  <c r="AD234" i="8" s="1"/>
  <c r="AD235" i="8" s="1"/>
  <c r="AD236" i="8" s="1"/>
  <c r="AD237" i="8" s="1"/>
  <c r="AD238" i="8" s="1"/>
  <c r="AD239" i="8" s="1"/>
  <c r="AD240" i="8" s="1"/>
  <c r="AD241" i="8" s="1"/>
  <c r="AD242" i="8" s="1"/>
  <c r="AD243" i="8" s="1"/>
  <c r="AD244" i="8" s="1"/>
  <c r="AD245" i="8" s="1"/>
  <c r="AD246" i="8" s="1"/>
  <c r="AD247" i="8" s="1"/>
  <c r="AD248" i="8" s="1"/>
  <c r="AD249" i="8" s="1"/>
  <c r="AD250" i="8" s="1"/>
  <c r="AD251" i="8" s="1"/>
  <c r="AD252" i="8" s="1"/>
  <c r="AD253" i="8" s="1"/>
  <c r="AD254" i="8" s="1"/>
  <c r="AD255" i="8" s="1"/>
  <c r="AD256" i="8" s="1"/>
  <c r="AD257" i="8" s="1"/>
  <c r="D9" i="10" s="1"/>
  <c r="AB9" i="8"/>
  <c r="AE8" i="8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AE156" i="8" s="1"/>
  <c r="AE157" i="8" s="1"/>
  <c r="AE158" i="8" s="1"/>
  <c r="AE159" i="8" s="1"/>
  <c r="AE160" i="8" s="1"/>
  <c r="AE161" i="8" s="1"/>
  <c r="AE162" i="8" s="1"/>
  <c r="AE163" i="8" s="1"/>
  <c r="AE164" i="8" s="1"/>
  <c r="AE165" i="8" s="1"/>
  <c r="AE166" i="8" s="1"/>
  <c r="AE167" i="8" s="1"/>
  <c r="AE168" i="8" s="1"/>
  <c r="AE169" i="8" s="1"/>
  <c r="AE170" i="8" s="1"/>
  <c r="AE171" i="8" s="1"/>
  <c r="AE172" i="8" s="1"/>
  <c r="AE173" i="8" s="1"/>
  <c r="AE174" i="8" s="1"/>
  <c r="AE175" i="8" s="1"/>
  <c r="AE176" i="8" s="1"/>
  <c r="AE177" i="8" s="1"/>
  <c r="AE178" i="8" s="1"/>
  <c r="AE179" i="8" s="1"/>
  <c r="AE180" i="8" s="1"/>
  <c r="AE181" i="8" s="1"/>
  <c r="AE182" i="8" s="1"/>
  <c r="AE183" i="8" s="1"/>
  <c r="AE184" i="8" s="1"/>
  <c r="AE185" i="8" s="1"/>
  <c r="AE186" i="8" s="1"/>
  <c r="AE187" i="8" s="1"/>
  <c r="AE188" i="8" s="1"/>
  <c r="AE189" i="8" s="1"/>
  <c r="AE190" i="8" s="1"/>
  <c r="AE191" i="8" s="1"/>
  <c r="AE192" i="8" s="1"/>
  <c r="AE193" i="8" s="1"/>
  <c r="AE194" i="8" s="1"/>
  <c r="AE195" i="8" s="1"/>
  <c r="AE196" i="8" s="1"/>
  <c r="AE197" i="8" s="1"/>
  <c r="AE198" i="8" s="1"/>
  <c r="AE199" i="8" s="1"/>
  <c r="AE200" i="8" s="1"/>
  <c r="AE201" i="8" s="1"/>
  <c r="AE202" i="8" s="1"/>
  <c r="AE203" i="8" s="1"/>
  <c r="AE204" i="8" s="1"/>
  <c r="AE205" i="8" s="1"/>
  <c r="AE206" i="8" s="1"/>
  <c r="AE207" i="8" s="1"/>
  <c r="AE208" i="8" s="1"/>
  <c r="AE209" i="8" s="1"/>
  <c r="AE210" i="8" s="1"/>
  <c r="AE211" i="8" s="1"/>
  <c r="AE212" i="8" s="1"/>
  <c r="AE213" i="8" s="1"/>
  <c r="AE214" i="8" s="1"/>
  <c r="AE215" i="8" s="1"/>
  <c r="AE216" i="8" s="1"/>
  <c r="AE217" i="8" s="1"/>
  <c r="AE218" i="8" s="1"/>
  <c r="AE219" i="8" s="1"/>
  <c r="AE220" i="8" s="1"/>
  <c r="AE221" i="8" s="1"/>
  <c r="AE222" i="8" s="1"/>
  <c r="AE223" i="8" s="1"/>
  <c r="AE224" i="8" s="1"/>
  <c r="AE225" i="8" s="1"/>
  <c r="AE226" i="8" s="1"/>
  <c r="AE227" i="8" s="1"/>
  <c r="AE228" i="8" s="1"/>
  <c r="AE229" i="8" s="1"/>
  <c r="AE230" i="8" s="1"/>
  <c r="AE231" i="8" s="1"/>
  <c r="AE232" i="8" s="1"/>
  <c r="AE233" i="8" s="1"/>
  <c r="AE234" i="8" s="1"/>
  <c r="AE235" i="8" s="1"/>
  <c r="AE236" i="8" s="1"/>
  <c r="AE237" i="8" s="1"/>
  <c r="AE238" i="8" s="1"/>
  <c r="AE239" i="8" s="1"/>
  <c r="AE240" i="8" s="1"/>
  <c r="AE241" i="8" s="1"/>
  <c r="AE242" i="8" s="1"/>
  <c r="AE243" i="8" s="1"/>
  <c r="AE244" i="8" s="1"/>
  <c r="AE245" i="8" s="1"/>
  <c r="AE246" i="8" s="1"/>
  <c r="AE247" i="8" s="1"/>
  <c r="AE248" i="8" s="1"/>
  <c r="AE249" i="8" s="1"/>
  <c r="AE250" i="8" s="1"/>
  <c r="AE251" i="8" s="1"/>
  <c r="AE252" i="8" s="1"/>
  <c r="AE253" i="8" s="1"/>
  <c r="AE254" i="8" s="1"/>
  <c r="AE255" i="8" s="1"/>
  <c r="AE256" i="8" s="1"/>
  <c r="AE257" i="8" s="1"/>
  <c r="E9" i="10" s="1"/>
  <c r="AG7" i="8"/>
  <c r="AH7" i="8" s="1"/>
  <c r="T7" i="8"/>
  <c r="U7" i="8" s="1"/>
  <c r="B8" i="8"/>
  <c r="G7" i="8"/>
  <c r="H7" i="8" s="1"/>
  <c r="AP8" i="8"/>
  <c r="R8" i="8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R97" i="8" s="1"/>
  <c r="R98" i="8" s="1"/>
  <c r="R99" i="8" s="1"/>
  <c r="R100" i="8" s="1"/>
  <c r="R101" i="8" s="1"/>
  <c r="R102" i="8" s="1"/>
  <c r="R103" i="8" s="1"/>
  <c r="R104" i="8" s="1"/>
  <c r="R105" i="8" s="1"/>
  <c r="R106" i="8" s="1"/>
  <c r="R107" i="8" s="1"/>
  <c r="R108" i="8" s="1"/>
  <c r="R109" i="8" s="1"/>
  <c r="R110" i="8" s="1"/>
  <c r="R111" i="8" s="1"/>
  <c r="R112" i="8" s="1"/>
  <c r="R113" i="8" s="1"/>
  <c r="R114" i="8" s="1"/>
  <c r="R115" i="8" s="1"/>
  <c r="R116" i="8" s="1"/>
  <c r="R117" i="8" s="1"/>
  <c r="R118" i="8" s="1"/>
  <c r="R119" i="8" s="1"/>
  <c r="R120" i="8" s="1"/>
  <c r="R121" i="8" s="1"/>
  <c r="R122" i="8" s="1"/>
  <c r="R123" i="8" s="1"/>
  <c r="R124" i="8" s="1"/>
  <c r="R125" i="8" s="1"/>
  <c r="R126" i="8" s="1"/>
  <c r="R127" i="8" s="1"/>
  <c r="R128" i="8" s="1"/>
  <c r="R129" i="8" s="1"/>
  <c r="R130" i="8" s="1"/>
  <c r="R131" i="8" s="1"/>
  <c r="R132" i="8" s="1"/>
  <c r="R133" i="8" s="1"/>
  <c r="R134" i="8" s="1"/>
  <c r="R135" i="8" s="1"/>
  <c r="R136" i="8" s="1"/>
  <c r="R137" i="8" s="1"/>
  <c r="R138" i="8" s="1"/>
  <c r="R139" i="8" s="1"/>
  <c r="R140" i="8" s="1"/>
  <c r="R141" i="8" s="1"/>
  <c r="R142" i="8" s="1"/>
  <c r="R143" i="8" s="1"/>
  <c r="R144" i="8" s="1"/>
  <c r="R145" i="8" s="1"/>
  <c r="R146" i="8" s="1"/>
  <c r="R147" i="8" s="1"/>
  <c r="R148" i="8" s="1"/>
  <c r="R149" i="8" s="1"/>
  <c r="R150" i="8" s="1"/>
  <c r="R151" i="8" s="1"/>
  <c r="R152" i="8" s="1"/>
  <c r="R153" i="8" s="1"/>
  <c r="R154" i="8" s="1"/>
  <c r="R155" i="8" s="1"/>
  <c r="R156" i="8" s="1"/>
  <c r="R157" i="8" s="1"/>
  <c r="R158" i="8" s="1"/>
  <c r="R159" i="8" s="1"/>
  <c r="R160" i="8" s="1"/>
  <c r="R161" i="8" s="1"/>
  <c r="R162" i="8" s="1"/>
  <c r="R163" i="8" s="1"/>
  <c r="R164" i="8" s="1"/>
  <c r="R165" i="8" s="1"/>
  <c r="R166" i="8" s="1"/>
  <c r="R167" i="8" s="1"/>
  <c r="R168" i="8" s="1"/>
  <c r="R169" i="8" s="1"/>
  <c r="R170" i="8" s="1"/>
  <c r="R171" i="8" s="1"/>
  <c r="R172" i="8" s="1"/>
  <c r="R173" i="8" s="1"/>
  <c r="R174" i="8" s="1"/>
  <c r="R175" i="8" s="1"/>
  <c r="R176" i="8" s="1"/>
  <c r="R177" i="8" s="1"/>
  <c r="R178" i="8" s="1"/>
  <c r="R179" i="8" s="1"/>
  <c r="R180" i="8" s="1"/>
  <c r="R181" i="8" s="1"/>
  <c r="R182" i="8" s="1"/>
  <c r="R183" i="8" s="1"/>
  <c r="R184" i="8" s="1"/>
  <c r="R185" i="8" s="1"/>
  <c r="R186" i="8" s="1"/>
  <c r="R187" i="8" s="1"/>
  <c r="R188" i="8" s="1"/>
  <c r="R189" i="8" s="1"/>
  <c r="R190" i="8" s="1"/>
  <c r="R191" i="8" s="1"/>
  <c r="R192" i="8" s="1"/>
  <c r="R193" i="8" s="1"/>
  <c r="R194" i="8" s="1"/>
  <c r="R195" i="8" s="1"/>
  <c r="R196" i="8" s="1"/>
  <c r="R197" i="8" s="1"/>
  <c r="R198" i="8" s="1"/>
  <c r="R199" i="8" s="1"/>
  <c r="R200" i="8" s="1"/>
  <c r="R201" i="8" s="1"/>
  <c r="R202" i="8" s="1"/>
  <c r="R203" i="8" s="1"/>
  <c r="R204" i="8" s="1"/>
  <c r="R205" i="8" s="1"/>
  <c r="R206" i="8" s="1"/>
  <c r="R207" i="8" s="1"/>
  <c r="R208" i="8" s="1"/>
  <c r="R209" i="8" s="1"/>
  <c r="R210" i="8" s="1"/>
  <c r="R211" i="8" s="1"/>
  <c r="R212" i="8" s="1"/>
  <c r="R213" i="8" s="1"/>
  <c r="R214" i="8" s="1"/>
  <c r="R215" i="8" s="1"/>
  <c r="R216" i="8" s="1"/>
  <c r="R217" i="8" s="1"/>
  <c r="R218" i="8" s="1"/>
  <c r="R219" i="8" s="1"/>
  <c r="R220" i="8" s="1"/>
  <c r="R221" i="8" s="1"/>
  <c r="R222" i="8" s="1"/>
  <c r="R223" i="8" s="1"/>
  <c r="R224" i="8" s="1"/>
  <c r="R225" i="8" s="1"/>
  <c r="R226" i="8" s="1"/>
  <c r="R227" i="8" s="1"/>
  <c r="R228" i="8" s="1"/>
  <c r="R229" i="8" s="1"/>
  <c r="R230" i="8" s="1"/>
  <c r="R231" i="8" s="1"/>
  <c r="R232" i="8" s="1"/>
  <c r="R233" i="8" s="1"/>
  <c r="R234" i="8" s="1"/>
  <c r="R235" i="8" s="1"/>
  <c r="R236" i="8" s="1"/>
  <c r="R237" i="8" s="1"/>
  <c r="R238" i="8" s="1"/>
  <c r="R239" i="8" s="1"/>
  <c r="R240" i="8" s="1"/>
  <c r="R241" i="8" s="1"/>
  <c r="R242" i="8" s="1"/>
  <c r="R243" i="8" s="1"/>
  <c r="R244" i="8" s="1"/>
  <c r="R245" i="8" s="1"/>
  <c r="R246" i="8" s="1"/>
  <c r="R247" i="8" s="1"/>
  <c r="R248" i="8" s="1"/>
  <c r="R249" i="8" s="1"/>
  <c r="R250" i="8" s="1"/>
  <c r="R251" i="8" s="1"/>
  <c r="R252" i="8" s="1"/>
  <c r="R253" i="8" s="1"/>
  <c r="R254" i="8" s="1"/>
  <c r="R255" i="8" s="1"/>
  <c r="R256" i="8" s="1"/>
  <c r="R257" i="8" s="1"/>
  <c r="E8" i="10" s="1"/>
  <c r="O8" i="8"/>
  <c r="S8" i="8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F8" i="10" s="1"/>
  <c r="W9" i="6"/>
  <c r="AQ7" i="8"/>
  <c r="AR7" i="8"/>
  <c r="P8" i="8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P123" i="8" s="1"/>
  <c r="P124" i="8" s="1"/>
  <c r="P125" i="8" s="1"/>
  <c r="P126" i="8" s="1"/>
  <c r="P127" i="8" s="1"/>
  <c r="P128" i="8" s="1"/>
  <c r="P129" i="8" s="1"/>
  <c r="P130" i="8" s="1"/>
  <c r="P131" i="8" s="1"/>
  <c r="P132" i="8" s="1"/>
  <c r="P133" i="8" s="1"/>
  <c r="P134" i="8" s="1"/>
  <c r="P135" i="8" s="1"/>
  <c r="P136" i="8" s="1"/>
  <c r="P137" i="8" s="1"/>
  <c r="P138" i="8" s="1"/>
  <c r="P139" i="8" s="1"/>
  <c r="P140" i="8" s="1"/>
  <c r="P141" i="8" s="1"/>
  <c r="P142" i="8" s="1"/>
  <c r="P143" i="8" s="1"/>
  <c r="P144" i="8" s="1"/>
  <c r="P145" i="8" s="1"/>
  <c r="P146" i="8" s="1"/>
  <c r="P147" i="8" s="1"/>
  <c r="P148" i="8" s="1"/>
  <c r="P149" i="8" s="1"/>
  <c r="P150" i="8" s="1"/>
  <c r="P151" i="8" s="1"/>
  <c r="P152" i="8" s="1"/>
  <c r="P153" i="8" s="1"/>
  <c r="P154" i="8" s="1"/>
  <c r="P155" i="8" s="1"/>
  <c r="P156" i="8" s="1"/>
  <c r="P157" i="8" s="1"/>
  <c r="P158" i="8" s="1"/>
  <c r="P159" i="8" s="1"/>
  <c r="P160" i="8" s="1"/>
  <c r="P161" i="8" s="1"/>
  <c r="P162" i="8" s="1"/>
  <c r="P163" i="8" s="1"/>
  <c r="P164" i="8" s="1"/>
  <c r="P165" i="8" s="1"/>
  <c r="P166" i="8" s="1"/>
  <c r="P167" i="8" s="1"/>
  <c r="P168" i="8" s="1"/>
  <c r="P169" i="8" s="1"/>
  <c r="P170" i="8" s="1"/>
  <c r="P171" i="8" s="1"/>
  <c r="P172" i="8" s="1"/>
  <c r="P173" i="8" s="1"/>
  <c r="P174" i="8" s="1"/>
  <c r="P175" i="8" s="1"/>
  <c r="P176" i="8" s="1"/>
  <c r="P177" i="8" s="1"/>
  <c r="P178" i="8" s="1"/>
  <c r="P179" i="8" s="1"/>
  <c r="P180" i="8" s="1"/>
  <c r="P181" i="8" s="1"/>
  <c r="P182" i="8" s="1"/>
  <c r="P183" i="8" s="1"/>
  <c r="P184" i="8" s="1"/>
  <c r="P185" i="8" s="1"/>
  <c r="P186" i="8" s="1"/>
  <c r="P187" i="8" s="1"/>
  <c r="P188" i="8" s="1"/>
  <c r="P189" i="8" s="1"/>
  <c r="P190" i="8" s="1"/>
  <c r="P191" i="8" s="1"/>
  <c r="P192" i="8" s="1"/>
  <c r="P193" i="8" s="1"/>
  <c r="P194" i="8" s="1"/>
  <c r="P195" i="8" s="1"/>
  <c r="P196" i="8" s="1"/>
  <c r="P197" i="8" s="1"/>
  <c r="P198" i="8" s="1"/>
  <c r="P199" i="8" s="1"/>
  <c r="P200" i="8" s="1"/>
  <c r="P201" i="8" s="1"/>
  <c r="P202" i="8" s="1"/>
  <c r="P203" i="8" s="1"/>
  <c r="P204" i="8" s="1"/>
  <c r="P205" i="8" s="1"/>
  <c r="P206" i="8" s="1"/>
  <c r="P207" i="8" s="1"/>
  <c r="P208" i="8" s="1"/>
  <c r="P209" i="8" s="1"/>
  <c r="P210" i="8" s="1"/>
  <c r="P211" i="8" s="1"/>
  <c r="P212" i="8" s="1"/>
  <c r="P213" i="8" s="1"/>
  <c r="P214" i="8" s="1"/>
  <c r="P215" i="8" s="1"/>
  <c r="P216" i="8" s="1"/>
  <c r="P217" i="8" s="1"/>
  <c r="P218" i="8" s="1"/>
  <c r="P219" i="8" s="1"/>
  <c r="P220" i="8" s="1"/>
  <c r="P221" i="8" s="1"/>
  <c r="P222" i="8" s="1"/>
  <c r="P223" i="8" s="1"/>
  <c r="P224" i="8" s="1"/>
  <c r="P225" i="8" s="1"/>
  <c r="P226" i="8" s="1"/>
  <c r="P227" i="8" s="1"/>
  <c r="P228" i="8" s="1"/>
  <c r="P229" i="8" s="1"/>
  <c r="P230" i="8" s="1"/>
  <c r="P231" i="8" s="1"/>
  <c r="P232" i="8" s="1"/>
  <c r="P233" i="8" s="1"/>
  <c r="P234" i="8" s="1"/>
  <c r="P235" i="8" s="1"/>
  <c r="P236" i="8" s="1"/>
  <c r="P237" i="8" s="1"/>
  <c r="P238" i="8" s="1"/>
  <c r="P239" i="8" s="1"/>
  <c r="P240" i="8" s="1"/>
  <c r="P241" i="8" s="1"/>
  <c r="P242" i="8" s="1"/>
  <c r="P243" i="8" s="1"/>
  <c r="P244" i="8" s="1"/>
  <c r="P245" i="8" s="1"/>
  <c r="P246" i="8" s="1"/>
  <c r="P247" i="8" s="1"/>
  <c r="P248" i="8" s="1"/>
  <c r="P249" i="8" s="1"/>
  <c r="P250" i="8" s="1"/>
  <c r="P251" i="8" s="1"/>
  <c r="P252" i="8" s="1"/>
  <c r="P253" i="8" s="1"/>
  <c r="P254" i="8" s="1"/>
  <c r="P255" i="8" s="1"/>
  <c r="P256" i="8" s="1"/>
  <c r="P257" i="8" s="1"/>
  <c r="C8" i="10" s="1"/>
  <c r="AS7" i="8"/>
  <c r="AS8" i="8" s="1"/>
  <c r="AO7" i="8"/>
  <c r="X20" i="6"/>
  <c r="X9" i="6"/>
  <c r="X8" i="6"/>
  <c r="W8" i="6"/>
  <c r="V9" i="6"/>
  <c r="V8" i="6"/>
  <c r="W20" i="6"/>
  <c r="Z20" i="6"/>
  <c r="Z8" i="6"/>
  <c r="Z9" i="6"/>
  <c r="W13" i="6"/>
  <c r="W14" i="6"/>
  <c r="W15" i="6"/>
  <c r="W16" i="6"/>
  <c r="V14" i="6"/>
  <c r="V13" i="6"/>
  <c r="V16" i="6"/>
  <c r="V15" i="6"/>
  <c r="Z14" i="6"/>
  <c r="Z15" i="6"/>
  <c r="Z16" i="6"/>
  <c r="Y8" i="6"/>
  <c r="Y9" i="6"/>
  <c r="Y20" i="6"/>
  <c r="X15" i="6"/>
  <c r="X16" i="6"/>
  <c r="X13" i="6"/>
  <c r="X14" i="6"/>
  <c r="Y13" i="6"/>
  <c r="Y14" i="6"/>
  <c r="Y15" i="6"/>
  <c r="Y16" i="6"/>
  <c r="AF28" i="6" l="1"/>
  <c r="AF29" i="6" s="1"/>
  <c r="V20" i="6"/>
  <c r="AE29" i="6"/>
  <c r="AG8" i="8"/>
  <c r="AH8" i="8" s="1"/>
  <c r="AD46" i="6"/>
  <c r="AE46" i="6" s="1"/>
  <c r="AT7" i="8"/>
  <c r="AU7" i="8" s="1"/>
  <c r="AB10" i="8"/>
  <c r="AG9" i="8"/>
  <c r="O9" i="8"/>
  <c r="T8" i="8"/>
  <c r="U8" i="8" s="1"/>
  <c r="B9" i="8"/>
  <c r="G8" i="8"/>
  <c r="H8" i="8" s="1"/>
  <c r="AO8" i="8"/>
  <c r="AP9" i="8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P56" i="8" s="1"/>
  <c r="AP57" i="8" s="1"/>
  <c r="AP58" i="8" s="1"/>
  <c r="AP59" i="8" s="1"/>
  <c r="AP60" i="8" s="1"/>
  <c r="AP61" i="8" s="1"/>
  <c r="AP62" i="8" s="1"/>
  <c r="AP63" i="8" s="1"/>
  <c r="AP64" i="8" s="1"/>
  <c r="AP65" i="8" s="1"/>
  <c r="AP66" i="8" s="1"/>
  <c r="AP67" i="8" s="1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P119" i="8" s="1"/>
  <c r="AP120" i="8" s="1"/>
  <c r="AP121" i="8" s="1"/>
  <c r="AP122" i="8" s="1"/>
  <c r="AP123" i="8" s="1"/>
  <c r="AP124" i="8" s="1"/>
  <c r="AP125" i="8" s="1"/>
  <c r="AP126" i="8" s="1"/>
  <c r="AP127" i="8" s="1"/>
  <c r="AP128" i="8" s="1"/>
  <c r="AP129" i="8" s="1"/>
  <c r="AP130" i="8" s="1"/>
  <c r="AP131" i="8" s="1"/>
  <c r="AP132" i="8" s="1"/>
  <c r="AP133" i="8" s="1"/>
  <c r="AP134" i="8" s="1"/>
  <c r="AP135" i="8" s="1"/>
  <c r="AP136" i="8" s="1"/>
  <c r="AP137" i="8" s="1"/>
  <c r="AP138" i="8" s="1"/>
  <c r="AP139" i="8" s="1"/>
  <c r="AP140" i="8" s="1"/>
  <c r="AP141" i="8" s="1"/>
  <c r="AP142" i="8" s="1"/>
  <c r="AP143" i="8" s="1"/>
  <c r="AP144" i="8" s="1"/>
  <c r="AP145" i="8" s="1"/>
  <c r="AP146" i="8" s="1"/>
  <c r="AP147" i="8" s="1"/>
  <c r="AP148" i="8" s="1"/>
  <c r="AP149" i="8" s="1"/>
  <c r="AP150" i="8" s="1"/>
  <c r="AP151" i="8" s="1"/>
  <c r="AP152" i="8" s="1"/>
  <c r="AP153" i="8" s="1"/>
  <c r="AP154" i="8" s="1"/>
  <c r="AP155" i="8" s="1"/>
  <c r="AP156" i="8" s="1"/>
  <c r="AP157" i="8" s="1"/>
  <c r="AP158" i="8" s="1"/>
  <c r="AP159" i="8" s="1"/>
  <c r="AP160" i="8" s="1"/>
  <c r="AP161" i="8" s="1"/>
  <c r="AP162" i="8" s="1"/>
  <c r="AP163" i="8" s="1"/>
  <c r="AP164" i="8" s="1"/>
  <c r="AP165" i="8" s="1"/>
  <c r="AP166" i="8" s="1"/>
  <c r="AP167" i="8" s="1"/>
  <c r="AP168" i="8" s="1"/>
  <c r="AP169" i="8" s="1"/>
  <c r="AP170" i="8" s="1"/>
  <c r="AP171" i="8" s="1"/>
  <c r="AP172" i="8" s="1"/>
  <c r="AP173" i="8" s="1"/>
  <c r="AP174" i="8" s="1"/>
  <c r="AP175" i="8" s="1"/>
  <c r="AP176" i="8" s="1"/>
  <c r="AP177" i="8" s="1"/>
  <c r="AP178" i="8" s="1"/>
  <c r="AP179" i="8" s="1"/>
  <c r="AP180" i="8" s="1"/>
  <c r="AP181" i="8" s="1"/>
  <c r="AP182" i="8" s="1"/>
  <c r="AP183" i="8" s="1"/>
  <c r="AP184" i="8" s="1"/>
  <c r="AP185" i="8" s="1"/>
  <c r="AP186" i="8" s="1"/>
  <c r="AP187" i="8" s="1"/>
  <c r="AP188" i="8" s="1"/>
  <c r="AP189" i="8" s="1"/>
  <c r="AP190" i="8" s="1"/>
  <c r="AP191" i="8" s="1"/>
  <c r="AP192" i="8" s="1"/>
  <c r="AP193" i="8" s="1"/>
  <c r="AP194" i="8" s="1"/>
  <c r="AP195" i="8" s="1"/>
  <c r="AP196" i="8" s="1"/>
  <c r="AP197" i="8" s="1"/>
  <c r="AP198" i="8" s="1"/>
  <c r="AP199" i="8" s="1"/>
  <c r="AP200" i="8" s="1"/>
  <c r="AP201" i="8" s="1"/>
  <c r="AP202" i="8" s="1"/>
  <c r="AP203" i="8" s="1"/>
  <c r="AP204" i="8" s="1"/>
  <c r="AP205" i="8" s="1"/>
  <c r="AP206" i="8" s="1"/>
  <c r="AP207" i="8" s="1"/>
  <c r="AP208" i="8" s="1"/>
  <c r="AP209" i="8" s="1"/>
  <c r="AP210" i="8" s="1"/>
  <c r="AP211" i="8" s="1"/>
  <c r="AP212" i="8" s="1"/>
  <c r="AP213" i="8" s="1"/>
  <c r="AP214" i="8" s="1"/>
  <c r="AP215" i="8" s="1"/>
  <c r="AP216" i="8" s="1"/>
  <c r="AP217" i="8" s="1"/>
  <c r="AP218" i="8" s="1"/>
  <c r="AP219" i="8" s="1"/>
  <c r="AP220" i="8" s="1"/>
  <c r="AP221" i="8" s="1"/>
  <c r="AP222" i="8" s="1"/>
  <c r="AP223" i="8" s="1"/>
  <c r="AP224" i="8" s="1"/>
  <c r="AP225" i="8" s="1"/>
  <c r="AP226" i="8" s="1"/>
  <c r="AP227" i="8" s="1"/>
  <c r="AP228" i="8" s="1"/>
  <c r="AP229" i="8" s="1"/>
  <c r="AP230" i="8" s="1"/>
  <c r="AP231" i="8" s="1"/>
  <c r="AP232" i="8" s="1"/>
  <c r="AP233" i="8" s="1"/>
  <c r="AP234" i="8" s="1"/>
  <c r="AP235" i="8" s="1"/>
  <c r="AP236" i="8" s="1"/>
  <c r="AP237" i="8" s="1"/>
  <c r="AP238" i="8" s="1"/>
  <c r="AP239" i="8" s="1"/>
  <c r="AP240" i="8" s="1"/>
  <c r="AP241" i="8" s="1"/>
  <c r="AP242" i="8" s="1"/>
  <c r="AP243" i="8" s="1"/>
  <c r="AP244" i="8" s="1"/>
  <c r="AP245" i="8" s="1"/>
  <c r="AP246" i="8" s="1"/>
  <c r="AP247" i="8" s="1"/>
  <c r="AP248" i="8" s="1"/>
  <c r="AP249" i="8" s="1"/>
  <c r="AP250" i="8" s="1"/>
  <c r="AP251" i="8" s="1"/>
  <c r="AP252" i="8" s="1"/>
  <c r="AP253" i="8" s="1"/>
  <c r="AP254" i="8" s="1"/>
  <c r="AP255" i="8" s="1"/>
  <c r="AP256" i="8" s="1"/>
  <c r="AP257" i="8" s="1"/>
  <c r="C10" i="10" s="1"/>
  <c r="AR8" i="8"/>
  <c r="AR9" i="8" s="1"/>
  <c r="AR10" i="8" s="1"/>
  <c r="AR11" i="8" s="1"/>
  <c r="AR12" i="8" s="1"/>
  <c r="AR13" i="8" s="1"/>
  <c r="AR14" i="8" s="1"/>
  <c r="AR15" i="8" s="1"/>
  <c r="AR16" i="8" s="1"/>
  <c r="AR17" i="8" s="1"/>
  <c r="AR18" i="8" s="1"/>
  <c r="AR19" i="8" s="1"/>
  <c r="AR20" i="8" s="1"/>
  <c r="AR21" i="8" s="1"/>
  <c r="AR22" i="8" s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R35" i="8" s="1"/>
  <c r="AR36" i="8" s="1"/>
  <c r="AR37" i="8" s="1"/>
  <c r="AR38" i="8" s="1"/>
  <c r="AR39" i="8" s="1"/>
  <c r="AR40" i="8" s="1"/>
  <c r="AR41" i="8" s="1"/>
  <c r="AR42" i="8" s="1"/>
  <c r="AR43" i="8" s="1"/>
  <c r="AR44" i="8" s="1"/>
  <c r="AR45" i="8" s="1"/>
  <c r="AR46" i="8" s="1"/>
  <c r="AR47" i="8" s="1"/>
  <c r="AR48" i="8" s="1"/>
  <c r="AR49" i="8" s="1"/>
  <c r="AR50" i="8" s="1"/>
  <c r="AR51" i="8" s="1"/>
  <c r="AR52" i="8" s="1"/>
  <c r="AR53" i="8" s="1"/>
  <c r="AR54" i="8" s="1"/>
  <c r="AR55" i="8" s="1"/>
  <c r="AR56" i="8" s="1"/>
  <c r="AR57" i="8" s="1"/>
  <c r="AR58" i="8" s="1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R119" i="8" s="1"/>
  <c r="AR120" i="8" s="1"/>
  <c r="AR121" i="8" s="1"/>
  <c r="AR122" i="8" s="1"/>
  <c r="AR123" i="8" s="1"/>
  <c r="AR124" i="8" s="1"/>
  <c r="AR125" i="8" s="1"/>
  <c r="AR126" i="8" s="1"/>
  <c r="AR127" i="8" s="1"/>
  <c r="AR128" i="8" s="1"/>
  <c r="AR129" i="8" s="1"/>
  <c r="AR130" i="8" s="1"/>
  <c r="AR131" i="8" s="1"/>
  <c r="AR132" i="8" s="1"/>
  <c r="AR133" i="8" s="1"/>
  <c r="AR134" i="8" s="1"/>
  <c r="AR135" i="8" s="1"/>
  <c r="AR136" i="8" s="1"/>
  <c r="AR137" i="8" s="1"/>
  <c r="AR138" i="8" s="1"/>
  <c r="AR139" i="8" s="1"/>
  <c r="AR140" i="8" s="1"/>
  <c r="AR141" i="8" s="1"/>
  <c r="AR142" i="8" s="1"/>
  <c r="AR143" i="8" s="1"/>
  <c r="AR144" i="8" s="1"/>
  <c r="AR145" i="8" s="1"/>
  <c r="AR146" i="8" s="1"/>
  <c r="AR147" i="8" s="1"/>
  <c r="AR148" i="8" s="1"/>
  <c r="AR149" i="8" s="1"/>
  <c r="AR150" i="8" s="1"/>
  <c r="AR151" i="8" s="1"/>
  <c r="AR152" i="8" s="1"/>
  <c r="AR153" i="8" s="1"/>
  <c r="AR154" i="8" s="1"/>
  <c r="AR155" i="8" s="1"/>
  <c r="AR156" i="8" s="1"/>
  <c r="AR157" i="8" s="1"/>
  <c r="AR158" i="8" s="1"/>
  <c r="AR159" i="8" s="1"/>
  <c r="AR160" i="8" s="1"/>
  <c r="AR161" i="8" s="1"/>
  <c r="AR162" i="8" s="1"/>
  <c r="AR163" i="8" s="1"/>
  <c r="AR164" i="8" s="1"/>
  <c r="AR165" i="8" s="1"/>
  <c r="AR166" i="8" s="1"/>
  <c r="AR167" i="8" s="1"/>
  <c r="AR168" i="8" s="1"/>
  <c r="AR169" i="8" s="1"/>
  <c r="AR170" i="8" s="1"/>
  <c r="AR171" i="8" s="1"/>
  <c r="AR172" i="8" s="1"/>
  <c r="AR173" i="8" s="1"/>
  <c r="AR174" i="8" s="1"/>
  <c r="AR175" i="8" s="1"/>
  <c r="AR176" i="8" s="1"/>
  <c r="AR177" i="8" s="1"/>
  <c r="AR178" i="8" s="1"/>
  <c r="AR179" i="8" s="1"/>
  <c r="AR180" i="8" s="1"/>
  <c r="AR181" i="8" s="1"/>
  <c r="AR182" i="8" s="1"/>
  <c r="AR183" i="8" s="1"/>
  <c r="AR184" i="8" s="1"/>
  <c r="AR185" i="8" s="1"/>
  <c r="AR186" i="8" s="1"/>
  <c r="AR187" i="8" s="1"/>
  <c r="AR188" i="8" s="1"/>
  <c r="AR189" i="8" s="1"/>
  <c r="AR190" i="8" s="1"/>
  <c r="AR191" i="8" s="1"/>
  <c r="AR192" i="8" s="1"/>
  <c r="AR193" i="8" s="1"/>
  <c r="AR194" i="8" s="1"/>
  <c r="AR195" i="8" s="1"/>
  <c r="AR196" i="8" s="1"/>
  <c r="AR197" i="8" s="1"/>
  <c r="AR198" i="8" s="1"/>
  <c r="AR199" i="8" s="1"/>
  <c r="AR200" i="8" s="1"/>
  <c r="AR201" i="8" s="1"/>
  <c r="AR202" i="8" s="1"/>
  <c r="AR203" i="8" s="1"/>
  <c r="AR204" i="8" s="1"/>
  <c r="AR205" i="8" s="1"/>
  <c r="AR206" i="8" s="1"/>
  <c r="AR207" i="8" s="1"/>
  <c r="AR208" i="8" s="1"/>
  <c r="AR209" i="8" s="1"/>
  <c r="AR210" i="8" s="1"/>
  <c r="AR211" i="8" s="1"/>
  <c r="AR212" i="8" s="1"/>
  <c r="AR213" i="8" s="1"/>
  <c r="AR214" i="8" s="1"/>
  <c r="AR215" i="8" s="1"/>
  <c r="AR216" i="8" s="1"/>
  <c r="AR217" i="8" s="1"/>
  <c r="AR218" i="8" s="1"/>
  <c r="AR219" i="8" s="1"/>
  <c r="AR220" i="8" s="1"/>
  <c r="AR221" i="8" s="1"/>
  <c r="AR222" i="8" s="1"/>
  <c r="AR223" i="8" s="1"/>
  <c r="AR224" i="8" s="1"/>
  <c r="AR225" i="8" s="1"/>
  <c r="AR226" i="8" s="1"/>
  <c r="AR227" i="8" s="1"/>
  <c r="AR228" i="8" s="1"/>
  <c r="AR229" i="8" s="1"/>
  <c r="AR230" i="8" s="1"/>
  <c r="AR231" i="8" s="1"/>
  <c r="AR232" i="8" s="1"/>
  <c r="AR233" i="8" s="1"/>
  <c r="AR234" i="8" s="1"/>
  <c r="AR235" i="8" s="1"/>
  <c r="AR236" i="8" s="1"/>
  <c r="AR237" i="8" s="1"/>
  <c r="AR238" i="8" s="1"/>
  <c r="AR239" i="8" s="1"/>
  <c r="AR240" i="8" s="1"/>
  <c r="AR241" i="8" s="1"/>
  <c r="AR242" i="8" s="1"/>
  <c r="AR243" i="8" s="1"/>
  <c r="AR244" i="8" s="1"/>
  <c r="AR245" i="8" s="1"/>
  <c r="AR246" i="8" s="1"/>
  <c r="AR247" i="8" s="1"/>
  <c r="AR248" i="8" s="1"/>
  <c r="AR249" i="8" s="1"/>
  <c r="AR250" i="8" s="1"/>
  <c r="AR251" i="8" s="1"/>
  <c r="AR252" i="8" s="1"/>
  <c r="AR253" i="8" s="1"/>
  <c r="AR254" i="8" s="1"/>
  <c r="AR255" i="8" s="1"/>
  <c r="AR256" i="8" s="1"/>
  <c r="AR257" i="8" s="1"/>
  <c r="E10" i="10" s="1"/>
  <c r="AQ8" i="8"/>
  <c r="AQ9" i="8" s="1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Q36" i="8" s="1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Q52" i="8" s="1"/>
  <c r="AQ53" i="8" s="1"/>
  <c r="AQ54" i="8" s="1"/>
  <c r="AQ55" i="8" s="1"/>
  <c r="AQ56" i="8" s="1"/>
  <c r="AQ57" i="8" s="1"/>
  <c r="AQ58" i="8" s="1"/>
  <c r="AQ59" i="8" s="1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Q119" i="8" s="1"/>
  <c r="AQ120" i="8" s="1"/>
  <c r="AQ121" i="8" s="1"/>
  <c r="AQ122" i="8" s="1"/>
  <c r="AQ123" i="8" s="1"/>
  <c r="AQ124" i="8" s="1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Q140" i="8" s="1"/>
  <c r="AQ141" i="8" s="1"/>
  <c r="AQ142" i="8" s="1"/>
  <c r="AQ143" i="8" s="1"/>
  <c r="AQ144" i="8" s="1"/>
  <c r="AQ145" i="8" s="1"/>
  <c r="AQ146" i="8" s="1"/>
  <c r="AQ147" i="8" s="1"/>
  <c r="AQ148" i="8" s="1"/>
  <c r="AQ149" i="8" s="1"/>
  <c r="AQ150" i="8" s="1"/>
  <c r="AQ151" i="8" s="1"/>
  <c r="AQ152" i="8" s="1"/>
  <c r="AQ153" i="8" s="1"/>
  <c r="AQ154" i="8" s="1"/>
  <c r="AQ155" i="8" s="1"/>
  <c r="AQ156" i="8" s="1"/>
  <c r="AQ157" i="8" s="1"/>
  <c r="AQ158" i="8" s="1"/>
  <c r="AQ159" i="8" s="1"/>
  <c r="AQ160" i="8" s="1"/>
  <c r="AQ161" i="8" s="1"/>
  <c r="AQ162" i="8" s="1"/>
  <c r="AQ163" i="8" s="1"/>
  <c r="AQ164" i="8" s="1"/>
  <c r="AQ165" i="8" s="1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Q184" i="8" s="1"/>
  <c r="AQ185" i="8" s="1"/>
  <c r="AQ186" i="8" s="1"/>
  <c r="AQ187" i="8" s="1"/>
  <c r="AQ188" i="8" s="1"/>
  <c r="AQ189" i="8" s="1"/>
  <c r="AQ190" i="8" s="1"/>
  <c r="AQ191" i="8" s="1"/>
  <c r="AQ192" i="8" s="1"/>
  <c r="AQ193" i="8" s="1"/>
  <c r="AQ194" i="8" s="1"/>
  <c r="AQ195" i="8" s="1"/>
  <c r="AQ196" i="8" s="1"/>
  <c r="AQ197" i="8" s="1"/>
  <c r="AQ198" i="8" s="1"/>
  <c r="AQ199" i="8" s="1"/>
  <c r="AQ200" i="8" s="1"/>
  <c r="AQ201" i="8" s="1"/>
  <c r="AQ202" i="8" s="1"/>
  <c r="AQ203" i="8" s="1"/>
  <c r="AQ204" i="8" s="1"/>
  <c r="AQ205" i="8" s="1"/>
  <c r="AQ206" i="8" s="1"/>
  <c r="AQ207" i="8" s="1"/>
  <c r="AQ208" i="8" s="1"/>
  <c r="AQ209" i="8" s="1"/>
  <c r="AQ210" i="8" s="1"/>
  <c r="AQ211" i="8" s="1"/>
  <c r="AQ212" i="8" s="1"/>
  <c r="AQ213" i="8" s="1"/>
  <c r="AQ214" i="8" s="1"/>
  <c r="AQ215" i="8" s="1"/>
  <c r="AQ216" i="8" s="1"/>
  <c r="AQ217" i="8" s="1"/>
  <c r="AQ218" i="8" s="1"/>
  <c r="AQ219" i="8" s="1"/>
  <c r="AQ220" i="8" s="1"/>
  <c r="AQ221" i="8" s="1"/>
  <c r="AQ222" i="8" s="1"/>
  <c r="AQ223" i="8" s="1"/>
  <c r="AQ224" i="8" s="1"/>
  <c r="AQ225" i="8" s="1"/>
  <c r="AQ226" i="8" s="1"/>
  <c r="AQ227" i="8" s="1"/>
  <c r="AQ228" i="8" s="1"/>
  <c r="AQ229" i="8" s="1"/>
  <c r="AQ230" i="8" s="1"/>
  <c r="AQ231" i="8" s="1"/>
  <c r="AQ232" i="8" s="1"/>
  <c r="AQ233" i="8" s="1"/>
  <c r="AQ234" i="8" s="1"/>
  <c r="AQ235" i="8" s="1"/>
  <c r="AQ236" i="8" s="1"/>
  <c r="AQ237" i="8" s="1"/>
  <c r="AQ238" i="8" s="1"/>
  <c r="AQ239" i="8" s="1"/>
  <c r="AQ240" i="8" s="1"/>
  <c r="AQ241" i="8" s="1"/>
  <c r="AQ242" i="8" s="1"/>
  <c r="AQ243" i="8" s="1"/>
  <c r="AQ244" i="8" s="1"/>
  <c r="AQ245" i="8" s="1"/>
  <c r="AQ246" i="8" s="1"/>
  <c r="AQ247" i="8" s="1"/>
  <c r="AQ248" i="8" s="1"/>
  <c r="AQ249" i="8" s="1"/>
  <c r="AQ250" i="8" s="1"/>
  <c r="AQ251" i="8" s="1"/>
  <c r="AQ252" i="8" s="1"/>
  <c r="AQ253" i="8" s="1"/>
  <c r="AQ254" i="8" s="1"/>
  <c r="AQ255" i="8" s="1"/>
  <c r="AQ256" i="8" s="1"/>
  <c r="AQ257" i="8" s="1"/>
  <c r="D10" i="10" s="1"/>
  <c r="AS9" i="8"/>
  <c r="AS10" i="8" s="1"/>
  <c r="AS11" i="8" s="1"/>
  <c r="AS12" i="8" s="1"/>
  <c r="AS13" i="8" s="1"/>
  <c r="AS14" i="8" s="1"/>
  <c r="AS15" i="8" s="1"/>
  <c r="AS16" i="8" s="1"/>
  <c r="AS17" i="8" s="1"/>
  <c r="AS18" i="8" s="1"/>
  <c r="AS19" i="8" s="1"/>
  <c r="AS20" i="8" s="1"/>
  <c r="AS21" i="8" s="1"/>
  <c r="AS22" i="8" s="1"/>
  <c r="AS23" i="8" s="1"/>
  <c r="AS24" i="8" s="1"/>
  <c r="AS25" i="8" s="1"/>
  <c r="AS26" i="8" s="1"/>
  <c r="AS27" i="8" s="1"/>
  <c r="AS28" i="8" s="1"/>
  <c r="AS29" i="8" s="1"/>
  <c r="AS30" i="8" s="1"/>
  <c r="AS31" i="8" s="1"/>
  <c r="AS32" i="8" s="1"/>
  <c r="AS33" i="8" s="1"/>
  <c r="AS34" i="8" s="1"/>
  <c r="AS35" i="8" s="1"/>
  <c r="AS36" i="8" s="1"/>
  <c r="AS37" i="8" s="1"/>
  <c r="AS38" i="8" s="1"/>
  <c r="AS39" i="8" s="1"/>
  <c r="AS40" i="8" s="1"/>
  <c r="AS41" i="8" s="1"/>
  <c r="AS42" i="8" s="1"/>
  <c r="AS43" i="8" s="1"/>
  <c r="AS44" i="8" s="1"/>
  <c r="AS45" i="8" s="1"/>
  <c r="AS46" i="8" s="1"/>
  <c r="AS47" i="8" s="1"/>
  <c r="AS48" i="8" s="1"/>
  <c r="AS49" i="8" s="1"/>
  <c r="AS50" i="8" s="1"/>
  <c r="AS51" i="8" s="1"/>
  <c r="AS52" i="8" s="1"/>
  <c r="AS53" i="8" s="1"/>
  <c r="AS54" i="8" s="1"/>
  <c r="AS55" i="8" s="1"/>
  <c r="AS56" i="8" s="1"/>
  <c r="AS57" i="8" s="1"/>
  <c r="AS58" i="8" s="1"/>
  <c r="AS59" i="8" s="1"/>
  <c r="AS60" i="8" s="1"/>
  <c r="AS61" i="8" s="1"/>
  <c r="AS62" i="8" s="1"/>
  <c r="AS63" i="8" s="1"/>
  <c r="AS64" i="8" s="1"/>
  <c r="AS65" i="8" s="1"/>
  <c r="AS66" i="8" s="1"/>
  <c r="AS67" i="8" s="1"/>
  <c r="AS68" i="8" s="1"/>
  <c r="AS69" i="8" s="1"/>
  <c r="AS70" i="8" s="1"/>
  <c r="AS71" i="8" s="1"/>
  <c r="AS72" i="8" s="1"/>
  <c r="AS73" i="8" s="1"/>
  <c r="AS74" i="8" s="1"/>
  <c r="AS75" i="8" s="1"/>
  <c r="AS76" i="8" s="1"/>
  <c r="AS77" i="8" s="1"/>
  <c r="AS78" i="8" s="1"/>
  <c r="AS79" i="8" s="1"/>
  <c r="AS80" i="8" s="1"/>
  <c r="AS81" i="8" s="1"/>
  <c r="AS82" i="8" s="1"/>
  <c r="AS83" i="8" s="1"/>
  <c r="AS84" i="8" s="1"/>
  <c r="AS85" i="8" s="1"/>
  <c r="AS86" i="8" s="1"/>
  <c r="AS87" i="8" s="1"/>
  <c r="AS88" i="8" s="1"/>
  <c r="AS89" i="8" s="1"/>
  <c r="AS90" i="8" s="1"/>
  <c r="AS91" i="8" s="1"/>
  <c r="AS92" i="8" s="1"/>
  <c r="AS93" i="8" s="1"/>
  <c r="AS94" i="8" s="1"/>
  <c r="AS95" i="8" s="1"/>
  <c r="AS96" i="8" s="1"/>
  <c r="AS97" i="8" s="1"/>
  <c r="AS98" i="8" s="1"/>
  <c r="AS99" i="8" s="1"/>
  <c r="AS100" i="8" s="1"/>
  <c r="AS101" i="8" s="1"/>
  <c r="AS102" i="8" s="1"/>
  <c r="AS103" i="8" s="1"/>
  <c r="AS104" i="8" s="1"/>
  <c r="AS105" i="8" s="1"/>
  <c r="AS106" i="8" s="1"/>
  <c r="AS107" i="8" s="1"/>
  <c r="AS108" i="8" s="1"/>
  <c r="AS109" i="8" s="1"/>
  <c r="AS110" i="8" s="1"/>
  <c r="AS111" i="8" s="1"/>
  <c r="AS112" i="8" s="1"/>
  <c r="AS113" i="8" s="1"/>
  <c r="AS114" i="8" s="1"/>
  <c r="AS115" i="8" s="1"/>
  <c r="AS116" i="8" s="1"/>
  <c r="AS117" i="8" s="1"/>
  <c r="AS118" i="8" s="1"/>
  <c r="AS119" i="8" s="1"/>
  <c r="AS120" i="8" s="1"/>
  <c r="AS121" i="8" s="1"/>
  <c r="AS122" i="8" s="1"/>
  <c r="AS123" i="8" s="1"/>
  <c r="AS124" i="8" s="1"/>
  <c r="AS125" i="8" s="1"/>
  <c r="AS126" i="8" s="1"/>
  <c r="AS127" i="8" s="1"/>
  <c r="AS128" i="8" s="1"/>
  <c r="AS129" i="8" s="1"/>
  <c r="AS130" i="8" s="1"/>
  <c r="AS131" i="8" s="1"/>
  <c r="AS132" i="8" s="1"/>
  <c r="AS133" i="8" s="1"/>
  <c r="AS134" i="8" s="1"/>
  <c r="AS135" i="8" s="1"/>
  <c r="AS136" i="8" s="1"/>
  <c r="AS137" i="8" s="1"/>
  <c r="AS138" i="8" s="1"/>
  <c r="AS139" i="8" s="1"/>
  <c r="AS140" i="8" s="1"/>
  <c r="AS141" i="8" s="1"/>
  <c r="AS142" i="8" s="1"/>
  <c r="AS143" i="8" s="1"/>
  <c r="AS144" i="8" s="1"/>
  <c r="AS145" i="8" s="1"/>
  <c r="AS146" i="8" s="1"/>
  <c r="AS147" i="8" s="1"/>
  <c r="AS148" i="8" s="1"/>
  <c r="AS149" i="8" s="1"/>
  <c r="AS150" i="8" s="1"/>
  <c r="AS151" i="8" s="1"/>
  <c r="AS152" i="8" s="1"/>
  <c r="AS153" i="8" s="1"/>
  <c r="AS154" i="8" s="1"/>
  <c r="AS155" i="8" s="1"/>
  <c r="AS156" i="8" s="1"/>
  <c r="AS157" i="8" s="1"/>
  <c r="AS158" i="8" s="1"/>
  <c r="AS159" i="8" s="1"/>
  <c r="AS160" i="8" s="1"/>
  <c r="AS161" i="8" s="1"/>
  <c r="AS162" i="8" s="1"/>
  <c r="AS163" i="8" s="1"/>
  <c r="AS164" i="8" s="1"/>
  <c r="AS165" i="8" s="1"/>
  <c r="AS166" i="8" s="1"/>
  <c r="AS167" i="8" s="1"/>
  <c r="AS168" i="8" s="1"/>
  <c r="AS169" i="8" s="1"/>
  <c r="AS170" i="8" s="1"/>
  <c r="AS171" i="8" s="1"/>
  <c r="AS172" i="8" s="1"/>
  <c r="AS173" i="8" s="1"/>
  <c r="AS174" i="8" s="1"/>
  <c r="AS175" i="8" s="1"/>
  <c r="AS176" i="8" s="1"/>
  <c r="AS177" i="8" s="1"/>
  <c r="AS178" i="8" s="1"/>
  <c r="AS179" i="8" s="1"/>
  <c r="AS180" i="8" s="1"/>
  <c r="AS181" i="8" s="1"/>
  <c r="AS182" i="8" s="1"/>
  <c r="AS183" i="8" s="1"/>
  <c r="AS184" i="8" s="1"/>
  <c r="AS185" i="8" s="1"/>
  <c r="AS186" i="8" s="1"/>
  <c r="AS187" i="8" s="1"/>
  <c r="AS188" i="8" s="1"/>
  <c r="AS189" i="8" s="1"/>
  <c r="AS190" i="8" s="1"/>
  <c r="AS191" i="8" s="1"/>
  <c r="AS192" i="8" s="1"/>
  <c r="AS193" i="8" s="1"/>
  <c r="AS194" i="8" s="1"/>
  <c r="AS195" i="8" s="1"/>
  <c r="AS196" i="8" s="1"/>
  <c r="AS197" i="8" s="1"/>
  <c r="AS198" i="8" s="1"/>
  <c r="AS199" i="8" s="1"/>
  <c r="AS200" i="8" s="1"/>
  <c r="AS201" i="8" s="1"/>
  <c r="AS202" i="8" s="1"/>
  <c r="AS203" i="8" s="1"/>
  <c r="AS204" i="8" s="1"/>
  <c r="AS205" i="8" s="1"/>
  <c r="AS206" i="8" s="1"/>
  <c r="AS207" i="8" s="1"/>
  <c r="AS208" i="8" s="1"/>
  <c r="AS209" i="8" s="1"/>
  <c r="AS210" i="8" s="1"/>
  <c r="AS211" i="8" s="1"/>
  <c r="AS212" i="8" s="1"/>
  <c r="AS213" i="8" s="1"/>
  <c r="AS214" i="8" s="1"/>
  <c r="AS215" i="8" s="1"/>
  <c r="AS216" i="8" s="1"/>
  <c r="AS217" i="8" s="1"/>
  <c r="AS218" i="8" s="1"/>
  <c r="AS219" i="8" s="1"/>
  <c r="AS220" i="8" s="1"/>
  <c r="AS221" i="8" s="1"/>
  <c r="AS222" i="8" s="1"/>
  <c r="AS223" i="8" s="1"/>
  <c r="AS224" i="8" s="1"/>
  <c r="AS225" i="8" s="1"/>
  <c r="AS226" i="8" s="1"/>
  <c r="AS227" i="8" s="1"/>
  <c r="AS228" i="8" s="1"/>
  <c r="AS229" i="8" s="1"/>
  <c r="AS230" i="8" s="1"/>
  <c r="AS231" i="8" s="1"/>
  <c r="AS232" i="8" s="1"/>
  <c r="AS233" i="8" s="1"/>
  <c r="AS234" i="8" s="1"/>
  <c r="AS235" i="8" s="1"/>
  <c r="AS236" i="8" s="1"/>
  <c r="AS237" i="8" s="1"/>
  <c r="AS238" i="8" s="1"/>
  <c r="AS239" i="8" s="1"/>
  <c r="AS240" i="8" s="1"/>
  <c r="AS241" i="8" s="1"/>
  <c r="AS242" i="8" s="1"/>
  <c r="AS243" i="8" s="1"/>
  <c r="AS244" i="8" s="1"/>
  <c r="AS245" i="8" s="1"/>
  <c r="AS246" i="8" s="1"/>
  <c r="AS247" i="8" s="1"/>
  <c r="AS248" i="8" s="1"/>
  <c r="AS249" i="8" s="1"/>
  <c r="AS250" i="8" s="1"/>
  <c r="AS251" i="8" s="1"/>
  <c r="AS252" i="8" s="1"/>
  <c r="AS253" i="8" s="1"/>
  <c r="AS254" i="8" s="1"/>
  <c r="AS255" i="8" s="1"/>
  <c r="AS256" i="8" s="1"/>
  <c r="AS257" i="8" s="1"/>
  <c r="F10" i="10" s="1"/>
  <c r="AF30" i="6" l="1"/>
  <c r="AF31" i="6" s="1"/>
  <c r="AF46" i="6"/>
  <c r="AG46" i="6" s="1"/>
  <c r="AE32" i="6"/>
  <c r="AH9" i="8"/>
  <c r="AC47" i="6"/>
  <c r="AB11" i="8"/>
  <c r="AG10" i="8"/>
  <c r="AH10" i="8" s="1"/>
  <c r="AO9" i="8"/>
  <c r="AT8" i="8"/>
  <c r="AU8" i="8" s="1"/>
  <c r="B10" i="8"/>
  <c r="G9" i="8"/>
  <c r="H9" i="8" s="1"/>
  <c r="O10" i="8"/>
  <c r="T9" i="8"/>
  <c r="U9" i="8" s="1"/>
  <c r="AF32" i="6" l="1"/>
  <c r="AF33" i="6" s="1"/>
  <c r="AF34" i="6" s="1"/>
  <c r="AD47" i="6"/>
  <c r="AF47" i="6" s="1"/>
  <c r="AB12" i="8"/>
  <c r="AG11" i="8"/>
  <c r="AH11" i="8" s="1"/>
  <c r="AO10" i="8"/>
  <c r="AT9" i="8"/>
  <c r="AU9" i="8" s="1"/>
  <c r="B11" i="8"/>
  <c r="G10" i="8"/>
  <c r="H10" i="8" s="1"/>
  <c r="O11" i="8"/>
  <c r="T10" i="8"/>
  <c r="U10" i="8" s="1"/>
  <c r="AF35" i="6" l="1"/>
  <c r="AF36" i="6" s="1"/>
  <c r="AF37" i="6" s="1"/>
  <c r="AE33" i="6"/>
  <c r="AC48" i="6"/>
  <c r="AE47" i="6"/>
  <c r="AB13" i="8"/>
  <c r="AG12" i="8"/>
  <c r="AH12" i="8" s="1"/>
  <c r="AO11" i="8"/>
  <c r="AT10" i="8"/>
  <c r="AU10" i="8" s="1"/>
  <c r="O12" i="8"/>
  <c r="T11" i="8"/>
  <c r="U11" i="8" s="1"/>
  <c r="B12" i="8"/>
  <c r="G11" i="8"/>
  <c r="H11" i="8" s="1"/>
  <c r="AG47" i="6" l="1"/>
  <c r="AD48" i="6"/>
  <c r="AF48" i="6" s="1"/>
  <c r="AB14" i="8"/>
  <c r="AG13" i="8"/>
  <c r="AH13" i="8" s="1"/>
  <c r="AO12" i="8"/>
  <c r="AT11" i="8"/>
  <c r="AU11" i="8" s="1"/>
  <c r="O13" i="8"/>
  <c r="T12" i="8"/>
  <c r="U12" i="8" s="1"/>
  <c r="B13" i="8"/>
  <c r="G12" i="8"/>
  <c r="H12" i="8" s="1"/>
  <c r="AE34" i="6" l="1"/>
  <c r="AC49" i="6"/>
  <c r="AE48" i="6"/>
  <c r="AB15" i="8"/>
  <c r="AG14" i="8"/>
  <c r="AH14" i="8" s="1"/>
  <c r="AO13" i="8"/>
  <c r="AT12" i="8"/>
  <c r="AU12" i="8" s="1"/>
  <c r="B14" i="8"/>
  <c r="G13" i="8"/>
  <c r="H13" i="8" s="1"/>
  <c r="O14" i="8"/>
  <c r="T13" i="8"/>
  <c r="U13" i="8" s="1"/>
  <c r="AG48" i="6" l="1"/>
  <c r="AD49" i="6"/>
  <c r="AB16" i="8"/>
  <c r="AG15" i="8"/>
  <c r="AH15" i="8" s="1"/>
  <c r="AO14" i="8"/>
  <c r="AT13" i="8"/>
  <c r="AU13" i="8" s="1"/>
  <c r="O15" i="8"/>
  <c r="T14" i="8"/>
  <c r="U14" i="8" s="1"/>
  <c r="B15" i="8"/>
  <c r="G14" i="8"/>
  <c r="H14" i="8" s="1"/>
  <c r="AE49" i="6" l="1"/>
  <c r="AF49" i="6"/>
  <c r="AE35" i="6"/>
  <c r="AC50" i="6"/>
  <c r="AB17" i="8"/>
  <c r="AG16" i="8"/>
  <c r="AH16" i="8" s="1"/>
  <c r="AO15" i="8"/>
  <c r="AT14" i="8"/>
  <c r="AU14" i="8" s="1"/>
  <c r="O16" i="8"/>
  <c r="T15" i="8"/>
  <c r="U15" i="8" s="1"/>
  <c r="B16" i="8"/>
  <c r="G15" i="8"/>
  <c r="H15" i="8" s="1"/>
  <c r="AG49" i="6" l="1"/>
  <c r="AD50" i="6"/>
  <c r="AG17" i="8"/>
  <c r="AH17" i="8" s="1"/>
  <c r="AB18" i="8"/>
  <c r="AO16" i="8"/>
  <c r="AT15" i="8"/>
  <c r="AU15" i="8" s="1"/>
  <c r="B17" i="8"/>
  <c r="G16" i="8"/>
  <c r="H16" i="8" s="1"/>
  <c r="O17" i="8"/>
  <c r="T16" i="8"/>
  <c r="U16" i="8" s="1"/>
  <c r="AE50" i="6" l="1"/>
  <c r="AF50" i="6"/>
  <c r="AE36" i="6"/>
  <c r="AC51" i="6"/>
  <c r="AB19" i="8"/>
  <c r="AG18" i="8"/>
  <c r="AH18" i="8" s="1"/>
  <c r="AO17" i="8"/>
  <c r="AT16" i="8"/>
  <c r="AU16" i="8" s="1"/>
  <c r="O18" i="8"/>
  <c r="T17" i="8"/>
  <c r="U17" i="8" s="1"/>
  <c r="B18" i="8"/>
  <c r="G17" i="8"/>
  <c r="H17" i="8" s="1"/>
  <c r="AG50" i="6" l="1"/>
  <c r="AD51" i="6"/>
  <c r="AB20" i="8"/>
  <c r="AG19" i="8"/>
  <c r="AH19" i="8" s="1"/>
  <c r="AO18" i="8"/>
  <c r="AT17" i="8"/>
  <c r="AU17" i="8" s="1"/>
  <c r="B19" i="8"/>
  <c r="G18" i="8"/>
  <c r="H18" i="8" s="1"/>
  <c r="O19" i="8"/>
  <c r="T18" i="8"/>
  <c r="U18" i="8" s="1"/>
  <c r="AE51" i="6" l="1"/>
  <c r="AF51" i="6"/>
  <c r="AC52" i="6"/>
  <c r="AB21" i="8"/>
  <c r="AG20" i="8"/>
  <c r="AH20" i="8" s="1"/>
  <c r="AO19" i="8"/>
  <c r="AT18" i="8"/>
  <c r="AU18" i="8" s="1"/>
  <c r="O20" i="8"/>
  <c r="T19" i="8"/>
  <c r="U19" i="8" s="1"/>
  <c r="B20" i="8"/>
  <c r="G19" i="8"/>
  <c r="H19" i="8" s="1"/>
  <c r="AG51" i="6" l="1"/>
  <c r="AE39" i="6"/>
  <c r="AD52" i="6"/>
  <c r="AB22" i="8"/>
  <c r="AG21" i="8"/>
  <c r="AH21" i="8" s="1"/>
  <c r="AO20" i="8"/>
  <c r="AT19" i="8"/>
  <c r="AU19" i="8" s="1"/>
  <c r="B21" i="8"/>
  <c r="G20" i="8"/>
  <c r="H20" i="8" s="1"/>
  <c r="O21" i="8"/>
  <c r="O22" i="8" s="1"/>
  <c r="T20" i="8"/>
  <c r="U20" i="8" s="1"/>
  <c r="AE52" i="6" l="1"/>
  <c r="AF52" i="6"/>
  <c r="AC53" i="6"/>
  <c r="AB23" i="8"/>
  <c r="AG22" i="8"/>
  <c r="AH22" i="8" s="1"/>
  <c r="AO21" i="8"/>
  <c r="AT20" i="8"/>
  <c r="AU20" i="8" s="1"/>
  <c r="T21" i="8"/>
  <c r="U21" i="8" s="1"/>
  <c r="B22" i="8"/>
  <c r="G21" i="8"/>
  <c r="H21" i="8" s="1"/>
  <c r="AG52" i="6" l="1"/>
  <c r="AD53" i="6"/>
  <c r="AE53" i="6" s="1"/>
  <c r="AB24" i="8"/>
  <c r="AG23" i="8"/>
  <c r="AH23" i="8" s="1"/>
  <c r="AO22" i="8"/>
  <c r="AT21" i="8"/>
  <c r="AU21" i="8" s="1"/>
  <c r="O23" i="8"/>
  <c r="T22" i="8"/>
  <c r="U22" i="8" s="1"/>
  <c r="B23" i="8"/>
  <c r="G22" i="8"/>
  <c r="H22" i="8" s="1"/>
  <c r="AF53" i="6" l="1"/>
  <c r="AG53" i="6" s="1"/>
  <c r="AC54" i="6"/>
  <c r="AB25" i="8"/>
  <c r="AG24" i="8"/>
  <c r="AH24" i="8" s="1"/>
  <c r="AO23" i="8"/>
  <c r="AT22" i="8"/>
  <c r="AU22" i="8" s="1"/>
  <c r="B24" i="8"/>
  <c r="G23" i="8"/>
  <c r="H23" i="8" s="1"/>
  <c r="O24" i="8"/>
  <c r="T23" i="8"/>
  <c r="U23" i="8" s="1"/>
  <c r="AD54" i="6" l="1"/>
  <c r="AB26" i="8"/>
  <c r="AG25" i="8"/>
  <c r="AH25" i="8" s="1"/>
  <c r="AO24" i="8"/>
  <c r="AT23" i="8"/>
  <c r="AU23" i="8" s="1"/>
  <c r="O25" i="8"/>
  <c r="T24" i="8"/>
  <c r="U24" i="8" s="1"/>
  <c r="B25" i="8"/>
  <c r="G24" i="8"/>
  <c r="H24" i="8" s="1"/>
  <c r="AE54" i="6" l="1"/>
  <c r="AF54" i="6"/>
  <c r="AC55" i="6"/>
  <c r="AB27" i="8"/>
  <c r="AG26" i="8"/>
  <c r="AH26" i="8" s="1"/>
  <c r="AO25" i="8"/>
  <c r="AT24" i="8"/>
  <c r="AU24" i="8" s="1"/>
  <c r="B26" i="8"/>
  <c r="G25" i="8"/>
  <c r="H25" i="8" s="1"/>
  <c r="O26" i="8"/>
  <c r="T25" i="8"/>
  <c r="U25" i="8" s="1"/>
  <c r="AG54" i="6" l="1"/>
  <c r="AD55" i="6"/>
  <c r="AF55" i="6" s="1"/>
  <c r="AB28" i="8"/>
  <c r="AG27" i="8"/>
  <c r="AH27" i="8" s="1"/>
  <c r="AO26" i="8"/>
  <c r="AT25" i="8"/>
  <c r="AU25" i="8" s="1"/>
  <c r="O27" i="8"/>
  <c r="T26" i="8"/>
  <c r="U26" i="8" s="1"/>
  <c r="B27" i="8"/>
  <c r="G26" i="8"/>
  <c r="H26" i="8" s="1"/>
  <c r="AE55" i="6" l="1"/>
  <c r="AB29" i="8"/>
  <c r="AG28" i="8"/>
  <c r="AH28" i="8" s="1"/>
  <c r="AO27" i="8"/>
  <c r="AT26" i="8"/>
  <c r="AU26" i="8" s="1"/>
  <c r="B28" i="8"/>
  <c r="G27" i="8"/>
  <c r="H27" i="8" s="1"/>
  <c r="O28" i="8"/>
  <c r="T27" i="8"/>
  <c r="U27" i="8" s="1"/>
  <c r="AG55" i="6" l="1"/>
  <c r="AE57" i="6"/>
  <c r="AB30" i="8"/>
  <c r="AG29" i="8"/>
  <c r="AH29" i="8" s="1"/>
  <c r="AO28" i="8"/>
  <c r="AT27" i="8"/>
  <c r="AU27" i="8" s="1"/>
  <c r="O29" i="8"/>
  <c r="T28" i="8"/>
  <c r="U28" i="8" s="1"/>
  <c r="B29" i="8"/>
  <c r="G28" i="8"/>
  <c r="H28" i="8" s="1"/>
  <c r="AB31" i="8" l="1"/>
  <c r="AG30" i="8"/>
  <c r="AH30" i="8" s="1"/>
  <c r="AO29" i="8"/>
  <c r="AT28" i="8"/>
  <c r="AU28" i="8" s="1"/>
  <c r="B30" i="8"/>
  <c r="G29" i="8"/>
  <c r="H29" i="8" s="1"/>
  <c r="O30" i="8"/>
  <c r="T29" i="8"/>
  <c r="U29" i="8" s="1"/>
  <c r="AB32" i="8" l="1"/>
  <c r="AG31" i="8"/>
  <c r="AH31" i="8" s="1"/>
  <c r="AO30" i="8"/>
  <c r="AT29" i="8"/>
  <c r="AU29" i="8" s="1"/>
  <c r="O31" i="8"/>
  <c r="T30" i="8"/>
  <c r="U30" i="8" s="1"/>
  <c r="B31" i="8"/>
  <c r="G30" i="8"/>
  <c r="H30" i="8" s="1"/>
  <c r="AB33" i="8" l="1"/>
  <c r="AG32" i="8"/>
  <c r="AH32" i="8" s="1"/>
  <c r="AO31" i="8"/>
  <c r="AT30" i="8"/>
  <c r="AU30" i="8" s="1"/>
  <c r="B32" i="8"/>
  <c r="G31" i="8"/>
  <c r="H31" i="8" s="1"/>
  <c r="O32" i="8"/>
  <c r="T31" i="8"/>
  <c r="U31" i="8" s="1"/>
  <c r="AG33" i="8" l="1"/>
  <c r="AH33" i="8" s="1"/>
  <c r="AB34" i="8"/>
  <c r="AO32" i="8"/>
  <c r="AT31" i="8"/>
  <c r="AU31" i="8" s="1"/>
  <c r="O33" i="8"/>
  <c r="T32" i="8"/>
  <c r="U32" i="8" s="1"/>
  <c r="B33" i="8"/>
  <c r="G32" i="8"/>
  <c r="H32" i="8" s="1"/>
  <c r="AG34" i="8" l="1"/>
  <c r="AH34" i="8" s="1"/>
  <c r="AB35" i="8"/>
  <c r="AO33" i="8"/>
  <c r="AT32" i="8"/>
  <c r="AU32" i="8" s="1"/>
  <c r="B34" i="8"/>
  <c r="G33" i="8"/>
  <c r="H33" i="8" s="1"/>
  <c r="O34" i="8"/>
  <c r="T33" i="8"/>
  <c r="U33" i="8" s="1"/>
  <c r="AG35" i="8" l="1"/>
  <c r="AH35" i="8" s="1"/>
  <c r="AB36" i="8"/>
  <c r="AO34" i="8"/>
  <c r="AT33" i="8"/>
  <c r="AU33" i="8" s="1"/>
  <c r="O35" i="8"/>
  <c r="T34" i="8"/>
  <c r="U34" i="8" s="1"/>
  <c r="B35" i="8"/>
  <c r="G34" i="8"/>
  <c r="H34" i="8" s="1"/>
  <c r="AB37" i="8" l="1"/>
  <c r="AG36" i="8"/>
  <c r="AH36" i="8" s="1"/>
  <c r="AO35" i="8"/>
  <c r="AT34" i="8"/>
  <c r="AU34" i="8" s="1"/>
  <c r="B36" i="8"/>
  <c r="G35" i="8"/>
  <c r="H35" i="8" s="1"/>
  <c r="O36" i="8"/>
  <c r="T35" i="8"/>
  <c r="U35" i="8" s="1"/>
  <c r="AG37" i="8" l="1"/>
  <c r="AH37" i="8" s="1"/>
  <c r="AB38" i="8"/>
  <c r="AO36" i="8"/>
  <c r="AT35" i="8"/>
  <c r="AU35" i="8" s="1"/>
  <c r="O37" i="8"/>
  <c r="T36" i="8"/>
  <c r="U36" i="8" s="1"/>
  <c r="B37" i="8"/>
  <c r="G36" i="8"/>
  <c r="H36" i="8" s="1"/>
  <c r="AB39" i="8" l="1"/>
  <c r="AG38" i="8"/>
  <c r="AH38" i="8" s="1"/>
  <c r="AO37" i="8"/>
  <c r="AT36" i="8"/>
  <c r="AU36" i="8" s="1"/>
  <c r="B38" i="8"/>
  <c r="G37" i="8"/>
  <c r="H37" i="8" s="1"/>
  <c r="O38" i="8"/>
  <c r="T37" i="8"/>
  <c r="U37" i="8" s="1"/>
  <c r="AG39" i="8" l="1"/>
  <c r="AH39" i="8" s="1"/>
  <c r="AB40" i="8"/>
  <c r="AO38" i="8"/>
  <c r="AT37" i="8"/>
  <c r="AU37" i="8" s="1"/>
  <c r="O39" i="8"/>
  <c r="T38" i="8"/>
  <c r="U38" i="8" s="1"/>
  <c r="B39" i="8"/>
  <c r="G38" i="8"/>
  <c r="H38" i="8" s="1"/>
  <c r="AB41" i="8" l="1"/>
  <c r="AG40" i="8"/>
  <c r="AH40" i="8" s="1"/>
  <c r="AO39" i="8"/>
  <c r="AT38" i="8"/>
  <c r="AU38" i="8" s="1"/>
  <c r="B40" i="8"/>
  <c r="G39" i="8"/>
  <c r="H39" i="8" s="1"/>
  <c r="O40" i="8"/>
  <c r="T39" i="8"/>
  <c r="U39" i="8" s="1"/>
  <c r="AB42" i="8" l="1"/>
  <c r="AG41" i="8"/>
  <c r="AH41" i="8" s="1"/>
  <c r="AO40" i="8"/>
  <c r="AT39" i="8"/>
  <c r="AU39" i="8" s="1"/>
  <c r="O41" i="8"/>
  <c r="T40" i="8"/>
  <c r="U40" i="8" s="1"/>
  <c r="B41" i="8"/>
  <c r="G40" i="8"/>
  <c r="H40" i="8" s="1"/>
  <c r="AG42" i="8" l="1"/>
  <c r="AH42" i="8" s="1"/>
  <c r="AB43" i="8"/>
  <c r="AO41" i="8"/>
  <c r="AT40" i="8"/>
  <c r="AU40" i="8" s="1"/>
  <c r="B42" i="8"/>
  <c r="G41" i="8"/>
  <c r="H41" i="8" s="1"/>
  <c r="O42" i="8"/>
  <c r="T41" i="8"/>
  <c r="U41" i="8" s="1"/>
  <c r="AB44" i="8" l="1"/>
  <c r="AG43" i="8"/>
  <c r="AH43" i="8" s="1"/>
  <c r="AO42" i="8"/>
  <c r="AT41" i="8"/>
  <c r="AU41" i="8" s="1"/>
  <c r="O43" i="8"/>
  <c r="T42" i="8"/>
  <c r="U42" i="8" s="1"/>
  <c r="B43" i="8"/>
  <c r="G42" i="8"/>
  <c r="H42" i="8" s="1"/>
  <c r="AG44" i="8" l="1"/>
  <c r="AH44" i="8" s="1"/>
  <c r="AB45" i="8"/>
  <c r="AO43" i="8"/>
  <c r="AT42" i="8"/>
  <c r="AU42" i="8" s="1"/>
  <c r="B44" i="8"/>
  <c r="G43" i="8"/>
  <c r="H43" i="8" s="1"/>
  <c r="O44" i="8"/>
  <c r="T43" i="8"/>
  <c r="U43" i="8" s="1"/>
  <c r="AB46" i="8" l="1"/>
  <c r="AG45" i="8"/>
  <c r="AH45" i="8" s="1"/>
  <c r="AO44" i="8"/>
  <c r="AT43" i="8"/>
  <c r="AU43" i="8" s="1"/>
  <c r="O45" i="8"/>
  <c r="T44" i="8"/>
  <c r="U44" i="8" s="1"/>
  <c r="B45" i="8"/>
  <c r="G44" i="8"/>
  <c r="H44" i="8" s="1"/>
  <c r="AB47" i="8" l="1"/>
  <c r="AG46" i="8"/>
  <c r="AH46" i="8" s="1"/>
  <c r="AO45" i="8"/>
  <c r="AT44" i="8"/>
  <c r="AU44" i="8" s="1"/>
  <c r="B46" i="8"/>
  <c r="G45" i="8"/>
  <c r="H45" i="8" s="1"/>
  <c r="O46" i="8"/>
  <c r="T45" i="8"/>
  <c r="U45" i="8" s="1"/>
  <c r="AG47" i="8" l="1"/>
  <c r="AH47" i="8" s="1"/>
  <c r="AB48" i="8"/>
  <c r="AO46" i="8"/>
  <c r="AT45" i="8"/>
  <c r="AU45" i="8" s="1"/>
  <c r="O47" i="8"/>
  <c r="T46" i="8"/>
  <c r="U46" i="8" s="1"/>
  <c r="B47" i="8"/>
  <c r="G46" i="8"/>
  <c r="H46" i="8" s="1"/>
  <c r="AB49" i="8" l="1"/>
  <c r="AG48" i="8"/>
  <c r="AH48" i="8" s="1"/>
  <c r="AO47" i="8"/>
  <c r="AT46" i="8"/>
  <c r="AU46" i="8" s="1"/>
  <c r="B48" i="8"/>
  <c r="G47" i="8"/>
  <c r="H47" i="8" s="1"/>
  <c r="O48" i="8"/>
  <c r="T47" i="8"/>
  <c r="U47" i="8" s="1"/>
  <c r="AB50" i="8" l="1"/>
  <c r="AG49" i="8"/>
  <c r="AH49" i="8" s="1"/>
  <c r="AO48" i="8"/>
  <c r="AT47" i="8"/>
  <c r="AU47" i="8" s="1"/>
  <c r="O49" i="8"/>
  <c r="T48" i="8"/>
  <c r="U48" i="8" s="1"/>
  <c r="B49" i="8"/>
  <c r="G48" i="8"/>
  <c r="H48" i="8" s="1"/>
  <c r="AG50" i="8" l="1"/>
  <c r="AH50" i="8" s="1"/>
  <c r="AB51" i="8"/>
  <c r="AO49" i="8"/>
  <c r="AT48" i="8"/>
  <c r="AU48" i="8" s="1"/>
  <c r="B50" i="8"/>
  <c r="G49" i="8"/>
  <c r="H49" i="8" s="1"/>
  <c r="O50" i="8"/>
  <c r="T49" i="8"/>
  <c r="U49" i="8" s="1"/>
  <c r="AB52" i="8" l="1"/>
  <c r="AG51" i="8"/>
  <c r="AH51" i="8" s="1"/>
  <c r="AO50" i="8"/>
  <c r="AT49" i="8"/>
  <c r="AU49" i="8" s="1"/>
  <c r="O51" i="8"/>
  <c r="T50" i="8"/>
  <c r="U50" i="8" s="1"/>
  <c r="B51" i="8"/>
  <c r="G50" i="8"/>
  <c r="H50" i="8" s="1"/>
  <c r="AB53" i="8" l="1"/>
  <c r="AG52" i="8"/>
  <c r="AH52" i="8" s="1"/>
  <c r="AO51" i="8"/>
  <c r="AT50" i="8"/>
  <c r="AU50" i="8" s="1"/>
  <c r="B52" i="8"/>
  <c r="G51" i="8"/>
  <c r="H51" i="8" s="1"/>
  <c r="O52" i="8"/>
  <c r="T51" i="8"/>
  <c r="U51" i="8" s="1"/>
  <c r="AB54" i="8" l="1"/>
  <c r="AG53" i="8"/>
  <c r="AH53" i="8" s="1"/>
  <c r="AO52" i="8"/>
  <c r="AT51" i="8"/>
  <c r="AU51" i="8" s="1"/>
  <c r="O53" i="8"/>
  <c r="T52" i="8"/>
  <c r="U52" i="8" s="1"/>
  <c r="B53" i="8"/>
  <c r="G52" i="8"/>
  <c r="H52" i="8" s="1"/>
  <c r="AB55" i="8" l="1"/>
  <c r="AG54" i="8"/>
  <c r="AH54" i="8" s="1"/>
  <c r="AO53" i="8"/>
  <c r="AT52" i="8"/>
  <c r="AU52" i="8" s="1"/>
  <c r="B54" i="8"/>
  <c r="G53" i="8"/>
  <c r="H53" i="8" s="1"/>
  <c r="O54" i="8"/>
  <c r="T53" i="8"/>
  <c r="U53" i="8" s="1"/>
  <c r="AB56" i="8" l="1"/>
  <c r="AG55" i="8"/>
  <c r="AH55" i="8" s="1"/>
  <c r="AO54" i="8"/>
  <c r="AT53" i="8"/>
  <c r="AU53" i="8" s="1"/>
  <c r="O55" i="8"/>
  <c r="T54" i="8"/>
  <c r="U54" i="8" s="1"/>
  <c r="B55" i="8"/>
  <c r="G54" i="8"/>
  <c r="H54" i="8" s="1"/>
  <c r="AB57" i="8" l="1"/>
  <c r="AG56" i="8"/>
  <c r="AH56" i="8" s="1"/>
  <c r="AO55" i="8"/>
  <c r="AT54" i="8"/>
  <c r="AU54" i="8" s="1"/>
  <c r="B56" i="8"/>
  <c r="G55" i="8"/>
  <c r="H55" i="8" s="1"/>
  <c r="O56" i="8"/>
  <c r="T55" i="8"/>
  <c r="U55" i="8" s="1"/>
  <c r="AB58" i="8" l="1"/>
  <c r="AG57" i="8"/>
  <c r="AH57" i="8" s="1"/>
  <c r="AO56" i="8"/>
  <c r="AT55" i="8"/>
  <c r="AU55" i="8" s="1"/>
  <c r="O57" i="8"/>
  <c r="T56" i="8"/>
  <c r="U56" i="8" s="1"/>
  <c r="B57" i="8"/>
  <c r="G56" i="8"/>
  <c r="H56" i="8" s="1"/>
  <c r="AB59" i="8" l="1"/>
  <c r="AG58" i="8"/>
  <c r="AH58" i="8" s="1"/>
  <c r="AO57" i="8"/>
  <c r="AT56" i="8"/>
  <c r="AU56" i="8" s="1"/>
  <c r="B58" i="8"/>
  <c r="G57" i="8"/>
  <c r="H57" i="8" s="1"/>
  <c r="O58" i="8"/>
  <c r="T57" i="8"/>
  <c r="U57" i="8" s="1"/>
  <c r="AB60" i="8" l="1"/>
  <c r="AG59" i="8"/>
  <c r="AH59" i="8" s="1"/>
  <c r="AO58" i="8"/>
  <c r="AT57" i="8"/>
  <c r="AU57" i="8" s="1"/>
  <c r="O59" i="8"/>
  <c r="T58" i="8"/>
  <c r="U58" i="8" s="1"/>
  <c r="B59" i="8"/>
  <c r="G58" i="8"/>
  <c r="H58" i="8" s="1"/>
  <c r="AG60" i="8" l="1"/>
  <c r="AH60" i="8" s="1"/>
  <c r="AB61" i="8"/>
  <c r="AO59" i="8"/>
  <c r="AT58" i="8"/>
  <c r="AU58" i="8" s="1"/>
  <c r="B60" i="8"/>
  <c r="G59" i="8"/>
  <c r="H59" i="8" s="1"/>
  <c r="O60" i="8"/>
  <c r="T59" i="8"/>
  <c r="U59" i="8" s="1"/>
  <c r="AG61" i="8" l="1"/>
  <c r="AH61" i="8" s="1"/>
  <c r="AB62" i="8"/>
  <c r="AO60" i="8"/>
  <c r="AT59" i="8"/>
  <c r="AU59" i="8" s="1"/>
  <c r="O61" i="8"/>
  <c r="T60" i="8"/>
  <c r="U60" i="8" s="1"/>
  <c r="B61" i="8"/>
  <c r="G60" i="8"/>
  <c r="H60" i="8" s="1"/>
  <c r="AB63" i="8" l="1"/>
  <c r="AG62" i="8"/>
  <c r="AH62" i="8" s="1"/>
  <c r="AO61" i="8"/>
  <c r="AT60" i="8"/>
  <c r="AU60" i="8" s="1"/>
  <c r="B62" i="8"/>
  <c r="G61" i="8"/>
  <c r="H61" i="8" s="1"/>
  <c r="O62" i="8"/>
  <c r="T61" i="8"/>
  <c r="U61" i="8" s="1"/>
  <c r="AG63" i="8" l="1"/>
  <c r="AH63" i="8" s="1"/>
  <c r="AB64" i="8"/>
  <c r="AO62" i="8"/>
  <c r="AT61" i="8"/>
  <c r="AU61" i="8" s="1"/>
  <c r="O63" i="8"/>
  <c r="T62" i="8"/>
  <c r="U62" i="8" s="1"/>
  <c r="B63" i="8"/>
  <c r="G62" i="8"/>
  <c r="H62" i="8" s="1"/>
  <c r="AB65" i="8" l="1"/>
  <c r="AG64" i="8"/>
  <c r="AH64" i="8" s="1"/>
  <c r="AO63" i="8"/>
  <c r="AT62" i="8"/>
  <c r="AU62" i="8" s="1"/>
  <c r="B64" i="8"/>
  <c r="G63" i="8"/>
  <c r="H63" i="8" s="1"/>
  <c r="O64" i="8"/>
  <c r="T63" i="8"/>
  <c r="U63" i="8" s="1"/>
  <c r="AB66" i="8" l="1"/>
  <c r="AG65" i="8"/>
  <c r="AH65" i="8" s="1"/>
  <c r="AO64" i="8"/>
  <c r="AT63" i="8"/>
  <c r="AU63" i="8" s="1"/>
  <c r="O65" i="8"/>
  <c r="T64" i="8"/>
  <c r="U64" i="8" s="1"/>
  <c r="B65" i="8"/>
  <c r="G64" i="8"/>
  <c r="H64" i="8" s="1"/>
  <c r="AG66" i="8" l="1"/>
  <c r="AH66" i="8" s="1"/>
  <c r="AB67" i="8"/>
  <c r="AO65" i="8"/>
  <c r="AT64" i="8"/>
  <c r="AU64" i="8" s="1"/>
  <c r="B66" i="8"/>
  <c r="G65" i="8"/>
  <c r="H65" i="8" s="1"/>
  <c r="O66" i="8"/>
  <c r="T65" i="8"/>
  <c r="U65" i="8" s="1"/>
  <c r="AB68" i="8" l="1"/>
  <c r="AG67" i="8"/>
  <c r="AH67" i="8" s="1"/>
  <c r="AO66" i="8"/>
  <c r="AT65" i="8"/>
  <c r="AU65" i="8" s="1"/>
  <c r="O67" i="8"/>
  <c r="T66" i="8"/>
  <c r="U66" i="8" s="1"/>
  <c r="B67" i="8"/>
  <c r="G66" i="8"/>
  <c r="H66" i="8" s="1"/>
  <c r="AB69" i="8" l="1"/>
  <c r="AG68" i="8"/>
  <c r="AH68" i="8" s="1"/>
  <c r="AO67" i="8"/>
  <c r="AT66" i="8"/>
  <c r="AU66" i="8" s="1"/>
  <c r="B68" i="8"/>
  <c r="G67" i="8"/>
  <c r="H67" i="8" s="1"/>
  <c r="O68" i="8"/>
  <c r="T67" i="8"/>
  <c r="U67" i="8" s="1"/>
  <c r="AB70" i="8" l="1"/>
  <c r="AG69" i="8"/>
  <c r="AH69" i="8" s="1"/>
  <c r="AO68" i="8"/>
  <c r="AT67" i="8"/>
  <c r="AU67" i="8" s="1"/>
  <c r="O69" i="8"/>
  <c r="T68" i="8"/>
  <c r="U68" i="8" s="1"/>
  <c r="B69" i="8"/>
  <c r="G68" i="8"/>
  <c r="H68" i="8" s="1"/>
  <c r="AB71" i="8" l="1"/>
  <c r="AG70" i="8"/>
  <c r="AH70" i="8" s="1"/>
  <c r="AO69" i="8"/>
  <c r="AT68" i="8"/>
  <c r="AU68" i="8" s="1"/>
  <c r="B70" i="8"/>
  <c r="G69" i="8"/>
  <c r="H69" i="8" s="1"/>
  <c r="O70" i="8"/>
  <c r="T69" i="8"/>
  <c r="U69" i="8" s="1"/>
  <c r="AB72" i="8" l="1"/>
  <c r="AG71" i="8"/>
  <c r="AH71" i="8" s="1"/>
  <c r="AO70" i="8"/>
  <c r="AT69" i="8"/>
  <c r="AU69" i="8" s="1"/>
  <c r="O71" i="8"/>
  <c r="T70" i="8"/>
  <c r="U70" i="8" s="1"/>
  <c r="B71" i="8"/>
  <c r="G70" i="8"/>
  <c r="H70" i="8" s="1"/>
  <c r="AB73" i="8" l="1"/>
  <c r="AG72" i="8"/>
  <c r="AH72" i="8" s="1"/>
  <c r="AO71" i="8"/>
  <c r="AT70" i="8"/>
  <c r="AU70" i="8" s="1"/>
  <c r="B72" i="8"/>
  <c r="G71" i="8"/>
  <c r="H71" i="8" s="1"/>
  <c r="O72" i="8"/>
  <c r="T71" i="8"/>
  <c r="U71" i="8" s="1"/>
  <c r="AB74" i="8" l="1"/>
  <c r="AG73" i="8"/>
  <c r="AH73" i="8" s="1"/>
  <c r="AO72" i="8"/>
  <c r="AT71" i="8"/>
  <c r="AU71" i="8" s="1"/>
  <c r="O73" i="8"/>
  <c r="T72" i="8"/>
  <c r="U72" i="8" s="1"/>
  <c r="B73" i="8"/>
  <c r="G72" i="8"/>
  <c r="H72" i="8" s="1"/>
  <c r="AG74" i="8" l="1"/>
  <c r="AH74" i="8" s="1"/>
  <c r="AB75" i="8"/>
  <c r="AO73" i="8"/>
  <c r="AT72" i="8"/>
  <c r="AU72" i="8" s="1"/>
  <c r="B74" i="8"/>
  <c r="G73" i="8"/>
  <c r="H73" i="8" s="1"/>
  <c r="O74" i="8"/>
  <c r="T73" i="8"/>
  <c r="U73" i="8" s="1"/>
  <c r="AG75" i="8" l="1"/>
  <c r="AH75" i="8" s="1"/>
  <c r="AB76" i="8"/>
  <c r="AO74" i="8"/>
  <c r="AT73" i="8"/>
  <c r="AU73" i="8" s="1"/>
  <c r="O75" i="8"/>
  <c r="T74" i="8"/>
  <c r="U74" i="8" s="1"/>
  <c r="B75" i="8"/>
  <c r="G74" i="8"/>
  <c r="H74" i="8" s="1"/>
  <c r="AG76" i="8" l="1"/>
  <c r="AH76" i="8" s="1"/>
  <c r="AB77" i="8"/>
  <c r="AO75" i="8"/>
  <c r="AT74" i="8"/>
  <c r="AU74" i="8" s="1"/>
  <c r="B76" i="8"/>
  <c r="G75" i="8"/>
  <c r="H75" i="8" s="1"/>
  <c r="O76" i="8"/>
  <c r="T75" i="8"/>
  <c r="U75" i="8" s="1"/>
  <c r="AB78" i="8" l="1"/>
  <c r="AG77" i="8"/>
  <c r="AH77" i="8" s="1"/>
  <c r="AO76" i="8"/>
  <c r="AT75" i="8"/>
  <c r="AU75" i="8" s="1"/>
  <c r="O77" i="8"/>
  <c r="T76" i="8"/>
  <c r="U76" i="8" s="1"/>
  <c r="B77" i="8"/>
  <c r="G76" i="8"/>
  <c r="H76" i="8" s="1"/>
  <c r="AB79" i="8" l="1"/>
  <c r="AG78" i="8"/>
  <c r="AH78" i="8" s="1"/>
  <c r="AO77" i="8"/>
  <c r="AT76" i="8"/>
  <c r="AU76" i="8" s="1"/>
  <c r="B78" i="8"/>
  <c r="G77" i="8"/>
  <c r="H77" i="8" s="1"/>
  <c r="O78" i="8"/>
  <c r="T77" i="8"/>
  <c r="U77" i="8" s="1"/>
  <c r="AG79" i="8" l="1"/>
  <c r="AH79" i="8" s="1"/>
  <c r="AB80" i="8"/>
  <c r="AO78" i="8"/>
  <c r="AT77" i="8"/>
  <c r="AU77" i="8" s="1"/>
  <c r="O79" i="8"/>
  <c r="T78" i="8"/>
  <c r="U78" i="8" s="1"/>
  <c r="B79" i="8"/>
  <c r="G78" i="8"/>
  <c r="H78" i="8" s="1"/>
  <c r="AB81" i="8" l="1"/>
  <c r="AG80" i="8"/>
  <c r="AH80" i="8" s="1"/>
  <c r="AO79" i="8"/>
  <c r="AT78" i="8"/>
  <c r="AU78" i="8" s="1"/>
  <c r="B80" i="8"/>
  <c r="G79" i="8"/>
  <c r="H79" i="8" s="1"/>
  <c r="O80" i="8"/>
  <c r="T79" i="8"/>
  <c r="U79" i="8" s="1"/>
  <c r="AB82" i="8" l="1"/>
  <c r="AG81" i="8"/>
  <c r="AH81" i="8" s="1"/>
  <c r="AO80" i="8"/>
  <c r="AT79" i="8"/>
  <c r="AU79" i="8" s="1"/>
  <c r="O81" i="8"/>
  <c r="T80" i="8"/>
  <c r="U80" i="8" s="1"/>
  <c r="B81" i="8"/>
  <c r="G80" i="8"/>
  <c r="H80" i="8" s="1"/>
  <c r="AG82" i="8" l="1"/>
  <c r="AH82" i="8" s="1"/>
  <c r="AB83" i="8"/>
  <c r="AO81" i="8"/>
  <c r="AT80" i="8"/>
  <c r="AU80" i="8" s="1"/>
  <c r="B82" i="8"/>
  <c r="G81" i="8"/>
  <c r="H81" i="8" s="1"/>
  <c r="O82" i="8"/>
  <c r="T81" i="8"/>
  <c r="U81" i="8" s="1"/>
  <c r="AG83" i="8" l="1"/>
  <c r="AH83" i="8" s="1"/>
  <c r="AB84" i="8"/>
  <c r="AO82" i="8"/>
  <c r="AT81" i="8"/>
  <c r="AU81" i="8" s="1"/>
  <c r="O83" i="8"/>
  <c r="T82" i="8"/>
  <c r="U82" i="8" s="1"/>
  <c r="B83" i="8"/>
  <c r="G82" i="8"/>
  <c r="H82" i="8" s="1"/>
  <c r="AG84" i="8" l="1"/>
  <c r="AH84" i="8" s="1"/>
  <c r="AB85" i="8"/>
  <c r="AO83" i="8"/>
  <c r="AT82" i="8"/>
  <c r="AU82" i="8" s="1"/>
  <c r="B84" i="8"/>
  <c r="G83" i="8"/>
  <c r="H83" i="8" s="1"/>
  <c r="O84" i="8"/>
  <c r="T83" i="8"/>
  <c r="U83" i="8" s="1"/>
  <c r="AG85" i="8" l="1"/>
  <c r="AH85" i="8" s="1"/>
  <c r="AB86" i="8"/>
  <c r="AO84" i="8"/>
  <c r="AT83" i="8"/>
  <c r="AU83" i="8" s="1"/>
  <c r="O85" i="8"/>
  <c r="T84" i="8"/>
  <c r="U84" i="8" s="1"/>
  <c r="B85" i="8"/>
  <c r="G84" i="8"/>
  <c r="H84" i="8" s="1"/>
  <c r="AB87" i="8" l="1"/>
  <c r="AG86" i="8"/>
  <c r="AH86" i="8" s="1"/>
  <c r="AO85" i="8"/>
  <c r="AT84" i="8"/>
  <c r="AU84" i="8" s="1"/>
  <c r="B86" i="8"/>
  <c r="G85" i="8"/>
  <c r="H85" i="8" s="1"/>
  <c r="O86" i="8"/>
  <c r="T85" i="8"/>
  <c r="U85" i="8" s="1"/>
  <c r="AG87" i="8" l="1"/>
  <c r="AH87" i="8" s="1"/>
  <c r="AB88" i="8"/>
  <c r="AO86" i="8"/>
  <c r="AT85" i="8"/>
  <c r="AU85" i="8" s="1"/>
  <c r="O87" i="8"/>
  <c r="T86" i="8"/>
  <c r="U86" i="8" s="1"/>
  <c r="B87" i="8"/>
  <c r="G86" i="8"/>
  <c r="H86" i="8" s="1"/>
  <c r="AB89" i="8" l="1"/>
  <c r="AG88" i="8"/>
  <c r="AH88" i="8" s="1"/>
  <c r="AO87" i="8"/>
  <c r="AT86" i="8"/>
  <c r="AU86" i="8" s="1"/>
  <c r="B88" i="8"/>
  <c r="G87" i="8"/>
  <c r="H87" i="8" s="1"/>
  <c r="O88" i="8"/>
  <c r="T87" i="8"/>
  <c r="U87" i="8" s="1"/>
  <c r="AG89" i="8" l="1"/>
  <c r="AH89" i="8" s="1"/>
  <c r="AB90" i="8"/>
  <c r="AO88" i="8"/>
  <c r="AT87" i="8"/>
  <c r="AU87" i="8" s="1"/>
  <c r="O89" i="8"/>
  <c r="T88" i="8"/>
  <c r="U88" i="8" s="1"/>
  <c r="B89" i="8"/>
  <c r="G88" i="8"/>
  <c r="H88" i="8" s="1"/>
  <c r="AG90" i="8" l="1"/>
  <c r="AH90" i="8" s="1"/>
  <c r="AB91" i="8"/>
  <c r="AO89" i="8"/>
  <c r="AT88" i="8"/>
  <c r="AU88" i="8" s="1"/>
  <c r="B90" i="8"/>
  <c r="G89" i="8"/>
  <c r="H89" i="8" s="1"/>
  <c r="O90" i="8"/>
  <c r="T89" i="8"/>
  <c r="U89" i="8" s="1"/>
  <c r="AG91" i="8" l="1"/>
  <c r="AH91" i="8" s="1"/>
  <c r="AB92" i="8"/>
  <c r="AO90" i="8"/>
  <c r="AT89" i="8"/>
  <c r="AU89" i="8" s="1"/>
  <c r="O91" i="8"/>
  <c r="T90" i="8"/>
  <c r="U90" i="8" s="1"/>
  <c r="B91" i="8"/>
  <c r="G90" i="8"/>
  <c r="H90" i="8" s="1"/>
  <c r="AG92" i="8" l="1"/>
  <c r="AH92" i="8" s="1"/>
  <c r="AB93" i="8"/>
  <c r="AO91" i="8"/>
  <c r="AT90" i="8"/>
  <c r="AU90" i="8" s="1"/>
  <c r="B92" i="8"/>
  <c r="G91" i="8"/>
  <c r="H91" i="8" s="1"/>
  <c r="O92" i="8"/>
  <c r="T91" i="8"/>
  <c r="U91" i="8" s="1"/>
  <c r="AG93" i="8" l="1"/>
  <c r="AH93" i="8" s="1"/>
  <c r="AB94" i="8"/>
  <c r="AO92" i="8"/>
  <c r="AT91" i="8"/>
  <c r="AU91" i="8" s="1"/>
  <c r="O93" i="8"/>
  <c r="T92" i="8"/>
  <c r="U92" i="8" s="1"/>
  <c r="B93" i="8"/>
  <c r="G92" i="8"/>
  <c r="H92" i="8" s="1"/>
  <c r="AB95" i="8" l="1"/>
  <c r="AG94" i="8"/>
  <c r="AH94" i="8" s="1"/>
  <c r="AO93" i="8"/>
  <c r="AT92" i="8"/>
  <c r="AU92" i="8" s="1"/>
  <c r="B94" i="8"/>
  <c r="G93" i="8"/>
  <c r="H93" i="8" s="1"/>
  <c r="O94" i="8"/>
  <c r="T93" i="8"/>
  <c r="U93" i="8" s="1"/>
  <c r="AG95" i="8" l="1"/>
  <c r="AH95" i="8" s="1"/>
  <c r="AB96" i="8"/>
  <c r="AO94" i="8"/>
  <c r="AT93" i="8"/>
  <c r="AU93" i="8" s="1"/>
  <c r="O95" i="8"/>
  <c r="T94" i="8"/>
  <c r="U94" i="8" s="1"/>
  <c r="B95" i="8"/>
  <c r="G94" i="8"/>
  <c r="H94" i="8" s="1"/>
  <c r="AB97" i="8" l="1"/>
  <c r="AG96" i="8"/>
  <c r="AH96" i="8" s="1"/>
  <c r="AO95" i="8"/>
  <c r="AT94" i="8"/>
  <c r="AU94" i="8" s="1"/>
  <c r="B96" i="8"/>
  <c r="G95" i="8"/>
  <c r="H95" i="8" s="1"/>
  <c r="O96" i="8"/>
  <c r="T95" i="8"/>
  <c r="U95" i="8" s="1"/>
  <c r="AG97" i="8" l="1"/>
  <c r="AH97" i="8" s="1"/>
  <c r="AB98" i="8"/>
  <c r="AO96" i="8"/>
  <c r="AT95" i="8"/>
  <c r="AU95" i="8" s="1"/>
  <c r="O97" i="8"/>
  <c r="T96" i="8"/>
  <c r="U96" i="8" s="1"/>
  <c r="B97" i="8"/>
  <c r="G96" i="8"/>
  <c r="H96" i="8" s="1"/>
  <c r="AB99" i="8" l="1"/>
  <c r="AG98" i="8"/>
  <c r="AH98" i="8" s="1"/>
  <c r="AO97" i="8"/>
  <c r="AT96" i="8"/>
  <c r="AU96" i="8" s="1"/>
  <c r="B98" i="8"/>
  <c r="G97" i="8"/>
  <c r="H97" i="8" s="1"/>
  <c r="O98" i="8"/>
  <c r="T97" i="8"/>
  <c r="U97" i="8" s="1"/>
  <c r="AB100" i="8" l="1"/>
  <c r="AG99" i="8"/>
  <c r="AH99" i="8" s="1"/>
  <c r="AO98" i="8"/>
  <c r="AT97" i="8"/>
  <c r="AU97" i="8" s="1"/>
  <c r="O99" i="8"/>
  <c r="T98" i="8"/>
  <c r="U98" i="8" s="1"/>
  <c r="B99" i="8"/>
  <c r="G98" i="8"/>
  <c r="H98" i="8" s="1"/>
  <c r="AG100" i="8" l="1"/>
  <c r="AH100" i="8" s="1"/>
  <c r="AB101" i="8"/>
  <c r="AO99" i="8"/>
  <c r="AT98" i="8"/>
  <c r="AU98" i="8" s="1"/>
  <c r="B100" i="8"/>
  <c r="G99" i="8"/>
  <c r="H99" i="8" s="1"/>
  <c r="O100" i="8"/>
  <c r="T99" i="8"/>
  <c r="U99" i="8" s="1"/>
  <c r="AB102" i="8" l="1"/>
  <c r="AG101" i="8"/>
  <c r="AH101" i="8" s="1"/>
  <c r="AO100" i="8"/>
  <c r="AT99" i="8"/>
  <c r="AU99" i="8" s="1"/>
  <c r="O101" i="8"/>
  <c r="T100" i="8"/>
  <c r="U100" i="8" s="1"/>
  <c r="B101" i="8"/>
  <c r="G100" i="8"/>
  <c r="H100" i="8" s="1"/>
  <c r="AB103" i="8" l="1"/>
  <c r="AG102" i="8"/>
  <c r="AH102" i="8" s="1"/>
  <c r="AO101" i="8"/>
  <c r="AT100" i="8"/>
  <c r="AU100" i="8" s="1"/>
  <c r="B102" i="8"/>
  <c r="G101" i="8"/>
  <c r="H101" i="8" s="1"/>
  <c r="O102" i="8"/>
  <c r="T101" i="8"/>
  <c r="U101" i="8" s="1"/>
  <c r="AB104" i="8" l="1"/>
  <c r="AG103" i="8"/>
  <c r="AH103" i="8" s="1"/>
  <c r="AO102" i="8"/>
  <c r="AT101" i="8"/>
  <c r="AU101" i="8" s="1"/>
  <c r="O103" i="8"/>
  <c r="T102" i="8"/>
  <c r="U102" i="8" s="1"/>
  <c r="B103" i="8"/>
  <c r="G102" i="8"/>
  <c r="H102" i="8" s="1"/>
  <c r="AB105" i="8" l="1"/>
  <c r="AG104" i="8"/>
  <c r="AH104" i="8" s="1"/>
  <c r="AO103" i="8"/>
  <c r="AT102" i="8"/>
  <c r="AU102" i="8" s="1"/>
  <c r="B104" i="8"/>
  <c r="G103" i="8"/>
  <c r="H103" i="8" s="1"/>
  <c r="O104" i="8"/>
  <c r="T103" i="8"/>
  <c r="U103" i="8" s="1"/>
  <c r="AB106" i="8" l="1"/>
  <c r="AG105" i="8"/>
  <c r="AH105" i="8" s="1"/>
  <c r="AO104" i="8"/>
  <c r="AT103" i="8"/>
  <c r="AU103" i="8" s="1"/>
  <c r="O105" i="8"/>
  <c r="T104" i="8"/>
  <c r="U104" i="8" s="1"/>
  <c r="B105" i="8"/>
  <c r="G104" i="8"/>
  <c r="H104" i="8" s="1"/>
  <c r="AG106" i="8" l="1"/>
  <c r="AH106" i="8" s="1"/>
  <c r="AB107" i="8"/>
  <c r="AO105" i="8"/>
  <c r="AT104" i="8"/>
  <c r="AU104" i="8" s="1"/>
  <c r="B106" i="8"/>
  <c r="G105" i="8"/>
  <c r="H105" i="8" s="1"/>
  <c r="O106" i="8"/>
  <c r="T105" i="8"/>
  <c r="U105" i="8" s="1"/>
  <c r="AG107" i="8" l="1"/>
  <c r="AH107" i="8" s="1"/>
  <c r="AB108" i="8"/>
  <c r="AO106" i="8"/>
  <c r="AT105" i="8"/>
  <c r="AU105" i="8" s="1"/>
  <c r="O107" i="8"/>
  <c r="T106" i="8"/>
  <c r="U106" i="8" s="1"/>
  <c r="B107" i="8"/>
  <c r="G106" i="8"/>
  <c r="H106" i="8" s="1"/>
  <c r="AB109" i="8" l="1"/>
  <c r="AG108" i="8"/>
  <c r="AH108" i="8" s="1"/>
  <c r="AO107" i="8"/>
  <c r="AT106" i="8"/>
  <c r="AU106" i="8" s="1"/>
  <c r="B108" i="8"/>
  <c r="G107" i="8"/>
  <c r="H107" i="8" s="1"/>
  <c r="O108" i="8"/>
  <c r="T107" i="8"/>
  <c r="U107" i="8" s="1"/>
  <c r="AB110" i="8" l="1"/>
  <c r="AG109" i="8"/>
  <c r="AH109" i="8" s="1"/>
  <c r="AO108" i="8"/>
  <c r="AT107" i="8"/>
  <c r="AU107" i="8" s="1"/>
  <c r="O109" i="8"/>
  <c r="T108" i="8"/>
  <c r="U108" i="8" s="1"/>
  <c r="B109" i="8"/>
  <c r="G108" i="8"/>
  <c r="H108" i="8" s="1"/>
  <c r="AB111" i="8" l="1"/>
  <c r="AG110" i="8"/>
  <c r="AH110" i="8" s="1"/>
  <c r="AO109" i="8"/>
  <c r="AT108" i="8"/>
  <c r="AU108" i="8" s="1"/>
  <c r="B110" i="8"/>
  <c r="G109" i="8"/>
  <c r="H109" i="8" s="1"/>
  <c r="O110" i="8"/>
  <c r="T109" i="8"/>
  <c r="U109" i="8" s="1"/>
  <c r="AB112" i="8" l="1"/>
  <c r="AG111" i="8"/>
  <c r="AH111" i="8" s="1"/>
  <c r="AO110" i="8"/>
  <c r="AT109" i="8"/>
  <c r="AU109" i="8" s="1"/>
  <c r="O111" i="8"/>
  <c r="T110" i="8"/>
  <c r="U110" i="8" s="1"/>
  <c r="B111" i="8"/>
  <c r="G110" i="8"/>
  <c r="H110" i="8" s="1"/>
  <c r="AG112" i="8" l="1"/>
  <c r="AH112" i="8" s="1"/>
  <c r="AB113" i="8"/>
  <c r="AO111" i="8"/>
  <c r="AT110" i="8"/>
  <c r="AU110" i="8" s="1"/>
  <c r="B112" i="8"/>
  <c r="G111" i="8"/>
  <c r="H111" i="8" s="1"/>
  <c r="O112" i="8"/>
  <c r="T111" i="8"/>
  <c r="U111" i="8" s="1"/>
  <c r="AG113" i="8" l="1"/>
  <c r="AH113" i="8" s="1"/>
  <c r="AB114" i="8"/>
  <c r="AO112" i="8"/>
  <c r="AT111" i="8"/>
  <c r="AU111" i="8" s="1"/>
  <c r="O113" i="8"/>
  <c r="T112" i="8"/>
  <c r="U112" i="8" s="1"/>
  <c r="B113" i="8"/>
  <c r="G112" i="8"/>
  <c r="H112" i="8" s="1"/>
  <c r="AB115" i="8" l="1"/>
  <c r="AG114" i="8"/>
  <c r="AH114" i="8" s="1"/>
  <c r="AO113" i="8"/>
  <c r="AT112" i="8"/>
  <c r="AU112" i="8" s="1"/>
  <c r="B114" i="8"/>
  <c r="G113" i="8"/>
  <c r="H113" i="8" s="1"/>
  <c r="O114" i="8"/>
  <c r="T113" i="8"/>
  <c r="U113" i="8" s="1"/>
  <c r="AB116" i="8" l="1"/>
  <c r="AG115" i="8"/>
  <c r="AH115" i="8" s="1"/>
  <c r="AO114" i="8"/>
  <c r="AT113" i="8"/>
  <c r="AU113" i="8" s="1"/>
  <c r="O115" i="8"/>
  <c r="T114" i="8"/>
  <c r="U114" i="8" s="1"/>
  <c r="B115" i="8"/>
  <c r="G114" i="8"/>
  <c r="H114" i="8" s="1"/>
  <c r="AG116" i="8" l="1"/>
  <c r="AH116" i="8" s="1"/>
  <c r="AB117" i="8"/>
  <c r="AO115" i="8"/>
  <c r="AT114" i="8"/>
  <c r="AU114" i="8" s="1"/>
  <c r="B116" i="8"/>
  <c r="G115" i="8"/>
  <c r="H115" i="8" s="1"/>
  <c r="O116" i="8"/>
  <c r="T115" i="8"/>
  <c r="U115" i="8" s="1"/>
  <c r="AB118" i="8" l="1"/>
  <c r="AG117" i="8"/>
  <c r="AH117" i="8" s="1"/>
  <c r="AO116" i="8"/>
  <c r="AT115" i="8"/>
  <c r="AU115" i="8" s="1"/>
  <c r="O117" i="8"/>
  <c r="T116" i="8"/>
  <c r="U116" i="8" s="1"/>
  <c r="B117" i="8"/>
  <c r="G116" i="8"/>
  <c r="H116" i="8" s="1"/>
  <c r="AG118" i="8" l="1"/>
  <c r="AH118" i="8" s="1"/>
  <c r="AB119" i="8"/>
  <c r="AO117" i="8"/>
  <c r="AT116" i="8"/>
  <c r="AU116" i="8" s="1"/>
  <c r="B118" i="8"/>
  <c r="G117" i="8"/>
  <c r="H117" i="8" s="1"/>
  <c r="O118" i="8"/>
  <c r="T117" i="8"/>
  <c r="U117" i="8" s="1"/>
  <c r="AB120" i="8" l="1"/>
  <c r="AG119" i="8"/>
  <c r="AH119" i="8" s="1"/>
  <c r="AO118" i="8"/>
  <c r="AT117" i="8"/>
  <c r="AU117" i="8" s="1"/>
  <c r="O119" i="8"/>
  <c r="T118" i="8"/>
  <c r="U118" i="8" s="1"/>
  <c r="B119" i="8"/>
  <c r="G118" i="8"/>
  <c r="H118" i="8" s="1"/>
  <c r="AB121" i="8" l="1"/>
  <c r="AG120" i="8"/>
  <c r="AH120" i="8" s="1"/>
  <c r="AO119" i="8"/>
  <c r="AT118" i="8"/>
  <c r="AU118" i="8" s="1"/>
  <c r="B120" i="8"/>
  <c r="G119" i="8"/>
  <c r="H119" i="8" s="1"/>
  <c r="O120" i="8"/>
  <c r="T119" i="8"/>
  <c r="U119" i="8" s="1"/>
  <c r="AG121" i="8" l="1"/>
  <c r="AH121" i="8" s="1"/>
  <c r="AB122" i="8"/>
  <c r="AO120" i="8"/>
  <c r="AT119" i="8"/>
  <c r="AU119" i="8" s="1"/>
  <c r="O121" i="8"/>
  <c r="T120" i="8"/>
  <c r="U120" i="8" s="1"/>
  <c r="B121" i="8"/>
  <c r="G120" i="8"/>
  <c r="H120" i="8" s="1"/>
  <c r="AG122" i="8" l="1"/>
  <c r="AH122" i="8" s="1"/>
  <c r="AB123" i="8"/>
  <c r="AO121" i="8"/>
  <c r="AT120" i="8"/>
  <c r="AU120" i="8" s="1"/>
  <c r="B122" i="8"/>
  <c r="G121" i="8"/>
  <c r="H121" i="8" s="1"/>
  <c r="O122" i="8"/>
  <c r="T121" i="8"/>
  <c r="U121" i="8" s="1"/>
  <c r="AB124" i="8" l="1"/>
  <c r="AG123" i="8"/>
  <c r="AH123" i="8" s="1"/>
  <c r="AO122" i="8"/>
  <c r="AT121" i="8"/>
  <c r="AU121" i="8" s="1"/>
  <c r="O123" i="8"/>
  <c r="T122" i="8"/>
  <c r="U122" i="8" s="1"/>
  <c r="B123" i="8"/>
  <c r="G122" i="8"/>
  <c r="H122" i="8" s="1"/>
  <c r="AB125" i="8" l="1"/>
  <c r="AG124" i="8"/>
  <c r="AH124" i="8" s="1"/>
  <c r="AO123" i="8"/>
  <c r="AT122" i="8"/>
  <c r="AU122" i="8" s="1"/>
  <c r="B124" i="8"/>
  <c r="G123" i="8"/>
  <c r="H123" i="8" s="1"/>
  <c r="O124" i="8"/>
  <c r="T123" i="8"/>
  <c r="U123" i="8" s="1"/>
  <c r="AB126" i="8" l="1"/>
  <c r="AG125" i="8"/>
  <c r="AH125" i="8" s="1"/>
  <c r="AO124" i="8"/>
  <c r="AT123" i="8"/>
  <c r="AU123" i="8" s="1"/>
  <c r="O125" i="8"/>
  <c r="T124" i="8"/>
  <c r="U124" i="8" s="1"/>
  <c r="B125" i="8"/>
  <c r="G124" i="8"/>
  <c r="H124" i="8" s="1"/>
  <c r="AG126" i="8" l="1"/>
  <c r="AH126" i="8" s="1"/>
  <c r="AB127" i="8"/>
  <c r="AO125" i="8"/>
  <c r="AT124" i="8"/>
  <c r="AU124" i="8" s="1"/>
  <c r="B126" i="8"/>
  <c r="G125" i="8"/>
  <c r="H125" i="8" s="1"/>
  <c r="O126" i="8"/>
  <c r="T125" i="8"/>
  <c r="U125" i="8" s="1"/>
  <c r="AB128" i="8" l="1"/>
  <c r="AG127" i="8"/>
  <c r="AH127" i="8" s="1"/>
  <c r="AO126" i="8"/>
  <c r="AT125" i="8"/>
  <c r="AU125" i="8" s="1"/>
  <c r="O127" i="8"/>
  <c r="T126" i="8"/>
  <c r="U126" i="8" s="1"/>
  <c r="B127" i="8"/>
  <c r="G126" i="8"/>
  <c r="H126" i="8" s="1"/>
  <c r="AB129" i="8" l="1"/>
  <c r="AG128" i="8"/>
  <c r="AH128" i="8" s="1"/>
  <c r="AO127" i="8"/>
  <c r="AT126" i="8"/>
  <c r="AU126" i="8" s="1"/>
  <c r="B128" i="8"/>
  <c r="G127" i="8"/>
  <c r="H127" i="8" s="1"/>
  <c r="O128" i="8"/>
  <c r="T127" i="8"/>
  <c r="U127" i="8" s="1"/>
  <c r="AB130" i="8" l="1"/>
  <c r="AG129" i="8"/>
  <c r="AH129" i="8" s="1"/>
  <c r="AO128" i="8"/>
  <c r="AT127" i="8"/>
  <c r="AU127" i="8" s="1"/>
  <c r="O129" i="8"/>
  <c r="T128" i="8"/>
  <c r="U128" i="8" s="1"/>
  <c r="B129" i="8"/>
  <c r="G128" i="8"/>
  <c r="H128" i="8" s="1"/>
  <c r="AG130" i="8" l="1"/>
  <c r="AH130" i="8" s="1"/>
  <c r="AB131" i="8"/>
  <c r="AO129" i="8"/>
  <c r="AT128" i="8"/>
  <c r="AU128" i="8" s="1"/>
  <c r="B130" i="8"/>
  <c r="G129" i="8"/>
  <c r="H129" i="8" s="1"/>
  <c r="O130" i="8"/>
  <c r="T129" i="8"/>
  <c r="U129" i="8" s="1"/>
  <c r="AG131" i="8" l="1"/>
  <c r="AH131" i="8" s="1"/>
  <c r="AB132" i="8"/>
  <c r="AO130" i="8"/>
  <c r="AT129" i="8"/>
  <c r="AU129" i="8" s="1"/>
  <c r="O131" i="8"/>
  <c r="T130" i="8"/>
  <c r="U130" i="8" s="1"/>
  <c r="B131" i="8"/>
  <c r="G130" i="8"/>
  <c r="H130" i="8" s="1"/>
  <c r="AB133" i="8" l="1"/>
  <c r="AG132" i="8"/>
  <c r="AH132" i="8" s="1"/>
  <c r="AO131" i="8"/>
  <c r="AT130" i="8"/>
  <c r="AU130" i="8" s="1"/>
  <c r="B132" i="8"/>
  <c r="G131" i="8"/>
  <c r="H131" i="8" s="1"/>
  <c r="O132" i="8"/>
  <c r="T131" i="8"/>
  <c r="U131" i="8" s="1"/>
  <c r="AB134" i="8" l="1"/>
  <c r="AG133" i="8"/>
  <c r="AH133" i="8" s="1"/>
  <c r="AO132" i="8"/>
  <c r="AT131" i="8"/>
  <c r="AU131" i="8" s="1"/>
  <c r="O133" i="8"/>
  <c r="T132" i="8"/>
  <c r="U132" i="8" s="1"/>
  <c r="B133" i="8"/>
  <c r="G132" i="8"/>
  <c r="H132" i="8" s="1"/>
  <c r="AG134" i="8" l="1"/>
  <c r="AH134" i="8" s="1"/>
  <c r="AB135" i="8"/>
  <c r="AO133" i="8"/>
  <c r="AT132" i="8"/>
  <c r="AU132" i="8" s="1"/>
  <c r="B134" i="8"/>
  <c r="G133" i="8"/>
  <c r="H133" i="8" s="1"/>
  <c r="O134" i="8"/>
  <c r="T133" i="8"/>
  <c r="U133" i="8" s="1"/>
  <c r="AG135" i="8" l="1"/>
  <c r="AH135" i="8" s="1"/>
  <c r="AB136" i="8"/>
  <c r="AO134" i="8"/>
  <c r="AT133" i="8"/>
  <c r="AU133" i="8" s="1"/>
  <c r="O135" i="8"/>
  <c r="T134" i="8"/>
  <c r="U134" i="8" s="1"/>
  <c r="B135" i="8"/>
  <c r="G134" i="8"/>
  <c r="H134" i="8" s="1"/>
  <c r="AB137" i="8" l="1"/>
  <c r="AG136" i="8"/>
  <c r="AH136" i="8" s="1"/>
  <c r="AO135" i="8"/>
  <c r="AT134" i="8"/>
  <c r="AU134" i="8" s="1"/>
  <c r="B136" i="8"/>
  <c r="G135" i="8"/>
  <c r="H135" i="8" s="1"/>
  <c r="O136" i="8"/>
  <c r="T135" i="8"/>
  <c r="U135" i="8" s="1"/>
  <c r="AG137" i="8" l="1"/>
  <c r="AH137" i="8" s="1"/>
  <c r="AB138" i="8"/>
  <c r="AO136" i="8"/>
  <c r="AT135" i="8"/>
  <c r="AU135" i="8" s="1"/>
  <c r="O137" i="8"/>
  <c r="T136" i="8"/>
  <c r="U136" i="8" s="1"/>
  <c r="B137" i="8"/>
  <c r="G136" i="8"/>
  <c r="H136" i="8" s="1"/>
  <c r="AB139" i="8" l="1"/>
  <c r="AG138" i="8"/>
  <c r="AH138" i="8" s="1"/>
  <c r="AO137" i="8"/>
  <c r="AT136" i="8"/>
  <c r="AU136" i="8" s="1"/>
  <c r="B138" i="8"/>
  <c r="G137" i="8"/>
  <c r="H137" i="8" s="1"/>
  <c r="O138" i="8"/>
  <c r="T137" i="8"/>
  <c r="U137" i="8" s="1"/>
  <c r="AB140" i="8" l="1"/>
  <c r="AG139" i="8"/>
  <c r="AH139" i="8" s="1"/>
  <c r="AO138" i="8"/>
  <c r="AT137" i="8"/>
  <c r="AU137" i="8" s="1"/>
  <c r="O139" i="8"/>
  <c r="T138" i="8"/>
  <c r="U138" i="8" s="1"/>
  <c r="B139" i="8"/>
  <c r="G138" i="8"/>
  <c r="H138" i="8" s="1"/>
  <c r="AG140" i="8" l="1"/>
  <c r="AH140" i="8" s="1"/>
  <c r="AB141" i="8"/>
  <c r="AO139" i="8"/>
  <c r="AT138" i="8"/>
  <c r="AU138" i="8" s="1"/>
  <c r="B140" i="8"/>
  <c r="G139" i="8"/>
  <c r="H139" i="8" s="1"/>
  <c r="O140" i="8"/>
  <c r="T139" i="8"/>
  <c r="U139" i="8" s="1"/>
  <c r="AG141" i="8" l="1"/>
  <c r="AH141" i="8" s="1"/>
  <c r="AB142" i="8"/>
  <c r="AO140" i="8"/>
  <c r="AT139" i="8"/>
  <c r="AU139" i="8" s="1"/>
  <c r="O141" i="8"/>
  <c r="T140" i="8"/>
  <c r="U140" i="8" s="1"/>
  <c r="B141" i="8"/>
  <c r="G140" i="8"/>
  <c r="H140" i="8" s="1"/>
  <c r="AB143" i="8" l="1"/>
  <c r="AG142" i="8"/>
  <c r="AH142" i="8" s="1"/>
  <c r="AO141" i="8"/>
  <c r="AT140" i="8"/>
  <c r="AU140" i="8" s="1"/>
  <c r="B142" i="8"/>
  <c r="G141" i="8"/>
  <c r="H141" i="8" s="1"/>
  <c r="O142" i="8"/>
  <c r="T141" i="8"/>
  <c r="U141" i="8" s="1"/>
  <c r="AB144" i="8" l="1"/>
  <c r="AG143" i="8"/>
  <c r="AH143" i="8" s="1"/>
  <c r="AO142" i="8"/>
  <c r="AT141" i="8"/>
  <c r="AU141" i="8" s="1"/>
  <c r="O143" i="8"/>
  <c r="T142" i="8"/>
  <c r="U142" i="8" s="1"/>
  <c r="B143" i="8"/>
  <c r="G142" i="8"/>
  <c r="H142" i="8" s="1"/>
  <c r="AG144" i="8" l="1"/>
  <c r="AH144" i="8" s="1"/>
  <c r="AB145" i="8"/>
  <c r="AO143" i="8"/>
  <c r="AT142" i="8"/>
  <c r="AU142" i="8" s="1"/>
  <c r="B144" i="8"/>
  <c r="G143" i="8"/>
  <c r="H143" i="8" s="1"/>
  <c r="O144" i="8"/>
  <c r="T143" i="8"/>
  <c r="U143" i="8" s="1"/>
  <c r="AG145" i="8" l="1"/>
  <c r="AH145" i="8" s="1"/>
  <c r="AB146" i="8"/>
  <c r="AO144" i="8"/>
  <c r="AT143" i="8"/>
  <c r="AU143" i="8" s="1"/>
  <c r="O145" i="8"/>
  <c r="T144" i="8"/>
  <c r="U144" i="8" s="1"/>
  <c r="B145" i="8"/>
  <c r="G144" i="8"/>
  <c r="H144" i="8" s="1"/>
  <c r="AB147" i="8" l="1"/>
  <c r="AG146" i="8"/>
  <c r="AH146" i="8" s="1"/>
  <c r="AO145" i="8"/>
  <c r="AT144" i="8"/>
  <c r="AU144" i="8" s="1"/>
  <c r="B146" i="8"/>
  <c r="G145" i="8"/>
  <c r="H145" i="8" s="1"/>
  <c r="O146" i="8"/>
  <c r="T145" i="8"/>
  <c r="U145" i="8" s="1"/>
  <c r="AB148" i="8" l="1"/>
  <c r="AG147" i="8"/>
  <c r="AH147" i="8" s="1"/>
  <c r="AO146" i="8"/>
  <c r="AT145" i="8"/>
  <c r="AU145" i="8" s="1"/>
  <c r="O147" i="8"/>
  <c r="T146" i="8"/>
  <c r="U146" i="8" s="1"/>
  <c r="B147" i="8"/>
  <c r="G146" i="8"/>
  <c r="H146" i="8" s="1"/>
  <c r="AG148" i="8" l="1"/>
  <c r="AH148" i="8" s="1"/>
  <c r="AB149" i="8"/>
  <c r="AO147" i="8"/>
  <c r="AT146" i="8"/>
  <c r="AU146" i="8" s="1"/>
  <c r="B148" i="8"/>
  <c r="G147" i="8"/>
  <c r="H147" i="8" s="1"/>
  <c r="O148" i="8"/>
  <c r="T147" i="8"/>
  <c r="U147" i="8" s="1"/>
  <c r="AB150" i="8" l="1"/>
  <c r="AG149" i="8"/>
  <c r="AH149" i="8" s="1"/>
  <c r="AO148" i="8"/>
  <c r="AT147" i="8"/>
  <c r="AU147" i="8" s="1"/>
  <c r="O149" i="8"/>
  <c r="T148" i="8"/>
  <c r="U148" i="8" s="1"/>
  <c r="B149" i="8"/>
  <c r="G148" i="8"/>
  <c r="H148" i="8" s="1"/>
  <c r="AB151" i="8" l="1"/>
  <c r="AG150" i="8"/>
  <c r="AH150" i="8" s="1"/>
  <c r="AO149" i="8"/>
  <c r="AT148" i="8"/>
  <c r="AU148" i="8" s="1"/>
  <c r="B150" i="8"/>
  <c r="G149" i="8"/>
  <c r="H149" i="8" s="1"/>
  <c r="O150" i="8"/>
  <c r="T149" i="8"/>
  <c r="U149" i="8" s="1"/>
  <c r="AG151" i="8" l="1"/>
  <c r="AH151" i="8" s="1"/>
  <c r="AB152" i="8"/>
  <c r="AO150" i="8"/>
  <c r="AT149" i="8"/>
  <c r="AU149" i="8" s="1"/>
  <c r="O151" i="8"/>
  <c r="T150" i="8"/>
  <c r="U150" i="8" s="1"/>
  <c r="B151" i="8"/>
  <c r="G150" i="8"/>
  <c r="H150" i="8" s="1"/>
  <c r="AG152" i="8" l="1"/>
  <c r="AH152" i="8" s="1"/>
  <c r="AB153" i="8"/>
  <c r="AO151" i="8"/>
  <c r="AT150" i="8"/>
  <c r="AU150" i="8" s="1"/>
  <c r="B152" i="8"/>
  <c r="G151" i="8"/>
  <c r="H151" i="8" s="1"/>
  <c r="O152" i="8"/>
  <c r="T151" i="8"/>
  <c r="U151" i="8" s="1"/>
  <c r="AB154" i="8" l="1"/>
  <c r="AG153" i="8"/>
  <c r="AH153" i="8" s="1"/>
  <c r="AO152" i="8"/>
  <c r="AT151" i="8"/>
  <c r="AU151" i="8" s="1"/>
  <c r="O153" i="8"/>
  <c r="T152" i="8"/>
  <c r="U152" i="8" s="1"/>
  <c r="B153" i="8"/>
  <c r="G152" i="8"/>
  <c r="H152" i="8" s="1"/>
  <c r="AB155" i="8" l="1"/>
  <c r="AG154" i="8"/>
  <c r="AH154" i="8" s="1"/>
  <c r="AO153" i="8"/>
  <c r="AT152" i="8"/>
  <c r="AU152" i="8" s="1"/>
  <c r="B154" i="8"/>
  <c r="G153" i="8"/>
  <c r="H153" i="8" s="1"/>
  <c r="O154" i="8"/>
  <c r="T153" i="8"/>
  <c r="U153" i="8" s="1"/>
  <c r="AB156" i="8" l="1"/>
  <c r="AG155" i="8"/>
  <c r="AH155" i="8" s="1"/>
  <c r="AO154" i="8"/>
  <c r="AT153" i="8"/>
  <c r="AU153" i="8" s="1"/>
  <c r="O155" i="8"/>
  <c r="T154" i="8"/>
  <c r="U154" i="8" s="1"/>
  <c r="B155" i="8"/>
  <c r="G154" i="8"/>
  <c r="H154" i="8" s="1"/>
  <c r="AG156" i="8" l="1"/>
  <c r="AH156" i="8" s="1"/>
  <c r="AB157" i="8"/>
  <c r="AO155" i="8"/>
  <c r="AT154" i="8"/>
  <c r="AU154" i="8" s="1"/>
  <c r="B156" i="8"/>
  <c r="G155" i="8"/>
  <c r="H155" i="8" s="1"/>
  <c r="O156" i="8"/>
  <c r="T155" i="8"/>
  <c r="U155" i="8" s="1"/>
  <c r="AG157" i="8" l="1"/>
  <c r="AH157" i="8" s="1"/>
  <c r="AB158" i="8"/>
  <c r="AO156" i="8"/>
  <c r="AT155" i="8"/>
  <c r="AU155" i="8" s="1"/>
  <c r="O157" i="8"/>
  <c r="T156" i="8"/>
  <c r="U156" i="8" s="1"/>
  <c r="B157" i="8"/>
  <c r="G156" i="8"/>
  <c r="H156" i="8" s="1"/>
  <c r="AG158" i="8" l="1"/>
  <c r="AH158" i="8" s="1"/>
  <c r="AB159" i="8"/>
  <c r="AO157" i="8"/>
  <c r="AT156" i="8"/>
  <c r="AU156" i="8" s="1"/>
  <c r="B158" i="8"/>
  <c r="G157" i="8"/>
  <c r="H157" i="8" s="1"/>
  <c r="O158" i="8"/>
  <c r="T157" i="8"/>
  <c r="U157" i="8" s="1"/>
  <c r="AB160" i="8" l="1"/>
  <c r="AG159" i="8"/>
  <c r="AH159" i="8" s="1"/>
  <c r="AO158" i="8"/>
  <c r="AT157" i="8"/>
  <c r="AU157" i="8" s="1"/>
  <c r="O159" i="8"/>
  <c r="T158" i="8"/>
  <c r="U158" i="8" s="1"/>
  <c r="B159" i="8"/>
  <c r="G158" i="8"/>
  <c r="H158" i="8" s="1"/>
  <c r="AB161" i="8" l="1"/>
  <c r="AG160" i="8"/>
  <c r="AH160" i="8" s="1"/>
  <c r="AO159" i="8"/>
  <c r="AT158" i="8"/>
  <c r="AU158" i="8" s="1"/>
  <c r="B160" i="8"/>
  <c r="G159" i="8"/>
  <c r="H159" i="8" s="1"/>
  <c r="O160" i="8"/>
  <c r="T159" i="8"/>
  <c r="U159" i="8" s="1"/>
  <c r="AB162" i="8" l="1"/>
  <c r="AG161" i="8"/>
  <c r="AH161" i="8" s="1"/>
  <c r="AO160" i="8"/>
  <c r="AT159" i="8"/>
  <c r="AU159" i="8" s="1"/>
  <c r="O161" i="8"/>
  <c r="T160" i="8"/>
  <c r="U160" i="8" s="1"/>
  <c r="B161" i="8"/>
  <c r="G160" i="8"/>
  <c r="H160" i="8" s="1"/>
  <c r="AB163" i="8" l="1"/>
  <c r="AG162" i="8"/>
  <c r="AH162" i="8" s="1"/>
  <c r="AO161" i="8"/>
  <c r="AT160" i="8"/>
  <c r="AU160" i="8" s="1"/>
  <c r="B162" i="8"/>
  <c r="G161" i="8"/>
  <c r="H161" i="8" s="1"/>
  <c r="O162" i="8"/>
  <c r="T161" i="8"/>
  <c r="U161" i="8" s="1"/>
  <c r="AB164" i="8" l="1"/>
  <c r="AG163" i="8"/>
  <c r="AH163" i="8" s="1"/>
  <c r="AO162" i="8"/>
  <c r="AT161" i="8"/>
  <c r="AU161" i="8" s="1"/>
  <c r="O163" i="8"/>
  <c r="T162" i="8"/>
  <c r="U162" i="8" s="1"/>
  <c r="B163" i="8"/>
  <c r="G162" i="8"/>
  <c r="H162" i="8" s="1"/>
  <c r="AG164" i="8" l="1"/>
  <c r="AH164" i="8" s="1"/>
  <c r="AB165" i="8"/>
  <c r="AO163" i="8"/>
  <c r="AT162" i="8"/>
  <c r="AU162" i="8" s="1"/>
  <c r="B164" i="8"/>
  <c r="G163" i="8"/>
  <c r="H163" i="8" s="1"/>
  <c r="O164" i="8"/>
  <c r="T163" i="8"/>
  <c r="U163" i="8" s="1"/>
  <c r="AG165" i="8" l="1"/>
  <c r="AH165" i="8" s="1"/>
  <c r="AB166" i="8"/>
  <c r="AO164" i="8"/>
  <c r="AT163" i="8"/>
  <c r="AU163" i="8" s="1"/>
  <c r="O165" i="8"/>
  <c r="T164" i="8"/>
  <c r="U164" i="8" s="1"/>
  <c r="B165" i="8"/>
  <c r="G164" i="8"/>
  <c r="H164" i="8" s="1"/>
  <c r="AG166" i="8" l="1"/>
  <c r="AH166" i="8" s="1"/>
  <c r="AB167" i="8"/>
  <c r="AO165" i="8"/>
  <c r="AT164" i="8"/>
  <c r="AU164" i="8" s="1"/>
  <c r="B166" i="8"/>
  <c r="G165" i="8"/>
  <c r="H165" i="8" s="1"/>
  <c r="O166" i="8"/>
  <c r="T165" i="8"/>
  <c r="U165" i="8" s="1"/>
  <c r="AB168" i="8" l="1"/>
  <c r="AG167" i="8"/>
  <c r="AH167" i="8" s="1"/>
  <c r="AO166" i="8"/>
  <c r="AT165" i="8"/>
  <c r="AU165" i="8" s="1"/>
  <c r="O167" i="8"/>
  <c r="T166" i="8"/>
  <c r="U166" i="8" s="1"/>
  <c r="B167" i="8"/>
  <c r="G166" i="8"/>
  <c r="H166" i="8" s="1"/>
  <c r="AB169" i="8" l="1"/>
  <c r="AG168" i="8"/>
  <c r="AH168" i="8" s="1"/>
  <c r="AO167" i="8"/>
  <c r="AT166" i="8"/>
  <c r="AU166" i="8" s="1"/>
  <c r="B168" i="8"/>
  <c r="G167" i="8"/>
  <c r="H167" i="8" s="1"/>
  <c r="O168" i="8"/>
  <c r="T167" i="8"/>
  <c r="U167" i="8" s="1"/>
  <c r="AG169" i="8" l="1"/>
  <c r="AH169" i="8" s="1"/>
  <c r="AB170" i="8"/>
  <c r="AO168" i="8"/>
  <c r="AT167" i="8"/>
  <c r="AU167" i="8" s="1"/>
  <c r="O169" i="8"/>
  <c r="T168" i="8"/>
  <c r="U168" i="8" s="1"/>
  <c r="B169" i="8"/>
  <c r="G168" i="8"/>
  <c r="H168" i="8" s="1"/>
  <c r="AB171" i="8" l="1"/>
  <c r="AG170" i="8"/>
  <c r="AH170" i="8" s="1"/>
  <c r="AO169" i="8"/>
  <c r="AT168" i="8"/>
  <c r="AU168" i="8" s="1"/>
  <c r="B170" i="8"/>
  <c r="G169" i="8"/>
  <c r="H169" i="8" s="1"/>
  <c r="O170" i="8"/>
  <c r="T169" i="8"/>
  <c r="U169" i="8" s="1"/>
  <c r="AB172" i="8" l="1"/>
  <c r="AG171" i="8"/>
  <c r="AH171" i="8" s="1"/>
  <c r="AO170" i="8"/>
  <c r="AT169" i="8"/>
  <c r="AU169" i="8" s="1"/>
  <c r="O171" i="8"/>
  <c r="T170" i="8"/>
  <c r="U170" i="8" s="1"/>
  <c r="B171" i="8"/>
  <c r="G170" i="8"/>
  <c r="H170" i="8" s="1"/>
  <c r="AG172" i="8" l="1"/>
  <c r="AH172" i="8" s="1"/>
  <c r="AB173" i="8"/>
  <c r="AO171" i="8"/>
  <c r="AT170" i="8"/>
  <c r="AU170" i="8" s="1"/>
  <c r="B172" i="8"/>
  <c r="G171" i="8"/>
  <c r="H171" i="8" s="1"/>
  <c r="O172" i="8"/>
  <c r="T171" i="8"/>
  <c r="U171" i="8" s="1"/>
  <c r="AG173" i="8" l="1"/>
  <c r="AH173" i="8" s="1"/>
  <c r="AB174" i="8"/>
  <c r="AO172" i="8"/>
  <c r="AT171" i="8"/>
  <c r="AU171" i="8" s="1"/>
  <c r="O173" i="8"/>
  <c r="T172" i="8"/>
  <c r="U172" i="8" s="1"/>
  <c r="B173" i="8"/>
  <c r="G172" i="8"/>
  <c r="H172" i="8" s="1"/>
  <c r="AB175" i="8" l="1"/>
  <c r="AG174" i="8"/>
  <c r="AH174" i="8" s="1"/>
  <c r="AO173" i="8"/>
  <c r="AT172" i="8"/>
  <c r="AU172" i="8" s="1"/>
  <c r="B174" i="8"/>
  <c r="G173" i="8"/>
  <c r="H173" i="8" s="1"/>
  <c r="O174" i="8"/>
  <c r="T173" i="8"/>
  <c r="U173" i="8" s="1"/>
  <c r="AG175" i="8" l="1"/>
  <c r="AH175" i="8" s="1"/>
  <c r="AB176" i="8"/>
  <c r="AO174" i="8"/>
  <c r="AT173" i="8"/>
  <c r="AU173" i="8" s="1"/>
  <c r="O175" i="8"/>
  <c r="T174" i="8"/>
  <c r="U174" i="8" s="1"/>
  <c r="B175" i="8"/>
  <c r="G174" i="8"/>
  <c r="H174" i="8" s="1"/>
  <c r="AG176" i="8" l="1"/>
  <c r="AH176" i="8" s="1"/>
  <c r="AB177" i="8"/>
  <c r="AO175" i="8"/>
  <c r="AT174" i="8"/>
  <c r="AU174" i="8" s="1"/>
  <c r="B176" i="8"/>
  <c r="G175" i="8"/>
  <c r="H175" i="8" s="1"/>
  <c r="O176" i="8"/>
  <c r="T175" i="8"/>
  <c r="U175" i="8" s="1"/>
  <c r="AG177" i="8" l="1"/>
  <c r="AH177" i="8" s="1"/>
  <c r="AB178" i="8"/>
  <c r="AO176" i="8"/>
  <c r="AT175" i="8"/>
  <c r="AU175" i="8" s="1"/>
  <c r="O177" i="8"/>
  <c r="T176" i="8"/>
  <c r="U176" i="8" s="1"/>
  <c r="B177" i="8"/>
  <c r="G176" i="8"/>
  <c r="H176" i="8" s="1"/>
  <c r="AG178" i="8" l="1"/>
  <c r="AH178" i="8" s="1"/>
  <c r="AB179" i="8"/>
  <c r="AO177" i="8"/>
  <c r="AT176" i="8"/>
  <c r="AU176" i="8" s="1"/>
  <c r="B178" i="8"/>
  <c r="G177" i="8"/>
  <c r="H177" i="8" s="1"/>
  <c r="O178" i="8"/>
  <c r="T177" i="8"/>
  <c r="U177" i="8" s="1"/>
  <c r="AG179" i="8" l="1"/>
  <c r="AH179" i="8" s="1"/>
  <c r="AB180" i="8"/>
  <c r="AO178" i="8"/>
  <c r="AT177" i="8"/>
  <c r="AU177" i="8" s="1"/>
  <c r="O179" i="8"/>
  <c r="T178" i="8"/>
  <c r="U178" i="8" s="1"/>
  <c r="B179" i="8"/>
  <c r="G178" i="8"/>
  <c r="H178" i="8" s="1"/>
  <c r="AB181" i="8" l="1"/>
  <c r="AG180" i="8"/>
  <c r="AH180" i="8" s="1"/>
  <c r="AO179" i="8"/>
  <c r="AT178" i="8"/>
  <c r="AU178" i="8" s="1"/>
  <c r="B180" i="8"/>
  <c r="G179" i="8"/>
  <c r="H179" i="8" s="1"/>
  <c r="O180" i="8"/>
  <c r="T179" i="8"/>
  <c r="U179" i="8" s="1"/>
  <c r="AG181" i="8" l="1"/>
  <c r="AH181" i="8" s="1"/>
  <c r="AB182" i="8"/>
  <c r="AO180" i="8"/>
  <c r="AT179" i="8"/>
  <c r="AU179" i="8" s="1"/>
  <c r="O181" i="8"/>
  <c r="T180" i="8"/>
  <c r="U180" i="8" s="1"/>
  <c r="B181" i="8"/>
  <c r="G180" i="8"/>
  <c r="H180" i="8" s="1"/>
  <c r="AG182" i="8" l="1"/>
  <c r="AH182" i="8" s="1"/>
  <c r="AB183" i="8"/>
  <c r="AO181" i="8"/>
  <c r="AT180" i="8"/>
  <c r="AU180" i="8" s="1"/>
  <c r="B182" i="8"/>
  <c r="G181" i="8"/>
  <c r="H181" i="8" s="1"/>
  <c r="O182" i="8"/>
  <c r="T181" i="8"/>
  <c r="U181" i="8" s="1"/>
  <c r="AG183" i="8" l="1"/>
  <c r="AH183" i="8" s="1"/>
  <c r="AB184" i="8"/>
  <c r="AO182" i="8"/>
  <c r="AT181" i="8"/>
  <c r="AU181" i="8" s="1"/>
  <c r="O183" i="8"/>
  <c r="T182" i="8"/>
  <c r="U182" i="8" s="1"/>
  <c r="B183" i="8"/>
  <c r="G182" i="8"/>
  <c r="H182" i="8" s="1"/>
  <c r="AG184" i="8" l="1"/>
  <c r="AH184" i="8" s="1"/>
  <c r="AB185" i="8"/>
  <c r="AO183" i="8"/>
  <c r="AT182" i="8"/>
  <c r="AU182" i="8" s="1"/>
  <c r="B184" i="8"/>
  <c r="G183" i="8"/>
  <c r="H183" i="8" s="1"/>
  <c r="O184" i="8"/>
  <c r="T183" i="8"/>
  <c r="U183" i="8" s="1"/>
  <c r="AB186" i="8" l="1"/>
  <c r="AG185" i="8"/>
  <c r="AH185" i="8" s="1"/>
  <c r="AO184" i="8"/>
  <c r="AT183" i="8"/>
  <c r="AU183" i="8" s="1"/>
  <c r="O185" i="8"/>
  <c r="T184" i="8"/>
  <c r="U184" i="8" s="1"/>
  <c r="B185" i="8"/>
  <c r="G184" i="8"/>
  <c r="H184" i="8" s="1"/>
  <c r="AG186" i="8" l="1"/>
  <c r="AH186" i="8" s="1"/>
  <c r="AB187" i="8"/>
  <c r="AO185" i="8"/>
  <c r="AT184" i="8"/>
  <c r="AU184" i="8" s="1"/>
  <c r="B186" i="8"/>
  <c r="G185" i="8"/>
  <c r="H185" i="8" s="1"/>
  <c r="O186" i="8"/>
  <c r="T185" i="8"/>
  <c r="U185" i="8" s="1"/>
  <c r="AG187" i="8" l="1"/>
  <c r="AH187" i="8" s="1"/>
  <c r="AB188" i="8"/>
  <c r="AO186" i="8"/>
  <c r="AT185" i="8"/>
  <c r="AU185" i="8" s="1"/>
  <c r="O187" i="8"/>
  <c r="T186" i="8"/>
  <c r="U186" i="8" s="1"/>
  <c r="B187" i="8"/>
  <c r="G186" i="8"/>
  <c r="H186" i="8" s="1"/>
  <c r="AG188" i="8" l="1"/>
  <c r="AH188" i="8" s="1"/>
  <c r="AB189" i="8"/>
  <c r="AO187" i="8"/>
  <c r="AT186" i="8"/>
  <c r="AU186" i="8" s="1"/>
  <c r="B188" i="8"/>
  <c r="G187" i="8"/>
  <c r="H187" i="8" s="1"/>
  <c r="O188" i="8"/>
  <c r="T187" i="8"/>
  <c r="U187" i="8" s="1"/>
  <c r="AG189" i="8" l="1"/>
  <c r="AH189" i="8" s="1"/>
  <c r="AB190" i="8"/>
  <c r="AO188" i="8"/>
  <c r="AT187" i="8"/>
  <c r="AU187" i="8" s="1"/>
  <c r="O189" i="8"/>
  <c r="T188" i="8"/>
  <c r="U188" i="8" s="1"/>
  <c r="B189" i="8"/>
  <c r="G188" i="8"/>
  <c r="H188" i="8" s="1"/>
  <c r="AG190" i="8" l="1"/>
  <c r="AH190" i="8" s="1"/>
  <c r="AB191" i="8"/>
  <c r="AO189" i="8"/>
  <c r="AT188" i="8"/>
  <c r="AU188" i="8" s="1"/>
  <c r="B190" i="8"/>
  <c r="G189" i="8"/>
  <c r="H189" i="8" s="1"/>
  <c r="O190" i="8"/>
  <c r="T189" i="8"/>
  <c r="U189" i="8" s="1"/>
  <c r="AG191" i="8" l="1"/>
  <c r="AH191" i="8" s="1"/>
  <c r="AB192" i="8"/>
  <c r="AO190" i="8"/>
  <c r="AT189" i="8"/>
  <c r="AU189" i="8" s="1"/>
  <c r="O191" i="8"/>
  <c r="T190" i="8"/>
  <c r="U190" i="8" s="1"/>
  <c r="B191" i="8"/>
  <c r="G190" i="8"/>
  <c r="H190" i="8" s="1"/>
  <c r="AB193" i="8" l="1"/>
  <c r="AG192" i="8"/>
  <c r="AH192" i="8" s="1"/>
  <c r="AO191" i="8"/>
  <c r="AT190" i="8"/>
  <c r="AU190" i="8" s="1"/>
  <c r="B192" i="8"/>
  <c r="G191" i="8"/>
  <c r="H191" i="8" s="1"/>
  <c r="O192" i="8"/>
  <c r="T191" i="8"/>
  <c r="U191" i="8" s="1"/>
  <c r="AB194" i="8" l="1"/>
  <c r="AG193" i="8"/>
  <c r="AH193" i="8" s="1"/>
  <c r="AO192" i="8"/>
  <c r="AT191" i="8"/>
  <c r="AU191" i="8" s="1"/>
  <c r="O193" i="8"/>
  <c r="T192" i="8"/>
  <c r="U192" i="8" s="1"/>
  <c r="B193" i="8"/>
  <c r="G192" i="8"/>
  <c r="H192" i="8" s="1"/>
  <c r="AB195" i="8" l="1"/>
  <c r="AG194" i="8"/>
  <c r="AH194" i="8" s="1"/>
  <c r="AO193" i="8"/>
  <c r="AT192" i="8"/>
  <c r="AU192" i="8" s="1"/>
  <c r="B194" i="8"/>
  <c r="G193" i="8"/>
  <c r="H193" i="8" s="1"/>
  <c r="O194" i="8"/>
  <c r="T193" i="8"/>
  <c r="U193" i="8" s="1"/>
  <c r="AB196" i="8" l="1"/>
  <c r="AG195" i="8"/>
  <c r="AH195" i="8" s="1"/>
  <c r="AO194" i="8"/>
  <c r="AT193" i="8"/>
  <c r="AU193" i="8" s="1"/>
  <c r="O195" i="8"/>
  <c r="T194" i="8"/>
  <c r="U194" i="8" s="1"/>
  <c r="B195" i="8"/>
  <c r="G194" i="8"/>
  <c r="H194" i="8" s="1"/>
  <c r="AG196" i="8" l="1"/>
  <c r="AH196" i="8" s="1"/>
  <c r="AB197" i="8"/>
  <c r="AO195" i="8"/>
  <c r="AT194" i="8"/>
  <c r="AU194" i="8" s="1"/>
  <c r="B196" i="8"/>
  <c r="G195" i="8"/>
  <c r="H195" i="8" s="1"/>
  <c r="O196" i="8"/>
  <c r="T195" i="8"/>
  <c r="U195" i="8" s="1"/>
  <c r="AG197" i="8" l="1"/>
  <c r="AH197" i="8" s="1"/>
  <c r="AB198" i="8"/>
  <c r="AO196" i="8"/>
  <c r="AT195" i="8"/>
  <c r="AU195" i="8" s="1"/>
  <c r="O197" i="8"/>
  <c r="T196" i="8"/>
  <c r="U196" i="8" s="1"/>
  <c r="B197" i="8"/>
  <c r="G196" i="8"/>
  <c r="H196" i="8" s="1"/>
  <c r="AB199" i="8" l="1"/>
  <c r="AG198" i="8"/>
  <c r="AH198" i="8" s="1"/>
  <c r="AO197" i="8"/>
  <c r="AT196" i="8"/>
  <c r="AU196" i="8" s="1"/>
  <c r="B198" i="8"/>
  <c r="G197" i="8"/>
  <c r="H197" i="8" s="1"/>
  <c r="O198" i="8"/>
  <c r="T197" i="8"/>
  <c r="U197" i="8" s="1"/>
  <c r="AB200" i="8" l="1"/>
  <c r="AG199" i="8"/>
  <c r="AH199" i="8" s="1"/>
  <c r="AO198" i="8"/>
  <c r="AT197" i="8"/>
  <c r="AU197" i="8" s="1"/>
  <c r="O199" i="8"/>
  <c r="T198" i="8"/>
  <c r="U198" i="8" s="1"/>
  <c r="B199" i="8"/>
  <c r="G198" i="8"/>
  <c r="H198" i="8" s="1"/>
  <c r="AB201" i="8" l="1"/>
  <c r="AG200" i="8"/>
  <c r="AH200" i="8" s="1"/>
  <c r="AO199" i="8"/>
  <c r="AT198" i="8"/>
  <c r="AU198" i="8" s="1"/>
  <c r="B200" i="8"/>
  <c r="G199" i="8"/>
  <c r="H199" i="8" s="1"/>
  <c r="O200" i="8"/>
  <c r="T199" i="8"/>
  <c r="U199" i="8" s="1"/>
  <c r="AG201" i="8" l="1"/>
  <c r="AH201" i="8" s="1"/>
  <c r="AB202" i="8"/>
  <c r="AO200" i="8"/>
  <c r="AT199" i="8"/>
  <c r="AU199" i="8" s="1"/>
  <c r="O201" i="8"/>
  <c r="T200" i="8"/>
  <c r="U200" i="8" s="1"/>
  <c r="B201" i="8"/>
  <c r="G200" i="8"/>
  <c r="H200" i="8" s="1"/>
  <c r="AG202" i="8" l="1"/>
  <c r="AH202" i="8" s="1"/>
  <c r="AB203" i="8"/>
  <c r="AO201" i="8"/>
  <c r="AT200" i="8"/>
  <c r="AU200" i="8" s="1"/>
  <c r="B202" i="8"/>
  <c r="G201" i="8"/>
  <c r="H201" i="8" s="1"/>
  <c r="O202" i="8"/>
  <c r="T201" i="8"/>
  <c r="U201" i="8" s="1"/>
  <c r="AG203" i="8" l="1"/>
  <c r="AH203" i="8" s="1"/>
  <c r="AB204" i="8"/>
  <c r="AO202" i="8"/>
  <c r="AT201" i="8"/>
  <c r="AU201" i="8" s="1"/>
  <c r="O203" i="8"/>
  <c r="T202" i="8"/>
  <c r="U202" i="8" s="1"/>
  <c r="B203" i="8"/>
  <c r="G202" i="8"/>
  <c r="H202" i="8" s="1"/>
  <c r="AG204" i="8" l="1"/>
  <c r="AH204" i="8" s="1"/>
  <c r="AB205" i="8"/>
  <c r="AO203" i="8"/>
  <c r="AT202" i="8"/>
  <c r="AU202" i="8" s="1"/>
  <c r="B204" i="8"/>
  <c r="G203" i="8"/>
  <c r="H203" i="8" s="1"/>
  <c r="O204" i="8"/>
  <c r="T203" i="8"/>
  <c r="U203" i="8" s="1"/>
  <c r="AG205" i="8" l="1"/>
  <c r="AH205" i="8" s="1"/>
  <c r="AB206" i="8"/>
  <c r="AO204" i="8"/>
  <c r="AT203" i="8"/>
  <c r="AU203" i="8" s="1"/>
  <c r="O205" i="8"/>
  <c r="T204" i="8"/>
  <c r="U204" i="8" s="1"/>
  <c r="B205" i="8"/>
  <c r="G204" i="8"/>
  <c r="H204" i="8" s="1"/>
  <c r="AG206" i="8" l="1"/>
  <c r="AH206" i="8" s="1"/>
  <c r="AB207" i="8"/>
  <c r="AO205" i="8"/>
  <c r="AT204" i="8"/>
  <c r="AU204" i="8" s="1"/>
  <c r="B206" i="8"/>
  <c r="G205" i="8"/>
  <c r="H205" i="8" s="1"/>
  <c r="O206" i="8"/>
  <c r="T205" i="8"/>
  <c r="U205" i="8" s="1"/>
  <c r="AG207" i="8" l="1"/>
  <c r="AH207" i="8" s="1"/>
  <c r="AB208" i="8"/>
  <c r="AO206" i="8"/>
  <c r="AT205" i="8"/>
  <c r="AU205" i="8" s="1"/>
  <c r="O207" i="8"/>
  <c r="T206" i="8"/>
  <c r="U206" i="8" s="1"/>
  <c r="B207" i="8"/>
  <c r="G206" i="8"/>
  <c r="H206" i="8" s="1"/>
  <c r="AB209" i="8" l="1"/>
  <c r="AG208" i="8"/>
  <c r="AH208" i="8" s="1"/>
  <c r="AO207" i="8"/>
  <c r="AT206" i="8"/>
  <c r="AU206" i="8" s="1"/>
  <c r="B208" i="8"/>
  <c r="G207" i="8"/>
  <c r="H207" i="8" s="1"/>
  <c r="O208" i="8"/>
  <c r="T207" i="8"/>
  <c r="U207" i="8" s="1"/>
  <c r="AG209" i="8" l="1"/>
  <c r="AH209" i="8" s="1"/>
  <c r="AB210" i="8"/>
  <c r="AO208" i="8"/>
  <c r="AT207" i="8"/>
  <c r="AU207" i="8" s="1"/>
  <c r="O209" i="8"/>
  <c r="T208" i="8"/>
  <c r="U208" i="8" s="1"/>
  <c r="B209" i="8"/>
  <c r="G208" i="8"/>
  <c r="H208" i="8" s="1"/>
  <c r="AG210" i="8" l="1"/>
  <c r="AH210" i="8" s="1"/>
  <c r="AB211" i="8"/>
  <c r="AO209" i="8"/>
  <c r="AT208" i="8"/>
  <c r="AU208" i="8" s="1"/>
  <c r="B210" i="8"/>
  <c r="G209" i="8"/>
  <c r="H209" i="8" s="1"/>
  <c r="O210" i="8"/>
  <c r="T209" i="8"/>
  <c r="U209" i="8" s="1"/>
  <c r="AG211" i="8" l="1"/>
  <c r="AH211" i="8" s="1"/>
  <c r="AB212" i="8"/>
  <c r="AO210" i="8"/>
  <c r="AT209" i="8"/>
  <c r="AU209" i="8" s="1"/>
  <c r="O211" i="8"/>
  <c r="T210" i="8"/>
  <c r="U210" i="8" s="1"/>
  <c r="B211" i="8"/>
  <c r="G210" i="8"/>
  <c r="H210" i="8" s="1"/>
  <c r="AG212" i="8" l="1"/>
  <c r="AH212" i="8" s="1"/>
  <c r="AB213" i="8"/>
  <c r="AO211" i="8"/>
  <c r="AT210" i="8"/>
  <c r="AU210" i="8" s="1"/>
  <c r="B212" i="8"/>
  <c r="G211" i="8"/>
  <c r="H211" i="8" s="1"/>
  <c r="O212" i="8"/>
  <c r="T211" i="8"/>
  <c r="U211" i="8" s="1"/>
  <c r="AG213" i="8" l="1"/>
  <c r="AH213" i="8" s="1"/>
  <c r="AB214" i="8"/>
  <c r="AO212" i="8"/>
  <c r="AT211" i="8"/>
  <c r="AU211" i="8" s="1"/>
  <c r="O213" i="8"/>
  <c r="T212" i="8"/>
  <c r="U212" i="8" s="1"/>
  <c r="B213" i="8"/>
  <c r="G212" i="8"/>
  <c r="H212" i="8" s="1"/>
  <c r="AG214" i="8" l="1"/>
  <c r="AH214" i="8" s="1"/>
  <c r="AB215" i="8"/>
  <c r="AO213" i="8"/>
  <c r="AT212" i="8"/>
  <c r="AU212" i="8" s="1"/>
  <c r="B214" i="8"/>
  <c r="G213" i="8"/>
  <c r="H213" i="8" s="1"/>
  <c r="O214" i="8"/>
  <c r="T213" i="8"/>
  <c r="U213" i="8" s="1"/>
  <c r="AB216" i="8" l="1"/>
  <c r="AG215" i="8"/>
  <c r="AH215" i="8" s="1"/>
  <c r="AO214" i="8"/>
  <c r="AT213" i="8"/>
  <c r="AU213" i="8" s="1"/>
  <c r="O215" i="8"/>
  <c r="T214" i="8"/>
  <c r="U214" i="8" s="1"/>
  <c r="B215" i="8"/>
  <c r="G214" i="8"/>
  <c r="H214" i="8" s="1"/>
  <c r="AG216" i="8" l="1"/>
  <c r="AH216" i="8" s="1"/>
  <c r="AB217" i="8"/>
  <c r="AO215" i="8"/>
  <c r="AT214" i="8"/>
  <c r="AU214" i="8" s="1"/>
  <c r="B216" i="8"/>
  <c r="G215" i="8"/>
  <c r="H215" i="8" s="1"/>
  <c r="O216" i="8"/>
  <c r="T215" i="8"/>
  <c r="U215" i="8" s="1"/>
  <c r="AG217" i="8" l="1"/>
  <c r="AH217" i="8" s="1"/>
  <c r="AB218" i="8"/>
  <c r="AO216" i="8"/>
  <c r="AT215" i="8"/>
  <c r="AU215" i="8" s="1"/>
  <c r="O217" i="8"/>
  <c r="T216" i="8"/>
  <c r="U216" i="8" s="1"/>
  <c r="B217" i="8"/>
  <c r="G216" i="8"/>
  <c r="H216" i="8" s="1"/>
  <c r="AB219" i="8" l="1"/>
  <c r="AG218" i="8"/>
  <c r="AH218" i="8" s="1"/>
  <c r="AO217" i="8"/>
  <c r="AT216" i="8"/>
  <c r="AU216" i="8" s="1"/>
  <c r="B218" i="8"/>
  <c r="G217" i="8"/>
  <c r="H217" i="8" s="1"/>
  <c r="O218" i="8"/>
  <c r="T217" i="8"/>
  <c r="U217" i="8" s="1"/>
  <c r="AB220" i="8" l="1"/>
  <c r="AG219" i="8"/>
  <c r="AH219" i="8" s="1"/>
  <c r="AO218" i="8"/>
  <c r="AT217" i="8"/>
  <c r="AU217" i="8" s="1"/>
  <c r="O219" i="8"/>
  <c r="T218" i="8"/>
  <c r="U218" i="8" s="1"/>
  <c r="B219" i="8"/>
  <c r="G218" i="8"/>
  <c r="H218" i="8" s="1"/>
  <c r="AG220" i="8" l="1"/>
  <c r="AH220" i="8" s="1"/>
  <c r="AB221" i="8"/>
  <c r="AO219" i="8"/>
  <c r="AT218" i="8"/>
  <c r="AU218" i="8" s="1"/>
  <c r="B220" i="8"/>
  <c r="G219" i="8"/>
  <c r="H219" i="8" s="1"/>
  <c r="O220" i="8"/>
  <c r="T219" i="8"/>
  <c r="U219" i="8" s="1"/>
  <c r="AG221" i="8" l="1"/>
  <c r="AH221" i="8" s="1"/>
  <c r="AB222" i="8"/>
  <c r="AO220" i="8"/>
  <c r="AT219" i="8"/>
  <c r="AU219" i="8" s="1"/>
  <c r="O221" i="8"/>
  <c r="T220" i="8"/>
  <c r="U220" i="8" s="1"/>
  <c r="B221" i="8"/>
  <c r="G220" i="8"/>
  <c r="H220" i="8" s="1"/>
  <c r="AB223" i="8" l="1"/>
  <c r="AG222" i="8"/>
  <c r="AH222" i="8" s="1"/>
  <c r="AO221" i="8"/>
  <c r="AT220" i="8"/>
  <c r="AU220" i="8" s="1"/>
  <c r="B222" i="8"/>
  <c r="G221" i="8"/>
  <c r="H221" i="8" s="1"/>
  <c r="O222" i="8"/>
  <c r="T221" i="8"/>
  <c r="U221" i="8" s="1"/>
  <c r="AG223" i="8" l="1"/>
  <c r="AH223" i="8" s="1"/>
  <c r="AB224" i="8"/>
  <c r="AO222" i="8"/>
  <c r="AT221" i="8"/>
  <c r="AU221" i="8" s="1"/>
  <c r="O223" i="8"/>
  <c r="T222" i="8"/>
  <c r="U222" i="8" s="1"/>
  <c r="B223" i="8"/>
  <c r="G222" i="8"/>
  <c r="H222" i="8" s="1"/>
  <c r="AB225" i="8" l="1"/>
  <c r="AG224" i="8"/>
  <c r="AH224" i="8" s="1"/>
  <c r="AO223" i="8"/>
  <c r="AT222" i="8"/>
  <c r="AU222" i="8" s="1"/>
  <c r="B224" i="8"/>
  <c r="G223" i="8"/>
  <c r="H223" i="8" s="1"/>
  <c r="O224" i="8"/>
  <c r="T223" i="8"/>
  <c r="U223" i="8" s="1"/>
  <c r="AB226" i="8" l="1"/>
  <c r="AG225" i="8"/>
  <c r="AH225" i="8" s="1"/>
  <c r="AO224" i="8"/>
  <c r="AT223" i="8"/>
  <c r="AU223" i="8" s="1"/>
  <c r="O225" i="8"/>
  <c r="T224" i="8"/>
  <c r="U224" i="8" s="1"/>
  <c r="B225" i="8"/>
  <c r="G224" i="8"/>
  <c r="H224" i="8" s="1"/>
  <c r="AG226" i="8" l="1"/>
  <c r="AH226" i="8" s="1"/>
  <c r="AB227" i="8"/>
  <c r="AO225" i="8"/>
  <c r="AT224" i="8"/>
  <c r="AU224" i="8" s="1"/>
  <c r="B226" i="8"/>
  <c r="G225" i="8"/>
  <c r="H225" i="8" s="1"/>
  <c r="O226" i="8"/>
  <c r="T225" i="8"/>
  <c r="U225" i="8" s="1"/>
  <c r="AG227" i="8" l="1"/>
  <c r="AH227" i="8" s="1"/>
  <c r="AB228" i="8"/>
  <c r="AO226" i="8"/>
  <c r="AT225" i="8"/>
  <c r="AU225" i="8" s="1"/>
  <c r="O227" i="8"/>
  <c r="T226" i="8"/>
  <c r="U226" i="8" s="1"/>
  <c r="B227" i="8"/>
  <c r="G226" i="8"/>
  <c r="H226" i="8" s="1"/>
  <c r="AG228" i="8" l="1"/>
  <c r="AH228" i="8" s="1"/>
  <c r="AB229" i="8"/>
  <c r="AO227" i="8"/>
  <c r="AT226" i="8"/>
  <c r="AU226" i="8" s="1"/>
  <c r="B228" i="8"/>
  <c r="G227" i="8"/>
  <c r="H227" i="8" s="1"/>
  <c r="O228" i="8"/>
  <c r="T227" i="8"/>
  <c r="U227" i="8" s="1"/>
  <c r="AG229" i="8" l="1"/>
  <c r="AH229" i="8" s="1"/>
  <c r="AB230" i="8"/>
  <c r="AO228" i="8"/>
  <c r="AT227" i="8"/>
  <c r="AU227" i="8" s="1"/>
  <c r="O229" i="8"/>
  <c r="T228" i="8"/>
  <c r="U228" i="8" s="1"/>
  <c r="B229" i="8"/>
  <c r="G228" i="8"/>
  <c r="H228" i="8" s="1"/>
  <c r="AB231" i="8" l="1"/>
  <c r="AG230" i="8"/>
  <c r="AH230" i="8" s="1"/>
  <c r="AO229" i="8"/>
  <c r="AT228" i="8"/>
  <c r="AU228" i="8" s="1"/>
  <c r="B230" i="8"/>
  <c r="G229" i="8"/>
  <c r="H229" i="8" s="1"/>
  <c r="O230" i="8"/>
  <c r="T229" i="8"/>
  <c r="U229" i="8" s="1"/>
  <c r="AG231" i="8" l="1"/>
  <c r="AH231" i="8" s="1"/>
  <c r="AB232" i="8"/>
  <c r="AO230" i="8"/>
  <c r="AT229" i="8"/>
  <c r="AU229" i="8" s="1"/>
  <c r="O231" i="8"/>
  <c r="T230" i="8"/>
  <c r="U230" i="8" s="1"/>
  <c r="B231" i="8"/>
  <c r="G230" i="8"/>
  <c r="H230" i="8" s="1"/>
  <c r="AB233" i="8" l="1"/>
  <c r="AG232" i="8"/>
  <c r="AH232" i="8" s="1"/>
  <c r="AO231" i="8"/>
  <c r="AT230" i="8"/>
  <c r="AU230" i="8" s="1"/>
  <c r="B232" i="8"/>
  <c r="G231" i="8"/>
  <c r="H231" i="8" s="1"/>
  <c r="O232" i="8"/>
  <c r="T231" i="8"/>
  <c r="U231" i="8" s="1"/>
  <c r="AG233" i="8" l="1"/>
  <c r="AH233" i="8" s="1"/>
  <c r="AB234" i="8"/>
  <c r="AO232" i="8"/>
  <c r="AT231" i="8"/>
  <c r="AU231" i="8" s="1"/>
  <c r="O233" i="8"/>
  <c r="T232" i="8"/>
  <c r="U232" i="8" s="1"/>
  <c r="B233" i="8"/>
  <c r="G232" i="8"/>
  <c r="H232" i="8" s="1"/>
  <c r="AG234" i="8" l="1"/>
  <c r="AH234" i="8" s="1"/>
  <c r="AB235" i="8"/>
  <c r="AO233" i="8"/>
  <c r="AT232" i="8"/>
  <c r="AU232" i="8" s="1"/>
  <c r="B234" i="8"/>
  <c r="G233" i="8"/>
  <c r="H233" i="8" s="1"/>
  <c r="O234" i="8"/>
  <c r="T233" i="8"/>
  <c r="U233" i="8" s="1"/>
  <c r="AB236" i="8" l="1"/>
  <c r="AG235" i="8"/>
  <c r="AH235" i="8" s="1"/>
  <c r="AO234" i="8"/>
  <c r="AT233" i="8"/>
  <c r="AU233" i="8" s="1"/>
  <c r="O235" i="8"/>
  <c r="T234" i="8"/>
  <c r="U234" i="8" s="1"/>
  <c r="B235" i="8"/>
  <c r="G234" i="8"/>
  <c r="H234" i="8" s="1"/>
  <c r="AG236" i="8" l="1"/>
  <c r="AH236" i="8" s="1"/>
  <c r="AB237" i="8"/>
  <c r="AO235" i="8"/>
  <c r="AT234" i="8"/>
  <c r="AU234" i="8" s="1"/>
  <c r="B236" i="8"/>
  <c r="G235" i="8"/>
  <c r="H235" i="8" s="1"/>
  <c r="O236" i="8"/>
  <c r="T235" i="8"/>
  <c r="U235" i="8" s="1"/>
  <c r="AG237" i="8" l="1"/>
  <c r="AH237" i="8" s="1"/>
  <c r="AB238" i="8"/>
  <c r="AO236" i="8"/>
  <c r="AT235" i="8"/>
  <c r="AU235" i="8" s="1"/>
  <c r="O237" i="8"/>
  <c r="T236" i="8"/>
  <c r="U236" i="8" s="1"/>
  <c r="B237" i="8"/>
  <c r="G236" i="8"/>
  <c r="H236" i="8" s="1"/>
  <c r="AG238" i="8" l="1"/>
  <c r="AH238" i="8" s="1"/>
  <c r="AB239" i="8"/>
  <c r="AO237" i="8"/>
  <c r="AT236" i="8"/>
  <c r="AU236" i="8" s="1"/>
  <c r="B238" i="8"/>
  <c r="G237" i="8"/>
  <c r="H237" i="8" s="1"/>
  <c r="O238" i="8"/>
  <c r="T237" i="8"/>
  <c r="U237" i="8" s="1"/>
  <c r="AG239" i="8" l="1"/>
  <c r="AH239" i="8" s="1"/>
  <c r="AB240" i="8"/>
  <c r="AO238" i="8"/>
  <c r="AT237" i="8"/>
  <c r="AU237" i="8" s="1"/>
  <c r="O239" i="8"/>
  <c r="T238" i="8"/>
  <c r="U238" i="8" s="1"/>
  <c r="B239" i="8"/>
  <c r="G238" i="8"/>
  <c r="H238" i="8" s="1"/>
  <c r="AB241" i="8" l="1"/>
  <c r="AG240" i="8"/>
  <c r="AH240" i="8" s="1"/>
  <c r="AO239" i="8"/>
  <c r="AT238" i="8"/>
  <c r="AU238" i="8" s="1"/>
  <c r="B240" i="8"/>
  <c r="G239" i="8"/>
  <c r="H239" i="8" s="1"/>
  <c r="O240" i="8"/>
  <c r="T239" i="8"/>
  <c r="U239" i="8" s="1"/>
  <c r="AB242" i="8" l="1"/>
  <c r="AG241" i="8"/>
  <c r="AH241" i="8" s="1"/>
  <c r="AO240" i="8"/>
  <c r="AT239" i="8"/>
  <c r="AU239" i="8" s="1"/>
  <c r="O241" i="8"/>
  <c r="T240" i="8"/>
  <c r="U240" i="8" s="1"/>
  <c r="B241" i="8"/>
  <c r="G240" i="8"/>
  <c r="H240" i="8" s="1"/>
  <c r="AG242" i="8" l="1"/>
  <c r="AH242" i="8" s="1"/>
  <c r="AB243" i="8"/>
  <c r="AO241" i="8"/>
  <c r="AT240" i="8"/>
  <c r="AU240" i="8" s="1"/>
  <c r="B242" i="8"/>
  <c r="G241" i="8"/>
  <c r="H241" i="8" s="1"/>
  <c r="O242" i="8"/>
  <c r="T241" i="8"/>
  <c r="U241" i="8" s="1"/>
  <c r="AB244" i="8" l="1"/>
  <c r="AG243" i="8"/>
  <c r="AH243" i="8" s="1"/>
  <c r="AO242" i="8"/>
  <c r="AT241" i="8"/>
  <c r="AU241" i="8" s="1"/>
  <c r="O243" i="8"/>
  <c r="T242" i="8"/>
  <c r="U242" i="8" s="1"/>
  <c r="B243" i="8"/>
  <c r="G242" i="8"/>
  <c r="H242" i="8" s="1"/>
  <c r="AB245" i="8" l="1"/>
  <c r="AG244" i="8"/>
  <c r="AH244" i="8" s="1"/>
  <c r="AO243" i="8"/>
  <c r="AT242" i="8"/>
  <c r="AU242" i="8" s="1"/>
  <c r="B244" i="8"/>
  <c r="G243" i="8"/>
  <c r="H243" i="8" s="1"/>
  <c r="O244" i="8"/>
  <c r="T243" i="8"/>
  <c r="U243" i="8" s="1"/>
  <c r="AB246" i="8" l="1"/>
  <c r="AG245" i="8"/>
  <c r="AH245" i="8" s="1"/>
  <c r="AO244" i="8"/>
  <c r="AT243" i="8"/>
  <c r="AU243" i="8" s="1"/>
  <c r="O245" i="8"/>
  <c r="T244" i="8"/>
  <c r="U244" i="8" s="1"/>
  <c r="B245" i="8"/>
  <c r="G244" i="8"/>
  <c r="H244" i="8" s="1"/>
  <c r="AB247" i="8" l="1"/>
  <c r="AG246" i="8"/>
  <c r="AH246" i="8" s="1"/>
  <c r="AO245" i="8"/>
  <c r="AT244" i="8"/>
  <c r="AU244" i="8" s="1"/>
  <c r="B246" i="8"/>
  <c r="G245" i="8"/>
  <c r="H245" i="8" s="1"/>
  <c r="O246" i="8"/>
  <c r="T245" i="8"/>
  <c r="U245" i="8" s="1"/>
  <c r="AG247" i="8" l="1"/>
  <c r="AH247" i="8" s="1"/>
  <c r="AB248" i="8"/>
  <c r="AO246" i="8"/>
  <c r="AT245" i="8"/>
  <c r="AU245" i="8" s="1"/>
  <c r="O247" i="8"/>
  <c r="T246" i="8"/>
  <c r="U246" i="8" s="1"/>
  <c r="B247" i="8"/>
  <c r="G246" i="8"/>
  <c r="H246" i="8" s="1"/>
  <c r="AB249" i="8" l="1"/>
  <c r="AG248" i="8"/>
  <c r="AH248" i="8" s="1"/>
  <c r="AO247" i="8"/>
  <c r="AT246" i="8"/>
  <c r="AU246" i="8" s="1"/>
  <c r="B248" i="8"/>
  <c r="G247" i="8"/>
  <c r="H247" i="8" s="1"/>
  <c r="O248" i="8"/>
  <c r="T247" i="8"/>
  <c r="U247" i="8" s="1"/>
  <c r="AB250" i="8" l="1"/>
  <c r="AG249" i="8"/>
  <c r="AH249" i="8" s="1"/>
  <c r="AO248" i="8"/>
  <c r="AT247" i="8"/>
  <c r="AU247" i="8" s="1"/>
  <c r="O249" i="8"/>
  <c r="T248" i="8"/>
  <c r="U248" i="8" s="1"/>
  <c r="B249" i="8"/>
  <c r="G248" i="8"/>
  <c r="H248" i="8" s="1"/>
  <c r="AG250" i="8" l="1"/>
  <c r="AH250" i="8" s="1"/>
  <c r="AB251" i="8"/>
  <c r="AO249" i="8"/>
  <c r="AT248" i="8"/>
  <c r="AU248" i="8" s="1"/>
  <c r="B250" i="8"/>
  <c r="G249" i="8"/>
  <c r="H249" i="8" s="1"/>
  <c r="O250" i="8"/>
  <c r="T249" i="8"/>
  <c r="U249" i="8" s="1"/>
  <c r="AG251" i="8" l="1"/>
  <c r="AH251" i="8" s="1"/>
  <c r="AB252" i="8"/>
  <c r="AO250" i="8"/>
  <c r="AT249" i="8"/>
  <c r="AU249" i="8" s="1"/>
  <c r="O251" i="8"/>
  <c r="T250" i="8"/>
  <c r="U250" i="8" s="1"/>
  <c r="B251" i="8"/>
  <c r="G250" i="8"/>
  <c r="H250" i="8" s="1"/>
  <c r="AB253" i="8" l="1"/>
  <c r="AG252" i="8"/>
  <c r="AH252" i="8" s="1"/>
  <c r="AO251" i="8"/>
  <c r="AT250" i="8"/>
  <c r="AU250" i="8" s="1"/>
  <c r="B252" i="8"/>
  <c r="G251" i="8"/>
  <c r="H251" i="8" s="1"/>
  <c r="O252" i="8"/>
  <c r="T251" i="8"/>
  <c r="U251" i="8" s="1"/>
  <c r="AB254" i="8" l="1"/>
  <c r="AG253" i="8"/>
  <c r="AH253" i="8" s="1"/>
  <c r="AO252" i="8"/>
  <c r="AT251" i="8"/>
  <c r="AU251" i="8" s="1"/>
  <c r="O253" i="8"/>
  <c r="T252" i="8"/>
  <c r="U252" i="8" s="1"/>
  <c r="B253" i="8"/>
  <c r="G252" i="8"/>
  <c r="H252" i="8" s="1"/>
  <c r="AG254" i="8" l="1"/>
  <c r="AH254" i="8" s="1"/>
  <c r="AB255" i="8"/>
  <c r="AO253" i="8"/>
  <c r="AT252" i="8"/>
  <c r="AU252" i="8" s="1"/>
  <c r="B254" i="8"/>
  <c r="G253" i="8"/>
  <c r="H253" i="8" s="1"/>
  <c r="O254" i="8"/>
  <c r="T253" i="8"/>
  <c r="U253" i="8" s="1"/>
  <c r="AB256" i="8" l="1"/>
  <c r="AG255" i="8"/>
  <c r="AH255" i="8" s="1"/>
  <c r="AO254" i="8"/>
  <c r="AT253" i="8"/>
  <c r="AU253" i="8" s="1"/>
  <c r="O255" i="8"/>
  <c r="T254" i="8"/>
  <c r="U254" i="8" s="1"/>
  <c r="B255" i="8"/>
  <c r="G254" i="8"/>
  <c r="H254" i="8" s="1"/>
  <c r="AB257" i="8" l="1"/>
  <c r="AG256" i="8"/>
  <c r="AH256" i="8" s="1"/>
  <c r="AO255" i="8"/>
  <c r="AT254" i="8"/>
  <c r="AU254" i="8" s="1"/>
  <c r="B256" i="8"/>
  <c r="G255" i="8"/>
  <c r="H255" i="8" s="1"/>
  <c r="O256" i="8"/>
  <c r="T255" i="8"/>
  <c r="U255" i="8" s="1"/>
  <c r="AG257" i="8" l="1"/>
  <c r="B9" i="10"/>
  <c r="AO256" i="8"/>
  <c r="AT255" i="8"/>
  <c r="AU255" i="8" s="1"/>
  <c r="O257" i="8"/>
  <c r="T256" i="8"/>
  <c r="U256" i="8" s="1"/>
  <c r="B257" i="8"/>
  <c r="G256" i="8"/>
  <c r="H256" i="8" s="1"/>
  <c r="AH257" i="8" l="1"/>
  <c r="G9" i="10"/>
  <c r="I9" i="10" s="1"/>
  <c r="AO257" i="8"/>
  <c r="AT256" i="8"/>
  <c r="AU256" i="8" s="1"/>
  <c r="B7" i="10"/>
  <c r="G257" i="8"/>
  <c r="B8" i="10"/>
  <c r="T257" i="8"/>
  <c r="C19" i="10" l="1"/>
  <c r="B19" i="10"/>
  <c r="U257" i="8"/>
  <c r="G8" i="10"/>
  <c r="I8" i="10" s="1"/>
  <c r="H257" i="8"/>
  <c r="G7" i="10"/>
  <c r="B10" i="10"/>
  <c r="AT257" i="8"/>
  <c r="C17" i="10" l="1"/>
  <c r="B17" i="10"/>
  <c r="C18" i="10"/>
  <c r="B18" i="10"/>
  <c r="AU257" i="8"/>
  <c r="G10" i="10"/>
  <c r="I10" i="10" s="1"/>
  <c r="C20" i="10" l="1"/>
  <c r="B20" i="10"/>
</calcChain>
</file>

<file path=xl/sharedStrings.xml><?xml version="1.0" encoding="utf-8"?>
<sst xmlns="http://schemas.openxmlformats.org/spreadsheetml/2006/main" count="146" uniqueCount="66">
  <si>
    <t>Date</t>
  </si>
  <si>
    <t>Min</t>
  </si>
  <si>
    <t>Max</t>
  </si>
  <si>
    <t>Average</t>
  </si>
  <si>
    <t>Tech</t>
  </si>
  <si>
    <t>Insurance</t>
  </si>
  <si>
    <t>Energy</t>
  </si>
  <si>
    <t>Banking</t>
  </si>
  <si>
    <t>Mining</t>
  </si>
  <si>
    <t>Parameters</t>
  </si>
  <si>
    <t>Return</t>
  </si>
  <si>
    <t>Data Checks</t>
  </si>
  <si>
    <t>Daily Change</t>
  </si>
  <si>
    <t>Standard Deviation</t>
  </si>
  <si>
    <t>Statistics (all data)</t>
  </si>
  <si>
    <t>50-day rolling average</t>
  </si>
  <si>
    <t>200-day rolling average</t>
  </si>
  <si>
    <t>Modelling</t>
  </si>
  <si>
    <t>Instruction</t>
  </si>
  <si>
    <t>Summary</t>
  </si>
  <si>
    <t>Sector</t>
  </si>
  <si>
    <t>Strategy</t>
  </si>
  <si>
    <t>A</t>
  </si>
  <si>
    <t>B</t>
  </si>
  <si>
    <t>C</t>
  </si>
  <si>
    <t>D</t>
  </si>
  <si>
    <t>Looks roughly normally distributed</t>
  </si>
  <si>
    <t>Index at 100</t>
  </si>
  <si>
    <t>Strategy A: Hold</t>
  </si>
  <si>
    <t>Strategy B: Profit Taking</t>
  </si>
  <si>
    <t>Overall</t>
  </si>
  <si>
    <t>Strategy C: Following Trend</t>
  </si>
  <si>
    <t>Strategy D: Moving Average</t>
  </si>
  <si>
    <t>Initial Investment</t>
  </si>
  <si>
    <t>Total</t>
  </si>
  <si>
    <t>Daily Return</t>
  </si>
  <si>
    <t>Statistics of daily returns for each strategy</t>
  </si>
  <si>
    <t>StdDev</t>
  </si>
  <si>
    <t>Check average return vs final index value:</t>
  </si>
  <si>
    <t>Ave&gt;0 =&gt; index &gt; 100</t>
  </si>
  <si>
    <t>(reverse is also checked)</t>
  </si>
  <si>
    <t>Statistics (2021 only)</t>
  </si>
  <si>
    <t>Chi-Squared test:</t>
  </si>
  <si>
    <t>From</t>
  </si>
  <si>
    <t>To</t>
  </si>
  <si>
    <t>Actual</t>
  </si>
  <si>
    <t>Expected</t>
  </si>
  <si>
    <t>All</t>
  </si>
  <si>
    <t>Band</t>
  </si>
  <si>
    <t>Count</t>
  </si>
  <si>
    <t>Chi Squared:</t>
  </si>
  <si>
    <t>(A-E)^2/E</t>
  </si>
  <si>
    <t>Chi squared:</t>
  </si>
  <si>
    <t>This method doesn't work well, as Chi-Sq test should have expected values &gt; 5</t>
  </si>
  <si>
    <t>First method - using equally spaced probability bands</t>
  </si>
  <si>
    <t>Alternative method - using equally spaced reading bands</t>
  </si>
  <si>
    <t xml:space="preserve">But quite a few outliers, and perhaps a little high in the middle. </t>
  </si>
  <si>
    <t xml:space="preserve">Very unlikely to be normal. </t>
  </si>
  <si>
    <t xml:space="preserve">But symmetrical around zero. </t>
  </si>
  <si>
    <t>Number of stocks</t>
  </si>
  <si>
    <t>Invesment per stock</t>
  </si>
  <si>
    <t>Total notional investment</t>
  </si>
  <si>
    <t>Moving averages calculations</t>
  </si>
  <si>
    <t>Formulas start on 02/01/2021</t>
  </si>
  <si>
    <t>Value</t>
  </si>
  <si>
    <t>Total value (in $) for each strategy as at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</si>
</sst>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#,##0.00;\-#,##0.00;&quot;-&quot;;@"/>
    <numFmt numFmtId="166" formatCode="#,##0;\-#,##0;&quot;-&quot;;@"/>
    <numFmt numFmtId="167" formatCode="_-* #,##0.000_-;\-* #,##0.000_-;_-* &quot;-&quot;??_-;_-@_-"/>
    <numFmt numFmtId="168" formatCode="0.000%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19" fillId="0" borderId="0" xfId="0" applyFont="1"/>
    <xf numFmtId="0" fontId="17" fillId="0" borderId="0" xfId="0" applyFont="1" applyAlignment="1"/>
    <xf numFmtId="0" fontId="19" fillId="0" borderId="0" xfId="0" applyFont="1" applyAlignment="1"/>
    <xf numFmtId="164" fontId="0" fillId="0" borderId="0" xfId="0" applyNumberFormat="1" applyAlignment="1"/>
    <xf numFmtId="0" fontId="0" fillId="33" borderId="0" xfId="0" applyFill="1"/>
    <xf numFmtId="14" fontId="0" fillId="0" borderId="0" xfId="0" applyNumberFormat="1"/>
    <xf numFmtId="165" fontId="0" fillId="0" borderId="0" xfId="0" applyNumberFormat="1" applyAlignment="1"/>
    <xf numFmtId="0" fontId="0" fillId="33" borderId="0" xfId="0" applyFill="1" applyAlignment="1"/>
    <xf numFmtId="0" fontId="17" fillId="0" borderId="0" xfId="0" applyFont="1"/>
    <xf numFmtId="0" fontId="17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12" xfId="0" applyBorder="1" applyAlignment="1">
      <alignment horizontal="centerContinuous"/>
    </xf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0" fontId="1" fillId="0" borderId="0" xfId="0" applyFont="1"/>
    <xf numFmtId="166" fontId="0" fillId="0" borderId="0" xfId="0" applyNumberFormat="1" applyAlignment="1"/>
    <xf numFmtId="165" fontId="0" fillId="34" borderId="0" xfId="0" applyNumberFormat="1" applyFill="1" applyAlignment="1"/>
    <xf numFmtId="167" fontId="0" fillId="0" borderId="0" xfId="42" applyNumberFormat="1" applyFont="1"/>
    <xf numFmtId="164" fontId="0" fillId="34" borderId="0" xfId="0" applyNumberFormat="1" applyFill="1" applyAlignment="1"/>
    <xf numFmtId="10" fontId="0" fillId="0" borderId="0" xfId="0" applyNumberFormat="1" applyAlignment="1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 Prices,</a:t>
            </a:r>
            <a:r>
              <a:rPr lang="en-GB" baseline="0"/>
              <a:t> indexed at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Checks'!$G$3</c:f>
              <c:strCache>
                <c:ptCount val="1"/>
                <c:pt idx="0">
                  <c:v>Tech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Checks'!$A$4:$A$467</c:f>
              <c:numCache>
                <c:formatCode>m/d/yyyy</c:formatCode>
                <c:ptCount val="464"/>
                <c:pt idx="0">
                  <c:v>43891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43901</c:v>
                </c:pt>
                <c:pt idx="7">
                  <c:v>43902</c:v>
                </c:pt>
                <c:pt idx="8">
                  <c:v>43903</c:v>
                </c:pt>
                <c:pt idx="9">
                  <c:v>43904</c:v>
                </c:pt>
                <c:pt idx="10">
                  <c:v>43905</c:v>
                </c:pt>
                <c:pt idx="11">
                  <c:v>43908</c:v>
                </c:pt>
                <c:pt idx="12">
                  <c:v>43909</c:v>
                </c:pt>
                <c:pt idx="13">
                  <c:v>43910</c:v>
                </c:pt>
                <c:pt idx="14">
                  <c:v>43911</c:v>
                </c:pt>
                <c:pt idx="15">
                  <c:v>43912</c:v>
                </c:pt>
                <c:pt idx="16">
                  <c:v>43915</c:v>
                </c:pt>
                <c:pt idx="17">
                  <c:v>43916</c:v>
                </c:pt>
                <c:pt idx="18">
                  <c:v>43917</c:v>
                </c:pt>
                <c:pt idx="19">
                  <c:v>43918</c:v>
                </c:pt>
                <c:pt idx="20">
                  <c:v>43919</c:v>
                </c:pt>
                <c:pt idx="21">
                  <c:v>43922</c:v>
                </c:pt>
                <c:pt idx="22">
                  <c:v>43923</c:v>
                </c:pt>
                <c:pt idx="23">
                  <c:v>43924</c:v>
                </c:pt>
                <c:pt idx="24">
                  <c:v>43925</c:v>
                </c:pt>
                <c:pt idx="25">
                  <c:v>43926</c:v>
                </c:pt>
                <c:pt idx="26">
                  <c:v>43929</c:v>
                </c:pt>
                <c:pt idx="27">
                  <c:v>43930</c:v>
                </c:pt>
                <c:pt idx="28">
                  <c:v>43931</c:v>
                </c:pt>
                <c:pt idx="29">
                  <c:v>43932</c:v>
                </c:pt>
                <c:pt idx="30">
                  <c:v>43933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43939</c:v>
                </c:pt>
                <c:pt idx="35">
                  <c:v>43943</c:v>
                </c:pt>
                <c:pt idx="36">
                  <c:v>43944</c:v>
                </c:pt>
                <c:pt idx="37">
                  <c:v>43945</c:v>
                </c:pt>
                <c:pt idx="38">
                  <c:v>43946</c:v>
                </c:pt>
                <c:pt idx="39">
                  <c:v>43947</c:v>
                </c:pt>
                <c:pt idx="40">
                  <c:v>43950</c:v>
                </c:pt>
                <c:pt idx="41">
                  <c:v>43951</c:v>
                </c:pt>
                <c:pt idx="42">
                  <c:v>43952</c:v>
                </c:pt>
                <c:pt idx="43">
                  <c:v>43953</c:v>
                </c:pt>
                <c:pt idx="44">
                  <c:v>43954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43964</c:v>
                </c:pt>
                <c:pt idx="51">
                  <c:v>43965</c:v>
                </c:pt>
                <c:pt idx="52">
                  <c:v>43966</c:v>
                </c:pt>
                <c:pt idx="53">
                  <c:v>43967</c:v>
                </c:pt>
                <c:pt idx="54">
                  <c:v>43968</c:v>
                </c:pt>
                <c:pt idx="55">
                  <c:v>43971</c:v>
                </c:pt>
                <c:pt idx="56">
                  <c:v>43972</c:v>
                </c:pt>
                <c:pt idx="57">
                  <c:v>43973</c:v>
                </c:pt>
                <c:pt idx="58">
                  <c:v>43974</c:v>
                </c:pt>
                <c:pt idx="59">
                  <c:v>43975</c:v>
                </c:pt>
                <c:pt idx="60">
                  <c:v>43979</c:v>
                </c:pt>
                <c:pt idx="61">
                  <c:v>43980</c:v>
                </c:pt>
                <c:pt idx="62">
                  <c:v>43981</c:v>
                </c:pt>
                <c:pt idx="63">
                  <c:v>43982</c:v>
                </c:pt>
                <c:pt idx="64">
                  <c:v>43985</c:v>
                </c:pt>
                <c:pt idx="65">
                  <c:v>43986</c:v>
                </c:pt>
                <c:pt idx="66">
                  <c:v>43987</c:v>
                </c:pt>
                <c:pt idx="67">
                  <c:v>43988</c:v>
                </c:pt>
                <c:pt idx="68">
                  <c:v>43989</c:v>
                </c:pt>
                <c:pt idx="69">
                  <c:v>43992</c:v>
                </c:pt>
                <c:pt idx="70">
                  <c:v>43993</c:v>
                </c:pt>
                <c:pt idx="71">
                  <c:v>43994</c:v>
                </c:pt>
                <c:pt idx="72">
                  <c:v>43995</c:v>
                </c:pt>
                <c:pt idx="73">
                  <c:v>43996</c:v>
                </c:pt>
                <c:pt idx="74">
                  <c:v>43999</c:v>
                </c:pt>
                <c:pt idx="75">
                  <c:v>44000</c:v>
                </c:pt>
                <c:pt idx="76">
                  <c:v>44001</c:v>
                </c:pt>
                <c:pt idx="77">
                  <c:v>44002</c:v>
                </c:pt>
                <c:pt idx="78">
                  <c:v>44003</c:v>
                </c:pt>
                <c:pt idx="79">
                  <c:v>44006</c:v>
                </c:pt>
                <c:pt idx="80">
                  <c:v>44007</c:v>
                </c:pt>
                <c:pt idx="81">
                  <c:v>44008</c:v>
                </c:pt>
                <c:pt idx="82">
                  <c:v>44009</c:v>
                </c:pt>
                <c:pt idx="83">
                  <c:v>44010</c:v>
                </c:pt>
                <c:pt idx="84">
                  <c:v>44013</c:v>
                </c:pt>
                <c:pt idx="85">
                  <c:v>44014</c:v>
                </c:pt>
                <c:pt idx="86">
                  <c:v>44015</c:v>
                </c:pt>
                <c:pt idx="87">
                  <c:v>44017</c:v>
                </c:pt>
                <c:pt idx="88">
                  <c:v>44020</c:v>
                </c:pt>
                <c:pt idx="89">
                  <c:v>44021</c:v>
                </c:pt>
                <c:pt idx="90">
                  <c:v>44022</c:v>
                </c:pt>
                <c:pt idx="91">
                  <c:v>44023</c:v>
                </c:pt>
                <c:pt idx="92">
                  <c:v>44024</c:v>
                </c:pt>
                <c:pt idx="93">
                  <c:v>44027</c:v>
                </c:pt>
                <c:pt idx="94">
                  <c:v>44028</c:v>
                </c:pt>
                <c:pt idx="95">
                  <c:v>44029</c:v>
                </c:pt>
                <c:pt idx="96">
                  <c:v>44030</c:v>
                </c:pt>
                <c:pt idx="97">
                  <c:v>44031</c:v>
                </c:pt>
                <c:pt idx="98">
                  <c:v>44034</c:v>
                </c:pt>
                <c:pt idx="99">
                  <c:v>44035</c:v>
                </c:pt>
                <c:pt idx="100">
                  <c:v>44036</c:v>
                </c:pt>
                <c:pt idx="101">
                  <c:v>44037</c:v>
                </c:pt>
                <c:pt idx="102">
                  <c:v>44038</c:v>
                </c:pt>
                <c:pt idx="103">
                  <c:v>44041</c:v>
                </c:pt>
                <c:pt idx="104">
                  <c:v>44042</c:v>
                </c:pt>
                <c:pt idx="105">
                  <c:v>44043</c:v>
                </c:pt>
                <c:pt idx="106">
                  <c:v>44044</c:v>
                </c:pt>
                <c:pt idx="107">
                  <c:v>44045</c:v>
                </c:pt>
                <c:pt idx="108">
                  <c:v>44048</c:v>
                </c:pt>
                <c:pt idx="109">
                  <c:v>44049</c:v>
                </c:pt>
                <c:pt idx="110">
                  <c:v>44050</c:v>
                </c:pt>
                <c:pt idx="111">
                  <c:v>44051</c:v>
                </c:pt>
                <c:pt idx="112">
                  <c:v>44052</c:v>
                </c:pt>
                <c:pt idx="113">
                  <c:v>44055</c:v>
                </c:pt>
                <c:pt idx="114">
                  <c:v>44056</c:v>
                </c:pt>
                <c:pt idx="115">
                  <c:v>44057</c:v>
                </c:pt>
                <c:pt idx="116">
                  <c:v>44058</c:v>
                </c:pt>
                <c:pt idx="117">
                  <c:v>44059</c:v>
                </c:pt>
                <c:pt idx="118">
                  <c:v>44062</c:v>
                </c:pt>
                <c:pt idx="119">
                  <c:v>44063</c:v>
                </c:pt>
                <c:pt idx="120">
                  <c:v>44064</c:v>
                </c:pt>
                <c:pt idx="121">
                  <c:v>44065</c:v>
                </c:pt>
                <c:pt idx="122">
                  <c:v>44066</c:v>
                </c:pt>
                <c:pt idx="123">
                  <c:v>44069</c:v>
                </c:pt>
                <c:pt idx="124">
                  <c:v>44070</c:v>
                </c:pt>
                <c:pt idx="125">
                  <c:v>44071</c:v>
                </c:pt>
                <c:pt idx="126">
                  <c:v>44072</c:v>
                </c:pt>
                <c:pt idx="127">
                  <c:v>44073</c:v>
                </c:pt>
                <c:pt idx="128">
                  <c:v>44077</c:v>
                </c:pt>
                <c:pt idx="129">
                  <c:v>44078</c:v>
                </c:pt>
                <c:pt idx="130">
                  <c:v>44079</c:v>
                </c:pt>
                <c:pt idx="131">
                  <c:v>44080</c:v>
                </c:pt>
                <c:pt idx="132">
                  <c:v>44083</c:v>
                </c:pt>
                <c:pt idx="133">
                  <c:v>44084</c:v>
                </c:pt>
                <c:pt idx="134">
                  <c:v>44085</c:v>
                </c:pt>
                <c:pt idx="135">
                  <c:v>44086</c:v>
                </c:pt>
                <c:pt idx="136">
                  <c:v>44087</c:v>
                </c:pt>
                <c:pt idx="137">
                  <c:v>44090</c:v>
                </c:pt>
                <c:pt idx="138">
                  <c:v>44091</c:v>
                </c:pt>
                <c:pt idx="139">
                  <c:v>44092</c:v>
                </c:pt>
                <c:pt idx="140">
                  <c:v>44093</c:v>
                </c:pt>
                <c:pt idx="141">
                  <c:v>44094</c:v>
                </c:pt>
                <c:pt idx="142">
                  <c:v>44097</c:v>
                </c:pt>
                <c:pt idx="143">
                  <c:v>44098</c:v>
                </c:pt>
                <c:pt idx="144">
                  <c:v>44099</c:v>
                </c:pt>
                <c:pt idx="145">
                  <c:v>44100</c:v>
                </c:pt>
                <c:pt idx="146">
                  <c:v>44101</c:v>
                </c:pt>
                <c:pt idx="147">
                  <c:v>44104</c:v>
                </c:pt>
                <c:pt idx="148">
                  <c:v>44105</c:v>
                </c:pt>
                <c:pt idx="149">
                  <c:v>44106</c:v>
                </c:pt>
                <c:pt idx="150">
                  <c:v>44107</c:v>
                </c:pt>
                <c:pt idx="151">
                  <c:v>44108</c:v>
                </c:pt>
                <c:pt idx="152">
                  <c:v>44111</c:v>
                </c:pt>
                <c:pt idx="153">
                  <c:v>44112</c:v>
                </c:pt>
                <c:pt idx="154">
                  <c:v>44113</c:v>
                </c:pt>
                <c:pt idx="155">
                  <c:v>44114</c:v>
                </c:pt>
                <c:pt idx="156">
                  <c:v>44115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44121</c:v>
                </c:pt>
                <c:pt idx="161">
                  <c:v>44122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44128</c:v>
                </c:pt>
                <c:pt idx="166">
                  <c:v>44129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44135</c:v>
                </c:pt>
                <c:pt idx="171">
                  <c:v>44136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44142</c:v>
                </c:pt>
                <c:pt idx="176">
                  <c:v>44143</c:v>
                </c:pt>
                <c:pt idx="177">
                  <c:v>44146</c:v>
                </c:pt>
                <c:pt idx="178">
                  <c:v>44147</c:v>
                </c:pt>
                <c:pt idx="179">
                  <c:v>44148</c:v>
                </c:pt>
                <c:pt idx="180">
                  <c:v>44149</c:v>
                </c:pt>
                <c:pt idx="181">
                  <c:v>44150</c:v>
                </c:pt>
                <c:pt idx="182">
                  <c:v>44153</c:v>
                </c:pt>
                <c:pt idx="183">
                  <c:v>44154</c:v>
                </c:pt>
                <c:pt idx="184">
                  <c:v>44155</c:v>
                </c:pt>
                <c:pt idx="185">
                  <c:v>44156</c:v>
                </c:pt>
                <c:pt idx="186">
                  <c:v>44157</c:v>
                </c:pt>
                <c:pt idx="187">
                  <c:v>44160</c:v>
                </c:pt>
                <c:pt idx="188">
                  <c:v>44161</c:v>
                </c:pt>
                <c:pt idx="189">
                  <c:v>44162</c:v>
                </c:pt>
                <c:pt idx="190">
                  <c:v>44164</c:v>
                </c:pt>
                <c:pt idx="191">
                  <c:v>44167</c:v>
                </c:pt>
                <c:pt idx="192">
                  <c:v>44168</c:v>
                </c:pt>
                <c:pt idx="193">
                  <c:v>44169</c:v>
                </c:pt>
                <c:pt idx="194">
                  <c:v>44170</c:v>
                </c:pt>
                <c:pt idx="195">
                  <c:v>44171</c:v>
                </c:pt>
                <c:pt idx="196">
                  <c:v>44174</c:v>
                </c:pt>
                <c:pt idx="197">
                  <c:v>44175</c:v>
                </c:pt>
                <c:pt idx="198">
                  <c:v>44176</c:v>
                </c:pt>
                <c:pt idx="199">
                  <c:v>44177</c:v>
                </c:pt>
                <c:pt idx="200">
                  <c:v>44178</c:v>
                </c:pt>
                <c:pt idx="201">
                  <c:v>44181</c:v>
                </c:pt>
                <c:pt idx="202">
                  <c:v>44182</c:v>
                </c:pt>
                <c:pt idx="203">
                  <c:v>44183</c:v>
                </c:pt>
                <c:pt idx="204">
                  <c:v>44184</c:v>
                </c:pt>
                <c:pt idx="205">
                  <c:v>44185</c:v>
                </c:pt>
                <c:pt idx="206">
                  <c:v>44188</c:v>
                </c:pt>
                <c:pt idx="207">
                  <c:v>44189</c:v>
                </c:pt>
                <c:pt idx="208">
                  <c:v>44191</c:v>
                </c:pt>
                <c:pt idx="209">
                  <c:v>44192</c:v>
                </c:pt>
                <c:pt idx="210">
                  <c:v>44195</c:v>
                </c:pt>
                <c:pt idx="211">
                  <c:v>44196</c:v>
                </c:pt>
                <c:pt idx="212">
                  <c:v>44198</c:v>
                </c:pt>
                <c:pt idx="213">
                  <c:v>44199</c:v>
                </c:pt>
                <c:pt idx="214">
                  <c:v>44202</c:v>
                </c:pt>
                <c:pt idx="215">
                  <c:v>44203</c:v>
                </c:pt>
                <c:pt idx="216">
                  <c:v>44204</c:v>
                </c:pt>
                <c:pt idx="217">
                  <c:v>44205</c:v>
                </c:pt>
                <c:pt idx="218">
                  <c:v>44206</c:v>
                </c:pt>
                <c:pt idx="219">
                  <c:v>44209</c:v>
                </c:pt>
                <c:pt idx="220">
                  <c:v>44210</c:v>
                </c:pt>
                <c:pt idx="221">
                  <c:v>44211</c:v>
                </c:pt>
                <c:pt idx="222">
                  <c:v>44212</c:v>
                </c:pt>
                <c:pt idx="223">
                  <c:v>44213</c:v>
                </c:pt>
                <c:pt idx="224">
                  <c:v>44217</c:v>
                </c:pt>
                <c:pt idx="225">
                  <c:v>44218</c:v>
                </c:pt>
                <c:pt idx="226">
                  <c:v>44219</c:v>
                </c:pt>
                <c:pt idx="227">
                  <c:v>44220</c:v>
                </c:pt>
                <c:pt idx="228">
                  <c:v>44223</c:v>
                </c:pt>
                <c:pt idx="229">
                  <c:v>44224</c:v>
                </c:pt>
                <c:pt idx="230">
                  <c:v>44225</c:v>
                </c:pt>
                <c:pt idx="231">
                  <c:v>44226</c:v>
                </c:pt>
                <c:pt idx="232">
                  <c:v>44227</c:v>
                </c:pt>
                <c:pt idx="233">
                  <c:v>44230</c:v>
                </c:pt>
                <c:pt idx="234">
                  <c:v>44231</c:v>
                </c:pt>
                <c:pt idx="235">
                  <c:v>44232</c:v>
                </c:pt>
                <c:pt idx="236">
                  <c:v>44233</c:v>
                </c:pt>
                <c:pt idx="237">
                  <c:v>44234</c:v>
                </c:pt>
                <c:pt idx="238">
                  <c:v>44237</c:v>
                </c:pt>
                <c:pt idx="239">
                  <c:v>44238</c:v>
                </c:pt>
                <c:pt idx="240">
                  <c:v>44239</c:v>
                </c:pt>
                <c:pt idx="241">
                  <c:v>44240</c:v>
                </c:pt>
                <c:pt idx="242">
                  <c:v>44241</c:v>
                </c:pt>
                <c:pt idx="243">
                  <c:v>44245</c:v>
                </c:pt>
                <c:pt idx="244">
                  <c:v>44246</c:v>
                </c:pt>
                <c:pt idx="245">
                  <c:v>44247</c:v>
                </c:pt>
                <c:pt idx="246">
                  <c:v>44248</c:v>
                </c:pt>
                <c:pt idx="247">
                  <c:v>44251</c:v>
                </c:pt>
                <c:pt idx="248">
                  <c:v>44252</c:v>
                </c:pt>
                <c:pt idx="249">
                  <c:v>44253</c:v>
                </c:pt>
                <c:pt idx="250">
                  <c:v>44254</c:v>
                </c:pt>
                <c:pt idx="251">
                  <c:v>44255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44261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44268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44275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44282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44288</c:v>
                </c:pt>
                <c:pt idx="276">
                  <c:v>44289</c:v>
                </c:pt>
                <c:pt idx="277">
                  <c:v>44292</c:v>
                </c:pt>
                <c:pt idx="278">
                  <c:v>44293</c:v>
                </c:pt>
                <c:pt idx="279">
                  <c:v>44294</c:v>
                </c:pt>
                <c:pt idx="280">
                  <c:v>44295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44303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44310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44317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44324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44331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44338</c:v>
                </c:pt>
                <c:pt idx="311">
                  <c:v>44342</c:v>
                </c:pt>
                <c:pt idx="312">
                  <c:v>44343</c:v>
                </c:pt>
                <c:pt idx="313">
                  <c:v>44344</c:v>
                </c:pt>
                <c:pt idx="314">
                  <c:v>44345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44352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44359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44366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44373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44387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44394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44401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44408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44415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44422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44429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44436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44443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44450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44457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44464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44471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44478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44485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44492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44499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44506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44513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44520</c:v>
                </c:pt>
                <c:pt idx="438">
                  <c:v>44523</c:v>
                </c:pt>
                <c:pt idx="439">
                  <c:v>44524</c:v>
                </c:pt>
                <c:pt idx="440">
                  <c:v>44525</c:v>
                </c:pt>
                <c:pt idx="441">
                  <c:v>44527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44534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44541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44548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44554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</c:numCache>
            </c:numRef>
          </c:cat>
          <c:val>
            <c:numRef>
              <c:f>'Data Checks'!$G$4:$G$467</c:f>
              <c:numCache>
                <c:formatCode>General</c:formatCode>
                <c:ptCount val="464"/>
                <c:pt idx="0">
                  <c:v>100</c:v>
                </c:pt>
                <c:pt idx="1">
                  <c:v>101.46196241572457</c:v>
                </c:pt>
                <c:pt idx="2">
                  <c:v>101.23824267361647</c:v>
                </c:pt>
                <c:pt idx="3">
                  <c:v>99.833703466872095</c:v>
                </c:pt>
                <c:pt idx="4">
                  <c:v>97.26151773625547</c:v>
                </c:pt>
                <c:pt idx="5">
                  <c:v>96.953459493500247</c:v>
                </c:pt>
                <c:pt idx="6">
                  <c:v>99.933602614460483</c:v>
                </c:pt>
                <c:pt idx="7">
                  <c:v>100.08195079446979</c:v>
                </c:pt>
                <c:pt idx="8">
                  <c:v>101.14133737076365</c:v>
                </c:pt>
                <c:pt idx="9">
                  <c:v>100.86676623458052</c:v>
                </c:pt>
                <c:pt idx="10">
                  <c:v>102.43041672316004</c:v>
                </c:pt>
                <c:pt idx="11">
                  <c:v>104.21240540293475</c:v>
                </c:pt>
                <c:pt idx="12">
                  <c:v>105.39082250591689</c:v>
                </c:pt>
                <c:pt idx="13">
                  <c:v>107.50958836067532</c:v>
                </c:pt>
                <c:pt idx="14">
                  <c:v>108.82499158147537</c:v>
                </c:pt>
                <c:pt idx="15">
                  <c:v>105.56549449451161</c:v>
                </c:pt>
                <c:pt idx="16">
                  <c:v>106.1331693052487</c:v>
                </c:pt>
                <c:pt idx="17">
                  <c:v>106.70144289689655</c:v>
                </c:pt>
                <c:pt idx="18">
                  <c:v>105.62112136075947</c:v>
                </c:pt>
                <c:pt idx="19">
                  <c:v>106.08292398991372</c:v>
                </c:pt>
                <c:pt idx="20">
                  <c:v>106.52138929757065</c:v>
                </c:pt>
                <c:pt idx="21">
                  <c:v>108.52170881089302</c:v>
                </c:pt>
                <c:pt idx="22">
                  <c:v>108.5091493065166</c:v>
                </c:pt>
                <c:pt idx="23">
                  <c:v>108.91112636503654</c:v>
                </c:pt>
                <c:pt idx="24">
                  <c:v>108.80106277689654</c:v>
                </c:pt>
                <c:pt idx="25">
                  <c:v>109.90291799396934</c:v>
                </c:pt>
                <c:pt idx="26">
                  <c:v>110.65542923385271</c:v>
                </c:pt>
                <c:pt idx="27">
                  <c:v>109.8167759125789</c:v>
                </c:pt>
                <c:pt idx="28">
                  <c:v>110.50408726892606</c:v>
                </c:pt>
                <c:pt idx="29">
                  <c:v>110.30907910139891</c:v>
                </c:pt>
                <c:pt idx="30">
                  <c:v>110.24866940533065</c:v>
                </c:pt>
                <c:pt idx="31">
                  <c:v>110.35693665073831</c:v>
                </c:pt>
                <c:pt idx="32">
                  <c:v>111.44383729960984</c:v>
                </c:pt>
                <c:pt idx="33">
                  <c:v>111.55030826210344</c:v>
                </c:pt>
                <c:pt idx="34">
                  <c:v>111.36307676913231</c:v>
                </c:pt>
                <c:pt idx="35">
                  <c:v>112.89562797695355</c:v>
                </c:pt>
                <c:pt idx="36">
                  <c:v>115.07659987051258</c:v>
                </c:pt>
                <c:pt idx="37">
                  <c:v>113.75940030698021</c:v>
                </c:pt>
                <c:pt idx="38">
                  <c:v>113.78930944338273</c:v>
                </c:pt>
                <c:pt idx="39">
                  <c:v>116.68331778078182</c:v>
                </c:pt>
                <c:pt idx="40">
                  <c:v>115.95353778365573</c:v>
                </c:pt>
                <c:pt idx="41">
                  <c:v>115.24110012072646</c:v>
                </c:pt>
                <c:pt idx="42">
                  <c:v>114.34382602865089</c:v>
                </c:pt>
                <c:pt idx="43">
                  <c:v>113.70376608308482</c:v>
                </c:pt>
                <c:pt idx="44">
                  <c:v>117.39096531606143</c:v>
                </c:pt>
                <c:pt idx="45">
                  <c:v>116.67853495096143</c:v>
                </c:pt>
                <c:pt idx="46">
                  <c:v>114.91090205847722</c:v>
                </c:pt>
                <c:pt idx="47">
                  <c:v>114.7176902336824</c:v>
                </c:pt>
                <c:pt idx="48">
                  <c:v>113.64694165501541</c:v>
                </c:pt>
                <c:pt idx="49">
                  <c:v>113.05533803969951</c:v>
                </c:pt>
                <c:pt idx="50">
                  <c:v>109.02957270647265</c:v>
                </c:pt>
                <c:pt idx="51">
                  <c:v>110.07279985491442</c:v>
                </c:pt>
                <c:pt idx="52">
                  <c:v>111.92896259478465</c:v>
                </c:pt>
                <c:pt idx="53">
                  <c:v>114.10753942451885</c:v>
                </c:pt>
                <c:pt idx="54">
                  <c:v>111.80035187261527</c:v>
                </c:pt>
                <c:pt idx="55">
                  <c:v>111.20037286165082</c:v>
                </c:pt>
                <c:pt idx="56">
                  <c:v>111.11363929717888</c:v>
                </c:pt>
                <c:pt idx="57">
                  <c:v>111.24284880025904</c:v>
                </c:pt>
                <c:pt idx="58">
                  <c:v>108.5988767157242</c:v>
                </c:pt>
                <c:pt idx="59">
                  <c:v>109.06546217469885</c:v>
                </c:pt>
                <c:pt idx="60">
                  <c:v>109.85207395754192</c:v>
                </c:pt>
                <c:pt idx="61">
                  <c:v>108.82080017491826</c:v>
                </c:pt>
                <c:pt idx="62">
                  <c:v>108.64912203105916</c:v>
                </c:pt>
                <c:pt idx="63">
                  <c:v>106.18161827785137</c:v>
                </c:pt>
                <c:pt idx="64">
                  <c:v>101.253788665081</c:v>
                </c:pt>
                <c:pt idx="65">
                  <c:v>103.45929544195893</c:v>
                </c:pt>
                <c:pt idx="66">
                  <c:v>103.99406727155787</c:v>
                </c:pt>
                <c:pt idx="67">
                  <c:v>104.94278418097169</c:v>
                </c:pt>
                <c:pt idx="68">
                  <c:v>107.91396042320191</c:v>
                </c:pt>
                <c:pt idx="69">
                  <c:v>111.2996732283285</c:v>
                </c:pt>
                <c:pt idx="70">
                  <c:v>111.48331209565323</c:v>
                </c:pt>
                <c:pt idx="71">
                  <c:v>110.98203467045565</c:v>
                </c:pt>
                <c:pt idx="72">
                  <c:v>111.8781185583572</c:v>
                </c:pt>
                <c:pt idx="73">
                  <c:v>111.84043274739867</c:v>
                </c:pt>
                <c:pt idx="74">
                  <c:v>112.81905879321499</c:v>
                </c:pt>
                <c:pt idx="75">
                  <c:v>113.73666906422299</c:v>
                </c:pt>
                <c:pt idx="76">
                  <c:v>114.18052328044038</c:v>
                </c:pt>
                <c:pt idx="77">
                  <c:v>114.74280918261701</c:v>
                </c:pt>
                <c:pt idx="78">
                  <c:v>114.33066774336376</c:v>
                </c:pt>
                <c:pt idx="79">
                  <c:v>114.48619375720004</c:v>
                </c:pt>
                <c:pt idx="80">
                  <c:v>112.35486845788346</c:v>
                </c:pt>
                <c:pt idx="81">
                  <c:v>113.52491004558054</c:v>
                </c:pt>
                <c:pt idx="82">
                  <c:v>113.91074227190695</c:v>
                </c:pt>
                <c:pt idx="83">
                  <c:v>113.27367623089476</c:v>
                </c:pt>
                <c:pt idx="84">
                  <c:v>114.98208227383718</c:v>
                </c:pt>
                <c:pt idx="85">
                  <c:v>115.70708679879043</c:v>
                </c:pt>
                <c:pt idx="86">
                  <c:v>115.98763096896796</c:v>
                </c:pt>
                <c:pt idx="87">
                  <c:v>116.22152244945694</c:v>
                </c:pt>
                <c:pt idx="88">
                  <c:v>116.78440713254435</c:v>
                </c:pt>
                <c:pt idx="89">
                  <c:v>118.9366747493517</c:v>
                </c:pt>
                <c:pt idx="90">
                  <c:v>120.67798377343226</c:v>
                </c:pt>
                <c:pt idx="91">
                  <c:v>119.70054793178994</c:v>
                </c:pt>
                <c:pt idx="92">
                  <c:v>120.29454661093069</c:v>
                </c:pt>
                <c:pt idx="93">
                  <c:v>120.89213055807031</c:v>
                </c:pt>
                <c:pt idx="94">
                  <c:v>120.22874794648371</c:v>
                </c:pt>
                <c:pt idx="95">
                  <c:v>119.15979571054905</c:v>
                </c:pt>
                <c:pt idx="96">
                  <c:v>118.3145632167225</c:v>
                </c:pt>
                <c:pt idx="97">
                  <c:v>117.51419448731799</c:v>
                </c:pt>
                <c:pt idx="98">
                  <c:v>118.77695732895825</c:v>
                </c:pt>
                <c:pt idx="99">
                  <c:v>119.30694632873679</c:v>
                </c:pt>
                <c:pt idx="100">
                  <c:v>119.68500194032545</c:v>
                </c:pt>
                <c:pt idx="101">
                  <c:v>118.07049999785266</c:v>
                </c:pt>
                <c:pt idx="102">
                  <c:v>116.22989790492375</c:v>
                </c:pt>
                <c:pt idx="103">
                  <c:v>114.39945289489886</c:v>
                </c:pt>
                <c:pt idx="104">
                  <c:v>113.56678720327801</c:v>
                </c:pt>
                <c:pt idx="105">
                  <c:v>111.66755704171807</c:v>
                </c:pt>
                <c:pt idx="106">
                  <c:v>110.98203467045569</c:v>
                </c:pt>
                <c:pt idx="107">
                  <c:v>109.06306711087409</c:v>
                </c:pt>
                <c:pt idx="108">
                  <c:v>105.58702817544744</c:v>
                </c:pt>
                <c:pt idx="109">
                  <c:v>106.94490003702643</c:v>
                </c:pt>
                <c:pt idx="110">
                  <c:v>107.27809188419305</c:v>
                </c:pt>
                <c:pt idx="111">
                  <c:v>109.64031493889952</c:v>
                </c:pt>
                <c:pt idx="112">
                  <c:v>108.12631092492592</c:v>
                </c:pt>
                <c:pt idx="113">
                  <c:v>106.77083412717177</c:v>
                </c:pt>
                <c:pt idx="114">
                  <c:v>109.12886577532107</c:v>
                </c:pt>
                <c:pt idx="115">
                  <c:v>105.4572198914565</c:v>
                </c:pt>
                <c:pt idx="116">
                  <c:v>106.24443039539207</c:v>
                </c:pt>
                <c:pt idx="117">
                  <c:v>107.22843805193958</c:v>
                </c:pt>
                <c:pt idx="118">
                  <c:v>108.63716130759359</c:v>
                </c:pt>
                <c:pt idx="119">
                  <c:v>107.75544056463005</c:v>
                </c:pt>
                <c:pt idx="120">
                  <c:v>109.08101552381096</c:v>
                </c:pt>
                <c:pt idx="121">
                  <c:v>107.95164623416049</c:v>
                </c:pt>
                <c:pt idx="122">
                  <c:v>104.65924616605858</c:v>
                </c:pt>
                <c:pt idx="123">
                  <c:v>105.81074791755555</c:v>
                </c:pt>
                <c:pt idx="124">
                  <c:v>105.38962494409544</c:v>
                </c:pt>
                <c:pt idx="125">
                  <c:v>105.53438779628765</c:v>
                </c:pt>
                <c:pt idx="126">
                  <c:v>106.85936397455778</c:v>
                </c:pt>
                <c:pt idx="127">
                  <c:v>106.25460213377295</c:v>
                </c:pt>
                <c:pt idx="128">
                  <c:v>107.0651353635473</c:v>
                </c:pt>
                <c:pt idx="129">
                  <c:v>107.70997807911553</c:v>
                </c:pt>
                <c:pt idx="130">
                  <c:v>110.108689382959</c:v>
                </c:pt>
                <c:pt idx="131">
                  <c:v>109.67740196894732</c:v>
                </c:pt>
                <c:pt idx="132">
                  <c:v>109.54819246586716</c:v>
                </c:pt>
                <c:pt idx="133">
                  <c:v>108.90215948630666</c:v>
                </c:pt>
                <c:pt idx="134">
                  <c:v>109.04811254267287</c:v>
                </c:pt>
                <c:pt idx="135">
                  <c:v>110.27797976082253</c:v>
                </c:pt>
                <c:pt idx="136">
                  <c:v>110.02613986739669</c:v>
                </c:pt>
                <c:pt idx="137">
                  <c:v>108.14186427403801</c:v>
                </c:pt>
                <c:pt idx="138">
                  <c:v>109.02179603191676</c:v>
                </c:pt>
                <c:pt idx="139">
                  <c:v>108.71731575933113</c:v>
                </c:pt>
                <c:pt idx="140">
                  <c:v>108.95898391437613</c:v>
                </c:pt>
                <c:pt idx="141">
                  <c:v>107.32355436970768</c:v>
                </c:pt>
                <c:pt idx="142">
                  <c:v>106.79356536992914</c:v>
                </c:pt>
                <c:pt idx="143">
                  <c:v>104.18010120270759</c:v>
                </c:pt>
                <c:pt idx="144">
                  <c:v>105.77844371732829</c:v>
                </c:pt>
                <c:pt idx="145">
                  <c:v>104.07422172329549</c:v>
                </c:pt>
                <c:pt idx="146">
                  <c:v>103.21343588035693</c:v>
                </c:pt>
                <c:pt idx="147">
                  <c:v>103.83913997881426</c:v>
                </c:pt>
                <c:pt idx="148">
                  <c:v>103.82358662970223</c:v>
                </c:pt>
                <c:pt idx="149">
                  <c:v>102.48245832140928</c:v>
                </c:pt>
                <c:pt idx="150">
                  <c:v>103.15182862246709</c:v>
                </c:pt>
                <c:pt idx="151">
                  <c:v>104.06285972092236</c:v>
                </c:pt>
                <c:pt idx="152">
                  <c:v>103.64473059219787</c:v>
                </c:pt>
                <c:pt idx="153">
                  <c:v>102.02066304990254</c:v>
                </c:pt>
                <c:pt idx="154">
                  <c:v>103.0064669893641</c:v>
                </c:pt>
                <c:pt idx="155">
                  <c:v>102.90298257377684</c:v>
                </c:pt>
                <c:pt idx="156">
                  <c:v>103.60046566850485</c:v>
                </c:pt>
                <c:pt idx="157">
                  <c:v>103.8702466770383</c:v>
                </c:pt>
                <c:pt idx="158">
                  <c:v>105.72161928925885</c:v>
                </c:pt>
                <c:pt idx="159">
                  <c:v>106.32279586204484</c:v>
                </c:pt>
                <c:pt idx="160">
                  <c:v>106.9239650771833</c:v>
                </c:pt>
                <c:pt idx="161">
                  <c:v>105.13121323576449</c:v>
                </c:pt>
                <c:pt idx="162">
                  <c:v>106.81509905086484</c:v>
                </c:pt>
                <c:pt idx="163">
                  <c:v>105.62291764367372</c:v>
                </c:pt>
                <c:pt idx="164">
                  <c:v>105.40996842085723</c:v>
                </c:pt>
                <c:pt idx="165">
                  <c:v>106.52318558048488</c:v>
                </c:pt>
                <c:pt idx="166">
                  <c:v>105.35971580769299</c:v>
                </c:pt>
                <c:pt idx="167">
                  <c:v>106.30185360437234</c:v>
                </c:pt>
                <c:pt idx="168">
                  <c:v>105.4422653232553</c:v>
                </c:pt>
                <c:pt idx="169">
                  <c:v>106.47592681205626</c:v>
                </c:pt>
                <c:pt idx="170">
                  <c:v>106.27673459561947</c:v>
                </c:pt>
                <c:pt idx="171">
                  <c:v>107.16084310457856</c:v>
                </c:pt>
                <c:pt idx="172">
                  <c:v>107.95164623416052</c:v>
                </c:pt>
                <c:pt idx="173">
                  <c:v>107.77517796265175</c:v>
                </c:pt>
                <c:pt idx="174">
                  <c:v>107.41986095146792</c:v>
                </c:pt>
                <c:pt idx="175">
                  <c:v>106.96703249887297</c:v>
                </c:pt>
                <c:pt idx="176">
                  <c:v>106.82825733615201</c:v>
                </c:pt>
                <c:pt idx="177">
                  <c:v>105.97704445068351</c:v>
                </c:pt>
                <c:pt idx="178">
                  <c:v>106.35688904735694</c:v>
                </c:pt>
                <c:pt idx="179">
                  <c:v>104.86801133996546</c:v>
                </c:pt>
                <c:pt idx="180">
                  <c:v>104.95714002808052</c:v>
                </c:pt>
                <c:pt idx="181">
                  <c:v>104.05328676345222</c:v>
                </c:pt>
                <c:pt idx="182">
                  <c:v>104.83331937374255</c:v>
                </c:pt>
                <c:pt idx="183">
                  <c:v>104.84887272285459</c:v>
                </c:pt>
                <c:pt idx="184">
                  <c:v>104.41459146410729</c:v>
                </c:pt>
                <c:pt idx="185">
                  <c:v>103.76735368471424</c:v>
                </c:pt>
                <c:pt idx="186">
                  <c:v>104.42595346648044</c:v>
                </c:pt>
                <c:pt idx="187">
                  <c:v>106.10804299866672</c:v>
                </c:pt>
                <c:pt idx="188">
                  <c:v>107.48984360500627</c:v>
                </c:pt>
                <c:pt idx="189">
                  <c:v>108.78012787687175</c:v>
                </c:pt>
                <c:pt idx="190">
                  <c:v>107.72074859840717</c:v>
                </c:pt>
                <c:pt idx="191">
                  <c:v>106.57223339381653</c:v>
                </c:pt>
                <c:pt idx="192">
                  <c:v>105.8759478010918</c:v>
                </c:pt>
                <c:pt idx="193">
                  <c:v>105.32143121582365</c:v>
                </c:pt>
                <c:pt idx="194">
                  <c:v>104.11250625534647</c:v>
                </c:pt>
                <c:pt idx="195">
                  <c:v>104.77768520966541</c:v>
                </c:pt>
                <c:pt idx="196">
                  <c:v>104.65266705332417</c:v>
                </c:pt>
                <c:pt idx="197">
                  <c:v>104.03653591233692</c:v>
                </c:pt>
                <c:pt idx="198">
                  <c:v>104.60540828489556</c:v>
                </c:pt>
                <c:pt idx="199">
                  <c:v>105.29989753488796</c:v>
                </c:pt>
                <c:pt idx="200">
                  <c:v>105.33638578402494</c:v>
                </c:pt>
                <c:pt idx="201">
                  <c:v>105.83108409648806</c:v>
                </c:pt>
                <c:pt idx="202">
                  <c:v>107.11419041489003</c:v>
                </c:pt>
                <c:pt idx="203">
                  <c:v>106.71759496710128</c:v>
                </c:pt>
                <c:pt idx="204">
                  <c:v>107.21109571774284</c:v>
                </c:pt>
                <c:pt idx="205">
                  <c:v>106.86534436619981</c:v>
                </c:pt>
                <c:pt idx="206">
                  <c:v>107.25416313943255</c:v>
                </c:pt>
                <c:pt idx="207">
                  <c:v>107.02744955258882</c:v>
                </c:pt>
                <c:pt idx="208">
                  <c:v>111.78659486623572</c:v>
                </c:pt>
                <c:pt idx="209">
                  <c:v>111.84820942195482</c:v>
                </c:pt>
                <c:pt idx="210">
                  <c:v>110.47777075817014</c:v>
                </c:pt>
                <c:pt idx="211">
                  <c:v>110.53459518623957</c:v>
                </c:pt>
                <c:pt idx="212">
                  <c:v>113.53568056487231</c:v>
                </c:pt>
                <c:pt idx="213">
                  <c:v>112.1574652265316</c:v>
                </c:pt>
                <c:pt idx="214">
                  <c:v>113.82699525434147</c:v>
                </c:pt>
                <c:pt idx="215">
                  <c:v>114.06507078374007</c:v>
                </c:pt>
                <c:pt idx="216">
                  <c:v>113.17437586421724</c:v>
                </c:pt>
                <c:pt idx="217">
                  <c:v>113.71753044711227</c:v>
                </c:pt>
                <c:pt idx="218">
                  <c:v>112.64738064935607</c:v>
                </c:pt>
                <c:pt idx="219">
                  <c:v>113.13430228726317</c:v>
                </c:pt>
                <c:pt idx="220">
                  <c:v>111.8266683833716</c:v>
                </c:pt>
                <c:pt idx="221">
                  <c:v>111.38282152480177</c:v>
                </c:pt>
                <c:pt idx="222">
                  <c:v>112.33512370221443</c:v>
                </c:pt>
                <c:pt idx="223">
                  <c:v>111.54432793028001</c:v>
                </c:pt>
                <c:pt idx="224">
                  <c:v>113.17617214713135</c:v>
                </c:pt>
                <c:pt idx="225">
                  <c:v>112.90459485568384</c:v>
                </c:pt>
                <c:pt idx="226">
                  <c:v>112.73231793091396</c:v>
                </c:pt>
                <c:pt idx="227">
                  <c:v>111.3600902820445</c:v>
                </c:pt>
                <c:pt idx="228">
                  <c:v>109.36813886654137</c:v>
                </c:pt>
                <c:pt idx="229">
                  <c:v>110.85821407593613</c:v>
                </c:pt>
                <c:pt idx="230">
                  <c:v>111.14235087176006</c:v>
                </c:pt>
                <c:pt idx="231">
                  <c:v>111.90084980111466</c:v>
                </c:pt>
                <c:pt idx="232">
                  <c:v>120.15815921420543</c:v>
                </c:pt>
                <c:pt idx="233">
                  <c:v>119.88777942476121</c:v>
                </c:pt>
                <c:pt idx="234">
                  <c:v>122.60771455447636</c:v>
                </c:pt>
                <c:pt idx="235">
                  <c:v>122.0214998477209</c:v>
                </c:pt>
                <c:pt idx="236">
                  <c:v>122.641216256707</c:v>
                </c:pt>
                <c:pt idx="237">
                  <c:v>124.3789400127887</c:v>
                </c:pt>
                <c:pt idx="238">
                  <c:v>127.64680525738999</c:v>
                </c:pt>
                <c:pt idx="239">
                  <c:v>128.65714408017044</c:v>
                </c:pt>
                <c:pt idx="240">
                  <c:v>129.20746925888142</c:v>
                </c:pt>
                <c:pt idx="241">
                  <c:v>128.6015171541043</c:v>
                </c:pt>
                <c:pt idx="242">
                  <c:v>127.70424306202872</c:v>
                </c:pt>
                <c:pt idx="243">
                  <c:v>128.9484514718103</c:v>
                </c:pt>
                <c:pt idx="244">
                  <c:v>129.81881027221897</c:v>
                </c:pt>
                <c:pt idx="245">
                  <c:v>128.79472903871735</c:v>
                </c:pt>
                <c:pt idx="246">
                  <c:v>125.3773035164449</c:v>
                </c:pt>
                <c:pt idx="247">
                  <c:v>120.19225969734678</c:v>
                </c:pt>
                <c:pt idx="248">
                  <c:v>118.0058988952273</c:v>
                </c:pt>
                <c:pt idx="249">
                  <c:v>118.41565262830326</c:v>
                </c:pt>
                <c:pt idx="250">
                  <c:v>112.71557437762786</c:v>
                </c:pt>
                <c:pt idx="251">
                  <c:v>112.68267139648972</c:v>
                </c:pt>
                <c:pt idx="252">
                  <c:v>116.881911216308</c:v>
                </c:pt>
                <c:pt idx="253">
                  <c:v>114.19248400390613</c:v>
                </c:pt>
                <c:pt idx="254">
                  <c:v>118.19073532437358</c:v>
                </c:pt>
                <c:pt idx="255">
                  <c:v>115.09215315980654</c:v>
                </c:pt>
                <c:pt idx="256">
                  <c:v>113.71991821310779</c:v>
                </c:pt>
                <c:pt idx="257">
                  <c:v>107.70937929820479</c:v>
                </c:pt>
                <c:pt idx="258">
                  <c:v>113.16540162783964</c:v>
                </c:pt>
                <c:pt idx="259">
                  <c:v>108.92069932250681</c:v>
                </c:pt>
                <c:pt idx="260">
                  <c:v>100.29191347038012</c:v>
                </c:pt>
                <c:pt idx="261">
                  <c:v>106.77561695699224</c:v>
                </c:pt>
                <c:pt idx="262">
                  <c:v>101.04203694426793</c:v>
                </c:pt>
                <c:pt idx="263">
                  <c:v>108.14186427403803</c:v>
                </c:pt>
                <c:pt idx="264">
                  <c:v>109.46743923321894</c:v>
                </c:pt>
                <c:pt idx="265">
                  <c:v>112.51398709736624</c:v>
                </c:pt>
                <c:pt idx="266">
                  <c:v>110.42991320883073</c:v>
                </c:pt>
                <c:pt idx="267">
                  <c:v>113.82400140960584</c:v>
                </c:pt>
                <c:pt idx="268">
                  <c:v>116.05342963341505</c:v>
                </c:pt>
                <c:pt idx="269">
                  <c:v>112.80768955283098</c:v>
                </c:pt>
                <c:pt idx="270">
                  <c:v>116.9740336893404</c:v>
                </c:pt>
                <c:pt idx="271">
                  <c:v>113.66069872121354</c:v>
                </c:pt>
                <c:pt idx="272">
                  <c:v>117.48009394435837</c:v>
                </c:pt>
                <c:pt idx="273">
                  <c:v>116.62888111870814</c:v>
                </c:pt>
                <c:pt idx="274">
                  <c:v>114.11531609907499</c:v>
                </c:pt>
                <c:pt idx="275">
                  <c:v>114.78109377448642</c:v>
                </c:pt>
                <c:pt idx="276">
                  <c:v>114.0489187135355</c:v>
                </c:pt>
                <c:pt idx="277">
                  <c:v>119.49238153879392</c:v>
                </c:pt>
                <c:pt idx="278">
                  <c:v>120.33043613897523</c:v>
                </c:pt>
                <c:pt idx="279">
                  <c:v>122.20873134069195</c:v>
                </c:pt>
                <c:pt idx="280">
                  <c:v>122.19437555340147</c:v>
                </c:pt>
                <c:pt idx="281">
                  <c:v>129.73806433739995</c:v>
                </c:pt>
                <c:pt idx="282">
                  <c:v>136.58426272884114</c:v>
                </c:pt>
                <c:pt idx="283">
                  <c:v>138.04142771908676</c:v>
                </c:pt>
                <c:pt idx="284">
                  <c:v>144.05376285708556</c:v>
                </c:pt>
                <c:pt idx="285">
                  <c:v>142.06839791196444</c:v>
                </c:pt>
                <c:pt idx="286">
                  <c:v>143.18162236942138</c:v>
                </c:pt>
                <c:pt idx="287">
                  <c:v>139.26412428160219</c:v>
                </c:pt>
                <c:pt idx="288">
                  <c:v>141.37988899379573</c:v>
                </c:pt>
                <c:pt idx="289">
                  <c:v>143.53095175095225</c:v>
                </c:pt>
                <c:pt idx="290">
                  <c:v>144.17519574542797</c:v>
                </c:pt>
                <c:pt idx="291">
                  <c:v>142.12821618476949</c:v>
                </c:pt>
                <c:pt idx="292">
                  <c:v>138.42427339850684</c:v>
                </c:pt>
                <c:pt idx="293">
                  <c:v>141.93141173432829</c:v>
                </c:pt>
                <c:pt idx="294">
                  <c:v>147.9904069196632</c:v>
                </c:pt>
                <c:pt idx="295">
                  <c:v>136.74696669614096</c:v>
                </c:pt>
                <c:pt idx="296">
                  <c:v>138.53852103555647</c:v>
                </c:pt>
                <c:pt idx="297">
                  <c:v>138.64679563861168</c:v>
                </c:pt>
                <c:pt idx="298">
                  <c:v>140.64831271375559</c:v>
                </c:pt>
                <c:pt idx="299">
                  <c:v>141.62634727649043</c:v>
                </c:pt>
                <c:pt idx="300">
                  <c:v>142.34416655015087</c:v>
                </c:pt>
                <c:pt idx="301">
                  <c:v>144.10221918733575</c:v>
                </c:pt>
                <c:pt idx="302">
                  <c:v>140.98867515673817</c:v>
                </c:pt>
                <c:pt idx="303">
                  <c:v>141.6448798746795</c:v>
                </c:pt>
                <c:pt idx="304">
                  <c:v>142.89688685250493</c:v>
                </c:pt>
                <c:pt idx="305">
                  <c:v>144.14887917485356</c:v>
                </c:pt>
                <c:pt idx="306">
                  <c:v>145.13468317413339</c:v>
                </c:pt>
                <c:pt idx="307">
                  <c:v>146.51469479538815</c:v>
                </c:pt>
                <c:pt idx="308">
                  <c:v>149.42245284133764</c:v>
                </c:pt>
                <c:pt idx="309">
                  <c:v>146.35976020481507</c:v>
                </c:pt>
                <c:pt idx="310">
                  <c:v>145.76994563440221</c:v>
                </c:pt>
                <c:pt idx="311">
                  <c:v>144.87148857616364</c:v>
                </c:pt>
                <c:pt idx="312">
                  <c:v>144.1853601859795</c:v>
                </c:pt>
                <c:pt idx="313">
                  <c:v>143.62966069436663</c:v>
                </c:pt>
                <c:pt idx="314">
                  <c:v>146.09836194957774</c:v>
                </c:pt>
                <c:pt idx="315">
                  <c:v>147.81334716507288</c:v>
                </c:pt>
                <c:pt idx="316">
                  <c:v>147.89529060189514</c:v>
                </c:pt>
                <c:pt idx="317">
                  <c:v>148.2536014578146</c:v>
                </c:pt>
                <c:pt idx="318">
                  <c:v>147.18884792626639</c:v>
                </c:pt>
                <c:pt idx="319">
                  <c:v>148.5287713749085</c:v>
                </c:pt>
                <c:pt idx="320">
                  <c:v>150.98491318556142</c:v>
                </c:pt>
                <c:pt idx="321">
                  <c:v>155.57895940826543</c:v>
                </c:pt>
                <c:pt idx="322">
                  <c:v>158.36588340660157</c:v>
                </c:pt>
                <c:pt idx="323">
                  <c:v>153.01274677146148</c:v>
                </c:pt>
                <c:pt idx="324">
                  <c:v>152.23870185064237</c:v>
                </c:pt>
                <c:pt idx="325">
                  <c:v>153.89327001242171</c:v>
                </c:pt>
                <c:pt idx="326">
                  <c:v>156.44093551519626</c:v>
                </c:pt>
                <c:pt idx="327">
                  <c:v>157.97886091628288</c:v>
                </c:pt>
                <c:pt idx="328">
                  <c:v>158.75649846274837</c:v>
                </c:pt>
                <c:pt idx="329">
                  <c:v>160.01447853438648</c:v>
                </c:pt>
                <c:pt idx="330">
                  <c:v>162.33602917140982</c:v>
                </c:pt>
                <c:pt idx="331">
                  <c:v>165.36222626096611</c:v>
                </c:pt>
                <c:pt idx="332">
                  <c:v>163.56707929590419</c:v>
                </c:pt>
                <c:pt idx="333">
                  <c:v>164.77422256912587</c:v>
                </c:pt>
                <c:pt idx="334">
                  <c:v>161.08283928723964</c:v>
                </c:pt>
                <c:pt idx="335">
                  <c:v>160.3356950624289</c:v>
                </c:pt>
                <c:pt idx="336">
                  <c:v>165.02785144763652</c:v>
                </c:pt>
                <c:pt idx="337">
                  <c:v>172.19885899276653</c:v>
                </c:pt>
                <c:pt idx="338">
                  <c:v>172.89275681949567</c:v>
                </c:pt>
                <c:pt idx="339">
                  <c:v>182.86685502882494</c:v>
                </c:pt>
                <c:pt idx="340">
                  <c:v>179.46200360658744</c:v>
                </c:pt>
                <c:pt idx="341">
                  <c:v>184.30668492288473</c:v>
                </c:pt>
                <c:pt idx="342">
                  <c:v>190.37942257875903</c:v>
                </c:pt>
                <c:pt idx="343">
                  <c:v>191.41847297612046</c:v>
                </c:pt>
                <c:pt idx="344">
                  <c:v>185.67591878683686</c:v>
                </c:pt>
                <c:pt idx="345">
                  <c:v>184.47955333073611</c:v>
                </c:pt>
                <c:pt idx="346">
                  <c:v>179.98541349363157</c:v>
                </c:pt>
                <c:pt idx="347">
                  <c:v>179.44883072564176</c:v>
                </c:pt>
                <c:pt idx="348">
                  <c:v>177.17992776560749</c:v>
                </c:pt>
                <c:pt idx="349">
                  <c:v>191.2294524980646</c:v>
                </c:pt>
                <c:pt idx="350">
                  <c:v>187.72708969423428</c:v>
                </c:pt>
                <c:pt idx="351">
                  <c:v>185.43125678705627</c:v>
                </c:pt>
                <c:pt idx="352">
                  <c:v>178.65026557698056</c:v>
                </c:pt>
                <c:pt idx="353">
                  <c:v>179.98779396179785</c:v>
                </c:pt>
                <c:pt idx="354">
                  <c:v>182.75738292376644</c:v>
                </c:pt>
                <c:pt idx="355">
                  <c:v>179.47456311096389</c:v>
                </c:pt>
                <c:pt idx="356">
                  <c:v>181.46052683699577</c:v>
                </c:pt>
                <c:pt idx="357">
                  <c:v>182.55818340950037</c:v>
                </c:pt>
                <c:pt idx="358">
                  <c:v>189.30568751300399</c:v>
                </c:pt>
                <c:pt idx="359">
                  <c:v>186.14787855871339</c:v>
                </c:pt>
                <c:pt idx="360">
                  <c:v>187.75939389446157</c:v>
                </c:pt>
                <c:pt idx="361">
                  <c:v>191.71936062305969</c:v>
                </c:pt>
                <c:pt idx="362">
                  <c:v>192.91392979624635</c:v>
                </c:pt>
                <c:pt idx="363">
                  <c:v>189.47198404613187</c:v>
                </c:pt>
                <c:pt idx="364">
                  <c:v>188.31748844989926</c:v>
                </c:pt>
                <c:pt idx="365">
                  <c:v>184.28035381646998</c:v>
                </c:pt>
                <c:pt idx="366">
                  <c:v>189.15973439681946</c:v>
                </c:pt>
                <c:pt idx="367">
                  <c:v>189.08675789854547</c:v>
                </c:pt>
                <c:pt idx="368">
                  <c:v>188.30912035207999</c:v>
                </c:pt>
                <c:pt idx="369">
                  <c:v>190.3662642934718</c:v>
                </c:pt>
                <c:pt idx="370">
                  <c:v>198.14742988577638</c:v>
                </c:pt>
                <c:pt idx="371">
                  <c:v>195.03628091900364</c:v>
                </c:pt>
                <c:pt idx="372">
                  <c:v>197.24298519788485</c:v>
                </c:pt>
                <c:pt idx="373">
                  <c:v>196.48627531343328</c:v>
                </c:pt>
                <c:pt idx="374">
                  <c:v>197.84654223883712</c:v>
                </c:pt>
                <c:pt idx="375">
                  <c:v>200.18125116114766</c:v>
                </c:pt>
                <c:pt idx="376">
                  <c:v>205.88552811620949</c:v>
                </c:pt>
                <c:pt idx="377">
                  <c:v>203.38212753712793</c:v>
                </c:pt>
                <c:pt idx="378">
                  <c:v>203.48980335927237</c:v>
                </c:pt>
                <c:pt idx="379">
                  <c:v>206.43046438636</c:v>
                </c:pt>
                <c:pt idx="380">
                  <c:v>209.31132173630115</c:v>
                </c:pt>
                <c:pt idx="381">
                  <c:v>211.24523656625473</c:v>
                </c:pt>
                <c:pt idx="382">
                  <c:v>201.46794280736668</c:v>
                </c:pt>
                <c:pt idx="383">
                  <c:v>197.07848494767092</c:v>
                </c:pt>
                <c:pt idx="384">
                  <c:v>188.41799367622767</c:v>
                </c:pt>
                <c:pt idx="385">
                  <c:v>195.52261107382915</c:v>
                </c:pt>
                <c:pt idx="386">
                  <c:v>189.92960256655812</c:v>
                </c:pt>
                <c:pt idx="387">
                  <c:v>186.40689634578436</c:v>
                </c:pt>
                <c:pt idx="388">
                  <c:v>185.61430423111761</c:v>
                </c:pt>
                <c:pt idx="389">
                  <c:v>188.79423834942543</c:v>
                </c:pt>
                <c:pt idx="390">
                  <c:v>184.12663138337697</c:v>
                </c:pt>
                <c:pt idx="391">
                  <c:v>179.97703074033535</c:v>
                </c:pt>
                <c:pt idx="392">
                  <c:v>176.7576072303257</c:v>
                </c:pt>
                <c:pt idx="393">
                  <c:v>177.09020035639981</c:v>
                </c:pt>
                <c:pt idx="394">
                  <c:v>187.17077682605193</c:v>
                </c:pt>
                <c:pt idx="395">
                  <c:v>179.44645025747536</c:v>
                </c:pt>
                <c:pt idx="396">
                  <c:v>180.63862436683723</c:v>
                </c:pt>
                <c:pt idx="397">
                  <c:v>185.14532370831824</c:v>
                </c:pt>
                <c:pt idx="398">
                  <c:v>189.8661917279251</c:v>
                </c:pt>
                <c:pt idx="399">
                  <c:v>188.12128278036889</c:v>
                </c:pt>
                <c:pt idx="400">
                  <c:v>188.35158893304072</c:v>
                </c:pt>
                <c:pt idx="401">
                  <c:v>192.69021005413828</c:v>
                </c:pt>
                <c:pt idx="402">
                  <c:v>186.93210251574263</c:v>
                </c:pt>
                <c:pt idx="403">
                  <c:v>191.37061542678106</c:v>
                </c:pt>
                <c:pt idx="404">
                  <c:v>185.43425063179183</c:v>
                </c:pt>
                <c:pt idx="405">
                  <c:v>191.16065269105263</c:v>
                </c:pt>
                <c:pt idx="406">
                  <c:v>190.85319322920819</c:v>
                </c:pt>
                <c:pt idx="407">
                  <c:v>196.60172045248621</c:v>
                </c:pt>
                <c:pt idx="408">
                  <c:v>205.95012192100566</c:v>
                </c:pt>
                <c:pt idx="409">
                  <c:v>205.99199178087383</c:v>
                </c:pt>
                <c:pt idx="410">
                  <c:v>201.2113200841205</c:v>
                </c:pt>
                <c:pt idx="411">
                  <c:v>199.71227063834817</c:v>
                </c:pt>
                <c:pt idx="412">
                  <c:v>195.76785725886211</c:v>
                </c:pt>
                <c:pt idx="413">
                  <c:v>191.84976039013216</c:v>
                </c:pt>
                <c:pt idx="414">
                  <c:v>192.43598239471692</c:v>
                </c:pt>
                <c:pt idx="415">
                  <c:v>190.51760625839853</c:v>
                </c:pt>
                <c:pt idx="416">
                  <c:v>190.00675587573087</c:v>
                </c:pt>
                <c:pt idx="417">
                  <c:v>191.68166751427191</c:v>
                </c:pt>
                <c:pt idx="418">
                  <c:v>191.83959594958057</c:v>
                </c:pt>
                <c:pt idx="419">
                  <c:v>196.58258913320466</c:v>
                </c:pt>
                <c:pt idx="420">
                  <c:v>189.19203859704689</c:v>
                </c:pt>
                <c:pt idx="421">
                  <c:v>192.07707275788667</c:v>
                </c:pt>
                <c:pt idx="422">
                  <c:v>181.61724311482433</c:v>
                </c:pt>
                <c:pt idx="423">
                  <c:v>179.72280308091405</c:v>
                </c:pt>
                <c:pt idx="424">
                  <c:v>182.3506157375968</c:v>
                </c:pt>
                <c:pt idx="425">
                  <c:v>193.8805878207678</c:v>
                </c:pt>
                <c:pt idx="426">
                  <c:v>198.71630225833505</c:v>
                </c:pt>
                <c:pt idx="427">
                  <c:v>198.08044101715541</c:v>
                </c:pt>
                <c:pt idx="428">
                  <c:v>188.05309634992631</c:v>
                </c:pt>
                <c:pt idx="429">
                  <c:v>181.54965552511081</c:v>
                </c:pt>
                <c:pt idx="430">
                  <c:v>187.67324451524186</c:v>
                </c:pt>
                <c:pt idx="431">
                  <c:v>186.0515792747824</c:v>
                </c:pt>
                <c:pt idx="432">
                  <c:v>187.16001366440793</c:v>
                </c:pt>
                <c:pt idx="433">
                  <c:v>187.29460477821928</c:v>
                </c:pt>
                <c:pt idx="434">
                  <c:v>187.56976003983635</c:v>
                </c:pt>
                <c:pt idx="435">
                  <c:v>185.76325113221958</c:v>
                </c:pt>
                <c:pt idx="436">
                  <c:v>186.45475389512393</c:v>
                </c:pt>
                <c:pt idx="437">
                  <c:v>185.40074886974298</c:v>
                </c:pt>
                <c:pt idx="438">
                  <c:v>185.34033187584546</c:v>
                </c:pt>
                <c:pt idx="439">
                  <c:v>186.51696723175382</c:v>
                </c:pt>
                <c:pt idx="440">
                  <c:v>190.52539023078387</c:v>
                </c:pt>
                <c:pt idx="441">
                  <c:v>191.13972508885703</c:v>
                </c:pt>
                <c:pt idx="442">
                  <c:v>189.50668331018417</c:v>
                </c:pt>
                <c:pt idx="443">
                  <c:v>192.61962855987099</c:v>
                </c:pt>
                <c:pt idx="444">
                  <c:v>191.62963321385226</c:v>
                </c:pt>
                <c:pt idx="445">
                  <c:v>190.62468329963227</c:v>
                </c:pt>
                <c:pt idx="446">
                  <c:v>189.18007787358133</c:v>
                </c:pt>
                <c:pt idx="447">
                  <c:v>188.90610551830898</c:v>
                </c:pt>
                <c:pt idx="448">
                  <c:v>190.06000233363079</c:v>
                </c:pt>
                <c:pt idx="449">
                  <c:v>185.68787951030259</c:v>
                </c:pt>
                <c:pt idx="450">
                  <c:v>185.52577432391359</c:v>
                </c:pt>
                <c:pt idx="451">
                  <c:v>186.41885706925024</c:v>
                </c:pt>
                <c:pt idx="452">
                  <c:v>188.84449096258987</c:v>
                </c:pt>
                <c:pt idx="453">
                  <c:v>189.33201861941873</c:v>
                </c:pt>
                <c:pt idx="454">
                  <c:v>193.86862709730224</c:v>
                </c:pt>
                <c:pt idx="455">
                  <c:v>193.57672092475156</c:v>
                </c:pt>
                <c:pt idx="456">
                  <c:v>191.51716726405809</c:v>
                </c:pt>
                <c:pt idx="457">
                  <c:v>191.78814583441306</c:v>
                </c:pt>
                <c:pt idx="458">
                  <c:v>191.80848931117475</c:v>
                </c:pt>
                <c:pt idx="459">
                  <c:v>190.53735101406772</c:v>
                </c:pt>
                <c:pt idx="460">
                  <c:v>189.7848324165368</c:v>
                </c:pt>
                <c:pt idx="461">
                  <c:v>196.44081282791879</c:v>
                </c:pt>
                <c:pt idx="462">
                  <c:v>198.71630225833505</c:v>
                </c:pt>
                <c:pt idx="463">
                  <c:v>196.55387755862367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A-4C27-8CCC-FEB883E7B304}"/>
            </c:ext>
          </c:extLst>
        </c:ser>
        <c:ser>
          <c:idx val="1"/>
          <c:order val="1"/>
          <c:tx>
            <c:strRef>
              <c:f>'Data Checks'!$H$3</c:f>
              <c:strCache>
                <c:ptCount val="1"/>
                <c:pt idx="0">
                  <c:v>Banking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Checks'!$A$4:$A$467</c:f>
              <c:numCache>
                <c:formatCode>m/d/yyyy</c:formatCode>
                <c:ptCount val="464"/>
                <c:pt idx="0">
                  <c:v>43891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43901</c:v>
                </c:pt>
                <c:pt idx="7">
                  <c:v>43902</c:v>
                </c:pt>
                <c:pt idx="8">
                  <c:v>43903</c:v>
                </c:pt>
                <c:pt idx="9">
                  <c:v>43904</c:v>
                </c:pt>
                <c:pt idx="10">
                  <c:v>43905</c:v>
                </c:pt>
                <c:pt idx="11">
                  <c:v>43908</c:v>
                </c:pt>
                <c:pt idx="12">
                  <c:v>43909</c:v>
                </c:pt>
                <c:pt idx="13">
                  <c:v>43910</c:v>
                </c:pt>
                <c:pt idx="14">
                  <c:v>43911</c:v>
                </c:pt>
                <c:pt idx="15">
                  <c:v>43912</c:v>
                </c:pt>
                <c:pt idx="16">
                  <c:v>43915</c:v>
                </c:pt>
                <c:pt idx="17">
                  <c:v>43916</c:v>
                </c:pt>
                <c:pt idx="18">
                  <c:v>43917</c:v>
                </c:pt>
                <c:pt idx="19">
                  <c:v>43918</c:v>
                </c:pt>
                <c:pt idx="20">
                  <c:v>43919</c:v>
                </c:pt>
                <c:pt idx="21">
                  <c:v>43922</c:v>
                </c:pt>
                <c:pt idx="22">
                  <c:v>43923</c:v>
                </c:pt>
                <c:pt idx="23">
                  <c:v>43924</c:v>
                </c:pt>
                <c:pt idx="24">
                  <c:v>43925</c:v>
                </c:pt>
                <c:pt idx="25">
                  <c:v>43926</c:v>
                </c:pt>
                <c:pt idx="26">
                  <c:v>43929</c:v>
                </c:pt>
                <c:pt idx="27">
                  <c:v>43930</c:v>
                </c:pt>
                <c:pt idx="28">
                  <c:v>43931</c:v>
                </c:pt>
                <c:pt idx="29">
                  <c:v>43932</c:v>
                </c:pt>
                <c:pt idx="30">
                  <c:v>43933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43939</c:v>
                </c:pt>
                <c:pt idx="35">
                  <c:v>43943</c:v>
                </c:pt>
                <c:pt idx="36">
                  <c:v>43944</c:v>
                </c:pt>
                <c:pt idx="37">
                  <c:v>43945</c:v>
                </c:pt>
                <c:pt idx="38">
                  <c:v>43946</c:v>
                </c:pt>
                <c:pt idx="39">
                  <c:v>43947</c:v>
                </c:pt>
                <c:pt idx="40">
                  <c:v>43950</c:v>
                </c:pt>
                <c:pt idx="41">
                  <c:v>43951</c:v>
                </c:pt>
                <c:pt idx="42">
                  <c:v>43952</c:v>
                </c:pt>
                <c:pt idx="43">
                  <c:v>43953</c:v>
                </c:pt>
                <c:pt idx="44">
                  <c:v>43954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43964</c:v>
                </c:pt>
                <c:pt idx="51">
                  <c:v>43965</c:v>
                </c:pt>
                <c:pt idx="52">
                  <c:v>43966</c:v>
                </c:pt>
                <c:pt idx="53">
                  <c:v>43967</c:v>
                </c:pt>
                <c:pt idx="54">
                  <c:v>43968</c:v>
                </c:pt>
                <c:pt idx="55">
                  <c:v>43971</c:v>
                </c:pt>
                <c:pt idx="56">
                  <c:v>43972</c:v>
                </c:pt>
                <c:pt idx="57">
                  <c:v>43973</c:v>
                </c:pt>
                <c:pt idx="58">
                  <c:v>43974</c:v>
                </c:pt>
                <c:pt idx="59">
                  <c:v>43975</c:v>
                </c:pt>
                <c:pt idx="60">
                  <c:v>43979</c:v>
                </c:pt>
                <c:pt idx="61">
                  <c:v>43980</c:v>
                </c:pt>
                <c:pt idx="62">
                  <c:v>43981</c:v>
                </c:pt>
                <c:pt idx="63">
                  <c:v>43982</c:v>
                </c:pt>
                <c:pt idx="64">
                  <c:v>43985</c:v>
                </c:pt>
                <c:pt idx="65">
                  <c:v>43986</c:v>
                </c:pt>
                <c:pt idx="66">
                  <c:v>43987</c:v>
                </c:pt>
                <c:pt idx="67">
                  <c:v>43988</c:v>
                </c:pt>
                <c:pt idx="68">
                  <c:v>43989</c:v>
                </c:pt>
                <c:pt idx="69">
                  <c:v>43992</c:v>
                </c:pt>
                <c:pt idx="70">
                  <c:v>43993</c:v>
                </c:pt>
                <c:pt idx="71">
                  <c:v>43994</c:v>
                </c:pt>
                <c:pt idx="72">
                  <c:v>43995</c:v>
                </c:pt>
                <c:pt idx="73">
                  <c:v>43996</c:v>
                </c:pt>
                <c:pt idx="74">
                  <c:v>43999</c:v>
                </c:pt>
                <c:pt idx="75">
                  <c:v>44000</c:v>
                </c:pt>
                <c:pt idx="76">
                  <c:v>44001</c:v>
                </c:pt>
                <c:pt idx="77">
                  <c:v>44002</c:v>
                </c:pt>
                <c:pt idx="78">
                  <c:v>44003</c:v>
                </c:pt>
                <c:pt idx="79">
                  <c:v>44006</c:v>
                </c:pt>
                <c:pt idx="80">
                  <c:v>44007</c:v>
                </c:pt>
                <c:pt idx="81">
                  <c:v>44008</c:v>
                </c:pt>
                <c:pt idx="82">
                  <c:v>44009</c:v>
                </c:pt>
                <c:pt idx="83">
                  <c:v>44010</c:v>
                </c:pt>
                <c:pt idx="84">
                  <c:v>44013</c:v>
                </c:pt>
                <c:pt idx="85">
                  <c:v>44014</c:v>
                </c:pt>
                <c:pt idx="86">
                  <c:v>44015</c:v>
                </c:pt>
                <c:pt idx="87">
                  <c:v>44017</c:v>
                </c:pt>
                <c:pt idx="88">
                  <c:v>44020</c:v>
                </c:pt>
                <c:pt idx="89">
                  <c:v>44021</c:v>
                </c:pt>
                <c:pt idx="90">
                  <c:v>44022</c:v>
                </c:pt>
                <c:pt idx="91">
                  <c:v>44023</c:v>
                </c:pt>
                <c:pt idx="92">
                  <c:v>44024</c:v>
                </c:pt>
                <c:pt idx="93">
                  <c:v>44027</c:v>
                </c:pt>
                <c:pt idx="94">
                  <c:v>44028</c:v>
                </c:pt>
                <c:pt idx="95">
                  <c:v>44029</c:v>
                </c:pt>
                <c:pt idx="96">
                  <c:v>44030</c:v>
                </c:pt>
                <c:pt idx="97">
                  <c:v>44031</c:v>
                </c:pt>
                <c:pt idx="98">
                  <c:v>44034</c:v>
                </c:pt>
                <c:pt idx="99">
                  <c:v>44035</c:v>
                </c:pt>
                <c:pt idx="100">
                  <c:v>44036</c:v>
                </c:pt>
                <c:pt idx="101">
                  <c:v>44037</c:v>
                </c:pt>
                <c:pt idx="102">
                  <c:v>44038</c:v>
                </c:pt>
                <c:pt idx="103">
                  <c:v>44041</c:v>
                </c:pt>
                <c:pt idx="104">
                  <c:v>44042</c:v>
                </c:pt>
                <c:pt idx="105">
                  <c:v>44043</c:v>
                </c:pt>
                <c:pt idx="106">
                  <c:v>44044</c:v>
                </c:pt>
                <c:pt idx="107">
                  <c:v>44045</c:v>
                </c:pt>
                <c:pt idx="108">
                  <c:v>44048</c:v>
                </c:pt>
                <c:pt idx="109">
                  <c:v>44049</c:v>
                </c:pt>
                <c:pt idx="110">
                  <c:v>44050</c:v>
                </c:pt>
                <c:pt idx="111">
                  <c:v>44051</c:v>
                </c:pt>
                <c:pt idx="112">
                  <c:v>44052</c:v>
                </c:pt>
                <c:pt idx="113">
                  <c:v>44055</c:v>
                </c:pt>
                <c:pt idx="114">
                  <c:v>44056</c:v>
                </c:pt>
                <c:pt idx="115">
                  <c:v>44057</c:v>
                </c:pt>
                <c:pt idx="116">
                  <c:v>44058</c:v>
                </c:pt>
                <c:pt idx="117">
                  <c:v>44059</c:v>
                </c:pt>
                <c:pt idx="118">
                  <c:v>44062</c:v>
                </c:pt>
                <c:pt idx="119">
                  <c:v>44063</c:v>
                </c:pt>
                <c:pt idx="120">
                  <c:v>44064</c:v>
                </c:pt>
                <c:pt idx="121">
                  <c:v>44065</c:v>
                </c:pt>
                <c:pt idx="122">
                  <c:v>44066</c:v>
                </c:pt>
                <c:pt idx="123">
                  <c:v>44069</c:v>
                </c:pt>
                <c:pt idx="124">
                  <c:v>44070</c:v>
                </c:pt>
                <c:pt idx="125">
                  <c:v>44071</c:v>
                </c:pt>
                <c:pt idx="126">
                  <c:v>44072</c:v>
                </c:pt>
                <c:pt idx="127">
                  <c:v>44073</c:v>
                </c:pt>
                <c:pt idx="128">
                  <c:v>44077</c:v>
                </c:pt>
                <c:pt idx="129">
                  <c:v>44078</c:v>
                </c:pt>
                <c:pt idx="130">
                  <c:v>44079</c:v>
                </c:pt>
                <c:pt idx="131">
                  <c:v>44080</c:v>
                </c:pt>
                <c:pt idx="132">
                  <c:v>44083</c:v>
                </c:pt>
                <c:pt idx="133">
                  <c:v>44084</c:v>
                </c:pt>
                <c:pt idx="134">
                  <c:v>44085</c:v>
                </c:pt>
                <c:pt idx="135">
                  <c:v>44086</c:v>
                </c:pt>
                <c:pt idx="136">
                  <c:v>44087</c:v>
                </c:pt>
                <c:pt idx="137">
                  <c:v>44090</c:v>
                </c:pt>
                <c:pt idx="138">
                  <c:v>44091</c:v>
                </c:pt>
                <c:pt idx="139">
                  <c:v>44092</c:v>
                </c:pt>
                <c:pt idx="140">
                  <c:v>44093</c:v>
                </c:pt>
                <c:pt idx="141">
                  <c:v>44094</c:v>
                </c:pt>
                <c:pt idx="142">
                  <c:v>44097</c:v>
                </c:pt>
                <c:pt idx="143">
                  <c:v>44098</c:v>
                </c:pt>
                <c:pt idx="144">
                  <c:v>44099</c:v>
                </c:pt>
                <c:pt idx="145">
                  <c:v>44100</c:v>
                </c:pt>
                <c:pt idx="146">
                  <c:v>44101</c:v>
                </c:pt>
                <c:pt idx="147">
                  <c:v>44104</c:v>
                </c:pt>
                <c:pt idx="148">
                  <c:v>44105</c:v>
                </c:pt>
                <c:pt idx="149">
                  <c:v>44106</c:v>
                </c:pt>
                <c:pt idx="150">
                  <c:v>44107</c:v>
                </c:pt>
                <c:pt idx="151">
                  <c:v>44108</c:v>
                </c:pt>
                <c:pt idx="152">
                  <c:v>44111</c:v>
                </c:pt>
                <c:pt idx="153">
                  <c:v>44112</c:v>
                </c:pt>
                <c:pt idx="154">
                  <c:v>44113</c:v>
                </c:pt>
                <c:pt idx="155">
                  <c:v>44114</c:v>
                </c:pt>
                <c:pt idx="156">
                  <c:v>44115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44121</c:v>
                </c:pt>
                <c:pt idx="161">
                  <c:v>44122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44128</c:v>
                </c:pt>
                <c:pt idx="166">
                  <c:v>44129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44135</c:v>
                </c:pt>
                <c:pt idx="171">
                  <c:v>44136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44142</c:v>
                </c:pt>
                <c:pt idx="176">
                  <c:v>44143</c:v>
                </c:pt>
                <c:pt idx="177">
                  <c:v>44146</c:v>
                </c:pt>
                <c:pt idx="178">
                  <c:v>44147</c:v>
                </c:pt>
                <c:pt idx="179">
                  <c:v>44148</c:v>
                </c:pt>
                <c:pt idx="180">
                  <c:v>44149</c:v>
                </c:pt>
                <c:pt idx="181">
                  <c:v>44150</c:v>
                </c:pt>
                <c:pt idx="182">
                  <c:v>44153</c:v>
                </c:pt>
                <c:pt idx="183">
                  <c:v>44154</c:v>
                </c:pt>
                <c:pt idx="184">
                  <c:v>44155</c:v>
                </c:pt>
                <c:pt idx="185">
                  <c:v>44156</c:v>
                </c:pt>
                <c:pt idx="186">
                  <c:v>44157</c:v>
                </c:pt>
                <c:pt idx="187">
                  <c:v>44160</c:v>
                </c:pt>
                <c:pt idx="188">
                  <c:v>44161</c:v>
                </c:pt>
                <c:pt idx="189">
                  <c:v>44162</c:v>
                </c:pt>
                <c:pt idx="190">
                  <c:v>44164</c:v>
                </c:pt>
                <c:pt idx="191">
                  <c:v>44167</c:v>
                </c:pt>
                <c:pt idx="192">
                  <c:v>44168</c:v>
                </c:pt>
                <c:pt idx="193">
                  <c:v>44169</c:v>
                </c:pt>
                <c:pt idx="194">
                  <c:v>44170</c:v>
                </c:pt>
                <c:pt idx="195">
                  <c:v>44171</c:v>
                </c:pt>
                <c:pt idx="196">
                  <c:v>44174</c:v>
                </c:pt>
                <c:pt idx="197">
                  <c:v>44175</c:v>
                </c:pt>
                <c:pt idx="198">
                  <c:v>44176</c:v>
                </c:pt>
                <c:pt idx="199">
                  <c:v>44177</c:v>
                </c:pt>
                <c:pt idx="200">
                  <c:v>44178</c:v>
                </c:pt>
                <c:pt idx="201">
                  <c:v>44181</c:v>
                </c:pt>
                <c:pt idx="202">
                  <c:v>44182</c:v>
                </c:pt>
                <c:pt idx="203">
                  <c:v>44183</c:v>
                </c:pt>
                <c:pt idx="204">
                  <c:v>44184</c:v>
                </c:pt>
                <c:pt idx="205">
                  <c:v>44185</c:v>
                </c:pt>
                <c:pt idx="206">
                  <c:v>44188</c:v>
                </c:pt>
                <c:pt idx="207">
                  <c:v>44189</c:v>
                </c:pt>
                <c:pt idx="208">
                  <c:v>44191</c:v>
                </c:pt>
                <c:pt idx="209">
                  <c:v>44192</c:v>
                </c:pt>
                <c:pt idx="210">
                  <c:v>44195</c:v>
                </c:pt>
                <c:pt idx="211">
                  <c:v>44196</c:v>
                </c:pt>
                <c:pt idx="212">
                  <c:v>44198</c:v>
                </c:pt>
                <c:pt idx="213">
                  <c:v>44199</c:v>
                </c:pt>
                <c:pt idx="214">
                  <c:v>44202</c:v>
                </c:pt>
                <c:pt idx="215">
                  <c:v>44203</c:v>
                </c:pt>
                <c:pt idx="216">
                  <c:v>44204</c:v>
                </c:pt>
                <c:pt idx="217">
                  <c:v>44205</c:v>
                </c:pt>
                <c:pt idx="218">
                  <c:v>44206</c:v>
                </c:pt>
                <c:pt idx="219">
                  <c:v>44209</c:v>
                </c:pt>
                <c:pt idx="220">
                  <c:v>44210</c:v>
                </c:pt>
                <c:pt idx="221">
                  <c:v>44211</c:v>
                </c:pt>
                <c:pt idx="222">
                  <c:v>44212</c:v>
                </c:pt>
                <c:pt idx="223">
                  <c:v>44213</c:v>
                </c:pt>
                <c:pt idx="224">
                  <c:v>44217</c:v>
                </c:pt>
                <c:pt idx="225">
                  <c:v>44218</c:v>
                </c:pt>
                <c:pt idx="226">
                  <c:v>44219</c:v>
                </c:pt>
                <c:pt idx="227">
                  <c:v>44220</c:v>
                </c:pt>
                <c:pt idx="228">
                  <c:v>44223</c:v>
                </c:pt>
                <c:pt idx="229">
                  <c:v>44224</c:v>
                </c:pt>
                <c:pt idx="230">
                  <c:v>44225</c:v>
                </c:pt>
                <c:pt idx="231">
                  <c:v>44226</c:v>
                </c:pt>
                <c:pt idx="232">
                  <c:v>44227</c:v>
                </c:pt>
                <c:pt idx="233">
                  <c:v>44230</c:v>
                </c:pt>
                <c:pt idx="234">
                  <c:v>44231</c:v>
                </c:pt>
                <c:pt idx="235">
                  <c:v>44232</c:v>
                </c:pt>
                <c:pt idx="236">
                  <c:v>44233</c:v>
                </c:pt>
                <c:pt idx="237">
                  <c:v>44234</c:v>
                </c:pt>
                <c:pt idx="238">
                  <c:v>44237</c:v>
                </c:pt>
                <c:pt idx="239">
                  <c:v>44238</c:v>
                </c:pt>
                <c:pt idx="240">
                  <c:v>44239</c:v>
                </c:pt>
                <c:pt idx="241">
                  <c:v>44240</c:v>
                </c:pt>
                <c:pt idx="242">
                  <c:v>44241</c:v>
                </c:pt>
                <c:pt idx="243">
                  <c:v>44245</c:v>
                </c:pt>
                <c:pt idx="244">
                  <c:v>44246</c:v>
                </c:pt>
                <c:pt idx="245">
                  <c:v>44247</c:v>
                </c:pt>
                <c:pt idx="246">
                  <c:v>44248</c:v>
                </c:pt>
                <c:pt idx="247">
                  <c:v>44251</c:v>
                </c:pt>
                <c:pt idx="248">
                  <c:v>44252</c:v>
                </c:pt>
                <c:pt idx="249">
                  <c:v>44253</c:v>
                </c:pt>
                <c:pt idx="250">
                  <c:v>44254</c:v>
                </c:pt>
                <c:pt idx="251">
                  <c:v>44255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44261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44268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44275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44282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44288</c:v>
                </c:pt>
                <c:pt idx="276">
                  <c:v>44289</c:v>
                </c:pt>
                <c:pt idx="277">
                  <c:v>44292</c:v>
                </c:pt>
                <c:pt idx="278">
                  <c:v>44293</c:v>
                </c:pt>
                <c:pt idx="279">
                  <c:v>44294</c:v>
                </c:pt>
                <c:pt idx="280">
                  <c:v>44295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44303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44310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44317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44324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44331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44338</c:v>
                </c:pt>
                <c:pt idx="311">
                  <c:v>44342</c:v>
                </c:pt>
                <c:pt idx="312">
                  <c:v>44343</c:v>
                </c:pt>
                <c:pt idx="313">
                  <c:v>44344</c:v>
                </c:pt>
                <c:pt idx="314">
                  <c:v>44345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44352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44359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44366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44373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44387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44394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44401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44408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44415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44422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44429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44436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44443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44450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44457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44464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44471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44478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44485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44492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44499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44506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44513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44520</c:v>
                </c:pt>
                <c:pt idx="438">
                  <c:v>44523</c:v>
                </c:pt>
                <c:pt idx="439">
                  <c:v>44524</c:v>
                </c:pt>
                <c:pt idx="440">
                  <c:v>44525</c:v>
                </c:pt>
                <c:pt idx="441">
                  <c:v>44527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44534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44541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44548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44554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</c:numCache>
            </c:numRef>
          </c:cat>
          <c:val>
            <c:numRef>
              <c:f>'Data Checks'!$H$4:$H$467</c:f>
              <c:numCache>
                <c:formatCode>General</c:formatCode>
                <c:ptCount val="464"/>
                <c:pt idx="0">
                  <c:v>100</c:v>
                </c:pt>
                <c:pt idx="1">
                  <c:v>100.17236887041693</c:v>
                </c:pt>
                <c:pt idx="2">
                  <c:v>100.96035210636907</c:v>
                </c:pt>
                <c:pt idx="3">
                  <c:v>100.88648114044618</c:v>
                </c:pt>
                <c:pt idx="4">
                  <c:v>100.64023145431591</c:v>
                </c:pt>
                <c:pt idx="5">
                  <c:v>100.6402314543159</c:v>
                </c:pt>
                <c:pt idx="6">
                  <c:v>100.98497165759736</c:v>
                </c:pt>
                <c:pt idx="7">
                  <c:v>101.1327234392336</c:v>
                </c:pt>
                <c:pt idx="8">
                  <c:v>101.25584335740351</c:v>
                </c:pt>
                <c:pt idx="9">
                  <c:v>101.30509230965052</c:v>
                </c:pt>
                <c:pt idx="10">
                  <c:v>101.96995562743274</c:v>
                </c:pt>
                <c:pt idx="11">
                  <c:v>102.26544687846719</c:v>
                </c:pt>
                <c:pt idx="12">
                  <c:v>101.89608466150986</c:v>
                </c:pt>
                <c:pt idx="13">
                  <c:v>101.47746364251506</c:v>
                </c:pt>
                <c:pt idx="14">
                  <c:v>101.13272343923362</c:v>
                </c:pt>
                <c:pt idx="15">
                  <c:v>99.532127566310592</c:v>
                </c:pt>
                <c:pt idx="16">
                  <c:v>99.556756967329321</c:v>
                </c:pt>
                <c:pt idx="17">
                  <c:v>99.926129034077121</c:v>
                </c:pt>
                <c:pt idx="18">
                  <c:v>100.09850036694165</c:v>
                </c:pt>
                <c:pt idx="19">
                  <c:v>99.753747851422148</c:v>
                </c:pt>
                <c:pt idx="20">
                  <c:v>99.926129034077121</c:v>
                </c:pt>
                <c:pt idx="21">
                  <c:v>102.83180736686022</c:v>
                </c:pt>
                <c:pt idx="22">
                  <c:v>103.79217178546736</c:v>
                </c:pt>
                <c:pt idx="23">
                  <c:v>104.77714344306472</c:v>
                </c:pt>
                <c:pt idx="24">
                  <c:v>104.1615315399771</c:v>
                </c:pt>
                <c:pt idx="25">
                  <c:v>104.6047745726478</c:v>
                </c:pt>
                <c:pt idx="26">
                  <c:v>104.80177284408346</c:v>
                </c:pt>
                <c:pt idx="27">
                  <c:v>104.974144176948</c:v>
                </c:pt>
                <c:pt idx="28">
                  <c:v>104.75252389183645</c:v>
                </c:pt>
                <c:pt idx="29">
                  <c:v>104.87564381000638</c:v>
                </c:pt>
                <c:pt idx="30">
                  <c:v>105.98374769801168</c:v>
                </c:pt>
                <c:pt idx="31">
                  <c:v>105.61437563126391</c:v>
                </c:pt>
                <c:pt idx="32">
                  <c:v>106.69785996804094</c:v>
                </c:pt>
                <c:pt idx="33">
                  <c:v>107.01797077030366</c:v>
                </c:pt>
                <c:pt idx="34">
                  <c:v>106.50085923415767</c:v>
                </c:pt>
                <c:pt idx="35">
                  <c:v>106.42698826823477</c:v>
                </c:pt>
                <c:pt idx="36">
                  <c:v>106.25461939781785</c:v>
                </c:pt>
                <c:pt idx="37">
                  <c:v>105.46663616186571</c:v>
                </c:pt>
                <c:pt idx="38">
                  <c:v>105.29425497921072</c:v>
                </c:pt>
                <c:pt idx="39">
                  <c:v>106.05761866393458</c:v>
                </c:pt>
                <c:pt idx="40">
                  <c:v>106.62397915232756</c:v>
                </c:pt>
                <c:pt idx="41">
                  <c:v>107.28884247010981</c:v>
                </c:pt>
                <c:pt idx="42">
                  <c:v>106.37773931598777</c:v>
                </c:pt>
                <c:pt idx="43">
                  <c:v>107.04260017132241</c:v>
                </c:pt>
                <c:pt idx="44">
                  <c:v>110.07141073451346</c:v>
                </c:pt>
                <c:pt idx="45">
                  <c:v>107.83058340727453</c:v>
                </c:pt>
                <c:pt idx="46">
                  <c:v>106.25461939781786</c:v>
                </c:pt>
                <c:pt idx="47">
                  <c:v>105.49125571309401</c:v>
                </c:pt>
                <c:pt idx="48">
                  <c:v>105.34350639390536</c:v>
                </c:pt>
                <c:pt idx="49">
                  <c:v>105.54050712778862</c:v>
                </c:pt>
                <c:pt idx="50">
                  <c:v>103.59517105158415</c:v>
                </c:pt>
                <c:pt idx="51">
                  <c:v>103.79217178546742</c:v>
                </c:pt>
                <c:pt idx="52">
                  <c:v>104.80177284408349</c:v>
                </c:pt>
                <c:pt idx="53">
                  <c:v>103.9891626695602</c:v>
                </c:pt>
                <c:pt idx="54">
                  <c:v>102.46244761235053</c:v>
                </c:pt>
                <c:pt idx="55">
                  <c:v>101.99457517866112</c:v>
                </c:pt>
                <c:pt idx="56">
                  <c:v>102.63481648276748</c:v>
                </c:pt>
                <c:pt idx="57">
                  <c:v>102.6840678974621</c:v>
                </c:pt>
                <c:pt idx="58">
                  <c:v>102.95493713482065</c:v>
                </c:pt>
                <c:pt idx="59">
                  <c:v>103.42279971871963</c:v>
                </c:pt>
                <c:pt idx="60">
                  <c:v>102.33932523173304</c:v>
                </c:pt>
                <c:pt idx="61">
                  <c:v>102.33932523173303</c:v>
                </c:pt>
                <c:pt idx="62">
                  <c:v>101.6744643763984</c:v>
                </c:pt>
                <c:pt idx="63">
                  <c:v>100.39398915552857</c:v>
                </c:pt>
                <c:pt idx="64">
                  <c:v>100.56636048839312</c:v>
                </c:pt>
                <c:pt idx="65">
                  <c:v>101.42821469026816</c:v>
                </c:pt>
                <c:pt idx="66">
                  <c:v>101.30509230965063</c:v>
                </c:pt>
                <c:pt idx="67">
                  <c:v>101.40359267659225</c:v>
                </c:pt>
                <c:pt idx="68">
                  <c:v>102.09307554560279</c:v>
                </c:pt>
                <c:pt idx="69">
                  <c:v>102.53631611582587</c:v>
                </c:pt>
                <c:pt idx="70">
                  <c:v>102.80718781563202</c:v>
                </c:pt>
                <c:pt idx="71">
                  <c:v>101.50209304353389</c:v>
                </c:pt>
                <c:pt idx="72">
                  <c:v>101.08347202453908</c:v>
                </c:pt>
                <c:pt idx="73">
                  <c:v>100.36935975450984</c:v>
                </c:pt>
                <c:pt idx="74">
                  <c:v>100.0738685034754</c:v>
                </c:pt>
                <c:pt idx="75">
                  <c:v>101.5513444582285</c:v>
                </c:pt>
                <c:pt idx="76">
                  <c:v>101.99457517866114</c:v>
                </c:pt>
                <c:pt idx="77">
                  <c:v>102.56094797929219</c:v>
                </c:pt>
                <c:pt idx="78">
                  <c:v>101.20659194270898</c:v>
                </c:pt>
                <c:pt idx="79">
                  <c:v>101.10810142555781</c:v>
                </c:pt>
                <c:pt idx="80">
                  <c:v>100.91110315412215</c:v>
                </c:pt>
                <c:pt idx="81">
                  <c:v>101.35434372434524</c:v>
                </c:pt>
                <c:pt idx="82">
                  <c:v>101.96995562743285</c:v>
                </c:pt>
                <c:pt idx="83">
                  <c:v>102.78256826440372</c:v>
                </c:pt>
                <c:pt idx="84">
                  <c:v>103.10267906666645</c:v>
                </c:pt>
                <c:pt idx="85">
                  <c:v>103.6198004526029</c:v>
                </c:pt>
                <c:pt idx="86">
                  <c:v>103.66903955505947</c:v>
                </c:pt>
                <c:pt idx="87">
                  <c:v>103.6198004526029</c:v>
                </c:pt>
                <c:pt idx="88">
                  <c:v>102.95493713482065</c:v>
                </c:pt>
                <c:pt idx="89">
                  <c:v>103.02880810074356</c:v>
                </c:pt>
                <c:pt idx="90">
                  <c:v>102.56094797929219</c:v>
                </c:pt>
                <c:pt idx="91">
                  <c:v>102.68406789746211</c:v>
                </c:pt>
                <c:pt idx="92">
                  <c:v>102.51169656459757</c:v>
                </c:pt>
                <c:pt idx="93">
                  <c:v>102.6840678974621</c:v>
                </c:pt>
                <c:pt idx="94">
                  <c:v>102.19157591254439</c:v>
                </c:pt>
                <c:pt idx="95">
                  <c:v>101.52671505720977</c:v>
                </c:pt>
                <c:pt idx="96">
                  <c:v>102.01920457967988</c:v>
                </c:pt>
                <c:pt idx="97">
                  <c:v>101.79758429456835</c:v>
                </c:pt>
                <c:pt idx="98">
                  <c:v>102.01920457967988</c:v>
                </c:pt>
                <c:pt idx="99">
                  <c:v>102.56094797929221</c:v>
                </c:pt>
                <c:pt idx="100">
                  <c:v>101.18197239148074</c:v>
                </c:pt>
                <c:pt idx="101">
                  <c:v>100.73873182125763</c:v>
                </c:pt>
                <c:pt idx="102">
                  <c:v>101.08347202453909</c:v>
                </c:pt>
                <c:pt idx="103">
                  <c:v>99.975368136533774</c:v>
                </c:pt>
                <c:pt idx="104">
                  <c:v>99.458256600387799</c:v>
                </c:pt>
                <c:pt idx="105">
                  <c:v>98.891896111994797</c:v>
                </c:pt>
                <c:pt idx="106">
                  <c:v>97.808421625008222</c:v>
                </c:pt>
                <c:pt idx="107">
                  <c:v>96.921940484562043</c:v>
                </c:pt>
                <c:pt idx="108">
                  <c:v>93.548389718089524</c:v>
                </c:pt>
                <c:pt idx="109">
                  <c:v>94.360992505269962</c:v>
                </c:pt>
                <c:pt idx="110">
                  <c:v>94.237870124652446</c:v>
                </c:pt>
                <c:pt idx="111">
                  <c:v>94.434861008745258</c:v>
                </c:pt>
                <c:pt idx="112">
                  <c:v>93.03126833215309</c:v>
                </c:pt>
                <c:pt idx="113">
                  <c:v>90.593450120821345</c:v>
                </c:pt>
                <c:pt idx="114">
                  <c:v>91.135181208195633</c:v>
                </c:pt>
                <c:pt idx="115">
                  <c:v>88.648114044616875</c:v>
                </c:pt>
                <c:pt idx="116">
                  <c:v>87.761630441723099</c:v>
                </c:pt>
                <c:pt idx="117">
                  <c:v>88.943605295651324</c:v>
                </c:pt>
                <c:pt idx="118">
                  <c:v>90.02708716998076</c:v>
                </c:pt>
                <c:pt idx="119">
                  <c:v>89.066725213821243</c:v>
                </c:pt>
                <c:pt idx="120">
                  <c:v>89.288345498932799</c:v>
                </c:pt>
                <c:pt idx="121">
                  <c:v>89.140606029534595</c:v>
                </c:pt>
                <c:pt idx="122">
                  <c:v>87.73701089049483</c:v>
                </c:pt>
                <c:pt idx="123">
                  <c:v>87.663130074781478</c:v>
                </c:pt>
                <c:pt idx="124">
                  <c:v>87.564639557630301</c:v>
                </c:pt>
                <c:pt idx="125">
                  <c:v>87.49076120436456</c:v>
                </c:pt>
                <c:pt idx="126">
                  <c:v>88.549613677675282</c:v>
                </c:pt>
                <c:pt idx="127">
                  <c:v>88.401874208277079</c:v>
                </c:pt>
                <c:pt idx="128">
                  <c:v>88.352622793582455</c:v>
                </c:pt>
                <c:pt idx="129">
                  <c:v>90.421078787956858</c:v>
                </c:pt>
                <c:pt idx="130">
                  <c:v>90.618069672049657</c:v>
                </c:pt>
                <c:pt idx="131">
                  <c:v>90.864321820627538</c:v>
                </c:pt>
                <c:pt idx="132">
                  <c:v>92.21866554497268</c:v>
                </c:pt>
                <c:pt idx="133">
                  <c:v>93.868500520352271</c:v>
                </c:pt>
                <c:pt idx="134">
                  <c:v>95.050472911832884</c:v>
                </c:pt>
                <c:pt idx="135">
                  <c:v>95.395225427352386</c:v>
                </c:pt>
                <c:pt idx="136">
                  <c:v>96.380197084949742</c:v>
                </c:pt>
                <c:pt idx="137">
                  <c:v>94.533361375686894</c:v>
                </c:pt>
                <c:pt idx="138">
                  <c:v>94.311741090575339</c:v>
                </c:pt>
                <c:pt idx="139">
                  <c:v>94.065501254235528</c:v>
                </c:pt>
                <c:pt idx="140">
                  <c:v>94.139372220158421</c:v>
                </c:pt>
                <c:pt idx="141">
                  <c:v>93.967000887293892</c:v>
                </c:pt>
                <c:pt idx="142">
                  <c:v>93.843880969123987</c:v>
                </c:pt>
                <c:pt idx="143">
                  <c:v>93.351388984206281</c:v>
                </c:pt>
                <c:pt idx="144">
                  <c:v>93.523760317070824</c:v>
                </c:pt>
                <c:pt idx="145">
                  <c:v>93.819249105657661</c:v>
                </c:pt>
                <c:pt idx="146">
                  <c:v>93.917749472599311</c:v>
                </c:pt>
                <c:pt idx="147">
                  <c:v>94.237870124652488</c:v>
                </c:pt>
                <c:pt idx="148">
                  <c:v>93.228269066036404</c:v>
                </c:pt>
                <c:pt idx="149">
                  <c:v>91.430682309020568</c:v>
                </c:pt>
                <c:pt idx="150">
                  <c:v>91.972413396394828</c:v>
                </c:pt>
                <c:pt idx="151">
                  <c:v>91.627673193113381</c:v>
                </c:pt>
                <c:pt idx="152">
                  <c:v>91.504553274943461</c:v>
                </c:pt>
                <c:pt idx="153">
                  <c:v>90.322578421015251</c:v>
                </c:pt>
                <c:pt idx="154">
                  <c:v>90.938190324102877</c:v>
                </c:pt>
                <c:pt idx="155">
                  <c:v>90.864321820627595</c:v>
                </c:pt>
                <c:pt idx="156">
                  <c:v>94.065501254235599</c:v>
                </c:pt>
                <c:pt idx="157">
                  <c:v>94.164001621177221</c:v>
                </c:pt>
                <c:pt idx="158">
                  <c:v>95.050472911832955</c:v>
                </c:pt>
                <c:pt idx="159">
                  <c:v>95.1982246934692</c:v>
                </c:pt>
                <c:pt idx="160">
                  <c:v>95.715336229615204</c:v>
                </c:pt>
                <c:pt idx="161">
                  <c:v>95.370596026333743</c:v>
                </c:pt>
                <c:pt idx="162">
                  <c:v>96.404828948416167</c:v>
                </c:pt>
                <c:pt idx="163">
                  <c:v>96.552568417814356</c:v>
                </c:pt>
                <c:pt idx="164">
                  <c:v>96.921940484562143</c:v>
                </c:pt>
                <c:pt idx="165">
                  <c:v>97.168180320901982</c:v>
                </c:pt>
                <c:pt idx="166">
                  <c:v>97.31592964009063</c:v>
                </c:pt>
                <c:pt idx="167">
                  <c:v>93.794629554429449</c:v>
                </c:pt>
                <c:pt idx="168">
                  <c:v>93.499138303395</c:v>
                </c:pt>
                <c:pt idx="169">
                  <c:v>93.400637936453364</c:v>
                </c:pt>
                <c:pt idx="170">
                  <c:v>93.055897733171903</c:v>
                </c:pt>
                <c:pt idx="171">
                  <c:v>93.745380602182436</c:v>
                </c:pt>
                <c:pt idx="172">
                  <c:v>94.853482027740156</c:v>
                </c:pt>
                <c:pt idx="173">
                  <c:v>94.631861742628601</c:v>
                </c:pt>
                <c:pt idx="174">
                  <c:v>94.80423307549313</c:v>
                </c:pt>
                <c:pt idx="175">
                  <c:v>94.656483756304496</c:v>
                </c:pt>
                <c:pt idx="176">
                  <c:v>94.164001621177221</c:v>
                </c:pt>
                <c:pt idx="177">
                  <c:v>92.858896999288646</c:v>
                </c:pt>
                <c:pt idx="178">
                  <c:v>92.785026033365725</c:v>
                </c:pt>
                <c:pt idx="179">
                  <c:v>90.86432182062758</c:v>
                </c:pt>
                <c:pt idx="180">
                  <c:v>90.642699073068428</c:v>
                </c:pt>
                <c:pt idx="181">
                  <c:v>91.135181208195689</c:v>
                </c:pt>
                <c:pt idx="182">
                  <c:v>91.701554008826733</c:v>
                </c:pt>
                <c:pt idx="183">
                  <c:v>92.194036143954008</c:v>
                </c:pt>
                <c:pt idx="184">
                  <c:v>91.356801493307231</c:v>
                </c:pt>
                <c:pt idx="185">
                  <c:v>90.716570038991335</c:v>
                </c:pt>
                <c:pt idx="186">
                  <c:v>91.578424240866383</c:v>
                </c:pt>
                <c:pt idx="187">
                  <c:v>92.563405748254183</c:v>
                </c:pt>
                <c:pt idx="188">
                  <c:v>92.415656429065521</c:v>
                </c:pt>
                <c:pt idx="189">
                  <c:v>92.637276714177077</c:v>
                </c:pt>
                <c:pt idx="190">
                  <c:v>91.750793111283301</c:v>
                </c:pt>
                <c:pt idx="191">
                  <c:v>90.642699073068414</c:v>
                </c:pt>
                <c:pt idx="192">
                  <c:v>89.460726681587801</c:v>
                </c:pt>
                <c:pt idx="193">
                  <c:v>89.805466884869261</c:v>
                </c:pt>
                <c:pt idx="194">
                  <c:v>89.559217198738978</c:v>
                </c:pt>
                <c:pt idx="195">
                  <c:v>90.790441004914214</c:v>
                </c:pt>
                <c:pt idx="196">
                  <c:v>90.691950487763037</c:v>
                </c:pt>
                <c:pt idx="197">
                  <c:v>90.396449386938158</c:v>
                </c:pt>
                <c:pt idx="198">
                  <c:v>91.504553274943461</c:v>
                </c:pt>
                <c:pt idx="199">
                  <c:v>93.400637936453336</c:v>
                </c:pt>
                <c:pt idx="200">
                  <c:v>94.631861742628573</c:v>
                </c:pt>
                <c:pt idx="201">
                  <c:v>95.838456147785081</c:v>
                </c:pt>
                <c:pt idx="202">
                  <c:v>95.813836596556797</c:v>
                </c:pt>
                <c:pt idx="203">
                  <c:v>96.109327847591246</c:v>
                </c:pt>
                <c:pt idx="204">
                  <c:v>95.739965630633904</c:v>
                </c:pt>
                <c:pt idx="205">
                  <c:v>95.764585181862188</c:v>
                </c:pt>
                <c:pt idx="206">
                  <c:v>95.49371594450362</c:v>
                </c:pt>
                <c:pt idx="207">
                  <c:v>95.272095659392079</c:v>
                </c:pt>
                <c:pt idx="208">
                  <c:v>95.838456147785067</c:v>
                </c:pt>
                <c:pt idx="209">
                  <c:v>96.035456881668324</c:v>
                </c:pt>
                <c:pt idx="210">
                  <c:v>95.986207929421298</c:v>
                </c:pt>
                <c:pt idx="211">
                  <c:v>96.257077166779865</c:v>
                </c:pt>
                <c:pt idx="212">
                  <c:v>96.946560035790384</c:v>
                </c:pt>
                <c:pt idx="213">
                  <c:v>95.444464529808997</c:v>
                </c:pt>
                <c:pt idx="214">
                  <c:v>95.124353727546264</c:v>
                </c:pt>
                <c:pt idx="215">
                  <c:v>94.410241457517017</c:v>
                </c:pt>
                <c:pt idx="216">
                  <c:v>94.188621172405476</c:v>
                </c:pt>
                <c:pt idx="217">
                  <c:v>94.804233075493087</c:v>
                </c:pt>
                <c:pt idx="218">
                  <c:v>93.917749472599311</c:v>
                </c:pt>
                <c:pt idx="219">
                  <c:v>94.8534820277401</c:v>
                </c:pt>
                <c:pt idx="220">
                  <c:v>94.508741824458639</c:v>
                </c:pt>
                <c:pt idx="221">
                  <c:v>94.434861008745287</c:v>
                </c:pt>
                <c:pt idx="222">
                  <c:v>95.099724326527536</c:v>
                </c:pt>
                <c:pt idx="223">
                  <c:v>95.469093930827725</c:v>
                </c:pt>
                <c:pt idx="224">
                  <c:v>93.400637936453322</c:v>
                </c:pt>
                <c:pt idx="225">
                  <c:v>93.745380602182394</c:v>
                </c:pt>
                <c:pt idx="226">
                  <c:v>92.883526400307346</c:v>
                </c:pt>
                <c:pt idx="227">
                  <c:v>92.39103441538964</c:v>
                </c:pt>
                <c:pt idx="228">
                  <c:v>89.903957402020438</c:v>
                </c:pt>
                <c:pt idx="229">
                  <c:v>90.445700801632753</c:v>
                </c:pt>
                <c:pt idx="230">
                  <c:v>90.37182983570986</c:v>
                </c:pt>
                <c:pt idx="231">
                  <c:v>91.209062023909013</c:v>
                </c:pt>
                <c:pt idx="232">
                  <c:v>89.362226314646165</c:v>
                </c:pt>
                <c:pt idx="233">
                  <c:v>88.795863363805566</c:v>
                </c:pt>
                <c:pt idx="234">
                  <c:v>89.977838217733776</c:v>
                </c:pt>
                <c:pt idx="235">
                  <c:v>91.061312704720365</c:v>
                </c:pt>
                <c:pt idx="236">
                  <c:v>91.356801493307202</c:v>
                </c:pt>
                <c:pt idx="237">
                  <c:v>91.849293478224908</c:v>
                </c:pt>
                <c:pt idx="238">
                  <c:v>92.19403614395398</c:v>
                </c:pt>
                <c:pt idx="239">
                  <c:v>94.188621172405476</c:v>
                </c:pt>
                <c:pt idx="240">
                  <c:v>95.050472911832912</c:v>
                </c:pt>
                <c:pt idx="241">
                  <c:v>94.090120805463854</c:v>
                </c:pt>
                <c:pt idx="242">
                  <c:v>93.425259950129217</c:v>
                </c:pt>
                <c:pt idx="243">
                  <c:v>88.204873474393835</c:v>
                </c:pt>
                <c:pt idx="244">
                  <c:v>89.214476995457517</c:v>
                </c:pt>
                <c:pt idx="245">
                  <c:v>89.066725213821272</c:v>
                </c:pt>
                <c:pt idx="246">
                  <c:v>89.780837483850519</c:v>
                </c:pt>
                <c:pt idx="247">
                  <c:v>87.416890238441667</c:v>
                </c:pt>
                <c:pt idx="248">
                  <c:v>85.742425862043348</c:v>
                </c:pt>
                <c:pt idx="249">
                  <c:v>87.835501407646021</c:v>
                </c:pt>
                <c:pt idx="250">
                  <c:v>83.279978249692874</c:v>
                </c:pt>
                <c:pt idx="251">
                  <c:v>82.664366346605263</c:v>
                </c:pt>
                <c:pt idx="252">
                  <c:v>83.156855869075358</c:v>
                </c:pt>
                <c:pt idx="253">
                  <c:v>80.201918734254789</c:v>
                </c:pt>
                <c:pt idx="254">
                  <c:v>81.827134158406082</c:v>
                </c:pt>
                <c:pt idx="255">
                  <c:v>80.59591035223086</c:v>
                </c:pt>
                <c:pt idx="256">
                  <c:v>79.438555049530933</c:v>
                </c:pt>
                <c:pt idx="257">
                  <c:v>74.981532258519408</c:v>
                </c:pt>
                <c:pt idx="258">
                  <c:v>77.985715883139378</c:v>
                </c:pt>
                <c:pt idx="259">
                  <c:v>76.114255697753009</c:v>
                </c:pt>
                <c:pt idx="260">
                  <c:v>70.302876870158286</c:v>
                </c:pt>
                <c:pt idx="261">
                  <c:v>73.627183609279029</c:v>
                </c:pt>
                <c:pt idx="262">
                  <c:v>69.293273349094605</c:v>
                </c:pt>
                <c:pt idx="263">
                  <c:v>73.13469654925656</c:v>
                </c:pt>
                <c:pt idx="264">
                  <c:v>70.426001713223428</c:v>
                </c:pt>
                <c:pt idx="265">
                  <c:v>71.607976567151638</c:v>
                </c:pt>
                <c:pt idx="266">
                  <c:v>70.943113249369404</c:v>
                </c:pt>
                <c:pt idx="267">
                  <c:v>69.268648872971085</c:v>
                </c:pt>
                <c:pt idx="268">
                  <c:v>72.863824849450367</c:v>
                </c:pt>
                <c:pt idx="269">
                  <c:v>73.134696549256546</c:v>
                </c:pt>
                <c:pt idx="270">
                  <c:v>74.193544097672017</c:v>
                </c:pt>
                <c:pt idx="271">
                  <c:v>71.090865031005634</c:v>
                </c:pt>
                <c:pt idx="272">
                  <c:v>71.066240554882128</c:v>
                </c:pt>
                <c:pt idx="273">
                  <c:v>68.973157621936622</c:v>
                </c:pt>
                <c:pt idx="274">
                  <c:v>61.905930512043163</c:v>
                </c:pt>
                <c:pt idx="275">
                  <c:v>60.403842393404602</c:v>
                </c:pt>
                <c:pt idx="276">
                  <c:v>59.911350408486896</c:v>
                </c:pt>
                <c:pt idx="277">
                  <c:v>62.620042782072417</c:v>
                </c:pt>
                <c:pt idx="278">
                  <c:v>63.038658876172001</c:v>
                </c:pt>
                <c:pt idx="279">
                  <c:v>64.048262397235689</c:v>
                </c:pt>
                <c:pt idx="280">
                  <c:v>65.895098106498537</c:v>
                </c:pt>
                <c:pt idx="281">
                  <c:v>65.107117332993994</c:v>
                </c:pt>
                <c:pt idx="282">
                  <c:v>66.116718391610078</c:v>
                </c:pt>
                <c:pt idx="283">
                  <c:v>62.669294196767034</c:v>
                </c:pt>
                <c:pt idx="284">
                  <c:v>62.201426687972834</c:v>
                </c:pt>
                <c:pt idx="285">
                  <c:v>63.92513755417054</c:v>
                </c:pt>
                <c:pt idx="286">
                  <c:v>62.841663067183944</c:v>
                </c:pt>
                <c:pt idx="287">
                  <c:v>60.773207072809548</c:v>
                </c:pt>
                <c:pt idx="288">
                  <c:v>61.487314417943573</c:v>
                </c:pt>
                <c:pt idx="289">
                  <c:v>61.585814784885201</c:v>
                </c:pt>
                <c:pt idx="290">
                  <c:v>61.511941356514683</c:v>
                </c:pt>
                <c:pt idx="291">
                  <c:v>63.580397350889072</c:v>
                </c:pt>
                <c:pt idx="292">
                  <c:v>63.728141745182498</c:v>
                </c:pt>
                <c:pt idx="293">
                  <c:v>65.451857536275426</c:v>
                </c:pt>
                <c:pt idx="294">
                  <c:v>63.358777065777531</c:v>
                </c:pt>
                <c:pt idx="295">
                  <c:v>62.250678102667429</c:v>
                </c:pt>
                <c:pt idx="296">
                  <c:v>60.970202881797583</c:v>
                </c:pt>
                <c:pt idx="297">
                  <c:v>61.290318608955523</c:v>
                </c:pt>
                <c:pt idx="298">
                  <c:v>61.117949738538606</c:v>
                </c:pt>
                <c:pt idx="299">
                  <c:v>62.078301844907678</c:v>
                </c:pt>
                <c:pt idx="300">
                  <c:v>63.112529842094879</c:v>
                </c:pt>
                <c:pt idx="301">
                  <c:v>62.767789638813419</c:v>
                </c:pt>
                <c:pt idx="302">
                  <c:v>61.635066199579818</c:v>
                </c:pt>
                <c:pt idx="303">
                  <c:v>60.822458487504164</c:v>
                </c:pt>
                <c:pt idx="304">
                  <c:v>60.428466869528087</c:v>
                </c:pt>
                <c:pt idx="305">
                  <c:v>59.911350408486875</c:v>
                </c:pt>
                <c:pt idx="306">
                  <c:v>62.20142668797282</c:v>
                </c:pt>
                <c:pt idx="307">
                  <c:v>61.314945547526648</c:v>
                </c:pt>
                <c:pt idx="308">
                  <c:v>61.88130603591965</c:v>
                </c:pt>
                <c:pt idx="309">
                  <c:v>60.083721741351411</c:v>
                </c:pt>
                <c:pt idx="310">
                  <c:v>56.56241919324264</c:v>
                </c:pt>
                <c:pt idx="311">
                  <c:v>58.630875187617029</c:v>
                </c:pt>
                <c:pt idx="312">
                  <c:v>59.517358790510812</c:v>
                </c:pt>
                <c:pt idx="313">
                  <c:v>58.08913917534754</c:v>
                </c:pt>
                <c:pt idx="314">
                  <c:v>56.759415002230675</c:v>
                </c:pt>
                <c:pt idx="315">
                  <c:v>58.655502126188146</c:v>
                </c:pt>
                <c:pt idx="316">
                  <c:v>59.4681098382638</c:v>
                </c:pt>
                <c:pt idx="317">
                  <c:v>62.201426687972827</c:v>
                </c:pt>
                <c:pt idx="318">
                  <c:v>61.930557450614266</c:v>
                </c:pt>
                <c:pt idx="319">
                  <c:v>65.377981645457311</c:v>
                </c:pt>
                <c:pt idx="320">
                  <c:v>65.673477821386982</c:v>
                </c:pt>
                <c:pt idx="321">
                  <c:v>63.408026018024543</c:v>
                </c:pt>
                <c:pt idx="322">
                  <c:v>62.275302578790942</c:v>
                </c:pt>
                <c:pt idx="323">
                  <c:v>57.916767842483004</c:v>
                </c:pt>
                <c:pt idx="324">
                  <c:v>59.049493744164216</c:v>
                </c:pt>
                <c:pt idx="325">
                  <c:v>58.655502126188146</c:v>
                </c:pt>
                <c:pt idx="326">
                  <c:v>59.443482899692683</c:v>
                </c:pt>
                <c:pt idx="327">
                  <c:v>58.877122411299688</c:v>
                </c:pt>
                <c:pt idx="328">
                  <c:v>58.360010875153698</c:v>
                </c:pt>
                <c:pt idx="329">
                  <c:v>59.24648709070464</c:v>
                </c:pt>
                <c:pt idx="330">
                  <c:v>58.310759460459074</c:v>
                </c:pt>
                <c:pt idx="331">
                  <c:v>59.443482899692675</c:v>
                </c:pt>
                <c:pt idx="332">
                  <c:v>57.916767842482997</c:v>
                </c:pt>
                <c:pt idx="333">
                  <c:v>59.24648709070464</c:v>
                </c:pt>
                <c:pt idx="334">
                  <c:v>57.522778686954538</c:v>
                </c:pt>
                <c:pt idx="335">
                  <c:v>58.089139175347533</c:v>
                </c:pt>
                <c:pt idx="336">
                  <c:v>57.448902796136409</c:v>
                </c:pt>
                <c:pt idx="337">
                  <c:v>57.128787068978468</c:v>
                </c:pt>
                <c:pt idx="338">
                  <c:v>59.738979075622353</c:v>
                </c:pt>
                <c:pt idx="339">
                  <c:v>63.137154318218386</c:v>
                </c:pt>
                <c:pt idx="340">
                  <c:v>60.57621126382152</c:v>
                </c:pt>
                <c:pt idx="341">
                  <c:v>59.320362981522777</c:v>
                </c:pt>
                <c:pt idx="342">
                  <c:v>57.916767842483011</c:v>
                </c:pt>
                <c:pt idx="343">
                  <c:v>58.803246520481572</c:v>
                </c:pt>
                <c:pt idx="344">
                  <c:v>58.827870996605071</c:v>
                </c:pt>
                <c:pt idx="345">
                  <c:v>58.975622778241323</c:v>
                </c:pt>
                <c:pt idx="346">
                  <c:v>59.763603551745859</c:v>
                </c:pt>
                <c:pt idx="347">
                  <c:v>59.369614396217401</c:v>
                </c:pt>
                <c:pt idx="348">
                  <c:v>58.138390590042171</c:v>
                </c:pt>
                <c:pt idx="349">
                  <c:v>58.187634617393954</c:v>
                </c:pt>
                <c:pt idx="350">
                  <c:v>59.492734314387306</c:v>
                </c:pt>
                <c:pt idx="351">
                  <c:v>58.015263284529418</c:v>
                </c:pt>
                <c:pt idx="352">
                  <c:v>57.498151748383435</c:v>
                </c:pt>
                <c:pt idx="353">
                  <c:v>57.227282511024875</c:v>
                </c:pt>
                <c:pt idx="354">
                  <c:v>55.823687371985116</c:v>
                </c:pt>
                <c:pt idx="355">
                  <c:v>56.020683180973151</c:v>
                </c:pt>
                <c:pt idx="356">
                  <c:v>58.039890223100535</c:v>
                </c:pt>
                <c:pt idx="357">
                  <c:v>56.045307657096657</c:v>
                </c:pt>
                <c:pt idx="358">
                  <c:v>55.774438419738097</c:v>
                </c:pt>
                <c:pt idx="359">
                  <c:v>53.139619474523094</c:v>
                </c:pt>
                <c:pt idx="360">
                  <c:v>53.952227186598762</c:v>
                </c:pt>
                <c:pt idx="361">
                  <c:v>53.730606901487214</c:v>
                </c:pt>
                <c:pt idx="362">
                  <c:v>52.647127489605396</c:v>
                </c:pt>
                <c:pt idx="363">
                  <c:v>52.548632047558989</c:v>
                </c:pt>
                <c:pt idx="364">
                  <c:v>53.410491174329259</c:v>
                </c:pt>
                <c:pt idx="365">
                  <c:v>55.380446801762027</c:v>
                </c:pt>
                <c:pt idx="366">
                  <c:v>56.931791259990426</c:v>
                </c:pt>
                <c:pt idx="367">
                  <c:v>55.011079659909456</c:v>
                </c:pt>
                <c:pt idx="368">
                  <c:v>54.863335265616037</c:v>
                </c:pt>
                <c:pt idx="369">
                  <c:v>54.666339456628002</c:v>
                </c:pt>
                <c:pt idx="370">
                  <c:v>53.902975771904131</c:v>
                </c:pt>
                <c:pt idx="371">
                  <c:v>54.050727553540383</c:v>
                </c:pt>
                <c:pt idx="372">
                  <c:v>53.484359677804555</c:v>
                </c:pt>
                <c:pt idx="373">
                  <c:v>53.287363868816513</c:v>
                </c:pt>
                <c:pt idx="374">
                  <c:v>54.789459374797907</c:v>
                </c:pt>
                <c:pt idx="375">
                  <c:v>54.321591866003708</c:v>
                </c:pt>
                <c:pt idx="376">
                  <c:v>53.730606901487207</c:v>
                </c:pt>
                <c:pt idx="377">
                  <c:v>53.311990807387616</c:v>
                </c:pt>
                <c:pt idx="378">
                  <c:v>54.272347838651918</c:v>
                </c:pt>
                <c:pt idx="379">
                  <c:v>53.262739392693</c:v>
                </c:pt>
                <c:pt idx="380">
                  <c:v>52.302387286323921</c:v>
                </c:pt>
                <c:pt idx="381">
                  <c:v>52.770252332670509</c:v>
                </c:pt>
                <c:pt idx="382">
                  <c:v>51.859144253653227</c:v>
                </c:pt>
                <c:pt idx="383">
                  <c:v>52.62250793837709</c:v>
                </c:pt>
                <c:pt idx="384">
                  <c:v>51.391284132201854</c:v>
                </c:pt>
                <c:pt idx="385">
                  <c:v>52.228511395505791</c:v>
                </c:pt>
                <c:pt idx="386">
                  <c:v>50.997287589330554</c:v>
                </c:pt>
                <c:pt idx="387">
                  <c:v>50.898792147284155</c:v>
                </c:pt>
                <c:pt idx="388">
                  <c:v>50.824916256466025</c:v>
                </c:pt>
                <c:pt idx="389">
                  <c:v>50.997287589330554</c:v>
                </c:pt>
                <c:pt idx="390">
                  <c:v>50.2093043533784</c:v>
                </c:pt>
                <c:pt idx="391">
                  <c:v>49.593692450290781</c:v>
                </c:pt>
                <c:pt idx="392">
                  <c:v>48.584091391674704</c:v>
                </c:pt>
                <c:pt idx="393">
                  <c:v>45.900021031765078</c:v>
                </c:pt>
                <c:pt idx="394">
                  <c:v>45.185913686631061</c:v>
                </c:pt>
                <c:pt idx="395">
                  <c:v>45.35828501949559</c:v>
                </c:pt>
                <c:pt idx="396">
                  <c:v>45.28440912867746</c:v>
                </c:pt>
                <c:pt idx="397">
                  <c:v>44.594928722114552</c:v>
                </c:pt>
                <c:pt idx="398">
                  <c:v>49.150451880067685</c:v>
                </c:pt>
                <c:pt idx="399">
                  <c:v>47.771483679599029</c:v>
                </c:pt>
                <c:pt idx="400">
                  <c:v>48.214724249822112</c:v>
                </c:pt>
                <c:pt idx="401">
                  <c:v>48.04235291695759</c:v>
                </c:pt>
                <c:pt idx="402">
                  <c:v>48.928836519851359</c:v>
                </c:pt>
                <c:pt idx="403">
                  <c:v>49.150451880067685</c:v>
                </c:pt>
                <c:pt idx="404">
                  <c:v>49.224327770885807</c:v>
                </c:pt>
                <c:pt idx="405">
                  <c:v>50.160060326026596</c:v>
                </c:pt>
                <c:pt idx="406">
                  <c:v>50.036935482961468</c:v>
                </c:pt>
                <c:pt idx="407">
                  <c:v>49.569067974167268</c:v>
                </c:pt>
                <c:pt idx="408">
                  <c:v>49.864564150096932</c:v>
                </c:pt>
                <c:pt idx="409">
                  <c:v>48.682589296168707</c:v>
                </c:pt>
                <c:pt idx="410">
                  <c:v>47.352867585499453</c:v>
                </c:pt>
                <c:pt idx="411">
                  <c:v>47.771483679599029</c:v>
                </c:pt>
                <c:pt idx="412">
                  <c:v>48.534839976980059</c:v>
                </c:pt>
                <c:pt idx="413">
                  <c:v>48.854960629033229</c:v>
                </c:pt>
                <c:pt idx="414">
                  <c:v>49.027331961897758</c:v>
                </c:pt>
                <c:pt idx="415">
                  <c:v>48.953456071079636</c:v>
                </c:pt>
                <c:pt idx="416">
                  <c:v>49.667568341108883</c:v>
                </c:pt>
                <c:pt idx="417">
                  <c:v>51.415903683430095</c:v>
                </c:pt>
                <c:pt idx="418">
                  <c:v>51.046539004025135</c:v>
                </c:pt>
                <c:pt idx="419">
                  <c:v>52.991872617782001</c:v>
                </c:pt>
                <c:pt idx="420">
                  <c:v>50.504800529308042</c:v>
                </c:pt>
                <c:pt idx="421">
                  <c:v>52.08076700121233</c:v>
                </c:pt>
                <c:pt idx="422">
                  <c:v>51.66215090711276</c:v>
                </c:pt>
                <c:pt idx="423">
                  <c:v>52.721003380423461</c:v>
                </c:pt>
                <c:pt idx="424">
                  <c:v>55.503571644827105</c:v>
                </c:pt>
                <c:pt idx="425">
                  <c:v>52.868747774716887</c:v>
                </c:pt>
                <c:pt idx="426">
                  <c:v>54.223096423957251</c:v>
                </c:pt>
                <c:pt idx="427">
                  <c:v>54.863335265615987</c:v>
                </c:pt>
                <c:pt idx="428">
                  <c:v>60.551586787697957</c:v>
                </c:pt>
                <c:pt idx="429">
                  <c:v>60.231466135644787</c:v>
                </c:pt>
                <c:pt idx="430">
                  <c:v>62.32454660614269</c:v>
                </c:pt>
                <c:pt idx="431">
                  <c:v>59.738979075622311</c:v>
                </c:pt>
                <c:pt idx="432">
                  <c:v>60.403842393404538</c:v>
                </c:pt>
                <c:pt idx="433">
                  <c:v>62.743165162689877</c:v>
                </c:pt>
                <c:pt idx="434">
                  <c:v>61.339570023650111</c:v>
                </c:pt>
                <c:pt idx="435">
                  <c:v>62.152177735725765</c:v>
                </c:pt>
                <c:pt idx="436">
                  <c:v>62.496917939007218</c:v>
                </c:pt>
                <c:pt idx="437">
                  <c:v>62.226051164096276</c:v>
                </c:pt>
                <c:pt idx="438">
                  <c:v>63.063285814743047</c:v>
                </c:pt>
                <c:pt idx="439">
                  <c:v>65.648853345263419</c:v>
                </c:pt>
                <c:pt idx="440">
                  <c:v>65.87047363037496</c:v>
                </c:pt>
                <c:pt idx="441">
                  <c:v>66.215213833656421</c:v>
                </c:pt>
                <c:pt idx="442">
                  <c:v>63.752766221305954</c:v>
                </c:pt>
                <c:pt idx="443">
                  <c:v>67.200197803491832</c:v>
                </c:pt>
                <c:pt idx="444">
                  <c:v>68.406797133543549</c:v>
                </c:pt>
                <c:pt idx="445">
                  <c:v>69.342524763789115</c:v>
                </c:pt>
                <c:pt idx="446">
                  <c:v>69.859641224830312</c:v>
                </c:pt>
                <c:pt idx="447">
                  <c:v>67.274068769414711</c:v>
                </c:pt>
                <c:pt idx="448">
                  <c:v>65.550357903216991</c:v>
                </c:pt>
                <c:pt idx="449">
                  <c:v>66.264465248351016</c:v>
                </c:pt>
                <c:pt idx="450">
                  <c:v>65.944349521193061</c:v>
                </c:pt>
                <c:pt idx="451">
                  <c:v>65.37798164545724</c:v>
                </c:pt>
                <c:pt idx="452">
                  <c:v>65.698102297510417</c:v>
                </c:pt>
                <c:pt idx="453">
                  <c:v>66.338341139169145</c:v>
                </c:pt>
                <c:pt idx="454">
                  <c:v>65.648853345263404</c:v>
                </c:pt>
                <c:pt idx="455">
                  <c:v>65.72272923608152</c:v>
                </c:pt>
                <c:pt idx="456">
                  <c:v>64.516129906029789</c:v>
                </c:pt>
                <c:pt idx="457">
                  <c:v>62.989409923924882</c:v>
                </c:pt>
                <c:pt idx="458">
                  <c:v>62.866290005754969</c:v>
                </c:pt>
                <c:pt idx="459">
                  <c:v>64.097513811930199</c:v>
                </c:pt>
                <c:pt idx="460">
                  <c:v>64.146757839281989</c:v>
                </c:pt>
                <c:pt idx="461">
                  <c:v>63.654270779259505</c:v>
                </c:pt>
                <c:pt idx="462">
                  <c:v>63.580397350888987</c:v>
                </c:pt>
                <c:pt idx="463">
                  <c:v>63.875893526818658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A-4C27-8CCC-FEB883E7B304}"/>
            </c:ext>
          </c:extLst>
        </c:ser>
        <c:ser>
          <c:idx val="2"/>
          <c:order val="2"/>
          <c:tx>
            <c:strRef>
              <c:f>'Data Checks'!$I$3</c:f>
              <c:strCache>
                <c:ptCount val="1"/>
                <c:pt idx="0">
                  <c:v>Mining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Checks'!$A$4:$A$467</c:f>
              <c:numCache>
                <c:formatCode>m/d/yyyy</c:formatCode>
                <c:ptCount val="464"/>
                <c:pt idx="0">
                  <c:v>43891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43901</c:v>
                </c:pt>
                <c:pt idx="7">
                  <c:v>43902</c:v>
                </c:pt>
                <c:pt idx="8">
                  <c:v>43903</c:v>
                </c:pt>
                <c:pt idx="9">
                  <c:v>43904</c:v>
                </c:pt>
                <c:pt idx="10">
                  <c:v>43905</c:v>
                </c:pt>
                <c:pt idx="11">
                  <c:v>43908</c:v>
                </c:pt>
                <c:pt idx="12">
                  <c:v>43909</c:v>
                </c:pt>
                <c:pt idx="13">
                  <c:v>43910</c:v>
                </c:pt>
                <c:pt idx="14">
                  <c:v>43911</c:v>
                </c:pt>
                <c:pt idx="15">
                  <c:v>43912</c:v>
                </c:pt>
                <c:pt idx="16">
                  <c:v>43915</c:v>
                </c:pt>
                <c:pt idx="17">
                  <c:v>43916</c:v>
                </c:pt>
                <c:pt idx="18">
                  <c:v>43917</c:v>
                </c:pt>
                <c:pt idx="19">
                  <c:v>43918</c:v>
                </c:pt>
                <c:pt idx="20">
                  <c:v>43919</c:v>
                </c:pt>
                <c:pt idx="21">
                  <c:v>43922</c:v>
                </c:pt>
                <c:pt idx="22">
                  <c:v>43923</c:v>
                </c:pt>
                <c:pt idx="23">
                  <c:v>43924</c:v>
                </c:pt>
                <c:pt idx="24">
                  <c:v>43925</c:v>
                </c:pt>
                <c:pt idx="25">
                  <c:v>43926</c:v>
                </c:pt>
                <c:pt idx="26">
                  <c:v>43929</c:v>
                </c:pt>
                <c:pt idx="27">
                  <c:v>43930</c:v>
                </c:pt>
                <c:pt idx="28">
                  <c:v>43931</c:v>
                </c:pt>
                <c:pt idx="29">
                  <c:v>43932</c:v>
                </c:pt>
                <c:pt idx="30">
                  <c:v>43933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43939</c:v>
                </c:pt>
                <c:pt idx="35">
                  <c:v>43943</c:v>
                </c:pt>
                <c:pt idx="36">
                  <c:v>43944</c:v>
                </c:pt>
                <c:pt idx="37">
                  <c:v>43945</c:v>
                </c:pt>
                <c:pt idx="38">
                  <c:v>43946</c:v>
                </c:pt>
                <c:pt idx="39">
                  <c:v>43947</c:v>
                </c:pt>
                <c:pt idx="40">
                  <c:v>43950</c:v>
                </c:pt>
                <c:pt idx="41">
                  <c:v>43951</c:v>
                </c:pt>
                <c:pt idx="42">
                  <c:v>43952</c:v>
                </c:pt>
                <c:pt idx="43">
                  <c:v>43953</c:v>
                </c:pt>
                <c:pt idx="44">
                  <c:v>43954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43964</c:v>
                </c:pt>
                <c:pt idx="51">
                  <c:v>43965</c:v>
                </c:pt>
                <c:pt idx="52">
                  <c:v>43966</c:v>
                </c:pt>
                <c:pt idx="53">
                  <c:v>43967</c:v>
                </c:pt>
                <c:pt idx="54">
                  <c:v>43968</c:v>
                </c:pt>
                <c:pt idx="55">
                  <c:v>43971</c:v>
                </c:pt>
                <c:pt idx="56">
                  <c:v>43972</c:v>
                </c:pt>
                <c:pt idx="57">
                  <c:v>43973</c:v>
                </c:pt>
                <c:pt idx="58">
                  <c:v>43974</c:v>
                </c:pt>
                <c:pt idx="59">
                  <c:v>43975</c:v>
                </c:pt>
                <c:pt idx="60">
                  <c:v>43979</c:v>
                </c:pt>
                <c:pt idx="61">
                  <c:v>43980</c:v>
                </c:pt>
                <c:pt idx="62">
                  <c:v>43981</c:v>
                </c:pt>
                <c:pt idx="63">
                  <c:v>43982</c:v>
                </c:pt>
                <c:pt idx="64">
                  <c:v>43985</c:v>
                </c:pt>
                <c:pt idx="65">
                  <c:v>43986</c:v>
                </c:pt>
                <c:pt idx="66">
                  <c:v>43987</c:v>
                </c:pt>
                <c:pt idx="67">
                  <c:v>43988</c:v>
                </c:pt>
                <c:pt idx="68">
                  <c:v>43989</c:v>
                </c:pt>
                <c:pt idx="69">
                  <c:v>43992</c:v>
                </c:pt>
                <c:pt idx="70">
                  <c:v>43993</c:v>
                </c:pt>
                <c:pt idx="71">
                  <c:v>43994</c:v>
                </c:pt>
                <c:pt idx="72">
                  <c:v>43995</c:v>
                </c:pt>
                <c:pt idx="73">
                  <c:v>43996</c:v>
                </c:pt>
                <c:pt idx="74">
                  <c:v>43999</c:v>
                </c:pt>
                <c:pt idx="75">
                  <c:v>44000</c:v>
                </c:pt>
                <c:pt idx="76">
                  <c:v>44001</c:v>
                </c:pt>
                <c:pt idx="77">
                  <c:v>44002</c:v>
                </c:pt>
                <c:pt idx="78">
                  <c:v>44003</c:v>
                </c:pt>
                <c:pt idx="79">
                  <c:v>44006</c:v>
                </c:pt>
                <c:pt idx="80">
                  <c:v>44007</c:v>
                </c:pt>
                <c:pt idx="81">
                  <c:v>44008</c:v>
                </c:pt>
                <c:pt idx="82">
                  <c:v>44009</c:v>
                </c:pt>
                <c:pt idx="83">
                  <c:v>44010</c:v>
                </c:pt>
                <c:pt idx="84">
                  <c:v>44013</c:v>
                </c:pt>
                <c:pt idx="85">
                  <c:v>44014</c:v>
                </c:pt>
                <c:pt idx="86">
                  <c:v>44015</c:v>
                </c:pt>
                <c:pt idx="87">
                  <c:v>44017</c:v>
                </c:pt>
                <c:pt idx="88">
                  <c:v>44020</c:v>
                </c:pt>
                <c:pt idx="89">
                  <c:v>44021</c:v>
                </c:pt>
                <c:pt idx="90">
                  <c:v>44022</c:v>
                </c:pt>
                <c:pt idx="91">
                  <c:v>44023</c:v>
                </c:pt>
                <c:pt idx="92">
                  <c:v>44024</c:v>
                </c:pt>
                <c:pt idx="93">
                  <c:v>44027</c:v>
                </c:pt>
                <c:pt idx="94">
                  <c:v>44028</c:v>
                </c:pt>
                <c:pt idx="95">
                  <c:v>44029</c:v>
                </c:pt>
                <c:pt idx="96">
                  <c:v>44030</c:v>
                </c:pt>
                <c:pt idx="97">
                  <c:v>44031</c:v>
                </c:pt>
                <c:pt idx="98">
                  <c:v>44034</c:v>
                </c:pt>
                <c:pt idx="99">
                  <c:v>44035</c:v>
                </c:pt>
                <c:pt idx="100">
                  <c:v>44036</c:v>
                </c:pt>
                <c:pt idx="101">
                  <c:v>44037</c:v>
                </c:pt>
                <c:pt idx="102">
                  <c:v>44038</c:v>
                </c:pt>
                <c:pt idx="103">
                  <c:v>44041</c:v>
                </c:pt>
                <c:pt idx="104">
                  <c:v>44042</c:v>
                </c:pt>
                <c:pt idx="105">
                  <c:v>44043</c:v>
                </c:pt>
                <c:pt idx="106">
                  <c:v>44044</c:v>
                </c:pt>
                <c:pt idx="107">
                  <c:v>44045</c:v>
                </c:pt>
                <c:pt idx="108">
                  <c:v>44048</c:v>
                </c:pt>
                <c:pt idx="109">
                  <c:v>44049</c:v>
                </c:pt>
                <c:pt idx="110">
                  <c:v>44050</c:v>
                </c:pt>
                <c:pt idx="111">
                  <c:v>44051</c:v>
                </c:pt>
                <c:pt idx="112">
                  <c:v>44052</c:v>
                </c:pt>
                <c:pt idx="113">
                  <c:v>44055</c:v>
                </c:pt>
                <c:pt idx="114">
                  <c:v>44056</c:v>
                </c:pt>
                <c:pt idx="115">
                  <c:v>44057</c:v>
                </c:pt>
                <c:pt idx="116">
                  <c:v>44058</c:v>
                </c:pt>
                <c:pt idx="117">
                  <c:v>44059</c:v>
                </c:pt>
                <c:pt idx="118">
                  <c:v>44062</c:v>
                </c:pt>
                <c:pt idx="119">
                  <c:v>44063</c:v>
                </c:pt>
                <c:pt idx="120">
                  <c:v>44064</c:v>
                </c:pt>
                <c:pt idx="121">
                  <c:v>44065</c:v>
                </c:pt>
                <c:pt idx="122">
                  <c:v>44066</c:v>
                </c:pt>
                <c:pt idx="123">
                  <c:v>44069</c:v>
                </c:pt>
                <c:pt idx="124">
                  <c:v>44070</c:v>
                </c:pt>
                <c:pt idx="125">
                  <c:v>44071</c:v>
                </c:pt>
                <c:pt idx="126">
                  <c:v>44072</c:v>
                </c:pt>
                <c:pt idx="127">
                  <c:v>44073</c:v>
                </c:pt>
                <c:pt idx="128">
                  <c:v>44077</c:v>
                </c:pt>
                <c:pt idx="129">
                  <c:v>44078</c:v>
                </c:pt>
                <c:pt idx="130">
                  <c:v>44079</c:v>
                </c:pt>
                <c:pt idx="131">
                  <c:v>44080</c:v>
                </c:pt>
                <c:pt idx="132">
                  <c:v>44083</c:v>
                </c:pt>
                <c:pt idx="133">
                  <c:v>44084</c:v>
                </c:pt>
                <c:pt idx="134">
                  <c:v>44085</c:v>
                </c:pt>
                <c:pt idx="135">
                  <c:v>44086</c:v>
                </c:pt>
                <c:pt idx="136">
                  <c:v>44087</c:v>
                </c:pt>
                <c:pt idx="137">
                  <c:v>44090</c:v>
                </c:pt>
                <c:pt idx="138">
                  <c:v>44091</c:v>
                </c:pt>
                <c:pt idx="139">
                  <c:v>44092</c:v>
                </c:pt>
                <c:pt idx="140">
                  <c:v>44093</c:v>
                </c:pt>
                <c:pt idx="141">
                  <c:v>44094</c:v>
                </c:pt>
                <c:pt idx="142">
                  <c:v>44097</c:v>
                </c:pt>
                <c:pt idx="143">
                  <c:v>44098</c:v>
                </c:pt>
                <c:pt idx="144">
                  <c:v>44099</c:v>
                </c:pt>
                <c:pt idx="145">
                  <c:v>44100</c:v>
                </c:pt>
                <c:pt idx="146">
                  <c:v>44101</c:v>
                </c:pt>
                <c:pt idx="147">
                  <c:v>44104</c:v>
                </c:pt>
                <c:pt idx="148">
                  <c:v>44105</c:v>
                </c:pt>
                <c:pt idx="149">
                  <c:v>44106</c:v>
                </c:pt>
                <c:pt idx="150">
                  <c:v>44107</c:v>
                </c:pt>
                <c:pt idx="151">
                  <c:v>44108</c:v>
                </c:pt>
                <c:pt idx="152">
                  <c:v>44111</c:v>
                </c:pt>
                <c:pt idx="153">
                  <c:v>44112</c:v>
                </c:pt>
                <c:pt idx="154">
                  <c:v>44113</c:v>
                </c:pt>
                <c:pt idx="155">
                  <c:v>44114</c:v>
                </c:pt>
                <c:pt idx="156">
                  <c:v>44115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44121</c:v>
                </c:pt>
                <c:pt idx="161">
                  <c:v>44122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44128</c:v>
                </c:pt>
                <c:pt idx="166">
                  <c:v>44129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44135</c:v>
                </c:pt>
                <c:pt idx="171">
                  <c:v>44136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44142</c:v>
                </c:pt>
                <c:pt idx="176">
                  <c:v>44143</c:v>
                </c:pt>
                <c:pt idx="177">
                  <c:v>44146</c:v>
                </c:pt>
                <c:pt idx="178">
                  <c:v>44147</c:v>
                </c:pt>
                <c:pt idx="179">
                  <c:v>44148</c:v>
                </c:pt>
                <c:pt idx="180">
                  <c:v>44149</c:v>
                </c:pt>
                <c:pt idx="181">
                  <c:v>44150</c:v>
                </c:pt>
                <c:pt idx="182">
                  <c:v>44153</c:v>
                </c:pt>
                <c:pt idx="183">
                  <c:v>44154</c:v>
                </c:pt>
                <c:pt idx="184">
                  <c:v>44155</c:v>
                </c:pt>
                <c:pt idx="185">
                  <c:v>44156</c:v>
                </c:pt>
                <c:pt idx="186">
                  <c:v>44157</c:v>
                </c:pt>
                <c:pt idx="187">
                  <c:v>44160</c:v>
                </c:pt>
                <c:pt idx="188">
                  <c:v>44161</c:v>
                </c:pt>
                <c:pt idx="189">
                  <c:v>44162</c:v>
                </c:pt>
                <c:pt idx="190">
                  <c:v>44164</c:v>
                </c:pt>
                <c:pt idx="191">
                  <c:v>44167</c:v>
                </c:pt>
                <c:pt idx="192">
                  <c:v>44168</c:v>
                </c:pt>
                <c:pt idx="193">
                  <c:v>44169</c:v>
                </c:pt>
                <c:pt idx="194">
                  <c:v>44170</c:v>
                </c:pt>
                <c:pt idx="195">
                  <c:v>44171</c:v>
                </c:pt>
                <c:pt idx="196">
                  <c:v>44174</c:v>
                </c:pt>
                <c:pt idx="197">
                  <c:v>44175</c:v>
                </c:pt>
                <c:pt idx="198">
                  <c:v>44176</c:v>
                </c:pt>
                <c:pt idx="199">
                  <c:v>44177</c:v>
                </c:pt>
                <c:pt idx="200">
                  <c:v>44178</c:v>
                </c:pt>
                <c:pt idx="201">
                  <c:v>44181</c:v>
                </c:pt>
                <c:pt idx="202">
                  <c:v>44182</c:v>
                </c:pt>
                <c:pt idx="203">
                  <c:v>44183</c:v>
                </c:pt>
                <c:pt idx="204">
                  <c:v>44184</c:v>
                </c:pt>
                <c:pt idx="205">
                  <c:v>44185</c:v>
                </c:pt>
                <c:pt idx="206">
                  <c:v>44188</c:v>
                </c:pt>
                <c:pt idx="207">
                  <c:v>44189</c:v>
                </c:pt>
                <c:pt idx="208">
                  <c:v>44191</c:v>
                </c:pt>
                <c:pt idx="209">
                  <c:v>44192</c:v>
                </c:pt>
                <c:pt idx="210">
                  <c:v>44195</c:v>
                </c:pt>
                <c:pt idx="211">
                  <c:v>44196</c:v>
                </c:pt>
                <c:pt idx="212">
                  <c:v>44198</c:v>
                </c:pt>
                <c:pt idx="213">
                  <c:v>44199</c:v>
                </c:pt>
                <c:pt idx="214">
                  <c:v>44202</c:v>
                </c:pt>
                <c:pt idx="215">
                  <c:v>44203</c:v>
                </c:pt>
                <c:pt idx="216">
                  <c:v>44204</c:v>
                </c:pt>
                <c:pt idx="217">
                  <c:v>44205</c:v>
                </c:pt>
                <c:pt idx="218">
                  <c:v>44206</c:v>
                </c:pt>
                <c:pt idx="219">
                  <c:v>44209</c:v>
                </c:pt>
                <c:pt idx="220">
                  <c:v>44210</c:v>
                </c:pt>
                <c:pt idx="221">
                  <c:v>44211</c:v>
                </c:pt>
                <c:pt idx="222">
                  <c:v>44212</c:v>
                </c:pt>
                <c:pt idx="223">
                  <c:v>44213</c:v>
                </c:pt>
                <c:pt idx="224">
                  <c:v>44217</c:v>
                </c:pt>
                <c:pt idx="225">
                  <c:v>44218</c:v>
                </c:pt>
                <c:pt idx="226">
                  <c:v>44219</c:v>
                </c:pt>
                <c:pt idx="227">
                  <c:v>44220</c:v>
                </c:pt>
                <c:pt idx="228">
                  <c:v>44223</c:v>
                </c:pt>
                <c:pt idx="229">
                  <c:v>44224</c:v>
                </c:pt>
                <c:pt idx="230">
                  <c:v>44225</c:v>
                </c:pt>
                <c:pt idx="231">
                  <c:v>44226</c:v>
                </c:pt>
                <c:pt idx="232">
                  <c:v>44227</c:v>
                </c:pt>
                <c:pt idx="233">
                  <c:v>44230</c:v>
                </c:pt>
                <c:pt idx="234">
                  <c:v>44231</c:v>
                </c:pt>
                <c:pt idx="235">
                  <c:v>44232</c:v>
                </c:pt>
                <c:pt idx="236">
                  <c:v>44233</c:v>
                </c:pt>
                <c:pt idx="237">
                  <c:v>44234</c:v>
                </c:pt>
                <c:pt idx="238">
                  <c:v>44237</c:v>
                </c:pt>
                <c:pt idx="239">
                  <c:v>44238</c:v>
                </c:pt>
                <c:pt idx="240">
                  <c:v>44239</c:v>
                </c:pt>
                <c:pt idx="241">
                  <c:v>44240</c:v>
                </c:pt>
                <c:pt idx="242">
                  <c:v>44241</c:v>
                </c:pt>
                <c:pt idx="243">
                  <c:v>44245</c:v>
                </c:pt>
                <c:pt idx="244">
                  <c:v>44246</c:v>
                </c:pt>
                <c:pt idx="245">
                  <c:v>44247</c:v>
                </c:pt>
                <c:pt idx="246">
                  <c:v>44248</c:v>
                </c:pt>
                <c:pt idx="247">
                  <c:v>44251</c:v>
                </c:pt>
                <c:pt idx="248">
                  <c:v>44252</c:v>
                </c:pt>
                <c:pt idx="249">
                  <c:v>44253</c:v>
                </c:pt>
                <c:pt idx="250">
                  <c:v>44254</c:v>
                </c:pt>
                <c:pt idx="251">
                  <c:v>44255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44261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44268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44275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44282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44288</c:v>
                </c:pt>
                <c:pt idx="276">
                  <c:v>44289</c:v>
                </c:pt>
                <c:pt idx="277">
                  <c:v>44292</c:v>
                </c:pt>
                <c:pt idx="278">
                  <c:v>44293</c:v>
                </c:pt>
                <c:pt idx="279">
                  <c:v>44294</c:v>
                </c:pt>
                <c:pt idx="280">
                  <c:v>44295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44303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44310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44317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44324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44331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44338</c:v>
                </c:pt>
                <c:pt idx="311">
                  <c:v>44342</c:v>
                </c:pt>
                <c:pt idx="312">
                  <c:v>44343</c:v>
                </c:pt>
                <c:pt idx="313">
                  <c:v>44344</c:v>
                </c:pt>
                <c:pt idx="314">
                  <c:v>44345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44352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44359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44366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44373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44387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44394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44401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44408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44415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44422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44429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44436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44443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44450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44457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44464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44471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44478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44485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44492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44499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44506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44513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44520</c:v>
                </c:pt>
                <c:pt idx="438">
                  <c:v>44523</c:v>
                </c:pt>
                <c:pt idx="439">
                  <c:v>44524</c:v>
                </c:pt>
                <c:pt idx="440">
                  <c:v>44525</c:v>
                </c:pt>
                <c:pt idx="441">
                  <c:v>44527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44534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44541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44548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44554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</c:numCache>
            </c:numRef>
          </c:cat>
          <c:val>
            <c:numRef>
              <c:f>'Data Checks'!$I$4:$I$467</c:f>
              <c:numCache>
                <c:formatCode>General</c:formatCode>
                <c:ptCount val="464"/>
                <c:pt idx="0">
                  <c:v>100</c:v>
                </c:pt>
                <c:pt idx="1">
                  <c:v>100.51404899736038</c:v>
                </c:pt>
                <c:pt idx="2">
                  <c:v>100.95955618643669</c:v>
                </c:pt>
                <c:pt idx="3">
                  <c:v>101.42220353971553</c:v>
                </c:pt>
                <c:pt idx="4">
                  <c:v>93.79712313575871</c:v>
                </c:pt>
                <c:pt idx="5">
                  <c:v>93.660039519190576</c:v>
                </c:pt>
                <c:pt idx="6">
                  <c:v>94.722409274804519</c:v>
                </c:pt>
                <c:pt idx="7">
                  <c:v>94.790951083088586</c:v>
                </c:pt>
                <c:pt idx="8">
                  <c:v>96.007536051961353</c:v>
                </c:pt>
                <c:pt idx="9">
                  <c:v>95.956132694377459</c:v>
                </c:pt>
                <c:pt idx="10">
                  <c:v>95.921862646986597</c:v>
                </c:pt>
                <c:pt idx="11">
                  <c:v>97.652503467229224</c:v>
                </c:pt>
                <c:pt idx="12">
                  <c:v>96.847153926539534</c:v>
                </c:pt>
                <c:pt idx="13">
                  <c:v>97.069912661584794</c:v>
                </c:pt>
                <c:pt idx="14">
                  <c:v>97.378343088102426</c:v>
                </c:pt>
                <c:pt idx="15">
                  <c:v>96.196021312611038</c:v>
                </c:pt>
                <c:pt idx="16">
                  <c:v>97.583961658945171</c:v>
                </c:pt>
                <c:pt idx="17">
                  <c:v>99.023303649360827</c:v>
                </c:pt>
                <c:pt idx="18">
                  <c:v>98.800546627817937</c:v>
                </c:pt>
                <c:pt idx="19">
                  <c:v>99.417407480853228</c:v>
                </c:pt>
                <c:pt idx="20">
                  <c:v>100.83961102056871</c:v>
                </c:pt>
                <c:pt idx="21">
                  <c:v>102.55311339011116</c:v>
                </c:pt>
                <c:pt idx="22">
                  <c:v>104.48937449469888</c:v>
                </c:pt>
                <c:pt idx="23">
                  <c:v>104.55791458948059</c:v>
                </c:pt>
                <c:pt idx="24">
                  <c:v>104.59218635037379</c:v>
                </c:pt>
                <c:pt idx="25">
                  <c:v>104.6435897079577</c:v>
                </c:pt>
                <c:pt idx="26">
                  <c:v>106.85400947816983</c:v>
                </c:pt>
                <c:pt idx="27">
                  <c:v>106.04865993748014</c:v>
                </c:pt>
                <c:pt idx="28">
                  <c:v>106.9225512864539</c:v>
                </c:pt>
                <c:pt idx="29">
                  <c:v>106.3399587673071</c:v>
                </c:pt>
                <c:pt idx="30">
                  <c:v>107.57367704637291</c:v>
                </c:pt>
                <c:pt idx="31">
                  <c:v>107.02535628811934</c:v>
                </c:pt>
                <c:pt idx="32">
                  <c:v>103.39273297819172</c:v>
                </c:pt>
                <c:pt idx="33">
                  <c:v>103.59835154903445</c:v>
                </c:pt>
                <c:pt idx="34">
                  <c:v>104.12953899709497</c:v>
                </c:pt>
                <c:pt idx="35">
                  <c:v>104.30088752054684</c:v>
                </c:pt>
                <c:pt idx="36">
                  <c:v>103.83824016726801</c:v>
                </c:pt>
                <c:pt idx="37">
                  <c:v>101.83344582190809</c:v>
                </c:pt>
                <c:pt idx="38">
                  <c:v>101.67923060864928</c:v>
                </c:pt>
                <c:pt idx="39">
                  <c:v>101.61068880036521</c:v>
                </c:pt>
                <c:pt idx="40">
                  <c:v>101.59355720367452</c:v>
                </c:pt>
                <c:pt idx="41">
                  <c:v>100.92529299305535</c:v>
                </c:pt>
                <c:pt idx="42">
                  <c:v>99.28032557778748</c:v>
                </c:pt>
                <c:pt idx="43">
                  <c:v>98.423574393016239</c:v>
                </c:pt>
                <c:pt idx="44">
                  <c:v>100.95955618643671</c:v>
                </c:pt>
                <c:pt idx="45">
                  <c:v>99.520221050030528</c:v>
                </c:pt>
                <c:pt idx="46">
                  <c:v>99.880054834132068</c:v>
                </c:pt>
                <c:pt idx="47">
                  <c:v>98.81767822450864</c:v>
                </c:pt>
                <c:pt idx="48">
                  <c:v>98.937630244386085</c:v>
                </c:pt>
                <c:pt idx="49">
                  <c:v>100.87388278146196</c:v>
                </c:pt>
                <c:pt idx="50">
                  <c:v>97.943795443046724</c:v>
                </c:pt>
                <c:pt idx="51">
                  <c:v>100.17134680994955</c:v>
                </c:pt>
                <c:pt idx="52">
                  <c:v>99.880054834132054</c:v>
                </c:pt>
                <c:pt idx="53">
                  <c:v>102.43316993774557</c:v>
                </c:pt>
                <c:pt idx="54">
                  <c:v>102.74160036426323</c:v>
                </c:pt>
                <c:pt idx="55">
                  <c:v>102.36463498347099</c:v>
                </c:pt>
                <c:pt idx="56">
                  <c:v>102.39889817685237</c:v>
                </c:pt>
                <c:pt idx="57">
                  <c:v>101.86771758280132</c:v>
                </c:pt>
                <c:pt idx="58">
                  <c:v>100.70253425801009</c:v>
                </c:pt>
                <c:pt idx="59">
                  <c:v>102.31322477187763</c:v>
                </c:pt>
                <c:pt idx="60">
                  <c:v>103.88965037886142</c:v>
                </c:pt>
                <c:pt idx="61">
                  <c:v>101.76490401362405</c:v>
                </c:pt>
                <c:pt idx="62">
                  <c:v>100.97669463713689</c:v>
                </c:pt>
                <c:pt idx="63">
                  <c:v>99.263192267594434</c:v>
                </c:pt>
                <c:pt idx="64">
                  <c:v>100.68539580730994</c:v>
                </c:pt>
                <c:pt idx="65">
                  <c:v>101.52501539539048</c:v>
                </c:pt>
                <c:pt idx="66">
                  <c:v>99.451679241746476</c:v>
                </c:pt>
                <c:pt idx="67">
                  <c:v>99.36600583677172</c:v>
                </c:pt>
                <c:pt idx="68">
                  <c:v>99.571624407614451</c:v>
                </c:pt>
                <c:pt idx="69">
                  <c:v>100.53118059405114</c:v>
                </c:pt>
                <c:pt idx="70">
                  <c:v>103.27278781232381</c:v>
                </c:pt>
                <c:pt idx="71">
                  <c:v>103.30705957321702</c:v>
                </c:pt>
                <c:pt idx="72">
                  <c:v>105.500340892729</c:v>
                </c:pt>
                <c:pt idx="73">
                  <c:v>104.12953899709504</c:v>
                </c:pt>
                <c:pt idx="74">
                  <c:v>103.94105373644537</c:v>
                </c:pt>
                <c:pt idx="75">
                  <c:v>106.54557733814991</c:v>
                </c:pt>
                <c:pt idx="76">
                  <c:v>102.63879536259786</c:v>
                </c:pt>
                <c:pt idx="77">
                  <c:v>103.49554654736909</c:v>
                </c:pt>
                <c:pt idx="78">
                  <c:v>103.27278781232384</c:v>
                </c:pt>
                <c:pt idx="79">
                  <c:v>104.42083268641491</c:v>
                </c:pt>
                <c:pt idx="80">
                  <c:v>104.50651294539914</c:v>
                </c:pt>
                <c:pt idx="81">
                  <c:v>105.72309791427192</c:v>
                </c:pt>
                <c:pt idx="82">
                  <c:v>106.15147350665752</c:v>
                </c:pt>
                <c:pt idx="83">
                  <c:v>106.81973771727671</c:v>
                </c:pt>
                <c:pt idx="84">
                  <c:v>107.57367704637301</c:v>
                </c:pt>
                <c:pt idx="85">
                  <c:v>109.20150601094072</c:v>
                </c:pt>
                <c:pt idx="86">
                  <c:v>108.48183672923525</c:v>
                </c:pt>
                <c:pt idx="87">
                  <c:v>102.89581557752211</c:v>
                </c:pt>
                <c:pt idx="88">
                  <c:v>103.63262330992774</c:v>
                </c:pt>
                <c:pt idx="89">
                  <c:v>103.80397697388672</c:v>
                </c:pt>
                <c:pt idx="90">
                  <c:v>105.191908752709</c:v>
                </c:pt>
                <c:pt idx="91">
                  <c:v>104.26661575965369</c:v>
                </c:pt>
                <c:pt idx="92">
                  <c:v>104.02672714142012</c:v>
                </c:pt>
                <c:pt idx="93">
                  <c:v>105.39752732355171</c:v>
                </c:pt>
                <c:pt idx="94">
                  <c:v>103.5469481914506</c:v>
                </c:pt>
                <c:pt idx="95">
                  <c:v>104.45510273380573</c:v>
                </c:pt>
                <c:pt idx="96">
                  <c:v>103.92392213975467</c:v>
                </c:pt>
                <c:pt idx="97">
                  <c:v>104.71213151624183</c:v>
                </c:pt>
                <c:pt idx="98">
                  <c:v>104.09526894970418</c:v>
                </c:pt>
                <c:pt idx="99">
                  <c:v>103.75256676229333</c:v>
                </c:pt>
                <c:pt idx="100">
                  <c:v>99.451679241746504</c:v>
                </c:pt>
                <c:pt idx="101">
                  <c:v>98.18368406128036</c:v>
                </c:pt>
                <c:pt idx="102">
                  <c:v>98.577789606275132</c:v>
                </c:pt>
                <c:pt idx="103">
                  <c:v>99.057573696751774</c:v>
                </c:pt>
                <c:pt idx="104">
                  <c:v>99.451679241746533</c:v>
                </c:pt>
                <c:pt idx="105">
                  <c:v>97.806718680488146</c:v>
                </c:pt>
                <c:pt idx="106">
                  <c:v>93.437282497647772</c:v>
                </c:pt>
                <c:pt idx="107">
                  <c:v>91.295404535719697</c:v>
                </c:pt>
                <c:pt idx="108">
                  <c:v>89.342011834441308</c:v>
                </c:pt>
                <c:pt idx="109">
                  <c:v>89.342011834441323</c:v>
                </c:pt>
                <c:pt idx="110">
                  <c:v>88.348183887111432</c:v>
                </c:pt>
                <c:pt idx="111">
                  <c:v>86.788898444330172</c:v>
                </c:pt>
                <c:pt idx="112">
                  <c:v>83.58464387277867</c:v>
                </c:pt>
                <c:pt idx="113">
                  <c:v>83.601782323478844</c:v>
                </c:pt>
                <c:pt idx="114">
                  <c:v>85.692250073813554</c:v>
                </c:pt>
                <c:pt idx="115">
                  <c:v>83.2076767784841</c:v>
                </c:pt>
                <c:pt idx="116">
                  <c:v>83.910212749996518</c:v>
                </c:pt>
                <c:pt idx="117">
                  <c:v>83.65318568106278</c:v>
                </c:pt>
                <c:pt idx="118">
                  <c:v>84.184373129123315</c:v>
                </c:pt>
                <c:pt idx="119">
                  <c:v>83.481837157610912</c:v>
                </c:pt>
                <c:pt idx="120">
                  <c:v>83.070594875418337</c:v>
                </c:pt>
                <c:pt idx="121">
                  <c:v>83.190538327783955</c:v>
                </c:pt>
                <c:pt idx="122">
                  <c:v>82.21384369064711</c:v>
                </c:pt>
                <c:pt idx="123">
                  <c:v>82.84783614037309</c:v>
                </c:pt>
                <c:pt idx="124">
                  <c:v>82.590815925448837</c:v>
                </c:pt>
                <c:pt idx="125">
                  <c:v>83.447567110220064</c:v>
                </c:pt>
                <c:pt idx="126">
                  <c:v>84.407123296656735</c:v>
                </c:pt>
                <c:pt idx="127">
                  <c:v>86.668953278462254</c:v>
                </c:pt>
                <c:pt idx="128">
                  <c:v>85.623715119538986</c:v>
                </c:pt>
                <c:pt idx="129">
                  <c:v>88.416718841386071</c:v>
                </c:pt>
                <c:pt idx="130">
                  <c:v>89.393415192025273</c:v>
                </c:pt>
                <c:pt idx="131">
                  <c:v>89.376283595334584</c:v>
                </c:pt>
                <c:pt idx="132">
                  <c:v>89.770387426826986</c:v>
                </c:pt>
                <c:pt idx="133">
                  <c:v>90.575736967516661</c:v>
                </c:pt>
                <c:pt idx="134">
                  <c:v>91.226869581445172</c:v>
                </c:pt>
                <c:pt idx="135">
                  <c:v>91.997940507232187</c:v>
                </c:pt>
                <c:pt idx="136">
                  <c:v>93.985601542399067</c:v>
                </c:pt>
                <c:pt idx="137">
                  <c:v>91.929405552957604</c:v>
                </c:pt>
                <c:pt idx="138">
                  <c:v>91.860863744673523</c:v>
                </c:pt>
                <c:pt idx="139">
                  <c:v>90.90129899072501</c:v>
                </c:pt>
                <c:pt idx="140">
                  <c:v>90.661410372491417</c:v>
                </c:pt>
                <c:pt idx="141">
                  <c:v>90.507195159232609</c:v>
                </c:pt>
                <c:pt idx="142">
                  <c:v>90.798493989059551</c:v>
                </c:pt>
                <c:pt idx="143">
                  <c:v>88.108288414868426</c:v>
                </c:pt>
                <c:pt idx="144">
                  <c:v>88.930776406258289</c:v>
                </c:pt>
                <c:pt idx="145">
                  <c:v>88.108288414868426</c:v>
                </c:pt>
                <c:pt idx="146">
                  <c:v>89.067853168816939</c:v>
                </c:pt>
                <c:pt idx="147">
                  <c:v>89.256338429466624</c:v>
                </c:pt>
                <c:pt idx="148">
                  <c:v>88.022615009893684</c:v>
                </c:pt>
                <c:pt idx="149">
                  <c:v>85.246742884737273</c:v>
                </c:pt>
                <c:pt idx="150">
                  <c:v>85.31528469302134</c:v>
                </c:pt>
                <c:pt idx="151">
                  <c:v>85.915007095356472</c:v>
                </c:pt>
                <c:pt idx="152">
                  <c:v>85.143931029062358</c:v>
                </c:pt>
                <c:pt idx="153">
                  <c:v>84.372860103275357</c:v>
                </c:pt>
                <c:pt idx="154">
                  <c:v>84.904040697326423</c:v>
                </c:pt>
                <c:pt idx="155">
                  <c:v>87.21727403671585</c:v>
                </c:pt>
                <c:pt idx="156">
                  <c:v>90.55859680331416</c:v>
                </c:pt>
                <c:pt idx="157">
                  <c:v>88.827962837081031</c:v>
                </c:pt>
                <c:pt idx="158">
                  <c:v>88.074025221487076</c:v>
                </c:pt>
                <c:pt idx="159">
                  <c:v>86.566139709284982</c:v>
                </c:pt>
                <c:pt idx="160">
                  <c:v>86.994515301670603</c:v>
                </c:pt>
                <c:pt idx="161">
                  <c:v>87.302947441690606</c:v>
                </c:pt>
                <c:pt idx="162">
                  <c:v>88.896504645365084</c:v>
                </c:pt>
                <c:pt idx="163">
                  <c:v>89.44482540361868</c:v>
                </c:pt>
                <c:pt idx="164">
                  <c:v>89.324880237750705</c:v>
                </c:pt>
                <c:pt idx="165">
                  <c:v>89.136393263598663</c:v>
                </c:pt>
                <c:pt idx="166">
                  <c:v>90.061686256653942</c:v>
                </c:pt>
                <c:pt idx="167">
                  <c:v>91.398216391394698</c:v>
                </c:pt>
                <c:pt idx="168">
                  <c:v>91.449619748978606</c:v>
                </c:pt>
                <c:pt idx="169">
                  <c:v>90.010277758562935</c:v>
                </c:pt>
                <c:pt idx="170">
                  <c:v>89.119254812898504</c:v>
                </c:pt>
                <c:pt idx="171">
                  <c:v>92.494857907901874</c:v>
                </c:pt>
                <c:pt idx="172">
                  <c:v>94.636735869829948</c:v>
                </c:pt>
                <c:pt idx="173">
                  <c:v>95.647702267859998</c:v>
                </c:pt>
                <c:pt idx="174">
                  <c:v>95.3735418887332</c:v>
                </c:pt>
                <c:pt idx="175">
                  <c:v>95.116513106297106</c:v>
                </c:pt>
                <c:pt idx="176">
                  <c:v>92.717614929444764</c:v>
                </c:pt>
                <c:pt idx="177">
                  <c:v>91.466758199678779</c:v>
                </c:pt>
                <c:pt idx="178">
                  <c:v>90.849895633141131</c:v>
                </c:pt>
                <c:pt idx="179">
                  <c:v>89.410553642725461</c:v>
                </c:pt>
                <c:pt idx="180">
                  <c:v>90.678541969182135</c:v>
                </c:pt>
                <c:pt idx="181">
                  <c:v>92.477724597708828</c:v>
                </c:pt>
                <c:pt idx="182">
                  <c:v>92.511996358602048</c:v>
                </c:pt>
                <c:pt idx="183">
                  <c:v>93.437282497647857</c:v>
                </c:pt>
                <c:pt idx="184">
                  <c:v>91.00411255990231</c:v>
                </c:pt>
                <c:pt idx="185">
                  <c:v>91.329674583110645</c:v>
                </c:pt>
                <c:pt idx="186">
                  <c:v>92.186425767881886</c:v>
                </c:pt>
                <c:pt idx="187">
                  <c:v>93.677171115881464</c:v>
                </c:pt>
                <c:pt idx="188">
                  <c:v>94.00274170660164</c:v>
                </c:pt>
                <c:pt idx="189">
                  <c:v>94.20836027744437</c:v>
                </c:pt>
                <c:pt idx="190">
                  <c:v>93.488690995738907</c:v>
                </c:pt>
                <c:pt idx="191">
                  <c:v>94.499659107271327</c:v>
                </c:pt>
                <c:pt idx="192">
                  <c:v>93.557225950013503</c:v>
                </c:pt>
                <c:pt idx="193">
                  <c:v>94.00274170660164</c:v>
                </c:pt>
                <c:pt idx="194">
                  <c:v>93.574366114216019</c:v>
                </c:pt>
                <c:pt idx="195">
                  <c:v>94.876624488063555</c:v>
                </c:pt>
                <c:pt idx="196">
                  <c:v>95.801917481118835</c:v>
                </c:pt>
                <c:pt idx="197">
                  <c:v>96.058944550052587</c:v>
                </c:pt>
                <c:pt idx="198">
                  <c:v>97.515419850661303</c:v>
                </c:pt>
                <c:pt idx="199">
                  <c:v>98.560656296082215</c:v>
                </c:pt>
                <c:pt idx="200">
                  <c:v>98.903358483493065</c:v>
                </c:pt>
                <c:pt idx="201">
                  <c:v>100.7882093764874</c:v>
                </c:pt>
                <c:pt idx="202">
                  <c:v>100.54831904475147</c:v>
                </c:pt>
                <c:pt idx="203">
                  <c:v>100.29129197581773</c:v>
                </c:pt>
                <c:pt idx="204">
                  <c:v>100.20561857084297</c:v>
                </c:pt>
                <c:pt idx="205">
                  <c:v>100.70253425801029</c:v>
                </c:pt>
                <c:pt idx="206">
                  <c:v>101.04523644542114</c:v>
                </c:pt>
                <c:pt idx="207">
                  <c:v>101.11377139969574</c:v>
                </c:pt>
                <c:pt idx="208">
                  <c:v>101.93625939108558</c:v>
                </c:pt>
                <c:pt idx="209">
                  <c:v>101.69636220534017</c:v>
                </c:pt>
                <c:pt idx="210">
                  <c:v>101.38793177882253</c:v>
                </c:pt>
                <c:pt idx="211">
                  <c:v>101.71350236954271</c:v>
                </c:pt>
                <c:pt idx="212">
                  <c:v>102.62165519839547</c:v>
                </c:pt>
                <c:pt idx="213">
                  <c:v>100.82247942387825</c:v>
                </c:pt>
                <c:pt idx="214">
                  <c:v>100.15421521325905</c:v>
                </c:pt>
                <c:pt idx="215">
                  <c:v>100.05140164408176</c:v>
                </c:pt>
                <c:pt idx="216">
                  <c:v>100.92529299305552</c:v>
                </c:pt>
                <c:pt idx="217">
                  <c:v>99.880054834132238</c:v>
                </c:pt>
                <c:pt idx="218">
                  <c:v>100.15421521325904</c:v>
                </c:pt>
                <c:pt idx="219">
                  <c:v>101.31939682454789</c:v>
                </c:pt>
                <c:pt idx="220">
                  <c:v>101.49074534799976</c:v>
                </c:pt>
                <c:pt idx="221">
                  <c:v>101.07950820631432</c:v>
                </c:pt>
                <c:pt idx="222">
                  <c:v>101.35366858544113</c:v>
                </c:pt>
                <c:pt idx="223">
                  <c:v>103.95818533313619</c:v>
                </c:pt>
                <c:pt idx="224">
                  <c:v>102.72446876757272</c:v>
                </c:pt>
                <c:pt idx="225">
                  <c:v>103.6668933573187</c:v>
                </c:pt>
                <c:pt idx="226">
                  <c:v>100.94242458974618</c:v>
                </c:pt>
                <c:pt idx="227">
                  <c:v>98.971893437767633</c:v>
                </c:pt>
                <c:pt idx="228">
                  <c:v>94.413977134784702</c:v>
                </c:pt>
                <c:pt idx="229">
                  <c:v>95.11651310629712</c:v>
                </c:pt>
                <c:pt idx="230">
                  <c:v>94.671005917220825</c:v>
                </c:pt>
                <c:pt idx="231">
                  <c:v>94.619602559636931</c:v>
                </c:pt>
                <c:pt idx="232">
                  <c:v>91.552431604653549</c:v>
                </c:pt>
                <c:pt idx="233">
                  <c:v>91.055514203983876</c:v>
                </c:pt>
                <c:pt idx="234">
                  <c:v>94.19122696725131</c:v>
                </c:pt>
                <c:pt idx="235">
                  <c:v>95.407811936124091</c:v>
                </c:pt>
                <c:pt idx="236">
                  <c:v>94.893762938763729</c:v>
                </c:pt>
                <c:pt idx="237">
                  <c:v>92.066482315516296</c:v>
                </c:pt>
                <c:pt idx="238">
                  <c:v>91.552431604653563</c:v>
                </c:pt>
                <c:pt idx="239">
                  <c:v>92.272099172856656</c:v>
                </c:pt>
                <c:pt idx="240">
                  <c:v>94.722409274804733</c:v>
                </c:pt>
                <c:pt idx="241">
                  <c:v>94.019873303292343</c:v>
                </c:pt>
                <c:pt idx="242">
                  <c:v>93.385879140064006</c:v>
                </c:pt>
                <c:pt idx="243">
                  <c:v>93.248795523495872</c:v>
                </c:pt>
                <c:pt idx="244">
                  <c:v>93.111718760937222</c:v>
                </c:pt>
                <c:pt idx="245">
                  <c:v>92.854691692003485</c:v>
                </c:pt>
                <c:pt idx="246">
                  <c:v>93.591497710906737</c:v>
                </c:pt>
                <c:pt idx="247">
                  <c:v>87.782726391660177</c:v>
                </c:pt>
                <c:pt idx="248">
                  <c:v>86.411924496026217</c:v>
                </c:pt>
                <c:pt idx="249">
                  <c:v>85.178201076453277</c:v>
                </c:pt>
                <c:pt idx="250">
                  <c:v>80.980118557571885</c:v>
                </c:pt>
                <c:pt idx="251">
                  <c:v>80.414666202627615</c:v>
                </c:pt>
                <c:pt idx="252">
                  <c:v>83.567510562585738</c:v>
                </c:pt>
                <c:pt idx="253">
                  <c:v>83.550372111885579</c:v>
                </c:pt>
                <c:pt idx="254">
                  <c:v>88.211101984045797</c:v>
                </c:pt>
                <c:pt idx="255">
                  <c:v>84.424261747356965</c:v>
                </c:pt>
                <c:pt idx="256">
                  <c:v>79.095269378079905</c:v>
                </c:pt>
                <c:pt idx="257">
                  <c:v>71.641535784072587</c:v>
                </c:pt>
                <c:pt idx="258">
                  <c:v>78.478406811542257</c:v>
                </c:pt>
                <c:pt idx="259">
                  <c:v>73.183684489656059</c:v>
                </c:pt>
                <c:pt idx="260">
                  <c:v>66.586703793922325</c:v>
                </c:pt>
                <c:pt idx="261">
                  <c:v>75.222757449918689</c:v>
                </c:pt>
                <c:pt idx="262">
                  <c:v>68.985601970774667</c:v>
                </c:pt>
                <c:pt idx="263">
                  <c:v>71.607265736681725</c:v>
                </c:pt>
                <c:pt idx="264">
                  <c:v>65.164493400197344</c:v>
                </c:pt>
                <c:pt idx="265">
                  <c:v>65.044548234329383</c:v>
                </c:pt>
                <c:pt idx="266">
                  <c:v>62.66278165416773</c:v>
                </c:pt>
                <c:pt idx="267">
                  <c:v>62.405752871731629</c:v>
                </c:pt>
                <c:pt idx="268">
                  <c:v>72.258391496600765</c:v>
                </c:pt>
                <c:pt idx="269">
                  <c:v>75.702534686385846</c:v>
                </c:pt>
                <c:pt idx="270">
                  <c:v>77.793011004232383</c:v>
                </c:pt>
                <c:pt idx="271">
                  <c:v>74.657298240964934</c:v>
                </c:pt>
                <c:pt idx="272">
                  <c:v>76.953391416151831</c:v>
                </c:pt>
                <c:pt idx="273">
                  <c:v>78.06716966985681</c:v>
                </c:pt>
                <c:pt idx="274">
                  <c:v>75.685396235685687</c:v>
                </c:pt>
                <c:pt idx="275">
                  <c:v>78.838240595643825</c:v>
                </c:pt>
                <c:pt idx="276">
                  <c:v>77.176148437694735</c:v>
                </c:pt>
                <c:pt idx="277">
                  <c:v>79.403699804597579</c:v>
                </c:pt>
                <c:pt idx="278">
                  <c:v>78.358463359176667</c:v>
                </c:pt>
                <c:pt idx="279">
                  <c:v>78.821108998953136</c:v>
                </c:pt>
                <c:pt idx="280">
                  <c:v>81.665522932393614</c:v>
                </c:pt>
                <c:pt idx="281">
                  <c:v>82.025356716495168</c:v>
                </c:pt>
                <c:pt idx="282">
                  <c:v>82.230982141347368</c:v>
                </c:pt>
                <c:pt idx="283">
                  <c:v>78.855379046343998</c:v>
                </c:pt>
                <c:pt idx="284">
                  <c:v>79.626456826140483</c:v>
                </c:pt>
                <c:pt idx="285">
                  <c:v>81.631251171500423</c:v>
                </c:pt>
                <c:pt idx="286">
                  <c:v>79.506513373774879</c:v>
                </c:pt>
                <c:pt idx="287">
                  <c:v>76.473612466182345</c:v>
                </c:pt>
                <c:pt idx="288">
                  <c:v>79.318026399622823</c:v>
                </c:pt>
                <c:pt idx="289">
                  <c:v>78.889650807237203</c:v>
                </c:pt>
                <c:pt idx="290">
                  <c:v>79.677860183724377</c:v>
                </c:pt>
                <c:pt idx="291">
                  <c:v>80.346124394343576</c:v>
                </c:pt>
                <c:pt idx="292">
                  <c:v>80.466069560211551</c:v>
                </c:pt>
                <c:pt idx="293">
                  <c:v>83.738859086037635</c:v>
                </c:pt>
                <c:pt idx="294">
                  <c:v>79.146672735663842</c:v>
                </c:pt>
                <c:pt idx="295">
                  <c:v>77.176148437694749</c:v>
                </c:pt>
                <c:pt idx="296">
                  <c:v>77.073336582019834</c:v>
                </c:pt>
                <c:pt idx="297">
                  <c:v>75.822479852253849</c:v>
                </c:pt>
                <c:pt idx="298">
                  <c:v>76.267987041330159</c:v>
                </c:pt>
                <c:pt idx="299">
                  <c:v>78.478406811542285</c:v>
                </c:pt>
                <c:pt idx="300">
                  <c:v>80.448937963520862</c:v>
                </c:pt>
                <c:pt idx="301">
                  <c:v>77.91295445659803</c:v>
                </c:pt>
                <c:pt idx="302">
                  <c:v>77.090475032720008</c:v>
                </c:pt>
                <c:pt idx="303">
                  <c:v>78.34133004898365</c:v>
                </c:pt>
                <c:pt idx="304">
                  <c:v>79.780672039399306</c:v>
                </c:pt>
                <c:pt idx="305">
                  <c:v>81.545577766525682</c:v>
                </c:pt>
                <c:pt idx="306">
                  <c:v>88.108288414868554</c:v>
                </c:pt>
                <c:pt idx="307">
                  <c:v>88.793692789690283</c:v>
                </c:pt>
                <c:pt idx="308">
                  <c:v>89.770387426827128</c:v>
                </c:pt>
                <c:pt idx="309">
                  <c:v>88.793692789690283</c:v>
                </c:pt>
                <c:pt idx="310">
                  <c:v>89.307741787050645</c:v>
                </c:pt>
                <c:pt idx="311">
                  <c:v>88.176830223152621</c:v>
                </c:pt>
                <c:pt idx="312">
                  <c:v>89.684714021852344</c:v>
                </c:pt>
                <c:pt idx="313">
                  <c:v>89.976005997669816</c:v>
                </c:pt>
                <c:pt idx="314">
                  <c:v>92.392044338724673</c:v>
                </c:pt>
                <c:pt idx="315">
                  <c:v>94.019873303292385</c:v>
                </c:pt>
                <c:pt idx="316">
                  <c:v>95.527757101992123</c:v>
                </c:pt>
                <c:pt idx="317">
                  <c:v>96.864287236732864</c:v>
                </c:pt>
                <c:pt idx="318">
                  <c:v>97.069912661585064</c:v>
                </c:pt>
                <c:pt idx="319">
                  <c:v>96.898557284123697</c:v>
                </c:pt>
                <c:pt idx="320">
                  <c:v>99.86291638343215</c:v>
                </c:pt>
                <c:pt idx="321">
                  <c:v>98.954761841077016</c:v>
                </c:pt>
                <c:pt idx="322">
                  <c:v>100.35983378410182</c:v>
                </c:pt>
                <c:pt idx="323">
                  <c:v>95.185054914581229</c:v>
                </c:pt>
                <c:pt idx="324">
                  <c:v>98.526386248691381</c:v>
                </c:pt>
                <c:pt idx="325">
                  <c:v>97.823850277178977</c:v>
                </c:pt>
                <c:pt idx="326">
                  <c:v>98.440712843716625</c:v>
                </c:pt>
                <c:pt idx="327">
                  <c:v>98.457844440407314</c:v>
                </c:pt>
                <c:pt idx="328">
                  <c:v>96.178889715920576</c:v>
                </c:pt>
                <c:pt idx="329">
                  <c:v>94.276900372226081</c:v>
                </c:pt>
                <c:pt idx="330">
                  <c:v>96.161751265220403</c:v>
                </c:pt>
                <c:pt idx="331">
                  <c:v>97.532551447351992</c:v>
                </c:pt>
                <c:pt idx="332">
                  <c:v>95.322138531149335</c:v>
                </c:pt>
                <c:pt idx="333">
                  <c:v>97.258391068225208</c:v>
                </c:pt>
                <c:pt idx="334">
                  <c:v>95.613430506966822</c:v>
                </c:pt>
                <c:pt idx="335">
                  <c:v>95.253596722865282</c:v>
                </c:pt>
                <c:pt idx="336">
                  <c:v>96.264563120895332</c:v>
                </c:pt>
                <c:pt idx="337">
                  <c:v>95.921862646986838</c:v>
                </c:pt>
                <c:pt idx="338">
                  <c:v>96.453050095047359</c:v>
                </c:pt>
                <c:pt idx="339">
                  <c:v>97.583961658945398</c:v>
                </c:pt>
                <c:pt idx="340">
                  <c:v>97.515419850661331</c:v>
                </c:pt>
                <c:pt idx="341">
                  <c:v>99.897186430822984</c:v>
                </c:pt>
                <c:pt idx="342">
                  <c:v>99.314595625178555</c:v>
                </c:pt>
                <c:pt idx="343">
                  <c:v>100.92529299305558</c:v>
                </c:pt>
                <c:pt idx="344">
                  <c:v>100.66826421061947</c:v>
                </c:pt>
                <c:pt idx="345">
                  <c:v>104.24948416296321</c:v>
                </c:pt>
                <c:pt idx="346">
                  <c:v>104.30088752054711</c:v>
                </c:pt>
                <c:pt idx="347">
                  <c:v>104.83207496860764</c:v>
                </c:pt>
                <c:pt idx="348">
                  <c:v>106.49417569406856</c:v>
                </c:pt>
                <c:pt idx="349">
                  <c:v>106.95681447983554</c:v>
                </c:pt>
                <c:pt idx="350">
                  <c:v>105.05483199015053</c:v>
                </c:pt>
                <c:pt idx="351">
                  <c:v>105.27758387118632</c:v>
                </c:pt>
                <c:pt idx="352">
                  <c:v>103.97532378383642</c:v>
                </c:pt>
                <c:pt idx="353">
                  <c:v>104.12953899709524</c:v>
                </c:pt>
                <c:pt idx="354">
                  <c:v>107.21384326227165</c:v>
                </c:pt>
                <c:pt idx="355">
                  <c:v>105.00342349205951</c:v>
                </c:pt>
                <c:pt idx="356">
                  <c:v>107.40232852292134</c:v>
                </c:pt>
                <c:pt idx="357">
                  <c:v>104.59218635037408</c:v>
                </c:pt>
                <c:pt idx="358">
                  <c:v>104.59218635037408</c:v>
                </c:pt>
                <c:pt idx="359">
                  <c:v>106.08293169837364</c:v>
                </c:pt>
                <c:pt idx="360">
                  <c:v>105.99725829339889</c:v>
                </c:pt>
                <c:pt idx="361">
                  <c:v>110.69224964543812</c:v>
                </c:pt>
                <c:pt idx="362">
                  <c:v>107.02535628811964</c:v>
                </c:pt>
                <c:pt idx="363">
                  <c:v>104.43797113711527</c:v>
                </c:pt>
                <c:pt idx="364">
                  <c:v>105.56888270101328</c:v>
                </c:pt>
                <c:pt idx="365">
                  <c:v>105.12336694442513</c:v>
                </c:pt>
                <c:pt idx="366">
                  <c:v>106.78546766988606</c:v>
                </c:pt>
                <c:pt idx="367">
                  <c:v>105.8944447242216</c:v>
                </c:pt>
                <c:pt idx="368">
                  <c:v>105.53461094012006</c:v>
                </c:pt>
                <c:pt idx="369">
                  <c:v>107.02535628811962</c:v>
                </c:pt>
                <c:pt idx="370">
                  <c:v>108.94448408251429</c:v>
                </c:pt>
                <c:pt idx="371">
                  <c:v>106.63125245662724</c:v>
                </c:pt>
                <c:pt idx="372">
                  <c:v>106.51130729075926</c:v>
                </c:pt>
                <c:pt idx="373">
                  <c:v>105.43179908444515</c:v>
                </c:pt>
                <c:pt idx="374">
                  <c:v>105.92871648511483</c:v>
                </c:pt>
                <c:pt idx="375">
                  <c:v>104.59218635037408</c:v>
                </c:pt>
                <c:pt idx="376">
                  <c:v>105.82590291593755</c:v>
                </c:pt>
                <c:pt idx="377">
                  <c:v>104.88347832619156</c:v>
                </c:pt>
                <c:pt idx="378">
                  <c:v>106.20287686424162</c:v>
                </c:pt>
                <c:pt idx="379">
                  <c:v>104.91775008708478</c:v>
                </c:pt>
                <c:pt idx="380">
                  <c:v>106.59698069573405</c:v>
                </c:pt>
                <c:pt idx="381">
                  <c:v>106.78546766988609</c:v>
                </c:pt>
                <c:pt idx="382">
                  <c:v>103.23851776493319</c:v>
                </c:pt>
                <c:pt idx="383">
                  <c:v>105.38039572686127</c:v>
                </c:pt>
                <c:pt idx="384">
                  <c:v>104.30088752054715</c:v>
                </c:pt>
                <c:pt idx="385">
                  <c:v>106.11720174576453</c:v>
                </c:pt>
                <c:pt idx="386">
                  <c:v>104.33515756793801</c:v>
                </c:pt>
                <c:pt idx="387">
                  <c:v>109.56133979504251</c:v>
                </c:pt>
                <c:pt idx="388">
                  <c:v>109.42426303248385</c:v>
                </c:pt>
                <c:pt idx="389">
                  <c:v>112.11446003916316</c:v>
                </c:pt>
                <c:pt idx="390">
                  <c:v>111.10348678712363</c:v>
                </c:pt>
                <c:pt idx="391">
                  <c:v>110.89787507029038</c:v>
                </c:pt>
                <c:pt idx="392">
                  <c:v>110.38381921892055</c:v>
                </c:pt>
                <c:pt idx="393">
                  <c:v>105.55174253681081</c:v>
                </c:pt>
                <c:pt idx="394">
                  <c:v>105.22618051360249</c:v>
                </c:pt>
                <c:pt idx="395">
                  <c:v>103.49554654736934</c:v>
                </c:pt>
                <c:pt idx="396">
                  <c:v>104.81493651790757</c:v>
                </c:pt>
                <c:pt idx="397">
                  <c:v>103.42700473908528</c:v>
                </c:pt>
                <c:pt idx="398">
                  <c:v>103.64976176062817</c:v>
                </c:pt>
                <c:pt idx="399">
                  <c:v>103.16997595664917</c:v>
                </c:pt>
                <c:pt idx="400">
                  <c:v>103.47840638316681</c:v>
                </c:pt>
                <c:pt idx="401">
                  <c:v>102.50171174602997</c:v>
                </c:pt>
                <c:pt idx="402">
                  <c:v>103.64976176062814</c:v>
                </c:pt>
                <c:pt idx="403">
                  <c:v>104.91775008708481</c:v>
                </c:pt>
                <c:pt idx="404">
                  <c:v>102.1418779619284</c:v>
                </c:pt>
                <c:pt idx="405">
                  <c:v>104.86634672950092</c:v>
                </c:pt>
                <c:pt idx="406">
                  <c:v>105.41466577425214</c:v>
                </c:pt>
                <c:pt idx="407">
                  <c:v>106.39136212489134</c:v>
                </c:pt>
                <c:pt idx="408">
                  <c:v>105.70595946357199</c:v>
                </c:pt>
                <c:pt idx="409">
                  <c:v>104.64358970795803</c:v>
                </c:pt>
                <c:pt idx="410">
                  <c:v>104.52364454209007</c:v>
                </c:pt>
                <c:pt idx="411">
                  <c:v>103.7525667622936</c:v>
                </c:pt>
                <c:pt idx="412">
                  <c:v>102.89581557752237</c:v>
                </c:pt>
                <c:pt idx="413">
                  <c:v>101.49074534799992</c:v>
                </c:pt>
                <c:pt idx="414">
                  <c:v>102.09047460434454</c:v>
                </c:pt>
                <c:pt idx="415">
                  <c:v>103.18711440734936</c:v>
                </c:pt>
                <c:pt idx="416">
                  <c:v>102.63879536259813</c:v>
                </c:pt>
                <c:pt idx="417">
                  <c:v>102.12473779772591</c:v>
                </c:pt>
                <c:pt idx="418">
                  <c:v>99.862916383432236</c:v>
                </c:pt>
                <c:pt idx="419">
                  <c:v>99.29746402848798</c:v>
                </c:pt>
                <c:pt idx="420">
                  <c:v>94.962297893038439</c:v>
                </c:pt>
                <c:pt idx="421">
                  <c:v>97.069912661585136</c:v>
                </c:pt>
                <c:pt idx="422">
                  <c:v>97.275529518925495</c:v>
                </c:pt>
                <c:pt idx="423">
                  <c:v>98.372171035432672</c:v>
                </c:pt>
                <c:pt idx="424">
                  <c:v>100.78820937648756</c:v>
                </c:pt>
                <c:pt idx="425">
                  <c:v>98.69773305864102</c:v>
                </c:pt>
                <c:pt idx="426">
                  <c:v>100.71966756820349</c:v>
                </c:pt>
                <c:pt idx="427">
                  <c:v>104.23235256627265</c:v>
                </c:pt>
                <c:pt idx="428">
                  <c:v>105.48320758253628</c:v>
                </c:pt>
                <c:pt idx="429">
                  <c:v>107.45373188050539</c:v>
                </c:pt>
                <c:pt idx="430">
                  <c:v>107.89924592359117</c:v>
                </c:pt>
                <c:pt idx="431">
                  <c:v>106.33995876730752</c:v>
                </c:pt>
                <c:pt idx="432">
                  <c:v>107.11102969309452</c:v>
                </c:pt>
                <c:pt idx="433">
                  <c:v>108.24194125699255</c:v>
                </c:pt>
                <c:pt idx="434">
                  <c:v>108.39615647025137</c:v>
                </c:pt>
                <c:pt idx="435">
                  <c:v>108.10486449443388</c:v>
                </c:pt>
                <c:pt idx="436">
                  <c:v>108.13913625532709</c:v>
                </c:pt>
                <c:pt idx="437">
                  <c:v>108.85880382353018</c:v>
                </c:pt>
                <c:pt idx="438">
                  <c:v>112.02877978017901</c:v>
                </c:pt>
                <c:pt idx="439">
                  <c:v>115.91843872655224</c:v>
                </c:pt>
                <c:pt idx="440">
                  <c:v>113.57093533977196</c:v>
                </c:pt>
                <c:pt idx="441">
                  <c:v>113.17683664878668</c:v>
                </c:pt>
                <c:pt idx="442">
                  <c:v>111.32625066267606</c:v>
                </c:pt>
                <c:pt idx="443">
                  <c:v>115.67854839481629</c:v>
                </c:pt>
                <c:pt idx="444">
                  <c:v>120.2707347451901</c:v>
                </c:pt>
                <c:pt idx="445">
                  <c:v>124.34886695769639</c:v>
                </c:pt>
                <c:pt idx="446">
                  <c:v>126.662091729574</c:v>
                </c:pt>
                <c:pt idx="447">
                  <c:v>125.03426961901576</c:v>
                </c:pt>
                <c:pt idx="448">
                  <c:v>124.89718600244764</c:v>
                </c:pt>
                <c:pt idx="449">
                  <c:v>124.0404348176764</c:v>
                </c:pt>
                <c:pt idx="450">
                  <c:v>126.76491043925839</c:v>
                </c:pt>
                <c:pt idx="451">
                  <c:v>127.00480077099432</c:v>
                </c:pt>
                <c:pt idx="452">
                  <c:v>127.46743955676132</c:v>
                </c:pt>
                <c:pt idx="453">
                  <c:v>130.55174896244489</c:v>
                </c:pt>
                <c:pt idx="454">
                  <c:v>130.05483327527756</c:v>
                </c:pt>
                <c:pt idx="455">
                  <c:v>131.2542780799478</c:v>
                </c:pt>
                <c:pt idx="456">
                  <c:v>131.27141824415034</c:v>
                </c:pt>
                <c:pt idx="457">
                  <c:v>130.7059590351966</c:v>
                </c:pt>
                <c:pt idx="458">
                  <c:v>129.00959511635429</c:v>
                </c:pt>
                <c:pt idx="459">
                  <c:v>130.44893025276048</c:v>
                </c:pt>
                <c:pt idx="460">
                  <c:v>130.12337337005926</c:v>
                </c:pt>
                <c:pt idx="461">
                  <c:v>129.52363725970514</c:v>
                </c:pt>
                <c:pt idx="462">
                  <c:v>130.44893025276045</c:v>
                </c:pt>
                <c:pt idx="463">
                  <c:v>130.20904163452687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A-4C27-8CCC-FEB883E7B304}"/>
            </c:ext>
          </c:extLst>
        </c:ser>
        <c:ser>
          <c:idx val="3"/>
          <c:order val="3"/>
          <c:tx>
            <c:strRef>
              <c:f>'Data Checks'!$J$3</c:f>
              <c:strCache>
                <c:ptCount val="1"/>
                <c:pt idx="0">
                  <c:v>Energy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 Checks'!$A$4:$A$467</c:f>
              <c:numCache>
                <c:formatCode>m/d/yyyy</c:formatCode>
                <c:ptCount val="464"/>
                <c:pt idx="0">
                  <c:v>43891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43901</c:v>
                </c:pt>
                <c:pt idx="7">
                  <c:v>43902</c:v>
                </c:pt>
                <c:pt idx="8">
                  <c:v>43903</c:v>
                </c:pt>
                <c:pt idx="9">
                  <c:v>43904</c:v>
                </c:pt>
                <c:pt idx="10">
                  <c:v>43905</c:v>
                </c:pt>
                <c:pt idx="11">
                  <c:v>43908</c:v>
                </c:pt>
                <c:pt idx="12">
                  <c:v>43909</c:v>
                </c:pt>
                <c:pt idx="13">
                  <c:v>43910</c:v>
                </c:pt>
                <c:pt idx="14">
                  <c:v>43911</c:v>
                </c:pt>
                <c:pt idx="15">
                  <c:v>43912</c:v>
                </c:pt>
                <c:pt idx="16">
                  <c:v>43915</c:v>
                </c:pt>
                <c:pt idx="17">
                  <c:v>43916</c:v>
                </c:pt>
                <c:pt idx="18">
                  <c:v>43917</c:v>
                </c:pt>
                <c:pt idx="19">
                  <c:v>43918</c:v>
                </c:pt>
                <c:pt idx="20">
                  <c:v>43919</c:v>
                </c:pt>
                <c:pt idx="21">
                  <c:v>43922</c:v>
                </c:pt>
                <c:pt idx="22">
                  <c:v>43923</c:v>
                </c:pt>
                <c:pt idx="23">
                  <c:v>43924</c:v>
                </c:pt>
                <c:pt idx="24">
                  <c:v>43925</c:v>
                </c:pt>
                <c:pt idx="25">
                  <c:v>43926</c:v>
                </c:pt>
                <c:pt idx="26">
                  <c:v>43929</c:v>
                </c:pt>
                <c:pt idx="27">
                  <c:v>43930</c:v>
                </c:pt>
                <c:pt idx="28">
                  <c:v>43931</c:v>
                </c:pt>
                <c:pt idx="29">
                  <c:v>43932</c:v>
                </c:pt>
                <c:pt idx="30">
                  <c:v>43933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43939</c:v>
                </c:pt>
                <c:pt idx="35">
                  <c:v>43943</c:v>
                </c:pt>
                <c:pt idx="36">
                  <c:v>43944</c:v>
                </c:pt>
                <c:pt idx="37">
                  <c:v>43945</c:v>
                </c:pt>
                <c:pt idx="38">
                  <c:v>43946</c:v>
                </c:pt>
                <c:pt idx="39">
                  <c:v>43947</c:v>
                </c:pt>
                <c:pt idx="40">
                  <c:v>43950</c:v>
                </c:pt>
                <c:pt idx="41">
                  <c:v>43951</c:v>
                </c:pt>
                <c:pt idx="42">
                  <c:v>43952</c:v>
                </c:pt>
                <c:pt idx="43">
                  <c:v>43953</c:v>
                </c:pt>
                <c:pt idx="44">
                  <c:v>43954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43964</c:v>
                </c:pt>
                <c:pt idx="51">
                  <c:v>43965</c:v>
                </c:pt>
                <c:pt idx="52">
                  <c:v>43966</c:v>
                </c:pt>
                <c:pt idx="53">
                  <c:v>43967</c:v>
                </c:pt>
                <c:pt idx="54">
                  <c:v>43968</c:v>
                </c:pt>
                <c:pt idx="55">
                  <c:v>43971</c:v>
                </c:pt>
                <c:pt idx="56">
                  <c:v>43972</c:v>
                </c:pt>
                <c:pt idx="57">
                  <c:v>43973</c:v>
                </c:pt>
                <c:pt idx="58">
                  <c:v>43974</c:v>
                </c:pt>
                <c:pt idx="59">
                  <c:v>43975</c:v>
                </c:pt>
                <c:pt idx="60">
                  <c:v>43979</c:v>
                </c:pt>
                <c:pt idx="61">
                  <c:v>43980</c:v>
                </c:pt>
                <c:pt idx="62">
                  <c:v>43981</c:v>
                </c:pt>
                <c:pt idx="63">
                  <c:v>43982</c:v>
                </c:pt>
                <c:pt idx="64">
                  <c:v>43985</c:v>
                </c:pt>
                <c:pt idx="65">
                  <c:v>43986</c:v>
                </c:pt>
                <c:pt idx="66">
                  <c:v>43987</c:v>
                </c:pt>
                <c:pt idx="67">
                  <c:v>43988</c:v>
                </c:pt>
                <c:pt idx="68">
                  <c:v>43989</c:v>
                </c:pt>
                <c:pt idx="69">
                  <c:v>43992</c:v>
                </c:pt>
                <c:pt idx="70">
                  <c:v>43993</c:v>
                </c:pt>
                <c:pt idx="71">
                  <c:v>43994</c:v>
                </c:pt>
                <c:pt idx="72">
                  <c:v>43995</c:v>
                </c:pt>
                <c:pt idx="73">
                  <c:v>43996</c:v>
                </c:pt>
                <c:pt idx="74">
                  <c:v>43999</c:v>
                </c:pt>
                <c:pt idx="75">
                  <c:v>44000</c:v>
                </c:pt>
                <c:pt idx="76">
                  <c:v>44001</c:v>
                </c:pt>
                <c:pt idx="77">
                  <c:v>44002</c:v>
                </c:pt>
                <c:pt idx="78">
                  <c:v>44003</c:v>
                </c:pt>
                <c:pt idx="79">
                  <c:v>44006</c:v>
                </c:pt>
                <c:pt idx="80">
                  <c:v>44007</c:v>
                </c:pt>
                <c:pt idx="81">
                  <c:v>44008</c:v>
                </c:pt>
                <c:pt idx="82">
                  <c:v>44009</c:v>
                </c:pt>
                <c:pt idx="83">
                  <c:v>44010</c:v>
                </c:pt>
                <c:pt idx="84">
                  <c:v>44013</c:v>
                </c:pt>
                <c:pt idx="85">
                  <c:v>44014</c:v>
                </c:pt>
                <c:pt idx="86">
                  <c:v>44015</c:v>
                </c:pt>
                <c:pt idx="87">
                  <c:v>44017</c:v>
                </c:pt>
                <c:pt idx="88">
                  <c:v>44020</c:v>
                </c:pt>
                <c:pt idx="89">
                  <c:v>44021</c:v>
                </c:pt>
                <c:pt idx="90">
                  <c:v>44022</c:v>
                </c:pt>
                <c:pt idx="91">
                  <c:v>44023</c:v>
                </c:pt>
                <c:pt idx="92">
                  <c:v>44024</c:v>
                </c:pt>
                <c:pt idx="93">
                  <c:v>44027</c:v>
                </c:pt>
                <c:pt idx="94">
                  <c:v>44028</c:v>
                </c:pt>
                <c:pt idx="95">
                  <c:v>44029</c:v>
                </c:pt>
                <c:pt idx="96">
                  <c:v>44030</c:v>
                </c:pt>
                <c:pt idx="97">
                  <c:v>44031</c:v>
                </c:pt>
                <c:pt idx="98">
                  <c:v>44034</c:v>
                </c:pt>
                <c:pt idx="99">
                  <c:v>44035</c:v>
                </c:pt>
                <c:pt idx="100">
                  <c:v>44036</c:v>
                </c:pt>
                <c:pt idx="101">
                  <c:v>44037</c:v>
                </c:pt>
                <c:pt idx="102">
                  <c:v>44038</c:v>
                </c:pt>
                <c:pt idx="103">
                  <c:v>44041</c:v>
                </c:pt>
                <c:pt idx="104">
                  <c:v>44042</c:v>
                </c:pt>
                <c:pt idx="105">
                  <c:v>44043</c:v>
                </c:pt>
                <c:pt idx="106">
                  <c:v>44044</c:v>
                </c:pt>
                <c:pt idx="107">
                  <c:v>44045</c:v>
                </c:pt>
                <c:pt idx="108">
                  <c:v>44048</c:v>
                </c:pt>
                <c:pt idx="109">
                  <c:v>44049</c:v>
                </c:pt>
                <c:pt idx="110">
                  <c:v>44050</c:v>
                </c:pt>
                <c:pt idx="111">
                  <c:v>44051</c:v>
                </c:pt>
                <c:pt idx="112">
                  <c:v>44052</c:v>
                </c:pt>
                <c:pt idx="113">
                  <c:v>44055</c:v>
                </c:pt>
                <c:pt idx="114">
                  <c:v>44056</c:v>
                </c:pt>
                <c:pt idx="115">
                  <c:v>44057</c:v>
                </c:pt>
                <c:pt idx="116">
                  <c:v>44058</c:v>
                </c:pt>
                <c:pt idx="117">
                  <c:v>44059</c:v>
                </c:pt>
                <c:pt idx="118">
                  <c:v>44062</c:v>
                </c:pt>
                <c:pt idx="119">
                  <c:v>44063</c:v>
                </c:pt>
                <c:pt idx="120">
                  <c:v>44064</c:v>
                </c:pt>
                <c:pt idx="121">
                  <c:v>44065</c:v>
                </c:pt>
                <c:pt idx="122">
                  <c:v>44066</c:v>
                </c:pt>
                <c:pt idx="123">
                  <c:v>44069</c:v>
                </c:pt>
                <c:pt idx="124">
                  <c:v>44070</c:v>
                </c:pt>
                <c:pt idx="125">
                  <c:v>44071</c:v>
                </c:pt>
                <c:pt idx="126">
                  <c:v>44072</c:v>
                </c:pt>
                <c:pt idx="127">
                  <c:v>44073</c:v>
                </c:pt>
                <c:pt idx="128">
                  <c:v>44077</c:v>
                </c:pt>
                <c:pt idx="129">
                  <c:v>44078</c:v>
                </c:pt>
                <c:pt idx="130">
                  <c:v>44079</c:v>
                </c:pt>
                <c:pt idx="131">
                  <c:v>44080</c:v>
                </c:pt>
                <c:pt idx="132">
                  <c:v>44083</c:v>
                </c:pt>
                <c:pt idx="133">
                  <c:v>44084</c:v>
                </c:pt>
                <c:pt idx="134">
                  <c:v>44085</c:v>
                </c:pt>
                <c:pt idx="135">
                  <c:v>44086</c:v>
                </c:pt>
                <c:pt idx="136">
                  <c:v>44087</c:v>
                </c:pt>
                <c:pt idx="137">
                  <c:v>44090</c:v>
                </c:pt>
                <c:pt idx="138">
                  <c:v>44091</c:v>
                </c:pt>
                <c:pt idx="139">
                  <c:v>44092</c:v>
                </c:pt>
                <c:pt idx="140">
                  <c:v>44093</c:v>
                </c:pt>
                <c:pt idx="141">
                  <c:v>44094</c:v>
                </c:pt>
                <c:pt idx="142">
                  <c:v>44097</c:v>
                </c:pt>
                <c:pt idx="143">
                  <c:v>44098</c:v>
                </c:pt>
                <c:pt idx="144">
                  <c:v>44099</c:v>
                </c:pt>
                <c:pt idx="145">
                  <c:v>44100</c:v>
                </c:pt>
                <c:pt idx="146">
                  <c:v>44101</c:v>
                </c:pt>
                <c:pt idx="147">
                  <c:v>44104</c:v>
                </c:pt>
                <c:pt idx="148">
                  <c:v>44105</c:v>
                </c:pt>
                <c:pt idx="149">
                  <c:v>44106</c:v>
                </c:pt>
                <c:pt idx="150">
                  <c:v>44107</c:v>
                </c:pt>
                <c:pt idx="151">
                  <c:v>44108</c:v>
                </c:pt>
                <c:pt idx="152">
                  <c:v>44111</c:v>
                </c:pt>
                <c:pt idx="153">
                  <c:v>44112</c:v>
                </c:pt>
                <c:pt idx="154">
                  <c:v>44113</c:v>
                </c:pt>
                <c:pt idx="155">
                  <c:v>44114</c:v>
                </c:pt>
                <c:pt idx="156">
                  <c:v>44115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44121</c:v>
                </c:pt>
                <c:pt idx="161">
                  <c:v>44122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44128</c:v>
                </c:pt>
                <c:pt idx="166">
                  <c:v>44129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44135</c:v>
                </c:pt>
                <c:pt idx="171">
                  <c:v>44136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44142</c:v>
                </c:pt>
                <c:pt idx="176">
                  <c:v>44143</c:v>
                </c:pt>
                <c:pt idx="177">
                  <c:v>44146</c:v>
                </c:pt>
                <c:pt idx="178">
                  <c:v>44147</c:v>
                </c:pt>
                <c:pt idx="179">
                  <c:v>44148</c:v>
                </c:pt>
                <c:pt idx="180">
                  <c:v>44149</c:v>
                </c:pt>
                <c:pt idx="181">
                  <c:v>44150</c:v>
                </c:pt>
                <c:pt idx="182">
                  <c:v>44153</c:v>
                </c:pt>
                <c:pt idx="183">
                  <c:v>44154</c:v>
                </c:pt>
                <c:pt idx="184">
                  <c:v>44155</c:v>
                </c:pt>
                <c:pt idx="185">
                  <c:v>44156</c:v>
                </c:pt>
                <c:pt idx="186">
                  <c:v>44157</c:v>
                </c:pt>
                <c:pt idx="187">
                  <c:v>44160</c:v>
                </c:pt>
                <c:pt idx="188">
                  <c:v>44161</c:v>
                </c:pt>
                <c:pt idx="189">
                  <c:v>44162</c:v>
                </c:pt>
                <c:pt idx="190">
                  <c:v>44164</c:v>
                </c:pt>
                <c:pt idx="191">
                  <c:v>44167</c:v>
                </c:pt>
                <c:pt idx="192">
                  <c:v>44168</c:v>
                </c:pt>
                <c:pt idx="193">
                  <c:v>44169</c:v>
                </c:pt>
                <c:pt idx="194">
                  <c:v>44170</c:v>
                </c:pt>
                <c:pt idx="195">
                  <c:v>44171</c:v>
                </c:pt>
                <c:pt idx="196">
                  <c:v>44174</c:v>
                </c:pt>
                <c:pt idx="197">
                  <c:v>44175</c:v>
                </c:pt>
                <c:pt idx="198">
                  <c:v>44176</c:v>
                </c:pt>
                <c:pt idx="199">
                  <c:v>44177</c:v>
                </c:pt>
                <c:pt idx="200">
                  <c:v>44178</c:v>
                </c:pt>
                <c:pt idx="201">
                  <c:v>44181</c:v>
                </c:pt>
                <c:pt idx="202">
                  <c:v>44182</c:v>
                </c:pt>
                <c:pt idx="203">
                  <c:v>44183</c:v>
                </c:pt>
                <c:pt idx="204">
                  <c:v>44184</c:v>
                </c:pt>
                <c:pt idx="205">
                  <c:v>44185</c:v>
                </c:pt>
                <c:pt idx="206">
                  <c:v>44188</c:v>
                </c:pt>
                <c:pt idx="207">
                  <c:v>44189</c:v>
                </c:pt>
                <c:pt idx="208">
                  <c:v>44191</c:v>
                </c:pt>
                <c:pt idx="209">
                  <c:v>44192</c:v>
                </c:pt>
                <c:pt idx="210">
                  <c:v>44195</c:v>
                </c:pt>
                <c:pt idx="211">
                  <c:v>44196</c:v>
                </c:pt>
                <c:pt idx="212">
                  <c:v>44198</c:v>
                </c:pt>
                <c:pt idx="213">
                  <c:v>44199</c:v>
                </c:pt>
                <c:pt idx="214">
                  <c:v>44202</c:v>
                </c:pt>
                <c:pt idx="215">
                  <c:v>44203</c:v>
                </c:pt>
                <c:pt idx="216">
                  <c:v>44204</c:v>
                </c:pt>
                <c:pt idx="217">
                  <c:v>44205</c:v>
                </c:pt>
                <c:pt idx="218">
                  <c:v>44206</c:v>
                </c:pt>
                <c:pt idx="219">
                  <c:v>44209</c:v>
                </c:pt>
                <c:pt idx="220">
                  <c:v>44210</c:v>
                </c:pt>
                <c:pt idx="221">
                  <c:v>44211</c:v>
                </c:pt>
                <c:pt idx="222">
                  <c:v>44212</c:v>
                </c:pt>
                <c:pt idx="223">
                  <c:v>44213</c:v>
                </c:pt>
                <c:pt idx="224">
                  <c:v>44217</c:v>
                </c:pt>
                <c:pt idx="225">
                  <c:v>44218</c:v>
                </c:pt>
                <c:pt idx="226">
                  <c:v>44219</c:v>
                </c:pt>
                <c:pt idx="227">
                  <c:v>44220</c:v>
                </c:pt>
                <c:pt idx="228">
                  <c:v>44223</c:v>
                </c:pt>
                <c:pt idx="229">
                  <c:v>44224</c:v>
                </c:pt>
                <c:pt idx="230">
                  <c:v>44225</c:v>
                </c:pt>
                <c:pt idx="231">
                  <c:v>44226</c:v>
                </c:pt>
                <c:pt idx="232">
                  <c:v>44227</c:v>
                </c:pt>
                <c:pt idx="233">
                  <c:v>44230</c:v>
                </c:pt>
                <c:pt idx="234">
                  <c:v>44231</c:v>
                </c:pt>
                <c:pt idx="235">
                  <c:v>44232</c:v>
                </c:pt>
                <c:pt idx="236">
                  <c:v>44233</c:v>
                </c:pt>
                <c:pt idx="237">
                  <c:v>44234</c:v>
                </c:pt>
                <c:pt idx="238">
                  <c:v>44237</c:v>
                </c:pt>
                <c:pt idx="239">
                  <c:v>44238</c:v>
                </c:pt>
                <c:pt idx="240">
                  <c:v>44239</c:v>
                </c:pt>
                <c:pt idx="241">
                  <c:v>44240</c:v>
                </c:pt>
                <c:pt idx="242">
                  <c:v>44241</c:v>
                </c:pt>
                <c:pt idx="243">
                  <c:v>44245</c:v>
                </c:pt>
                <c:pt idx="244">
                  <c:v>44246</c:v>
                </c:pt>
                <c:pt idx="245">
                  <c:v>44247</c:v>
                </c:pt>
                <c:pt idx="246">
                  <c:v>44248</c:v>
                </c:pt>
                <c:pt idx="247">
                  <c:v>44251</c:v>
                </c:pt>
                <c:pt idx="248">
                  <c:v>44252</c:v>
                </c:pt>
                <c:pt idx="249">
                  <c:v>44253</c:v>
                </c:pt>
                <c:pt idx="250">
                  <c:v>44254</c:v>
                </c:pt>
                <c:pt idx="251">
                  <c:v>44255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44261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44268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44275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44282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44288</c:v>
                </c:pt>
                <c:pt idx="276">
                  <c:v>44289</c:v>
                </c:pt>
                <c:pt idx="277">
                  <c:v>44292</c:v>
                </c:pt>
                <c:pt idx="278">
                  <c:v>44293</c:v>
                </c:pt>
                <c:pt idx="279">
                  <c:v>44294</c:v>
                </c:pt>
                <c:pt idx="280">
                  <c:v>44295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44303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44310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44317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44324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44331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44338</c:v>
                </c:pt>
                <c:pt idx="311">
                  <c:v>44342</c:v>
                </c:pt>
                <c:pt idx="312">
                  <c:v>44343</c:v>
                </c:pt>
                <c:pt idx="313">
                  <c:v>44344</c:v>
                </c:pt>
                <c:pt idx="314">
                  <c:v>44345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44352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44359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44366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44373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44387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44394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44401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44408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44415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44422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44429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44436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44443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44450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44457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44464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44471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44478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44485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44492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44499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44506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44513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44520</c:v>
                </c:pt>
                <c:pt idx="438">
                  <c:v>44523</c:v>
                </c:pt>
                <c:pt idx="439">
                  <c:v>44524</c:v>
                </c:pt>
                <c:pt idx="440">
                  <c:v>44525</c:v>
                </c:pt>
                <c:pt idx="441">
                  <c:v>44527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44534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44541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44548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44554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</c:numCache>
            </c:numRef>
          </c:cat>
          <c:val>
            <c:numRef>
              <c:f>'Data Checks'!$J$4:$J$467</c:f>
              <c:numCache>
                <c:formatCode>General</c:formatCode>
                <c:ptCount val="464"/>
                <c:pt idx="0">
                  <c:v>100</c:v>
                </c:pt>
                <c:pt idx="1">
                  <c:v>99.951862965340169</c:v>
                </c:pt>
                <c:pt idx="2">
                  <c:v>100.09627888318356</c:v>
                </c:pt>
                <c:pt idx="3">
                  <c:v>100.11232188703465</c:v>
                </c:pt>
                <c:pt idx="4">
                  <c:v>98.796534017971751</c:v>
                </c:pt>
                <c:pt idx="5">
                  <c:v>97.560974005134781</c:v>
                </c:pt>
                <c:pt idx="6">
                  <c:v>98.250962772785613</c:v>
                </c:pt>
                <c:pt idx="7">
                  <c:v>98.427471116816434</c:v>
                </c:pt>
                <c:pt idx="8">
                  <c:v>101.07509948652117</c:v>
                </c:pt>
                <c:pt idx="9">
                  <c:v>101.1713719512195</c:v>
                </c:pt>
                <c:pt idx="10">
                  <c:v>101.55648427471115</c:v>
                </c:pt>
                <c:pt idx="11">
                  <c:v>102.84017329910139</c:v>
                </c:pt>
                <c:pt idx="12">
                  <c:v>102.615534338896</c:v>
                </c:pt>
                <c:pt idx="13">
                  <c:v>103.46598684210524</c:v>
                </c:pt>
                <c:pt idx="14">
                  <c:v>102.82413671373554</c:v>
                </c:pt>
                <c:pt idx="15">
                  <c:v>100.89858953786906</c:v>
                </c:pt>
                <c:pt idx="16">
                  <c:v>100.75417362002565</c:v>
                </c:pt>
                <c:pt idx="17">
                  <c:v>101.41206835686776</c:v>
                </c:pt>
                <c:pt idx="18">
                  <c:v>100.41720474967906</c:v>
                </c:pt>
                <c:pt idx="19">
                  <c:v>100.5134772143774</c:v>
                </c:pt>
                <c:pt idx="20">
                  <c:v>100.43324775353017</c:v>
                </c:pt>
                <c:pt idx="21">
                  <c:v>101.54043485237483</c:v>
                </c:pt>
                <c:pt idx="22">
                  <c:v>101.90949614890886</c:v>
                </c:pt>
                <c:pt idx="23">
                  <c:v>102.40693196405648</c:v>
                </c:pt>
                <c:pt idx="24">
                  <c:v>102.64762676508344</c:v>
                </c:pt>
                <c:pt idx="25">
                  <c:v>103.53016206675224</c:v>
                </c:pt>
                <c:pt idx="26">
                  <c:v>104.78177631578947</c:v>
                </c:pt>
                <c:pt idx="27">
                  <c:v>103.6103979460847</c:v>
                </c:pt>
                <c:pt idx="28">
                  <c:v>104.31643453145057</c:v>
                </c:pt>
                <c:pt idx="29">
                  <c:v>104.17201219512195</c:v>
                </c:pt>
                <c:pt idx="30">
                  <c:v>103.49807445442875</c:v>
                </c:pt>
                <c:pt idx="31">
                  <c:v>103.62644736842104</c:v>
                </c:pt>
                <c:pt idx="32">
                  <c:v>103.17715500641849</c:v>
                </c:pt>
                <c:pt idx="33">
                  <c:v>103.64248395378691</c:v>
                </c:pt>
                <c:pt idx="34">
                  <c:v>103.01668324775352</c:v>
                </c:pt>
                <c:pt idx="35">
                  <c:v>104.68549101412066</c:v>
                </c:pt>
                <c:pt idx="36">
                  <c:v>104.30038510911425</c:v>
                </c:pt>
                <c:pt idx="37">
                  <c:v>101.82926668806162</c:v>
                </c:pt>
                <c:pt idx="38">
                  <c:v>102.08600609756098</c:v>
                </c:pt>
                <c:pt idx="39">
                  <c:v>101.18742137355585</c:v>
                </c:pt>
                <c:pt idx="40">
                  <c:v>101.29974486521182</c:v>
                </c:pt>
                <c:pt idx="41">
                  <c:v>101.94159017971759</c:v>
                </c:pt>
                <c:pt idx="42">
                  <c:v>100.64185012836973</c:v>
                </c:pt>
                <c:pt idx="43">
                  <c:v>102.21437901155329</c:v>
                </c:pt>
                <c:pt idx="44">
                  <c:v>103.16110558408218</c:v>
                </c:pt>
                <c:pt idx="45">
                  <c:v>102.8722737483954</c:v>
                </c:pt>
                <c:pt idx="46">
                  <c:v>99.855584082156625</c:v>
                </c:pt>
                <c:pt idx="47">
                  <c:v>100.6258007060334</c:v>
                </c:pt>
                <c:pt idx="48">
                  <c:v>101.29974486521184</c:v>
                </c:pt>
                <c:pt idx="49">
                  <c:v>101.97368260590503</c:v>
                </c:pt>
                <c:pt idx="50">
                  <c:v>101.70090019255457</c:v>
                </c:pt>
                <c:pt idx="51">
                  <c:v>102.87227374839539</c:v>
                </c:pt>
                <c:pt idx="52">
                  <c:v>104.07573973042363</c:v>
                </c:pt>
                <c:pt idx="53">
                  <c:v>103.11296854942235</c:v>
                </c:pt>
                <c:pt idx="54">
                  <c:v>103.12900673940952</c:v>
                </c:pt>
                <c:pt idx="55">
                  <c:v>103.38575096277282</c:v>
                </c:pt>
                <c:pt idx="56">
                  <c:v>103.44993741976894</c:v>
                </c:pt>
                <c:pt idx="57">
                  <c:v>102.24647143774072</c:v>
                </c:pt>
                <c:pt idx="58">
                  <c:v>100.22464537869067</c:v>
                </c:pt>
                <c:pt idx="59">
                  <c:v>101.57252727856229</c:v>
                </c:pt>
                <c:pt idx="60">
                  <c:v>100.38511071887038</c:v>
                </c:pt>
                <c:pt idx="61">
                  <c:v>100.06418645699617</c:v>
                </c:pt>
                <c:pt idx="62">
                  <c:v>99.935813543003874</c:v>
                </c:pt>
                <c:pt idx="63">
                  <c:v>99.181644736842131</c:v>
                </c:pt>
                <c:pt idx="64">
                  <c:v>100.0962788831836</c:v>
                </c:pt>
                <c:pt idx="65">
                  <c:v>100.25673940949939</c:v>
                </c:pt>
                <c:pt idx="66">
                  <c:v>100.70603016688065</c:v>
                </c:pt>
                <c:pt idx="67">
                  <c:v>102.086006097561</c:v>
                </c:pt>
                <c:pt idx="68">
                  <c:v>103.46598684210528</c:v>
                </c:pt>
                <c:pt idx="69">
                  <c:v>103.14505616174587</c:v>
                </c:pt>
                <c:pt idx="70">
                  <c:v>103.51412387676513</c:v>
                </c:pt>
                <c:pt idx="71">
                  <c:v>101.87741014120672</c:v>
                </c:pt>
                <c:pt idx="72">
                  <c:v>102.29460847240057</c:v>
                </c:pt>
                <c:pt idx="73">
                  <c:v>101.78112965340185</c:v>
                </c:pt>
                <c:pt idx="74">
                  <c:v>100.96276957638003</c:v>
                </c:pt>
                <c:pt idx="75">
                  <c:v>102.56739088575102</c:v>
                </c:pt>
                <c:pt idx="76">
                  <c:v>103.30551508344038</c:v>
                </c:pt>
                <c:pt idx="77">
                  <c:v>105.13478337612331</c:v>
                </c:pt>
                <c:pt idx="78">
                  <c:v>105.42361521181009</c:v>
                </c:pt>
                <c:pt idx="79">
                  <c:v>105.68036103979469</c:v>
                </c:pt>
                <c:pt idx="80">
                  <c:v>105.5199005134789</c:v>
                </c:pt>
                <c:pt idx="81">
                  <c:v>105.92105584082165</c:v>
                </c:pt>
                <c:pt idx="82">
                  <c:v>104.44479460847249</c:v>
                </c:pt>
                <c:pt idx="83">
                  <c:v>104.4127086007703</c:v>
                </c:pt>
                <c:pt idx="84">
                  <c:v>104.6213045571246</c:v>
                </c:pt>
                <c:pt idx="85">
                  <c:v>104.47689505776646</c:v>
                </c:pt>
                <c:pt idx="86">
                  <c:v>103.78690629011564</c:v>
                </c:pt>
                <c:pt idx="87">
                  <c:v>103.64248395378699</c:v>
                </c:pt>
                <c:pt idx="88">
                  <c:v>103.36970154043655</c:v>
                </c:pt>
                <c:pt idx="89">
                  <c:v>103.40180038510921</c:v>
                </c:pt>
                <c:pt idx="90">
                  <c:v>104.68549101412076</c:v>
                </c:pt>
                <c:pt idx="91">
                  <c:v>104.9101363928114</c:v>
                </c:pt>
                <c:pt idx="92">
                  <c:v>104.39665917843398</c:v>
                </c:pt>
                <c:pt idx="93">
                  <c:v>103.49807445442885</c:v>
                </c:pt>
                <c:pt idx="94">
                  <c:v>102.40693196405657</c:v>
                </c:pt>
                <c:pt idx="95">
                  <c:v>101.62067073170741</c:v>
                </c:pt>
                <c:pt idx="96">
                  <c:v>101.29974486521191</c:v>
                </c:pt>
                <c:pt idx="97">
                  <c:v>102.13414955070613</c:v>
                </c:pt>
                <c:pt idx="98">
                  <c:v>102.53530487804888</c:v>
                </c:pt>
                <c:pt idx="99">
                  <c:v>102.35879492939675</c:v>
                </c:pt>
                <c:pt idx="100">
                  <c:v>101.36392490372282</c:v>
                </c:pt>
                <c:pt idx="101">
                  <c:v>100.88254011553283</c:v>
                </c:pt>
                <c:pt idx="102">
                  <c:v>101.1232349165598</c:v>
                </c:pt>
                <c:pt idx="103">
                  <c:v>101.82926668806172</c:v>
                </c:pt>
                <c:pt idx="104">
                  <c:v>102.37483793324786</c:v>
                </c:pt>
                <c:pt idx="105">
                  <c:v>100.91463254172027</c:v>
                </c:pt>
                <c:pt idx="106">
                  <c:v>94.319638960205481</c:v>
                </c:pt>
                <c:pt idx="107">
                  <c:v>93.725930680359525</c:v>
                </c:pt>
                <c:pt idx="108">
                  <c:v>91.575738125802403</c:v>
                </c:pt>
                <c:pt idx="109">
                  <c:v>91.944799422336416</c:v>
                </c:pt>
                <c:pt idx="110">
                  <c:v>91.575738125802403</c:v>
                </c:pt>
                <c:pt idx="111">
                  <c:v>93.100128369704848</c:v>
                </c:pt>
                <c:pt idx="112">
                  <c:v>91.94479942233643</c:v>
                </c:pt>
                <c:pt idx="113">
                  <c:v>91.976893453145152</c:v>
                </c:pt>
                <c:pt idx="114">
                  <c:v>92.586651155327445</c:v>
                </c:pt>
                <c:pt idx="115">
                  <c:v>90.468551026957741</c:v>
                </c:pt>
                <c:pt idx="116">
                  <c:v>88.398587933247853</c:v>
                </c:pt>
                <c:pt idx="117">
                  <c:v>89.152761553273521</c:v>
                </c:pt>
                <c:pt idx="118">
                  <c:v>89.95507220795902</c:v>
                </c:pt>
                <c:pt idx="119">
                  <c:v>89.313222079589309</c:v>
                </c:pt>
                <c:pt idx="120">
                  <c:v>90.243905648267102</c:v>
                </c:pt>
                <c:pt idx="121">
                  <c:v>89.682283376123337</c:v>
                </c:pt>
                <c:pt idx="122">
                  <c:v>88.462774390243993</c:v>
                </c:pt>
                <c:pt idx="123">
                  <c:v>88.751606225930786</c:v>
                </c:pt>
                <c:pt idx="124">
                  <c:v>88.173942554557229</c:v>
                </c:pt>
                <c:pt idx="125">
                  <c:v>89.345314505776741</c:v>
                </c:pt>
                <c:pt idx="126">
                  <c:v>89.377408536585477</c:v>
                </c:pt>
                <c:pt idx="127">
                  <c:v>89.216941591784447</c:v>
                </c:pt>
                <c:pt idx="128">
                  <c:v>88.687419768934646</c:v>
                </c:pt>
                <c:pt idx="129">
                  <c:v>89.682283376123351</c:v>
                </c:pt>
                <c:pt idx="130">
                  <c:v>89.441594993581617</c:v>
                </c:pt>
                <c:pt idx="131">
                  <c:v>89.216941591784433</c:v>
                </c:pt>
                <c:pt idx="132">
                  <c:v>90.275991655969293</c:v>
                </c:pt>
                <c:pt idx="133">
                  <c:v>91.158538189987269</c:v>
                </c:pt>
                <c:pt idx="134">
                  <c:v>90.661103979460947</c:v>
                </c:pt>
                <c:pt idx="135">
                  <c:v>90.741333440308182</c:v>
                </c:pt>
                <c:pt idx="136">
                  <c:v>91.254812259306902</c:v>
                </c:pt>
                <c:pt idx="137">
                  <c:v>93.051992939666334</c:v>
                </c:pt>
                <c:pt idx="138">
                  <c:v>93.212451861360819</c:v>
                </c:pt>
                <c:pt idx="139">
                  <c:v>93.421054236200362</c:v>
                </c:pt>
                <c:pt idx="140">
                  <c:v>93.565470154043751</c:v>
                </c:pt>
                <c:pt idx="141">
                  <c:v>93.83825417201551</c:v>
                </c:pt>
                <c:pt idx="142">
                  <c:v>93.870346598202943</c:v>
                </c:pt>
                <c:pt idx="143">
                  <c:v>92.891525994865347</c:v>
                </c:pt>
                <c:pt idx="144">
                  <c:v>92.795253530167017</c:v>
                </c:pt>
                <c:pt idx="145">
                  <c:v>93.950576059050206</c:v>
                </c:pt>
                <c:pt idx="146">
                  <c:v>94.849167201540567</c:v>
                </c:pt>
                <c:pt idx="147">
                  <c:v>94.431960847240191</c:v>
                </c:pt>
                <c:pt idx="148">
                  <c:v>93.693836649550846</c:v>
                </c:pt>
                <c:pt idx="149">
                  <c:v>90.837613928113086</c:v>
                </c:pt>
                <c:pt idx="150">
                  <c:v>91.447371630295365</c:v>
                </c:pt>
                <c:pt idx="151">
                  <c:v>91.944799422336445</c:v>
                </c:pt>
                <c:pt idx="152">
                  <c:v>91.752246469833239</c:v>
                </c:pt>
                <c:pt idx="153">
                  <c:v>90.564825096277403</c:v>
                </c:pt>
                <c:pt idx="154">
                  <c:v>90.74133344030821</c:v>
                </c:pt>
                <c:pt idx="155">
                  <c:v>91.880612965340305</c:v>
                </c:pt>
                <c:pt idx="156">
                  <c:v>92.827339537869193</c:v>
                </c:pt>
                <c:pt idx="157">
                  <c:v>92.77920410783068</c:v>
                </c:pt>
                <c:pt idx="158">
                  <c:v>92.329911745828113</c:v>
                </c:pt>
                <c:pt idx="159">
                  <c:v>92.089215340179862</c:v>
                </c:pt>
                <c:pt idx="160">
                  <c:v>93.324775353016818</c:v>
                </c:pt>
                <c:pt idx="161">
                  <c:v>92.618743581514906</c:v>
                </c:pt>
                <c:pt idx="162">
                  <c:v>93.517328305520039</c:v>
                </c:pt>
                <c:pt idx="163">
                  <c:v>94.576378369704912</c:v>
                </c:pt>
                <c:pt idx="164">
                  <c:v>95.651477856226094</c:v>
                </c:pt>
                <c:pt idx="165">
                  <c:v>95.58729139922994</c:v>
                </c:pt>
                <c:pt idx="166">
                  <c:v>95.844030808729286</c:v>
                </c:pt>
                <c:pt idx="167">
                  <c:v>96.14890564826716</c:v>
                </c:pt>
                <c:pt idx="168">
                  <c:v>96.164955070603483</c:v>
                </c:pt>
                <c:pt idx="169">
                  <c:v>96.357508023106689</c:v>
                </c:pt>
                <c:pt idx="170">
                  <c:v>93.019898908857655</c:v>
                </c:pt>
                <c:pt idx="171">
                  <c:v>94.094991976893596</c:v>
                </c:pt>
                <c:pt idx="172">
                  <c:v>95.378689024390383</c:v>
                </c:pt>
                <c:pt idx="173">
                  <c:v>96.5340179717588</c:v>
                </c:pt>
                <c:pt idx="174">
                  <c:v>96.068676187419911</c:v>
                </c:pt>
                <c:pt idx="175">
                  <c:v>96.87098684210541</c:v>
                </c:pt>
                <c:pt idx="176">
                  <c:v>96.678433889602204</c:v>
                </c:pt>
                <c:pt idx="177">
                  <c:v>96.566110397946233</c:v>
                </c:pt>
                <c:pt idx="178">
                  <c:v>96.100768613607343</c:v>
                </c:pt>
                <c:pt idx="179">
                  <c:v>96.742620346598358</c:v>
                </c:pt>
                <c:pt idx="180">
                  <c:v>94.881259627728014</c:v>
                </c:pt>
                <c:pt idx="181">
                  <c:v>95.58729139922994</c:v>
                </c:pt>
                <c:pt idx="182">
                  <c:v>95.346594993581661</c:v>
                </c:pt>
                <c:pt idx="183">
                  <c:v>94.239409499358288</c:v>
                </c:pt>
                <c:pt idx="184">
                  <c:v>93.774067715019399</c:v>
                </c:pt>
                <c:pt idx="185">
                  <c:v>94.143129011553413</c:v>
                </c:pt>
                <c:pt idx="186">
                  <c:v>93.774067715019399</c:v>
                </c:pt>
                <c:pt idx="187">
                  <c:v>94.09499197689361</c:v>
                </c:pt>
                <c:pt idx="188">
                  <c:v>93.01989890885767</c:v>
                </c:pt>
                <c:pt idx="189">
                  <c:v>92.747110077021986</c:v>
                </c:pt>
                <c:pt idx="190">
                  <c:v>92.249682284980906</c:v>
                </c:pt>
                <c:pt idx="191">
                  <c:v>91.672017008986046</c:v>
                </c:pt>
                <c:pt idx="192">
                  <c:v>90.195762195122128</c:v>
                </c:pt>
                <c:pt idx="193">
                  <c:v>91.206675224647157</c:v>
                </c:pt>
                <c:pt idx="194">
                  <c:v>90.645060975609923</c:v>
                </c:pt>
                <c:pt idx="195">
                  <c:v>91.928756418485406</c:v>
                </c:pt>
                <c:pt idx="196">
                  <c:v>91.896662387676699</c:v>
                </c:pt>
                <c:pt idx="197">
                  <c:v>92.041079910141377</c:v>
                </c:pt>
                <c:pt idx="198">
                  <c:v>92.105266367137531</c:v>
                </c:pt>
                <c:pt idx="199">
                  <c:v>92.682923620025846</c:v>
                </c:pt>
                <c:pt idx="200">
                  <c:v>92.169446405648443</c:v>
                </c:pt>
                <c:pt idx="201">
                  <c:v>93.324775353016861</c:v>
                </c:pt>
                <c:pt idx="202">
                  <c:v>93.822209563543183</c:v>
                </c:pt>
                <c:pt idx="203">
                  <c:v>93.902439024390418</c:v>
                </c:pt>
                <c:pt idx="204">
                  <c:v>94.512198331194</c:v>
                </c:pt>
                <c:pt idx="205">
                  <c:v>93.356867779204265</c:v>
                </c:pt>
                <c:pt idx="206">
                  <c:v>94.351731386392984</c:v>
                </c:pt>
                <c:pt idx="207">
                  <c:v>94.1912724646985</c:v>
                </c:pt>
                <c:pt idx="208">
                  <c:v>94.464054878048955</c:v>
                </c:pt>
                <c:pt idx="209">
                  <c:v>94.817073170731888</c:v>
                </c:pt>
                <c:pt idx="210">
                  <c:v>94.159178433889778</c:v>
                </c:pt>
                <c:pt idx="211">
                  <c:v>94.64056482670108</c:v>
                </c:pt>
                <c:pt idx="212">
                  <c:v>95.860080231065652</c:v>
                </c:pt>
                <c:pt idx="213">
                  <c:v>96.614247432606106</c:v>
                </c:pt>
                <c:pt idx="214">
                  <c:v>97.817713414634355</c:v>
                </c:pt>
                <c:pt idx="215">
                  <c:v>96.919130295250511</c:v>
                </c:pt>
                <c:pt idx="216">
                  <c:v>95.779844351733189</c:v>
                </c:pt>
                <c:pt idx="217">
                  <c:v>95.76379974326079</c:v>
                </c:pt>
                <c:pt idx="218">
                  <c:v>94.688700256739608</c:v>
                </c:pt>
                <c:pt idx="219">
                  <c:v>94.608470795892373</c:v>
                </c:pt>
                <c:pt idx="220">
                  <c:v>94.544284338896205</c:v>
                </c:pt>
                <c:pt idx="221">
                  <c:v>94.38382541720172</c:v>
                </c:pt>
                <c:pt idx="222">
                  <c:v>94.303594351733182</c:v>
                </c:pt>
                <c:pt idx="223">
                  <c:v>93.934533055199154</c:v>
                </c:pt>
                <c:pt idx="224">
                  <c:v>92.201538831835876</c:v>
                </c:pt>
                <c:pt idx="225">
                  <c:v>92.169446405648458</c:v>
                </c:pt>
                <c:pt idx="226">
                  <c:v>92.105266367137546</c:v>
                </c:pt>
                <c:pt idx="227">
                  <c:v>91.736197047496972</c:v>
                </c:pt>
                <c:pt idx="228">
                  <c:v>90.003209242618937</c:v>
                </c:pt>
                <c:pt idx="229">
                  <c:v>89.730420410783239</c:v>
                </c:pt>
                <c:pt idx="230">
                  <c:v>89.425545571245365</c:v>
                </c:pt>
                <c:pt idx="231">
                  <c:v>86.392811296534191</c:v>
                </c:pt>
                <c:pt idx="232">
                  <c:v>83.68100449293982</c:v>
                </c:pt>
                <c:pt idx="233">
                  <c:v>82.220799101412211</c:v>
                </c:pt>
                <c:pt idx="234">
                  <c:v>82.878693838254335</c:v>
                </c:pt>
                <c:pt idx="235">
                  <c:v>84.964699935815318</c:v>
                </c:pt>
                <c:pt idx="236">
                  <c:v>83.664953465982194</c:v>
                </c:pt>
                <c:pt idx="237">
                  <c:v>83.103339216944946</c:v>
                </c:pt>
                <c:pt idx="238">
                  <c:v>82.461487483953945</c:v>
                </c:pt>
                <c:pt idx="239">
                  <c:v>83.42426508344046</c:v>
                </c:pt>
                <c:pt idx="240">
                  <c:v>84.483315147625319</c:v>
                </c:pt>
                <c:pt idx="241">
                  <c:v>81.819643774069476</c:v>
                </c:pt>
                <c:pt idx="242">
                  <c:v>81.017333119383977</c:v>
                </c:pt>
                <c:pt idx="243">
                  <c:v>80.568034338896183</c:v>
                </c:pt>
                <c:pt idx="244">
                  <c:v>80.584083761232506</c:v>
                </c:pt>
                <c:pt idx="245">
                  <c:v>79.621307766367295</c:v>
                </c:pt>
                <c:pt idx="246">
                  <c:v>78.899226572529045</c:v>
                </c:pt>
                <c:pt idx="247">
                  <c:v>75.866493902439174</c:v>
                </c:pt>
                <c:pt idx="248">
                  <c:v>73.65212130937114</c:v>
                </c:pt>
                <c:pt idx="249">
                  <c:v>73.411424903722875</c:v>
                </c:pt>
                <c:pt idx="250">
                  <c:v>70.50705872914007</c:v>
                </c:pt>
                <c:pt idx="251">
                  <c:v>70.651474646983459</c:v>
                </c:pt>
                <c:pt idx="252">
                  <c:v>71.935176508344185</c:v>
                </c:pt>
                <c:pt idx="253">
                  <c:v>70.539151155327488</c:v>
                </c:pt>
                <c:pt idx="254">
                  <c:v>72.689343709884611</c:v>
                </c:pt>
                <c:pt idx="255">
                  <c:v>70.17008985879346</c:v>
                </c:pt>
                <c:pt idx="256">
                  <c:v>67.185492618742103</c:v>
                </c:pt>
                <c:pt idx="257">
                  <c:v>55.648267008985982</c:v>
                </c:pt>
                <c:pt idx="258">
                  <c:v>59.306801989730545</c:v>
                </c:pt>
                <c:pt idx="259">
                  <c:v>55.343392169448116</c:v>
                </c:pt>
                <c:pt idx="260">
                  <c:v>47.06354300385118</c:v>
                </c:pt>
                <c:pt idx="261">
                  <c:v>48.267008985879428</c:v>
                </c:pt>
                <c:pt idx="262">
                  <c:v>40.629011553273507</c:v>
                </c:pt>
                <c:pt idx="263">
                  <c:v>41.174582798459639</c:v>
                </c:pt>
                <c:pt idx="264">
                  <c:v>34.691914313222142</c:v>
                </c:pt>
                <c:pt idx="265">
                  <c:v>38.575097881899943</c:v>
                </c:pt>
                <c:pt idx="266">
                  <c:v>40.24390243902446</c:v>
                </c:pt>
                <c:pt idx="267">
                  <c:v>43.051989730423699</c:v>
                </c:pt>
                <c:pt idx="268">
                  <c:v>51.524391848523841</c:v>
                </c:pt>
                <c:pt idx="269">
                  <c:v>55.102695763799851</c:v>
                </c:pt>
                <c:pt idx="270">
                  <c:v>56.049422336328732</c:v>
                </c:pt>
                <c:pt idx="271">
                  <c:v>50.770216623876863</c:v>
                </c:pt>
                <c:pt idx="272">
                  <c:v>53.658534980744648</c:v>
                </c:pt>
                <c:pt idx="273">
                  <c:v>55.985235879332592</c:v>
                </c:pt>
                <c:pt idx="274">
                  <c:v>56.659180038511018</c:v>
                </c:pt>
                <c:pt idx="275">
                  <c:v>62.516044608472519</c:v>
                </c:pt>
                <c:pt idx="276">
                  <c:v>58.151479460847341</c:v>
                </c:pt>
                <c:pt idx="277">
                  <c:v>59.900516688061721</c:v>
                </c:pt>
                <c:pt idx="278">
                  <c:v>59.788186777920522</c:v>
                </c:pt>
                <c:pt idx="279">
                  <c:v>61.087933247753639</c:v>
                </c:pt>
                <c:pt idx="280">
                  <c:v>60.831193838254279</c:v>
                </c:pt>
                <c:pt idx="281">
                  <c:v>59.96469672657264</c:v>
                </c:pt>
                <c:pt idx="282">
                  <c:v>59.387031450577773</c:v>
                </c:pt>
                <c:pt idx="283">
                  <c:v>55.134789794608565</c:v>
                </c:pt>
                <c:pt idx="284">
                  <c:v>52.310651476251692</c:v>
                </c:pt>
                <c:pt idx="285">
                  <c:v>56.931964056482762</c:v>
                </c:pt>
                <c:pt idx="286">
                  <c:v>53.722721437740773</c:v>
                </c:pt>
                <c:pt idx="287">
                  <c:v>52.840179717586736</c:v>
                </c:pt>
                <c:pt idx="288">
                  <c:v>55.937100449294057</c:v>
                </c:pt>
                <c:pt idx="289">
                  <c:v>56.418485237484042</c:v>
                </c:pt>
                <c:pt idx="290">
                  <c:v>56.209882862644498</c:v>
                </c:pt>
                <c:pt idx="291">
                  <c:v>57.477535301668894</c:v>
                </c:pt>
                <c:pt idx="292">
                  <c:v>57.766367137355672</c:v>
                </c:pt>
                <c:pt idx="293">
                  <c:v>60.991652759948757</c:v>
                </c:pt>
                <c:pt idx="294">
                  <c:v>53.161105584082243</c:v>
                </c:pt>
                <c:pt idx="295">
                  <c:v>50.208602374839622</c:v>
                </c:pt>
                <c:pt idx="296">
                  <c:v>52.551347881899964</c:v>
                </c:pt>
                <c:pt idx="297">
                  <c:v>53.064826700898685</c:v>
                </c:pt>
                <c:pt idx="298">
                  <c:v>51.444160783055288</c:v>
                </c:pt>
                <c:pt idx="299">
                  <c:v>52.198329589217032</c:v>
                </c:pt>
                <c:pt idx="300">
                  <c:v>54.412708600770308</c:v>
                </c:pt>
                <c:pt idx="301">
                  <c:v>52.56739088575106</c:v>
                </c:pt>
                <c:pt idx="302">
                  <c:v>51.684850770218318</c:v>
                </c:pt>
                <c:pt idx="303">
                  <c:v>49.807447047496872</c:v>
                </c:pt>
                <c:pt idx="304">
                  <c:v>48.411424903722803</c:v>
                </c:pt>
                <c:pt idx="305">
                  <c:v>48.347238446726656</c:v>
                </c:pt>
                <c:pt idx="306">
                  <c:v>52.663671373555928</c:v>
                </c:pt>
                <c:pt idx="307">
                  <c:v>51.604621309371062</c:v>
                </c:pt>
                <c:pt idx="308">
                  <c:v>53.674584403080949</c:v>
                </c:pt>
                <c:pt idx="309">
                  <c:v>52.053913671373628</c:v>
                </c:pt>
                <c:pt idx="310">
                  <c:v>51.732994223363356</c:v>
                </c:pt>
                <c:pt idx="311">
                  <c:v>52.455068998716385</c:v>
                </c:pt>
                <c:pt idx="312">
                  <c:v>52.920410783055274</c:v>
                </c:pt>
                <c:pt idx="313">
                  <c:v>52.326702503209312</c:v>
                </c:pt>
                <c:pt idx="314">
                  <c:v>51.267652439024467</c:v>
                </c:pt>
                <c:pt idx="315">
                  <c:v>53.241335044929478</c:v>
                </c:pt>
                <c:pt idx="316">
                  <c:v>54.557124518613691</c:v>
                </c:pt>
                <c:pt idx="317">
                  <c:v>57.204752888318446</c:v>
                </c:pt>
                <c:pt idx="318">
                  <c:v>57.076379974326144</c:v>
                </c:pt>
                <c:pt idx="319">
                  <c:v>60.606546854942323</c:v>
                </c:pt>
                <c:pt idx="320">
                  <c:v>63.045572849807527</c:v>
                </c:pt>
                <c:pt idx="321">
                  <c:v>59.788186777920501</c:v>
                </c:pt>
                <c:pt idx="322">
                  <c:v>58.167522464698422</c:v>
                </c:pt>
                <c:pt idx="323">
                  <c:v>53.257379653401877</c:v>
                </c:pt>
                <c:pt idx="324">
                  <c:v>55.279205712451947</c:v>
                </c:pt>
                <c:pt idx="325">
                  <c:v>55.391527599486615</c:v>
                </c:pt>
                <c:pt idx="326">
                  <c:v>56.113608793324872</c:v>
                </c:pt>
                <c:pt idx="327">
                  <c:v>54.862000962772875</c:v>
                </c:pt>
                <c:pt idx="328">
                  <c:v>55.038509306803682</c:v>
                </c:pt>
                <c:pt idx="329">
                  <c:v>54.460845635430125</c:v>
                </c:pt>
                <c:pt idx="330">
                  <c:v>55.215019255455793</c:v>
                </c:pt>
                <c:pt idx="331">
                  <c:v>55.921049422336417</c:v>
                </c:pt>
                <c:pt idx="332">
                  <c:v>53.145056161745913</c:v>
                </c:pt>
                <c:pt idx="333">
                  <c:v>54.38061456996158</c:v>
                </c:pt>
                <c:pt idx="334">
                  <c:v>52.80808729139931</c:v>
                </c:pt>
                <c:pt idx="335">
                  <c:v>53.658534980744626</c:v>
                </c:pt>
                <c:pt idx="336">
                  <c:v>52.455068998716378</c:v>
                </c:pt>
                <c:pt idx="337">
                  <c:v>52.583440308087368</c:v>
                </c:pt>
                <c:pt idx="338">
                  <c:v>52.792044287548215</c:v>
                </c:pt>
                <c:pt idx="339">
                  <c:v>53.674584403080949</c:v>
                </c:pt>
                <c:pt idx="340">
                  <c:v>52.358794929396737</c:v>
                </c:pt>
                <c:pt idx="341">
                  <c:v>52.551347881899943</c:v>
                </c:pt>
                <c:pt idx="342">
                  <c:v>50.192556161745891</c:v>
                </c:pt>
                <c:pt idx="343">
                  <c:v>51.684850770218297</c:v>
                </c:pt>
                <c:pt idx="344">
                  <c:v>52.005776636713797</c:v>
                </c:pt>
                <c:pt idx="345">
                  <c:v>53.77085686777928</c:v>
                </c:pt>
                <c:pt idx="346">
                  <c:v>54.525032092426258</c:v>
                </c:pt>
                <c:pt idx="347">
                  <c:v>53.722721437740759</c:v>
                </c:pt>
                <c:pt idx="348">
                  <c:v>52.808087291399296</c:v>
                </c:pt>
                <c:pt idx="349">
                  <c:v>52.005776636713804</c:v>
                </c:pt>
                <c:pt idx="350">
                  <c:v>53.642490372272221</c:v>
                </c:pt>
                <c:pt idx="351">
                  <c:v>52.551347881899943</c:v>
                </c:pt>
                <c:pt idx="352">
                  <c:v>51.973682605905083</c:v>
                </c:pt>
                <c:pt idx="353">
                  <c:v>51.813223684210591</c:v>
                </c:pt>
                <c:pt idx="354">
                  <c:v>52.069963093709958</c:v>
                </c:pt>
                <c:pt idx="355">
                  <c:v>51.508340821566179</c:v>
                </c:pt>
                <c:pt idx="356">
                  <c:v>52.005776636713804</c:v>
                </c:pt>
                <c:pt idx="357">
                  <c:v>49.486521181001351</c:v>
                </c:pt>
                <c:pt idx="358">
                  <c:v>47.833759627727922</c:v>
                </c:pt>
                <c:pt idx="359">
                  <c:v>48.620024069319705</c:v>
                </c:pt>
                <c:pt idx="360">
                  <c:v>50.304878048780559</c:v>
                </c:pt>
                <c:pt idx="361">
                  <c:v>50.577663671373621</c:v>
                </c:pt>
                <c:pt idx="362">
                  <c:v>50.144415917843453</c:v>
                </c:pt>
                <c:pt idx="363">
                  <c:v>49.486521181001351</c:v>
                </c:pt>
                <c:pt idx="364">
                  <c:v>50.46534178433896</c:v>
                </c:pt>
                <c:pt idx="365">
                  <c:v>51.107188703466051</c:v>
                </c:pt>
                <c:pt idx="366">
                  <c:v>52.743900834403149</c:v>
                </c:pt>
                <c:pt idx="367">
                  <c:v>50.818356867779272</c:v>
                </c:pt>
                <c:pt idx="368">
                  <c:v>49.919770539152829</c:v>
                </c:pt>
                <c:pt idx="369">
                  <c:v>49.646984916559759</c:v>
                </c:pt>
                <c:pt idx="370">
                  <c:v>49.005136392811366</c:v>
                </c:pt>
                <c:pt idx="371">
                  <c:v>48.812580231065539</c:v>
                </c:pt>
                <c:pt idx="372">
                  <c:v>48.331195442875547</c:v>
                </c:pt>
                <c:pt idx="373">
                  <c:v>47.544927792041143</c:v>
                </c:pt>
                <c:pt idx="374">
                  <c:v>48.98909017971765</c:v>
                </c:pt>
                <c:pt idx="375">
                  <c:v>48.234914955070671</c:v>
                </c:pt>
                <c:pt idx="376">
                  <c:v>48.186779525032158</c:v>
                </c:pt>
                <c:pt idx="377">
                  <c:v>47.785624197689408</c:v>
                </c:pt>
                <c:pt idx="378">
                  <c:v>48.443518934531511</c:v>
                </c:pt>
                <c:pt idx="379">
                  <c:v>47.625160462130999</c:v>
                </c:pt>
                <c:pt idx="380">
                  <c:v>46.854943838254229</c:v>
                </c:pt>
                <c:pt idx="381">
                  <c:v>46.598204428754869</c:v>
                </c:pt>
                <c:pt idx="382">
                  <c:v>46.437742297817763</c:v>
                </c:pt>
                <c:pt idx="383">
                  <c:v>46.389602053915326</c:v>
                </c:pt>
                <c:pt idx="384">
                  <c:v>44.977536906290162</c:v>
                </c:pt>
                <c:pt idx="385">
                  <c:v>45.763799743260641</c:v>
                </c:pt>
                <c:pt idx="386">
                  <c:v>44.720797496790809</c:v>
                </c:pt>
                <c:pt idx="387">
                  <c:v>45.057766367137404</c:v>
                </c:pt>
                <c:pt idx="388">
                  <c:v>44.480101091142544</c:v>
                </c:pt>
                <c:pt idx="389">
                  <c:v>44.672657252888371</c:v>
                </c:pt>
                <c:pt idx="390">
                  <c:v>45.009626123234966</c:v>
                </c:pt>
                <c:pt idx="391">
                  <c:v>44.287548138639337</c:v>
                </c:pt>
                <c:pt idx="392">
                  <c:v>43.292682926829322</c:v>
                </c:pt>
                <c:pt idx="393">
                  <c:v>42.217585044929443</c:v>
                </c:pt>
                <c:pt idx="394">
                  <c:v>42.747110077021865</c:v>
                </c:pt>
                <c:pt idx="395">
                  <c:v>41.912710205391569</c:v>
                </c:pt>
                <c:pt idx="396">
                  <c:v>42.586651155327388</c:v>
                </c:pt>
                <c:pt idx="397">
                  <c:v>41.302952503209291</c:v>
                </c:pt>
                <c:pt idx="398">
                  <c:v>41.864569961489138</c:v>
                </c:pt>
                <c:pt idx="399">
                  <c:v>41.158536585365901</c:v>
                </c:pt>
                <c:pt idx="400">
                  <c:v>40.388318356867835</c:v>
                </c:pt>
                <c:pt idx="401">
                  <c:v>38.896020539152808</c:v>
                </c:pt>
                <c:pt idx="402">
                  <c:v>39.473684210526372</c:v>
                </c:pt>
                <c:pt idx="403">
                  <c:v>40.773427471116875</c:v>
                </c:pt>
                <c:pt idx="404">
                  <c:v>40.596917522464757</c:v>
                </c:pt>
                <c:pt idx="405">
                  <c:v>41.062259306803654</c:v>
                </c:pt>
                <c:pt idx="406">
                  <c:v>42.426189024390304</c:v>
                </c:pt>
                <c:pt idx="407">
                  <c:v>42.779204107830616</c:v>
                </c:pt>
                <c:pt idx="408">
                  <c:v>42.201538831835755</c:v>
                </c:pt>
                <c:pt idx="409">
                  <c:v>41.431322207958985</c:v>
                </c:pt>
                <c:pt idx="410">
                  <c:v>41.383185173299168</c:v>
                </c:pt>
                <c:pt idx="411">
                  <c:v>40.709244223363349</c:v>
                </c:pt>
                <c:pt idx="412">
                  <c:v>40.54878048780494</c:v>
                </c:pt>
                <c:pt idx="413">
                  <c:v>40.179719191270927</c:v>
                </c:pt>
                <c:pt idx="414">
                  <c:v>40.629011553273493</c:v>
                </c:pt>
                <c:pt idx="415">
                  <c:v>39.842747111681703</c:v>
                </c:pt>
                <c:pt idx="416">
                  <c:v>40.837613928113029</c:v>
                </c:pt>
                <c:pt idx="417">
                  <c:v>41.094353337612382</c:v>
                </c:pt>
                <c:pt idx="418">
                  <c:v>39.842747111681696</c:v>
                </c:pt>
                <c:pt idx="419">
                  <c:v>38.815791078305573</c:v>
                </c:pt>
                <c:pt idx="420">
                  <c:v>37.066752246469889</c:v>
                </c:pt>
                <c:pt idx="421">
                  <c:v>39.521821245186196</c:v>
                </c:pt>
                <c:pt idx="422">
                  <c:v>40.9980728498075</c:v>
                </c:pt>
                <c:pt idx="423">
                  <c:v>42.795250320924318</c:v>
                </c:pt>
                <c:pt idx="424">
                  <c:v>43.116176187419818</c:v>
                </c:pt>
                <c:pt idx="425">
                  <c:v>43.164313222079642</c:v>
                </c:pt>
                <c:pt idx="426">
                  <c:v>43.068035943517387</c:v>
                </c:pt>
                <c:pt idx="427">
                  <c:v>42.795250320924325</c:v>
                </c:pt>
                <c:pt idx="428">
                  <c:v>48.507702182285051</c:v>
                </c:pt>
                <c:pt idx="429">
                  <c:v>50.962772785622668</c:v>
                </c:pt>
                <c:pt idx="430">
                  <c:v>50.369061296534092</c:v>
                </c:pt>
                <c:pt idx="431">
                  <c:v>49.149549101412141</c:v>
                </c:pt>
                <c:pt idx="432">
                  <c:v>50.080229460847313</c:v>
                </c:pt>
                <c:pt idx="433">
                  <c:v>53.2734290757382</c:v>
                </c:pt>
                <c:pt idx="434">
                  <c:v>54.155969191270934</c:v>
                </c:pt>
                <c:pt idx="435">
                  <c:v>52.936460205391597</c:v>
                </c:pt>
                <c:pt idx="436">
                  <c:v>53.241335044929471</c:v>
                </c:pt>
                <c:pt idx="437">
                  <c:v>54.011553273427538</c:v>
                </c:pt>
                <c:pt idx="438">
                  <c:v>56.498714698331277</c:v>
                </c:pt>
                <c:pt idx="439">
                  <c:v>59.547498395378767</c:v>
                </c:pt>
                <c:pt idx="440">
                  <c:v>58.311938382541804</c:v>
                </c:pt>
                <c:pt idx="441">
                  <c:v>58.199614890885826</c:v>
                </c:pt>
                <c:pt idx="442">
                  <c:v>54.300385109114316</c:v>
                </c:pt>
                <c:pt idx="443">
                  <c:v>56.258024711168225</c:v>
                </c:pt>
                <c:pt idx="444">
                  <c:v>58.392167843389025</c:v>
                </c:pt>
                <c:pt idx="445">
                  <c:v>58.905646662387738</c:v>
                </c:pt>
                <c:pt idx="446">
                  <c:v>61.344672657252936</c:v>
                </c:pt>
                <c:pt idx="447">
                  <c:v>60.044926187419826</c:v>
                </c:pt>
                <c:pt idx="448">
                  <c:v>59.996789152760016</c:v>
                </c:pt>
                <c:pt idx="449">
                  <c:v>60.301672015404435</c:v>
                </c:pt>
                <c:pt idx="450">
                  <c:v>61.649547496790831</c:v>
                </c:pt>
                <c:pt idx="451">
                  <c:v>60.670733311938449</c:v>
                </c:pt>
                <c:pt idx="452">
                  <c:v>58.440304878048849</c:v>
                </c:pt>
                <c:pt idx="453">
                  <c:v>60.301672015404442</c:v>
                </c:pt>
                <c:pt idx="454">
                  <c:v>60.702827342747192</c:v>
                </c:pt>
                <c:pt idx="455">
                  <c:v>61.136068677792125</c:v>
                </c:pt>
                <c:pt idx="456">
                  <c:v>59.852373234916641</c:v>
                </c:pt>
                <c:pt idx="457">
                  <c:v>57.028242939666313</c:v>
                </c:pt>
                <c:pt idx="458">
                  <c:v>56.065466944801109</c:v>
                </c:pt>
                <c:pt idx="459">
                  <c:v>57.6700882541721</c:v>
                </c:pt>
                <c:pt idx="460">
                  <c:v>57.493584724005217</c:v>
                </c:pt>
                <c:pt idx="461">
                  <c:v>57.605908215661188</c:v>
                </c:pt>
                <c:pt idx="462">
                  <c:v>57.991012516046304</c:v>
                </c:pt>
                <c:pt idx="463">
                  <c:v>57.814504172015482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BA-4C27-8CCC-FEB883E7B304}"/>
            </c:ext>
          </c:extLst>
        </c:ser>
        <c:ser>
          <c:idx val="4"/>
          <c:order val="4"/>
          <c:tx>
            <c:strRef>
              <c:f>'Data Checks'!$K$3</c:f>
              <c:strCache>
                <c:ptCount val="1"/>
                <c:pt idx="0">
                  <c:v>Insurance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'Data Checks'!$A$4:$A$467</c:f>
              <c:numCache>
                <c:formatCode>m/d/yyyy</c:formatCode>
                <c:ptCount val="464"/>
                <c:pt idx="0">
                  <c:v>43891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43901</c:v>
                </c:pt>
                <c:pt idx="7">
                  <c:v>43902</c:v>
                </c:pt>
                <c:pt idx="8">
                  <c:v>43903</c:v>
                </c:pt>
                <c:pt idx="9">
                  <c:v>43904</c:v>
                </c:pt>
                <c:pt idx="10">
                  <c:v>43905</c:v>
                </c:pt>
                <c:pt idx="11">
                  <c:v>43908</c:v>
                </c:pt>
                <c:pt idx="12">
                  <c:v>43909</c:v>
                </c:pt>
                <c:pt idx="13">
                  <c:v>43910</c:v>
                </c:pt>
                <c:pt idx="14">
                  <c:v>43911</c:v>
                </c:pt>
                <c:pt idx="15">
                  <c:v>43912</c:v>
                </c:pt>
                <c:pt idx="16">
                  <c:v>43915</c:v>
                </c:pt>
                <c:pt idx="17">
                  <c:v>43916</c:v>
                </c:pt>
                <c:pt idx="18">
                  <c:v>43917</c:v>
                </c:pt>
                <c:pt idx="19">
                  <c:v>43918</c:v>
                </c:pt>
                <c:pt idx="20">
                  <c:v>43919</c:v>
                </c:pt>
                <c:pt idx="21">
                  <c:v>43922</c:v>
                </c:pt>
                <c:pt idx="22">
                  <c:v>43923</c:v>
                </c:pt>
                <c:pt idx="23">
                  <c:v>43924</c:v>
                </c:pt>
                <c:pt idx="24">
                  <c:v>43925</c:v>
                </c:pt>
                <c:pt idx="25">
                  <c:v>43926</c:v>
                </c:pt>
                <c:pt idx="26">
                  <c:v>43929</c:v>
                </c:pt>
                <c:pt idx="27">
                  <c:v>43930</c:v>
                </c:pt>
                <c:pt idx="28">
                  <c:v>43931</c:v>
                </c:pt>
                <c:pt idx="29">
                  <c:v>43932</c:v>
                </c:pt>
                <c:pt idx="30">
                  <c:v>43933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43939</c:v>
                </c:pt>
                <c:pt idx="35">
                  <c:v>43943</c:v>
                </c:pt>
                <c:pt idx="36">
                  <c:v>43944</c:v>
                </c:pt>
                <c:pt idx="37">
                  <c:v>43945</c:v>
                </c:pt>
                <c:pt idx="38">
                  <c:v>43946</c:v>
                </c:pt>
                <c:pt idx="39">
                  <c:v>43947</c:v>
                </c:pt>
                <c:pt idx="40">
                  <c:v>43950</c:v>
                </c:pt>
                <c:pt idx="41">
                  <c:v>43951</c:v>
                </c:pt>
                <c:pt idx="42">
                  <c:v>43952</c:v>
                </c:pt>
                <c:pt idx="43">
                  <c:v>43953</c:v>
                </c:pt>
                <c:pt idx="44">
                  <c:v>43954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43964</c:v>
                </c:pt>
                <c:pt idx="51">
                  <c:v>43965</c:v>
                </c:pt>
                <c:pt idx="52">
                  <c:v>43966</c:v>
                </c:pt>
                <c:pt idx="53">
                  <c:v>43967</c:v>
                </c:pt>
                <c:pt idx="54">
                  <c:v>43968</c:v>
                </c:pt>
                <c:pt idx="55">
                  <c:v>43971</c:v>
                </c:pt>
                <c:pt idx="56">
                  <c:v>43972</c:v>
                </c:pt>
                <c:pt idx="57">
                  <c:v>43973</c:v>
                </c:pt>
                <c:pt idx="58">
                  <c:v>43974</c:v>
                </c:pt>
                <c:pt idx="59">
                  <c:v>43975</c:v>
                </c:pt>
                <c:pt idx="60">
                  <c:v>43979</c:v>
                </c:pt>
                <c:pt idx="61">
                  <c:v>43980</c:v>
                </c:pt>
                <c:pt idx="62">
                  <c:v>43981</c:v>
                </c:pt>
                <c:pt idx="63">
                  <c:v>43982</c:v>
                </c:pt>
                <c:pt idx="64">
                  <c:v>43985</c:v>
                </c:pt>
                <c:pt idx="65">
                  <c:v>43986</c:v>
                </c:pt>
                <c:pt idx="66">
                  <c:v>43987</c:v>
                </c:pt>
                <c:pt idx="67">
                  <c:v>43988</c:v>
                </c:pt>
                <c:pt idx="68">
                  <c:v>43989</c:v>
                </c:pt>
                <c:pt idx="69">
                  <c:v>43992</c:v>
                </c:pt>
                <c:pt idx="70">
                  <c:v>43993</c:v>
                </c:pt>
                <c:pt idx="71">
                  <c:v>43994</c:v>
                </c:pt>
                <c:pt idx="72">
                  <c:v>43995</c:v>
                </c:pt>
                <c:pt idx="73">
                  <c:v>43996</c:v>
                </c:pt>
                <c:pt idx="74">
                  <c:v>43999</c:v>
                </c:pt>
                <c:pt idx="75">
                  <c:v>44000</c:v>
                </c:pt>
                <c:pt idx="76">
                  <c:v>44001</c:v>
                </c:pt>
                <c:pt idx="77">
                  <c:v>44002</c:v>
                </c:pt>
                <c:pt idx="78">
                  <c:v>44003</c:v>
                </c:pt>
                <c:pt idx="79">
                  <c:v>44006</c:v>
                </c:pt>
                <c:pt idx="80">
                  <c:v>44007</c:v>
                </c:pt>
                <c:pt idx="81">
                  <c:v>44008</c:v>
                </c:pt>
                <c:pt idx="82">
                  <c:v>44009</c:v>
                </c:pt>
                <c:pt idx="83">
                  <c:v>44010</c:v>
                </c:pt>
                <c:pt idx="84">
                  <c:v>44013</c:v>
                </c:pt>
                <c:pt idx="85">
                  <c:v>44014</c:v>
                </c:pt>
                <c:pt idx="86">
                  <c:v>44015</c:v>
                </c:pt>
                <c:pt idx="87">
                  <c:v>44017</c:v>
                </c:pt>
                <c:pt idx="88">
                  <c:v>44020</c:v>
                </c:pt>
                <c:pt idx="89">
                  <c:v>44021</c:v>
                </c:pt>
                <c:pt idx="90">
                  <c:v>44022</c:v>
                </c:pt>
                <c:pt idx="91">
                  <c:v>44023</c:v>
                </c:pt>
                <c:pt idx="92">
                  <c:v>44024</c:v>
                </c:pt>
                <c:pt idx="93">
                  <c:v>44027</c:v>
                </c:pt>
                <c:pt idx="94">
                  <c:v>44028</c:v>
                </c:pt>
                <c:pt idx="95">
                  <c:v>44029</c:v>
                </c:pt>
                <c:pt idx="96">
                  <c:v>44030</c:v>
                </c:pt>
                <c:pt idx="97">
                  <c:v>44031</c:v>
                </c:pt>
                <c:pt idx="98">
                  <c:v>44034</c:v>
                </c:pt>
                <c:pt idx="99">
                  <c:v>44035</c:v>
                </c:pt>
                <c:pt idx="100">
                  <c:v>44036</c:v>
                </c:pt>
                <c:pt idx="101">
                  <c:v>44037</c:v>
                </c:pt>
                <c:pt idx="102">
                  <c:v>44038</c:v>
                </c:pt>
                <c:pt idx="103">
                  <c:v>44041</c:v>
                </c:pt>
                <c:pt idx="104">
                  <c:v>44042</c:v>
                </c:pt>
                <c:pt idx="105">
                  <c:v>44043</c:v>
                </c:pt>
                <c:pt idx="106">
                  <c:v>44044</c:v>
                </c:pt>
                <c:pt idx="107">
                  <c:v>44045</c:v>
                </c:pt>
                <c:pt idx="108">
                  <c:v>44048</c:v>
                </c:pt>
                <c:pt idx="109">
                  <c:v>44049</c:v>
                </c:pt>
                <c:pt idx="110">
                  <c:v>44050</c:v>
                </c:pt>
                <c:pt idx="111">
                  <c:v>44051</c:v>
                </c:pt>
                <c:pt idx="112">
                  <c:v>44052</c:v>
                </c:pt>
                <c:pt idx="113">
                  <c:v>44055</c:v>
                </c:pt>
                <c:pt idx="114">
                  <c:v>44056</c:v>
                </c:pt>
                <c:pt idx="115">
                  <c:v>44057</c:v>
                </c:pt>
                <c:pt idx="116">
                  <c:v>44058</c:v>
                </c:pt>
                <c:pt idx="117">
                  <c:v>44059</c:v>
                </c:pt>
                <c:pt idx="118">
                  <c:v>44062</c:v>
                </c:pt>
                <c:pt idx="119">
                  <c:v>44063</c:v>
                </c:pt>
                <c:pt idx="120">
                  <c:v>44064</c:v>
                </c:pt>
                <c:pt idx="121">
                  <c:v>44065</c:v>
                </c:pt>
                <c:pt idx="122">
                  <c:v>44066</c:v>
                </c:pt>
                <c:pt idx="123">
                  <c:v>44069</c:v>
                </c:pt>
                <c:pt idx="124">
                  <c:v>44070</c:v>
                </c:pt>
                <c:pt idx="125">
                  <c:v>44071</c:v>
                </c:pt>
                <c:pt idx="126">
                  <c:v>44072</c:v>
                </c:pt>
                <c:pt idx="127">
                  <c:v>44073</c:v>
                </c:pt>
                <c:pt idx="128">
                  <c:v>44077</c:v>
                </c:pt>
                <c:pt idx="129">
                  <c:v>44078</c:v>
                </c:pt>
                <c:pt idx="130">
                  <c:v>44079</c:v>
                </c:pt>
                <c:pt idx="131">
                  <c:v>44080</c:v>
                </c:pt>
                <c:pt idx="132">
                  <c:v>44083</c:v>
                </c:pt>
                <c:pt idx="133">
                  <c:v>44084</c:v>
                </c:pt>
                <c:pt idx="134">
                  <c:v>44085</c:v>
                </c:pt>
                <c:pt idx="135">
                  <c:v>44086</c:v>
                </c:pt>
                <c:pt idx="136">
                  <c:v>44087</c:v>
                </c:pt>
                <c:pt idx="137">
                  <c:v>44090</c:v>
                </c:pt>
                <c:pt idx="138">
                  <c:v>44091</c:v>
                </c:pt>
                <c:pt idx="139">
                  <c:v>44092</c:v>
                </c:pt>
                <c:pt idx="140">
                  <c:v>44093</c:v>
                </c:pt>
                <c:pt idx="141">
                  <c:v>44094</c:v>
                </c:pt>
                <c:pt idx="142">
                  <c:v>44097</c:v>
                </c:pt>
                <c:pt idx="143">
                  <c:v>44098</c:v>
                </c:pt>
                <c:pt idx="144">
                  <c:v>44099</c:v>
                </c:pt>
                <c:pt idx="145">
                  <c:v>44100</c:v>
                </c:pt>
                <c:pt idx="146">
                  <c:v>44101</c:v>
                </c:pt>
                <c:pt idx="147">
                  <c:v>44104</c:v>
                </c:pt>
                <c:pt idx="148">
                  <c:v>44105</c:v>
                </c:pt>
                <c:pt idx="149">
                  <c:v>44106</c:v>
                </c:pt>
                <c:pt idx="150">
                  <c:v>44107</c:v>
                </c:pt>
                <c:pt idx="151">
                  <c:v>44108</c:v>
                </c:pt>
                <c:pt idx="152">
                  <c:v>44111</c:v>
                </c:pt>
                <c:pt idx="153">
                  <c:v>44112</c:v>
                </c:pt>
                <c:pt idx="154">
                  <c:v>44113</c:v>
                </c:pt>
                <c:pt idx="155">
                  <c:v>44114</c:v>
                </c:pt>
                <c:pt idx="156">
                  <c:v>44115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44121</c:v>
                </c:pt>
                <c:pt idx="161">
                  <c:v>44122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44128</c:v>
                </c:pt>
                <c:pt idx="166">
                  <c:v>44129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44135</c:v>
                </c:pt>
                <c:pt idx="171">
                  <c:v>44136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44142</c:v>
                </c:pt>
                <c:pt idx="176">
                  <c:v>44143</c:v>
                </c:pt>
                <c:pt idx="177">
                  <c:v>44146</c:v>
                </c:pt>
                <c:pt idx="178">
                  <c:v>44147</c:v>
                </c:pt>
                <c:pt idx="179">
                  <c:v>44148</c:v>
                </c:pt>
                <c:pt idx="180">
                  <c:v>44149</c:v>
                </c:pt>
                <c:pt idx="181">
                  <c:v>44150</c:v>
                </c:pt>
                <c:pt idx="182">
                  <c:v>44153</c:v>
                </c:pt>
                <c:pt idx="183">
                  <c:v>44154</c:v>
                </c:pt>
                <c:pt idx="184">
                  <c:v>44155</c:v>
                </c:pt>
                <c:pt idx="185">
                  <c:v>44156</c:v>
                </c:pt>
                <c:pt idx="186">
                  <c:v>44157</c:v>
                </c:pt>
                <c:pt idx="187">
                  <c:v>44160</c:v>
                </c:pt>
                <c:pt idx="188">
                  <c:v>44161</c:v>
                </c:pt>
                <c:pt idx="189">
                  <c:v>44162</c:v>
                </c:pt>
                <c:pt idx="190">
                  <c:v>44164</c:v>
                </c:pt>
                <c:pt idx="191">
                  <c:v>44167</c:v>
                </c:pt>
                <c:pt idx="192">
                  <c:v>44168</c:v>
                </c:pt>
                <c:pt idx="193">
                  <c:v>44169</c:v>
                </c:pt>
                <c:pt idx="194">
                  <c:v>44170</c:v>
                </c:pt>
                <c:pt idx="195">
                  <c:v>44171</c:v>
                </c:pt>
                <c:pt idx="196">
                  <c:v>44174</c:v>
                </c:pt>
                <c:pt idx="197">
                  <c:v>44175</c:v>
                </c:pt>
                <c:pt idx="198">
                  <c:v>44176</c:v>
                </c:pt>
                <c:pt idx="199">
                  <c:v>44177</c:v>
                </c:pt>
                <c:pt idx="200">
                  <c:v>44178</c:v>
                </c:pt>
                <c:pt idx="201">
                  <c:v>44181</c:v>
                </c:pt>
                <c:pt idx="202">
                  <c:v>44182</c:v>
                </c:pt>
                <c:pt idx="203">
                  <c:v>44183</c:v>
                </c:pt>
                <c:pt idx="204">
                  <c:v>44184</c:v>
                </c:pt>
                <c:pt idx="205">
                  <c:v>44185</c:v>
                </c:pt>
                <c:pt idx="206">
                  <c:v>44188</c:v>
                </c:pt>
                <c:pt idx="207">
                  <c:v>44189</c:v>
                </c:pt>
                <c:pt idx="208">
                  <c:v>44191</c:v>
                </c:pt>
                <c:pt idx="209">
                  <c:v>44192</c:v>
                </c:pt>
                <c:pt idx="210">
                  <c:v>44195</c:v>
                </c:pt>
                <c:pt idx="211">
                  <c:v>44196</c:v>
                </c:pt>
                <c:pt idx="212">
                  <c:v>44198</c:v>
                </c:pt>
                <c:pt idx="213">
                  <c:v>44199</c:v>
                </c:pt>
                <c:pt idx="214">
                  <c:v>44202</c:v>
                </c:pt>
                <c:pt idx="215">
                  <c:v>44203</c:v>
                </c:pt>
                <c:pt idx="216">
                  <c:v>44204</c:v>
                </c:pt>
                <c:pt idx="217">
                  <c:v>44205</c:v>
                </c:pt>
                <c:pt idx="218">
                  <c:v>44206</c:v>
                </c:pt>
                <c:pt idx="219">
                  <c:v>44209</c:v>
                </c:pt>
                <c:pt idx="220">
                  <c:v>44210</c:v>
                </c:pt>
                <c:pt idx="221">
                  <c:v>44211</c:v>
                </c:pt>
                <c:pt idx="222">
                  <c:v>44212</c:v>
                </c:pt>
                <c:pt idx="223">
                  <c:v>44213</c:v>
                </c:pt>
                <c:pt idx="224">
                  <c:v>44217</c:v>
                </c:pt>
                <c:pt idx="225">
                  <c:v>44218</c:v>
                </c:pt>
                <c:pt idx="226">
                  <c:v>44219</c:v>
                </c:pt>
                <c:pt idx="227">
                  <c:v>44220</c:v>
                </c:pt>
                <c:pt idx="228">
                  <c:v>44223</c:v>
                </c:pt>
                <c:pt idx="229">
                  <c:v>44224</c:v>
                </c:pt>
                <c:pt idx="230">
                  <c:v>44225</c:v>
                </c:pt>
                <c:pt idx="231">
                  <c:v>44226</c:v>
                </c:pt>
                <c:pt idx="232">
                  <c:v>44227</c:v>
                </c:pt>
                <c:pt idx="233">
                  <c:v>44230</c:v>
                </c:pt>
                <c:pt idx="234">
                  <c:v>44231</c:v>
                </c:pt>
                <c:pt idx="235">
                  <c:v>44232</c:v>
                </c:pt>
                <c:pt idx="236">
                  <c:v>44233</c:v>
                </c:pt>
                <c:pt idx="237">
                  <c:v>44234</c:v>
                </c:pt>
                <c:pt idx="238">
                  <c:v>44237</c:v>
                </c:pt>
                <c:pt idx="239">
                  <c:v>44238</c:v>
                </c:pt>
                <c:pt idx="240">
                  <c:v>44239</c:v>
                </c:pt>
                <c:pt idx="241">
                  <c:v>44240</c:v>
                </c:pt>
                <c:pt idx="242">
                  <c:v>44241</c:v>
                </c:pt>
                <c:pt idx="243">
                  <c:v>44245</c:v>
                </c:pt>
                <c:pt idx="244">
                  <c:v>44246</c:v>
                </c:pt>
                <c:pt idx="245">
                  <c:v>44247</c:v>
                </c:pt>
                <c:pt idx="246">
                  <c:v>44248</c:v>
                </c:pt>
                <c:pt idx="247">
                  <c:v>44251</c:v>
                </c:pt>
                <c:pt idx="248">
                  <c:v>44252</c:v>
                </c:pt>
                <c:pt idx="249">
                  <c:v>44253</c:v>
                </c:pt>
                <c:pt idx="250">
                  <c:v>44254</c:v>
                </c:pt>
                <c:pt idx="251">
                  <c:v>44255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44261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44268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44275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44282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44288</c:v>
                </c:pt>
                <c:pt idx="276">
                  <c:v>44289</c:v>
                </c:pt>
                <c:pt idx="277">
                  <c:v>44292</c:v>
                </c:pt>
                <c:pt idx="278">
                  <c:v>44293</c:v>
                </c:pt>
                <c:pt idx="279">
                  <c:v>44294</c:v>
                </c:pt>
                <c:pt idx="280">
                  <c:v>44295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44303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44310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44317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44324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44331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44338</c:v>
                </c:pt>
                <c:pt idx="311">
                  <c:v>44342</c:v>
                </c:pt>
                <c:pt idx="312">
                  <c:v>44343</c:v>
                </c:pt>
                <c:pt idx="313">
                  <c:v>44344</c:v>
                </c:pt>
                <c:pt idx="314">
                  <c:v>44345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44352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44359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44366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44373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44387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44394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44401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44408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44415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44422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44429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44436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44443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44450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44457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44464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44471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44478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44485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44492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44499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44506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44513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44520</c:v>
                </c:pt>
                <c:pt idx="438">
                  <c:v>44523</c:v>
                </c:pt>
                <c:pt idx="439">
                  <c:v>44524</c:v>
                </c:pt>
                <c:pt idx="440">
                  <c:v>44525</c:v>
                </c:pt>
                <c:pt idx="441">
                  <c:v>44527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44534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44541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44548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44554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</c:numCache>
            </c:numRef>
          </c:cat>
          <c:val>
            <c:numRef>
              <c:f>'Data Checks'!$K$4:$K$467</c:f>
              <c:numCache>
                <c:formatCode>General</c:formatCode>
                <c:ptCount val="464"/>
                <c:pt idx="0">
                  <c:v>100</c:v>
                </c:pt>
                <c:pt idx="1">
                  <c:v>100.57870370370371</c:v>
                </c:pt>
                <c:pt idx="2">
                  <c:v>101.5740712962963</c:v>
                </c:pt>
                <c:pt idx="3">
                  <c:v>100.30092314814814</c:v>
                </c:pt>
                <c:pt idx="4">
                  <c:v>96.990740740740748</c:v>
                </c:pt>
                <c:pt idx="5">
                  <c:v>96.041665277777795</c:v>
                </c:pt>
                <c:pt idx="6">
                  <c:v>97.615743518518542</c:v>
                </c:pt>
                <c:pt idx="7">
                  <c:v>97.222222222222243</c:v>
                </c:pt>
                <c:pt idx="8">
                  <c:v>97.175923148148158</c:v>
                </c:pt>
                <c:pt idx="9">
                  <c:v>98.518519907407423</c:v>
                </c:pt>
                <c:pt idx="10">
                  <c:v>100.43981342592595</c:v>
                </c:pt>
                <c:pt idx="11">
                  <c:v>100.92592592592595</c:v>
                </c:pt>
                <c:pt idx="12">
                  <c:v>100.53240462962965</c:v>
                </c:pt>
                <c:pt idx="13">
                  <c:v>98.981482870370385</c:v>
                </c:pt>
                <c:pt idx="14">
                  <c:v>98.2638888888889</c:v>
                </c:pt>
                <c:pt idx="15">
                  <c:v>94.884257870370377</c:v>
                </c:pt>
                <c:pt idx="16">
                  <c:v>94.675925925925924</c:v>
                </c:pt>
                <c:pt idx="17">
                  <c:v>93.75</c:v>
                </c:pt>
                <c:pt idx="18">
                  <c:v>95.115739351851857</c:v>
                </c:pt>
                <c:pt idx="19">
                  <c:v>94.236112500000019</c:v>
                </c:pt>
                <c:pt idx="20">
                  <c:v>95.4629615740741</c:v>
                </c:pt>
                <c:pt idx="21">
                  <c:v>96.388887500000038</c:v>
                </c:pt>
                <c:pt idx="22">
                  <c:v>97.777776388888938</c:v>
                </c:pt>
                <c:pt idx="23">
                  <c:v>99.212964351851909</c:v>
                </c:pt>
                <c:pt idx="24">
                  <c:v>99.328705092592656</c:v>
                </c:pt>
                <c:pt idx="25">
                  <c:v>99.652777777777843</c:v>
                </c:pt>
                <c:pt idx="26">
                  <c:v>99.444445833333404</c:v>
                </c:pt>
                <c:pt idx="27">
                  <c:v>99.930558333333394</c:v>
                </c:pt>
                <c:pt idx="28">
                  <c:v>99.513887500000052</c:v>
                </c:pt>
                <c:pt idx="29">
                  <c:v>96.412037037037095</c:v>
                </c:pt>
                <c:pt idx="30">
                  <c:v>96.759259259259309</c:v>
                </c:pt>
                <c:pt idx="31">
                  <c:v>96.921299074074128</c:v>
                </c:pt>
                <c:pt idx="32">
                  <c:v>98.680552777777834</c:v>
                </c:pt>
                <c:pt idx="33">
                  <c:v>100.69444444444451</c:v>
                </c:pt>
                <c:pt idx="34">
                  <c:v>99.907408796296366</c:v>
                </c:pt>
                <c:pt idx="35">
                  <c:v>98.51851990740748</c:v>
                </c:pt>
                <c:pt idx="36">
                  <c:v>97.870367592592672</c:v>
                </c:pt>
                <c:pt idx="37">
                  <c:v>96.944441666666748</c:v>
                </c:pt>
                <c:pt idx="38">
                  <c:v>98.263888888888971</c:v>
                </c:pt>
                <c:pt idx="39">
                  <c:v>99.861109722222309</c:v>
                </c:pt>
                <c:pt idx="40">
                  <c:v>99.42129629629639</c:v>
                </c:pt>
                <c:pt idx="41">
                  <c:v>99.745368981481576</c:v>
                </c:pt>
                <c:pt idx="42">
                  <c:v>98.981482870370471</c:v>
                </c:pt>
                <c:pt idx="43">
                  <c:v>98.657410185185284</c:v>
                </c:pt>
                <c:pt idx="44">
                  <c:v>96.620368981481576</c:v>
                </c:pt>
                <c:pt idx="45">
                  <c:v>96.180555555555657</c:v>
                </c:pt>
                <c:pt idx="46">
                  <c:v>95.62500138888899</c:v>
                </c:pt>
                <c:pt idx="47">
                  <c:v>96.087964351851952</c:v>
                </c:pt>
                <c:pt idx="48">
                  <c:v>94.351853240740837</c:v>
                </c:pt>
                <c:pt idx="49">
                  <c:v>95.62500138888899</c:v>
                </c:pt>
                <c:pt idx="50">
                  <c:v>96.527777777777871</c:v>
                </c:pt>
                <c:pt idx="51">
                  <c:v>98.449071296296395</c:v>
                </c:pt>
                <c:pt idx="52">
                  <c:v>97.199072685185286</c:v>
                </c:pt>
                <c:pt idx="53">
                  <c:v>96.504628240740843</c:v>
                </c:pt>
                <c:pt idx="54">
                  <c:v>96.712960185185281</c:v>
                </c:pt>
                <c:pt idx="55">
                  <c:v>95.347220833333438</c:v>
                </c:pt>
                <c:pt idx="56">
                  <c:v>93.124997222222319</c:v>
                </c:pt>
                <c:pt idx="57">
                  <c:v>93.587960185185281</c:v>
                </c:pt>
                <c:pt idx="58">
                  <c:v>94.490743518518627</c:v>
                </c:pt>
                <c:pt idx="59">
                  <c:v>93.148146759259362</c:v>
                </c:pt>
                <c:pt idx="60">
                  <c:v>94.490743518518627</c:v>
                </c:pt>
                <c:pt idx="61">
                  <c:v>93.657408796296409</c:v>
                </c:pt>
                <c:pt idx="62">
                  <c:v>93.310186574074194</c:v>
                </c:pt>
                <c:pt idx="63">
                  <c:v>96.712960185185295</c:v>
                </c:pt>
                <c:pt idx="64">
                  <c:v>95.046297685185309</c:v>
                </c:pt>
                <c:pt idx="65">
                  <c:v>95.740742129629751</c:v>
                </c:pt>
                <c:pt idx="66">
                  <c:v>96.527777777777899</c:v>
                </c:pt>
                <c:pt idx="67">
                  <c:v>96.736109722222338</c:v>
                </c:pt>
                <c:pt idx="68">
                  <c:v>96.875000000000114</c:v>
                </c:pt>
                <c:pt idx="69">
                  <c:v>96.180555555555657</c:v>
                </c:pt>
                <c:pt idx="70">
                  <c:v>95.555552777777862</c:v>
                </c:pt>
                <c:pt idx="71">
                  <c:v>94.583334722222318</c:v>
                </c:pt>
                <c:pt idx="72">
                  <c:v>94.837965740740842</c:v>
                </c:pt>
                <c:pt idx="73">
                  <c:v>95.601851851851961</c:v>
                </c:pt>
                <c:pt idx="74">
                  <c:v>96.365737962963067</c:v>
                </c:pt>
                <c:pt idx="75">
                  <c:v>96.550927314814913</c:v>
                </c:pt>
                <c:pt idx="76">
                  <c:v>96.527777777777871</c:v>
                </c:pt>
                <c:pt idx="77">
                  <c:v>95.717592592592695</c:v>
                </c:pt>
                <c:pt idx="78">
                  <c:v>95.509260648148256</c:v>
                </c:pt>
                <c:pt idx="79">
                  <c:v>95.879632407407513</c:v>
                </c:pt>
                <c:pt idx="80">
                  <c:v>95.62500138888899</c:v>
                </c:pt>
                <c:pt idx="81">
                  <c:v>96.412037037037138</c:v>
                </c:pt>
                <c:pt idx="82">
                  <c:v>97.708334722222318</c:v>
                </c:pt>
                <c:pt idx="83">
                  <c:v>99.722219444444534</c:v>
                </c:pt>
                <c:pt idx="84">
                  <c:v>100.27778055555567</c:v>
                </c:pt>
                <c:pt idx="85">
                  <c:v>100.67129490740751</c:v>
                </c:pt>
                <c:pt idx="86">
                  <c:v>99.930558333333451</c:v>
                </c:pt>
                <c:pt idx="87">
                  <c:v>99.652777777777885</c:v>
                </c:pt>
                <c:pt idx="88">
                  <c:v>98.958333333333428</c:v>
                </c:pt>
                <c:pt idx="89">
                  <c:v>98.726851851851947</c:v>
                </c:pt>
                <c:pt idx="90">
                  <c:v>98.148148148148238</c:v>
                </c:pt>
                <c:pt idx="91">
                  <c:v>98.148148148148238</c:v>
                </c:pt>
                <c:pt idx="92">
                  <c:v>98.263888888888985</c:v>
                </c:pt>
                <c:pt idx="93">
                  <c:v>98.449071296296395</c:v>
                </c:pt>
                <c:pt idx="94">
                  <c:v>97.800925925926023</c:v>
                </c:pt>
                <c:pt idx="95">
                  <c:v>97.453703703703795</c:v>
                </c:pt>
                <c:pt idx="96">
                  <c:v>97.175923148148229</c:v>
                </c:pt>
                <c:pt idx="97">
                  <c:v>96.319445833333418</c:v>
                </c:pt>
                <c:pt idx="98">
                  <c:v>96.78240879629638</c:v>
                </c:pt>
                <c:pt idx="99">
                  <c:v>95.879632407407499</c:v>
                </c:pt>
                <c:pt idx="100">
                  <c:v>95.0925898148149</c:v>
                </c:pt>
                <c:pt idx="101">
                  <c:v>95.046297685185266</c:v>
                </c:pt>
                <c:pt idx="102">
                  <c:v>95.555552777777862</c:v>
                </c:pt>
                <c:pt idx="103">
                  <c:v>94.444444444444528</c:v>
                </c:pt>
                <c:pt idx="104">
                  <c:v>94.004631018518594</c:v>
                </c:pt>
                <c:pt idx="105">
                  <c:v>94.814816203703771</c:v>
                </c:pt>
                <c:pt idx="106">
                  <c:v>92.777775000000062</c:v>
                </c:pt>
                <c:pt idx="107">
                  <c:v>89.097220833333395</c:v>
                </c:pt>
                <c:pt idx="108">
                  <c:v>88.356484259259318</c:v>
                </c:pt>
                <c:pt idx="109">
                  <c:v>88.425925925925995</c:v>
                </c:pt>
                <c:pt idx="110">
                  <c:v>89.999997222222291</c:v>
                </c:pt>
                <c:pt idx="111">
                  <c:v>88.680556944444518</c:v>
                </c:pt>
                <c:pt idx="112">
                  <c:v>87.93981342592599</c:v>
                </c:pt>
                <c:pt idx="113">
                  <c:v>88.009262037037104</c:v>
                </c:pt>
                <c:pt idx="114">
                  <c:v>85.87962962962969</c:v>
                </c:pt>
                <c:pt idx="115">
                  <c:v>82.777779166666718</c:v>
                </c:pt>
                <c:pt idx="116">
                  <c:v>83.495373148148204</c:v>
                </c:pt>
                <c:pt idx="117">
                  <c:v>84.143518518518576</c:v>
                </c:pt>
                <c:pt idx="118">
                  <c:v>82.893519907407466</c:v>
                </c:pt>
                <c:pt idx="119">
                  <c:v>82.986111111111157</c:v>
                </c:pt>
                <c:pt idx="120">
                  <c:v>83.912037037037081</c:v>
                </c:pt>
                <c:pt idx="121">
                  <c:v>83.657406018518557</c:v>
                </c:pt>
                <c:pt idx="122">
                  <c:v>82.986111111111157</c:v>
                </c:pt>
                <c:pt idx="123">
                  <c:v>81.828703703703752</c:v>
                </c:pt>
                <c:pt idx="124">
                  <c:v>82.152776388888938</c:v>
                </c:pt>
                <c:pt idx="125">
                  <c:v>81.967593981481528</c:v>
                </c:pt>
                <c:pt idx="126">
                  <c:v>82.337965740740785</c:v>
                </c:pt>
                <c:pt idx="127">
                  <c:v>81.550923148148186</c:v>
                </c:pt>
                <c:pt idx="128">
                  <c:v>82.268517129629672</c:v>
                </c:pt>
                <c:pt idx="129">
                  <c:v>84.351850462963</c:v>
                </c:pt>
                <c:pt idx="130">
                  <c:v>84.259259259259295</c:v>
                </c:pt>
                <c:pt idx="131">
                  <c:v>86.66666527777781</c:v>
                </c:pt>
                <c:pt idx="132">
                  <c:v>89.675924537037076</c:v>
                </c:pt>
                <c:pt idx="133">
                  <c:v>90.902780555555594</c:v>
                </c:pt>
                <c:pt idx="134">
                  <c:v>90.41666805555559</c:v>
                </c:pt>
                <c:pt idx="135">
                  <c:v>92.824074074074105</c:v>
                </c:pt>
                <c:pt idx="136">
                  <c:v>91.319444444444471</c:v>
                </c:pt>
                <c:pt idx="137">
                  <c:v>89.976854629629656</c:v>
                </c:pt>
                <c:pt idx="138">
                  <c:v>89.814814814814838</c:v>
                </c:pt>
                <c:pt idx="139">
                  <c:v>89.953705092592614</c:v>
                </c:pt>
                <c:pt idx="140">
                  <c:v>90.13888750000001</c:v>
                </c:pt>
                <c:pt idx="141">
                  <c:v>89.837964351851866</c:v>
                </c:pt>
                <c:pt idx="142">
                  <c:v>89.861113888888895</c:v>
                </c:pt>
                <c:pt idx="143">
                  <c:v>89.699074074074076</c:v>
                </c:pt>
                <c:pt idx="144">
                  <c:v>90.555558333333337</c:v>
                </c:pt>
                <c:pt idx="145">
                  <c:v>92.060187962962956</c:v>
                </c:pt>
                <c:pt idx="146">
                  <c:v>92.430552777777777</c:v>
                </c:pt>
                <c:pt idx="147">
                  <c:v>91.203703703703709</c:v>
                </c:pt>
                <c:pt idx="148">
                  <c:v>89.097220833333338</c:v>
                </c:pt>
                <c:pt idx="149">
                  <c:v>88.333334722222233</c:v>
                </c:pt>
                <c:pt idx="150">
                  <c:v>87.962962962962962</c:v>
                </c:pt>
                <c:pt idx="151">
                  <c:v>87.476850462962958</c:v>
                </c:pt>
                <c:pt idx="152">
                  <c:v>86.805555555555543</c:v>
                </c:pt>
                <c:pt idx="153">
                  <c:v>86.805555555555543</c:v>
                </c:pt>
                <c:pt idx="154">
                  <c:v>88.240743518518514</c:v>
                </c:pt>
                <c:pt idx="155">
                  <c:v>93.796299074074071</c:v>
                </c:pt>
                <c:pt idx="156">
                  <c:v>91.851849074074067</c:v>
                </c:pt>
                <c:pt idx="157">
                  <c:v>94.074072685185172</c:v>
                </c:pt>
                <c:pt idx="158">
                  <c:v>94.560185185185162</c:v>
                </c:pt>
                <c:pt idx="159">
                  <c:v>94.444444444444429</c:v>
                </c:pt>
                <c:pt idx="160">
                  <c:v>95.416669444444437</c:v>
                </c:pt>
                <c:pt idx="161">
                  <c:v>96.574076851851842</c:v>
                </c:pt>
                <c:pt idx="162">
                  <c:v>96.898149537037028</c:v>
                </c:pt>
                <c:pt idx="163">
                  <c:v>97.569444444444429</c:v>
                </c:pt>
                <c:pt idx="164">
                  <c:v>98.217589814814787</c:v>
                </c:pt>
                <c:pt idx="165">
                  <c:v>97.430554166666639</c:v>
                </c:pt>
                <c:pt idx="166">
                  <c:v>98.194447222222209</c:v>
                </c:pt>
                <c:pt idx="167">
                  <c:v>98.055556944444419</c:v>
                </c:pt>
                <c:pt idx="168">
                  <c:v>96.388887499999967</c:v>
                </c:pt>
                <c:pt idx="169">
                  <c:v>96.111113888888852</c:v>
                </c:pt>
                <c:pt idx="170">
                  <c:v>97.152780555555523</c:v>
                </c:pt>
                <c:pt idx="171">
                  <c:v>97.685185185185148</c:v>
                </c:pt>
                <c:pt idx="172">
                  <c:v>99.953700925925887</c:v>
                </c:pt>
                <c:pt idx="173">
                  <c:v>99.236113888888852</c:v>
                </c:pt>
                <c:pt idx="174">
                  <c:v>100.39352129629626</c:v>
                </c:pt>
                <c:pt idx="175">
                  <c:v>99.699076851851814</c:v>
                </c:pt>
                <c:pt idx="176">
                  <c:v>100.71759398148144</c:v>
                </c:pt>
                <c:pt idx="177">
                  <c:v>101.48148009259255</c:v>
                </c:pt>
                <c:pt idx="178">
                  <c:v>100.02314953703699</c:v>
                </c:pt>
                <c:pt idx="179">
                  <c:v>99.768518518518462</c:v>
                </c:pt>
                <c:pt idx="180">
                  <c:v>100.55555416666661</c:v>
                </c:pt>
                <c:pt idx="181">
                  <c:v>95.949074074074019</c:v>
                </c:pt>
                <c:pt idx="182">
                  <c:v>96.828700925925872</c:v>
                </c:pt>
                <c:pt idx="183">
                  <c:v>93.402777777777743</c:v>
                </c:pt>
                <c:pt idx="184">
                  <c:v>92.060187962962928</c:v>
                </c:pt>
                <c:pt idx="185">
                  <c:v>92.592592592592567</c:v>
                </c:pt>
                <c:pt idx="186">
                  <c:v>93.356478703703672</c:v>
                </c:pt>
                <c:pt idx="187">
                  <c:v>93.009256481481458</c:v>
                </c:pt>
                <c:pt idx="188">
                  <c:v>93.148146759259234</c:v>
                </c:pt>
                <c:pt idx="189">
                  <c:v>93.055555555555543</c:v>
                </c:pt>
                <c:pt idx="190">
                  <c:v>93.472219444444434</c:v>
                </c:pt>
                <c:pt idx="191">
                  <c:v>92.222220833333324</c:v>
                </c:pt>
                <c:pt idx="192">
                  <c:v>91.041663888888877</c:v>
                </c:pt>
                <c:pt idx="193">
                  <c:v>91.527776388888867</c:v>
                </c:pt>
                <c:pt idx="194">
                  <c:v>90.9722222222222</c:v>
                </c:pt>
                <c:pt idx="195">
                  <c:v>92.106480092592562</c:v>
                </c:pt>
                <c:pt idx="196">
                  <c:v>93.611109722222182</c:v>
                </c:pt>
                <c:pt idx="197">
                  <c:v>93.518518518518491</c:v>
                </c:pt>
                <c:pt idx="198">
                  <c:v>92.592592592592567</c:v>
                </c:pt>
                <c:pt idx="199">
                  <c:v>94.004631018518509</c:v>
                </c:pt>
                <c:pt idx="200">
                  <c:v>96.24999722222222</c:v>
                </c:pt>
                <c:pt idx="201">
                  <c:v>99.074074074074076</c:v>
                </c:pt>
                <c:pt idx="202">
                  <c:v>98.587961574074072</c:v>
                </c:pt>
                <c:pt idx="203">
                  <c:v>98.263888888888886</c:v>
                </c:pt>
                <c:pt idx="204">
                  <c:v>97.523145370370372</c:v>
                </c:pt>
                <c:pt idx="205">
                  <c:v>97.037039814814818</c:v>
                </c:pt>
                <c:pt idx="206">
                  <c:v>97.314813425925919</c:v>
                </c:pt>
                <c:pt idx="207">
                  <c:v>97.824075462962966</c:v>
                </c:pt>
                <c:pt idx="208">
                  <c:v>97.731484259259261</c:v>
                </c:pt>
                <c:pt idx="209">
                  <c:v>97.268521296296299</c:v>
                </c:pt>
                <c:pt idx="210">
                  <c:v>96.921299074074071</c:v>
                </c:pt>
                <c:pt idx="211">
                  <c:v>98.055556944444447</c:v>
                </c:pt>
                <c:pt idx="212">
                  <c:v>97.083331944444453</c:v>
                </c:pt>
                <c:pt idx="213">
                  <c:v>95.833333333333343</c:v>
                </c:pt>
                <c:pt idx="214">
                  <c:v>96.620368981481491</c:v>
                </c:pt>
                <c:pt idx="215">
                  <c:v>96.319445833333333</c:v>
                </c:pt>
                <c:pt idx="216">
                  <c:v>96.68981759259259</c:v>
                </c:pt>
                <c:pt idx="217">
                  <c:v>95.555552777777763</c:v>
                </c:pt>
                <c:pt idx="218">
                  <c:v>95.277779166666662</c:v>
                </c:pt>
                <c:pt idx="219">
                  <c:v>95.138888888888886</c:v>
                </c:pt>
                <c:pt idx="220">
                  <c:v>94.560185185185176</c:v>
                </c:pt>
                <c:pt idx="221">
                  <c:v>94.189813425925919</c:v>
                </c:pt>
                <c:pt idx="222">
                  <c:v>94.37500277777778</c:v>
                </c:pt>
                <c:pt idx="223">
                  <c:v>94.629626851851853</c:v>
                </c:pt>
                <c:pt idx="224">
                  <c:v>94.768517129629629</c:v>
                </c:pt>
                <c:pt idx="225">
                  <c:v>94.976849074074082</c:v>
                </c:pt>
                <c:pt idx="226">
                  <c:v>94.097222222222229</c:v>
                </c:pt>
                <c:pt idx="227">
                  <c:v>95.277779166666676</c:v>
                </c:pt>
                <c:pt idx="228">
                  <c:v>93.217595370370375</c:v>
                </c:pt>
                <c:pt idx="229">
                  <c:v>94.166663888888891</c:v>
                </c:pt>
                <c:pt idx="230">
                  <c:v>94.305554166666667</c:v>
                </c:pt>
                <c:pt idx="231">
                  <c:v>93.865740740740748</c:v>
                </c:pt>
                <c:pt idx="232">
                  <c:v>92.222220833333324</c:v>
                </c:pt>
                <c:pt idx="233">
                  <c:v>92.916665277777767</c:v>
                </c:pt>
                <c:pt idx="234">
                  <c:v>93.009256481481472</c:v>
                </c:pt>
                <c:pt idx="235">
                  <c:v>94.537035648148148</c:v>
                </c:pt>
                <c:pt idx="236">
                  <c:v>94.675925925925924</c:v>
                </c:pt>
                <c:pt idx="237">
                  <c:v>94.398145370370372</c:v>
                </c:pt>
                <c:pt idx="238">
                  <c:v>94.143521296296313</c:v>
                </c:pt>
                <c:pt idx="239">
                  <c:v>95.046297685185209</c:v>
                </c:pt>
                <c:pt idx="240">
                  <c:v>95.4629615740741</c:v>
                </c:pt>
                <c:pt idx="241">
                  <c:v>94.953706481481518</c:v>
                </c:pt>
                <c:pt idx="242">
                  <c:v>95.115739351851886</c:v>
                </c:pt>
                <c:pt idx="243">
                  <c:v>95.55555277777782</c:v>
                </c:pt>
                <c:pt idx="244">
                  <c:v>94.722225000000051</c:v>
                </c:pt>
                <c:pt idx="245">
                  <c:v>94.837965740740785</c:v>
                </c:pt>
                <c:pt idx="246">
                  <c:v>94.027780555555594</c:v>
                </c:pt>
                <c:pt idx="247">
                  <c:v>93.54166805555559</c:v>
                </c:pt>
                <c:pt idx="248">
                  <c:v>90.162037037037067</c:v>
                </c:pt>
                <c:pt idx="249">
                  <c:v>88.379626851851881</c:v>
                </c:pt>
                <c:pt idx="250">
                  <c:v>87.939813425925962</c:v>
                </c:pt>
                <c:pt idx="251">
                  <c:v>84.421299074074113</c:v>
                </c:pt>
                <c:pt idx="252">
                  <c:v>81.203700925925958</c:v>
                </c:pt>
                <c:pt idx="253">
                  <c:v>79.444447222222266</c:v>
                </c:pt>
                <c:pt idx="254">
                  <c:v>80.092592592592638</c:v>
                </c:pt>
                <c:pt idx="255">
                  <c:v>81.041668055555604</c:v>
                </c:pt>
                <c:pt idx="256">
                  <c:v>81.388890277777833</c:v>
                </c:pt>
                <c:pt idx="257">
                  <c:v>79.398148148148195</c:v>
                </c:pt>
                <c:pt idx="258">
                  <c:v>71.296296296296333</c:v>
                </c:pt>
                <c:pt idx="259">
                  <c:v>73.171297685185223</c:v>
                </c:pt>
                <c:pt idx="260">
                  <c:v>71.990740740740776</c:v>
                </c:pt>
                <c:pt idx="261">
                  <c:v>62.962962962962997</c:v>
                </c:pt>
                <c:pt idx="262">
                  <c:v>62.870371759259299</c:v>
                </c:pt>
                <c:pt idx="263">
                  <c:v>58.125001388888926</c:v>
                </c:pt>
                <c:pt idx="264">
                  <c:v>57.268517129629664</c:v>
                </c:pt>
                <c:pt idx="265">
                  <c:v>54.467593287037069</c:v>
                </c:pt>
                <c:pt idx="266">
                  <c:v>50.648148842592626</c:v>
                </c:pt>
                <c:pt idx="267">
                  <c:v>53.611112500000033</c:v>
                </c:pt>
                <c:pt idx="268">
                  <c:v>48.842592592592624</c:v>
                </c:pt>
                <c:pt idx="269">
                  <c:v>56.157408796296338</c:v>
                </c:pt>
                <c:pt idx="270">
                  <c:v>59.884262037037082</c:v>
                </c:pt>
                <c:pt idx="271">
                  <c:v>64.120370370370409</c:v>
                </c:pt>
                <c:pt idx="272">
                  <c:v>62.152777777777821</c:v>
                </c:pt>
                <c:pt idx="273">
                  <c:v>61.990737962963003</c:v>
                </c:pt>
                <c:pt idx="274">
                  <c:v>62.152777777777821</c:v>
                </c:pt>
                <c:pt idx="275">
                  <c:v>55.902777777777814</c:v>
                </c:pt>
                <c:pt idx="276">
                  <c:v>57.800925231481514</c:v>
                </c:pt>
                <c:pt idx="277">
                  <c:v>54.074075462962995</c:v>
                </c:pt>
                <c:pt idx="278">
                  <c:v>56.944444444444471</c:v>
                </c:pt>
                <c:pt idx="279">
                  <c:v>61.736113888888923</c:v>
                </c:pt>
                <c:pt idx="280">
                  <c:v>58.703705092592621</c:v>
                </c:pt>
                <c:pt idx="281">
                  <c:v>61.250001388888919</c:v>
                </c:pt>
                <c:pt idx="282">
                  <c:v>59.282408796296323</c:v>
                </c:pt>
                <c:pt idx="283">
                  <c:v>56.273149537037064</c:v>
                </c:pt>
                <c:pt idx="284">
                  <c:v>55.810186574074095</c:v>
                </c:pt>
                <c:pt idx="285">
                  <c:v>57.361111805555581</c:v>
                </c:pt>
                <c:pt idx="286">
                  <c:v>56.342591203703726</c:v>
                </c:pt>
                <c:pt idx="287">
                  <c:v>54.745370370370395</c:v>
                </c:pt>
                <c:pt idx="288">
                  <c:v>54.976851851851876</c:v>
                </c:pt>
                <c:pt idx="289">
                  <c:v>55.092592592592617</c:v>
                </c:pt>
                <c:pt idx="290">
                  <c:v>53.333331944444467</c:v>
                </c:pt>
                <c:pt idx="291">
                  <c:v>55.277778472222252</c:v>
                </c:pt>
                <c:pt idx="292">
                  <c:v>57.754629629629662</c:v>
                </c:pt>
                <c:pt idx="293">
                  <c:v>60.115743518518556</c:v>
                </c:pt>
                <c:pt idx="294">
                  <c:v>55.972222916666702</c:v>
                </c:pt>
                <c:pt idx="295">
                  <c:v>54.97685185185189</c:v>
                </c:pt>
                <c:pt idx="296">
                  <c:v>52.98610972222226</c:v>
                </c:pt>
                <c:pt idx="297">
                  <c:v>54.351852546296335</c:v>
                </c:pt>
                <c:pt idx="298">
                  <c:v>55.370369675925964</c:v>
                </c:pt>
                <c:pt idx="299">
                  <c:v>57.245371064814854</c:v>
                </c:pt>
                <c:pt idx="300">
                  <c:v>56.064814120370407</c:v>
                </c:pt>
                <c:pt idx="301">
                  <c:v>56.712962962963005</c:v>
                </c:pt>
                <c:pt idx="302">
                  <c:v>54.490739351851886</c:v>
                </c:pt>
                <c:pt idx="303">
                  <c:v>53.611112500000033</c:v>
                </c:pt>
                <c:pt idx="304">
                  <c:v>53.05555486111114</c:v>
                </c:pt>
                <c:pt idx="305">
                  <c:v>55.810186574074109</c:v>
                </c:pt>
                <c:pt idx="306">
                  <c:v>55.439814814814852</c:v>
                </c:pt>
                <c:pt idx="307">
                  <c:v>55.324074074074112</c:v>
                </c:pt>
                <c:pt idx="308">
                  <c:v>54.861111111111143</c:v>
                </c:pt>
                <c:pt idx="309">
                  <c:v>54.652779166666704</c:v>
                </c:pt>
                <c:pt idx="310">
                  <c:v>57.499998611111145</c:v>
                </c:pt>
                <c:pt idx="311">
                  <c:v>60.787038425925964</c:v>
                </c:pt>
                <c:pt idx="312">
                  <c:v>60.624998611111145</c:v>
                </c:pt>
                <c:pt idx="313">
                  <c:v>57.337962268518552</c:v>
                </c:pt>
                <c:pt idx="314">
                  <c:v>58.587964351851888</c:v>
                </c:pt>
                <c:pt idx="315">
                  <c:v>60.393517129629664</c:v>
                </c:pt>
                <c:pt idx="316">
                  <c:v>64.560183796296329</c:v>
                </c:pt>
                <c:pt idx="317">
                  <c:v>65.092595370370418</c:v>
                </c:pt>
                <c:pt idx="318">
                  <c:v>68.587960185185224</c:v>
                </c:pt>
                <c:pt idx="319">
                  <c:v>68.703700925925972</c:v>
                </c:pt>
                <c:pt idx="320">
                  <c:v>67.152779166666718</c:v>
                </c:pt>
                <c:pt idx="321">
                  <c:v>66.643517129629686</c:v>
                </c:pt>
                <c:pt idx="322">
                  <c:v>63.773148148148209</c:v>
                </c:pt>
                <c:pt idx="323">
                  <c:v>64.00462962962969</c:v>
                </c:pt>
                <c:pt idx="324">
                  <c:v>64.421293518518581</c:v>
                </c:pt>
                <c:pt idx="325">
                  <c:v>66.689816203703771</c:v>
                </c:pt>
                <c:pt idx="326">
                  <c:v>64.421293518518581</c:v>
                </c:pt>
                <c:pt idx="327">
                  <c:v>64.537034259259315</c:v>
                </c:pt>
                <c:pt idx="328">
                  <c:v>64.513891666666723</c:v>
                </c:pt>
                <c:pt idx="329">
                  <c:v>63.587965740740799</c:v>
                </c:pt>
                <c:pt idx="330">
                  <c:v>64.837964351851909</c:v>
                </c:pt>
                <c:pt idx="331">
                  <c:v>62.291668055555611</c:v>
                </c:pt>
                <c:pt idx="332">
                  <c:v>62.268518518518576</c:v>
                </c:pt>
                <c:pt idx="333">
                  <c:v>62.268518518518576</c:v>
                </c:pt>
                <c:pt idx="334">
                  <c:v>63.402776388888945</c:v>
                </c:pt>
                <c:pt idx="335">
                  <c:v>63.33333472222229</c:v>
                </c:pt>
                <c:pt idx="336">
                  <c:v>63.263886111111169</c:v>
                </c:pt>
                <c:pt idx="337">
                  <c:v>64.513891666666723</c:v>
                </c:pt>
                <c:pt idx="338">
                  <c:v>63.31018518518524</c:v>
                </c:pt>
                <c:pt idx="339">
                  <c:v>65.601850462963014</c:v>
                </c:pt>
                <c:pt idx="340">
                  <c:v>65.949072685185229</c:v>
                </c:pt>
                <c:pt idx="341">
                  <c:v>65.162037037037081</c:v>
                </c:pt>
                <c:pt idx="342">
                  <c:v>64.652775000000048</c:v>
                </c:pt>
                <c:pt idx="343">
                  <c:v>65.462960185185239</c:v>
                </c:pt>
                <c:pt idx="344">
                  <c:v>66.296294907407471</c:v>
                </c:pt>
                <c:pt idx="345">
                  <c:v>66.967589814814872</c:v>
                </c:pt>
                <c:pt idx="346">
                  <c:v>68.055555555555614</c:v>
                </c:pt>
                <c:pt idx="347">
                  <c:v>67.75463240740747</c:v>
                </c:pt>
                <c:pt idx="348">
                  <c:v>67.708333333333385</c:v>
                </c:pt>
                <c:pt idx="349">
                  <c:v>67.476851851851904</c:v>
                </c:pt>
                <c:pt idx="350">
                  <c:v>66.689816203703757</c:v>
                </c:pt>
                <c:pt idx="351">
                  <c:v>67.476851851851904</c:v>
                </c:pt>
                <c:pt idx="352">
                  <c:v>66.527776388888938</c:v>
                </c:pt>
                <c:pt idx="353">
                  <c:v>65.046296296296347</c:v>
                </c:pt>
                <c:pt idx="354">
                  <c:v>64.120370370370424</c:v>
                </c:pt>
                <c:pt idx="355">
                  <c:v>64.699074074074119</c:v>
                </c:pt>
                <c:pt idx="356">
                  <c:v>64.351851851851904</c:v>
                </c:pt>
                <c:pt idx="357">
                  <c:v>61.736113888888944</c:v>
                </c:pt>
                <c:pt idx="358">
                  <c:v>61.041669444444501</c:v>
                </c:pt>
                <c:pt idx="359">
                  <c:v>63.402776388888938</c:v>
                </c:pt>
                <c:pt idx="360">
                  <c:v>64.467592592592652</c:v>
                </c:pt>
                <c:pt idx="361">
                  <c:v>65.810182407407467</c:v>
                </c:pt>
                <c:pt idx="362">
                  <c:v>68.865740740740804</c:v>
                </c:pt>
                <c:pt idx="363">
                  <c:v>67.962964351851909</c:v>
                </c:pt>
                <c:pt idx="364">
                  <c:v>67.592592592592652</c:v>
                </c:pt>
                <c:pt idx="365">
                  <c:v>69.513886111111162</c:v>
                </c:pt>
                <c:pt idx="366">
                  <c:v>70.300928703703775</c:v>
                </c:pt>
                <c:pt idx="367">
                  <c:v>67.824074074074133</c:v>
                </c:pt>
                <c:pt idx="368">
                  <c:v>66.851849074074138</c:v>
                </c:pt>
                <c:pt idx="369">
                  <c:v>66.921297685185266</c:v>
                </c:pt>
                <c:pt idx="370">
                  <c:v>66.435185185185262</c:v>
                </c:pt>
                <c:pt idx="371">
                  <c:v>66.458334722222304</c:v>
                </c:pt>
                <c:pt idx="372">
                  <c:v>64.814814814814881</c:v>
                </c:pt>
                <c:pt idx="373">
                  <c:v>65.069445833333404</c:v>
                </c:pt>
                <c:pt idx="374">
                  <c:v>65.995371759259328</c:v>
                </c:pt>
                <c:pt idx="375">
                  <c:v>65.370368981481548</c:v>
                </c:pt>
                <c:pt idx="376">
                  <c:v>66.064813425926005</c:v>
                </c:pt>
                <c:pt idx="377">
                  <c:v>65.694441666666748</c:v>
                </c:pt>
                <c:pt idx="378">
                  <c:v>65.439817592592675</c:v>
                </c:pt>
                <c:pt idx="379">
                  <c:v>63.819447222222301</c:v>
                </c:pt>
                <c:pt idx="380">
                  <c:v>63.865739351851929</c:v>
                </c:pt>
                <c:pt idx="381">
                  <c:v>63.495367592592665</c:v>
                </c:pt>
                <c:pt idx="382">
                  <c:v>63.333334722222297</c:v>
                </c:pt>
                <c:pt idx="383">
                  <c:v>64.351851851851919</c:v>
                </c:pt>
                <c:pt idx="384">
                  <c:v>65.740740740740804</c:v>
                </c:pt>
                <c:pt idx="385">
                  <c:v>66.6435171296297</c:v>
                </c:pt>
                <c:pt idx="386">
                  <c:v>66.828706481481561</c:v>
                </c:pt>
                <c:pt idx="387">
                  <c:v>70.185187962963042</c:v>
                </c:pt>
                <c:pt idx="388">
                  <c:v>69.907407407407476</c:v>
                </c:pt>
                <c:pt idx="389">
                  <c:v>70.25462962962969</c:v>
                </c:pt>
                <c:pt idx="390">
                  <c:v>69.675925925925981</c:v>
                </c:pt>
                <c:pt idx="391">
                  <c:v>69.351853240740795</c:v>
                </c:pt>
                <c:pt idx="392">
                  <c:v>67.662034259259315</c:v>
                </c:pt>
                <c:pt idx="393">
                  <c:v>65.347219444444505</c:v>
                </c:pt>
                <c:pt idx="394">
                  <c:v>64.652775000000048</c:v>
                </c:pt>
                <c:pt idx="395">
                  <c:v>65.439817592592647</c:v>
                </c:pt>
                <c:pt idx="396">
                  <c:v>64.583333333333385</c:v>
                </c:pt>
                <c:pt idx="397">
                  <c:v>64.791665277777824</c:v>
                </c:pt>
                <c:pt idx="398">
                  <c:v>67.939814814814866</c:v>
                </c:pt>
                <c:pt idx="399">
                  <c:v>66.342593981481528</c:v>
                </c:pt>
                <c:pt idx="400">
                  <c:v>66.134262037037089</c:v>
                </c:pt>
                <c:pt idx="401">
                  <c:v>66.157404629629681</c:v>
                </c:pt>
                <c:pt idx="402">
                  <c:v>66.574075462963023</c:v>
                </c:pt>
                <c:pt idx="403">
                  <c:v>67.430552777777834</c:v>
                </c:pt>
                <c:pt idx="404">
                  <c:v>69.166663888888948</c:v>
                </c:pt>
                <c:pt idx="405">
                  <c:v>68.3796282407408</c:v>
                </c:pt>
                <c:pt idx="406">
                  <c:v>68.3796282407408</c:v>
                </c:pt>
                <c:pt idx="407">
                  <c:v>68.449076851851913</c:v>
                </c:pt>
                <c:pt idx="408">
                  <c:v>68.657408796296352</c:v>
                </c:pt>
                <c:pt idx="409">
                  <c:v>66.388886111111162</c:v>
                </c:pt>
                <c:pt idx="410">
                  <c:v>66.458334722222276</c:v>
                </c:pt>
                <c:pt idx="411">
                  <c:v>64.560183796296343</c:v>
                </c:pt>
                <c:pt idx="412">
                  <c:v>65.254628240740786</c:v>
                </c:pt>
                <c:pt idx="413">
                  <c:v>65.324076851851899</c:v>
                </c:pt>
                <c:pt idx="414">
                  <c:v>65.162037037037081</c:v>
                </c:pt>
                <c:pt idx="415">
                  <c:v>63.379626851851896</c:v>
                </c:pt>
                <c:pt idx="416">
                  <c:v>63.263886111111155</c:v>
                </c:pt>
                <c:pt idx="417">
                  <c:v>64.375001388888933</c:v>
                </c:pt>
                <c:pt idx="418">
                  <c:v>64.004629629629676</c:v>
                </c:pt>
                <c:pt idx="419">
                  <c:v>61.944445833333383</c:v>
                </c:pt>
                <c:pt idx="420">
                  <c:v>60.439816203703757</c:v>
                </c:pt>
                <c:pt idx="421">
                  <c:v>59.37500000000005</c:v>
                </c:pt>
                <c:pt idx="422">
                  <c:v>59.606481481481531</c:v>
                </c:pt>
                <c:pt idx="423">
                  <c:v>60.717589814814858</c:v>
                </c:pt>
                <c:pt idx="424">
                  <c:v>62.129628240740786</c:v>
                </c:pt>
                <c:pt idx="425">
                  <c:v>61.99073796296301</c:v>
                </c:pt>
                <c:pt idx="426">
                  <c:v>62.939813425925969</c:v>
                </c:pt>
                <c:pt idx="427">
                  <c:v>64.259260648148199</c:v>
                </c:pt>
                <c:pt idx="428">
                  <c:v>70.509260648148199</c:v>
                </c:pt>
                <c:pt idx="429">
                  <c:v>73.032407407407447</c:v>
                </c:pt>
                <c:pt idx="430">
                  <c:v>71.898149537037071</c:v>
                </c:pt>
                <c:pt idx="431">
                  <c:v>70.717592592592624</c:v>
                </c:pt>
                <c:pt idx="432">
                  <c:v>71.550927314814842</c:v>
                </c:pt>
                <c:pt idx="433">
                  <c:v>73.148148148148181</c:v>
                </c:pt>
                <c:pt idx="434">
                  <c:v>73.333330555555591</c:v>
                </c:pt>
                <c:pt idx="435">
                  <c:v>73.9120342592593</c:v>
                </c:pt>
                <c:pt idx="436">
                  <c:v>72.916666666666714</c:v>
                </c:pt>
                <c:pt idx="437">
                  <c:v>73.611111111111157</c:v>
                </c:pt>
                <c:pt idx="438">
                  <c:v>75.138890277777833</c:v>
                </c:pt>
                <c:pt idx="439">
                  <c:v>78.194441666666719</c:v>
                </c:pt>
                <c:pt idx="440">
                  <c:v>75.833334722222276</c:v>
                </c:pt>
                <c:pt idx="441">
                  <c:v>75.648145370370429</c:v>
                </c:pt>
                <c:pt idx="442">
                  <c:v>75.023149537037099</c:v>
                </c:pt>
                <c:pt idx="443">
                  <c:v>74.351854629629699</c:v>
                </c:pt>
                <c:pt idx="444">
                  <c:v>76.944443055555624</c:v>
                </c:pt>
                <c:pt idx="445">
                  <c:v>77.800927314814885</c:v>
                </c:pt>
                <c:pt idx="446">
                  <c:v>77.523146759259333</c:v>
                </c:pt>
                <c:pt idx="447">
                  <c:v>78.287039814814904</c:v>
                </c:pt>
                <c:pt idx="448">
                  <c:v>77.106482870370456</c:v>
                </c:pt>
                <c:pt idx="449">
                  <c:v>76.388888888888971</c:v>
                </c:pt>
                <c:pt idx="450">
                  <c:v>77.129632407407499</c:v>
                </c:pt>
                <c:pt idx="451">
                  <c:v>74.953700925926</c:v>
                </c:pt>
                <c:pt idx="452">
                  <c:v>73.148148148148223</c:v>
                </c:pt>
                <c:pt idx="453">
                  <c:v>74.14351574074081</c:v>
                </c:pt>
                <c:pt idx="454">
                  <c:v>75.138890277777847</c:v>
                </c:pt>
                <c:pt idx="455">
                  <c:v>76.087965740740813</c:v>
                </c:pt>
                <c:pt idx="456">
                  <c:v>76.82870231481489</c:v>
                </c:pt>
                <c:pt idx="457">
                  <c:v>75.486112500000075</c:v>
                </c:pt>
                <c:pt idx="458">
                  <c:v>72.731484259259332</c:v>
                </c:pt>
                <c:pt idx="459">
                  <c:v>73.541669444444523</c:v>
                </c:pt>
                <c:pt idx="460">
                  <c:v>75.462962962963033</c:v>
                </c:pt>
                <c:pt idx="461">
                  <c:v>75.925925925925995</c:v>
                </c:pt>
                <c:pt idx="462">
                  <c:v>76.087965740740813</c:v>
                </c:pt>
                <c:pt idx="463">
                  <c:v>75.925925925925995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BA-4C27-8CCC-FEB883E7B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413736"/>
        <c:axId val="530407504"/>
      </c:lineChart>
      <c:dateAx>
        <c:axId val="530413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07504"/>
        <c:crosses val="autoZero"/>
        <c:auto val="0"/>
        <c:lblOffset val="100"/>
        <c:baseTimeUnit val="days"/>
      </c:dateAx>
      <c:valAx>
        <c:axId val="5304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price (1/3/2020=100)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1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of Trading strategies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Summary!$A$7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Summary!$B$6:$F$6</c:f>
              <c:strCache>
                <c:ptCount val="5"/>
                <c:pt idx="0">
                  <c:v>Tech</c:v>
                </c:pt>
                <c:pt idx="1">
                  <c:v>Banking</c:v>
                </c:pt>
                <c:pt idx="2">
                  <c:v>Mining</c:v>
                </c:pt>
                <c:pt idx="3">
                  <c:v>Energy</c:v>
                </c:pt>
                <c:pt idx="4">
                  <c:v>Insurance</c:v>
                </c:pt>
              </c:strCache>
            </c:strRef>
          </c:cat>
          <c:val>
            <c:numRef>
              <c:f>Summary!$B$7:$F$7</c:f>
              <c:numCache>
                <c:formatCode>General</c:formatCode>
                <c:ptCount val="5"/>
                <c:pt idx="0">
                  <c:v>346.24159837808253</c:v>
                </c:pt>
                <c:pt idx="1">
                  <c:v>131.77547197804105</c:v>
                </c:pt>
                <c:pt idx="2">
                  <c:v>253.76523382476623</c:v>
                </c:pt>
                <c:pt idx="3">
                  <c:v>120.62269097346194</c:v>
                </c:pt>
                <c:pt idx="4">
                  <c:v>156.41392689194944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7-466C-986F-55A1F765C0D4}"/>
            </c:ext>
          </c:extLst>
        </c:ser>
        <c:ser>
          <c:idx val="0"/>
          <c:order val="1"/>
          <c:tx>
            <c:strRef>
              <c:f>Summary!$A$8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Summary!$B$6:$F$6</c:f>
              <c:strCache>
                <c:ptCount val="5"/>
                <c:pt idx="0">
                  <c:v>Tech</c:v>
                </c:pt>
                <c:pt idx="1">
                  <c:v>Banking</c:v>
                </c:pt>
                <c:pt idx="2">
                  <c:v>Mining</c:v>
                </c:pt>
                <c:pt idx="3">
                  <c:v>Energy</c:v>
                </c:pt>
                <c:pt idx="4">
                  <c:v>Insurance</c:v>
                </c:pt>
              </c:strCache>
            </c:strRef>
          </c:cat>
          <c:val>
            <c:numRef>
              <c:f>Summary!$B$8:$F$8</c:f>
              <c:numCache>
                <c:formatCode>General</c:formatCode>
                <c:ptCount val="5"/>
                <c:pt idx="0">
                  <c:v>258.06261000517901</c:v>
                </c:pt>
                <c:pt idx="1">
                  <c:v>222.89928969242368</c:v>
                </c:pt>
                <c:pt idx="2">
                  <c:v>238.94724095034977</c:v>
                </c:pt>
                <c:pt idx="3">
                  <c:v>222.25418679396762</c:v>
                </c:pt>
                <c:pt idx="4">
                  <c:v>196.96769293939656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66C-986F-55A1F765C0D4}"/>
            </c:ext>
          </c:extLst>
        </c:ser>
        <c:ser>
          <c:idx val="1"/>
          <c:order val="2"/>
          <c:tx>
            <c:strRef>
              <c:f>Summary!$A$9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Summary!$B$6:$F$6</c:f>
              <c:strCache>
                <c:ptCount val="5"/>
                <c:pt idx="0">
                  <c:v>Tech</c:v>
                </c:pt>
                <c:pt idx="1">
                  <c:v>Banking</c:v>
                </c:pt>
                <c:pt idx="2">
                  <c:v>Mining</c:v>
                </c:pt>
                <c:pt idx="3">
                  <c:v>Energy</c:v>
                </c:pt>
                <c:pt idx="4">
                  <c:v>Insurance</c:v>
                </c:pt>
              </c:strCache>
            </c:strRef>
          </c:cat>
          <c:val>
            <c:numRef>
              <c:f>Summary!$B$9:$F$9</c:f>
              <c:numCache>
                <c:formatCode>General</c:formatCode>
                <c:ptCount val="5"/>
                <c:pt idx="0">
                  <c:v>155.00114487409576</c:v>
                </c:pt>
                <c:pt idx="1">
                  <c:v>179.45324121577781</c:v>
                </c:pt>
                <c:pt idx="2">
                  <c:v>167.4009703602793</c:v>
                </c:pt>
                <c:pt idx="3">
                  <c:v>179.97411242057032</c:v>
                </c:pt>
                <c:pt idx="4">
                  <c:v>203.07898926504319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7-466C-986F-55A1F765C0D4}"/>
            </c:ext>
          </c:extLst>
        </c:ser>
        <c:ser>
          <c:idx val="2"/>
          <c:order val="3"/>
          <c:tx>
            <c:strRef>
              <c:f>Summary!$A$10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Summary!$B$6:$F$6</c:f>
              <c:strCache>
                <c:ptCount val="5"/>
                <c:pt idx="0">
                  <c:v>Tech</c:v>
                </c:pt>
                <c:pt idx="1">
                  <c:v>Banking</c:v>
                </c:pt>
                <c:pt idx="2">
                  <c:v>Mining</c:v>
                </c:pt>
                <c:pt idx="3">
                  <c:v>Energy</c:v>
                </c:pt>
                <c:pt idx="4">
                  <c:v>Insurance</c:v>
                </c:pt>
              </c:strCache>
            </c:strRef>
          </c:cat>
          <c:val>
            <c:numRef>
              <c:f>Summary!$B$10:$F$10</c:f>
              <c:numCache>
                <c:formatCode>General</c:formatCode>
                <c:ptCount val="5"/>
                <c:pt idx="0">
                  <c:v>134.79969510668633</c:v>
                </c:pt>
                <c:pt idx="1">
                  <c:v>127.64278372978679</c:v>
                </c:pt>
                <c:pt idx="2">
                  <c:v>238.37420468612302</c:v>
                </c:pt>
                <c:pt idx="3">
                  <c:v>119.28729146236597</c:v>
                </c:pt>
                <c:pt idx="4">
                  <c:v>221.6124403964906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7-466C-986F-55A1F765C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781128"/>
        <c:axId val="328782112"/>
      </c:barChart>
      <c:catAx>
        <c:axId val="32878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82112"/>
        <c:crosses val="autoZero"/>
        <c:auto val="1"/>
        <c:lblAlgn val="ctr"/>
        <c:lblOffset val="100"/>
        <c:noMultiLvlLbl val="0"/>
      </c:catAx>
      <c:valAx>
        <c:axId val="32878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</a:t>
                </a:r>
                <a:r>
                  <a:rPr lang="en-GB" baseline="0"/>
                  <a:t> of $200 at end of year ($)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8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end</a:t>
            </a:r>
            <a:r>
              <a:rPr lang="en-US" baseline="0"/>
              <a:t> value for each strategy</a:t>
            </a:r>
            <a:endParaRPr lang="en-US"/>
          </a:p>
        </c:rich>
      </c:tx>
      <c:layout>
        <c:manualLayout>
          <c:xMode val="edge"/>
          <c:yMode val="edge"/>
          <c:x val="0.33119601174113589"/>
          <c:y val="2.0366598778004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20555086323558E-2"/>
          <c:y val="0.23280576901835168"/>
          <c:w val="0.75514032097603867"/>
          <c:h val="0.674248339198081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Summary!$B$6</c:f>
              <c:strCache>
                <c:ptCount val="1"/>
                <c:pt idx="0">
                  <c:v>Tech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Summary!$B$7:$B$10</c:f>
              <c:numCache>
                <c:formatCode>General</c:formatCode>
                <c:ptCount val="4"/>
                <c:pt idx="0">
                  <c:v>346.24159837808253</c:v>
                </c:pt>
                <c:pt idx="1">
                  <c:v>258.06261000517901</c:v>
                </c:pt>
                <c:pt idx="2">
                  <c:v>155.00114487409576</c:v>
                </c:pt>
                <c:pt idx="3">
                  <c:v>134.79969510668633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E-B840-AAA9-FFD9876F42A4}"/>
            </c:ext>
          </c:extLst>
        </c:ser>
        <c:ser>
          <c:idx val="1"/>
          <c:order val="1"/>
          <c:tx>
            <c:strRef>
              <c:f>Summary!$C$6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Summary!$C$7:$C$10</c:f>
              <c:numCache>
                <c:formatCode>General</c:formatCode>
                <c:ptCount val="4"/>
                <c:pt idx="0">
                  <c:v>131.77547197804105</c:v>
                </c:pt>
                <c:pt idx="1">
                  <c:v>222.89928969242368</c:v>
                </c:pt>
                <c:pt idx="2">
                  <c:v>179.45324121577781</c:v>
                </c:pt>
                <c:pt idx="3">
                  <c:v>127.64278372978679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E-B840-AAA9-FFD9876F42A4}"/>
            </c:ext>
          </c:extLst>
        </c:ser>
        <c:ser>
          <c:idx val="2"/>
          <c:order val="2"/>
          <c:tx>
            <c:strRef>
              <c:f>Summary!$D$6</c:f>
              <c:strCache>
                <c:ptCount val="1"/>
                <c:pt idx="0">
                  <c:v>Mining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Summary!$D$7:$D$10</c:f>
              <c:numCache>
                <c:formatCode>General</c:formatCode>
                <c:ptCount val="4"/>
                <c:pt idx="0">
                  <c:v>253.76523382476623</c:v>
                </c:pt>
                <c:pt idx="1">
                  <c:v>238.94724095034977</c:v>
                </c:pt>
                <c:pt idx="2">
                  <c:v>167.4009703602793</c:v>
                </c:pt>
                <c:pt idx="3">
                  <c:v>238.37420468612302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E-D743-B8F1-EEC11BC68149}"/>
            </c:ext>
          </c:extLst>
        </c:ser>
        <c:ser>
          <c:idx val="3"/>
          <c:order val="3"/>
          <c:tx>
            <c:strRef>
              <c:f>Summary!$E$6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Summary!$E$7:$E$10</c:f>
              <c:numCache>
                <c:formatCode>General</c:formatCode>
                <c:ptCount val="4"/>
                <c:pt idx="0">
                  <c:v>120.62269097346194</c:v>
                </c:pt>
                <c:pt idx="1">
                  <c:v>222.25418679396762</c:v>
                </c:pt>
                <c:pt idx="2">
                  <c:v>179.97411242057032</c:v>
                </c:pt>
                <c:pt idx="3">
                  <c:v>119.28729146236597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E-D743-B8F1-EEC11BC68149}"/>
            </c:ext>
          </c:extLst>
        </c:ser>
        <c:ser>
          <c:idx val="4"/>
          <c:order val="4"/>
          <c:tx>
            <c:strRef>
              <c:f>Summary!$F$6</c:f>
              <c:strCache>
                <c:ptCount val="1"/>
                <c:pt idx="0">
                  <c:v>Insurance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Summary!$F$7:$F$10</c:f>
              <c:numCache>
                <c:formatCode>General</c:formatCode>
                <c:ptCount val="4"/>
                <c:pt idx="0">
                  <c:v>156.41392689194944</c:v>
                </c:pt>
                <c:pt idx="1">
                  <c:v>196.96769293939656</c:v>
                </c:pt>
                <c:pt idx="2">
                  <c:v>203.07898926504319</c:v>
                </c:pt>
                <c:pt idx="3">
                  <c:v>221.6124403964906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4E-D743-B8F1-EEC11BC68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059151"/>
        <c:axId val="71173423"/>
      </c:barChart>
      <c:lineChart>
        <c:grouping val="standard"/>
        <c:varyColors val="0"/>
        <c:ser>
          <c:idx val="6"/>
          <c:order val="5"/>
          <c:tx>
            <c:strRef>
              <c:f>Summary!$H$6</c:f>
              <c:strCache>
                <c:ptCount val="1"/>
                <c:pt idx="0">
                  <c:v>Initial Investment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Summary!$A$7:$A$10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Summary!$H$7:$H$10</c:f>
              <c:numCache>
                <c:formatCode>General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4E-D743-B8F1-EEC11BC68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59151"/>
        <c:axId val="71173423"/>
      </c:lineChart>
      <c:catAx>
        <c:axId val="7105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Strategy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73423"/>
        <c:crosses val="autoZero"/>
        <c:auto val="1"/>
        <c:lblAlgn val="ctr"/>
        <c:lblOffset val="100"/>
        <c:noMultiLvlLbl val="0"/>
      </c:catAx>
      <c:valAx>
        <c:axId val="711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at end of year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txData>
          <cx:v>Distribution of daily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daily returns</a:t>
          </a:r>
        </a:p>
      </cx:txPr>
    </cx:title>
    <cx:plotArea>
      <cx:plotAreaRegion>
        <cx:series layoutId="clusteredColumn" uniqueId="{FCF8806D-2D88-43F6-AF5E-4FD712EE8A26}" formatIdx="0">
          <cx:tx>
            <cx:txData>
              <cx:f>_xlchart.v1.0</cx:f>
              <cx:v>Tech</cx:v>
            </cx:txData>
          </cx:tx>
          <cx:dataId val="0"/>
          <cx:layoutPr>
            <cx:binning intervalClosed="r" underflow="-0.060000000000000012" overflow="0.060000000000000012">
              <cx:binSize val="0.005000000000000001"/>
            </cx:binning>
          </cx:layoutPr>
        </cx:series>
        <cx:series layoutId="clusteredColumn" hidden="1" uniqueId="{627B33A1-9A58-4590-B14D-5A2051692A3D}" formatIdx="1">
          <cx:tx>
            <cx:txData>
              <cx:f>_xlchart.v1.2</cx:f>
              <cx:v>Banking</cx:v>
            </cx:txData>
          </cx:tx>
          <cx:dataId val="1"/>
          <cx:layoutPr>
            <cx:binning intervalClosed="r"/>
          </cx:layoutPr>
        </cx:series>
        <cx:series layoutId="clusteredColumn" hidden="1" uniqueId="{D3B38349-C605-4F89-871D-011FE9D207F7}" formatIdx="2">
          <cx:tx>
            <cx:txData>
              <cx:f>_xlchart.v1.4</cx:f>
              <cx:v>Mining</cx:v>
            </cx:txData>
          </cx:tx>
          <cx:dataId val="2"/>
          <cx:layoutPr>
            <cx:binning intervalClosed="r"/>
          </cx:layoutPr>
        </cx:series>
        <cx:series layoutId="clusteredColumn" hidden="1" uniqueId="{F765AECB-FCB3-44E8-9B4F-CA95C9799C7C}" formatIdx="3">
          <cx:tx>
            <cx:txData>
              <cx:f>_xlchart.v1.6</cx:f>
              <cx:v>Energy</cx:v>
            </cx:txData>
          </cx:tx>
          <cx:dataId val="3"/>
          <cx:layoutPr>
            <cx:binning intervalClosed="r"/>
          </cx:layoutPr>
        </cx:series>
        <cx:series layoutId="clusteredColumn" hidden="1" uniqueId="{1EA6A57D-79D8-40AB-A91A-E382507CEDC4}" formatIdx="4">
          <cx:tx>
            <cx:txData>
              <cx:f>_xlchart.v1.8</cx:f>
              <cx:v>Insurance</cx:v>
            </cx:txData>
          </cx:tx>
          <cx:dataId val="4"/>
          <cx:layoutPr>
            <cx:binning intervalClosed="r"/>
          </cx:layoutPr>
        </cx:series>
      </cx:plotAreaRegion>
      <cx:axis id="0">
        <cx:catScaling gapWidth="0"/>
        <cx:tickLabels/>
        <cx:numFmt formatCode="0.00%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142875</xdr:colOff>
      <xdr:row>2</xdr:row>
      <xdr:rowOff>83344</xdr:rowOff>
    </xdr:from>
    <xdr:to>
      <xdr:col>35</xdr:col>
      <xdr:colOff>464344</xdr:colOff>
      <xdr:row>16</xdr:row>
      <xdr:rowOff>159544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3948DBC-B699-4CD5-AB7D-4397ACDC2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31025" y="464344"/>
              <a:ext cx="6246019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635000</xdr:colOff>
      <xdr:row>24</xdr:row>
      <xdr:rowOff>127000</xdr:rowOff>
    </xdr:from>
    <xdr:to>
      <xdr:col>26</xdr:col>
      <xdr:colOff>396875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1551F8-23AD-475B-B1D0-5DF1ECF99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317500</xdr:colOff>
      <xdr:row>20</xdr:row>
      <xdr:rowOff>158750</xdr:rowOff>
    </xdr:from>
    <xdr:to>
      <xdr:col>19</xdr:col>
      <xdr:colOff>12700</xdr:colOff>
      <xdr:row>35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5A982-4AF5-43AE-A192-A211DB649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425450</xdr:colOff>
      <xdr:row>3</xdr:row>
      <xdr:rowOff>19050</xdr:rowOff>
    </xdr:from>
    <xdr:to>
      <xdr:col>23</xdr:col>
      <xdr:colOff>546100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313968-9D83-ED46-9CA9-A8AFE9D8D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4414-55F7-4DC6-A64E-A4FABF80807A}">
  <sheetPr codeName="Sheet1"/>
  <dimension ref="A1:F465"/>
  <sheetViews>
    <sheetView zoomScale="80" zoomScaleNormal="80" workbookViewId="0"/>
  </sheetViews>
  <sheetFormatPr defaultColWidth="8.81640625" defaultRowHeight="14.5" x14ac:dyDescent="0.35"/>
  <cols>
    <col min="1" max="1" width="11.453125" bestFit="1" customWidth="1"/>
    <col min="2" max="2" width="13" bestFit="1" customWidth="1"/>
  </cols>
  <sheetData>
    <row r="1" spans="1:6" x14ac:dyDescent="0.35">
      <c r="A1" t="s">
        <v>0</v>
      </c>
      <c r="B1" t="s">
        <v>4</v>
      </c>
      <c r="C1" t="s">
        <v>7</v>
      </c>
      <c r="D1" t="s">
        <v>8</v>
      </c>
      <c r="E1" t="s">
        <v>6</v>
      </c>
      <c r="F1" t="s">
        <v>5</v>
      </c>
    </row>
    <row r="2" spans="1:6" x14ac:dyDescent="0.35">
      <c r="A2" s="8">
        <v>43891</v>
      </c>
      <c r="B2">
        <v>1671.7299800000001</v>
      </c>
      <c r="C2">
        <v>40.610000999999997</v>
      </c>
      <c r="D2">
        <v>58.360000999999997</v>
      </c>
      <c r="E2">
        <v>62.32</v>
      </c>
      <c r="F2">
        <v>432</v>
      </c>
    </row>
    <row r="3" spans="1:6" x14ac:dyDescent="0.35">
      <c r="A3" s="8">
        <v>43894</v>
      </c>
      <c r="B3">
        <v>1696.170044</v>
      </c>
      <c r="C3">
        <v>40.68</v>
      </c>
      <c r="D3">
        <v>58.66</v>
      </c>
      <c r="E3">
        <v>62.290000999999997</v>
      </c>
      <c r="F3">
        <v>434.5</v>
      </c>
    </row>
    <row r="4" spans="1:6" x14ac:dyDescent="0.35">
      <c r="A4" s="8">
        <v>43895</v>
      </c>
      <c r="B4">
        <v>1692.4300539999999</v>
      </c>
      <c r="C4">
        <v>41</v>
      </c>
      <c r="D4">
        <v>58.919998</v>
      </c>
      <c r="E4">
        <v>62.380001</v>
      </c>
      <c r="F4">
        <v>438.79998799999998</v>
      </c>
    </row>
    <row r="5" spans="1:6" x14ac:dyDescent="0.35">
      <c r="A5" s="8">
        <v>43896</v>
      </c>
      <c r="B5">
        <v>1668.9499510000001</v>
      </c>
      <c r="C5">
        <v>40.970001000000003</v>
      </c>
      <c r="D5">
        <v>59.189999</v>
      </c>
      <c r="E5">
        <v>62.389999000000003</v>
      </c>
      <c r="F5">
        <v>433.29998799999998</v>
      </c>
    </row>
    <row r="6" spans="1:6" x14ac:dyDescent="0.35">
      <c r="A6" s="8">
        <v>43897</v>
      </c>
      <c r="B6">
        <v>1625.9499510000001</v>
      </c>
      <c r="C6">
        <v>40.869999</v>
      </c>
      <c r="D6">
        <v>54.740001999999997</v>
      </c>
      <c r="E6">
        <v>61.57</v>
      </c>
      <c r="F6">
        <v>419</v>
      </c>
    </row>
    <row r="7" spans="1:6" x14ac:dyDescent="0.35">
      <c r="A7" s="8">
        <v>43898</v>
      </c>
      <c r="B7">
        <v>1620.8000489999999</v>
      </c>
      <c r="C7">
        <v>40.869999</v>
      </c>
      <c r="D7">
        <v>54.66</v>
      </c>
      <c r="E7">
        <v>60.799999</v>
      </c>
      <c r="F7">
        <v>414.89999399999999</v>
      </c>
    </row>
    <row r="8" spans="1:6" x14ac:dyDescent="0.35">
      <c r="A8" s="8">
        <v>43901</v>
      </c>
      <c r="B8">
        <v>1670.619995</v>
      </c>
      <c r="C8">
        <v>41.009998000000003</v>
      </c>
      <c r="D8">
        <v>55.279998999999997</v>
      </c>
      <c r="E8">
        <v>61.23</v>
      </c>
      <c r="F8">
        <v>421.70001200000002</v>
      </c>
    </row>
    <row r="9" spans="1:6" x14ac:dyDescent="0.35">
      <c r="A9" s="8">
        <v>43902</v>
      </c>
      <c r="B9">
        <v>1673.099976</v>
      </c>
      <c r="C9">
        <v>41.07</v>
      </c>
      <c r="D9">
        <v>55.32</v>
      </c>
      <c r="E9">
        <v>61.34</v>
      </c>
      <c r="F9">
        <v>420</v>
      </c>
    </row>
    <row r="10" spans="1:6" x14ac:dyDescent="0.35">
      <c r="A10" s="8">
        <v>43903</v>
      </c>
      <c r="B10">
        <v>1690.8100589999999</v>
      </c>
      <c r="C10">
        <v>41.119999</v>
      </c>
      <c r="D10">
        <v>56.029998999999997</v>
      </c>
      <c r="E10">
        <v>62.990001999999997</v>
      </c>
      <c r="F10">
        <v>419.79998799999998</v>
      </c>
    </row>
    <row r="11" spans="1:6" x14ac:dyDescent="0.35">
      <c r="A11" s="8">
        <v>43904</v>
      </c>
      <c r="B11">
        <v>1686.219971</v>
      </c>
      <c r="C11">
        <v>41.139999000000003</v>
      </c>
      <c r="D11">
        <v>56</v>
      </c>
      <c r="E11">
        <v>63.049999</v>
      </c>
      <c r="F11">
        <v>425.60000600000001</v>
      </c>
    </row>
    <row r="12" spans="1:6" x14ac:dyDescent="0.35">
      <c r="A12" s="8">
        <v>43905</v>
      </c>
      <c r="B12">
        <v>1712.3599850000001</v>
      </c>
      <c r="C12">
        <v>41.41</v>
      </c>
      <c r="D12">
        <v>55.98</v>
      </c>
      <c r="E12">
        <v>63.290000999999997</v>
      </c>
      <c r="F12">
        <v>433.89999399999999</v>
      </c>
    </row>
    <row r="13" spans="1:6" x14ac:dyDescent="0.35">
      <c r="A13" s="8">
        <v>43908</v>
      </c>
      <c r="B13">
        <v>1742.150024</v>
      </c>
      <c r="C13">
        <v>41.529998999999997</v>
      </c>
      <c r="D13">
        <v>56.990001999999997</v>
      </c>
      <c r="E13">
        <v>64.089995999999999</v>
      </c>
      <c r="F13">
        <v>436</v>
      </c>
    </row>
    <row r="14" spans="1:6" x14ac:dyDescent="0.35">
      <c r="A14" s="8">
        <v>43909</v>
      </c>
      <c r="B14">
        <v>1761.849976</v>
      </c>
      <c r="C14">
        <v>41.380001</v>
      </c>
      <c r="D14">
        <v>56.52</v>
      </c>
      <c r="E14">
        <v>63.950001</v>
      </c>
      <c r="F14">
        <v>434.29998799999998</v>
      </c>
    </row>
    <row r="15" spans="1:6" x14ac:dyDescent="0.35">
      <c r="A15" s="8">
        <v>43910</v>
      </c>
      <c r="B15">
        <v>1797.2700199999999</v>
      </c>
      <c r="C15">
        <v>41.209999000000003</v>
      </c>
      <c r="D15">
        <v>56.650002000000001</v>
      </c>
      <c r="E15">
        <v>64.480002999999996</v>
      </c>
      <c r="F15">
        <v>427.60000600000001</v>
      </c>
    </row>
    <row r="16" spans="1:6" x14ac:dyDescent="0.35">
      <c r="A16" s="8">
        <v>43911</v>
      </c>
      <c r="B16">
        <v>1819.26001</v>
      </c>
      <c r="C16">
        <v>41.07</v>
      </c>
      <c r="D16">
        <v>56.830002</v>
      </c>
      <c r="E16">
        <v>64.080001999999993</v>
      </c>
      <c r="F16">
        <v>424.5</v>
      </c>
    </row>
    <row r="17" spans="1:6" x14ac:dyDescent="0.35">
      <c r="A17" s="8">
        <v>43912</v>
      </c>
      <c r="B17">
        <v>1764.7700199999999</v>
      </c>
      <c r="C17">
        <v>40.419998</v>
      </c>
      <c r="D17">
        <v>56.139999000000003</v>
      </c>
      <c r="E17">
        <v>62.880001</v>
      </c>
      <c r="F17">
        <v>409.89999399999999</v>
      </c>
    </row>
    <row r="18" spans="1:6" x14ac:dyDescent="0.35">
      <c r="A18" s="8">
        <v>43915</v>
      </c>
      <c r="B18">
        <v>1774.26001</v>
      </c>
      <c r="C18">
        <v>40.43</v>
      </c>
      <c r="D18">
        <v>56.950001</v>
      </c>
      <c r="E18">
        <v>62.790000999999997</v>
      </c>
      <c r="F18">
        <v>409</v>
      </c>
    </row>
    <row r="19" spans="1:6" x14ac:dyDescent="0.35">
      <c r="A19" s="8">
        <v>43916</v>
      </c>
      <c r="B19">
        <v>1783.76001</v>
      </c>
      <c r="C19">
        <v>40.580002</v>
      </c>
      <c r="D19">
        <v>57.790000999999997</v>
      </c>
      <c r="E19">
        <v>63.200001</v>
      </c>
      <c r="F19">
        <v>405</v>
      </c>
    </row>
    <row r="20" spans="1:6" x14ac:dyDescent="0.35">
      <c r="A20" s="8">
        <v>43917</v>
      </c>
      <c r="B20">
        <v>1765.6999510000001</v>
      </c>
      <c r="C20">
        <v>40.650002000000001</v>
      </c>
      <c r="D20">
        <v>57.66</v>
      </c>
      <c r="E20">
        <v>62.580002</v>
      </c>
      <c r="F20">
        <v>410.89999399999999</v>
      </c>
    </row>
    <row r="21" spans="1:6" x14ac:dyDescent="0.35">
      <c r="A21" s="8">
        <v>43918</v>
      </c>
      <c r="B21">
        <v>1773.420044</v>
      </c>
      <c r="C21">
        <v>40.509998000000003</v>
      </c>
      <c r="D21">
        <v>58.02</v>
      </c>
      <c r="E21">
        <v>62.639999000000003</v>
      </c>
      <c r="F21">
        <v>407.10000600000001</v>
      </c>
    </row>
    <row r="22" spans="1:6" x14ac:dyDescent="0.35">
      <c r="A22" s="8">
        <v>43919</v>
      </c>
      <c r="B22">
        <v>1780.75</v>
      </c>
      <c r="C22">
        <v>40.580002</v>
      </c>
      <c r="D22">
        <v>58.849997999999999</v>
      </c>
      <c r="E22">
        <v>62.59</v>
      </c>
      <c r="F22">
        <v>412.39999399999999</v>
      </c>
    </row>
    <row r="23" spans="1:6" x14ac:dyDescent="0.35">
      <c r="A23" s="8">
        <v>43922</v>
      </c>
      <c r="B23">
        <v>1814.1899410000001</v>
      </c>
      <c r="C23">
        <v>41.759998000000003</v>
      </c>
      <c r="D23">
        <v>59.849997999999999</v>
      </c>
      <c r="E23">
        <v>63.279998999999997</v>
      </c>
      <c r="F23">
        <v>416.39999399999999</v>
      </c>
    </row>
    <row r="24" spans="1:6" x14ac:dyDescent="0.35">
      <c r="A24" s="8">
        <v>43923</v>
      </c>
      <c r="B24">
        <v>1813.9799800000001</v>
      </c>
      <c r="C24">
        <v>42.150002000000001</v>
      </c>
      <c r="D24">
        <v>60.98</v>
      </c>
      <c r="E24">
        <v>63.509998000000003</v>
      </c>
      <c r="F24">
        <v>422.39999399999999</v>
      </c>
    </row>
    <row r="25" spans="1:6" x14ac:dyDescent="0.35">
      <c r="A25" s="8">
        <v>43924</v>
      </c>
      <c r="B25">
        <v>1820.6999510000001</v>
      </c>
      <c r="C25">
        <v>42.549999</v>
      </c>
      <c r="D25">
        <v>61.02</v>
      </c>
      <c r="E25">
        <v>63.82</v>
      </c>
      <c r="F25">
        <v>428.60000600000001</v>
      </c>
    </row>
    <row r="26" spans="1:6" x14ac:dyDescent="0.35">
      <c r="A26" s="8">
        <v>43925</v>
      </c>
      <c r="B26">
        <v>1818.8599850000001</v>
      </c>
      <c r="C26">
        <v>42.299999</v>
      </c>
      <c r="D26">
        <v>61.040000999999997</v>
      </c>
      <c r="E26">
        <v>63.970001000000003</v>
      </c>
      <c r="F26">
        <v>429.10000600000001</v>
      </c>
    </row>
    <row r="27" spans="1:6" x14ac:dyDescent="0.35">
      <c r="A27" s="8">
        <v>43926</v>
      </c>
      <c r="B27">
        <v>1837.280029</v>
      </c>
      <c r="C27">
        <v>42.48</v>
      </c>
      <c r="D27">
        <v>61.07</v>
      </c>
      <c r="E27">
        <v>64.519997000000004</v>
      </c>
      <c r="F27">
        <v>430.5</v>
      </c>
    </row>
    <row r="28" spans="1:6" x14ac:dyDescent="0.35">
      <c r="A28" s="8">
        <v>43929</v>
      </c>
      <c r="B28">
        <v>1849.8599850000001</v>
      </c>
      <c r="C28">
        <v>42.560001</v>
      </c>
      <c r="D28">
        <v>62.360000999999997</v>
      </c>
      <c r="E28">
        <v>65.300003000000004</v>
      </c>
      <c r="F28">
        <v>429.60000600000001</v>
      </c>
    </row>
    <row r="29" spans="1:6" x14ac:dyDescent="0.35">
      <c r="A29" s="8">
        <v>43930</v>
      </c>
      <c r="B29">
        <v>1835.839966</v>
      </c>
      <c r="C29">
        <v>42.630001</v>
      </c>
      <c r="D29">
        <v>61.889999000000003</v>
      </c>
      <c r="E29">
        <v>64.569999999999993</v>
      </c>
      <c r="F29">
        <v>431.70001200000002</v>
      </c>
    </row>
    <row r="30" spans="1:6" x14ac:dyDescent="0.35">
      <c r="A30" s="8">
        <v>43931</v>
      </c>
      <c r="B30">
        <v>1847.329956</v>
      </c>
      <c r="C30">
        <v>42.540000999999997</v>
      </c>
      <c r="D30">
        <v>62.400002000000001</v>
      </c>
      <c r="E30">
        <v>65.010002</v>
      </c>
      <c r="F30">
        <v>429.89999399999999</v>
      </c>
    </row>
    <row r="31" spans="1:6" x14ac:dyDescent="0.35">
      <c r="A31" s="8">
        <v>43932</v>
      </c>
      <c r="B31">
        <v>1844.0699460000001</v>
      </c>
      <c r="C31">
        <v>42.59</v>
      </c>
      <c r="D31">
        <v>62.060001</v>
      </c>
      <c r="E31">
        <v>64.919998000000007</v>
      </c>
      <c r="F31">
        <v>416.5</v>
      </c>
    </row>
    <row r="32" spans="1:6" x14ac:dyDescent="0.35">
      <c r="A32" s="8">
        <v>43933</v>
      </c>
      <c r="B32">
        <v>1843.0600589999999</v>
      </c>
      <c r="C32">
        <v>43.040000999999997</v>
      </c>
      <c r="D32">
        <v>62.779998999999997</v>
      </c>
      <c r="E32">
        <v>64.5</v>
      </c>
      <c r="F32">
        <v>418</v>
      </c>
    </row>
    <row r="33" spans="1:6" x14ac:dyDescent="0.35">
      <c r="A33" s="8">
        <v>43936</v>
      </c>
      <c r="B33">
        <v>1844.869995</v>
      </c>
      <c r="C33">
        <v>42.889999000000003</v>
      </c>
      <c r="D33">
        <v>62.459999000000003</v>
      </c>
      <c r="E33">
        <v>64.580001999999993</v>
      </c>
      <c r="F33">
        <v>418.70001200000002</v>
      </c>
    </row>
    <row r="34" spans="1:6" x14ac:dyDescent="0.35">
      <c r="A34" s="8">
        <v>43937</v>
      </c>
      <c r="B34">
        <v>1863.040039</v>
      </c>
      <c r="C34">
        <v>43.330002</v>
      </c>
      <c r="D34">
        <v>60.34</v>
      </c>
      <c r="E34">
        <v>64.300003000000004</v>
      </c>
      <c r="F34">
        <v>426.29998799999998</v>
      </c>
    </row>
    <row r="35" spans="1:6" x14ac:dyDescent="0.35">
      <c r="A35" s="8">
        <v>43938</v>
      </c>
      <c r="B35">
        <v>1864.8199460000001</v>
      </c>
      <c r="C35">
        <v>43.459999000000003</v>
      </c>
      <c r="D35">
        <v>60.459999000000003</v>
      </c>
      <c r="E35">
        <v>64.589995999999999</v>
      </c>
      <c r="F35">
        <v>435</v>
      </c>
    </row>
    <row r="36" spans="1:6" x14ac:dyDescent="0.35">
      <c r="A36" s="8">
        <v>43939</v>
      </c>
      <c r="B36">
        <v>1861.6899410000001</v>
      </c>
      <c r="C36">
        <v>43.25</v>
      </c>
      <c r="D36">
        <v>60.77</v>
      </c>
      <c r="E36">
        <v>64.199996999999996</v>
      </c>
      <c r="F36">
        <v>431.60000600000001</v>
      </c>
    </row>
    <row r="37" spans="1:6" x14ac:dyDescent="0.35">
      <c r="A37" s="8">
        <v>43943</v>
      </c>
      <c r="B37">
        <v>1887.3100589999999</v>
      </c>
      <c r="C37">
        <v>43.220001000000003</v>
      </c>
      <c r="D37">
        <v>60.869999</v>
      </c>
      <c r="E37">
        <v>65.239998</v>
      </c>
      <c r="F37">
        <v>425.60000600000001</v>
      </c>
    </row>
    <row r="38" spans="1:6" x14ac:dyDescent="0.35">
      <c r="A38" s="8">
        <v>43944</v>
      </c>
      <c r="B38">
        <v>1923.7700199999999</v>
      </c>
      <c r="C38">
        <v>43.150002000000001</v>
      </c>
      <c r="D38">
        <v>60.599997999999999</v>
      </c>
      <c r="E38">
        <v>65</v>
      </c>
      <c r="F38">
        <v>422.79998799999998</v>
      </c>
    </row>
    <row r="39" spans="1:6" x14ac:dyDescent="0.35">
      <c r="A39" s="8">
        <v>43945</v>
      </c>
      <c r="B39">
        <v>1901.75</v>
      </c>
      <c r="C39">
        <v>42.830002</v>
      </c>
      <c r="D39">
        <v>59.43</v>
      </c>
      <c r="E39">
        <v>63.459999000000003</v>
      </c>
      <c r="F39">
        <v>418.79998799999998</v>
      </c>
    </row>
    <row r="40" spans="1:6" x14ac:dyDescent="0.35">
      <c r="A40" s="8">
        <v>43946</v>
      </c>
      <c r="B40">
        <v>1902.25</v>
      </c>
      <c r="C40">
        <v>42.759998000000003</v>
      </c>
      <c r="D40">
        <v>59.34</v>
      </c>
      <c r="E40">
        <v>63.619999</v>
      </c>
      <c r="F40">
        <v>424.5</v>
      </c>
    </row>
    <row r="41" spans="1:6" x14ac:dyDescent="0.35">
      <c r="A41" s="8">
        <v>43947</v>
      </c>
      <c r="B41">
        <v>1950.630005</v>
      </c>
      <c r="C41">
        <v>43.07</v>
      </c>
      <c r="D41">
        <v>59.299999</v>
      </c>
      <c r="E41">
        <v>63.060001</v>
      </c>
      <c r="F41">
        <v>431.39999399999999</v>
      </c>
    </row>
    <row r="42" spans="1:6" x14ac:dyDescent="0.35">
      <c r="A42" s="8">
        <v>43950</v>
      </c>
      <c r="B42">
        <v>1938.4300539999999</v>
      </c>
      <c r="C42">
        <v>43.299999</v>
      </c>
      <c r="D42">
        <v>59.290000999999997</v>
      </c>
      <c r="E42">
        <v>63.130001</v>
      </c>
      <c r="F42">
        <v>429.5</v>
      </c>
    </row>
    <row r="43" spans="1:6" x14ac:dyDescent="0.35">
      <c r="A43" s="8">
        <v>43951</v>
      </c>
      <c r="B43">
        <v>1926.5200199999999</v>
      </c>
      <c r="C43">
        <v>43.57</v>
      </c>
      <c r="D43">
        <v>58.900002000000001</v>
      </c>
      <c r="E43">
        <v>63.529998999999997</v>
      </c>
      <c r="F43">
        <v>430.89999399999999</v>
      </c>
    </row>
    <row r="44" spans="1:6" x14ac:dyDescent="0.35">
      <c r="A44" s="8">
        <v>43952</v>
      </c>
      <c r="B44">
        <v>1911.5200199999999</v>
      </c>
      <c r="C44">
        <v>43.200001</v>
      </c>
      <c r="D44">
        <v>57.939999</v>
      </c>
      <c r="E44">
        <v>62.720001000000003</v>
      </c>
      <c r="F44">
        <v>427.60000600000001</v>
      </c>
    </row>
    <row r="45" spans="1:6" x14ac:dyDescent="0.35">
      <c r="A45" s="8">
        <v>43953</v>
      </c>
      <c r="B45">
        <v>1900.8199460000001</v>
      </c>
      <c r="C45">
        <v>43.470001000000003</v>
      </c>
      <c r="D45">
        <v>57.439999</v>
      </c>
      <c r="E45">
        <v>63.700001</v>
      </c>
      <c r="F45">
        <v>426.20001200000002</v>
      </c>
    </row>
    <row r="46" spans="1:6" x14ac:dyDescent="0.35">
      <c r="A46" s="8">
        <v>43954</v>
      </c>
      <c r="B46">
        <v>1962.459961</v>
      </c>
      <c r="C46">
        <v>44.700001</v>
      </c>
      <c r="D46">
        <v>58.919998</v>
      </c>
      <c r="E46">
        <v>64.290001000000004</v>
      </c>
      <c r="F46">
        <v>417.39999399999999</v>
      </c>
    </row>
    <row r="47" spans="1:6" x14ac:dyDescent="0.35">
      <c r="A47" s="8">
        <v>43957</v>
      </c>
      <c r="B47">
        <v>1950.5500489999999</v>
      </c>
      <c r="C47">
        <v>43.790000999999997</v>
      </c>
      <c r="D47">
        <v>58.080002</v>
      </c>
      <c r="E47">
        <v>64.110000999999997</v>
      </c>
      <c r="F47">
        <v>415.5</v>
      </c>
    </row>
    <row r="48" spans="1:6" x14ac:dyDescent="0.35">
      <c r="A48" s="8">
        <v>43958</v>
      </c>
      <c r="B48">
        <v>1921</v>
      </c>
      <c r="C48">
        <v>43.150002000000001</v>
      </c>
      <c r="D48">
        <v>58.290000999999997</v>
      </c>
      <c r="E48">
        <v>62.23</v>
      </c>
      <c r="F48">
        <v>413.10000600000001</v>
      </c>
    </row>
    <row r="49" spans="1:6" x14ac:dyDescent="0.35">
      <c r="A49" s="8">
        <v>43959</v>
      </c>
      <c r="B49">
        <v>1917.7700199999999</v>
      </c>
      <c r="C49">
        <v>42.84</v>
      </c>
      <c r="D49">
        <v>57.669998</v>
      </c>
      <c r="E49">
        <v>62.709999000000003</v>
      </c>
      <c r="F49">
        <v>415.10000600000001</v>
      </c>
    </row>
    <row r="50" spans="1:6" x14ac:dyDescent="0.35">
      <c r="A50" s="8">
        <v>43960</v>
      </c>
      <c r="B50">
        <v>1899.869995</v>
      </c>
      <c r="C50">
        <v>42.779998999999997</v>
      </c>
      <c r="D50">
        <v>57.740001999999997</v>
      </c>
      <c r="E50">
        <v>63.130001</v>
      </c>
      <c r="F50">
        <v>407.60000600000001</v>
      </c>
    </row>
    <row r="51" spans="1:6" x14ac:dyDescent="0.35">
      <c r="A51" s="8">
        <v>43961</v>
      </c>
      <c r="B51">
        <v>1889.9799800000001</v>
      </c>
      <c r="C51">
        <v>42.860000999999997</v>
      </c>
      <c r="D51">
        <v>58.869999</v>
      </c>
      <c r="E51">
        <v>63.549999</v>
      </c>
      <c r="F51">
        <v>413.10000600000001</v>
      </c>
    </row>
    <row r="52" spans="1:6" x14ac:dyDescent="0.35">
      <c r="A52" s="8">
        <v>43964</v>
      </c>
      <c r="B52">
        <v>1822.6800539999999</v>
      </c>
      <c r="C52">
        <v>42.07</v>
      </c>
      <c r="D52">
        <v>57.16</v>
      </c>
      <c r="E52">
        <v>63.380001</v>
      </c>
      <c r="F52">
        <v>417</v>
      </c>
    </row>
    <row r="53" spans="1:6" x14ac:dyDescent="0.35">
      <c r="A53" s="8">
        <v>43965</v>
      </c>
      <c r="B53">
        <v>1840.119995</v>
      </c>
      <c r="C53">
        <v>42.150002000000001</v>
      </c>
      <c r="D53">
        <v>58.459999000000003</v>
      </c>
      <c r="E53">
        <v>64.110000999999997</v>
      </c>
      <c r="F53">
        <v>425.29998799999998</v>
      </c>
    </row>
    <row r="54" spans="1:6" x14ac:dyDescent="0.35">
      <c r="A54" s="8">
        <v>43966</v>
      </c>
      <c r="B54">
        <v>1871.150024</v>
      </c>
      <c r="C54">
        <v>42.560001</v>
      </c>
      <c r="D54">
        <v>58.290000999999997</v>
      </c>
      <c r="E54">
        <v>64.860000999999997</v>
      </c>
      <c r="F54">
        <v>419.89999399999999</v>
      </c>
    </row>
    <row r="55" spans="1:6" x14ac:dyDescent="0.35">
      <c r="A55" s="8">
        <v>43967</v>
      </c>
      <c r="B55">
        <v>1907.5699460000001</v>
      </c>
      <c r="C55">
        <v>42.23</v>
      </c>
      <c r="D55">
        <v>59.779998999999997</v>
      </c>
      <c r="E55">
        <v>64.260002</v>
      </c>
      <c r="F55">
        <v>416.89999399999999</v>
      </c>
    </row>
    <row r="56" spans="1:6" x14ac:dyDescent="0.35">
      <c r="A56" s="8">
        <v>43968</v>
      </c>
      <c r="B56">
        <v>1869</v>
      </c>
      <c r="C56">
        <v>41.610000999999997</v>
      </c>
      <c r="D56">
        <v>59.959999000000003</v>
      </c>
      <c r="E56">
        <v>64.269997000000004</v>
      </c>
      <c r="F56">
        <v>417.79998799999998</v>
      </c>
    </row>
    <row r="57" spans="1:6" x14ac:dyDescent="0.35">
      <c r="A57" s="8">
        <v>43971</v>
      </c>
      <c r="B57">
        <v>1858.969971</v>
      </c>
      <c r="C57">
        <v>41.419998</v>
      </c>
      <c r="D57">
        <v>59.740001999999997</v>
      </c>
      <c r="E57">
        <v>64.430000000000007</v>
      </c>
      <c r="F57">
        <v>411.89999399999999</v>
      </c>
    </row>
    <row r="58" spans="1:6" x14ac:dyDescent="0.35">
      <c r="A58" s="8">
        <v>43972</v>
      </c>
      <c r="B58">
        <v>1857.5200199999999</v>
      </c>
      <c r="C58">
        <v>41.68</v>
      </c>
      <c r="D58">
        <v>59.759998000000003</v>
      </c>
      <c r="E58">
        <v>64.470000999999996</v>
      </c>
      <c r="F58">
        <v>402.29998799999998</v>
      </c>
    </row>
    <row r="59" spans="1:6" x14ac:dyDescent="0.35">
      <c r="A59" s="8">
        <v>43973</v>
      </c>
      <c r="B59">
        <v>1859.6800539999999</v>
      </c>
      <c r="C59">
        <v>41.700001</v>
      </c>
      <c r="D59">
        <v>59.450001</v>
      </c>
      <c r="E59">
        <v>63.720001000000003</v>
      </c>
      <c r="F59">
        <v>404.29998799999998</v>
      </c>
    </row>
    <row r="60" spans="1:6" x14ac:dyDescent="0.35">
      <c r="A60" s="8">
        <v>43974</v>
      </c>
      <c r="B60">
        <v>1815.4799800000001</v>
      </c>
      <c r="C60">
        <v>41.810001</v>
      </c>
      <c r="D60">
        <v>58.77</v>
      </c>
      <c r="E60">
        <v>62.459999000000003</v>
      </c>
      <c r="F60">
        <v>408.20001200000002</v>
      </c>
    </row>
    <row r="61" spans="1:6" x14ac:dyDescent="0.35">
      <c r="A61" s="8">
        <v>43975</v>
      </c>
      <c r="B61">
        <v>1823.280029</v>
      </c>
      <c r="C61">
        <v>42</v>
      </c>
      <c r="D61">
        <v>59.709999000000003</v>
      </c>
      <c r="E61">
        <v>63.299999</v>
      </c>
      <c r="F61">
        <v>402.39999399999999</v>
      </c>
    </row>
    <row r="62" spans="1:6" x14ac:dyDescent="0.35">
      <c r="A62" s="8">
        <v>43979</v>
      </c>
      <c r="B62">
        <v>1836.4300539999999</v>
      </c>
      <c r="C62">
        <v>41.560001</v>
      </c>
      <c r="D62">
        <v>60.630001</v>
      </c>
      <c r="E62">
        <v>62.560001</v>
      </c>
      <c r="F62">
        <v>408.20001200000002</v>
      </c>
    </row>
    <row r="63" spans="1:6" x14ac:dyDescent="0.35">
      <c r="A63" s="8">
        <v>43980</v>
      </c>
      <c r="B63">
        <v>1819.1899410000001</v>
      </c>
      <c r="C63">
        <v>41.560001</v>
      </c>
      <c r="D63">
        <v>59.389999000000003</v>
      </c>
      <c r="E63">
        <v>62.360000999999997</v>
      </c>
      <c r="F63">
        <v>404.60000600000001</v>
      </c>
    </row>
    <row r="64" spans="1:6" x14ac:dyDescent="0.35">
      <c r="A64" s="8">
        <v>43981</v>
      </c>
      <c r="B64">
        <v>1816.3199460000001</v>
      </c>
      <c r="C64">
        <v>41.290000999999997</v>
      </c>
      <c r="D64">
        <v>58.93</v>
      </c>
      <c r="E64">
        <v>62.279998999999997</v>
      </c>
      <c r="F64">
        <v>403.10000600000001</v>
      </c>
    </row>
    <row r="65" spans="1:6" x14ac:dyDescent="0.35">
      <c r="A65" s="8">
        <v>43982</v>
      </c>
      <c r="B65">
        <v>1775.0699460000001</v>
      </c>
      <c r="C65">
        <v>40.770000000000003</v>
      </c>
      <c r="D65">
        <v>57.93</v>
      </c>
      <c r="E65">
        <v>61.810001</v>
      </c>
      <c r="F65">
        <v>417.79998799999998</v>
      </c>
    </row>
    <row r="66" spans="1:6" x14ac:dyDescent="0.35">
      <c r="A66" s="8">
        <v>43985</v>
      </c>
      <c r="B66">
        <v>1692.6899410000001</v>
      </c>
      <c r="C66">
        <v>40.840000000000003</v>
      </c>
      <c r="D66">
        <v>58.759998000000003</v>
      </c>
      <c r="E66">
        <v>62.380001</v>
      </c>
      <c r="F66">
        <v>410.60000600000001</v>
      </c>
    </row>
    <row r="67" spans="1:6" x14ac:dyDescent="0.35">
      <c r="A67" s="8">
        <v>43986</v>
      </c>
      <c r="B67">
        <v>1729.5600589999999</v>
      </c>
      <c r="C67">
        <v>41.189999</v>
      </c>
      <c r="D67">
        <v>59.25</v>
      </c>
      <c r="E67">
        <v>62.48</v>
      </c>
      <c r="F67">
        <v>413.60000600000001</v>
      </c>
    </row>
    <row r="68" spans="1:6" x14ac:dyDescent="0.35">
      <c r="A68" s="8">
        <v>43987</v>
      </c>
      <c r="B68">
        <v>1738.5</v>
      </c>
      <c r="C68">
        <v>41.139999000000003</v>
      </c>
      <c r="D68">
        <v>58.040000999999997</v>
      </c>
      <c r="E68">
        <v>62.759998000000003</v>
      </c>
      <c r="F68">
        <v>417</v>
      </c>
    </row>
    <row r="69" spans="1:6" x14ac:dyDescent="0.35">
      <c r="A69" s="8">
        <v>43988</v>
      </c>
      <c r="B69">
        <v>1754.3599850000001</v>
      </c>
      <c r="C69">
        <v>41.18</v>
      </c>
      <c r="D69">
        <v>57.990001999999997</v>
      </c>
      <c r="E69">
        <v>63.619999</v>
      </c>
      <c r="F69">
        <v>417.89999399999999</v>
      </c>
    </row>
    <row r="70" spans="1:6" x14ac:dyDescent="0.35">
      <c r="A70" s="8">
        <v>43989</v>
      </c>
      <c r="B70">
        <v>1804.030029</v>
      </c>
      <c r="C70">
        <v>41.459999000000003</v>
      </c>
      <c r="D70">
        <v>58.110000999999997</v>
      </c>
      <c r="E70">
        <v>64.480002999999996</v>
      </c>
      <c r="F70">
        <v>418.5</v>
      </c>
    </row>
    <row r="71" spans="1:6" x14ac:dyDescent="0.35">
      <c r="A71" s="8">
        <v>43992</v>
      </c>
      <c r="B71">
        <v>1860.630005</v>
      </c>
      <c r="C71">
        <v>41.639999000000003</v>
      </c>
      <c r="D71">
        <v>58.669998</v>
      </c>
      <c r="E71">
        <v>64.279999000000004</v>
      </c>
      <c r="F71">
        <v>415.5</v>
      </c>
    </row>
    <row r="72" spans="1:6" x14ac:dyDescent="0.35">
      <c r="A72" s="8">
        <v>43993</v>
      </c>
      <c r="B72">
        <v>1863.6999510000001</v>
      </c>
      <c r="C72">
        <v>41.75</v>
      </c>
      <c r="D72">
        <v>60.27</v>
      </c>
      <c r="E72">
        <v>64.510002</v>
      </c>
      <c r="F72">
        <v>412.79998799999998</v>
      </c>
    </row>
    <row r="73" spans="1:6" x14ac:dyDescent="0.35">
      <c r="A73" s="8">
        <v>43994</v>
      </c>
      <c r="B73">
        <v>1855.3199460000001</v>
      </c>
      <c r="C73">
        <v>41.220001000000003</v>
      </c>
      <c r="D73">
        <v>60.290000999999997</v>
      </c>
      <c r="E73">
        <v>63.490001999999997</v>
      </c>
      <c r="F73">
        <v>408.60000600000001</v>
      </c>
    </row>
    <row r="74" spans="1:6" x14ac:dyDescent="0.35">
      <c r="A74" s="8">
        <v>43995</v>
      </c>
      <c r="B74">
        <v>1870.3000489999999</v>
      </c>
      <c r="C74">
        <v>41.049999</v>
      </c>
      <c r="D74">
        <v>61.57</v>
      </c>
      <c r="E74">
        <v>63.75</v>
      </c>
      <c r="F74">
        <v>409.70001200000002</v>
      </c>
    </row>
    <row r="75" spans="1:6" x14ac:dyDescent="0.35">
      <c r="A75" s="8">
        <v>43996</v>
      </c>
      <c r="B75">
        <v>1869.670044</v>
      </c>
      <c r="C75">
        <v>40.759998000000003</v>
      </c>
      <c r="D75">
        <v>60.77</v>
      </c>
      <c r="E75">
        <v>63.43</v>
      </c>
      <c r="F75">
        <v>413</v>
      </c>
    </row>
    <row r="76" spans="1:6" x14ac:dyDescent="0.35">
      <c r="A76" s="8">
        <v>43999</v>
      </c>
      <c r="B76">
        <v>1886.030029</v>
      </c>
      <c r="C76">
        <v>40.639999000000003</v>
      </c>
      <c r="D76">
        <v>60.66</v>
      </c>
      <c r="E76">
        <v>62.919998</v>
      </c>
      <c r="F76">
        <v>416.29998799999998</v>
      </c>
    </row>
    <row r="77" spans="1:6" x14ac:dyDescent="0.35">
      <c r="A77" s="8">
        <v>44000</v>
      </c>
      <c r="B77">
        <v>1901.369995</v>
      </c>
      <c r="C77">
        <v>41.240001999999997</v>
      </c>
      <c r="D77">
        <v>62.18</v>
      </c>
      <c r="E77">
        <v>63.919998</v>
      </c>
      <c r="F77">
        <v>417.10000600000001</v>
      </c>
    </row>
    <row r="78" spans="1:6" x14ac:dyDescent="0.35">
      <c r="A78" s="8">
        <v>44001</v>
      </c>
      <c r="B78">
        <v>1908.790039</v>
      </c>
      <c r="C78">
        <v>41.419998</v>
      </c>
      <c r="D78">
        <v>59.900002000000001</v>
      </c>
      <c r="E78">
        <v>64.379997000000003</v>
      </c>
      <c r="F78">
        <v>417</v>
      </c>
    </row>
    <row r="79" spans="1:6" x14ac:dyDescent="0.35">
      <c r="A79" s="8">
        <v>44002</v>
      </c>
      <c r="B79">
        <v>1918.1899410000001</v>
      </c>
      <c r="C79">
        <v>41.650002000000001</v>
      </c>
      <c r="D79">
        <v>60.400002000000001</v>
      </c>
      <c r="E79">
        <v>65.519997000000004</v>
      </c>
      <c r="F79">
        <v>413.5</v>
      </c>
    </row>
    <row r="80" spans="1:6" x14ac:dyDescent="0.35">
      <c r="A80" s="8">
        <v>44003</v>
      </c>
      <c r="B80">
        <v>1911.3000489999999</v>
      </c>
      <c r="C80">
        <v>41.099997999999999</v>
      </c>
      <c r="D80">
        <v>60.27</v>
      </c>
      <c r="E80">
        <v>65.699996999999996</v>
      </c>
      <c r="F80">
        <v>412.60000600000001</v>
      </c>
    </row>
    <row r="81" spans="1:6" x14ac:dyDescent="0.35">
      <c r="A81" s="8">
        <v>44006</v>
      </c>
      <c r="B81">
        <v>1913.900024</v>
      </c>
      <c r="C81">
        <v>41.060001</v>
      </c>
      <c r="D81">
        <v>60.939999</v>
      </c>
      <c r="E81">
        <v>65.860000999999997</v>
      </c>
      <c r="F81">
        <v>414.20001200000002</v>
      </c>
    </row>
    <row r="82" spans="1:6" x14ac:dyDescent="0.35">
      <c r="A82" s="8">
        <v>44007</v>
      </c>
      <c r="B82">
        <v>1878.2700199999999</v>
      </c>
      <c r="C82">
        <v>40.98</v>
      </c>
      <c r="D82">
        <v>60.990001999999997</v>
      </c>
      <c r="E82">
        <v>65.760002</v>
      </c>
      <c r="F82">
        <v>413.10000600000001</v>
      </c>
    </row>
    <row r="83" spans="1:6" x14ac:dyDescent="0.35">
      <c r="A83" s="8">
        <v>44008</v>
      </c>
      <c r="B83">
        <v>1897.829956</v>
      </c>
      <c r="C83">
        <v>41.16</v>
      </c>
      <c r="D83">
        <v>61.700001</v>
      </c>
      <c r="E83">
        <v>66.010002</v>
      </c>
      <c r="F83">
        <v>416.5</v>
      </c>
    </row>
    <row r="84" spans="1:6" x14ac:dyDescent="0.35">
      <c r="A84" s="8">
        <v>44009</v>
      </c>
      <c r="B84">
        <v>1904.280029</v>
      </c>
      <c r="C84">
        <v>41.41</v>
      </c>
      <c r="D84">
        <v>61.950001</v>
      </c>
      <c r="E84">
        <v>65.089995999999999</v>
      </c>
      <c r="F84">
        <v>422.10000600000001</v>
      </c>
    </row>
    <row r="85" spans="1:6" x14ac:dyDescent="0.35">
      <c r="A85" s="8">
        <v>44010</v>
      </c>
      <c r="B85">
        <v>1893.630005</v>
      </c>
      <c r="C85">
        <v>41.740001999999997</v>
      </c>
      <c r="D85">
        <v>62.34</v>
      </c>
      <c r="E85">
        <v>65.069999999999993</v>
      </c>
      <c r="F85">
        <v>430.79998799999998</v>
      </c>
    </row>
    <row r="86" spans="1:6" x14ac:dyDescent="0.35">
      <c r="A86" s="8">
        <v>44013</v>
      </c>
      <c r="B86">
        <v>1922.1899410000001</v>
      </c>
      <c r="C86">
        <v>41.869999</v>
      </c>
      <c r="D86">
        <v>62.779998999999997</v>
      </c>
      <c r="E86">
        <v>65.199996999999996</v>
      </c>
      <c r="F86">
        <v>433.20001200000002</v>
      </c>
    </row>
    <row r="87" spans="1:6" x14ac:dyDescent="0.35">
      <c r="A87" s="8">
        <v>44014</v>
      </c>
      <c r="B87">
        <v>1934.3100589999999</v>
      </c>
      <c r="C87">
        <v>42.080002</v>
      </c>
      <c r="D87">
        <v>63.73</v>
      </c>
      <c r="E87">
        <v>65.110000999999997</v>
      </c>
      <c r="F87">
        <v>434.89999399999999</v>
      </c>
    </row>
    <row r="88" spans="1:6" x14ac:dyDescent="0.35">
      <c r="A88" s="8">
        <v>44015</v>
      </c>
      <c r="B88">
        <v>1939</v>
      </c>
      <c r="C88">
        <v>42.099997999999999</v>
      </c>
      <c r="D88">
        <v>63.310001</v>
      </c>
      <c r="E88">
        <v>64.680000000000007</v>
      </c>
      <c r="F88">
        <v>431.70001200000002</v>
      </c>
    </row>
    <row r="89" spans="1:6" x14ac:dyDescent="0.35">
      <c r="A89" s="8">
        <v>44017</v>
      </c>
      <c r="B89">
        <v>1942.910034</v>
      </c>
      <c r="C89">
        <v>42.080002</v>
      </c>
      <c r="D89">
        <v>60.049999</v>
      </c>
      <c r="E89">
        <v>64.589995999999999</v>
      </c>
      <c r="F89">
        <v>430.5</v>
      </c>
    </row>
    <row r="90" spans="1:6" x14ac:dyDescent="0.35">
      <c r="A90" s="8">
        <v>44020</v>
      </c>
      <c r="B90">
        <v>1952.3199460000001</v>
      </c>
      <c r="C90">
        <v>41.810001</v>
      </c>
      <c r="D90">
        <v>60.48</v>
      </c>
      <c r="E90">
        <v>64.419998000000007</v>
      </c>
      <c r="F90">
        <v>427.5</v>
      </c>
    </row>
    <row r="91" spans="1:6" x14ac:dyDescent="0.35">
      <c r="A91" s="8">
        <v>44021</v>
      </c>
      <c r="B91">
        <v>1988.3000489999999</v>
      </c>
      <c r="C91">
        <v>41.84</v>
      </c>
      <c r="D91">
        <v>60.580002</v>
      </c>
      <c r="E91">
        <v>64.440002000000007</v>
      </c>
      <c r="F91">
        <v>426.5</v>
      </c>
    </row>
    <row r="92" spans="1:6" x14ac:dyDescent="0.35">
      <c r="A92" s="8">
        <v>44022</v>
      </c>
      <c r="B92">
        <v>2017.410034</v>
      </c>
      <c r="C92">
        <v>41.650002000000001</v>
      </c>
      <c r="D92">
        <v>61.389999000000003</v>
      </c>
      <c r="E92">
        <v>65.239998</v>
      </c>
      <c r="F92">
        <v>424</v>
      </c>
    </row>
    <row r="93" spans="1:6" x14ac:dyDescent="0.35">
      <c r="A93" s="8">
        <v>44023</v>
      </c>
      <c r="B93">
        <v>2001.0699460000001</v>
      </c>
      <c r="C93">
        <v>41.700001</v>
      </c>
      <c r="D93">
        <v>60.849997999999999</v>
      </c>
      <c r="E93">
        <v>65.379997000000003</v>
      </c>
      <c r="F93">
        <v>424</v>
      </c>
    </row>
    <row r="94" spans="1:6" x14ac:dyDescent="0.35">
      <c r="A94" s="8">
        <v>44024</v>
      </c>
      <c r="B94">
        <v>2011</v>
      </c>
      <c r="C94">
        <v>41.630001</v>
      </c>
      <c r="D94">
        <v>60.709999000000003</v>
      </c>
      <c r="E94">
        <v>65.059997999999993</v>
      </c>
      <c r="F94">
        <v>424.5</v>
      </c>
    </row>
    <row r="95" spans="1:6" x14ac:dyDescent="0.35">
      <c r="A95" s="8">
        <v>44027</v>
      </c>
      <c r="B95">
        <v>2020.98999</v>
      </c>
      <c r="C95">
        <v>41.700001</v>
      </c>
      <c r="D95">
        <v>61.509998000000003</v>
      </c>
      <c r="E95">
        <v>64.5</v>
      </c>
      <c r="F95">
        <v>425.29998799999998</v>
      </c>
    </row>
    <row r="96" spans="1:6" x14ac:dyDescent="0.35">
      <c r="A96" s="8">
        <v>44028</v>
      </c>
      <c r="B96">
        <v>2009.900024</v>
      </c>
      <c r="C96">
        <v>41.5</v>
      </c>
      <c r="D96">
        <v>60.43</v>
      </c>
      <c r="E96">
        <v>63.82</v>
      </c>
      <c r="F96">
        <v>422.5</v>
      </c>
    </row>
    <row r="97" spans="1:6" x14ac:dyDescent="0.35">
      <c r="A97" s="8">
        <v>44029</v>
      </c>
      <c r="B97">
        <v>1992.030029</v>
      </c>
      <c r="C97">
        <v>41.23</v>
      </c>
      <c r="D97">
        <v>60.959999000000003</v>
      </c>
      <c r="E97">
        <v>63.330002</v>
      </c>
      <c r="F97">
        <v>421</v>
      </c>
    </row>
    <row r="98" spans="1:6" x14ac:dyDescent="0.35">
      <c r="A98" s="8">
        <v>44030</v>
      </c>
      <c r="B98">
        <v>1977.900024</v>
      </c>
      <c r="C98">
        <v>41.43</v>
      </c>
      <c r="D98">
        <v>60.650002000000001</v>
      </c>
      <c r="E98">
        <v>63.130001</v>
      </c>
      <c r="F98">
        <v>419.79998799999998</v>
      </c>
    </row>
    <row r="99" spans="1:6" x14ac:dyDescent="0.35">
      <c r="A99" s="8">
        <v>44031</v>
      </c>
      <c r="B99">
        <v>1964.5200199999999</v>
      </c>
      <c r="C99">
        <v>41.34</v>
      </c>
      <c r="D99">
        <v>61.110000999999997</v>
      </c>
      <c r="E99">
        <v>63.650002000000001</v>
      </c>
      <c r="F99">
        <v>416.10000600000001</v>
      </c>
    </row>
    <row r="100" spans="1:6" x14ac:dyDescent="0.35">
      <c r="A100" s="8">
        <v>44034</v>
      </c>
      <c r="B100">
        <v>1985.630005</v>
      </c>
      <c r="C100">
        <v>41.43</v>
      </c>
      <c r="D100">
        <v>60.75</v>
      </c>
      <c r="E100">
        <v>63.900002000000001</v>
      </c>
      <c r="F100">
        <v>418.10000600000001</v>
      </c>
    </row>
    <row r="101" spans="1:6" x14ac:dyDescent="0.35">
      <c r="A101" s="8">
        <v>44035</v>
      </c>
      <c r="B101">
        <v>1994.48999</v>
      </c>
      <c r="C101">
        <v>41.650002000000001</v>
      </c>
      <c r="D101">
        <v>60.549999</v>
      </c>
      <c r="E101">
        <v>63.790000999999997</v>
      </c>
      <c r="F101">
        <v>414.20001200000002</v>
      </c>
    </row>
    <row r="102" spans="1:6" x14ac:dyDescent="0.35">
      <c r="A102" s="8">
        <v>44036</v>
      </c>
      <c r="B102">
        <v>2000.8100589999999</v>
      </c>
      <c r="C102">
        <v>41.09</v>
      </c>
      <c r="D102">
        <v>58.040000999999997</v>
      </c>
      <c r="E102">
        <v>63.169998</v>
      </c>
      <c r="F102">
        <v>410.79998799999998</v>
      </c>
    </row>
    <row r="103" spans="1:6" x14ac:dyDescent="0.35">
      <c r="A103" s="8">
        <v>44037</v>
      </c>
      <c r="B103">
        <v>1973.8199460000001</v>
      </c>
      <c r="C103">
        <v>40.909999999999997</v>
      </c>
      <c r="D103">
        <v>57.299999</v>
      </c>
      <c r="E103">
        <v>62.869999</v>
      </c>
      <c r="F103">
        <v>410.60000600000001</v>
      </c>
    </row>
    <row r="104" spans="1:6" x14ac:dyDescent="0.35">
      <c r="A104" s="8">
        <v>44038</v>
      </c>
      <c r="B104">
        <v>1943.0500489999999</v>
      </c>
      <c r="C104">
        <v>41.049999</v>
      </c>
      <c r="D104">
        <v>57.529998999999997</v>
      </c>
      <c r="E104">
        <v>63.02</v>
      </c>
      <c r="F104">
        <v>412.79998799999998</v>
      </c>
    </row>
    <row r="105" spans="1:6" x14ac:dyDescent="0.35">
      <c r="A105" s="8">
        <v>44041</v>
      </c>
      <c r="B105">
        <v>1912.4499510000001</v>
      </c>
      <c r="C105">
        <v>40.599997999999999</v>
      </c>
      <c r="D105">
        <v>57.810001</v>
      </c>
      <c r="E105">
        <v>63.459999000000003</v>
      </c>
      <c r="F105">
        <v>408</v>
      </c>
    </row>
    <row r="106" spans="1:6" x14ac:dyDescent="0.35">
      <c r="A106" s="8">
        <v>44042</v>
      </c>
      <c r="B106">
        <v>1898.530029</v>
      </c>
      <c r="C106">
        <v>40.389999000000003</v>
      </c>
      <c r="D106">
        <v>58.040000999999997</v>
      </c>
      <c r="E106">
        <v>63.799999</v>
      </c>
      <c r="F106">
        <v>406.10000600000001</v>
      </c>
    </row>
    <row r="107" spans="1:6" x14ac:dyDescent="0.35">
      <c r="A107" s="8">
        <v>44043</v>
      </c>
      <c r="B107">
        <v>1866.780029</v>
      </c>
      <c r="C107">
        <v>40.159999999999997</v>
      </c>
      <c r="D107">
        <v>57.080002</v>
      </c>
      <c r="E107">
        <v>62.889999000000003</v>
      </c>
      <c r="F107">
        <v>409.60000600000001</v>
      </c>
    </row>
    <row r="108" spans="1:6" x14ac:dyDescent="0.35">
      <c r="A108" s="8">
        <v>44044</v>
      </c>
      <c r="B108">
        <v>1855.3199460000001</v>
      </c>
      <c r="C108">
        <v>39.720001000000003</v>
      </c>
      <c r="D108">
        <v>54.529998999999997</v>
      </c>
      <c r="E108">
        <v>58.779998999999997</v>
      </c>
      <c r="F108">
        <v>400.79998799999998</v>
      </c>
    </row>
    <row r="109" spans="1:6" x14ac:dyDescent="0.35">
      <c r="A109" s="8">
        <v>44045</v>
      </c>
      <c r="B109">
        <v>1823.23999</v>
      </c>
      <c r="C109">
        <v>39.360000999999997</v>
      </c>
      <c r="D109">
        <v>53.279998999999997</v>
      </c>
      <c r="E109">
        <v>58.41</v>
      </c>
      <c r="F109">
        <v>384.89999399999999</v>
      </c>
    </row>
    <row r="110" spans="1:6" x14ac:dyDescent="0.35">
      <c r="A110" s="8">
        <v>44048</v>
      </c>
      <c r="B110">
        <v>1765.130005</v>
      </c>
      <c r="C110">
        <v>37.990001999999997</v>
      </c>
      <c r="D110">
        <v>52.139999000000003</v>
      </c>
      <c r="E110">
        <v>57.07</v>
      </c>
      <c r="F110">
        <v>381.70001200000002</v>
      </c>
    </row>
    <row r="111" spans="1:6" x14ac:dyDescent="0.35">
      <c r="A111" s="8">
        <v>44049</v>
      </c>
      <c r="B111">
        <v>1787.829956</v>
      </c>
      <c r="C111">
        <v>38.32</v>
      </c>
      <c r="D111">
        <v>52.139999000000003</v>
      </c>
      <c r="E111">
        <v>57.299999</v>
      </c>
      <c r="F111">
        <v>382</v>
      </c>
    </row>
    <row r="112" spans="1:6" x14ac:dyDescent="0.35">
      <c r="A112" s="8">
        <v>44050</v>
      </c>
      <c r="B112">
        <v>1793.400024</v>
      </c>
      <c r="C112">
        <v>38.270000000000003</v>
      </c>
      <c r="D112">
        <v>51.560001</v>
      </c>
      <c r="E112">
        <v>57.07</v>
      </c>
      <c r="F112">
        <v>388.79998799999998</v>
      </c>
    </row>
    <row r="113" spans="1:6" x14ac:dyDescent="0.35">
      <c r="A113" s="8">
        <v>44051</v>
      </c>
      <c r="B113">
        <v>1832.8900149999999</v>
      </c>
      <c r="C113">
        <v>38.349997999999999</v>
      </c>
      <c r="D113">
        <v>50.650002000000001</v>
      </c>
      <c r="E113">
        <v>58.02</v>
      </c>
      <c r="F113">
        <v>383.10000600000001</v>
      </c>
    </row>
    <row r="114" spans="1:6" x14ac:dyDescent="0.35">
      <c r="A114" s="8">
        <v>44052</v>
      </c>
      <c r="B114">
        <v>1807.579956</v>
      </c>
      <c r="C114">
        <v>37.779998999999997</v>
      </c>
      <c r="D114">
        <v>48.779998999999997</v>
      </c>
      <c r="E114">
        <v>57.299999</v>
      </c>
      <c r="F114">
        <v>379.89999399999999</v>
      </c>
    </row>
    <row r="115" spans="1:6" x14ac:dyDescent="0.35">
      <c r="A115" s="8">
        <v>44055</v>
      </c>
      <c r="B115">
        <v>1784.920044</v>
      </c>
      <c r="C115">
        <v>36.790000999999997</v>
      </c>
      <c r="D115">
        <v>48.790000999999997</v>
      </c>
      <c r="E115">
        <v>57.32</v>
      </c>
      <c r="F115">
        <v>380.20001200000002</v>
      </c>
    </row>
    <row r="116" spans="1:6" x14ac:dyDescent="0.35">
      <c r="A116" s="8">
        <v>44056</v>
      </c>
      <c r="B116">
        <v>1824.339966</v>
      </c>
      <c r="C116">
        <v>37.009998000000003</v>
      </c>
      <c r="D116">
        <v>50.009998000000003</v>
      </c>
      <c r="E116">
        <v>57.700001</v>
      </c>
      <c r="F116">
        <v>371</v>
      </c>
    </row>
    <row r="117" spans="1:6" x14ac:dyDescent="0.35">
      <c r="A117" s="8">
        <v>44057</v>
      </c>
      <c r="B117">
        <v>1762.959961</v>
      </c>
      <c r="C117">
        <v>36</v>
      </c>
      <c r="D117">
        <v>48.560001</v>
      </c>
      <c r="E117">
        <v>56.380001</v>
      </c>
      <c r="F117">
        <v>357.60000600000001</v>
      </c>
    </row>
    <row r="118" spans="1:6" x14ac:dyDescent="0.35">
      <c r="A118" s="8">
        <v>44058</v>
      </c>
      <c r="B118">
        <v>1776.119995</v>
      </c>
      <c r="C118">
        <v>35.639999000000003</v>
      </c>
      <c r="D118">
        <v>48.970001000000003</v>
      </c>
      <c r="E118">
        <v>55.09</v>
      </c>
      <c r="F118">
        <v>360.70001200000002</v>
      </c>
    </row>
    <row r="119" spans="1:6" x14ac:dyDescent="0.35">
      <c r="A119" s="8">
        <v>44059</v>
      </c>
      <c r="B119">
        <v>1792.5699460000001</v>
      </c>
      <c r="C119">
        <v>36.119999</v>
      </c>
      <c r="D119">
        <v>48.82</v>
      </c>
      <c r="E119">
        <v>55.560001</v>
      </c>
      <c r="F119">
        <v>363.5</v>
      </c>
    </row>
    <row r="120" spans="1:6" x14ac:dyDescent="0.35">
      <c r="A120" s="8">
        <v>44062</v>
      </c>
      <c r="B120">
        <v>1816.119995</v>
      </c>
      <c r="C120">
        <v>36.560001</v>
      </c>
      <c r="D120">
        <v>49.130001</v>
      </c>
      <c r="E120">
        <v>56.060001</v>
      </c>
      <c r="F120">
        <v>358.10000600000001</v>
      </c>
    </row>
    <row r="121" spans="1:6" x14ac:dyDescent="0.35">
      <c r="A121" s="8">
        <v>44063</v>
      </c>
      <c r="B121">
        <v>1801.380005</v>
      </c>
      <c r="C121">
        <v>36.169998</v>
      </c>
      <c r="D121">
        <v>48.720001000000003</v>
      </c>
      <c r="E121">
        <v>55.66</v>
      </c>
      <c r="F121">
        <v>358.5</v>
      </c>
    </row>
    <row r="122" spans="1:6" x14ac:dyDescent="0.35">
      <c r="A122" s="8">
        <v>44064</v>
      </c>
      <c r="B122">
        <v>1823.540039</v>
      </c>
      <c r="C122">
        <v>36.259998000000003</v>
      </c>
      <c r="D122">
        <v>48.48</v>
      </c>
      <c r="E122">
        <v>56.240001999999997</v>
      </c>
      <c r="F122">
        <v>362.5</v>
      </c>
    </row>
    <row r="123" spans="1:6" x14ac:dyDescent="0.35">
      <c r="A123" s="8">
        <v>44065</v>
      </c>
      <c r="B123">
        <v>1804.660034</v>
      </c>
      <c r="C123">
        <v>36.200001</v>
      </c>
      <c r="D123">
        <v>48.549999</v>
      </c>
      <c r="E123">
        <v>55.889999000000003</v>
      </c>
      <c r="F123">
        <v>361.39999399999999</v>
      </c>
    </row>
    <row r="124" spans="1:6" x14ac:dyDescent="0.35">
      <c r="A124" s="8">
        <v>44066</v>
      </c>
      <c r="B124">
        <v>1749.619995</v>
      </c>
      <c r="C124">
        <v>35.630001</v>
      </c>
      <c r="D124">
        <v>47.98</v>
      </c>
      <c r="E124">
        <v>55.130001</v>
      </c>
      <c r="F124">
        <v>358.5</v>
      </c>
    </row>
    <row r="125" spans="1:6" x14ac:dyDescent="0.35">
      <c r="A125" s="8">
        <v>44069</v>
      </c>
      <c r="B125">
        <v>1768.869995</v>
      </c>
      <c r="C125">
        <v>35.599997999999999</v>
      </c>
      <c r="D125">
        <v>48.349997999999999</v>
      </c>
      <c r="E125">
        <v>55.310001</v>
      </c>
      <c r="F125">
        <v>353.5</v>
      </c>
    </row>
    <row r="126" spans="1:6" x14ac:dyDescent="0.35">
      <c r="A126" s="8">
        <v>44070</v>
      </c>
      <c r="B126">
        <v>1761.829956</v>
      </c>
      <c r="C126">
        <v>35.560001</v>
      </c>
      <c r="D126">
        <v>48.200001</v>
      </c>
      <c r="E126">
        <v>54.950001</v>
      </c>
      <c r="F126">
        <v>354.89999399999999</v>
      </c>
    </row>
    <row r="127" spans="1:6" x14ac:dyDescent="0.35">
      <c r="A127" s="8">
        <v>44071</v>
      </c>
      <c r="B127">
        <v>1764.25</v>
      </c>
      <c r="C127">
        <v>35.529998999999997</v>
      </c>
      <c r="D127">
        <v>48.700001</v>
      </c>
      <c r="E127">
        <v>55.68</v>
      </c>
      <c r="F127">
        <v>354.10000600000001</v>
      </c>
    </row>
    <row r="128" spans="1:6" x14ac:dyDescent="0.35">
      <c r="A128" s="8">
        <v>44072</v>
      </c>
      <c r="B128">
        <v>1786.400024</v>
      </c>
      <c r="C128">
        <v>35.959999000000003</v>
      </c>
      <c r="D128">
        <v>49.259998000000003</v>
      </c>
      <c r="E128">
        <v>55.700001</v>
      </c>
      <c r="F128">
        <v>355.70001200000002</v>
      </c>
    </row>
    <row r="129" spans="1:6" x14ac:dyDescent="0.35">
      <c r="A129" s="8">
        <v>44073</v>
      </c>
      <c r="B129">
        <v>1776.290039</v>
      </c>
      <c r="C129">
        <v>35.900002000000001</v>
      </c>
      <c r="D129">
        <v>50.580002</v>
      </c>
      <c r="E129">
        <v>55.599997999999999</v>
      </c>
      <c r="F129">
        <v>352.29998799999998</v>
      </c>
    </row>
    <row r="130" spans="1:6" x14ac:dyDescent="0.35">
      <c r="A130" s="8">
        <v>44077</v>
      </c>
      <c r="B130">
        <v>1789.839966</v>
      </c>
      <c r="C130">
        <v>35.880001</v>
      </c>
      <c r="D130">
        <v>49.970001000000003</v>
      </c>
      <c r="E130">
        <v>55.27</v>
      </c>
      <c r="F130">
        <v>355.39999399999999</v>
      </c>
    </row>
    <row r="131" spans="1:6" x14ac:dyDescent="0.35">
      <c r="A131" s="8">
        <v>44078</v>
      </c>
      <c r="B131">
        <v>1800.619995</v>
      </c>
      <c r="C131">
        <v>36.720001000000003</v>
      </c>
      <c r="D131">
        <v>51.599997999999999</v>
      </c>
      <c r="E131">
        <v>55.889999000000003</v>
      </c>
      <c r="F131">
        <v>364.39999399999999</v>
      </c>
    </row>
    <row r="132" spans="1:6" x14ac:dyDescent="0.35">
      <c r="A132" s="8">
        <v>44079</v>
      </c>
      <c r="B132">
        <v>1840.719971</v>
      </c>
      <c r="C132">
        <v>36.799999</v>
      </c>
      <c r="D132">
        <v>52.169998</v>
      </c>
      <c r="E132">
        <v>55.740001999999997</v>
      </c>
      <c r="F132">
        <v>364</v>
      </c>
    </row>
    <row r="133" spans="1:6" x14ac:dyDescent="0.35">
      <c r="A133" s="8">
        <v>44080</v>
      </c>
      <c r="B133">
        <v>1833.51001</v>
      </c>
      <c r="C133">
        <v>36.900002000000001</v>
      </c>
      <c r="D133">
        <v>52.16</v>
      </c>
      <c r="E133">
        <v>55.599997999999999</v>
      </c>
      <c r="F133">
        <v>374.39999399999999</v>
      </c>
    </row>
    <row r="134" spans="1:6" x14ac:dyDescent="0.35">
      <c r="A134" s="8">
        <v>44083</v>
      </c>
      <c r="B134">
        <v>1831.349976</v>
      </c>
      <c r="C134">
        <v>37.450001</v>
      </c>
      <c r="D134">
        <v>52.389999000000003</v>
      </c>
      <c r="E134">
        <v>56.259998000000003</v>
      </c>
      <c r="F134">
        <v>387.39999399999999</v>
      </c>
    </row>
    <row r="135" spans="1:6" x14ac:dyDescent="0.35">
      <c r="A135" s="8">
        <v>44084</v>
      </c>
      <c r="B135">
        <v>1820.5500489999999</v>
      </c>
      <c r="C135">
        <v>38.119999</v>
      </c>
      <c r="D135">
        <v>52.860000999999997</v>
      </c>
      <c r="E135">
        <v>56.810001</v>
      </c>
      <c r="F135">
        <v>392.70001200000002</v>
      </c>
    </row>
    <row r="136" spans="1:6" x14ac:dyDescent="0.35">
      <c r="A136" s="8">
        <v>44085</v>
      </c>
      <c r="B136">
        <v>1822.98999</v>
      </c>
      <c r="C136">
        <v>38.599997999999999</v>
      </c>
      <c r="D136">
        <v>53.240001999999997</v>
      </c>
      <c r="E136">
        <v>56.5</v>
      </c>
      <c r="F136">
        <v>390.60000600000001</v>
      </c>
    </row>
    <row r="137" spans="1:6" x14ac:dyDescent="0.35">
      <c r="A137" s="8">
        <v>44086</v>
      </c>
      <c r="B137">
        <v>1843.5500489999999</v>
      </c>
      <c r="C137">
        <v>38.740001999999997</v>
      </c>
      <c r="D137">
        <v>53.689999</v>
      </c>
      <c r="E137">
        <v>56.549999</v>
      </c>
      <c r="F137">
        <v>401</v>
      </c>
    </row>
    <row r="138" spans="1:6" x14ac:dyDescent="0.35">
      <c r="A138" s="8">
        <v>44087</v>
      </c>
      <c r="B138">
        <v>1839.339966</v>
      </c>
      <c r="C138">
        <v>39.139999000000003</v>
      </c>
      <c r="D138">
        <v>54.849997999999999</v>
      </c>
      <c r="E138">
        <v>56.869999</v>
      </c>
      <c r="F138">
        <v>394.5</v>
      </c>
    </row>
    <row r="139" spans="1:6" x14ac:dyDescent="0.35">
      <c r="A139" s="8">
        <v>44090</v>
      </c>
      <c r="B139">
        <v>1807.839966</v>
      </c>
      <c r="C139">
        <v>38.389999000000003</v>
      </c>
      <c r="D139">
        <v>53.650002000000001</v>
      </c>
      <c r="E139">
        <v>57.990001999999997</v>
      </c>
      <c r="F139">
        <v>388.70001200000002</v>
      </c>
    </row>
    <row r="140" spans="1:6" x14ac:dyDescent="0.35">
      <c r="A140" s="8">
        <v>44091</v>
      </c>
      <c r="B140">
        <v>1822.5500489999999</v>
      </c>
      <c r="C140">
        <v>38.299999</v>
      </c>
      <c r="D140">
        <v>53.610000999999997</v>
      </c>
      <c r="E140">
        <v>58.09</v>
      </c>
      <c r="F140">
        <v>388</v>
      </c>
    </row>
    <row r="141" spans="1:6" x14ac:dyDescent="0.35">
      <c r="A141" s="8">
        <v>44092</v>
      </c>
      <c r="B141">
        <v>1817.459961</v>
      </c>
      <c r="C141">
        <v>38.200001</v>
      </c>
      <c r="D141">
        <v>53.049999</v>
      </c>
      <c r="E141">
        <v>58.220001000000003</v>
      </c>
      <c r="F141">
        <v>388.60000600000001</v>
      </c>
    </row>
    <row r="142" spans="1:6" x14ac:dyDescent="0.35">
      <c r="A142" s="8">
        <v>44093</v>
      </c>
      <c r="B142">
        <v>1821.5</v>
      </c>
      <c r="C142">
        <v>38.229999999999997</v>
      </c>
      <c r="D142">
        <v>52.91</v>
      </c>
      <c r="E142">
        <v>58.310001</v>
      </c>
      <c r="F142">
        <v>389.39999399999999</v>
      </c>
    </row>
    <row r="143" spans="1:6" x14ac:dyDescent="0.35">
      <c r="A143" s="8">
        <v>44094</v>
      </c>
      <c r="B143">
        <v>1794.160034</v>
      </c>
      <c r="C143">
        <v>38.159999999999997</v>
      </c>
      <c r="D143">
        <v>52.82</v>
      </c>
      <c r="E143">
        <v>58.48</v>
      </c>
      <c r="F143">
        <v>388.10000600000001</v>
      </c>
    </row>
    <row r="144" spans="1:6" x14ac:dyDescent="0.35">
      <c r="A144" s="8">
        <v>44097</v>
      </c>
      <c r="B144">
        <v>1785.3000489999999</v>
      </c>
      <c r="C144">
        <v>38.110000999999997</v>
      </c>
      <c r="D144">
        <v>52.990001999999997</v>
      </c>
      <c r="E144">
        <v>58.5</v>
      </c>
      <c r="F144">
        <v>388.20001200000002</v>
      </c>
    </row>
    <row r="145" spans="1:6" x14ac:dyDescent="0.35">
      <c r="A145" s="8">
        <v>44098</v>
      </c>
      <c r="B145">
        <v>1741.6099850000001</v>
      </c>
      <c r="C145">
        <v>37.909999999999997</v>
      </c>
      <c r="D145">
        <v>51.419998</v>
      </c>
      <c r="E145">
        <v>57.889999000000003</v>
      </c>
      <c r="F145">
        <v>387.5</v>
      </c>
    </row>
    <row r="146" spans="1:6" x14ac:dyDescent="0.35">
      <c r="A146" s="8">
        <v>44099</v>
      </c>
      <c r="B146">
        <v>1768.329956</v>
      </c>
      <c r="C146">
        <v>37.979999999999997</v>
      </c>
      <c r="D146">
        <v>51.900002000000001</v>
      </c>
      <c r="E146">
        <v>57.830002</v>
      </c>
      <c r="F146">
        <v>391.20001200000002</v>
      </c>
    </row>
    <row r="147" spans="1:6" x14ac:dyDescent="0.35">
      <c r="A147" s="8">
        <v>44100</v>
      </c>
      <c r="B147">
        <v>1739.839966</v>
      </c>
      <c r="C147">
        <v>38.099997999999999</v>
      </c>
      <c r="D147">
        <v>51.419998</v>
      </c>
      <c r="E147">
        <v>58.549999</v>
      </c>
      <c r="F147">
        <v>397.70001200000002</v>
      </c>
    </row>
    <row r="148" spans="1:6" x14ac:dyDescent="0.35">
      <c r="A148" s="8">
        <v>44101</v>
      </c>
      <c r="B148">
        <v>1725.4499510000001</v>
      </c>
      <c r="C148">
        <v>38.139999000000003</v>
      </c>
      <c r="D148">
        <v>51.98</v>
      </c>
      <c r="E148">
        <v>59.110000999999997</v>
      </c>
      <c r="F148">
        <v>399.29998799999998</v>
      </c>
    </row>
    <row r="149" spans="1:6" x14ac:dyDescent="0.35">
      <c r="A149" s="8">
        <v>44104</v>
      </c>
      <c r="B149">
        <v>1735.910034</v>
      </c>
      <c r="C149">
        <v>38.270000000000003</v>
      </c>
      <c r="D149">
        <v>52.09</v>
      </c>
      <c r="E149">
        <v>58.849997999999999</v>
      </c>
      <c r="F149">
        <v>394</v>
      </c>
    </row>
    <row r="150" spans="1:6" x14ac:dyDescent="0.35">
      <c r="A150" s="8">
        <v>44105</v>
      </c>
      <c r="B150">
        <v>1735.650024</v>
      </c>
      <c r="C150">
        <v>37.860000999999997</v>
      </c>
      <c r="D150">
        <v>51.369999</v>
      </c>
      <c r="E150">
        <v>58.389999000000003</v>
      </c>
      <c r="F150">
        <v>384.89999399999999</v>
      </c>
    </row>
    <row r="151" spans="1:6" x14ac:dyDescent="0.35">
      <c r="A151" s="8">
        <v>44106</v>
      </c>
      <c r="B151">
        <v>1713.2299800000001</v>
      </c>
      <c r="C151">
        <v>37.130001</v>
      </c>
      <c r="D151">
        <v>49.75</v>
      </c>
      <c r="E151">
        <v>56.610000999999997</v>
      </c>
      <c r="F151">
        <v>381.60000600000001</v>
      </c>
    </row>
    <row r="152" spans="1:6" x14ac:dyDescent="0.35">
      <c r="A152" s="8">
        <v>44107</v>
      </c>
      <c r="B152">
        <v>1724.420044</v>
      </c>
      <c r="C152">
        <v>37.349997999999999</v>
      </c>
      <c r="D152">
        <v>49.790000999999997</v>
      </c>
      <c r="E152">
        <v>56.990001999999997</v>
      </c>
      <c r="F152">
        <v>380</v>
      </c>
    </row>
    <row r="153" spans="1:6" x14ac:dyDescent="0.35">
      <c r="A153" s="8">
        <v>44108</v>
      </c>
      <c r="B153">
        <v>1739.650024</v>
      </c>
      <c r="C153">
        <v>37.209999000000003</v>
      </c>
      <c r="D153">
        <v>50.139999000000003</v>
      </c>
      <c r="E153">
        <v>57.299999</v>
      </c>
      <c r="F153">
        <v>377.89999399999999</v>
      </c>
    </row>
    <row r="154" spans="1:6" x14ac:dyDescent="0.35">
      <c r="A154" s="8">
        <v>44111</v>
      </c>
      <c r="B154">
        <v>1732.660034</v>
      </c>
      <c r="C154">
        <v>37.159999999999997</v>
      </c>
      <c r="D154">
        <v>49.689999</v>
      </c>
      <c r="E154">
        <v>57.18</v>
      </c>
      <c r="F154">
        <v>375</v>
      </c>
    </row>
    <row r="155" spans="1:6" x14ac:dyDescent="0.35">
      <c r="A155" s="8">
        <v>44112</v>
      </c>
      <c r="B155">
        <v>1705.51001</v>
      </c>
      <c r="C155">
        <v>36.68</v>
      </c>
      <c r="D155">
        <v>49.240001999999997</v>
      </c>
      <c r="E155">
        <v>56.439999</v>
      </c>
      <c r="F155">
        <v>375</v>
      </c>
    </row>
    <row r="156" spans="1:6" x14ac:dyDescent="0.35">
      <c r="A156" s="8">
        <v>44113</v>
      </c>
      <c r="B156">
        <v>1721.98999</v>
      </c>
      <c r="C156">
        <v>36.93</v>
      </c>
      <c r="D156">
        <v>49.549999</v>
      </c>
      <c r="E156">
        <v>56.549999</v>
      </c>
      <c r="F156">
        <v>381.20001200000002</v>
      </c>
    </row>
    <row r="157" spans="1:6" x14ac:dyDescent="0.35">
      <c r="A157" s="8">
        <v>44114</v>
      </c>
      <c r="B157">
        <v>1720.26001</v>
      </c>
      <c r="C157">
        <v>36.900002000000001</v>
      </c>
      <c r="D157">
        <v>50.900002000000001</v>
      </c>
      <c r="E157">
        <v>57.259998000000003</v>
      </c>
      <c r="F157">
        <v>405.20001200000002</v>
      </c>
    </row>
    <row r="158" spans="1:6" x14ac:dyDescent="0.35">
      <c r="A158" s="8">
        <v>44115</v>
      </c>
      <c r="B158">
        <v>1731.920044</v>
      </c>
      <c r="C158">
        <v>38.200001</v>
      </c>
      <c r="D158">
        <v>52.849997999999999</v>
      </c>
      <c r="E158">
        <v>57.849997999999999</v>
      </c>
      <c r="F158">
        <v>396.79998799999998</v>
      </c>
    </row>
    <row r="159" spans="1:6" x14ac:dyDescent="0.35">
      <c r="A159" s="8">
        <v>44118</v>
      </c>
      <c r="B159">
        <v>1736.4300539999999</v>
      </c>
      <c r="C159">
        <v>38.240001999999997</v>
      </c>
      <c r="D159">
        <v>51.84</v>
      </c>
      <c r="E159">
        <v>57.82</v>
      </c>
      <c r="F159">
        <v>406.39999399999999</v>
      </c>
    </row>
    <row r="160" spans="1:6" x14ac:dyDescent="0.35">
      <c r="A160" s="8">
        <v>44119</v>
      </c>
      <c r="B160">
        <v>1767.380005</v>
      </c>
      <c r="C160">
        <v>38.599997999999999</v>
      </c>
      <c r="D160">
        <v>51.400002000000001</v>
      </c>
      <c r="E160">
        <v>57.540000999999997</v>
      </c>
      <c r="F160">
        <v>408.5</v>
      </c>
    </row>
    <row r="161" spans="1:6" x14ac:dyDescent="0.35">
      <c r="A161" s="8">
        <v>44120</v>
      </c>
      <c r="B161">
        <v>1777.4300539999999</v>
      </c>
      <c r="C161">
        <v>38.659999999999997</v>
      </c>
      <c r="D161">
        <v>50.52</v>
      </c>
      <c r="E161">
        <v>57.389999000000003</v>
      </c>
      <c r="F161">
        <v>408</v>
      </c>
    </row>
    <row r="162" spans="1:6" x14ac:dyDescent="0.35">
      <c r="A162" s="8">
        <v>44121</v>
      </c>
      <c r="B162">
        <v>1787.4799800000001</v>
      </c>
      <c r="C162">
        <v>38.869999</v>
      </c>
      <c r="D162">
        <v>50.77</v>
      </c>
      <c r="E162">
        <v>58.16</v>
      </c>
      <c r="F162">
        <v>412.20001200000002</v>
      </c>
    </row>
    <row r="163" spans="1:6" x14ac:dyDescent="0.35">
      <c r="A163" s="8">
        <v>44122</v>
      </c>
      <c r="B163">
        <v>1757.51001</v>
      </c>
      <c r="C163">
        <v>38.729999999999997</v>
      </c>
      <c r="D163">
        <v>50.950001</v>
      </c>
      <c r="E163">
        <v>57.720001000000003</v>
      </c>
      <c r="F163">
        <v>417.20001200000002</v>
      </c>
    </row>
    <row r="164" spans="1:6" x14ac:dyDescent="0.35">
      <c r="A164" s="8">
        <v>44125</v>
      </c>
      <c r="B164">
        <v>1785.660034</v>
      </c>
      <c r="C164">
        <v>39.150002000000001</v>
      </c>
      <c r="D164">
        <v>51.880001</v>
      </c>
      <c r="E164">
        <v>58.279998999999997</v>
      </c>
      <c r="F164">
        <v>418.60000600000001</v>
      </c>
    </row>
    <row r="165" spans="1:6" x14ac:dyDescent="0.35">
      <c r="A165" s="8">
        <v>44126</v>
      </c>
      <c r="B165">
        <v>1765.7299800000001</v>
      </c>
      <c r="C165">
        <v>39.209999000000003</v>
      </c>
      <c r="D165">
        <v>52.200001</v>
      </c>
      <c r="E165">
        <v>58.939999</v>
      </c>
      <c r="F165">
        <v>421.5</v>
      </c>
    </row>
    <row r="166" spans="1:6" x14ac:dyDescent="0.35">
      <c r="A166" s="8">
        <v>44127</v>
      </c>
      <c r="B166">
        <v>1762.170044</v>
      </c>
      <c r="C166">
        <v>39.360000999999997</v>
      </c>
      <c r="D166">
        <v>52.130001</v>
      </c>
      <c r="E166">
        <v>59.610000999999997</v>
      </c>
      <c r="F166">
        <v>424.29998799999998</v>
      </c>
    </row>
    <row r="167" spans="1:6" x14ac:dyDescent="0.35">
      <c r="A167" s="8">
        <v>44128</v>
      </c>
      <c r="B167">
        <v>1780.780029</v>
      </c>
      <c r="C167">
        <v>39.459999000000003</v>
      </c>
      <c r="D167">
        <v>52.02</v>
      </c>
      <c r="E167">
        <v>59.57</v>
      </c>
      <c r="F167">
        <v>420.89999399999999</v>
      </c>
    </row>
    <row r="168" spans="1:6" x14ac:dyDescent="0.35">
      <c r="A168" s="8">
        <v>44129</v>
      </c>
      <c r="B168">
        <v>1761.329956</v>
      </c>
      <c r="C168">
        <v>39.520000000000003</v>
      </c>
      <c r="D168">
        <v>52.560001</v>
      </c>
      <c r="E168">
        <v>59.73</v>
      </c>
      <c r="F168">
        <v>424.20001200000002</v>
      </c>
    </row>
    <row r="169" spans="1:6" x14ac:dyDescent="0.35">
      <c r="A169" s="8">
        <v>44132</v>
      </c>
      <c r="B169">
        <v>1777.079956</v>
      </c>
      <c r="C169">
        <v>38.090000000000003</v>
      </c>
      <c r="D169">
        <v>53.34</v>
      </c>
      <c r="E169">
        <v>59.919998</v>
      </c>
      <c r="F169">
        <v>423.60000600000001</v>
      </c>
    </row>
    <row r="170" spans="1:6" x14ac:dyDescent="0.35">
      <c r="A170" s="8">
        <v>44133</v>
      </c>
      <c r="B170">
        <v>1762.709961</v>
      </c>
      <c r="C170">
        <v>37.970001000000003</v>
      </c>
      <c r="D170">
        <v>53.369999</v>
      </c>
      <c r="E170">
        <v>59.93</v>
      </c>
      <c r="F170">
        <v>416.39999399999999</v>
      </c>
    </row>
    <row r="171" spans="1:6" x14ac:dyDescent="0.35">
      <c r="A171" s="8">
        <v>44134</v>
      </c>
      <c r="B171">
        <v>1779.98999</v>
      </c>
      <c r="C171">
        <v>37.93</v>
      </c>
      <c r="D171">
        <v>52.529998999999997</v>
      </c>
      <c r="E171">
        <v>60.049999</v>
      </c>
      <c r="F171">
        <v>415.20001200000002</v>
      </c>
    </row>
    <row r="172" spans="1:6" x14ac:dyDescent="0.35">
      <c r="A172" s="8">
        <v>44135</v>
      </c>
      <c r="B172">
        <v>1776.660034</v>
      </c>
      <c r="C172">
        <v>37.790000999999997</v>
      </c>
      <c r="D172">
        <v>52.009998000000003</v>
      </c>
      <c r="E172">
        <v>57.970001000000003</v>
      </c>
      <c r="F172">
        <v>419.70001200000002</v>
      </c>
    </row>
    <row r="173" spans="1:6" x14ac:dyDescent="0.35">
      <c r="A173" s="8">
        <v>44136</v>
      </c>
      <c r="B173">
        <v>1791.4399410000001</v>
      </c>
      <c r="C173">
        <v>38.07</v>
      </c>
      <c r="D173">
        <v>53.98</v>
      </c>
      <c r="E173">
        <v>58.639999000000003</v>
      </c>
      <c r="F173">
        <v>422</v>
      </c>
    </row>
    <row r="174" spans="1:6" x14ac:dyDescent="0.35">
      <c r="A174" s="8">
        <v>44139</v>
      </c>
      <c r="B174">
        <v>1804.660034</v>
      </c>
      <c r="C174">
        <v>38.520000000000003</v>
      </c>
      <c r="D174">
        <v>55.23</v>
      </c>
      <c r="E174">
        <v>59.439999</v>
      </c>
      <c r="F174">
        <v>431.79998799999998</v>
      </c>
    </row>
    <row r="175" spans="1:6" x14ac:dyDescent="0.35">
      <c r="A175" s="8">
        <v>44140</v>
      </c>
      <c r="B175">
        <v>1801.709961</v>
      </c>
      <c r="C175">
        <v>38.43</v>
      </c>
      <c r="D175">
        <v>55.82</v>
      </c>
      <c r="E175">
        <v>60.16</v>
      </c>
      <c r="F175">
        <v>428.70001200000002</v>
      </c>
    </row>
    <row r="176" spans="1:6" x14ac:dyDescent="0.35">
      <c r="A176" s="8">
        <v>44141</v>
      </c>
      <c r="B176">
        <v>1795.7700199999999</v>
      </c>
      <c r="C176">
        <v>38.5</v>
      </c>
      <c r="D176">
        <v>55.66</v>
      </c>
      <c r="E176">
        <v>59.869999</v>
      </c>
      <c r="F176">
        <v>433.70001200000002</v>
      </c>
    </row>
    <row r="177" spans="1:6" x14ac:dyDescent="0.35">
      <c r="A177" s="8">
        <v>44142</v>
      </c>
      <c r="B177">
        <v>1788.1999510000001</v>
      </c>
      <c r="C177">
        <v>38.439999</v>
      </c>
      <c r="D177">
        <v>55.509998000000003</v>
      </c>
      <c r="E177">
        <v>60.369999</v>
      </c>
      <c r="F177">
        <v>430.70001200000002</v>
      </c>
    </row>
    <row r="178" spans="1:6" x14ac:dyDescent="0.35">
      <c r="A178" s="8">
        <v>44143</v>
      </c>
      <c r="B178">
        <v>1785.880005</v>
      </c>
      <c r="C178">
        <v>38.240001999999997</v>
      </c>
      <c r="D178">
        <v>54.110000999999997</v>
      </c>
      <c r="E178">
        <v>60.25</v>
      </c>
      <c r="F178">
        <v>435.10000600000001</v>
      </c>
    </row>
    <row r="179" spans="1:6" x14ac:dyDescent="0.35">
      <c r="A179" s="8">
        <v>44146</v>
      </c>
      <c r="B179">
        <v>1771.650024</v>
      </c>
      <c r="C179">
        <v>37.709999000000003</v>
      </c>
      <c r="D179">
        <v>53.380001</v>
      </c>
      <c r="E179">
        <v>60.18</v>
      </c>
      <c r="F179">
        <v>438.39999399999999</v>
      </c>
    </row>
    <row r="180" spans="1:6" x14ac:dyDescent="0.35">
      <c r="A180" s="8">
        <v>44147</v>
      </c>
      <c r="B180">
        <v>1778</v>
      </c>
      <c r="C180">
        <v>37.68</v>
      </c>
      <c r="D180">
        <v>53.02</v>
      </c>
      <c r="E180">
        <v>59.889999000000003</v>
      </c>
      <c r="F180">
        <v>432.10000600000001</v>
      </c>
    </row>
    <row r="181" spans="1:6" x14ac:dyDescent="0.35">
      <c r="A181" s="8">
        <v>44148</v>
      </c>
      <c r="B181">
        <v>1753.1099850000001</v>
      </c>
      <c r="C181">
        <v>36.900002000000001</v>
      </c>
      <c r="D181">
        <v>52.18</v>
      </c>
      <c r="E181">
        <v>60.290000999999997</v>
      </c>
      <c r="F181">
        <v>431</v>
      </c>
    </row>
    <row r="182" spans="1:6" x14ac:dyDescent="0.35">
      <c r="A182" s="8">
        <v>44149</v>
      </c>
      <c r="B182">
        <v>1754.599976</v>
      </c>
      <c r="C182">
        <v>36.810001</v>
      </c>
      <c r="D182">
        <v>52.919998</v>
      </c>
      <c r="E182">
        <v>59.130001</v>
      </c>
      <c r="F182">
        <v>434.39999399999999</v>
      </c>
    </row>
    <row r="183" spans="1:6" x14ac:dyDescent="0.35">
      <c r="A183" s="8">
        <v>44150</v>
      </c>
      <c r="B183">
        <v>1739.48999</v>
      </c>
      <c r="C183">
        <v>37.009998000000003</v>
      </c>
      <c r="D183">
        <v>53.970001000000003</v>
      </c>
      <c r="E183">
        <v>59.57</v>
      </c>
      <c r="F183">
        <v>414.5</v>
      </c>
    </row>
    <row r="184" spans="1:6" x14ac:dyDescent="0.35">
      <c r="A184" s="8">
        <v>44153</v>
      </c>
      <c r="B184">
        <v>1752.530029</v>
      </c>
      <c r="C184">
        <v>37.240001999999997</v>
      </c>
      <c r="D184">
        <v>53.990001999999997</v>
      </c>
      <c r="E184">
        <v>59.419998</v>
      </c>
      <c r="F184">
        <v>418.29998799999998</v>
      </c>
    </row>
    <row r="185" spans="1:6" x14ac:dyDescent="0.35">
      <c r="A185" s="8">
        <v>44154</v>
      </c>
      <c r="B185">
        <v>1752.790039</v>
      </c>
      <c r="C185">
        <v>37.439999</v>
      </c>
      <c r="D185">
        <v>54.529998999999997</v>
      </c>
      <c r="E185">
        <v>58.73</v>
      </c>
      <c r="F185">
        <v>403.5</v>
      </c>
    </row>
    <row r="186" spans="1:6" x14ac:dyDescent="0.35">
      <c r="A186" s="8">
        <v>44155</v>
      </c>
      <c r="B186">
        <v>1745.530029</v>
      </c>
      <c r="C186">
        <v>37.099997999999999</v>
      </c>
      <c r="D186">
        <v>53.110000999999997</v>
      </c>
      <c r="E186">
        <v>58.439999</v>
      </c>
      <c r="F186">
        <v>397.70001200000002</v>
      </c>
    </row>
    <row r="187" spans="1:6" x14ac:dyDescent="0.35">
      <c r="A187" s="8">
        <v>44156</v>
      </c>
      <c r="B187">
        <v>1734.709961</v>
      </c>
      <c r="C187">
        <v>36.840000000000003</v>
      </c>
      <c r="D187">
        <v>53.299999</v>
      </c>
      <c r="E187">
        <v>58.669998</v>
      </c>
      <c r="F187">
        <v>400</v>
      </c>
    </row>
    <row r="188" spans="1:6" x14ac:dyDescent="0.35">
      <c r="A188" s="8">
        <v>44157</v>
      </c>
      <c r="B188">
        <v>1745.719971</v>
      </c>
      <c r="C188">
        <v>37.189999</v>
      </c>
      <c r="D188">
        <v>53.799999</v>
      </c>
      <c r="E188">
        <v>58.439999</v>
      </c>
      <c r="F188">
        <v>403.29998799999998</v>
      </c>
    </row>
    <row r="189" spans="1:6" x14ac:dyDescent="0.35">
      <c r="A189" s="8">
        <v>44160</v>
      </c>
      <c r="B189">
        <v>1773.839966</v>
      </c>
      <c r="C189">
        <v>37.590000000000003</v>
      </c>
      <c r="D189">
        <v>54.669998</v>
      </c>
      <c r="E189">
        <v>58.639999000000003</v>
      </c>
      <c r="F189">
        <v>401.79998799999998</v>
      </c>
    </row>
    <row r="190" spans="1:6" x14ac:dyDescent="0.35">
      <c r="A190" s="8">
        <v>44161</v>
      </c>
      <c r="B190">
        <v>1796.9399410000001</v>
      </c>
      <c r="C190">
        <v>37.529998999999997</v>
      </c>
      <c r="D190">
        <v>54.860000999999997</v>
      </c>
      <c r="E190">
        <v>57.970001000000003</v>
      </c>
      <c r="F190">
        <v>402.39999399999999</v>
      </c>
    </row>
    <row r="191" spans="1:6" x14ac:dyDescent="0.35">
      <c r="A191" s="8">
        <v>44162</v>
      </c>
      <c r="B191">
        <v>1818.51001</v>
      </c>
      <c r="C191">
        <v>37.619999</v>
      </c>
      <c r="D191">
        <v>54.98</v>
      </c>
      <c r="E191">
        <v>57.799999</v>
      </c>
      <c r="F191">
        <v>402</v>
      </c>
    </row>
    <row r="192" spans="1:6" x14ac:dyDescent="0.35">
      <c r="A192" s="8">
        <v>44164</v>
      </c>
      <c r="B192">
        <v>1800.8000489999999</v>
      </c>
      <c r="C192">
        <v>37.259998000000003</v>
      </c>
      <c r="D192">
        <v>54.560001</v>
      </c>
      <c r="E192">
        <v>57.490001999999997</v>
      </c>
      <c r="F192">
        <v>403.79998799999998</v>
      </c>
    </row>
    <row r="193" spans="1:6" x14ac:dyDescent="0.35">
      <c r="A193" s="8">
        <v>44167</v>
      </c>
      <c r="B193">
        <v>1781.599976</v>
      </c>
      <c r="C193">
        <v>36.810001</v>
      </c>
      <c r="D193">
        <v>55.150002000000001</v>
      </c>
      <c r="E193">
        <v>57.130001</v>
      </c>
      <c r="F193">
        <v>398.39999399999999</v>
      </c>
    </row>
    <row r="194" spans="1:6" x14ac:dyDescent="0.35">
      <c r="A194" s="8">
        <v>44168</v>
      </c>
      <c r="B194">
        <v>1769.959961</v>
      </c>
      <c r="C194">
        <v>36.330002</v>
      </c>
      <c r="D194">
        <v>54.599997999999999</v>
      </c>
      <c r="E194">
        <v>56.209999000000003</v>
      </c>
      <c r="F194">
        <v>393.29998799999998</v>
      </c>
    </row>
    <row r="195" spans="1:6" x14ac:dyDescent="0.35">
      <c r="A195" s="8">
        <v>44169</v>
      </c>
      <c r="B195">
        <v>1760.6899410000001</v>
      </c>
      <c r="C195">
        <v>36.470001000000003</v>
      </c>
      <c r="D195">
        <v>54.860000999999997</v>
      </c>
      <c r="E195">
        <v>56.84</v>
      </c>
      <c r="F195">
        <v>395.39999399999999</v>
      </c>
    </row>
    <row r="196" spans="1:6" x14ac:dyDescent="0.35">
      <c r="A196" s="8">
        <v>44170</v>
      </c>
      <c r="B196">
        <v>1740.4799800000001</v>
      </c>
      <c r="C196">
        <v>36.369999</v>
      </c>
      <c r="D196">
        <v>54.610000999999997</v>
      </c>
      <c r="E196">
        <v>56.490001999999997</v>
      </c>
      <c r="F196">
        <v>393</v>
      </c>
    </row>
    <row r="197" spans="1:6" x14ac:dyDescent="0.35">
      <c r="A197" s="8">
        <v>44171</v>
      </c>
      <c r="B197">
        <v>1751.599976</v>
      </c>
      <c r="C197">
        <v>36.869999</v>
      </c>
      <c r="D197">
        <v>55.369999</v>
      </c>
      <c r="E197">
        <v>57.290000999999997</v>
      </c>
      <c r="F197">
        <v>397.89999399999999</v>
      </c>
    </row>
    <row r="198" spans="1:6" x14ac:dyDescent="0.35">
      <c r="A198" s="8">
        <v>44174</v>
      </c>
      <c r="B198">
        <v>1749.51001</v>
      </c>
      <c r="C198">
        <v>36.830002</v>
      </c>
      <c r="D198">
        <v>55.91</v>
      </c>
      <c r="E198">
        <v>57.27</v>
      </c>
      <c r="F198">
        <v>404.39999399999999</v>
      </c>
    </row>
    <row r="199" spans="1:6" x14ac:dyDescent="0.35">
      <c r="A199" s="8">
        <v>44175</v>
      </c>
      <c r="B199">
        <v>1739.209961</v>
      </c>
      <c r="C199">
        <v>36.709999000000003</v>
      </c>
      <c r="D199">
        <v>56.060001</v>
      </c>
      <c r="E199">
        <v>57.360000999999997</v>
      </c>
      <c r="F199">
        <v>404</v>
      </c>
    </row>
    <row r="200" spans="1:6" x14ac:dyDescent="0.35">
      <c r="A200" s="8">
        <v>44176</v>
      </c>
      <c r="B200">
        <v>1748.719971</v>
      </c>
      <c r="C200">
        <v>37.159999999999997</v>
      </c>
      <c r="D200">
        <v>56.91</v>
      </c>
      <c r="E200">
        <v>57.400002000000001</v>
      </c>
      <c r="F200">
        <v>400</v>
      </c>
    </row>
    <row r="201" spans="1:6" x14ac:dyDescent="0.35">
      <c r="A201" s="8">
        <v>44177</v>
      </c>
      <c r="B201">
        <v>1760.329956</v>
      </c>
      <c r="C201">
        <v>37.93</v>
      </c>
      <c r="D201">
        <v>57.52</v>
      </c>
      <c r="E201">
        <v>57.759998000000003</v>
      </c>
      <c r="F201">
        <v>406.10000600000001</v>
      </c>
    </row>
    <row r="202" spans="1:6" x14ac:dyDescent="0.35">
      <c r="A202" s="8">
        <v>44178</v>
      </c>
      <c r="B202">
        <v>1760.9399410000001</v>
      </c>
      <c r="C202">
        <v>38.43</v>
      </c>
      <c r="D202">
        <v>57.720001000000003</v>
      </c>
      <c r="E202">
        <v>57.439999</v>
      </c>
      <c r="F202">
        <v>415.79998799999998</v>
      </c>
    </row>
    <row r="203" spans="1:6" x14ac:dyDescent="0.35">
      <c r="A203" s="8">
        <v>44181</v>
      </c>
      <c r="B203">
        <v>1769.209961</v>
      </c>
      <c r="C203">
        <v>38.919998</v>
      </c>
      <c r="D203">
        <v>58.82</v>
      </c>
      <c r="E203">
        <v>58.16</v>
      </c>
      <c r="F203">
        <v>428</v>
      </c>
    </row>
    <row r="204" spans="1:6" x14ac:dyDescent="0.35">
      <c r="A204" s="8">
        <v>44182</v>
      </c>
      <c r="B204">
        <v>1790.660034</v>
      </c>
      <c r="C204">
        <v>38.909999999999997</v>
      </c>
      <c r="D204">
        <v>58.68</v>
      </c>
      <c r="E204">
        <v>58.470001000000003</v>
      </c>
      <c r="F204">
        <v>425.89999399999999</v>
      </c>
    </row>
    <row r="205" spans="1:6" x14ac:dyDescent="0.35">
      <c r="A205" s="8">
        <v>44183</v>
      </c>
      <c r="B205">
        <v>1784.030029</v>
      </c>
      <c r="C205">
        <v>39.029998999999997</v>
      </c>
      <c r="D205">
        <v>58.529998999999997</v>
      </c>
      <c r="E205">
        <v>58.52</v>
      </c>
      <c r="F205">
        <v>424.5</v>
      </c>
    </row>
    <row r="206" spans="1:6" x14ac:dyDescent="0.35">
      <c r="A206" s="8">
        <v>44184</v>
      </c>
      <c r="B206">
        <v>1792.280029</v>
      </c>
      <c r="C206">
        <v>38.880001</v>
      </c>
      <c r="D206">
        <v>58.48</v>
      </c>
      <c r="E206">
        <v>58.900002000000001</v>
      </c>
      <c r="F206">
        <v>421.29998799999998</v>
      </c>
    </row>
    <row r="207" spans="1:6" x14ac:dyDescent="0.35">
      <c r="A207" s="8">
        <v>44185</v>
      </c>
      <c r="B207">
        <v>1786.5</v>
      </c>
      <c r="C207">
        <v>38.889999000000003</v>
      </c>
      <c r="D207">
        <v>58.77</v>
      </c>
      <c r="E207">
        <v>58.18</v>
      </c>
      <c r="F207">
        <v>419.20001200000002</v>
      </c>
    </row>
    <row r="208" spans="1:6" x14ac:dyDescent="0.35">
      <c r="A208" s="8">
        <v>44188</v>
      </c>
      <c r="B208">
        <v>1793</v>
      </c>
      <c r="C208">
        <v>38.779998999999997</v>
      </c>
      <c r="D208">
        <v>58.970001000000003</v>
      </c>
      <c r="E208">
        <v>58.799999</v>
      </c>
      <c r="F208">
        <v>420.39999399999999</v>
      </c>
    </row>
    <row r="209" spans="1:6" x14ac:dyDescent="0.35">
      <c r="A209" s="8">
        <v>44189</v>
      </c>
      <c r="B209">
        <v>1789.209961</v>
      </c>
      <c r="C209">
        <v>38.689999</v>
      </c>
      <c r="D209">
        <v>59.009998000000003</v>
      </c>
      <c r="E209">
        <v>58.700001</v>
      </c>
      <c r="F209">
        <v>422.60000600000001</v>
      </c>
    </row>
    <row r="210" spans="1:6" x14ac:dyDescent="0.35">
      <c r="A210" s="8">
        <v>44191</v>
      </c>
      <c r="B210">
        <v>1868.7700199999999</v>
      </c>
      <c r="C210">
        <v>38.919998</v>
      </c>
      <c r="D210">
        <v>59.490001999999997</v>
      </c>
      <c r="E210">
        <v>58.869999</v>
      </c>
      <c r="F210">
        <v>422.20001200000002</v>
      </c>
    </row>
    <row r="211" spans="1:6" x14ac:dyDescent="0.35">
      <c r="A211" s="8">
        <v>44192</v>
      </c>
      <c r="B211">
        <v>1869.8000489999999</v>
      </c>
      <c r="C211">
        <v>39</v>
      </c>
      <c r="D211">
        <v>59.349997999999999</v>
      </c>
      <c r="E211">
        <v>59.09</v>
      </c>
      <c r="F211">
        <v>420.20001200000002</v>
      </c>
    </row>
    <row r="212" spans="1:6" x14ac:dyDescent="0.35">
      <c r="A212" s="8">
        <v>44195</v>
      </c>
      <c r="B212">
        <v>1846.8900149999999</v>
      </c>
      <c r="C212">
        <v>38.979999999999997</v>
      </c>
      <c r="D212">
        <v>59.169998</v>
      </c>
      <c r="E212">
        <v>58.68</v>
      </c>
      <c r="F212">
        <v>418.70001200000002</v>
      </c>
    </row>
    <row r="213" spans="1:6" x14ac:dyDescent="0.35">
      <c r="A213" s="8">
        <v>44196</v>
      </c>
      <c r="B213">
        <v>1847.839966</v>
      </c>
      <c r="C213">
        <v>39.090000000000003</v>
      </c>
      <c r="D213">
        <v>59.360000999999997</v>
      </c>
      <c r="E213">
        <v>58.98</v>
      </c>
      <c r="F213">
        <v>423.60000600000001</v>
      </c>
    </row>
    <row r="214" spans="1:6" x14ac:dyDescent="0.35">
      <c r="A214" s="8">
        <v>44198</v>
      </c>
      <c r="B214">
        <v>1898.01001</v>
      </c>
      <c r="C214">
        <v>39.369999</v>
      </c>
      <c r="D214">
        <v>59.889999000000003</v>
      </c>
      <c r="E214">
        <v>59.740001999999997</v>
      </c>
      <c r="F214">
        <v>419.39999399999999</v>
      </c>
    </row>
    <row r="215" spans="1:6" x14ac:dyDescent="0.35">
      <c r="A215" s="8">
        <v>44199</v>
      </c>
      <c r="B215">
        <v>1874.969971</v>
      </c>
      <c r="C215">
        <v>38.759998000000003</v>
      </c>
      <c r="D215">
        <v>58.84</v>
      </c>
      <c r="E215">
        <v>60.209999000000003</v>
      </c>
      <c r="F215">
        <v>414</v>
      </c>
    </row>
    <row r="216" spans="1:6" x14ac:dyDescent="0.35">
      <c r="A216" s="8">
        <v>44202</v>
      </c>
      <c r="B216">
        <v>1902.880005</v>
      </c>
      <c r="C216">
        <v>38.630001</v>
      </c>
      <c r="D216">
        <v>58.450001</v>
      </c>
      <c r="E216">
        <v>60.959999000000003</v>
      </c>
      <c r="F216">
        <v>417.39999399999999</v>
      </c>
    </row>
    <row r="217" spans="1:6" x14ac:dyDescent="0.35">
      <c r="A217" s="8">
        <v>44203</v>
      </c>
      <c r="B217">
        <v>1906.8599850000001</v>
      </c>
      <c r="C217">
        <v>38.340000000000003</v>
      </c>
      <c r="D217">
        <v>58.389999000000003</v>
      </c>
      <c r="E217">
        <v>60.400002000000001</v>
      </c>
      <c r="F217">
        <v>416.10000600000001</v>
      </c>
    </row>
    <row r="218" spans="1:6" x14ac:dyDescent="0.35">
      <c r="A218" s="8">
        <v>44204</v>
      </c>
      <c r="B218">
        <v>1891.969971</v>
      </c>
      <c r="C218">
        <v>38.25</v>
      </c>
      <c r="D218">
        <v>58.900002000000001</v>
      </c>
      <c r="E218">
        <v>59.689999</v>
      </c>
      <c r="F218">
        <v>417.70001200000002</v>
      </c>
    </row>
    <row r="219" spans="1:6" x14ac:dyDescent="0.35">
      <c r="A219" s="8">
        <v>44205</v>
      </c>
      <c r="B219">
        <v>1901.0500489999999</v>
      </c>
      <c r="C219">
        <v>38.5</v>
      </c>
      <c r="D219">
        <v>58.290000999999997</v>
      </c>
      <c r="E219">
        <v>59.68</v>
      </c>
      <c r="F219">
        <v>412.79998799999998</v>
      </c>
    </row>
    <row r="220" spans="1:6" x14ac:dyDescent="0.35">
      <c r="A220" s="8">
        <v>44206</v>
      </c>
      <c r="B220">
        <v>1883.160034</v>
      </c>
      <c r="C220">
        <v>38.139999000000003</v>
      </c>
      <c r="D220">
        <v>58.450001</v>
      </c>
      <c r="E220">
        <v>59.009998000000003</v>
      </c>
      <c r="F220">
        <v>411.60000600000001</v>
      </c>
    </row>
    <row r="221" spans="1:6" x14ac:dyDescent="0.35">
      <c r="A221" s="8">
        <v>44209</v>
      </c>
      <c r="B221">
        <v>1891.3000489999999</v>
      </c>
      <c r="C221">
        <v>38.520000000000003</v>
      </c>
      <c r="D221">
        <v>59.130001</v>
      </c>
      <c r="E221">
        <v>58.959999000000003</v>
      </c>
      <c r="F221">
        <v>411</v>
      </c>
    </row>
    <row r="222" spans="1:6" x14ac:dyDescent="0.35">
      <c r="A222" s="8">
        <v>44210</v>
      </c>
      <c r="B222">
        <v>1869.4399410000001</v>
      </c>
      <c r="C222">
        <v>38.380001</v>
      </c>
      <c r="D222">
        <v>59.23</v>
      </c>
      <c r="E222">
        <v>58.919998</v>
      </c>
      <c r="F222">
        <v>408.5</v>
      </c>
    </row>
    <row r="223" spans="1:6" x14ac:dyDescent="0.35">
      <c r="A223" s="8">
        <v>44211</v>
      </c>
      <c r="B223">
        <v>1862.0200199999999</v>
      </c>
      <c r="C223">
        <v>38.349997999999999</v>
      </c>
      <c r="D223">
        <v>58.990001999999997</v>
      </c>
      <c r="E223">
        <v>58.82</v>
      </c>
      <c r="F223">
        <v>406.89999399999999</v>
      </c>
    </row>
    <row r="224" spans="1:6" x14ac:dyDescent="0.35">
      <c r="A224" s="8">
        <v>44212</v>
      </c>
      <c r="B224">
        <v>1877.9399410000001</v>
      </c>
      <c r="C224">
        <v>38.619999</v>
      </c>
      <c r="D224">
        <v>59.150002000000001</v>
      </c>
      <c r="E224">
        <v>58.77</v>
      </c>
      <c r="F224">
        <v>407.70001200000002</v>
      </c>
    </row>
    <row r="225" spans="1:6" x14ac:dyDescent="0.35">
      <c r="A225" s="8">
        <v>44213</v>
      </c>
      <c r="B225">
        <v>1864.719971</v>
      </c>
      <c r="C225">
        <v>38.770000000000003</v>
      </c>
      <c r="D225">
        <v>60.669998</v>
      </c>
      <c r="E225">
        <v>58.540000999999997</v>
      </c>
      <c r="F225">
        <v>408.79998799999998</v>
      </c>
    </row>
    <row r="226" spans="1:6" x14ac:dyDescent="0.35">
      <c r="A226" s="8">
        <v>44217</v>
      </c>
      <c r="B226">
        <v>1892</v>
      </c>
      <c r="C226">
        <v>37.93</v>
      </c>
      <c r="D226">
        <v>59.950001</v>
      </c>
      <c r="E226">
        <v>57.459999000000003</v>
      </c>
      <c r="F226">
        <v>409.39999399999999</v>
      </c>
    </row>
    <row r="227" spans="1:6" x14ac:dyDescent="0.35">
      <c r="A227" s="8">
        <v>44218</v>
      </c>
      <c r="B227">
        <v>1887.459961</v>
      </c>
      <c r="C227">
        <v>38.07</v>
      </c>
      <c r="D227">
        <v>60.5</v>
      </c>
      <c r="E227">
        <v>57.439999</v>
      </c>
      <c r="F227">
        <v>410.29998799999998</v>
      </c>
    </row>
    <row r="228" spans="1:6" x14ac:dyDescent="0.35">
      <c r="A228" s="8">
        <v>44219</v>
      </c>
      <c r="B228">
        <v>1884.579956</v>
      </c>
      <c r="C228">
        <v>37.720001000000003</v>
      </c>
      <c r="D228">
        <v>58.91</v>
      </c>
      <c r="E228">
        <v>57.400002000000001</v>
      </c>
      <c r="F228">
        <v>406.5</v>
      </c>
    </row>
    <row r="229" spans="1:6" x14ac:dyDescent="0.35">
      <c r="A229" s="8">
        <v>44220</v>
      </c>
      <c r="B229">
        <v>1861.6400149999999</v>
      </c>
      <c r="C229">
        <v>37.520000000000003</v>
      </c>
      <c r="D229">
        <v>57.759998000000003</v>
      </c>
      <c r="E229">
        <v>57.169998</v>
      </c>
      <c r="F229">
        <v>411.60000600000001</v>
      </c>
    </row>
    <row r="230" spans="1:6" x14ac:dyDescent="0.35">
      <c r="A230" s="8">
        <v>44223</v>
      </c>
      <c r="B230">
        <v>1828.339966</v>
      </c>
      <c r="C230">
        <v>36.509998000000003</v>
      </c>
      <c r="D230">
        <v>55.099997999999999</v>
      </c>
      <c r="E230">
        <v>56.09</v>
      </c>
      <c r="F230">
        <v>402.70001200000002</v>
      </c>
    </row>
    <row r="231" spans="1:6" x14ac:dyDescent="0.35">
      <c r="A231" s="8">
        <v>44224</v>
      </c>
      <c r="B231">
        <v>1853.25</v>
      </c>
      <c r="C231">
        <v>36.729999999999997</v>
      </c>
      <c r="D231">
        <v>55.509998000000003</v>
      </c>
      <c r="E231">
        <v>55.919998</v>
      </c>
      <c r="F231">
        <v>406.79998799999998</v>
      </c>
    </row>
    <row r="232" spans="1:6" x14ac:dyDescent="0.35">
      <c r="A232" s="8">
        <v>44225</v>
      </c>
      <c r="B232">
        <v>1858</v>
      </c>
      <c r="C232">
        <v>36.700001</v>
      </c>
      <c r="D232">
        <v>55.25</v>
      </c>
      <c r="E232">
        <v>55.73</v>
      </c>
      <c r="F232">
        <v>407.39999399999999</v>
      </c>
    </row>
    <row r="233" spans="1:6" x14ac:dyDescent="0.35">
      <c r="A233" s="8">
        <v>44226</v>
      </c>
      <c r="B233">
        <v>1870.6800539999999</v>
      </c>
      <c r="C233">
        <v>37.040000999999997</v>
      </c>
      <c r="D233">
        <v>55.220001000000003</v>
      </c>
      <c r="E233">
        <v>53.84</v>
      </c>
      <c r="F233">
        <v>405.5</v>
      </c>
    </row>
    <row r="234" spans="1:6" x14ac:dyDescent="0.35">
      <c r="A234" s="8">
        <v>44227</v>
      </c>
      <c r="B234">
        <v>2008.719971</v>
      </c>
      <c r="C234">
        <v>36.290000999999997</v>
      </c>
      <c r="D234">
        <v>53.43</v>
      </c>
      <c r="E234">
        <v>52.150002000000001</v>
      </c>
      <c r="F234">
        <v>398.39999399999999</v>
      </c>
    </row>
    <row r="235" spans="1:6" x14ac:dyDescent="0.35">
      <c r="A235" s="8">
        <v>44230</v>
      </c>
      <c r="B235">
        <v>2004.1999510000001</v>
      </c>
      <c r="C235">
        <v>36.060001</v>
      </c>
      <c r="D235">
        <v>53.139999000000003</v>
      </c>
      <c r="E235">
        <v>51.240001999999997</v>
      </c>
      <c r="F235">
        <v>401.39999399999999</v>
      </c>
    </row>
    <row r="236" spans="1:6" x14ac:dyDescent="0.35">
      <c r="A236" s="8">
        <v>44231</v>
      </c>
      <c r="B236">
        <v>2049.669922</v>
      </c>
      <c r="C236">
        <v>36.540000999999997</v>
      </c>
      <c r="D236">
        <v>54.970001000000003</v>
      </c>
      <c r="E236">
        <v>51.650002000000001</v>
      </c>
      <c r="F236">
        <v>401.79998799999998</v>
      </c>
    </row>
    <row r="237" spans="1:6" x14ac:dyDescent="0.35">
      <c r="A237" s="8">
        <v>44232</v>
      </c>
      <c r="B237">
        <v>2039.869995</v>
      </c>
      <c r="C237">
        <v>36.979999999999997</v>
      </c>
      <c r="D237">
        <v>55.68</v>
      </c>
      <c r="E237">
        <v>52.950001</v>
      </c>
      <c r="F237">
        <v>408.39999399999999</v>
      </c>
    </row>
    <row r="238" spans="1:6" x14ac:dyDescent="0.35">
      <c r="A238" s="8">
        <v>44233</v>
      </c>
      <c r="B238">
        <v>2050.2299800000001</v>
      </c>
      <c r="C238">
        <v>37.099997999999999</v>
      </c>
      <c r="D238">
        <v>55.380001</v>
      </c>
      <c r="E238">
        <v>52.139999000000003</v>
      </c>
      <c r="F238">
        <v>409</v>
      </c>
    </row>
    <row r="239" spans="1:6" x14ac:dyDescent="0.35">
      <c r="A239" s="8">
        <v>44234</v>
      </c>
      <c r="B239">
        <v>2079.280029</v>
      </c>
      <c r="C239">
        <v>37.299999</v>
      </c>
      <c r="D239">
        <v>53.73</v>
      </c>
      <c r="E239">
        <v>51.790000999999997</v>
      </c>
      <c r="F239">
        <v>407.79998799999998</v>
      </c>
    </row>
    <row r="240" spans="1:6" x14ac:dyDescent="0.35">
      <c r="A240" s="8">
        <v>44237</v>
      </c>
      <c r="B240">
        <v>2133.9099120000001</v>
      </c>
      <c r="C240">
        <v>37.439999</v>
      </c>
      <c r="D240">
        <v>53.43</v>
      </c>
      <c r="E240">
        <v>51.389999000000003</v>
      </c>
      <c r="F240">
        <v>406.70001200000002</v>
      </c>
    </row>
    <row r="241" spans="1:6" x14ac:dyDescent="0.35">
      <c r="A241" s="8">
        <v>44238</v>
      </c>
      <c r="B241">
        <v>2150.8000489999999</v>
      </c>
      <c r="C241">
        <v>38.25</v>
      </c>
      <c r="D241">
        <v>53.849997999999999</v>
      </c>
      <c r="E241">
        <v>51.990001999999997</v>
      </c>
      <c r="F241">
        <v>410.60000600000001</v>
      </c>
    </row>
    <row r="242" spans="1:6" x14ac:dyDescent="0.35">
      <c r="A242" s="8">
        <v>44239</v>
      </c>
      <c r="B242">
        <v>2160</v>
      </c>
      <c r="C242">
        <v>38.599997999999999</v>
      </c>
      <c r="D242">
        <v>55.279998999999997</v>
      </c>
      <c r="E242">
        <v>52.650002000000001</v>
      </c>
      <c r="F242">
        <v>412.39999399999999</v>
      </c>
    </row>
    <row r="243" spans="1:6" x14ac:dyDescent="0.35">
      <c r="A243" s="8">
        <v>44240</v>
      </c>
      <c r="B243">
        <v>2149.8701169999999</v>
      </c>
      <c r="C243">
        <v>38.209999000000003</v>
      </c>
      <c r="D243">
        <v>54.869999</v>
      </c>
      <c r="E243">
        <v>50.990001999999997</v>
      </c>
      <c r="F243">
        <v>410.20001200000002</v>
      </c>
    </row>
    <row r="244" spans="1:6" x14ac:dyDescent="0.35">
      <c r="A244" s="8">
        <v>44241</v>
      </c>
      <c r="B244">
        <v>2134.8701169999999</v>
      </c>
      <c r="C244">
        <v>37.939999</v>
      </c>
      <c r="D244">
        <v>54.5</v>
      </c>
      <c r="E244">
        <v>50.490001999999997</v>
      </c>
      <c r="F244">
        <v>410.89999399999999</v>
      </c>
    </row>
    <row r="245" spans="1:6" x14ac:dyDescent="0.35">
      <c r="A245" s="8">
        <v>44245</v>
      </c>
      <c r="B245">
        <v>2155.669922</v>
      </c>
      <c r="C245">
        <v>35.82</v>
      </c>
      <c r="D245">
        <v>54.419998</v>
      </c>
      <c r="E245">
        <v>50.209999000000003</v>
      </c>
      <c r="F245">
        <v>412.79998799999998</v>
      </c>
    </row>
    <row r="246" spans="1:6" x14ac:dyDescent="0.35">
      <c r="A246" s="8">
        <v>44246</v>
      </c>
      <c r="B246">
        <v>2170.219971</v>
      </c>
      <c r="C246">
        <v>36.229999999999997</v>
      </c>
      <c r="D246">
        <v>54.34</v>
      </c>
      <c r="E246">
        <v>50.220001000000003</v>
      </c>
      <c r="F246">
        <v>409.20001200000002</v>
      </c>
    </row>
    <row r="247" spans="1:6" x14ac:dyDescent="0.35">
      <c r="A247" s="8">
        <v>44247</v>
      </c>
      <c r="B247">
        <v>2153.1000979999999</v>
      </c>
      <c r="C247">
        <v>36.169998</v>
      </c>
      <c r="D247">
        <v>54.189999</v>
      </c>
      <c r="E247">
        <v>49.619999</v>
      </c>
      <c r="F247">
        <v>409.70001200000002</v>
      </c>
    </row>
    <row r="248" spans="1:6" x14ac:dyDescent="0.35">
      <c r="A248" s="8">
        <v>44248</v>
      </c>
      <c r="B248">
        <v>2095.969971</v>
      </c>
      <c r="C248">
        <v>36.459999000000003</v>
      </c>
      <c r="D248">
        <v>54.619999</v>
      </c>
      <c r="E248">
        <v>49.169998</v>
      </c>
      <c r="F248">
        <v>406.20001200000002</v>
      </c>
    </row>
    <row r="249" spans="1:6" x14ac:dyDescent="0.35">
      <c r="A249" s="8">
        <v>44251</v>
      </c>
      <c r="B249">
        <v>2009.290039</v>
      </c>
      <c r="C249">
        <v>35.5</v>
      </c>
      <c r="D249">
        <v>51.23</v>
      </c>
      <c r="E249">
        <v>47.279998999999997</v>
      </c>
      <c r="F249">
        <v>404.10000600000001</v>
      </c>
    </row>
    <row r="250" spans="1:6" x14ac:dyDescent="0.35">
      <c r="A250" s="8">
        <v>44252</v>
      </c>
      <c r="B250">
        <v>1972.73999</v>
      </c>
      <c r="C250">
        <v>34.82</v>
      </c>
      <c r="D250">
        <v>50.43</v>
      </c>
      <c r="E250">
        <v>45.900002000000001</v>
      </c>
      <c r="F250">
        <v>389.5</v>
      </c>
    </row>
    <row r="251" spans="1:6" x14ac:dyDescent="0.35">
      <c r="A251" s="8">
        <v>44253</v>
      </c>
      <c r="B251">
        <v>1979.589966</v>
      </c>
      <c r="C251">
        <v>35.669998</v>
      </c>
      <c r="D251">
        <v>49.709999000000003</v>
      </c>
      <c r="E251">
        <v>45.75</v>
      </c>
      <c r="F251">
        <v>381.79998799999998</v>
      </c>
    </row>
    <row r="252" spans="1:6" x14ac:dyDescent="0.35">
      <c r="A252" s="8">
        <v>44254</v>
      </c>
      <c r="B252">
        <v>1884.3000489999999</v>
      </c>
      <c r="C252">
        <v>33.82</v>
      </c>
      <c r="D252">
        <v>47.259998000000003</v>
      </c>
      <c r="E252">
        <v>43.939999</v>
      </c>
      <c r="F252">
        <v>379.89999399999999</v>
      </c>
    </row>
    <row r="253" spans="1:6" x14ac:dyDescent="0.35">
      <c r="A253" s="8">
        <v>44255</v>
      </c>
      <c r="B253">
        <v>1883.75</v>
      </c>
      <c r="C253">
        <v>33.57</v>
      </c>
      <c r="D253">
        <v>46.93</v>
      </c>
      <c r="E253">
        <v>44.029998999999997</v>
      </c>
      <c r="F253">
        <v>364.70001200000002</v>
      </c>
    </row>
    <row r="254" spans="1:6" x14ac:dyDescent="0.35">
      <c r="A254" s="8">
        <v>44257</v>
      </c>
      <c r="B254">
        <v>1953.9499510000001</v>
      </c>
      <c r="C254">
        <v>33.770000000000003</v>
      </c>
      <c r="D254">
        <v>48.77</v>
      </c>
      <c r="E254">
        <v>44.830002</v>
      </c>
      <c r="F254">
        <v>350.79998799999998</v>
      </c>
    </row>
    <row r="255" spans="1:6" x14ac:dyDescent="0.35">
      <c r="A255" s="8">
        <v>44258</v>
      </c>
      <c r="B255">
        <v>1908.98999</v>
      </c>
      <c r="C255">
        <v>32.57</v>
      </c>
      <c r="D255">
        <v>48.759998000000003</v>
      </c>
      <c r="E255">
        <v>43.959999000000003</v>
      </c>
      <c r="F255">
        <v>343.20001200000002</v>
      </c>
    </row>
    <row r="256" spans="1:6" x14ac:dyDescent="0.35">
      <c r="A256" s="8">
        <v>44259</v>
      </c>
      <c r="B256">
        <v>1975.829956</v>
      </c>
      <c r="C256">
        <v>33.229999999999997</v>
      </c>
      <c r="D256">
        <v>51.48</v>
      </c>
      <c r="E256">
        <v>45.299999</v>
      </c>
      <c r="F256">
        <v>346</v>
      </c>
    </row>
    <row r="257" spans="1:6" x14ac:dyDescent="0.35">
      <c r="A257" s="8">
        <v>44260</v>
      </c>
      <c r="B257">
        <v>1924.030029</v>
      </c>
      <c r="C257">
        <v>32.729999999999997</v>
      </c>
      <c r="D257">
        <v>49.27</v>
      </c>
      <c r="E257">
        <v>43.73</v>
      </c>
      <c r="F257">
        <v>350.10000600000001</v>
      </c>
    </row>
    <row r="258" spans="1:6" x14ac:dyDescent="0.35">
      <c r="A258" s="8">
        <v>44261</v>
      </c>
      <c r="B258">
        <v>1901.089966</v>
      </c>
      <c r="C258">
        <v>32.259998000000003</v>
      </c>
      <c r="D258">
        <v>46.16</v>
      </c>
      <c r="E258">
        <v>41.869999</v>
      </c>
      <c r="F258">
        <v>351.60000600000001</v>
      </c>
    </row>
    <row r="259" spans="1:6" x14ac:dyDescent="0.35">
      <c r="A259" s="8">
        <v>44264</v>
      </c>
      <c r="B259">
        <v>1800.6099850000001</v>
      </c>
      <c r="C259">
        <v>30.450001</v>
      </c>
      <c r="D259">
        <v>41.810001</v>
      </c>
      <c r="E259">
        <v>34.68</v>
      </c>
      <c r="F259">
        <v>343</v>
      </c>
    </row>
    <row r="260" spans="1:6" x14ac:dyDescent="0.35">
      <c r="A260" s="8">
        <v>44265</v>
      </c>
      <c r="B260">
        <v>1891.8199460000001</v>
      </c>
      <c r="C260">
        <v>31.67</v>
      </c>
      <c r="D260">
        <v>45.799999</v>
      </c>
      <c r="E260">
        <v>36.959999000000003</v>
      </c>
      <c r="F260">
        <v>308</v>
      </c>
    </row>
    <row r="261" spans="1:6" x14ac:dyDescent="0.35">
      <c r="A261" s="8">
        <v>44266</v>
      </c>
      <c r="B261">
        <v>1820.8599850000001</v>
      </c>
      <c r="C261">
        <v>30.91</v>
      </c>
      <c r="D261">
        <v>42.709999000000003</v>
      </c>
      <c r="E261">
        <v>34.490001999999997</v>
      </c>
      <c r="F261">
        <v>316.10000600000001</v>
      </c>
    </row>
    <row r="262" spans="1:6" x14ac:dyDescent="0.35">
      <c r="A262" s="8">
        <v>44267</v>
      </c>
      <c r="B262">
        <v>1676.6099850000001</v>
      </c>
      <c r="C262">
        <v>28.549999</v>
      </c>
      <c r="D262">
        <v>38.860000999999997</v>
      </c>
      <c r="E262">
        <v>29.33</v>
      </c>
      <c r="F262">
        <v>311</v>
      </c>
    </row>
    <row r="263" spans="1:6" x14ac:dyDescent="0.35">
      <c r="A263" s="8">
        <v>44268</v>
      </c>
      <c r="B263">
        <v>1785</v>
      </c>
      <c r="C263">
        <v>29.9</v>
      </c>
      <c r="D263">
        <v>43.900002000000001</v>
      </c>
      <c r="E263">
        <v>30.08</v>
      </c>
      <c r="F263">
        <v>272</v>
      </c>
    </row>
    <row r="264" spans="1:6" x14ac:dyDescent="0.35">
      <c r="A264" s="8">
        <v>44271</v>
      </c>
      <c r="B264">
        <v>1689.150024</v>
      </c>
      <c r="C264">
        <v>28.139999</v>
      </c>
      <c r="D264">
        <v>40.259998000000003</v>
      </c>
      <c r="E264">
        <v>25.32</v>
      </c>
      <c r="F264">
        <v>271.60000600000001</v>
      </c>
    </row>
    <row r="265" spans="1:6" x14ac:dyDescent="0.35">
      <c r="A265" s="8">
        <v>44272</v>
      </c>
      <c r="B265">
        <v>1807.839966</v>
      </c>
      <c r="C265">
        <v>29.700001</v>
      </c>
      <c r="D265">
        <v>41.790000999999997</v>
      </c>
      <c r="E265">
        <v>25.66</v>
      </c>
      <c r="F265">
        <v>251.10000600000001</v>
      </c>
    </row>
    <row r="266" spans="1:6" x14ac:dyDescent="0.35">
      <c r="A266" s="8">
        <v>44273</v>
      </c>
      <c r="B266">
        <v>1830</v>
      </c>
      <c r="C266">
        <v>28.6</v>
      </c>
      <c r="D266">
        <v>38.029998999999997</v>
      </c>
      <c r="E266">
        <v>21.620000999999998</v>
      </c>
      <c r="F266">
        <v>247.39999399999999</v>
      </c>
    </row>
    <row r="267" spans="1:6" x14ac:dyDescent="0.35">
      <c r="A267" s="8">
        <v>44274</v>
      </c>
      <c r="B267">
        <v>1880.9300539999999</v>
      </c>
      <c r="C267">
        <v>29.08</v>
      </c>
      <c r="D267">
        <v>37.959999000000003</v>
      </c>
      <c r="E267">
        <v>24.040001</v>
      </c>
      <c r="F267">
        <v>235.300003</v>
      </c>
    </row>
    <row r="268" spans="1:6" x14ac:dyDescent="0.35">
      <c r="A268" s="8">
        <v>44275</v>
      </c>
      <c r="B268">
        <v>1846.089966</v>
      </c>
      <c r="C268">
        <v>28.809999000000001</v>
      </c>
      <c r="D268">
        <v>36.57</v>
      </c>
      <c r="E268">
        <v>25.08</v>
      </c>
      <c r="F268">
        <v>218.800003</v>
      </c>
    </row>
    <row r="269" spans="1:6" x14ac:dyDescent="0.35">
      <c r="A269" s="8">
        <v>44278</v>
      </c>
      <c r="B269">
        <v>1902.829956</v>
      </c>
      <c r="C269">
        <v>28.129999000000002</v>
      </c>
      <c r="D269">
        <v>36.419998</v>
      </c>
      <c r="E269">
        <v>26.83</v>
      </c>
      <c r="F269">
        <v>231.60000600000001</v>
      </c>
    </row>
    <row r="270" spans="1:6" x14ac:dyDescent="0.35">
      <c r="A270" s="8">
        <v>44279</v>
      </c>
      <c r="B270">
        <v>1940.099976</v>
      </c>
      <c r="C270">
        <v>29.59</v>
      </c>
      <c r="D270">
        <v>42.169998</v>
      </c>
      <c r="E270">
        <v>32.110000999999997</v>
      </c>
      <c r="F270">
        <v>211</v>
      </c>
    </row>
    <row r="271" spans="1:6" x14ac:dyDescent="0.35">
      <c r="A271" s="8">
        <v>44280</v>
      </c>
      <c r="B271">
        <v>1885.839966</v>
      </c>
      <c r="C271">
        <v>29.700001</v>
      </c>
      <c r="D271">
        <v>44.18</v>
      </c>
      <c r="E271">
        <v>34.340000000000003</v>
      </c>
      <c r="F271">
        <v>242.60000600000001</v>
      </c>
    </row>
    <row r="272" spans="1:6" x14ac:dyDescent="0.35">
      <c r="A272" s="8">
        <v>44281</v>
      </c>
      <c r="B272">
        <v>1955.48999</v>
      </c>
      <c r="C272">
        <v>30.129999000000002</v>
      </c>
      <c r="D272">
        <v>45.400002000000001</v>
      </c>
      <c r="E272">
        <v>34.93</v>
      </c>
      <c r="F272">
        <v>258.70001200000002</v>
      </c>
    </row>
    <row r="273" spans="1:6" x14ac:dyDescent="0.35">
      <c r="A273" s="8">
        <v>44282</v>
      </c>
      <c r="B273">
        <v>1900.099976</v>
      </c>
      <c r="C273">
        <v>28.870000999999998</v>
      </c>
      <c r="D273">
        <v>43.57</v>
      </c>
      <c r="E273">
        <v>31.639999</v>
      </c>
      <c r="F273">
        <v>277</v>
      </c>
    </row>
    <row r="274" spans="1:6" x14ac:dyDescent="0.35">
      <c r="A274" s="8">
        <v>44285</v>
      </c>
      <c r="B274">
        <v>1963.9499510000001</v>
      </c>
      <c r="C274">
        <v>28.860001</v>
      </c>
      <c r="D274">
        <v>44.91</v>
      </c>
      <c r="E274">
        <v>33.439999</v>
      </c>
      <c r="F274">
        <v>268.5</v>
      </c>
    </row>
    <row r="275" spans="1:6" x14ac:dyDescent="0.35">
      <c r="A275" s="8">
        <v>44286</v>
      </c>
      <c r="B275">
        <v>1949.719971</v>
      </c>
      <c r="C275">
        <v>28.01</v>
      </c>
      <c r="D275">
        <v>45.560001</v>
      </c>
      <c r="E275">
        <v>34.889999000000003</v>
      </c>
      <c r="F275">
        <v>267.79998799999998</v>
      </c>
    </row>
    <row r="276" spans="1:6" x14ac:dyDescent="0.35">
      <c r="A276" s="8">
        <v>44287</v>
      </c>
      <c r="B276">
        <v>1907.6999510000001</v>
      </c>
      <c r="C276">
        <v>25.139999</v>
      </c>
      <c r="D276">
        <v>44.169998</v>
      </c>
      <c r="E276">
        <v>35.310001</v>
      </c>
      <c r="F276">
        <v>268.5</v>
      </c>
    </row>
    <row r="277" spans="1:6" x14ac:dyDescent="0.35">
      <c r="A277" s="8">
        <v>44288</v>
      </c>
      <c r="B277">
        <v>1918.829956</v>
      </c>
      <c r="C277">
        <v>24.530000999999999</v>
      </c>
      <c r="D277">
        <v>46.009998000000003</v>
      </c>
      <c r="E277">
        <v>38.959999000000003</v>
      </c>
      <c r="F277">
        <v>241.5</v>
      </c>
    </row>
    <row r="278" spans="1:6" x14ac:dyDescent="0.35">
      <c r="A278" s="8">
        <v>44289</v>
      </c>
      <c r="B278">
        <v>1906.589966</v>
      </c>
      <c r="C278">
        <v>24.33</v>
      </c>
      <c r="D278">
        <v>45.040000999999997</v>
      </c>
      <c r="E278">
        <v>36.240001999999997</v>
      </c>
      <c r="F278">
        <v>249.699997</v>
      </c>
    </row>
    <row r="279" spans="1:6" x14ac:dyDescent="0.35">
      <c r="A279" s="8">
        <v>44292</v>
      </c>
      <c r="B279">
        <v>1997.589966</v>
      </c>
      <c r="C279">
        <v>25.43</v>
      </c>
      <c r="D279">
        <v>46.34</v>
      </c>
      <c r="E279">
        <v>37.330002</v>
      </c>
      <c r="F279">
        <v>233.60000600000001</v>
      </c>
    </row>
    <row r="280" spans="1:6" x14ac:dyDescent="0.35">
      <c r="A280" s="8">
        <v>44293</v>
      </c>
      <c r="B280">
        <v>2011.599976</v>
      </c>
      <c r="C280">
        <v>25.6</v>
      </c>
      <c r="D280">
        <v>45.73</v>
      </c>
      <c r="E280">
        <v>37.259998000000003</v>
      </c>
      <c r="F280">
        <v>246</v>
      </c>
    </row>
    <row r="281" spans="1:6" x14ac:dyDescent="0.35">
      <c r="A281" s="8">
        <v>44294</v>
      </c>
      <c r="B281">
        <v>2043</v>
      </c>
      <c r="C281">
        <v>26.01</v>
      </c>
      <c r="D281">
        <v>46</v>
      </c>
      <c r="E281">
        <v>38.07</v>
      </c>
      <c r="F281">
        <v>266.70001200000002</v>
      </c>
    </row>
    <row r="282" spans="1:6" x14ac:dyDescent="0.35">
      <c r="A282" s="8">
        <v>44295</v>
      </c>
      <c r="B282">
        <v>2042.76001</v>
      </c>
      <c r="C282">
        <v>26.76</v>
      </c>
      <c r="D282">
        <v>47.66</v>
      </c>
      <c r="E282">
        <v>37.909999999999997</v>
      </c>
      <c r="F282">
        <v>253.60000600000001</v>
      </c>
    </row>
    <row r="283" spans="1:6" x14ac:dyDescent="0.35">
      <c r="A283" s="8">
        <v>44299</v>
      </c>
      <c r="B283">
        <v>2168.8701169999999</v>
      </c>
      <c r="C283">
        <v>26.440000999999999</v>
      </c>
      <c r="D283">
        <v>47.869999</v>
      </c>
      <c r="E283">
        <v>37.369999</v>
      </c>
      <c r="F283">
        <v>264.60000600000001</v>
      </c>
    </row>
    <row r="284" spans="1:6" x14ac:dyDescent="0.35">
      <c r="A284" s="8">
        <v>44300</v>
      </c>
      <c r="B284">
        <v>2283.320068</v>
      </c>
      <c r="C284">
        <v>26.85</v>
      </c>
      <c r="D284">
        <v>47.990001999999997</v>
      </c>
      <c r="E284">
        <v>37.009998000000003</v>
      </c>
      <c r="F284">
        <v>256.10000600000001</v>
      </c>
    </row>
    <row r="285" spans="1:6" x14ac:dyDescent="0.35">
      <c r="A285" s="8">
        <v>44301</v>
      </c>
      <c r="B285">
        <v>2307.679932</v>
      </c>
      <c r="C285">
        <v>25.450001</v>
      </c>
      <c r="D285">
        <v>46.02</v>
      </c>
      <c r="E285">
        <v>34.360000999999997</v>
      </c>
      <c r="F285">
        <v>243.10000600000001</v>
      </c>
    </row>
    <row r="286" spans="1:6" x14ac:dyDescent="0.35">
      <c r="A286" s="8">
        <v>44302</v>
      </c>
      <c r="B286">
        <v>2408.1899410000001</v>
      </c>
      <c r="C286">
        <v>25.26</v>
      </c>
      <c r="D286">
        <v>46.470001000000003</v>
      </c>
      <c r="E286">
        <v>32.599997999999999</v>
      </c>
      <c r="F286">
        <v>241.10000600000001</v>
      </c>
    </row>
    <row r="287" spans="1:6" x14ac:dyDescent="0.35">
      <c r="A287" s="8">
        <v>44303</v>
      </c>
      <c r="B287">
        <v>2375</v>
      </c>
      <c r="C287">
        <v>25.959999</v>
      </c>
      <c r="D287">
        <v>47.639999000000003</v>
      </c>
      <c r="E287">
        <v>35.479999999999997</v>
      </c>
      <c r="F287">
        <v>247.800003</v>
      </c>
    </row>
    <row r="288" spans="1:6" x14ac:dyDescent="0.35">
      <c r="A288" s="8">
        <v>44306</v>
      </c>
      <c r="B288">
        <v>2393.610107</v>
      </c>
      <c r="C288">
        <v>25.52</v>
      </c>
      <c r="D288">
        <v>46.400002000000001</v>
      </c>
      <c r="E288">
        <v>33.479999999999997</v>
      </c>
      <c r="F288">
        <v>243.39999399999999</v>
      </c>
    </row>
    <row r="289" spans="1:6" x14ac:dyDescent="0.35">
      <c r="A289" s="8">
        <v>44307</v>
      </c>
      <c r="B289">
        <v>2328.1201169999999</v>
      </c>
      <c r="C289">
        <v>24.68</v>
      </c>
      <c r="D289">
        <v>44.630001</v>
      </c>
      <c r="E289">
        <v>32.93</v>
      </c>
      <c r="F289">
        <v>236.5</v>
      </c>
    </row>
    <row r="290" spans="1:6" x14ac:dyDescent="0.35">
      <c r="A290" s="8">
        <v>44308</v>
      </c>
      <c r="B290">
        <v>2363.48999</v>
      </c>
      <c r="C290">
        <v>24.969999000000001</v>
      </c>
      <c r="D290">
        <v>46.290000999999997</v>
      </c>
      <c r="E290">
        <v>34.860000999999997</v>
      </c>
      <c r="F290">
        <v>237.5</v>
      </c>
    </row>
    <row r="291" spans="1:6" x14ac:dyDescent="0.35">
      <c r="A291" s="8">
        <v>44309</v>
      </c>
      <c r="B291">
        <v>2399.4499510000001</v>
      </c>
      <c r="C291">
        <v>25.01</v>
      </c>
      <c r="D291">
        <v>46.040000999999997</v>
      </c>
      <c r="E291">
        <v>35.159999999999997</v>
      </c>
      <c r="F291">
        <v>238</v>
      </c>
    </row>
    <row r="292" spans="1:6" x14ac:dyDescent="0.35">
      <c r="A292" s="8">
        <v>44310</v>
      </c>
      <c r="B292">
        <v>2410.219971</v>
      </c>
      <c r="C292">
        <v>24.98</v>
      </c>
      <c r="D292">
        <v>46.5</v>
      </c>
      <c r="E292">
        <v>35.029998999999997</v>
      </c>
      <c r="F292">
        <v>230.39999399999999</v>
      </c>
    </row>
    <row r="293" spans="1:6" x14ac:dyDescent="0.35">
      <c r="A293" s="8">
        <v>44313</v>
      </c>
      <c r="B293">
        <v>2376</v>
      </c>
      <c r="C293">
        <v>25.82</v>
      </c>
      <c r="D293">
        <v>46.889999000000003</v>
      </c>
      <c r="E293">
        <v>35.82</v>
      </c>
      <c r="F293">
        <v>238.800003</v>
      </c>
    </row>
    <row r="294" spans="1:6" x14ac:dyDescent="0.35">
      <c r="A294" s="8">
        <v>44314</v>
      </c>
      <c r="B294">
        <v>2314.080078</v>
      </c>
      <c r="C294">
        <v>25.879999000000002</v>
      </c>
      <c r="D294">
        <v>46.959999000000003</v>
      </c>
      <c r="E294">
        <v>36</v>
      </c>
      <c r="F294">
        <v>249.5</v>
      </c>
    </row>
    <row r="295" spans="1:6" x14ac:dyDescent="0.35">
      <c r="A295" s="8">
        <v>44315</v>
      </c>
      <c r="B295">
        <v>2372.709961</v>
      </c>
      <c r="C295">
        <v>26.58</v>
      </c>
      <c r="D295">
        <v>48.869999</v>
      </c>
      <c r="E295">
        <v>38.009998000000003</v>
      </c>
      <c r="F295">
        <v>259.70001200000002</v>
      </c>
    </row>
    <row r="296" spans="1:6" x14ac:dyDescent="0.35">
      <c r="A296" s="8">
        <v>44316</v>
      </c>
      <c r="B296">
        <v>2474</v>
      </c>
      <c r="C296">
        <v>25.73</v>
      </c>
      <c r="D296">
        <v>46.189999</v>
      </c>
      <c r="E296">
        <v>33.130001</v>
      </c>
      <c r="F296">
        <v>241.800003</v>
      </c>
    </row>
    <row r="297" spans="1:6" x14ac:dyDescent="0.35">
      <c r="A297" s="8">
        <v>44317</v>
      </c>
      <c r="B297">
        <v>2286.040039</v>
      </c>
      <c r="C297">
        <v>25.280000999999999</v>
      </c>
      <c r="D297">
        <v>45.040000999999997</v>
      </c>
      <c r="E297">
        <v>31.290001</v>
      </c>
      <c r="F297">
        <v>237.5</v>
      </c>
    </row>
    <row r="298" spans="1:6" x14ac:dyDescent="0.35">
      <c r="A298" s="8">
        <v>44320</v>
      </c>
      <c r="B298">
        <v>2315.98999</v>
      </c>
      <c r="C298">
        <v>24.76</v>
      </c>
      <c r="D298">
        <v>44.98</v>
      </c>
      <c r="E298">
        <v>32.75</v>
      </c>
      <c r="F298">
        <v>228.89999399999999</v>
      </c>
    </row>
    <row r="299" spans="1:6" x14ac:dyDescent="0.35">
      <c r="A299" s="8">
        <v>44321</v>
      </c>
      <c r="B299">
        <v>2317.8000489999999</v>
      </c>
      <c r="C299">
        <v>24.889999</v>
      </c>
      <c r="D299">
        <v>44.25</v>
      </c>
      <c r="E299">
        <v>33.07</v>
      </c>
      <c r="F299">
        <v>234.800003</v>
      </c>
    </row>
    <row r="300" spans="1:6" x14ac:dyDescent="0.35">
      <c r="A300" s="8">
        <v>44322</v>
      </c>
      <c r="B300">
        <v>2351.26001</v>
      </c>
      <c r="C300">
        <v>24.82</v>
      </c>
      <c r="D300">
        <v>44.509998000000003</v>
      </c>
      <c r="E300">
        <v>32.060001</v>
      </c>
      <c r="F300">
        <v>239.199997</v>
      </c>
    </row>
    <row r="301" spans="1:6" x14ac:dyDescent="0.35">
      <c r="A301" s="8">
        <v>44323</v>
      </c>
      <c r="B301">
        <v>2367.610107</v>
      </c>
      <c r="C301">
        <v>25.209999</v>
      </c>
      <c r="D301">
        <v>45.799999</v>
      </c>
      <c r="E301">
        <v>32.529998999999997</v>
      </c>
      <c r="F301">
        <v>247.300003</v>
      </c>
    </row>
    <row r="302" spans="1:6" x14ac:dyDescent="0.35">
      <c r="A302" s="8">
        <v>44324</v>
      </c>
      <c r="B302">
        <v>2379.610107</v>
      </c>
      <c r="C302">
        <v>25.629999000000002</v>
      </c>
      <c r="D302">
        <v>46.950001</v>
      </c>
      <c r="E302">
        <v>33.909999999999997</v>
      </c>
      <c r="F302">
        <v>242.199997</v>
      </c>
    </row>
    <row r="303" spans="1:6" x14ac:dyDescent="0.35">
      <c r="A303" s="8">
        <v>44327</v>
      </c>
      <c r="B303">
        <v>2409</v>
      </c>
      <c r="C303">
        <v>25.49</v>
      </c>
      <c r="D303">
        <v>45.470001000000003</v>
      </c>
      <c r="E303">
        <v>32.759998000000003</v>
      </c>
      <c r="F303">
        <v>245</v>
      </c>
    </row>
    <row r="304" spans="1:6" x14ac:dyDescent="0.35">
      <c r="A304" s="8">
        <v>44328</v>
      </c>
      <c r="B304">
        <v>2356.9499510000001</v>
      </c>
      <c r="C304">
        <v>25.030000999999999</v>
      </c>
      <c r="D304">
        <v>44.990001999999997</v>
      </c>
      <c r="E304">
        <v>32.209999000000003</v>
      </c>
      <c r="F304">
        <v>235.39999399999999</v>
      </c>
    </row>
    <row r="305" spans="1:6" x14ac:dyDescent="0.35">
      <c r="A305" s="8">
        <v>44329</v>
      </c>
      <c r="B305">
        <v>2367.919922</v>
      </c>
      <c r="C305">
        <v>24.700001</v>
      </c>
      <c r="D305">
        <v>45.720001000000003</v>
      </c>
      <c r="E305">
        <v>31.040001</v>
      </c>
      <c r="F305">
        <v>231.60000600000001</v>
      </c>
    </row>
    <row r="306" spans="1:6" x14ac:dyDescent="0.35">
      <c r="A306" s="8">
        <v>44330</v>
      </c>
      <c r="B306">
        <v>2388.8500979999999</v>
      </c>
      <c r="C306">
        <v>24.540001</v>
      </c>
      <c r="D306">
        <v>46.560001</v>
      </c>
      <c r="E306">
        <v>30.17</v>
      </c>
      <c r="F306">
        <v>229.199997</v>
      </c>
    </row>
    <row r="307" spans="1:6" x14ac:dyDescent="0.35">
      <c r="A307" s="8">
        <v>44331</v>
      </c>
      <c r="B307">
        <v>2409.780029</v>
      </c>
      <c r="C307">
        <v>24.33</v>
      </c>
      <c r="D307">
        <v>47.59</v>
      </c>
      <c r="E307">
        <v>30.129999000000002</v>
      </c>
      <c r="F307">
        <v>241.10000600000001</v>
      </c>
    </row>
    <row r="308" spans="1:6" x14ac:dyDescent="0.35">
      <c r="A308" s="8">
        <v>44334</v>
      </c>
      <c r="B308">
        <v>2426.26001</v>
      </c>
      <c r="C308">
        <v>25.26</v>
      </c>
      <c r="D308">
        <v>51.419998</v>
      </c>
      <c r="E308">
        <v>32.82</v>
      </c>
      <c r="F308">
        <v>239.5</v>
      </c>
    </row>
    <row r="309" spans="1:6" x14ac:dyDescent="0.35">
      <c r="A309" s="8">
        <v>44335</v>
      </c>
      <c r="B309">
        <v>2449.330078</v>
      </c>
      <c r="C309">
        <v>24.9</v>
      </c>
      <c r="D309">
        <v>51.82</v>
      </c>
      <c r="E309">
        <v>32.159999999999997</v>
      </c>
      <c r="F309">
        <v>239</v>
      </c>
    </row>
    <row r="310" spans="1:6" x14ac:dyDescent="0.35">
      <c r="A310" s="8">
        <v>44336</v>
      </c>
      <c r="B310">
        <v>2497.9399410000001</v>
      </c>
      <c r="C310">
        <v>25.129999000000002</v>
      </c>
      <c r="D310">
        <v>52.389999000000003</v>
      </c>
      <c r="E310">
        <v>33.450001</v>
      </c>
      <c r="F310">
        <v>237</v>
      </c>
    </row>
    <row r="311" spans="1:6" x14ac:dyDescent="0.35">
      <c r="A311" s="8">
        <v>44337</v>
      </c>
      <c r="B311">
        <v>2446.73999</v>
      </c>
      <c r="C311">
        <v>24.4</v>
      </c>
      <c r="D311">
        <v>51.82</v>
      </c>
      <c r="E311">
        <v>32.439999</v>
      </c>
      <c r="F311">
        <v>236.10000600000001</v>
      </c>
    </row>
    <row r="312" spans="1:6" x14ac:dyDescent="0.35">
      <c r="A312" s="8">
        <v>44338</v>
      </c>
      <c r="B312">
        <v>2436.8798830000001</v>
      </c>
      <c r="C312">
        <v>22.969999000000001</v>
      </c>
      <c r="D312">
        <v>52.119999</v>
      </c>
      <c r="E312">
        <v>32.240001999999997</v>
      </c>
      <c r="F312">
        <v>248.39999399999999</v>
      </c>
    </row>
    <row r="313" spans="1:6" x14ac:dyDescent="0.35">
      <c r="A313" s="8">
        <v>44342</v>
      </c>
      <c r="B313">
        <v>2421.860107</v>
      </c>
      <c r="C313">
        <v>23.809999000000001</v>
      </c>
      <c r="D313">
        <v>51.459999000000003</v>
      </c>
      <c r="E313">
        <v>32.689999</v>
      </c>
      <c r="F313">
        <v>262.60000600000001</v>
      </c>
    </row>
    <row r="314" spans="1:6" x14ac:dyDescent="0.35">
      <c r="A314" s="8">
        <v>44343</v>
      </c>
      <c r="B314">
        <v>2410.389893</v>
      </c>
      <c r="C314">
        <v>24.17</v>
      </c>
      <c r="D314">
        <v>52.34</v>
      </c>
      <c r="E314">
        <v>32.979999999999997</v>
      </c>
      <c r="F314">
        <v>261.89999399999999</v>
      </c>
    </row>
    <row r="315" spans="1:6" x14ac:dyDescent="0.35">
      <c r="A315" s="8">
        <v>44344</v>
      </c>
      <c r="B315">
        <v>2401.1000979999999</v>
      </c>
      <c r="C315">
        <v>23.59</v>
      </c>
      <c r="D315">
        <v>52.509998000000003</v>
      </c>
      <c r="E315">
        <v>32.610000999999997</v>
      </c>
      <c r="F315">
        <v>247.699997</v>
      </c>
    </row>
    <row r="316" spans="1:6" x14ac:dyDescent="0.35">
      <c r="A316" s="8">
        <v>44345</v>
      </c>
      <c r="B316">
        <v>2442.3701169999999</v>
      </c>
      <c r="C316">
        <v>23.049999</v>
      </c>
      <c r="D316">
        <v>53.919998</v>
      </c>
      <c r="E316">
        <v>31.950001</v>
      </c>
      <c r="F316">
        <v>253.10000600000001</v>
      </c>
    </row>
    <row r="317" spans="1:6" x14ac:dyDescent="0.35">
      <c r="A317" s="8">
        <v>44348</v>
      </c>
      <c r="B317">
        <v>2471.040039</v>
      </c>
      <c r="C317">
        <v>23.82</v>
      </c>
      <c r="D317">
        <v>54.869999</v>
      </c>
      <c r="E317">
        <v>33.18</v>
      </c>
      <c r="F317">
        <v>260.89999399999999</v>
      </c>
    </row>
    <row r="318" spans="1:6" x14ac:dyDescent="0.35">
      <c r="A318" s="8">
        <v>44349</v>
      </c>
      <c r="B318">
        <v>2472.4099120000001</v>
      </c>
      <c r="C318">
        <v>24.15</v>
      </c>
      <c r="D318">
        <v>55.75</v>
      </c>
      <c r="E318">
        <v>34</v>
      </c>
      <c r="F318">
        <v>278.89999399999999</v>
      </c>
    </row>
    <row r="319" spans="1:6" x14ac:dyDescent="0.35">
      <c r="A319" s="8">
        <v>44350</v>
      </c>
      <c r="B319">
        <v>2478.3999020000001</v>
      </c>
      <c r="C319">
        <v>25.26</v>
      </c>
      <c r="D319">
        <v>56.529998999999997</v>
      </c>
      <c r="E319">
        <v>35.650002000000001</v>
      </c>
      <c r="F319">
        <v>281.20001200000002</v>
      </c>
    </row>
    <row r="320" spans="1:6" x14ac:dyDescent="0.35">
      <c r="A320" s="8">
        <v>44351</v>
      </c>
      <c r="B320">
        <v>2460.6000979999999</v>
      </c>
      <c r="C320">
        <v>25.15</v>
      </c>
      <c r="D320">
        <v>56.650002000000001</v>
      </c>
      <c r="E320">
        <v>35.57</v>
      </c>
      <c r="F320">
        <v>296.29998799999998</v>
      </c>
    </row>
    <row r="321" spans="1:6" x14ac:dyDescent="0.35">
      <c r="A321" s="8">
        <v>44352</v>
      </c>
      <c r="B321">
        <v>2483</v>
      </c>
      <c r="C321">
        <v>26.549999</v>
      </c>
      <c r="D321">
        <v>56.549999</v>
      </c>
      <c r="E321">
        <v>37.770000000000003</v>
      </c>
      <c r="F321">
        <v>296.79998799999998</v>
      </c>
    </row>
    <row r="322" spans="1:6" x14ac:dyDescent="0.35">
      <c r="A322" s="8">
        <v>44355</v>
      </c>
      <c r="B322">
        <v>2524.0600589999999</v>
      </c>
      <c r="C322">
        <v>26.67</v>
      </c>
      <c r="D322">
        <v>58.279998999999997</v>
      </c>
      <c r="E322">
        <v>39.290000999999997</v>
      </c>
      <c r="F322">
        <v>290.10000600000001</v>
      </c>
    </row>
    <row r="323" spans="1:6" x14ac:dyDescent="0.35">
      <c r="A323" s="8">
        <v>44356</v>
      </c>
      <c r="B323">
        <v>2600.860107</v>
      </c>
      <c r="C323">
        <v>25.75</v>
      </c>
      <c r="D323">
        <v>57.75</v>
      </c>
      <c r="E323">
        <v>37.259998000000003</v>
      </c>
      <c r="F323">
        <v>287.89999399999999</v>
      </c>
    </row>
    <row r="324" spans="1:6" x14ac:dyDescent="0.35">
      <c r="A324" s="8">
        <v>44357</v>
      </c>
      <c r="B324">
        <v>2647.4499510000001</v>
      </c>
      <c r="C324">
        <v>25.290001</v>
      </c>
      <c r="D324">
        <v>58.57</v>
      </c>
      <c r="E324">
        <v>36.25</v>
      </c>
      <c r="F324">
        <v>275.5</v>
      </c>
    </row>
    <row r="325" spans="1:6" x14ac:dyDescent="0.35">
      <c r="A325" s="8">
        <v>44358</v>
      </c>
      <c r="B325">
        <v>2557.959961</v>
      </c>
      <c r="C325">
        <v>23.52</v>
      </c>
      <c r="D325">
        <v>55.549999</v>
      </c>
      <c r="E325">
        <v>33.189999</v>
      </c>
      <c r="F325">
        <v>276.5</v>
      </c>
    </row>
    <row r="326" spans="1:6" x14ac:dyDescent="0.35">
      <c r="A326" s="8">
        <v>44359</v>
      </c>
      <c r="B326">
        <v>2545.0200199999999</v>
      </c>
      <c r="C326">
        <v>23.98</v>
      </c>
      <c r="D326">
        <v>57.5</v>
      </c>
      <c r="E326">
        <v>34.450001</v>
      </c>
      <c r="F326">
        <v>278.29998799999998</v>
      </c>
    </row>
    <row r="327" spans="1:6" x14ac:dyDescent="0.35">
      <c r="A327" s="8">
        <v>44362</v>
      </c>
      <c r="B327">
        <v>2572.679932</v>
      </c>
      <c r="C327">
        <v>23.82</v>
      </c>
      <c r="D327">
        <v>57.09</v>
      </c>
      <c r="E327">
        <v>34.520000000000003</v>
      </c>
      <c r="F327">
        <v>288.10000600000001</v>
      </c>
    </row>
    <row r="328" spans="1:6" x14ac:dyDescent="0.35">
      <c r="A328" s="8">
        <v>44363</v>
      </c>
      <c r="B328">
        <v>2615.2700199999999</v>
      </c>
      <c r="C328">
        <v>24.139999</v>
      </c>
      <c r="D328">
        <v>57.450001</v>
      </c>
      <c r="E328">
        <v>34.970001000000003</v>
      </c>
      <c r="F328">
        <v>278.29998799999998</v>
      </c>
    </row>
    <row r="329" spans="1:6" x14ac:dyDescent="0.35">
      <c r="A329" s="8">
        <v>44364</v>
      </c>
      <c r="B329">
        <v>2640.9799800000001</v>
      </c>
      <c r="C329">
        <v>23.91</v>
      </c>
      <c r="D329">
        <v>57.459999000000003</v>
      </c>
      <c r="E329">
        <v>34.189999</v>
      </c>
      <c r="F329">
        <v>278.79998799999998</v>
      </c>
    </row>
    <row r="330" spans="1:6" x14ac:dyDescent="0.35">
      <c r="A330" s="8">
        <v>44365</v>
      </c>
      <c r="B330">
        <v>2653.9799800000001</v>
      </c>
      <c r="C330">
        <v>23.700001</v>
      </c>
      <c r="D330">
        <v>56.130001</v>
      </c>
      <c r="E330">
        <v>34.299999</v>
      </c>
      <c r="F330">
        <v>278.70001200000002</v>
      </c>
    </row>
    <row r="331" spans="1:6" x14ac:dyDescent="0.35">
      <c r="A331" s="8">
        <v>44366</v>
      </c>
      <c r="B331">
        <v>2675.01001</v>
      </c>
      <c r="C331">
        <v>24.059999000000001</v>
      </c>
      <c r="D331">
        <v>55.02</v>
      </c>
      <c r="E331">
        <v>33.939999</v>
      </c>
      <c r="F331">
        <v>274.70001200000002</v>
      </c>
    </row>
    <row r="332" spans="1:6" x14ac:dyDescent="0.35">
      <c r="A332" s="8">
        <v>44369</v>
      </c>
      <c r="B332">
        <v>2713.820068</v>
      </c>
      <c r="C332">
        <v>23.68</v>
      </c>
      <c r="D332">
        <v>56.119999</v>
      </c>
      <c r="E332">
        <v>34.409999999999997</v>
      </c>
      <c r="F332">
        <v>280.10000600000001</v>
      </c>
    </row>
    <row r="333" spans="1:6" x14ac:dyDescent="0.35">
      <c r="A333" s="8">
        <v>44370</v>
      </c>
      <c r="B333">
        <v>2764.4099120000001</v>
      </c>
      <c r="C333">
        <v>24.139999</v>
      </c>
      <c r="D333">
        <v>56.919998</v>
      </c>
      <c r="E333">
        <v>34.849997999999999</v>
      </c>
      <c r="F333">
        <v>269.10000600000001</v>
      </c>
    </row>
    <row r="334" spans="1:6" x14ac:dyDescent="0.35">
      <c r="A334" s="8">
        <v>44371</v>
      </c>
      <c r="B334">
        <v>2734.3999020000001</v>
      </c>
      <c r="C334">
        <v>23.52</v>
      </c>
      <c r="D334">
        <v>55.630001</v>
      </c>
      <c r="E334">
        <v>33.119999</v>
      </c>
      <c r="F334">
        <v>269</v>
      </c>
    </row>
    <row r="335" spans="1:6" x14ac:dyDescent="0.35">
      <c r="A335" s="8">
        <v>44372</v>
      </c>
      <c r="B335">
        <v>2754.580078</v>
      </c>
      <c r="C335">
        <v>24.059999000000001</v>
      </c>
      <c r="D335">
        <v>56.759998000000003</v>
      </c>
      <c r="E335">
        <v>33.889999000000003</v>
      </c>
      <c r="F335">
        <v>269</v>
      </c>
    </row>
    <row r="336" spans="1:6" x14ac:dyDescent="0.35">
      <c r="A336" s="8">
        <v>44373</v>
      </c>
      <c r="B336">
        <v>2692.8701169999999</v>
      </c>
      <c r="C336">
        <v>23.360001</v>
      </c>
      <c r="D336">
        <v>55.799999</v>
      </c>
      <c r="E336">
        <v>32.909999999999997</v>
      </c>
      <c r="F336">
        <v>273.89999399999999</v>
      </c>
    </row>
    <row r="337" spans="1:6" x14ac:dyDescent="0.35">
      <c r="A337" s="8">
        <v>44376</v>
      </c>
      <c r="B337">
        <v>2680.3798830000001</v>
      </c>
      <c r="C337">
        <v>23.59</v>
      </c>
      <c r="D337">
        <v>55.59</v>
      </c>
      <c r="E337">
        <v>33.439999</v>
      </c>
      <c r="F337">
        <v>273.60000600000001</v>
      </c>
    </row>
    <row r="338" spans="1:6" x14ac:dyDescent="0.35">
      <c r="A338" s="8">
        <v>44377</v>
      </c>
      <c r="B338">
        <v>2758.820068</v>
      </c>
      <c r="C338">
        <v>23.33</v>
      </c>
      <c r="D338">
        <v>56.18</v>
      </c>
      <c r="E338">
        <v>32.689999</v>
      </c>
      <c r="F338">
        <v>273.29998799999998</v>
      </c>
    </row>
    <row r="339" spans="1:6" x14ac:dyDescent="0.35">
      <c r="A339" s="8">
        <v>44378</v>
      </c>
      <c r="B339">
        <v>2878.6999510000001</v>
      </c>
      <c r="C339">
        <v>23.200001</v>
      </c>
      <c r="D339">
        <v>55.98</v>
      </c>
      <c r="E339">
        <v>32.770000000000003</v>
      </c>
      <c r="F339">
        <v>278.70001200000002</v>
      </c>
    </row>
    <row r="340" spans="1:6" x14ac:dyDescent="0.35">
      <c r="A340" s="8">
        <v>44379</v>
      </c>
      <c r="B340">
        <v>2890.3000489999999</v>
      </c>
      <c r="C340">
        <v>24.26</v>
      </c>
      <c r="D340">
        <v>56.290000999999997</v>
      </c>
      <c r="E340">
        <v>32.900002000000001</v>
      </c>
      <c r="F340">
        <v>273.5</v>
      </c>
    </row>
    <row r="341" spans="1:6" x14ac:dyDescent="0.35">
      <c r="A341" s="8">
        <v>44383</v>
      </c>
      <c r="B341">
        <v>3057.040039</v>
      </c>
      <c r="C341">
        <v>25.639999</v>
      </c>
      <c r="D341">
        <v>56.950001</v>
      </c>
      <c r="E341">
        <v>33.450001</v>
      </c>
      <c r="F341">
        <v>283.39999399999999</v>
      </c>
    </row>
    <row r="342" spans="1:6" x14ac:dyDescent="0.35">
      <c r="A342" s="8">
        <v>44384</v>
      </c>
      <c r="B342">
        <v>3000.1201169999999</v>
      </c>
      <c r="C342">
        <v>24.6</v>
      </c>
      <c r="D342">
        <v>56.91</v>
      </c>
      <c r="E342">
        <v>32.630001</v>
      </c>
      <c r="F342">
        <v>284.89999399999999</v>
      </c>
    </row>
    <row r="343" spans="1:6" x14ac:dyDescent="0.35">
      <c r="A343" s="8">
        <v>44385</v>
      </c>
      <c r="B343">
        <v>3081.110107</v>
      </c>
      <c r="C343">
        <v>24.09</v>
      </c>
      <c r="D343">
        <v>58.299999</v>
      </c>
      <c r="E343">
        <v>32.75</v>
      </c>
      <c r="F343">
        <v>281.5</v>
      </c>
    </row>
    <row r="344" spans="1:6" x14ac:dyDescent="0.35">
      <c r="A344" s="8">
        <v>44386</v>
      </c>
      <c r="B344">
        <v>3182.6298830000001</v>
      </c>
      <c r="C344">
        <v>23.52</v>
      </c>
      <c r="D344">
        <v>57.959999000000003</v>
      </c>
      <c r="E344">
        <v>31.280000999999999</v>
      </c>
      <c r="F344">
        <v>279.29998799999998</v>
      </c>
    </row>
    <row r="345" spans="1:6" x14ac:dyDescent="0.35">
      <c r="A345" s="8">
        <v>44387</v>
      </c>
      <c r="B345">
        <v>3200</v>
      </c>
      <c r="C345">
        <v>23.879999000000002</v>
      </c>
      <c r="D345">
        <v>58.900002000000001</v>
      </c>
      <c r="E345">
        <v>32.209999000000003</v>
      </c>
      <c r="F345">
        <v>282.79998799999998</v>
      </c>
    </row>
    <row r="346" spans="1:6" x14ac:dyDescent="0.35">
      <c r="A346" s="8">
        <v>44390</v>
      </c>
      <c r="B346">
        <v>3104</v>
      </c>
      <c r="C346">
        <v>23.889999</v>
      </c>
      <c r="D346">
        <v>58.75</v>
      </c>
      <c r="E346">
        <v>32.409999999999997</v>
      </c>
      <c r="F346">
        <v>286.39999399999999</v>
      </c>
    </row>
    <row r="347" spans="1:6" x14ac:dyDescent="0.35">
      <c r="A347" s="8">
        <v>44391</v>
      </c>
      <c r="B347">
        <v>3084</v>
      </c>
      <c r="C347">
        <v>23.950001</v>
      </c>
      <c r="D347">
        <v>60.84</v>
      </c>
      <c r="E347">
        <v>33.509998000000003</v>
      </c>
      <c r="F347">
        <v>289.29998799999998</v>
      </c>
    </row>
    <row r="348" spans="1:6" x14ac:dyDescent="0.35">
      <c r="A348" s="8">
        <v>44392</v>
      </c>
      <c r="B348">
        <v>3008.8701169999999</v>
      </c>
      <c r="C348">
        <v>24.27</v>
      </c>
      <c r="D348">
        <v>60.869999</v>
      </c>
      <c r="E348">
        <v>33.979999999999997</v>
      </c>
      <c r="F348">
        <v>294</v>
      </c>
    </row>
    <row r="349" spans="1:6" x14ac:dyDescent="0.35">
      <c r="A349" s="8">
        <v>44393</v>
      </c>
      <c r="B349">
        <v>2999.8999020000001</v>
      </c>
      <c r="C349">
        <v>24.110001</v>
      </c>
      <c r="D349">
        <v>61.18</v>
      </c>
      <c r="E349">
        <v>33.479999999999997</v>
      </c>
      <c r="F349">
        <v>292.70001200000002</v>
      </c>
    </row>
    <row r="350" spans="1:6" x14ac:dyDescent="0.35">
      <c r="A350" s="8">
        <v>44394</v>
      </c>
      <c r="B350">
        <v>2961.969971</v>
      </c>
      <c r="C350">
        <v>23.610001</v>
      </c>
      <c r="D350">
        <v>62.150002000000001</v>
      </c>
      <c r="E350">
        <v>32.909999999999997</v>
      </c>
      <c r="F350">
        <v>292.5</v>
      </c>
    </row>
    <row r="351" spans="1:6" x14ac:dyDescent="0.35">
      <c r="A351" s="8">
        <v>44397</v>
      </c>
      <c r="B351">
        <v>3196.8400879999999</v>
      </c>
      <c r="C351">
        <v>23.629999000000002</v>
      </c>
      <c r="D351">
        <v>62.419998</v>
      </c>
      <c r="E351">
        <v>32.409999999999997</v>
      </c>
      <c r="F351">
        <v>291.5</v>
      </c>
    </row>
    <row r="352" spans="1:6" x14ac:dyDescent="0.35">
      <c r="A352" s="8">
        <v>44398</v>
      </c>
      <c r="B352">
        <v>3138.290039</v>
      </c>
      <c r="C352">
        <v>24.16</v>
      </c>
      <c r="D352">
        <v>61.310001</v>
      </c>
      <c r="E352">
        <v>33.43</v>
      </c>
      <c r="F352">
        <v>288.10000600000001</v>
      </c>
    </row>
    <row r="353" spans="1:6" x14ac:dyDescent="0.35">
      <c r="A353" s="8">
        <v>44399</v>
      </c>
      <c r="B353">
        <v>3099.9099120000001</v>
      </c>
      <c r="C353">
        <v>23.559999000000001</v>
      </c>
      <c r="D353">
        <v>61.439999</v>
      </c>
      <c r="E353">
        <v>32.75</v>
      </c>
      <c r="F353">
        <v>291.5</v>
      </c>
    </row>
    <row r="354" spans="1:6" x14ac:dyDescent="0.35">
      <c r="A354" s="8">
        <v>44400</v>
      </c>
      <c r="B354">
        <v>2986.5500489999999</v>
      </c>
      <c r="C354">
        <v>23.35</v>
      </c>
      <c r="D354">
        <v>60.68</v>
      </c>
      <c r="E354">
        <v>32.389999000000003</v>
      </c>
      <c r="F354">
        <v>287.39999399999999</v>
      </c>
    </row>
    <row r="355" spans="1:6" x14ac:dyDescent="0.35">
      <c r="A355" s="8">
        <v>44401</v>
      </c>
      <c r="B355">
        <v>3008.9099120000001</v>
      </c>
      <c r="C355">
        <v>23.24</v>
      </c>
      <c r="D355">
        <v>60.77</v>
      </c>
      <c r="E355">
        <v>32.290000999999997</v>
      </c>
      <c r="F355">
        <v>281</v>
      </c>
    </row>
    <row r="356" spans="1:6" x14ac:dyDescent="0.35">
      <c r="A356" s="8">
        <v>44404</v>
      </c>
      <c r="B356">
        <v>3055.209961</v>
      </c>
      <c r="C356">
        <v>22.67</v>
      </c>
      <c r="D356">
        <v>62.57</v>
      </c>
      <c r="E356">
        <v>32.450001</v>
      </c>
      <c r="F356">
        <v>277</v>
      </c>
    </row>
    <row r="357" spans="1:6" x14ac:dyDescent="0.35">
      <c r="A357" s="8">
        <v>44405</v>
      </c>
      <c r="B357">
        <v>3000.330078</v>
      </c>
      <c r="C357">
        <v>22.75</v>
      </c>
      <c r="D357">
        <v>61.279998999999997</v>
      </c>
      <c r="E357">
        <v>32.099997999999999</v>
      </c>
      <c r="F357">
        <v>279.5</v>
      </c>
    </row>
    <row r="358" spans="1:6" x14ac:dyDescent="0.35">
      <c r="A358" s="8">
        <v>44406</v>
      </c>
      <c r="B358">
        <v>3033.530029</v>
      </c>
      <c r="C358">
        <v>23.57</v>
      </c>
      <c r="D358">
        <v>62.68</v>
      </c>
      <c r="E358">
        <v>32.409999999999997</v>
      </c>
      <c r="F358">
        <v>278</v>
      </c>
    </row>
    <row r="359" spans="1:6" x14ac:dyDescent="0.35">
      <c r="A359" s="8">
        <v>44407</v>
      </c>
      <c r="B359">
        <v>3051.8798830000001</v>
      </c>
      <c r="C359">
        <v>22.76</v>
      </c>
      <c r="D359">
        <v>61.040000999999997</v>
      </c>
      <c r="E359">
        <v>30.84</v>
      </c>
      <c r="F359">
        <v>266.70001200000002</v>
      </c>
    </row>
    <row r="360" spans="1:6" x14ac:dyDescent="0.35">
      <c r="A360" s="8">
        <v>44408</v>
      </c>
      <c r="B360">
        <v>3164.679932</v>
      </c>
      <c r="C360">
        <v>22.65</v>
      </c>
      <c r="D360">
        <v>61.040000999999997</v>
      </c>
      <c r="E360">
        <v>29.809999000000001</v>
      </c>
      <c r="F360">
        <v>263.70001200000002</v>
      </c>
    </row>
    <row r="361" spans="1:6" x14ac:dyDescent="0.35">
      <c r="A361" s="8">
        <v>44411</v>
      </c>
      <c r="B361">
        <v>3111.889893</v>
      </c>
      <c r="C361">
        <v>21.58</v>
      </c>
      <c r="D361">
        <v>61.91</v>
      </c>
      <c r="E361">
        <v>30.299999</v>
      </c>
      <c r="F361">
        <v>273.89999399999999</v>
      </c>
    </row>
    <row r="362" spans="1:6" x14ac:dyDescent="0.35">
      <c r="A362" s="8">
        <v>44412</v>
      </c>
      <c r="B362">
        <v>3138.830078</v>
      </c>
      <c r="C362">
        <v>21.91</v>
      </c>
      <c r="D362">
        <v>61.860000999999997</v>
      </c>
      <c r="E362">
        <v>31.35</v>
      </c>
      <c r="F362">
        <v>278.5</v>
      </c>
    </row>
    <row r="363" spans="1:6" x14ac:dyDescent="0.35">
      <c r="A363" s="8">
        <v>44413</v>
      </c>
      <c r="B363">
        <v>3205.030029</v>
      </c>
      <c r="C363">
        <v>21.82</v>
      </c>
      <c r="D363">
        <v>64.599997999999999</v>
      </c>
      <c r="E363">
        <v>31.52</v>
      </c>
      <c r="F363">
        <v>284.29998799999998</v>
      </c>
    </row>
    <row r="364" spans="1:6" x14ac:dyDescent="0.35">
      <c r="A364" s="8">
        <v>44414</v>
      </c>
      <c r="B364">
        <v>3225</v>
      </c>
      <c r="C364">
        <v>21.379999000000002</v>
      </c>
      <c r="D364">
        <v>62.459999000000003</v>
      </c>
      <c r="E364">
        <v>31.25</v>
      </c>
      <c r="F364">
        <v>297.5</v>
      </c>
    </row>
    <row r="365" spans="1:6" x14ac:dyDescent="0.35">
      <c r="A365" s="8">
        <v>44415</v>
      </c>
      <c r="B365">
        <v>3167.459961</v>
      </c>
      <c r="C365">
        <v>21.34</v>
      </c>
      <c r="D365">
        <v>60.950001</v>
      </c>
      <c r="E365">
        <v>30.84</v>
      </c>
      <c r="F365">
        <v>293.60000600000001</v>
      </c>
    </row>
    <row r="366" spans="1:6" x14ac:dyDescent="0.35">
      <c r="A366" s="8">
        <v>44418</v>
      </c>
      <c r="B366">
        <v>3148.1599120000001</v>
      </c>
      <c r="C366">
        <v>21.690000999999999</v>
      </c>
      <c r="D366">
        <v>61.610000999999997</v>
      </c>
      <c r="E366">
        <v>31.450001</v>
      </c>
      <c r="F366">
        <v>292</v>
      </c>
    </row>
    <row r="367" spans="1:6" x14ac:dyDescent="0.35">
      <c r="A367" s="8">
        <v>44419</v>
      </c>
      <c r="B367">
        <v>3080.669922</v>
      </c>
      <c r="C367">
        <v>22.49</v>
      </c>
      <c r="D367">
        <v>61.349997999999999</v>
      </c>
      <c r="E367">
        <v>31.85</v>
      </c>
      <c r="F367">
        <v>300.29998799999998</v>
      </c>
    </row>
    <row r="368" spans="1:6" x14ac:dyDescent="0.35">
      <c r="A368" s="8">
        <v>44420</v>
      </c>
      <c r="B368">
        <v>3162.23999</v>
      </c>
      <c r="C368">
        <v>23.120000999999998</v>
      </c>
      <c r="D368">
        <v>62.32</v>
      </c>
      <c r="E368">
        <v>32.869999</v>
      </c>
      <c r="F368">
        <v>303.70001200000002</v>
      </c>
    </row>
    <row r="369" spans="1:6" x14ac:dyDescent="0.35">
      <c r="A369" s="8">
        <v>44421</v>
      </c>
      <c r="B369">
        <v>3161.0200199999999</v>
      </c>
      <c r="C369">
        <v>22.34</v>
      </c>
      <c r="D369">
        <v>61.799999</v>
      </c>
      <c r="E369">
        <v>31.67</v>
      </c>
      <c r="F369">
        <v>293</v>
      </c>
    </row>
    <row r="370" spans="1:6" x14ac:dyDescent="0.35">
      <c r="A370" s="8">
        <v>44422</v>
      </c>
      <c r="B370">
        <v>3148.0200199999999</v>
      </c>
      <c r="C370">
        <v>22.280000999999999</v>
      </c>
      <c r="D370">
        <v>61.59</v>
      </c>
      <c r="E370">
        <v>31.110001</v>
      </c>
      <c r="F370">
        <v>288.79998799999998</v>
      </c>
    </row>
    <row r="371" spans="1:6" x14ac:dyDescent="0.35">
      <c r="A371" s="8">
        <v>44425</v>
      </c>
      <c r="B371">
        <v>3182.4099120000001</v>
      </c>
      <c r="C371">
        <v>22.200001</v>
      </c>
      <c r="D371">
        <v>62.459999000000003</v>
      </c>
      <c r="E371">
        <v>30.940000999999999</v>
      </c>
      <c r="F371">
        <v>289.10000600000001</v>
      </c>
    </row>
    <row r="372" spans="1:6" x14ac:dyDescent="0.35">
      <c r="A372" s="8">
        <v>44426</v>
      </c>
      <c r="B372">
        <v>3312.48999</v>
      </c>
      <c r="C372">
        <v>21.889999</v>
      </c>
      <c r="D372">
        <v>63.580002</v>
      </c>
      <c r="E372">
        <v>30.540001</v>
      </c>
      <c r="F372">
        <v>287</v>
      </c>
    </row>
    <row r="373" spans="1:6" x14ac:dyDescent="0.35">
      <c r="A373" s="8">
        <v>44427</v>
      </c>
      <c r="B373">
        <v>3260.4799800000001</v>
      </c>
      <c r="C373">
        <v>21.950001</v>
      </c>
      <c r="D373">
        <v>62.23</v>
      </c>
      <c r="E373">
        <v>30.42</v>
      </c>
      <c r="F373">
        <v>287.10000600000001</v>
      </c>
    </row>
    <row r="374" spans="1:6" x14ac:dyDescent="0.35">
      <c r="A374" s="8">
        <v>44428</v>
      </c>
      <c r="B374">
        <v>3297.3701169999999</v>
      </c>
      <c r="C374">
        <v>21.719999000000001</v>
      </c>
      <c r="D374">
        <v>62.16</v>
      </c>
      <c r="E374">
        <v>30.120000999999998</v>
      </c>
      <c r="F374">
        <v>280</v>
      </c>
    </row>
    <row r="375" spans="1:6" x14ac:dyDescent="0.35">
      <c r="A375" s="8">
        <v>44429</v>
      </c>
      <c r="B375">
        <v>3284.719971</v>
      </c>
      <c r="C375">
        <v>21.639999</v>
      </c>
      <c r="D375">
        <v>61.529998999999997</v>
      </c>
      <c r="E375">
        <v>29.629999000000002</v>
      </c>
      <c r="F375">
        <v>281.10000600000001</v>
      </c>
    </row>
    <row r="376" spans="1:6" x14ac:dyDescent="0.35">
      <c r="A376" s="8">
        <v>44432</v>
      </c>
      <c r="B376">
        <v>3307.459961</v>
      </c>
      <c r="C376">
        <v>22.25</v>
      </c>
      <c r="D376">
        <v>61.82</v>
      </c>
      <c r="E376">
        <v>30.530000999999999</v>
      </c>
      <c r="F376">
        <v>285.10000600000001</v>
      </c>
    </row>
    <row r="377" spans="1:6" x14ac:dyDescent="0.35">
      <c r="A377" s="8">
        <v>44433</v>
      </c>
      <c r="B377">
        <v>3346.48999</v>
      </c>
      <c r="C377">
        <v>22.059999000000001</v>
      </c>
      <c r="D377">
        <v>61.040000999999997</v>
      </c>
      <c r="E377">
        <v>30.059999000000001</v>
      </c>
      <c r="F377">
        <v>282.39999399999999</v>
      </c>
    </row>
    <row r="378" spans="1:6" x14ac:dyDescent="0.35">
      <c r="A378" s="8">
        <v>44434</v>
      </c>
      <c r="B378">
        <v>3441.8500979999999</v>
      </c>
      <c r="C378">
        <v>21.82</v>
      </c>
      <c r="D378">
        <v>61.759998000000003</v>
      </c>
      <c r="E378">
        <v>30.030000999999999</v>
      </c>
      <c r="F378">
        <v>285.39999399999999</v>
      </c>
    </row>
    <row r="379" spans="1:6" x14ac:dyDescent="0.35">
      <c r="A379" s="8">
        <v>44435</v>
      </c>
      <c r="B379">
        <v>3400</v>
      </c>
      <c r="C379">
        <v>21.65</v>
      </c>
      <c r="D379">
        <v>61.209999000000003</v>
      </c>
      <c r="E379">
        <v>29.780000999999999</v>
      </c>
      <c r="F379">
        <v>283.79998799999998</v>
      </c>
    </row>
    <row r="380" spans="1:6" x14ac:dyDescent="0.35">
      <c r="A380" s="8">
        <v>44436</v>
      </c>
      <c r="B380">
        <v>3401.8000489999999</v>
      </c>
      <c r="C380">
        <v>22.040001</v>
      </c>
      <c r="D380">
        <v>61.98</v>
      </c>
      <c r="E380">
        <v>30.190000999999999</v>
      </c>
      <c r="F380">
        <v>282.70001200000002</v>
      </c>
    </row>
    <row r="381" spans="1:6" x14ac:dyDescent="0.35">
      <c r="A381" s="8">
        <v>44439</v>
      </c>
      <c r="B381">
        <v>3450.959961</v>
      </c>
      <c r="C381">
        <v>21.629999000000002</v>
      </c>
      <c r="D381">
        <v>61.23</v>
      </c>
      <c r="E381">
        <v>29.68</v>
      </c>
      <c r="F381">
        <v>275.70001200000002</v>
      </c>
    </row>
    <row r="382" spans="1:6" x14ac:dyDescent="0.35">
      <c r="A382" s="8">
        <v>44440</v>
      </c>
      <c r="B382">
        <v>3499.1201169999999</v>
      </c>
      <c r="C382">
        <v>21.24</v>
      </c>
      <c r="D382">
        <v>62.209999000000003</v>
      </c>
      <c r="E382">
        <v>29.200001</v>
      </c>
      <c r="F382">
        <v>275.89999399999999</v>
      </c>
    </row>
    <row r="383" spans="1:6" x14ac:dyDescent="0.35">
      <c r="A383" s="8">
        <v>44441</v>
      </c>
      <c r="B383">
        <v>3531.4499510000001</v>
      </c>
      <c r="C383">
        <v>21.43</v>
      </c>
      <c r="D383">
        <v>62.32</v>
      </c>
      <c r="E383">
        <v>29.040001</v>
      </c>
      <c r="F383">
        <v>274.29998799999998</v>
      </c>
    </row>
    <row r="384" spans="1:6" x14ac:dyDescent="0.35">
      <c r="A384" s="8">
        <v>44442</v>
      </c>
      <c r="B384">
        <v>3368</v>
      </c>
      <c r="C384">
        <v>21.059999000000001</v>
      </c>
      <c r="D384">
        <v>60.25</v>
      </c>
      <c r="E384">
        <v>28.940000999999999</v>
      </c>
      <c r="F384">
        <v>273.60000600000001</v>
      </c>
    </row>
    <row r="385" spans="1:6" x14ac:dyDescent="0.35">
      <c r="A385" s="8">
        <v>44443</v>
      </c>
      <c r="B385">
        <v>3294.6201169999999</v>
      </c>
      <c r="C385">
        <v>21.370000999999998</v>
      </c>
      <c r="D385">
        <v>61.5</v>
      </c>
      <c r="E385">
        <v>28.91</v>
      </c>
      <c r="F385">
        <v>278</v>
      </c>
    </row>
    <row r="386" spans="1:6" x14ac:dyDescent="0.35">
      <c r="A386" s="8">
        <v>44447</v>
      </c>
      <c r="B386">
        <v>3149.8400879999999</v>
      </c>
      <c r="C386">
        <v>20.870000999999998</v>
      </c>
      <c r="D386">
        <v>60.869999</v>
      </c>
      <c r="E386">
        <v>28.030000999999999</v>
      </c>
      <c r="F386">
        <v>284</v>
      </c>
    </row>
    <row r="387" spans="1:6" x14ac:dyDescent="0.35">
      <c r="A387" s="8">
        <v>44448</v>
      </c>
      <c r="B387">
        <v>3268.610107</v>
      </c>
      <c r="C387">
        <v>21.209999</v>
      </c>
      <c r="D387">
        <v>61.93</v>
      </c>
      <c r="E387">
        <v>28.52</v>
      </c>
      <c r="F387">
        <v>287.89999399999999</v>
      </c>
    </row>
    <row r="388" spans="1:6" x14ac:dyDescent="0.35">
      <c r="A388" s="8">
        <v>44449</v>
      </c>
      <c r="B388">
        <v>3175.110107</v>
      </c>
      <c r="C388">
        <v>20.709999</v>
      </c>
      <c r="D388">
        <v>60.889999000000003</v>
      </c>
      <c r="E388">
        <v>27.870000999999998</v>
      </c>
      <c r="F388">
        <v>288.70001200000002</v>
      </c>
    </row>
    <row r="389" spans="1:6" x14ac:dyDescent="0.35">
      <c r="A389" s="8">
        <v>44450</v>
      </c>
      <c r="B389">
        <v>3116.219971</v>
      </c>
      <c r="C389">
        <v>20.67</v>
      </c>
      <c r="D389">
        <v>63.939999</v>
      </c>
      <c r="E389">
        <v>28.08</v>
      </c>
      <c r="F389">
        <v>303.20001200000002</v>
      </c>
    </row>
    <row r="390" spans="1:6" x14ac:dyDescent="0.35">
      <c r="A390" s="8">
        <v>44453</v>
      </c>
      <c r="B390">
        <v>3102.969971</v>
      </c>
      <c r="C390">
        <v>20.639999</v>
      </c>
      <c r="D390">
        <v>63.860000999999997</v>
      </c>
      <c r="E390">
        <v>27.719999000000001</v>
      </c>
      <c r="F390">
        <v>302</v>
      </c>
    </row>
    <row r="391" spans="1:6" x14ac:dyDescent="0.35">
      <c r="A391" s="8">
        <v>44454</v>
      </c>
      <c r="B391">
        <v>3156.1298830000001</v>
      </c>
      <c r="C391">
        <v>20.709999</v>
      </c>
      <c r="D391">
        <v>65.430000000000007</v>
      </c>
      <c r="E391">
        <v>27.84</v>
      </c>
      <c r="F391">
        <v>303.5</v>
      </c>
    </row>
    <row r="392" spans="1:6" x14ac:dyDescent="0.35">
      <c r="A392" s="8">
        <v>44455</v>
      </c>
      <c r="B392">
        <v>3078.1000979999999</v>
      </c>
      <c r="C392">
        <v>20.389999</v>
      </c>
      <c r="D392">
        <v>64.839995999999999</v>
      </c>
      <c r="E392">
        <v>28.049999</v>
      </c>
      <c r="F392">
        <v>301</v>
      </c>
    </row>
    <row r="393" spans="1:6" x14ac:dyDescent="0.35">
      <c r="A393" s="8">
        <v>44456</v>
      </c>
      <c r="B393">
        <v>3008.7299800000001</v>
      </c>
      <c r="C393">
        <v>20.139999</v>
      </c>
      <c r="D393">
        <v>64.720000999999996</v>
      </c>
      <c r="E393">
        <v>27.6</v>
      </c>
      <c r="F393">
        <v>299.60000600000001</v>
      </c>
    </row>
    <row r="394" spans="1:6" x14ac:dyDescent="0.35">
      <c r="A394" s="8">
        <v>44457</v>
      </c>
      <c r="B394">
        <v>2954.9099120000001</v>
      </c>
      <c r="C394">
        <v>19.73</v>
      </c>
      <c r="D394">
        <v>64.419998000000007</v>
      </c>
      <c r="E394">
        <v>26.98</v>
      </c>
      <c r="F394">
        <v>292.29998799999998</v>
      </c>
    </row>
    <row r="395" spans="1:6" x14ac:dyDescent="0.35">
      <c r="A395" s="8">
        <v>44460</v>
      </c>
      <c r="B395">
        <v>2960.469971</v>
      </c>
      <c r="C395">
        <v>18.639999</v>
      </c>
      <c r="D395">
        <v>61.599997999999999</v>
      </c>
      <c r="E395">
        <v>26.309999000000001</v>
      </c>
      <c r="F395">
        <v>282.29998799999998</v>
      </c>
    </row>
    <row r="396" spans="1:6" x14ac:dyDescent="0.35">
      <c r="A396" s="8">
        <v>44461</v>
      </c>
      <c r="B396">
        <v>3128.98999</v>
      </c>
      <c r="C396">
        <v>18.350000000000001</v>
      </c>
      <c r="D396">
        <v>61.41</v>
      </c>
      <c r="E396">
        <v>26.639999</v>
      </c>
      <c r="F396">
        <v>279.29998799999998</v>
      </c>
    </row>
    <row r="397" spans="1:6" x14ac:dyDescent="0.35">
      <c r="A397" s="8">
        <v>44462</v>
      </c>
      <c r="B397">
        <v>2999.860107</v>
      </c>
      <c r="C397">
        <v>18.420000000000002</v>
      </c>
      <c r="D397">
        <v>60.400002000000001</v>
      </c>
      <c r="E397">
        <v>26.120000999999998</v>
      </c>
      <c r="F397">
        <v>282.70001200000002</v>
      </c>
    </row>
    <row r="398" spans="1:6" x14ac:dyDescent="0.35">
      <c r="A398" s="8">
        <v>44463</v>
      </c>
      <c r="B398">
        <v>3019.790039</v>
      </c>
      <c r="C398">
        <v>18.389999</v>
      </c>
      <c r="D398">
        <v>61.169998</v>
      </c>
      <c r="E398">
        <v>26.540001</v>
      </c>
      <c r="F398">
        <v>279</v>
      </c>
    </row>
    <row r="399" spans="1:6" x14ac:dyDescent="0.35">
      <c r="A399" s="8">
        <v>44464</v>
      </c>
      <c r="B399">
        <v>3095.1298830000001</v>
      </c>
      <c r="C399">
        <v>18.110001</v>
      </c>
      <c r="D399">
        <v>60.360000999999997</v>
      </c>
      <c r="E399">
        <v>25.74</v>
      </c>
      <c r="F399">
        <v>279.89999399999999</v>
      </c>
    </row>
    <row r="400" spans="1:6" x14ac:dyDescent="0.35">
      <c r="A400" s="8">
        <v>44467</v>
      </c>
      <c r="B400">
        <v>3174.0500489999999</v>
      </c>
      <c r="C400">
        <v>19.959999</v>
      </c>
      <c r="D400">
        <v>60.490001999999997</v>
      </c>
      <c r="E400">
        <v>26.09</v>
      </c>
      <c r="F400">
        <v>293.5</v>
      </c>
    </row>
    <row r="401" spans="1:6" x14ac:dyDescent="0.35">
      <c r="A401" s="8">
        <v>44468</v>
      </c>
      <c r="B401">
        <v>3144.8798830000001</v>
      </c>
      <c r="C401">
        <v>19.399999999999999</v>
      </c>
      <c r="D401">
        <v>60.209999000000003</v>
      </c>
      <c r="E401">
        <v>25.65</v>
      </c>
      <c r="F401">
        <v>286.60000600000001</v>
      </c>
    </row>
    <row r="402" spans="1:6" x14ac:dyDescent="0.35">
      <c r="A402" s="8">
        <v>44469</v>
      </c>
      <c r="B402">
        <v>3148.7299800000001</v>
      </c>
      <c r="C402">
        <v>19.579999999999998</v>
      </c>
      <c r="D402">
        <v>60.389999000000003</v>
      </c>
      <c r="E402">
        <v>25.17</v>
      </c>
      <c r="F402">
        <v>285.70001200000002</v>
      </c>
    </row>
    <row r="403" spans="1:6" x14ac:dyDescent="0.35">
      <c r="A403" s="8">
        <v>44470</v>
      </c>
      <c r="B403">
        <v>3221.26001</v>
      </c>
      <c r="C403">
        <v>19.510000000000002</v>
      </c>
      <c r="D403">
        <v>59.82</v>
      </c>
      <c r="E403">
        <v>24.24</v>
      </c>
      <c r="F403">
        <v>285.79998799999998</v>
      </c>
    </row>
    <row r="404" spans="1:6" x14ac:dyDescent="0.35">
      <c r="A404" s="8">
        <v>44471</v>
      </c>
      <c r="B404">
        <v>3125</v>
      </c>
      <c r="C404">
        <v>19.870000999999998</v>
      </c>
      <c r="D404">
        <v>60.490001999999997</v>
      </c>
      <c r="E404">
        <v>24.6</v>
      </c>
      <c r="F404">
        <v>287.60000600000001</v>
      </c>
    </row>
    <row r="405" spans="1:6" x14ac:dyDescent="0.35">
      <c r="A405" s="8">
        <v>44474</v>
      </c>
      <c r="B405">
        <v>3199.1999510000001</v>
      </c>
      <c r="C405">
        <v>19.959999</v>
      </c>
      <c r="D405">
        <v>61.23</v>
      </c>
      <c r="E405">
        <v>25.41</v>
      </c>
      <c r="F405">
        <v>291.29998799999998</v>
      </c>
    </row>
    <row r="406" spans="1:6" x14ac:dyDescent="0.35">
      <c r="A406" s="8">
        <v>44475</v>
      </c>
      <c r="B406">
        <v>3099.959961</v>
      </c>
      <c r="C406">
        <v>19.989999999999998</v>
      </c>
      <c r="D406">
        <v>59.610000999999997</v>
      </c>
      <c r="E406">
        <v>25.299999</v>
      </c>
      <c r="F406">
        <v>298.79998799999998</v>
      </c>
    </row>
    <row r="407" spans="1:6" x14ac:dyDescent="0.35">
      <c r="A407" s="8">
        <v>44476</v>
      </c>
      <c r="B407">
        <v>3195.6899410000001</v>
      </c>
      <c r="C407">
        <v>20.370000999999998</v>
      </c>
      <c r="D407">
        <v>61.200001</v>
      </c>
      <c r="E407">
        <v>25.59</v>
      </c>
      <c r="F407">
        <v>295.39999399999999</v>
      </c>
    </row>
    <row r="408" spans="1:6" x14ac:dyDescent="0.35">
      <c r="A408" s="8">
        <v>44477</v>
      </c>
      <c r="B408">
        <v>3190.5500489999999</v>
      </c>
      <c r="C408">
        <v>20.32</v>
      </c>
      <c r="D408">
        <v>61.52</v>
      </c>
      <c r="E408">
        <v>26.440000999999999</v>
      </c>
      <c r="F408">
        <v>295.39999399999999</v>
      </c>
    </row>
    <row r="409" spans="1:6" x14ac:dyDescent="0.35">
      <c r="A409" s="8">
        <v>44478</v>
      </c>
      <c r="B409">
        <v>3286.6499020000001</v>
      </c>
      <c r="C409">
        <v>20.129999000000002</v>
      </c>
      <c r="D409">
        <v>62.09</v>
      </c>
      <c r="E409">
        <v>26.66</v>
      </c>
      <c r="F409">
        <v>295.70001200000002</v>
      </c>
    </row>
    <row r="410" spans="1:6" x14ac:dyDescent="0.35">
      <c r="A410" s="8">
        <v>44481</v>
      </c>
      <c r="B410">
        <v>3442.929932</v>
      </c>
      <c r="C410">
        <v>20.25</v>
      </c>
      <c r="D410">
        <v>61.689999</v>
      </c>
      <c r="E410">
        <v>26.299999</v>
      </c>
      <c r="F410">
        <v>296.60000600000001</v>
      </c>
    </row>
    <row r="411" spans="1:6" x14ac:dyDescent="0.35">
      <c r="A411" s="8">
        <v>44482</v>
      </c>
      <c r="B411">
        <v>3443.6298830000001</v>
      </c>
      <c r="C411">
        <v>19.77</v>
      </c>
      <c r="D411">
        <v>61.07</v>
      </c>
      <c r="E411">
        <v>25.82</v>
      </c>
      <c r="F411">
        <v>286.79998799999998</v>
      </c>
    </row>
    <row r="412" spans="1:6" x14ac:dyDescent="0.35">
      <c r="A412" s="8">
        <v>44483</v>
      </c>
      <c r="B412">
        <v>3363.709961</v>
      </c>
      <c r="C412">
        <v>19.23</v>
      </c>
      <c r="D412">
        <v>61</v>
      </c>
      <c r="E412">
        <v>25.790001</v>
      </c>
      <c r="F412">
        <v>287.10000600000001</v>
      </c>
    </row>
    <row r="413" spans="1:6" x14ac:dyDescent="0.35">
      <c r="A413" s="8">
        <v>44484</v>
      </c>
      <c r="B413">
        <v>3338.6499020000001</v>
      </c>
      <c r="C413">
        <v>19.399999999999999</v>
      </c>
      <c r="D413">
        <v>60.549999</v>
      </c>
      <c r="E413">
        <v>25.370000999999998</v>
      </c>
      <c r="F413">
        <v>278.89999399999999</v>
      </c>
    </row>
    <row r="414" spans="1:6" x14ac:dyDescent="0.35">
      <c r="A414" s="8">
        <v>44485</v>
      </c>
      <c r="B414">
        <v>3272.709961</v>
      </c>
      <c r="C414">
        <v>19.709999</v>
      </c>
      <c r="D414">
        <v>60.049999</v>
      </c>
      <c r="E414">
        <v>25.27</v>
      </c>
      <c r="F414">
        <v>281.89999399999999</v>
      </c>
    </row>
    <row r="415" spans="1:6" x14ac:dyDescent="0.35">
      <c r="A415" s="8">
        <v>44488</v>
      </c>
      <c r="B415">
        <v>3207.209961</v>
      </c>
      <c r="C415">
        <v>19.84</v>
      </c>
      <c r="D415">
        <v>59.23</v>
      </c>
      <c r="E415">
        <v>25.040001</v>
      </c>
      <c r="F415">
        <v>282.20001200000002</v>
      </c>
    </row>
    <row r="416" spans="1:6" x14ac:dyDescent="0.35">
      <c r="A416" s="8">
        <v>44489</v>
      </c>
      <c r="B416">
        <v>3217.01001</v>
      </c>
      <c r="C416">
        <v>19.91</v>
      </c>
      <c r="D416">
        <v>59.580002</v>
      </c>
      <c r="E416">
        <v>25.32</v>
      </c>
      <c r="F416">
        <v>281.5</v>
      </c>
    </row>
    <row r="417" spans="1:6" x14ac:dyDescent="0.35">
      <c r="A417" s="8">
        <v>44490</v>
      </c>
      <c r="B417">
        <v>3184.9399410000001</v>
      </c>
      <c r="C417">
        <v>19.879999000000002</v>
      </c>
      <c r="D417">
        <v>60.220001000000003</v>
      </c>
      <c r="E417">
        <v>24.83</v>
      </c>
      <c r="F417">
        <v>273.79998799999998</v>
      </c>
    </row>
    <row r="418" spans="1:6" x14ac:dyDescent="0.35">
      <c r="A418" s="8">
        <v>44491</v>
      </c>
      <c r="B418">
        <v>3176.3999020000001</v>
      </c>
      <c r="C418">
        <v>20.170000000000002</v>
      </c>
      <c r="D418">
        <v>59.900002000000001</v>
      </c>
      <c r="E418">
        <v>25.450001</v>
      </c>
      <c r="F418">
        <v>273.29998799999998</v>
      </c>
    </row>
    <row r="419" spans="1:6" x14ac:dyDescent="0.35">
      <c r="A419" s="8">
        <v>44492</v>
      </c>
      <c r="B419">
        <v>3204.3999020000001</v>
      </c>
      <c r="C419">
        <v>20.879999000000002</v>
      </c>
      <c r="D419">
        <v>59.599997999999999</v>
      </c>
      <c r="E419">
        <v>25.610001</v>
      </c>
      <c r="F419">
        <v>278.10000600000001</v>
      </c>
    </row>
    <row r="420" spans="1:6" x14ac:dyDescent="0.35">
      <c r="A420" s="8">
        <v>44495</v>
      </c>
      <c r="B420">
        <v>3207.040039</v>
      </c>
      <c r="C420">
        <v>20.73</v>
      </c>
      <c r="D420">
        <v>58.279998999999997</v>
      </c>
      <c r="E420">
        <v>24.83</v>
      </c>
      <c r="F420">
        <v>276.5</v>
      </c>
    </row>
    <row r="421" spans="1:6" x14ac:dyDescent="0.35">
      <c r="A421" s="8">
        <v>44496</v>
      </c>
      <c r="B421">
        <v>3286.330078</v>
      </c>
      <c r="C421">
        <v>21.52</v>
      </c>
      <c r="D421">
        <v>57.950001</v>
      </c>
      <c r="E421">
        <v>24.190000999999999</v>
      </c>
      <c r="F421">
        <v>267.60000600000001</v>
      </c>
    </row>
    <row r="422" spans="1:6" x14ac:dyDescent="0.35">
      <c r="A422" s="8">
        <v>44497</v>
      </c>
      <c r="B422">
        <v>3162.780029</v>
      </c>
      <c r="C422">
        <v>20.51</v>
      </c>
      <c r="D422">
        <v>55.419998</v>
      </c>
      <c r="E422">
        <v>23.1</v>
      </c>
      <c r="F422">
        <v>261.10000600000001</v>
      </c>
    </row>
    <row r="423" spans="1:6" x14ac:dyDescent="0.35">
      <c r="A423" s="8">
        <v>44498</v>
      </c>
      <c r="B423">
        <v>3211.01001</v>
      </c>
      <c r="C423">
        <v>21.15</v>
      </c>
      <c r="D423">
        <v>56.650002000000001</v>
      </c>
      <c r="E423">
        <v>24.629999000000002</v>
      </c>
      <c r="F423">
        <v>256.5</v>
      </c>
    </row>
    <row r="424" spans="1:6" x14ac:dyDescent="0.35">
      <c r="A424" s="8">
        <v>44499</v>
      </c>
      <c r="B424">
        <v>3036.1499020000001</v>
      </c>
      <c r="C424">
        <v>20.98</v>
      </c>
      <c r="D424">
        <v>56.77</v>
      </c>
      <c r="E424">
        <v>25.549999</v>
      </c>
      <c r="F424">
        <v>257.5</v>
      </c>
    </row>
    <row r="425" spans="1:6" x14ac:dyDescent="0.35">
      <c r="A425" s="8">
        <v>44502</v>
      </c>
      <c r="B425">
        <v>3004.4799800000001</v>
      </c>
      <c r="C425">
        <v>21.41</v>
      </c>
      <c r="D425">
        <v>57.41</v>
      </c>
      <c r="E425">
        <v>26.67</v>
      </c>
      <c r="F425">
        <v>262.29998799999998</v>
      </c>
    </row>
    <row r="426" spans="1:6" x14ac:dyDescent="0.35">
      <c r="A426" s="8">
        <v>44503</v>
      </c>
      <c r="B426">
        <v>3048.4099120000001</v>
      </c>
      <c r="C426">
        <v>22.540001</v>
      </c>
      <c r="D426">
        <v>58.82</v>
      </c>
      <c r="E426">
        <v>26.870000999999998</v>
      </c>
      <c r="F426">
        <v>268.39999399999999</v>
      </c>
    </row>
    <row r="427" spans="1:6" x14ac:dyDescent="0.35">
      <c r="A427" s="8">
        <v>44504</v>
      </c>
      <c r="B427">
        <v>3241.1599120000001</v>
      </c>
      <c r="C427">
        <v>21.469999000000001</v>
      </c>
      <c r="D427">
        <v>57.599997999999999</v>
      </c>
      <c r="E427">
        <v>26.9</v>
      </c>
      <c r="F427">
        <v>267.79998799999998</v>
      </c>
    </row>
    <row r="428" spans="1:6" x14ac:dyDescent="0.35">
      <c r="A428" s="8">
        <v>44505</v>
      </c>
      <c r="B428">
        <v>3322</v>
      </c>
      <c r="C428">
        <v>22.02</v>
      </c>
      <c r="D428">
        <v>58.779998999999997</v>
      </c>
      <c r="E428">
        <v>26.84</v>
      </c>
      <c r="F428">
        <v>271.89999399999999</v>
      </c>
    </row>
    <row r="429" spans="1:6" x14ac:dyDescent="0.35">
      <c r="A429" s="8">
        <v>44506</v>
      </c>
      <c r="B429">
        <v>3311.3701169999999</v>
      </c>
      <c r="C429">
        <v>22.280000999999999</v>
      </c>
      <c r="D429">
        <v>60.830002</v>
      </c>
      <c r="E429">
        <v>26.67</v>
      </c>
      <c r="F429">
        <v>277.60000600000001</v>
      </c>
    </row>
    <row r="430" spans="1:6" x14ac:dyDescent="0.35">
      <c r="A430" s="8">
        <v>44509</v>
      </c>
      <c r="B430">
        <v>3143.73999</v>
      </c>
      <c r="C430">
        <v>24.59</v>
      </c>
      <c r="D430">
        <v>61.560001</v>
      </c>
      <c r="E430">
        <v>30.23</v>
      </c>
      <c r="F430">
        <v>304.60000600000001</v>
      </c>
    </row>
    <row r="431" spans="1:6" x14ac:dyDescent="0.35">
      <c r="A431" s="8">
        <v>44510</v>
      </c>
      <c r="B431">
        <v>3035.0200199999999</v>
      </c>
      <c r="C431">
        <v>24.459999</v>
      </c>
      <c r="D431">
        <v>62.709999000000003</v>
      </c>
      <c r="E431">
        <v>31.76</v>
      </c>
      <c r="F431">
        <v>315.5</v>
      </c>
    </row>
    <row r="432" spans="1:6" x14ac:dyDescent="0.35">
      <c r="A432" s="8">
        <v>44511</v>
      </c>
      <c r="B432">
        <v>3137.389893</v>
      </c>
      <c r="C432">
        <v>25.309999000000001</v>
      </c>
      <c r="D432">
        <v>62.970001000000003</v>
      </c>
      <c r="E432">
        <v>31.389999</v>
      </c>
      <c r="F432">
        <v>310.60000600000001</v>
      </c>
    </row>
    <row r="433" spans="1:6" x14ac:dyDescent="0.35">
      <c r="A433" s="8">
        <v>44512</v>
      </c>
      <c r="B433">
        <v>3110.280029</v>
      </c>
      <c r="C433">
        <v>24.26</v>
      </c>
      <c r="D433">
        <v>62.060001</v>
      </c>
      <c r="E433">
        <v>30.629999000000002</v>
      </c>
      <c r="F433">
        <v>305.5</v>
      </c>
    </row>
    <row r="434" spans="1:6" x14ac:dyDescent="0.35">
      <c r="A434" s="8">
        <v>44513</v>
      </c>
      <c r="B434">
        <v>3128.8100589999999</v>
      </c>
      <c r="C434">
        <v>24.530000999999999</v>
      </c>
      <c r="D434">
        <v>62.509998000000003</v>
      </c>
      <c r="E434">
        <v>31.209999</v>
      </c>
      <c r="F434">
        <v>309.10000600000001</v>
      </c>
    </row>
    <row r="435" spans="1:6" x14ac:dyDescent="0.35">
      <c r="A435" s="8">
        <v>44516</v>
      </c>
      <c r="B435">
        <v>3131.0600589999999</v>
      </c>
      <c r="C435">
        <v>25.48</v>
      </c>
      <c r="D435">
        <v>63.169998</v>
      </c>
      <c r="E435">
        <v>33.200001</v>
      </c>
      <c r="F435">
        <v>316</v>
      </c>
    </row>
    <row r="436" spans="1:6" x14ac:dyDescent="0.35">
      <c r="A436" s="8">
        <v>44517</v>
      </c>
      <c r="B436">
        <v>3135.6599120000001</v>
      </c>
      <c r="C436">
        <v>24.91</v>
      </c>
      <c r="D436">
        <v>63.259998000000003</v>
      </c>
      <c r="E436">
        <v>33.75</v>
      </c>
      <c r="F436">
        <v>316.79998799999998</v>
      </c>
    </row>
    <row r="437" spans="1:6" x14ac:dyDescent="0.35">
      <c r="A437" s="8">
        <v>44518</v>
      </c>
      <c r="B437">
        <v>3105.459961</v>
      </c>
      <c r="C437">
        <v>25.24</v>
      </c>
      <c r="D437">
        <v>63.09</v>
      </c>
      <c r="E437">
        <v>32.990001999999997</v>
      </c>
      <c r="F437">
        <v>319.29998799999998</v>
      </c>
    </row>
    <row r="438" spans="1:6" x14ac:dyDescent="0.35">
      <c r="A438" s="8">
        <v>44519</v>
      </c>
      <c r="B438">
        <v>3117.0200199999999</v>
      </c>
      <c r="C438">
        <v>25.379999000000002</v>
      </c>
      <c r="D438">
        <v>63.110000999999997</v>
      </c>
      <c r="E438">
        <v>33.18</v>
      </c>
      <c r="F438">
        <v>315</v>
      </c>
    </row>
    <row r="439" spans="1:6" x14ac:dyDescent="0.35">
      <c r="A439" s="8">
        <v>44520</v>
      </c>
      <c r="B439">
        <v>3099.3999020000001</v>
      </c>
      <c r="C439">
        <v>25.27</v>
      </c>
      <c r="D439">
        <v>63.529998999999997</v>
      </c>
      <c r="E439">
        <v>33.659999999999997</v>
      </c>
      <c r="F439">
        <v>318</v>
      </c>
    </row>
    <row r="440" spans="1:6" x14ac:dyDescent="0.35">
      <c r="A440" s="8">
        <v>44523</v>
      </c>
      <c r="B440">
        <v>3098.389893</v>
      </c>
      <c r="C440">
        <v>25.610001</v>
      </c>
      <c r="D440">
        <v>65.379997000000003</v>
      </c>
      <c r="E440">
        <v>35.209999000000003</v>
      </c>
      <c r="F440">
        <v>324.60000600000001</v>
      </c>
    </row>
    <row r="441" spans="1:6" x14ac:dyDescent="0.35">
      <c r="A441" s="8">
        <v>44524</v>
      </c>
      <c r="B441">
        <v>3118.0600589999999</v>
      </c>
      <c r="C441">
        <v>26.66</v>
      </c>
      <c r="D441">
        <v>67.650002000000001</v>
      </c>
      <c r="E441">
        <v>37.110000999999997</v>
      </c>
      <c r="F441">
        <v>337.79998799999998</v>
      </c>
    </row>
    <row r="442" spans="1:6" x14ac:dyDescent="0.35">
      <c r="A442" s="8">
        <v>44525</v>
      </c>
      <c r="B442">
        <v>3185.070068</v>
      </c>
      <c r="C442">
        <v>26.75</v>
      </c>
      <c r="D442">
        <v>66.279999000000004</v>
      </c>
      <c r="E442">
        <v>36.340000000000003</v>
      </c>
      <c r="F442">
        <v>327.60000600000001</v>
      </c>
    </row>
    <row r="443" spans="1:6" x14ac:dyDescent="0.35">
      <c r="A443" s="8">
        <v>44527</v>
      </c>
      <c r="B443">
        <v>3195.3400879999999</v>
      </c>
      <c r="C443">
        <v>26.889999</v>
      </c>
      <c r="D443">
        <v>66.050003000000004</v>
      </c>
      <c r="E443">
        <v>36.270000000000003</v>
      </c>
      <c r="F443">
        <v>326.79998799999998</v>
      </c>
    </row>
    <row r="444" spans="1:6" x14ac:dyDescent="0.35">
      <c r="A444" s="8">
        <v>44530</v>
      </c>
      <c r="B444">
        <v>3168.040039</v>
      </c>
      <c r="C444">
        <v>25.889999</v>
      </c>
      <c r="D444">
        <v>64.970000999999996</v>
      </c>
      <c r="E444">
        <v>33.840000000000003</v>
      </c>
      <c r="F444">
        <v>324.10000600000001</v>
      </c>
    </row>
    <row r="445" spans="1:6" x14ac:dyDescent="0.35">
      <c r="A445" s="8">
        <v>44531</v>
      </c>
      <c r="B445">
        <v>3220.080078</v>
      </c>
      <c r="C445">
        <v>27.290001</v>
      </c>
      <c r="D445">
        <v>67.510002</v>
      </c>
      <c r="E445">
        <v>35.060001</v>
      </c>
      <c r="F445">
        <v>321.20001200000002</v>
      </c>
    </row>
    <row r="446" spans="1:6" x14ac:dyDescent="0.35">
      <c r="A446" s="8">
        <v>44532</v>
      </c>
      <c r="B446">
        <v>3203.530029</v>
      </c>
      <c r="C446">
        <v>27.780000999999999</v>
      </c>
      <c r="D446">
        <v>70.190002000000007</v>
      </c>
      <c r="E446">
        <v>36.389999000000003</v>
      </c>
      <c r="F446">
        <v>332.39999399999999</v>
      </c>
    </row>
    <row r="447" spans="1:6" x14ac:dyDescent="0.35">
      <c r="A447" s="8">
        <v>44533</v>
      </c>
      <c r="B447">
        <v>3186.7299800000001</v>
      </c>
      <c r="C447">
        <v>28.16</v>
      </c>
      <c r="D447">
        <v>72.569999999999993</v>
      </c>
      <c r="E447">
        <v>36.709999000000003</v>
      </c>
      <c r="F447">
        <v>336.10000600000001</v>
      </c>
    </row>
    <row r="448" spans="1:6" x14ac:dyDescent="0.35">
      <c r="A448" s="8">
        <v>44534</v>
      </c>
      <c r="B448">
        <v>3162.580078</v>
      </c>
      <c r="C448">
        <v>28.370000999999998</v>
      </c>
      <c r="D448">
        <v>73.919998000000007</v>
      </c>
      <c r="E448">
        <v>38.229999999999997</v>
      </c>
      <c r="F448">
        <v>334.89999399999999</v>
      </c>
    </row>
    <row r="449" spans="1:6" x14ac:dyDescent="0.35">
      <c r="A449" s="8">
        <v>44537</v>
      </c>
      <c r="B449">
        <v>3158</v>
      </c>
      <c r="C449">
        <v>27.32</v>
      </c>
      <c r="D449">
        <v>72.970000999999996</v>
      </c>
      <c r="E449">
        <v>37.419998</v>
      </c>
      <c r="F449">
        <v>338.20001200000002</v>
      </c>
    </row>
    <row r="450" spans="1:6" x14ac:dyDescent="0.35">
      <c r="A450" s="8">
        <v>44538</v>
      </c>
      <c r="B450">
        <v>3177.290039</v>
      </c>
      <c r="C450">
        <v>26.620000999999998</v>
      </c>
      <c r="D450">
        <v>72.889999000000003</v>
      </c>
      <c r="E450">
        <v>37.389999000000003</v>
      </c>
      <c r="F450">
        <v>333.10000600000001</v>
      </c>
    </row>
    <row r="451" spans="1:6" x14ac:dyDescent="0.35">
      <c r="A451" s="8">
        <v>44539</v>
      </c>
      <c r="B451">
        <v>3104.1999510000001</v>
      </c>
      <c r="C451">
        <v>26.91</v>
      </c>
      <c r="D451">
        <v>72.389999000000003</v>
      </c>
      <c r="E451">
        <v>37.580002</v>
      </c>
      <c r="F451">
        <v>330</v>
      </c>
    </row>
    <row r="452" spans="1:6" x14ac:dyDescent="0.35">
      <c r="A452" s="8">
        <v>44540</v>
      </c>
      <c r="B452">
        <v>3101.48999</v>
      </c>
      <c r="C452">
        <v>26.780000999999999</v>
      </c>
      <c r="D452">
        <v>73.980002999999996</v>
      </c>
      <c r="E452">
        <v>38.419998</v>
      </c>
      <c r="F452">
        <v>333.20001200000002</v>
      </c>
    </row>
    <row r="453" spans="1:6" x14ac:dyDescent="0.35">
      <c r="A453" s="8">
        <v>44541</v>
      </c>
      <c r="B453">
        <v>3116.419922</v>
      </c>
      <c r="C453">
        <v>26.549999</v>
      </c>
      <c r="D453">
        <v>74.120002999999997</v>
      </c>
      <c r="E453">
        <v>37.810001</v>
      </c>
      <c r="F453">
        <v>323.79998799999998</v>
      </c>
    </row>
    <row r="454" spans="1:6" x14ac:dyDescent="0.35">
      <c r="A454" s="8">
        <v>44544</v>
      </c>
      <c r="B454">
        <v>3156.969971</v>
      </c>
      <c r="C454">
        <v>26.68</v>
      </c>
      <c r="D454">
        <v>74.389999000000003</v>
      </c>
      <c r="E454">
        <v>36.419998</v>
      </c>
      <c r="F454">
        <v>316</v>
      </c>
    </row>
    <row r="455" spans="1:6" x14ac:dyDescent="0.35">
      <c r="A455" s="8">
        <v>44545</v>
      </c>
      <c r="B455">
        <v>3165.1201169999999</v>
      </c>
      <c r="C455">
        <v>26.940000999999999</v>
      </c>
      <c r="D455">
        <v>76.190002000000007</v>
      </c>
      <c r="E455">
        <v>37.580002</v>
      </c>
      <c r="F455">
        <v>320.29998799999998</v>
      </c>
    </row>
    <row r="456" spans="1:6" x14ac:dyDescent="0.35">
      <c r="A456" s="8">
        <v>44546</v>
      </c>
      <c r="B456">
        <v>3240.959961</v>
      </c>
      <c r="C456">
        <v>26.66</v>
      </c>
      <c r="D456">
        <v>75.900002000000001</v>
      </c>
      <c r="E456">
        <v>37.830002</v>
      </c>
      <c r="F456">
        <v>324.60000600000001</v>
      </c>
    </row>
    <row r="457" spans="1:6" x14ac:dyDescent="0.35">
      <c r="A457" s="8">
        <v>44547</v>
      </c>
      <c r="B457">
        <v>3236.080078</v>
      </c>
      <c r="C457">
        <v>26.690000999999999</v>
      </c>
      <c r="D457">
        <v>76.599997999999999</v>
      </c>
      <c r="E457">
        <v>38.099997999999999</v>
      </c>
      <c r="F457">
        <v>328.70001200000002</v>
      </c>
    </row>
    <row r="458" spans="1:6" x14ac:dyDescent="0.35">
      <c r="A458" s="8">
        <v>44548</v>
      </c>
      <c r="B458">
        <v>3201.6499020000001</v>
      </c>
      <c r="C458">
        <v>26.200001</v>
      </c>
      <c r="D458">
        <v>76.610000999999997</v>
      </c>
      <c r="E458">
        <v>37.299999</v>
      </c>
      <c r="F458">
        <v>331.89999399999999</v>
      </c>
    </row>
    <row r="459" spans="1:6" x14ac:dyDescent="0.35">
      <c r="A459" s="8">
        <v>44551</v>
      </c>
      <c r="B459">
        <v>3206.179932</v>
      </c>
      <c r="C459">
        <v>25.58</v>
      </c>
      <c r="D459">
        <v>76.279999000000004</v>
      </c>
      <c r="E459">
        <v>35.540000999999997</v>
      </c>
      <c r="F459">
        <v>326.10000600000001</v>
      </c>
    </row>
    <row r="460" spans="1:6" x14ac:dyDescent="0.35">
      <c r="A460" s="8">
        <v>44552</v>
      </c>
      <c r="B460">
        <v>3206.5200199999999</v>
      </c>
      <c r="C460">
        <v>25.530000999999999</v>
      </c>
      <c r="D460">
        <v>75.290001000000004</v>
      </c>
      <c r="E460">
        <v>34.939999</v>
      </c>
      <c r="F460">
        <v>314.20001200000002</v>
      </c>
    </row>
    <row r="461" spans="1:6" x14ac:dyDescent="0.35">
      <c r="A461" s="8">
        <v>44553</v>
      </c>
      <c r="B461">
        <v>3185.2700199999999</v>
      </c>
      <c r="C461">
        <v>26.030000999999999</v>
      </c>
      <c r="D461">
        <v>76.129997000000003</v>
      </c>
      <c r="E461">
        <v>35.939999</v>
      </c>
      <c r="F461">
        <v>317.70001200000002</v>
      </c>
    </row>
    <row r="462" spans="1:6" x14ac:dyDescent="0.35">
      <c r="A462" s="8">
        <v>44554</v>
      </c>
      <c r="B462">
        <v>3172.6899410000001</v>
      </c>
      <c r="C462">
        <v>26.049999</v>
      </c>
      <c r="D462">
        <v>75.940002000000007</v>
      </c>
      <c r="E462">
        <v>35.830002</v>
      </c>
      <c r="F462">
        <v>326</v>
      </c>
    </row>
    <row r="463" spans="1:6" x14ac:dyDescent="0.35">
      <c r="A463" s="8">
        <v>44558</v>
      </c>
      <c r="B463">
        <v>3283.959961</v>
      </c>
      <c r="C463">
        <v>25.85</v>
      </c>
      <c r="D463">
        <v>75.589995999999999</v>
      </c>
      <c r="E463">
        <v>35.900002000000001</v>
      </c>
      <c r="F463">
        <v>328</v>
      </c>
    </row>
    <row r="464" spans="1:6" x14ac:dyDescent="0.35">
      <c r="A464" s="8">
        <v>44559</v>
      </c>
      <c r="B464">
        <v>3322</v>
      </c>
      <c r="C464">
        <v>25.82</v>
      </c>
      <c r="D464">
        <v>76.129997000000003</v>
      </c>
      <c r="E464">
        <v>36.139999000000003</v>
      </c>
      <c r="F464">
        <v>328.70001200000002</v>
      </c>
    </row>
    <row r="465" spans="1:6" x14ac:dyDescent="0.35">
      <c r="A465" s="8">
        <v>44560</v>
      </c>
      <c r="B465">
        <v>3285.8500979999999</v>
      </c>
      <c r="C465">
        <v>25.940000999999999</v>
      </c>
      <c r="D465">
        <v>75.989998</v>
      </c>
      <c r="E465">
        <v>36.029998999999997</v>
      </c>
      <c r="F465">
        <v>328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G472"/>
  <sheetViews>
    <sheetView tabSelected="1" topLeftCell="S25" zoomScale="80" zoomScaleNormal="80" workbookViewId="0">
      <selection activeCell="AE28" sqref="AE28:AE37"/>
    </sheetView>
  </sheetViews>
  <sheetFormatPr defaultColWidth="9.1796875" defaultRowHeight="14.5" x14ac:dyDescent="0.35"/>
  <cols>
    <col min="1" max="1" width="19.81640625" style="1" bestFit="1" customWidth="1"/>
    <col min="2" max="20" width="9.1796875" style="1"/>
    <col min="21" max="21" width="20.453125" style="1" bestFit="1" customWidth="1"/>
    <col min="22" max="30" width="9.1796875" style="1"/>
    <col min="31" max="31" width="16.453125" style="1" bestFit="1" customWidth="1"/>
    <col min="32" max="32" width="13" style="1" bestFit="1" customWidth="1"/>
    <col min="33" max="33" width="18.6328125" style="1" bestFit="1" customWidth="1"/>
    <col min="34" max="16384" width="9.1796875" style="1"/>
  </cols>
  <sheetData>
    <row r="1" spans="1:27" ht="15.5" x14ac:dyDescent="0.35">
      <c r="A1" s="5" t="s">
        <v>11</v>
      </c>
    </row>
    <row r="2" spans="1:27" x14ac:dyDescent="0.35">
      <c r="G2" s="1" t="s">
        <v>27</v>
      </c>
      <c r="L2" s="4" t="s">
        <v>12</v>
      </c>
    </row>
    <row r="3" spans="1:27" x14ac:dyDescent="0.35">
      <c r="A3" s="4" t="s">
        <v>0</v>
      </c>
      <c r="B3" s="4" t="s">
        <v>4</v>
      </c>
      <c r="C3" s="4" t="s">
        <v>7</v>
      </c>
      <c r="D3" s="4" t="s">
        <v>8</v>
      </c>
      <c r="E3" s="4" t="s">
        <v>6</v>
      </c>
      <c r="F3" s="4" t="s">
        <v>5</v>
      </c>
      <c r="G3" s="4" t="s">
        <v>4</v>
      </c>
      <c r="H3" s="4" t="s">
        <v>7</v>
      </c>
      <c r="I3" s="4" t="s">
        <v>8</v>
      </c>
      <c r="J3" s="4" t="s">
        <v>6</v>
      </c>
      <c r="K3" s="4" t="s">
        <v>5</v>
      </c>
      <c r="L3" s="4" t="s">
        <v>4</v>
      </c>
      <c r="M3" s="4" t="s">
        <v>7</v>
      </c>
      <c r="N3" s="4" t="s">
        <v>8</v>
      </c>
      <c r="O3" s="4" t="s">
        <v>6</v>
      </c>
      <c r="P3" s="4" t="s">
        <v>5</v>
      </c>
    </row>
    <row r="4" spans="1:27" x14ac:dyDescent="0.35">
      <c r="A4" s="2">
        <f>Prices!A2</f>
        <v>43891</v>
      </c>
      <c r="B4" s="1">
        <f>Prices!B2</f>
        <v>1671.7299800000001</v>
      </c>
      <c r="C4" s="1">
        <f>Prices!C2</f>
        <v>40.610000999999997</v>
      </c>
      <c r="D4" s="1">
        <f>Prices!D2</f>
        <v>58.360000999999997</v>
      </c>
      <c r="E4" s="1">
        <f>Prices!E2</f>
        <v>62.32</v>
      </c>
      <c r="F4" s="1">
        <f>Prices!F2</f>
        <v>432</v>
      </c>
      <c r="G4" s="10">
        <v>100</v>
      </c>
      <c r="H4" s="10">
        <v>100</v>
      </c>
      <c r="I4" s="10">
        <v>100</v>
      </c>
      <c r="J4" s="10">
        <v>100</v>
      </c>
      <c r="K4" s="10">
        <v>100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U4" s="4" t="s">
        <v>14</v>
      </c>
    </row>
    <row r="5" spans="1:27" x14ac:dyDescent="0.35">
      <c r="A5" s="2">
        <f>Prices!A3</f>
        <v>43894</v>
      </c>
      <c r="B5" s="1">
        <f>Prices!B3</f>
        <v>1696.170044</v>
      </c>
      <c r="C5" s="1">
        <f>Prices!C3</f>
        <v>40.68</v>
      </c>
      <c r="D5" s="1">
        <f>Prices!D3</f>
        <v>58.66</v>
      </c>
      <c r="E5" s="1">
        <f>Prices!E3</f>
        <v>62.290000999999997</v>
      </c>
      <c r="F5" s="1">
        <f>Prices!F3</f>
        <v>434.5</v>
      </c>
      <c r="G5" s="1">
        <f>G4*B5/B4</f>
        <v>101.46196241572457</v>
      </c>
      <c r="H5" s="1">
        <f t="shared" ref="H5:K5" si="0">H4*C5/C4</f>
        <v>100.17236887041693</v>
      </c>
      <c r="I5" s="1">
        <f t="shared" si="0"/>
        <v>100.51404899736038</v>
      </c>
      <c r="J5" s="1">
        <f t="shared" si="0"/>
        <v>99.951862965340169</v>
      </c>
      <c r="K5" s="1">
        <f t="shared" si="0"/>
        <v>100.57870370370371</v>
      </c>
      <c r="L5" s="23">
        <f t="shared" ref="L5:L68" si="1">B5/B4-1</f>
        <v>1.4619624157245603E-2</v>
      </c>
      <c r="M5" s="23">
        <f t="shared" ref="M5:M68" si="2">C5/C4-1</f>
        <v>1.7236887041691684E-3</v>
      </c>
      <c r="N5" s="23">
        <f t="shared" ref="N5:N68" si="3">D5/D4-1</f>
        <v>5.1404899736036125E-3</v>
      </c>
      <c r="O5" s="23">
        <f t="shared" ref="O5:O68" si="4">E5/E4-1</f>
        <v>-4.8137034659823108E-4</v>
      </c>
      <c r="P5" s="23">
        <f t="shared" ref="P5:P68" si="5">F5/F4-1</f>
        <v>5.7870370370369795E-3</v>
      </c>
      <c r="V5" s="4" t="s">
        <v>4</v>
      </c>
      <c r="W5" s="4" t="s">
        <v>7</v>
      </c>
      <c r="X5" s="4" t="s">
        <v>8</v>
      </c>
      <c r="Y5" s="4" t="s">
        <v>6</v>
      </c>
      <c r="Z5" s="4" t="s">
        <v>5</v>
      </c>
      <c r="AA5" s="4" t="s">
        <v>47</v>
      </c>
    </row>
    <row r="6" spans="1:27" x14ac:dyDescent="0.35">
      <c r="A6" s="2">
        <f>Prices!A4</f>
        <v>43895</v>
      </c>
      <c r="B6" s="1">
        <f>Prices!B4</f>
        <v>1692.4300539999999</v>
      </c>
      <c r="C6" s="1">
        <f>Prices!C4</f>
        <v>41</v>
      </c>
      <c r="D6" s="1">
        <f>Prices!D4</f>
        <v>58.919998</v>
      </c>
      <c r="E6" s="1">
        <f>Prices!E4</f>
        <v>62.380001</v>
      </c>
      <c r="F6" s="1">
        <f>Prices!F4</f>
        <v>438.79998799999998</v>
      </c>
      <c r="G6" s="1">
        <f>G5*B6/B5</f>
        <v>101.23824267361647</v>
      </c>
      <c r="H6" s="1">
        <f t="shared" ref="H6:H69" si="6">H5*C6/C5</f>
        <v>100.96035210636907</v>
      </c>
      <c r="I6" s="1">
        <f t="shared" ref="I6:I69" si="7">I5*D6/D5</f>
        <v>100.95955618643669</v>
      </c>
      <c r="J6" s="1">
        <f t="shared" ref="J6:J69" si="8">J5*E6/E5</f>
        <v>100.09627888318356</v>
      </c>
      <c r="K6" s="1">
        <f t="shared" ref="K6:K69" si="9">K5*F6/F5</f>
        <v>101.5740712962963</v>
      </c>
      <c r="L6" s="23">
        <f t="shared" si="1"/>
        <v>-2.2049617096056018E-3</v>
      </c>
      <c r="M6" s="23">
        <f t="shared" si="2"/>
        <v>7.8662733529990536E-3</v>
      </c>
      <c r="N6" s="23">
        <f t="shared" si="3"/>
        <v>4.4322877599727306E-3</v>
      </c>
      <c r="O6" s="23">
        <f t="shared" si="4"/>
        <v>1.444854688636088E-3</v>
      </c>
      <c r="P6" s="23">
        <f t="shared" si="5"/>
        <v>9.8964050632910361E-3</v>
      </c>
      <c r="U6" s="1" t="s">
        <v>3</v>
      </c>
      <c r="V6" s="6">
        <f>AVERAGE(L5:L467)</f>
        <v>1.6576434985856564E-3</v>
      </c>
      <c r="W6" s="6">
        <f>AVERAGE(M5:M467)</f>
        <v>-7.6085987820837496E-4</v>
      </c>
      <c r="X6" s="6">
        <f>AVERAGE(N5:N467)</f>
        <v>8.3631481766655935E-4</v>
      </c>
      <c r="Y6" s="6">
        <f>AVERAGE(O5:O467)</f>
        <v>-7.1286180844315928E-4</v>
      </c>
      <c r="Z6" s="6">
        <f>AVERAGE(P5:P467)</f>
        <v>-3.0738652308294961E-4</v>
      </c>
      <c r="AA6" s="6">
        <f>AVERAGE(L5:P467)</f>
        <v>1.4257002130354583E-4</v>
      </c>
    </row>
    <row r="7" spans="1:27" x14ac:dyDescent="0.35">
      <c r="A7" s="2">
        <f>Prices!A5</f>
        <v>43896</v>
      </c>
      <c r="B7" s="1">
        <f>Prices!B5</f>
        <v>1668.9499510000001</v>
      </c>
      <c r="C7" s="1">
        <f>Prices!C5</f>
        <v>40.970001000000003</v>
      </c>
      <c r="D7" s="1">
        <f>Prices!D5</f>
        <v>59.189999</v>
      </c>
      <c r="E7" s="1">
        <f>Prices!E5</f>
        <v>62.389999000000003</v>
      </c>
      <c r="F7" s="1">
        <f>Prices!F5</f>
        <v>433.29998799999998</v>
      </c>
      <c r="G7" s="1">
        <f t="shared" ref="G7:G69" si="10">G6*B7/B6</f>
        <v>99.833703466872095</v>
      </c>
      <c r="H7" s="1">
        <f t="shared" si="6"/>
        <v>100.88648114044618</v>
      </c>
      <c r="I7" s="1">
        <f t="shared" si="7"/>
        <v>101.42220353971553</v>
      </c>
      <c r="J7" s="1">
        <f t="shared" si="8"/>
        <v>100.11232188703465</v>
      </c>
      <c r="K7" s="1">
        <f t="shared" si="9"/>
        <v>100.30092314814814</v>
      </c>
      <c r="L7" s="23">
        <f t="shared" si="1"/>
        <v>-1.3873603192347872E-2</v>
      </c>
      <c r="M7" s="23">
        <f t="shared" si="2"/>
        <v>-7.3168292682923575E-4</v>
      </c>
      <c r="N7" s="23">
        <f t="shared" si="3"/>
        <v>4.5825018527665407E-3</v>
      </c>
      <c r="O7" s="23">
        <f t="shared" si="4"/>
        <v>1.6027572683108282E-4</v>
      </c>
      <c r="P7" s="23">
        <f t="shared" si="5"/>
        <v>-1.2534184481335919E-2</v>
      </c>
      <c r="U7" s="1" t="s">
        <v>13</v>
      </c>
      <c r="V7" s="6">
        <f>STDEV(L5:L467)</f>
        <v>1.989802559748528E-2</v>
      </c>
      <c r="W7" s="6">
        <f>STDEV(M5:M467)</f>
        <v>2.0348003900763394E-2</v>
      </c>
      <c r="X7" s="6">
        <f>STDEV(N5:N467)</f>
        <v>2.3156190399328563E-2</v>
      </c>
      <c r="Y7" s="6">
        <f>STDEV(O5:O467)</f>
        <v>3.0467018707435272E-2</v>
      </c>
      <c r="Z7" s="6">
        <f>STDEV(P5:P467)</f>
        <v>2.3978763897853986E-2</v>
      </c>
      <c r="AA7" s="6">
        <f>STDEV(L5:P467)</f>
        <v>2.3870508086152296E-2</v>
      </c>
    </row>
    <row r="8" spans="1:27" x14ac:dyDescent="0.35">
      <c r="A8" s="2">
        <f>Prices!A6</f>
        <v>43897</v>
      </c>
      <c r="B8" s="1">
        <f>Prices!B6</f>
        <v>1625.9499510000001</v>
      </c>
      <c r="C8" s="1">
        <f>Prices!C6</f>
        <v>40.869999</v>
      </c>
      <c r="D8" s="1">
        <f>Prices!D6</f>
        <v>54.740001999999997</v>
      </c>
      <c r="E8" s="1">
        <f>Prices!E6</f>
        <v>61.57</v>
      </c>
      <c r="F8" s="1">
        <f>Prices!F6</f>
        <v>419</v>
      </c>
      <c r="G8" s="1">
        <f t="shared" si="10"/>
        <v>97.26151773625547</v>
      </c>
      <c r="H8" s="1">
        <f t="shared" si="6"/>
        <v>100.64023145431591</v>
      </c>
      <c r="I8" s="1">
        <f t="shared" si="7"/>
        <v>93.79712313575871</v>
      </c>
      <c r="J8" s="1">
        <f t="shared" si="8"/>
        <v>98.796534017971751</v>
      </c>
      <c r="K8" s="1">
        <f t="shared" si="9"/>
        <v>96.990740740740748</v>
      </c>
      <c r="L8" s="23">
        <f t="shared" si="1"/>
        <v>-2.5764703114215748E-2</v>
      </c>
      <c r="M8" s="23">
        <f t="shared" si="2"/>
        <v>-2.4408591056661599E-3</v>
      </c>
      <c r="N8" s="23">
        <f t="shared" si="3"/>
        <v>-7.5181569102577672E-2</v>
      </c>
      <c r="O8" s="23">
        <f t="shared" si="4"/>
        <v>-1.3143116094616381E-2</v>
      </c>
      <c r="P8" s="23">
        <f t="shared" si="5"/>
        <v>-3.3002511876367713E-2</v>
      </c>
      <c r="U8" s="1" t="s">
        <v>2</v>
      </c>
      <c r="V8" s="6">
        <f>MAX(L5:L467)</f>
        <v>7.9295239080598989E-2</v>
      </c>
      <c r="W8" s="6">
        <f t="shared" ref="W8:Z8" si="11">MAX(M5:M467)</f>
        <v>0.10368038134289148</v>
      </c>
      <c r="X8" s="6">
        <f t="shared" si="11"/>
        <v>0.15788029422736383</v>
      </c>
      <c r="Y8" s="6">
        <f t="shared" si="11"/>
        <v>0.19679467014535956</v>
      </c>
      <c r="Z8" s="6">
        <f t="shared" si="11"/>
        <v>0.14976306161137454</v>
      </c>
      <c r="AA8" s="6">
        <f>MAX(L5:P467)</f>
        <v>0.19679467014535956</v>
      </c>
    </row>
    <row r="9" spans="1:27" x14ac:dyDescent="0.35">
      <c r="A9" s="2">
        <f>Prices!A7</f>
        <v>43898</v>
      </c>
      <c r="B9" s="1">
        <f>Prices!B7</f>
        <v>1620.8000489999999</v>
      </c>
      <c r="C9" s="1">
        <f>Prices!C7</f>
        <v>40.869999</v>
      </c>
      <c r="D9" s="1">
        <f>Prices!D7</f>
        <v>54.66</v>
      </c>
      <c r="E9" s="1">
        <f>Prices!E7</f>
        <v>60.799999</v>
      </c>
      <c r="F9" s="1">
        <f>Prices!F7</f>
        <v>414.89999399999999</v>
      </c>
      <c r="G9" s="1">
        <f t="shared" si="10"/>
        <v>96.953459493500247</v>
      </c>
      <c r="H9" s="1">
        <f t="shared" si="6"/>
        <v>100.6402314543159</v>
      </c>
      <c r="I9" s="1">
        <f t="shared" si="7"/>
        <v>93.660039519190576</v>
      </c>
      <c r="J9" s="1">
        <f t="shared" si="8"/>
        <v>97.560974005134781</v>
      </c>
      <c r="K9" s="1">
        <f t="shared" si="9"/>
        <v>96.041665277777795</v>
      </c>
      <c r="L9" s="23">
        <f t="shared" si="1"/>
        <v>-3.1673188936921504E-3</v>
      </c>
      <c r="M9" s="23">
        <f t="shared" si="2"/>
        <v>0</v>
      </c>
      <c r="N9" s="23">
        <f t="shared" si="3"/>
        <v>-1.4614906298322516E-3</v>
      </c>
      <c r="O9" s="23">
        <f t="shared" si="4"/>
        <v>-1.2506106870229017E-2</v>
      </c>
      <c r="P9" s="23">
        <f t="shared" si="5"/>
        <v>-9.7852171837709001E-3</v>
      </c>
      <c r="U9" s="1" t="s">
        <v>1</v>
      </c>
      <c r="V9" s="6">
        <f>MIN(L5:L467)</f>
        <v>-7.9220808402794329E-2</v>
      </c>
      <c r="W9" s="6">
        <f t="shared" ref="W9:Z9" si="12">MIN(M5:M467)</f>
        <v>-0.10246344162799004</v>
      </c>
      <c r="X9" s="6">
        <f t="shared" si="12"/>
        <v>-9.4237413344887333E-2</v>
      </c>
      <c r="Y9" s="6">
        <f t="shared" si="12"/>
        <v>-0.17172197687418145</v>
      </c>
      <c r="Z9" s="6">
        <f t="shared" si="12"/>
        <v>-0.12540192926045013</v>
      </c>
      <c r="AA9" s="6">
        <f>MIN(L5:P467)</f>
        <v>-0.17172197687418145</v>
      </c>
    </row>
    <row r="10" spans="1:27" x14ac:dyDescent="0.35">
      <c r="A10" s="2">
        <f>Prices!A8</f>
        <v>43901</v>
      </c>
      <c r="B10" s="1">
        <f>Prices!B8</f>
        <v>1670.619995</v>
      </c>
      <c r="C10" s="1">
        <f>Prices!C8</f>
        <v>41.009998000000003</v>
      </c>
      <c r="D10" s="1">
        <f>Prices!D8</f>
        <v>55.279998999999997</v>
      </c>
      <c r="E10" s="1">
        <f>Prices!E8</f>
        <v>61.23</v>
      </c>
      <c r="F10" s="1">
        <f>Prices!F8</f>
        <v>421.70001200000002</v>
      </c>
      <c r="G10" s="1">
        <f t="shared" si="10"/>
        <v>99.933602614460483</v>
      </c>
      <c r="H10" s="1">
        <f t="shared" si="6"/>
        <v>100.98497165759736</v>
      </c>
      <c r="I10" s="1">
        <f t="shared" si="7"/>
        <v>94.722409274804519</v>
      </c>
      <c r="J10" s="1">
        <f t="shared" si="8"/>
        <v>98.250962772785613</v>
      </c>
      <c r="K10" s="1">
        <f t="shared" si="9"/>
        <v>97.615743518518542</v>
      </c>
      <c r="L10" s="23">
        <f t="shared" si="1"/>
        <v>3.0737872960170387E-2</v>
      </c>
      <c r="M10" s="23">
        <f t="shared" si="2"/>
        <v>3.4254710894414675E-3</v>
      </c>
      <c r="N10" s="23">
        <f t="shared" si="3"/>
        <v>1.1342828393706483E-2</v>
      </c>
      <c r="O10" s="23">
        <f t="shared" si="4"/>
        <v>7.072384984743163E-3</v>
      </c>
      <c r="P10" s="23">
        <f t="shared" si="5"/>
        <v>1.6389535064683658E-2</v>
      </c>
      <c r="U10" s="1" t="s">
        <v>49</v>
      </c>
      <c r="V10" s="19">
        <f>COUNT(L$5:L$467)</f>
        <v>463</v>
      </c>
      <c r="W10" s="19">
        <f t="shared" ref="W10:Z10" si="13">COUNT(M$5:M$467)</f>
        <v>463</v>
      </c>
      <c r="X10" s="19">
        <f t="shared" si="13"/>
        <v>463</v>
      </c>
      <c r="Y10" s="19">
        <f t="shared" si="13"/>
        <v>463</v>
      </c>
      <c r="Z10" s="19">
        <f t="shared" si="13"/>
        <v>463</v>
      </c>
      <c r="AA10" s="19">
        <f>COUNT(L$5:P$467)</f>
        <v>2315</v>
      </c>
    </row>
    <row r="11" spans="1:27" x14ac:dyDescent="0.35">
      <c r="A11" s="2">
        <f>Prices!A9</f>
        <v>43902</v>
      </c>
      <c r="B11" s="1">
        <f>Prices!B9</f>
        <v>1673.099976</v>
      </c>
      <c r="C11" s="1">
        <f>Prices!C9</f>
        <v>41.07</v>
      </c>
      <c r="D11" s="1">
        <f>Prices!D9</f>
        <v>55.32</v>
      </c>
      <c r="E11" s="1">
        <f>Prices!E9</f>
        <v>61.34</v>
      </c>
      <c r="F11" s="1">
        <f>Prices!F9</f>
        <v>420</v>
      </c>
      <c r="G11" s="1">
        <f t="shared" si="10"/>
        <v>100.08195079446979</v>
      </c>
      <c r="H11" s="1">
        <f t="shared" si="6"/>
        <v>101.1327234392336</v>
      </c>
      <c r="I11" s="1">
        <f t="shared" si="7"/>
        <v>94.790951083088586</v>
      </c>
      <c r="J11" s="1">
        <f t="shared" si="8"/>
        <v>98.427471116816434</v>
      </c>
      <c r="K11" s="1">
        <f t="shared" si="9"/>
        <v>97.222222222222243</v>
      </c>
      <c r="L11" s="23">
        <f t="shared" si="1"/>
        <v>1.4844674476675035E-3</v>
      </c>
      <c r="M11" s="23">
        <f t="shared" si="2"/>
        <v>1.4631066307293494E-3</v>
      </c>
      <c r="N11" s="23">
        <f t="shared" si="3"/>
        <v>7.2360710426222496E-4</v>
      </c>
      <c r="O11" s="23">
        <f t="shared" si="4"/>
        <v>1.7965049812185274E-3</v>
      </c>
      <c r="P11" s="23">
        <f t="shared" si="5"/>
        <v>-4.0313302149017627E-3</v>
      </c>
    </row>
    <row r="12" spans="1:27" x14ac:dyDescent="0.35">
      <c r="A12" s="2">
        <f>Prices!A10</f>
        <v>43903</v>
      </c>
      <c r="B12" s="1">
        <f>Prices!B10</f>
        <v>1690.8100589999999</v>
      </c>
      <c r="C12" s="1">
        <f>Prices!C10</f>
        <v>41.119999</v>
      </c>
      <c r="D12" s="1">
        <f>Prices!D10</f>
        <v>56.029998999999997</v>
      </c>
      <c r="E12" s="1">
        <f>Prices!E10</f>
        <v>62.990001999999997</v>
      </c>
      <c r="F12" s="1">
        <f>Prices!F10</f>
        <v>419.79998799999998</v>
      </c>
      <c r="G12" s="1">
        <f t="shared" si="10"/>
        <v>101.14133737076365</v>
      </c>
      <c r="H12" s="1">
        <f t="shared" si="6"/>
        <v>101.25584335740351</v>
      </c>
      <c r="I12" s="1">
        <f t="shared" si="7"/>
        <v>96.007536051961353</v>
      </c>
      <c r="J12" s="1">
        <f t="shared" si="8"/>
        <v>101.07509948652117</v>
      </c>
      <c r="K12" s="1">
        <f t="shared" si="9"/>
        <v>97.175923148148158</v>
      </c>
      <c r="L12" s="23">
        <f t="shared" si="1"/>
        <v>1.0585191114723891E-2</v>
      </c>
      <c r="M12" s="23">
        <f t="shared" si="2"/>
        <v>1.2174093011931841E-3</v>
      </c>
      <c r="N12" s="23">
        <f t="shared" si="3"/>
        <v>1.2834399855386813E-2</v>
      </c>
      <c r="O12" s="23">
        <f t="shared" si="4"/>
        <v>2.6899282686664305E-2</v>
      </c>
      <c r="P12" s="23">
        <f t="shared" si="5"/>
        <v>-4.762190476190753E-4</v>
      </c>
      <c r="U12" s="4" t="s">
        <v>41</v>
      </c>
    </row>
    <row r="13" spans="1:27" x14ac:dyDescent="0.35">
      <c r="A13" s="2">
        <f>Prices!A11</f>
        <v>43904</v>
      </c>
      <c r="B13" s="1">
        <f>Prices!B11</f>
        <v>1686.219971</v>
      </c>
      <c r="C13" s="1">
        <f>Prices!C11</f>
        <v>41.139999000000003</v>
      </c>
      <c r="D13" s="1">
        <f>Prices!D11</f>
        <v>56</v>
      </c>
      <c r="E13" s="1">
        <f>Prices!E11</f>
        <v>63.049999</v>
      </c>
      <c r="F13" s="1">
        <f>Prices!F11</f>
        <v>425.60000600000001</v>
      </c>
      <c r="G13" s="1">
        <f t="shared" si="10"/>
        <v>100.86676623458052</v>
      </c>
      <c r="H13" s="1">
        <f t="shared" si="6"/>
        <v>101.30509230965052</v>
      </c>
      <c r="I13" s="1">
        <f t="shared" si="7"/>
        <v>95.956132694377459</v>
      </c>
      <c r="J13" s="1">
        <f t="shared" si="8"/>
        <v>101.1713719512195</v>
      </c>
      <c r="K13" s="1">
        <f t="shared" si="9"/>
        <v>98.518519907407423</v>
      </c>
      <c r="L13" s="23">
        <f t="shared" si="1"/>
        <v>-2.7147271661694949E-3</v>
      </c>
      <c r="M13" s="23">
        <f t="shared" si="2"/>
        <v>4.8638133478551282E-4</v>
      </c>
      <c r="N13" s="23">
        <f t="shared" si="3"/>
        <v>-5.3540961155462696E-4</v>
      </c>
      <c r="O13" s="23">
        <f t="shared" si="4"/>
        <v>9.5248449111018374E-4</v>
      </c>
      <c r="P13" s="23">
        <f t="shared" si="5"/>
        <v>1.3816146178641686E-2</v>
      </c>
      <c r="U13" s="1" t="s">
        <v>3</v>
      </c>
      <c r="V13" s="6">
        <f>AVERAGE(L216:L467)</f>
        <v>2.5799798173291922E-3</v>
      </c>
      <c r="W13" s="6">
        <f>AVERAGE(M216:M467)</f>
        <v>-1.2838776883675087E-3</v>
      </c>
      <c r="X13" s="6">
        <f>AVERAGE(N216:N467)</f>
        <v>1.3699428329378798E-3</v>
      </c>
      <c r="Y13" s="6">
        <f>AVERAGE(O216:O467)</f>
        <v>-1.1383665541086223E-3</v>
      </c>
      <c r="Z13" s="6">
        <f>AVERAGE(P216:P467)</f>
        <v>-5.6497856314869732E-4</v>
      </c>
      <c r="AA13" s="6">
        <f>AVERAGE(L216:P467)</f>
        <v>1.9253996892844809E-4</v>
      </c>
    </row>
    <row r="14" spans="1:27" x14ac:dyDescent="0.35">
      <c r="A14" s="2">
        <f>Prices!A12</f>
        <v>43905</v>
      </c>
      <c r="B14" s="1">
        <f>Prices!B12</f>
        <v>1712.3599850000001</v>
      </c>
      <c r="C14" s="1">
        <f>Prices!C12</f>
        <v>41.41</v>
      </c>
      <c r="D14" s="1">
        <f>Prices!D12</f>
        <v>55.98</v>
      </c>
      <c r="E14" s="1">
        <f>Prices!E12</f>
        <v>63.290000999999997</v>
      </c>
      <c r="F14" s="1">
        <f>Prices!F12</f>
        <v>433.89999399999999</v>
      </c>
      <c r="G14" s="1">
        <f t="shared" si="10"/>
        <v>102.43041672316004</v>
      </c>
      <c r="H14" s="1">
        <f t="shared" si="6"/>
        <v>101.96995562743274</v>
      </c>
      <c r="I14" s="1">
        <f t="shared" si="7"/>
        <v>95.921862646986597</v>
      </c>
      <c r="J14" s="1">
        <f t="shared" si="8"/>
        <v>101.55648427471115</v>
      </c>
      <c r="K14" s="1">
        <f t="shared" si="9"/>
        <v>100.43981342592595</v>
      </c>
      <c r="L14" s="23">
        <f t="shared" si="1"/>
        <v>1.5502137591513643E-2</v>
      </c>
      <c r="M14" s="23">
        <f t="shared" si="2"/>
        <v>6.5629802275881666E-3</v>
      </c>
      <c r="N14" s="23">
        <f t="shared" si="3"/>
        <v>-3.5714285714294469E-4</v>
      </c>
      <c r="O14" s="23">
        <f t="shared" si="4"/>
        <v>3.806534556804575E-3</v>
      </c>
      <c r="P14" s="23">
        <f t="shared" si="5"/>
        <v>1.9501851228827194E-2</v>
      </c>
      <c r="U14" s="1" t="s">
        <v>13</v>
      </c>
      <c r="V14" s="6">
        <f>_xlfn.STDEV.P(L216:L467)</f>
        <v>2.4250709446888973E-2</v>
      </c>
      <c r="W14" s="6">
        <f>_xlfn.STDEV.P(M216:M467)</f>
        <v>2.6153320685837877E-2</v>
      </c>
      <c r="X14" s="6">
        <f>_xlfn.STDEV.P(N216:N467)</f>
        <v>2.8036105200096521E-2</v>
      </c>
      <c r="Y14" s="6">
        <f>_xlfn.STDEV.P(O216:O467)</f>
        <v>4.0100514234610231E-2</v>
      </c>
      <c r="Z14" s="6">
        <f>_xlfn.STDEV.P(P216:P467)</f>
        <v>2.9959572468375221E-2</v>
      </c>
      <c r="AA14" s="6">
        <f>STDEV(L216:P467)</f>
        <v>3.0262150389240957E-2</v>
      </c>
    </row>
    <row r="15" spans="1:27" x14ac:dyDescent="0.35">
      <c r="A15" s="2">
        <f>Prices!A13</f>
        <v>43908</v>
      </c>
      <c r="B15" s="1">
        <f>Prices!B13</f>
        <v>1742.150024</v>
      </c>
      <c r="C15" s="1">
        <f>Prices!C13</f>
        <v>41.529998999999997</v>
      </c>
      <c r="D15" s="1">
        <f>Prices!D13</f>
        <v>56.990001999999997</v>
      </c>
      <c r="E15" s="1">
        <f>Prices!E13</f>
        <v>64.089995999999999</v>
      </c>
      <c r="F15" s="1">
        <f>Prices!F13</f>
        <v>436</v>
      </c>
      <c r="G15" s="1">
        <f t="shared" si="10"/>
        <v>104.21240540293475</v>
      </c>
      <c r="H15" s="1">
        <f t="shared" si="6"/>
        <v>102.26544687846719</v>
      </c>
      <c r="I15" s="1">
        <f t="shared" si="7"/>
        <v>97.652503467229224</v>
      </c>
      <c r="J15" s="1">
        <f t="shared" si="8"/>
        <v>102.84017329910139</v>
      </c>
      <c r="K15" s="1">
        <f t="shared" si="9"/>
        <v>100.92592592592595</v>
      </c>
      <c r="L15" s="23">
        <f t="shared" si="1"/>
        <v>1.7397065605921691E-2</v>
      </c>
      <c r="M15" s="23">
        <f t="shared" si="2"/>
        <v>2.8978266119294993E-3</v>
      </c>
      <c r="N15" s="23">
        <f t="shared" si="3"/>
        <v>1.8042193640585902E-2</v>
      </c>
      <c r="O15" s="23">
        <f t="shared" si="4"/>
        <v>1.2640148322955458E-2</v>
      </c>
      <c r="P15" s="23">
        <f t="shared" si="5"/>
        <v>4.8398387394308351E-3</v>
      </c>
      <c r="U15" s="1" t="s">
        <v>2</v>
      </c>
      <c r="V15" s="6">
        <f>MAX(L216:L467)</f>
        <v>7.9295239080598989E-2</v>
      </c>
      <c r="W15" s="6">
        <f>MAX(M216:M467)</f>
        <v>0.10368038134289148</v>
      </c>
      <c r="X15" s="6">
        <f>MAX(N216:N467)</f>
        <v>0.15788029422736383</v>
      </c>
      <c r="Y15" s="6">
        <f>MAX(O216:O467)</f>
        <v>0.19679467014535956</v>
      </c>
      <c r="Z15" s="6">
        <f>MAX(P216:P467)</f>
        <v>0.14976306161137454</v>
      </c>
      <c r="AA15" s="6">
        <f>MAX(L216:P467)</f>
        <v>0.19679467014535956</v>
      </c>
    </row>
    <row r="16" spans="1:27" x14ac:dyDescent="0.35">
      <c r="A16" s="2">
        <f>Prices!A14</f>
        <v>43909</v>
      </c>
      <c r="B16" s="1">
        <f>Prices!B14</f>
        <v>1761.849976</v>
      </c>
      <c r="C16" s="1">
        <f>Prices!C14</f>
        <v>41.380001</v>
      </c>
      <c r="D16" s="1">
        <f>Prices!D14</f>
        <v>56.52</v>
      </c>
      <c r="E16" s="1">
        <f>Prices!E14</f>
        <v>63.950001</v>
      </c>
      <c r="F16" s="1">
        <f>Prices!F14</f>
        <v>434.29998799999998</v>
      </c>
      <c r="G16" s="1">
        <f t="shared" si="10"/>
        <v>105.39082250591689</v>
      </c>
      <c r="H16" s="1">
        <f t="shared" si="6"/>
        <v>101.89608466150986</v>
      </c>
      <c r="I16" s="1">
        <f t="shared" si="7"/>
        <v>96.847153926539534</v>
      </c>
      <c r="J16" s="1">
        <f t="shared" si="8"/>
        <v>102.615534338896</v>
      </c>
      <c r="K16" s="1">
        <f t="shared" si="9"/>
        <v>100.53240462962965</v>
      </c>
      <c r="L16" s="23">
        <f t="shared" si="1"/>
        <v>1.1307839008473319E-2</v>
      </c>
      <c r="M16" s="23">
        <f t="shared" si="2"/>
        <v>-3.6117987867034795E-3</v>
      </c>
      <c r="N16" s="23">
        <f t="shared" si="3"/>
        <v>-8.2470956923285099E-3</v>
      </c>
      <c r="O16" s="23">
        <f t="shared" si="4"/>
        <v>-2.1843502689561367E-3</v>
      </c>
      <c r="P16" s="23">
        <f t="shared" si="5"/>
        <v>-3.899110091743152E-3</v>
      </c>
      <c r="U16" s="1" t="s">
        <v>1</v>
      </c>
      <c r="V16" s="6">
        <f>MIN(L216:L467)</f>
        <v>-7.9220808402794329E-2</v>
      </c>
      <c r="W16" s="6">
        <f>MIN(M216:M467)</f>
        <v>-0.10246344162799004</v>
      </c>
      <c r="X16" s="6">
        <f>MIN(N216:N467)</f>
        <v>-9.4237413344887333E-2</v>
      </c>
      <c r="Y16" s="6">
        <f>MIN(O216:O467)</f>
        <v>-0.17172197687418145</v>
      </c>
      <c r="Z16" s="6">
        <f>MIN(P216:P467)</f>
        <v>-0.12540192926045013</v>
      </c>
      <c r="AA16" s="6">
        <f>MIN(L216:P467)</f>
        <v>-0.17172197687418145</v>
      </c>
    </row>
    <row r="17" spans="1:33" x14ac:dyDescent="0.35">
      <c r="A17" s="2">
        <f>Prices!A15</f>
        <v>43910</v>
      </c>
      <c r="B17" s="1">
        <f>Prices!B15</f>
        <v>1797.2700199999999</v>
      </c>
      <c r="C17" s="1">
        <f>Prices!C15</f>
        <v>41.209999000000003</v>
      </c>
      <c r="D17" s="1">
        <f>Prices!D15</f>
        <v>56.650002000000001</v>
      </c>
      <c r="E17" s="1">
        <f>Prices!E15</f>
        <v>64.480002999999996</v>
      </c>
      <c r="F17" s="1">
        <f>Prices!F15</f>
        <v>427.60000600000001</v>
      </c>
      <c r="G17" s="1">
        <f t="shared" si="10"/>
        <v>107.50958836067532</v>
      </c>
      <c r="H17" s="1">
        <f t="shared" si="6"/>
        <v>101.47746364251506</v>
      </c>
      <c r="I17" s="1">
        <f t="shared" si="7"/>
        <v>97.069912661584794</v>
      </c>
      <c r="J17" s="1">
        <f t="shared" si="8"/>
        <v>103.46598684210524</v>
      </c>
      <c r="K17" s="1">
        <f t="shared" si="9"/>
        <v>98.981482870370385</v>
      </c>
      <c r="L17" s="23">
        <f t="shared" si="1"/>
        <v>2.010389334080287E-2</v>
      </c>
      <c r="M17" s="23">
        <f t="shared" si="2"/>
        <v>-4.1083130954974179E-3</v>
      </c>
      <c r="N17" s="23">
        <f t="shared" si="3"/>
        <v>2.3001061571124026E-3</v>
      </c>
      <c r="O17" s="23">
        <f t="shared" si="4"/>
        <v>8.2877559298240033E-3</v>
      </c>
      <c r="P17" s="23">
        <f t="shared" si="5"/>
        <v>-1.5427083088015103E-2</v>
      </c>
      <c r="U17" s="1" t="s">
        <v>49</v>
      </c>
      <c r="V17" s="19">
        <f>COUNT(L$216:L$467)</f>
        <v>252</v>
      </c>
      <c r="W17" s="19">
        <f>COUNT(M$216:M$467)</f>
        <v>252</v>
      </c>
      <c r="X17" s="19">
        <f>COUNT(N$216:N$467)</f>
        <v>252</v>
      </c>
      <c r="Y17" s="19">
        <f>COUNT(O$216:O$467)</f>
        <v>252</v>
      </c>
      <c r="Z17" s="19">
        <f>COUNT(P$216:P$467)</f>
        <v>252</v>
      </c>
      <c r="AA17" s="19">
        <f>COUNT(L$216:P$467)</f>
        <v>1260</v>
      </c>
    </row>
    <row r="18" spans="1:33" x14ac:dyDescent="0.35">
      <c r="A18" s="2">
        <f>Prices!A16</f>
        <v>43911</v>
      </c>
      <c r="B18" s="1">
        <f>Prices!B16</f>
        <v>1819.26001</v>
      </c>
      <c r="C18" s="1">
        <f>Prices!C16</f>
        <v>41.07</v>
      </c>
      <c r="D18" s="1">
        <f>Prices!D16</f>
        <v>56.830002</v>
      </c>
      <c r="E18" s="1">
        <f>Prices!E16</f>
        <v>64.080001999999993</v>
      </c>
      <c r="F18" s="1">
        <f>Prices!F16</f>
        <v>424.5</v>
      </c>
      <c r="G18" s="1">
        <f t="shared" si="10"/>
        <v>108.82499158147537</v>
      </c>
      <c r="H18" s="1">
        <f t="shared" si="6"/>
        <v>101.13272343923362</v>
      </c>
      <c r="I18" s="1">
        <f t="shared" si="7"/>
        <v>97.378343088102426</v>
      </c>
      <c r="J18" s="1">
        <f t="shared" si="8"/>
        <v>102.82413671373554</v>
      </c>
      <c r="K18" s="1">
        <f t="shared" si="9"/>
        <v>98.2638888888889</v>
      </c>
      <c r="L18" s="23">
        <f t="shared" si="1"/>
        <v>1.2235217722042613E-2</v>
      </c>
      <c r="M18" s="23">
        <f t="shared" si="2"/>
        <v>-3.3972094976271183E-3</v>
      </c>
      <c r="N18" s="23">
        <f t="shared" si="3"/>
        <v>3.1774050069759419E-3</v>
      </c>
      <c r="O18" s="23">
        <f t="shared" si="4"/>
        <v>-6.2034891654704216E-3</v>
      </c>
      <c r="P18" s="23">
        <f t="shared" si="5"/>
        <v>-7.2497800666542211E-3</v>
      </c>
    </row>
    <row r="19" spans="1:33" x14ac:dyDescent="0.35">
      <c r="A19" s="2">
        <f>Prices!A17</f>
        <v>43912</v>
      </c>
      <c r="B19" s="1">
        <f>Prices!B17</f>
        <v>1764.7700199999999</v>
      </c>
      <c r="C19" s="1">
        <f>Prices!C17</f>
        <v>40.419998</v>
      </c>
      <c r="D19" s="1">
        <f>Prices!D17</f>
        <v>56.139999000000003</v>
      </c>
      <c r="E19" s="1">
        <f>Prices!E17</f>
        <v>62.880001</v>
      </c>
      <c r="F19" s="1">
        <f>Prices!F17</f>
        <v>409.89999399999999</v>
      </c>
      <c r="G19" s="1">
        <f t="shared" si="10"/>
        <v>105.56549449451161</v>
      </c>
      <c r="H19" s="1">
        <f t="shared" si="6"/>
        <v>99.532127566310592</v>
      </c>
      <c r="I19" s="1">
        <f t="shared" si="7"/>
        <v>96.196021312611038</v>
      </c>
      <c r="J19" s="1">
        <f t="shared" si="8"/>
        <v>100.89858953786906</v>
      </c>
      <c r="K19" s="1">
        <f t="shared" si="9"/>
        <v>94.884257870370377</v>
      </c>
      <c r="L19" s="23">
        <f t="shared" si="1"/>
        <v>-2.9951732957621657E-2</v>
      </c>
      <c r="M19" s="23">
        <f t="shared" si="2"/>
        <v>-1.5826686145605118E-2</v>
      </c>
      <c r="N19" s="23">
        <f t="shared" si="3"/>
        <v>-1.214152693501569E-2</v>
      </c>
      <c r="O19" s="23">
        <f t="shared" si="4"/>
        <v>-1.8726606781316768E-2</v>
      </c>
      <c r="P19" s="23">
        <f t="shared" si="5"/>
        <v>-3.4393418138987109E-2</v>
      </c>
      <c r="U19" s="1" t="s">
        <v>38</v>
      </c>
      <c r="AC19" s="1" t="s">
        <v>26</v>
      </c>
    </row>
    <row r="20" spans="1:33" x14ac:dyDescent="0.35">
      <c r="A20" s="2">
        <f>Prices!A18</f>
        <v>43915</v>
      </c>
      <c r="B20" s="1">
        <f>Prices!B18</f>
        <v>1774.26001</v>
      </c>
      <c r="C20" s="1">
        <f>Prices!C18</f>
        <v>40.43</v>
      </c>
      <c r="D20" s="1">
        <f>Prices!D18</f>
        <v>56.950001</v>
      </c>
      <c r="E20" s="1">
        <f>Prices!E18</f>
        <v>62.790000999999997</v>
      </c>
      <c r="F20" s="1">
        <f>Prices!F18</f>
        <v>409</v>
      </c>
      <c r="G20" s="1">
        <f t="shared" si="10"/>
        <v>106.1331693052487</v>
      </c>
      <c r="H20" s="1">
        <f t="shared" si="6"/>
        <v>99.556756967329321</v>
      </c>
      <c r="I20" s="1">
        <f t="shared" si="7"/>
        <v>97.583961658945171</v>
      </c>
      <c r="J20" s="1">
        <f t="shared" si="8"/>
        <v>100.75417362002565</v>
      </c>
      <c r="K20" s="1">
        <f t="shared" si="9"/>
        <v>94.675925925925924</v>
      </c>
      <c r="L20" s="23">
        <f t="shared" si="1"/>
        <v>5.3774655578067154E-3</v>
      </c>
      <c r="M20" s="23">
        <f t="shared" si="2"/>
        <v>2.4745176880025532E-4</v>
      </c>
      <c r="N20" s="23">
        <f t="shared" si="3"/>
        <v>1.4428251058572261E-2</v>
      </c>
      <c r="O20" s="23">
        <f t="shared" si="4"/>
        <v>-1.4312976871613259E-3</v>
      </c>
      <c r="P20" s="23">
        <f t="shared" si="5"/>
        <v>-2.1956428718561405E-3</v>
      </c>
      <c r="U20" s="1" t="s">
        <v>39</v>
      </c>
      <c r="V20" s="1" t="str">
        <f>IF(V6&gt;0,IF(G467&gt;100,"OK","Not OK"),IF(G467&lt;100,"OK","Not OK"))</f>
        <v>OK</v>
      </c>
      <c r="W20" s="1" t="str">
        <f>IF(W6&gt;0,IF(H467&gt;100,"OK","Not OK"),IF(H467&lt;100,"OK","Not OK"))</f>
        <v>OK</v>
      </c>
      <c r="X20" s="1" t="str">
        <f>IF(X6&gt;0,IF(I467&gt;100,"OK","Not OK"),IF(I467&lt;100,"OK","Not OK"))</f>
        <v>OK</v>
      </c>
      <c r="Y20" s="1" t="str">
        <f>IF(Y6&gt;0,IF(J467&gt;100,"OK","Not OK"),IF(J467&lt;100,"OK","Not OK"))</f>
        <v>OK</v>
      </c>
      <c r="Z20" s="1" t="str">
        <f>IF(Z6&gt;0,IF(K467&gt;100,"OK","Not OK"),IF(K467&lt;100,"OK","Not OK"))</f>
        <v>OK</v>
      </c>
      <c r="AC20" s="1" t="s">
        <v>56</v>
      </c>
    </row>
    <row r="21" spans="1:33" x14ac:dyDescent="0.35">
      <c r="A21" s="2">
        <f>Prices!A19</f>
        <v>43916</v>
      </c>
      <c r="B21" s="1">
        <f>Prices!B19</f>
        <v>1783.76001</v>
      </c>
      <c r="C21" s="1">
        <f>Prices!C19</f>
        <v>40.580002</v>
      </c>
      <c r="D21" s="1">
        <f>Prices!D19</f>
        <v>57.790000999999997</v>
      </c>
      <c r="E21" s="1">
        <f>Prices!E19</f>
        <v>63.200001</v>
      </c>
      <c r="F21" s="1">
        <f>Prices!F19</f>
        <v>405</v>
      </c>
      <c r="G21" s="1">
        <f t="shared" si="10"/>
        <v>106.70144289689655</v>
      </c>
      <c r="H21" s="1">
        <f t="shared" si="6"/>
        <v>99.926129034077121</v>
      </c>
      <c r="I21" s="1">
        <f t="shared" si="7"/>
        <v>99.023303649360827</v>
      </c>
      <c r="J21" s="1">
        <f t="shared" si="8"/>
        <v>101.41206835686776</v>
      </c>
      <c r="K21" s="1">
        <f t="shared" si="9"/>
        <v>93.75</v>
      </c>
      <c r="L21" s="23">
        <f t="shared" si="1"/>
        <v>5.3543448798127891E-3</v>
      </c>
      <c r="M21" s="23">
        <f t="shared" si="2"/>
        <v>3.7101657185258929E-3</v>
      </c>
      <c r="N21" s="23">
        <f t="shared" si="3"/>
        <v>1.4749780250223221E-2</v>
      </c>
      <c r="O21" s="23">
        <f t="shared" si="4"/>
        <v>6.5297020778833925E-3</v>
      </c>
      <c r="P21" s="23">
        <f t="shared" si="5"/>
        <v>-9.7799511002445438E-3</v>
      </c>
      <c r="U21" s="1" t="s">
        <v>40</v>
      </c>
    </row>
    <row r="22" spans="1:33" x14ac:dyDescent="0.35">
      <c r="A22" s="2">
        <f>Prices!A20</f>
        <v>43917</v>
      </c>
      <c r="B22" s="1">
        <f>Prices!B20</f>
        <v>1765.6999510000001</v>
      </c>
      <c r="C22" s="1">
        <f>Prices!C20</f>
        <v>40.650002000000001</v>
      </c>
      <c r="D22" s="1">
        <f>Prices!D20</f>
        <v>57.66</v>
      </c>
      <c r="E22" s="1">
        <f>Prices!E20</f>
        <v>62.580002</v>
      </c>
      <c r="F22" s="1">
        <f>Prices!F20</f>
        <v>410.89999399999999</v>
      </c>
      <c r="G22" s="1">
        <f t="shared" si="10"/>
        <v>105.62112136075947</v>
      </c>
      <c r="H22" s="1">
        <f t="shared" si="6"/>
        <v>100.09850036694165</v>
      </c>
      <c r="I22" s="1">
        <f t="shared" si="7"/>
        <v>98.800546627817937</v>
      </c>
      <c r="J22" s="1">
        <f t="shared" si="8"/>
        <v>100.41720474967906</v>
      </c>
      <c r="K22" s="1">
        <f t="shared" si="9"/>
        <v>95.115739351851857</v>
      </c>
      <c r="L22" s="23">
        <f t="shared" si="1"/>
        <v>-1.0124713469722768E-2</v>
      </c>
      <c r="M22" s="23">
        <f t="shared" si="2"/>
        <v>1.7249875936427017E-3</v>
      </c>
      <c r="N22" s="23">
        <f t="shared" si="3"/>
        <v>-2.2495414042301709E-3</v>
      </c>
      <c r="O22" s="23">
        <f t="shared" si="4"/>
        <v>-9.8101106042703945E-3</v>
      </c>
      <c r="P22" s="23">
        <f t="shared" si="5"/>
        <v>1.4567886419753151E-2</v>
      </c>
    </row>
    <row r="23" spans="1:33" x14ac:dyDescent="0.35">
      <c r="A23" s="2">
        <f>Prices!A21</f>
        <v>43918</v>
      </c>
      <c r="B23" s="1">
        <f>Prices!B21</f>
        <v>1773.420044</v>
      </c>
      <c r="C23" s="1">
        <f>Prices!C21</f>
        <v>40.509998000000003</v>
      </c>
      <c r="D23" s="1">
        <f>Prices!D21</f>
        <v>58.02</v>
      </c>
      <c r="E23" s="1">
        <f>Prices!E21</f>
        <v>62.639999000000003</v>
      </c>
      <c r="F23" s="1">
        <f>Prices!F21</f>
        <v>407.10000600000001</v>
      </c>
      <c r="G23" s="1">
        <f t="shared" si="10"/>
        <v>106.08292398991372</v>
      </c>
      <c r="H23" s="1">
        <f t="shared" si="6"/>
        <v>99.753747851422148</v>
      </c>
      <c r="I23" s="1">
        <f t="shared" si="7"/>
        <v>99.417407480853228</v>
      </c>
      <c r="J23" s="1">
        <f t="shared" si="8"/>
        <v>100.5134772143774</v>
      </c>
      <c r="K23" s="1">
        <f t="shared" si="9"/>
        <v>94.236112500000019</v>
      </c>
      <c r="L23" s="23">
        <f t="shared" si="1"/>
        <v>4.3722564502692851E-3</v>
      </c>
      <c r="M23" s="23">
        <f t="shared" si="2"/>
        <v>-3.4441326718753773E-3</v>
      </c>
      <c r="N23" s="23">
        <f t="shared" si="3"/>
        <v>6.2434963579605096E-3</v>
      </c>
      <c r="O23" s="23">
        <f t="shared" si="4"/>
        <v>9.5872480157477291E-4</v>
      </c>
      <c r="P23" s="23">
        <f t="shared" si="5"/>
        <v>-9.2479631430707476E-3</v>
      </c>
      <c r="AB23" s="4" t="s">
        <v>42</v>
      </c>
    </row>
    <row r="24" spans="1:33" x14ac:dyDescent="0.35">
      <c r="A24" s="2">
        <f>Prices!A22</f>
        <v>43919</v>
      </c>
      <c r="B24" s="1">
        <f>Prices!B22</f>
        <v>1780.75</v>
      </c>
      <c r="C24" s="1">
        <f>Prices!C22</f>
        <v>40.580002</v>
      </c>
      <c r="D24" s="1">
        <f>Prices!D22</f>
        <v>58.849997999999999</v>
      </c>
      <c r="E24" s="1">
        <f>Prices!E22</f>
        <v>62.59</v>
      </c>
      <c r="F24" s="1">
        <f>Prices!F22</f>
        <v>412.39999399999999</v>
      </c>
      <c r="G24" s="1">
        <f t="shared" si="10"/>
        <v>106.52138929757065</v>
      </c>
      <c r="H24" s="1">
        <f t="shared" si="6"/>
        <v>99.926129034077121</v>
      </c>
      <c r="I24" s="1">
        <f t="shared" si="7"/>
        <v>100.83961102056871</v>
      </c>
      <c r="J24" s="1">
        <f t="shared" si="8"/>
        <v>100.43324775353017</v>
      </c>
      <c r="K24" s="1">
        <f t="shared" si="9"/>
        <v>95.4629615740741</v>
      </c>
      <c r="L24" s="23">
        <f t="shared" si="1"/>
        <v>4.1332317319855427E-3</v>
      </c>
      <c r="M24" s="23">
        <f t="shared" si="2"/>
        <v>1.7280672292305788E-3</v>
      </c>
      <c r="N24" s="23">
        <f t="shared" si="3"/>
        <v>1.4305377456049539E-2</v>
      </c>
      <c r="O24" s="23">
        <f t="shared" si="4"/>
        <v>-7.9819605361108881E-4</v>
      </c>
      <c r="P24" s="23">
        <f t="shared" si="5"/>
        <v>1.3018884603013259E-2</v>
      </c>
    </row>
    <row r="25" spans="1:33" x14ac:dyDescent="0.35">
      <c r="A25" s="2">
        <f>Prices!A23</f>
        <v>43922</v>
      </c>
      <c r="B25" s="1">
        <f>Prices!B23</f>
        <v>1814.1899410000001</v>
      </c>
      <c r="C25" s="1">
        <f>Prices!C23</f>
        <v>41.759998000000003</v>
      </c>
      <c r="D25" s="1">
        <f>Prices!D23</f>
        <v>59.849997999999999</v>
      </c>
      <c r="E25" s="1">
        <f>Prices!E23</f>
        <v>63.279998999999997</v>
      </c>
      <c r="F25" s="1">
        <f>Prices!F23</f>
        <v>416.39999399999999</v>
      </c>
      <c r="G25" s="1">
        <f t="shared" si="10"/>
        <v>108.52170881089302</v>
      </c>
      <c r="H25" s="1">
        <f t="shared" si="6"/>
        <v>102.83180736686022</v>
      </c>
      <c r="I25" s="1">
        <f t="shared" si="7"/>
        <v>102.55311339011116</v>
      </c>
      <c r="J25" s="1">
        <f t="shared" si="8"/>
        <v>101.54043485237483</v>
      </c>
      <c r="K25" s="1">
        <f t="shared" si="9"/>
        <v>96.388887500000038</v>
      </c>
      <c r="L25" s="23">
        <f t="shared" si="1"/>
        <v>1.8778571388460064E-2</v>
      </c>
      <c r="M25" s="23">
        <f t="shared" si="2"/>
        <v>2.9078263722116304E-2</v>
      </c>
      <c r="N25" s="23">
        <f t="shared" si="3"/>
        <v>1.6992354018431799E-2</v>
      </c>
      <c r="O25" s="23">
        <f t="shared" si="4"/>
        <v>1.1024109282632866E-2</v>
      </c>
      <c r="P25" s="23">
        <f t="shared" si="5"/>
        <v>9.6993211886420294E-3</v>
      </c>
      <c r="AB25" s="4" t="s">
        <v>54</v>
      </c>
      <c r="AC25" s="6"/>
      <c r="AD25" s="6"/>
    </row>
    <row r="26" spans="1:33" x14ac:dyDescent="0.35">
      <c r="A26" s="2">
        <f>Prices!A24</f>
        <v>43923</v>
      </c>
      <c r="B26" s="1">
        <f>Prices!B24</f>
        <v>1813.9799800000001</v>
      </c>
      <c r="C26" s="1">
        <f>Prices!C24</f>
        <v>42.150002000000001</v>
      </c>
      <c r="D26" s="1">
        <f>Prices!D24</f>
        <v>60.98</v>
      </c>
      <c r="E26" s="1">
        <f>Prices!E24</f>
        <v>63.509998000000003</v>
      </c>
      <c r="F26" s="1">
        <f>Prices!F24</f>
        <v>422.39999399999999</v>
      </c>
      <c r="G26" s="1">
        <f t="shared" si="10"/>
        <v>108.5091493065166</v>
      </c>
      <c r="H26" s="1">
        <f t="shared" si="6"/>
        <v>103.79217178546736</v>
      </c>
      <c r="I26" s="1">
        <f t="shared" si="7"/>
        <v>104.48937449469888</v>
      </c>
      <c r="J26" s="1">
        <f t="shared" si="8"/>
        <v>101.90949614890886</v>
      </c>
      <c r="K26" s="1">
        <f t="shared" si="9"/>
        <v>97.777776388888938</v>
      </c>
      <c r="L26" s="23">
        <f t="shared" si="1"/>
        <v>-1.1573264477715561E-4</v>
      </c>
      <c r="M26" s="23">
        <f t="shared" si="2"/>
        <v>9.3391766924892927E-3</v>
      </c>
      <c r="N26" s="23">
        <f t="shared" si="3"/>
        <v>1.8880568717813517E-2</v>
      </c>
      <c r="O26" s="23">
        <f t="shared" si="4"/>
        <v>3.6346239512425882E-3</v>
      </c>
      <c r="P26" s="23">
        <f t="shared" si="5"/>
        <v>1.4409222109643016E-2</v>
      </c>
      <c r="AC26" s="6"/>
      <c r="AD26" s="6"/>
    </row>
    <row r="27" spans="1:33" x14ac:dyDescent="0.35">
      <c r="A27" s="2">
        <f>Prices!A25</f>
        <v>43924</v>
      </c>
      <c r="B27" s="1">
        <f>Prices!B25</f>
        <v>1820.6999510000001</v>
      </c>
      <c r="C27" s="1">
        <f>Prices!C25</f>
        <v>42.549999</v>
      </c>
      <c r="D27" s="1">
        <f>Prices!D25</f>
        <v>61.02</v>
      </c>
      <c r="E27" s="1">
        <f>Prices!E25</f>
        <v>63.82</v>
      </c>
      <c r="F27" s="1">
        <f>Prices!F25</f>
        <v>428.60000600000001</v>
      </c>
      <c r="G27" s="1">
        <f t="shared" si="10"/>
        <v>108.91112636503654</v>
      </c>
      <c r="H27" s="1">
        <f t="shared" si="6"/>
        <v>104.77714344306472</v>
      </c>
      <c r="I27" s="1">
        <f t="shared" si="7"/>
        <v>104.55791458948059</v>
      </c>
      <c r="J27" s="1">
        <f t="shared" si="8"/>
        <v>102.40693196405648</v>
      </c>
      <c r="K27" s="1">
        <f t="shared" si="9"/>
        <v>99.212964351851909</v>
      </c>
      <c r="L27" s="23">
        <f t="shared" si="1"/>
        <v>3.7045452949264757E-3</v>
      </c>
      <c r="M27" s="23">
        <f t="shared" si="2"/>
        <v>9.4898453385601211E-3</v>
      </c>
      <c r="N27" s="23">
        <f t="shared" si="3"/>
        <v>6.5595277140051422E-4</v>
      </c>
      <c r="O27" s="23">
        <f t="shared" si="4"/>
        <v>4.881152728110516E-3</v>
      </c>
      <c r="P27" s="23">
        <f t="shared" si="5"/>
        <v>1.4678058920616355E-2</v>
      </c>
      <c r="AB27" s="4" t="s">
        <v>48</v>
      </c>
      <c r="AC27" s="4" t="s">
        <v>43</v>
      </c>
      <c r="AD27" s="4" t="s">
        <v>44</v>
      </c>
      <c r="AE27" s="4" t="s">
        <v>45</v>
      </c>
      <c r="AF27" s="4" t="s">
        <v>46</v>
      </c>
      <c r="AG27" s="4"/>
    </row>
    <row r="28" spans="1:33" x14ac:dyDescent="0.35">
      <c r="A28" s="2">
        <f>Prices!A26</f>
        <v>43925</v>
      </c>
      <c r="B28" s="1">
        <f>Prices!B26</f>
        <v>1818.8599850000001</v>
      </c>
      <c r="C28" s="1">
        <f>Prices!C26</f>
        <v>42.299999</v>
      </c>
      <c r="D28" s="1">
        <f>Prices!D26</f>
        <v>61.040000999999997</v>
      </c>
      <c r="E28" s="1">
        <f>Prices!E26</f>
        <v>63.970001000000003</v>
      </c>
      <c r="F28" s="1">
        <f>Prices!F26</f>
        <v>429.10000600000001</v>
      </c>
      <c r="G28" s="1">
        <f t="shared" si="10"/>
        <v>108.80106277689654</v>
      </c>
      <c r="H28" s="1">
        <f t="shared" si="6"/>
        <v>104.1615315399771</v>
      </c>
      <c r="I28" s="1">
        <f t="shared" si="7"/>
        <v>104.59218635037379</v>
      </c>
      <c r="J28" s="1">
        <f t="shared" si="8"/>
        <v>102.64762676508344</v>
      </c>
      <c r="K28" s="1">
        <f t="shared" si="9"/>
        <v>99.328705092592656</v>
      </c>
      <c r="L28" s="23">
        <f t="shared" si="1"/>
        <v>-1.0105816716199367E-3</v>
      </c>
      <c r="M28" s="23">
        <f t="shared" si="2"/>
        <v>-5.8754407961325583E-3</v>
      </c>
      <c r="N28" s="23">
        <f t="shared" si="3"/>
        <v>3.2777777777770467E-4</v>
      </c>
      <c r="O28" s="23">
        <f t="shared" si="4"/>
        <v>2.3503760576621957E-3</v>
      </c>
      <c r="P28" s="23">
        <f t="shared" si="5"/>
        <v>1.1665888777425693E-3</v>
      </c>
      <c r="AB28" s="1">
        <v>1</v>
      </c>
      <c r="AC28" s="6">
        <f t="shared" ref="AC28:AC37" si="14">PERCENTILE($L$5:$P$467,(AB28-1)/10)</f>
        <v>-0.17172197687418145</v>
      </c>
      <c r="AD28" s="6">
        <f>PERCENTILE($L$5:$P$467,AB28/10)</f>
        <v>-2.3126486161895631E-2</v>
      </c>
      <c r="AE28" s="1">
        <f>COUNTIFS($L$5:$P$467,"&gt;="&amp;AC28,$L$5:$P$467,"&lt;"&amp;AD28)</f>
        <v>232</v>
      </c>
      <c r="AF28" s="20">
        <f>$AA$10*_xlfn.NORM.DIST(AD28,$AA$6,$AA$7,TRUE)</f>
        <v>381.57880223461359</v>
      </c>
      <c r="AG28" s="19"/>
    </row>
    <row r="29" spans="1:33" x14ac:dyDescent="0.35">
      <c r="A29" s="2">
        <f>Prices!A27</f>
        <v>43926</v>
      </c>
      <c r="B29" s="1">
        <f>Prices!B27</f>
        <v>1837.280029</v>
      </c>
      <c r="C29" s="1">
        <f>Prices!C27</f>
        <v>42.48</v>
      </c>
      <c r="D29" s="1">
        <f>Prices!D27</f>
        <v>61.07</v>
      </c>
      <c r="E29" s="1">
        <f>Prices!E27</f>
        <v>64.519997000000004</v>
      </c>
      <c r="F29" s="1">
        <f>Prices!F27</f>
        <v>430.5</v>
      </c>
      <c r="G29" s="1">
        <f t="shared" si="10"/>
        <v>109.90291799396934</v>
      </c>
      <c r="H29" s="1">
        <f t="shared" si="6"/>
        <v>104.6047745726478</v>
      </c>
      <c r="I29" s="1">
        <f t="shared" si="7"/>
        <v>104.6435897079577</v>
      </c>
      <c r="J29" s="1">
        <f t="shared" si="8"/>
        <v>103.53016206675224</v>
      </c>
      <c r="K29" s="1">
        <f t="shared" si="9"/>
        <v>99.652777777777843</v>
      </c>
      <c r="L29" s="23">
        <f t="shared" si="1"/>
        <v>1.0127246820485825E-2</v>
      </c>
      <c r="M29" s="23">
        <f t="shared" si="2"/>
        <v>4.2553428901972445E-3</v>
      </c>
      <c r="N29" s="23">
        <f t="shared" si="3"/>
        <v>4.9146460531690472E-4</v>
      </c>
      <c r="O29" s="23">
        <f t="shared" si="4"/>
        <v>8.5977175457603305E-3</v>
      </c>
      <c r="P29" s="23">
        <f t="shared" si="5"/>
        <v>3.2626287122448083E-3</v>
      </c>
      <c r="AB29" s="1">
        <v>2</v>
      </c>
      <c r="AC29" s="6">
        <f t="shared" si="14"/>
        <v>-2.3126486161895631E-2</v>
      </c>
      <c r="AD29" s="6">
        <f t="shared" ref="AD29:AD37" si="15">PERCENTILE($L$5:$P$467,AB29/10)</f>
        <v>-1.2695050675450204E-2</v>
      </c>
      <c r="AE29" s="1">
        <f t="shared" ref="AE28:AE37" si="16">COUNTIFS($L$5:$P$467,"&gt;="&amp;AC29,$L$5:$P$467,"&lt;"&amp;AD29)</f>
        <v>231</v>
      </c>
      <c r="AF29" s="9">
        <f>$AA$10*_xlfn.NORM.DIST(AD29,$AA$6,$AA$7,TRUE)-SUM($AF$28:AF28)</f>
        <v>302.17190571972253</v>
      </c>
      <c r="AG29" s="19"/>
    </row>
    <row r="30" spans="1:33" x14ac:dyDescent="0.35">
      <c r="A30" s="2">
        <f>Prices!A28</f>
        <v>43929</v>
      </c>
      <c r="B30" s="1">
        <f>Prices!B28</f>
        <v>1849.8599850000001</v>
      </c>
      <c r="C30" s="1">
        <f>Prices!C28</f>
        <v>42.560001</v>
      </c>
      <c r="D30" s="1">
        <f>Prices!D28</f>
        <v>62.360000999999997</v>
      </c>
      <c r="E30" s="1">
        <f>Prices!E28</f>
        <v>65.300003000000004</v>
      </c>
      <c r="F30" s="1">
        <f>Prices!F28</f>
        <v>429.60000600000001</v>
      </c>
      <c r="G30" s="1">
        <f t="shared" si="10"/>
        <v>110.65542923385271</v>
      </c>
      <c r="H30" s="1">
        <f t="shared" si="6"/>
        <v>104.80177284408346</v>
      </c>
      <c r="I30" s="1">
        <f t="shared" si="7"/>
        <v>106.85400947816983</v>
      </c>
      <c r="J30" s="1">
        <f t="shared" si="8"/>
        <v>104.78177631578947</v>
      </c>
      <c r="K30" s="1">
        <f t="shared" si="9"/>
        <v>99.444445833333404</v>
      </c>
      <c r="L30" s="23">
        <f t="shared" si="1"/>
        <v>6.8470542331247053E-3</v>
      </c>
      <c r="M30" s="23">
        <f t="shared" si="2"/>
        <v>1.883262711864564E-3</v>
      </c>
      <c r="N30" s="23">
        <f t="shared" si="3"/>
        <v>2.1123317504502914E-2</v>
      </c>
      <c r="O30" s="23">
        <f t="shared" si="4"/>
        <v>1.2089368200063566E-2</v>
      </c>
      <c r="P30" s="23">
        <f t="shared" si="5"/>
        <v>-2.0905783972124947E-3</v>
      </c>
      <c r="AB30" s="1">
        <v>3</v>
      </c>
      <c r="AC30" s="6">
        <f t="shared" si="14"/>
        <v>-1.2695050675450204E-2</v>
      </c>
      <c r="AD30" s="6">
        <f t="shared" si="15"/>
        <v>-6.6225424617094592E-3</v>
      </c>
      <c r="AE30" s="1">
        <f t="shared" si="16"/>
        <v>232</v>
      </c>
      <c r="AF30" s="9">
        <f>$AA$10*_xlfn.NORM.DIST(AD30,$AA$6,$AA$7,TRUE)-SUM($AF$28:AF29)</f>
        <v>215.4687580508305</v>
      </c>
      <c r="AG30" s="19"/>
    </row>
    <row r="31" spans="1:33" x14ac:dyDescent="0.35">
      <c r="A31" s="2">
        <f>Prices!A29</f>
        <v>43930</v>
      </c>
      <c r="B31" s="1">
        <f>Prices!B29</f>
        <v>1835.839966</v>
      </c>
      <c r="C31" s="1">
        <f>Prices!C29</f>
        <v>42.630001</v>
      </c>
      <c r="D31" s="1">
        <f>Prices!D29</f>
        <v>61.889999000000003</v>
      </c>
      <c r="E31" s="1">
        <f>Prices!E29</f>
        <v>64.569999999999993</v>
      </c>
      <c r="F31" s="1">
        <f>Prices!F29</f>
        <v>431.70001200000002</v>
      </c>
      <c r="G31" s="1">
        <f t="shared" si="10"/>
        <v>109.8167759125789</v>
      </c>
      <c r="H31" s="1">
        <f t="shared" si="6"/>
        <v>104.974144176948</v>
      </c>
      <c r="I31" s="1">
        <f t="shared" si="7"/>
        <v>106.04865993748014</v>
      </c>
      <c r="J31" s="1">
        <f t="shared" si="8"/>
        <v>103.6103979460847</v>
      </c>
      <c r="K31" s="1">
        <f t="shared" si="9"/>
        <v>99.930558333333394</v>
      </c>
      <c r="L31" s="23">
        <f t="shared" si="1"/>
        <v>-7.5789622531891032E-3</v>
      </c>
      <c r="M31" s="23">
        <f t="shared" si="2"/>
        <v>1.6447368034602228E-3</v>
      </c>
      <c r="N31" s="23">
        <f t="shared" si="3"/>
        <v>-7.5369145680417304E-3</v>
      </c>
      <c r="O31" s="23">
        <f t="shared" si="4"/>
        <v>-1.1179218475686925E-2</v>
      </c>
      <c r="P31" s="23">
        <f t="shared" si="5"/>
        <v>4.8882820546329864E-3</v>
      </c>
      <c r="AB31" s="1">
        <v>4</v>
      </c>
      <c r="AC31" s="6">
        <f t="shared" si="14"/>
        <v>-6.6225424617094592E-3</v>
      </c>
      <c r="AD31" s="6">
        <f t="shared" si="15"/>
        <v>-2.8187969051830294E-3</v>
      </c>
      <c r="AE31" s="1">
        <f t="shared" si="16"/>
        <v>231</v>
      </c>
      <c r="AF31" s="9">
        <f>$AA$10*_xlfn.NORM.DIST(AD31,$AA$6,$AA$7,TRUE)-SUM($AF$28:AF30)</f>
        <v>143.99829530730858</v>
      </c>
      <c r="AG31" s="19"/>
    </row>
    <row r="32" spans="1:33" x14ac:dyDescent="0.35">
      <c r="A32" s="2">
        <f>Prices!A30</f>
        <v>43931</v>
      </c>
      <c r="B32" s="1">
        <f>Prices!B30</f>
        <v>1847.329956</v>
      </c>
      <c r="C32" s="1">
        <f>Prices!C30</f>
        <v>42.540000999999997</v>
      </c>
      <c r="D32" s="1">
        <f>Prices!D30</f>
        <v>62.400002000000001</v>
      </c>
      <c r="E32" s="1">
        <f>Prices!E30</f>
        <v>65.010002</v>
      </c>
      <c r="F32" s="1">
        <f>Prices!F30</f>
        <v>429.89999399999999</v>
      </c>
      <c r="G32" s="1">
        <f t="shared" si="10"/>
        <v>110.50408726892606</v>
      </c>
      <c r="H32" s="1">
        <f t="shared" si="6"/>
        <v>104.75252389183645</v>
      </c>
      <c r="I32" s="1">
        <f t="shared" si="7"/>
        <v>106.9225512864539</v>
      </c>
      <c r="J32" s="1">
        <f t="shared" si="8"/>
        <v>104.31643453145057</v>
      </c>
      <c r="K32" s="1">
        <f t="shared" si="9"/>
        <v>99.513887500000052</v>
      </c>
      <c r="L32" s="23">
        <f t="shared" si="1"/>
        <v>6.2587100252724515E-3</v>
      </c>
      <c r="M32" s="23">
        <f t="shared" si="2"/>
        <v>-2.1111892537840626E-3</v>
      </c>
      <c r="N32" s="23">
        <f t="shared" si="3"/>
        <v>8.2404751695019929E-3</v>
      </c>
      <c r="O32" s="23">
        <f t="shared" si="4"/>
        <v>6.8143410252439196E-3</v>
      </c>
      <c r="P32" s="23">
        <f t="shared" si="5"/>
        <v>-4.1696037756886462E-3</v>
      </c>
      <c r="AB32" s="1">
        <v>5</v>
      </c>
      <c r="AC32" s="6">
        <f t="shared" si="14"/>
        <v>-2.8187969051830294E-3</v>
      </c>
      <c r="AD32" s="6">
        <f t="shared" si="15"/>
        <v>3.1702330004734769E-4</v>
      </c>
      <c r="AE32" s="1">
        <f t="shared" si="16"/>
        <v>231</v>
      </c>
      <c r="AF32" s="9">
        <f>$AA$10*_xlfn.NORM.DIST(AD32,$AA$6,$AA$7,TRUE)-SUM($AF$28:AF31)</f>
        <v>121.03178634527285</v>
      </c>
      <c r="AG32" s="19"/>
    </row>
    <row r="33" spans="1:33" x14ac:dyDescent="0.35">
      <c r="A33" s="2">
        <f>Prices!A31</f>
        <v>43932</v>
      </c>
      <c r="B33" s="1">
        <f>Prices!B31</f>
        <v>1844.0699460000001</v>
      </c>
      <c r="C33" s="1">
        <f>Prices!C31</f>
        <v>42.59</v>
      </c>
      <c r="D33" s="1">
        <f>Prices!D31</f>
        <v>62.060001</v>
      </c>
      <c r="E33" s="1">
        <f>Prices!E31</f>
        <v>64.919998000000007</v>
      </c>
      <c r="F33" s="1">
        <f>Prices!F31</f>
        <v>416.5</v>
      </c>
      <c r="G33" s="1">
        <f t="shared" si="10"/>
        <v>110.30907910139891</v>
      </c>
      <c r="H33" s="1">
        <f t="shared" si="6"/>
        <v>104.87564381000638</v>
      </c>
      <c r="I33" s="1">
        <f t="shared" si="7"/>
        <v>106.3399587673071</v>
      </c>
      <c r="J33" s="1">
        <f t="shared" si="8"/>
        <v>104.17201219512195</v>
      </c>
      <c r="K33" s="1">
        <f t="shared" si="9"/>
        <v>96.412037037037095</v>
      </c>
      <c r="L33" s="23">
        <f t="shared" si="1"/>
        <v>-1.764714521849009E-3</v>
      </c>
      <c r="M33" s="23">
        <f t="shared" si="2"/>
        <v>1.1753408280363864E-3</v>
      </c>
      <c r="N33" s="23">
        <f t="shared" si="3"/>
        <v>-5.4487337997201069E-3</v>
      </c>
      <c r="O33" s="23">
        <f t="shared" si="4"/>
        <v>-1.3844638860339709E-3</v>
      </c>
      <c r="P33" s="23">
        <f t="shared" si="5"/>
        <v>-3.1170026022377617E-2</v>
      </c>
      <c r="AB33" s="1">
        <v>6</v>
      </c>
      <c r="AC33" s="6">
        <f t="shared" si="14"/>
        <v>3.1702330004734769E-4</v>
      </c>
      <c r="AD33" s="6">
        <f t="shared" si="15"/>
        <v>3.6361340125031557E-3</v>
      </c>
      <c r="AE33" s="1">
        <f t="shared" si="16"/>
        <v>232</v>
      </c>
      <c r="AF33" s="9">
        <f>$AA$10*_xlfn.NORM.DIST(AD33,$AA$6,$AA$7,TRUE)-SUM($AF$28:AF32)</f>
        <v>127.93566025666382</v>
      </c>
      <c r="AG33" s="19"/>
    </row>
    <row r="34" spans="1:33" x14ac:dyDescent="0.35">
      <c r="A34" s="2">
        <f>Prices!A32</f>
        <v>43933</v>
      </c>
      <c r="B34" s="1">
        <f>Prices!B32</f>
        <v>1843.0600589999999</v>
      </c>
      <c r="C34" s="1">
        <f>Prices!C32</f>
        <v>43.040000999999997</v>
      </c>
      <c r="D34" s="1">
        <f>Prices!D32</f>
        <v>62.779998999999997</v>
      </c>
      <c r="E34" s="1">
        <f>Prices!E32</f>
        <v>64.5</v>
      </c>
      <c r="F34" s="1">
        <f>Prices!F32</f>
        <v>418</v>
      </c>
      <c r="G34" s="1">
        <f t="shared" si="10"/>
        <v>110.24866940533065</v>
      </c>
      <c r="H34" s="1">
        <f t="shared" si="6"/>
        <v>105.98374769801168</v>
      </c>
      <c r="I34" s="1">
        <f t="shared" si="7"/>
        <v>107.57367704637291</v>
      </c>
      <c r="J34" s="1">
        <f t="shared" si="8"/>
        <v>103.49807445442875</v>
      </c>
      <c r="K34" s="1">
        <f t="shared" si="9"/>
        <v>96.759259259259309</v>
      </c>
      <c r="L34" s="23">
        <f t="shared" si="1"/>
        <v>-5.4764028999587655E-4</v>
      </c>
      <c r="M34" s="23">
        <f t="shared" si="2"/>
        <v>1.0565884010330873E-2</v>
      </c>
      <c r="N34" s="23">
        <f t="shared" si="3"/>
        <v>1.1601643383795546E-2</v>
      </c>
      <c r="O34" s="23">
        <f t="shared" si="4"/>
        <v>-6.4694703163732381E-3</v>
      </c>
      <c r="P34" s="23">
        <f t="shared" si="5"/>
        <v>3.6014405762305746E-3</v>
      </c>
      <c r="AB34" s="1">
        <v>7</v>
      </c>
      <c r="AC34" s="6">
        <f t="shared" si="14"/>
        <v>3.6361340125031557E-3</v>
      </c>
      <c r="AD34" s="6">
        <f t="shared" si="15"/>
        <v>7.6194710075213369E-3</v>
      </c>
      <c r="AE34" s="1">
        <f t="shared" si="16"/>
        <v>231</v>
      </c>
      <c r="AF34" s="9">
        <f>$AA$10*_xlfn.NORM.DIST(AD34,$AA$6,$AA$7,TRUE)-SUM($AF$28:AF33)</f>
        <v>149.93503455118639</v>
      </c>
      <c r="AG34" s="19"/>
    </row>
    <row r="35" spans="1:33" x14ac:dyDescent="0.35">
      <c r="A35" s="2">
        <f>Prices!A33</f>
        <v>43936</v>
      </c>
      <c r="B35" s="1">
        <f>Prices!B33</f>
        <v>1844.869995</v>
      </c>
      <c r="C35" s="1">
        <f>Prices!C33</f>
        <v>42.889999000000003</v>
      </c>
      <c r="D35" s="1">
        <f>Prices!D33</f>
        <v>62.459999000000003</v>
      </c>
      <c r="E35" s="1">
        <f>Prices!E33</f>
        <v>64.580001999999993</v>
      </c>
      <c r="F35" s="1">
        <f>Prices!F33</f>
        <v>418.70001200000002</v>
      </c>
      <c r="G35" s="1">
        <f t="shared" si="10"/>
        <v>110.35693665073831</v>
      </c>
      <c r="H35" s="1">
        <f t="shared" si="6"/>
        <v>105.61437563126391</v>
      </c>
      <c r="I35" s="1">
        <f t="shared" si="7"/>
        <v>107.02535628811934</v>
      </c>
      <c r="J35" s="1">
        <f t="shared" si="8"/>
        <v>103.62644736842104</v>
      </c>
      <c r="K35" s="1">
        <f t="shared" si="9"/>
        <v>96.921299074074128</v>
      </c>
      <c r="L35" s="23">
        <f t="shared" si="1"/>
        <v>9.8202768334210155E-4</v>
      </c>
      <c r="M35" s="23">
        <f t="shared" si="2"/>
        <v>-3.4851764989501932E-3</v>
      </c>
      <c r="N35" s="23">
        <f t="shared" si="3"/>
        <v>-5.0971647833252254E-3</v>
      </c>
      <c r="O35" s="23">
        <f t="shared" si="4"/>
        <v>1.2403410852712682E-3</v>
      </c>
      <c r="P35" s="23">
        <f t="shared" si="5"/>
        <v>1.6746698564593654E-3</v>
      </c>
      <c r="AB35" s="1">
        <v>8</v>
      </c>
      <c r="AC35" s="6">
        <f t="shared" si="14"/>
        <v>7.6194710075213369E-3</v>
      </c>
      <c r="AD35" s="6">
        <f t="shared" si="15"/>
        <v>1.2699512552066895E-2</v>
      </c>
      <c r="AE35" s="1">
        <f t="shared" si="16"/>
        <v>232</v>
      </c>
      <c r="AF35" s="9">
        <f>$AA$10*_xlfn.NORM.DIST(AD35,$AA$6,$AA$7,TRUE)-SUM($AF$28:AF34)</f>
        <v>179.70221139781597</v>
      </c>
      <c r="AG35" s="19"/>
    </row>
    <row r="36" spans="1:33" x14ac:dyDescent="0.35">
      <c r="A36" s="2">
        <f>Prices!A34</f>
        <v>43937</v>
      </c>
      <c r="B36" s="1">
        <f>Prices!B34</f>
        <v>1863.040039</v>
      </c>
      <c r="C36" s="1">
        <f>Prices!C34</f>
        <v>43.330002</v>
      </c>
      <c r="D36" s="1">
        <f>Prices!D34</f>
        <v>60.34</v>
      </c>
      <c r="E36" s="1">
        <f>Prices!E34</f>
        <v>64.300003000000004</v>
      </c>
      <c r="F36" s="1">
        <f>Prices!F34</f>
        <v>426.29998799999998</v>
      </c>
      <c r="G36" s="1">
        <f t="shared" si="10"/>
        <v>111.44383729960984</v>
      </c>
      <c r="H36" s="1">
        <f t="shared" si="6"/>
        <v>106.69785996804094</v>
      </c>
      <c r="I36" s="1">
        <f t="shared" si="7"/>
        <v>103.39273297819172</v>
      </c>
      <c r="J36" s="1">
        <f t="shared" si="8"/>
        <v>103.17715500641849</v>
      </c>
      <c r="K36" s="1">
        <f t="shared" si="9"/>
        <v>98.680552777777834</v>
      </c>
      <c r="L36" s="23">
        <f t="shared" si="1"/>
        <v>9.8489563217163401E-3</v>
      </c>
      <c r="M36" s="23">
        <f t="shared" si="2"/>
        <v>1.0258871771015921E-2</v>
      </c>
      <c r="N36" s="23">
        <f t="shared" si="3"/>
        <v>-3.3941707235698115E-2</v>
      </c>
      <c r="O36" s="23">
        <f t="shared" si="4"/>
        <v>-4.3356920304832292E-3</v>
      </c>
      <c r="P36" s="23">
        <f t="shared" si="5"/>
        <v>1.815136322470412E-2</v>
      </c>
      <c r="AB36" s="1">
        <v>9</v>
      </c>
      <c r="AC36" s="6">
        <f t="shared" si="14"/>
        <v>1.2699512552066895E-2</v>
      </c>
      <c r="AD36" s="6">
        <f t="shared" si="15"/>
        <v>2.2913872571462324E-2</v>
      </c>
      <c r="AE36" s="1">
        <f t="shared" si="16"/>
        <v>231</v>
      </c>
      <c r="AF36" s="9">
        <f>$AA$10*_xlfn.NORM.DIST(AD36,$AA$6,$AA$7,TRUE)-SUM($AF$28:AF35)</f>
        <v>299.50220363072845</v>
      </c>
      <c r="AG36" s="19"/>
    </row>
    <row r="37" spans="1:33" x14ac:dyDescent="0.35">
      <c r="A37" s="2">
        <f>Prices!A35</f>
        <v>43938</v>
      </c>
      <c r="B37" s="1">
        <f>Prices!B35</f>
        <v>1864.8199460000001</v>
      </c>
      <c r="C37" s="1">
        <f>Prices!C35</f>
        <v>43.459999000000003</v>
      </c>
      <c r="D37" s="1">
        <f>Prices!D35</f>
        <v>60.459999000000003</v>
      </c>
      <c r="E37" s="1">
        <f>Prices!E35</f>
        <v>64.589995999999999</v>
      </c>
      <c r="F37" s="1">
        <f>Prices!F35</f>
        <v>435</v>
      </c>
      <c r="G37" s="1">
        <f t="shared" si="10"/>
        <v>111.55030826210344</v>
      </c>
      <c r="H37" s="1">
        <f t="shared" si="6"/>
        <v>107.01797077030366</v>
      </c>
      <c r="I37" s="1">
        <f t="shared" si="7"/>
        <v>103.59835154903445</v>
      </c>
      <c r="J37" s="1">
        <f t="shared" si="8"/>
        <v>103.64248395378691</v>
      </c>
      <c r="K37" s="1">
        <f t="shared" si="9"/>
        <v>100.69444444444451</v>
      </c>
      <c r="L37" s="23">
        <f t="shared" si="1"/>
        <v>9.5537774966736322E-4</v>
      </c>
      <c r="M37" s="23">
        <f t="shared" si="2"/>
        <v>3.000161412408886E-3</v>
      </c>
      <c r="N37" s="23">
        <f t="shared" si="3"/>
        <v>1.988713954259147E-3</v>
      </c>
      <c r="O37" s="23">
        <f t="shared" si="4"/>
        <v>4.5099997895801103E-3</v>
      </c>
      <c r="P37" s="23">
        <f t="shared" si="5"/>
        <v>2.0408191988970925E-2</v>
      </c>
      <c r="AB37" s="1">
        <v>10</v>
      </c>
      <c r="AC37" s="6">
        <f t="shared" si="14"/>
        <v>2.2913872571462324E-2</v>
      </c>
      <c r="AD37" s="6">
        <f t="shared" si="15"/>
        <v>0.19679467014535956</v>
      </c>
      <c r="AE37" s="1">
        <f>COUNTIFS($L$5:$P$467,"&gt;="&amp;AC37,$L$5:$P$467,"&lt;="&amp;AD37)</f>
        <v>232</v>
      </c>
      <c r="AF37" s="9">
        <f>$AA$10*_xlfn.NORM.DIST(AD37,$AA$6,$AA$7,TRUE)-SUM($AF$28:AF36)</f>
        <v>393.67534250585686</v>
      </c>
      <c r="AG37" s="19"/>
    </row>
    <row r="38" spans="1:33" x14ac:dyDescent="0.35">
      <c r="A38" s="2">
        <f>Prices!A36</f>
        <v>43939</v>
      </c>
      <c r="B38" s="1">
        <f>Prices!B36</f>
        <v>1861.6899410000001</v>
      </c>
      <c r="C38" s="1">
        <f>Prices!C36</f>
        <v>43.25</v>
      </c>
      <c r="D38" s="1">
        <f>Prices!D36</f>
        <v>60.77</v>
      </c>
      <c r="E38" s="1">
        <f>Prices!E36</f>
        <v>64.199996999999996</v>
      </c>
      <c r="F38" s="1">
        <f>Prices!F36</f>
        <v>431.60000600000001</v>
      </c>
      <c r="G38" s="1">
        <f t="shared" si="10"/>
        <v>111.36307676913231</v>
      </c>
      <c r="H38" s="1">
        <f t="shared" si="6"/>
        <v>106.50085923415767</v>
      </c>
      <c r="I38" s="1">
        <f t="shared" si="7"/>
        <v>104.12953899709497</v>
      </c>
      <c r="J38" s="1">
        <f t="shared" si="8"/>
        <v>103.01668324775352</v>
      </c>
      <c r="K38" s="1">
        <f t="shared" si="9"/>
        <v>99.907408796296366</v>
      </c>
      <c r="L38" s="23">
        <f t="shared" si="1"/>
        <v>-1.6784489069380237E-3</v>
      </c>
      <c r="M38" s="23">
        <f t="shared" si="2"/>
        <v>-4.8320065538888235E-3</v>
      </c>
      <c r="N38" s="23">
        <f t="shared" si="3"/>
        <v>5.1273735548689192E-3</v>
      </c>
      <c r="O38" s="23">
        <f t="shared" si="4"/>
        <v>-6.0380712827416971E-3</v>
      </c>
      <c r="P38" s="23">
        <f t="shared" si="5"/>
        <v>-7.8160781609195595E-3</v>
      </c>
    </row>
    <row r="39" spans="1:33" x14ac:dyDescent="0.35">
      <c r="A39" s="2">
        <f>Prices!A37</f>
        <v>43943</v>
      </c>
      <c r="B39" s="1">
        <f>Prices!B37</f>
        <v>1887.3100589999999</v>
      </c>
      <c r="C39" s="1">
        <f>Prices!C37</f>
        <v>43.220001000000003</v>
      </c>
      <c r="D39" s="1">
        <f>Prices!D37</f>
        <v>60.869999</v>
      </c>
      <c r="E39" s="1">
        <f>Prices!E37</f>
        <v>65.239998</v>
      </c>
      <c r="F39" s="1">
        <f>Prices!F37</f>
        <v>425.60000600000001</v>
      </c>
      <c r="G39" s="1">
        <f t="shared" si="10"/>
        <v>112.89562797695355</v>
      </c>
      <c r="H39" s="1">
        <f t="shared" si="6"/>
        <v>106.42698826823477</v>
      </c>
      <c r="I39" s="1">
        <f t="shared" si="7"/>
        <v>104.30088752054684</v>
      </c>
      <c r="J39" s="1">
        <f t="shared" si="8"/>
        <v>104.68549101412066</v>
      </c>
      <c r="K39" s="1">
        <f t="shared" si="9"/>
        <v>98.51851990740748</v>
      </c>
      <c r="L39" s="23">
        <f t="shared" si="1"/>
        <v>1.376175346698072E-2</v>
      </c>
      <c r="M39" s="23">
        <f t="shared" si="2"/>
        <v>-6.936184971096937E-4</v>
      </c>
      <c r="N39" s="23">
        <f t="shared" si="3"/>
        <v>1.6455323350337281E-3</v>
      </c>
      <c r="O39" s="23">
        <f t="shared" si="4"/>
        <v>1.6199393280345475E-2</v>
      </c>
      <c r="P39" s="23">
        <f t="shared" si="5"/>
        <v>-1.3901760696453769E-2</v>
      </c>
      <c r="AC39" s="1" t="s">
        <v>52</v>
      </c>
      <c r="AE39" s="21">
        <f>_xlfn.CHISQ.TEST(AE28:AE37,AF28:AF37)</f>
        <v>2.5583454803425802E-92</v>
      </c>
    </row>
    <row r="40" spans="1:33" x14ac:dyDescent="0.35">
      <c r="A40" s="2">
        <f>Prices!A38</f>
        <v>43944</v>
      </c>
      <c r="B40" s="1">
        <f>Prices!B38</f>
        <v>1923.7700199999999</v>
      </c>
      <c r="C40" s="1">
        <f>Prices!C38</f>
        <v>43.150002000000001</v>
      </c>
      <c r="D40" s="1">
        <f>Prices!D38</f>
        <v>60.599997999999999</v>
      </c>
      <c r="E40" s="1">
        <f>Prices!E38</f>
        <v>65</v>
      </c>
      <c r="F40" s="1">
        <f>Prices!F38</f>
        <v>422.79998799999998</v>
      </c>
      <c r="G40" s="1">
        <f t="shared" si="10"/>
        <v>115.07659987051258</v>
      </c>
      <c r="H40" s="1">
        <f t="shared" si="6"/>
        <v>106.25461939781785</v>
      </c>
      <c r="I40" s="1">
        <f t="shared" si="7"/>
        <v>103.83824016726801</v>
      </c>
      <c r="J40" s="1">
        <f t="shared" si="8"/>
        <v>104.30038510911425</v>
      </c>
      <c r="K40" s="1">
        <f t="shared" si="9"/>
        <v>97.870367592592672</v>
      </c>
      <c r="L40" s="23">
        <f t="shared" si="1"/>
        <v>1.9318479666938559E-2</v>
      </c>
      <c r="M40" s="23">
        <f t="shared" si="2"/>
        <v>-1.6195973711338185E-3</v>
      </c>
      <c r="N40" s="23">
        <f t="shared" si="3"/>
        <v>-4.4356991035928717E-3</v>
      </c>
      <c r="O40" s="23">
        <f t="shared" si="4"/>
        <v>-3.678694165502594E-3</v>
      </c>
      <c r="P40" s="23">
        <f t="shared" si="5"/>
        <v>-6.5789895689052358E-3</v>
      </c>
      <c r="AC40" s="1" t="s">
        <v>57</v>
      </c>
    </row>
    <row r="41" spans="1:33" x14ac:dyDescent="0.35">
      <c r="A41" s="2">
        <f>Prices!A39</f>
        <v>43945</v>
      </c>
      <c r="B41" s="1">
        <f>Prices!B39</f>
        <v>1901.75</v>
      </c>
      <c r="C41" s="1">
        <f>Prices!C39</f>
        <v>42.830002</v>
      </c>
      <c r="D41" s="1">
        <f>Prices!D39</f>
        <v>59.43</v>
      </c>
      <c r="E41" s="1">
        <f>Prices!E39</f>
        <v>63.459999000000003</v>
      </c>
      <c r="F41" s="1">
        <f>Prices!F39</f>
        <v>418.79998799999998</v>
      </c>
      <c r="G41" s="1">
        <f t="shared" si="10"/>
        <v>113.75940030698021</v>
      </c>
      <c r="H41" s="1">
        <f t="shared" si="6"/>
        <v>105.46663616186571</v>
      </c>
      <c r="I41" s="1">
        <f t="shared" si="7"/>
        <v>101.83344582190809</v>
      </c>
      <c r="J41" s="1">
        <f t="shared" si="8"/>
        <v>101.82926668806162</v>
      </c>
      <c r="K41" s="1">
        <f t="shared" si="9"/>
        <v>96.944441666666748</v>
      </c>
      <c r="L41" s="23">
        <f t="shared" si="1"/>
        <v>-1.1446285039830251E-2</v>
      </c>
      <c r="M41" s="23">
        <f t="shared" si="2"/>
        <v>-7.4159903862808241E-3</v>
      </c>
      <c r="N41" s="23">
        <f t="shared" si="3"/>
        <v>-1.9306898326960309E-2</v>
      </c>
      <c r="O41" s="23">
        <f t="shared" si="4"/>
        <v>-2.3692323076923039E-2</v>
      </c>
      <c r="P41" s="23">
        <f t="shared" si="5"/>
        <v>-9.4607382060758471E-3</v>
      </c>
      <c r="AC41" s="1" t="s">
        <v>58</v>
      </c>
    </row>
    <row r="42" spans="1:33" x14ac:dyDescent="0.35">
      <c r="A42" s="2">
        <f>Prices!A40</f>
        <v>43946</v>
      </c>
      <c r="B42" s="1">
        <f>Prices!B40</f>
        <v>1902.25</v>
      </c>
      <c r="C42" s="1">
        <f>Prices!C40</f>
        <v>42.759998000000003</v>
      </c>
      <c r="D42" s="1">
        <f>Prices!D40</f>
        <v>59.34</v>
      </c>
      <c r="E42" s="1">
        <f>Prices!E40</f>
        <v>63.619999</v>
      </c>
      <c r="F42" s="1">
        <f>Prices!F40</f>
        <v>424.5</v>
      </c>
      <c r="G42" s="1">
        <f t="shared" si="10"/>
        <v>113.78930944338273</v>
      </c>
      <c r="H42" s="1">
        <f t="shared" si="6"/>
        <v>105.29425497921072</v>
      </c>
      <c r="I42" s="1">
        <f t="shared" si="7"/>
        <v>101.67923060864928</v>
      </c>
      <c r="J42" s="1">
        <f t="shared" si="8"/>
        <v>102.08600609756098</v>
      </c>
      <c r="K42" s="1">
        <f t="shared" si="9"/>
        <v>98.263888888888971</v>
      </c>
      <c r="L42" s="23">
        <f t="shared" si="1"/>
        <v>2.629157355067413E-4</v>
      </c>
      <c r="M42" s="23">
        <f t="shared" si="2"/>
        <v>-1.6344617494997715E-3</v>
      </c>
      <c r="N42" s="23">
        <f t="shared" si="3"/>
        <v>-1.5143866733972056E-3</v>
      </c>
      <c r="O42" s="23">
        <f t="shared" si="4"/>
        <v>2.5212732827177842E-3</v>
      </c>
      <c r="P42" s="23">
        <f t="shared" si="5"/>
        <v>1.3610344229522786E-2</v>
      </c>
    </row>
    <row r="43" spans="1:33" x14ac:dyDescent="0.35">
      <c r="A43" s="2">
        <f>Prices!A41</f>
        <v>43947</v>
      </c>
      <c r="B43" s="1">
        <f>Prices!B41</f>
        <v>1950.630005</v>
      </c>
      <c r="C43" s="1">
        <f>Prices!C41</f>
        <v>43.07</v>
      </c>
      <c r="D43" s="1">
        <f>Prices!D41</f>
        <v>59.299999</v>
      </c>
      <c r="E43" s="1">
        <f>Prices!E41</f>
        <v>63.060001</v>
      </c>
      <c r="F43" s="1">
        <f>Prices!F41</f>
        <v>431.39999399999999</v>
      </c>
      <c r="G43" s="1">
        <f t="shared" si="10"/>
        <v>116.68331778078182</v>
      </c>
      <c r="H43" s="1">
        <f t="shared" si="6"/>
        <v>106.05761866393458</v>
      </c>
      <c r="I43" s="1">
        <f t="shared" si="7"/>
        <v>101.61068880036521</v>
      </c>
      <c r="J43" s="1">
        <f t="shared" si="8"/>
        <v>101.18742137355585</v>
      </c>
      <c r="K43" s="1">
        <f t="shared" si="9"/>
        <v>99.861109722222309</v>
      </c>
      <c r="L43" s="23">
        <f t="shared" si="1"/>
        <v>2.5433042449730658E-2</v>
      </c>
      <c r="M43" s="23">
        <f t="shared" si="2"/>
        <v>7.2498132483540534E-3</v>
      </c>
      <c r="N43" s="23">
        <f t="shared" si="3"/>
        <v>-6.7409841590837516E-4</v>
      </c>
      <c r="O43" s="23">
        <f t="shared" si="4"/>
        <v>-8.80223214087128E-3</v>
      </c>
      <c r="P43" s="23">
        <f t="shared" si="5"/>
        <v>1.6254402826855197E-2</v>
      </c>
      <c r="AB43" s="4" t="s">
        <v>55</v>
      </c>
    </row>
    <row r="44" spans="1:33" x14ac:dyDescent="0.35">
      <c r="A44" s="2">
        <f>Prices!A42</f>
        <v>43950</v>
      </c>
      <c r="B44" s="1">
        <f>Prices!B42</f>
        <v>1938.4300539999999</v>
      </c>
      <c r="C44" s="1">
        <f>Prices!C42</f>
        <v>43.299999</v>
      </c>
      <c r="D44" s="1">
        <f>Prices!D42</f>
        <v>59.290000999999997</v>
      </c>
      <c r="E44" s="1">
        <f>Prices!E42</f>
        <v>63.130001</v>
      </c>
      <c r="F44" s="1">
        <f>Prices!F42</f>
        <v>429.5</v>
      </c>
      <c r="G44" s="1">
        <f t="shared" si="10"/>
        <v>115.95353778365573</v>
      </c>
      <c r="H44" s="1">
        <f t="shared" si="6"/>
        <v>106.62397915232756</v>
      </c>
      <c r="I44" s="1">
        <f t="shared" si="7"/>
        <v>101.59355720367452</v>
      </c>
      <c r="J44" s="1">
        <f t="shared" si="8"/>
        <v>101.29974486521182</v>
      </c>
      <c r="K44" s="1">
        <f t="shared" si="9"/>
        <v>99.42129629629639</v>
      </c>
      <c r="L44" s="23">
        <f t="shared" si="1"/>
        <v>-6.2543644713390911E-3</v>
      </c>
      <c r="M44" s="23">
        <f t="shared" si="2"/>
        <v>5.3401207336893908E-3</v>
      </c>
      <c r="N44" s="23">
        <f t="shared" si="3"/>
        <v>-1.6860034011134672E-4</v>
      </c>
      <c r="O44" s="23">
        <f t="shared" si="4"/>
        <v>1.1100538993014109E-3</v>
      </c>
      <c r="P44" s="23">
        <f t="shared" si="5"/>
        <v>-4.4042513361740587E-3</v>
      </c>
      <c r="AC44" s="6"/>
      <c r="AD44" s="6"/>
    </row>
    <row r="45" spans="1:33" x14ac:dyDescent="0.35">
      <c r="A45" s="2">
        <f>Prices!A43</f>
        <v>43951</v>
      </c>
      <c r="B45" s="1">
        <f>Prices!B43</f>
        <v>1926.5200199999999</v>
      </c>
      <c r="C45" s="1">
        <f>Prices!C43</f>
        <v>43.57</v>
      </c>
      <c r="D45" s="1">
        <f>Prices!D43</f>
        <v>58.900002000000001</v>
      </c>
      <c r="E45" s="1">
        <f>Prices!E43</f>
        <v>63.529998999999997</v>
      </c>
      <c r="F45" s="1">
        <f>Prices!F43</f>
        <v>430.89999399999999</v>
      </c>
      <c r="G45" s="1">
        <f t="shared" si="10"/>
        <v>115.24110012072646</v>
      </c>
      <c r="H45" s="1">
        <f t="shared" si="6"/>
        <v>107.28884247010981</v>
      </c>
      <c r="I45" s="1">
        <f t="shared" si="7"/>
        <v>100.92529299305535</v>
      </c>
      <c r="J45" s="1">
        <f t="shared" si="8"/>
        <v>101.94159017971759</v>
      </c>
      <c r="K45" s="1">
        <f t="shared" si="9"/>
        <v>99.745368981481576</v>
      </c>
      <c r="L45" s="23">
        <f t="shared" si="1"/>
        <v>-6.1441649521597475E-3</v>
      </c>
      <c r="M45" s="23">
        <f t="shared" si="2"/>
        <v>6.2355890585585882E-3</v>
      </c>
      <c r="N45" s="23">
        <f t="shared" si="3"/>
        <v>-6.5778207694749957E-3</v>
      </c>
      <c r="O45" s="23">
        <f t="shared" si="4"/>
        <v>6.3361000105164322E-3</v>
      </c>
      <c r="P45" s="23">
        <f t="shared" si="5"/>
        <v>3.2595902211873806E-3</v>
      </c>
      <c r="AB45" s="4" t="s">
        <v>48</v>
      </c>
      <c r="AC45" s="4" t="s">
        <v>43</v>
      </c>
      <c r="AD45" s="4" t="s">
        <v>44</v>
      </c>
      <c r="AE45" s="4" t="s">
        <v>45</v>
      </c>
      <c r="AF45" s="4" t="s">
        <v>46</v>
      </c>
      <c r="AG45" s="4" t="s">
        <v>51</v>
      </c>
    </row>
    <row r="46" spans="1:33" x14ac:dyDescent="0.35">
      <c r="A46" s="2">
        <f>Prices!A44</f>
        <v>43952</v>
      </c>
      <c r="B46" s="1">
        <f>Prices!B44</f>
        <v>1911.5200199999999</v>
      </c>
      <c r="C46" s="1">
        <f>Prices!C44</f>
        <v>43.200001</v>
      </c>
      <c r="D46" s="1">
        <f>Prices!D44</f>
        <v>57.939999</v>
      </c>
      <c r="E46" s="1">
        <f>Prices!E44</f>
        <v>62.720001000000003</v>
      </c>
      <c r="F46" s="1">
        <f>Prices!F44</f>
        <v>427.60000600000001</v>
      </c>
      <c r="G46" s="1">
        <f t="shared" si="10"/>
        <v>114.34382602865089</v>
      </c>
      <c r="H46" s="1">
        <f t="shared" si="6"/>
        <v>106.37773931598777</v>
      </c>
      <c r="I46" s="1">
        <f t="shared" si="7"/>
        <v>99.28032557778748</v>
      </c>
      <c r="J46" s="1">
        <f t="shared" si="8"/>
        <v>100.64185012836973</v>
      </c>
      <c r="K46" s="1">
        <f t="shared" si="9"/>
        <v>98.981482870370471</v>
      </c>
      <c r="L46" s="23">
        <f t="shared" si="1"/>
        <v>-7.7860597576349111E-3</v>
      </c>
      <c r="M46" s="23">
        <f t="shared" si="2"/>
        <v>-8.4920587560247673E-3</v>
      </c>
      <c r="N46" s="23">
        <f t="shared" si="3"/>
        <v>-1.6298861925335806E-2</v>
      </c>
      <c r="O46" s="23">
        <f t="shared" si="4"/>
        <v>-1.2749850665037643E-2</v>
      </c>
      <c r="P46" s="23">
        <f t="shared" si="5"/>
        <v>-7.6583616754470896E-3</v>
      </c>
      <c r="AB46" s="1">
        <v>1</v>
      </c>
      <c r="AC46" s="22">
        <f>MIN($L$5:$P$467)</f>
        <v>-0.17172197687418145</v>
      </c>
      <c r="AD46" s="6">
        <f t="shared" ref="AD46:AD55" si="17">AC46+(MAX($L$5:$P$467)-MIN($L$5:$P$467))/10</f>
        <v>-0.13487031217222734</v>
      </c>
      <c r="AE46" s="1">
        <f t="shared" ref="AE46:AE55" si="18">COUNTIFS($L$5:$P$467,"&gt;="&amp;AC46,$L$5:$P$467,"&lt;"&amp;AD46)</f>
        <v>4</v>
      </c>
      <c r="AF46" s="9">
        <f>$AA$10*_xlfn.NORM.DIST(AD46,$AA$6,$AA$7,TRUE)</f>
        <v>1.7928838494351695E-5</v>
      </c>
      <c r="AG46" s="19">
        <f>((AE46-AF46)^2)/AF46</f>
        <v>892408.98537036218</v>
      </c>
    </row>
    <row r="47" spans="1:33" x14ac:dyDescent="0.35">
      <c r="A47" s="2">
        <f>Prices!A45</f>
        <v>43953</v>
      </c>
      <c r="B47" s="1">
        <f>Prices!B45</f>
        <v>1900.8199460000001</v>
      </c>
      <c r="C47" s="1">
        <f>Prices!C45</f>
        <v>43.470001000000003</v>
      </c>
      <c r="D47" s="1">
        <f>Prices!D45</f>
        <v>57.439999</v>
      </c>
      <c r="E47" s="1">
        <f>Prices!E45</f>
        <v>63.700001</v>
      </c>
      <c r="F47" s="1">
        <f>Prices!F45</f>
        <v>426.20001200000002</v>
      </c>
      <c r="G47" s="1">
        <f t="shared" si="10"/>
        <v>113.70376608308482</v>
      </c>
      <c r="H47" s="1">
        <f t="shared" si="6"/>
        <v>107.04260017132241</v>
      </c>
      <c r="I47" s="1">
        <f t="shared" si="7"/>
        <v>98.423574393016239</v>
      </c>
      <c r="J47" s="1">
        <f t="shared" si="8"/>
        <v>102.21437901155329</v>
      </c>
      <c r="K47" s="1">
        <f t="shared" si="9"/>
        <v>98.657410185185284</v>
      </c>
      <c r="L47" s="23">
        <f t="shared" si="1"/>
        <v>-5.5976782288682525E-3</v>
      </c>
      <c r="M47" s="23">
        <f t="shared" si="2"/>
        <v>6.2499998553240399E-3</v>
      </c>
      <c r="N47" s="23">
        <f t="shared" si="3"/>
        <v>-8.6296169939527045E-3</v>
      </c>
      <c r="O47" s="23">
        <f t="shared" si="4"/>
        <v>1.5624999750876833E-2</v>
      </c>
      <c r="P47" s="23">
        <f t="shared" si="5"/>
        <v>-3.2740738549007498E-3</v>
      </c>
      <c r="AB47" s="1">
        <v>2</v>
      </c>
      <c r="AC47" s="6">
        <f>AD46</f>
        <v>-0.13487031217222734</v>
      </c>
      <c r="AD47" s="6">
        <f t="shared" si="17"/>
        <v>-9.8018647470273237E-2</v>
      </c>
      <c r="AE47" s="1">
        <f t="shared" si="18"/>
        <v>5</v>
      </c>
      <c r="AF47" s="9">
        <f>$AA$10*_xlfn.NORM.DIST(AD47,$AA$6,$AA$7,TRUE)-SUM($AF$46:AF46)</f>
        <v>4.5337729083183453E-2</v>
      </c>
      <c r="AG47" s="19">
        <f t="shared" ref="AG47:AG55" si="19">((AE47-AF47)^2)/AF47</f>
        <v>541.4624577646108</v>
      </c>
    </row>
    <row r="48" spans="1:33" x14ac:dyDescent="0.35">
      <c r="A48" s="2">
        <f>Prices!A46</f>
        <v>43954</v>
      </c>
      <c r="B48" s="1">
        <f>Prices!B46</f>
        <v>1962.459961</v>
      </c>
      <c r="C48" s="1">
        <f>Prices!C46</f>
        <v>44.700001</v>
      </c>
      <c r="D48" s="1">
        <f>Prices!D46</f>
        <v>58.919998</v>
      </c>
      <c r="E48" s="1">
        <f>Prices!E46</f>
        <v>64.290001000000004</v>
      </c>
      <c r="F48" s="1">
        <f>Prices!F46</f>
        <v>417.39999399999999</v>
      </c>
      <c r="G48" s="1">
        <f t="shared" si="10"/>
        <v>117.39096531606143</v>
      </c>
      <c r="H48" s="1">
        <f t="shared" si="6"/>
        <v>110.07141073451346</v>
      </c>
      <c r="I48" s="1">
        <f t="shared" si="7"/>
        <v>100.95955618643671</v>
      </c>
      <c r="J48" s="1">
        <f t="shared" si="8"/>
        <v>103.16110558408218</v>
      </c>
      <c r="K48" s="1">
        <f t="shared" si="9"/>
        <v>96.620368981481576</v>
      </c>
      <c r="L48" s="23">
        <f t="shared" si="1"/>
        <v>3.2428118786165028E-2</v>
      </c>
      <c r="M48" s="23">
        <f t="shared" si="2"/>
        <v>2.8295375470545725E-2</v>
      </c>
      <c r="N48" s="23">
        <f t="shared" si="3"/>
        <v>2.5765999752193514E-2</v>
      </c>
      <c r="O48" s="23">
        <f t="shared" si="4"/>
        <v>9.2621662596206189E-3</v>
      </c>
      <c r="P48" s="23">
        <f t="shared" si="5"/>
        <v>-2.0647624946570908E-2</v>
      </c>
      <c r="AB48" s="1">
        <v>3</v>
      </c>
      <c r="AC48" s="6">
        <f t="shared" ref="AC48:AC55" si="20">AD47</f>
        <v>-9.8018647470273237E-2</v>
      </c>
      <c r="AD48" s="6">
        <f t="shared" si="17"/>
        <v>-6.1166982768319139E-2</v>
      </c>
      <c r="AE48" s="1">
        <f t="shared" si="18"/>
        <v>24</v>
      </c>
      <c r="AF48" s="9">
        <f>$AA$10*_xlfn.NORM.DIST(AD48,$AA$6,$AA$7,TRUE)-SUM($AF$46:AF47)</f>
        <v>11.779956007712045</v>
      </c>
      <c r="AG48" s="19">
        <f t="shared" si="19"/>
        <v>12.676573246597071</v>
      </c>
    </row>
    <row r="49" spans="1:33" x14ac:dyDescent="0.35">
      <c r="A49" s="2">
        <f>Prices!A47</f>
        <v>43957</v>
      </c>
      <c r="B49" s="1">
        <f>Prices!B47</f>
        <v>1950.5500489999999</v>
      </c>
      <c r="C49" s="1">
        <f>Prices!C47</f>
        <v>43.790000999999997</v>
      </c>
      <c r="D49" s="1">
        <f>Prices!D47</f>
        <v>58.080002</v>
      </c>
      <c r="E49" s="1">
        <f>Prices!E47</f>
        <v>64.110000999999997</v>
      </c>
      <c r="F49" s="1">
        <f>Prices!F47</f>
        <v>415.5</v>
      </c>
      <c r="G49" s="1">
        <f t="shared" si="10"/>
        <v>116.67853495096143</v>
      </c>
      <c r="H49" s="1">
        <f t="shared" si="6"/>
        <v>107.83058340727453</v>
      </c>
      <c r="I49" s="1">
        <f t="shared" si="7"/>
        <v>99.520221050030528</v>
      </c>
      <c r="J49" s="1">
        <f t="shared" si="8"/>
        <v>102.8722737483954</v>
      </c>
      <c r="K49" s="1">
        <f t="shared" si="9"/>
        <v>96.180555555555657</v>
      </c>
      <c r="L49" s="23">
        <f t="shared" si="1"/>
        <v>-6.068868785445769E-3</v>
      </c>
      <c r="M49" s="23">
        <f t="shared" si="2"/>
        <v>-2.035794137901703E-2</v>
      </c>
      <c r="N49" s="23">
        <f t="shared" si="3"/>
        <v>-1.4256551739869394E-2</v>
      </c>
      <c r="O49" s="23">
        <f t="shared" si="4"/>
        <v>-2.7998133022273386E-3</v>
      </c>
      <c r="P49" s="23">
        <f t="shared" si="5"/>
        <v>-4.5519741909723077E-3</v>
      </c>
      <c r="AB49" s="1">
        <v>4</v>
      </c>
      <c r="AC49" s="6">
        <f t="shared" si="20"/>
        <v>-6.1166982768319139E-2</v>
      </c>
      <c r="AD49" s="6">
        <f t="shared" si="17"/>
        <v>-2.4315318066365041E-2</v>
      </c>
      <c r="AE49" s="1">
        <f t="shared" si="18"/>
        <v>179</v>
      </c>
      <c r="AF49" s="9">
        <f>$AA$10*_xlfn.NORM.DIST(AD49,$AA$6,$AA$7,TRUE)-SUM($AF$46:AF48)</f>
        <v>341.84729900655509</v>
      </c>
      <c r="AG49" s="19">
        <f t="shared" si="19"/>
        <v>77.576282950890999</v>
      </c>
    </row>
    <row r="50" spans="1:33" x14ac:dyDescent="0.35">
      <c r="A50" s="2">
        <f>Prices!A48</f>
        <v>43958</v>
      </c>
      <c r="B50" s="1">
        <f>Prices!B48</f>
        <v>1921</v>
      </c>
      <c r="C50" s="1">
        <f>Prices!C48</f>
        <v>43.150002000000001</v>
      </c>
      <c r="D50" s="1">
        <f>Prices!D48</f>
        <v>58.290000999999997</v>
      </c>
      <c r="E50" s="1">
        <f>Prices!E48</f>
        <v>62.23</v>
      </c>
      <c r="F50" s="1">
        <f>Prices!F48</f>
        <v>413.10000600000001</v>
      </c>
      <c r="G50" s="1">
        <f t="shared" si="10"/>
        <v>114.91090205847722</v>
      </c>
      <c r="H50" s="1">
        <f t="shared" si="6"/>
        <v>106.25461939781786</v>
      </c>
      <c r="I50" s="1">
        <f t="shared" si="7"/>
        <v>99.880054834132068</v>
      </c>
      <c r="J50" s="1">
        <f t="shared" si="8"/>
        <v>99.855584082156625</v>
      </c>
      <c r="K50" s="1">
        <f t="shared" si="9"/>
        <v>95.62500138888899</v>
      </c>
      <c r="L50" s="23">
        <f t="shared" si="1"/>
        <v>-1.5149597937848092E-2</v>
      </c>
      <c r="M50" s="23">
        <f t="shared" si="2"/>
        <v>-1.4615185781795215E-2</v>
      </c>
      <c r="N50" s="23">
        <f t="shared" si="3"/>
        <v>3.6156851372008969E-3</v>
      </c>
      <c r="O50" s="23">
        <f t="shared" si="4"/>
        <v>-2.9324613487371476E-2</v>
      </c>
      <c r="P50" s="23">
        <f t="shared" si="5"/>
        <v>-5.7761588447653445E-3</v>
      </c>
      <c r="AB50" s="1">
        <v>5</v>
      </c>
      <c r="AC50" s="6">
        <f t="shared" si="20"/>
        <v>-2.4315318066365041E-2</v>
      </c>
      <c r="AD50" s="6">
        <f t="shared" si="17"/>
        <v>1.2536346635589057E-2</v>
      </c>
      <c r="AE50" s="1">
        <f t="shared" si="18"/>
        <v>1631</v>
      </c>
      <c r="AF50" s="9">
        <f>$AA$10*_xlfn.NORM.DIST(AD50,$AA$6,$AA$7,TRUE)-SUM($AF$46:AF49)</f>
        <v>1262.6428191746354</v>
      </c>
      <c r="AG50" s="19">
        <f t="shared" si="19"/>
        <v>107.46270489567767</v>
      </c>
    </row>
    <row r="51" spans="1:33" x14ac:dyDescent="0.35">
      <c r="A51" s="2">
        <f>Prices!A49</f>
        <v>43959</v>
      </c>
      <c r="B51" s="1">
        <f>Prices!B49</f>
        <v>1917.7700199999999</v>
      </c>
      <c r="C51" s="1">
        <f>Prices!C49</f>
        <v>42.84</v>
      </c>
      <c r="D51" s="1">
        <f>Prices!D49</f>
        <v>57.669998</v>
      </c>
      <c r="E51" s="1">
        <f>Prices!E49</f>
        <v>62.709999000000003</v>
      </c>
      <c r="F51" s="1">
        <f>Prices!F49</f>
        <v>415.10000600000001</v>
      </c>
      <c r="G51" s="1">
        <f t="shared" si="10"/>
        <v>114.7176902336824</v>
      </c>
      <c r="H51" s="1">
        <f t="shared" si="6"/>
        <v>105.49125571309401</v>
      </c>
      <c r="I51" s="1">
        <f t="shared" si="7"/>
        <v>98.81767822450864</v>
      </c>
      <c r="J51" s="1">
        <f t="shared" si="8"/>
        <v>100.6258007060334</v>
      </c>
      <c r="K51" s="1">
        <f t="shared" si="9"/>
        <v>96.087964351851952</v>
      </c>
      <c r="L51" s="23">
        <f t="shared" si="1"/>
        <v>-1.6814055179594778E-3</v>
      </c>
      <c r="M51" s="23">
        <f t="shared" si="2"/>
        <v>-7.1842870366494171E-3</v>
      </c>
      <c r="N51" s="23">
        <f t="shared" si="3"/>
        <v>-1.0636524092699773E-2</v>
      </c>
      <c r="O51" s="23">
        <f t="shared" si="4"/>
        <v>7.7133054796723055E-3</v>
      </c>
      <c r="P51" s="23">
        <f t="shared" si="5"/>
        <v>4.8414426796208332E-3</v>
      </c>
      <c r="AB51" s="1">
        <v>6</v>
      </c>
      <c r="AC51" s="6">
        <f t="shared" si="20"/>
        <v>1.2536346635589057E-2</v>
      </c>
      <c r="AD51" s="6">
        <f t="shared" si="17"/>
        <v>4.9388011337543156E-2</v>
      </c>
      <c r="AE51" s="1">
        <f t="shared" si="18"/>
        <v>417</v>
      </c>
      <c r="AF51" s="9">
        <f>$AA$10*_xlfn.NORM.DIST(AD51,$AA$6,$AA$7,TRUE)-SUM($AF$46:AF50)</f>
        <v>653.41438952621752</v>
      </c>
      <c r="AG51" s="19">
        <f t="shared" si="19"/>
        <v>85.538005392841924</v>
      </c>
    </row>
    <row r="52" spans="1:33" x14ac:dyDescent="0.35">
      <c r="A52" s="2">
        <f>Prices!A50</f>
        <v>43960</v>
      </c>
      <c r="B52" s="1">
        <f>Prices!B50</f>
        <v>1899.869995</v>
      </c>
      <c r="C52" s="1">
        <f>Prices!C50</f>
        <v>42.779998999999997</v>
      </c>
      <c r="D52" s="1">
        <f>Prices!D50</f>
        <v>57.740001999999997</v>
      </c>
      <c r="E52" s="1">
        <f>Prices!E50</f>
        <v>63.130001</v>
      </c>
      <c r="F52" s="1">
        <f>Prices!F50</f>
        <v>407.60000600000001</v>
      </c>
      <c r="G52" s="1">
        <f t="shared" si="10"/>
        <v>113.64694165501541</v>
      </c>
      <c r="H52" s="1">
        <f t="shared" si="6"/>
        <v>105.34350639390536</v>
      </c>
      <c r="I52" s="1">
        <f t="shared" si="7"/>
        <v>98.937630244386085</v>
      </c>
      <c r="J52" s="1">
        <f t="shared" si="8"/>
        <v>101.29974486521184</v>
      </c>
      <c r="K52" s="1">
        <f t="shared" si="9"/>
        <v>94.351853240740837</v>
      </c>
      <c r="L52" s="23">
        <f t="shared" si="1"/>
        <v>-9.3337703756574131E-3</v>
      </c>
      <c r="M52" s="23">
        <f t="shared" si="2"/>
        <v>-1.4005835667602051E-3</v>
      </c>
      <c r="N52" s="23">
        <f t="shared" si="3"/>
        <v>1.2138720726155849E-3</v>
      </c>
      <c r="O52" s="23">
        <f t="shared" si="4"/>
        <v>6.697528411697018E-3</v>
      </c>
      <c r="P52" s="23">
        <f t="shared" si="5"/>
        <v>-1.8067935176083849E-2</v>
      </c>
      <c r="AB52" s="1">
        <v>7</v>
      </c>
      <c r="AC52" s="6">
        <f t="shared" si="20"/>
        <v>4.9388011337543156E-2</v>
      </c>
      <c r="AD52" s="6">
        <f t="shared" si="17"/>
        <v>8.6239676039497254E-2</v>
      </c>
      <c r="AE52" s="1">
        <f t="shared" si="18"/>
        <v>42</v>
      </c>
      <c r="AF52" s="9">
        <f>$AA$10*_xlfn.NORM.DIST(AD52,$AA$6,$AA$7,TRUE)-SUM($AF$46:AF51)</f>
        <v>44.911415220766685</v>
      </c>
      <c r="AG52" s="19">
        <f t="shared" si="19"/>
        <v>0.18873461337269398</v>
      </c>
    </row>
    <row r="53" spans="1:33" x14ac:dyDescent="0.35">
      <c r="A53" s="2">
        <f>Prices!A51</f>
        <v>43961</v>
      </c>
      <c r="B53" s="1">
        <f>Prices!B51</f>
        <v>1889.9799800000001</v>
      </c>
      <c r="C53" s="1">
        <f>Prices!C51</f>
        <v>42.860000999999997</v>
      </c>
      <c r="D53" s="1">
        <f>Prices!D51</f>
        <v>58.869999</v>
      </c>
      <c r="E53" s="1">
        <f>Prices!E51</f>
        <v>63.549999</v>
      </c>
      <c r="F53" s="1">
        <f>Prices!F51</f>
        <v>413.10000600000001</v>
      </c>
      <c r="G53" s="1">
        <f t="shared" si="10"/>
        <v>113.05533803969951</v>
      </c>
      <c r="H53" s="1">
        <f t="shared" si="6"/>
        <v>105.54050712778862</v>
      </c>
      <c r="I53" s="1">
        <f t="shared" si="7"/>
        <v>100.87388278146196</v>
      </c>
      <c r="J53" s="1">
        <f t="shared" si="8"/>
        <v>101.97368260590503</v>
      </c>
      <c r="K53" s="1">
        <f t="shared" si="9"/>
        <v>95.62500138888899</v>
      </c>
      <c r="L53" s="23">
        <f t="shared" si="1"/>
        <v>-5.2056272408259607E-3</v>
      </c>
      <c r="M53" s="23">
        <f t="shared" si="2"/>
        <v>1.8700795201047615E-3</v>
      </c>
      <c r="N53" s="23">
        <f t="shared" si="3"/>
        <v>1.9570435761328886E-2</v>
      </c>
      <c r="O53" s="23">
        <f t="shared" si="4"/>
        <v>6.6529065950751143E-3</v>
      </c>
      <c r="P53" s="23">
        <f t="shared" si="5"/>
        <v>1.3493620998621836E-2</v>
      </c>
      <c r="AB53" s="1">
        <v>8</v>
      </c>
      <c r="AC53" s="6">
        <f t="shared" si="20"/>
        <v>8.6239676039497254E-2</v>
      </c>
      <c r="AD53" s="6">
        <f t="shared" si="17"/>
        <v>0.12309134074145135</v>
      </c>
      <c r="AE53" s="1">
        <f t="shared" si="18"/>
        <v>8</v>
      </c>
      <c r="AF53" s="9">
        <f>$AA$10*_xlfn.NORM.DIST(AD53,$AA$6,$AA$7,TRUE)-SUM($AF$46:AF52)</f>
        <v>0.35846494557608821</v>
      </c>
      <c r="AG53" s="19">
        <f t="shared" si="19"/>
        <v>162.89754049491813</v>
      </c>
    </row>
    <row r="54" spans="1:33" x14ac:dyDescent="0.35">
      <c r="A54" s="2">
        <f>Prices!A52</f>
        <v>43964</v>
      </c>
      <c r="B54" s="1">
        <f>Prices!B52</f>
        <v>1822.6800539999999</v>
      </c>
      <c r="C54" s="1">
        <f>Prices!C52</f>
        <v>42.07</v>
      </c>
      <c r="D54" s="1">
        <f>Prices!D52</f>
        <v>57.16</v>
      </c>
      <c r="E54" s="1">
        <f>Prices!E52</f>
        <v>63.380001</v>
      </c>
      <c r="F54" s="1">
        <f>Prices!F52</f>
        <v>417</v>
      </c>
      <c r="G54" s="1">
        <f t="shared" si="10"/>
        <v>109.02957270647265</v>
      </c>
      <c r="H54" s="1">
        <f t="shared" si="6"/>
        <v>103.59517105158415</v>
      </c>
      <c r="I54" s="1">
        <f t="shared" si="7"/>
        <v>97.943795443046724</v>
      </c>
      <c r="J54" s="1">
        <f t="shared" si="8"/>
        <v>101.70090019255457</v>
      </c>
      <c r="K54" s="1">
        <f t="shared" si="9"/>
        <v>96.527777777777871</v>
      </c>
      <c r="L54" s="23">
        <f t="shared" si="1"/>
        <v>-3.5608803644576192E-2</v>
      </c>
      <c r="M54" s="23">
        <f t="shared" si="2"/>
        <v>-1.8432127428088418E-2</v>
      </c>
      <c r="N54" s="23">
        <f t="shared" si="3"/>
        <v>-2.9047036335094978E-2</v>
      </c>
      <c r="O54" s="23">
        <f t="shared" si="4"/>
        <v>-2.6750275794654721E-3</v>
      </c>
      <c r="P54" s="23">
        <f t="shared" si="5"/>
        <v>9.4407987009323957E-3</v>
      </c>
      <c r="AB54" s="1">
        <v>9</v>
      </c>
      <c r="AC54" s="6">
        <f t="shared" si="20"/>
        <v>0.12309134074145135</v>
      </c>
      <c r="AD54" s="6">
        <f t="shared" si="17"/>
        <v>0.15994300544340545</v>
      </c>
      <c r="AE54" s="1">
        <f t="shared" si="18"/>
        <v>4</v>
      </c>
      <c r="AF54" s="9">
        <f>$AA$10*_xlfn.NORM.DIST(AD54,$AA$6,$AA$7,TRUE)-SUM($AF$46:AF53)</f>
        <v>3.0043556125747273E-4</v>
      </c>
      <c r="AG54" s="19">
        <f t="shared" si="19"/>
        <v>53248.012781221849</v>
      </c>
    </row>
    <row r="55" spans="1:33" x14ac:dyDescent="0.35">
      <c r="A55" s="2">
        <f>Prices!A53</f>
        <v>43965</v>
      </c>
      <c r="B55" s="1">
        <f>Prices!B53</f>
        <v>1840.119995</v>
      </c>
      <c r="C55" s="1">
        <f>Prices!C53</f>
        <v>42.150002000000001</v>
      </c>
      <c r="D55" s="1">
        <f>Prices!D53</f>
        <v>58.459999000000003</v>
      </c>
      <c r="E55" s="1">
        <f>Prices!E53</f>
        <v>64.110000999999997</v>
      </c>
      <c r="F55" s="1">
        <f>Prices!F53</f>
        <v>425.29998799999998</v>
      </c>
      <c r="G55" s="1">
        <f t="shared" si="10"/>
        <v>110.07279985491442</v>
      </c>
      <c r="H55" s="1">
        <f t="shared" si="6"/>
        <v>103.79217178546742</v>
      </c>
      <c r="I55" s="1">
        <f t="shared" si="7"/>
        <v>100.17134680994955</v>
      </c>
      <c r="J55" s="1">
        <f t="shared" si="8"/>
        <v>102.87227374839539</v>
      </c>
      <c r="K55" s="1">
        <f t="shared" si="9"/>
        <v>98.449071296296395</v>
      </c>
      <c r="L55" s="23">
        <f t="shared" si="1"/>
        <v>9.5682953032414364E-3</v>
      </c>
      <c r="M55" s="23">
        <f t="shared" si="2"/>
        <v>1.9016401236036096E-3</v>
      </c>
      <c r="N55" s="23">
        <f t="shared" si="3"/>
        <v>2.2743159552134573E-2</v>
      </c>
      <c r="O55" s="23">
        <f t="shared" si="4"/>
        <v>1.1517828786402173E-2</v>
      </c>
      <c r="P55" s="23">
        <f t="shared" si="5"/>
        <v>1.9904047961630589E-2</v>
      </c>
      <c r="AB55" s="1">
        <v>10</v>
      </c>
      <c r="AC55" s="6">
        <f t="shared" si="20"/>
        <v>0.15994300544340545</v>
      </c>
      <c r="AD55" s="6">
        <f t="shared" si="17"/>
        <v>0.19679467014535956</v>
      </c>
      <c r="AE55" s="1">
        <f t="shared" si="18"/>
        <v>0</v>
      </c>
      <c r="AF55" s="9">
        <f>$AA$10*_xlfn.NORM.DIST(AD55,$AA$6,$AA$7,TRUE)-SUM($AF$46:AF54)</f>
        <v>2.5053850549738854E-8</v>
      </c>
      <c r="AG55" s="19">
        <f t="shared" si="19"/>
        <v>2.5053850549738854E-8</v>
      </c>
    </row>
    <row r="56" spans="1:33" x14ac:dyDescent="0.35">
      <c r="A56" s="2">
        <f>Prices!A54</f>
        <v>43966</v>
      </c>
      <c r="B56" s="1">
        <f>Prices!B54</f>
        <v>1871.150024</v>
      </c>
      <c r="C56" s="1">
        <f>Prices!C54</f>
        <v>42.560001</v>
      </c>
      <c r="D56" s="1">
        <f>Prices!D54</f>
        <v>58.290000999999997</v>
      </c>
      <c r="E56" s="1">
        <f>Prices!E54</f>
        <v>64.860000999999997</v>
      </c>
      <c r="F56" s="1">
        <f>Prices!F54</f>
        <v>419.89999399999999</v>
      </c>
      <c r="G56" s="1">
        <f t="shared" si="10"/>
        <v>111.92896259478465</v>
      </c>
      <c r="H56" s="1">
        <f t="shared" si="6"/>
        <v>104.80177284408349</v>
      </c>
      <c r="I56" s="1">
        <f t="shared" si="7"/>
        <v>99.880054834132054</v>
      </c>
      <c r="J56" s="1">
        <f t="shared" si="8"/>
        <v>104.07573973042363</v>
      </c>
      <c r="K56" s="1">
        <f t="shared" si="9"/>
        <v>97.199072685185286</v>
      </c>
      <c r="L56" s="23">
        <f t="shared" si="1"/>
        <v>1.6863046477574972E-2</v>
      </c>
      <c r="M56" s="23">
        <f t="shared" si="2"/>
        <v>9.7271407009660305E-3</v>
      </c>
      <c r="N56" s="23">
        <f t="shared" si="3"/>
        <v>-2.9079371007174615E-3</v>
      </c>
      <c r="O56" s="23">
        <f t="shared" si="4"/>
        <v>1.1698642774939261E-2</v>
      </c>
      <c r="P56" s="23">
        <f t="shared" si="5"/>
        <v>-1.2696906071861913E-2</v>
      </c>
      <c r="AC56" s="6"/>
      <c r="AD56" s="6"/>
    </row>
    <row r="57" spans="1:33" x14ac:dyDescent="0.35">
      <c r="A57" s="2">
        <f>Prices!A55</f>
        <v>43967</v>
      </c>
      <c r="B57" s="1">
        <f>Prices!B55</f>
        <v>1907.5699460000001</v>
      </c>
      <c r="C57" s="1">
        <f>Prices!C55</f>
        <v>42.23</v>
      </c>
      <c r="D57" s="1">
        <f>Prices!D55</f>
        <v>59.779998999999997</v>
      </c>
      <c r="E57" s="1">
        <f>Prices!E55</f>
        <v>64.260002</v>
      </c>
      <c r="F57" s="1">
        <f>Prices!F55</f>
        <v>416.89999399999999</v>
      </c>
      <c r="G57" s="1">
        <f t="shared" si="10"/>
        <v>114.10753942451885</v>
      </c>
      <c r="H57" s="1">
        <f t="shared" si="6"/>
        <v>103.9891626695602</v>
      </c>
      <c r="I57" s="1">
        <f t="shared" si="7"/>
        <v>102.43316993774557</v>
      </c>
      <c r="J57" s="1">
        <f t="shared" si="8"/>
        <v>103.11296854942235</v>
      </c>
      <c r="K57" s="1">
        <f t="shared" si="9"/>
        <v>96.504628240740843</v>
      </c>
      <c r="L57" s="23">
        <f t="shared" si="1"/>
        <v>1.9463924074962335E-2</v>
      </c>
      <c r="M57" s="23">
        <f t="shared" si="2"/>
        <v>-7.7537827125521153E-3</v>
      </c>
      <c r="N57" s="23">
        <f t="shared" si="3"/>
        <v>2.5561811192969408E-2</v>
      </c>
      <c r="O57" s="23">
        <f t="shared" si="4"/>
        <v>-9.2506782415867628E-3</v>
      </c>
      <c r="P57" s="23">
        <f t="shared" si="5"/>
        <v>-7.1445583302389704E-3</v>
      </c>
      <c r="AC57" s="6" t="s">
        <v>50</v>
      </c>
      <c r="AD57" s="6"/>
      <c r="AE57">
        <f>_xlfn.CHISQ.TEST(AE46:AE55,AF46:AF55)</f>
        <v>0</v>
      </c>
    </row>
    <row r="58" spans="1:33" x14ac:dyDescent="0.35">
      <c r="A58" s="2">
        <f>Prices!A56</f>
        <v>43968</v>
      </c>
      <c r="B58" s="1">
        <f>Prices!B56</f>
        <v>1869</v>
      </c>
      <c r="C58" s="1">
        <f>Prices!C56</f>
        <v>41.610000999999997</v>
      </c>
      <c r="D58" s="1">
        <f>Prices!D56</f>
        <v>59.959999000000003</v>
      </c>
      <c r="E58" s="1">
        <f>Prices!E56</f>
        <v>64.269997000000004</v>
      </c>
      <c r="F58" s="1">
        <f>Prices!F56</f>
        <v>417.79998799999998</v>
      </c>
      <c r="G58" s="1">
        <f t="shared" si="10"/>
        <v>111.80035187261527</v>
      </c>
      <c r="H58" s="1">
        <f t="shared" si="6"/>
        <v>102.46244761235053</v>
      </c>
      <c r="I58" s="1">
        <f t="shared" si="7"/>
        <v>102.74160036426323</v>
      </c>
      <c r="J58" s="1">
        <f t="shared" si="8"/>
        <v>103.12900673940952</v>
      </c>
      <c r="K58" s="1">
        <f t="shared" si="9"/>
        <v>96.712960185185281</v>
      </c>
      <c r="L58" s="23">
        <f t="shared" si="1"/>
        <v>-2.0219413752495807E-2</v>
      </c>
      <c r="M58" s="23">
        <f t="shared" si="2"/>
        <v>-1.4681482358512854E-2</v>
      </c>
      <c r="N58" s="23">
        <f t="shared" si="3"/>
        <v>3.0110405321353007E-3</v>
      </c>
      <c r="O58" s="23">
        <f t="shared" si="4"/>
        <v>1.5553998893436116E-4</v>
      </c>
      <c r="P58" s="23">
        <f t="shared" si="5"/>
        <v>2.1587767161252991E-3</v>
      </c>
      <c r="AB58" s="1" t="s">
        <v>53</v>
      </c>
      <c r="AC58" s="6"/>
      <c r="AD58" s="6"/>
    </row>
    <row r="59" spans="1:33" x14ac:dyDescent="0.35">
      <c r="A59" s="2">
        <f>Prices!A57</f>
        <v>43971</v>
      </c>
      <c r="B59" s="1">
        <f>Prices!B57</f>
        <v>1858.969971</v>
      </c>
      <c r="C59" s="1">
        <f>Prices!C57</f>
        <v>41.419998</v>
      </c>
      <c r="D59" s="1">
        <f>Prices!D57</f>
        <v>59.740001999999997</v>
      </c>
      <c r="E59" s="1">
        <f>Prices!E57</f>
        <v>64.430000000000007</v>
      </c>
      <c r="F59" s="1">
        <f>Prices!F57</f>
        <v>411.89999399999999</v>
      </c>
      <c r="G59" s="1">
        <f t="shared" si="10"/>
        <v>111.20037286165082</v>
      </c>
      <c r="H59" s="1">
        <f t="shared" si="6"/>
        <v>101.99457517866112</v>
      </c>
      <c r="I59" s="1">
        <f t="shared" si="7"/>
        <v>102.36463498347099</v>
      </c>
      <c r="J59" s="1">
        <f t="shared" si="8"/>
        <v>103.38575096277282</v>
      </c>
      <c r="K59" s="1">
        <f t="shared" si="9"/>
        <v>95.347220833333438</v>
      </c>
      <c r="L59" s="23">
        <f t="shared" si="1"/>
        <v>-5.3665216693419282E-3</v>
      </c>
      <c r="M59" s="23">
        <f t="shared" si="2"/>
        <v>-4.5662820339753551E-3</v>
      </c>
      <c r="N59" s="23">
        <f t="shared" si="3"/>
        <v>-3.6690627696642775E-3</v>
      </c>
      <c r="O59" s="23">
        <f t="shared" si="4"/>
        <v>2.4895442269898815E-3</v>
      </c>
      <c r="P59" s="23">
        <f t="shared" si="5"/>
        <v>-1.4121575321826008E-2</v>
      </c>
    </row>
    <row r="60" spans="1:33" x14ac:dyDescent="0.35">
      <c r="A60" s="2">
        <f>Prices!A58</f>
        <v>43972</v>
      </c>
      <c r="B60" s="1">
        <f>Prices!B58</f>
        <v>1857.5200199999999</v>
      </c>
      <c r="C60" s="1">
        <f>Prices!C58</f>
        <v>41.68</v>
      </c>
      <c r="D60" s="1">
        <f>Prices!D58</f>
        <v>59.759998000000003</v>
      </c>
      <c r="E60" s="1">
        <f>Prices!E58</f>
        <v>64.470000999999996</v>
      </c>
      <c r="F60" s="1">
        <f>Prices!F58</f>
        <v>402.29998799999998</v>
      </c>
      <c r="G60" s="1">
        <f t="shared" si="10"/>
        <v>111.11363929717888</v>
      </c>
      <c r="H60" s="1">
        <f t="shared" si="6"/>
        <v>102.63481648276748</v>
      </c>
      <c r="I60" s="1">
        <f t="shared" si="7"/>
        <v>102.39889817685237</v>
      </c>
      <c r="J60" s="1">
        <f t="shared" si="8"/>
        <v>103.44993741976894</v>
      </c>
      <c r="K60" s="1">
        <f t="shared" si="9"/>
        <v>93.124997222222319</v>
      </c>
      <c r="L60" s="23">
        <f t="shared" si="1"/>
        <v>-7.799754824550087E-4</v>
      </c>
      <c r="M60" s="23">
        <f t="shared" si="2"/>
        <v>6.2772093808405316E-3</v>
      </c>
      <c r="N60" s="23">
        <f t="shared" si="3"/>
        <v>3.3471709625998436E-4</v>
      </c>
      <c r="O60" s="23">
        <f t="shared" si="4"/>
        <v>6.2084432717668392E-4</v>
      </c>
      <c r="P60" s="23">
        <f t="shared" si="5"/>
        <v>-2.3306642728428861E-2</v>
      </c>
    </row>
    <row r="61" spans="1:33" x14ac:dyDescent="0.35">
      <c r="A61" s="2">
        <f>Prices!A59</f>
        <v>43973</v>
      </c>
      <c r="B61" s="1">
        <f>Prices!B59</f>
        <v>1859.6800539999999</v>
      </c>
      <c r="C61" s="1">
        <f>Prices!C59</f>
        <v>41.700001</v>
      </c>
      <c r="D61" s="1">
        <f>Prices!D59</f>
        <v>59.450001</v>
      </c>
      <c r="E61" s="1">
        <f>Prices!E59</f>
        <v>63.720001000000003</v>
      </c>
      <c r="F61" s="1">
        <f>Prices!F59</f>
        <v>404.29998799999998</v>
      </c>
      <c r="G61" s="1">
        <f t="shared" si="10"/>
        <v>111.24284880025904</v>
      </c>
      <c r="H61" s="1">
        <f t="shared" si="6"/>
        <v>102.6840678974621</v>
      </c>
      <c r="I61" s="1">
        <f t="shared" si="7"/>
        <v>101.86771758280132</v>
      </c>
      <c r="J61" s="1">
        <f t="shared" si="8"/>
        <v>102.24647143774072</v>
      </c>
      <c r="K61" s="1">
        <f t="shared" si="9"/>
        <v>93.587960185185281</v>
      </c>
      <c r="L61" s="23">
        <f t="shared" si="1"/>
        <v>1.1628590684045204E-3</v>
      </c>
      <c r="M61" s="23">
        <f t="shared" si="2"/>
        <v>4.7987044145880731E-4</v>
      </c>
      <c r="N61" s="23">
        <f t="shared" si="3"/>
        <v>-5.1873663047981022E-3</v>
      </c>
      <c r="O61" s="23">
        <f t="shared" si="4"/>
        <v>-1.1633317641797314E-2</v>
      </c>
      <c r="P61" s="23">
        <f t="shared" si="5"/>
        <v>4.971414515677397E-3</v>
      </c>
    </row>
    <row r="62" spans="1:33" x14ac:dyDescent="0.35">
      <c r="A62" s="2">
        <f>Prices!A60</f>
        <v>43974</v>
      </c>
      <c r="B62" s="1">
        <f>Prices!B60</f>
        <v>1815.4799800000001</v>
      </c>
      <c r="C62" s="1">
        <f>Prices!C60</f>
        <v>41.810001</v>
      </c>
      <c r="D62" s="1">
        <f>Prices!D60</f>
        <v>58.77</v>
      </c>
      <c r="E62" s="1">
        <f>Prices!E60</f>
        <v>62.459999000000003</v>
      </c>
      <c r="F62" s="1">
        <f>Prices!F60</f>
        <v>408.20001200000002</v>
      </c>
      <c r="G62" s="1">
        <f t="shared" si="10"/>
        <v>108.5988767157242</v>
      </c>
      <c r="H62" s="1">
        <f t="shared" si="6"/>
        <v>102.95493713482065</v>
      </c>
      <c r="I62" s="1">
        <f t="shared" si="7"/>
        <v>100.70253425801009</v>
      </c>
      <c r="J62" s="1">
        <f t="shared" si="8"/>
        <v>100.22464537869067</v>
      </c>
      <c r="K62" s="1">
        <f t="shared" si="9"/>
        <v>94.490743518518627</v>
      </c>
      <c r="L62" s="23">
        <f t="shared" si="1"/>
        <v>-2.3767568999263911E-2</v>
      </c>
      <c r="M62" s="23">
        <f t="shared" si="2"/>
        <v>2.6378896249905637E-3</v>
      </c>
      <c r="N62" s="23">
        <f t="shared" si="3"/>
        <v>-1.1438199975808194E-2</v>
      </c>
      <c r="O62" s="23">
        <f t="shared" si="4"/>
        <v>-1.9774042376427436E-2</v>
      </c>
      <c r="P62" s="23">
        <f t="shared" si="5"/>
        <v>9.6463618989768296E-3</v>
      </c>
    </row>
    <row r="63" spans="1:33" x14ac:dyDescent="0.35">
      <c r="A63" s="2">
        <f>Prices!A61</f>
        <v>43975</v>
      </c>
      <c r="B63" s="1">
        <f>Prices!B61</f>
        <v>1823.280029</v>
      </c>
      <c r="C63" s="1">
        <f>Prices!C61</f>
        <v>42</v>
      </c>
      <c r="D63" s="1">
        <f>Prices!D61</f>
        <v>59.709999000000003</v>
      </c>
      <c r="E63" s="1">
        <f>Prices!E61</f>
        <v>63.299999</v>
      </c>
      <c r="F63" s="1">
        <f>Prices!F61</f>
        <v>402.39999399999999</v>
      </c>
      <c r="G63" s="1">
        <f t="shared" si="10"/>
        <v>109.06546217469885</v>
      </c>
      <c r="H63" s="1">
        <f t="shared" si="6"/>
        <v>103.42279971871963</v>
      </c>
      <c r="I63" s="1">
        <f t="shared" si="7"/>
        <v>102.31322477187763</v>
      </c>
      <c r="J63" s="1">
        <f t="shared" si="8"/>
        <v>101.57252727856229</v>
      </c>
      <c r="K63" s="1">
        <f t="shared" si="9"/>
        <v>93.148146759259362</v>
      </c>
      <c r="L63" s="23">
        <f t="shared" si="1"/>
        <v>4.2964114646970586E-3</v>
      </c>
      <c r="M63" s="23">
        <f t="shared" si="2"/>
        <v>4.544343349812463E-3</v>
      </c>
      <c r="N63" s="23">
        <f t="shared" si="3"/>
        <v>1.5994538029606931E-2</v>
      </c>
      <c r="O63" s="23">
        <f t="shared" si="4"/>
        <v>1.3448607323864881E-2</v>
      </c>
      <c r="P63" s="23">
        <f t="shared" si="5"/>
        <v>-1.4208764893421932E-2</v>
      </c>
    </row>
    <row r="64" spans="1:33" x14ac:dyDescent="0.35">
      <c r="A64" s="2">
        <f>Prices!A62</f>
        <v>43979</v>
      </c>
      <c r="B64" s="1">
        <f>Prices!B62</f>
        <v>1836.4300539999999</v>
      </c>
      <c r="C64" s="1">
        <f>Prices!C62</f>
        <v>41.560001</v>
      </c>
      <c r="D64" s="1">
        <f>Prices!D62</f>
        <v>60.630001</v>
      </c>
      <c r="E64" s="1">
        <f>Prices!E62</f>
        <v>62.560001</v>
      </c>
      <c r="F64" s="1">
        <f>Prices!F62</f>
        <v>408.20001200000002</v>
      </c>
      <c r="G64" s="1">
        <f t="shared" si="10"/>
        <v>109.85207395754192</v>
      </c>
      <c r="H64" s="1">
        <f t="shared" si="6"/>
        <v>102.33932523173304</v>
      </c>
      <c r="I64" s="1">
        <f t="shared" si="7"/>
        <v>103.88965037886142</v>
      </c>
      <c r="J64" s="1">
        <f t="shared" si="8"/>
        <v>100.38511071887038</v>
      </c>
      <c r="K64" s="1">
        <f t="shared" si="9"/>
        <v>94.490743518518627</v>
      </c>
      <c r="L64" s="23">
        <f t="shared" si="1"/>
        <v>7.2122903727587229E-3</v>
      </c>
      <c r="M64" s="23">
        <f t="shared" si="2"/>
        <v>-1.047616666666662E-2</v>
      </c>
      <c r="N64" s="23">
        <f t="shared" si="3"/>
        <v>1.5407838141146213E-2</v>
      </c>
      <c r="O64" s="23">
        <f t="shared" si="4"/>
        <v>-1.1690331938235876E-2</v>
      </c>
      <c r="P64" s="23">
        <f t="shared" si="5"/>
        <v>1.4413563833204357E-2</v>
      </c>
    </row>
    <row r="65" spans="1:16" x14ac:dyDescent="0.35">
      <c r="A65" s="2">
        <f>Prices!A63</f>
        <v>43980</v>
      </c>
      <c r="B65" s="1">
        <f>Prices!B63</f>
        <v>1819.1899410000001</v>
      </c>
      <c r="C65" s="1">
        <f>Prices!C63</f>
        <v>41.560001</v>
      </c>
      <c r="D65" s="1">
        <f>Prices!D63</f>
        <v>59.389999000000003</v>
      </c>
      <c r="E65" s="1">
        <f>Prices!E63</f>
        <v>62.360000999999997</v>
      </c>
      <c r="F65" s="1">
        <f>Prices!F63</f>
        <v>404.60000600000001</v>
      </c>
      <c r="G65" s="1">
        <f t="shared" si="10"/>
        <v>108.82080017491826</v>
      </c>
      <c r="H65" s="1">
        <f t="shared" si="6"/>
        <v>102.33932523173303</v>
      </c>
      <c r="I65" s="1">
        <f t="shared" si="7"/>
        <v>101.76490401362405</v>
      </c>
      <c r="J65" s="1">
        <f t="shared" si="8"/>
        <v>100.06418645699617</v>
      </c>
      <c r="K65" s="1">
        <f t="shared" si="9"/>
        <v>93.657408796296409</v>
      </c>
      <c r="L65" s="23">
        <f t="shared" si="1"/>
        <v>-9.3878408069223429E-3</v>
      </c>
      <c r="M65" s="23">
        <f t="shared" si="2"/>
        <v>0</v>
      </c>
      <c r="N65" s="23">
        <f t="shared" si="3"/>
        <v>-2.0451954140657147E-2</v>
      </c>
      <c r="O65" s="23">
        <f t="shared" si="4"/>
        <v>-3.1969308951897979E-3</v>
      </c>
      <c r="P65" s="23">
        <f t="shared" si="5"/>
        <v>-8.8192207108509502E-3</v>
      </c>
    </row>
    <row r="66" spans="1:16" x14ac:dyDescent="0.35">
      <c r="A66" s="2">
        <f>Prices!A64</f>
        <v>43981</v>
      </c>
      <c r="B66" s="1">
        <f>Prices!B64</f>
        <v>1816.3199460000001</v>
      </c>
      <c r="C66" s="1">
        <f>Prices!C64</f>
        <v>41.290000999999997</v>
      </c>
      <c r="D66" s="1">
        <f>Prices!D64</f>
        <v>58.93</v>
      </c>
      <c r="E66" s="1">
        <f>Prices!E64</f>
        <v>62.279998999999997</v>
      </c>
      <c r="F66" s="1">
        <f>Prices!F64</f>
        <v>403.10000600000001</v>
      </c>
      <c r="G66" s="1">
        <f t="shared" si="10"/>
        <v>108.64912203105916</v>
      </c>
      <c r="H66" s="1">
        <f t="shared" si="6"/>
        <v>101.6744643763984</v>
      </c>
      <c r="I66" s="1">
        <f t="shared" si="7"/>
        <v>100.97669463713689</v>
      </c>
      <c r="J66" s="1">
        <f t="shared" si="8"/>
        <v>99.935813543003874</v>
      </c>
      <c r="K66" s="1">
        <f t="shared" si="9"/>
        <v>93.310186574074194</v>
      </c>
      <c r="L66" s="23">
        <f t="shared" si="1"/>
        <v>-1.577622509512322E-3</v>
      </c>
      <c r="M66" s="23">
        <f t="shared" si="2"/>
        <v>-6.496631220004101E-3</v>
      </c>
      <c r="N66" s="23">
        <f t="shared" si="3"/>
        <v>-7.745394978033282E-3</v>
      </c>
      <c r="O66" s="23">
        <f t="shared" si="4"/>
        <v>-1.2829056882150969E-3</v>
      </c>
      <c r="P66" s="23">
        <f t="shared" si="5"/>
        <v>-3.70736524408255E-3</v>
      </c>
    </row>
    <row r="67" spans="1:16" x14ac:dyDescent="0.35">
      <c r="A67" s="2">
        <f>Prices!A65</f>
        <v>43982</v>
      </c>
      <c r="B67" s="1">
        <f>Prices!B65</f>
        <v>1775.0699460000001</v>
      </c>
      <c r="C67" s="1">
        <f>Prices!C65</f>
        <v>40.770000000000003</v>
      </c>
      <c r="D67" s="1">
        <f>Prices!D65</f>
        <v>57.93</v>
      </c>
      <c r="E67" s="1">
        <f>Prices!E65</f>
        <v>61.810001</v>
      </c>
      <c r="F67" s="1">
        <f>Prices!F65</f>
        <v>417.79998799999998</v>
      </c>
      <c r="G67" s="1">
        <f t="shared" si="10"/>
        <v>106.18161827785137</v>
      </c>
      <c r="H67" s="1">
        <f t="shared" si="6"/>
        <v>100.39398915552857</v>
      </c>
      <c r="I67" s="1">
        <f t="shared" si="7"/>
        <v>99.263192267594434</v>
      </c>
      <c r="J67" s="1">
        <f t="shared" si="8"/>
        <v>99.181644736842131</v>
      </c>
      <c r="K67" s="1">
        <f t="shared" si="9"/>
        <v>96.712960185185295</v>
      </c>
      <c r="L67" s="23">
        <f t="shared" si="1"/>
        <v>-2.2710756489154327E-2</v>
      </c>
      <c r="M67" s="23">
        <f t="shared" si="2"/>
        <v>-1.2593872303369391E-2</v>
      </c>
      <c r="N67" s="23">
        <f t="shared" si="3"/>
        <v>-1.6969285593076533E-2</v>
      </c>
      <c r="O67" s="23">
        <f t="shared" si="4"/>
        <v>-7.5465319130785247E-3</v>
      </c>
      <c r="P67" s="23">
        <f t="shared" si="5"/>
        <v>3.646733262514501E-2</v>
      </c>
    </row>
    <row r="68" spans="1:16" x14ac:dyDescent="0.35">
      <c r="A68" s="2">
        <f>Prices!A66</f>
        <v>43985</v>
      </c>
      <c r="B68" s="1">
        <f>Prices!B66</f>
        <v>1692.6899410000001</v>
      </c>
      <c r="C68" s="1">
        <f>Prices!C66</f>
        <v>40.840000000000003</v>
      </c>
      <c r="D68" s="1">
        <f>Prices!D66</f>
        <v>58.759998000000003</v>
      </c>
      <c r="E68" s="1">
        <f>Prices!E66</f>
        <v>62.380001</v>
      </c>
      <c r="F68" s="1">
        <f>Prices!F66</f>
        <v>410.60000600000001</v>
      </c>
      <c r="G68" s="1">
        <f t="shared" si="10"/>
        <v>101.253788665081</v>
      </c>
      <c r="H68" s="1">
        <f t="shared" si="6"/>
        <v>100.56636048839312</v>
      </c>
      <c r="I68" s="1">
        <f t="shared" si="7"/>
        <v>100.68539580730994</v>
      </c>
      <c r="J68" s="1">
        <f t="shared" si="8"/>
        <v>100.0962788831836</v>
      </c>
      <c r="K68" s="1">
        <f t="shared" si="9"/>
        <v>95.046297685185309</v>
      </c>
      <c r="L68" s="23">
        <f t="shared" si="1"/>
        <v>-4.6409441602928259E-2</v>
      </c>
      <c r="M68" s="23">
        <f t="shared" si="2"/>
        <v>1.7169487368162706E-3</v>
      </c>
      <c r="N68" s="23">
        <f t="shared" si="3"/>
        <v>1.4327602278612073E-2</v>
      </c>
      <c r="O68" s="23">
        <f t="shared" si="4"/>
        <v>9.2218086196116378E-3</v>
      </c>
      <c r="P68" s="23">
        <f t="shared" si="5"/>
        <v>-1.7233083309710295E-2</v>
      </c>
    </row>
    <row r="69" spans="1:16" x14ac:dyDescent="0.35">
      <c r="A69" s="2">
        <f>Prices!A67</f>
        <v>43986</v>
      </c>
      <c r="B69" s="1">
        <f>Prices!B67</f>
        <v>1729.5600589999999</v>
      </c>
      <c r="C69" s="1">
        <f>Prices!C67</f>
        <v>41.189999</v>
      </c>
      <c r="D69" s="1">
        <f>Prices!D67</f>
        <v>59.25</v>
      </c>
      <c r="E69" s="1">
        <f>Prices!E67</f>
        <v>62.48</v>
      </c>
      <c r="F69" s="1">
        <f>Prices!F67</f>
        <v>413.60000600000001</v>
      </c>
      <c r="G69" s="1">
        <f t="shared" si="10"/>
        <v>103.45929544195893</v>
      </c>
      <c r="H69" s="1">
        <f t="shared" si="6"/>
        <v>101.42821469026816</v>
      </c>
      <c r="I69" s="1">
        <f t="shared" si="7"/>
        <v>101.52501539539048</v>
      </c>
      <c r="J69" s="1">
        <f t="shared" si="8"/>
        <v>100.25673940949939</v>
      </c>
      <c r="K69" s="1">
        <f t="shared" si="9"/>
        <v>95.740742129629751</v>
      </c>
      <c r="L69" s="23">
        <f t="shared" ref="L69:L132" si="21">B69/B68-1</f>
        <v>2.1781967923917511E-2</v>
      </c>
      <c r="M69" s="23">
        <f t="shared" ref="M69:M132" si="22">C69/C68-1</f>
        <v>8.5700048971595333E-3</v>
      </c>
      <c r="N69" s="23">
        <f t="shared" ref="N69:N132" si="23">D69/D68-1</f>
        <v>8.3390404472103441E-3</v>
      </c>
      <c r="O69" s="23">
        <f t="shared" ref="O69:O132" si="24">E69/E68-1</f>
        <v>1.6030618531088781E-3</v>
      </c>
      <c r="P69" s="23">
        <f t="shared" ref="P69:P132" si="25">F69/F68-1</f>
        <v>7.3063807992248542E-3</v>
      </c>
    </row>
    <row r="70" spans="1:16" x14ac:dyDescent="0.35">
      <c r="A70" s="2">
        <f>Prices!A68</f>
        <v>43987</v>
      </c>
      <c r="B70" s="1">
        <f>Prices!B68</f>
        <v>1738.5</v>
      </c>
      <c r="C70" s="1">
        <f>Prices!C68</f>
        <v>41.139999000000003</v>
      </c>
      <c r="D70" s="1">
        <f>Prices!D68</f>
        <v>58.040000999999997</v>
      </c>
      <c r="E70" s="1">
        <f>Prices!E68</f>
        <v>62.759998000000003</v>
      </c>
      <c r="F70" s="1">
        <f>Prices!F68</f>
        <v>417</v>
      </c>
      <c r="G70" s="1">
        <f t="shared" ref="G70:G133" si="26">G69*B70/B69</f>
        <v>103.99406727155787</v>
      </c>
      <c r="H70" s="1">
        <f t="shared" ref="H70:H133" si="27">H69*C70/C69</f>
        <v>101.30509230965063</v>
      </c>
      <c r="I70" s="1">
        <f t="shared" ref="I70:I133" si="28">I69*D70/D69</f>
        <v>99.451679241746476</v>
      </c>
      <c r="J70" s="1">
        <f t="shared" ref="J70:J133" si="29">J69*E70/E69</f>
        <v>100.70603016688065</v>
      </c>
      <c r="K70" s="1">
        <f t="shared" ref="K70:K133" si="30">K69*F70/F69</f>
        <v>96.527777777777899</v>
      </c>
      <c r="L70" s="23">
        <f t="shared" si="21"/>
        <v>5.1689104136511954E-3</v>
      </c>
      <c r="M70" s="23">
        <f t="shared" si="22"/>
        <v>-1.213886895214511E-3</v>
      </c>
      <c r="N70" s="23">
        <f t="shared" si="23"/>
        <v>-2.0421924050632922E-2</v>
      </c>
      <c r="O70" s="23">
        <f t="shared" si="24"/>
        <v>4.4814020486556583E-3</v>
      </c>
      <c r="P70" s="23">
        <f t="shared" si="25"/>
        <v>8.2204882753313946E-3</v>
      </c>
    </row>
    <row r="71" spans="1:16" x14ac:dyDescent="0.35">
      <c r="A71" s="2">
        <f>Prices!A69</f>
        <v>43988</v>
      </c>
      <c r="B71" s="1">
        <f>Prices!B69</f>
        <v>1754.3599850000001</v>
      </c>
      <c r="C71" s="1">
        <f>Prices!C69</f>
        <v>41.18</v>
      </c>
      <c r="D71" s="1">
        <f>Prices!D69</f>
        <v>57.990001999999997</v>
      </c>
      <c r="E71" s="1">
        <f>Prices!E69</f>
        <v>63.619999</v>
      </c>
      <c r="F71" s="1">
        <f>Prices!F69</f>
        <v>417.89999399999999</v>
      </c>
      <c r="G71" s="1">
        <f t="shared" si="26"/>
        <v>104.94278418097169</v>
      </c>
      <c r="H71" s="1">
        <f t="shared" si="27"/>
        <v>101.40359267659225</v>
      </c>
      <c r="I71" s="1">
        <f t="shared" si="28"/>
        <v>99.36600583677172</v>
      </c>
      <c r="J71" s="1">
        <f t="shared" si="29"/>
        <v>102.086006097561</v>
      </c>
      <c r="K71" s="1">
        <f t="shared" si="30"/>
        <v>96.736109722222338</v>
      </c>
      <c r="L71" s="23">
        <f t="shared" si="21"/>
        <v>9.122798389416209E-3</v>
      </c>
      <c r="M71" s="23">
        <f t="shared" si="22"/>
        <v>9.7231407322095897E-4</v>
      </c>
      <c r="N71" s="23">
        <f t="shared" si="23"/>
        <v>-8.6145760059519461E-4</v>
      </c>
      <c r="O71" s="23">
        <f t="shared" si="24"/>
        <v>1.3703011908955176E-2</v>
      </c>
      <c r="P71" s="23">
        <f t="shared" si="25"/>
        <v>2.1582589928057505E-3</v>
      </c>
    </row>
    <row r="72" spans="1:16" x14ac:dyDescent="0.35">
      <c r="A72" s="2">
        <f>Prices!A70</f>
        <v>43989</v>
      </c>
      <c r="B72" s="1">
        <f>Prices!B70</f>
        <v>1804.030029</v>
      </c>
      <c r="C72" s="1">
        <f>Prices!C70</f>
        <v>41.459999000000003</v>
      </c>
      <c r="D72" s="1">
        <f>Prices!D70</f>
        <v>58.110000999999997</v>
      </c>
      <c r="E72" s="1">
        <f>Prices!E70</f>
        <v>64.480002999999996</v>
      </c>
      <c r="F72" s="1">
        <f>Prices!F70</f>
        <v>418.5</v>
      </c>
      <c r="G72" s="1">
        <f t="shared" si="26"/>
        <v>107.91396042320191</v>
      </c>
      <c r="H72" s="1">
        <f t="shared" si="27"/>
        <v>102.09307554560279</v>
      </c>
      <c r="I72" s="1">
        <f t="shared" si="28"/>
        <v>99.571624407614451</v>
      </c>
      <c r="J72" s="1">
        <f t="shared" si="29"/>
        <v>103.46598684210528</v>
      </c>
      <c r="K72" s="1">
        <f t="shared" si="30"/>
        <v>96.875000000000114</v>
      </c>
      <c r="L72" s="23">
        <f t="shared" si="21"/>
        <v>2.8312344344766815E-2</v>
      </c>
      <c r="M72" s="23">
        <f t="shared" si="22"/>
        <v>6.7993929091791916E-3</v>
      </c>
      <c r="N72" s="23">
        <f t="shared" si="23"/>
        <v>2.0693049812277042E-3</v>
      </c>
      <c r="O72" s="23">
        <f t="shared" si="24"/>
        <v>1.3517824795941769E-2</v>
      </c>
      <c r="P72" s="23">
        <f t="shared" si="25"/>
        <v>1.4357645575846512E-3</v>
      </c>
    </row>
    <row r="73" spans="1:16" x14ac:dyDescent="0.35">
      <c r="A73" s="2">
        <f>Prices!A71</f>
        <v>43992</v>
      </c>
      <c r="B73" s="1">
        <f>Prices!B71</f>
        <v>1860.630005</v>
      </c>
      <c r="C73" s="1">
        <f>Prices!C71</f>
        <v>41.639999000000003</v>
      </c>
      <c r="D73" s="1">
        <f>Prices!D71</f>
        <v>58.669998</v>
      </c>
      <c r="E73" s="1">
        <f>Prices!E71</f>
        <v>64.279999000000004</v>
      </c>
      <c r="F73" s="1">
        <f>Prices!F71</f>
        <v>415.5</v>
      </c>
      <c r="G73" s="1">
        <f t="shared" si="26"/>
        <v>111.2996732283285</v>
      </c>
      <c r="H73" s="1">
        <f t="shared" si="27"/>
        <v>102.53631611582587</v>
      </c>
      <c r="I73" s="1">
        <f t="shared" si="28"/>
        <v>100.53118059405114</v>
      </c>
      <c r="J73" s="1">
        <f t="shared" si="29"/>
        <v>103.14505616174587</v>
      </c>
      <c r="K73" s="1">
        <f t="shared" si="30"/>
        <v>96.180555555555657</v>
      </c>
      <c r="L73" s="23">
        <f t="shared" si="21"/>
        <v>3.1374187286324906E-2</v>
      </c>
      <c r="M73" s="23">
        <f t="shared" si="22"/>
        <v>4.3415341133992147E-3</v>
      </c>
      <c r="N73" s="23">
        <f t="shared" si="23"/>
        <v>9.6368437508718152E-3</v>
      </c>
      <c r="O73" s="23">
        <f t="shared" si="24"/>
        <v>-3.1017988631295568E-3</v>
      </c>
      <c r="P73" s="23">
        <f t="shared" si="25"/>
        <v>-7.1684587813619638E-3</v>
      </c>
    </row>
    <row r="74" spans="1:16" x14ac:dyDescent="0.35">
      <c r="A74" s="2">
        <f>Prices!A72</f>
        <v>43993</v>
      </c>
      <c r="B74" s="1">
        <f>Prices!B72</f>
        <v>1863.6999510000001</v>
      </c>
      <c r="C74" s="1">
        <f>Prices!C72</f>
        <v>41.75</v>
      </c>
      <c r="D74" s="1">
        <f>Prices!D72</f>
        <v>60.27</v>
      </c>
      <c r="E74" s="1">
        <f>Prices!E72</f>
        <v>64.510002</v>
      </c>
      <c r="F74" s="1">
        <f>Prices!F72</f>
        <v>412.79998799999998</v>
      </c>
      <c r="G74" s="1">
        <f t="shared" si="26"/>
        <v>111.48331209565323</v>
      </c>
      <c r="H74" s="1">
        <f t="shared" si="27"/>
        <v>102.80718781563202</v>
      </c>
      <c r="I74" s="1">
        <f t="shared" si="28"/>
        <v>103.27278781232381</v>
      </c>
      <c r="J74" s="1">
        <f t="shared" si="29"/>
        <v>103.51412387676513</v>
      </c>
      <c r="K74" s="1">
        <f t="shared" si="30"/>
        <v>95.555552777777862</v>
      </c>
      <c r="L74" s="23">
        <f t="shared" si="21"/>
        <v>1.6499497437698629E-3</v>
      </c>
      <c r="M74" s="23">
        <f t="shared" si="22"/>
        <v>2.6417147608479574E-3</v>
      </c>
      <c r="N74" s="23">
        <f t="shared" si="23"/>
        <v>2.7271212792610022E-2</v>
      </c>
      <c r="O74" s="23">
        <f t="shared" si="24"/>
        <v>3.5781425572205539E-3</v>
      </c>
      <c r="P74" s="23">
        <f t="shared" si="25"/>
        <v>-6.4982238267148329E-3</v>
      </c>
    </row>
    <row r="75" spans="1:16" x14ac:dyDescent="0.35">
      <c r="A75" s="2">
        <f>Prices!A73</f>
        <v>43994</v>
      </c>
      <c r="B75" s="1">
        <f>Prices!B73</f>
        <v>1855.3199460000001</v>
      </c>
      <c r="C75" s="1">
        <f>Prices!C73</f>
        <v>41.220001000000003</v>
      </c>
      <c r="D75" s="1">
        <f>Prices!D73</f>
        <v>60.290000999999997</v>
      </c>
      <c r="E75" s="1">
        <f>Prices!E73</f>
        <v>63.490001999999997</v>
      </c>
      <c r="F75" s="1">
        <f>Prices!F73</f>
        <v>408.60000600000001</v>
      </c>
      <c r="G75" s="1">
        <f t="shared" si="26"/>
        <v>110.98203467045565</v>
      </c>
      <c r="H75" s="1">
        <f t="shared" si="27"/>
        <v>101.50209304353389</v>
      </c>
      <c r="I75" s="1">
        <f t="shared" si="28"/>
        <v>103.30705957321702</v>
      </c>
      <c r="J75" s="1">
        <f t="shared" si="29"/>
        <v>101.87741014120672</v>
      </c>
      <c r="K75" s="1">
        <f t="shared" si="30"/>
        <v>94.583334722222318</v>
      </c>
      <c r="L75" s="23">
        <f t="shared" si="21"/>
        <v>-4.4964346302115432E-3</v>
      </c>
      <c r="M75" s="23">
        <f t="shared" si="22"/>
        <v>-1.2694586826347276E-2</v>
      </c>
      <c r="N75" s="23">
        <f t="shared" si="23"/>
        <v>3.3185664509693957E-4</v>
      </c>
      <c r="O75" s="23">
        <f t="shared" si="24"/>
        <v>-1.5811501602495781E-2</v>
      </c>
      <c r="P75" s="23">
        <f t="shared" si="25"/>
        <v>-1.0174375295766702E-2</v>
      </c>
    </row>
    <row r="76" spans="1:16" x14ac:dyDescent="0.35">
      <c r="A76" s="2">
        <f>Prices!A74</f>
        <v>43995</v>
      </c>
      <c r="B76" s="1">
        <f>Prices!B74</f>
        <v>1870.3000489999999</v>
      </c>
      <c r="C76" s="1">
        <f>Prices!C74</f>
        <v>41.049999</v>
      </c>
      <c r="D76" s="1">
        <f>Prices!D74</f>
        <v>61.57</v>
      </c>
      <c r="E76" s="1">
        <f>Prices!E74</f>
        <v>63.75</v>
      </c>
      <c r="F76" s="1">
        <f>Prices!F74</f>
        <v>409.70001200000002</v>
      </c>
      <c r="G76" s="1">
        <f t="shared" si="26"/>
        <v>111.8781185583572</v>
      </c>
      <c r="H76" s="1">
        <f t="shared" si="27"/>
        <v>101.08347202453908</v>
      </c>
      <c r="I76" s="1">
        <f t="shared" si="28"/>
        <v>105.500340892729</v>
      </c>
      <c r="J76" s="1">
        <f t="shared" si="29"/>
        <v>102.29460847240057</v>
      </c>
      <c r="K76" s="1">
        <f t="shared" si="30"/>
        <v>94.837965740740842</v>
      </c>
      <c r="L76" s="23">
        <f t="shared" si="21"/>
        <v>8.0741346161326E-3</v>
      </c>
      <c r="M76" s="23">
        <f t="shared" si="22"/>
        <v>-4.124259967873467E-3</v>
      </c>
      <c r="N76" s="23">
        <f t="shared" si="23"/>
        <v>2.123070125674742E-2</v>
      </c>
      <c r="O76" s="23">
        <f t="shared" si="24"/>
        <v>4.0951014618018089E-3</v>
      </c>
      <c r="P76" s="23">
        <f t="shared" si="25"/>
        <v>2.6921340769632263E-3</v>
      </c>
    </row>
    <row r="77" spans="1:16" x14ac:dyDescent="0.35">
      <c r="A77" s="2">
        <f>Prices!A75</f>
        <v>43996</v>
      </c>
      <c r="B77" s="1">
        <f>Prices!B75</f>
        <v>1869.670044</v>
      </c>
      <c r="C77" s="1">
        <f>Prices!C75</f>
        <v>40.759998000000003</v>
      </c>
      <c r="D77" s="1">
        <f>Prices!D75</f>
        <v>60.77</v>
      </c>
      <c r="E77" s="1">
        <f>Prices!E75</f>
        <v>63.43</v>
      </c>
      <c r="F77" s="1">
        <f>Prices!F75</f>
        <v>413</v>
      </c>
      <c r="G77" s="1">
        <f t="shared" si="26"/>
        <v>111.84043274739867</v>
      </c>
      <c r="H77" s="1">
        <f t="shared" si="27"/>
        <v>100.36935975450984</v>
      </c>
      <c r="I77" s="1">
        <f t="shared" si="28"/>
        <v>104.12953899709504</v>
      </c>
      <c r="J77" s="1">
        <f t="shared" si="29"/>
        <v>101.78112965340185</v>
      </c>
      <c r="K77" s="1">
        <f t="shared" si="30"/>
        <v>95.601851851851961</v>
      </c>
      <c r="L77" s="23">
        <f t="shared" si="21"/>
        <v>-3.3684702106318021E-4</v>
      </c>
      <c r="M77" s="23">
        <f t="shared" si="22"/>
        <v>-7.0645799528520348E-3</v>
      </c>
      <c r="N77" s="23">
        <f t="shared" si="23"/>
        <v>-1.2993340912782148E-2</v>
      </c>
      <c r="O77" s="23">
        <f t="shared" si="24"/>
        <v>-5.0196078431372637E-3</v>
      </c>
      <c r="P77" s="23">
        <f t="shared" si="25"/>
        <v>8.0546446261757776E-3</v>
      </c>
    </row>
    <row r="78" spans="1:16" x14ac:dyDescent="0.35">
      <c r="A78" s="2">
        <f>Prices!A76</f>
        <v>43999</v>
      </c>
      <c r="B78" s="1">
        <f>Prices!B76</f>
        <v>1886.030029</v>
      </c>
      <c r="C78" s="1">
        <f>Prices!C76</f>
        <v>40.639999000000003</v>
      </c>
      <c r="D78" s="1">
        <f>Prices!D76</f>
        <v>60.66</v>
      </c>
      <c r="E78" s="1">
        <f>Prices!E76</f>
        <v>62.919998</v>
      </c>
      <c r="F78" s="1">
        <f>Prices!F76</f>
        <v>416.29998799999998</v>
      </c>
      <c r="G78" s="1">
        <f t="shared" si="26"/>
        <v>112.81905879321499</v>
      </c>
      <c r="H78" s="1">
        <f t="shared" si="27"/>
        <v>100.0738685034754</v>
      </c>
      <c r="I78" s="1">
        <f t="shared" si="28"/>
        <v>103.94105373644537</v>
      </c>
      <c r="J78" s="1">
        <f t="shared" si="29"/>
        <v>100.96276957638003</v>
      </c>
      <c r="K78" s="1">
        <f t="shared" si="30"/>
        <v>96.365737962963067</v>
      </c>
      <c r="L78" s="23">
        <f t="shared" si="21"/>
        <v>8.7501990270963947E-3</v>
      </c>
      <c r="M78" s="23">
        <f t="shared" si="22"/>
        <v>-2.9440384172737533E-3</v>
      </c>
      <c r="N78" s="23">
        <f t="shared" si="23"/>
        <v>-1.8101036695739037E-3</v>
      </c>
      <c r="O78" s="23">
        <f t="shared" si="24"/>
        <v>-8.0403909821851194E-3</v>
      </c>
      <c r="P78" s="23">
        <f t="shared" si="25"/>
        <v>7.9902857142857275E-3</v>
      </c>
    </row>
    <row r="79" spans="1:16" x14ac:dyDescent="0.35">
      <c r="A79" s="2">
        <f>Prices!A77</f>
        <v>44000</v>
      </c>
      <c r="B79" s="1">
        <f>Prices!B77</f>
        <v>1901.369995</v>
      </c>
      <c r="C79" s="1">
        <f>Prices!C77</f>
        <v>41.240001999999997</v>
      </c>
      <c r="D79" s="1">
        <f>Prices!D77</f>
        <v>62.18</v>
      </c>
      <c r="E79" s="1">
        <f>Prices!E77</f>
        <v>63.919998</v>
      </c>
      <c r="F79" s="1">
        <f>Prices!F77</f>
        <v>417.10000600000001</v>
      </c>
      <c r="G79" s="1">
        <f t="shared" si="26"/>
        <v>113.73666906422299</v>
      </c>
      <c r="H79" s="1">
        <f t="shared" si="27"/>
        <v>101.5513444582285</v>
      </c>
      <c r="I79" s="1">
        <f t="shared" si="28"/>
        <v>106.54557733814991</v>
      </c>
      <c r="J79" s="1">
        <f t="shared" si="29"/>
        <v>102.56739088575102</v>
      </c>
      <c r="K79" s="1">
        <f t="shared" si="30"/>
        <v>96.550927314814913</v>
      </c>
      <c r="L79" s="23">
        <f t="shared" si="21"/>
        <v>8.1334685896456982E-3</v>
      </c>
      <c r="M79" s="23">
        <f t="shared" si="22"/>
        <v>1.4763853709740316E-2</v>
      </c>
      <c r="N79" s="23">
        <f t="shared" si="23"/>
        <v>2.5057698648203175E-2</v>
      </c>
      <c r="O79" s="23">
        <f t="shared" si="24"/>
        <v>1.5893198216567095E-2</v>
      </c>
      <c r="P79" s="23">
        <f t="shared" si="25"/>
        <v>1.921734381601814E-3</v>
      </c>
    </row>
    <row r="80" spans="1:16" x14ac:dyDescent="0.35">
      <c r="A80" s="2">
        <f>Prices!A78</f>
        <v>44001</v>
      </c>
      <c r="B80" s="1">
        <f>Prices!B78</f>
        <v>1908.790039</v>
      </c>
      <c r="C80" s="1">
        <f>Prices!C78</f>
        <v>41.419998</v>
      </c>
      <c r="D80" s="1">
        <f>Prices!D78</f>
        <v>59.900002000000001</v>
      </c>
      <c r="E80" s="1">
        <f>Prices!E78</f>
        <v>64.379997000000003</v>
      </c>
      <c r="F80" s="1">
        <f>Prices!F78</f>
        <v>417</v>
      </c>
      <c r="G80" s="1">
        <f t="shared" si="26"/>
        <v>114.18052328044038</v>
      </c>
      <c r="H80" s="1">
        <f t="shared" si="27"/>
        <v>101.99457517866114</v>
      </c>
      <c r="I80" s="1">
        <f t="shared" si="28"/>
        <v>102.63879536259786</v>
      </c>
      <c r="J80" s="1">
        <f t="shared" si="29"/>
        <v>103.30551508344038</v>
      </c>
      <c r="K80" s="1">
        <f t="shared" si="30"/>
        <v>96.527777777777871</v>
      </c>
      <c r="L80" s="23">
        <f t="shared" si="21"/>
        <v>3.902472438038096E-3</v>
      </c>
      <c r="M80" s="23">
        <f t="shared" si="22"/>
        <v>4.3645972665085075E-3</v>
      </c>
      <c r="N80" s="23">
        <f t="shared" si="23"/>
        <v>-3.6667706658089383E-2</v>
      </c>
      <c r="O80" s="23">
        <f t="shared" si="24"/>
        <v>7.1964802001402983E-3</v>
      </c>
      <c r="P80" s="23">
        <f t="shared" si="25"/>
        <v>-2.3976504090483797E-4</v>
      </c>
    </row>
    <row r="81" spans="1:16" x14ac:dyDescent="0.35">
      <c r="A81" s="2">
        <f>Prices!A79</f>
        <v>44002</v>
      </c>
      <c r="B81" s="1">
        <f>Prices!B79</f>
        <v>1918.1899410000001</v>
      </c>
      <c r="C81" s="1">
        <f>Prices!C79</f>
        <v>41.650002000000001</v>
      </c>
      <c r="D81" s="1">
        <f>Prices!D79</f>
        <v>60.400002000000001</v>
      </c>
      <c r="E81" s="1">
        <f>Prices!E79</f>
        <v>65.519997000000004</v>
      </c>
      <c r="F81" s="1">
        <f>Prices!F79</f>
        <v>413.5</v>
      </c>
      <c r="G81" s="1">
        <f t="shared" si="26"/>
        <v>114.74280918261701</v>
      </c>
      <c r="H81" s="1">
        <f t="shared" si="27"/>
        <v>102.56094797929219</v>
      </c>
      <c r="I81" s="1">
        <f t="shared" si="28"/>
        <v>103.49554654736909</v>
      </c>
      <c r="J81" s="1">
        <f t="shared" si="29"/>
        <v>105.13478337612331</v>
      </c>
      <c r="K81" s="1">
        <f t="shared" si="30"/>
        <v>95.717592592592695</v>
      </c>
      <c r="L81" s="23">
        <f t="shared" si="21"/>
        <v>4.9245342902799472E-3</v>
      </c>
      <c r="M81" s="23">
        <f t="shared" si="22"/>
        <v>5.5529698480429879E-3</v>
      </c>
      <c r="N81" s="23">
        <f t="shared" si="23"/>
        <v>8.3472451303090445E-3</v>
      </c>
      <c r="O81" s="23">
        <f t="shared" si="24"/>
        <v>1.7707363360082162E-2</v>
      </c>
      <c r="P81" s="23">
        <f t="shared" si="25"/>
        <v>-8.3932853717025857E-3</v>
      </c>
    </row>
    <row r="82" spans="1:16" x14ac:dyDescent="0.35">
      <c r="A82" s="2">
        <f>Prices!A80</f>
        <v>44003</v>
      </c>
      <c r="B82" s="1">
        <f>Prices!B80</f>
        <v>1911.3000489999999</v>
      </c>
      <c r="C82" s="1">
        <f>Prices!C80</f>
        <v>41.099997999999999</v>
      </c>
      <c r="D82" s="1">
        <f>Prices!D80</f>
        <v>60.27</v>
      </c>
      <c r="E82" s="1">
        <f>Prices!E80</f>
        <v>65.699996999999996</v>
      </c>
      <c r="F82" s="1">
        <f>Prices!F80</f>
        <v>412.60000600000001</v>
      </c>
      <c r="G82" s="1">
        <f t="shared" si="26"/>
        <v>114.33066774336376</v>
      </c>
      <c r="H82" s="1">
        <f t="shared" si="27"/>
        <v>101.20659194270898</v>
      </c>
      <c r="I82" s="1">
        <f t="shared" si="28"/>
        <v>103.27278781232384</v>
      </c>
      <c r="J82" s="1">
        <f t="shared" si="29"/>
        <v>105.42361521181009</v>
      </c>
      <c r="K82" s="1">
        <f t="shared" si="30"/>
        <v>95.509260648148256</v>
      </c>
      <c r="L82" s="23">
        <f t="shared" si="21"/>
        <v>-3.5918716143450435E-3</v>
      </c>
      <c r="M82" s="23">
        <f t="shared" si="22"/>
        <v>-1.3205377517148786E-2</v>
      </c>
      <c r="N82" s="23">
        <f t="shared" si="23"/>
        <v>-2.1523509221075265E-3</v>
      </c>
      <c r="O82" s="23">
        <f t="shared" si="24"/>
        <v>2.7472528730425605E-3</v>
      </c>
      <c r="P82" s="23">
        <f t="shared" si="25"/>
        <v>-2.176527206771417E-3</v>
      </c>
    </row>
    <row r="83" spans="1:16" x14ac:dyDescent="0.35">
      <c r="A83" s="2">
        <f>Prices!A81</f>
        <v>44006</v>
      </c>
      <c r="B83" s="1">
        <f>Prices!B81</f>
        <v>1913.900024</v>
      </c>
      <c r="C83" s="1">
        <f>Prices!C81</f>
        <v>41.060001</v>
      </c>
      <c r="D83" s="1">
        <f>Prices!D81</f>
        <v>60.939999</v>
      </c>
      <c r="E83" s="1">
        <f>Prices!E81</f>
        <v>65.860000999999997</v>
      </c>
      <c r="F83" s="1">
        <f>Prices!F81</f>
        <v>414.20001200000002</v>
      </c>
      <c r="G83" s="1">
        <f t="shared" si="26"/>
        <v>114.48619375720004</v>
      </c>
      <c r="H83" s="1">
        <f t="shared" si="27"/>
        <v>101.10810142555781</v>
      </c>
      <c r="I83" s="1">
        <f t="shared" si="28"/>
        <v>104.42083268641491</v>
      </c>
      <c r="J83" s="1">
        <f t="shared" si="29"/>
        <v>105.68036103979469</v>
      </c>
      <c r="K83" s="1">
        <f t="shared" si="30"/>
        <v>95.879632407407513</v>
      </c>
      <c r="L83" s="23">
        <f t="shared" si="21"/>
        <v>1.3603175500154219E-3</v>
      </c>
      <c r="M83" s="23">
        <f t="shared" si="22"/>
        <v>-9.7316306438743894E-4</v>
      </c>
      <c r="N83" s="23">
        <f t="shared" si="23"/>
        <v>1.1116625186659901E-2</v>
      </c>
      <c r="O83" s="23">
        <f t="shared" si="24"/>
        <v>2.4353730183579447E-3</v>
      </c>
      <c r="P83" s="23">
        <f t="shared" si="25"/>
        <v>3.8778622800117457E-3</v>
      </c>
    </row>
    <row r="84" spans="1:16" x14ac:dyDescent="0.35">
      <c r="A84" s="2">
        <f>Prices!A82</f>
        <v>44007</v>
      </c>
      <c r="B84" s="1">
        <f>Prices!B82</f>
        <v>1878.2700199999999</v>
      </c>
      <c r="C84" s="1">
        <f>Prices!C82</f>
        <v>40.98</v>
      </c>
      <c r="D84" s="1">
        <f>Prices!D82</f>
        <v>60.990001999999997</v>
      </c>
      <c r="E84" s="1">
        <f>Prices!E82</f>
        <v>65.760002</v>
      </c>
      <c r="F84" s="1">
        <f>Prices!F82</f>
        <v>413.10000600000001</v>
      </c>
      <c r="G84" s="1">
        <f t="shared" si="26"/>
        <v>112.35486845788346</v>
      </c>
      <c r="H84" s="1">
        <f t="shared" si="27"/>
        <v>100.91110315412215</v>
      </c>
      <c r="I84" s="1">
        <f t="shared" si="28"/>
        <v>104.50651294539914</v>
      </c>
      <c r="J84" s="1">
        <f t="shared" si="29"/>
        <v>105.5199005134789</v>
      </c>
      <c r="K84" s="1">
        <f t="shared" si="30"/>
        <v>95.62500138888899</v>
      </c>
      <c r="L84" s="23">
        <f t="shared" si="21"/>
        <v>-1.8616439496946358E-2</v>
      </c>
      <c r="M84" s="23">
        <f t="shared" si="22"/>
        <v>-1.9483925487484566E-3</v>
      </c>
      <c r="N84" s="23">
        <f t="shared" si="23"/>
        <v>8.2052840204349664E-4</v>
      </c>
      <c r="O84" s="23">
        <f t="shared" si="24"/>
        <v>-1.5183570981117667E-3</v>
      </c>
      <c r="P84" s="23">
        <f t="shared" si="25"/>
        <v>-2.655736282306087E-3</v>
      </c>
    </row>
    <row r="85" spans="1:16" x14ac:dyDescent="0.35">
      <c r="A85" s="2">
        <f>Prices!A83</f>
        <v>44008</v>
      </c>
      <c r="B85" s="1">
        <f>Prices!B83</f>
        <v>1897.829956</v>
      </c>
      <c r="C85" s="1">
        <f>Prices!C83</f>
        <v>41.16</v>
      </c>
      <c r="D85" s="1">
        <f>Prices!D83</f>
        <v>61.700001</v>
      </c>
      <c r="E85" s="1">
        <f>Prices!E83</f>
        <v>66.010002</v>
      </c>
      <c r="F85" s="1">
        <f>Prices!F83</f>
        <v>416.5</v>
      </c>
      <c r="G85" s="1">
        <f t="shared" si="26"/>
        <v>113.52491004558054</v>
      </c>
      <c r="H85" s="1">
        <f t="shared" si="27"/>
        <v>101.35434372434524</v>
      </c>
      <c r="I85" s="1">
        <f t="shared" si="28"/>
        <v>105.72309791427192</v>
      </c>
      <c r="J85" s="1">
        <f t="shared" si="29"/>
        <v>105.92105584082165</v>
      </c>
      <c r="K85" s="1">
        <f t="shared" si="30"/>
        <v>96.412037037037138</v>
      </c>
      <c r="L85" s="23">
        <f t="shared" si="21"/>
        <v>1.0413804081268463E-2</v>
      </c>
      <c r="M85" s="23">
        <f t="shared" si="22"/>
        <v>4.3923865300146137E-3</v>
      </c>
      <c r="N85" s="23">
        <f t="shared" si="23"/>
        <v>1.1641235886498347E-2</v>
      </c>
      <c r="O85" s="23">
        <f t="shared" si="24"/>
        <v>3.8017030473933566E-3</v>
      </c>
      <c r="P85" s="23">
        <f t="shared" si="25"/>
        <v>8.2304380310271874E-3</v>
      </c>
    </row>
    <row r="86" spans="1:16" x14ac:dyDescent="0.35">
      <c r="A86" s="2">
        <f>Prices!A84</f>
        <v>44009</v>
      </c>
      <c r="B86" s="1">
        <f>Prices!B84</f>
        <v>1904.280029</v>
      </c>
      <c r="C86" s="1">
        <f>Prices!C84</f>
        <v>41.41</v>
      </c>
      <c r="D86" s="1">
        <f>Prices!D84</f>
        <v>61.950001</v>
      </c>
      <c r="E86" s="1">
        <f>Prices!E84</f>
        <v>65.089995999999999</v>
      </c>
      <c r="F86" s="1">
        <f>Prices!F84</f>
        <v>422.10000600000001</v>
      </c>
      <c r="G86" s="1">
        <f t="shared" si="26"/>
        <v>113.91074227190695</v>
      </c>
      <c r="H86" s="1">
        <f t="shared" si="27"/>
        <v>101.96995562743285</v>
      </c>
      <c r="I86" s="1">
        <f t="shared" si="28"/>
        <v>106.15147350665752</v>
      </c>
      <c r="J86" s="1">
        <f t="shared" si="29"/>
        <v>104.44479460847249</v>
      </c>
      <c r="K86" s="1">
        <f t="shared" si="30"/>
        <v>97.708334722222318</v>
      </c>
      <c r="L86" s="23">
        <f t="shared" si="21"/>
        <v>3.3986569658719379E-3</v>
      </c>
      <c r="M86" s="23">
        <f t="shared" si="22"/>
        <v>6.0738581146744242E-3</v>
      </c>
      <c r="N86" s="23">
        <f t="shared" si="23"/>
        <v>4.051863791703969E-3</v>
      </c>
      <c r="O86" s="23">
        <f t="shared" si="24"/>
        <v>-1.3937372703003437E-2</v>
      </c>
      <c r="P86" s="23">
        <f t="shared" si="25"/>
        <v>1.3445392557022817E-2</v>
      </c>
    </row>
    <row r="87" spans="1:16" x14ac:dyDescent="0.35">
      <c r="A87" s="2">
        <f>Prices!A85</f>
        <v>44010</v>
      </c>
      <c r="B87" s="1">
        <f>Prices!B85</f>
        <v>1893.630005</v>
      </c>
      <c r="C87" s="1">
        <f>Prices!C85</f>
        <v>41.740001999999997</v>
      </c>
      <c r="D87" s="1">
        <f>Prices!D85</f>
        <v>62.34</v>
      </c>
      <c r="E87" s="1">
        <f>Prices!E85</f>
        <v>65.069999999999993</v>
      </c>
      <c r="F87" s="1">
        <f>Prices!F85</f>
        <v>430.79998799999998</v>
      </c>
      <c r="G87" s="1">
        <f t="shared" si="26"/>
        <v>113.27367623089476</v>
      </c>
      <c r="H87" s="1">
        <f t="shared" si="27"/>
        <v>102.78256826440372</v>
      </c>
      <c r="I87" s="1">
        <f t="shared" si="28"/>
        <v>106.81973771727671</v>
      </c>
      <c r="J87" s="1">
        <f t="shared" si="29"/>
        <v>104.4127086007703</v>
      </c>
      <c r="K87" s="1">
        <f t="shared" si="30"/>
        <v>99.722219444444534</v>
      </c>
      <c r="L87" s="23">
        <f t="shared" si="21"/>
        <v>-5.5926774622494513E-3</v>
      </c>
      <c r="M87" s="23">
        <f t="shared" si="22"/>
        <v>7.9691378893986808E-3</v>
      </c>
      <c r="N87" s="23">
        <f t="shared" si="23"/>
        <v>6.2953832720680225E-3</v>
      </c>
      <c r="O87" s="23">
        <f t="shared" si="24"/>
        <v>-3.0720542677564744E-4</v>
      </c>
      <c r="P87" s="23">
        <f t="shared" si="25"/>
        <v>2.0611186629549527E-2</v>
      </c>
    </row>
    <row r="88" spans="1:16" x14ac:dyDescent="0.35">
      <c r="A88" s="2">
        <f>Prices!A86</f>
        <v>44013</v>
      </c>
      <c r="B88" s="1">
        <f>Prices!B86</f>
        <v>1922.1899410000001</v>
      </c>
      <c r="C88" s="1">
        <f>Prices!C86</f>
        <v>41.869999</v>
      </c>
      <c r="D88" s="1">
        <f>Prices!D86</f>
        <v>62.779998999999997</v>
      </c>
      <c r="E88" s="1">
        <f>Prices!E86</f>
        <v>65.199996999999996</v>
      </c>
      <c r="F88" s="1">
        <f>Prices!F86</f>
        <v>433.20001200000002</v>
      </c>
      <c r="G88" s="1">
        <f t="shared" si="26"/>
        <v>114.98208227383718</v>
      </c>
      <c r="H88" s="1">
        <f t="shared" si="27"/>
        <v>103.10267906666645</v>
      </c>
      <c r="I88" s="1">
        <f t="shared" si="28"/>
        <v>107.57367704637301</v>
      </c>
      <c r="J88" s="1">
        <f t="shared" si="29"/>
        <v>104.6213045571246</v>
      </c>
      <c r="K88" s="1">
        <f t="shared" si="30"/>
        <v>100.27778055555567</v>
      </c>
      <c r="L88" s="23">
        <f t="shared" si="21"/>
        <v>1.5082109981669811E-2</v>
      </c>
      <c r="M88" s="23">
        <f t="shared" si="22"/>
        <v>3.1144464247989667E-3</v>
      </c>
      <c r="N88" s="23">
        <f t="shared" si="23"/>
        <v>7.0580526146934996E-3</v>
      </c>
      <c r="O88" s="23">
        <f t="shared" si="24"/>
        <v>1.9978023666820111E-3</v>
      </c>
      <c r="P88" s="23">
        <f t="shared" si="25"/>
        <v>5.5710865061584514E-3</v>
      </c>
    </row>
    <row r="89" spans="1:16" x14ac:dyDescent="0.35">
      <c r="A89" s="2">
        <f>Prices!A87</f>
        <v>44014</v>
      </c>
      <c r="B89" s="1">
        <f>Prices!B87</f>
        <v>1934.3100589999999</v>
      </c>
      <c r="C89" s="1">
        <f>Prices!C87</f>
        <v>42.080002</v>
      </c>
      <c r="D89" s="1">
        <f>Prices!D87</f>
        <v>63.73</v>
      </c>
      <c r="E89" s="1">
        <f>Prices!E87</f>
        <v>65.110000999999997</v>
      </c>
      <c r="F89" s="1">
        <f>Prices!F87</f>
        <v>434.89999399999999</v>
      </c>
      <c r="G89" s="1">
        <f t="shared" si="26"/>
        <v>115.70708679879043</v>
      </c>
      <c r="H89" s="1">
        <f t="shared" si="27"/>
        <v>103.6198004526029</v>
      </c>
      <c r="I89" s="1">
        <f t="shared" si="28"/>
        <v>109.20150601094072</v>
      </c>
      <c r="J89" s="1">
        <f t="shared" si="29"/>
        <v>104.47689505776646</v>
      </c>
      <c r="K89" s="1">
        <f t="shared" si="30"/>
        <v>100.67129490740751</v>
      </c>
      <c r="L89" s="23">
        <f t="shared" si="21"/>
        <v>6.3053695899035755E-3</v>
      </c>
      <c r="M89" s="23">
        <f t="shared" si="22"/>
        <v>5.0155960118365428E-3</v>
      </c>
      <c r="N89" s="23">
        <f t="shared" si="23"/>
        <v>1.5132223879137152E-2</v>
      </c>
      <c r="O89" s="23">
        <f t="shared" si="24"/>
        <v>-1.3803068119773165E-3</v>
      </c>
      <c r="P89" s="23">
        <f t="shared" si="25"/>
        <v>3.9242427352470521E-3</v>
      </c>
    </row>
    <row r="90" spans="1:16" x14ac:dyDescent="0.35">
      <c r="A90" s="2">
        <f>Prices!A88</f>
        <v>44015</v>
      </c>
      <c r="B90" s="1">
        <f>Prices!B88</f>
        <v>1939</v>
      </c>
      <c r="C90" s="1">
        <f>Prices!C88</f>
        <v>42.099997999999999</v>
      </c>
      <c r="D90" s="1">
        <f>Prices!D88</f>
        <v>63.310001</v>
      </c>
      <c r="E90" s="1">
        <f>Prices!E88</f>
        <v>64.680000000000007</v>
      </c>
      <c r="F90" s="1">
        <f>Prices!F88</f>
        <v>431.70001200000002</v>
      </c>
      <c r="G90" s="1">
        <f t="shared" si="26"/>
        <v>115.98763096896796</v>
      </c>
      <c r="H90" s="1">
        <f t="shared" si="27"/>
        <v>103.66903955505947</v>
      </c>
      <c r="I90" s="1">
        <f t="shared" si="28"/>
        <v>108.48183672923525</v>
      </c>
      <c r="J90" s="1">
        <f t="shared" si="29"/>
        <v>103.78690629011564</v>
      </c>
      <c r="K90" s="1">
        <f t="shared" si="30"/>
        <v>99.930558333333451</v>
      </c>
      <c r="L90" s="23">
        <f t="shared" si="21"/>
        <v>2.4246066333464267E-3</v>
      </c>
      <c r="M90" s="23">
        <f t="shared" si="22"/>
        <v>4.7519009148344615E-4</v>
      </c>
      <c r="N90" s="23">
        <f t="shared" si="23"/>
        <v>-6.5902871489094128E-3</v>
      </c>
      <c r="O90" s="23">
        <f t="shared" si="24"/>
        <v>-6.6042235201315691E-3</v>
      </c>
      <c r="P90" s="23">
        <f t="shared" si="25"/>
        <v>-7.3579720490867251E-3</v>
      </c>
    </row>
    <row r="91" spans="1:16" x14ac:dyDescent="0.35">
      <c r="A91" s="2">
        <f>Prices!A89</f>
        <v>44017</v>
      </c>
      <c r="B91" s="1">
        <f>Prices!B89</f>
        <v>1942.910034</v>
      </c>
      <c r="C91" s="1">
        <f>Prices!C89</f>
        <v>42.080002</v>
      </c>
      <c r="D91" s="1">
        <f>Prices!D89</f>
        <v>60.049999</v>
      </c>
      <c r="E91" s="1">
        <f>Prices!E89</f>
        <v>64.589995999999999</v>
      </c>
      <c r="F91" s="1">
        <f>Prices!F89</f>
        <v>430.5</v>
      </c>
      <c r="G91" s="1">
        <f t="shared" si="26"/>
        <v>116.22152244945694</v>
      </c>
      <c r="H91" s="1">
        <f t="shared" si="27"/>
        <v>103.6198004526029</v>
      </c>
      <c r="I91" s="1">
        <f t="shared" si="28"/>
        <v>102.89581557752211</v>
      </c>
      <c r="J91" s="1">
        <f t="shared" si="29"/>
        <v>103.64248395378699</v>
      </c>
      <c r="K91" s="1">
        <f t="shared" si="30"/>
        <v>99.652777777777885</v>
      </c>
      <c r="L91" s="23">
        <f t="shared" si="21"/>
        <v>2.0165208870552842E-3</v>
      </c>
      <c r="M91" s="23">
        <f t="shared" si="22"/>
        <v>-4.7496439310990013E-4</v>
      </c>
      <c r="N91" s="23">
        <f t="shared" si="23"/>
        <v>-5.1492685965997653E-2</v>
      </c>
      <c r="O91" s="23">
        <f t="shared" si="24"/>
        <v>-1.3915275200990784E-3</v>
      </c>
      <c r="P91" s="23">
        <f t="shared" si="25"/>
        <v>-2.7797358504590974E-3</v>
      </c>
    </row>
    <row r="92" spans="1:16" x14ac:dyDescent="0.35">
      <c r="A92" s="2">
        <f>Prices!A90</f>
        <v>44020</v>
      </c>
      <c r="B92" s="1">
        <f>Prices!B90</f>
        <v>1952.3199460000001</v>
      </c>
      <c r="C92" s="1">
        <f>Prices!C90</f>
        <v>41.810001</v>
      </c>
      <c r="D92" s="1">
        <f>Prices!D90</f>
        <v>60.48</v>
      </c>
      <c r="E92" s="1">
        <f>Prices!E90</f>
        <v>64.419998000000007</v>
      </c>
      <c r="F92" s="1">
        <f>Prices!F90</f>
        <v>427.5</v>
      </c>
      <c r="G92" s="1">
        <f t="shared" si="26"/>
        <v>116.78440713254435</v>
      </c>
      <c r="H92" s="1">
        <f t="shared" si="27"/>
        <v>102.95493713482065</v>
      </c>
      <c r="I92" s="1">
        <f t="shared" si="28"/>
        <v>103.63262330992774</v>
      </c>
      <c r="J92" s="1">
        <f t="shared" si="29"/>
        <v>103.36970154043655</v>
      </c>
      <c r="K92" s="1">
        <f t="shared" si="30"/>
        <v>98.958333333333428</v>
      </c>
      <c r="L92" s="23">
        <f t="shared" si="21"/>
        <v>4.8432052103963841E-3</v>
      </c>
      <c r="M92" s="23">
        <f t="shared" si="22"/>
        <v>-6.4163732691837616E-3</v>
      </c>
      <c r="N92" s="23">
        <f t="shared" si="23"/>
        <v>7.1607161891875659E-3</v>
      </c>
      <c r="O92" s="23">
        <f t="shared" si="24"/>
        <v>-2.6319555740488276E-3</v>
      </c>
      <c r="P92" s="23">
        <f t="shared" si="25"/>
        <v>-6.9686411149826322E-3</v>
      </c>
    </row>
    <row r="93" spans="1:16" x14ac:dyDescent="0.35">
      <c r="A93" s="2">
        <f>Prices!A91</f>
        <v>44021</v>
      </c>
      <c r="B93" s="1">
        <f>Prices!B91</f>
        <v>1988.3000489999999</v>
      </c>
      <c r="C93" s="1">
        <f>Prices!C91</f>
        <v>41.84</v>
      </c>
      <c r="D93" s="1">
        <f>Prices!D91</f>
        <v>60.580002</v>
      </c>
      <c r="E93" s="1">
        <f>Prices!E91</f>
        <v>64.440002000000007</v>
      </c>
      <c r="F93" s="1">
        <f>Prices!F91</f>
        <v>426.5</v>
      </c>
      <c r="G93" s="1">
        <f t="shared" si="26"/>
        <v>118.9366747493517</v>
      </c>
      <c r="H93" s="1">
        <f t="shared" si="27"/>
        <v>103.02880810074356</v>
      </c>
      <c r="I93" s="1">
        <f t="shared" si="28"/>
        <v>103.80397697388672</v>
      </c>
      <c r="J93" s="1">
        <f t="shared" si="29"/>
        <v>103.40180038510921</v>
      </c>
      <c r="K93" s="1">
        <f t="shared" si="30"/>
        <v>98.726851851851947</v>
      </c>
      <c r="L93" s="23">
        <f t="shared" si="21"/>
        <v>1.842940911079527E-2</v>
      </c>
      <c r="M93" s="23">
        <f t="shared" si="22"/>
        <v>7.1750775609902284E-4</v>
      </c>
      <c r="N93" s="23">
        <f t="shared" si="23"/>
        <v>1.6534722222223408E-3</v>
      </c>
      <c r="O93" s="23">
        <f t="shared" si="24"/>
        <v>3.1052469141656935E-4</v>
      </c>
      <c r="P93" s="23">
        <f t="shared" si="25"/>
        <v>-2.3391812865497519E-3</v>
      </c>
    </row>
    <row r="94" spans="1:16" x14ac:dyDescent="0.35">
      <c r="A94" s="2">
        <f>Prices!A92</f>
        <v>44022</v>
      </c>
      <c r="B94" s="1">
        <f>Prices!B92</f>
        <v>2017.410034</v>
      </c>
      <c r="C94" s="1">
        <f>Prices!C92</f>
        <v>41.650002000000001</v>
      </c>
      <c r="D94" s="1">
        <f>Prices!D92</f>
        <v>61.389999000000003</v>
      </c>
      <c r="E94" s="1">
        <f>Prices!E92</f>
        <v>65.239998</v>
      </c>
      <c r="F94" s="1">
        <f>Prices!F92</f>
        <v>424</v>
      </c>
      <c r="G94" s="1">
        <f t="shared" si="26"/>
        <v>120.67798377343226</v>
      </c>
      <c r="H94" s="1">
        <f t="shared" si="27"/>
        <v>102.56094797929219</v>
      </c>
      <c r="I94" s="1">
        <f t="shared" si="28"/>
        <v>105.191908752709</v>
      </c>
      <c r="J94" s="1">
        <f t="shared" si="29"/>
        <v>104.68549101412076</v>
      </c>
      <c r="K94" s="1">
        <f t="shared" si="30"/>
        <v>98.148148148148238</v>
      </c>
      <c r="L94" s="23">
        <f t="shared" si="21"/>
        <v>1.4640639884629492E-2</v>
      </c>
      <c r="M94" s="23">
        <f t="shared" si="22"/>
        <v>-4.5410611854684868E-3</v>
      </c>
      <c r="N94" s="23">
        <f t="shared" si="23"/>
        <v>1.3370699459534618E-2</v>
      </c>
      <c r="O94" s="23">
        <f t="shared" si="24"/>
        <v>1.2414586827604213E-2</v>
      </c>
      <c r="P94" s="23">
        <f t="shared" si="25"/>
        <v>-5.8616647127783805E-3</v>
      </c>
    </row>
    <row r="95" spans="1:16" x14ac:dyDescent="0.35">
      <c r="A95" s="2">
        <f>Prices!A93</f>
        <v>44023</v>
      </c>
      <c r="B95" s="1">
        <f>Prices!B93</f>
        <v>2001.0699460000001</v>
      </c>
      <c r="C95" s="1">
        <f>Prices!C93</f>
        <v>41.700001</v>
      </c>
      <c r="D95" s="1">
        <f>Prices!D93</f>
        <v>60.849997999999999</v>
      </c>
      <c r="E95" s="1">
        <f>Prices!E93</f>
        <v>65.379997000000003</v>
      </c>
      <c r="F95" s="1">
        <f>Prices!F93</f>
        <v>424</v>
      </c>
      <c r="G95" s="1">
        <f t="shared" si="26"/>
        <v>119.70054793178994</v>
      </c>
      <c r="H95" s="1">
        <f t="shared" si="27"/>
        <v>102.68406789746211</v>
      </c>
      <c r="I95" s="1">
        <f t="shared" si="28"/>
        <v>104.26661575965369</v>
      </c>
      <c r="J95" s="1">
        <f t="shared" si="29"/>
        <v>104.9101363928114</v>
      </c>
      <c r="K95" s="1">
        <f t="shared" si="30"/>
        <v>98.148148148148238</v>
      </c>
      <c r="L95" s="23">
        <f t="shared" si="21"/>
        <v>-8.0995373893336664E-3</v>
      </c>
      <c r="M95" s="23">
        <f t="shared" si="22"/>
        <v>1.2004561248279977E-3</v>
      </c>
      <c r="N95" s="23">
        <f t="shared" si="23"/>
        <v>-8.7962373154624185E-3</v>
      </c>
      <c r="O95" s="23">
        <f t="shared" si="24"/>
        <v>2.145907484546461E-3</v>
      </c>
      <c r="P95" s="23">
        <f t="shared" si="25"/>
        <v>0</v>
      </c>
    </row>
    <row r="96" spans="1:16" x14ac:dyDescent="0.35">
      <c r="A96" s="2">
        <f>Prices!A94</f>
        <v>44024</v>
      </c>
      <c r="B96" s="1">
        <f>Prices!B94</f>
        <v>2011</v>
      </c>
      <c r="C96" s="1">
        <f>Prices!C94</f>
        <v>41.630001</v>
      </c>
      <c r="D96" s="1">
        <f>Prices!D94</f>
        <v>60.709999000000003</v>
      </c>
      <c r="E96" s="1">
        <f>Prices!E94</f>
        <v>65.059997999999993</v>
      </c>
      <c r="F96" s="1">
        <f>Prices!F94</f>
        <v>424.5</v>
      </c>
      <c r="G96" s="1">
        <f t="shared" si="26"/>
        <v>120.29454661093069</v>
      </c>
      <c r="H96" s="1">
        <f t="shared" si="27"/>
        <v>102.51169656459757</v>
      </c>
      <c r="I96" s="1">
        <f t="shared" si="28"/>
        <v>104.02672714142012</v>
      </c>
      <c r="J96" s="1">
        <f t="shared" si="29"/>
        <v>104.39665917843398</v>
      </c>
      <c r="K96" s="1">
        <f t="shared" si="30"/>
        <v>98.263888888888985</v>
      </c>
      <c r="L96" s="23">
        <f t="shared" si="21"/>
        <v>4.9623722648224344E-3</v>
      </c>
      <c r="M96" s="23">
        <f t="shared" si="22"/>
        <v>-1.6786570340849849E-3</v>
      </c>
      <c r="N96" s="23">
        <f t="shared" si="23"/>
        <v>-2.3007231651839266E-3</v>
      </c>
      <c r="O96" s="23">
        <f t="shared" si="24"/>
        <v>-4.8944480679620206E-3</v>
      </c>
      <c r="P96" s="23">
        <f t="shared" si="25"/>
        <v>1.179245283018826E-3</v>
      </c>
    </row>
    <row r="97" spans="1:16" x14ac:dyDescent="0.35">
      <c r="A97" s="2">
        <f>Prices!A95</f>
        <v>44027</v>
      </c>
      <c r="B97" s="1">
        <f>Prices!B95</f>
        <v>2020.98999</v>
      </c>
      <c r="C97" s="1">
        <f>Prices!C95</f>
        <v>41.700001</v>
      </c>
      <c r="D97" s="1">
        <f>Prices!D95</f>
        <v>61.509998000000003</v>
      </c>
      <c r="E97" s="1">
        <f>Prices!E95</f>
        <v>64.5</v>
      </c>
      <c r="F97" s="1">
        <f>Prices!F95</f>
        <v>425.29998799999998</v>
      </c>
      <c r="G97" s="1">
        <f t="shared" si="26"/>
        <v>120.89213055807031</v>
      </c>
      <c r="H97" s="1">
        <f t="shared" si="27"/>
        <v>102.6840678974621</v>
      </c>
      <c r="I97" s="1">
        <f t="shared" si="28"/>
        <v>105.39752732355171</v>
      </c>
      <c r="J97" s="1">
        <f t="shared" si="29"/>
        <v>103.49807445442885</v>
      </c>
      <c r="K97" s="1">
        <f t="shared" si="30"/>
        <v>98.449071296296395</v>
      </c>
      <c r="L97" s="23">
        <f t="shared" si="21"/>
        <v>4.9676727996021963E-3</v>
      </c>
      <c r="M97" s="23">
        <f t="shared" si="22"/>
        <v>1.6814796617468097E-3</v>
      </c>
      <c r="N97" s="23">
        <f t="shared" si="23"/>
        <v>1.3177384503004097E-2</v>
      </c>
      <c r="O97" s="23">
        <f t="shared" si="24"/>
        <v>-8.6074088105565494E-3</v>
      </c>
      <c r="P97" s="23">
        <f t="shared" si="25"/>
        <v>1.8845418138986325E-3</v>
      </c>
    </row>
    <row r="98" spans="1:16" x14ac:dyDescent="0.35">
      <c r="A98" s="2">
        <f>Prices!A96</f>
        <v>44028</v>
      </c>
      <c r="B98" s="1">
        <f>Prices!B96</f>
        <v>2009.900024</v>
      </c>
      <c r="C98" s="1">
        <f>Prices!C96</f>
        <v>41.5</v>
      </c>
      <c r="D98" s="1">
        <f>Prices!D96</f>
        <v>60.43</v>
      </c>
      <c r="E98" s="1">
        <f>Prices!E96</f>
        <v>63.82</v>
      </c>
      <c r="F98" s="1">
        <f>Prices!F96</f>
        <v>422.5</v>
      </c>
      <c r="G98" s="1">
        <f t="shared" si="26"/>
        <v>120.22874794648371</v>
      </c>
      <c r="H98" s="1">
        <f t="shared" si="27"/>
        <v>102.19157591254439</v>
      </c>
      <c r="I98" s="1">
        <f t="shared" si="28"/>
        <v>103.5469481914506</v>
      </c>
      <c r="J98" s="1">
        <f t="shared" si="29"/>
        <v>102.40693196405657</v>
      </c>
      <c r="K98" s="1">
        <f t="shared" si="30"/>
        <v>97.800925925926023</v>
      </c>
      <c r="L98" s="23">
        <f t="shared" si="21"/>
        <v>-5.4873928395855476E-3</v>
      </c>
      <c r="M98" s="23">
        <f t="shared" si="22"/>
        <v>-4.7961869353432274E-3</v>
      </c>
      <c r="N98" s="23">
        <f t="shared" si="23"/>
        <v>-1.7558088686655537E-2</v>
      </c>
      <c r="O98" s="23">
        <f t="shared" si="24"/>
        <v>-1.0542635658914778E-2</v>
      </c>
      <c r="P98" s="23">
        <f t="shared" si="25"/>
        <v>-6.5835600258704607E-3</v>
      </c>
    </row>
    <row r="99" spans="1:16" x14ac:dyDescent="0.35">
      <c r="A99" s="2">
        <f>Prices!A97</f>
        <v>44029</v>
      </c>
      <c r="B99" s="1">
        <f>Prices!B97</f>
        <v>1992.030029</v>
      </c>
      <c r="C99" s="1">
        <f>Prices!C97</f>
        <v>41.23</v>
      </c>
      <c r="D99" s="1">
        <f>Prices!D97</f>
        <v>60.959999000000003</v>
      </c>
      <c r="E99" s="1">
        <f>Prices!E97</f>
        <v>63.330002</v>
      </c>
      <c r="F99" s="1">
        <f>Prices!F97</f>
        <v>421</v>
      </c>
      <c r="G99" s="1">
        <f t="shared" si="26"/>
        <v>119.15979571054905</v>
      </c>
      <c r="H99" s="1">
        <f t="shared" si="27"/>
        <v>101.52671505720977</v>
      </c>
      <c r="I99" s="1">
        <f t="shared" si="28"/>
        <v>104.45510273380573</v>
      </c>
      <c r="J99" s="1">
        <f t="shared" si="29"/>
        <v>101.62067073170741</v>
      </c>
      <c r="K99" s="1">
        <f t="shared" si="30"/>
        <v>97.453703703703795</v>
      </c>
      <c r="L99" s="23">
        <f t="shared" si="21"/>
        <v>-8.8909870076204767E-3</v>
      </c>
      <c r="M99" s="23">
        <f t="shared" si="22"/>
        <v>-6.5060240963855653E-3</v>
      </c>
      <c r="N99" s="23">
        <f t="shared" si="23"/>
        <v>8.7704616912129829E-3</v>
      </c>
      <c r="O99" s="23">
        <f t="shared" si="24"/>
        <v>-7.6778125979316547E-3</v>
      </c>
      <c r="P99" s="23">
        <f t="shared" si="25"/>
        <v>-3.5502958579881616E-3</v>
      </c>
    </row>
    <row r="100" spans="1:16" x14ac:dyDescent="0.35">
      <c r="A100" s="2">
        <f>Prices!A98</f>
        <v>44030</v>
      </c>
      <c r="B100" s="1">
        <f>Prices!B98</f>
        <v>1977.900024</v>
      </c>
      <c r="C100" s="1">
        <f>Prices!C98</f>
        <v>41.43</v>
      </c>
      <c r="D100" s="1">
        <f>Prices!D98</f>
        <v>60.650002000000001</v>
      </c>
      <c r="E100" s="1">
        <f>Prices!E98</f>
        <v>63.130001</v>
      </c>
      <c r="F100" s="1">
        <f>Prices!F98</f>
        <v>419.79998799999998</v>
      </c>
      <c r="G100" s="1">
        <f t="shared" si="26"/>
        <v>118.3145632167225</v>
      </c>
      <c r="H100" s="1">
        <f t="shared" si="27"/>
        <v>102.01920457967988</v>
      </c>
      <c r="I100" s="1">
        <f t="shared" si="28"/>
        <v>103.92392213975467</v>
      </c>
      <c r="J100" s="1">
        <f t="shared" si="29"/>
        <v>101.29974486521191</v>
      </c>
      <c r="K100" s="1">
        <f t="shared" si="30"/>
        <v>97.175923148148229</v>
      </c>
      <c r="L100" s="23">
        <f t="shared" si="21"/>
        <v>-7.0932690744091031E-3</v>
      </c>
      <c r="M100" s="23">
        <f t="shared" si="22"/>
        <v>4.8508367693427257E-3</v>
      </c>
      <c r="N100" s="23">
        <f t="shared" si="23"/>
        <v>-5.0852527080914589E-3</v>
      </c>
      <c r="O100" s="23">
        <f t="shared" si="24"/>
        <v>-3.1580766411470895E-3</v>
      </c>
      <c r="P100" s="23">
        <f t="shared" si="25"/>
        <v>-2.8503847980998476E-3</v>
      </c>
    </row>
    <row r="101" spans="1:16" x14ac:dyDescent="0.35">
      <c r="A101" s="2">
        <f>Prices!A99</f>
        <v>44031</v>
      </c>
      <c r="B101" s="1">
        <f>Prices!B99</f>
        <v>1964.5200199999999</v>
      </c>
      <c r="C101" s="1">
        <f>Prices!C99</f>
        <v>41.34</v>
      </c>
      <c r="D101" s="1">
        <f>Prices!D99</f>
        <v>61.110000999999997</v>
      </c>
      <c r="E101" s="1">
        <f>Prices!E99</f>
        <v>63.650002000000001</v>
      </c>
      <c r="F101" s="1">
        <f>Prices!F99</f>
        <v>416.10000600000001</v>
      </c>
      <c r="G101" s="1">
        <f t="shared" si="26"/>
        <v>117.51419448731799</v>
      </c>
      <c r="H101" s="1">
        <f t="shared" si="27"/>
        <v>101.79758429456835</v>
      </c>
      <c r="I101" s="1">
        <f t="shared" si="28"/>
        <v>104.71213151624183</v>
      </c>
      <c r="J101" s="1">
        <f t="shared" si="29"/>
        <v>102.13414955070613</v>
      </c>
      <c r="K101" s="1">
        <f t="shared" si="30"/>
        <v>96.319445833333418</v>
      </c>
      <c r="L101" s="23">
        <f t="shared" si="21"/>
        <v>-6.7647524332099529E-3</v>
      </c>
      <c r="M101" s="23">
        <f t="shared" si="22"/>
        <v>-2.1723388848658987E-3</v>
      </c>
      <c r="N101" s="23">
        <f t="shared" si="23"/>
        <v>7.5844844984505055E-3</v>
      </c>
      <c r="O101" s="23">
        <f t="shared" si="24"/>
        <v>8.236987038856558E-3</v>
      </c>
      <c r="P101" s="23">
        <f t="shared" si="25"/>
        <v>-8.8136781938163988E-3</v>
      </c>
    </row>
    <row r="102" spans="1:16" x14ac:dyDescent="0.35">
      <c r="A102" s="2">
        <f>Prices!A100</f>
        <v>44034</v>
      </c>
      <c r="B102" s="1">
        <f>Prices!B100</f>
        <v>1985.630005</v>
      </c>
      <c r="C102" s="1">
        <f>Prices!C100</f>
        <v>41.43</v>
      </c>
      <c r="D102" s="1">
        <f>Prices!D100</f>
        <v>60.75</v>
      </c>
      <c r="E102" s="1">
        <f>Prices!E100</f>
        <v>63.900002000000001</v>
      </c>
      <c r="F102" s="1">
        <f>Prices!F100</f>
        <v>418.10000600000001</v>
      </c>
      <c r="G102" s="1">
        <f t="shared" si="26"/>
        <v>118.77695732895825</v>
      </c>
      <c r="H102" s="1">
        <f t="shared" si="27"/>
        <v>102.01920457967988</v>
      </c>
      <c r="I102" s="1">
        <f t="shared" si="28"/>
        <v>104.09526894970418</v>
      </c>
      <c r="J102" s="1">
        <f t="shared" si="29"/>
        <v>102.53530487804888</v>
      </c>
      <c r="K102" s="1">
        <f t="shared" si="30"/>
        <v>96.78240879629638</v>
      </c>
      <c r="L102" s="23">
        <f t="shared" si="21"/>
        <v>1.074561968576937E-2</v>
      </c>
      <c r="M102" s="23">
        <f t="shared" si="22"/>
        <v>2.1770682148039011E-3</v>
      </c>
      <c r="N102" s="23">
        <f t="shared" si="23"/>
        <v>-5.8910324678279613E-3</v>
      </c>
      <c r="O102" s="23">
        <f t="shared" si="24"/>
        <v>3.9277296487751912E-3</v>
      </c>
      <c r="P102" s="23">
        <f t="shared" si="25"/>
        <v>4.8065368208622949E-3</v>
      </c>
    </row>
    <row r="103" spans="1:16" x14ac:dyDescent="0.35">
      <c r="A103" s="2">
        <f>Prices!A101</f>
        <v>44035</v>
      </c>
      <c r="B103" s="1">
        <f>Prices!B101</f>
        <v>1994.48999</v>
      </c>
      <c r="C103" s="1">
        <f>Prices!C101</f>
        <v>41.650002000000001</v>
      </c>
      <c r="D103" s="1">
        <f>Prices!D101</f>
        <v>60.549999</v>
      </c>
      <c r="E103" s="1">
        <f>Prices!E101</f>
        <v>63.790000999999997</v>
      </c>
      <c r="F103" s="1">
        <f>Prices!F101</f>
        <v>414.20001200000002</v>
      </c>
      <c r="G103" s="1">
        <f t="shared" si="26"/>
        <v>119.30694632873679</v>
      </c>
      <c r="H103" s="1">
        <f t="shared" si="27"/>
        <v>102.56094797929221</v>
      </c>
      <c r="I103" s="1">
        <f t="shared" si="28"/>
        <v>103.75256676229333</v>
      </c>
      <c r="J103" s="1">
        <f t="shared" si="29"/>
        <v>102.35879492939675</v>
      </c>
      <c r="K103" s="1">
        <f t="shared" si="30"/>
        <v>95.879632407407499</v>
      </c>
      <c r="L103" s="23">
        <f t="shared" si="21"/>
        <v>4.4620523348708474E-3</v>
      </c>
      <c r="M103" s="23">
        <f t="shared" si="22"/>
        <v>5.3102099927588853E-3</v>
      </c>
      <c r="N103" s="23">
        <f t="shared" si="23"/>
        <v>-3.2921975308641827E-3</v>
      </c>
      <c r="O103" s="23">
        <f t="shared" si="24"/>
        <v>-1.7214553451814218E-3</v>
      </c>
      <c r="P103" s="23">
        <f t="shared" si="25"/>
        <v>-9.3278974982841101E-3</v>
      </c>
    </row>
    <row r="104" spans="1:16" x14ac:dyDescent="0.35">
      <c r="A104" s="2">
        <f>Prices!A102</f>
        <v>44036</v>
      </c>
      <c r="B104" s="1">
        <f>Prices!B102</f>
        <v>2000.8100589999999</v>
      </c>
      <c r="C104" s="1">
        <f>Prices!C102</f>
        <v>41.09</v>
      </c>
      <c r="D104" s="1">
        <f>Prices!D102</f>
        <v>58.040000999999997</v>
      </c>
      <c r="E104" s="1">
        <f>Prices!E102</f>
        <v>63.169998</v>
      </c>
      <c r="F104" s="1">
        <f>Prices!F102</f>
        <v>410.79998799999998</v>
      </c>
      <c r="G104" s="1">
        <f t="shared" si="26"/>
        <v>119.68500194032545</v>
      </c>
      <c r="H104" s="1">
        <f t="shared" si="27"/>
        <v>101.18197239148074</v>
      </c>
      <c r="I104" s="1">
        <f t="shared" si="28"/>
        <v>99.451679241746504</v>
      </c>
      <c r="J104" s="1">
        <f t="shared" si="29"/>
        <v>101.36392490372282</v>
      </c>
      <c r="K104" s="1">
        <f t="shared" si="30"/>
        <v>95.0925898148149</v>
      </c>
      <c r="L104" s="23">
        <f t="shared" si="21"/>
        <v>3.1687644619364796E-3</v>
      </c>
      <c r="M104" s="23">
        <f t="shared" si="22"/>
        <v>-1.3445425524829413E-2</v>
      </c>
      <c r="N104" s="23">
        <f t="shared" si="23"/>
        <v>-4.1453311997577513E-2</v>
      </c>
      <c r="O104" s="23">
        <f t="shared" si="24"/>
        <v>-9.7194386311421077E-3</v>
      </c>
      <c r="P104" s="23">
        <f t="shared" si="25"/>
        <v>-8.2086525869053961E-3</v>
      </c>
    </row>
    <row r="105" spans="1:16" x14ac:dyDescent="0.35">
      <c r="A105" s="2">
        <f>Prices!A103</f>
        <v>44037</v>
      </c>
      <c r="B105" s="1">
        <f>Prices!B103</f>
        <v>1973.8199460000001</v>
      </c>
      <c r="C105" s="1">
        <f>Prices!C103</f>
        <v>40.909999999999997</v>
      </c>
      <c r="D105" s="1">
        <f>Prices!D103</f>
        <v>57.299999</v>
      </c>
      <c r="E105" s="1">
        <f>Prices!E103</f>
        <v>62.869999</v>
      </c>
      <c r="F105" s="1">
        <f>Prices!F103</f>
        <v>410.60000600000001</v>
      </c>
      <c r="G105" s="1">
        <f t="shared" si="26"/>
        <v>118.07049999785266</v>
      </c>
      <c r="H105" s="1">
        <f t="shared" si="27"/>
        <v>100.73873182125763</v>
      </c>
      <c r="I105" s="1">
        <f t="shared" si="28"/>
        <v>98.18368406128036</v>
      </c>
      <c r="J105" s="1">
        <f t="shared" si="29"/>
        <v>100.88254011553283</v>
      </c>
      <c r="K105" s="1">
        <f t="shared" si="30"/>
        <v>95.046297685185266</v>
      </c>
      <c r="L105" s="23">
        <f t="shared" si="21"/>
        <v>-1.3489592816966045E-2</v>
      </c>
      <c r="M105" s="23">
        <f t="shared" si="22"/>
        <v>-4.3806278899977125E-3</v>
      </c>
      <c r="N105" s="23">
        <f t="shared" si="23"/>
        <v>-1.2749861944351015E-2</v>
      </c>
      <c r="O105" s="23">
        <f t="shared" si="24"/>
        <v>-4.7490740778557416E-3</v>
      </c>
      <c r="P105" s="23">
        <f t="shared" si="25"/>
        <v>-4.8681111451243098E-4</v>
      </c>
    </row>
    <row r="106" spans="1:16" x14ac:dyDescent="0.35">
      <c r="A106" s="2">
        <f>Prices!A104</f>
        <v>44038</v>
      </c>
      <c r="B106" s="1">
        <f>Prices!B104</f>
        <v>1943.0500489999999</v>
      </c>
      <c r="C106" s="1">
        <f>Prices!C104</f>
        <v>41.049999</v>
      </c>
      <c r="D106" s="1">
        <f>Prices!D104</f>
        <v>57.529998999999997</v>
      </c>
      <c r="E106" s="1">
        <f>Prices!E104</f>
        <v>63.02</v>
      </c>
      <c r="F106" s="1">
        <f>Prices!F104</f>
        <v>412.79998799999998</v>
      </c>
      <c r="G106" s="1">
        <f t="shared" si="26"/>
        <v>116.22989790492375</v>
      </c>
      <c r="H106" s="1">
        <f t="shared" si="27"/>
        <v>101.08347202453909</v>
      </c>
      <c r="I106" s="1">
        <f t="shared" si="28"/>
        <v>98.577789606275132</v>
      </c>
      <c r="J106" s="1">
        <f t="shared" si="29"/>
        <v>101.1232349165598</v>
      </c>
      <c r="K106" s="1">
        <f t="shared" si="30"/>
        <v>95.555552777777862</v>
      </c>
      <c r="L106" s="23">
        <f t="shared" si="21"/>
        <v>-1.5589009049359448E-2</v>
      </c>
      <c r="M106" s="23">
        <f t="shared" si="22"/>
        <v>3.4221217306282803E-3</v>
      </c>
      <c r="N106" s="23">
        <f t="shared" si="23"/>
        <v>4.0139616756362795E-3</v>
      </c>
      <c r="O106" s="23">
        <f t="shared" si="24"/>
        <v>2.3858915601382424E-3</v>
      </c>
      <c r="P106" s="23">
        <f t="shared" si="25"/>
        <v>5.3579687478133575E-3</v>
      </c>
    </row>
    <row r="107" spans="1:16" x14ac:dyDescent="0.35">
      <c r="A107" s="2">
        <f>Prices!A105</f>
        <v>44041</v>
      </c>
      <c r="B107" s="1">
        <f>Prices!B105</f>
        <v>1912.4499510000001</v>
      </c>
      <c r="C107" s="1">
        <f>Prices!C105</f>
        <v>40.599997999999999</v>
      </c>
      <c r="D107" s="1">
        <f>Prices!D105</f>
        <v>57.810001</v>
      </c>
      <c r="E107" s="1">
        <f>Prices!E105</f>
        <v>63.459999000000003</v>
      </c>
      <c r="F107" s="1">
        <f>Prices!F105</f>
        <v>408</v>
      </c>
      <c r="G107" s="1">
        <f t="shared" si="26"/>
        <v>114.39945289489886</v>
      </c>
      <c r="H107" s="1">
        <f t="shared" si="27"/>
        <v>99.975368136533774</v>
      </c>
      <c r="I107" s="1">
        <f t="shared" si="28"/>
        <v>99.057573696751774</v>
      </c>
      <c r="J107" s="1">
        <f t="shared" si="29"/>
        <v>101.82926668806172</v>
      </c>
      <c r="K107" s="1">
        <f t="shared" si="30"/>
        <v>94.444444444444528</v>
      </c>
      <c r="L107" s="23">
        <f t="shared" si="21"/>
        <v>-1.5748486775082449E-2</v>
      </c>
      <c r="M107" s="23">
        <f t="shared" si="22"/>
        <v>-1.0962265796888304E-2</v>
      </c>
      <c r="N107" s="23">
        <f t="shared" si="23"/>
        <v>4.8670607486018813E-3</v>
      </c>
      <c r="O107" s="23">
        <f t="shared" si="24"/>
        <v>6.9818946366233536E-3</v>
      </c>
      <c r="P107" s="23">
        <f t="shared" si="25"/>
        <v>-1.1627878244996448E-2</v>
      </c>
    </row>
    <row r="108" spans="1:16" x14ac:dyDescent="0.35">
      <c r="A108" s="2">
        <f>Prices!A106</f>
        <v>44042</v>
      </c>
      <c r="B108" s="1">
        <f>Prices!B106</f>
        <v>1898.530029</v>
      </c>
      <c r="C108" s="1">
        <f>Prices!C106</f>
        <v>40.389999000000003</v>
      </c>
      <c r="D108" s="1">
        <f>Prices!D106</f>
        <v>58.040000999999997</v>
      </c>
      <c r="E108" s="1">
        <f>Prices!E106</f>
        <v>63.799999</v>
      </c>
      <c r="F108" s="1">
        <f>Prices!F106</f>
        <v>406.10000600000001</v>
      </c>
      <c r="G108" s="1">
        <f t="shared" si="26"/>
        <v>113.56678720327801</v>
      </c>
      <c r="H108" s="1">
        <f t="shared" si="27"/>
        <v>99.458256600387799</v>
      </c>
      <c r="I108" s="1">
        <f t="shared" si="28"/>
        <v>99.451679241746533</v>
      </c>
      <c r="J108" s="1">
        <f t="shared" si="29"/>
        <v>102.37483793324786</v>
      </c>
      <c r="K108" s="1">
        <f t="shared" si="30"/>
        <v>94.004631018518594</v>
      </c>
      <c r="L108" s="23">
        <f t="shared" si="21"/>
        <v>-7.2785810644202531E-3</v>
      </c>
      <c r="M108" s="23">
        <f t="shared" si="22"/>
        <v>-5.1723894173589802E-3</v>
      </c>
      <c r="N108" s="23">
        <f t="shared" si="23"/>
        <v>3.9785503549809587E-3</v>
      </c>
      <c r="O108" s="23">
        <f t="shared" si="24"/>
        <v>5.3577057257754301E-3</v>
      </c>
      <c r="P108" s="23">
        <f t="shared" si="25"/>
        <v>-4.656848039215622E-3</v>
      </c>
    </row>
    <row r="109" spans="1:16" x14ac:dyDescent="0.35">
      <c r="A109" s="2">
        <f>Prices!A107</f>
        <v>44043</v>
      </c>
      <c r="B109" s="1">
        <f>Prices!B107</f>
        <v>1866.780029</v>
      </c>
      <c r="C109" s="1">
        <f>Prices!C107</f>
        <v>40.159999999999997</v>
      </c>
      <c r="D109" s="1">
        <f>Prices!D107</f>
        <v>57.080002</v>
      </c>
      <c r="E109" s="1">
        <f>Prices!E107</f>
        <v>62.889999000000003</v>
      </c>
      <c r="F109" s="1">
        <f>Prices!F107</f>
        <v>409.60000600000001</v>
      </c>
      <c r="G109" s="1">
        <f t="shared" si="26"/>
        <v>111.66755704171807</v>
      </c>
      <c r="H109" s="1">
        <f t="shared" si="27"/>
        <v>98.891896111994797</v>
      </c>
      <c r="I109" s="1">
        <f t="shared" si="28"/>
        <v>97.806718680488146</v>
      </c>
      <c r="J109" s="1">
        <f t="shared" si="29"/>
        <v>100.91463254172027</v>
      </c>
      <c r="K109" s="1">
        <f t="shared" si="30"/>
        <v>94.814816203703771</v>
      </c>
      <c r="L109" s="23">
        <f t="shared" si="21"/>
        <v>-1.6723464741152161E-2</v>
      </c>
      <c r="M109" s="23">
        <f t="shared" si="22"/>
        <v>-5.6944542137772336E-3</v>
      </c>
      <c r="N109" s="23">
        <f t="shared" si="23"/>
        <v>-1.6540299508264966E-2</v>
      </c>
      <c r="O109" s="23">
        <f t="shared" si="24"/>
        <v>-1.4263323107575498E-2</v>
      </c>
      <c r="P109" s="23">
        <f t="shared" si="25"/>
        <v>8.6185667281177825E-3</v>
      </c>
    </row>
    <row r="110" spans="1:16" x14ac:dyDescent="0.35">
      <c r="A110" s="2">
        <f>Prices!A108</f>
        <v>44044</v>
      </c>
      <c r="B110" s="1">
        <f>Prices!B108</f>
        <v>1855.3199460000001</v>
      </c>
      <c r="C110" s="1">
        <f>Prices!C108</f>
        <v>39.720001000000003</v>
      </c>
      <c r="D110" s="1">
        <f>Prices!D108</f>
        <v>54.529998999999997</v>
      </c>
      <c r="E110" s="1">
        <f>Prices!E108</f>
        <v>58.779998999999997</v>
      </c>
      <c r="F110" s="1">
        <f>Prices!F108</f>
        <v>400.79998799999998</v>
      </c>
      <c r="G110" s="1">
        <f t="shared" si="26"/>
        <v>110.98203467045569</v>
      </c>
      <c r="H110" s="1">
        <f t="shared" si="27"/>
        <v>97.808421625008222</v>
      </c>
      <c r="I110" s="1">
        <f t="shared" si="28"/>
        <v>93.437282497647772</v>
      </c>
      <c r="J110" s="1">
        <f t="shared" si="29"/>
        <v>94.319638960205481</v>
      </c>
      <c r="K110" s="1">
        <f t="shared" si="30"/>
        <v>92.777775000000062</v>
      </c>
      <c r="L110" s="23">
        <f t="shared" si="21"/>
        <v>-6.1389573607870673E-3</v>
      </c>
      <c r="M110" s="23">
        <f t="shared" si="22"/>
        <v>-1.095615039840625E-2</v>
      </c>
      <c r="N110" s="23">
        <f t="shared" si="23"/>
        <v>-4.4674192548206371E-2</v>
      </c>
      <c r="O110" s="23">
        <f t="shared" si="24"/>
        <v>-6.5352203297061706E-2</v>
      </c>
      <c r="P110" s="23">
        <f t="shared" si="25"/>
        <v>-2.1484418630599356E-2</v>
      </c>
    </row>
    <row r="111" spans="1:16" x14ac:dyDescent="0.35">
      <c r="A111" s="2">
        <f>Prices!A109</f>
        <v>44045</v>
      </c>
      <c r="B111" s="1">
        <f>Prices!B109</f>
        <v>1823.23999</v>
      </c>
      <c r="C111" s="1">
        <f>Prices!C109</f>
        <v>39.360000999999997</v>
      </c>
      <c r="D111" s="1">
        <f>Prices!D109</f>
        <v>53.279998999999997</v>
      </c>
      <c r="E111" s="1">
        <f>Prices!E109</f>
        <v>58.41</v>
      </c>
      <c r="F111" s="1">
        <f>Prices!F109</f>
        <v>384.89999399999999</v>
      </c>
      <c r="G111" s="1">
        <f t="shared" si="26"/>
        <v>109.06306711087409</v>
      </c>
      <c r="H111" s="1">
        <f t="shared" si="27"/>
        <v>96.921940484562043</v>
      </c>
      <c r="I111" s="1">
        <f t="shared" si="28"/>
        <v>91.295404535719697</v>
      </c>
      <c r="J111" s="1">
        <f t="shared" si="29"/>
        <v>93.725930680359525</v>
      </c>
      <c r="K111" s="1">
        <f t="shared" si="30"/>
        <v>89.097220833333395</v>
      </c>
      <c r="L111" s="23">
        <f t="shared" si="21"/>
        <v>-1.7290794544177257E-2</v>
      </c>
      <c r="M111" s="23">
        <f t="shared" si="22"/>
        <v>-9.0634438805781148E-3</v>
      </c>
      <c r="N111" s="23">
        <f t="shared" si="23"/>
        <v>-2.292316198281974E-2</v>
      </c>
      <c r="O111" s="23">
        <f t="shared" si="24"/>
        <v>-6.2946411414536163E-3</v>
      </c>
      <c r="P111" s="23">
        <f t="shared" si="25"/>
        <v>-3.9670644900318686E-2</v>
      </c>
    </row>
    <row r="112" spans="1:16" x14ac:dyDescent="0.35">
      <c r="A112" s="2">
        <f>Prices!A110</f>
        <v>44048</v>
      </c>
      <c r="B112" s="1">
        <f>Prices!B110</f>
        <v>1765.130005</v>
      </c>
      <c r="C112" s="1">
        <f>Prices!C110</f>
        <v>37.990001999999997</v>
      </c>
      <c r="D112" s="1">
        <f>Prices!D110</f>
        <v>52.139999000000003</v>
      </c>
      <c r="E112" s="1">
        <f>Prices!E110</f>
        <v>57.07</v>
      </c>
      <c r="F112" s="1">
        <f>Prices!F110</f>
        <v>381.70001200000002</v>
      </c>
      <c r="G112" s="1">
        <f t="shared" si="26"/>
        <v>105.58702817544744</v>
      </c>
      <c r="H112" s="1">
        <f t="shared" si="27"/>
        <v>93.548389718089524</v>
      </c>
      <c r="I112" s="1">
        <f t="shared" si="28"/>
        <v>89.342011834441308</v>
      </c>
      <c r="J112" s="1">
        <f t="shared" si="29"/>
        <v>91.575738125802403</v>
      </c>
      <c r="K112" s="1">
        <f t="shared" si="30"/>
        <v>88.356484259259318</v>
      </c>
      <c r="L112" s="23">
        <f t="shared" si="21"/>
        <v>-3.187182450950965E-2</v>
      </c>
      <c r="M112" s="23">
        <f t="shared" si="22"/>
        <v>-3.4806884278280381E-2</v>
      </c>
      <c r="N112" s="23">
        <f t="shared" si="23"/>
        <v>-2.1396396797980333E-2</v>
      </c>
      <c r="O112" s="23">
        <f t="shared" si="24"/>
        <v>-2.29412771785652E-2</v>
      </c>
      <c r="P112" s="23">
        <f t="shared" si="25"/>
        <v>-8.3138011168687465E-3</v>
      </c>
    </row>
    <row r="113" spans="1:16" x14ac:dyDescent="0.35">
      <c r="A113" s="2">
        <f>Prices!A111</f>
        <v>44049</v>
      </c>
      <c r="B113" s="1">
        <f>Prices!B111</f>
        <v>1787.829956</v>
      </c>
      <c r="C113" s="1">
        <f>Prices!C111</f>
        <v>38.32</v>
      </c>
      <c r="D113" s="1">
        <f>Prices!D111</f>
        <v>52.139999000000003</v>
      </c>
      <c r="E113" s="1">
        <f>Prices!E111</f>
        <v>57.299999</v>
      </c>
      <c r="F113" s="1">
        <f>Prices!F111</f>
        <v>382</v>
      </c>
      <c r="G113" s="1">
        <f t="shared" si="26"/>
        <v>106.94490003702643</v>
      </c>
      <c r="H113" s="1">
        <f t="shared" si="27"/>
        <v>94.360992505269962</v>
      </c>
      <c r="I113" s="1">
        <f t="shared" si="28"/>
        <v>89.342011834441323</v>
      </c>
      <c r="J113" s="1">
        <f t="shared" si="29"/>
        <v>91.944799422336416</v>
      </c>
      <c r="K113" s="1">
        <f t="shared" si="30"/>
        <v>88.425925925925995</v>
      </c>
      <c r="L113" s="23">
        <f t="shared" si="21"/>
        <v>1.2860214791940994E-2</v>
      </c>
      <c r="M113" s="23">
        <f t="shared" si="22"/>
        <v>8.6864433436988353E-3</v>
      </c>
      <c r="N113" s="23">
        <f t="shared" si="23"/>
        <v>0</v>
      </c>
      <c r="O113" s="23">
        <f t="shared" si="24"/>
        <v>4.0301209041528896E-3</v>
      </c>
      <c r="P113" s="23">
        <f t="shared" si="25"/>
        <v>7.8592609528138624E-4</v>
      </c>
    </row>
    <row r="114" spans="1:16" x14ac:dyDescent="0.35">
      <c r="A114" s="2">
        <f>Prices!A112</f>
        <v>44050</v>
      </c>
      <c r="B114" s="1">
        <f>Prices!B112</f>
        <v>1793.400024</v>
      </c>
      <c r="C114" s="1">
        <f>Prices!C112</f>
        <v>38.270000000000003</v>
      </c>
      <c r="D114" s="1">
        <f>Prices!D112</f>
        <v>51.560001</v>
      </c>
      <c r="E114" s="1">
        <f>Prices!E112</f>
        <v>57.07</v>
      </c>
      <c r="F114" s="1">
        <f>Prices!F112</f>
        <v>388.79998799999998</v>
      </c>
      <c r="G114" s="1">
        <f t="shared" si="26"/>
        <v>107.27809188419305</v>
      </c>
      <c r="H114" s="1">
        <f t="shared" si="27"/>
        <v>94.237870124652446</v>
      </c>
      <c r="I114" s="1">
        <f t="shared" si="28"/>
        <v>88.348183887111432</v>
      </c>
      <c r="J114" s="1">
        <f t="shared" si="29"/>
        <v>91.575738125802403</v>
      </c>
      <c r="K114" s="1">
        <f t="shared" si="30"/>
        <v>89.999997222222291</v>
      </c>
      <c r="L114" s="23">
        <f t="shared" si="21"/>
        <v>3.1155468568511147E-3</v>
      </c>
      <c r="M114" s="23">
        <f t="shared" si="22"/>
        <v>-1.3048016701460163E-3</v>
      </c>
      <c r="N114" s="23">
        <f t="shared" si="23"/>
        <v>-1.112385905492641E-2</v>
      </c>
      <c r="O114" s="23">
        <f t="shared" si="24"/>
        <v>-4.0139442236289957E-3</v>
      </c>
      <c r="P114" s="23">
        <f t="shared" si="25"/>
        <v>1.7801015706806256E-2</v>
      </c>
    </row>
    <row r="115" spans="1:16" x14ac:dyDescent="0.35">
      <c r="A115" s="2">
        <f>Prices!A113</f>
        <v>44051</v>
      </c>
      <c r="B115" s="1">
        <f>Prices!B113</f>
        <v>1832.8900149999999</v>
      </c>
      <c r="C115" s="1">
        <f>Prices!C113</f>
        <v>38.349997999999999</v>
      </c>
      <c r="D115" s="1">
        <f>Prices!D113</f>
        <v>50.650002000000001</v>
      </c>
      <c r="E115" s="1">
        <f>Prices!E113</f>
        <v>58.02</v>
      </c>
      <c r="F115" s="1">
        <f>Prices!F113</f>
        <v>383.10000600000001</v>
      </c>
      <c r="G115" s="1">
        <f t="shared" si="26"/>
        <v>109.64031493889952</v>
      </c>
      <c r="H115" s="1">
        <f t="shared" si="27"/>
        <v>94.434861008745258</v>
      </c>
      <c r="I115" s="1">
        <f t="shared" si="28"/>
        <v>86.788898444330172</v>
      </c>
      <c r="J115" s="1">
        <f t="shared" si="29"/>
        <v>93.100128369704848</v>
      </c>
      <c r="K115" s="1">
        <f t="shared" si="30"/>
        <v>88.680556944444518</v>
      </c>
      <c r="L115" s="23">
        <f t="shared" si="21"/>
        <v>2.2019622210064149E-2</v>
      </c>
      <c r="M115" s="23">
        <f t="shared" si="22"/>
        <v>2.090357982754032E-3</v>
      </c>
      <c r="N115" s="23">
        <f t="shared" si="23"/>
        <v>-1.7649320836902183E-2</v>
      </c>
      <c r="O115" s="23">
        <f t="shared" si="24"/>
        <v>1.6646223935517845E-2</v>
      </c>
      <c r="P115" s="23">
        <f t="shared" si="25"/>
        <v>-1.4660447983347091E-2</v>
      </c>
    </row>
    <row r="116" spans="1:16" x14ac:dyDescent="0.35">
      <c r="A116" s="2">
        <f>Prices!A114</f>
        <v>44052</v>
      </c>
      <c r="B116" s="1">
        <f>Prices!B114</f>
        <v>1807.579956</v>
      </c>
      <c r="C116" s="1">
        <f>Prices!C114</f>
        <v>37.779998999999997</v>
      </c>
      <c r="D116" s="1">
        <f>Prices!D114</f>
        <v>48.779998999999997</v>
      </c>
      <c r="E116" s="1">
        <f>Prices!E114</f>
        <v>57.299999</v>
      </c>
      <c r="F116" s="1">
        <f>Prices!F114</f>
        <v>379.89999399999999</v>
      </c>
      <c r="G116" s="1">
        <f t="shared" si="26"/>
        <v>108.12631092492592</v>
      </c>
      <c r="H116" s="1">
        <f t="shared" si="27"/>
        <v>93.03126833215309</v>
      </c>
      <c r="I116" s="1">
        <f t="shared" si="28"/>
        <v>83.58464387277867</v>
      </c>
      <c r="J116" s="1">
        <f t="shared" si="29"/>
        <v>91.94479942233643</v>
      </c>
      <c r="K116" s="1">
        <f t="shared" si="30"/>
        <v>87.93981342592599</v>
      </c>
      <c r="L116" s="23">
        <f t="shared" si="21"/>
        <v>-1.3808825839448868E-2</v>
      </c>
      <c r="M116" s="23">
        <f t="shared" si="22"/>
        <v>-1.4863077698204941E-2</v>
      </c>
      <c r="N116" s="23">
        <f t="shared" si="23"/>
        <v>-3.6920097258831386E-2</v>
      </c>
      <c r="O116" s="23">
        <f t="shared" si="24"/>
        <v>-1.2409531196139301E-2</v>
      </c>
      <c r="P116" s="23">
        <f t="shared" si="25"/>
        <v>-8.3529416598339123E-3</v>
      </c>
    </row>
    <row r="117" spans="1:16" x14ac:dyDescent="0.35">
      <c r="A117" s="2">
        <f>Prices!A115</f>
        <v>44055</v>
      </c>
      <c r="B117" s="1">
        <f>Prices!B115</f>
        <v>1784.920044</v>
      </c>
      <c r="C117" s="1">
        <f>Prices!C115</f>
        <v>36.790000999999997</v>
      </c>
      <c r="D117" s="1">
        <f>Prices!D115</f>
        <v>48.790000999999997</v>
      </c>
      <c r="E117" s="1">
        <f>Prices!E115</f>
        <v>57.32</v>
      </c>
      <c r="F117" s="1">
        <f>Prices!F115</f>
        <v>380.20001200000002</v>
      </c>
      <c r="G117" s="1">
        <f t="shared" si="26"/>
        <v>106.77083412717177</v>
      </c>
      <c r="H117" s="1">
        <f t="shared" si="27"/>
        <v>90.593450120821345</v>
      </c>
      <c r="I117" s="1">
        <f t="shared" si="28"/>
        <v>83.601782323478844</v>
      </c>
      <c r="J117" s="1">
        <f t="shared" si="29"/>
        <v>91.976893453145152</v>
      </c>
      <c r="K117" s="1">
        <f t="shared" si="30"/>
        <v>88.009262037037104</v>
      </c>
      <c r="L117" s="23">
        <f t="shared" si="21"/>
        <v>-1.2536049608640409E-2</v>
      </c>
      <c r="M117" s="23">
        <f t="shared" si="22"/>
        <v>-2.6204288676661913E-2</v>
      </c>
      <c r="N117" s="23">
        <f t="shared" si="23"/>
        <v>2.0504305463386885E-4</v>
      </c>
      <c r="O117" s="23">
        <f t="shared" si="24"/>
        <v>3.4905759771475253E-4</v>
      </c>
      <c r="P117" s="23">
        <f t="shared" si="25"/>
        <v>7.8972888849282441E-4</v>
      </c>
    </row>
    <row r="118" spans="1:16" x14ac:dyDescent="0.35">
      <c r="A118" s="2">
        <f>Prices!A116</f>
        <v>44056</v>
      </c>
      <c r="B118" s="1">
        <f>Prices!B116</f>
        <v>1824.339966</v>
      </c>
      <c r="C118" s="1">
        <f>Prices!C116</f>
        <v>37.009998000000003</v>
      </c>
      <c r="D118" s="1">
        <f>Prices!D116</f>
        <v>50.009998000000003</v>
      </c>
      <c r="E118" s="1">
        <f>Prices!E116</f>
        <v>57.700001</v>
      </c>
      <c r="F118" s="1">
        <f>Prices!F116</f>
        <v>371</v>
      </c>
      <c r="G118" s="1">
        <f t="shared" si="26"/>
        <v>109.12886577532107</v>
      </c>
      <c r="H118" s="1">
        <f t="shared" si="27"/>
        <v>91.135181208195633</v>
      </c>
      <c r="I118" s="1">
        <f t="shared" si="28"/>
        <v>85.692250073813554</v>
      </c>
      <c r="J118" s="1">
        <f t="shared" si="29"/>
        <v>92.586651155327445</v>
      </c>
      <c r="K118" s="1">
        <f t="shared" si="30"/>
        <v>85.87962962962969</v>
      </c>
      <c r="L118" s="23">
        <f t="shared" si="21"/>
        <v>2.208497917456298E-2</v>
      </c>
      <c r="M118" s="23">
        <f t="shared" si="22"/>
        <v>5.9798041321066364E-3</v>
      </c>
      <c r="N118" s="23">
        <f t="shared" si="23"/>
        <v>2.5005062000306388E-2</v>
      </c>
      <c r="O118" s="23">
        <f t="shared" si="24"/>
        <v>6.629466154919772E-3</v>
      </c>
      <c r="P118" s="23">
        <f t="shared" si="25"/>
        <v>-2.4197821435102962E-2</v>
      </c>
    </row>
    <row r="119" spans="1:16" x14ac:dyDescent="0.35">
      <c r="A119" s="2">
        <f>Prices!A117</f>
        <v>44057</v>
      </c>
      <c r="B119" s="1">
        <f>Prices!B117</f>
        <v>1762.959961</v>
      </c>
      <c r="C119" s="1">
        <f>Prices!C117</f>
        <v>36</v>
      </c>
      <c r="D119" s="1">
        <f>Prices!D117</f>
        <v>48.560001</v>
      </c>
      <c r="E119" s="1">
        <f>Prices!E117</f>
        <v>56.380001</v>
      </c>
      <c r="F119" s="1">
        <f>Prices!F117</f>
        <v>357.60000600000001</v>
      </c>
      <c r="G119" s="1">
        <f t="shared" si="26"/>
        <v>105.4572198914565</v>
      </c>
      <c r="H119" s="1">
        <f t="shared" si="27"/>
        <v>88.648114044616875</v>
      </c>
      <c r="I119" s="1">
        <f t="shared" si="28"/>
        <v>83.2076767784841</v>
      </c>
      <c r="J119" s="1">
        <f t="shared" si="29"/>
        <v>90.468551026957741</v>
      </c>
      <c r="K119" s="1">
        <f t="shared" si="30"/>
        <v>82.777779166666718</v>
      </c>
      <c r="L119" s="23">
        <f t="shared" si="21"/>
        <v>-3.3645047602931299E-2</v>
      </c>
      <c r="M119" s="23">
        <f t="shared" si="22"/>
        <v>-2.7289869078079954E-2</v>
      </c>
      <c r="N119" s="23">
        <f t="shared" si="23"/>
        <v>-2.8994142331299488E-2</v>
      </c>
      <c r="O119" s="23">
        <f t="shared" si="24"/>
        <v>-2.2876949343553776E-2</v>
      </c>
      <c r="P119" s="23">
        <f t="shared" si="25"/>
        <v>-3.6118582210242556E-2</v>
      </c>
    </row>
    <row r="120" spans="1:16" x14ac:dyDescent="0.35">
      <c r="A120" s="2">
        <f>Prices!A118</f>
        <v>44058</v>
      </c>
      <c r="B120" s="1">
        <f>Prices!B118</f>
        <v>1776.119995</v>
      </c>
      <c r="C120" s="1">
        <f>Prices!C118</f>
        <v>35.639999000000003</v>
      </c>
      <c r="D120" s="1">
        <f>Prices!D118</f>
        <v>48.970001000000003</v>
      </c>
      <c r="E120" s="1">
        <f>Prices!E118</f>
        <v>55.09</v>
      </c>
      <c r="F120" s="1">
        <f>Prices!F118</f>
        <v>360.70001200000002</v>
      </c>
      <c r="G120" s="1">
        <f t="shared" si="26"/>
        <v>106.24443039539207</v>
      </c>
      <c r="H120" s="1">
        <f t="shared" si="27"/>
        <v>87.761630441723099</v>
      </c>
      <c r="I120" s="1">
        <f t="shared" si="28"/>
        <v>83.910212749996518</v>
      </c>
      <c r="J120" s="1">
        <f t="shared" si="29"/>
        <v>88.398587933247853</v>
      </c>
      <c r="K120" s="1">
        <f t="shared" si="30"/>
        <v>83.495373148148204</v>
      </c>
      <c r="L120" s="23">
        <f t="shared" si="21"/>
        <v>7.4647378789789443E-3</v>
      </c>
      <c r="M120" s="23">
        <f t="shared" si="22"/>
        <v>-1.0000027777777643E-2</v>
      </c>
      <c r="N120" s="23">
        <f t="shared" si="23"/>
        <v>8.4431629233285843E-3</v>
      </c>
      <c r="O120" s="23">
        <f t="shared" si="24"/>
        <v>-2.288047139268401E-2</v>
      </c>
      <c r="P120" s="23">
        <f t="shared" si="25"/>
        <v>8.6689204362038197E-3</v>
      </c>
    </row>
    <row r="121" spans="1:16" x14ac:dyDescent="0.35">
      <c r="A121" s="2">
        <f>Prices!A119</f>
        <v>44059</v>
      </c>
      <c r="B121" s="1">
        <f>Prices!B119</f>
        <v>1792.5699460000001</v>
      </c>
      <c r="C121" s="1">
        <f>Prices!C119</f>
        <v>36.119999</v>
      </c>
      <c r="D121" s="1">
        <f>Prices!D119</f>
        <v>48.82</v>
      </c>
      <c r="E121" s="1">
        <f>Prices!E119</f>
        <v>55.560001</v>
      </c>
      <c r="F121" s="1">
        <f>Prices!F119</f>
        <v>363.5</v>
      </c>
      <c r="G121" s="1">
        <f t="shared" si="26"/>
        <v>107.22843805193958</v>
      </c>
      <c r="H121" s="1">
        <f t="shared" si="27"/>
        <v>88.943605295651324</v>
      </c>
      <c r="I121" s="1">
        <f t="shared" si="28"/>
        <v>83.65318568106278</v>
      </c>
      <c r="J121" s="1">
        <f t="shared" si="29"/>
        <v>89.152761553273521</v>
      </c>
      <c r="K121" s="1">
        <f t="shared" si="30"/>
        <v>84.143518518518576</v>
      </c>
      <c r="L121" s="23">
        <f t="shared" si="21"/>
        <v>9.2617340305320983E-3</v>
      </c>
      <c r="M121" s="23">
        <f t="shared" si="22"/>
        <v>1.3468013845903792E-2</v>
      </c>
      <c r="N121" s="23">
        <f t="shared" si="23"/>
        <v>-3.0631202151701897E-3</v>
      </c>
      <c r="O121" s="23">
        <f t="shared" si="24"/>
        <v>8.5315120711562109E-3</v>
      </c>
      <c r="P121" s="23">
        <f t="shared" si="25"/>
        <v>7.7626501437433326E-3</v>
      </c>
    </row>
    <row r="122" spans="1:16" x14ac:dyDescent="0.35">
      <c r="A122" s="2">
        <f>Prices!A120</f>
        <v>44062</v>
      </c>
      <c r="B122" s="1">
        <f>Prices!B120</f>
        <v>1816.119995</v>
      </c>
      <c r="C122" s="1">
        <f>Prices!C120</f>
        <v>36.560001</v>
      </c>
      <c r="D122" s="1">
        <f>Prices!D120</f>
        <v>49.130001</v>
      </c>
      <c r="E122" s="1">
        <f>Prices!E120</f>
        <v>56.060001</v>
      </c>
      <c r="F122" s="1">
        <f>Prices!F120</f>
        <v>358.10000600000001</v>
      </c>
      <c r="G122" s="1">
        <f t="shared" si="26"/>
        <v>108.63716130759359</v>
      </c>
      <c r="H122" s="1">
        <f t="shared" si="27"/>
        <v>90.02708716998076</v>
      </c>
      <c r="I122" s="1">
        <f t="shared" si="28"/>
        <v>84.184373129123315</v>
      </c>
      <c r="J122" s="1">
        <f t="shared" si="29"/>
        <v>89.95507220795902</v>
      </c>
      <c r="K122" s="1">
        <f t="shared" si="30"/>
        <v>82.893519907407466</v>
      </c>
      <c r="L122" s="23">
        <f t="shared" si="21"/>
        <v>1.313759000174608E-2</v>
      </c>
      <c r="M122" s="23">
        <f t="shared" si="22"/>
        <v>1.2181672541020871E-2</v>
      </c>
      <c r="N122" s="23">
        <f t="shared" si="23"/>
        <v>6.3498770995493725E-3</v>
      </c>
      <c r="O122" s="23">
        <f t="shared" si="24"/>
        <v>8.999279895621326E-3</v>
      </c>
      <c r="P122" s="23">
        <f t="shared" si="25"/>
        <v>-1.4855554332874776E-2</v>
      </c>
    </row>
    <row r="123" spans="1:16" x14ac:dyDescent="0.35">
      <c r="A123" s="2">
        <f>Prices!A121</f>
        <v>44063</v>
      </c>
      <c r="B123" s="1">
        <f>Prices!B121</f>
        <v>1801.380005</v>
      </c>
      <c r="C123" s="1">
        <f>Prices!C121</f>
        <v>36.169998</v>
      </c>
      <c r="D123" s="1">
        <f>Prices!D121</f>
        <v>48.720001000000003</v>
      </c>
      <c r="E123" s="1">
        <f>Prices!E121</f>
        <v>55.66</v>
      </c>
      <c r="F123" s="1">
        <f>Prices!F121</f>
        <v>358.5</v>
      </c>
      <c r="G123" s="1">
        <f t="shared" si="26"/>
        <v>107.75544056463005</v>
      </c>
      <c r="H123" s="1">
        <f t="shared" si="27"/>
        <v>89.066725213821243</v>
      </c>
      <c r="I123" s="1">
        <f t="shared" si="28"/>
        <v>83.481837157610912</v>
      </c>
      <c r="J123" s="1">
        <f t="shared" si="29"/>
        <v>89.313222079589309</v>
      </c>
      <c r="K123" s="1">
        <f t="shared" si="30"/>
        <v>82.986111111111157</v>
      </c>
      <c r="L123" s="23">
        <f t="shared" si="21"/>
        <v>-8.1161982911817088E-3</v>
      </c>
      <c r="M123" s="23">
        <f t="shared" si="22"/>
        <v>-1.0667477826381888E-2</v>
      </c>
      <c r="N123" s="23">
        <f t="shared" si="23"/>
        <v>-8.3452064248888957E-3</v>
      </c>
      <c r="O123" s="23">
        <f t="shared" si="24"/>
        <v>-7.1352299833173927E-3</v>
      </c>
      <c r="P123" s="23">
        <f t="shared" si="25"/>
        <v>1.1169896489753306E-3</v>
      </c>
    </row>
    <row r="124" spans="1:16" x14ac:dyDescent="0.35">
      <c r="A124" s="2">
        <f>Prices!A122</f>
        <v>44064</v>
      </c>
      <c r="B124" s="1">
        <f>Prices!B122</f>
        <v>1823.540039</v>
      </c>
      <c r="C124" s="1">
        <f>Prices!C122</f>
        <v>36.259998000000003</v>
      </c>
      <c r="D124" s="1">
        <f>Prices!D122</f>
        <v>48.48</v>
      </c>
      <c r="E124" s="1">
        <f>Prices!E122</f>
        <v>56.240001999999997</v>
      </c>
      <c r="F124" s="1">
        <f>Prices!F122</f>
        <v>362.5</v>
      </c>
      <c r="G124" s="1">
        <f t="shared" si="26"/>
        <v>109.08101552381096</v>
      </c>
      <c r="H124" s="1">
        <f t="shared" si="27"/>
        <v>89.288345498932799</v>
      </c>
      <c r="I124" s="1">
        <f t="shared" si="28"/>
        <v>83.070594875418337</v>
      </c>
      <c r="J124" s="1">
        <f t="shared" si="29"/>
        <v>90.243905648267102</v>
      </c>
      <c r="K124" s="1">
        <f t="shared" si="30"/>
        <v>83.912037037037081</v>
      </c>
      <c r="L124" s="23">
        <f t="shared" si="21"/>
        <v>1.2301698663519822E-2</v>
      </c>
      <c r="M124" s="23">
        <f t="shared" si="22"/>
        <v>2.4882500684684228E-3</v>
      </c>
      <c r="N124" s="23">
        <f t="shared" si="23"/>
        <v>-4.9261287987248936E-3</v>
      </c>
      <c r="O124" s="23">
        <f t="shared" si="24"/>
        <v>1.0420445562342895E-2</v>
      </c>
      <c r="P124" s="23">
        <f t="shared" si="25"/>
        <v>1.1157601115760141E-2</v>
      </c>
    </row>
    <row r="125" spans="1:16" x14ac:dyDescent="0.35">
      <c r="A125" s="2">
        <f>Prices!A123</f>
        <v>44065</v>
      </c>
      <c r="B125" s="1">
        <f>Prices!B123</f>
        <v>1804.660034</v>
      </c>
      <c r="C125" s="1">
        <f>Prices!C123</f>
        <v>36.200001</v>
      </c>
      <c r="D125" s="1">
        <f>Prices!D123</f>
        <v>48.549999</v>
      </c>
      <c r="E125" s="1">
        <f>Prices!E123</f>
        <v>55.889999000000003</v>
      </c>
      <c r="F125" s="1">
        <f>Prices!F123</f>
        <v>361.39999399999999</v>
      </c>
      <c r="G125" s="1">
        <f t="shared" si="26"/>
        <v>107.95164623416049</v>
      </c>
      <c r="H125" s="1">
        <f t="shared" si="27"/>
        <v>89.140606029534595</v>
      </c>
      <c r="I125" s="1">
        <f t="shared" si="28"/>
        <v>83.190538327783955</v>
      </c>
      <c r="J125" s="1">
        <f t="shared" si="29"/>
        <v>89.682283376123337</v>
      </c>
      <c r="K125" s="1">
        <f t="shared" si="30"/>
        <v>83.657406018518557</v>
      </c>
      <c r="L125" s="23">
        <f t="shared" si="21"/>
        <v>-1.0353490790557807E-2</v>
      </c>
      <c r="M125" s="23">
        <f t="shared" si="22"/>
        <v>-1.6546332958982113E-3</v>
      </c>
      <c r="N125" s="23">
        <f t="shared" si="23"/>
        <v>1.4438737623763132E-3</v>
      </c>
      <c r="O125" s="23">
        <f t="shared" si="24"/>
        <v>-6.2233817132508751E-3</v>
      </c>
      <c r="P125" s="23">
        <f t="shared" si="25"/>
        <v>-3.0344993103448292E-3</v>
      </c>
    </row>
    <row r="126" spans="1:16" x14ac:dyDescent="0.35">
      <c r="A126" s="2">
        <f>Prices!A124</f>
        <v>44066</v>
      </c>
      <c r="B126" s="1">
        <f>Prices!B124</f>
        <v>1749.619995</v>
      </c>
      <c r="C126" s="1">
        <f>Prices!C124</f>
        <v>35.630001</v>
      </c>
      <c r="D126" s="1">
        <f>Prices!D124</f>
        <v>47.98</v>
      </c>
      <c r="E126" s="1">
        <f>Prices!E124</f>
        <v>55.130001</v>
      </c>
      <c r="F126" s="1">
        <f>Prices!F124</f>
        <v>358.5</v>
      </c>
      <c r="G126" s="1">
        <f t="shared" si="26"/>
        <v>104.65924616605858</v>
      </c>
      <c r="H126" s="1">
        <f t="shared" si="27"/>
        <v>87.73701089049483</v>
      </c>
      <c r="I126" s="1">
        <f t="shared" si="28"/>
        <v>82.21384369064711</v>
      </c>
      <c r="J126" s="1">
        <f t="shared" si="29"/>
        <v>88.462774390243993</v>
      </c>
      <c r="K126" s="1">
        <f t="shared" si="30"/>
        <v>82.986111111111157</v>
      </c>
      <c r="L126" s="23">
        <f t="shared" si="21"/>
        <v>-3.0498840758391821E-2</v>
      </c>
      <c r="M126" s="23">
        <f t="shared" si="22"/>
        <v>-1.5745855918622764E-2</v>
      </c>
      <c r="N126" s="23">
        <f t="shared" si="23"/>
        <v>-1.1740453382913629E-2</v>
      </c>
      <c r="O126" s="23">
        <f t="shared" si="24"/>
        <v>-1.3598103660728333E-2</v>
      </c>
      <c r="P126" s="23">
        <f t="shared" si="25"/>
        <v>-8.0243332820862934E-3</v>
      </c>
    </row>
    <row r="127" spans="1:16" x14ac:dyDescent="0.35">
      <c r="A127" s="2">
        <f>Prices!A125</f>
        <v>44069</v>
      </c>
      <c r="B127" s="1">
        <f>Prices!B125</f>
        <v>1768.869995</v>
      </c>
      <c r="C127" s="1">
        <f>Prices!C125</f>
        <v>35.599997999999999</v>
      </c>
      <c r="D127" s="1">
        <f>Prices!D125</f>
        <v>48.349997999999999</v>
      </c>
      <c r="E127" s="1">
        <f>Prices!E125</f>
        <v>55.310001</v>
      </c>
      <c r="F127" s="1">
        <f>Prices!F125</f>
        <v>353.5</v>
      </c>
      <c r="G127" s="1">
        <f t="shared" si="26"/>
        <v>105.81074791755555</v>
      </c>
      <c r="H127" s="1">
        <f t="shared" si="27"/>
        <v>87.663130074781478</v>
      </c>
      <c r="I127" s="1">
        <f t="shared" si="28"/>
        <v>82.84783614037309</v>
      </c>
      <c r="J127" s="1">
        <f t="shared" si="29"/>
        <v>88.751606225930786</v>
      </c>
      <c r="K127" s="1">
        <f t="shared" si="30"/>
        <v>81.828703703703752</v>
      </c>
      <c r="L127" s="23">
        <f t="shared" si="21"/>
        <v>1.100238912164464E-2</v>
      </c>
      <c r="M127" s="23">
        <f t="shared" si="22"/>
        <v>-8.4207126460644766E-4</v>
      </c>
      <c r="N127" s="23">
        <f t="shared" si="23"/>
        <v>7.7115047936640035E-3</v>
      </c>
      <c r="O127" s="23">
        <f t="shared" si="24"/>
        <v>3.2650099171955826E-3</v>
      </c>
      <c r="P127" s="23">
        <f t="shared" si="25"/>
        <v>-1.3947001394700176E-2</v>
      </c>
    </row>
    <row r="128" spans="1:16" x14ac:dyDescent="0.35">
      <c r="A128" s="2">
        <f>Prices!A126</f>
        <v>44070</v>
      </c>
      <c r="B128" s="1">
        <f>Prices!B126</f>
        <v>1761.829956</v>
      </c>
      <c r="C128" s="1">
        <f>Prices!C126</f>
        <v>35.560001</v>
      </c>
      <c r="D128" s="1">
        <f>Prices!D126</f>
        <v>48.200001</v>
      </c>
      <c r="E128" s="1">
        <f>Prices!E126</f>
        <v>54.950001</v>
      </c>
      <c r="F128" s="1">
        <f>Prices!F126</f>
        <v>354.89999399999999</v>
      </c>
      <c r="G128" s="1">
        <f t="shared" si="26"/>
        <v>105.38962494409544</v>
      </c>
      <c r="H128" s="1">
        <f t="shared" si="27"/>
        <v>87.564639557630301</v>
      </c>
      <c r="I128" s="1">
        <f t="shared" si="28"/>
        <v>82.590815925448837</v>
      </c>
      <c r="J128" s="1">
        <f t="shared" si="29"/>
        <v>88.173942554557229</v>
      </c>
      <c r="K128" s="1">
        <f t="shared" si="30"/>
        <v>82.152776388888938</v>
      </c>
      <c r="L128" s="23">
        <f t="shared" si="21"/>
        <v>-3.9799640560922445E-3</v>
      </c>
      <c r="M128" s="23">
        <f t="shared" si="22"/>
        <v>-1.1235112990736207E-3</v>
      </c>
      <c r="N128" s="23">
        <f t="shared" si="23"/>
        <v>-3.1023165709334055E-3</v>
      </c>
      <c r="O128" s="23">
        <f t="shared" si="24"/>
        <v>-6.5087686402319767E-3</v>
      </c>
      <c r="P128" s="23">
        <f t="shared" si="25"/>
        <v>3.9603790664779481E-3</v>
      </c>
    </row>
    <row r="129" spans="1:16" x14ac:dyDescent="0.35">
      <c r="A129" s="2">
        <f>Prices!A127</f>
        <v>44071</v>
      </c>
      <c r="B129" s="1">
        <f>Prices!B127</f>
        <v>1764.25</v>
      </c>
      <c r="C129" s="1">
        <f>Prices!C127</f>
        <v>35.529998999999997</v>
      </c>
      <c r="D129" s="1">
        <f>Prices!D127</f>
        <v>48.700001</v>
      </c>
      <c r="E129" s="1">
        <f>Prices!E127</f>
        <v>55.68</v>
      </c>
      <c r="F129" s="1">
        <f>Prices!F127</f>
        <v>354.10000600000001</v>
      </c>
      <c r="G129" s="1">
        <f t="shared" si="26"/>
        <v>105.53438779628765</v>
      </c>
      <c r="H129" s="1">
        <f t="shared" si="27"/>
        <v>87.49076120436456</v>
      </c>
      <c r="I129" s="1">
        <f t="shared" si="28"/>
        <v>83.447567110220064</v>
      </c>
      <c r="J129" s="1">
        <f t="shared" si="29"/>
        <v>89.345314505776741</v>
      </c>
      <c r="K129" s="1">
        <f t="shared" si="30"/>
        <v>81.967593981481528</v>
      </c>
      <c r="L129" s="23">
        <f t="shared" si="21"/>
        <v>1.3735968058428139E-3</v>
      </c>
      <c r="M129" s="23">
        <f t="shared" si="22"/>
        <v>-8.4370076367557001E-4</v>
      </c>
      <c r="N129" s="23">
        <f t="shared" si="23"/>
        <v>1.0373443768185719E-2</v>
      </c>
      <c r="O129" s="23">
        <f t="shared" si="24"/>
        <v>1.3284785927483389E-2</v>
      </c>
      <c r="P129" s="23">
        <f t="shared" si="25"/>
        <v>-2.2541223260770238E-3</v>
      </c>
    </row>
    <row r="130" spans="1:16" x14ac:dyDescent="0.35">
      <c r="A130" s="2">
        <f>Prices!A128</f>
        <v>44072</v>
      </c>
      <c r="B130" s="1">
        <f>Prices!B128</f>
        <v>1786.400024</v>
      </c>
      <c r="C130" s="1">
        <f>Prices!C128</f>
        <v>35.959999000000003</v>
      </c>
      <c r="D130" s="1">
        <f>Prices!D128</f>
        <v>49.259998000000003</v>
      </c>
      <c r="E130" s="1">
        <f>Prices!E128</f>
        <v>55.700001</v>
      </c>
      <c r="F130" s="1">
        <f>Prices!F128</f>
        <v>355.70001200000002</v>
      </c>
      <c r="G130" s="1">
        <f t="shared" si="26"/>
        <v>106.85936397455778</v>
      </c>
      <c r="H130" s="1">
        <f t="shared" si="27"/>
        <v>88.549613677675282</v>
      </c>
      <c r="I130" s="1">
        <f t="shared" si="28"/>
        <v>84.407123296656735</v>
      </c>
      <c r="J130" s="1">
        <f t="shared" si="29"/>
        <v>89.377408536585477</v>
      </c>
      <c r="K130" s="1">
        <f t="shared" si="30"/>
        <v>82.337965740740785</v>
      </c>
      <c r="L130" s="23">
        <f t="shared" si="21"/>
        <v>1.2554923621935776E-2</v>
      </c>
      <c r="M130" s="23">
        <f t="shared" si="22"/>
        <v>1.2102448975582769E-2</v>
      </c>
      <c r="N130" s="23">
        <f t="shared" si="23"/>
        <v>1.1498911468194928E-2</v>
      </c>
      <c r="O130" s="23">
        <f t="shared" si="24"/>
        <v>3.5921336206889976E-4</v>
      </c>
      <c r="P130" s="23">
        <f t="shared" si="25"/>
        <v>4.5185144673507427E-3</v>
      </c>
    </row>
    <row r="131" spans="1:16" x14ac:dyDescent="0.35">
      <c r="A131" s="2">
        <f>Prices!A129</f>
        <v>44073</v>
      </c>
      <c r="B131" s="1">
        <f>Prices!B129</f>
        <v>1776.290039</v>
      </c>
      <c r="C131" s="1">
        <f>Prices!C129</f>
        <v>35.900002000000001</v>
      </c>
      <c r="D131" s="1">
        <f>Prices!D129</f>
        <v>50.580002</v>
      </c>
      <c r="E131" s="1">
        <f>Prices!E129</f>
        <v>55.599997999999999</v>
      </c>
      <c r="F131" s="1">
        <f>Prices!F129</f>
        <v>352.29998799999998</v>
      </c>
      <c r="G131" s="1">
        <f t="shared" si="26"/>
        <v>106.25460213377295</v>
      </c>
      <c r="H131" s="1">
        <f t="shared" si="27"/>
        <v>88.401874208277079</v>
      </c>
      <c r="I131" s="1">
        <f t="shared" si="28"/>
        <v>86.668953278462254</v>
      </c>
      <c r="J131" s="1">
        <f t="shared" si="29"/>
        <v>89.216941591784447</v>
      </c>
      <c r="K131" s="1">
        <f t="shared" si="30"/>
        <v>81.550923148148186</v>
      </c>
      <c r="L131" s="23">
        <f t="shared" si="21"/>
        <v>-5.6594183073074289E-3</v>
      </c>
      <c r="M131" s="23">
        <f t="shared" si="22"/>
        <v>-1.6684371987886193E-3</v>
      </c>
      <c r="N131" s="23">
        <f t="shared" si="23"/>
        <v>2.6796671814724782E-2</v>
      </c>
      <c r="O131" s="23">
        <f t="shared" si="24"/>
        <v>-1.795385964176166E-3</v>
      </c>
      <c r="P131" s="23">
        <f t="shared" si="25"/>
        <v>-9.558683962034964E-3</v>
      </c>
    </row>
    <row r="132" spans="1:16" x14ac:dyDescent="0.35">
      <c r="A132" s="2">
        <f>Prices!A130</f>
        <v>44077</v>
      </c>
      <c r="B132" s="1">
        <f>Prices!B130</f>
        <v>1789.839966</v>
      </c>
      <c r="C132" s="1">
        <f>Prices!C130</f>
        <v>35.880001</v>
      </c>
      <c r="D132" s="1">
        <f>Prices!D130</f>
        <v>49.970001000000003</v>
      </c>
      <c r="E132" s="1">
        <f>Prices!E130</f>
        <v>55.27</v>
      </c>
      <c r="F132" s="1">
        <f>Prices!F130</f>
        <v>355.39999399999999</v>
      </c>
      <c r="G132" s="1">
        <f t="shared" si="26"/>
        <v>107.0651353635473</v>
      </c>
      <c r="H132" s="1">
        <f t="shared" si="27"/>
        <v>88.352622793582455</v>
      </c>
      <c r="I132" s="1">
        <f t="shared" si="28"/>
        <v>85.623715119538986</v>
      </c>
      <c r="J132" s="1">
        <f t="shared" si="29"/>
        <v>88.687419768934646</v>
      </c>
      <c r="K132" s="1">
        <f t="shared" si="30"/>
        <v>82.268517129629672</v>
      </c>
      <c r="L132" s="23">
        <f t="shared" si="21"/>
        <v>7.6282176347890474E-3</v>
      </c>
      <c r="M132" s="23">
        <f t="shared" si="22"/>
        <v>-5.5713088818210021E-4</v>
      </c>
      <c r="N132" s="23">
        <f t="shared" si="23"/>
        <v>-1.2060122101220871E-2</v>
      </c>
      <c r="O132" s="23">
        <f t="shared" si="24"/>
        <v>-5.935216040835023E-3</v>
      </c>
      <c r="P132" s="23">
        <f t="shared" si="25"/>
        <v>8.7993360930798126E-3</v>
      </c>
    </row>
    <row r="133" spans="1:16" x14ac:dyDescent="0.35">
      <c r="A133" s="2">
        <f>Prices!A131</f>
        <v>44078</v>
      </c>
      <c r="B133" s="1">
        <f>Prices!B131</f>
        <v>1800.619995</v>
      </c>
      <c r="C133" s="1">
        <f>Prices!C131</f>
        <v>36.720001000000003</v>
      </c>
      <c r="D133" s="1">
        <f>Prices!D131</f>
        <v>51.599997999999999</v>
      </c>
      <c r="E133" s="1">
        <f>Prices!E131</f>
        <v>55.889999000000003</v>
      </c>
      <c r="F133" s="1">
        <f>Prices!F131</f>
        <v>364.39999399999999</v>
      </c>
      <c r="G133" s="1">
        <f t="shared" si="26"/>
        <v>107.70997807911553</v>
      </c>
      <c r="H133" s="1">
        <f t="shared" si="27"/>
        <v>90.421078787956858</v>
      </c>
      <c r="I133" s="1">
        <f t="shared" si="28"/>
        <v>88.416718841386071</v>
      </c>
      <c r="J133" s="1">
        <f t="shared" si="29"/>
        <v>89.682283376123351</v>
      </c>
      <c r="K133" s="1">
        <f t="shared" si="30"/>
        <v>84.351850462963</v>
      </c>
      <c r="L133" s="23">
        <f t="shared" ref="L133:L196" si="31">B133/B132-1</f>
        <v>6.0229010441037456E-3</v>
      </c>
      <c r="M133" s="23">
        <f t="shared" ref="M133:M196" si="32">C133/C132-1</f>
        <v>2.341137058496745E-2</v>
      </c>
      <c r="N133" s="23">
        <f t="shared" ref="N133:N196" si="33">D133/D132-1</f>
        <v>3.2619511054242212E-2</v>
      </c>
      <c r="O133" s="23">
        <f t="shared" ref="O133:O196" si="34">E133/E132-1</f>
        <v>1.1217640673059526E-2</v>
      </c>
      <c r="P133" s="23">
        <f t="shared" ref="P133:P196" si="35">F133/F132-1</f>
        <v>2.5323579493363724E-2</v>
      </c>
    </row>
    <row r="134" spans="1:16" x14ac:dyDescent="0.35">
      <c r="A134" s="2">
        <f>Prices!A132</f>
        <v>44079</v>
      </c>
      <c r="B134" s="1">
        <f>Prices!B132</f>
        <v>1840.719971</v>
      </c>
      <c r="C134" s="1">
        <f>Prices!C132</f>
        <v>36.799999</v>
      </c>
      <c r="D134" s="1">
        <f>Prices!D132</f>
        <v>52.169998</v>
      </c>
      <c r="E134" s="1">
        <f>Prices!E132</f>
        <v>55.740001999999997</v>
      </c>
      <c r="F134" s="1">
        <f>Prices!F132</f>
        <v>364</v>
      </c>
      <c r="G134" s="1">
        <f t="shared" ref="G134:G197" si="36">G133*B134/B133</f>
        <v>110.108689382959</v>
      </c>
      <c r="H134" s="1">
        <f t="shared" ref="H134:H197" si="37">H133*C134/C133</f>
        <v>90.618069672049657</v>
      </c>
      <c r="I134" s="1">
        <f t="shared" ref="I134:I197" si="38">I133*D134/D133</f>
        <v>89.393415192025273</v>
      </c>
      <c r="J134" s="1">
        <f t="shared" ref="J134:J197" si="39">J133*E134/E133</f>
        <v>89.441594993581617</v>
      </c>
      <c r="K134" s="1">
        <f t="shared" ref="K134:K197" si="40">K133*F134/F133</f>
        <v>84.259259259259295</v>
      </c>
      <c r="L134" s="23">
        <f t="shared" si="31"/>
        <v>2.2270093696254767E-2</v>
      </c>
      <c r="M134" s="23">
        <f t="shared" si="32"/>
        <v>2.1785947119117299E-3</v>
      </c>
      <c r="N134" s="23">
        <f t="shared" si="33"/>
        <v>1.1046512056066327E-2</v>
      </c>
      <c r="O134" s="23">
        <f t="shared" si="34"/>
        <v>-2.6837896347073897E-3</v>
      </c>
      <c r="P134" s="23">
        <f t="shared" si="35"/>
        <v>-1.0976783934854017E-3</v>
      </c>
    </row>
    <row r="135" spans="1:16" x14ac:dyDescent="0.35">
      <c r="A135" s="2">
        <f>Prices!A133</f>
        <v>44080</v>
      </c>
      <c r="B135" s="1">
        <f>Prices!B133</f>
        <v>1833.51001</v>
      </c>
      <c r="C135" s="1">
        <f>Prices!C133</f>
        <v>36.900002000000001</v>
      </c>
      <c r="D135" s="1">
        <f>Prices!D133</f>
        <v>52.16</v>
      </c>
      <c r="E135" s="1">
        <f>Prices!E133</f>
        <v>55.599997999999999</v>
      </c>
      <c r="F135" s="1">
        <f>Prices!F133</f>
        <v>374.39999399999999</v>
      </c>
      <c r="G135" s="1">
        <f t="shared" si="36"/>
        <v>109.67740196894732</v>
      </c>
      <c r="H135" s="1">
        <f t="shared" si="37"/>
        <v>90.864321820627538</v>
      </c>
      <c r="I135" s="1">
        <f t="shared" si="38"/>
        <v>89.376283595334584</v>
      </c>
      <c r="J135" s="1">
        <f t="shared" si="39"/>
        <v>89.216941591784433</v>
      </c>
      <c r="K135" s="1">
        <f t="shared" si="40"/>
        <v>86.66666527777781</v>
      </c>
      <c r="L135" s="23">
        <f t="shared" si="31"/>
        <v>-3.9169244173968831E-3</v>
      </c>
      <c r="M135" s="23">
        <f t="shared" si="32"/>
        <v>2.7174728999312947E-3</v>
      </c>
      <c r="N135" s="23">
        <f t="shared" si="33"/>
        <v>-1.9164271388327769E-4</v>
      </c>
      <c r="O135" s="23">
        <f t="shared" si="34"/>
        <v>-2.5117329561631374E-3</v>
      </c>
      <c r="P135" s="23">
        <f t="shared" si="35"/>
        <v>2.857141208791214E-2</v>
      </c>
    </row>
    <row r="136" spans="1:16" x14ac:dyDescent="0.35">
      <c r="A136" s="2">
        <f>Prices!A134</f>
        <v>44083</v>
      </c>
      <c r="B136" s="1">
        <f>Prices!B134</f>
        <v>1831.349976</v>
      </c>
      <c r="C136" s="1">
        <f>Prices!C134</f>
        <v>37.450001</v>
      </c>
      <c r="D136" s="1">
        <f>Prices!D134</f>
        <v>52.389999000000003</v>
      </c>
      <c r="E136" s="1">
        <f>Prices!E134</f>
        <v>56.259998000000003</v>
      </c>
      <c r="F136" s="1">
        <f>Prices!F134</f>
        <v>387.39999399999999</v>
      </c>
      <c r="G136" s="1">
        <f t="shared" si="36"/>
        <v>109.54819246586716</v>
      </c>
      <c r="H136" s="1">
        <f t="shared" si="37"/>
        <v>92.21866554497268</v>
      </c>
      <c r="I136" s="1">
        <f t="shared" si="38"/>
        <v>89.770387426826986</v>
      </c>
      <c r="J136" s="1">
        <f t="shared" si="39"/>
        <v>90.275991655969293</v>
      </c>
      <c r="K136" s="1">
        <f t="shared" si="40"/>
        <v>89.675924537037076</v>
      </c>
      <c r="L136" s="23">
        <f t="shared" si="31"/>
        <v>-1.1780868324793303E-3</v>
      </c>
      <c r="M136" s="23">
        <f t="shared" si="32"/>
        <v>1.4905121143353961E-2</v>
      </c>
      <c r="N136" s="23">
        <f t="shared" si="33"/>
        <v>4.409490030675034E-3</v>
      </c>
      <c r="O136" s="23">
        <f t="shared" si="34"/>
        <v>1.1870504024118933E-2</v>
      </c>
      <c r="P136" s="23">
        <f t="shared" si="35"/>
        <v>3.4722222778668099E-2</v>
      </c>
    </row>
    <row r="137" spans="1:16" x14ac:dyDescent="0.35">
      <c r="A137" s="2">
        <f>Prices!A135</f>
        <v>44084</v>
      </c>
      <c r="B137" s="1">
        <f>Prices!B135</f>
        <v>1820.5500489999999</v>
      </c>
      <c r="C137" s="1">
        <f>Prices!C135</f>
        <v>38.119999</v>
      </c>
      <c r="D137" s="1">
        <f>Prices!D135</f>
        <v>52.860000999999997</v>
      </c>
      <c r="E137" s="1">
        <f>Prices!E135</f>
        <v>56.810001</v>
      </c>
      <c r="F137" s="1">
        <f>Prices!F135</f>
        <v>392.70001200000002</v>
      </c>
      <c r="G137" s="1">
        <f t="shared" si="36"/>
        <v>108.90215948630666</v>
      </c>
      <c r="H137" s="1">
        <f t="shared" si="37"/>
        <v>93.868500520352271</v>
      </c>
      <c r="I137" s="1">
        <f t="shared" si="38"/>
        <v>90.575736967516661</v>
      </c>
      <c r="J137" s="1">
        <f t="shared" si="39"/>
        <v>91.158538189987269</v>
      </c>
      <c r="K137" s="1">
        <f t="shared" si="40"/>
        <v>90.902780555555594</v>
      </c>
      <c r="L137" s="23">
        <f t="shared" si="31"/>
        <v>-5.8972491012280193E-3</v>
      </c>
      <c r="M137" s="23">
        <f t="shared" si="32"/>
        <v>1.7890466812003458E-2</v>
      </c>
      <c r="N137" s="23">
        <f t="shared" si="33"/>
        <v>8.971216052132247E-3</v>
      </c>
      <c r="O137" s="23">
        <f t="shared" si="34"/>
        <v>9.7760934865300797E-3</v>
      </c>
      <c r="P137" s="23">
        <f t="shared" si="35"/>
        <v>1.3680996598053774E-2</v>
      </c>
    </row>
    <row r="138" spans="1:16" x14ac:dyDescent="0.35">
      <c r="A138" s="2">
        <f>Prices!A136</f>
        <v>44085</v>
      </c>
      <c r="B138" s="1">
        <f>Prices!B136</f>
        <v>1822.98999</v>
      </c>
      <c r="C138" s="1">
        <f>Prices!C136</f>
        <v>38.599997999999999</v>
      </c>
      <c r="D138" s="1">
        <f>Prices!D136</f>
        <v>53.240001999999997</v>
      </c>
      <c r="E138" s="1">
        <f>Prices!E136</f>
        <v>56.5</v>
      </c>
      <c r="F138" s="1">
        <f>Prices!F136</f>
        <v>390.60000600000001</v>
      </c>
      <c r="G138" s="1">
        <f t="shared" si="36"/>
        <v>109.04811254267287</v>
      </c>
      <c r="H138" s="1">
        <f t="shared" si="37"/>
        <v>95.050472911832884</v>
      </c>
      <c r="I138" s="1">
        <f t="shared" si="38"/>
        <v>91.226869581445172</v>
      </c>
      <c r="J138" s="1">
        <f t="shared" si="39"/>
        <v>90.661103979460947</v>
      </c>
      <c r="K138" s="1">
        <f t="shared" si="40"/>
        <v>90.41666805555559</v>
      </c>
      <c r="L138" s="23">
        <f t="shared" si="31"/>
        <v>1.3402218748890249E-3</v>
      </c>
      <c r="M138" s="23">
        <f t="shared" si="32"/>
        <v>1.2591789417413235E-2</v>
      </c>
      <c r="N138" s="23">
        <f t="shared" si="33"/>
        <v>7.1888193872717832E-3</v>
      </c>
      <c r="O138" s="23">
        <f t="shared" si="34"/>
        <v>-5.4568032836330715E-3</v>
      </c>
      <c r="P138" s="23">
        <f t="shared" si="35"/>
        <v>-5.3476086983160753E-3</v>
      </c>
    </row>
    <row r="139" spans="1:16" x14ac:dyDescent="0.35">
      <c r="A139" s="2">
        <f>Prices!A137</f>
        <v>44086</v>
      </c>
      <c r="B139" s="1">
        <f>Prices!B137</f>
        <v>1843.5500489999999</v>
      </c>
      <c r="C139" s="1">
        <f>Prices!C137</f>
        <v>38.740001999999997</v>
      </c>
      <c r="D139" s="1">
        <f>Prices!D137</f>
        <v>53.689999</v>
      </c>
      <c r="E139" s="1">
        <f>Prices!E137</f>
        <v>56.549999</v>
      </c>
      <c r="F139" s="1">
        <f>Prices!F137</f>
        <v>401</v>
      </c>
      <c r="G139" s="1">
        <f t="shared" si="36"/>
        <v>110.27797976082253</v>
      </c>
      <c r="H139" s="1">
        <f t="shared" si="37"/>
        <v>95.395225427352386</v>
      </c>
      <c r="I139" s="1">
        <f t="shared" si="38"/>
        <v>91.997940507232187</v>
      </c>
      <c r="J139" s="1">
        <f t="shared" si="39"/>
        <v>90.741333440308182</v>
      </c>
      <c r="K139" s="1">
        <f t="shared" si="40"/>
        <v>92.824074074074105</v>
      </c>
      <c r="L139" s="23">
        <f t="shared" si="31"/>
        <v>1.1278207292844122E-2</v>
      </c>
      <c r="M139" s="23">
        <f t="shared" si="32"/>
        <v>3.6270468200541028E-3</v>
      </c>
      <c r="N139" s="23">
        <f t="shared" si="33"/>
        <v>8.4522348440183581E-3</v>
      </c>
      <c r="O139" s="23">
        <f t="shared" si="34"/>
        <v>8.8493805309730611E-4</v>
      </c>
      <c r="P139" s="23">
        <f t="shared" si="35"/>
        <v>2.6625688275079051E-2</v>
      </c>
    </row>
    <row r="140" spans="1:16" x14ac:dyDescent="0.35">
      <c r="A140" s="2">
        <f>Prices!A138</f>
        <v>44087</v>
      </c>
      <c r="B140" s="1">
        <f>Prices!B138</f>
        <v>1839.339966</v>
      </c>
      <c r="C140" s="1">
        <f>Prices!C138</f>
        <v>39.139999000000003</v>
      </c>
      <c r="D140" s="1">
        <f>Prices!D138</f>
        <v>54.849997999999999</v>
      </c>
      <c r="E140" s="1">
        <f>Prices!E138</f>
        <v>56.869999</v>
      </c>
      <c r="F140" s="1">
        <f>Prices!F138</f>
        <v>394.5</v>
      </c>
      <c r="G140" s="1">
        <f t="shared" si="36"/>
        <v>110.02613986739669</v>
      </c>
      <c r="H140" s="1">
        <f t="shared" si="37"/>
        <v>96.380197084949742</v>
      </c>
      <c r="I140" s="1">
        <f t="shared" si="38"/>
        <v>93.985601542399067</v>
      </c>
      <c r="J140" s="1">
        <f t="shared" si="39"/>
        <v>91.254812259306902</v>
      </c>
      <c r="K140" s="1">
        <f t="shared" si="40"/>
        <v>91.319444444444471</v>
      </c>
      <c r="L140" s="23">
        <f t="shared" si="31"/>
        <v>-2.2836825082582779E-3</v>
      </c>
      <c r="M140" s="23">
        <f t="shared" si="32"/>
        <v>1.0325167252185574E-2</v>
      </c>
      <c r="N140" s="23">
        <f t="shared" si="33"/>
        <v>2.1605494907906309E-2</v>
      </c>
      <c r="O140" s="23">
        <f t="shared" si="34"/>
        <v>5.6587092070505829E-3</v>
      </c>
      <c r="P140" s="23">
        <f t="shared" si="35"/>
        <v>-1.6209476309226978E-2</v>
      </c>
    </row>
    <row r="141" spans="1:16" x14ac:dyDescent="0.35">
      <c r="A141" s="2">
        <f>Prices!A139</f>
        <v>44090</v>
      </c>
      <c r="B141" s="1">
        <f>Prices!B139</f>
        <v>1807.839966</v>
      </c>
      <c r="C141" s="1">
        <f>Prices!C139</f>
        <v>38.389999000000003</v>
      </c>
      <c r="D141" s="1">
        <f>Prices!D139</f>
        <v>53.650002000000001</v>
      </c>
      <c r="E141" s="1">
        <f>Prices!E139</f>
        <v>57.990001999999997</v>
      </c>
      <c r="F141" s="1">
        <f>Prices!F139</f>
        <v>388.70001200000002</v>
      </c>
      <c r="G141" s="1">
        <f t="shared" si="36"/>
        <v>108.14186427403801</v>
      </c>
      <c r="H141" s="1">
        <f t="shared" si="37"/>
        <v>94.533361375686894</v>
      </c>
      <c r="I141" s="1">
        <f t="shared" si="38"/>
        <v>91.929405552957604</v>
      </c>
      <c r="J141" s="1">
        <f t="shared" si="39"/>
        <v>93.051992939666334</v>
      </c>
      <c r="K141" s="1">
        <f t="shared" si="40"/>
        <v>89.976854629629656</v>
      </c>
      <c r="L141" s="23">
        <f t="shared" si="31"/>
        <v>-1.7125708451006361E-2</v>
      </c>
      <c r="M141" s="23">
        <f t="shared" si="32"/>
        <v>-1.9161983116044556E-2</v>
      </c>
      <c r="N141" s="23">
        <f t="shared" si="33"/>
        <v>-2.187777654978218E-2</v>
      </c>
      <c r="O141" s="23">
        <f t="shared" si="34"/>
        <v>1.969409213458917E-2</v>
      </c>
      <c r="P141" s="23">
        <f t="shared" si="35"/>
        <v>-1.4702124207857992E-2</v>
      </c>
    </row>
    <row r="142" spans="1:16" x14ac:dyDescent="0.35">
      <c r="A142" s="2">
        <f>Prices!A140</f>
        <v>44091</v>
      </c>
      <c r="B142" s="1">
        <f>Prices!B140</f>
        <v>1822.5500489999999</v>
      </c>
      <c r="C142" s="1">
        <f>Prices!C140</f>
        <v>38.299999</v>
      </c>
      <c r="D142" s="1">
        <f>Prices!D140</f>
        <v>53.610000999999997</v>
      </c>
      <c r="E142" s="1">
        <f>Prices!E140</f>
        <v>58.09</v>
      </c>
      <c r="F142" s="1">
        <f>Prices!F140</f>
        <v>388</v>
      </c>
      <c r="G142" s="1">
        <f t="shared" si="36"/>
        <v>109.02179603191676</v>
      </c>
      <c r="H142" s="1">
        <f t="shared" si="37"/>
        <v>94.311741090575339</v>
      </c>
      <c r="I142" s="1">
        <f t="shared" si="38"/>
        <v>91.860863744673523</v>
      </c>
      <c r="J142" s="1">
        <f t="shared" si="39"/>
        <v>93.212451861360819</v>
      </c>
      <c r="K142" s="1">
        <f t="shared" si="40"/>
        <v>89.814814814814838</v>
      </c>
      <c r="L142" s="23">
        <f t="shared" si="31"/>
        <v>8.1368280802793791E-3</v>
      </c>
      <c r="M142" s="23">
        <f t="shared" si="32"/>
        <v>-2.3443605716166882E-3</v>
      </c>
      <c r="N142" s="23">
        <f t="shared" si="33"/>
        <v>-7.4559177090061102E-4</v>
      </c>
      <c r="O142" s="23">
        <f t="shared" si="34"/>
        <v>1.7244006992793715E-3</v>
      </c>
      <c r="P142" s="23">
        <f t="shared" si="35"/>
        <v>-1.8009055271138719E-3</v>
      </c>
    </row>
    <row r="143" spans="1:16" x14ac:dyDescent="0.35">
      <c r="A143" s="2">
        <f>Prices!A141</f>
        <v>44092</v>
      </c>
      <c r="B143" s="1">
        <f>Prices!B141</f>
        <v>1817.459961</v>
      </c>
      <c r="C143" s="1">
        <f>Prices!C141</f>
        <v>38.200001</v>
      </c>
      <c r="D143" s="1">
        <f>Prices!D141</f>
        <v>53.049999</v>
      </c>
      <c r="E143" s="1">
        <f>Prices!E141</f>
        <v>58.220001000000003</v>
      </c>
      <c r="F143" s="1">
        <f>Prices!F141</f>
        <v>388.60000600000001</v>
      </c>
      <c r="G143" s="1">
        <f t="shared" si="36"/>
        <v>108.71731575933113</v>
      </c>
      <c r="H143" s="1">
        <f t="shared" si="37"/>
        <v>94.065501254235528</v>
      </c>
      <c r="I143" s="1">
        <f t="shared" si="38"/>
        <v>90.90129899072501</v>
      </c>
      <c r="J143" s="1">
        <f t="shared" si="39"/>
        <v>93.421054236200362</v>
      </c>
      <c r="K143" s="1">
        <f t="shared" si="40"/>
        <v>89.953705092592614</v>
      </c>
      <c r="L143" s="23">
        <f t="shared" si="31"/>
        <v>-2.79283853016421E-3</v>
      </c>
      <c r="M143" s="23">
        <f t="shared" si="32"/>
        <v>-2.610913906290202E-3</v>
      </c>
      <c r="N143" s="23">
        <f t="shared" si="33"/>
        <v>-1.0445849460066214E-2</v>
      </c>
      <c r="O143" s="23">
        <f t="shared" si="34"/>
        <v>2.2379239111722793E-3</v>
      </c>
      <c r="P143" s="23">
        <f t="shared" si="35"/>
        <v>1.546407216494794E-3</v>
      </c>
    </row>
    <row r="144" spans="1:16" x14ac:dyDescent="0.35">
      <c r="A144" s="2">
        <f>Prices!A142</f>
        <v>44093</v>
      </c>
      <c r="B144" s="1">
        <f>Prices!B142</f>
        <v>1821.5</v>
      </c>
      <c r="C144" s="1">
        <f>Prices!C142</f>
        <v>38.229999999999997</v>
      </c>
      <c r="D144" s="1">
        <f>Prices!D142</f>
        <v>52.91</v>
      </c>
      <c r="E144" s="1">
        <f>Prices!E142</f>
        <v>58.310001</v>
      </c>
      <c r="F144" s="1">
        <f>Prices!F142</f>
        <v>389.39999399999999</v>
      </c>
      <c r="G144" s="1">
        <f t="shared" si="36"/>
        <v>108.95898391437613</v>
      </c>
      <c r="H144" s="1">
        <f t="shared" si="37"/>
        <v>94.139372220158421</v>
      </c>
      <c r="I144" s="1">
        <f t="shared" si="38"/>
        <v>90.661410372491417</v>
      </c>
      <c r="J144" s="1">
        <f t="shared" si="39"/>
        <v>93.565470154043751</v>
      </c>
      <c r="K144" s="1">
        <f t="shared" si="40"/>
        <v>90.13888750000001</v>
      </c>
      <c r="L144" s="23">
        <f t="shared" si="31"/>
        <v>2.2229039905654613E-3</v>
      </c>
      <c r="M144" s="23">
        <f t="shared" si="32"/>
        <v>7.8531411556759245E-4</v>
      </c>
      <c r="N144" s="23">
        <f t="shared" si="33"/>
        <v>-2.6390009922526714E-3</v>
      </c>
      <c r="O144" s="23">
        <f t="shared" si="34"/>
        <v>1.5458605024756267E-3</v>
      </c>
      <c r="P144" s="23">
        <f t="shared" si="35"/>
        <v>2.0586412445910973E-3</v>
      </c>
    </row>
    <row r="145" spans="1:16" x14ac:dyDescent="0.35">
      <c r="A145" s="2">
        <f>Prices!A143</f>
        <v>44094</v>
      </c>
      <c r="B145" s="1">
        <f>Prices!B143</f>
        <v>1794.160034</v>
      </c>
      <c r="C145" s="1">
        <f>Prices!C143</f>
        <v>38.159999999999997</v>
      </c>
      <c r="D145" s="1">
        <f>Prices!D143</f>
        <v>52.82</v>
      </c>
      <c r="E145" s="1">
        <f>Prices!E143</f>
        <v>58.48</v>
      </c>
      <c r="F145" s="1">
        <f>Prices!F143</f>
        <v>388.10000600000001</v>
      </c>
      <c r="G145" s="1">
        <f t="shared" si="36"/>
        <v>107.32355436970768</v>
      </c>
      <c r="H145" s="1">
        <f t="shared" si="37"/>
        <v>93.967000887293892</v>
      </c>
      <c r="I145" s="1">
        <f t="shared" si="38"/>
        <v>90.507195159232609</v>
      </c>
      <c r="J145" s="1">
        <f t="shared" si="39"/>
        <v>93.83825417201551</v>
      </c>
      <c r="K145" s="1">
        <f t="shared" si="40"/>
        <v>89.837964351851866</v>
      </c>
      <c r="L145" s="23">
        <f t="shared" si="31"/>
        <v>-1.5009588800439233E-2</v>
      </c>
      <c r="M145" s="23">
        <f t="shared" si="32"/>
        <v>-1.8310227569970916E-3</v>
      </c>
      <c r="N145" s="23">
        <f t="shared" si="33"/>
        <v>-1.7010017010016254E-3</v>
      </c>
      <c r="O145" s="23">
        <f t="shared" si="34"/>
        <v>2.9154346953277344E-3</v>
      </c>
      <c r="P145" s="23">
        <f t="shared" si="35"/>
        <v>-3.3384386749630846E-3</v>
      </c>
    </row>
    <row r="146" spans="1:16" x14ac:dyDescent="0.35">
      <c r="A146" s="2">
        <f>Prices!A144</f>
        <v>44097</v>
      </c>
      <c r="B146" s="1">
        <f>Prices!B144</f>
        <v>1785.3000489999999</v>
      </c>
      <c r="C146" s="1">
        <f>Prices!C144</f>
        <v>38.110000999999997</v>
      </c>
      <c r="D146" s="1">
        <f>Prices!D144</f>
        <v>52.990001999999997</v>
      </c>
      <c r="E146" s="1">
        <f>Prices!E144</f>
        <v>58.5</v>
      </c>
      <c r="F146" s="1">
        <f>Prices!F144</f>
        <v>388.20001200000002</v>
      </c>
      <c r="G146" s="1">
        <f t="shared" si="36"/>
        <v>106.79356536992914</v>
      </c>
      <c r="H146" s="1">
        <f t="shared" si="37"/>
        <v>93.843880969123987</v>
      </c>
      <c r="I146" s="1">
        <f t="shared" si="38"/>
        <v>90.798493989059551</v>
      </c>
      <c r="J146" s="1">
        <f t="shared" si="39"/>
        <v>93.870346598202943</v>
      </c>
      <c r="K146" s="1">
        <f t="shared" si="40"/>
        <v>89.861113888888895</v>
      </c>
      <c r="L146" s="23">
        <f t="shared" si="31"/>
        <v>-4.9382356267557714E-3</v>
      </c>
      <c r="M146" s="23">
        <f t="shared" si="32"/>
        <v>-1.3102463312368862E-3</v>
      </c>
      <c r="N146" s="23">
        <f t="shared" si="33"/>
        <v>3.2185157137447629E-3</v>
      </c>
      <c r="O146" s="23">
        <f t="shared" si="34"/>
        <v>3.4199726402195374E-4</v>
      </c>
      <c r="P146" s="23">
        <f t="shared" si="35"/>
        <v>2.57681006065269E-4</v>
      </c>
    </row>
    <row r="147" spans="1:16" x14ac:dyDescent="0.35">
      <c r="A147" s="2">
        <f>Prices!A145</f>
        <v>44098</v>
      </c>
      <c r="B147" s="1">
        <f>Prices!B145</f>
        <v>1741.6099850000001</v>
      </c>
      <c r="C147" s="1">
        <f>Prices!C145</f>
        <v>37.909999999999997</v>
      </c>
      <c r="D147" s="1">
        <f>Prices!D145</f>
        <v>51.419998</v>
      </c>
      <c r="E147" s="1">
        <f>Prices!E145</f>
        <v>57.889999000000003</v>
      </c>
      <c r="F147" s="1">
        <f>Prices!F145</f>
        <v>387.5</v>
      </c>
      <c r="G147" s="1">
        <f t="shared" si="36"/>
        <v>104.18010120270759</v>
      </c>
      <c r="H147" s="1">
        <f t="shared" si="37"/>
        <v>93.351388984206281</v>
      </c>
      <c r="I147" s="1">
        <f t="shared" si="38"/>
        <v>88.108288414868426</v>
      </c>
      <c r="J147" s="1">
        <f t="shared" si="39"/>
        <v>92.891525994865347</v>
      </c>
      <c r="K147" s="1">
        <f t="shared" si="40"/>
        <v>89.699074074074076</v>
      </c>
      <c r="L147" s="23">
        <f t="shared" si="31"/>
        <v>-2.4472112698631254E-2</v>
      </c>
      <c r="M147" s="23">
        <f t="shared" si="32"/>
        <v>-5.2479925151406315E-3</v>
      </c>
      <c r="N147" s="23">
        <f t="shared" si="33"/>
        <v>-2.9628306109518499E-2</v>
      </c>
      <c r="O147" s="23">
        <f t="shared" si="34"/>
        <v>-1.0427367521367414E-2</v>
      </c>
      <c r="P147" s="23">
        <f t="shared" si="35"/>
        <v>-1.8032250859384424E-3</v>
      </c>
    </row>
    <row r="148" spans="1:16" x14ac:dyDescent="0.35">
      <c r="A148" s="2">
        <f>Prices!A146</f>
        <v>44099</v>
      </c>
      <c r="B148" s="1">
        <f>Prices!B146</f>
        <v>1768.329956</v>
      </c>
      <c r="C148" s="1">
        <f>Prices!C146</f>
        <v>37.979999999999997</v>
      </c>
      <c r="D148" s="1">
        <f>Prices!D146</f>
        <v>51.900002000000001</v>
      </c>
      <c r="E148" s="1">
        <f>Prices!E146</f>
        <v>57.830002</v>
      </c>
      <c r="F148" s="1">
        <f>Prices!F146</f>
        <v>391.20001200000002</v>
      </c>
      <c r="G148" s="1">
        <f t="shared" si="36"/>
        <v>105.77844371732829</v>
      </c>
      <c r="H148" s="1">
        <f t="shared" si="37"/>
        <v>93.523760317070824</v>
      </c>
      <c r="I148" s="1">
        <f t="shared" si="38"/>
        <v>88.930776406258289</v>
      </c>
      <c r="J148" s="1">
        <f t="shared" si="39"/>
        <v>92.795253530167017</v>
      </c>
      <c r="K148" s="1">
        <f t="shared" si="40"/>
        <v>90.555558333333337</v>
      </c>
      <c r="L148" s="23">
        <f t="shared" si="31"/>
        <v>1.5342109444784757E-2</v>
      </c>
      <c r="M148" s="23">
        <f t="shared" si="32"/>
        <v>1.846478501714488E-3</v>
      </c>
      <c r="N148" s="23">
        <f t="shared" si="33"/>
        <v>9.3349673020213242E-3</v>
      </c>
      <c r="O148" s="23">
        <f t="shared" si="34"/>
        <v>-1.0363966321713658E-3</v>
      </c>
      <c r="P148" s="23">
        <f t="shared" si="35"/>
        <v>9.5484180645162287E-3</v>
      </c>
    </row>
    <row r="149" spans="1:16" x14ac:dyDescent="0.35">
      <c r="A149" s="2">
        <f>Prices!A147</f>
        <v>44100</v>
      </c>
      <c r="B149" s="1">
        <f>Prices!B147</f>
        <v>1739.839966</v>
      </c>
      <c r="C149" s="1">
        <f>Prices!C147</f>
        <v>38.099997999999999</v>
      </c>
      <c r="D149" s="1">
        <f>Prices!D147</f>
        <v>51.419998</v>
      </c>
      <c r="E149" s="1">
        <f>Prices!E147</f>
        <v>58.549999</v>
      </c>
      <c r="F149" s="1">
        <f>Prices!F147</f>
        <v>397.70001200000002</v>
      </c>
      <c r="G149" s="1">
        <f t="shared" si="36"/>
        <v>104.07422172329549</v>
      </c>
      <c r="H149" s="1">
        <f t="shared" si="37"/>
        <v>93.819249105657661</v>
      </c>
      <c r="I149" s="1">
        <f t="shared" si="38"/>
        <v>88.108288414868426</v>
      </c>
      <c r="J149" s="1">
        <f t="shared" si="39"/>
        <v>93.950576059050206</v>
      </c>
      <c r="K149" s="1">
        <f t="shared" si="40"/>
        <v>92.060187962962956</v>
      </c>
      <c r="L149" s="23">
        <f t="shared" si="31"/>
        <v>-1.611124094987626E-2</v>
      </c>
      <c r="M149" s="23">
        <f t="shared" si="32"/>
        <v>3.1595050026329563E-3</v>
      </c>
      <c r="N149" s="23">
        <f t="shared" si="33"/>
        <v>-9.2486316281837899E-3</v>
      </c>
      <c r="O149" s="23">
        <f t="shared" si="34"/>
        <v>1.2450233012269329E-2</v>
      </c>
      <c r="P149" s="23">
        <f t="shared" si="35"/>
        <v>1.6615541412611234E-2</v>
      </c>
    </row>
    <row r="150" spans="1:16" x14ac:dyDescent="0.35">
      <c r="A150" s="2">
        <f>Prices!A148</f>
        <v>44101</v>
      </c>
      <c r="B150" s="1">
        <f>Prices!B148</f>
        <v>1725.4499510000001</v>
      </c>
      <c r="C150" s="1">
        <f>Prices!C148</f>
        <v>38.139999000000003</v>
      </c>
      <c r="D150" s="1">
        <f>Prices!D148</f>
        <v>51.98</v>
      </c>
      <c r="E150" s="1">
        <f>Prices!E148</f>
        <v>59.110000999999997</v>
      </c>
      <c r="F150" s="1">
        <f>Prices!F148</f>
        <v>399.29998799999998</v>
      </c>
      <c r="G150" s="1">
        <f t="shared" si="36"/>
        <v>103.21343588035693</v>
      </c>
      <c r="H150" s="1">
        <f t="shared" si="37"/>
        <v>93.917749472599311</v>
      </c>
      <c r="I150" s="1">
        <f t="shared" si="38"/>
        <v>89.067853168816939</v>
      </c>
      <c r="J150" s="1">
        <f t="shared" si="39"/>
        <v>94.849167201540567</v>
      </c>
      <c r="K150" s="1">
        <f t="shared" si="40"/>
        <v>92.430552777777777</v>
      </c>
      <c r="L150" s="23">
        <f t="shared" si="31"/>
        <v>-8.2708842659152682E-3</v>
      </c>
      <c r="M150" s="23">
        <f t="shared" si="32"/>
        <v>1.0498950682360508E-3</v>
      </c>
      <c r="N150" s="23">
        <f t="shared" si="33"/>
        <v>1.089074332519413E-2</v>
      </c>
      <c r="O150" s="23">
        <f t="shared" si="34"/>
        <v>9.5645091300513574E-3</v>
      </c>
      <c r="P150" s="23">
        <f t="shared" si="35"/>
        <v>4.0230725464498462E-3</v>
      </c>
    </row>
    <row r="151" spans="1:16" x14ac:dyDescent="0.35">
      <c r="A151" s="2">
        <f>Prices!A149</f>
        <v>44104</v>
      </c>
      <c r="B151" s="1">
        <f>Prices!B149</f>
        <v>1735.910034</v>
      </c>
      <c r="C151" s="1">
        <f>Prices!C149</f>
        <v>38.270000000000003</v>
      </c>
      <c r="D151" s="1">
        <f>Prices!D149</f>
        <v>52.09</v>
      </c>
      <c r="E151" s="1">
        <f>Prices!E149</f>
        <v>58.849997999999999</v>
      </c>
      <c r="F151" s="1">
        <f>Prices!F149</f>
        <v>394</v>
      </c>
      <c r="G151" s="1">
        <f t="shared" si="36"/>
        <v>103.83913997881426</v>
      </c>
      <c r="H151" s="1">
        <f t="shared" si="37"/>
        <v>94.237870124652488</v>
      </c>
      <c r="I151" s="1">
        <f t="shared" si="38"/>
        <v>89.256338429466624</v>
      </c>
      <c r="J151" s="1">
        <f t="shared" si="39"/>
        <v>94.431960847240191</v>
      </c>
      <c r="K151" s="1">
        <f t="shared" si="40"/>
        <v>91.203703703703709</v>
      </c>
      <c r="L151" s="23">
        <f t="shared" si="31"/>
        <v>6.0622349514904972E-3</v>
      </c>
      <c r="M151" s="23">
        <f t="shared" si="32"/>
        <v>3.4085213269146042E-3</v>
      </c>
      <c r="N151" s="23">
        <f t="shared" si="33"/>
        <v>2.1161985378992387E-3</v>
      </c>
      <c r="O151" s="23">
        <f t="shared" si="34"/>
        <v>-4.3986295990757762E-3</v>
      </c>
      <c r="P151" s="23">
        <f t="shared" si="35"/>
        <v>-1.3273198495563188E-2</v>
      </c>
    </row>
    <row r="152" spans="1:16" x14ac:dyDescent="0.35">
      <c r="A152" s="2">
        <f>Prices!A150</f>
        <v>44105</v>
      </c>
      <c r="B152" s="1">
        <f>Prices!B150</f>
        <v>1735.650024</v>
      </c>
      <c r="C152" s="1">
        <f>Prices!C150</f>
        <v>37.860000999999997</v>
      </c>
      <c r="D152" s="1">
        <f>Prices!D150</f>
        <v>51.369999</v>
      </c>
      <c r="E152" s="1">
        <f>Prices!E150</f>
        <v>58.389999000000003</v>
      </c>
      <c r="F152" s="1">
        <f>Prices!F150</f>
        <v>384.89999399999999</v>
      </c>
      <c r="G152" s="1">
        <f t="shared" si="36"/>
        <v>103.82358662970223</v>
      </c>
      <c r="H152" s="1">
        <f t="shared" si="37"/>
        <v>93.228269066036404</v>
      </c>
      <c r="I152" s="1">
        <f t="shared" si="38"/>
        <v>88.022615009893684</v>
      </c>
      <c r="J152" s="1">
        <f t="shared" si="39"/>
        <v>93.693836649550846</v>
      </c>
      <c r="K152" s="1">
        <f t="shared" si="40"/>
        <v>89.097220833333338</v>
      </c>
      <c r="L152" s="23">
        <f t="shared" si="31"/>
        <v>-1.4978310794189209E-4</v>
      </c>
      <c r="M152" s="23">
        <f t="shared" si="32"/>
        <v>-1.0713326365299314E-2</v>
      </c>
      <c r="N152" s="23">
        <f t="shared" si="33"/>
        <v>-1.3822249952006205E-2</v>
      </c>
      <c r="O152" s="23">
        <f t="shared" si="34"/>
        <v>-7.8164658561244993E-3</v>
      </c>
      <c r="P152" s="23">
        <f t="shared" si="35"/>
        <v>-2.3096461928933998E-2</v>
      </c>
    </row>
    <row r="153" spans="1:16" x14ac:dyDescent="0.35">
      <c r="A153" s="2">
        <f>Prices!A151</f>
        <v>44106</v>
      </c>
      <c r="B153" s="1">
        <f>Prices!B151</f>
        <v>1713.2299800000001</v>
      </c>
      <c r="C153" s="1">
        <f>Prices!C151</f>
        <v>37.130001</v>
      </c>
      <c r="D153" s="1">
        <f>Prices!D151</f>
        <v>49.75</v>
      </c>
      <c r="E153" s="1">
        <f>Prices!E151</f>
        <v>56.610000999999997</v>
      </c>
      <c r="F153" s="1">
        <f>Prices!F151</f>
        <v>381.60000600000001</v>
      </c>
      <c r="G153" s="1">
        <f t="shared" si="36"/>
        <v>102.48245832140928</v>
      </c>
      <c r="H153" s="1">
        <f t="shared" si="37"/>
        <v>91.430682309020568</v>
      </c>
      <c r="I153" s="1">
        <f t="shared" si="38"/>
        <v>85.246742884737273</v>
      </c>
      <c r="J153" s="1">
        <f t="shared" si="39"/>
        <v>90.837613928113086</v>
      </c>
      <c r="K153" s="1">
        <f t="shared" si="40"/>
        <v>88.333334722222233</v>
      </c>
      <c r="L153" s="23">
        <f t="shared" si="31"/>
        <v>-1.2917376020501248E-2</v>
      </c>
      <c r="M153" s="23">
        <f t="shared" si="32"/>
        <v>-1.9281563146287262E-2</v>
      </c>
      <c r="N153" s="23">
        <f t="shared" si="33"/>
        <v>-3.1535897051506612E-2</v>
      </c>
      <c r="O153" s="23">
        <f t="shared" si="34"/>
        <v>-3.0484638302528566E-2</v>
      </c>
      <c r="P153" s="23">
        <f t="shared" si="35"/>
        <v>-8.573624451654327E-3</v>
      </c>
    </row>
    <row r="154" spans="1:16" x14ac:dyDescent="0.35">
      <c r="A154" s="2">
        <f>Prices!A152</f>
        <v>44107</v>
      </c>
      <c r="B154" s="1">
        <f>Prices!B152</f>
        <v>1724.420044</v>
      </c>
      <c r="C154" s="1">
        <f>Prices!C152</f>
        <v>37.349997999999999</v>
      </c>
      <c r="D154" s="1">
        <f>Prices!D152</f>
        <v>49.790000999999997</v>
      </c>
      <c r="E154" s="1">
        <f>Prices!E152</f>
        <v>56.990001999999997</v>
      </c>
      <c r="F154" s="1">
        <f>Prices!F152</f>
        <v>380</v>
      </c>
      <c r="G154" s="1">
        <f t="shared" si="36"/>
        <v>103.15182862246709</v>
      </c>
      <c r="H154" s="1">
        <f t="shared" si="37"/>
        <v>91.972413396394828</v>
      </c>
      <c r="I154" s="1">
        <f t="shared" si="38"/>
        <v>85.31528469302134</v>
      </c>
      <c r="J154" s="1">
        <f t="shared" si="39"/>
        <v>91.447371630295365</v>
      </c>
      <c r="K154" s="1">
        <f t="shared" si="40"/>
        <v>87.962962962962962</v>
      </c>
      <c r="L154" s="23">
        <f t="shared" si="31"/>
        <v>6.5315597617547905E-3</v>
      </c>
      <c r="M154" s="23">
        <f t="shared" si="32"/>
        <v>5.9250469721237042E-3</v>
      </c>
      <c r="N154" s="23">
        <f t="shared" si="33"/>
        <v>8.0404020100499629E-4</v>
      </c>
      <c r="O154" s="23">
        <f t="shared" si="34"/>
        <v>6.7126124940362075E-3</v>
      </c>
      <c r="P154" s="23">
        <f t="shared" si="35"/>
        <v>-4.1928877747450244E-3</v>
      </c>
    </row>
    <row r="155" spans="1:16" x14ac:dyDescent="0.35">
      <c r="A155" s="2">
        <f>Prices!A153</f>
        <v>44108</v>
      </c>
      <c r="B155" s="1">
        <f>Prices!B153</f>
        <v>1739.650024</v>
      </c>
      <c r="C155" s="1">
        <f>Prices!C153</f>
        <v>37.209999000000003</v>
      </c>
      <c r="D155" s="1">
        <f>Prices!D153</f>
        <v>50.139999000000003</v>
      </c>
      <c r="E155" s="1">
        <f>Prices!E153</f>
        <v>57.299999</v>
      </c>
      <c r="F155" s="1">
        <f>Prices!F153</f>
        <v>377.89999399999999</v>
      </c>
      <c r="G155" s="1">
        <f t="shared" si="36"/>
        <v>104.06285972092236</v>
      </c>
      <c r="H155" s="1">
        <f t="shared" si="37"/>
        <v>91.627673193113381</v>
      </c>
      <c r="I155" s="1">
        <f t="shared" si="38"/>
        <v>85.915007095356472</v>
      </c>
      <c r="J155" s="1">
        <f t="shared" si="39"/>
        <v>91.944799422336445</v>
      </c>
      <c r="K155" s="1">
        <f t="shared" si="40"/>
        <v>87.476850462962958</v>
      </c>
      <c r="L155" s="23">
        <f t="shared" si="31"/>
        <v>8.831943268690079E-3</v>
      </c>
      <c r="M155" s="23">
        <f t="shared" si="32"/>
        <v>-3.7483000668432354E-3</v>
      </c>
      <c r="N155" s="23">
        <f t="shared" si="33"/>
        <v>7.0294836909123859E-3</v>
      </c>
      <c r="O155" s="23">
        <f t="shared" si="34"/>
        <v>5.4394979666785304E-3</v>
      </c>
      <c r="P155" s="23">
        <f t="shared" si="35"/>
        <v>-5.526331578947441E-3</v>
      </c>
    </row>
    <row r="156" spans="1:16" x14ac:dyDescent="0.35">
      <c r="A156" s="2">
        <f>Prices!A154</f>
        <v>44111</v>
      </c>
      <c r="B156" s="1">
        <f>Prices!B154</f>
        <v>1732.660034</v>
      </c>
      <c r="C156" s="1">
        <f>Prices!C154</f>
        <v>37.159999999999997</v>
      </c>
      <c r="D156" s="1">
        <f>Prices!D154</f>
        <v>49.689999</v>
      </c>
      <c r="E156" s="1">
        <f>Prices!E154</f>
        <v>57.18</v>
      </c>
      <c r="F156" s="1">
        <f>Prices!F154</f>
        <v>375</v>
      </c>
      <c r="G156" s="1">
        <f t="shared" si="36"/>
        <v>103.64473059219787</v>
      </c>
      <c r="H156" s="1">
        <f t="shared" si="37"/>
        <v>91.504553274943461</v>
      </c>
      <c r="I156" s="1">
        <f t="shared" si="38"/>
        <v>85.143931029062358</v>
      </c>
      <c r="J156" s="1">
        <f t="shared" si="39"/>
        <v>91.752246469833239</v>
      </c>
      <c r="K156" s="1">
        <f t="shared" si="40"/>
        <v>86.805555555555543</v>
      </c>
      <c r="L156" s="23">
        <f t="shared" si="31"/>
        <v>-4.0180438039645328E-3</v>
      </c>
      <c r="M156" s="23">
        <f t="shared" si="32"/>
        <v>-1.343697966775137E-3</v>
      </c>
      <c r="N156" s="23">
        <f t="shared" si="33"/>
        <v>-8.9748705419798736E-3</v>
      </c>
      <c r="O156" s="23">
        <f t="shared" si="34"/>
        <v>-2.0942234222377509E-3</v>
      </c>
      <c r="P156" s="23">
        <f t="shared" si="35"/>
        <v>-7.6739720720926385E-3</v>
      </c>
    </row>
    <row r="157" spans="1:16" x14ac:dyDescent="0.35">
      <c r="A157" s="2">
        <f>Prices!A155</f>
        <v>44112</v>
      </c>
      <c r="B157" s="1">
        <f>Prices!B155</f>
        <v>1705.51001</v>
      </c>
      <c r="C157" s="1">
        <f>Prices!C155</f>
        <v>36.68</v>
      </c>
      <c r="D157" s="1">
        <f>Prices!D155</f>
        <v>49.240001999999997</v>
      </c>
      <c r="E157" s="1">
        <f>Prices!E155</f>
        <v>56.439999</v>
      </c>
      <c r="F157" s="1">
        <f>Prices!F155</f>
        <v>375</v>
      </c>
      <c r="G157" s="1">
        <f t="shared" si="36"/>
        <v>102.02066304990254</v>
      </c>
      <c r="H157" s="1">
        <f t="shared" si="37"/>
        <v>90.322578421015251</v>
      </c>
      <c r="I157" s="1">
        <f t="shared" si="38"/>
        <v>84.372860103275357</v>
      </c>
      <c r="J157" s="1">
        <f t="shared" si="39"/>
        <v>90.564825096277403</v>
      </c>
      <c r="K157" s="1">
        <f t="shared" si="40"/>
        <v>86.805555555555543</v>
      </c>
      <c r="L157" s="23">
        <f t="shared" si="31"/>
        <v>-1.566956209945114E-2</v>
      </c>
      <c r="M157" s="23">
        <f t="shared" si="32"/>
        <v>-1.2917115177610294E-2</v>
      </c>
      <c r="N157" s="23">
        <f t="shared" si="33"/>
        <v>-9.0560879262646665E-3</v>
      </c>
      <c r="O157" s="23">
        <f t="shared" si="34"/>
        <v>-1.2941605456453287E-2</v>
      </c>
      <c r="P157" s="23">
        <f t="shared" si="35"/>
        <v>0</v>
      </c>
    </row>
    <row r="158" spans="1:16" x14ac:dyDescent="0.35">
      <c r="A158" s="2">
        <f>Prices!A156</f>
        <v>44113</v>
      </c>
      <c r="B158" s="1">
        <f>Prices!B156</f>
        <v>1721.98999</v>
      </c>
      <c r="C158" s="1">
        <f>Prices!C156</f>
        <v>36.93</v>
      </c>
      <c r="D158" s="1">
        <f>Prices!D156</f>
        <v>49.549999</v>
      </c>
      <c r="E158" s="1">
        <f>Prices!E156</f>
        <v>56.549999</v>
      </c>
      <c r="F158" s="1">
        <f>Prices!F156</f>
        <v>381.20001200000002</v>
      </c>
      <c r="G158" s="1">
        <f t="shared" si="36"/>
        <v>103.0064669893641</v>
      </c>
      <c r="H158" s="1">
        <f t="shared" si="37"/>
        <v>90.938190324102877</v>
      </c>
      <c r="I158" s="1">
        <f t="shared" si="38"/>
        <v>84.904040697326423</v>
      </c>
      <c r="J158" s="1">
        <f t="shared" si="39"/>
        <v>90.74133344030821</v>
      </c>
      <c r="K158" s="1">
        <f t="shared" si="40"/>
        <v>88.240743518518514</v>
      </c>
      <c r="L158" s="23">
        <f t="shared" si="31"/>
        <v>9.6627870275589611E-3</v>
      </c>
      <c r="M158" s="23">
        <f t="shared" si="32"/>
        <v>6.8157033805889E-3</v>
      </c>
      <c r="N158" s="23">
        <f t="shared" si="33"/>
        <v>6.2956333754820015E-3</v>
      </c>
      <c r="O158" s="23">
        <f t="shared" si="34"/>
        <v>1.9489723945600446E-3</v>
      </c>
      <c r="P158" s="23">
        <f t="shared" si="35"/>
        <v>1.6533365333333272E-2</v>
      </c>
    </row>
    <row r="159" spans="1:16" x14ac:dyDescent="0.35">
      <c r="A159" s="2">
        <f>Prices!A157</f>
        <v>44114</v>
      </c>
      <c r="B159" s="1">
        <f>Prices!B157</f>
        <v>1720.26001</v>
      </c>
      <c r="C159" s="1">
        <f>Prices!C157</f>
        <v>36.900002000000001</v>
      </c>
      <c r="D159" s="1">
        <f>Prices!D157</f>
        <v>50.900002000000001</v>
      </c>
      <c r="E159" s="1">
        <f>Prices!E157</f>
        <v>57.259998000000003</v>
      </c>
      <c r="F159" s="1">
        <f>Prices!F157</f>
        <v>405.20001200000002</v>
      </c>
      <c r="G159" s="1">
        <f t="shared" si="36"/>
        <v>102.90298257377684</v>
      </c>
      <c r="H159" s="1">
        <f t="shared" si="37"/>
        <v>90.864321820627595</v>
      </c>
      <c r="I159" s="1">
        <f t="shared" si="38"/>
        <v>87.21727403671585</v>
      </c>
      <c r="J159" s="1">
        <f t="shared" si="39"/>
        <v>91.880612965340305</v>
      </c>
      <c r="K159" s="1">
        <f t="shared" si="40"/>
        <v>93.796299074074071</v>
      </c>
      <c r="L159" s="23">
        <f t="shared" si="31"/>
        <v>-1.0046399863219424E-3</v>
      </c>
      <c r="M159" s="23">
        <f t="shared" si="32"/>
        <v>-8.1229352829670365E-4</v>
      </c>
      <c r="N159" s="23">
        <f t="shared" si="33"/>
        <v>2.7245267956514052E-2</v>
      </c>
      <c r="O159" s="23">
        <f t="shared" si="34"/>
        <v>1.2555243369677171E-2</v>
      </c>
      <c r="P159" s="23">
        <f t="shared" si="35"/>
        <v>6.2959074618287314E-2</v>
      </c>
    </row>
    <row r="160" spans="1:16" x14ac:dyDescent="0.35">
      <c r="A160" s="2">
        <f>Prices!A158</f>
        <v>44115</v>
      </c>
      <c r="B160" s="1">
        <f>Prices!B158</f>
        <v>1731.920044</v>
      </c>
      <c r="C160" s="1">
        <f>Prices!C158</f>
        <v>38.200001</v>
      </c>
      <c r="D160" s="1">
        <f>Prices!D158</f>
        <v>52.849997999999999</v>
      </c>
      <c r="E160" s="1">
        <f>Prices!E158</f>
        <v>57.849997999999999</v>
      </c>
      <c r="F160" s="1">
        <f>Prices!F158</f>
        <v>396.79998799999998</v>
      </c>
      <c r="G160" s="1">
        <f t="shared" si="36"/>
        <v>103.60046566850485</v>
      </c>
      <c r="H160" s="1">
        <f t="shared" si="37"/>
        <v>94.065501254235599</v>
      </c>
      <c r="I160" s="1">
        <f t="shared" si="38"/>
        <v>90.55859680331416</v>
      </c>
      <c r="J160" s="1">
        <f t="shared" si="39"/>
        <v>92.827339537869193</v>
      </c>
      <c r="K160" s="1">
        <f t="shared" si="40"/>
        <v>91.851849074074067</v>
      </c>
      <c r="L160" s="23">
        <f t="shared" si="31"/>
        <v>6.7780649042699093E-3</v>
      </c>
      <c r="M160" s="23">
        <f t="shared" si="32"/>
        <v>3.5230323293749422E-2</v>
      </c>
      <c r="N160" s="23">
        <f t="shared" si="33"/>
        <v>3.8310332482894616E-2</v>
      </c>
      <c r="O160" s="23">
        <f t="shared" si="34"/>
        <v>1.0303877411941276E-2</v>
      </c>
      <c r="P160" s="23">
        <f t="shared" si="35"/>
        <v>-2.0730562071158198E-2</v>
      </c>
    </row>
    <row r="161" spans="1:16" x14ac:dyDescent="0.35">
      <c r="A161" s="2">
        <f>Prices!A159</f>
        <v>44118</v>
      </c>
      <c r="B161" s="1">
        <f>Prices!B159</f>
        <v>1736.4300539999999</v>
      </c>
      <c r="C161" s="1">
        <f>Prices!C159</f>
        <v>38.240001999999997</v>
      </c>
      <c r="D161" s="1">
        <f>Prices!D159</f>
        <v>51.84</v>
      </c>
      <c r="E161" s="1">
        <f>Prices!E159</f>
        <v>57.82</v>
      </c>
      <c r="F161" s="1">
        <f>Prices!F159</f>
        <v>406.39999399999999</v>
      </c>
      <c r="G161" s="1">
        <f t="shared" si="36"/>
        <v>103.8702466770383</v>
      </c>
      <c r="H161" s="1">
        <f t="shared" si="37"/>
        <v>94.164001621177221</v>
      </c>
      <c r="I161" s="1">
        <f t="shared" si="38"/>
        <v>88.827962837081031</v>
      </c>
      <c r="J161" s="1">
        <f t="shared" si="39"/>
        <v>92.77920410783068</v>
      </c>
      <c r="K161" s="1">
        <f t="shared" si="40"/>
        <v>94.074072685185172</v>
      </c>
      <c r="L161" s="23">
        <f t="shared" si="31"/>
        <v>2.6040520840580061E-3</v>
      </c>
      <c r="M161" s="23">
        <f t="shared" si="32"/>
        <v>1.0471465694463777E-3</v>
      </c>
      <c r="N161" s="23">
        <f t="shared" si="33"/>
        <v>-1.9110653514121112E-2</v>
      </c>
      <c r="O161" s="23">
        <f t="shared" si="34"/>
        <v>-5.1854798681238989E-4</v>
      </c>
      <c r="P161" s="23">
        <f t="shared" si="35"/>
        <v>2.4193564239724852E-2</v>
      </c>
    </row>
    <row r="162" spans="1:16" x14ac:dyDescent="0.35">
      <c r="A162" s="2">
        <f>Prices!A160</f>
        <v>44119</v>
      </c>
      <c r="B162" s="1">
        <f>Prices!B160</f>
        <v>1767.380005</v>
      </c>
      <c r="C162" s="1">
        <f>Prices!C160</f>
        <v>38.599997999999999</v>
      </c>
      <c r="D162" s="1">
        <f>Prices!D160</f>
        <v>51.400002000000001</v>
      </c>
      <c r="E162" s="1">
        <f>Prices!E160</f>
        <v>57.540000999999997</v>
      </c>
      <c r="F162" s="1">
        <f>Prices!F160</f>
        <v>408.5</v>
      </c>
      <c r="G162" s="1">
        <f t="shared" si="36"/>
        <v>105.72161928925885</v>
      </c>
      <c r="H162" s="1">
        <f t="shared" si="37"/>
        <v>95.050472911832955</v>
      </c>
      <c r="I162" s="1">
        <f t="shared" si="38"/>
        <v>88.074025221487076</v>
      </c>
      <c r="J162" s="1">
        <f t="shared" si="39"/>
        <v>92.329911745828113</v>
      </c>
      <c r="K162" s="1">
        <f t="shared" si="40"/>
        <v>94.560185185185162</v>
      </c>
      <c r="L162" s="23">
        <f t="shared" si="31"/>
        <v>1.7823897328144378E-2</v>
      </c>
      <c r="M162" s="23">
        <f t="shared" si="32"/>
        <v>9.4141208465419179E-3</v>
      </c>
      <c r="N162" s="23">
        <f t="shared" si="33"/>
        <v>-8.4876157407407504E-3</v>
      </c>
      <c r="O162" s="23">
        <f t="shared" si="34"/>
        <v>-4.8425977170529766E-3</v>
      </c>
      <c r="P162" s="23">
        <f t="shared" si="35"/>
        <v>5.1673376747145561E-3</v>
      </c>
    </row>
    <row r="163" spans="1:16" x14ac:dyDescent="0.35">
      <c r="A163" s="2">
        <f>Prices!A161</f>
        <v>44120</v>
      </c>
      <c r="B163" s="1">
        <f>Prices!B161</f>
        <v>1777.4300539999999</v>
      </c>
      <c r="C163" s="1">
        <f>Prices!C161</f>
        <v>38.659999999999997</v>
      </c>
      <c r="D163" s="1">
        <f>Prices!D161</f>
        <v>50.52</v>
      </c>
      <c r="E163" s="1">
        <f>Prices!E161</f>
        <v>57.389999000000003</v>
      </c>
      <c r="F163" s="1">
        <f>Prices!F161</f>
        <v>408</v>
      </c>
      <c r="G163" s="1">
        <f t="shared" si="36"/>
        <v>106.32279586204484</v>
      </c>
      <c r="H163" s="1">
        <f t="shared" si="37"/>
        <v>95.1982246934692</v>
      </c>
      <c r="I163" s="1">
        <f t="shared" si="38"/>
        <v>86.566139709284982</v>
      </c>
      <c r="J163" s="1">
        <f t="shared" si="39"/>
        <v>92.089215340179862</v>
      </c>
      <c r="K163" s="1">
        <f t="shared" si="40"/>
        <v>94.444444444444429</v>
      </c>
      <c r="L163" s="23">
        <f t="shared" si="31"/>
        <v>5.686410942506992E-3</v>
      </c>
      <c r="M163" s="23">
        <f t="shared" si="32"/>
        <v>1.5544560390909901E-3</v>
      </c>
      <c r="N163" s="23">
        <f t="shared" si="33"/>
        <v>-1.7120660812425581E-2</v>
      </c>
      <c r="O163" s="23">
        <f t="shared" si="34"/>
        <v>-2.6069168820486155E-3</v>
      </c>
      <c r="P163" s="23">
        <f t="shared" si="35"/>
        <v>-1.223990208078285E-3</v>
      </c>
    </row>
    <row r="164" spans="1:16" x14ac:dyDescent="0.35">
      <c r="A164" s="2">
        <f>Prices!A162</f>
        <v>44121</v>
      </c>
      <c r="B164" s="1">
        <f>Prices!B162</f>
        <v>1787.4799800000001</v>
      </c>
      <c r="C164" s="1">
        <f>Prices!C162</f>
        <v>38.869999</v>
      </c>
      <c r="D164" s="1">
        <f>Prices!D162</f>
        <v>50.77</v>
      </c>
      <c r="E164" s="1">
        <f>Prices!E162</f>
        <v>58.16</v>
      </c>
      <c r="F164" s="1">
        <f>Prices!F162</f>
        <v>412.20001200000002</v>
      </c>
      <c r="G164" s="1">
        <f t="shared" si="36"/>
        <v>106.9239650771833</v>
      </c>
      <c r="H164" s="1">
        <f t="shared" si="37"/>
        <v>95.715336229615204</v>
      </c>
      <c r="I164" s="1">
        <f t="shared" si="38"/>
        <v>86.994515301670603</v>
      </c>
      <c r="J164" s="1">
        <f t="shared" si="39"/>
        <v>93.324775353016818</v>
      </c>
      <c r="K164" s="1">
        <f t="shared" si="40"/>
        <v>95.416669444444437</v>
      </c>
      <c r="L164" s="23">
        <f t="shared" si="31"/>
        <v>5.6541893040367164E-3</v>
      </c>
      <c r="M164" s="23">
        <f t="shared" si="32"/>
        <v>5.4319451629591953E-3</v>
      </c>
      <c r="N164" s="23">
        <f t="shared" si="33"/>
        <v>4.948535233570972E-3</v>
      </c>
      <c r="O164" s="23">
        <f t="shared" si="34"/>
        <v>1.3416989256263889E-2</v>
      </c>
      <c r="P164" s="23">
        <f t="shared" si="35"/>
        <v>1.0294147058823588E-2</v>
      </c>
    </row>
    <row r="165" spans="1:16" x14ac:dyDescent="0.35">
      <c r="A165" s="2">
        <f>Prices!A163</f>
        <v>44122</v>
      </c>
      <c r="B165" s="1">
        <f>Prices!B163</f>
        <v>1757.51001</v>
      </c>
      <c r="C165" s="1">
        <f>Prices!C163</f>
        <v>38.729999999999997</v>
      </c>
      <c r="D165" s="1">
        <f>Prices!D163</f>
        <v>50.950001</v>
      </c>
      <c r="E165" s="1">
        <f>Prices!E163</f>
        <v>57.720001000000003</v>
      </c>
      <c r="F165" s="1">
        <f>Prices!F163</f>
        <v>417.20001200000002</v>
      </c>
      <c r="G165" s="1">
        <f t="shared" si="36"/>
        <v>105.13121323576449</v>
      </c>
      <c r="H165" s="1">
        <f t="shared" si="37"/>
        <v>95.370596026333743</v>
      </c>
      <c r="I165" s="1">
        <f t="shared" si="38"/>
        <v>87.302947441690606</v>
      </c>
      <c r="J165" s="1">
        <f t="shared" si="39"/>
        <v>92.618743581514906</v>
      </c>
      <c r="K165" s="1">
        <f t="shared" si="40"/>
        <v>96.574076851851842</v>
      </c>
      <c r="L165" s="23">
        <f t="shared" si="31"/>
        <v>-1.6766604569187993E-2</v>
      </c>
      <c r="M165" s="23">
        <f t="shared" si="32"/>
        <v>-3.6017237870267227E-3</v>
      </c>
      <c r="N165" s="23">
        <f t="shared" si="33"/>
        <v>3.5454205239313641E-3</v>
      </c>
      <c r="O165" s="23">
        <f t="shared" si="34"/>
        <v>-7.5653198074276951E-3</v>
      </c>
      <c r="P165" s="23">
        <f t="shared" si="35"/>
        <v>1.2130033610964652E-2</v>
      </c>
    </row>
    <row r="166" spans="1:16" x14ac:dyDescent="0.35">
      <c r="A166" s="2">
        <f>Prices!A164</f>
        <v>44125</v>
      </c>
      <c r="B166" s="1">
        <f>Prices!B164</f>
        <v>1785.660034</v>
      </c>
      <c r="C166" s="1">
        <f>Prices!C164</f>
        <v>39.150002000000001</v>
      </c>
      <c r="D166" s="1">
        <f>Prices!D164</f>
        <v>51.880001</v>
      </c>
      <c r="E166" s="1">
        <f>Prices!E164</f>
        <v>58.279998999999997</v>
      </c>
      <c r="F166" s="1">
        <f>Prices!F164</f>
        <v>418.60000600000001</v>
      </c>
      <c r="G166" s="1">
        <f t="shared" si="36"/>
        <v>106.81509905086484</v>
      </c>
      <c r="H166" s="1">
        <f t="shared" si="37"/>
        <v>96.404828948416167</v>
      </c>
      <c r="I166" s="1">
        <f t="shared" si="38"/>
        <v>88.896504645365084</v>
      </c>
      <c r="J166" s="1">
        <f t="shared" si="39"/>
        <v>93.517328305520039</v>
      </c>
      <c r="K166" s="1">
        <f t="shared" si="40"/>
        <v>96.898149537037028</v>
      </c>
      <c r="L166" s="23">
        <f t="shared" si="31"/>
        <v>1.6016992130815755E-2</v>
      </c>
      <c r="M166" s="23">
        <f t="shared" si="32"/>
        <v>1.0844358378518049E-2</v>
      </c>
      <c r="N166" s="23">
        <f t="shared" si="33"/>
        <v>1.8253189043117013E-2</v>
      </c>
      <c r="O166" s="23">
        <f t="shared" si="34"/>
        <v>9.7019748838880204E-3</v>
      </c>
      <c r="P166" s="23">
        <f t="shared" si="35"/>
        <v>3.3556902198745853E-3</v>
      </c>
    </row>
    <row r="167" spans="1:16" x14ac:dyDescent="0.35">
      <c r="A167" s="2">
        <f>Prices!A165</f>
        <v>44126</v>
      </c>
      <c r="B167" s="1">
        <f>Prices!B165</f>
        <v>1765.7299800000001</v>
      </c>
      <c r="C167" s="1">
        <f>Prices!C165</f>
        <v>39.209999000000003</v>
      </c>
      <c r="D167" s="1">
        <f>Prices!D165</f>
        <v>52.200001</v>
      </c>
      <c r="E167" s="1">
        <f>Prices!E165</f>
        <v>58.939999</v>
      </c>
      <c r="F167" s="1">
        <f>Prices!F165</f>
        <v>421.5</v>
      </c>
      <c r="G167" s="1">
        <f t="shared" si="36"/>
        <v>105.62291764367372</v>
      </c>
      <c r="H167" s="1">
        <f t="shared" si="37"/>
        <v>96.552568417814356</v>
      </c>
      <c r="I167" s="1">
        <f t="shared" si="38"/>
        <v>89.44482540361868</v>
      </c>
      <c r="J167" s="1">
        <f t="shared" si="39"/>
        <v>94.576378369704912</v>
      </c>
      <c r="K167" s="1">
        <f t="shared" si="40"/>
        <v>97.569444444444429</v>
      </c>
      <c r="L167" s="23">
        <f t="shared" si="31"/>
        <v>-1.1161169327038811E-2</v>
      </c>
      <c r="M167" s="23">
        <f t="shared" si="32"/>
        <v>1.532490343167936E-3</v>
      </c>
      <c r="N167" s="23">
        <f t="shared" si="33"/>
        <v>6.1680800661512158E-3</v>
      </c>
      <c r="O167" s="23">
        <f t="shared" si="34"/>
        <v>1.1324639864870312E-2</v>
      </c>
      <c r="P167" s="23">
        <f t="shared" si="35"/>
        <v>6.9278403211490147E-3</v>
      </c>
    </row>
    <row r="168" spans="1:16" x14ac:dyDescent="0.35">
      <c r="A168" s="2">
        <f>Prices!A166</f>
        <v>44127</v>
      </c>
      <c r="B168" s="1">
        <f>Prices!B166</f>
        <v>1762.170044</v>
      </c>
      <c r="C168" s="1">
        <f>Prices!C166</f>
        <v>39.360000999999997</v>
      </c>
      <c r="D168" s="1">
        <f>Prices!D166</f>
        <v>52.130001</v>
      </c>
      <c r="E168" s="1">
        <f>Prices!E166</f>
        <v>59.610000999999997</v>
      </c>
      <c r="F168" s="1">
        <f>Prices!F166</f>
        <v>424.29998799999998</v>
      </c>
      <c r="G168" s="1">
        <f t="shared" si="36"/>
        <v>105.40996842085723</v>
      </c>
      <c r="H168" s="1">
        <f t="shared" si="37"/>
        <v>96.921940484562143</v>
      </c>
      <c r="I168" s="1">
        <f t="shared" si="38"/>
        <v>89.324880237750705</v>
      </c>
      <c r="J168" s="1">
        <f t="shared" si="39"/>
        <v>95.651477856226094</v>
      </c>
      <c r="K168" s="1">
        <f t="shared" si="40"/>
        <v>98.217589814814787</v>
      </c>
      <c r="L168" s="23">
        <f t="shared" si="31"/>
        <v>-2.0161270637768514E-3</v>
      </c>
      <c r="M168" s="23">
        <f t="shared" si="32"/>
        <v>3.8256058103953716E-3</v>
      </c>
      <c r="N168" s="23">
        <f t="shared" si="33"/>
        <v>-1.3409961428928474E-3</v>
      </c>
      <c r="O168" s="23">
        <f t="shared" si="34"/>
        <v>1.1367526490796198E-2</v>
      </c>
      <c r="P168" s="23">
        <f t="shared" si="35"/>
        <v>6.6429134045076221E-3</v>
      </c>
    </row>
    <row r="169" spans="1:16" x14ac:dyDescent="0.35">
      <c r="A169" s="2">
        <f>Prices!A167</f>
        <v>44128</v>
      </c>
      <c r="B169" s="1">
        <f>Prices!B167</f>
        <v>1780.780029</v>
      </c>
      <c r="C169" s="1">
        <f>Prices!C167</f>
        <v>39.459999000000003</v>
      </c>
      <c r="D169" s="1">
        <f>Prices!D167</f>
        <v>52.02</v>
      </c>
      <c r="E169" s="1">
        <f>Prices!E167</f>
        <v>59.57</v>
      </c>
      <c r="F169" s="1">
        <f>Prices!F167</f>
        <v>420.89999399999999</v>
      </c>
      <c r="G169" s="1">
        <f t="shared" si="36"/>
        <v>106.52318558048488</v>
      </c>
      <c r="H169" s="1">
        <f t="shared" si="37"/>
        <v>97.168180320901982</v>
      </c>
      <c r="I169" s="1">
        <f t="shared" si="38"/>
        <v>89.136393263598663</v>
      </c>
      <c r="J169" s="1">
        <f t="shared" si="39"/>
        <v>95.58729139922994</v>
      </c>
      <c r="K169" s="1">
        <f t="shared" si="40"/>
        <v>97.430554166666639</v>
      </c>
      <c r="L169" s="23">
        <f t="shared" si="31"/>
        <v>1.0560833821551485E-2</v>
      </c>
      <c r="M169" s="23">
        <f t="shared" si="32"/>
        <v>2.5405995289482508E-3</v>
      </c>
      <c r="N169" s="23">
        <f t="shared" si="33"/>
        <v>-2.1101284843635382E-3</v>
      </c>
      <c r="O169" s="23">
        <f t="shared" si="34"/>
        <v>-6.7104511539928247E-4</v>
      </c>
      <c r="P169" s="23">
        <f t="shared" si="35"/>
        <v>-8.0131842945043719E-3</v>
      </c>
    </row>
    <row r="170" spans="1:16" x14ac:dyDescent="0.35">
      <c r="A170" s="2">
        <f>Prices!A168</f>
        <v>44129</v>
      </c>
      <c r="B170" s="1">
        <f>Prices!B168</f>
        <v>1761.329956</v>
      </c>
      <c r="C170" s="1">
        <f>Prices!C168</f>
        <v>39.520000000000003</v>
      </c>
      <c r="D170" s="1">
        <f>Prices!D168</f>
        <v>52.560001</v>
      </c>
      <c r="E170" s="1">
        <f>Prices!E168</f>
        <v>59.73</v>
      </c>
      <c r="F170" s="1">
        <f>Prices!F168</f>
        <v>424.20001200000002</v>
      </c>
      <c r="G170" s="1">
        <f t="shared" si="36"/>
        <v>105.35971580769299</v>
      </c>
      <c r="H170" s="1">
        <f t="shared" si="37"/>
        <v>97.31592964009063</v>
      </c>
      <c r="I170" s="1">
        <f t="shared" si="38"/>
        <v>90.061686256653942</v>
      </c>
      <c r="J170" s="1">
        <f t="shared" si="39"/>
        <v>95.844030808729286</v>
      </c>
      <c r="K170" s="1">
        <f t="shared" si="40"/>
        <v>98.194447222222209</v>
      </c>
      <c r="L170" s="23">
        <f t="shared" si="31"/>
        <v>-1.0922220983645148E-2</v>
      </c>
      <c r="M170" s="23">
        <f t="shared" si="32"/>
        <v>1.5205524967194517E-3</v>
      </c>
      <c r="N170" s="23">
        <f t="shared" si="33"/>
        <v>1.0380642060745737E-2</v>
      </c>
      <c r="O170" s="23">
        <f t="shared" si="34"/>
        <v>2.6859157293939173E-3</v>
      </c>
      <c r="P170" s="23">
        <f t="shared" si="35"/>
        <v>7.8403850012884746E-3</v>
      </c>
    </row>
    <row r="171" spans="1:16" x14ac:dyDescent="0.35">
      <c r="A171" s="2">
        <f>Prices!A169</f>
        <v>44132</v>
      </c>
      <c r="B171" s="1">
        <f>Prices!B169</f>
        <v>1777.079956</v>
      </c>
      <c r="C171" s="1">
        <f>Prices!C169</f>
        <v>38.090000000000003</v>
      </c>
      <c r="D171" s="1">
        <f>Prices!D169</f>
        <v>53.34</v>
      </c>
      <c r="E171" s="1">
        <f>Prices!E169</f>
        <v>59.919998</v>
      </c>
      <c r="F171" s="1">
        <f>Prices!F169</f>
        <v>423.60000600000001</v>
      </c>
      <c r="G171" s="1">
        <f t="shared" si="36"/>
        <v>106.30185360437234</v>
      </c>
      <c r="H171" s="1">
        <f t="shared" si="37"/>
        <v>93.794629554429449</v>
      </c>
      <c r="I171" s="1">
        <f t="shared" si="38"/>
        <v>91.398216391394698</v>
      </c>
      <c r="J171" s="1">
        <f t="shared" si="39"/>
        <v>96.14890564826716</v>
      </c>
      <c r="K171" s="1">
        <f t="shared" si="40"/>
        <v>98.055556944444419</v>
      </c>
      <c r="L171" s="23">
        <f t="shared" si="31"/>
        <v>8.9421064726387112E-3</v>
      </c>
      <c r="M171" s="23">
        <f t="shared" si="32"/>
        <v>-3.6184210526315819E-2</v>
      </c>
      <c r="N171" s="23">
        <f t="shared" si="33"/>
        <v>1.4840163340179569E-2</v>
      </c>
      <c r="O171" s="23">
        <f t="shared" si="34"/>
        <v>3.1809475975221879E-3</v>
      </c>
      <c r="P171" s="23">
        <f t="shared" si="35"/>
        <v>-1.4144412612605572E-3</v>
      </c>
    </row>
    <row r="172" spans="1:16" x14ac:dyDescent="0.35">
      <c r="A172" s="2">
        <f>Prices!A170</f>
        <v>44133</v>
      </c>
      <c r="B172" s="1">
        <f>Prices!B170</f>
        <v>1762.709961</v>
      </c>
      <c r="C172" s="1">
        <f>Prices!C170</f>
        <v>37.970001000000003</v>
      </c>
      <c r="D172" s="1">
        <f>Prices!D170</f>
        <v>53.369999</v>
      </c>
      <c r="E172" s="1">
        <f>Prices!E170</f>
        <v>59.93</v>
      </c>
      <c r="F172" s="1">
        <f>Prices!F170</f>
        <v>416.39999399999999</v>
      </c>
      <c r="G172" s="1">
        <f t="shared" si="36"/>
        <v>105.4422653232553</v>
      </c>
      <c r="H172" s="1">
        <f t="shared" si="37"/>
        <v>93.499138303395</v>
      </c>
      <c r="I172" s="1">
        <f t="shared" si="38"/>
        <v>91.449619748978606</v>
      </c>
      <c r="J172" s="1">
        <f t="shared" si="39"/>
        <v>96.164955070603483</v>
      </c>
      <c r="K172" s="1">
        <f t="shared" si="40"/>
        <v>96.388887499999967</v>
      </c>
      <c r="L172" s="23">
        <f t="shared" si="31"/>
        <v>-8.0862962589174359E-3</v>
      </c>
      <c r="M172" s="23">
        <f t="shared" si="32"/>
        <v>-3.1504069309530314E-3</v>
      </c>
      <c r="N172" s="23">
        <f t="shared" si="33"/>
        <v>5.6241094863129781E-4</v>
      </c>
      <c r="O172" s="23">
        <f t="shared" si="34"/>
        <v>1.669225689893139E-4</v>
      </c>
      <c r="P172" s="23">
        <f t="shared" si="35"/>
        <v>-1.6997195226668649E-2</v>
      </c>
    </row>
    <row r="173" spans="1:16" x14ac:dyDescent="0.35">
      <c r="A173" s="2">
        <f>Prices!A171</f>
        <v>44134</v>
      </c>
      <c r="B173" s="1">
        <f>Prices!B171</f>
        <v>1779.98999</v>
      </c>
      <c r="C173" s="1">
        <f>Prices!C171</f>
        <v>37.93</v>
      </c>
      <c r="D173" s="1">
        <f>Prices!D171</f>
        <v>52.529998999999997</v>
      </c>
      <c r="E173" s="1">
        <f>Prices!E171</f>
        <v>60.049999</v>
      </c>
      <c r="F173" s="1">
        <f>Prices!F171</f>
        <v>415.20001200000002</v>
      </c>
      <c r="G173" s="1">
        <f t="shared" si="36"/>
        <v>106.47592681205626</v>
      </c>
      <c r="H173" s="1">
        <f t="shared" si="37"/>
        <v>93.400637936453364</v>
      </c>
      <c r="I173" s="1">
        <f t="shared" si="38"/>
        <v>90.010277758562935</v>
      </c>
      <c r="J173" s="1">
        <f t="shared" si="39"/>
        <v>96.357508023106689</v>
      </c>
      <c r="K173" s="1">
        <f t="shared" si="40"/>
        <v>96.111113888888852</v>
      </c>
      <c r="L173" s="23">
        <f t="shared" si="31"/>
        <v>9.8031039605612769E-3</v>
      </c>
      <c r="M173" s="23">
        <f t="shared" si="32"/>
        <v>-1.0534895693050661E-3</v>
      </c>
      <c r="N173" s="23">
        <f t="shared" si="33"/>
        <v>-1.5739179609128406E-2</v>
      </c>
      <c r="O173" s="23">
        <f t="shared" si="34"/>
        <v>2.0023193726013133E-3</v>
      </c>
      <c r="P173" s="23">
        <f t="shared" si="35"/>
        <v>-2.8818011942621791E-3</v>
      </c>
    </row>
    <row r="174" spans="1:16" x14ac:dyDescent="0.35">
      <c r="A174" s="2">
        <f>Prices!A172</f>
        <v>44135</v>
      </c>
      <c r="B174" s="1">
        <f>Prices!B172</f>
        <v>1776.660034</v>
      </c>
      <c r="C174" s="1">
        <f>Prices!C172</f>
        <v>37.790000999999997</v>
      </c>
      <c r="D174" s="1">
        <f>Prices!D172</f>
        <v>52.009998000000003</v>
      </c>
      <c r="E174" s="1">
        <f>Prices!E172</f>
        <v>57.970001000000003</v>
      </c>
      <c r="F174" s="1">
        <f>Prices!F172</f>
        <v>419.70001200000002</v>
      </c>
      <c r="G174" s="1">
        <f t="shared" si="36"/>
        <v>106.27673459561947</v>
      </c>
      <c r="H174" s="1">
        <f t="shared" si="37"/>
        <v>93.055897733171903</v>
      </c>
      <c r="I174" s="1">
        <f t="shared" si="38"/>
        <v>89.119254812898504</v>
      </c>
      <c r="J174" s="1">
        <f t="shared" si="39"/>
        <v>93.019898908857655</v>
      </c>
      <c r="K174" s="1">
        <f t="shared" si="40"/>
        <v>97.152780555555523</v>
      </c>
      <c r="L174" s="23">
        <f t="shared" si="31"/>
        <v>-1.8707723182196379E-3</v>
      </c>
      <c r="M174" s="23">
        <f t="shared" si="32"/>
        <v>-3.6909833904561484E-3</v>
      </c>
      <c r="N174" s="23">
        <f t="shared" si="33"/>
        <v>-9.8991244983650528E-3</v>
      </c>
      <c r="O174" s="23">
        <f t="shared" si="34"/>
        <v>-3.4637769103043503E-2</v>
      </c>
      <c r="P174" s="23">
        <f t="shared" si="35"/>
        <v>1.0838149975775924E-2</v>
      </c>
    </row>
    <row r="175" spans="1:16" x14ac:dyDescent="0.35">
      <c r="A175" s="2">
        <f>Prices!A173</f>
        <v>44136</v>
      </c>
      <c r="B175" s="1">
        <f>Prices!B173</f>
        <v>1791.4399410000001</v>
      </c>
      <c r="C175" s="1">
        <f>Prices!C173</f>
        <v>38.07</v>
      </c>
      <c r="D175" s="1">
        <f>Prices!D173</f>
        <v>53.98</v>
      </c>
      <c r="E175" s="1">
        <f>Prices!E173</f>
        <v>58.639999000000003</v>
      </c>
      <c r="F175" s="1">
        <f>Prices!F173</f>
        <v>422</v>
      </c>
      <c r="G175" s="1">
        <f t="shared" si="36"/>
        <v>107.16084310457856</v>
      </c>
      <c r="H175" s="1">
        <f t="shared" si="37"/>
        <v>93.745380602182436</v>
      </c>
      <c r="I175" s="1">
        <f t="shared" si="38"/>
        <v>92.494857907901874</v>
      </c>
      <c r="J175" s="1">
        <f t="shared" si="39"/>
        <v>94.094991976893596</v>
      </c>
      <c r="K175" s="1">
        <f t="shared" si="40"/>
        <v>97.685185185185148</v>
      </c>
      <c r="L175" s="23">
        <f t="shared" si="31"/>
        <v>8.3189280544146982E-3</v>
      </c>
      <c r="M175" s="23">
        <f t="shared" si="32"/>
        <v>7.4093408994617693E-3</v>
      </c>
      <c r="N175" s="23">
        <f t="shared" si="33"/>
        <v>3.7877371193130838E-2</v>
      </c>
      <c r="O175" s="23">
        <f t="shared" si="34"/>
        <v>1.1557667559812579E-2</v>
      </c>
      <c r="P175" s="23">
        <f t="shared" si="35"/>
        <v>5.4800760882514066E-3</v>
      </c>
    </row>
    <row r="176" spans="1:16" x14ac:dyDescent="0.35">
      <c r="A176" s="2">
        <f>Prices!A174</f>
        <v>44139</v>
      </c>
      <c r="B176" s="1">
        <f>Prices!B174</f>
        <v>1804.660034</v>
      </c>
      <c r="C176" s="1">
        <f>Prices!C174</f>
        <v>38.520000000000003</v>
      </c>
      <c r="D176" s="1">
        <f>Prices!D174</f>
        <v>55.23</v>
      </c>
      <c r="E176" s="1">
        <f>Prices!E174</f>
        <v>59.439999</v>
      </c>
      <c r="F176" s="1">
        <f>Prices!F174</f>
        <v>431.79998799999998</v>
      </c>
      <c r="G176" s="1">
        <f t="shared" si="36"/>
        <v>107.95164623416052</v>
      </c>
      <c r="H176" s="1">
        <f t="shared" si="37"/>
        <v>94.853482027740156</v>
      </c>
      <c r="I176" s="1">
        <f t="shared" si="38"/>
        <v>94.636735869829948</v>
      </c>
      <c r="J176" s="1">
        <f t="shared" si="39"/>
        <v>95.378689024390383</v>
      </c>
      <c r="K176" s="1">
        <f t="shared" si="40"/>
        <v>99.953700925925887</v>
      </c>
      <c r="L176" s="23">
        <f t="shared" si="31"/>
        <v>7.3795904051465744E-3</v>
      </c>
      <c r="M176" s="23">
        <f t="shared" si="32"/>
        <v>1.1820330969267268E-2</v>
      </c>
      <c r="N176" s="23">
        <f t="shared" si="33"/>
        <v>2.3156724712856569E-2</v>
      </c>
      <c r="O176" s="23">
        <f t="shared" si="34"/>
        <v>1.3642565034832188E-2</v>
      </c>
      <c r="P176" s="23">
        <f t="shared" si="35"/>
        <v>2.3222720379146855E-2</v>
      </c>
    </row>
    <row r="177" spans="1:16" x14ac:dyDescent="0.35">
      <c r="A177" s="2">
        <f>Prices!A175</f>
        <v>44140</v>
      </c>
      <c r="B177" s="1">
        <f>Prices!B175</f>
        <v>1801.709961</v>
      </c>
      <c r="C177" s="1">
        <f>Prices!C175</f>
        <v>38.43</v>
      </c>
      <c r="D177" s="1">
        <f>Prices!D175</f>
        <v>55.82</v>
      </c>
      <c r="E177" s="1">
        <f>Prices!E175</f>
        <v>60.16</v>
      </c>
      <c r="F177" s="1">
        <f>Prices!F175</f>
        <v>428.70001200000002</v>
      </c>
      <c r="G177" s="1">
        <f t="shared" si="36"/>
        <v>107.77517796265175</v>
      </c>
      <c r="H177" s="1">
        <f t="shared" si="37"/>
        <v>94.631861742628601</v>
      </c>
      <c r="I177" s="1">
        <f t="shared" si="38"/>
        <v>95.647702267859998</v>
      </c>
      <c r="J177" s="1">
        <f t="shared" si="39"/>
        <v>96.5340179717588</v>
      </c>
      <c r="K177" s="1">
        <f t="shared" si="40"/>
        <v>99.236113888888852</v>
      </c>
      <c r="L177" s="23">
        <f t="shared" si="31"/>
        <v>-1.6346973637251239E-3</v>
      </c>
      <c r="M177" s="23">
        <f t="shared" si="32"/>
        <v>-2.3364485981309802E-3</v>
      </c>
      <c r="N177" s="23">
        <f t="shared" si="33"/>
        <v>1.0682600036212353E-2</v>
      </c>
      <c r="O177" s="23">
        <f t="shared" si="34"/>
        <v>1.2113072209170017E-2</v>
      </c>
      <c r="P177" s="23">
        <f t="shared" si="35"/>
        <v>-7.1791942708436807E-3</v>
      </c>
    </row>
    <row r="178" spans="1:16" x14ac:dyDescent="0.35">
      <c r="A178" s="2">
        <f>Prices!A176</f>
        <v>44141</v>
      </c>
      <c r="B178" s="1">
        <f>Prices!B176</f>
        <v>1795.7700199999999</v>
      </c>
      <c r="C178" s="1">
        <f>Prices!C176</f>
        <v>38.5</v>
      </c>
      <c r="D178" s="1">
        <f>Prices!D176</f>
        <v>55.66</v>
      </c>
      <c r="E178" s="1">
        <f>Prices!E176</f>
        <v>59.869999</v>
      </c>
      <c r="F178" s="1">
        <f>Prices!F176</f>
        <v>433.70001200000002</v>
      </c>
      <c r="G178" s="1">
        <f t="shared" si="36"/>
        <v>107.41986095146792</v>
      </c>
      <c r="H178" s="1">
        <f t="shared" si="37"/>
        <v>94.80423307549313</v>
      </c>
      <c r="I178" s="1">
        <f t="shared" si="38"/>
        <v>95.3735418887332</v>
      </c>
      <c r="J178" s="1">
        <f t="shared" si="39"/>
        <v>96.068676187419911</v>
      </c>
      <c r="K178" s="1">
        <f t="shared" si="40"/>
        <v>100.39352129629626</v>
      </c>
      <c r="L178" s="23">
        <f t="shared" si="31"/>
        <v>-3.2968353001185946E-3</v>
      </c>
      <c r="M178" s="23">
        <f t="shared" si="32"/>
        <v>1.8214936247722413E-3</v>
      </c>
      <c r="N178" s="23">
        <f t="shared" si="33"/>
        <v>-2.8663561447510588E-3</v>
      </c>
      <c r="O178" s="23">
        <f t="shared" si="34"/>
        <v>-4.8204953457445798E-3</v>
      </c>
      <c r="P178" s="23">
        <f t="shared" si="35"/>
        <v>1.1663167389881046E-2</v>
      </c>
    </row>
    <row r="179" spans="1:16" x14ac:dyDescent="0.35">
      <c r="A179" s="2">
        <f>Prices!A177</f>
        <v>44142</v>
      </c>
      <c r="B179" s="1">
        <f>Prices!B177</f>
        <v>1788.1999510000001</v>
      </c>
      <c r="C179" s="1">
        <f>Prices!C177</f>
        <v>38.439999</v>
      </c>
      <c r="D179" s="1">
        <f>Prices!D177</f>
        <v>55.509998000000003</v>
      </c>
      <c r="E179" s="1">
        <f>Prices!E177</f>
        <v>60.369999</v>
      </c>
      <c r="F179" s="1">
        <f>Prices!F177</f>
        <v>430.70001200000002</v>
      </c>
      <c r="G179" s="1">
        <f t="shared" si="36"/>
        <v>106.96703249887297</v>
      </c>
      <c r="H179" s="1">
        <f t="shared" si="37"/>
        <v>94.656483756304496</v>
      </c>
      <c r="I179" s="1">
        <f t="shared" si="38"/>
        <v>95.116513106297106</v>
      </c>
      <c r="J179" s="1">
        <f t="shared" si="39"/>
        <v>96.87098684210541</v>
      </c>
      <c r="K179" s="1">
        <f t="shared" si="40"/>
        <v>99.699076851851814</v>
      </c>
      <c r="L179" s="23">
        <f t="shared" si="31"/>
        <v>-4.2155002676790287E-3</v>
      </c>
      <c r="M179" s="23">
        <f t="shared" si="32"/>
        <v>-1.5584675324675779E-3</v>
      </c>
      <c r="N179" s="23">
        <f t="shared" si="33"/>
        <v>-2.6949694574199823E-3</v>
      </c>
      <c r="O179" s="23">
        <f t="shared" si="34"/>
        <v>8.3514282336967227E-3</v>
      </c>
      <c r="P179" s="23">
        <f t="shared" si="35"/>
        <v>-6.9172236960879374E-3</v>
      </c>
    </row>
    <row r="180" spans="1:16" x14ac:dyDescent="0.35">
      <c r="A180" s="2">
        <f>Prices!A178</f>
        <v>44143</v>
      </c>
      <c r="B180" s="1">
        <f>Prices!B178</f>
        <v>1785.880005</v>
      </c>
      <c r="C180" s="1">
        <f>Prices!C178</f>
        <v>38.240001999999997</v>
      </c>
      <c r="D180" s="1">
        <f>Prices!D178</f>
        <v>54.110000999999997</v>
      </c>
      <c r="E180" s="1">
        <f>Prices!E178</f>
        <v>60.25</v>
      </c>
      <c r="F180" s="1">
        <f>Prices!F178</f>
        <v>435.10000600000001</v>
      </c>
      <c r="G180" s="1">
        <f t="shared" si="36"/>
        <v>106.82825733615201</v>
      </c>
      <c r="H180" s="1">
        <f t="shared" si="37"/>
        <v>94.164001621177221</v>
      </c>
      <c r="I180" s="1">
        <f t="shared" si="38"/>
        <v>92.717614929444764</v>
      </c>
      <c r="J180" s="1">
        <f t="shared" si="39"/>
        <v>96.678433889602204</v>
      </c>
      <c r="K180" s="1">
        <f t="shared" si="40"/>
        <v>100.71759398148144</v>
      </c>
      <c r="L180" s="23">
        <f t="shared" si="31"/>
        <v>-1.2973638650994879E-3</v>
      </c>
      <c r="M180" s="23">
        <f t="shared" si="32"/>
        <v>-5.2028357232788425E-3</v>
      </c>
      <c r="N180" s="23">
        <f t="shared" si="33"/>
        <v>-2.5220627822757358E-2</v>
      </c>
      <c r="O180" s="23">
        <f t="shared" si="34"/>
        <v>-1.9877257244943491E-3</v>
      </c>
      <c r="P180" s="23">
        <f t="shared" si="35"/>
        <v>1.0215913344344241E-2</v>
      </c>
    </row>
    <row r="181" spans="1:16" x14ac:dyDescent="0.35">
      <c r="A181" s="2">
        <f>Prices!A179</f>
        <v>44146</v>
      </c>
      <c r="B181" s="1">
        <f>Prices!B179</f>
        <v>1771.650024</v>
      </c>
      <c r="C181" s="1">
        <f>Prices!C179</f>
        <v>37.709999000000003</v>
      </c>
      <c r="D181" s="1">
        <f>Prices!D179</f>
        <v>53.380001</v>
      </c>
      <c r="E181" s="1">
        <f>Prices!E179</f>
        <v>60.18</v>
      </c>
      <c r="F181" s="1">
        <f>Prices!F179</f>
        <v>438.39999399999999</v>
      </c>
      <c r="G181" s="1">
        <f t="shared" si="36"/>
        <v>105.97704445068351</v>
      </c>
      <c r="H181" s="1">
        <f t="shared" si="37"/>
        <v>92.858896999288646</v>
      </c>
      <c r="I181" s="1">
        <f t="shared" si="38"/>
        <v>91.466758199678779</v>
      </c>
      <c r="J181" s="1">
        <f t="shared" si="39"/>
        <v>96.566110397946233</v>
      </c>
      <c r="K181" s="1">
        <f t="shared" si="40"/>
        <v>101.48148009259255</v>
      </c>
      <c r="L181" s="23">
        <f t="shared" si="31"/>
        <v>-7.9680499026584251E-3</v>
      </c>
      <c r="M181" s="23">
        <f t="shared" si="32"/>
        <v>-1.3859910362975181E-2</v>
      </c>
      <c r="N181" s="23">
        <f t="shared" si="33"/>
        <v>-1.3491036527609745E-2</v>
      </c>
      <c r="O181" s="23">
        <f t="shared" si="34"/>
        <v>-1.1618257261410969E-3</v>
      </c>
      <c r="P181" s="23">
        <f t="shared" si="35"/>
        <v>7.5844356573049332E-3</v>
      </c>
    </row>
    <row r="182" spans="1:16" x14ac:dyDescent="0.35">
      <c r="A182" s="2">
        <f>Prices!A180</f>
        <v>44147</v>
      </c>
      <c r="B182" s="1">
        <f>Prices!B180</f>
        <v>1778</v>
      </c>
      <c r="C182" s="1">
        <f>Prices!C180</f>
        <v>37.68</v>
      </c>
      <c r="D182" s="1">
        <f>Prices!D180</f>
        <v>53.02</v>
      </c>
      <c r="E182" s="1">
        <f>Prices!E180</f>
        <v>59.889999000000003</v>
      </c>
      <c r="F182" s="1">
        <f>Prices!F180</f>
        <v>432.10000600000001</v>
      </c>
      <c r="G182" s="1">
        <f t="shared" si="36"/>
        <v>106.35688904735694</v>
      </c>
      <c r="H182" s="1">
        <f t="shared" si="37"/>
        <v>92.785026033365725</v>
      </c>
      <c r="I182" s="1">
        <f t="shared" si="38"/>
        <v>90.849895633141131</v>
      </c>
      <c r="J182" s="1">
        <f t="shared" si="39"/>
        <v>96.100768613607343</v>
      </c>
      <c r="K182" s="1">
        <f t="shared" si="40"/>
        <v>100.02314953703699</v>
      </c>
      <c r="L182" s="23">
        <f t="shared" si="31"/>
        <v>3.5842157954328879E-3</v>
      </c>
      <c r="M182" s="23">
        <f t="shared" si="32"/>
        <v>-7.9551845122038944E-4</v>
      </c>
      <c r="N182" s="23">
        <f t="shared" si="33"/>
        <v>-6.74411752071713E-3</v>
      </c>
      <c r="O182" s="23">
        <f t="shared" si="34"/>
        <v>-4.8188933200398187E-3</v>
      </c>
      <c r="P182" s="23">
        <f t="shared" si="35"/>
        <v>-1.4370410780616849E-2</v>
      </c>
    </row>
    <row r="183" spans="1:16" x14ac:dyDescent="0.35">
      <c r="A183" s="2">
        <f>Prices!A181</f>
        <v>44148</v>
      </c>
      <c r="B183" s="1">
        <f>Prices!B181</f>
        <v>1753.1099850000001</v>
      </c>
      <c r="C183" s="1">
        <f>Prices!C181</f>
        <v>36.900002000000001</v>
      </c>
      <c r="D183" s="1">
        <f>Prices!D181</f>
        <v>52.18</v>
      </c>
      <c r="E183" s="1">
        <f>Prices!E181</f>
        <v>60.290000999999997</v>
      </c>
      <c r="F183" s="1">
        <f>Prices!F181</f>
        <v>431</v>
      </c>
      <c r="G183" s="1">
        <f t="shared" si="36"/>
        <v>104.86801133996546</v>
      </c>
      <c r="H183" s="1">
        <f t="shared" si="37"/>
        <v>90.86432182062758</v>
      </c>
      <c r="I183" s="1">
        <f t="shared" si="38"/>
        <v>89.410553642725461</v>
      </c>
      <c r="J183" s="1">
        <f t="shared" si="39"/>
        <v>96.742620346598358</v>
      </c>
      <c r="K183" s="1">
        <f t="shared" si="40"/>
        <v>99.768518518518462</v>
      </c>
      <c r="L183" s="23">
        <f t="shared" si="31"/>
        <v>-1.3998883577052812E-2</v>
      </c>
      <c r="M183" s="23">
        <f t="shared" si="32"/>
        <v>-2.0700583864118882E-2</v>
      </c>
      <c r="N183" s="23">
        <f t="shared" si="33"/>
        <v>-1.5843078083742079E-2</v>
      </c>
      <c r="O183" s="23">
        <f t="shared" si="34"/>
        <v>6.6789448435287113E-3</v>
      </c>
      <c r="P183" s="23">
        <f t="shared" si="35"/>
        <v>-2.5457208625913053E-3</v>
      </c>
    </row>
    <row r="184" spans="1:16" x14ac:dyDescent="0.35">
      <c r="A184" s="2">
        <f>Prices!A182</f>
        <v>44149</v>
      </c>
      <c r="B184" s="1">
        <f>Prices!B182</f>
        <v>1754.599976</v>
      </c>
      <c r="C184" s="1">
        <f>Prices!C182</f>
        <v>36.810001</v>
      </c>
      <c r="D184" s="1">
        <f>Prices!D182</f>
        <v>52.919998</v>
      </c>
      <c r="E184" s="1">
        <f>Prices!E182</f>
        <v>59.130001</v>
      </c>
      <c r="F184" s="1">
        <f>Prices!F182</f>
        <v>434.39999399999999</v>
      </c>
      <c r="G184" s="1">
        <f t="shared" si="36"/>
        <v>104.95714002808052</v>
      </c>
      <c r="H184" s="1">
        <f t="shared" si="37"/>
        <v>90.642699073068428</v>
      </c>
      <c r="I184" s="1">
        <f t="shared" si="38"/>
        <v>90.678541969182135</v>
      </c>
      <c r="J184" s="1">
        <f t="shared" si="39"/>
        <v>94.881259627728014</v>
      </c>
      <c r="K184" s="1">
        <f t="shared" si="40"/>
        <v>100.55555416666661</v>
      </c>
      <c r="L184" s="23">
        <f t="shared" si="31"/>
        <v>8.4991301900538829E-4</v>
      </c>
      <c r="M184" s="23">
        <f t="shared" si="32"/>
        <v>-2.4390513583170126E-3</v>
      </c>
      <c r="N184" s="23">
        <f t="shared" si="33"/>
        <v>1.4181640475277923E-2</v>
      </c>
      <c r="O184" s="23">
        <f t="shared" si="34"/>
        <v>-1.9240338045441341E-2</v>
      </c>
      <c r="P184" s="23">
        <f t="shared" si="35"/>
        <v>7.8886171693735019E-3</v>
      </c>
    </row>
    <row r="185" spans="1:16" x14ac:dyDescent="0.35">
      <c r="A185" s="2">
        <f>Prices!A183</f>
        <v>44150</v>
      </c>
      <c r="B185" s="1">
        <f>Prices!B183</f>
        <v>1739.48999</v>
      </c>
      <c r="C185" s="1">
        <f>Prices!C183</f>
        <v>37.009998000000003</v>
      </c>
      <c r="D185" s="1">
        <f>Prices!D183</f>
        <v>53.970001000000003</v>
      </c>
      <c r="E185" s="1">
        <f>Prices!E183</f>
        <v>59.57</v>
      </c>
      <c r="F185" s="1">
        <f>Prices!F183</f>
        <v>414.5</v>
      </c>
      <c r="G185" s="1">
        <f t="shared" si="36"/>
        <v>104.05328676345222</v>
      </c>
      <c r="H185" s="1">
        <f t="shared" si="37"/>
        <v>91.135181208195689</v>
      </c>
      <c r="I185" s="1">
        <f t="shared" si="38"/>
        <v>92.477724597708828</v>
      </c>
      <c r="J185" s="1">
        <f t="shared" si="39"/>
        <v>95.58729139922994</v>
      </c>
      <c r="K185" s="1">
        <f t="shared" si="40"/>
        <v>95.949074074074019</v>
      </c>
      <c r="L185" s="23">
        <f t="shared" si="31"/>
        <v>-8.6116415175421235E-3</v>
      </c>
      <c r="M185" s="23">
        <f t="shared" si="32"/>
        <v>5.4332245196082596E-3</v>
      </c>
      <c r="N185" s="23">
        <f t="shared" si="33"/>
        <v>1.9841327280473608E-2</v>
      </c>
      <c r="O185" s="23">
        <f t="shared" si="34"/>
        <v>7.4412141477893101E-3</v>
      </c>
      <c r="P185" s="23">
        <f t="shared" si="35"/>
        <v>-4.5810299896090645E-2</v>
      </c>
    </row>
    <row r="186" spans="1:16" x14ac:dyDescent="0.35">
      <c r="A186" s="2">
        <f>Prices!A184</f>
        <v>44153</v>
      </c>
      <c r="B186" s="1">
        <f>Prices!B184</f>
        <v>1752.530029</v>
      </c>
      <c r="C186" s="1">
        <f>Prices!C184</f>
        <v>37.240001999999997</v>
      </c>
      <c r="D186" s="1">
        <f>Prices!D184</f>
        <v>53.990001999999997</v>
      </c>
      <c r="E186" s="1">
        <f>Prices!E184</f>
        <v>59.419998</v>
      </c>
      <c r="F186" s="1">
        <f>Prices!F184</f>
        <v>418.29998799999998</v>
      </c>
      <c r="G186" s="1">
        <f t="shared" si="36"/>
        <v>104.83331937374255</v>
      </c>
      <c r="H186" s="1">
        <f t="shared" si="37"/>
        <v>91.701554008826733</v>
      </c>
      <c r="I186" s="1">
        <f t="shared" si="38"/>
        <v>92.511996358602048</v>
      </c>
      <c r="J186" s="1">
        <f t="shared" si="39"/>
        <v>95.346594993581661</v>
      </c>
      <c r="K186" s="1">
        <f t="shared" si="40"/>
        <v>96.828700925925872</v>
      </c>
      <c r="L186" s="23">
        <f t="shared" si="31"/>
        <v>7.4964725724002701E-3</v>
      </c>
      <c r="M186" s="23">
        <f t="shared" si="32"/>
        <v>6.214645026459964E-3</v>
      </c>
      <c r="N186" s="23">
        <f t="shared" si="33"/>
        <v>3.7059476800815894E-4</v>
      </c>
      <c r="O186" s="23">
        <f t="shared" si="34"/>
        <v>-2.5180795702535175E-3</v>
      </c>
      <c r="P186" s="23">
        <f t="shared" si="35"/>
        <v>9.1676429433051876E-3</v>
      </c>
    </row>
    <row r="187" spans="1:16" x14ac:dyDescent="0.35">
      <c r="A187" s="2">
        <f>Prices!A185</f>
        <v>44154</v>
      </c>
      <c r="B187" s="1">
        <f>Prices!B185</f>
        <v>1752.790039</v>
      </c>
      <c r="C187" s="1">
        <f>Prices!C185</f>
        <v>37.439999</v>
      </c>
      <c r="D187" s="1">
        <f>Prices!D185</f>
        <v>54.529998999999997</v>
      </c>
      <c r="E187" s="1">
        <f>Prices!E185</f>
        <v>58.73</v>
      </c>
      <c r="F187" s="1">
        <f>Prices!F185</f>
        <v>403.5</v>
      </c>
      <c r="G187" s="1">
        <f t="shared" si="36"/>
        <v>104.84887272285459</v>
      </c>
      <c r="H187" s="1">
        <f t="shared" si="37"/>
        <v>92.194036143954008</v>
      </c>
      <c r="I187" s="1">
        <f t="shared" si="38"/>
        <v>93.437282497647857</v>
      </c>
      <c r="J187" s="1">
        <f t="shared" si="39"/>
        <v>94.239409499358288</v>
      </c>
      <c r="K187" s="1">
        <f t="shared" si="40"/>
        <v>93.402777777777743</v>
      </c>
      <c r="L187" s="23">
        <f t="shared" si="31"/>
        <v>1.4836265039530616E-4</v>
      </c>
      <c r="M187" s="23">
        <f t="shared" si="32"/>
        <v>5.3704884333787284E-3</v>
      </c>
      <c r="N187" s="23">
        <f t="shared" si="33"/>
        <v>1.0001796258499951E-2</v>
      </c>
      <c r="O187" s="23">
        <f t="shared" si="34"/>
        <v>-1.1612218499233218E-2</v>
      </c>
      <c r="P187" s="23">
        <f t="shared" si="35"/>
        <v>-3.5381277610746609E-2</v>
      </c>
    </row>
    <row r="188" spans="1:16" x14ac:dyDescent="0.35">
      <c r="A188" s="2">
        <f>Prices!A186</f>
        <v>44155</v>
      </c>
      <c r="B188" s="1">
        <f>Prices!B186</f>
        <v>1745.530029</v>
      </c>
      <c r="C188" s="1">
        <f>Prices!C186</f>
        <v>37.099997999999999</v>
      </c>
      <c r="D188" s="1">
        <f>Prices!D186</f>
        <v>53.110000999999997</v>
      </c>
      <c r="E188" s="1">
        <f>Prices!E186</f>
        <v>58.439999</v>
      </c>
      <c r="F188" s="1">
        <f>Prices!F186</f>
        <v>397.70001200000002</v>
      </c>
      <c r="G188" s="1">
        <f t="shared" si="36"/>
        <v>104.41459146410729</v>
      </c>
      <c r="H188" s="1">
        <f t="shared" si="37"/>
        <v>91.356801493307231</v>
      </c>
      <c r="I188" s="1">
        <f t="shared" si="38"/>
        <v>91.00411255990231</v>
      </c>
      <c r="J188" s="1">
        <f t="shared" si="39"/>
        <v>93.774067715019399</v>
      </c>
      <c r="K188" s="1">
        <f t="shared" si="40"/>
        <v>92.060187962962928</v>
      </c>
      <c r="L188" s="23">
        <f t="shared" si="31"/>
        <v>-4.1419735612725495E-3</v>
      </c>
      <c r="M188" s="23">
        <f t="shared" si="32"/>
        <v>-9.0812235331523272E-3</v>
      </c>
      <c r="N188" s="23">
        <f t="shared" si="33"/>
        <v>-2.6040675335424091E-2</v>
      </c>
      <c r="O188" s="23">
        <f t="shared" si="34"/>
        <v>-4.9378682104546101E-3</v>
      </c>
      <c r="P188" s="23">
        <f t="shared" si="35"/>
        <v>-1.4374195786864941E-2</v>
      </c>
    </row>
    <row r="189" spans="1:16" x14ac:dyDescent="0.35">
      <c r="A189" s="2">
        <f>Prices!A187</f>
        <v>44156</v>
      </c>
      <c r="B189" s="1">
        <f>Prices!B187</f>
        <v>1734.709961</v>
      </c>
      <c r="C189" s="1">
        <f>Prices!C187</f>
        <v>36.840000000000003</v>
      </c>
      <c r="D189" s="1">
        <f>Prices!D187</f>
        <v>53.299999</v>
      </c>
      <c r="E189" s="1">
        <f>Prices!E187</f>
        <v>58.669998</v>
      </c>
      <c r="F189" s="1">
        <f>Prices!F187</f>
        <v>400</v>
      </c>
      <c r="G189" s="1">
        <f t="shared" si="36"/>
        <v>103.76735368471424</v>
      </c>
      <c r="H189" s="1">
        <f t="shared" si="37"/>
        <v>90.716570038991335</v>
      </c>
      <c r="I189" s="1">
        <f t="shared" si="38"/>
        <v>91.329674583110645</v>
      </c>
      <c r="J189" s="1">
        <f t="shared" si="39"/>
        <v>94.143129011553413</v>
      </c>
      <c r="K189" s="1">
        <f t="shared" si="40"/>
        <v>92.592592592592567</v>
      </c>
      <c r="L189" s="23">
        <f t="shared" si="31"/>
        <v>-6.1987292227786428E-3</v>
      </c>
      <c r="M189" s="23">
        <f t="shared" si="32"/>
        <v>-7.0080327228049244E-3</v>
      </c>
      <c r="N189" s="23">
        <f t="shared" si="33"/>
        <v>3.5774429753823167E-3</v>
      </c>
      <c r="O189" s="23">
        <f t="shared" si="34"/>
        <v>3.9356434622799252E-3</v>
      </c>
      <c r="P189" s="23">
        <f t="shared" si="35"/>
        <v>5.7832233608279271E-3</v>
      </c>
    </row>
    <row r="190" spans="1:16" x14ac:dyDescent="0.35">
      <c r="A190" s="2">
        <f>Prices!A188</f>
        <v>44157</v>
      </c>
      <c r="B190" s="1">
        <f>Prices!B188</f>
        <v>1745.719971</v>
      </c>
      <c r="C190" s="1">
        <f>Prices!C188</f>
        <v>37.189999</v>
      </c>
      <c r="D190" s="1">
        <f>Prices!D188</f>
        <v>53.799999</v>
      </c>
      <c r="E190" s="1">
        <f>Prices!E188</f>
        <v>58.439999</v>
      </c>
      <c r="F190" s="1">
        <f>Prices!F188</f>
        <v>403.29998799999998</v>
      </c>
      <c r="G190" s="1">
        <f t="shared" si="36"/>
        <v>104.42595346648044</v>
      </c>
      <c r="H190" s="1">
        <f t="shared" si="37"/>
        <v>91.578424240866383</v>
      </c>
      <c r="I190" s="1">
        <f t="shared" si="38"/>
        <v>92.186425767881886</v>
      </c>
      <c r="J190" s="1">
        <f t="shared" si="39"/>
        <v>93.774067715019399</v>
      </c>
      <c r="K190" s="1">
        <f t="shared" si="40"/>
        <v>93.356478703703672</v>
      </c>
      <c r="L190" s="23">
        <f t="shared" si="31"/>
        <v>6.3468880951447204E-3</v>
      </c>
      <c r="M190" s="23">
        <f t="shared" si="32"/>
        <v>9.5005157437566545E-3</v>
      </c>
      <c r="N190" s="23">
        <f t="shared" si="33"/>
        <v>9.3808632154008809E-3</v>
      </c>
      <c r="O190" s="23">
        <f t="shared" si="34"/>
        <v>-3.920214894161056E-3</v>
      </c>
      <c r="P190" s="23">
        <f t="shared" si="35"/>
        <v>8.2499700000000509E-3</v>
      </c>
    </row>
    <row r="191" spans="1:16" x14ac:dyDescent="0.35">
      <c r="A191" s="2">
        <f>Prices!A189</f>
        <v>44160</v>
      </c>
      <c r="B191" s="1">
        <f>Prices!B189</f>
        <v>1773.839966</v>
      </c>
      <c r="C191" s="1">
        <f>Prices!C189</f>
        <v>37.590000000000003</v>
      </c>
      <c r="D191" s="1">
        <f>Prices!D189</f>
        <v>54.669998</v>
      </c>
      <c r="E191" s="1">
        <f>Prices!E189</f>
        <v>58.639999000000003</v>
      </c>
      <c r="F191" s="1">
        <f>Prices!F189</f>
        <v>401.79998799999998</v>
      </c>
      <c r="G191" s="1">
        <f t="shared" si="36"/>
        <v>106.10804299866672</v>
      </c>
      <c r="H191" s="1">
        <f t="shared" si="37"/>
        <v>92.563405748254183</v>
      </c>
      <c r="I191" s="1">
        <f t="shared" si="38"/>
        <v>93.677171115881464</v>
      </c>
      <c r="J191" s="1">
        <f t="shared" si="39"/>
        <v>94.09499197689361</v>
      </c>
      <c r="K191" s="1">
        <f t="shared" si="40"/>
        <v>93.009256481481458</v>
      </c>
      <c r="L191" s="23">
        <f t="shared" si="31"/>
        <v>1.6107964316803836E-2</v>
      </c>
      <c r="M191" s="23">
        <f t="shared" si="32"/>
        <v>1.0755606634998971E-2</v>
      </c>
      <c r="N191" s="23">
        <f t="shared" si="33"/>
        <v>1.6170985430687512E-2</v>
      </c>
      <c r="O191" s="23">
        <f t="shared" si="34"/>
        <v>3.4223135424762408E-3</v>
      </c>
      <c r="P191" s="23">
        <f t="shared" si="35"/>
        <v>-3.7193157565875712E-3</v>
      </c>
    </row>
    <row r="192" spans="1:16" x14ac:dyDescent="0.35">
      <c r="A192" s="2">
        <f>Prices!A190</f>
        <v>44161</v>
      </c>
      <c r="B192" s="1">
        <f>Prices!B190</f>
        <v>1796.9399410000001</v>
      </c>
      <c r="C192" s="1">
        <f>Prices!C190</f>
        <v>37.529998999999997</v>
      </c>
      <c r="D192" s="1">
        <f>Prices!D190</f>
        <v>54.860000999999997</v>
      </c>
      <c r="E192" s="1">
        <f>Prices!E190</f>
        <v>57.970001000000003</v>
      </c>
      <c r="F192" s="1">
        <f>Prices!F190</f>
        <v>402.39999399999999</v>
      </c>
      <c r="G192" s="1">
        <f t="shared" si="36"/>
        <v>107.48984360500627</v>
      </c>
      <c r="H192" s="1">
        <f t="shared" si="37"/>
        <v>92.415656429065521</v>
      </c>
      <c r="I192" s="1">
        <f t="shared" si="38"/>
        <v>94.00274170660164</v>
      </c>
      <c r="J192" s="1">
        <f t="shared" si="39"/>
        <v>93.01989890885767</v>
      </c>
      <c r="K192" s="1">
        <f t="shared" si="40"/>
        <v>93.148146759259234</v>
      </c>
      <c r="L192" s="23">
        <f t="shared" si="31"/>
        <v>1.3022581203923522E-2</v>
      </c>
      <c r="M192" s="23">
        <f t="shared" si="32"/>
        <v>-1.5961957967546292E-3</v>
      </c>
      <c r="N192" s="23">
        <f t="shared" si="33"/>
        <v>3.4754528434406406E-3</v>
      </c>
      <c r="O192" s="23">
        <f t="shared" si="34"/>
        <v>-1.1425614110259441E-2</v>
      </c>
      <c r="P192" s="23">
        <f t="shared" si="35"/>
        <v>1.4932952163253521E-3</v>
      </c>
    </row>
    <row r="193" spans="1:16" x14ac:dyDescent="0.35">
      <c r="A193" s="2">
        <f>Prices!A191</f>
        <v>44162</v>
      </c>
      <c r="B193" s="1">
        <f>Prices!B191</f>
        <v>1818.51001</v>
      </c>
      <c r="C193" s="1">
        <f>Prices!C191</f>
        <v>37.619999</v>
      </c>
      <c r="D193" s="1">
        <f>Prices!D191</f>
        <v>54.98</v>
      </c>
      <c r="E193" s="1">
        <f>Prices!E191</f>
        <v>57.799999</v>
      </c>
      <c r="F193" s="1">
        <f>Prices!F191</f>
        <v>402</v>
      </c>
      <c r="G193" s="1">
        <f t="shared" si="36"/>
        <v>108.78012787687175</v>
      </c>
      <c r="H193" s="1">
        <f t="shared" si="37"/>
        <v>92.637276714177077</v>
      </c>
      <c r="I193" s="1">
        <f t="shared" si="38"/>
        <v>94.20836027744437</v>
      </c>
      <c r="J193" s="1">
        <f t="shared" si="39"/>
        <v>92.747110077021986</v>
      </c>
      <c r="K193" s="1">
        <f t="shared" si="40"/>
        <v>93.055555555555543</v>
      </c>
      <c r="L193" s="23">
        <f t="shared" si="31"/>
        <v>1.2003778483545835E-2</v>
      </c>
      <c r="M193" s="23">
        <f t="shared" si="32"/>
        <v>2.3980815986699433E-3</v>
      </c>
      <c r="N193" s="23">
        <f t="shared" si="33"/>
        <v>2.1873678055528423E-3</v>
      </c>
      <c r="O193" s="23">
        <f t="shared" si="34"/>
        <v>-2.9325857696639313E-3</v>
      </c>
      <c r="P193" s="23">
        <f t="shared" si="35"/>
        <v>-9.9402088957289969E-4</v>
      </c>
    </row>
    <row r="194" spans="1:16" x14ac:dyDescent="0.35">
      <c r="A194" s="2">
        <f>Prices!A192</f>
        <v>44164</v>
      </c>
      <c r="B194" s="1">
        <f>Prices!B192</f>
        <v>1800.8000489999999</v>
      </c>
      <c r="C194" s="1">
        <f>Prices!C192</f>
        <v>37.259998000000003</v>
      </c>
      <c r="D194" s="1">
        <f>Prices!D192</f>
        <v>54.560001</v>
      </c>
      <c r="E194" s="1">
        <f>Prices!E192</f>
        <v>57.490001999999997</v>
      </c>
      <c r="F194" s="1">
        <f>Prices!F192</f>
        <v>403.79998799999998</v>
      </c>
      <c r="G194" s="1">
        <f t="shared" si="36"/>
        <v>107.72074859840717</v>
      </c>
      <c r="H194" s="1">
        <f t="shared" si="37"/>
        <v>91.750793111283301</v>
      </c>
      <c r="I194" s="1">
        <f t="shared" si="38"/>
        <v>93.488690995738907</v>
      </c>
      <c r="J194" s="1">
        <f t="shared" si="39"/>
        <v>92.249682284980906</v>
      </c>
      <c r="K194" s="1">
        <f t="shared" si="40"/>
        <v>93.472219444444434</v>
      </c>
      <c r="L194" s="23">
        <f t="shared" si="31"/>
        <v>-9.7387206573583684E-3</v>
      </c>
      <c r="M194" s="23">
        <f t="shared" si="32"/>
        <v>-9.5694048264062248E-3</v>
      </c>
      <c r="N194" s="23">
        <f t="shared" si="33"/>
        <v>-7.6391233175699957E-3</v>
      </c>
      <c r="O194" s="23">
        <f t="shared" si="34"/>
        <v>-5.3632699889839541E-3</v>
      </c>
      <c r="P194" s="23">
        <f t="shared" si="35"/>
        <v>4.477582089552179E-3</v>
      </c>
    </row>
    <row r="195" spans="1:16" x14ac:dyDescent="0.35">
      <c r="A195" s="2">
        <f>Prices!A193</f>
        <v>44167</v>
      </c>
      <c r="B195" s="1">
        <f>Prices!B193</f>
        <v>1781.599976</v>
      </c>
      <c r="C195" s="1">
        <f>Prices!C193</f>
        <v>36.810001</v>
      </c>
      <c r="D195" s="1">
        <f>Prices!D193</f>
        <v>55.150002000000001</v>
      </c>
      <c r="E195" s="1">
        <f>Prices!E193</f>
        <v>57.130001</v>
      </c>
      <c r="F195" s="1">
        <f>Prices!F193</f>
        <v>398.39999399999999</v>
      </c>
      <c r="G195" s="1">
        <f t="shared" si="36"/>
        <v>106.57223339381653</v>
      </c>
      <c r="H195" s="1">
        <f t="shared" si="37"/>
        <v>90.642699073068414</v>
      </c>
      <c r="I195" s="1">
        <f t="shared" si="38"/>
        <v>94.499659107271327</v>
      </c>
      <c r="J195" s="1">
        <f t="shared" si="39"/>
        <v>91.672017008986046</v>
      </c>
      <c r="K195" s="1">
        <f t="shared" si="40"/>
        <v>92.222220833333324</v>
      </c>
      <c r="L195" s="23">
        <f t="shared" si="31"/>
        <v>-1.0661968279411127E-2</v>
      </c>
      <c r="M195" s="23">
        <f t="shared" si="32"/>
        <v>-1.2077214818959514E-2</v>
      </c>
      <c r="N195" s="23">
        <f t="shared" si="33"/>
        <v>1.081380112144803E-2</v>
      </c>
      <c r="O195" s="23">
        <f t="shared" si="34"/>
        <v>-6.2619757779796004E-3</v>
      </c>
      <c r="P195" s="23">
        <f t="shared" si="35"/>
        <v>-1.3372942447932856E-2</v>
      </c>
    </row>
    <row r="196" spans="1:16" x14ac:dyDescent="0.35">
      <c r="A196" s="2">
        <f>Prices!A194</f>
        <v>44168</v>
      </c>
      <c r="B196" s="1">
        <f>Prices!B194</f>
        <v>1769.959961</v>
      </c>
      <c r="C196" s="1">
        <f>Prices!C194</f>
        <v>36.330002</v>
      </c>
      <c r="D196" s="1">
        <f>Prices!D194</f>
        <v>54.599997999999999</v>
      </c>
      <c r="E196" s="1">
        <f>Prices!E194</f>
        <v>56.209999000000003</v>
      </c>
      <c r="F196" s="1">
        <f>Prices!F194</f>
        <v>393.29998799999998</v>
      </c>
      <c r="G196" s="1">
        <f t="shared" si="36"/>
        <v>105.8759478010918</v>
      </c>
      <c r="H196" s="1">
        <f t="shared" si="37"/>
        <v>89.460726681587801</v>
      </c>
      <c r="I196" s="1">
        <f t="shared" si="38"/>
        <v>93.557225950013503</v>
      </c>
      <c r="J196" s="1">
        <f t="shared" si="39"/>
        <v>90.195762195122128</v>
      </c>
      <c r="K196" s="1">
        <f t="shared" si="40"/>
        <v>91.041663888888877</v>
      </c>
      <c r="L196" s="23">
        <f t="shared" si="31"/>
        <v>-6.5334615832975951E-3</v>
      </c>
      <c r="M196" s="23">
        <f t="shared" si="32"/>
        <v>-1.303990727954607E-2</v>
      </c>
      <c r="N196" s="23">
        <f t="shared" si="33"/>
        <v>-9.9728736183908318E-3</v>
      </c>
      <c r="O196" s="23">
        <f t="shared" si="34"/>
        <v>-1.610365804124525E-2</v>
      </c>
      <c r="P196" s="23">
        <f t="shared" si="35"/>
        <v>-1.2801220072307551E-2</v>
      </c>
    </row>
    <row r="197" spans="1:16" x14ac:dyDescent="0.35">
      <c r="A197" s="2">
        <f>Prices!A195</f>
        <v>44169</v>
      </c>
      <c r="B197" s="1">
        <f>Prices!B195</f>
        <v>1760.6899410000001</v>
      </c>
      <c r="C197" s="1">
        <f>Prices!C195</f>
        <v>36.470001000000003</v>
      </c>
      <c r="D197" s="1">
        <f>Prices!D195</f>
        <v>54.860000999999997</v>
      </c>
      <c r="E197" s="1">
        <f>Prices!E195</f>
        <v>56.84</v>
      </c>
      <c r="F197" s="1">
        <f>Prices!F195</f>
        <v>395.39999399999999</v>
      </c>
      <c r="G197" s="1">
        <f t="shared" si="36"/>
        <v>105.32143121582365</v>
      </c>
      <c r="H197" s="1">
        <f t="shared" si="37"/>
        <v>89.805466884869261</v>
      </c>
      <c r="I197" s="1">
        <f t="shared" si="38"/>
        <v>94.00274170660164</v>
      </c>
      <c r="J197" s="1">
        <f t="shared" si="39"/>
        <v>91.206675224647157</v>
      </c>
      <c r="K197" s="1">
        <f t="shared" si="40"/>
        <v>91.527776388888867</v>
      </c>
      <c r="L197" s="23">
        <f t="shared" ref="L197:L260" si="41">B197/B196-1</f>
        <v>-5.2374179101557505E-3</v>
      </c>
      <c r="M197" s="23">
        <f t="shared" ref="M197:M260" si="42">C197/C196-1</f>
        <v>3.8535368096044298E-3</v>
      </c>
      <c r="N197" s="23">
        <f t="shared" ref="N197:N260" si="43">D197/D196-1</f>
        <v>4.7619598813903874E-3</v>
      </c>
      <c r="O197" s="23">
        <f t="shared" ref="O197:O260" si="44">E197/E196-1</f>
        <v>1.1207988101903377E-2</v>
      </c>
      <c r="P197" s="23">
        <f t="shared" ref="P197:P260" si="45">F197/F196-1</f>
        <v>5.3394509638275967E-3</v>
      </c>
    </row>
    <row r="198" spans="1:16" x14ac:dyDescent="0.35">
      <c r="A198" s="2">
        <f>Prices!A196</f>
        <v>44170</v>
      </c>
      <c r="B198" s="1">
        <f>Prices!B196</f>
        <v>1740.4799800000001</v>
      </c>
      <c r="C198" s="1">
        <f>Prices!C196</f>
        <v>36.369999</v>
      </c>
      <c r="D198" s="1">
        <f>Prices!D196</f>
        <v>54.610000999999997</v>
      </c>
      <c r="E198" s="1">
        <f>Prices!E196</f>
        <v>56.490001999999997</v>
      </c>
      <c r="F198" s="1">
        <f>Prices!F196</f>
        <v>393</v>
      </c>
      <c r="G198" s="1">
        <f t="shared" ref="G198:G261" si="46">G197*B198/B197</f>
        <v>104.11250625534647</v>
      </c>
      <c r="H198" s="1">
        <f t="shared" ref="H198:H261" si="47">H197*C198/C197</f>
        <v>89.559217198738978</v>
      </c>
      <c r="I198" s="1">
        <f t="shared" ref="I198:I261" si="48">I197*D198/D197</f>
        <v>93.574366114216019</v>
      </c>
      <c r="J198" s="1">
        <f t="shared" ref="J198:J261" si="49">J197*E198/E197</f>
        <v>90.645060975609923</v>
      </c>
      <c r="K198" s="1">
        <f t="shared" ref="K198:K261" si="50">K197*F198/F197</f>
        <v>90.9722222222222</v>
      </c>
      <c r="L198" s="23">
        <f t="shared" si="41"/>
        <v>-1.1478432703785235E-2</v>
      </c>
      <c r="M198" s="23">
        <f t="shared" si="42"/>
        <v>-2.7420344737584257E-3</v>
      </c>
      <c r="N198" s="23">
        <f t="shared" si="43"/>
        <v>-4.5570542370205747E-3</v>
      </c>
      <c r="O198" s="23">
        <f t="shared" si="44"/>
        <v>-6.1576002814920372E-3</v>
      </c>
      <c r="P198" s="23">
        <f t="shared" si="45"/>
        <v>-6.0697876490104496E-3</v>
      </c>
    </row>
    <row r="199" spans="1:16" x14ac:dyDescent="0.35">
      <c r="A199" s="2">
        <f>Prices!A197</f>
        <v>44171</v>
      </c>
      <c r="B199" s="1">
        <f>Prices!B197</f>
        <v>1751.599976</v>
      </c>
      <c r="C199" s="1">
        <f>Prices!C197</f>
        <v>36.869999</v>
      </c>
      <c r="D199" s="1">
        <f>Prices!D197</f>
        <v>55.369999</v>
      </c>
      <c r="E199" s="1">
        <f>Prices!E197</f>
        <v>57.290000999999997</v>
      </c>
      <c r="F199" s="1">
        <f>Prices!F197</f>
        <v>397.89999399999999</v>
      </c>
      <c r="G199" s="1">
        <f t="shared" si="46"/>
        <v>104.77768520966541</v>
      </c>
      <c r="H199" s="1">
        <f t="shared" si="47"/>
        <v>90.790441004914214</v>
      </c>
      <c r="I199" s="1">
        <f t="shared" si="48"/>
        <v>94.876624488063555</v>
      </c>
      <c r="J199" s="1">
        <f t="shared" si="49"/>
        <v>91.928756418485406</v>
      </c>
      <c r="K199" s="1">
        <f t="shared" si="50"/>
        <v>92.106480092592562</v>
      </c>
      <c r="L199" s="23">
        <f t="shared" si="41"/>
        <v>6.3890398785282354E-3</v>
      </c>
      <c r="M199" s="23">
        <f t="shared" si="42"/>
        <v>1.3747594549012865E-2</v>
      </c>
      <c r="N199" s="23">
        <f t="shared" si="43"/>
        <v>1.3916828164863171E-2</v>
      </c>
      <c r="O199" s="23">
        <f t="shared" si="44"/>
        <v>1.4161780344776664E-2</v>
      </c>
      <c r="P199" s="23">
        <f t="shared" si="45"/>
        <v>1.2468178117048367E-2</v>
      </c>
    </row>
    <row r="200" spans="1:16" x14ac:dyDescent="0.35">
      <c r="A200" s="2">
        <f>Prices!A198</f>
        <v>44174</v>
      </c>
      <c r="B200" s="1">
        <f>Prices!B198</f>
        <v>1749.51001</v>
      </c>
      <c r="C200" s="1">
        <f>Prices!C198</f>
        <v>36.830002</v>
      </c>
      <c r="D200" s="1">
        <f>Prices!D198</f>
        <v>55.91</v>
      </c>
      <c r="E200" s="1">
        <f>Prices!E198</f>
        <v>57.27</v>
      </c>
      <c r="F200" s="1">
        <f>Prices!F198</f>
        <v>404.39999399999999</v>
      </c>
      <c r="G200" s="1">
        <f t="shared" si="46"/>
        <v>104.65266705332417</v>
      </c>
      <c r="H200" s="1">
        <f t="shared" si="47"/>
        <v>90.691950487763037</v>
      </c>
      <c r="I200" s="1">
        <f t="shared" si="48"/>
        <v>95.801917481118835</v>
      </c>
      <c r="J200" s="1">
        <f t="shared" si="49"/>
        <v>91.896662387676699</v>
      </c>
      <c r="K200" s="1">
        <f t="shared" si="50"/>
        <v>93.611109722222182</v>
      </c>
      <c r="L200" s="23">
        <f t="shared" si="41"/>
        <v>-1.1931753988559946E-3</v>
      </c>
      <c r="M200" s="23">
        <f t="shared" si="42"/>
        <v>-1.0848115292869664E-3</v>
      </c>
      <c r="N200" s="23">
        <f t="shared" si="43"/>
        <v>9.7525918322662886E-3</v>
      </c>
      <c r="O200" s="23">
        <f t="shared" si="44"/>
        <v>-3.4911851371743907E-4</v>
      </c>
      <c r="P200" s="23">
        <f t="shared" si="45"/>
        <v>1.6335763000790537E-2</v>
      </c>
    </row>
    <row r="201" spans="1:16" x14ac:dyDescent="0.35">
      <c r="A201" s="2">
        <f>Prices!A199</f>
        <v>44175</v>
      </c>
      <c r="B201" s="1">
        <f>Prices!B199</f>
        <v>1739.209961</v>
      </c>
      <c r="C201" s="1">
        <f>Prices!C199</f>
        <v>36.709999000000003</v>
      </c>
      <c r="D201" s="1">
        <f>Prices!D199</f>
        <v>56.060001</v>
      </c>
      <c r="E201" s="1">
        <f>Prices!E199</f>
        <v>57.360000999999997</v>
      </c>
      <c r="F201" s="1">
        <f>Prices!F199</f>
        <v>404</v>
      </c>
      <c r="G201" s="1">
        <f t="shared" si="46"/>
        <v>104.03653591233692</v>
      </c>
      <c r="H201" s="1">
        <f t="shared" si="47"/>
        <v>90.396449386938158</v>
      </c>
      <c r="I201" s="1">
        <f t="shared" si="48"/>
        <v>96.058944550052587</v>
      </c>
      <c r="J201" s="1">
        <f t="shared" si="49"/>
        <v>92.041079910141377</v>
      </c>
      <c r="K201" s="1">
        <f t="shared" si="50"/>
        <v>93.518518518518491</v>
      </c>
      <c r="L201" s="23">
        <f t="shared" si="41"/>
        <v>-5.8873907214740395E-3</v>
      </c>
      <c r="M201" s="23">
        <f t="shared" si="42"/>
        <v>-3.2582946913768396E-3</v>
      </c>
      <c r="N201" s="23">
        <f t="shared" si="43"/>
        <v>2.6829010910391915E-3</v>
      </c>
      <c r="O201" s="23">
        <f t="shared" si="44"/>
        <v>1.5715208660729285E-3</v>
      </c>
      <c r="P201" s="23">
        <f t="shared" si="45"/>
        <v>-9.8910486136161158E-4</v>
      </c>
    </row>
    <row r="202" spans="1:16" x14ac:dyDescent="0.35">
      <c r="A202" s="2">
        <f>Prices!A200</f>
        <v>44176</v>
      </c>
      <c r="B202" s="1">
        <f>Prices!B200</f>
        <v>1748.719971</v>
      </c>
      <c r="C202" s="1">
        <f>Prices!C200</f>
        <v>37.159999999999997</v>
      </c>
      <c r="D202" s="1">
        <f>Prices!D200</f>
        <v>56.91</v>
      </c>
      <c r="E202" s="1">
        <f>Prices!E200</f>
        <v>57.400002000000001</v>
      </c>
      <c r="F202" s="1">
        <f>Prices!F200</f>
        <v>400</v>
      </c>
      <c r="G202" s="1">
        <f t="shared" si="46"/>
        <v>104.60540828489556</v>
      </c>
      <c r="H202" s="1">
        <f t="shared" si="47"/>
        <v>91.504553274943461</v>
      </c>
      <c r="I202" s="1">
        <f t="shared" si="48"/>
        <v>97.515419850661303</v>
      </c>
      <c r="J202" s="1">
        <f t="shared" si="49"/>
        <v>92.105266367137531</v>
      </c>
      <c r="K202" s="1">
        <f t="shared" si="50"/>
        <v>92.592592592592567</v>
      </c>
      <c r="L202" s="23">
        <f t="shared" si="41"/>
        <v>5.4680057113587477E-3</v>
      </c>
      <c r="M202" s="23">
        <f t="shared" si="42"/>
        <v>1.225826783596462E-2</v>
      </c>
      <c r="N202" s="23">
        <f t="shared" si="43"/>
        <v>1.5162307970704392E-2</v>
      </c>
      <c r="O202" s="23">
        <f t="shared" si="44"/>
        <v>6.9736749132909281E-4</v>
      </c>
      <c r="P202" s="23">
        <f t="shared" si="45"/>
        <v>-9.9009900990099098E-3</v>
      </c>
    </row>
    <row r="203" spans="1:16" x14ac:dyDescent="0.35">
      <c r="A203" s="2">
        <f>Prices!A201</f>
        <v>44177</v>
      </c>
      <c r="B203" s="1">
        <f>Prices!B201</f>
        <v>1760.329956</v>
      </c>
      <c r="C203" s="1">
        <f>Prices!C201</f>
        <v>37.93</v>
      </c>
      <c r="D203" s="1">
        <f>Prices!D201</f>
        <v>57.52</v>
      </c>
      <c r="E203" s="1">
        <f>Prices!E201</f>
        <v>57.759998000000003</v>
      </c>
      <c r="F203" s="1">
        <f>Prices!F201</f>
        <v>406.10000600000001</v>
      </c>
      <c r="G203" s="1">
        <f t="shared" si="46"/>
        <v>105.29989753488796</v>
      </c>
      <c r="H203" s="1">
        <f t="shared" si="47"/>
        <v>93.400637936453336</v>
      </c>
      <c r="I203" s="1">
        <f t="shared" si="48"/>
        <v>98.560656296082215</v>
      </c>
      <c r="J203" s="1">
        <f t="shared" si="49"/>
        <v>92.682923620025846</v>
      </c>
      <c r="K203" s="1">
        <f t="shared" si="50"/>
        <v>94.004631018518509</v>
      </c>
      <c r="L203" s="23">
        <f t="shared" si="41"/>
        <v>6.6391333046655898E-3</v>
      </c>
      <c r="M203" s="23">
        <f t="shared" si="42"/>
        <v>2.0721205597416636E-2</v>
      </c>
      <c r="N203" s="23">
        <f t="shared" si="43"/>
        <v>1.0718678615357691E-2</v>
      </c>
      <c r="O203" s="23">
        <f t="shared" si="44"/>
        <v>6.2717070985467416E-3</v>
      </c>
      <c r="P203" s="23">
        <f t="shared" si="45"/>
        <v>1.5250015000000117E-2</v>
      </c>
    </row>
    <row r="204" spans="1:16" x14ac:dyDescent="0.35">
      <c r="A204" s="2">
        <f>Prices!A202</f>
        <v>44178</v>
      </c>
      <c r="B204" s="1">
        <f>Prices!B202</f>
        <v>1760.9399410000001</v>
      </c>
      <c r="C204" s="1">
        <f>Prices!C202</f>
        <v>38.43</v>
      </c>
      <c r="D204" s="1">
        <f>Prices!D202</f>
        <v>57.720001000000003</v>
      </c>
      <c r="E204" s="1">
        <f>Prices!E202</f>
        <v>57.439999</v>
      </c>
      <c r="F204" s="1">
        <f>Prices!F202</f>
        <v>415.79998799999998</v>
      </c>
      <c r="G204" s="1">
        <f t="shared" si="46"/>
        <v>105.33638578402494</v>
      </c>
      <c r="H204" s="1">
        <f t="shared" si="47"/>
        <v>94.631861742628573</v>
      </c>
      <c r="I204" s="1">
        <f t="shared" si="48"/>
        <v>98.903358483493065</v>
      </c>
      <c r="J204" s="1">
        <f t="shared" si="49"/>
        <v>92.169446405648443</v>
      </c>
      <c r="K204" s="1">
        <f t="shared" si="50"/>
        <v>96.24999722222222</v>
      </c>
      <c r="L204" s="23">
        <f t="shared" si="41"/>
        <v>3.4651742300972899E-4</v>
      </c>
      <c r="M204" s="23">
        <f t="shared" si="42"/>
        <v>1.3182177695755248E-2</v>
      </c>
      <c r="N204" s="23">
        <f t="shared" si="43"/>
        <v>3.4770688456189358E-3</v>
      </c>
      <c r="O204" s="23">
        <f t="shared" si="44"/>
        <v>-5.5401490838001832E-3</v>
      </c>
      <c r="P204" s="23">
        <f t="shared" si="45"/>
        <v>2.388569775101157E-2</v>
      </c>
    </row>
    <row r="205" spans="1:16" x14ac:dyDescent="0.35">
      <c r="A205" s="2">
        <f>Prices!A203</f>
        <v>44181</v>
      </c>
      <c r="B205" s="1">
        <f>Prices!B203</f>
        <v>1769.209961</v>
      </c>
      <c r="C205" s="1">
        <f>Prices!C203</f>
        <v>38.919998</v>
      </c>
      <c r="D205" s="1">
        <f>Prices!D203</f>
        <v>58.82</v>
      </c>
      <c r="E205" s="1">
        <f>Prices!E203</f>
        <v>58.16</v>
      </c>
      <c r="F205" s="1">
        <f>Prices!F203</f>
        <v>428</v>
      </c>
      <c r="G205" s="1">
        <f t="shared" si="46"/>
        <v>105.83108409648806</v>
      </c>
      <c r="H205" s="1">
        <f t="shared" si="47"/>
        <v>95.838456147785081</v>
      </c>
      <c r="I205" s="1">
        <f t="shared" si="48"/>
        <v>100.7882093764874</v>
      </c>
      <c r="J205" s="1">
        <f t="shared" si="49"/>
        <v>93.324775353016861</v>
      </c>
      <c r="K205" s="1">
        <f t="shared" si="50"/>
        <v>99.074074074074076</v>
      </c>
      <c r="L205" s="23">
        <f t="shared" si="41"/>
        <v>4.6963668705837236E-3</v>
      </c>
      <c r="M205" s="23">
        <f t="shared" si="42"/>
        <v>1.2750403330731297E-2</v>
      </c>
      <c r="N205" s="23">
        <f t="shared" si="43"/>
        <v>1.9057501402330201E-2</v>
      </c>
      <c r="O205" s="23">
        <f t="shared" si="44"/>
        <v>1.2534836569199737E-2</v>
      </c>
      <c r="P205" s="23">
        <f t="shared" si="45"/>
        <v>2.9341059047842011E-2</v>
      </c>
    </row>
    <row r="206" spans="1:16" x14ac:dyDescent="0.35">
      <c r="A206" s="2">
        <f>Prices!A204</f>
        <v>44182</v>
      </c>
      <c r="B206" s="1">
        <f>Prices!B204</f>
        <v>1790.660034</v>
      </c>
      <c r="C206" s="1">
        <f>Prices!C204</f>
        <v>38.909999999999997</v>
      </c>
      <c r="D206" s="1">
        <f>Prices!D204</f>
        <v>58.68</v>
      </c>
      <c r="E206" s="1">
        <f>Prices!E204</f>
        <v>58.470001000000003</v>
      </c>
      <c r="F206" s="1">
        <f>Prices!F204</f>
        <v>425.89999399999999</v>
      </c>
      <c r="G206" s="1">
        <f t="shared" si="46"/>
        <v>107.11419041489003</v>
      </c>
      <c r="H206" s="1">
        <f t="shared" si="47"/>
        <v>95.813836596556797</v>
      </c>
      <c r="I206" s="1">
        <f t="shared" si="48"/>
        <v>100.54831904475147</v>
      </c>
      <c r="J206" s="1">
        <f t="shared" si="49"/>
        <v>93.822209563543183</v>
      </c>
      <c r="K206" s="1">
        <f t="shared" si="50"/>
        <v>98.587961574074072</v>
      </c>
      <c r="L206" s="23">
        <f t="shared" si="41"/>
        <v>1.2124096897959902E-2</v>
      </c>
      <c r="M206" s="23">
        <f t="shared" si="42"/>
        <v>-2.5688593303629936E-4</v>
      </c>
      <c r="N206" s="23">
        <f t="shared" si="43"/>
        <v>-2.380142808568575E-3</v>
      </c>
      <c r="O206" s="23">
        <f t="shared" si="44"/>
        <v>5.3301409903714347E-3</v>
      </c>
      <c r="P206" s="23">
        <f t="shared" si="45"/>
        <v>-4.9065560747664216E-3</v>
      </c>
    </row>
    <row r="207" spans="1:16" x14ac:dyDescent="0.35">
      <c r="A207" s="2">
        <f>Prices!A205</f>
        <v>44183</v>
      </c>
      <c r="B207" s="1">
        <f>Prices!B205</f>
        <v>1784.030029</v>
      </c>
      <c r="C207" s="1">
        <f>Prices!C205</f>
        <v>39.029998999999997</v>
      </c>
      <c r="D207" s="1">
        <f>Prices!D205</f>
        <v>58.529998999999997</v>
      </c>
      <c r="E207" s="1">
        <f>Prices!E205</f>
        <v>58.52</v>
      </c>
      <c r="F207" s="1">
        <f>Prices!F205</f>
        <v>424.5</v>
      </c>
      <c r="G207" s="1">
        <f t="shared" si="46"/>
        <v>106.71759496710128</v>
      </c>
      <c r="H207" s="1">
        <f t="shared" si="47"/>
        <v>96.109327847591246</v>
      </c>
      <c r="I207" s="1">
        <f t="shared" si="48"/>
        <v>100.29129197581773</v>
      </c>
      <c r="J207" s="1">
        <f t="shared" si="49"/>
        <v>93.902439024390418</v>
      </c>
      <c r="K207" s="1">
        <f t="shared" si="50"/>
        <v>98.263888888888886</v>
      </c>
      <c r="L207" s="23">
        <f t="shared" si="41"/>
        <v>-3.7025481521413273E-3</v>
      </c>
      <c r="M207" s="23">
        <f t="shared" si="42"/>
        <v>3.0840143921870844E-3</v>
      </c>
      <c r="N207" s="23">
        <f t="shared" si="43"/>
        <v>-2.5562542603954075E-3</v>
      </c>
      <c r="O207" s="23">
        <f t="shared" si="44"/>
        <v>8.5512227030748456E-4</v>
      </c>
      <c r="P207" s="23">
        <f t="shared" si="45"/>
        <v>-3.2871425680273125E-3</v>
      </c>
    </row>
    <row r="208" spans="1:16" x14ac:dyDescent="0.35">
      <c r="A208" s="2">
        <f>Prices!A206</f>
        <v>44184</v>
      </c>
      <c r="B208" s="1">
        <f>Prices!B206</f>
        <v>1792.280029</v>
      </c>
      <c r="C208" s="1">
        <f>Prices!C206</f>
        <v>38.880001</v>
      </c>
      <c r="D208" s="1">
        <f>Prices!D206</f>
        <v>58.48</v>
      </c>
      <c r="E208" s="1">
        <f>Prices!E206</f>
        <v>58.900002000000001</v>
      </c>
      <c r="F208" s="1">
        <f>Prices!F206</f>
        <v>421.29998799999998</v>
      </c>
      <c r="G208" s="1">
        <f t="shared" si="46"/>
        <v>107.21109571774284</v>
      </c>
      <c r="H208" s="1">
        <f t="shared" si="47"/>
        <v>95.739965630633904</v>
      </c>
      <c r="I208" s="1">
        <f t="shared" si="48"/>
        <v>100.20561857084297</v>
      </c>
      <c r="J208" s="1">
        <f t="shared" si="49"/>
        <v>94.512198331194</v>
      </c>
      <c r="K208" s="1">
        <f t="shared" si="50"/>
        <v>97.523145370370372</v>
      </c>
      <c r="L208" s="23">
        <f t="shared" si="41"/>
        <v>4.6243616227830131E-3</v>
      </c>
      <c r="M208" s="23">
        <f t="shared" si="42"/>
        <v>-3.8431463961861034E-3</v>
      </c>
      <c r="N208" s="23">
        <f t="shared" si="43"/>
        <v>-8.5424570056802374E-4</v>
      </c>
      <c r="O208" s="23">
        <f t="shared" si="44"/>
        <v>6.4935406698565235E-3</v>
      </c>
      <c r="P208" s="23">
        <f t="shared" si="45"/>
        <v>-7.538308598351029E-3</v>
      </c>
    </row>
    <row r="209" spans="1:16" x14ac:dyDescent="0.35">
      <c r="A209" s="2">
        <f>Prices!A207</f>
        <v>44185</v>
      </c>
      <c r="B209" s="1">
        <f>Prices!B207</f>
        <v>1786.5</v>
      </c>
      <c r="C209" s="1">
        <f>Prices!C207</f>
        <v>38.889999000000003</v>
      </c>
      <c r="D209" s="1">
        <f>Prices!D207</f>
        <v>58.77</v>
      </c>
      <c r="E209" s="1">
        <f>Prices!E207</f>
        <v>58.18</v>
      </c>
      <c r="F209" s="1">
        <f>Prices!F207</f>
        <v>419.20001200000002</v>
      </c>
      <c r="G209" s="1">
        <f t="shared" si="46"/>
        <v>106.86534436619981</v>
      </c>
      <c r="H209" s="1">
        <f t="shared" si="47"/>
        <v>95.764585181862188</v>
      </c>
      <c r="I209" s="1">
        <f t="shared" si="48"/>
        <v>100.70253425801029</v>
      </c>
      <c r="J209" s="1">
        <f t="shared" si="49"/>
        <v>93.356867779204265</v>
      </c>
      <c r="K209" s="1">
        <f t="shared" si="50"/>
        <v>97.037039814814818</v>
      </c>
      <c r="L209" s="23">
        <f t="shared" si="41"/>
        <v>-3.2249586596269086E-3</v>
      </c>
      <c r="M209" s="23">
        <f t="shared" si="42"/>
        <v>2.5715019914751558E-4</v>
      </c>
      <c r="N209" s="23">
        <f t="shared" si="43"/>
        <v>4.9589603283175521E-3</v>
      </c>
      <c r="O209" s="23">
        <f t="shared" si="44"/>
        <v>-1.2224142199519838E-2</v>
      </c>
      <c r="P209" s="23">
        <f t="shared" si="45"/>
        <v>-4.9845147396490042E-3</v>
      </c>
    </row>
    <row r="210" spans="1:16" x14ac:dyDescent="0.35">
      <c r="A210" s="2">
        <f>Prices!A208</f>
        <v>44188</v>
      </c>
      <c r="B210" s="1">
        <f>Prices!B208</f>
        <v>1793</v>
      </c>
      <c r="C210" s="1">
        <f>Prices!C208</f>
        <v>38.779998999999997</v>
      </c>
      <c r="D210" s="1">
        <f>Prices!D208</f>
        <v>58.970001000000003</v>
      </c>
      <c r="E210" s="1">
        <f>Prices!E208</f>
        <v>58.799999</v>
      </c>
      <c r="F210" s="1">
        <f>Prices!F208</f>
        <v>420.39999399999999</v>
      </c>
      <c r="G210" s="1">
        <f t="shared" si="46"/>
        <v>107.25416313943255</v>
      </c>
      <c r="H210" s="1">
        <f t="shared" si="47"/>
        <v>95.49371594450362</v>
      </c>
      <c r="I210" s="1">
        <f t="shared" si="48"/>
        <v>101.04523644542114</v>
      </c>
      <c r="J210" s="1">
        <f t="shared" si="49"/>
        <v>94.351731386392984</v>
      </c>
      <c r="K210" s="1">
        <f t="shared" si="50"/>
        <v>97.314813425925919</v>
      </c>
      <c r="L210" s="23">
        <f t="shared" si="41"/>
        <v>3.6383991043940078E-3</v>
      </c>
      <c r="M210" s="23">
        <f t="shared" si="42"/>
        <v>-2.8284906872845239E-3</v>
      </c>
      <c r="N210" s="23">
        <f t="shared" si="43"/>
        <v>3.4031138335886002E-3</v>
      </c>
      <c r="O210" s="23">
        <f t="shared" si="44"/>
        <v>1.0656565830182263E-2</v>
      </c>
      <c r="P210" s="23">
        <f t="shared" si="45"/>
        <v>2.8625523989727064E-3</v>
      </c>
    </row>
    <row r="211" spans="1:16" x14ac:dyDescent="0.35">
      <c r="A211" s="2">
        <f>Prices!A209</f>
        <v>44189</v>
      </c>
      <c r="B211" s="1">
        <f>Prices!B209</f>
        <v>1789.209961</v>
      </c>
      <c r="C211" s="1">
        <f>Prices!C209</f>
        <v>38.689999</v>
      </c>
      <c r="D211" s="1">
        <f>Prices!D209</f>
        <v>59.009998000000003</v>
      </c>
      <c r="E211" s="1">
        <f>Prices!E209</f>
        <v>58.700001</v>
      </c>
      <c r="F211" s="1">
        <f>Prices!F209</f>
        <v>422.60000600000001</v>
      </c>
      <c r="G211" s="1">
        <f t="shared" si="46"/>
        <v>107.02744955258882</v>
      </c>
      <c r="H211" s="1">
        <f t="shared" si="47"/>
        <v>95.272095659392079</v>
      </c>
      <c r="I211" s="1">
        <f t="shared" si="48"/>
        <v>101.11377139969574</v>
      </c>
      <c r="J211" s="1">
        <f t="shared" si="49"/>
        <v>94.1912724646985</v>
      </c>
      <c r="K211" s="1">
        <f t="shared" si="50"/>
        <v>97.824075462962966</v>
      </c>
      <c r="L211" s="23">
        <f t="shared" si="41"/>
        <v>-2.1137975460122638E-3</v>
      </c>
      <c r="M211" s="23">
        <f t="shared" si="42"/>
        <v>-2.3207839690763121E-3</v>
      </c>
      <c r="N211" s="23">
        <f t="shared" si="43"/>
        <v>6.7826012076888098E-4</v>
      </c>
      <c r="O211" s="23">
        <f t="shared" si="44"/>
        <v>-1.7006462874259443E-3</v>
      </c>
      <c r="P211" s="23">
        <f t="shared" si="45"/>
        <v>5.2331399414815571E-3</v>
      </c>
    </row>
    <row r="212" spans="1:16" x14ac:dyDescent="0.35">
      <c r="A212" s="2">
        <f>Prices!A210</f>
        <v>44191</v>
      </c>
      <c r="B212" s="1">
        <f>Prices!B210</f>
        <v>1868.7700199999999</v>
      </c>
      <c r="C212" s="1">
        <f>Prices!C210</f>
        <v>38.919998</v>
      </c>
      <c r="D212" s="1">
        <f>Prices!D210</f>
        <v>59.490001999999997</v>
      </c>
      <c r="E212" s="1">
        <f>Prices!E210</f>
        <v>58.869999</v>
      </c>
      <c r="F212" s="1">
        <f>Prices!F210</f>
        <v>422.20001200000002</v>
      </c>
      <c r="G212" s="1">
        <f t="shared" si="46"/>
        <v>111.78659486623572</v>
      </c>
      <c r="H212" s="1">
        <f t="shared" si="47"/>
        <v>95.838456147785067</v>
      </c>
      <c r="I212" s="1">
        <f t="shared" si="48"/>
        <v>101.93625939108558</v>
      </c>
      <c r="J212" s="1">
        <f t="shared" si="49"/>
        <v>94.464054878048955</v>
      </c>
      <c r="K212" s="1">
        <f t="shared" si="50"/>
        <v>97.731484259259261</v>
      </c>
      <c r="L212" s="23">
        <f t="shared" si="41"/>
        <v>4.4466586221961979E-2</v>
      </c>
      <c r="M212" s="23">
        <f t="shared" si="42"/>
        <v>5.944662857189531E-3</v>
      </c>
      <c r="N212" s="23">
        <f t="shared" si="43"/>
        <v>8.1342826007211322E-3</v>
      </c>
      <c r="O212" s="23">
        <f t="shared" si="44"/>
        <v>2.896047650833955E-3</v>
      </c>
      <c r="P212" s="23">
        <f t="shared" si="45"/>
        <v>-9.4650732210355137E-4</v>
      </c>
    </row>
    <row r="213" spans="1:16" x14ac:dyDescent="0.35">
      <c r="A213" s="2">
        <f>Prices!A211</f>
        <v>44192</v>
      </c>
      <c r="B213" s="1">
        <f>Prices!B211</f>
        <v>1869.8000489999999</v>
      </c>
      <c r="C213" s="1">
        <f>Prices!C211</f>
        <v>39</v>
      </c>
      <c r="D213" s="1">
        <f>Prices!D211</f>
        <v>59.349997999999999</v>
      </c>
      <c r="E213" s="1">
        <f>Prices!E211</f>
        <v>59.09</v>
      </c>
      <c r="F213" s="1">
        <f>Prices!F211</f>
        <v>420.20001200000002</v>
      </c>
      <c r="G213" s="1">
        <f t="shared" si="46"/>
        <v>111.84820942195482</v>
      </c>
      <c r="H213" s="1">
        <f t="shared" si="47"/>
        <v>96.035456881668324</v>
      </c>
      <c r="I213" s="1">
        <f t="shared" si="48"/>
        <v>101.69636220534017</v>
      </c>
      <c r="J213" s="1">
        <f t="shared" si="49"/>
        <v>94.817073170731888</v>
      </c>
      <c r="K213" s="1">
        <f t="shared" si="50"/>
        <v>97.268521296296299</v>
      </c>
      <c r="L213" s="23">
        <f t="shared" si="41"/>
        <v>5.5118018213917708E-4</v>
      </c>
      <c r="M213" s="23">
        <f t="shared" si="42"/>
        <v>2.0555499514671727E-3</v>
      </c>
      <c r="N213" s="23">
        <f t="shared" si="43"/>
        <v>-2.3534038543148172E-3</v>
      </c>
      <c r="O213" s="23">
        <f t="shared" si="44"/>
        <v>3.7370647823520287E-3</v>
      </c>
      <c r="P213" s="23">
        <f t="shared" si="45"/>
        <v>-4.737091291224349E-3</v>
      </c>
    </row>
    <row r="214" spans="1:16" x14ac:dyDescent="0.35">
      <c r="A214" s="2">
        <f>Prices!A212</f>
        <v>44195</v>
      </c>
      <c r="B214" s="1">
        <f>Prices!B212</f>
        <v>1846.8900149999999</v>
      </c>
      <c r="C214" s="1">
        <f>Prices!C212</f>
        <v>38.979999999999997</v>
      </c>
      <c r="D214" s="1">
        <f>Prices!D212</f>
        <v>59.169998</v>
      </c>
      <c r="E214" s="1">
        <f>Prices!E212</f>
        <v>58.68</v>
      </c>
      <c r="F214" s="1">
        <f>Prices!F212</f>
        <v>418.70001200000002</v>
      </c>
      <c r="G214" s="1">
        <f t="shared" si="46"/>
        <v>110.47777075817014</v>
      </c>
      <c r="H214" s="1">
        <f t="shared" si="47"/>
        <v>95.986207929421298</v>
      </c>
      <c r="I214" s="1">
        <f t="shared" si="48"/>
        <v>101.38793177882253</v>
      </c>
      <c r="J214" s="1">
        <f t="shared" si="49"/>
        <v>94.159178433889778</v>
      </c>
      <c r="K214" s="1">
        <f t="shared" si="50"/>
        <v>96.921299074074071</v>
      </c>
      <c r="L214" s="23">
        <f t="shared" si="41"/>
        <v>-1.2252665204631197E-2</v>
      </c>
      <c r="M214" s="23">
        <f t="shared" si="42"/>
        <v>-5.1282051282064423E-4</v>
      </c>
      <c r="N214" s="23">
        <f t="shared" si="43"/>
        <v>-3.0328560415452399E-3</v>
      </c>
      <c r="O214" s="23">
        <f t="shared" si="44"/>
        <v>-6.9385682856659692E-3</v>
      </c>
      <c r="P214" s="23">
        <f t="shared" si="45"/>
        <v>-3.5697285986751037E-3</v>
      </c>
    </row>
    <row r="215" spans="1:16" x14ac:dyDescent="0.35">
      <c r="A215" s="2">
        <f>Prices!A213</f>
        <v>44196</v>
      </c>
      <c r="B215" s="1">
        <f>Prices!B213</f>
        <v>1847.839966</v>
      </c>
      <c r="C215" s="1">
        <f>Prices!C213</f>
        <v>39.090000000000003</v>
      </c>
      <c r="D215" s="1">
        <f>Prices!D213</f>
        <v>59.360000999999997</v>
      </c>
      <c r="E215" s="1">
        <f>Prices!E213</f>
        <v>58.98</v>
      </c>
      <c r="F215" s="1">
        <f>Prices!F213</f>
        <v>423.60000600000001</v>
      </c>
      <c r="G215" s="1">
        <f t="shared" si="46"/>
        <v>110.53459518623957</v>
      </c>
      <c r="H215" s="1">
        <f t="shared" si="47"/>
        <v>96.257077166779865</v>
      </c>
      <c r="I215" s="1">
        <f t="shared" si="48"/>
        <v>101.71350236954271</v>
      </c>
      <c r="J215" s="1">
        <f t="shared" si="49"/>
        <v>94.64056482670108</v>
      </c>
      <c r="K215" s="1">
        <f t="shared" si="50"/>
        <v>98.055556944444447</v>
      </c>
      <c r="L215" s="23">
        <f t="shared" si="41"/>
        <v>5.1435168975122458E-4</v>
      </c>
      <c r="M215" s="23">
        <f t="shared" si="42"/>
        <v>2.8219599794767625E-3</v>
      </c>
      <c r="N215" s="23">
        <f t="shared" si="43"/>
        <v>3.2111375092491734E-3</v>
      </c>
      <c r="O215" s="23">
        <f t="shared" si="44"/>
        <v>5.1124744376278564E-3</v>
      </c>
      <c r="P215" s="23">
        <f t="shared" si="45"/>
        <v>1.1702875231825782E-2</v>
      </c>
    </row>
    <row r="216" spans="1:16" x14ac:dyDescent="0.35">
      <c r="A216" s="2">
        <f>Prices!A214</f>
        <v>44198</v>
      </c>
      <c r="B216" s="1">
        <f>Prices!B214</f>
        <v>1898.01001</v>
      </c>
      <c r="C216" s="1">
        <f>Prices!C214</f>
        <v>39.369999</v>
      </c>
      <c r="D216" s="1">
        <f>Prices!D214</f>
        <v>59.889999000000003</v>
      </c>
      <c r="E216" s="1">
        <f>Prices!E214</f>
        <v>59.740001999999997</v>
      </c>
      <c r="F216" s="1">
        <f>Prices!F214</f>
        <v>419.39999399999999</v>
      </c>
      <c r="G216" s="1">
        <f t="shared" si="46"/>
        <v>113.53568056487231</v>
      </c>
      <c r="H216" s="1">
        <f t="shared" si="47"/>
        <v>96.946560035790384</v>
      </c>
      <c r="I216" s="1">
        <f t="shared" si="48"/>
        <v>102.62165519839547</v>
      </c>
      <c r="J216" s="1">
        <f t="shared" si="49"/>
        <v>95.860080231065652</v>
      </c>
      <c r="K216" s="1">
        <f t="shared" si="50"/>
        <v>97.083331944444453</v>
      </c>
      <c r="L216" s="23">
        <f t="shared" si="41"/>
        <v>2.7150643412374276E-2</v>
      </c>
      <c r="M216" s="23">
        <f t="shared" si="42"/>
        <v>7.1629316960859502E-3</v>
      </c>
      <c r="N216" s="23">
        <f t="shared" si="43"/>
        <v>8.9285375854357696E-3</v>
      </c>
      <c r="O216" s="23">
        <f t="shared" si="44"/>
        <v>1.2885757884028459E-2</v>
      </c>
      <c r="P216" s="23">
        <f t="shared" si="45"/>
        <v>-9.9150423524781983E-3</v>
      </c>
    </row>
    <row r="217" spans="1:16" x14ac:dyDescent="0.35">
      <c r="A217" s="2">
        <f>Prices!A215</f>
        <v>44199</v>
      </c>
      <c r="B217" s="1">
        <f>Prices!B215</f>
        <v>1874.969971</v>
      </c>
      <c r="C217" s="1">
        <f>Prices!C215</f>
        <v>38.759998000000003</v>
      </c>
      <c r="D217" s="1">
        <f>Prices!D215</f>
        <v>58.84</v>
      </c>
      <c r="E217" s="1">
        <f>Prices!E215</f>
        <v>60.209999000000003</v>
      </c>
      <c r="F217" s="1">
        <f>Prices!F215</f>
        <v>414</v>
      </c>
      <c r="G217" s="1">
        <f t="shared" si="46"/>
        <v>112.1574652265316</v>
      </c>
      <c r="H217" s="1">
        <f t="shared" si="47"/>
        <v>95.444464529808997</v>
      </c>
      <c r="I217" s="1">
        <f t="shared" si="48"/>
        <v>100.82247942387825</v>
      </c>
      <c r="J217" s="1">
        <f t="shared" si="49"/>
        <v>96.614247432606106</v>
      </c>
      <c r="K217" s="1">
        <f t="shared" si="50"/>
        <v>95.833333333333343</v>
      </c>
      <c r="L217" s="23">
        <f t="shared" si="41"/>
        <v>-1.2139050309855848E-2</v>
      </c>
      <c r="M217" s="23">
        <f t="shared" si="42"/>
        <v>-1.5494056781662491E-2</v>
      </c>
      <c r="N217" s="23">
        <f t="shared" si="43"/>
        <v>-1.7532125856271952E-2</v>
      </c>
      <c r="O217" s="23">
        <f t="shared" si="44"/>
        <v>7.8673750295490397E-3</v>
      </c>
      <c r="P217" s="23">
        <f t="shared" si="45"/>
        <v>-1.2875522358734237E-2</v>
      </c>
    </row>
    <row r="218" spans="1:16" x14ac:dyDescent="0.35">
      <c r="A218" s="2">
        <f>Prices!A216</f>
        <v>44202</v>
      </c>
      <c r="B218" s="1">
        <f>Prices!B216</f>
        <v>1902.880005</v>
      </c>
      <c r="C218" s="1">
        <f>Prices!C216</f>
        <v>38.630001</v>
      </c>
      <c r="D218" s="1">
        <f>Prices!D216</f>
        <v>58.450001</v>
      </c>
      <c r="E218" s="1">
        <f>Prices!E216</f>
        <v>60.959999000000003</v>
      </c>
      <c r="F218" s="1">
        <f>Prices!F216</f>
        <v>417.39999399999999</v>
      </c>
      <c r="G218" s="1">
        <f t="shared" si="46"/>
        <v>113.82699525434147</v>
      </c>
      <c r="H218" s="1">
        <f t="shared" si="47"/>
        <v>95.124353727546264</v>
      </c>
      <c r="I218" s="1">
        <f t="shared" si="48"/>
        <v>100.15421521325905</v>
      </c>
      <c r="J218" s="1">
        <f t="shared" si="49"/>
        <v>97.817713414634355</v>
      </c>
      <c r="K218" s="1">
        <f t="shared" si="50"/>
        <v>96.620368981481491</v>
      </c>
      <c r="L218" s="23">
        <f t="shared" si="41"/>
        <v>1.4885589866334925E-2</v>
      </c>
      <c r="M218" s="23">
        <f t="shared" si="42"/>
        <v>-3.3538959418936143E-3</v>
      </c>
      <c r="N218" s="23">
        <f t="shared" si="43"/>
        <v>-6.628127124405192E-3</v>
      </c>
      <c r="O218" s="23">
        <f t="shared" si="44"/>
        <v>1.2456402797814459E-2</v>
      </c>
      <c r="P218" s="23">
        <f t="shared" si="45"/>
        <v>8.2125458937198914E-3</v>
      </c>
    </row>
    <row r="219" spans="1:16" x14ac:dyDescent="0.35">
      <c r="A219" s="2">
        <f>Prices!A217</f>
        <v>44203</v>
      </c>
      <c r="B219" s="1">
        <f>Prices!B217</f>
        <v>1906.8599850000001</v>
      </c>
      <c r="C219" s="1">
        <f>Prices!C217</f>
        <v>38.340000000000003</v>
      </c>
      <c r="D219" s="1">
        <f>Prices!D217</f>
        <v>58.389999000000003</v>
      </c>
      <c r="E219" s="1">
        <f>Prices!E217</f>
        <v>60.400002000000001</v>
      </c>
      <c r="F219" s="1">
        <f>Prices!F217</f>
        <v>416.10000600000001</v>
      </c>
      <c r="G219" s="1">
        <f t="shared" si="46"/>
        <v>114.06507078374007</v>
      </c>
      <c r="H219" s="1">
        <f t="shared" si="47"/>
        <v>94.410241457517017</v>
      </c>
      <c r="I219" s="1">
        <f t="shared" si="48"/>
        <v>100.05140164408176</v>
      </c>
      <c r="J219" s="1">
        <f t="shared" si="49"/>
        <v>96.919130295250511</v>
      </c>
      <c r="K219" s="1">
        <f t="shared" si="50"/>
        <v>96.319445833333333</v>
      </c>
      <c r="L219" s="23">
        <f t="shared" si="41"/>
        <v>2.0915559517900029E-3</v>
      </c>
      <c r="M219" s="23">
        <f t="shared" si="42"/>
        <v>-7.5071445118521929E-3</v>
      </c>
      <c r="N219" s="23">
        <f t="shared" si="43"/>
        <v>-1.026552591504637E-3</v>
      </c>
      <c r="O219" s="23">
        <f t="shared" si="44"/>
        <v>-9.1863026441323381E-3</v>
      </c>
      <c r="P219" s="23">
        <f t="shared" si="45"/>
        <v>-3.1144897429010721E-3</v>
      </c>
    </row>
    <row r="220" spans="1:16" x14ac:dyDescent="0.35">
      <c r="A220" s="2">
        <f>Prices!A218</f>
        <v>44204</v>
      </c>
      <c r="B220" s="1">
        <f>Prices!B218</f>
        <v>1891.969971</v>
      </c>
      <c r="C220" s="1">
        <f>Prices!C218</f>
        <v>38.25</v>
      </c>
      <c r="D220" s="1">
        <f>Prices!D218</f>
        <v>58.900002000000001</v>
      </c>
      <c r="E220" s="1">
        <f>Prices!E218</f>
        <v>59.689999</v>
      </c>
      <c r="F220" s="1">
        <f>Prices!F218</f>
        <v>417.70001200000002</v>
      </c>
      <c r="G220" s="1">
        <f t="shared" si="46"/>
        <v>113.17437586421724</v>
      </c>
      <c r="H220" s="1">
        <f t="shared" si="47"/>
        <v>94.188621172405476</v>
      </c>
      <c r="I220" s="1">
        <f t="shared" si="48"/>
        <v>100.92529299305552</v>
      </c>
      <c r="J220" s="1">
        <f t="shared" si="49"/>
        <v>95.779844351733189</v>
      </c>
      <c r="K220" s="1">
        <f t="shared" si="50"/>
        <v>96.68981759259259</v>
      </c>
      <c r="L220" s="23">
        <f t="shared" si="41"/>
        <v>-7.8086561767145568E-3</v>
      </c>
      <c r="M220" s="23">
        <f t="shared" si="42"/>
        <v>-2.3474178403756207E-3</v>
      </c>
      <c r="N220" s="23">
        <f t="shared" si="43"/>
        <v>8.7344238522764073E-3</v>
      </c>
      <c r="O220" s="23">
        <f t="shared" si="44"/>
        <v>-1.1755016167052434E-2</v>
      </c>
      <c r="P220" s="23">
        <f t="shared" si="45"/>
        <v>3.8452438763003638E-3</v>
      </c>
    </row>
    <row r="221" spans="1:16" x14ac:dyDescent="0.35">
      <c r="A221" s="2">
        <f>Prices!A219</f>
        <v>44205</v>
      </c>
      <c r="B221" s="1">
        <f>Prices!B219</f>
        <v>1901.0500489999999</v>
      </c>
      <c r="C221" s="1">
        <f>Prices!C219</f>
        <v>38.5</v>
      </c>
      <c r="D221" s="1">
        <f>Prices!D219</f>
        <v>58.290000999999997</v>
      </c>
      <c r="E221" s="1">
        <f>Prices!E219</f>
        <v>59.68</v>
      </c>
      <c r="F221" s="1">
        <f>Prices!F219</f>
        <v>412.79998799999998</v>
      </c>
      <c r="G221" s="1">
        <f t="shared" si="46"/>
        <v>113.71753044711227</v>
      </c>
      <c r="H221" s="1">
        <f t="shared" si="47"/>
        <v>94.804233075493087</v>
      </c>
      <c r="I221" s="1">
        <f t="shared" si="48"/>
        <v>99.880054834132238</v>
      </c>
      <c r="J221" s="1">
        <f t="shared" si="49"/>
        <v>95.76379974326079</v>
      </c>
      <c r="K221" s="1">
        <f t="shared" si="50"/>
        <v>95.555552777777763</v>
      </c>
      <c r="L221" s="23">
        <f t="shared" si="41"/>
        <v>4.7992717322045131E-3</v>
      </c>
      <c r="M221" s="23">
        <f t="shared" si="42"/>
        <v>6.5359477124182774E-3</v>
      </c>
      <c r="N221" s="23">
        <f t="shared" si="43"/>
        <v>-1.0356553128809787E-2</v>
      </c>
      <c r="O221" s="23">
        <f t="shared" si="44"/>
        <v>-1.6751549953952782E-4</v>
      </c>
      <c r="P221" s="23">
        <f t="shared" si="45"/>
        <v>-1.1730964470262006E-2</v>
      </c>
    </row>
    <row r="222" spans="1:16" x14ac:dyDescent="0.35">
      <c r="A222" s="2">
        <f>Prices!A220</f>
        <v>44206</v>
      </c>
      <c r="B222" s="1">
        <f>Prices!B220</f>
        <v>1883.160034</v>
      </c>
      <c r="C222" s="1">
        <f>Prices!C220</f>
        <v>38.139999000000003</v>
      </c>
      <c r="D222" s="1">
        <f>Prices!D220</f>
        <v>58.450001</v>
      </c>
      <c r="E222" s="1">
        <f>Prices!E220</f>
        <v>59.009998000000003</v>
      </c>
      <c r="F222" s="1">
        <f>Prices!F220</f>
        <v>411.60000600000001</v>
      </c>
      <c r="G222" s="1">
        <f t="shared" si="46"/>
        <v>112.64738064935607</v>
      </c>
      <c r="H222" s="1">
        <f t="shared" si="47"/>
        <v>93.917749472599311</v>
      </c>
      <c r="I222" s="1">
        <f t="shared" si="48"/>
        <v>100.15421521325904</v>
      </c>
      <c r="J222" s="1">
        <f t="shared" si="49"/>
        <v>94.688700256739608</v>
      </c>
      <c r="K222" s="1">
        <f t="shared" si="50"/>
        <v>95.277779166666662</v>
      </c>
      <c r="L222" s="23">
        <f t="shared" si="41"/>
        <v>-9.4105965329058794E-3</v>
      </c>
      <c r="M222" s="23">
        <f t="shared" si="42"/>
        <v>-9.3506753246752616E-3</v>
      </c>
      <c r="N222" s="23">
        <f t="shared" si="43"/>
        <v>2.7448961615217371E-3</v>
      </c>
      <c r="O222" s="23">
        <f t="shared" si="44"/>
        <v>-1.1226575067024069E-2</v>
      </c>
      <c r="P222" s="23">
        <f t="shared" si="45"/>
        <v>-2.9069332240386769E-3</v>
      </c>
    </row>
    <row r="223" spans="1:16" x14ac:dyDescent="0.35">
      <c r="A223" s="2">
        <f>Prices!A221</f>
        <v>44209</v>
      </c>
      <c r="B223" s="1">
        <f>Prices!B221</f>
        <v>1891.3000489999999</v>
      </c>
      <c r="C223" s="1">
        <f>Prices!C221</f>
        <v>38.520000000000003</v>
      </c>
      <c r="D223" s="1">
        <f>Prices!D221</f>
        <v>59.130001</v>
      </c>
      <c r="E223" s="1">
        <f>Prices!E221</f>
        <v>58.959999000000003</v>
      </c>
      <c r="F223" s="1">
        <f>Prices!F221</f>
        <v>411</v>
      </c>
      <c r="G223" s="1">
        <f t="shared" si="46"/>
        <v>113.13430228726317</v>
      </c>
      <c r="H223" s="1">
        <f t="shared" si="47"/>
        <v>94.8534820277401</v>
      </c>
      <c r="I223" s="1">
        <f t="shared" si="48"/>
        <v>101.31939682454789</v>
      </c>
      <c r="J223" s="1">
        <f t="shared" si="49"/>
        <v>94.608470795892373</v>
      </c>
      <c r="K223" s="1">
        <f t="shared" si="50"/>
        <v>95.138888888888886</v>
      </c>
      <c r="L223" s="23">
        <f t="shared" si="41"/>
        <v>4.322529606105574E-3</v>
      </c>
      <c r="M223" s="23">
        <f t="shared" si="42"/>
        <v>9.9633196109942812E-3</v>
      </c>
      <c r="N223" s="23">
        <f t="shared" si="43"/>
        <v>1.1633874907889252E-2</v>
      </c>
      <c r="O223" s="23">
        <f t="shared" si="44"/>
        <v>-8.4729709701059086E-4</v>
      </c>
      <c r="P223" s="23">
        <f t="shared" si="45"/>
        <v>-1.4577405035315349E-3</v>
      </c>
    </row>
    <row r="224" spans="1:16" x14ac:dyDescent="0.35">
      <c r="A224" s="2">
        <f>Prices!A222</f>
        <v>44210</v>
      </c>
      <c r="B224" s="1">
        <f>Prices!B222</f>
        <v>1869.4399410000001</v>
      </c>
      <c r="C224" s="1">
        <f>Prices!C222</f>
        <v>38.380001</v>
      </c>
      <c r="D224" s="1">
        <f>Prices!D222</f>
        <v>59.23</v>
      </c>
      <c r="E224" s="1">
        <f>Prices!E222</f>
        <v>58.919998</v>
      </c>
      <c r="F224" s="1">
        <f>Prices!F222</f>
        <v>408.5</v>
      </c>
      <c r="G224" s="1">
        <f t="shared" si="46"/>
        <v>111.8266683833716</v>
      </c>
      <c r="H224" s="1">
        <f t="shared" si="47"/>
        <v>94.508741824458639</v>
      </c>
      <c r="I224" s="1">
        <f t="shared" si="48"/>
        <v>101.49074534799976</v>
      </c>
      <c r="J224" s="1">
        <f t="shared" si="49"/>
        <v>94.544284338896205</v>
      </c>
      <c r="K224" s="1">
        <f t="shared" si="50"/>
        <v>94.560185185185176</v>
      </c>
      <c r="L224" s="23">
        <f t="shared" si="41"/>
        <v>-1.1558244294213482E-2</v>
      </c>
      <c r="M224" s="23">
        <f t="shared" si="42"/>
        <v>-3.6344496365525725E-3</v>
      </c>
      <c r="N224" s="23">
        <f t="shared" si="43"/>
        <v>1.6911719653107671E-3</v>
      </c>
      <c r="O224" s="23">
        <f t="shared" si="44"/>
        <v>-6.7844302371855569E-4</v>
      </c>
      <c r="P224" s="23">
        <f t="shared" si="45"/>
        <v>-6.0827250608272987E-3</v>
      </c>
    </row>
    <row r="225" spans="1:16" x14ac:dyDescent="0.35">
      <c r="A225" s="2">
        <f>Prices!A223</f>
        <v>44211</v>
      </c>
      <c r="B225" s="1">
        <f>Prices!B223</f>
        <v>1862.0200199999999</v>
      </c>
      <c r="C225" s="1">
        <f>Prices!C223</f>
        <v>38.349997999999999</v>
      </c>
      <c r="D225" s="1">
        <f>Prices!D223</f>
        <v>58.990001999999997</v>
      </c>
      <c r="E225" s="1">
        <f>Prices!E223</f>
        <v>58.82</v>
      </c>
      <c r="F225" s="1">
        <f>Prices!F223</f>
        <v>406.89999399999999</v>
      </c>
      <c r="G225" s="1">
        <f t="shared" si="46"/>
        <v>111.38282152480177</v>
      </c>
      <c r="H225" s="1">
        <f t="shared" si="47"/>
        <v>94.434861008745287</v>
      </c>
      <c r="I225" s="1">
        <f t="shared" si="48"/>
        <v>101.07950820631432</v>
      </c>
      <c r="J225" s="1">
        <f t="shared" si="49"/>
        <v>94.38382541720172</v>
      </c>
      <c r="K225" s="1">
        <f t="shared" si="50"/>
        <v>94.189813425925919</v>
      </c>
      <c r="L225" s="23">
        <f t="shared" si="41"/>
        <v>-3.9690609135221155E-3</v>
      </c>
      <c r="M225" s="23">
        <f t="shared" si="42"/>
        <v>-7.8173525842273328E-4</v>
      </c>
      <c r="N225" s="23">
        <f t="shared" si="43"/>
        <v>-4.0519669086611643E-3</v>
      </c>
      <c r="O225" s="23">
        <f t="shared" si="44"/>
        <v>-1.6971826781121413E-3</v>
      </c>
      <c r="P225" s="23">
        <f t="shared" si="45"/>
        <v>-3.9167833537332442E-3</v>
      </c>
    </row>
    <row r="226" spans="1:16" x14ac:dyDescent="0.35">
      <c r="A226" s="2">
        <f>Prices!A224</f>
        <v>44212</v>
      </c>
      <c r="B226" s="1">
        <f>Prices!B224</f>
        <v>1877.9399410000001</v>
      </c>
      <c r="C226" s="1">
        <f>Prices!C224</f>
        <v>38.619999</v>
      </c>
      <c r="D226" s="1">
        <f>Prices!D224</f>
        <v>59.150002000000001</v>
      </c>
      <c r="E226" s="1">
        <f>Prices!E224</f>
        <v>58.77</v>
      </c>
      <c r="F226" s="1">
        <f>Prices!F224</f>
        <v>407.70001200000002</v>
      </c>
      <c r="G226" s="1">
        <f t="shared" si="46"/>
        <v>112.33512370221443</v>
      </c>
      <c r="H226" s="1">
        <f t="shared" si="47"/>
        <v>95.099724326527536</v>
      </c>
      <c r="I226" s="1">
        <f t="shared" si="48"/>
        <v>101.35366858544113</v>
      </c>
      <c r="J226" s="1">
        <f t="shared" si="49"/>
        <v>94.303594351733182</v>
      </c>
      <c r="K226" s="1">
        <f t="shared" si="50"/>
        <v>94.37500277777778</v>
      </c>
      <c r="L226" s="23">
        <f t="shared" si="41"/>
        <v>8.5498119402604988E-3</v>
      </c>
      <c r="M226" s="23">
        <f t="shared" si="42"/>
        <v>7.0404436526958492E-3</v>
      </c>
      <c r="N226" s="23">
        <f t="shared" si="43"/>
        <v>2.7123240307740382E-3</v>
      </c>
      <c r="O226" s="23">
        <f t="shared" si="44"/>
        <v>-8.5005100306012604E-4</v>
      </c>
      <c r="P226" s="23">
        <f t="shared" si="45"/>
        <v>1.9661292990829082E-3</v>
      </c>
    </row>
    <row r="227" spans="1:16" x14ac:dyDescent="0.35">
      <c r="A227" s="2">
        <f>Prices!A225</f>
        <v>44213</v>
      </c>
      <c r="B227" s="1">
        <f>Prices!B225</f>
        <v>1864.719971</v>
      </c>
      <c r="C227" s="1">
        <f>Prices!C225</f>
        <v>38.770000000000003</v>
      </c>
      <c r="D227" s="1">
        <f>Prices!D225</f>
        <v>60.669998</v>
      </c>
      <c r="E227" s="1">
        <f>Prices!E225</f>
        <v>58.540000999999997</v>
      </c>
      <c r="F227" s="1">
        <f>Prices!F225</f>
        <v>408.79998799999998</v>
      </c>
      <c r="G227" s="1">
        <f t="shared" si="46"/>
        <v>111.54432793028001</v>
      </c>
      <c r="H227" s="1">
        <f t="shared" si="47"/>
        <v>95.469093930827725</v>
      </c>
      <c r="I227" s="1">
        <f t="shared" si="48"/>
        <v>103.95818533313619</v>
      </c>
      <c r="J227" s="1">
        <f t="shared" si="49"/>
        <v>93.934533055199154</v>
      </c>
      <c r="K227" s="1">
        <f t="shared" si="50"/>
        <v>94.629626851851853</v>
      </c>
      <c r="L227" s="23">
        <f t="shared" si="41"/>
        <v>-7.0396127753481474E-3</v>
      </c>
      <c r="M227" s="23">
        <f t="shared" si="42"/>
        <v>3.8840239224242623E-3</v>
      </c>
      <c r="N227" s="23">
        <f t="shared" si="43"/>
        <v>2.5697311049964089E-2</v>
      </c>
      <c r="O227" s="23">
        <f t="shared" si="44"/>
        <v>-3.9135443253361935E-3</v>
      </c>
      <c r="P227" s="23">
        <f t="shared" si="45"/>
        <v>2.6980033544858895E-3</v>
      </c>
    </row>
    <row r="228" spans="1:16" x14ac:dyDescent="0.35">
      <c r="A228" s="2">
        <f>Prices!A226</f>
        <v>44217</v>
      </c>
      <c r="B228" s="1">
        <f>Prices!B226</f>
        <v>1892</v>
      </c>
      <c r="C228" s="1">
        <f>Prices!C226</f>
        <v>37.93</v>
      </c>
      <c r="D228" s="1">
        <f>Prices!D226</f>
        <v>59.950001</v>
      </c>
      <c r="E228" s="1">
        <f>Prices!E226</f>
        <v>57.459999000000003</v>
      </c>
      <c r="F228" s="1">
        <f>Prices!F226</f>
        <v>409.39999399999999</v>
      </c>
      <c r="G228" s="1">
        <f t="shared" si="46"/>
        <v>113.17617214713135</v>
      </c>
      <c r="H228" s="1">
        <f t="shared" si="47"/>
        <v>93.400637936453322</v>
      </c>
      <c r="I228" s="1">
        <f t="shared" si="48"/>
        <v>102.72446876757272</v>
      </c>
      <c r="J228" s="1">
        <f t="shared" si="49"/>
        <v>92.201538831835876</v>
      </c>
      <c r="K228" s="1">
        <f t="shared" si="50"/>
        <v>94.768517129629629</v>
      </c>
      <c r="L228" s="23">
        <f t="shared" si="41"/>
        <v>1.4629558016354904E-2</v>
      </c>
      <c r="M228" s="23">
        <f t="shared" si="42"/>
        <v>-2.1666236781016313E-2</v>
      </c>
      <c r="N228" s="23">
        <f t="shared" si="43"/>
        <v>-1.1867430752181662E-2</v>
      </c>
      <c r="O228" s="23">
        <f t="shared" si="44"/>
        <v>-1.8448957662299925E-2</v>
      </c>
      <c r="P228" s="23">
        <f t="shared" si="45"/>
        <v>1.4677250920076546E-3</v>
      </c>
    </row>
    <row r="229" spans="1:16" x14ac:dyDescent="0.35">
      <c r="A229" s="2">
        <f>Prices!A227</f>
        <v>44218</v>
      </c>
      <c r="B229" s="1">
        <f>Prices!B227</f>
        <v>1887.459961</v>
      </c>
      <c r="C229" s="1">
        <f>Prices!C227</f>
        <v>38.07</v>
      </c>
      <c r="D229" s="1">
        <f>Prices!D227</f>
        <v>60.5</v>
      </c>
      <c r="E229" s="1">
        <f>Prices!E227</f>
        <v>57.439999</v>
      </c>
      <c r="F229" s="1">
        <f>Prices!F227</f>
        <v>410.29998799999998</v>
      </c>
      <c r="G229" s="1">
        <f t="shared" si="46"/>
        <v>112.90459485568384</v>
      </c>
      <c r="H229" s="1">
        <f t="shared" si="47"/>
        <v>93.745380602182394</v>
      </c>
      <c r="I229" s="1">
        <f t="shared" si="48"/>
        <v>103.6668933573187</v>
      </c>
      <c r="J229" s="1">
        <f t="shared" si="49"/>
        <v>92.169446405648458</v>
      </c>
      <c r="K229" s="1">
        <f t="shared" si="50"/>
        <v>94.976849074074082</v>
      </c>
      <c r="L229" s="23">
        <f t="shared" si="41"/>
        <v>-2.3995977801268831E-3</v>
      </c>
      <c r="M229" s="23">
        <f t="shared" si="42"/>
        <v>3.6910097548115139E-3</v>
      </c>
      <c r="N229" s="23">
        <f t="shared" si="43"/>
        <v>9.1742950930058242E-3</v>
      </c>
      <c r="O229" s="23">
        <f t="shared" si="44"/>
        <v>-3.4806822742905474E-4</v>
      </c>
      <c r="P229" s="23">
        <f t="shared" si="45"/>
        <v>2.1983244093550791E-3</v>
      </c>
    </row>
    <row r="230" spans="1:16" x14ac:dyDescent="0.35">
      <c r="A230" s="2">
        <f>Prices!A228</f>
        <v>44219</v>
      </c>
      <c r="B230" s="1">
        <f>Prices!B228</f>
        <v>1884.579956</v>
      </c>
      <c r="C230" s="1">
        <f>Prices!C228</f>
        <v>37.720001000000003</v>
      </c>
      <c r="D230" s="1">
        <f>Prices!D228</f>
        <v>58.91</v>
      </c>
      <c r="E230" s="1">
        <f>Prices!E228</f>
        <v>57.400002000000001</v>
      </c>
      <c r="F230" s="1">
        <f>Prices!F228</f>
        <v>406.5</v>
      </c>
      <c r="G230" s="1">
        <f t="shared" si="46"/>
        <v>112.73231793091396</v>
      </c>
      <c r="H230" s="1">
        <f t="shared" si="47"/>
        <v>92.883526400307346</v>
      </c>
      <c r="I230" s="1">
        <f t="shared" si="48"/>
        <v>100.94242458974618</v>
      </c>
      <c r="J230" s="1">
        <f t="shared" si="49"/>
        <v>92.105266367137546</v>
      </c>
      <c r="K230" s="1">
        <f t="shared" si="50"/>
        <v>94.097222222222229</v>
      </c>
      <c r="L230" s="23">
        <f t="shared" si="41"/>
        <v>-1.5258628312698752E-3</v>
      </c>
      <c r="M230" s="23">
        <f t="shared" si="42"/>
        <v>-9.1935644864722388E-3</v>
      </c>
      <c r="N230" s="23">
        <f t="shared" si="43"/>
        <v>-2.6280991735537218E-2</v>
      </c>
      <c r="O230" s="23">
        <f t="shared" si="44"/>
        <v>-6.9632661379392946E-4</v>
      </c>
      <c r="P230" s="23">
        <f t="shared" si="45"/>
        <v>-9.2614869879059647E-3</v>
      </c>
    </row>
    <row r="231" spans="1:16" x14ac:dyDescent="0.35">
      <c r="A231" s="2">
        <f>Prices!A229</f>
        <v>44220</v>
      </c>
      <c r="B231" s="1">
        <f>Prices!B229</f>
        <v>1861.6400149999999</v>
      </c>
      <c r="C231" s="1">
        <f>Prices!C229</f>
        <v>37.520000000000003</v>
      </c>
      <c r="D231" s="1">
        <f>Prices!D229</f>
        <v>57.759998000000003</v>
      </c>
      <c r="E231" s="1">
        <f>Prices!E229</f>
        <v>57.169998</v>
      </c>
      <c r="F231" s="1">
        <f>Prices!F229</f>
        <v>411.60000600000001</v>
      </c>
      <c r="G231" s="1">
        <f t="shared" si="46"/>
        <v>111.3600902820445</v>
      </c>
      <c r="H231" s="1">
        <f t="shared" si="47"/>
        <v>92.39103441538964</v>
      </c>
      <c r="I231" s="1">
        <f t="shared" si="48"/>
        <v>98.971893437767633</v>
      </c>
      <c r="J231" s="1">
        <f t="shared" si="49"/>
        <v>91.736197047496972</v>
      </c>
      <c r="K231" s="1">
        <f t="shared" si="50"/>
        <v>95.277779166666676</v>
      </c>
      <c r="L231" s="23">
        <f t="shared" si="41"/>
        <v>-1.2172442419842944E-2</v>
      </c>
      <c r="M231" s="23">
        <f t="shared" si="42"/>
        <v>-5.3022533058787458E-3</v>
      </c>
      <c r="N231" s="23">
        <f t="shared" si="43"/>
        <v>-1.952133763367836E-2</v>
      </c>
      <c r="O231" s="23">
        <f t="shared" si="44"/>
        <v>-4.0070381879080408E-3</v>
      </c>
      <c r="P231" s="23">
        <f t="shared" si="45"/>
        <v>1.2546140221402213E-2</v>
      </c>
    </row>
    <row r="232" spans="1:16" x14ac:dyDescent="0.35">
      <c r="A232" s="2">
        <f>Prices!A230</f>
        <v>44223</v>
      </c>
      <c r="B232" s="1">
        <f>Prices!B230</f>
        <v>1828.339966</v>
      </c>
      <c r="C232" s="1">
        <f>Prices!C230</f>
        <v>36.509998000000003</v>
      </c>
      <c r="D232" s="1">
        <f>Prices!D230</f>
        <v>55.099997999999999</v>
      </c>
      <c r="E232" s="1">
        <f>Prices!E230</f>
        <v>56.09</v>
      </c>
      <c r="F232" s="1">
        <f>Prices!F230</f>
        <v>402.70001200000002</v>
      </c>
      <c r="G232" s="1">
        <f t="shared" si="46"/>
        <v>109.36813886654137</v>
      </c>
      <c r="H232" s="1">
        <f t="shared" si="47"/>
        <v>89.903957402020438</v>
      </c>
      <c r="I232" s="1">
        <f t="shared" si="48"/>
        <v>94.413977134784702</v>
      </c>
      <c r="J232" s="1">
        <f t="shared" si="49"/>
        <v>90.003209242618937</v>
      </c>
      <c r="K232" s="1">
        <f t="shared" si="50"/>
        <v>93.217595370370375</v>
      </c>
      <c r="L232" s="23">
        <f t="shared" si="41"/>
        <v>-1.7887480249504595E-2</v>
      </c>
      <c r="M232" s="23">
        <f t="shared" si="42"/>
        <v>-2.6919029850746234E-2</v>
      </c>
      <c r="N232" s="23">
        <f t="shared" si="43"/>
        <v>-4.605263317356767E-2</v>
      </c>
      <c r="O232" s="23">
        <f t="shared" si="44"/>
        <v>-1.8890992439775767E-2</v>
      </c>
      <c r="P232" s="23">
        <f t="shared" si="45"/>
        <v>-2.1622919995778589E-2</v>
      </c>
    </row>
    <row r="233" spans="1:16" x14ac:dyDescent="0.35">
      <c r="A233" s="2">
        <f>Prices!A231</f>
        <v>44224</v>
      </c>
      <c r="B233" s="1">
        <f>Prices!B231</f>
        <v>1853.25</v>
      </c>
      <c r="C233" s="1">
        <f>Prices!C231</f>
        <v>36.729999999999997</v>
      </c>
      <c r="D233" s="1">
        <f>Prices!D231</f>
        <v>55.509998000000003</v>
      </c>
      <c r="E233" s="1">
        <f>Prices!E231</f>
        <v>55.919998</v>
      </c>
      <c r="F233" s="1">
        <f>Prices!F231</f>
        <v>406.79998799999998</v>
      </c>
      <c r="G233" s="1">
        <f t="shared" si="46"/>
        <v>110.85821407593613</v>
      </c>
      <c r="H233" s="1">
        <f t="shared" si="47"/>
        <v>90.445700801632753</v>
      </c>
      <c r="I233" s="1">
        <f t="shared" si="48"/>
        <v>95.11651310629712</v>
      </c>
      <c r="J233" s="1">
        <f t="shared" si="49"/>
        <v>89.730420410783239</v>
      </c>
      <c r="K233" s="1">
        <f t="shared" si="50"/>
        <v>94.166663888888891</v>
      </c>
      <c r="L233" s="23">
        <f t="shared" si="41"/>
        <v>1.3624399435132162E-2</v>
      </c>
      <c r="M233" s="23">
        <f t="shared" si="42"/>
        <v>6.0258014804601689E-3</v>
      </c>
      <c r="N233" s="23">
        <f t="shared" si="43"/>
        <v>7.4410166040297376E-3</v>
      </c>
      <c r="O233" s="23">
        <f t="shared" si="44"/>
        <v>-3.0308789445534501E-3</v>
      </c>
      <c r="P233" s="23">
        <f t="shared" si="45"/>
        <v>1.0181216483301059E-2</v>
      </c>
    </row>
    <row r="234" spans="1:16" x14ac:dyDescent="0.35">
      <c r="A234" s="2">
        <f>Prices!A232</f>
        <v>44225</v>
      </c>
      <c r="B234" s="1">
        <f>Prices!B232</f>
        <v>1858</v>
      </c>
      <c r="C234" s="1">
        <f>Prices!C232</f>
        <v>36.700001</v>
      </c>
      <c r="D234" s="1">
        <f>Prices!D232</f>
        <v>55.25</v>
      </c>
      <c r="E234" s="1">
        <f>Prices!E232</f>
        <v>55.73</v>
      </c>
      <c r="F234" s="1">
        <f>Prices!F232</f>
        <v>407.39999399999999</v>
      </c>
      <c r="G234" s="1">
        <f t="shared" si="46"/>
        <v>111.14235087176006</v>
      </c>
      <c r="H234" s="1">
        <f t="shared" si="47"/>
        <v>90.37182983570986</v>
      </c>
      <c r="I234" s="1">
        <f t="shared" si="48"/>
        <v>94.671005917220825</v>
      </c>
      <c r="J234" s="1">
        <f t="shared" si="49"/>
        <v>89.425545571245365</v>
      </c>
      <c r="K234" s="1">
        <f t="shared" si="50"/>
        <v>94.305554166666667</v>
      </c>
      <c r="L234" s="23">
        <f t="shared" si="41"/>
        <v>2.5630648860111016E-3</v>
      </c>
      <c r="M234" s="23">
        <f t="shared" si="42"/>
        <v>-8.1674380615293085E-4</v>
      </c>
      <c r="N234" s="23">
        <f t="shared" si="43"/>
        <v>-4.6838048886257422E-3</v>
      </c>
      <c r="O234" s="23">
        <f t="shared" si="44"/>
        <v>-3.3976753718768515E-3</v>
      </c>
      <c r="P234" s="23">
        <f t="shared" si="45"/>
        <v>1.4749410464585111E-3</v>
      </c>
    </row>
    <row r="235" spans="1:16" x14ac:dyDescent="0.35">
      <c r="A235" s="2">
        <f>Prices!A233</f>
        <v>44226</v>
      </c>
      <c r="B235" s="1">
        <f>Prices!B233</f>
        <v>1870.6800539999999</v>
      </c>
      <c r="C235" s="1">
        <f>Prices!C233</f>
        <v>37.040000999999997</v>
      </c>
      <c r="D235" s="1">
        <f>Prices!D233</f>
        <v>55.220001000000003</v>
      </c>
      <c r="E235" s="1">
        <f>Prices!E233</f>
        <v>53.84</v>
      </c>
      <c r="F235" s="1">
        <f>Prices!F233</f>
        <v>405.5</v>
      </c>
      <c r="G235" s="1">
        <f t="shared" si="46"/>
        <v>111.90084980111466</v>
      </c>
      <c r="H235" s="1">
        <f t="shared" si="47"/>
        <v>91.209062023909013</v>
      </c>
      <c r="I235" s="1">
        <f t="shared" si="48"/>
        <v>94.619602559636931</v>
      </c>
      <c r="J235" s="1">
        <f t="shared" si="49"/>
        <v>86.392811296534191</v>
      </c>
      <c r="K235" s="1">
        <f t="shared" si="50"/>
        <v>93.865740740740748</v>
      </c>
      <c r="L235" s="23">
        <f t="shared" si="41"/>
        <v>6.8245715823465058E-3</v>
      </c>
      <c r="M235" s="23">
        <f t="shared" si="42"/>
        <v>9.2643049246783349E-3</v>
      </c>
      <c r="N235" s="23">
        <f t="shared" si="43"/>
        <v>-5.4296832579181498E-4</v>
      </c>
      <c r="O235" s="23">
        <f t="shared" si="44"/>
        <v>-3.3913511573658628E-2</v>
      </c>
      <c r="P235" s="23">
        <f t="shared" si="45"/>
        <v>-4.663706499710929E-3</v>
      </c>
    </row>
    <row r="236" spans="1:16" x14ac:dyDescent="0.35">
      <c r="A236" s="2">
        <f>Prices!A234</f>
        <v>44227</v>
      </c>
      <c r="B236" s="1">
        <f>Prices!B234</f>
        <v>2008.719971</v>
      </c>
      <c r="C236" s="1">
        <f>Prices!C234</f>
        <v>36.290000999999997</v>
      </c>
      <c r="D236" s="1">
        <f>Prices!D234</f>
        <v>53.43</v>
      </c>
      <c r="E236" s="1">
        <f>Prices!E234</f>
        <v>52.150002000000001</v>
      </c>
      <c r="F236" s="1">
        <f>Prices!F234</f>
        <v>398.39999399999999</v>
      </c>
      <c r="G236" s="1">
        <f t="shared" si="46"/>
        <v>120.15815921420543</v>
      </c>
      <c r="H236" s="1">
        <f t="shared" si="47"/>
        <v>89.362226314646165</v>
      </c>
      <c r="I236" s="1">
        <f t="shared" si="48"/>
        <v>91.552431604653549</v>
      </c>
      <c r="J236" s="1">
        <f t="shared" si="49"/>
        <v>83.68100449293982</v>
      </c>
      <c r="K236" s="1">
        <f t="shared" si="50"/>
        <v>92.222220833333324</v>
      </c>
      <c r="L236" s="23">
        <f t="shared" si="41"/>
        <v>7.3791302101519074E-2</v>
      </c>
      <c r="M236" s="23">
        <f t="shared" si="42"/>
        <v>-2.0248379582927134E-2</v>
      </c>
      <c r="N236" s="23">
        <f t="shared" si="43"/>
        <v>-3.2415808902285348E-2</v>
      </c>
      <c r="O236" s="23">
        <f t="shared" si="44"/>
        <v>-3.1389264487370006E-2</v>
      </c>
      <c r="P236" s="23">
        <f t="shared" si="45"/>
        <v>-1.750926263871766E-2</v>
      </c>
    </row>
    <row r="237" spans="1:16" x14ac:dyDescent="0.35">
      <c r="A237" s="2">
        <f>Prices!A235</f>
        <v>44230</v>
      </c>
      <c r="B237" s="1">
        <f>Prices!B235</f>
        <v>2004.1999510000001</v>
      </c>
      <c r="C237" s="1">
        <f>Prices!C235</f>
        <v>36.060001</v>
      </c>
      <c r="D237" s="1">
        <f>Prices!D235</f>
        <v>53.139999000000003</v>
      </c>
      <c r="E237" s="1">
        <f>Prices!E235</f>
        <v>51.240001999999997</v>
      </c>
      <c r="F237" s="1">
        <f>Prices!F235</f>
        <v>401.39999399999999</v>
      </c>
      <c r="G237" s="1">
        <f t="shared" si="46"/>
        <v>119.88777942476121</v>
      </c>
      <c r="H237" s="1">
        <f t="shared" si="47"/>
        <v>88.795863363805566</v>
      </c>
      <c r="I237" s="1">
        <f t="shared" si="48"/>
        <v>91.055514203983876</v>
      </c>
      <c r="J237" s="1">
        <f t="shared" si="49"/>
        <v>82.220799101412211</v>
      </c>
      <c r="K237" s="1">
        <f t="shared" si="50"/>
        <v>92.916665277777767</v>
      </c>
      <c r="L237" s="23">
        <f t="shared" si="41"/>
        <v>-2.2501991642716046E-3</v>
      </c>
      <c r="M237" s="23">
        <f t="shared" si="42"/>
        <v>-6.3378339394368766E-3</v>
      </c>
      <c r="N237" s="23">
        <f t="shared" si="43"/>
        <v>-5.4276810780460316E-3</v>
      </c>
      <c r="O237" s="23">
        <f t="shared" si="44"/>
        <v>-1.7449663760319756E-2</v>
      </c>
      <c r="P237" s="23">
        <f t="shared" si="45"/>
        <v>7.5301205953330896E-3</v>
      </c>
    </row>
    <row r="238" spans="1:16" x14ac:dyDescent="0.35">
      <c r="A238" s="2">
        <f>Prices!A236</f>
        <v>44231</v>
      </c>
      <c r="B238" s="1">
        <f>Prices!B236</f>
        <v>2049.669922</v>
      </c>
      <c r="C238" s="1">
        <f>Prices!C236</f>
        <v>36.540000999999997</v>
      </c>
      <c r="D238" s="1">
        <f>Prices!D236</f>
        <v>54.970001000000003</v>
      </c>
      <c r="E238" s="1">
        <f>Prices!E236</f>
        <v>51.650002000000001</v>
      </c>
      <c r="F238" s="1">
        <f>Prices!F236</f>
        <v>401.79998799999998</v>
      </c>
      <c r="G238" s="1">
        <f t="shared" si="46"/>
        <v>122.60771455447636</v>
      </c>
      <c r="H238" s="1">
        <f t="shared" si="47"/>
        <v>89.977838217733776</v>
      </c>
      <c r="I238" s="1">
        <f t="shared" si="48"/>
        <v>94.19122696725131</v>
      </c>
      <c r="J238" s="1">
        <f t="shared" si="49"/>
        <v>82.878693838254335</v>
      </c>
      <c r="K238" s="1">
        <f t="shared" si="50"/>
        <v>93.009256481481472</v>
      </c>
      <c r="L238" s="23">
        <f t="shared" si="41"/>
        <v>2.2687342636303676E-2</v>
      </c>
      <c r="M238" s="23">
        <f t="shared" si="42"/>
        <v>1.3311147717383509E-2</v>
      </c>
      <c r="N238" s="23">
        <f t="shared" si="43"/>
        <v>3.4437373625091805E-2</v>
      </c>
      <c r="O238" s="23">
        <f t="shared" si="44"/>
        <v>8.0015609679329192E-3</v>
      </c>
      <c r="P238" s="23">
        <f t="shared" si="45"/>
        <v>9.9649727448669623E-4</v>
      </c>
    </row>
    <row r="239" spans="1:16" x14ac:dyDescent="0.35">
      <c r="A239" s="2">
        <f>Prices!A237</f>
        <v>44232</v>
      </c>
      <c r="B239" s="1">
        <f>Prices!B237</f>
        <v>2039.869995</v>
      </c>
      <c r="C239" s="1">
        <f>Prices!C237</f>
        <v>36.979999999999997</v>
      </c>
      <c r="D239" s="1">
        <f>Prices!D237</f>
        <v>55.68</v>
      </c>
      <c r="E239" s="1">
        <f>Prices!E237</f>
        <v>52.950001</v>
      </c>
      <c r="F239" s="1">
        <f>Prices!F237</f>
        <v>408.39999399999999</v>
      </c>
      <c r="G239" s="1">
        <f t="shared" si="46"/>
        <v>122.0214998477209</v>
      </c>
      <c r="H239" s="1">
        <f t="shared" si="47"/>
        <v>91.061312704720365</v>
      </c>
      <c r="I239" s="1">
        <f t="shared" si="48"/>
        <v>95.407811936124091</v>
      </c>
      <c r="J239" s="1">
        <f t="shared" si="49"/>
        <v>84.964699935815318</v>
      </c>
      <c r="K239" s="1">
        <f t="shared" si="50"/>
        <v>94.537035648148148</v>
      </c>
      <c r="L239" s="23">
        <f t="shared" si="41"/>
        <v>-4.7812220371744596E-3</v>
      </c>
      <c r="M239" s="23">
        <f t="shared" si="42"/>
        <v>1.2041570551681202E-2</v>
      </c>
      <c r="N239" s="23">
        <f t="shared" si="43"/>
        <v>1.2916117647514547E-2</v>
      </c>
      <c r="O239" s="23">
        <f t="shared" si="44"/>
        <v>2.5169389151233679E-2</v>
      </c>
      <c r="P239" s="23">
        <f t="shared" si="45"/>
        <v>1.642609805155093E-2</v>
      </c>
    </row>
    <row r="240" spans="1:16" x14ac:dyDescent="0.35">
      <c r="A240" s="2">
        <f>Prices!A238</f>
        <v>44233</v>
      </c>
      <c r="B240" s="1">
        <f>Prices!B238</f>
        <v>2050.2299800000001</v>
      </c>
      <c r="C240" s="1">
        <f>Prices!C238</f>
        <v>37.099997999999999</v>
      </c>
      <c r="D240" s="1">
        <f>Prices!D238</f>
        <v>55.380001</v>
      </c>
      <c r="E240" s="1">
        <f>Prices!E238</f>
        <v>52.139999000000003</v>
      </c>
      <c r="F240" s="1">
        <f>Prices!F238</f>
        <v>409</v>
      </c>
      <c r="G240" s="1">
        <f t="shared" si="46"/>
        <v>122.641216256707</v>
      </c>
      <c r="H240" s="1">
        <f t="shared" si="47"/>
        <v>91.356801493307202</v>
      </c>
      <c r="I240" s="1">
        <f t="shared" si="48"/>
        <v>94.893762938763729</v>
      </c>
      <c r="J240" s="1">
        <f t="shared" si="49"/>
        <v>83.664953465982194</v>
      </c>
      <c r="K240" s="1">
        <f t="shared" si="50"/>
        <v>94.675925925925924</v>
      </c>
      <c r="L240" s="23">
        <f t="shared" si="41"/>
        <v>5.0787476777411911E-3</v>
      </c>
      <c r="M240" s="23">
        <f t="shared" si="42"/>
        <v>3.2449432125474242E-3</v>
      </c>
      <c r="N240" s="23">
        <f t="shared" si="43"/>
        <v>-5.3879130747126469E-3</v>
      </c>
      <c r="O240" s="23">
        <f t="shared" si="44"/>
        <v>-1.529748790750729E-2</v>
      </c>
      <c r="P240" s="23">
        <f t="shared" si="45"/>
        <v>1.4691626072844688E-3</v>
      </c>
    </row>
    <row r="241" spans="1:16" x14ac:dyDescent="0.35">
      <c r="A241" s="2">
        <f>Prices!A239</f>
        <v>44234</v>
      </c>
      <c r="B241" s="1">
        <f>Prices!B239</f>
        <v>2079.280029</v>
      </c>
      <c r="C241" s="1">
        <f>Prices!C239</f>
        <v>37.299999</v>
      </c>
      <c r="D241" s="1">
        <f>Prices!D239</f>
        <v>53.73</v>
      </c>
      <c r="E241" s="1">
        <f>Prices!E239</f>
        <v>51.790000999999997</v>
      </c>
      <c r="F241" s="1">
        <f>Prices!F239</f>
        <v>407.79998799999998</v>
      </c>
      <c r="G241" s="1">
        <f t="shared" si="46"/>
        <v>124.3789400127887</v>
      </c>
      <c r="H241" s="1">
        <f t="shared" si="47"/>
        <v>91.849293478224908</v>
      </c>
      <c r="I241" s="1">
        <f t="shared" si="48"/>
        <v>92.066482315516296</v>
      </c>
      <c r="J241" s="1">
        <f t="shared" si="49"/>
        <v>83.103339216944946</v>
      </c>
      <c r="K241" s="1">
        <f t="shared" si="50"/>
        <v>94.398145370370372</v>
      </c>
      <c r="L241" s="23">
        <f t="shared" si="41"/>
        <v>1.4169166036680503E-2</v>
      </c>
      <c r="M241" s="23">
        <f t="shared" si="42"/>
        <v>5.3908628243053425E-3</v>
      </c>
      <c r="N241" s="23">
        <f t="shared" si="43"/>
        <v>-2.979416703152471E-2</v>
      </c>
      <c r="O241" s="23">
        <f t="shared" si="44"/>
        <v>-6.7126583565911835E-3</v>
      </c>
      <c r="P241" s="23">
        <f t="shared" si="45"/>
        <v>-2.93401466992671E-3</v>
      </c>
    </row>
    <row r="242" spans="1:16" x14ac:dyDescent="0.35">
      <c r="A242" s="2">
        <f>Prices!A240</f>
        <v>44237</v>
      </c>
      <c r="B242" s="1">
        <f>Prices!B240</f>
        <v>2133.9099120000001</v>
      </c>
      <c r="C242" s="1">
        <f>Prices!C240</f>
        <v>37.439999</v>
      </c>
      <c r="D242" s="1">
        <f>Prices!D240</f>
        <v>53.43</v>
      </c>
      <c r="E242" s="1">
        <f>Prices!E240</f>
        <v>51.389999000000003</v>
      </c>
      <c r="F242" s="1">
        <f>Prices!F240</f>
        <v>406.70001200000002</v>
      </c>
      <c r="G242" s="1">
        <f t="shared" si="46"/>
        <v>127.64680525738999</v>
      </c>
      <c r="H242" s="1">
        <f t="shared" si="47"/>
        <v>92.19403614395398</v>
      </c>
      <c r="I242" s="1">
        <f t="shared" si="48"/>
        <v>91.552431604653563</v>
      </c>
      <c r="J242" s="1">
        <f t="shared" si="49"/>
        <v>82.461487483953945</v>
      </c>
      <c r="K242" s="1">
        <f t="shared" si="50"/>
        <v>94.143521296296313</v>
      </c>
      <c r="L242" s="23">
        <f t="shared" si="41"/>
        <v>2.627346112022888E-2</v>
      </c>
      <c r="M242" s="23">
        <f t="shared" si="42"/>
        <v>3.7533513070604485E-3</v>
      </c>
      <c r="N242" s="23">
        <f t="shared" si="43"/>
        <v>-5.5834729201562627E-3</v>
      </c>
      <c r="O242" s="23">
        <f t="shared" si="44"/>
        <v>-7.723537213293219E-3</v>
      </c>
      <c r="P242" s="23">
        <f t="shared" si="45"/>
        <v>-2.6973419136049337E-3</v>
      </c>
    </row>
    <row r="243" spans="1:16" x14ac:dyDescent="0.35">
      <c r="A243" s="2">
        <f>Prices!A241</f>
        <v>44238</v>
      </c>
      <c r="B243" s="1">
        <f>Prices!B241</f>
        <v>2150.8000489999999</v>
      </c>
      <c r="C243" s="1">
        <f>Prices!C241</f>
        <v>38.25</v>
      </c>
      <c r="D243" s="1">
        <f>Prices!D241</f>
        <v>53.849997999999999</v>
      </c>
      <c r="E243" s="1">
        <f>Prices!E241</f>
        <v>51.990001999999997</v>
      </c>
      <c r="F243" s="1">
        <f>Prices!F241</f>
        <v>410.60000600000001</v>
      </c>
      <c r="G243" s="1">
        <f t="shared" si="46"/>
        <v>128.65714408017044</v>
      </c>
      <c r="H243" s="1">
        <f t="shared" si="47"/>
        <v>94.188621172405476</v>
      </c>
      <c r="I243" s="1">
        <f t="shared" si="48"/>
        <v>92.272099172856656</v>
      </c>
      <c r="J243" s="1">
        <f t="shared" si="49"/>
        <v>83.42426508344046</v>
      </c>
      <c r="K243" s="1">
        <f t="shared" si="50"/>
        <v>95.046297685185209</v>
      </c>
      <c r="L243" s="23">
        <f t="shared" si="41"/>
        <v>7.9151124914029758E-3</v>
      </c>
      <c r="M243" s="23">
        <f t="shared" si="42"/>
        <v>2.1634642671865434E-2</v>
      </c>
      <c r="N243" s="23">
        <f t="shared" si="43"/>
        <v>7.8607149541456423E-3</v>
      </c>
      <c r="O243" s="23">
        <f t="shared" si="44"/>
        <v>1.1675481838401947E-2</v>
      </c>
      <c r="P243" s="23">
        <f t="shared" si="45"/>
        <v>9.5893628840117984E-3</v>
      </c>
    </row>
    <row r="244" spans="1:16" x14ac:dyDescent="0.35">
      <c r="A244" s="2">
        <f>Prices!A242</f>
        <v>44239</v>
      </c>
      <c r="B244" s="1">
        <f>Prices!B242</f>
        <v>2160</v>
      </c>
      <c r="C244" s="1">
        <f>Prices!C242</f>
        <v>38.599997999999999</v>
      </c>
      <c r="D244" s="1">
        <f>Prices!D242</f>
        <v>55.279998999999997</v>
      </c>
      <c r="E244" s="1">
        <f>Prices!E242</f>
        <v>52.650002000000001</v>
      </c>
      <c r="F244" s="1">
        <f>Prices!F242</f>
        <v>412.39999399999999</v>
      </c>
      <c r="G244" s="1">
        <f t="shared" si="46"/>
        <v>129.20746925888142</v>
      </c>
      <c r="H244" s="1">
        <f t="shared" si="47"/>
        <v>95.050472911832912</v>
      </c>
      <c r="I244" s="1">
        <f t="shared" si="48"/>
        <v>94.722409274804733</v>
      </c>
      <c r="J244" s="1">
        <f t="shared" si="49"/>
        <v>84.483315147625319</v>
      </c>
      <c r="K244" s="1">
        <f t="shared" si="50"/>
        <v>95.4629615740741</v>
      </c>
      <c r="L244" s="23">
        <f t="shared" si="41"/>
        <v>4.2774552679956113E-3</v>
      </c>
      <c r="M244" s="23">
        <f t="shared" si="42"/>
        <v>9.1502745098039906E-3</v>
      </c>
      <c r="N244" s="23">
        <f t="shared" si="43"/>
        <v>2.6555265610223477E-2</v>
      </c>
      <c r="O244" s="23">
        <f t="shared" si="44"/>
        <v>1.2694748501836939E-2</v>
      </c>
      <c r="P244" s="23">
        <f t="shared" si="45"/>
        <v>4.3837992540116666E-3</v>
      </c>
    </row>
    <row r="245" spans="1:16" x14ac:dyDescent="0.35">
      <c r="A245" s="2">
        <f>Prices!A243</f>
        <v>44240</v>
      </c>
      <c r="B245" s="1">
        <f>Prices!B243</f>
        <v>2149.8701169999999</v>
      </c>
      <c r="C245" s="1">
        <f>Prices!C243</f>
        <v>38.209999000000003</v>
      </c>
      <c r="D245" s="1">
        <f>Prices!D243</f>
        <v>54.869999</v>
      </c>
      <c r="E245" s="1">
        <f>Prices!E243</f>
        <v>50.990001999999997</v>
      </c>
      <c r="F245" s="1">
        <f>Prices!F243</f>
        <v>410.20001200000002</v>
      </c>
      <c r="G245" s="1">
        <f t="shared" si="46"/>
        <v>128.6015171541043</v>
      </c>
      <c r="H245" s="1">
        <f t="shared" si="47"/>
        <v>94.090120805463854</v>
      </c>
      <c r="I245" s="1">
        <f t="shared" si="48"/>
        <v>94.019873303292343</v>
      </c>
      <c r="J245" s="1">
        <f t="shared" si="49"/>
        <v>81.819643774069476</v>
      </c>
      <c r="K245" s="1">
        <f t="shared" si="50"/>
        <v>94.953706481481518</v>
      </c>
      <c r="L245" s="23">
        <f t="shared" si="41"/>
        <v>-4.689760648148189E-3</v>
      </c>
      <c r="M245" s="23">
        <f t="shared" si="42"/>
        <v>-1.0103601559771969E-2</v>
      </c>
      <c r="N245" s="23">
        <f t="shared" si="43"/>
        <v>-7.4167873990012012E-3</v>
      </c>
      <c r="O245" s="23">
        <f t="shared" si="44"/>
        <v>-3.1528963664616882E-2</v>
      </c>
      <c r="P245" s="23">
        <f t="shared" si="45"/>
        <v>-5.3345830068076694E-3</v>
      </c>
    </row>
    <row r="246" spans="1:16" x14ac:dyDescent="0.35">
      <c r="A246" s="2">
        <f>Prices!A244</f>
        <v>44241</v>
      </c>
      <c r="B246" s="1">
        <f>Prices!B244</f>
        <v>2134.8701169999999</v>
      </c>
      <c r="C246" s="1">
        <f>Prices!C244</f>
        <v>37.939999</v>
      </c>
      <c r="D246" s="1">
        <f>Prices!D244</f>
        <v>54.5</v>
      </c>
      <c r="E246" s="1">
        <f>Prices!E244</f>
        <v>50.490001999999997</v>
      </c>
      <c r="F246" s="1">
        <f>Prices!F244</f>
        <v>410.89999399999999</v>
      </c>
      <c r="G246" s="1">
        <f t="shared" si="46"/>
        <v>127.70424306202872</v>
      </c>
      <c r="H246" s="1">
        <f t="shared" si="47"/>
        <v>93.425259950129217</v>
      </c>
      <c r="I246" s="1">
        <f t="shared" si="48"/>
        <v>93.385879140064006</v>
      </c>
      <c r="J246" s="1">
        <f t="shared" si="49"/>
        <v>81.017333119383977</v>
      </c>
      <c r="K246" s="1">
        <f t="shared" si="50"/>
        <v>95.115739351851886</v>
      </c>
      <c r="L246" s="23">
        <f t="shared" si="41"/>
        <v>-6.9771656814930916E-3</v>
      </c>
      <c r="M246" s="23">
        <f t="shared" si="42"/>
        <v>-7.0662132181684711E-3</v>
      </c>
      <c r="N246" s="23">
        <f t="shared" si="43"/>
        <v>-6.7431931245341969E-3</v>
      </c>
      <c r="O246" s="23">
        <f t="shared" si="44"/>
        <v>-9.8058438985744178E-3</v>
      </c>
      <c r="P246" s="23">
        <f t="shared" si="45"/>
        <v>1.706440710684376E-3</v>
      </c>
    </row>
    <row r="247" spans="1:16" x14ac:dyDescent="0.35">
      <c r="A247" s="2">
        <f>Prices!A245</f>
        <v>44245</v>
      </c>
      <c r="B247" s="1">
        <f>Prices!B245</f>
        <v>2155.669922</v>
      </c>
      <c r="C247" s="1">
        <f>Prices!C245</f>
        <v>35.82</v>
      </c>
      <c r="D247" s="1">
        <f>Prices!D245</f>
        <v>54.419998</v>
      </c>
      <c r="E247" s="1">
        <f>Prices!E245</f>
        <v>50.209999000000003</v>
      </c>
      <c r="F247" s="1">
        <f>Prices!F245</f>
        <v>412.79998799999998</v>
      </c>
      <c r="G247" s="1">
        <f t="shared" si="46"/>
        <v>128.9484514718103</v>
      </c>
      <c r="H247" s="1">
        <f t="shared" si="47"/>
        <v>88.204873474393835</v>
      </c>
      <c r="I247" s="1">
        <f t="shared" si="48"/>
        <v>93.248795523495872</v>
      </c>
      <c r="J247" s="1">
        <f t="shared" si="49"/>
        <v>80.568034338896183</v>
      </c>
      <c r="K247" s="1">
        <f t="shared" si="50"/>
        <v>95.55555277777782</v>
      </c>
      <c r="L247" s="23">
        <f t="shared" si="41"/>
        <v>9.7428901338638685E-3</v>
      </c>
      <c r="M247" s="23">
        <f t="shared" si="42"/>
        <v>-5.5877676749543359E-2</v>
      </c>
      <c r="N247" s="23">
        <f t="shared" si="43"/>
        <v>-1.4679266055045437E-3</v>
      </c>
      <c r="O247" s="23">
        <f t="shared" si="44"/>
        <v>-5.5457118025068475E-3</v>
      </c>
      <c r="P247" s="23">
        <f t="shared" si="45"/>
        <v>4.6239815715354293E-3</v>
      </c>
    </row>
    <row r="248" spans="1:16" x14ac:dyDescent="0.35">
      <c r="A248" s="2">
        <f>Prices!A246</f>
        <v>44246</v>
      </c>
      <c r="B248" s="1">
        <f>Prices!B246</f>
        <v>2170.219971</v>
      </c>
      <c r="C248" s="1">
        <f>Prices!C246</f>
        <v>36.229999999999997</v>
      </c>
      <c r="D248" s="1">
        <f>Prices!D246</f>
        <v>54.34</v>
      </c>
      <c r="E248" s="1">
        <f>Prices!E246</f>
        <v>50.220001000000003</v>
      </c>
      <c r="F248" s="1">
        <f>Prices!F246</f>
        <v>409.20001200000002</v>
      </c>
      <c r="G248" s="1">
        <f t="shared" si="46"/>
        <v>129.81881027221897</v>
      </c>
      <c r="H248" s="1">
        <f t="shared" si="47"/>
        <v>89.214476995457517</v>
      </c>
      <c r="I248" s="1">
        <f t="shared" si="48"/>
        <v>93.111718760937222</v>
      </c>
      <c r="J248" s="1">
        <f t="shared" si="49"/>
        <v>80.584083761232506</v>
      </c>
      <c r="K248" s="1">
        <f t="shared" si="50"/>
        <v>94.722225000000051</v>
      </c>
      <c r="L248" s="23">
        <f t="shared" si="41"/>
        <v>6.7496646177169772E-3</v>
      </c>
      <c r="M248" s="23">
        <f t="shared" si="42"/>
        <v>1.1446119486320461E-2</v>
      </c>
      <c r="N248" s="23">
        <f t="shared" si="43"/>
        <v>-1.470011079382938E-3</v>
      </c>
      <c r="O248" s="23">
        <f t="shared" si="44"/>
        <v>1.9920334991452293E-4</v>
      </c>
      <c r="P248" s="23">
        <f t="shared" si="45"/>
        <v>-8.7208723465369564E-3</v>
      </c>
    </row>
    <row r="249" spans="1:16" x14ac:dyDescent="0.35">
      <c r="A249" s="2">
        <f>Prices!A247</f>
        <v>44247</v>
      </c>
      <c r="B249" s="1">
        <f>Prices!B247</f>
        <v>2153.1000979999999</v>
      </c>
      <c r="C249" s="1">
        <f>Prices!C247</f>
        <v>36.169998</v>
      </c>
      <c r="D249" s="1">
        <f>Prices!D247</f>
        <v>54.189999</v>
      </c>
      <c r="E249" s="1">
        <f>Prices!E247</f>
        <v>49.619999</v>
      </c>
      <c r="F249" s="1">
        <f>Prices!F247</f>
        <v>409.70001200000002</v>
      </c>
      <c r="G249" s="1">
        <f t="shared" si="46"/>
        <v>128.79472903871735</v>
      </c>
      <c r="H249" s="1">
        <f t="shared" si="47"/>
        <v>89.066725213821272</v>
      </c>
      <c r="I249" s="1">
        <f t="shared" si="48"/>
        <v>92.854691692003485</v>
      </c>
      <c r="J249" s="1">
        <f t="shared" si="49"/>
        <v>79.621307766367295</v>
      </c>
      <c r="K249" s="1">
        <f t="shared" si="50"/>
        <v>94.837965740740785</v>
      </c>
      <c r="L249" s="23">
        <f t="shared" si="41"/>
        <v>-7.8885427416427456E-3</v>
      </c>
      <c r="M249" s="23">
        <f t="shared" si="42"/>
        <v>-1.6561413193485475E-3</v>
      </c>
      <c r="N249" s="23">
        <f t="shared" si="43"/>
        <v>-2.7604158998896233E-3</v>
      </c>
      <c r="O249" s="23">
        <f t="shared" si="44"/>
        <v>-1.194747088913839E-2</v>
      </c>
      <c r="P249" s="23">
        <f t="shared" si="45"/>
        <v>1.2218963473540345E-3</v>
      </c>
    </row>
    <row r="250" spans="1:16" x14ac:dyDescent="0.35">
      <c r="A250" s="2">
        <f>Prices!A248</f>
        <v>44248</v>
      </c>
      <c r="B250" s="1">
        <f>Prices!B248</f>
        <v>2095.969971</v>
      </c>
      <c r="C250" s="1">
        <f>Prices!C248</f>
        <v>36.459999000000003</v>
      </c>
      <c r="D250" s="1">
        <f>Prices!D248</f>
        <v>54.619999</v>
      </c>
      <c r="E250" s="1">
        <f>Prices!E248</f>
        <v>49.169998</v>
      </c>
      <c r="F250" s="1">
        <f>Prices!F248</f>
        <v>406.20001200000002</v>
      </c>
      <c r="G250" s="1">
        <f t="shared" si="46"/>
        <v>125.3773035164449</v>
      </c>
      <c r="H250" s="1">
        <f t="shared" si="47"/>
        <v>89.780837483850519</v>
      </c>
      <c r="I250" s="1">
        <f t="shared" si="48"/>
        <v>93.591497710906737</v>
      </c>
      <c r="J250" s="1">
        <f t="shared" si="49"/>
        <v>78.899226572529045</v>
      </c>
      <c r="K250" s="1">
        <f t="shared" si="50"/>
        <v>94.027780555555594</v>
      </c>
      <c r="L250" s="23">
        <f t="shared" si="41"/>
        <v>-2.6533892712683249E-2</v>
      </c>
      <c r="M250" s="23">
        <f t="shared" si="42"/>
        <v>8.0177223122877006E-3</v>
      </c>
      <c r="N250" s="23">
        <f t="shared" si="43"/>
        <v>7.9350435123646257E-3</v>
      </c>
      <c r="O250" s="23">
        <f t="shared" si="44"/>
        <v>-9.0689441569719031E-3</v>
      </c>
      <c r="P250" s="23">
        <f t="shared" si="45"/>
        <v>-8.542835971408258E-3</v>
      </c>
    </row>
    <row r="251" spans="1:16" x14ac:dyDescent="0.35">
      <c r="A251" s="2">
        <f>Prices!A249</f>
        <v>44251</v>
      </c>
      <c r="B251" s="1">
        <f>Prices!B249</f>
        <v>2009.290039</v>
      </c>
      <c r="C251" s="1">
        <f>Prices!C249</f>
        <v>35.5</v>
      </c>
      <c r="D251" s="1">
        <f>Prices!D249</f>
        <v>51.23</v>
      </c>
      <c r="E251" s="1">
        <f>Prices!E249</f>
        <v>47.279998999999997</v>
      </c>
      <c r="F251" s="1">
        <f>Prices!F249</f>
        <v>404.10000600000001</v>
      </c>
      <c r="G251" s="1">
        <f t="shared" si="46"/>
        <v>120.19225969734678</v>
      </c>
      <c r="H251" s="1">
        <f t="shared" si="47"/>
        <v>87.416890238441667</v>
      </c>
      <c r="I251" s="1">
        <f t="shared" si="48"/>
        <v>87.782726391660177</v>
      </c>
      <c r="J251" s="1">
        <f t="shared" si="49"/>
        <v>75.866493902439174</v>
      </c>
      <c r="K251" s="1">
        <f t="shared" si="50"/>
        <v>93.54166805555559</v>
      </c>
      <c r="L251" s="23">
        <f t="shared" si="41"/>
        <v>-4.1355521882140533E-2</v>
      </c>
      <c r="M251" s="23">
        <f t="shared" si="42"/>
        <v>-2.6330198198853627E-2</v>
      </c>
      <c r="N251" s="23">
        <f t="shared" si="43"/>
        <v>-6.2065160418622534E-2</v>
      </c>
      <c r="O251" s="23">
        <f t="shared" si="44"/>
        <v>-3.8438053220990587E-2</v>
      </c>
      <c r="P251" s="23">
        <f t="shared" si="45"/>
        <v>-5.1698816788808832E-3</v>
      </c>
    </row>
    <row r="252" spans="1:16" x14ac:dyDescent="0.35">
      <c r="A252" s="2">
        <f>Prices!A250</f>
        <v>44252</v>
      </c>
      <c r="B252" s="1">
        <f>Prices!B250</f>
        <v>1972.73999</v>
      </c>
      <c r="C252" s="1">
        <f>Prices!C250</f>
        <v>34.82</v>
      </c>
      <c r="D252" s="1">
        <f>Prices!D250</f>
        <v>50.43</v>
      </c>
      <c r="E252" s="1">
        <f>Prices!E250</f>
        <v>45.900002000000001</v>
      </c>
      <c r="F252" s="1">
        <f>Prices!F250</f>
        <v>389.5</v>
      </c>
      <c r="G252" s="1">
        <f t="shared" si="46"/>
        <v>118.0058988952273</v>
      </c>
      <c r="H252" s="1">
        <f t="shared" si="47"/>
        <v>85.742425862043348</v>
      </c>
      <c r="I252" s="1">
        <f t="shared" si="48"/>
        <v>86.411924496026217</v>
      </c>
      <c r="J252" s="1">
        <f t="shared" si="49"/>
        <v>73.65212130937114</v>
      </c>
      <c r="K252" s="1">
        <f t="shared" si="50"/>
        <v>90.162037037037067</v>
      </c>
      <c r="L252" s="23">
        <f t="shared" si="41"/>
        <v>-1.8190529137441236E-2</v>
      </c>
      <c r="M252" s="23">
        <f t="shared" si="42"/>
        <v>-1.9154929577464785E-2</v>
      </c>
      <c r="N252" s="23">
        <f t="shared" si="43"/>
        <v>-1.5615850087839056E-2</v>
      </c>
      <c r="O252" s="23">
        <f t="shared" si="44"/>
        <v>-2.9187754424444767E-2</v>
      </c>
      <c r="P252" s="23">
        <f t="shared" si="45"/>
        <v>-3.6129685184909444E-2</v>
      </c>
    </row>
    <row r="253" spans="1:16" x14ac:dyDescent="0.35">
      <c r="A253" s="2">
        <f>Prices!A251</f>
        <v>44253</v>
      </c>
      <c r="B253" s="1">
        <f>Prices!B251</f>
        <v>1979.589966</v>
      </c>
      <c r="C253" s="1">
        <f>Prices!C251</f>
        <v>35.669998</v>
      </c>
      <c r="D253" s="1">
        <f>Prices!D251</f>
        <v>49.709999000000003</v>
      </c>
      <c r="E253" s="1">
        <f>Prices!E251</f>
        <v>45.75</v>
      </c>
      <c r="F253" s="1">
        <f>Prices!F251</f>
        <v>381.79998799999998</v>
      </c>
      <c r="G253" s="1">
        <f t="shared" si="46"/>
        <v>118.41565262830326</v>
      </c>
      <c r="H253" s="1">
        <f t="shared" si="47"/>
        <v>87.835501407646021</v>
      </c>
      <c r="I253" s="1">
        <f t="shared" si="48"/>
        <v>85.178201076453277</v>
      </c>
      <c r="J253" s="1">
        <f t="shared" si="49"/>
        <v>73.411424903722875</v>
      </c>
      <c r="K253" s="1">
        <f t="shared" si="50"/>
        <v>88.379626851851881</v>
      </c>
      <c r="L253" s="23">
        <f t="shared" si="41"/>
        <v>3.4723156800811061E-3</v>
      </c>
      <c r="M253" s="23">
        <f t="shared" si="42"/>
        <v>2.4411200459506066E-2</v>
      </c>
      <c r="N253" s="23">
        <f t="shared" si="43"/>
        <v>-1.4277235772357622E-2</v>
      </c>
      <c r="O253" s="23">
        <f t="shared" si="44"/>
        <v>-3.2680172867965984E-3</v>
      </c>
      <c r="P253" s="23">
        <f t="shared" si="45"/>
        <v>-1.97689653401798E-2</v>
      </c>
    </row>
    <row r="254" spans="1:16" x14ac:dyDescent="0.35">
      <c r="A254" s="2">
        <f>Prices!A252</f>
        <v>44254</v>
      </c>
      <c r="B254" s="1">
        <f>Prices!B252</f>
        <v>1884.3000489999999</v>
      </c>
      <c r="C254" s="1">
        <f>Prices!C252</f>
        <v>33.82</v>
      </c>
      <c r="D254" s="1">
        <f>Prices!D252</f>
        <v>47.259998000000003</v>
      </c>
      <c r="E254" s="1">
        <f>Prices!E252</f>
        <v>43.939999</v>
      </c>
      <c r="F254" s="1">
        <f>Prices!F252</f>
        <v>379.89999399999999</v>
      </c>
      <c r="G254" s="1">
        <f t="shared" si="46"/>
        <v>112.71557437762786</v>
      </c>
      <c r="H254" s="1">
        <f t="shared" si="47"/>
        <v>83.279978249692874</v>
      </c>
      <c r="I254" s="1">
        <f t="shared" si="48"/>
        <v>80.980118557571885</v>
      </c>
      <c r="J254" s="1">
        <f t="shared" si="49"/>
        <v>70.50705872914007</v>
      </c>
      <c r="K254" s="1">
        <f t="shared" si="50"/>
        <v>87.939813425925962</v>
      </c>
      <c r="L254" s="23">
        <f t="shared" si="41"/>
        <v>-4.8136189128370255E-2</v>
      </c>
      <c r="M254" s="23">
        <f t="shared" si="42"/>
        <v>-5.1864258585043954E-2</v>
      </c>
      <c r="N254" s="23">
        <f t="shared" si="43"/>
        <v>-4.928587908440718E-2</v>
      </c>
      <c r="O254" s="23">
        <f t="shared" si="44"/>
        <v>-3.9562863387978098E-2</v>
      </c>
      <c r="P254" s="23">
        <f t="shared" si="45"/>
        <v>-4.976411890301069E-3</v>
      </c>
    </row>
    <row r="255" spans="1:16" x14ac:dyDescent="0.35">
      <c r="A255" s="2">
        <f>Prices!A253</f>
        <v>44255</v>
      </c>
      <c r="B255" s="1">
        <f>Prices!B253</f>
        <v>1883.75</v>
      </c>
      <c r="C255" s="1">
        <f>Prices!C253</f>
        <v>33.57</v>
      </c>
      <c r="D255" s="1">
        <f>Prices!D253</f>
        <v>46.93</v>
      </c>
      <c r="E255" s="1">
        <f>Prices!E253</f>
        <v>44.029998999999997</v>
      </c>
      <c r="F255" s="1">
        <f>Prices!F253</f>
        <v>364.70001200000002</v>
      </c>
      <c r="G255" s="1">
        <f t="shared" si="46"/>
        <v>112.68267139648972</v>
      </c>
      <c r="H255" s="1">
        <f t="shared" si="47"/>
        <v>82.664366346605263</v>
      </c>
      <c r="I255" s="1">
        <f t="shared" si="48"/>
        <v>80.414666202627615</v>
      </c>
      <c r="J255" s="1">
        <f t="shared" si="49"/>
        <v>70.651474646983459</v>
      </c>
      <c r="K255" s="1">
        <f t="shared" si="50"/>
        <v>84.421299074074113</v>
      </c>
      <c r="L255" s="23">
        <f t="shared" si="41"/>
        <v>-2.9191157761310205E-4</v>
      </c>
      <c r="M255" s="23">
        <f t="shared" si="42"/>
        <v>-7.3920756948551158E-3</v>
      </c>
      <c r="N255" s="23">
        <f t="shared" si="43"/>
        <v>-6.9826071511895904E-3</v>
      </c>
      <c r="O255" s="23">
        <f t="shared" si="44"/>
        <v>2.0482476569922969E-3</v>
      </c>
      <c r="P255" s="23">
        <f t="shared" si="45"/>
        <v>-4.0010482337622721E-2</v>
      </c>
    </row>
    <row r="256" spans="1:16" x14ac:dyDescent="0.35">
      <c r="A256" s="2">
        <f>Prices!A254</f>
        <v>44257</v>
      </c>
      <c r="B256" s="1">
        <f>Prices!B254</f>
        <v>1953.9499510000001</v>
      </c>
      <c r="C256" s="1">
        <f>Prices!C254</f>
        <v>33.770000000000003</v>
      </c>
      <c r="D256" s="1">
        <f>Prices!D254</f>
        <v>48.77</v>
      </c>
      <c r="E256" s="1">
        <f>Prices!E254</f>
        <v>44.830002</v>
      </c>
      <c r="F256" s="1">
        <f>Prices!F254</f>
        <v>350.79998799999998</v>
      </c>
      <c r="G256" s="1">
        <f t="shared" si="46"/>
        <v>116.881911216308</v>
      </c>
      <c r="H256" s="1">
        <f t="shared" si="47"/>
        <v>83.156855869075358</v>
      </c>
      <c r="I256" s="1">
        <f t="shared" si="48"/>
        <v>83.567510562585738</v>
      </c>
      <c r="J256" s="1">
        <f t="shared" si="49"/>
        <v>71.935176508344185</v>
      </c>
      <c r="K256" s="1">
        <f t="shared" si="50"/>
        <v>81.203700925925958</v>
      </c>
      <c r="L256" s="23">
        <f t="shared" si="41"/>
        <v>3.7266065560716655E-2</v>
      </c>
      <c r="M256" s="23">
        <f t="shared" si="42"/>
        <v>5.9577003276736207E-3</v>
      </c>
      <c r="N256" s="23">
        <f t="shared" si="43"/>
        <v>3.9207330066055812E-2</v>
      </c>
      <c r="O256" s="23">
        <f t="shared" si="44"/>
        <v>1.8169498482159874E-2</v>
      </c>
      <c r="P256" s="23">
        <f t="shared" si="45"/>
        <v>-3.8113582513400135E-2</v>
      </c>
    </row>
    <row r="257" spans="1:16" x14ac:dyDescent="0.35">
      <c r="A257" s="2">
        <f>Prices!A255</f>
        <v>44258</v>
      </c>
      <c r="B257" s="1">
        <f>Prices!B255</f>
        <v>1908.98999</v>
      </c>
      <c r="C257" s="1">
        <f>Prices!C255</f>
        <v>32.57</v>
      </c>
      <c r="D257" s="1">
        <f>Prices!D255</f>
        <v>48.759998000000003</v>
      </c>
      <c r="E257" s="1">
        <f>Prices!E255</f>
        <v>43.959999000000003</v>
      </c>
      <c r="F257" s="1">
        <f>Prices!F255</f>
        <v>343.20001200000002</v>
      </c>
      <c r="G257" s="1">
        <f t="shared" si="46"/>
        <v>114.19248400390613</v>
      </c>
      <c r="H257" s="1">
        <f t="shared" si="47"/>
        <v>80.201918734254789</v>
      </c>
      <c r="I257" s="1">
        <f t="shared" si="48"/>
        <v>83.550372111885579</v>
      </c>
      <c r="J257" s="1">
        <f t="shared" si="49"/>
        <v>70.539151155327488</v>
      </c>
      <c r="K257" s="1">
        <f t="shared" si="50"/>
        <v>79.444447222222266</v>
      </c>
      <c r="L257" s="23">
        <f t="shared" si="41"/>
        <v>-2.3009781277657737E-2</v>
      </c>
      <c r="M257" s="23">
        <f t="shared" si="42"/>
        <v>-3.5534498075214804E-2</v>
      </c>
      <c r="N257" s="23">
        <f t="shared" si="43"/>
        <v>-2.0508509329508762E-4</v>
      </c>
      <c r="O257" s="23">
        <f t="shared" si="44"/>
        <v>-1.940671338805644E-2</v>
      </c>
      <c r="P257" s="23">
        <f t="shared" si="45"/>
        <v>-2.1664698574619057E-2</v>
      </c>
    </row>
    <row r="258" spans="1:16" x14ac:dyDescent="0.35">
      <c r="A258" s="2">
        <f>Prices!A256</f>
        <v>44259</v>
      </c>
      <c r="B258" s="1">
        <f>Prices!B256</f>
        <v>1975.829956</v>
      </c>
      <c r="C258" s="1">
        <f>Prices!C256</f>
        <v>33.229999999999997</v>
      </c>
      <c r="D258" s="1">
        <f>Prices!D256</f>
        <v>51.48</v>
      </c>
      <c r="E258" s="1">
        <f>Prices!E256</f>
        <v>45.299999</v>
      </c>
      <c r="F258" s="1">
        <f>Prices!F256</f>
        <v>346</v>
      </c>
      <c r="G258" s="1">
        <f t="shared" si="46"/>
        <v>118.19073532437358</v>
      </c>
      <c r="H258" s="1">
        <f t="shared" si="47"/>
        <v>81.827134158406082</v>
      </c>
      <c r="I258" s="1">
        <f t="shared" si="48"/>
        <v>88.211101984045797</v>
      </c>
      <c r="J258" s="1">
        <f t="shared" si="49"/>
        <v>72.689343709884611</v>
      </c>
      <c r="K258" s="1">
        <f t="shared" si="50"/>
        <v>80.092592592592638</v>
      </c>
      <c r="L258" s="23">
        <f t="shared" si="41"/>
        <v>3.501326164628038E-2</v>
      </c>
      <c r="M258" s="23">
        <f t="shared" si="42"/>
        <v>2.0264046668713398E-2</v>
      </c>
      <c r="N258" s="23">
        <f t="shared" si="43"/>
        <v>5.578347234550729E-2</v>
      </c>
      <c r="O258" s="23">
        <f t="shared" si="44"/>
        <v>3.0482257290315173E-2</v>
      </c>
      <c r="P258" s="23">
        <f t="shared" si="45"/>
        <v>8.1584729082118113E-3</v>
      </c>
    </row>
    <row r="259" spans="1:16" x14ac:dyDescent="0.35">
      <c r="A259" s="2">
        <f>Prices!A257</f>
        <v>44260</v>
      </c>
      <c r="B259" s="1">
        <f>Prices!B257</f>
        <v>1924.030029</v>
      </c>
      <c r="C259" s="1">
        <f>Prices!C257</f>
        <v>32.729999999999997</v>
      </c>
      <c r="D259" s="1">
        <f>Prices!D257</f>
        <v>49.27</v>
      </c>
      <c r="E259" s="1">
        <f>Prices!E257</f>
        <v>43.73</v>
      </c>
      <c r="F259" s="1">
        <f>Prices!F257</f>
        <v>350.10000600000001</v>
      </c>
      <c r="G259" s="1">
        <f t="shared" si="46"/>
        <v>115.09215315980654</v>
      </c>
      <c r="H259" s="1">
        <f t="shared" si="47"/>
        <v>80.59591035223086</v>
      </c>
      <c r="I259" s="1">
        <f t="shared" si="48"/>
        <v>84.424261747356965</v>
      </c>
      <c r="J259" s="1">
        <f t="shared" si="49"/>
        <v>70.17008985879346</v>
      </c>
      <c r="K259" s="1">
        <f t="shared" si="50"/>
        <v>81.041668055555604</v>
      </c>
      <c r="L259" s="23">
        <f t="shared" si="41"/>
        <v>-2.6216794032654089E-2</v>
      </c>
      <c r="M259" s="23">
        <f t="shared" si="42"/>
        <v>-1.5046644598254555E-2</v>
      </c>
      <c r="N259" s="23">
        <f t="shared" si="43"/>
        <v>-4.2929292929292817E-2</v>
      </c>
      <c r="O259" s="23">
        <f t="shared" si="44"/>
        <v>-3.4657815334609654E-2</v>
      </c>
      <c r="P259" s="23">
        <f t="shared" si="45"/>
        <v>1.1849728323699349E-2</v>
      </c>
    </row>
    <row r="260" spans="1:16" x14ac:dyDescent="0.35">
      <c r="A260" s="2">
        <f>Prices!A258</f>
        <v>44261</v>
      </c>
      <c r="B260" s="1">
        <f>Prices!B258</f>
        <v>1901.089966</v>
      </c>
      <c r="C260" s="1">
        <f>Prices!C258</f>
        <v>32.259998000000003</v>
      </c>
      <c r="D260" s="1">
        <f>Prices!D258</f>
        <v>46.16</v>
      </c>
      <c r="E260" s="1">
        <f>Prices!E258</f>
        <v>41.869999</v>
      </c>
      <c r="F260" s="1">
        <f>Prices!F258</f>
        <v>351.60000600000001</v>
      </c>
      <c r="G260" s="1">
        <f t="shared" si="46"/>
        <v>113.71991821310779</v>
      </c>
      <c r="H260" s="1">
        <f t="shared" si="47"/>
        <v>79.438555049530933</v>
      </c>
      <c r="I260" s="1">
        <f t="shared" si="48"/>
        <v>79.095269378079905</v>
      </c>
      <c r="J260" s="1">
        <f t="shared" si="49"/>
        <v>67.185492618742103</v>
      </c>
      <c r="K260" s="1">
        <f t="shared" si="50"/>
        <v>81.388890277777833</v>
      </c>
      <c r="L260" s="23">
        <f t="shared" si="41"/>
        <v>-1.1922923579276379E-2</v>
      </c>
      <c r="M260" s="23">
        <f t="shared" si="42"/>
        <v>-1.4359975557592275E-2</v>
      </c>
      <c r="N260" s="23">
        <f t="shared" si="43"/>
        <v>-6.31215749949261E-2</v>
      </c>
      <c r="O260" s="23">
        <f t="shared" si="44"/>
        <v>-4.25337525726045E-2</v>
      </c>
      <c r="P260" s="23">
        <f t="shared" si="45"/>
        <v>4.284490072245184E-3</v>
      </c>
    </row>
    <row r="261" spans="1:16" x14ac:dyDescent="0.35">
      <c r="A261" s="2">
        <f>Prices!A259</f>
        <v>44264</v>
      </c>
      <c r="B261" s="1">
        <f>Prices!B259</f>
        <v>1800.6099850000001</v>
      </c>
      <c r="C261" s="1">
        <f>Prices!C259</f>
        <v>30.450001</v>
      </c>
      <c r="D261" s="1">
        <f>Prices!D259</f>
        <v>41.810001</v>
      </c>
      <c r="E261" s="1">
        <f>Prices!E259</f>
        <v>34.68</v>
      </c>
      <c r="F261" s="1">
        <f>Prices!F259</f>
        <v>343</v>
      </c>
      <c r="G261" s="1">
        <f t="shared" si="46"/>
        <v>107.70937929820479</v>
      </c>
      <c r="H261" s="1">
        <f t="shared" si="47"/>
        <v>74.981532258519408</v>
      </c>
      <c r="I261" s="1">
        <f t="shared" si="48"/>
        <v>71.641535784072587</v>
      </c>
      <c r="J261" s="1">
        <f t="shared" si="49"/>
        <v>55.648267008985982</v>
      </c>
      <c r="K261" s="1">
        <f t="shared" si="50"/>
        <v>79.398148148148195</v>
      </c>
      <c r="L261" s="23">
        <f t="shared" ref="L261:L324" si="51">B261/B260-1</f>
        <v>-5.2853880035680478E-2</v>
      </c>
      <c r="M261" s="23">
        <f t="shared" ref="M261:M324" si="52">C261/C260-1</f>
        <v>-5.6106544085960608E-2</v>
      </c>
      <c r="N261" s="23">
        <f t="shared" ref="N261:N324" si="53">D261/D260-1</f>
        <v>-9.4237413344887333E-2</v>
      </c>
      <c r="O261" s="23">
        <f t="shared" ref="O261:O324" si="54">E261/E260-1</f>
        <v>-0.17172197687418145</v>
      </c>
      <c r="P261" s="23">
        <f t="shared" ref="P261:P324" si="55">F261/F260-1</f>
        <v>-2.4459629844261199E-2</v>
      </c>
    </row>
    <row r="262" spans="1:16" x14ac:dyDescent="0.35">
      <c r="A262" s="2">
        <f>Prices!A260</f>
        <v>44265</v>
      </c>
      <c r="B262" s="1">
        <f>Prices!B260</f>
        <v>1891.8199460000001</v>
      </c>
      <c r="C262" s="1">
        <f>Prices!C260</f>
        <v>31.67</v>
      </c>
      <c r="D262" s="1">
        <f>Prices!D260</f>
        <v>45.799999</v>
      </c>
      <c r="E262" s="1">
        <f>Prices!E260</f>
        <v>36.959999000000003</v>
      </c>
      <c r="F262" s="1">
        <f>Prices!F260</f>
        <v>308</v>
      </c>
      <c r="G262" s="1">
        <f t="shared" ref="G262:G325" si="56">G261*B262/B261</f>
        <v>113.16540162783964</v>
      </c>
      <c r="H262" s="1">
        <f t="shared" ref="H262:H325" si="57">H261*C262/C261</f>
        <v>77.985715883139378</v>
      </c>
      <c r="I262" s="1">
        <f t="shared" ref="I262:I325" si="58">I261*D262/D261</f>
        <v>78.478406811542257</v>
      </c>
      <c r="J262" s="1">
        <f t="shared" ref="J262:J325" si="59">J261*E262/E261</f>
        <v>59.306801989730545</v>
      </c>
      <c r="K262" s="1">
        <f t="shared" ref="K262:K325" si="60">K261*F262/F261</f>
        <v>71.296296296296333</v>
      </c>
      <c r="L262" s="23">
        <f t="shared" si="51"/>
        <v>5.0655034549305755E-2</v>
      </c>
      <c r="M262" s="23">
        <f t="shared" si="52"/>
        <v>4.0065647288484607E-2</v>
      </c>
      <c r="N262" s="23">
        <f t="shared" si="53"/>
        <v>9.5431664782787307E-2</v>
      </c>
      <c r="O262" s="23">
        <f t="shared" si="54"/>
        <v>6.5743915801614872E-2</v>
      </c>
      <c r="P262" s="23">
        <f t="shared" si="55"/>
        <v>-0.10204081632653061</v>
      </c>
    </row>
    <row r="263" spans="1:16" x14ac:dyDescent="0.35">
      <c r="A263" s="2">
        <f>Prices!A261</f>
        <v>44266</v>
      </c>
      <c r="B263" s="1">
        <f>Prices!B261</f>
        <v>1820.8599850000001</v>
      </c>
      <c r="C263" s="1">
        <f>Prices!C261</f>
        <v>30.91</v>
      </c>
      <c r="D263" s="1">
        <f>Prices!D261</f>
        <v>42.709999000000003</v>
      </c>
      <c r="E263" s="1">
        <f>Prices!E261</f>
        <v>34.490001999999997</v>
      </c>
      <c r="F263" s="1">
        <f>Prices!F261</f>
        <v>316.10000600000001</v>
      </c>
      <c r="G263" s="1">
        <f t="shared" si="56"/>
        <v>108.92069932250681</v>
      </c>
      <c r="H263" s="1">
        <f t="shared" si="57"/>
        <v>76.114255697753009</v>
      </c>
      <c r="I263" s="1">
        <f t="shared" si="58"/>
        <v>73.183684489656059</v>
      </c>
      <c r="J263" s="1">
        <f t="shared" si="59"/>
        <v>55.343392169448116</v>
      </c>
      <c r="K263" s="1">
        <f t="shared" si="60"/>
        <v>73.171297685185223</v>
      </c>
      <c r="L263" s="23">
        <f t="shared" si="51"/>
        <v>-3.7508834363457977E-2</v>
      </c>
      <c r="M263" s="23">
        <f t="shared" si="52"/>
        <v>-2.3997473950110537E-2</v>
      </c>
      <c r="N263" s="23">
        <f t="shared" si="53"/>
        <v>-6.7467250381380905E-2</v>
      </c>
      <c r="O263" s="23">
        <f t="shared" si="54"/>
        <v>-6.6828924968315273E-2</v>
      </c>
      <c r="P263" s="23">
        <f t="shared" si="55"/>
        <v>2.6298720779220908E-2</v>
      </c>
    </row>
    <row r="264" spans="1:16" x14ac:dyDescent="0.35">
      <c r="A264" s="2">
        <f>Prices!A262</f>
        <v>44267</v>
      </c>
      <c r="B264" s="1">
        <f>Prices!B262</f>
        <v>1676.6099850000001</v>
      </c>
      <c r="C264" s="1">
        <f>Prices!C262</f>
        <v>28.549999</v>
      </c>
      <c r="D264" s="1">
        <f>Prices!D262</f>
        <v>38.860000999999997</v>
      </c>
      <c r="E264" s="1">
        <f>Prices!E262</f>
        <v>29.33</v>
      </c>
      <c r="F264" s="1">
        <f>Prices!F262</f>
        <v>311</v>
      </c>
      <c r="G264" s="1">
        <f t="shared" si="56"/>
        <v>100.29191347038012</v>
      </c>
      <c r="H264" s="1">
        <f t="shared" si="57"/>
        <v>70.302876870158286</v>
      </c>
      <c r="I264" s="1">
        <f t="shared" si="58"/>
        <v>66.586703793922325</v>
      </c>
      <c r="J264" s="1">
        <f t="shared" si="59"/>
        <v>47.06354300385118</v>
      </c>
      <c r="K264" s="1">
        <f t="shared" si="60"/>
        <v>71.990740740740776</v>
      </c>
      <c r="L264" s="23">
        <f t="shared" si="51"/>
        <v>-7.9220808402794329E-2</v>
      </c>
      <c r="M264" s="23">
        <f t="shared" si="52"/>
        <v>-7.6350727919767047E-2</v>
      </c>
      <c r="N264" s="23">
        <f t="shared" si="53"/>
        <v>-9.0142778977822191E-2</v>
      </c>
      <c r="O264" s="23">
        <f t="shared" si="54"/>
        <v>-0.14960863151008219</v>
      </c>
      <c r="P264" s="23">
        <f t="shared" si="55"/>
        <v>-1.6134153442565968E-2</v>
      </c>
    </row>
    <row r="265" spans="1:16" x14ac:dyDescent="0.35">
      <c r="A265" s="2">
        <f>Prices!A263</f>
        <v>44268</v>
      </c>
      <c r="B265" s="1">
        <f>Prices!B263</f>
        <v>1785</v>
      </c>
      <c r="C265" s="1">
        <f>Prices!C263</f>
        <v>29.9</v>
      </c>
      <c r="D265" s="1">
        <f>Prices!D263</f>
        <v>43.900002000000001</v>
      </c>
      <c r="E265" s="1">
        <f>Prices!E263</f>
        <v>30.08</v>
      </c>
      <c r="F265" s="1">
        <f>Prices!F263</f>
        <v>272</v>
      </c>
      <c r="G265" s="1">
        <f t="shared" si="56"/>
        <v>106.77561695699224</v>
      </c>
      <c r="H265" s="1">
        <f t="shared" si="57"/>
        <v>73.627183609279029</v>
      </c>
      <c r="I265" s="1">
        <f t="shared" si="58"/>
        <v>75.222757449918689</v>
      </c>
      <c r="J265" s="1">
        <f t="shared" si="59"/>
        <v>48.267008985879428</v>
      </c>
      <c r="K265" s="1">
        <f t="shared" si="60"/>
        <v>62.962962962962997</v>
      </c>
      <c r="L265" s="23">
        <f t="shared" si="51"/>
        <v>6.4648317718327242E-2</v>
      </c>
      <c r="M265" s="23">
        <f t="shared" si="52"/>
        <v>4.7285500780577916E-2</v>
      </c>
      <c r="N265" s="23">
        <f t="shared" si="53"/>
        <v>0.12969636825279562</v>
      </c>
      <c r="O265" s="23">
        <f t="shared" si="54"/>
        <v>2.5571087623593503E-2</v>
      </c>
      <c r="P265" s="23">
        <f t="shared" si="55"/>
        <v>-0.12540192926045013</v>
      </c>
    </row>
    <row r="266" spans="1:16" x14ac:dyDescent="0.35">
      <c r="A266" s="2">
        <f>Prices!A264</f>
        <v>44271</v>
      </c>
      <c r="B266" s="1">
        <f>Prices!B264</f>
        <v>1689.150024</v>
      </c>
      <c r="C266" s="1">
        <f>Prices!C264</f>
        <v>28.139999</v>
      </c>
      <c r="D266" s="1">
        <f>Prices!D264</f>
        <v>40.259998000000003</v>
      </c>
      <c r="E266" s="1">
        <f>Prices!E264</f>
        <v>25.32</v>
      </c>
      <c r="F266" s="1">
        <f>Prices!F264</f>
        <v>271.60000600000001</v>
      </c>
      <c r="G266" s="1">
        <f t="shared" si="56"/>
        <v>101.04203694426793</v>
      </c>
      <c r="H266" s="1">
        <f t="shared" si="57"/>
        <v>69.293273349094605</v>
      </c>
      <c r="I266" s="1">
        <f t="shared" si="58"/>
        <v>68.985601970774667</v>
      </c>
      <c r="J266" s="1">
        <f t="shared" si="59"/>
        <v>40.629011553273507</v>
      </c>
      <c r="K266" s="1">
        <f t="shared" si="60"/>
        <v>62.870371759259299</v>
      </c>
      <c r="L266" s="23">
        <f t="shared" si="51"/>
        <v>-5.3697465546218459E-2</v>
      </c>
      <c r="M266" s="23">
        <f t="shared" si="52"/>
        <v>-5.8862909698996657E-2</v>
      </c>
      <c r="N266" s="23">
        <f t="shared" si="53"/>
        <v>-8.2915804878550992E-2</v>
      </c>
      <c r="O266" s="23">
        <f t="shared" si="54"/>
        <v>-0.1582446808510638</v>
      </c>
      <c r="P266" s="23">
        <f t="shared" si="55"/>
        <v>-1.4705661764705669E-3</v>
      </c>
    </row>
    <row r="267" spans="1:16" x14ac:dyDescent="0.35">
      <c r="A267" s="2">
        <f>Prices!A265</f>
        <v>44272</v>
      </c>
      <c r="B267" s="1">
        <f>Prices!B265</f>
        <v>1807.839966</v>
      </c>
      <c r="C267" s="1">
        <f>Prices!C265</f>
        <v>29.700001</v>
      </c>
      <c r="D267" s="1">
        <f>Prices!D265</f>
        <v>41.790000999999997</v>
      </c>
      <c r="E267" s="1">
        <f>Prices!E265</f>
        <v>25.66</v>
      </c>
      <c r="F267" s="1">
        <f>Prices!F265</f>
        <v>251.10000600000001</v>
      </c>
      <c r="G267" s="1">
        <f t="shared" si="56"/>
        <v>108.14186427403803</v>
      </c>
      <c r="H267" s="1">
        <f t="shared" si="57"/>
        <v>73.13469654925656</v>
      </c>
      <c r="I267" s="1">
        <f t="shared" si="58"/>
        <v>71.607265736681725</v>
      </c>
      <c r="J267" s="1">
        <f t="shared" si="59"/>
        <v>41.174582798459639</v>
      </c>
      <c r="K267" s="1">
        <f t="shared" si="60"/>
        <v>58.125001388888926</v>
      </c>
      <c r="L267" s="23">
        <f t="shared" si="51"/>
        <v>7.0266074838595927E-2</v>
      </c>
      <c r="M267" s="23">
        <f t="shared" si="52"/>
        <v>5.5437173256473793E-2</v>
      </c>
      <c r="N267" s="23">
        <f t="shared" si="53"/>
        <v>3.8003057029461162E-2</v>
      </c>
      <c r="O267" s="23">
        <f t="shared" si="54"/>
        <v>1.3428120063191162E-2</v>
      </c>
      <c r="P267" s="23">
        <f t="shared" si="55"/>
        <v>-7.5478643398851797E-2</v>
      </c>
    </row>
    <row r="268" spans="1:16" x14ac:dyDescent="0.35">
      <c r="A268" s="2">
        <f>Prices!A266</f>
        <v>44273</v>
      </c>
      <c r="B268" s="1">
        <f>Prices!B266</f>
        <v>1830</v>
      </c>
      <c r="C268" s="1">
        <f>Prices!C266</f>
        <v>28.6</v>
      </c>
      <c r="D268" s="1">
        <f>Prices!D266</f>
        <v>38.029998999999997</v>
      </c>
      <c r="E268" s="1">
        <f>Prices!E266</f>
        <v>21.620000999999998</v>
      </c>
      <c r="F268" s="1">
        <f>Prices!F266</f>
        <v>247.39999399999999</v>
      </c>
      <c r="G268" s="1">
        <f t="shared" si="56"/>
        <v>109.46743923321894</v>
      </c>
      <c r="H268" s="1">
        <f t="shared" si="57"/>
        <v>70.426001713223428</v>
      </c>
      <c r="I268" s="1">
        <f t="shared" si="58"/>
        <v>65.164493400197344</v>
      </c>
      <c r="J268" s="1">
        <f t="shared" si="59"/>
        <v>34.691914313222142</v>
      </c>
      <c r="K268" s="1">
        <f t="shared" si="60"/>
        <v>57.268517129629664</v>
      </c>
      <c r="L268" s="23">
        <f t="shared" si="51"/>
        <v>1.2257740959799035E-2</v>
      </c>
      <c r="M268" s="23">
        <f t="shared" si="52"/>
        <v>-3.7037069460031269E-2</v>
      </c>
      <c r="N268" s="23">
        <f t="shared" si="53"/>
        <v>-8.9973723618719248E-2</v>
      </c>
      <c r="O268" s="23">
        <f t="shared" si="54"/>
        <v>-0.1574434528448948</v>
      </c>
      <c r="P268" s="23">
        <f t="shared" si="55"/>
        <v>-1.4735212710429102E-2</v>
      </c>
    </row>
    <row r="269" spans="1:16" x14ac:dyDescent="0.35">
      <c r="A269" s="2">
        <f>Prices!A267</f>
        <v>44274</v>
      </c>
      <c r="B269" s="1">
        <f>Prices!B267</f>
        <v>1880.9300539999999</v>
      </c>
      <c r="C269" s="1">
        <f>Prices!C267</f>
        <v>29.08</v>
      </c>
      <c r="D269" s="1">
        <f>Prices!D267</f>
        <v>37.959999000000003</v>
      </c>
      <c r="E269" s="1">
        <f>Prices!E267</f>
        <v>24.040001</v>
      </c>
      <c r="F269" s="1">
        <f>Prices!F267</f>
        <v>235.300003</v>
      </c>
      <c r="G269" s="1">
        <f t="shared" si="56"/>
        <v>112.51398709736624</v>
      </c>
      <c r="H269" s="1">
        <f t="shared" si="57"/>
        <v>71.607976567151638</v>
      </c>
      <c r="I269" s="1">
        <f t="shared" si="58"/>
        <v>65.044548234329383</v>
      </c>
      <c r="J269" s="1">
        <f t="shared" si="59"/>
        <v>38.575097881899943</v>
      </c>
      <c r="K269" s="1">
        <f t="shared" si="60"/>
        <v>54.467593287037069</v>
      </c>
      <c r="L269" s="23">
        <f t="shared" si="51"/>
        <v>2.7830630601092921E-2</v>
      </c>
      <c r="M269" s="23">
        <f t="shared" si="52"/>
        <v>1.6783216783216703E-2</v>
      </c>
      <c r="N269" s="23">
        <f t="shared" si="53"/>
        <v>-1.8406521651497254E-3</v>
      </c>
      <c r="O269" s="23">
        <f t="shared" si="54"/>
        <v>0.11193338982731782</v>
      </c>
      <c r="P269" s="23">
        <f t="shared" si="55"/>
        <v>-4.8908614767387504E-2</v>
      </c>
    </row>
    <row r="270" spans="1:16" x14ac:dyDescent="0.35">
      <c r="A270" s="2">
        <f>Prices!A268</f>
        <v>44275</v>
      </c>
      <c r="B270" s="1">
        <f>Prices!B268</f>
        <v>1846.089966</v>
      </c>
      <c r="C270" s="1">
        <f>Prices!C268</f>
        <v>28.809999000000001</v>
      </c>
      <c r="D270" s="1">
        <f>Prices!D268</f>
        <v>36.57</v>
      </c>
      <c r="E270" s="1">
        <f>Prices!E268</f>
        <v>25.08</v>
      </c>
      <c r="F270" s="1">
        <f>Prices!F268</f>
        <v>218.800003</v>
      </c>
      <c r="G270" s="1">
        <f t="shared" si="56"/>
        <v>110.42991320883073</v>
      </c>
      <c r="H270" s="1">
        <f t="shared" si="57"/>
        <v>70.943113249369404</v>
      </c>
      <c r="I270" s="1">
        <f t="shared" si="58"/>
        <v>62.66278165416773</v>
      </c>
      <c r="J270" s="1">
        <f t="shared" si="59"/>
        <v>40.24390243902446</v>
      </c>
      <c r="K270" s="1">
        <f t="shared" si="60"/>
        <v>50.648148842592626</v>
      </c>
      <c r="L270" s="23">
        <f t="shared" si="51"/>
        <v>-1.8522798296464416E-2</v>
      </c>
      <c r="M270" s="23">
        <f t="shared" si="52"/>
        <v>-9.2847661623107758E-3</v>
      </c>
      <c r="N270" s="23">
        <f t="shared" si="53"/>
        <v>-3.6617466718057656E-2</v>
      </c>
      <c r="O270" s="23">
        <f t="shared" si="54"/>
        <v>4.3261187884309882E-2</v>
      </c>
      <c r="P270" s="23">
        <f t="shared" si="55"/>
        <v>-7.0123246024778041E-2</v>
      </c>
    </row>
    <row r="271" spans="1:16" x14ac:dyDescent="0.35">
      <c r="A271" s="2">
        <f>Prices!A269</f>
        <v>44278</v>
      </c>
      <c r="B271" s="1">
        <f>Prices!B269</f>
        <v>1902.829956</v>
      </c>
      <c r="C271" s="1">
        <f>Prices!C269</f>
        <v>28.129999000000002</v>
      </c>
      <c r="D271" s="1">
        <f>Prices!D269</f>
        <v>36.419998</v>
      </c>
      <c r="E271" s="1">
        <f>Prices!E269</f>
        <v>26.83</v>
      </c>
      <c r="F271" s="1">
        <f>Prices!F269</f>
        <v>231.60000600000001</v>
      </c>
      <c r="G271" s="1">
        <f t="shared" si="56"/>
        <v>113.82400140960584</v>
      </c>
      <c r="H271" s="1">
        <f t="shared" si="57"/>
        <v>69.268648872971085</v>
      </c>
      <c r="I271" s="1">
        <f t="shared" si="58"/>
        <v>62.405752871731629</v>
      </c>
      <c r="J271" s="1">
        <f t="shared" si="59"/>
        <v>43.051989730423699</v>
      </c>
      <c r="K271" s="1">
        <f t="shared" si="60"/>
        <v>53.611112500000033</v>
      </c>
      <c r="L271" s="23">
        <f t="shared" si="51"/>
        <v>3.0735224742562739E-2</v>
      </c>
      <c r="M271" s="23">
        <f t="shared" si="52"/>
        <v>-2.3602916473547952E-2</v>
      </c>
      <c r="N271" s="23">
        <f t="shared" si="53"/>
        <v>-4.1017774131801854E-3</v>
      </c>
      <c r="O271" s="23">
        <f t="shared" si="54"/>
        <v>6.9776714513556604E-2</v>
      </c>
      <c r="P271" s="23">
        <f t="shared" si="55"/>
        <v>5.8500926985819213E-2</v>
      </c>
    </row>
    <row r="272" spans="1:16" x14ac:dyDescent="0.35">
      <c r="A272" s="2">
        <f>Prices!A270</f>
        <v>44279</v>
      </c>
      <c r="B272" s="1">
        <f>Prices!B270</f>
        <v>1940.099976</v>
      </c>
      <c r="C272" s="1">
        <f>Prices!C270</f>
        <v>29.59</v>
      </c>
      <c r="D272" s="1">
        <f>Prices!D270</f>
        <v>42.169998</v>
      </c>
      <c r="E272" s="1">
        <f>Prices!E270</f>
        <v>32.110000999999997</v>
      </c>
      <c r="F272" s="1">
        <f>Prices!F270</f>
        <v>211</v>
      </c>
      <c r="G272" s="1">
        <f t="shared" si="56"/>
        <v>116.05342963341505</v>
      </c>
      <c r="H272" s="1">
        <f t="shared" si="57"/>
        <v>72.863824849450367</v>
      </c>
      <c r="I272" s="1">
        <f t="shared" si="58"/>
        <v>72.258391496600765</v>
      </c>
      <c r="J272" s="1">
        <f t="shared" si="59"/>
        <v>51.524391848523841</v>
      </c>
      <c r="K272" s="1">
        <f t="shared" si="60"/>
        <v>48.842592592592624</v>
      </c>
      <c r="L272" s="23">
        <f t="shared" si="51"/>
        <v>1.958662668857003E-2</v>
      </c>
      <c r="M272" s="23">
        <f t="shared" si="52"/>
        <v>5.1901921503801018E-2</v>
      </c>
      <c r="N272" s="23">
        <f t="shared" si="53"/>
        <v>0.15788029422736383</v>
      </c>
      <c r="O272" s="23">
        <f t="shared" si="54"/>
        <v>0.19679467014535956</v>
      </c>
      <c r="P272" s="23">
        <f t="shared" si="55"/>
        <v>-8.8946483015203359E-2</v>
      </c>
    </row>
    <row r="273" spans="1:16" x14ac:dyDescent="0.35">
      <c r="A273" s="2">
        <f>Prices!A271</f>
        <v>44280</v>
      </c>
      <c r="B273" s="1">
        <f>Prices!B271</f>
        <v>1885.839966</v>
      </c>
      <c r="C273" s="1">
        <f>Prices!C271</f>
        <v>29.700001</v>
      </c>
      <c r="D273" s="1">
        <f>Prices!D271</f>
        <v>44.18</v>
      </c>
      <c r="E273" s="1">
        <f>Prices!E271</f>
        <v>34.340000000000003</v>
      </c>
      <c r="F273" s="1">
        <f>Prices!F271</f>
        <v>242.60000600000001</v>
      </c>
      <c r="G273" s="1">
        <f t="shared" si="56"/>
        <v>112.80768955283098</v>
      </c>
      <c r="H273" s="1">
        <f t="shared" si="57"/>
        <v>73.134696549256546</v>
      </c>
      <c r="I273" s="1">
        <f t="shared" si="58"/>
        <v>75.702534686385846</v>
      </c>
      <c r="J273" s="1">
        <f t="shared" si="59"/>
        <v>55.102695763799851</v>
      </c>
      <c r="K273" s="1">
        <f t="shared" si="60"/>
        <v>56.157408796296338</v>
      </c>
      <c r="L273" s="23">
        <f t="shared" si="51"/>
        <v>-2.7967636034855525E-2</v>
      </c>
      <c r="M273" s="23">
        <f t="shared" si="52"/>
        <v>3.7175059141603128E-3</v>
      </c>
      <c r="N273" s="23">
        <f t="shared" si="53"/>
        <v>4.7664265955146501E-2</v>
      </c>
      <c r="O273" s="23">
        <f t="shared" si="54"/>
        <v>6.9448736547844003E-2</v>
      </c>
      <c r="P273" s="23">
        <f t="shared" si="55"/>
        <v>0.14976306161137454</v>
      </c>
    </row>
    <row r="274" spans="1:16" x14ac:dyDescent="0.35">
      <c r="A274" s="2">
        <f>Prices!A272</f>
        <v>44281</v>
      </c>
      <c r="B274" s="1">
        <f>Prices!B272</f>
        <v>1955.48999</v>
      </c>
      <c r="C274" s="1">
        <f>Prices!C272</f>
        <v>30.129999000000002</v>
      </c>
      <c r="D274" s="1">
        <f>Prices!D272</f>
        <v>45.400002000000001</v>
      </c>
      <c r="E274" s="1">
        <f>Prices!E272</f>
        <v>34.93</v>
      </c>
      <c r="F274" s="1">
        <f>Prices!F272</f>
        <v>258.70001200000002</v>
      </c>
      <c r="G274" s="1">
        <f t="shared" si="56"/>
        <v>116.9740336893404</v>
      </c>
      <c r="H274" s="1">
        <f t="shared" si="57"/>
        <v>74.193544097672017</v>
      </c>
      <c r="I274" s="1">
        <f t="shared" si="58"/>
        <v>77.793011004232383</v>
      </c>
      <c r="J274" s="1">
        <f t="shared" si="59"/>
        <v>56.049422336328732</v>
      </c>
      <c r="K274" s="1">
        <f t="shared" si="60"/>
        <v>59.884262037037082</v>
      </c>
      <c r="L274" s="23">
        <f t="shared" si="51"/>
        <v>3.6933157243312031E-2</v>
      </c>
      <c r="M274" s="23">
        <f t="shared" si="52"/>
        <v>1.4478046650570953E-2</v>
      </c>
      <c r="N274" s="23">
        <f t="shared" si="53"/>
        <v>2.7614350384789432E-2</v>
      </c>
      <c r="O274" s="23">
        <f t="shared" si="54"/>
        <v>1.7181129877693602E-2</v>
      </c>
      <c r="P274" s="23">
        <f t="shared" si="55"/>
        <v>6.6364408911020467E-2</v>
      </c>
    </row>
    <row r="275" spans="1:16" x14ac:dyDescent="0.35">
      <c r="A275" s="2">
        <f>Prices!A273</f>
        <v>44282</v>
      </c>
      <c r="B275" s="1">
        <f>Prices!B273</f>
        <v>1900.099976</v>
      </c>
      <c r="C275" s="1">
        <f>Prices!C273</f>
        <v>28.870000999999998</v>
      </c>
      <c r="D275" s="1">
        <f>Prices!D273</f>
        <v>43.57</v>
      </c>
      <c r="E275" s="1">
        <f>Prices!E273</f>
        <v>31.639999</v>
      </c>
      <c r="F275" s="1">
        <f>Prices!F273</f>
        <v>277</v>
      </c>
      <c r="G275" s="1">
        <f t="shared" si="56"/>
        <v>113.66069872121354</v>
      </c>
      <c r="H275" s="1">
        <f t="shared" si="57"/>
        <v>71.090865031005634</v>
      </c>
      <c r="I275" s="1">
        <f t="shared" si="58"/>
        <v>74.657298240964934</v>
      </c>
      <c r="J275" s="1">
        <f t="shared" si="59"/>
        <v>50.770216623876863</v>
      </c>
      <c r="K275" s="1">
        <f t="shared" si="60"/>
        <v>64.120370370370409</v>
      </c>
      <c r="L275" s="23">
        <f t="shared" si="51"/>
        <v>-2.8325388666397666E-2</v>
      </c>
      <c r="M275" s="23">
        <f t="shared" si="52"/>
        <v>-4.1818720272775445E-2</v>
      </c>
      <c r="N275" s="23">
        <f t="shared" si="53"/>
        <v>-4.0308412321215292E-2</v>
      </c>
      <c r="O275" s="23">
        <f t="shared" si="54"/>
        <v>-9.4188405382192975E-2</v>
      </c>
      <c r="P275" s="23">
        <f t="shared" si="55"/>
        <v>7.073825725218752E-2</v>
      </c>
    </row>
    <row r="276" spans="1:16" x14ac:dyDescent="0.35">
      <c r="A276" s="2">
        <f>Prices!A274</f>
        <v>44285</v>
      </c>
      <c r="B276" s="1">
        <f>Prices!B274</f>
        <v>1963.9499510000001</v>
      </c>
      <c r="C276" s="1">
        <f>Prices!C274</f>
        <v>28.860001</v>
      </c>
      <c r="D276" s="1">
        <f>Prices!D274</f>
        <v>44.91</v>
      </c>
      <c r="E276" s="1">
        <f>Prices!E274</f>
        <v>33.439999</v>
      </c>
      <c r="F276" s="1">
        <f>Prices!F274</f>
        <v>268.5</v>
      </c>
      <c r="G276" s="1">
        <f t="shared" si="56"/>
        <v>117.48009394435837</v>
      </c>
      <c r="H276" s="1">
        <f t="shared" si="57"/>
        <v>71.066240554882128</v>
      </c>
      <c r="I276" s="1">
        <f t="shared" si="58"/>
        <v>76.953391416151831</v>
      </c>
      <c r="J276" s="1">
        <f t="shared" si="59"/>
        <v>53.658534980744648</v>
      </c>
      <c r="K276" s="1">
        <f t="shared" si="60"/>
        <v>62.152777777777821</v>
      </c>
      <c r="L276" s="23">
        <f t="shared" si="51"/>
        <v>3.3603481820158709E-2</v>
      </c>
      <c r="M276" s="23">
        <f t="shared" si="52"/>
        <v>-3.463803135994592E-4</v>
      </c>
      <c r="N276" s="23">
        <f t="shared" si="53"/>
        <v>3.0755106724810632E-2</v>
      </c>
      <c r="O276" s="23">
        <f t="shared" si="54"/>
        <v>5.6890014440265979E-2</v>
      </c>
      <c r="P276" s="23">
        <f t="shared" si="55"/>
        <v>-3.0685920577617321E-2</v>
      </c>
    </row>
    <row r="277" spans="1:16" x14ac:dyDescent="0.35">
      <c r="A277" s="2">
        <f>Prices!A275</f>
        <v>44286</v>
      </c>
      <c r="B277" s="1">
        <f>Prices!B275</f>
        <v>1949.719971</v>
      </c>
      <c r="C277" s="1">
        <f>Prices!C275</f>
        <v>28.01</v>
      </c>
      <c r="D277" s="1">
        <f>Prices!D275</f>
        <v>45.560001</v>
      </c>
      <c r="E277" s="1">
        <f>Prices!E275</f>
        <v>34.889999000000003</v>
      </c>
      <c r="F277" s="1">
        <f>Prices!F275</f>
        <v>267.79998799999998</v>
      </c>
      <c r="G277" s="1">
        <f t="shared" si="56"/>
        <v>116.62888111870814</v>
      </c>
      <c r="H277" s="1">
        <f t="shared" si="57"/>
        <v>68.973157621936622</v>
      </c>
      <c r="I277" s="1">
        <f t="shared" si="58"/>
        <v>78.06716966985681</v>
      </c>
      <c r="J277" s="1">
        <f t="shared" si="59"/>
        <v>55.985235879332592</v>
      </c>
      <c r="K277" s="1">
        <f t="shared" si="60"/>
        <v>61.990737962963003</v>
      </c>
      <c r="L277" s="23">
        <f t="shared" si="51"/>
        <v>-7.2455919728272589E-3</v>
      </c>
      <c r="M277" s="23">
        <f t="shared" si="52"/>
        <v>-2.9452563082031702E-2</v>
      </c>
      <c r="N277" s="23">
        <f t="shared" si="53"/>
        <v>1.4473413493653942E-2</v>
      </c>
      <c r="O277" s="23">
        <f t="shared" si="54"/>
        <v>4.3361245315826746E-2</v>
      </c>
      <c r="P277" s="23">
        <f t="shared" si="55"/>
        <v>-2.6071210428305625E-3</v>
      </c>
    </row>
    <row r="278" spans="1:16" x14ac:dyDescent="0.35">
      <c r="A278" s="2">
        <f>Prices!A276</f>
        <v>44287</v>
      </c>
      <c r="B278" s="1">
        <f>Prices!B276</f>
        <v>1907.6999510000001</v>
      </c>
      <c r="C278" s="1">
        <f>Prices!C276</f>
        <v>25.139999</v>
      </c>
      <c r="D278" s="1">
        <f>Prices!D276</f>
        <v>44.169998</v>
      </c>
      <c r="E278" s="1">
        <f>Prices!E276</f>
        <v>35.310001</v>
      </c>
      <c r="F278" s="1">
        <f>Prices!F276</f>
        <v>268.5</v>
      </c>
      <c r="G278" s="1">
        <f t="shared" si="56"/>
        <v>114.11531609907499</v>
      </c>
      <c r="H278" s="1">
        <f t="shared" si="57"/>
        <v>61.905930512043163</v>
      </c>
      <c r="I278" s="1">
        <f t="shared" si="58"/>
        <v>75.685396235685687</v>
      </c>
      <c r="J278" s="1">
        <f t="shared" si="59"/>
        <v>56.659180038511018</v>
      </c>
      <c r="K278" s="1">
        <f t="shared" si="60"/>
        <v>62.152777777777821</v>
      </c>
      <c r="L278" s="23">
        <f t="shared" si="51"/>
        <v>-2.1551823146401916E-2</v>
      </c>
      <c r="M278" s="23">
        <f t="shared" si="52"/>
        <v>-0.10246344162799004</v>
      </c>
      <c r="N278" s="23">
        <f t="shared" si="53"/>
        <v>-3.0509283790402075E-2</v>
      </c>
      <c r="O278" s="23">
        <f t="shared" si="54"/>
        <v>1.2037890858064948E-2</v>
      </c>
      <c r="P278" s="23">
        <f t="shared" si="55"/>
        <v>2.6139358900942877E-3</v>
      </c>
    </row>
    <row r="279" spans="1:16" x14ac:dyDescent="0.35">
      <c r="A279" s="2">
        <f>Prices!A277</f>
        <v>44288</v>
      </c>
      <c r="B279" s="1">
        <f>Prices!B277</f>
        <v>1918.829956</v>
      </c>
      <c r="C279" s="1">
        <f>Prices!C277</f>
        <v>24.530000999999999</v>
      </c>
      <c r="D279" s="1">
        <f>Prices!D277</f>
        <v>46.009998000000003</v>
      </c>
      <c r="E279" s="1">
        <f>Prices!E277</f>
        <v>38.959999000000003</v>
      </c>
      <c r="F279" s="1">
        <f>Prices!F277</f>
        <v>241.5</v>
      </c>
      <c r="G279" s="1">
        <f t="shared" si="56"/>
        <v>114.78109377448642</v>
      </c>
      <c r="H279" s="1">
        <f t="shared" si="57"/>
        <v>60.403842393404602</v>
      </c>
      <c r="I279" s="1">
        <f t="shared" si="58"/>
        <v>78.838240595643825</v>
      </c>
      <c r="J279" s="1">
        <f t="shared" si="59"/>
        <v>62.516044608472519</v>
      </c>
      <c r="K279" s="1">
        <f t="shared" si="60"/>
        <v>55.902777777777814</v>
      </c>
      <c r="L279" s="23">
        <f t="shared" si="51"/>
        <v>5.8342534391562229E-3</v>
      </c>
      <c r="M279" s="23">
        <f t="shared" si="52"/>
        <v>-2.4264042333494218E-2</v>
      </c>
      <c r="N279" s="23">
        <f t="shared" si="53"/>
        <v>4.165723530256904E-2</v>
      </c>
      <c r="O279" s="23">
        <f t="shared" si="54"/>
        <v>0.10337009053044222</v>
      </c>
      <c r="P279" s="23">
        <f t="shared" si="55"/>
        <v>-0.1005586592178771</v>
      </c>
    </row>
    <row r="280" spans="1:16" x14ac:dyDescent="0.35">
      <c r="A280" s="2">
        <f>Prices!A278</f>
        <v>44289</v>
      </c>
      <c r="B280" s="1">
        <f>Prices!B278</f>
        <v>1906.589966</v>
      </c>
      <c r="C280" s="1">
        <f>Prices!C278</f>
        <v>24.33</v>
      </c>
      <c r="D280" s="1">
        <f>Prices!D278</f>
        <v>45.040000999999997</v>
      </c>
      <c r="E280" s="1">
        <f>Prices!E278</f>
        <v>36.240001999999997</v>
      </c>
      <c r="F280" s="1">
        <f>Prices!F278</f>
        <v>249.699997</v>
      </c>
      <c r="G280" s="1">
        <f t="shared" si="56"/>
        <v>114.0489187135355</v>
      </c>
      <c r="H280" s="1">
        <f t="shared" si="57"/>
        <v>59.911350408486896</v>
      </c>
      <c r="I280" s="1">
        <f t="shared" si="58"/>
        <v>77.176148437694735</v>
      </c>
      <c r="J280" s="1">
        <f t="shared" si="59"/>
        <v>58.151479460847341</v>
      </c>
      <c r="K280" s="1">
        <f t="shared" si="60"/>
        <v>57.800925231481514</v>
      </c>
      <c r="L280" s="23">
        <f t="shared" si="51"/>
        <v>-6.3788820691103032E-3</v>
      </c>
      <c r="M280" s="23">
        <f t="shared" si="52"/>
        <v>-8.1533221299093794E-3</v>
      </c>
      <c r="N280" s="23">
        <f t="shared" si="53"/>
        <v>-2.1082309110293962E-2</v>
      </c>
      <c r="O280" s="23">
        <f t="shared" si="54"/>
        <v>-6.9815119861784569E-2</v>
      </c>
      <c r="P280" s="23">
        <f t="shared" si="55"/>
        <v>3.3954438923395447E-2</v>
      </c>
    </row>
    <row r="281" spans="1:16" x14ac:dyDescent="0.35">
      <c r="A281" s="2">
        <f>Prices!A279</f>
        <v>44292</v>
      </c>
      <c r="B281" s="1">
        <f>Prices!B279</f>
        <v>1997.589966</v>
      </c>
      <c r="C281" s="1">
        <f>Prices!C279</f>
        <v>25.43</v>
      </c>
      <c r="D281" s="1">
        <f>Prices!D279</f>
        <v>46.34</v>
      </c>
      <c r="E281" s="1">
        <f>Prices!E279</f>
        <v>37.330002</v>
      </c>
      <c r="F281" s="1">
        <f>Prices!F279</f>
        <v>233.60000600000001</v>
      </c>
      <c r="G281" s="1">
        <f t="shared" si="56"/>
        <v>119.49238153879392</v>
      </c>
      <c r="H281" s="1">
        <f t="shared" si="57"/>
        <v>62.620042782072417</v>
      </c>
      <c r="I281" s="1">
        <f t="shared" si="58"/>
        <v>79.403699804597579</v>
      </c>
      <c r="J281" s="1">
        <f t="shared" si="59"/>
        <v>59.900516688061721</v>
      </c>
      <c r="K281" s="1">
        <f t="shared" si="60"/>
        <v>54.074075462962995</v>
      </c>
      <c r="L281" s="23">
        <f t="shared" si="51"/>
        <v>4.7729192759215389E-2</v>
      </c>
      <c r="M281" s="23">
        <f t="shared" si="52"/>
        <v>4.5211672831894756E-2</v>
      </c>
      <c r="N281" s="23">
        <f t="shared" si="53"/>
        <v>2.8863209838738912E-2</v>
      </c>
      <c r="O281" s="23">
        <f t="shared" si="54"/>
        <v>3.0077261033263802E-2</v>
      </c>
      <c r="P281" s="23">
        <f t="shared" si="55"/>
        <v>-6.4477337578822569E-2</v>
      </c>
    </row>
    <row r="282" spans="1:16" x14ac:dyDescent="0.35">
      <c r="A282" s="2">
        <f>Prices!A280</f>
        <v>44293</v>
      </c>
      <c r="B282" s="1">
        <f>Prices!B280</f>
        <v>2011.599976</v>
      </c>
      <c r="C282" s="1">
        <f>Prices!C280</f>
        <v>25.6</v>
      </c>
      <c r="D282" s="1">
        <f>Prices!D280</f>
        <v>45.73</v>
      </c>
      <c r="E282" s="1">
        <f>Prices!E280</f>
        <v>37.259998000000003</v>
      </c>
      <c r="F282" s="1">
        <f>Prices!F280</f>
        <v>246</v>
      </c>
      <c r="G282" s="1">
        <f t="shared" si="56"/>
        <v>120.33043613897523</v>
      </c>
      <c r="H282" s="1">
        <f t="shared" si="57"/>
        <v>63.038658876172001</v>
      </c>
      <c r="I282" s="1">
        <f t="shared" si="58"/>
        <v>78.358463359176667</v>
      </c>
      <c r="J282" s="1">
        <f t="shared" si="59"/>
        <v>59.788186777920522</v>
      </c>
      <c r="K282" s="1">
        <f t="shared" si="60"/>
        <v>56.944444444444471</v>
      </c>
      <c r="L282" s="23">
        <f t="shared" si="51"/>
        <v>7.0134563341113232E-3</v>
      </c>
      <c r="M282" s="23">
        <f t="shared" si="52"/>
        <v>6.6850176956352314E-3</v>
      </c>
      <c r="N282" s="23">
        <f t="shared" si="53"/>
        <v>-1.3163573586534416E-2</v>
      </c>
      <c r="O282" s="23">
        <f t="shared" si="54"/>
        <v>-1.8752744776171504E-3</v>
      </c>
      <c r="P282" s="23">
        <f t="shared" si="55"/>
        <v>5.3082164732478621E-2</v>
      </c>
    </row>
    <row r="283" spans="1:16" x14ac:dyDescent="0.35">
      <c r="A283" s="2">
        <f>Prices!A281</f>
        <v>44294</v>
      </c>
      <c r="B283" s="1">
        <f>Prices!B281</f>
        <v>2043</v>
      </c>
      <c r="C283" s="1">
        <f>Prices!C281</f>
        <v>26.01</v>
      </c>
      <c r="D283" s="1">
        <f>Prices!D281</f>
        <v>46</v>
      </c>
      <c r="E283" s="1">
        <f>Prices!E281</f>
        <v>38.07</v>
      </c>
      <c r="F283" s="1">
        <f>Prices!F281</f>
        <v>266.70001200000002</v>
      </c>
      <c r="G283" s="1">
        <f t="shared" si="56"/>
        <v>122.20873134069195</v>
      </c>
      <c r="H283" s="1">
        <f t="shared" si="57"/>
        <v>64.048262397235689</v>
      </c>
      <c r="I283" s="1">
        <f t="shared" si="58"/>
        <v>78.821108998953136</v>
      </c>
      <c r="J283" s="1">
        <f t="shared" si="59"/>
        <v>61.087933247753639</v>
      </c>
      <c r="K283" s="1">
        <f t="shared" si="60"/>
        <v>61.736113888888923</v>
      </c>
      <c r="L283" s="23">
        <f t="shared" si="51"/>
        <v>1.5609477219441059E-2</v>
      </c>
      <c r="M283" s="23">
        <f t="shared" si="52"/>
        <v>1.6015625000000089E-2</v>
      </c>
      <c r="N283" s="23">
        <f t="shared" si="53"/>
        <v>5.9042204242292229E-3</v>
      </c>
      <c r="O283" s="23">
        <f t="shared" si="54"/>
        <v>2.173918527853913E-2</v>
      </c>
      <c r="P283" s="23">
        <f t="shared" si="55"/>
        <v>8.414639024390258E-2</v>
      </c>
    </row>
    <row r="284" spans="1:16" x14ac:dyDescent="0.35">
      <c r="A284" s="2">
        <f>Prices!A282</f>
        <v>44295</v>
      </c>
      <c r="B284" s="1">
        <f>Prices!B282</f>
        <v>2042.76001</v>
      </c>
      <c r="C284" s="1">
        <f>Prices!C282</f>
        <v>26.76</v>
      </c>
      <c r="D284" s="1">
        <f>Prices!D282</f>
        <v>47.66</v>
      </c>
      <c r="E284" s="1">
        <f>Prices!E282</f>
        <v>37.909999999999997</v>
      </c>
      <c r="F284" s="1">
        <f>Prices!F282</f>
        <v>253.60000600000001</v>
      </c>
      <c r="G284" s="1">
        <f t="shared" si="56"/>
        <v>122.19437555340147</v>
      </c>
      <c r="H284" s="1">
        <f t="shared" si="57"/>
        <v>65.895098106498537</v>
      </c>
      <c r="I284" s="1">
        <f t="shared" si="58"/>
        <v>81.665522932393614</v>
      </c>
      <c r="J284" s="1">
        <f t="shared" si="59"/>
        <v>60.831193838254279</v>
      </c>
      <c r="K284" s="1">
        <f t="shared" si="60"/>
        <v>58.703705092592621</v>
      </c>
      <c r="L284" s="23">
        <f t="shared" si="51"/>
        <v>-1.1746940773371684E-4</v>
      </c>
      <c r="M284" s="23">
        <f t="shared" si="52"/>
        <v>2.8835063437139485E-2</v>
      </c>
      <c r="N284" s="23">
        <f t="shared" si="53"/>
        <v>3.6086956521738989E-2</v>
      </c>
      <c r="O284" s="23">
        <f t="shared" si="54"/>
        <v>-4.2027843446283963E-3</v>
      </c>
      <c r="P284" s="23">
        <f t="shared" si="55"/>
        <v>-4.9118880429596667E-2</v>
      </c>
    </row>
    <row r="285" spans="1:16" x14ac:dyDescent="0.35">
      <c r="A285" s="2">
        <f>Prices!A283</f>
        <v>44299</v>
      </c>
      <c r="B285" s="1">
        <f>Prices!B283</f>
        <v>2168.8701169999999</v>
      </c>
      <c r="C285" s="1">
        <f>Prices!C283</f>
        <v>26.440000999999999</v>
      </c>
      <c r="D285" s="1">
        <f>Prices!D283</f>
        <v>47.869999</v>
      </c>
      <c r="E285" s="1">
        <f>Prices!E283</f>
        <v>37.369999</v>
      </c>
      <c r="F285" s="1">
        <f>Prices!F283</f>
        <v>264.60000600000001</v>
      </c>
      <c r="G285" s="1">
        <f t="shared" si="56"/>
        <v>129.73806433739995</v>
      </c>
      <c r="H285" s="1">
        <f t="shared" si="57"/>
        <v>65.107117332993994</v>
      </c>
      <c r="I285" s="1">
        <f t="shared" si="58"/>
        <v>82.025356716495168</v>
      </c>
      <c r="J285" s="1">
        <f t="shared" si="59"/>
        <v>59.96469672657264</v>
      </c>
      <c r="K285" s="1">
        <f t="shared" si="60"/>
        <v>61.250001388888919</v>
      </c>
      <c r="L285" s="23">
        <f t="shared" si="51"/>
        <v>6.1735155565337374E-2</v>
      </c>
      <c r="M285" s="23">
        <f t="shared" si="52"/>
        <v>-1.1958109118086813E-2</v>
      </c>
      <c r="N285" s="23">
        <f t="shared" si="53"/>
        <v>4.4061896768778919E-3</v>
      </c>
      <c r="O285" s="23">
        <f t="shared" si="54"/>
        <v>-1.4244289105776797E-2</v>
      </c>
      <c r="P285" s="23">
        <f t="shared" si="55"/>
        <v>4.3375393295534748E-2</v>
      </c>
    </row>
    <row r="286" spans="1:16" x14ac:dyDescent="0.35">
      <c r="A286" s="2">
        <f>Prices!A284</f>
        <v>44300</v>
      </c>
      <c r="B286" s="1">
        <f>Prices!B284</f>
        <v>2283.320068</v>
      </c>
      <c r="C286" s="1">
        <f>Prices!C284</f>
        <v>26.85</v>
      </c>
      <c r="D286" s="1">
        <f>Prices!D284</f>
        <v>47.990001999999997</v>
      </c>
      <c r="E286" s="1">
        <f>Prices!E284</f>
        <v>37.009998000000003</v>
      </c>
      <c r="F286" s="1">
        <f>Prices!F284</f>
        <v>256.10000600000001</v>
      </c>
      <c r="G286" s="1">
        <f t="shared" si="56"/>
        <v>136.58426272884114</v>
      </c>
      <c r="H286" s="1">
        <f t="shared" si="57"/>
        <v>66.116718391610078</v>
      </c>
      <c r="I286" s="1">
        <f t="shared" si="58"/>
        <v>82.230982141347368</v>
      </c>
      <c r="J286" s="1">
        <f t="shared" si="59"/>
        <v>59.387031450577773</v>
      </c>
      <c r="K286" s="1">
        <f t="shared" si="60"/>
        <v>59.282408796296323</v>
      </c>
      <c r="L286" s="23">
        <f t="shared" si="51"/>
        <v>5.2769389048666682E-2</v>
      </c>
      <c r="M286" s="23">
        <f t="shared" si="52"/>
        <v>1.5506769458896841E-2</v>
      </c>
      <c r="N286" s="23">
        <f t="shared" si="53"/>
        <v>2.5068519429047864E-3</v>
      </c>
      <c r="O286" s="23">
        <f t="shared" si="54"/>
        <v>-9.6334227892271862E-3</v>
      </c>
      <c r="P286" s="23">
        <f t="shared" si="55"/>
        <v>-3.2123959966954829E-2</v>
      </c>
    </row>
    <row r="287" spans="1:16" x14ac:dyDescent="0.35">
      <c r="A287" s="2">
        <f>Prices!A285</f>
        <v>44301</v>
      </c>
      <c r="B287" s="1">
        <f>Prices!B285</f>
        <v>2307.679932</v>
      </c>
      <c r="C287" s="1">
        <f>Prices!C285</f>
        <v>25.450001</v>
      </c>
      <c r="D287" s="1">
        <f>Prices!D285</f>
        <v>46.02</v>
      </c>
      <c r="E287" s="1">
        <f>Prices!E285</f>
        <v>34.360000999999997</v>
      </c>
      <c r="F287" s="1">
        <f>Prices!F285</f>
        <v>243.10000600000001</v>
      </c>
      <c r="G287" s="1">
        <f t="shared" si="56"/>
        <v>138.04142771908676</v>
      </c>
      <c r="H287" s="1">
        <f t="shared" si="57"/>
        <v>62.669294196767034</v>
      </c>
      <c r="I287" s="1">
        <f t="shared" si="58"/>
        <v>78.855379046343998</v>
      </c>
      <c r="J287" s="1">
        <f t="shared" si="59"/>
        <v>55.134789794608565</v>
      </c>
      <c r="K287" s="1">
        <f t="shared" si="60"/>
        <v>56.273149537037064</v>
      </c>
      <c r="L287" s="23">
        <f t="shared" si="51"/>
        <v>1.066861555740517E-2</v>
      </c>
      <c r="M287" s="23">
        <f t="shared" si="52"/>
        <v>-5.2141489757914328E-2</v>
      </c>
      <c r="N287" s="23">
        <f t="shared" si="53"/>
        <v>-4.1050258760147451E-2</v>
      </c>
      <c r="O287" s="23">
        <f t="shared" si="54"/>
        <v>-7.1602192467019488E-2</v>
      </c>
      <c r="P287" s="23">
        <f t="shared" si="55"/>
        <v>-5.0761420130540746E-2</v>
      </c>
    </row>
    <row r="288" spans="1:16" x14ac:dyDescent="0.35">
      <c r="A288" s="2">
        <f>Prices!A286</f>
        <v>44302</v>
      </c>
      <c r="B288" s="1">
        <f>Prices!B286</f>
        <v>2408.1899410000001</v>
      </c>
      <c r="C288" s="1">
        <f>Prices!C286</f>
        <v>25.26</v>
      </c>
      <c r="D288" s="1">
        <f>Prices!D286</f>
        <v>46.470001000000003</v>
      </c>
      <c r="E288" s="1">
        <f>Prices!E286</f>
        <v>32.599997999999999</v>
      </c>
      <c r="F288" s="1">
        <f>Prices!F286</f>
        <v>241.10000600000001</v>
      </c>
      <c r="G288" s="1">
        <f t="shared" si="56"/>
        <v>144.05376285708556</v>
      </c>
      <c r="H288" s="1">
        <f t="shared" si="57"/>
        <v>62.201426687972834</v>
      </c>
      <c r="I288" s="1">
        <f t="shared" si="58"/>
        <v>79.626456826140483</v>
      </c>
      <c r="J288" s="1">
        <f t="shared" si="59"/>
        <v>52.310651476251692</v>
      </c>
      <c r="K288" s="1">
        <f t="shared" si="60"/>
        <v>55.810186574074095</v>
      </c>
      <c r="L288" s="23">
        <f t="shared" si="51"/>
        <v>4.3554570807785797E-2</v>
      </c>
      <c r="M288" s="23">
        <f t="shared" si="52"/>
        <v>-7.4656578598955026E-3</v>
      </c>
      <c r="N288" s="23">
        <f t="shared" si="53"/>
        <v>9.7783789656671338E-3</v>
      </c>
      <c r="O288" s="23">
        <f t="shared" si="54"/>
        <v>-5.1222437391663544E-2</v>
      </c>
      <c r="P288" s="23">
        <f t="shared" si="55"/>
        <v>-8.2270668475425968E-3</v>
      </c>
    </row>
    <row r="289" spans="1:16" x14ac:dyDescent="0.35">
      <c r="A289" s="2">
        <f>Prices!A287</f>
        <v>44303</v>
      </c>
      <c r="B289" s="1">
        <f>Prices!B287</f>
        <v>2375</v>
      </c>
      <c r="C289" s="1">
        <f>Prices!C287</f>
        <v>25.959999</v>
      </c>
      <c r="D289" s="1">
        <f>Prices!D287</f>
        <v>47.639999000000003</v>
      </c>
      <c r="E289" s="1">
        <f>Prices!E287</f>
        <v>35.479999999999997</v>
      </c>
      <c r="F289" s="1">
        <f>Prices!F287</f>
        <v>247.800003</v>
      </c>
      <c r="G289" s="1">
        <f t="shared" si="56"/>
        <v>142.06839791196444</v>
      </c>
      <c r="H289" s="1">
        <f t="shared" si="57"/>
        <v>63.92513755417054</v>
      </c>
      <c r="I289" s="1">
        <f t="shared" si="58"/>
        <v>81.631251171500423</v>
      </c>
      <c r="J289" s="1">
        <f t="shared" si="59"/>
        <v>56.931964056482762</v>
      </c>
      <c r="K289" s="1">
        <f t="shared" si="60"/>
        <v>57.361111805555581</v>
      </c>
      <c r="L289" s="23">
        <f t="shared" si="51"/>
        <v>-1.3782110968463712E-2</v>
      </c>
      <c r="M289" s="23">
        <f t="shared" si="52"/>
        <v>2.7711757719714791E-2</v>
      </c>
      <c r="N289" s="23">
        <f t="shared" si="53"/>
        <v>2.5177490312513706E-2</v>
      </c>
      <c r="O289" s="23">
        <f t="shared" si="54"/>
        <v>8.834362505175597E-2</v>
      </c>
      <c r="P289" s="23">
        <f t="shared" si="55"/>
        <v>2.7789285911506756E-2</v>
      </c>
    </row>
    <row r="290" spans="1:16" x14ac:dyDescent="0.35">
      <c r="A290" s="2">
        <f>Prices!A288</f>
        <v>44306</v>
      </c>
      <c r="B290" s="1">
        <f>Prices!B288</f>
        <v>2393.610107</v>
      </c>
      <c r="C290" s="1">
        <f>Prices!C288</f>
        <v>25.52</v>
      </c>
      <c r="D290" s="1">
        <f>Prices!D288</f>
        <v>46.400002000000001</v>
      </c>
      <c r="E290" s="1">
        <f>Prices!E288</f>
        <v>33.479999999999997</v>
      </c>
      <c r="F290" s="1">
        <f>Prices!F288</f>
        <v>243.39999399999999</v>
      </c>
      <c r="G290" s="1">
        <f t="shared" si="56"/>
        <v>143.18162236942138</v>
      </c>
      <c r="H290" s="1">
        <f t="shared" si="57"/>
        <v>62.841663067183944</v>
      </c>
      <c r="I290" s="1">
        <f t="shared" si="58"/>
        <v>79.506513373774879</v>
      </c>
      <c r="J290" s="1">
        <f t="shared" si="59"/>
        <v>53.722721437740773</v>
      </c>
      <c r="K290" s="1">
        <f t="shared" si="60"/>
        <v>56.342591203703726</v>
      </c>
      <c r="L290" s="23">
        <f t="shared" si="51"/>
        <v>7.8358345263158657E-3</v>
      </c>
      <c r="M290" s="23">
        <f t="shared" si="52"/>
        <v>-1.6949114674465138E-2</v>
      </c>
      <c r="N290" s="23">
        <f t="shared" si="53"/>
        <v>-2.6028485013192437E-2</v>
      </c>
      <c r="O290" s="23">
        <f t="shared" si="54"/>
        <v>-5.6369785794813998E-2</v>
      </c>
      <c r="P290" s="23">
        <f t="shared" si="55"/>
        <v>-1.7756291149036096E-2</v>
      </c>
    </row>
    <row r="291" spans="1:16" x14ac:dyDescent="0.35">
      <c r="A291" s="2">
        <f>Prices!A289</f>
        <v>44307</v>
      </c>
      <c r="B291" s="1">
        <f>Prices!B289</f>
        <v>2328.1201169999999</v>
      </c>
      <c r="C291" s="1">
        <f>Prices!C289</f>
        <v>24.68</v>
      </c>
      <c r="D291" s="1">
        <f>Prices!D289</f>
        <v>44.630001</v>
      </c>
      <c r="E291" s="1">
        <f>Prices!E289</f>
        <v>32.93</v>
      </c>
      <c r="F291" s="1">
        <f>Prices!F289</f>
        <v>236.5</v>
      </c>
      <c r="G291" s="1">
        <f t="shared" si="56"/>
        <v>139.26412428160219</v>
      </c>
      <c r="H291" s="1">
        <f t="shared" si="57"/>
        <v>60.773207072809548</v>
      </c>
      <c r="I291" s="1">
        <f t="shared" si="58"/>
        <v>76.473612466182345</v>
      </c>
      <c r="J291" s="1">
        <f t="shared" si="59"/>
        <v>52.840179717586736</v>
      </c>
      <c r="K291" s="1">
        <f t="shared" si="60"/>
        <v>54.745370370370395</v>
      </c>
      <c r="L291" s="23">
        <f t="shared" si="51"/>
        <v>-2.7360341522822629E-2</v>
      </c>
      <c r="M291" s="23">
        <f t="shared" si="52"/>
        <v>-3.2915360501567403E-2</v>
      </c>
      <c r="N291" s="23">
        <f t="shared" si="53"/>
        <v>-3.814657163161328E-2</v>
      </c>
      <c r="O291" s="23">
        <f t="shared" si="54"/>
        <v>-1.6427718040621153E-2</v>
      </c>
      <c r="P291" s="23">
        <f t="shared" si="55"/>
        <v>-2.8348373747289379E-2</v>
      </c>
    </row>
    <row r="292" spans="1:16" x14ac:dyDescent="0.35">
      <c r="A292" s="2">
        <f>Prices!A290</f>
        <v>44308</v>
      </c>
      <c r="B292" s="1">
        <f>Prices!B290</f>
        <v>2363.48999</v>
      </c>
      <c r="C292" s="1">
        <f>Prices!C290</f>
        <v>24.969999000000001</v>
      </c>
      <c r="D292" s="1">
        <f>Prices!D290</f>
        <v>46.290000999999997</v>
      </c>
      <c r="E292" s="1">
        <f>Prices!E290</f>
        <v>34.860000999999997</v>
      </c>
      <c r="F292" s="1">
        <f>Prices!F290</f>
        <v>237.5</v>
      </c>
      <c r="G292" s="1">
        <f t="shared" si="56"/>
        <v>141.37988899379573</v>
      </c>
      <c r="H292" s="1">
        <f t="shared" si="57"/>
        <v>61.487314417943573</v>
      </c>
      <c r="I292" s="1">
        <f t="shared" si="58"/>
        <v>79.318026399622823</v>
      </c>
      <c r="J292" s="1">
        <f t="shared" si="59"/>
        <v>55.937100449294057</v>
      </c>
      <c r="K292" s="1">
        <f t="shared" si="60"/>
        <v>54.976851851851876</v>
      </c>
      <c r="L292" s="23">
        <f t="shared" si="51"/>
        <v>1.5192460535746521E-2</v>
      </c>
      <c r="M292" s="23">
        <f t="shared" si="52"/>
        <v>1.175036466774726E-2</v>
      </c>
      <c r="N292" s="23">
        <f t="shared" si="53"/>
        <v>3.719471124367657E-2</v>
      </c>
      <c r="O292" s="23">
        <f t="shared" si="54"/>
        <v>5.8609201336167649E-2</v>
      </c>
      <c r="P292" s="23">
        <f t="shared" si="55"/>
        <v>4.2283298097252064E-3</v>
      </c>
    </row>
    <row r="293" spans="1:16" x14ac:dyDescent="0.35">
      <c r="A293" s="2">
        <f>Prices!A291</f>
        <v>44309</v>
      </c>
      <c r="B293" s="1">
        <f>Prices!B291</f>
        <v>2399.4499510000001</v>
      </c>
      <c r="C293" s="1">
        <f>Prices!C291</f>
        <v>25.01</v>
      </c>
      <c r="D293" s="1">
        <f>Prices!D291</f>
        <v>46.040000999999997</v>
      </c>
      <c r="E293" s="1">
        <f>Prices!E291</f>
        <v>35.159999999999997</v>
      </c>
      <c r="F293" s="1">
        <f>Prices!F291</f>
        <v>238</v>
      </c>
      <c r="G293" s="1">
        <f t="shared" si="56"/>
        <v>143.53095175095225</v>
      </c>
      <c r="H293" s="1">
        <f t="shared" si="57"/>
        <v>61.585814784885201</v>
      </c>
      <c r="I293" s="1">
        <f t="shared" si="58"/>
        <v>78.889650807237203</v>
      </c>
      <c r="J293" s="1">
        <f t="shared" si="59"/>
        <v>56.418485237484042</v>
      </c>
      <c r="K293" s="1">
        <f t="shared" si="60"/>
        <v>55.092592592592617</v>
      </c>
      <c r="L293" s="23">
        <f t="shared" si="51"/>
        <v>1.521477186370479E-2</v>
      </c>
      <c r="M293" s="23">
        <f t="shared" si="52"/>
        <v>1.6019624189813619E-3</v>
      </c>
      <c r="N293" s="23">
        <f t="shared" si="53"/>
        <v>-5.400734383220307E-3</v>
      </c>
      <c r="O293" s="23">
        <f t="shared" si="54"/>
        <v>8.6058230463046392E-3</v>
      </c>
      <c r="P293" s="23">
        <f t="shared" si="55"/>
        <v>2.1052631578948322E-3</v>
      </c>
    </row>
    <row r="294" spans="1:16" x14ac:dyDescent="0.35">
      <c r="A294" s="2">
        <f>Prices!A292</f>
        <v>44310</v>
      </c>
      <c r="B294" s="1">
        <f>Prices!B292</f>
        <v>2410.219971</v>
      </c>
      <c r="C294" s="1">
        <f>Prices!C292</f>
        <v>24.98</v>
      </c>
      <c r="D294" s="1">
        <f>Prices!D292</f>
        <v>46.5</v>
      </c>
      <c r="E294" s="1">
        <f>Prices!E292</f>
        <v>35.029998999999997</v>
      </c>
      <c r="F294" s="1">
        <f>Prices!F292</f>
        <v>230.39999399999999</v>
      </c>
      <c r="G294" s="1">
        <f t="shared" si="56"/>
        <v>144.17519574542797</v>
      </c>
      <c r="H294" s="1">
        <f t="shared" si="57"/>
        <v>61.511941356514683</v>
      </c>
      <c r="I294" s="1">
        <f t="shared" si="58"/>
        <v>79.677860183724377</v>
      </c>
      <c r="J294" s="1">
        <f t="shared" si="59"/>
        <v>56.209882862644498</v>
      </c>
      <c r="K294" s="1">
        <f t="shared" si="60"/>
        <v>53.333331944444467</v>
      </c>
      <c r="L294" s="23">
        <f t="shared" si="51"/>
        <v>4.4885370480478581E-3</v>
      </c>
      <c r="M294" s="23">
        <f t="shared" si="52"/>
        <v>-1.1995201919232645E-3</v>
      </c>
      <c r="N294" s="23">
        <f t="shared" si="53"/>
        <v>9.9912899654368559E-3</v>
      </c>
      <c r="O294" s="23">
        <f t="shared" si="54"/>
        <v>-3.6974118316268623E-3</v>
      </c>
      <c r="P294" s="23">
        <f t="shared" si="55"/>
        <v>-3.1932798319327715E-2</v>
      </c>
    </row>
    <row r="295" spans="1:16" x14ac:dyDescent="0.35">
      <c r="A295" s="2">
        <f>Prices!A293</f>
        <v>44313</v>
      </c>
      <c r="B295" s="1">
        <f>Prices!B293</f>
        <v>2376</v>
      </c>
      <c r="C295" s="1">
        <f>Prices!C293</f>
        <v>25.82</v>
      </c>
      <c r="D295" s="1">
        <f>Prices!D293</f>
        <v>46.889999000000003</v>
      </c>
      <c r="E295" s="1">
        <f>Prices!E293</f>
        <v>35.82</v>
      </c>
      <c r="F295" s="1">
        <f>Prices!F293</f>
        <v>238.800003</v>
      </c>
      <c r="G295" s="1">
        <f t="shared" si="56"/>
        <v>142.12821618476949</v>
      </c>
      <c r="H295" s="1">
        <f t="shared" si="57"/>
        <v>63.580397350889072</v>
      </c>
      <c r="I295" s="1">
        <f t="shared" si="58"/>
        <v>80.346124394343576</v>
      </c>
      <c r="J295" s="1">
        <f t="shared" si="59"/>
        <v>57.477535301668894</v>
      </c>
      <c r="K295" s="1">
        <f t="shared" si="60"/>
        <v>55.277778472222252</v>
      </c>
      <c r="L295" s="23">
        <f t="shared" si="51"/>
        <v>-1.4197862191724364E-2</v>
      </c>
      <c r="M295" s="23">
        <f t="shared" si="52"/>
        <v>3.3626901521216945E-2</v>
      </c>
      <c r="N295" s="23">
        <f t="shared" si="53"/>
        <v>8.3870752688173233E-3</v>
      </c>
      <c r="O295" s="23">
        <f t="shared" si="54"/>
        <v>2.2552127392296173E-2</v>
      </c>
      <c r="P295" s="23">
        <f t="shared" si="55"/>
        <v>3.6458373345270134E-2</v>
      </c>
    </row>
    <row r="296" spans="1:16" x14ac:dyDescent="0.35">
      <c r="A296" s="2">
        <f>Prices!A294</f>
        <v>44314</v>
      </c>
      <c r="B296" s="1">
        <f>Prices!B294</f>
        <v>2314.080078</v>
      </c>
      <c r="C296" s="1">
        <f>Prices!C294</f>
        <v>25.879999000000002</v>
      </c>
      <c r="D296" s="1">
        <f>Prices!D294</f>
        <v>46.959999000000003</v>
      </c>
      <c r="E296" s="1">
        <f>Prices!E294</f>
        <v>36</v>
      </c>
      <c r="F296" s="1">
        <f>Prices!F294</f>
        <v>249.5</v>
      </c>
      <c r="G296" s="1">
        <f t="shared" si="56"/>
        <v>138.42427339850684</v>
      </c>
      <c r="H296" s="1">
        <f t="shared" si="57"/>
        <v>63.728141745182498</v>
      </c>
      <c r="I296" s="1">
        <f t="shared" si="58"/>
        <v>80.466069560211551</v>
      </c>
      <c r="J296" s="1">
        <f t="shared" si="59"/>
        <v>57.766367137355672</v>
      </c>
      <c r="K296" s="1">
        <f t="shared" si="60"/>
        <v>57.754629629629662</v>
      </c>
      <c r="L296" s="23">
        <f t="shared" si="51"/>
        <v>-2.6060573232323248E-2</v>
      </c>
      <c r="M296" s="23">
        <f t="shared" si="52"/>
        <v>2.3237412858250206E-3</v>
      </c>
      <c r="N296" s="23">
        <f t="shared" si="53"/>
        <v>1.4928556513724711E-3</v>
      </c>
      <c r="O296" s="23">
        <f t="shared" si="54"/>
        <v>5.0251256281406143E-3</v>
      </c>
      <c r="P296" s="23">
        <f t="shared" si="55"/>
        <v>4.4807357058534114E-2</v>
      </c>
    </row>
    <row r="297" spans="1:16" x14ac:dyDescent="0.35">
      <c r="A297" s="2">
        <f>Prices!A295</f>
        <v>44315</v>
      </c>
      <c r="B297" s="1">
        <f>Prices!B295</f>
        <v>2372.709961</v>
      </c>
      <c r="C297" s="1">
        <f>Prices!C295</f>
        <v>26.58</v>
      </c>
      <c r="D297" s="1">
        <f>Prices!D295</f>
        <v>48.869999</v>
      </c>
      <c r="E297" s="1">
        <f>Prices!E295</f>
        <v>38.009998000000003</v>
      </c>
      <c r="F297" s="1">
        <f>Prices!F295</f>
        <v>259.70001200000002</v>
      </c>
      <c r="G297" s="1">
        <f t="shared" si="56"/>
        <v>141.93141173432829</v>
      </c>
      <c r="H297" s="1">
        <f t="shared" si="57"/>
        <v>65.451857536275426</v>
      </c>
      <c r="I297" s="1">
        <f t="shared" si="58"/>
        <v>83.738859086037635</v>
      </c>
      <c r="J297" s="1">
        <f t="shared" si="59"/>
        <v>60.991652759948757</v>
      </c>
      <c r="K297" s="1">
        <f t="shared" si="60"/>
        <v>60.115743518518556</v>
      </c>
      <c r="L297" s="23">
        <f t="shared" si="51"/>
        <v>2.5336151310144883E-2</v>
      </c>
      <c r="M297" s="23">
        <f t="shared" si="52"/>
        <v>2.7047953131682734E-2</v>
      </c>
      <c r="N297" s="23">
        <f t="shared" si="53"/>
        <v>4.0672913983665016E-2</v>
      </c>
      <c r="O297" s="23">
        <f t="shared" si="54"/>
        <v>5.5833277777777912E-2</v>
      </c>
      <c r="P297" s="23">
        <f t="shared" si="55"/>
        <v>4.0881811623246556E-2</v>
      </c>
    </row>
    <row r="298" spans="1:16" x14ac:dyDescent="0.35">
      <c r="A298" s="2">
        <f>Prices!A296</f>
        <v>44316</v>
      </c>
      <c r="B298" s="1">
        <f>Prices!B296</f>
        <v>2474</v>
      </c>
      <c r="C298" s="1">
        <f>Prices!C296</f>
        <v>25.73</v>
      </c>
      <c r="D298" s="1">
        <f>Prices!D296</f>
        <v>46.189999</v>
      </c>
      <c r="E298" s="1">
        <f>Prices!E296</f>
        <v>33.130001</v>
      </c>
      <c r="F298" s="1">
        <f>Prices!F296</f>
        <v>241.800003</v>
      </c>
      <c r="G298" s="1">
        <f t="shared" si="56"/>
        <v>147.9904069196632</v>
      </c>
      <c r="H298" s="1">
        <f t="shared" si="57"/>
        <v>63.358777065777531</v>
      </c>
      <c r="I298" s="1">
        <f t="shared" si="58"/>
        <v>79.146672735663842</v>
      </c>
      <c r="J298" s="1">
        <f t="shared" si="59"/>
        <v>53.161105584082243</v>
      </c>
      <c r="K298" s="1">
        <f t="shared" si="60"/>
        <v>55.972222916666702</v>
      </c>
      <c r="L298" s="23">
        <f t="shared" si="51"/>
        <v>4.268959993631527E-2</v>
      </c>
      <c r="M298" s="23">
        <f t="shared" si="52"/>
        <v>-3.1978931527464227E-2</v>
      </c>
      <c r="N298" s="23">
        <f t="shared" si="53"/>
        <v>-5.4839370878644766E-2</v>
      </c>
      <c r="O298" s="23">
        <f t="shared" si="54"/>
        <v>-0.12838719433765833</v>
      </c>
      <c r="P298" s="23">
        <f t="shared" si="55"/>
        <v>-6.8925714951449502E-2</v>
      </c>
    </row>
    <row r="299" spans="1:16" x14ac:dyDescent="0.35">
      <c r="A299" s="2">
        <f>Prices!A297</f>
        <v>44317</v>
      </c>
      <c r="B299" s="1">
        <f>Prices!B297</f>
        <v>2286.040039</v>
      </c>
      <c r="C299" s="1">
        <f>Prices!C297</f>
        <v>25.280000999999999</v>
      </c>
      <c r="D299" s="1">
        <f>Prices!D297</f>
        <v>45.040000999999997</v>
      </c>
      <c r="E299" s="1">
        <f>Prices!E297</f>
        <v>31.290001</v>
      </c>
      <c r="F299" s="1">
        <f>Prices!F297</f>
        <v>237.5</v>
      </c>
      <c r="G299" s="1">
        <f t="shared" si="56"/>
        <v>136.74696669614096</v>
      </c>
      <c r="H299" s="1">
        <f t="shared" si="57"/>
        <v>62.250678102667429</v>
      </c>
      <c r="I299" s="1">
        <f t="shared" si="58"/>
        <v>77.176148437694749</v>
      </c>
      <c r="J299" s="1">
        <f t="shared" si="59"/>
        <v>50.208602374839622</v>
      </c>
      <c r="K299" s="1">
        <f t="shared" si="60"/>
        <v>54.97685185185189</v>
      </c>
      <c r="L299" s="23">
        <f t="shared" si="51"/>
        <v>-7.5974115198059855E-2</v>
      </c>
      <c r="M299" s="23">
        <f t="shared" si="52"/>
        <v>-1.7489273221919954E-2</v>
      </c>
      <c r="N299" s="23">
        <f t="shared" si="53"/>
        <v>-2.4897121127887556E-2</v>
      </c>
      <c r="O299" s="23">
        <f t="shared" si="54"/>
        <v>-5.5538784921859818E-2</v>
      </c>
      <c r="P299" s="23">
        <f t="shared" si="55"/>
        <v>-1.778330416315177E-2</v>
      </c>
    </row>
    <row r="300" spans="1:16" x14ac:dyDescent="0.35">
      <c r="A300" s="2">
        <f>Prices!A298</f>
        <v>44320</v>
      </c>
      <c r="B300" s="1">
        <f>Prices!B298</f>
        <v>2315.98999</v>
      </c>
      <c r="C300" s="1">
        <f>Prices!C298</f>
        <v>24.76</v>
      </c>
      <c r="D300" s="1">
        <f>Prices!D298</f>
        <v>44.98</v>
      </c>
      <c r="E300" s="1">
        <f>Prices!E298</f>
        <v>32.75</v>
      </c>
      <c r="F300" s="1">
        <f>Prices!F298</f>
        <v>228.89999399999999</v>
      </c>
      <c r="G300" s="1">
        <f t="shared" si="56"/>
        <v>138.53852103555647</v>
      </c>
      <c r="H300" s="1">
        <f t="shared" si="57"/>
        <v>60.970202881797583</v>
      </c>
      <c r="I300" s="1">
        <f t="shared" si="58"/>
        <v>77.073336582019834</v>
      </c>
      <c r="J300" s="1">
        <f t="shared" si="59"/>
        <v>52.551347881899964</v>
      </c>
      <c r="K300" s="1">
        <f t="shared" si="60"/>
        <v>52.98610972222226</v>
      </c>
      <c r="L300" s="23">
        <f t="shared" si="51"/>
        <v>1.3101236412771389E-2</v>
      </c>
      <c r="M300" s="23">
        <f t="shared" si="52"/>
        <v>-2.0569658996453244E-2</v>
      </c>
      <c r="N300" s="23">
        <f t="shared" si="53"/>
        <v>-1.3321713736196283E-3</v>
      </c>
      <c r="O300" s="23">
        <f t="shared" si="54"/>
        <v>4.666024139788294E-2</v>
      </c>
      <c r="P300" s="23">
        <f t="shared" si="55"/>
        <v>-3.621055157894737E-2</v>
      </c>
    </row>
    <row r="301" spans="1:16" x14ac:dyDescent="0.35">
      <c r="A301" s="2">
        <f>Prices!A299</f>
        <v>44321</v>
      </c>
      <c r="B301" s="1">
        <f>Prices!B299</f>
        <v>2317.8000489999999</v>
      </c>
      <c r="C301" s="1">
        <f>Prices!C299</f>
        <v>24.889999</v>
      </c>
      <c r="D301" s="1">
        <f>Prices!D299</f>
        <v>44.25</v>
      </c>
      <c r="E301" s="1">
        <f>Prices!E299</f>
        <v>33.07</v>
      </c>
      <c r="F301" s="1">
        <f>Prices!F299</f>
        <v>234.800003</v>
      </c>
      <c r="G301" s="1">
        <f t="shared" si="56"/>
        <v>138.64679563861168</v>
      </c>
      <c r="H301" s="1">
        <f t="shared" si="57"/>
        <v>61.290318608955523</v>
      </c>
      <c r="I301" s="1">
        <f t="shared" si="58"/>
        <v>75.822479852253849</v>
      </c>
      <c r="J301" s="1">
        <f t="shared" si="59"/>
        <v>53.064826700898685</v>
      </c>
      <c r="K301" s="1">
        <f t="shared" si="60"/>
        <v>54.351852546296335</v>
      </c>
      <c r="L301" s="23">
        <f t="shared" si="51"/>
        <v>7.8154871472468912E-4</v>
      </c>
      <c r="M301" s="23">
        <f t="shared" si="52"/>
        <v>5.2503634894991436E-3</v>
      </c>
      <c r="N301" s="23">
        <f t="shared" si="53"/>
        <v>-1.6229435304579765E-2</v>
      </c>
      <c r="O301" s="23">
        <f t="shared" si="54"/>
        <v>9.7709923664122122E-3</v>
      </c>
      <c r="P301" s="23">
        <f t="shared" si="55"/>
        <v>2.57754877879115E-2</v>
      </c>
    </row>
    <row r="302" spans="1:16" x14ac:dyDescent="0.35">
      <c r="A302" s="2">
        <f>Prices!A300</f>
        <v>44322</v>
      </c>
      <c r="B302" s="1">
        <f>Prices!B300</f>
        <v>2351.26001</v>
      </c>
      <c r="C302" s="1">
        <f>Prices!C300</f>
        <v>24.82</v>
      </c>
      <c r="D302" s="1">
        <f>Prices!D300</f>
        <v>44.509998000000003</v>
      </c>
      <c r="E302" s="1">
        <f>Prices!E300</f>
        <v>32.060001</v>
      </c>
      <c r="F302" s="1">
        <f>Prices!F300</f>
        <v>239.199997</v>
      </c>
      <c r="G302" s="1">
        <f t="shared" si="56"/>
        <v>140.64831271375559</v>
      </c>
      <c r="H302" s="1">
        <f t="shared" si="57"/>
        <v>61.117949738538606</v>
      </c>
      <c r="I302" s="1">
        <f t="shared" si="58"/>
        <v>76.267987041330159</v>
      </c>
      <c r="J302" s="1">
        <f t="shared" si="59"/>
        <v>51.444160783055288</v>
      </c>
      <c r="K302" s="1">
        <f t="shared" si="60"/>
        <v>55.370369675925964</v>
      </c>
      <c r="L302" s="23">
        <f t="shared" si="51"/>
        <v>1.4436086069821386E-2</v>
      </c>
      <c r="M302" s="23">
        <f t="shared" si="52"/>
        <v>-2.8123343837820336E-3</v>
      </c>
      <c r="N302" s="23">
        <f t="shared" si="53"/>
        <v>5.8756610169492518E-3</v>
      </c>
      <c r="O302" s="23">
        <f t="shared" si="54"/>
        <v>-3.0541245842153009E-2</v>
      </c>
      <c r="P302" s="23">
        <f t="shared" si="55"/>
        <v>1.8739326847453164E-2</v>
      </c>
    </row>
    <row r="303" spans="1:16" x14ac:dyDescent="0.35">
      <c r="A303" s="2">
        <f>Prices!A301</f>
        <v>44323</v>
      </c>
      <c r="B303" s="1">
        <f>Prices!B301</f>
        <v>2367.610107</v>
      </c>
      <c r="C303" s="1">
        <f>Prices!C301</f>
        <v>25.209999</v>
      </c>
      <c r="D303" s="1">
        <f>Prices!D301</f>
        <v>45.799999</v>
      </c>
      <c r="E303" s="1">
        <f>Prices!E301</f>
        <v>32.529998999999997</v>
      </c>
      <c r="F303" s="1">
        <f>Prices!F301</f>
        <v>247.300003</v>
      </c>
      <c r="G303" s="1">
        <f t="shared" si="56"/>
        <v>141.62634727649043</v>
      </c>
      <c r="H303" s="1">
        <f t="shared" si="57"/>
        <v>62.078301844907678</v>
      </c>
      <c r="I303" s="1">
        <f t="shared" si="58"/>
        <v>78.478406811542285</v>
      </c>
      <c r="J303" s="1">
        <f t="shared" si="59"/>
        <v>52.198329589217032</v>
      </c>
      <c r="K303" s="1">
        <f t="shared" si="60"/>
        <v>57.245371064814854</v>
      </c>
      <c r="L303" s="23">
        <f t="shared" si="51"/>
        <v>6.9537596567212923E-3</v>
      </c>
      <c r="M303" s="23">
        <f t="shared" si="52"/>
        <v>1.5713094278807294E-2</v>
      </c>
      <c r="N303" s="23">
        <f t="shared" si="53"/>
        <v>2.898227494865302E-2</v>
      </c>
      <c r="O303" s="23">
        <f t="shared" si="54"/>
        <v>1.4659949636308456E-2</v>
      </c>
      <c r="P303" s="23">
        <f t="shared" si="55"/>
        <v>3.3862901762494513E-2</v>
      </c>
    </row>
    <row r="304" spans="1:16" x14ac:dyDescent="0.35">
      <c r="A304" s="2">
        <f>Prices!A302</f>
        <v>44324</v>
      </c>
      <c r="B304" s="1">
        <f>Prices!B302</f>
        <v>2379.610107</v>
      </c>
      <c r="C304" s="1">
        <f>Prices!C302</f>
        <v>25.629999000000002</v>
      </c>
      <c r="D304" s="1">
        <f>Prices!D302</f>
        <v>46.950001</v>
      </c>
      <c r="E304" s="1">
        <f>Prices!E302</f>
        <v>33.909999999999997</v>
      </c>
      <c r="F304" s="1">
        <f>Prices!F302</f>
        <v>242.199997</v>
      </c>
      <c r="G304" s="1">
        <f t="shared" si="56"/>
        <v>142.34416655015087</v>
      </c>
      <c r="H304" s="1">
        <f t="shared" si="57"/>
        <v>63.112529842094879</v>
      </c>
      <c r="I304" s="1">
        <f t="shared" si="58"/>
        <v>80.448937963520862</v>
      </c>
      <c r="J304" s="1">
        <f t="shared" si="59"/>
        <v>54.412708600770308</v>
      </c>
      <c r="K304" s="1">
        <f t="shared" si="60"/>
        <v>56.064814120370407</v>
      </c>
      <c r="L304" s="23">
        <f t="shared" si="51"/>
        <v>5.0684020838234201E-3</v>
      </c>
      <c r="M304" s="23">
        <f t="shared" si="52"/>
        <v>1.6660056194369721E-2</v>
      </c>
      <c r="N304" s="23">
        <f t="shared" si="53"/>
        <v>2.5109214522035295E-2</v>
      </c>
      <c r="O304" s="23">
        <f t="shared" si="54"/>
        <v>4.2422411387101455E-2</v>
      </c>
      <c r="P304" s="23">
        <f t="shared" si="55"/>
        <v>-2.0622749446549737E-2</v>
      </c>
    </row>
    <row r="305" spans="1:16" x14ac:dyDescent="0.35">
      <c r="A305" s="2">
        <f>Prices!A303</f>
        <v>44327</v>
      </c>
      <c r="B305" s="1">
        <f>Prices!B303</f>
        <v>2409</v>
      </c>
      <c r="C305" s="1">
        <f>Prices!C303</f>
        <v>25.49</v>
      </c>
      <c r="D305" s="1">
        <f>Prices!D303</f>
        <v>45.470001000000003</v>
      </c>
      <c r="E305" s="1">
        <f>Prices!E303</f>
        <v>32.759998000000003</v>
      </c>
      <c r="F305" s="1">
        <f>Prices!F303</f>
        <v>245</v>
      </c>
      <c r="G305" s="1">
        <f t="shared" si="56"/>
        <v>144.10221918733575</v>
      </c>
      <c r="H305" s="1">
        <f t="shared" si="57"/>
        <v>62.767789638813419</v>
      </c>
      <c r="I305" s="1">
        <f t="shared" si="58"/>
        <v>77.91295445659803</v>
      </c>
      <c r="J305" s="1">
        <f t="shared" si="59"/>
        <v>52.56739088575106</v>
      </c>
      <c r="K305" s="1">
        <f t="shared" si="60"/>
        <v>56.712962962963005</v>
      </c>
      <c r="L305" s="23">
        <f t="shared" si="51"/>
        <v>1.2350717839676673E-2</v>
      </c>
      <c r="M305" s="23">
        <f t="shared" si="52"/>
        <v>-5.4623100063329044E-3</v>
      </c>
      <c r="N305" s="23">
        <f t="shared" si="53"/>
        <v>-3.1522896027201264E-2</v>
      </c>
      <c r="O305" s="23">
        <f t="shared" si="54"/>
        <v>-3.3913358891182299E-2</v>
      </c>
      <c r="P305" s="23">
        <f t="shared" si="55"/>
        <v>1.1560706171272139E-2</v>
      </c>
    </row>
    <row r="306" spans="1:16" x14ac:dyDescent="0.35">
      <c r="A306" s="2">
        <f>Prices!A304</f>
        <v>44328</v>
      </c>
      <c r="B306" s="1">
        <f>Prices!B304</f>
        <v>2356.9499510000001</v>
      </c>
      <c r="C306" s="1">
        <f>Prices!C304</f>
        <v>25.030000999999999</v>
      </c>
      <c r="D306" s="1">
        <f>Prices!D304</f>
        <v>44.990001999999997</v>
      </c>
      <c r="E306" s="1">
        <f>Prices!E304</f>
        <v>32.209999000000003</v>
      </c>
      <c r="F306" s="1">
        <f>Prices!F304</f>
        <v>235.39999399999999</v>
      </c>
      <c r="G306" s="1">
        <f t="shared" si="56"/>
        <v>140.98867515673817</v>
      </c>
      <c r="H306" s="1">
        <f t="shared" si="57"/>
        <v>61.635066199579818</v>
      </c>
      <c r="I306" s="1">
        <f t="shared" si="58"/>
        <v>77.090475032720008</v>
      </c>
      <c r="J306" s="1">
        <f t="shared" si="59"/>
        <v>51.684850770218318</v>
      </c>
      <c r="K306" s="1">
        <f t="shared" si="60"/>
        <v>54.490739351851886</v>
      </c>
      <c r="L306" s="23">
        <f t="shared" si="51"/>
        <v>-2.1606496056454927E-2</v>
      </c>
      <c r="M306" s="23">
        <f t="shared" si="52"/>
        <v>-1.8046253432718706E-2</v>
      </c>
      <c r="N306" s="23">
        <f t="shared" si="53"/>
        <v>-1.0556388595637123E-2</v>
      </c>
      <c r="O306" s="23">
        <f t="shared" si="54"/>
        <v>-1.6788737288689681E-2</v>
      </c>
      <c r="P306" s="23">
        <f t="shared" si="55"/>
        <v>-3.918369795918375E-2</v>
      </c>
    </row>
    <row r="307" spans="1:16" x14ac:dyDescent="0.35">
      <c r="A307" s="2">
        <f>Prices!A305</f>
        <v>44329</v>
      </c>
      <c r="B307" s="1">
        <f>Prices!B305</f>
        <v>2367.919922</v>
      </c>
      <c r="C307" s="1">
        <f>Prices!C305</f>
        <v>24.700001</v>
      </c>
      <c r="D307" s="1">
        <f>Prices!D305</f>
        <v>45.720001000000003</v>
      </c>
      <c r="E307" s="1">
        <f>Prices!E305</f>
        <v>31.040001</v>
      </c>
      <c r="F307" s="1">
        <f>Prices!F305</f>
        <v>231.60000600000001</v>
      </c>
      <c r="G307" s="1">
        <f t="shared" si="56"/>
        <v>141.6448798746795</v>
      </c>
      <c r="H307" s="1">
        <f t="shared" si="57"/>
        <v>60.822458487504164</v>
      </c>
      <c r="I307" s="1">
        <f t="shared" si="58"/>
        <v>78.34133004898365</v>
      </c>
      <c r="J307" s="1">
        <f t="shared" si="59"/>
        <v>49.807447047496872</v>
      </c>
      <c r="K307" s="1">
        <f t="shared" si="60"/>
        <v>53.611112500000033</v>
      </c>
      <c r="L307" s="23">
        <f t="shared" si="51"/>
        <v>4.6543079946799182E-3</v>
      </c>
      <c r="M307" s="23">
        <f t="shared" si="52"/>
        <v>-1.3184178458482632E-2</v>
      </c>
      <c r="N307" s="23">
        <f t="shared" si="53"/>
        <v>1.622580501330062E-2</v>
      </c>
      <c r="O307" s="23">
        <f t="shared" si="54"/>
        <v>-3.6324061978393773E-2</v>
      </c>
      <c r="P307" s="23">
        <f t="shared" si="55"/>
        <v>-1.614268520329698E-2</v>
      </c>
    </row>
    <row r="308" spans="1:16" x14ac:dyDescent="0.35">
      <c r="A308" s="2">
        <f>Prices!A306</f>
        <v>44330</v>
      </c>
      <c r="B308" s="1">
        <f>Prices!B306</f>
        <v>2388.8500979999999</v>
      </c>
      <c r="C308" s="1">
        <f>Prices!C306</f>
        <v>24.540001</v>
      </c>
      <c r="D308" s="1">
        <f>Prices!D306</f>
        <v>46.560001</v>
      </c>
      <c r="E308" s="1">
        <f>Prices!E306</f>
        <v>30.17</v>
      </c>
      <c r="F308" s="1">
        <f>Prices!F306</f>
        <v>229.199997</v>
      </c>
      <c r="G308" s="1">
        <f t="shared" si="56"/>
        <v>142.89688685250493</v>
      </c>
      <c r="H308" s="1">
        <f t="shared" si="57"/>
        <v>60.428466869528087</v>
      </c>
      <c r="I308" s="1">
        <f t="shared" si="58"/>
        <v>79.780672039399306</v>
      </c>
      <c r="J308" s="1">
        <f t="shared" si="59"/>
        <v>48.411424903722803</v>
      </c>
      <c r="K308" s="1">
        <f t="shared" si="60"/>
        <v>53.05555486111114</v>
      </c>
      <c r="L308" s="23">
        <f t="shared" si="51"/>
        <v>8.8390556646533724E-3</v>
      </c>
      <c r="M308" s="23">
        <f t="shared" si="52"/>
        <v>-6.477732531265934E-3</v>
      </c>
      <c r="N308" s="23">
        <f t="shared" si="53"/>
        <v>1.8372703010220759E-2</v>
      </c>
      <c r="O308" s="23">
        <f t="shared" si="54"/>
        <v>-2.8028381828982485E-2</v>
      </c>
      <c r="P308" s="23">
        <f t="shared" si="55"/>
        <v>-1.0362732892157278E-2</v>
      </c>
    </row>
    <row r="309" spans="1:16" x14ac:dyDescent="0.35">
      <c r="A309" s="2">
        <f>Prices!A307</f>
        <v>44331</v>
      </c>
      <c r="B309" s="1">
        <f>Prices!B307</f>
        <v>2409.780029</v>
      </c>
      <c r="C309" s="1">
        <f>Prices!C307</f>
        <v>24.33</v>
      </c>
      <c r="D309" s="1">
        <f>Prices!D307</f>
        <v>47.59</v>
      </c>
      <c r="E309" s="1">
        <f>Prices!E307</f>
        <v>30.129999000000002</v>
      </c>
      <c r="F309" s="1">
        <f>Prices!F307</f>
        <v>241.10000600000001</v>
      </c>
      <c r="G309" s="1">
        <f t="shared" si="56"/>
        <v>144.14887917485356</v>
      </c>
      <c r="H309" s="1">
        <f t="shared" si="57"/>
        <v>59.911350408486875</v>
      </c>
      <c r="I309" s="1">
        <f t="shared" si="58"/>
        <v>81.545577766525682</v>
      </c>
      <c r="J309" s="1">
        <f t="shared" si="59"/>
        <v>48.347238446726656</v>
      </c>
      <c r="K309" s="1">
        <f t="shared" si="60"/>
        <v>55.810186574074109</v>
      </c>
      <c r="L309" s="23">
        <f t="shared" si="51"/>
        <v>8.7615087349026677E-3</v>
      </c>
      <c r="M309" s="23">
        <f t="shared" si="52"/>
        <v>-8.5574976137939851E-3</v>
      </c>
      <c r="N309" s="23">
        <f t="shared" si="53"/>
        <v>2.2121971174356325E-2</v>
      </c>
      <c r="O309" s="23">
        <f t="shared" si="54"/>
        <v>-1.3258534968512148E-3</v>
      </c>
      <c r="P309" s="23">
        <f t="shared" si="55"/>
        <v>5.1919760714482122E-2</v>
      </c>
    </row>
    <row r="310" spans="1:16" x14ac:dyDescent="0.35">
      <c r="A310" s="2">
        <f>Prices!A308</f>
        <v>44334</v>
      </c>
      <c r="B310" s="1">
        <f>Prices!B308</f>
        <v>2426.26001</v>
      </c>
      <c r="C310" s="1">
        <f>Prices!C308</f>
        <v>25.26</v>
      </c>
      <c r="D310" s="1">
        <f>Prices!D308</f>
        <v>51.419998</v>
      </c>
      <c r="E310" s="1">
        <f>Prices!E308</f>
        <v>32.82</v>
      </c>
      <c r="F310" s="1">
        <f>Prices!F308</f>
        <v>239.5</v>
      </c>
      <c r="G310" s="1">
        <f t="shared" si="56"/>
        <v>145.13468317413339</v>
      </c>
      <c r="H310" s="1">
        <f t="shared" si="57"/>
        <v>62.20142668797282</v>
      </c>
      <c r="I310" s="1">
        <f t="shared" si="58"/>
        <v>88.108288414868554</v>
      </c>
      <c r="J310" s="1">
        <f t="shared" si="59"/>
        <v>52.663671373555928</v>
      </c>
      <c r="K310" s="1">
        <f t="shared" si="60"/>
        <v>55.439814814814852</v>
      </c>
      <c r="L310" s="23">
        <f t="shared" si="51"/>
        <v>6.8387905956872608E-3</v>
      </c>
      <c r="M310" s="23">
        <f t="shared" si="52"/>
        <v>3.8224414303329457E-2</v>
      </c>
      <c r="N310" s="23">
        <f t="shared" si="53"/>
        <v>8.0479050220634507E-2</v>
      </c>
      <c r="O310" s="23">
        <f t="shared" si="54"/>
        <v>8.9279823739788267E-2</v>
      </c>
      <c r="P310" s="23">
        <f t="shared" si="55"/>
        <v>-6.6362752392465918E-3</v>
      </c>
    </row>
    <row r="311" spans="1:16" x14ac:dyDescent="0.35">
      <c r="A311" s="2">
        <f>Prices!A309</f>
        <v>44335</v>
      </c>
      <c r="B311" s="1">
        <f>Prices!B309</f>
        <v>2449.330078</v>
      </c>
      <c r="C311" s="1">
        <f>Prices!C309</f>
        <v>24.9</v>
      </c>
      <c r="D311" s="1">
        <f>Prices!D309</f>
        <v>51.82</v>
      </c>
      <c r="E311" s="1">
        <f>Prices!E309</f>
        <v>32.159999999999997</v>
      </c>
      <c r="F311" s="1">
        <f>Prices!F309</f>
        <v>239</v>
      </c>
      <c r="G311" s="1">
        <f t="shared" si="56"/>
        <v>146.51469479538815</v>
      </c>
      <c r="H311" s="1">
        <f t="shared" si="57"/>
        <v>61.314945547526648</v>
      </c>
      <c r="I311" s="1">
        <f t="shared" si="58"/>
        <v>88.793692789690283</v>
      </c>
      <c r="J311" s="1">
        <f t="shared" si="59"/>
        <v>51.604621309371062</v>
      </c>
      <c r="K311" s="1">
        <f t="shared" si="60"/>
        <v>55.324074074074112</v>
      </c>
      <c r="L311" s="23">
        <f t="shared" si="51"/>
        <v>9.5084895703325678E-3</v>
      </c>
      <c r="M311" s="23">
        <f t="shared" si="52"/>
        <v>-1.4251781472684244E-2</v>
      </c>
      <c r="N311" s="23">
        <f t="shared" si="53"/>
        <v>7.7791134881024515E-3</v>
      </c>
      <c r="O311" s="23">
        <f t="shared" si="54"/>
        <v>-2.0109689213894111E-2</v>
      </c>
      <c r="P311" s="23">
        <f t="shared" si="55"/>
        <v>-2.0876826722338038E-3</v>
      </c>
    </row>
    <row r="312" spans="1:16" x14ac:dyDescent="0.35">
      <c r="A312" s="2">
        <f>Prices!A310</f>
        <v>44336</v>
      </c>
      <c r="B312" s="1">
        <f>Prices!B310</f>
        <v>2497.9399410000001</v>
      </c>
      <c r="C312" s="1">
        <f>Prices!C310</f>
        <v>25.129999000000002</v>
      </c>
      <c r="D312" s="1">
        <f>Prices!D310</f>
        <v>52.389999000000003</v>
      </c>
      <c r="E312" s="1">
        <f>Prices!E310</f>
        <v>33.450001</v>
      </c>
      <c r="F312" s="1">
        <f>Prices!F310</f>
        <v>237</v>
      </c>
      <c r="G312" s="1">
        <f t="shared" si="56"/>
        <v>149.42245284133764</v>
      </c>
      <c r="H312" s="1">
        <f t="shared" si="57"/>
        <v>61.88130603591965</v>
      </c>
      <c r="I312" s="1">
        <f t="shared" si="58"/>
        <v>89.770387426827128</v>
      </c>
      <c r="J312" s="1">
        <f t="shared" si="59"/>
        <v>53.674584403080949</v>
      </c>
      <c r="K312" s="1">
        <f t="shared" si="60"/>
        <v>54.861111111111143</v>
      </c>
      <c r="L312" s="23">
        <f t="shared" si="51"/>
        <v>1.9846187100961199E-2</v>
      </c>
      <c r="M312" s="23">
        <f t="shared" si="52"/>
        <v>9.2369076305223174E-3</v>
      </c>
      <c r="N312" s="23">
        <f t="shared" si="53"/>
        <v>1.0999594751061492E-2</v>
      </c>
      <c r="O312" s="23">
        <f t="shared" si="54"/>
        <v>4.0111971393034906E-2</v>
      </c>
      <c r="P312" s="23">
        <f t="shared" si="55"/>
        <v>-8.3682008368201055E-3</v>
      </c>
    </row>
    <row r="313" spans="1:16" x14ac:dyDescent="0.35">
      <c r="A313" s="2">
        <f>Prices!A311</f>
        <v>44337</v>
      </c>
      <c r="B313" s="1">
        <f>Prices!B311</f>
        <v>2446.73999</v>
      </c>
      <c r="C313" s="1">
        <f>Prices!C311</f>
        <v>24.4</v>
      </c>
      <c r="D313" s="1">
        <f>Prices!D311</f>
        <v>51.82</v>
      </c>
      <c r="E313" s="1">
        <f>Prices!E311</f>
        <v>32.439999</v>
      </c>
      <c r="F313" s="1">
        <f>Prices!F311</f>
        <v>236.10000600000001</v>
      </c>
      <c r="G313" s="1">
        <f t="shared" si="56"/>
        <v>146.35976020481507</v>
      </c>
      <c r="H313" s="1">
        <f t="shared" si="57"/>
        <v>60.083721741351411</v>
      </c>
      <c r="I313" s="1">
        <f t="shared" si="58"/>
        <v>88.793692789690283</v>
      </c>
      <c r="J313" s="1">
        <f t="shared" si="59"/>
        <v>52.053913671373628</v>
      </c>
      <c r="K313" s="1">
        <f t="shared" si="60"/>
        <v>54.652779166666704</v>
      </c>
      <c r="L313" s="23">
        <f t="shared" si="51"/>
        <v>-2.0496870304857362E-2</v>
      </c>
      <c r="M313" s="23">
        <f t="shared" si="52"/>
        <v>-2.9048906846355305E-2</v>
      </c>
      <c r="N313" s="23">
        <f t="shared" si="53"/>
        <v>-1.087992003970073E-2</v>
      </c>
      <c r="O313" s="23">
        <f t="shared" si="54"/>
        <v>-3.0194378768478969E-2</v>
      </c>
      <c r="P313" s="23">
        <f t="shared" si="55"/>
        <v>-3.7974430379746904E-3</v>
      </c>
    </row>
    <row r="314" spans="1:16" x14ac:dyDescent="0.35">
      <c r="A314" s="2">
        <f>Prices!A312</f>
        <v>44338</v>
      </c>
      <c r="B314" s="1">
        <f>Prices!B312</f>
        <v>2436.8798830000001</v>
      </c>
      <c r="C314" s="1">
        <f>Prices!C312</f>
        <v>22.969999000000001</v>
      </c>
      <c r="D314" s="1">
        <f>Prices!D312</f>
        <v>52.119999</v>
      </c>
      <c r="E314" s="1">
        <f>Prices!E312</f>
        <v>32.240001999999997</v>
      </c>
      <c r="F314" s="1">
        <f>Prices!F312</f>
        <v>248.39999399999999</v>
      </c>
      <c r="G314" s="1">
        <f t="shared" si="56"/>
        <v>145.76994563440221</v>
      </c>
      <c r="H314" s="1">
        <f t="shared" si="57"/>
        <v>56.56241919324264</v>
      </c>
      <c r="I314" s="1">
        <f t="shared" si="58"/>
        <v>89.307741787050645</v>
      </c>
      <c r="J314" s="1">
        <f t="shared" si="59"/>
        <v>51.732994223363356</v>
      </c>
      <c r="K314" s="1">
        <f t="shared" si="60"/>
        <v>57.499998611111145</v>
      </c>
      <c r="L314" s="23">
        <f t="shared" si="51"/>
        <v>-4.0298957144195846E-3</v>
      </c>
      <c r="M314" s="23">
        <f t="shared" si="52"/>
        <v>-5.8606598360655626E-2</v>
      </c>
      <c r="N314" s="23">
        <f t="shared" si="53"/>
        <v>5.7892512543420427E-3</v>
      </c>
      <c r="O314" s="23">
        <f t="shared" si="54"/>
        <v>-6.1651358250659483E-3</v>
      </c>
      <c r="P314" s="23">
        <f t="shared" si="55"/>
        <v>5.2096517100469697E-2</v>
      </c>
    </row>
    <row r="315" spans="1:16" x14ac:dyDescent="0.35">
      <c r="A315" s="2">
        <f>Prices!A313</f>
        <v>44342</v>
      </c>
      <c r="B315" s="1">
        <f>Prices!B313</f>
        <v>2421.860107</v>
      </c>
      <c r="C315" s="1">
        <f>Prices!C313</f>
        <v>23.809999000000001</v>
      </c>
      <c r="D315" s="1">
        <f>Prices!D313</f>
        <v>51.459999000000003</v>
      </c>
      <c r="E315" s="1">
        <f>Prices!E313</f>
        <v>32.689999</v>
      </c>
      <c r="F315" s="1">
        <f>Prices!F313</f>
        <v>262.60000600000001</v>
      </c>
      <c r="G315" s="1">
        <f t="shared" si="56"/>
        <v>144.87148857616364</v>
      </c>
      <c r="H315" s="1">
        <f t="shared" si="57"/>
        <v>58.630875187617029</v>
      </c>
      <c r="I315" s="1">
        <f t="shared" si="58"/>
        <v>88.176830223152621</v>
      </c>
      <c r="J315" s="1">
        <f t="shared" si="59"/>
        <v>52.455068998716385</v>
      </c>
      <c r="K315" s="1">
        <f t="shared" si="60"/>
        <v>60.787038425925964</v>
      </c>
      <c r="L315" s="23">
        <f t="shared" si="51"/>
        <v>-6.1635274289799646E-3</v>
      </c>
      <c r="M315" s="23">
        <f t="shared" si="52"/>
        <v>3.6569439989962538E-2</v>
      </c>
      <c r="N315" s="23">
        <f t="shared" si="53"/>
        <v>-1.2663085430987708E-2</v>
      </c>
      <c r="O315" s="23">
        <f t="shared" si="54"/>
        <v>1.3957722459198463E-2</v>
      </c>
      <c r="P315" s="23">
        <f t="shared" si="55"/>
        <v>5.7165911203685527E-2</v>
      </c>
    </row>
    <row r="316" spans="1:16" x14ac:dyDescent="0.35">
      <c r="A316" s="2">
        <f>Prices!A314</f>
        <v>44343</v>
      </c>
      <c r="B316" s="1">
        <f>Prices!B314</f>
        <v>2410.389893</v>
      </c>
      <c r="C316" s="1">
        <f>Prices!C314</f>
        <v>24.17</v>
      </c>
      <c r="D316" s="1">
        <f>Prices!D314</f>
        <v>52.34</v>
      </c>
      <c r="E316" s="1">
        <f>Prices!E314</f>
        <v>32.979999999999997</v>
      </c>
      <c r="F316" s="1">
        <f>Prices!F314</f>
        <v>261.89999399999999</v>
      </c>
      <c r="G316" s="1">
        <f t="shared" si="56"/>
        <v>144.1853601859795</v>
      </c>
      <c r="H316" s="1">
        <f t="shared" si="57"/>
        <v>59.517358790510812</v>
      </c>
      <c r="I316" s="1">
        <f t="shared" si="58"/>
        <v>89.684714021852344</v>
      </c>
      <c r="J316" s="1">
        <f t="shared" si="59"/>
        <v>52.920410783055274</v>
      </c>
      <c r="K316" s="1">
        <f t="shared" si="60"/>
        <v>60.624998611111145</v>
      </c>
      <c r="L316" s="23">
        <f t="shared" si="51"/>
        <v>-4.7361174854183563E-3</v>
      </c>
      <c r="M316" s="23">
        <f t="shared" si="52"/>
        <v>1.5119740240224333E-2</v>
      </c>
      <c r="N316" s="23">
        <f t="shared" si="53"/>
        <v>1.7100680472224683E-2</v>
      </c>
      <c r="O316" s="23">
        <f t="shared" si="54"/>
        <v>8.8712453004355929E-3</v>
      </c>
      <c r="P316" s="23">
        <f t="shared" si="55"/>
        <v>-2.6656968164731065E-3</v>
      </c>
    </row>
    <row r="317" spans="1:16" x14ac:dyDescent="0.35">
      <c r="A317" s="2">
        <f>Prices!A315</f>
        <v>44344</v>
      </c>
      <c r="B317" s="1">
        <f>Prices!B315</f>
        <v>2401.1000979999999</v>
      </c>
      <c r="C317" s="1">
        <f>Prices!C315</f>
        <v>23.59</v>
      </c>
      <c r="D317" s="1">
        <f>Prices!D315</f>
        <v>52.509998000000003</v>
      </c>
      <c r="E317" s="1">
        <f>Prices!E315</f>
        <v>32.610000999999997</v>
      </c>
      <c r="F317" s="1">
        <f>Prices!F315</f>
        <v>247.699997</v>
      </c>
      <c r="G317" s="1">
        <f t="shared" si="56"/>
        <v>143.62966069436663</v>
      </c>
      <c r="H317" s="1">
        <f t="shared" si="57"/>
        <v>58.08913917534754</v>
      </c>
      <c r="I317" s="1">
        <f t="shared" si="58"/>
        <v>89.976005997669816</v>
      </c>
      <c r="J317" s="1">
        <f t="shared" si="59"/>
        <v>52.326702503209312</v>
      </c>
      <c r="K317" s="1">
        <f t="shared" si="60"/>
        <v>57.337962268518552</v>
      </c>
      <c r="L317" s="23">
        <f t="shared" si="51"/>
        <v>-3.8540632065288127E-3</v>
      </c>
      <c r="M317" s="23">
        <f t="shared" si="52"/>
        <v>-2.3996690111708796E-2</v>
      </c>
      <c r="N317" s="23">
        <f t="shared" si="53"/>
        <v>3.2479556744364757E-3</v>
      </c>
      <c r="O317" s="23">
        <f t="shared" si="54"/>
        <v>-1.1218890236507018E-2</v>
      </c>
      <c r="P317" s="23">
        <f t="shared" si="55"/>
        <v>-5.4219157408609941E-2</v>
      </c>
    </row>
    <row r="318" spans="1:16" x14ac:dyDescent="0.35">
      <c r="A318" s="2">
        <f>Prices!A316</f>
        <v>44345</v>
      </c>
      <c r="B318" s="1">
        <f>Prices!B316</f>
        <v>2442.3701169999999</v>
      </c>
      <c r="C318" s="1">
        <f>Prices!C316</f>
        <v>23.049999</v>
      </c>
      <c r="D318" s="1">
        <f>Prices!D316</f>
        <v>53.919998</v>
      </c>
      <c r="E318" s="1">
        <f>Prices!E316</f>
        <v>31.950001</v>
      </c>
      <c r="F318" s="1">
        <f>Prices!F316</f>
        <v>253.10000600000001</v>
      </c>
      <c r="G318" s="1">
        <f t="shared" si="56"/>
        <v>146.09836194957774</v>
      </c>
      <c r="H318" s="1">
        <f t="shared" si="57"/>
        <v>56.759415002230675</v>
      </c>
      <c r="I318" s="1">
        <f t="shared" si="58"/>
        <v>92.392044338724673</v>
      </c>
      <c r="J318" s="1">
        <f t="shared" si="59"/>
        <v>51.267652439024467</v>
      </c>
      <c r="K318" s="1">
        <f t="shared" si="60"/>
        <v>58.587964351851888</v>
      </c>
      <c r="L318" s="23">
        <f t="shared" si="51"/>
        <v>1.7187962731906037E-2</v>
      </c>
      <c r="M318" s="23">
        <f t="shared" si="52"/>
        <v>-2.2891097922848713E-2</v>
      </c>
      <c r="N318" s="23">
        <f t="shared" si="53"/>
        <v>2.6852029207847128E-2</v>
      </c>
      <c r="O318" s="23">
        <f t="shared" si="54"/>
        <v>-2.0239189811738889E-2</v>
      </c>
      <c r="P318" s="23">
        <f t="shared" si="55"/>
        <v>2.1800601798150243E-2</v>
      </c>
    </row>
    <row r="319" spans="1:16" x14ac:dyDescent="0.35">
      <c r="A319" s="2">
        <f>Prices!A317</f>
        <v>44348</v>
      </c>
      <c r="B319" s="1">
        <f>Prices!B317</f>
        <v>2471.040039</v>
      </c>
      <c r="C319" s="1">
        <f>Prices!C317</f>
        <v>23.82</v>
      </c>
      <c r="D319" s="1">
        <f>Prices!D317</f>
        <v>54.869999</v>
      </c>
      <c r="E319" s="1">
        <f>Prices!E317</f>
        <v>33.18</v>
      </c>
      <c r="F319" s="1">
        <f>Prices!F317</f>
        <v>260.89999399999999</v>
      </c>
      <c r="G319" s="1">
        <f t="shared" si="56"/>
        <v>147.81334716507288</v>
      </c>
      <c r="H319" s="1">
        <f t="shared" si="57"/>
        <v>58.655502126188146</v>
      </c>
      <c r="I319" s="1">
        <f t="shared" si="58"/>
        <v>94.019873303292385</v>
      </c>
      <c r="J319" s="1">
        <f t="shared" si="59"/>
        <v>53.241335044929478</v>
      </c>
      <c r="K319" s="1">
        <f t="shared" si="60"/>
        <v>60.393517129629664</v>
      </c>
      <c r="L319" s="23">
        <f t="shared" si="51"/>
        <v>1.1738565666376433E-2</v>
      </c>
      <c r="M319" s="23">
        <f t="shared" si="52"/>
        <v>3.3405684746450559E-2</v>
      </c>
      <c r="N319" s="23">
        <f t="shared" si="53"/>
        <v>1.761871356152489E-2</v>
      </c>
      <c r="O319" s="23">
        <f t="shared" si="54"/>
        <v>3.8497620078321804E-2</v>
      </c>
      <c r="P319" s="23">
        <f t="shared" si="55"/>
        <v>3.0817810411272628E-2</v>
      </c>
    </row>
    <row r="320" spans="1:16" x14ac:dyDescent="0.35">
      <c r="A320" s="2">
        <f>Prices!A318</f>
        <v>44349</v>
      </c>
      <c r="B320" s="1">
        <f>Prices!B318</f>
        <v>2472.4099120000001</v>
      </c>
      <c r="C320" s="1">
        <f>Prices!C318</f>
        <v>24.15</v>
      </c>
      <c r="D320" s="1">
        <f>Prices!D318</f>
        <v>55.75</v>
      </c>
      <c r="E320" s="1">
        <f>Prices!E318</f>
        <v>34</v>
      </c>
      <c r="F320" s="1">
        <f>Prices!F318</f>
        <v>278.89999399999999</v>
      </c>
      <c r="G320" s="1">
        <f t="shared" si="56"/>
        <v>147.89529060189514</v>
      </c>
      <c r="H320" s="1">
        <f t="shared" si="57"/>
        <v>59.4681098382638</v>
      </c>
      <c r="I320" s="1">
        <f t="shared" si="58"/>
        <v>95.527757101992123</v>
      </c>
      <c r="J320" s="1">
        <f t="shared" si="59"/>
        <v>54.557124518613691</v>
      </c>
      <c r="K320" s="1">
        <f t="shared" si="60"/>
        <v>64.560183796296329</v>
      </c>
      <c r="L320" s="23">
        <f t="shared" si="51"/>
        <v>5.5437102530908611E-4</v>
      </c>
      <c r="M320" s="23">
        <f t="shared" si="52"/>
        <v>1.3853904282115748E-2</v>
      </c>
      <c r="N320" s="23">
        <f t="shared" si="53"/>
        <v>1.6037926299214966E-2</v>
      </c>
      <c r="O320" s="23">
        <f t="shared" si="54"/>
        <v>2.471368294153109E-2</v>
      </c>
      <c r="P320" s="23">
        <f t="shared" si="55"/>
        <v>6.8991952525687017E-2</v>
      </c>
    </row>
    <row r="321" spans="1:16" x14ac:dyDescent="0.35">
      <c r="A321" s="2">
        <f>Prices!A319</f>
        <v>44350</v>
      </c>
      <c r="B321" s="1">
        <f>Prices!B319</f>
        <v>2478.3999020000001</v>
      </c>
      <c r="C321" s="1">
        <f>Prices!C319</f>
        <v>25.26</v>
      </c>
      <c r="D321" s="1">
        <f>Prices!D319</f>
        <v>56.529998999999997</v>
      </c>
      <c r="E321" s="1">
        <f>Prices!E319</f>
        <v>35.650002000000001</v>
      </c>
      <c r="F321" s="1">
        <f>Prices!F319</f>
        <v>281.20001200000002</v>
      </c>
      <c r="G321" s="1">
        <f t="shared" si="56"/>
        <v>148.2536014578146</v>
      </c>
      <c r="H321" s="1">
        <f t="shared" si="57"/>
        <v>62.201426687972827</v>
      </c>
      <c r="I321" s="1">
        <f t="shared" si="58"/>
        <v>96.864287236732864</v>
      </c>
      <c r="J321" s="1">
        <f t="shared" si="59"/>
        <v>57.204752888318446</v>
      </c>
      <c r="K321" s="1">
        <f t="shared" si="60"/>
        <v>65.092595370370418</v>
      </c>
      <c r="L321" s="23">
        <f t="shared" si="51"/>
        <v>2.422733370760044E-3</v>
      </c>
      <c r="M321" s="23">
        <f t="shared" si="52"/>
        <v>4.5962732919254679E-2</v>
      </c>
      <c r="N321" s="23">
        <f t="shared" si="53"/>
        <v>1.3991013452914647E-2</v>
      </c>
      <c r="O321" s="23">
        <f t="shared" si="54"/>
        <v>4.8529470588235313E-2</v>
      </c>
      <c r="P321" s="23">
        <f t="shared" si="55"/>
        <v>8.2467481157422196E-3</v>
      </c>
    </row>
    <row r="322" spans="1:16" x14ac:dyDescent="0.35">
      <c r="A322" s="2">
        <f>Prices!A320</f>
        <v>44351</v>
      </c>
      <c r="B322" s="1">
        <f>Prices!B320</f>
        <v>2460.6000979999999</v>
      </c>
      <c r="C322" s="1">
        <f>Prices!C320</f>
        <v>25.15</v>
      </c>
      <c r="D322" s="1">
        <f>Prices!D320</f>
        <v>56.650002000000001</v>
      </c>
      <c r="E322" s="1">
        <f>Prices!E320</f>
        <v>35.57</v>
      </c>
      <c r="F322" s="1">
        <f>Prices!F320</f>
        <v>296.29998799999998</v>
      </c>
      <c r="G322" s="1">
        <f t="shared" si="56"/>
        <v>147.18884792626639</v>
      </c>
      <c r="H322" s="1">
        <f t="shared" si="57"/>
        <v>61.930557450614266</v>
      </c>
      <c r="I322" s="1">
        <f t="shared" si="58"/>
        <v>97.069912661585064</v>
      </c>
      <c r="J322" s="1">
        <f t="shared" si="59"/>
        <v>57.076379974326144</v>
      </c>
      <c r="K322" s="1">
        <f t="shared" si="60"/>
        <v>68.587960185185224</v>
      </c>
      <c r="L322" s="23">
        <f t="shared" si="51"/>
        <v>-7.1819741380865221E-3</v>
      </c>
      <c r="M322" s="23">
        <f t="shared" si="52"/>
        <v>-4.354711005542522E-3</v>
      </c>
      <c r="N322" s="23">
        <f t="shared" si="53"/>
        <v>2.1228197792821923E-3</v>
      </c>
      <c r="O322" s="23">
        <f t="shared" si="54"/>
        <v>-2.2440952457730701E-3</v>
      </c>
      <c r="P322" s="23">
        <f t="shared" si="55"/>
        <v>5.3698347637339161E-2</v>
      </c>
    </row>
    <row r="323" spans="1:16" x14ac:dyDescent="0.35">
      <c r="A323" s="2">
        <f>Prices!A321</f>
        <v>44352</v>
      </c>
      <c r="B323" s="1">
        <f>Prices!B321</f>
        <v>2483</v>
      </c>
      <c r="C323" s="1">
        <f>Prices!C321</f>
        <v>26.549999</v>
      </c>
      <c r="D323" s="1">
        <f>Prices!D321</f>
        <v>56.549999</v>
      </c>
      <c r="E323" s="1">
        <f>Prices!E321</f>
        <v>37.770000000000003</v>
      </c>
      <c r="F323" s="1">
        <f>Prices!F321</f>
        <v>296.79998799999998</v>
      </c>
      <c r="G323" s="1">
        <f t="shared" si="56"/>
        <v>148.5287713749085</v>
      </c>
      <c r="H323" s="1">
        <f t="shared" si="57"/>
        <v>65.377981645457311</v>
      </c>
      <c r="I323" s="1">
        <f t="shared" si="58"/>
        <v>96.898557284123697</v>
      </c>
      <c r="J323" s="1">
        <f t="shared" si="59"/>
        <v>60.606546854942323</v>
      </c>
      <c r="K323" s="1">
        <f t="shared" si="60"/>
        <v>68.703700925925972</v>
      </c>
      <c r="L323" s="23">
        <f t="shared" si="51"/>
        <v>9.103430507950927E-3</v>
      </c>
      <c r="M323" s="23">
        <f t="shared" si="52"/>
        <v>5.5665964214711705E-2</v>
      </c>
      <c r="N323" s="23">
        <f t="shared" si="53"/>
        <v>-1.7652779606256441E-3</v>
      </c>
      <c r="O323" s="23">
        <f t="shared" si="54"/>
        <v>6.1849873488895257E-2</v>
      </c>
      <c r="P323" s="23">
        <f t="shared" si="55"/>
        <v>1.6874789748557717E-3</v>
      </c>
    </row>
    <row r="324" spans="1:16" x14ac:dyDescent="0.35">
      <c r="A324" s="2">
        <f>Prices!A322</f>
        <v>44355</v>
      </c>
      <c r="B324" s="1">
        <f>Prices!B322</f>
        <v>2524.0600589999999</v>
      </c>
      <c r="C324" s="1">
        <f>Prices!C322</f>
        <v>26.67</v>
      </c>
      <c r="D324" s="1">
        <f>Prices!D322</f>
        <v>58.279998999999997</v>
      </c>
      <c r="E324" s="1">
        <f>Prices!E322</f>
        <v>39.290000999999997</v>
      </c>
      <c r="F324" s="1">
        <f>Prices!F322</f>
        <v>290.10000600000001</v>
      </c>
      <c r="G324" s="1">
        <f t="shared" si="56"/>
        <v>150.98491318556142</v>
      </c>
      <c r="H324" s="1">
        <f t="shared" si="57"/>
        <v>65.673477821386982</v>
      </c>
      <c r="I324" s="1">
        <f t="shared" si="58"/>
        <v>99.86291638343215</v>
      </c>
      <c r="J324" s="1">
        <f t="shared" si="59"/>
        <v>63.045572849807527</v>
      </c>
      <c r="K324" s="1">
        <f t="shared" si="60"/>
        <v>67.152779166666718</v>
      </c>
      <c r="L324" s="23">
        <f t="shared" si="51"/>
        <v>1.6536471606927172E-2</v>
      </c>
      <c r="M324" s="23">
        <f t="shared" si="52"/>
        <v>4.5198118463207759E-3</v>
      </c>
      <c r="N324" s="23">
        <f t="shared" si="53"/>
        <v>3.0592396650616971E-2</v>
      </c>
      <c r="O324" s="23">
        <f t="shared" si="54"/>
        <v>4.0243606036536761E-2</v>
      </c>
      <c r="P324" s="23">
        <f t="shared" si="55"/>
        <v>-2.2574064255015958E-2</v>
      </c>
    </row>
    <row r="325" spans="1:16" x14ac:dyDescent="0.35">
      <c r="A325" s="2">
        <f>Prices!A323</f>
        <v>44356</v>
      </c>
      <c r="B325" s="1">
        <f>Prices!B323</f>
        <v>2600.860107</v>
      </c>
      <c r="C325" s="1">
        <f>Prices!C323</f>
        <v>25.75</v>
      </c>
      <c r="D325" s="1">
        <f>Prices!D323</f>
        <v>57.75</v>
      </c>
      <c r="E325" s="1">
        <f>Prices!E323</f>
        <v>37.259998000000003</v>
      </c>
      <c r="F325" s="1">
        <f>Prices!F323</f>
        <v>287.89999399999999</v>
      </c>
      <c r="G325" s="1">
        <f t="shared" si="56"/>
        <v>155.57895940826543</v>
      </c>
      <c r="H325" s="1">
        <f t="shared" si="57"/>
        <v>63.408026018024543</v>
      </c>
      <c r="I325" s="1">
        <f t="shared" si="58"/>
        <v>98.954761841077016</v>
      </c>
      <c r="J325" s="1">
        <f t="shared" si="59"/>
        <v>59.788186777920501</v>
      </c>
      <c r="K325" s="1">
        <f t="shared" si="60"/>
        <v>66.643517129629686</v>
      </c>
      <c r="L325" s="23">
        <f t="shared" ref="L325:L388" si="61">B325/B324-1</f>
        <v>3.0427187231997666E-2</v>
      </c>
      <c r="M325" s="23">
        <f t="shared" ref="M325:M388" si="62">C325/C324-1</f>
        <v>-3.4495688038995165E-2</v>
      </c>
      <c r="N325" s="23">
        <f t="shared" ref="N325:N388" si="63">D325/D324-1</f>
        <v>-9.0940118238505008E-3</v>
      </c>
      <c r="O325" s="23">
        <f t="shared" ref="O325:O388" si="64">E325/E324-1</f>
        <v>-5.166716590310072E-2</v>
      </c>
      <c r="P325" s="23">
        <f t="shared" ref="P325:P388" si="65">F325/F324-1</f>
        <v>-7.5836330730720825E-3</v>
      </c>
    </row>
    <row r="326" spans="1:16" x14ac:dyDescent="0.35">
      <c r="A326" s="2">
        <f>Prices!A324</f>
        <v>44357</v>
      </c>
      <c r="B326" s="1">
        <f>Prices!B324</f>
        <v>2647.4499510000001</v>
      </c>
      <c r="C326" s="1">
        <f>Prices!C324</f>
        <v>25.290001</v>
      </c>
      <c r="D326" s="1">
        <f>Prices!D324</f>
        <v>58.57</v>
      </c>
      <c r="E326" s="1">
        <f>Prices!E324</f>
        <v>36.25</v>
      </c>
      <c r="F326" s="1">
        <f>Prices!F324</f>
        <v>275.5</v>
      </c>
      <c r="G326" s="1">
        <f t="shared" ref="G326:G389" si="66">G325*B326/B325</f>
        <v>158.36588340660157</v>
      </c>
      <c r="H326" s="1">
        <f t="shared" ref="H326:H389" si="67">H325*C326/C325</f>
        <v>62.275302578790942</v>
      </c>
      <c r="I326" s="1">
        <f t="shared" ref="I326:I389" si="68">I325*D326/D325</f>
        <v>100.35983378410182</v>
      </c>
      <c r="J326" s="1">
        <f t="shared" ref="J326:J389" si="69">J325*E326/E325</f>
        <v>58.167522464698422</v>
      </c>
      <c r="K326" s="1">
        <f t="shared" ref="K326:K389" si="70">K325*F326/F325</f>
        <v>63.773148148148209</v>
      </c>
      <c r="L326" s="23">
        <f t="shared" si="61"/>
        <v>1.7913244881801793E-2</v>
      </c>
      <c r="M326" s="23">
        <f t="shared" si="62"/>
        <v>-1.7864038834951468E-2</v>
      </c>
      <c r="N326" s="23">
        <f t="shared" si="63"/>
        <v>1.41991341991341E-2</v>
      </c>
      <c r="O326" s="23">
        <f t="shared" si="64"/>
        <v>-2.7106764740030376E-2</v>
      </c>
      <c r="P326" s="23">
        <f t="shared" si="65"/>
        <v>-4.3070490651000104E-2</v>
      </c>
    </row>
    <row r="327" spans="1:16" x14ac:dyDescent="0.35">
      <c r="A327" s="2">
        <f>Prices!A325</f>
        <v>44358</v>
      </c>
      <c r="B327" s="1">
        <f>Prices!B325</f>
        <v>2557.959961</v>
      </c>
      <c r="C327" s="1">
        <f>Prices!C325</f>
        <v>23.52</v>
      </c>
      <c r="D327" s="1">
        <f>Prices!D325</f>
        <v>55.549999</v>
      </c>
      <c r="E327" s="1">
        <f>Prices!E325</f>
        <v>33.189999</v>
      </c>
      <c r="F327" s="1">
        <f>Prices!F325</f>
        <v>276.5</v>
      </c>
      <c r="G327" s="1">
        <f t="shared" si="66"/>
        <v>153.01274677146148</v>
      </c>
      <c r="H327" s="1">
        <f t="shared" si="67"/>
        <v>57.916767842483004</v>
      </c>
      <c r="I327" s="1">
        <f t="shared" si="68"/>
        <v>95.185054914581229</v>
      </c>
      <c r="J327" s="1">
        <f t="shared" si="69"/>
        <v>53.257379653401877</v>
      </c>
      <c r="K327" s="1">
        <f t="shared" si="70"/>
        <v>64.00462962962969</v>
      </c>
      <c r="L327" s="23">
        <f t="shared" si="61"/>
        <v>-3.3802334947332091E-2</v>
      </c>
      <c r="M327" s="23">
        <f t="shared" si="62"/>
        <v>-6.9988174377691781E-2</v>
      </c>
      <c r="N327" s="23">
        <f t="shared" si="63"/>
        <v>-5.1562250298787804E-2</v>
      </c>
      <c r="O327" s="23">
        <f t="shared" si="64"/>
        <v>-8.4413820689655195E-2</v>
      </c>
      <c r="P327" s="23">
        <f t="shared" si="65"/>
        <v>3.6297640653357721E-3</v>
      </c>
    </row>
    <row r="328" spans="1:16" x14ac:dyDescent="0.35">
      <c r="A328" s="2">
        <f>Prices!A326</f>
        <v>44359</v>
      </c>
      <c r="B328" s="1">
        <f>Prices!B326</f>
        <v>2545.0200199999999</v>
      </c>
      <c r="C328" s="1">
        <f>Prices!C326</f>
        <v>23.98</v>
      </c>
      <c r="D328" s="1">
        <f>Prices!D326</f>
        <v>57.5</v>
      </c>
      <c r="E328" s="1">
        <f>Prices!E326</f>
        <v>34.450001</v>
      </c>
      <c r="F328" s="1">
        <f>Prices!F326</f>
        <v>278.29998799999998</v>
      </c>
      <c r="G328" s="1">
        <f t="shared" si="66"/>
        <v>152.23870185064237</v>
      </c>
      <c r="H328" s="1">
        <f t="shared" si="67"/>
        <v>59.049493744164216</v>
      </c>
      <c r="I328" s="1">
        <f t="shared" si="68"/>
        <v>98.526386248691381</v>
      </c>
      <c r="J328" s="1">
        <f t="shared" si="69"/>
        <v>55.279205712451947</v>
      </c>
      <c r="K328" s="1">
        <f t="shared" si="70"/>
        <v>64.421293518518581</v>
      </c>
      <c r="L328" s="23">
        <f t="shared" si="61"/>
        <v>-5.0586956783097436E-3</v>
      </c>
      <c r="M328" s="23">
        <f t="shared" si="62"/>
        <v>1.9557823129251695E-2</v>
      </c>
      <c r="N328" s="23">
        <f t="shared" si="63"/>
        <v>3.51035289847621E-2</v>
      </c>
      <c r="O328" s="23">
        <f t="shared" si="64"/>
        <v>3.7963303343275134E-2</v>
      </c>
      <c r="P328" s="23">
        <f t="shared" si="65"/>
        <v>6.5099023508137233E-3</v>
      </c>
    </row>
    <row r="329" spans="1:16" x14ac:dyDescent="0.35">
      <c r="A329" s="2">
        <f>Prices!A327</f>
        <v>44362</v>
      </c>
      <c r="B329" s="1">
        <f>Prices!B327</f>
        <v>2572.679932</v>
      </c>
      <c r="C329" s="1">
        <f>Prices!C327</f>
        <v>23.82</v>
      </c>
      <c r="D329" s="1">
        <f>Prices!D327</f>
        <v>57.09</v>
      </c>
      <c r="E329" s="1">
        <f>Prices!E327</f>
        <v>34.520000000000003</v>
      </c>
      <c r="F329" s="1">
        <f>Prices!F327</f>
        <v>288.10000600000001</v>
      </c>
      <c r="G329" s="1">
        <f t="shared" si="66"/>
        <v>153.89327001242171</v>
      </c>
      <c r="H329" s="1">
        <f t="shared" si="67"/>
        <v>58.655502126188146</v>
      </c>
      <c r="I329" s="1">
        <f t="shared" si="68"/>
        <v>97.823850277178977</v>
      </c>
      <c r="J329" s="1">
        <f t="shared" si="69"/>
        <v>55.391527599486615</v>
      </c>
      <c r="K329" s="1">
        <f t="shared" si="70"/>
        <v>66.689816203703771</v>
      </c>
      <c r="L329" s="23">
        <f t="shared" si="61"/>
        <v>1.0868249280019393E-2</v>
      </c>
      <c r="M329" s="23">
        <f t="shared" si="62"/>
        <v>-6.6722268557131148E-3</v>
      </c>
      <c r="N329" s="23">
        <f t="shared" si="63"/>
        <v>-7.1304347826086634E-3</v>
      </c>
      <c r="O329" s="23">
        <f t="shared" si="64"/>
        <v>2.0319012472598263E-3</v>
      </c>
      <c r="P329" s="23">
        <f t="shared" si="65"/>
        <v>3.5213864256437022E-2</v>
      </c>
    </row>
    <row r="330" spans="1:16" x14ac:dyDescent="0.35">
      <c r="A330" s="2">
        <f>Prices!A328</f>
        <v>44363</v>
      </c>
      <c r="B330" s="1">
        <f>Prices!B328</f>
        <v>2615.2700199999999</v>
      </c>
      <c r="C330" s="1">
        <f>Prices!C328</f>
        <v>24.139999</v>
      </c>
      <c r="D330" s="1">
        <f>Prices!D328</f>
        <v>57.450001</v>
      </c>
      <c r="E330" s="1">
        <f>Prices!E328</f>
        <v>34.970001000000003</v>
      </c>
      <c r="F330" s="1">
        <f>Prices!F328</f>
        <v>278.29998799999998</v>
      </c>
      <c r="G330" s="1">
        <f t="shared" si="66"/>
        <v>156.44093551519626</v>
      </c>
      <c r="H330" s="1">
        <f t="shared" si="67"/>
        <v>59.443482899692683</v>
      </c>
      <c r="I330" s="1">
        <f t="shared" si="68"/>
        <v>98.440712843716625</v>
      </c>
      <c r="J330" s="1">
        <f t="shared" si="69"/>
        <v>56.113608793324872</v>
      </c>
      <c r="K330" s="1">
        <f t="shared" si="70"/>
        <v>64.421293518518581</v>
      </c>
      <c r="L330" s="23">
        <f t="shared" si="61"/>
        <v>1.655475578996346E-2</v>
      </c>
      <c r="M330" s="23">
        <f t="shared" si="62"/>
        <v>1.3434047019311501E-2</v>
      </c>
      <c r="N330" s="23">
        <f t="shared" si="63"/>
        <v>6.3058504116306757E-3</v>
      </c>
      <c r="O330" s="23">
        <f t="shared" si="64"/>
        <v>1.3035950173812205E-2</v>
      </c>
      <c r="P330" s="23">
        <f t="shared" si="65"/>
        <v>-3.4016028448121682E-2</v>
      </c>
    </row>
    <row r="331" spans="1:16" x14ac:dyDescent="0.35">
      <c r="A331" s="2">
        <f>Prices!A329</f>
        <v>44364</v>
      </c>
      <c r="B331" s="1">
        <f>Prices!B329</f>
        <v>2640.9799800000001</v>
      </c>
      <c r="C331" s="1">
        <f>Prices!C329</f>
        <v>23.91</v>
      </c>
      <c r="D331" s="1">
        <f>Prices!D329</f>
        <v>57.459999000000003</v>
      </c>
      <c r="E331" s="1">
        <f>Prices!E329</f>
        <v>34.189999</v>
      </c>
      <c r="F331" s="1">
        <f>Prices!F329</f>
        <v>278.79998799999998</v>
      </c>
      <c r="G331" s="1">
        <f t="shared" si="66"/>
        <v>157.97886091628288</v>
      </c>
      <c r="H331" s="1">
        <f t="shared" si="67"/>
        <v>58.877122411299688</v>
      </c>
      <c r="I331" s="1">
        <f t="shared" si="68"/>
        <v>98.457844440407314</v>
      </c>
      <c r="J331" s="1">
        <f t="shared" si="69"/>
        <v>54.862000962772875</v>
      </c>
      <c r="K331" s="1">
        <f t="shared" si="70"/>
        <v>64.537034259259315</v>
      </c>
      <c r="L331" s="23">
        <f t="shared" si="61"/>
        <v>9.8307095647431897E-3</v>
      </c>
      <c r="M331" s="23">
        <f t="shared" si="62"/>
        <v>-9.5277137335423312E-3</v>
      </c>
      <c r="N331" s="23">
        <f t="shared" si="63"/>
        <v>1.7402958791956635E-4</v>
      </c>
      <c r="O331" s="23">
        <f t="shared" si="64"/>
        <v>-2.2304889267804273E-2</v>
      </c>
      <c r="P331" s="23">
        <f t="shared" si="65"/>
        <v>1.7966224274503784E-3</v>
      </c>
    </row>
    <row r="332" spans="1:16" x14ac:dyDescent="0.35">
      <c r="A332" s="2">
        <f>Prices!A330</f>
        <v>44365</v>
      </c>
      <c r="B332" s="1">
        <f>Prices!B330</f>
        <v>2653.9799800000001</v>
      </c>
      <c r="C332" s="1">
        <f>Prices!C330</f>
        <v>23.700001</v>
      </c>
      <c r="D332" s="1">
        <f>Prices!D330</f>
        <v>56.130001</v>
      </c>
      <c r="E332" s="1">
        <f>Prices!E330</f>
        <v>34.299999</v>
      </c>
      <c r="F332" s="1">
        <f>Prices!F330</f>
        <v>278.70001200000002</v>
      </c>
      <c r="G332" s="1">
        <f t="shared" si="66"/>
        <v>158.75649846274837</v>
      </c>
      <c r="H332" s="1">
        <f t="shared" si="67"/>
        <v>58.360010875153698</v>
      </c>
      <c r="I332" s="1">
        <f t="shared" si="68"/>
        <v>96.178889715920576</v>
      </c>
      <c r="J332" s="1">
        <f t="shared" si="69"/>
        <v>55.038509306803682</v>
      </c>
      <c r="K332" s="1">
        <f t="shared" si="70"/>
        <v>64.513891666666723</v>
      </c>
      <c r="L332" s="23">
        <f t="shared" si="61"/>
        <v>4.9224152013451761E-3</v>
      </c>
      <c r="M332" s="23">
        <f t="shared" si="62"/>
        <v>-8.7828941865327748E-3</v>
      </c>
      <c r="N332" s="23">
        <f t="shared" si="63"/>
        <v>-2.3146502317203388E-2</v>
      </c>
      <c r="O332" s="23">
        <f t="shared" si="64"/>
        <v>3.217315098488216E-3</v>
      </c>
      <c r="P332" s="23">
        <f t="shared" si="65"/>
        <v>-3.5859398960935707E-4</v>
      </c>
    </row>
    <row r="333" spans="1:16" x14ac:dyDescent="0.35">
      <c r="A333" s="2">
        <f>Prices!A331</f>
        <v>44366</v>
      </c>
      <c r="B333" s="1">
        <f>Prices!B331</f>
        <v>2675.01001</v>
      </c>
      <c r="C333" s="1">
        <f>Prices!C331</f>
        <v>24.059999000000001</v>
      </c>
      <c r="D333" s="1">
        <f>Prices!D331</f>
        <v>55.02</v>
      </c>
      <c r="E333" s="1">
        <f>Prices!E331</f>
        <v>33.939999</v>
      </c>
      <c r="F333" s="1">
        <f>Prices!F331</f>
        <v>274.70001200000002</v>
      </c>
      <c r="G333" s="1">
        <f t="shared" si="66"/>
        <v>160.01447853438648</v>
      </c>
      <c r="H333" s="1">
        <f t="shared" si="67"/>
        <v>59.24648709070464</v>
      </c>
      <c r="I333" s="1">
        <f t="shared" si="68"/>
        <v>94.276900372226081</v>
      </c>
      <c r="J333" s="1">
        <f t="shared" si="69"/>
        <v>54.460845635430125</v>
      </c>
      <c r="K333" s="1">
        <f t="shared" si="70"/>
        <v>63.587965740740799</v>
      </c>
      <c r="L333" s="23">
        <f t="shared" si="61"/>
        <v>7.9239595469744462E-3</v>
      </c>
      <c r="M333" s="23">
        <f t="shared" si="62"/>
        <v>1.518978838861651E-2</v>
      </c>
      <c r="N333" s="23">
        <f t="shared" si="63"/>
        <v>-1.9775538575173002E-2</v>
      </c>
      <c r="O333" s="23">
        <f t="shared" si="64"/>
        <v>-1.0495627128152329E-2</v>
      </c>
      <c r="P333" s="23">
        <f t="shared" si="65"/>
        <v>-1.4352349579374923E-2</v>
      </c>
    </row>
    <row r="334" spans="1:16" x14ac:dyDescent="0.35">
      <c r="A334" s="2">
        <f>Prices!A332</f>
        <v>44369</v>
      </c>
      <c r="B334" s="1">
        <f>Prices!B332</f>
        <v>2713.820068</v>
      </c>
      <c r="C334" s="1">
        <f>Prices!C332</f>
        <v>23.68</v>
      </c>
      <c r="D334" s="1">
        <f>Prices!D332</f>
        <v>56.119999</v>
      </c>
      <c r="E334" s="1">
        <f>Prices!E332</f>
        <v>34.409999999999997</v>
      </c>
      <c r="F334" s="1">
        <f>Prices!F332</f>
        <v>280.10000600000001</v>
      </c>
      <c r="G334" s="1">
        <f t="shared" si="66"/>
        <v>162.33602917140982</v>
      </c>
      <c r="H334" s="1">
        <f t="shared" si="67"/>
        <v>58.310759460459074</v>
      </c>
      <c r="I334" s="1">
        <f t="shared" si="68"/>
        <v>96.161751265220403</v>
      </c>
      <c r="J334" s="1">
        <f t="shared" si="69"/>
        <v>55.215019255455793</v>
      </c>
      <c r="K334" s="1">
        <f t="shared" si="70"/>
        <v>64.837964351851909</v>
      </c>
      <c r="L334" s="23">
        <f t="shared" si="61"/>
        <v>1.4508378606030048E-2</v>
      </c>
      <c r="M334" s="23">
        <f t="shared" si="62"/>
        <v>-1.5793807805228988E-2</v>
      </c>
      <c r="N334" s="23">
        <f t="shared" si="63"/>
        <v>1.9992711741184888E-2</v>
      </c>
      <c r="O334" s="23">
        <f t="shared" si="64"/>
        <v>1.3847996872362822E-2</v>
      </c>
      <c r="P334" s="23">
        <f t="shared" si="65"/>
        <v>1.9657785817643214E-2</v>
      </c>
    </row>
    <row r="335" spans="1:16" x14ac:dyDescent="0.35">
      <c r="A335" s="2">
        <f>Prices!A333</f>
        <v>44370</v>
      </c>
      <c r="B335" s="1">
        <f>Prices!B333</f>
        <v>2764.4099120000001</v>
      </c>
      <c r="C335" s="1">
        <f>Prices!C333</f>
        <v>24.139999</v>
      </c>
      <c r="D335" s="1">
        <f>Prices!D333</f>
        <v>56.919998</v>
      </c>
      <c r="E335" s="1">
        <f>Prices!E333</f>
        <v>34.849997999999999</v>
      </c>
      <c r="F335" s="1">
        <f>Prices!F333</f>
        <v>269.10000600000001</v>
      </c>
      <c r="G335" s="1">
        <f t="shared" si="66"/>
        <v>165.36222626096611</v>
      </c>
      <c r="H335" s="1">
        <f t="shared" si="67"/>
        <v>59.443482899692675</v>
      </c>
      <c r="I335" s="1">
        <f t="shared" si="68"/>
        <v>97.532551447351992</v>
      </c>
      <c r="J335" s="1">
        <f t="shared" si="69"/>
        <v>55.921049422336417</v>
      </c>
      <c r="K335" s="1">
        <f t="shared" si="70"/>
        <v>62.291668055555611</v>
      </c>
      <c r="L335" s="23">
        <f t="shared" si="61"/>
        <v>1.8641561611445923E-2</v>
      </c>
      <c r="M335" s="23">
        <f t="shared" si="62"/>
        <v>1.9425633445945945E-2</v>
      </c>
      <c r="N335" s="23">
        <f t="shared" si="63"/>
        <v>1.4255149933270594E-2</v>
      </c>
      <c r="O335" s="23">
        <f t="shared" si="64"/>
        <v>1.2786922406277323E-2</v>
      </c>
      <c r="P335" s="23">
        <f t="shared" si="65"/>
        <v>-3.9271687841377578E-2</v>
      </c>
    </row>
    <row r="336" spans="1:16" x14ac:dyDescent="0.35">
      <c r="A336" s="2">
        <f>Prices!A334</f>
        <v>44371</v>
      </c>
      <c r="B336" s="1">
        <f>Prices!B334</f>
        <v>2734.3999020000001</v>
      </c>
      <c r="C336" s="1">
        <f>Prices!C334</f>
        <v>23.52</v>
      </c>
      <c r="D336" s="1">
        <f>Prices!D334</f>
        <v>55.630001</v>
      </c>
      <c r="E336" s="1">
        <f>Prices!E334</f>
        <v>33.119999</v>
      </c>
      <c r="F336" s="1">
        <f>Prices!F334</f>
        <v>269</v>
      </c>
      <c r="G336" s="1">
        <f t="shared" si="66"/>
        <v>163.56707929590419</v>
      </c>
      <c r="H336" s="1">
        <f t="shared" si="67"/>
        <v>57.916767842482997</v>
      </c>
      <c r="I336" s="1">
        <f t="shared" si="68"/>
        <v>95.322138531149335</v>
      </c>
      <c r="J336" s="1">
        <f t="shared" si="69"/>
        <v>53.145056161745913</v>
      </c>
      <c r="K336" s="1">
        <f t="shared" si="70"/>
        <v>62.268518518518576</v>
      </c>
      <c r="L336" s="23">
        <f t="shared" si="61"/>
        <v>-1.0855846620188236E-2</v>
      </c>
      <c r="M336" s="23">
        <f t="shared" si="62"/>
        <v>-2.5683472480674041E-2</v>
      </c>
      <c r="N336" s="23">
        <f t="shared" si="63"/>
        <v>-2.2663335300890153E-2</v>
      </c>
      <c r="O336" s="23">
        <f t="shared" si="64"/>
        <v>-4.9641294097061306E-2</v>
      </c>
      <c r="P336" s="23">
        <f t="shared" si="65"/>
        <v>-3.7163135551920856E-4</v>
      </c>
    </row>
    <row r="337" spans="1:16" x14ac:dyDescent="0.35">
      <c r="A337" s="2">
        <f>Prices!A335</f>
        <v>44372</v>
      </c>
      <c r="B337" s="1">
        <f>Prices!B335</f>
        <v>2754.580078</v>
      </c>
      <c r="C337" s="1">
        <f>Prices!C335</f>
        <v>24.059999000000001</v>
      </c>
      <c r="D337" s="1">
        <f>Prices!D335</f>
        <v>56.759998000000003</v>
      </c>
      <c r="E337" s="1">
        <f>Prices!E335</f>
        <v>33.889999000000003</v>
      </c>
      <c r="F337" s="1">
        <f>Prices!F335</f>
        <v>269</v>
      </c>
      <c r="G337" s="1">
        <f t="shared" si="66"/>
        <v>164.77422256912587</v>
      </c>
      <c r="H337" s="1">
        <f t="shared" si="67"/>
        <v>59.24648709070464</v>
      </c>
      <c r="I337" s="1">
        <f t="shared" si="68"/>
        <v>97.258391068225208</v>
      </c>
      <c r="J337" s="1">
        <f t="shared" si="69"/>
        <v>54.38061456996158</v>
      </c>
      <c r="K337" s="1">
        <f t="shared" si="70"/>
        <v>62.268518518518576</v>
      </c>
      <c r="L337" s="23">
        <f t="shared" si="61"/>
        <v>7.3801114406271129E-3</v>
      </c>
      <c r="M337" s="23">
        <f t="shared" si="62"/>
        <v>2.2959141156462692E-2</v>
      </c>
      <c r="N337" s="23">
        <f t="shared" si="63"/>
        <v>2.0312726580752782E-2</v>
      </c>
      <c r="O337" s="23">
        <f t="shared" si="64"/>
        <v>2.3248792972487831E-2</v>
      </c>
      <c r="P337" s="23">
        <f t="shared" si="65"/>
        <v>0</v>
      </c>
    </row>
    <row r="338" spans="1:16" x14ac:dyDescent="0.35">
      <c r="A338" s="2">
        <f>Prices!A336</f>
        <v>44373</v>
      </c>
      <c r="B338" s="1">
        <f>Prices!B336</f>
        <v>2692.8701169999999</v>
      </c>
      <c r="C338" s="1">
        <f>Prices!C336</f>
        <v>23.360001</v>
      </c>
      <c r="D338" s="1">
        <f>Prices!D336</f>
        <v>55.799999</v>
      </c>
      <c r="E338" s="1">
        <f>Prices!E336</f>
        <v>32.909999999999997</v>
      </c>
      <c r="F338" s="1">
        <f>Prices!F336</f>
        <v>273.89999399999999</v>
      </c>
      <c r="G338" s="1">
        <f t="shared" si="66"/>
        <v>161.08283928723964</v>
      </c>
      <c r="H338" s="1">
        <f t="shared" si="67"/>
        <v>57.522778686954538</v>
      </c>
      <c r="I338" s="1">
        <f t="shared" si="68"/>
        <v>95.613430506966822</v>
      </c>
      <c r="J338" s="1">
        <f t="shared" si="69"/>
        <v>52.80808729139931</v>
      </c>
      <c r="K338" s="1">
        <f t="shared" si="70"/>
        <v>63.402776388888945</v>
      </c>
      <c r="L338" s="23">
        <f t="shared" si="61"/>
        <v>-2.2402674546606494E-2</v>
      </c>
      <c r="M338" s="23">
        <f t="shared" si="62"/>
        <v>-2.9093849920775128E-2</v>
      </c>
      <c r="N338" s="23">
        <f t="shared" si="63"/>
        <v>-1.6913302216818304E-2</v>
      </c>
      <c r="O338" s="23">
        <f t="shared" si="64"/>
        <v>-2.8917056031781074E-2</v>
      </c>
      <c r="P338" s="23">
        <f t="shared" si="65"/>
        <v>1.8215591078066806E-2</v>
      </c>
    </row>
    <row r="339" spans="1:16" x14ac:dyDescent="0.35">
      <c r="A339" s="2">
        <f>Prices!A337</f>
        <v>44376</v>
      </c>
      <c r="B339" s="1">
        <f>Prices!B337</f>
        <v>2680.3798830000001</v>
      </c>
      <c r="C339" s="1">
        <f>Prices!C337</f>
        <v>23.59</v>
      </c>
      <c r="D339" s="1">
        <f>Prices!D337</f>
        <v>55.59</v>
      </c>
      <c r="E339" s="1">
        <f>Prices!E337</f>
        <v>33.439999</v>
      </c>
      <c r="F339" s="1">
        <f>Prices!F337</f>
        <v>273.60000600000001</v>
      </c>
      <c r="G339" s="1">
        <f t="shared" si="66"/>
        <v>160.3356950624289</v>
      </c>
      <c r="H339" s="1">
        <f t="shared" si="67"/>
        <v>58.089139175347533</v>
      </c>
      <c r="I339" s="1">
        <f t="shared" si="68"/>
        <v>95.253596722865282</v>
      </c>
      <c r="J339" s="1">
        <f t="shared" si="69"/>
        <v>53.658534980744626</v>
      </c>
      <c r="K339" s="1">
        <f t="shared" si="70"/>
        <v>63.33333472222229</v>
      </c>
      <c r="L339" s="23">
        <f t="shared" si="61"/>
        <v>-4.6382608359569755E-3</v>
      </c>
      <c r="M339" s="23">
        <f t="shared" si="62"/>
        <v>9.845847181256584E-3</v>
      </c>
      <c r="N339" s="23">
        <f t="shared" si="63"/>
        <v>-3.7634230065128893E-3</v>
      </c>
      <c r="O339" s="23">
        <f t="shared" si="64"/>
        <v>1.61044971133395E-2</v>
      </c>
      <c r="P339" s="23">
        <f t="shared" si="65"/>
        <v>-1.0952464642989268E-3</v>
      </c>
    </row>
    <row r="340" spans="1:16" x14ac:dyDescent="0.35">
      <c r="A340" s="2">
        <f>Prices!A338</f>
        <v>44377</v>
      </c>
      <c r="B340" s="1">
        <f>Prices!B338</f>
        <v>2758.820068</v>
      </c>
      <c r="C340" s="1">
        <f>Prices!C338</f>
        <v>23.33</v>
      </c>
      <c r="D340" s="1">
        <f>Prices!D338</f>
        <v>56.18</v>
      </c>
      <c r="E340" s="1">
        <f>Prices!E338</f>
        <v>32.689999</v>
      </c>
      <c r="F340" s="1">
        <f>Prices!F338</f>
        <v>273.29998799999998</v>
      </c>
      <c r="G340" s="1">
        <f t="shared" si="66"/>
        <v>165.02785144763652</v>
      </c>
      <c r="H340" s="1">
        <f t="shared" si="67"/>
        <v>57.448902796136409</v>
      </c>
      <c r="I340" s="1">
        <f t="shared" si="68"/>
        <v>96.264563120895332</v>
      </c>
      <c r="J340" s="1">
        <f t="shared" si="69"/>
        <v>52.455068998716378</v>
      </c>
      <c r="K340" s="1">
        <f t="shared" si="70"/>
        <v>63.263886111111169</v>
      </c>
      <c r="L340" s="23">
        <f t="shared" si="61"/>
        <v>2.9264577568835604E-2</v>
      </c>
      <c r="M340" s="23">
        <f t="shared" si="62"/>
        <v>-1.1021619330224719E-2</v>
      </c>
      <c r="N340" s="23">
        <f t="shared" si="63"/>
        <v>1.0613419679798453E-2</v>
      </c>
      <c r="O340" s="23">
        <f t="shared" si="64"/>
        <v>-2.2428230335772459E-2</v>
      </c>
      <c r="P340" s="23">
        <f t="shared" si="65"/>
        <v>-1.0965569934966446E-3</v>
      </c>
    </row>
    <row r="341" spans="1:16" x14ac:dyDescent="0.35">
      <c r="A341" s="2">
        <f>Prices!A339</f>
        <v>44378</v>
      </c>
      <c r="B341" s="1">
        <f>Prices!B339</f>
        <v>2878.6999510000001</v>
      </c>
      <c r="C341" s="1">
        <f>Prices!C339</f>
        <v>23.200001</v>
      </c>
      <c r="D341" s="1">
        <f>Prices!D339</f>
        <v>55.98</v>
      </c>
      <c r="E341" s="1">
        <f>Prices!E339</f>
        <v>32.770000000000003</v>
      </c>
      <c r="F341" s="1">
        <f>Prices!F339</f>
        <v>278.70001200000002</v>
      </c>
      <c r="G341" s="1">
        <f t="shared" si="66"/>
        <v>172.19885899276653</v>
      </c>
      <c r="H341" s="1">
        <f t="shared" si="67"/>
        <v>57.128787068978468</v>
      </c>
      <c r="I341" s="1">
        <f t="shared" si="68"/>
        <v>95.921862646986838</v>
      </c>
      <c r="J341" s="1">
        <f t="shared" si="69"/>
        <v>52.583440308087368</v>
      </c>
      <c r="K341" s="1">
        <f t="shared" si="70"/>
        <v>64.513891666666723</v>
      </c>
      <c r="L341" s="23">
        <f t="shared" si="61"/>
        <v>4.3453317014221504E-2</v>
      </c>
      <c r="M341" s="23">
        <f t="shared" si="62"/>
        <v>-5.5721817402485385E-3</v>
      </c>
      <c r="N341" s="23">
        <f t="shared" si="63"/>
        <v>-3.5599857600570051E-3</v>
      </c>
      <c r="O341" s="23">
        <f t="shared" si="64"/>
        <v>2.4472622345446116E-3</v>
      </c>
      <c r="P341" s="23">
        <f t="shared" si="65"/>
        <v>1.9758595818160085E-2</v>
      </c>
    </row>
    <row r="342" spans="1:16" x14ac:dyDescent="0.35">
      <c r="A342" s="2">
        <f>Prices!A340</f>
        <v>44379</v>
      </c>
      <c r="B342" s="1">
        <f>Prices!B340</f>
        <v>2890.3000489999999</v>
      </c>
      <c r="C342" s="1">
        <f>Prices!C340</f>
        <v>24.26</v>
      </c>
      <c r="D342" s="1">
        <f>Prices!D340</f>
        <v>56.290000999999997</v>
      </c>
      <c r="E342" s="1">
        <f>Prices!E340</f>
        <v>32.900002000000001</v>
      </c>
      <c r="F342" s="1">
        <f>Prices!F340</f>
        <v>273.5</v>
      </c>
      <c r="G342" s="1">
        <f t="shared" si="66"/>
        <v>172.89275681949567</v>
      </c>
      <c r="H342" s="1">
        <f t="shared" si="67"/>
        <v>59.738979075622353</v>
      </c>
      <c r="I342" s="1">
        <f t="shared" si="68"/>
        <v>96.453050095047359</v>
      </c>
      <c r="J342" s="1">
        <f t="shared" si="69"/>
        <v>52.792044287548215</v>
      </c>
      <c r="K342" s="1">
        <f t="shared" si="70"/>
        <v>63.31018518518524</v>
      </c>
      <c r="L342" s="23">
        <f t="shared" si="61"/>
        <v>4.0296308046867679E-3</v>
      </c>
      <c r="M342" s="23">
        <f t="shared" si="62"/>
        <v>4.5689610099585831E-2</v>
      </c>
      <c r="N342" s="23">
        <f t="shared" si="63"/>
        <v>5.5377098963915738E-3</v>
      </c>
      <c r="O342" s="23">
        <f t="shared" si="64"/>
        <v>3.9671040585900208E-3</v>
      </c>
      <c r="P342" s="23">
        <f t="shared" si="65"/>
        <v>-1.8658097510236282E-2</v>
      </c>
    </row>
    <row r="343" spans="1:16" x14ac:dyDescent="0.35">
      <c r="A343" s="2">
        <f>Prices!A341</f>
        <v>44383</v>
      </c>
      <c r="B343" s="1">
        <f>Prices!B341</f>
        <v>3057.040039</v>
      </c>
      <c r="C343" s="1">
        <f>Prices!C341</f>
        <v>25.639999</v>
      </c>
      <c r="D343" s="1">
        <f>Prices!D341</f>
        <v>56.950001</v>
      </c>
      <c r="E343" s="1">
        <f>Prices!E341</f>
        <v>33.450001</v>
      </c>
      <c r="F343" s="1">
        <f>Prices!F341</f>
        <v>283.39999399999999</v>
      </c>
      <c r="G343" s="1">
        <f t="shared" si="66"/>
        <v>182.86685502882494</v>
      </c>
      <c r="H343" s="1">
        <f t="shared" si="67"/>
        <v>63.137154318218386</v>
      </c>
      <c r="I343" s="1">
        <f t="shared" si="68"/>
        <v>97.583961658945398</v>
      </c>
      <c r="J343" s="1">
        <f t="shared" si="69"/>
        <v>53.674584403080949</v>
      </c>
      <c r="K343" s="1">
        <f t="shared" si="70"/>
        <v>65.601850462963014</v>
      </c>
      <c r="L343" s="23">
        <f t="shared" si="61"/>
        <v>5.7689508761448405E-2</v>
      </c>
      <c r="M343" s="23">
        <f t="shared" si="62"/>
        <v>5.6883718054410393E-2</v>
      </c>
      <c r="N343" s="23">
        <f t="shared" si="63"/>
        <v>1.1724995350417711E-2</v>
      </c>
      <c r="O343" s="23">
        <f t="shared" si="64"/>
        <v>1.6717293816577827E-2</v>
      </c>
      <c r="P343" s="23">
        <f t="shared" si="65"/>
        <v>3.6197418647166302E-2</v>
      </c>
    </row>
    <row r="344" spans="1:16" x14ac:dyDescent="0.35">
      <c r="A344" s="2">
        <f>Prices!A342</f>
        <v>44384</v>
      </c>
      <c r="B344" s="1">
        <f>Prices!B342</f>
        <v>3000.1201169999999</v>
      </c>
      <c r="C344" s="1">
        <f>Prices!C342</f>
        <v>24.6</v>
      </c>
      <c r="D344" s="1">
        <f>Prices!D342</f>
        <v>56.91</v>
      </c>
      <c r="E344" s="1">
        <f>Prices!E342</f>
        <v>32.630001</v>
      </c>
      <c r="F344" s="1">
        <f>Prices!F342</f>
        <v>284.89999399999999</v>
      </c>
      <c r="G344" s="1">
        <f t="shared" si="66"/>
        <v>179.46200360658744</v>
      </c>
      <c r="H344" s="1">
        <f t="shared" si="67"/>
        <v>60.57621126382152</v>
      </c>
      <c r="I344" s="1">
        <f t="shared" si="68"/>
        <v>97.515419850661331</v>
      </c>
      <c r="J344" s="1">
        <f t="shared" si="69"/>
        <v>52.358794929396737</v>
      </c>
      <c r="K344" s="1">
        <f t="shared" si="70"/>
        <v>65.949072685185229</v>
      </c>
      <c r="L344" s="23">
        <f t="shared" si="61"/>
        <v>-1.8619292280718458E-2</v>
      </c>
      <c r="M344" s="23">
        <f t="shared" si="62"/>
        <v>-4.0561585045303605E-2</v>
      </c>
      <c r="N344" s="23">
        <f t="shared" si="63"/>
        <v>-7.0238804736810767E-4</v>
      </c>
      <c r="O344" s="23">
        <f t="shared" si="64"/>
        <v>-2.4514199566092687E-2</v>
      </c>
      <c r="P344" s="23">
        <f t="shared" si="65"/>
        <v>5.2928723774072761E-3</v>
      </c>
    </row>
    <row r="345" spans="1:16" x14ac:dyDescent="0.35">
      <c r="A345" s="2">
        <f>Prices!A343</f>
        <v>44385</v>
      </c>
      <c r="B345" s="1">
        <f>Prices!B343</f>
        <v>3081.110107</v>
      </c>
      <c r="C345" s="1">
        <f>Prices!C343</f>
        <v>24.09</v>
      </c>
      <c r="D345" s="1">
        <f>Prices!D343</f>
        <v>58.299999</v>
      </c>
      <c r="E345" s="1">
        <f>Prices!E343</f>
        <v>32.75</v>
      </c>
      <c r="F345" s="1">
        <f>Prices!F343</f>
        <v>281.5</v>
      </c>
      <c r="G345" s="1">
        <f t="shared" si="66"/>
        <v>184.30668492288473</v>
      </c>
      <c r="H345" s="1">
        <f t="shared" si="67"/>
        <v>59.320362981522777</v>
      </c>
      <c r="I345" s="1">
        <f t="shared" si="68"/>
        <v>99.897186430822984</v>
      </c>
      <c r="J345" s="1">
        <f t="shared" si="69"/>
        <v>52.551347881899943</v>
      </c>
      <c r="K345" s="1">
        <f t="shared" si="70"/>
        <v>65.162037037037081</v>
      </c>
      <c r="L345" s="23">
        <f t="shared" si="61"/>
        <v>2.6995582457207234E-2</v>
      </c>
      <c r="M345" s="23">
        <f t="shared" si="62"/>
        <v>-2.0731707317073189E-2</v>
      </c>
      <c r="N345" s="23">
        <f t="shared" si="63"/>
        <v>2.4424512387981157E-2</v>
      </c>
      <c r="O345" s="23">
        <f t="shared" si="64"/>
        <v>3.6775665437460692E-3</v>
      </c>
      <c r="P345" s="23">
        <f t="shared" si="65"/>
        <v>-1.1933991125320897E-2</v>
      </c>
    </row>
    <row r="346" spans="1:16" x14ac:dyDescent="0.35">
      <c r="A346" s="2">
        <f>Prices!A344</f>
        <v>44386</v>
      </c>
      <c r="B346" s="1">
        <f>Prices!B344</f>
        <v>3182.6298830000001</v>
      </c>
      <c r="C346" s="1">
        <f>Prices!C344</f>
        <v>23.52</v>
      </c>
      <c r="D346" s="1">
        <f>Prices!D344</f>
        <v>57.959999000000003</v>
      </c>
      <c r="E346" s="1">
        <f>Prices!E344</f>
        <v>31.280000999999999</v>
      </c>
      <c r="F346" s="1">
        <f>Prices!F344</f>
        <v>279.29998799999998</v>
      </c>
      <c r="G346" s="1">
        <f t="shared" si="66"/>
        <v>190.37942257875903</v>
      </c>
      <c r="H346" s="1">
        <f t="shared" si="67"/>
        <v>57.916767842483011</v>
      </c>
      <c r="I346" s="1">
        <f t="shared" si="68"/>
        <v>99.314595625178555</v>
      </c>
      <c r="J346" s="1">
        <f t="shared" si="69"/>
        <v>50.192556161745891</v>
      </c>
      <c r="K346" s="1">
        <f t="shared" si="70"/>
        <v>64.652775000000048</v>
      </c>
      <c r="L346" s="23">
        <f t="shared" si="61"/>
        <v>3.2949090579189821E-2</v>
      </c>
      <c r="M346" s="23">
        <f t="shared" si="62"/>
        <v>-2.3661270236612686E-2</v>
      </c>
      <c r="N346" s="23">
        <f t="shared" si="63"/>
        <v>-5.8319040451441095E-3</v>
      </c>
      <c r="O346" s="23">
        <f t="shared" si="64"/>
        <v>-4.4885465648854983E-2</v>
      </c>
      <c r="P346" s="23">
        <f t="shared" si="65"/>
        <v>-7.8153179396093231E-3</v>
      </c>
    </row>
    <row r="347" spans="1:16" x14ac:dyDescent="0.35">
      <c r="A347" s="2">
        <f>Prices!A345</f>
        <v>44387</v>
      </c>
      <c r="B347" s="1">
        <f>Prices!B345</f>
        <v>3200</v>
      </c>
      <c r="C347" s="1">
        <f>Prices!C345</f>
        <v>23.879999000000002</v>
      </c>
      <c r="D347" s="1">
        <f>Prices!D345</f>
        <v>58.900002000000001</v>
      </c>
      <c r="E347" s="1">
        <f>Prices!E345</f>
        <v>32.209999000000003</v>
      </c>
      <c r="F347" s="1">
        <f>Prices!F345</f>
        <v>282.79998799999998</v>
      </c>
      <c r="G347" s="1">
        <f t="shared" si="66"/>
        <v>191.41847297612046</v>
      </c>
      <c r="H347" s="1">
        <f t="shared" si="67"/>
        <v>58.803246520481572</v>
      </c>
      <c r="I347" s="1">
        <f t="shared" si="68"/>
        <v>100.92529299305558</v>
      </c>
      <c r="J347" s="1">
        <f t="shared" si="69"/>
        <v>51.684850770218297</v>
      </c>
      <c r="K347" s="1">
        <f t="shared" si="70"/>
        <v>65.462960185185239</v>
      </c>
      <c r="L347" s="23">
        <f t="shared" si="61"/>
        <v>5.4577873138130784E-3</v>
      </c>
      <c r="M347" s="23">
        <f t="shared" si="62"/>
        <v>1.530607993197286E-2</v>
      </c>
      <c r="N347" s="23">
        <f t="shared" si="63"/>
        <v>1.621813347512302E-2</v>
      </c>
      <c r="O347" s="23">
        <f t="shared" si="64"/>
        <v>2.97313929114007E-2</v>
      </c>
      <c r="P347" s="23">
        <f t="shared" si="65"/>
        <v>1.2531328859205049E-2</v>
      </c>
    </row>
    <row r="348" spans="1:16" x14ac:dyDescent="0.35">
      <c r="A348" s="2">
        <f>Prices!A346</f>
        <v>44390</v>
      </c>
      <c r="B348" s="1">
        <f>Prices!B346</f>
        <v>3104</v>
      </c>
      <c r="C348" s="1">
        <f>Prices!C346</f>
        <v>23.889999</v>
      </c>
      <c r="D348" s="1">
        <f>Prices!D346</f>
        <v>58.75</v>
      </c>
      <c r="E348" s="1">
        <f>Prices!E346</f>
        <v>32.409999999999997</v>
      </c>
      <c r="F348" s="1">
        <f>Prices!F346</f>
        <v>286.39999399999999</v>
      </c>
      <c r="G348" s="1">
        <f t="shared" si="66"/>
        <v>185.67591878683686</v>
      </c>
      <c r="H348" s="1">
        <f t="shared" si="67"/>
        <v>58.827870996605071</v>
      </c>
      <c r="I348" s="1">
        <f t="shared" si="68"/>
        <v>100.66826421061947</v>
      </c>
      <c r="J348" s="1">
        <f t="shared" si="69"/>
        <v>52.005776636713797</v>
      </c>
      <c r="K348" s="1">
        <f t="shared" si="70"/>
        <v>66.296294907407471</v>
      </c>
      <c r="L348" s="23">
        <f t="shared" si="61"/>
        <v>-3.0000000000000027E-2</v>
      </c>
      <c r="M348" s="23">
        <f t="shared" si="62"/>
        <v>4.1876048654776454E-4</v>
      </c>
      <c r="N348" s="23">
        <f t="shared" si="63"/>
        <v>-2.5467231732861917E-3</v>
      </c>
      <c r="O348" s="23">
        <f t="shared" si="64"/>
        <v>6.2092830241935459E-3</v>
      </c>
      <c r="P348" s="23">
        <f t="shared" si="65"/>
        <v>1.272986616958427E-2</v>
      </c>
    </row>
    <row r="349" spans="1:16" x14ac:dyDescent="0.35">
      <c r="A349" s="2">
        <f>Prices!A347</f>
        <v>44391</v>
      </c>
      <c r="B349" s="1">
        <f>Prices!B347</f>
        <v>3084</v>
      </c>
      <c r="C349" s="1">
        <f>Prices!C347</f>
        <v>23.950001</v>
      </c>
      <c r="D349" s="1">
        <f>Prices!D347</f>
        <v>60.84</v>
      </c>
      <c r="E349" s="1">
        <f>Prices!E347</f>
        <v>33.509998000000003</v>
      </c>
      <c r="F349" s="1">
        <f>Prices!F347</f>
        <v>289.29998799999998</v>
      </c>
      <c r="G349" s="1">
        <f t="shared" si="66"/>
        <v>184.47955333073611</v>
      </c>
      <c r="H349" s="1">
        <f t="shared" si="67"/>
        <v>58.975622778241323</v>
      </c>
      <c r="I349" s="1">
        <f t="shared" si="68"/>
        <v>104.24948416296321</v>
      </c>
      <c r="J349" s="1">
        <f t="shared" si="69"/>
        <v>53.77085686777928</v>
      </c>
      <c r="K349" s="1">
        <f t="shared" si="70"/>
        <v>66.967589814814872</v>
      </c>
      <c r="L349" s="23">
        <f t="shared" si="61"/>
        <v>-6.4432989690721421E-3</v>
      </c>
      <c r="M349" s="23">
        <f t="shared" si="62"/>
        <v>2.5115949146754524E-3</v>
      </c>
      <c r="N349" s="23">
        <f t="shared" si="63"/>
        <v>3.5574468085106448E-2</v>
      </c>
      <c r="O349" s="23">
        <f t="shared" si="64"/>
        <v>3.394008022215389E-2</v>
      </c>
      <c r="P349" s="23">
        <f t="shared" si="65"/>
        <v>1.0125677586431792E-2</v>
      </c>
    </row>
    <row r="350" spans="1:16" x14ac:dyDescent="0.35">
      <c r="A350" s="2">
        <f>Prices!A348</f>
        <v>44392</v>
      </c>
      <c r="B350" s="1">
        <f>Prices!B348</f>
        <v>3008.8701169999999</v>
      </c>
      <c r="C350" s="1">
        <f>Prices!C348</f>
        <v>24.27</v>
      </c>
      <c r="D350" s="1">
        <f>Prices!D348</f>
        <v>60.869999</v>
      </c>
      <c r="E350" s="1">
        <f>Prices!E348</f>
        <v>33.979999999999997</v>
      </c>
      <c r="F350" s="1">
        <f>Prices!F348</f>
        <v>294</v>
      </c>
      <c r="G350" s="1">
        <f t="shared" si="66"/>
        <v>179.98541349363157</v>
      </c>
      <c r="H350" s="1">
        <f t="shared" si="67"/>
        <v>59.763603551745859</v>
      </c>
      <c r="I350" s="1">
        <f t="shared" si="68"/>
        <v>104.30088752054711</v>
      </c>
      <c r="J350" s="1">
        <f t="shared" si="69"/>
        <v>54.525032092426258</v>
      </c>
      <c r="K350" s="1">
        <f t="shared" si="70"/>
        <v>68.055555555555614</v>
      </c>
      <c r="L350" s="23">
        <f t="shared" si="61"/>
        <v>-2.4361181258106379E-2</v>
      </c>
      <c r="M350" s="23">
        <f t="shared" si="62"/>
        <v>1.3361126790767175E-2</v>
      </c>
      <c r="N350" s="23">
        <f t="shared" si="63"/>
        <v>4.9308021038774186E-4</v>
      </c>
      <c r="O350" s="23">
        <f t="shared" si="64"/>
        <v>1.4025724501684378E-2</v>
      </c>
      <c r="P350" s="23">
        <f t="shared" si="65"/>
        <v>1.6246153456459966E-2</v>
      </c>
    </row>
    <row r="351" spans="1:16" x14ac:dyDescent="0.35">
      <c r="A351" s="2">
        <f>Prices!A349</f>
        <v>44393</v>
      </c>
      <c r="B351" s="1">
        <f>Prices!B349</f>
        <v>2999.8999020000001</v>
      </c>
      <c r="C351" s="1">
        <f>Prices!C349</f>
        <v>24.110001</v>
      </c>
      <c r="D351" s="1">
        <f>Prices!D349</f>
        <v>61.18</v>
      </c>
      <c r="E351" s="1">
        <f>Prices!E349</f>
        <v>33.479999999999997</v>
      </c>
      <c r="F351" s="1">
        <f>Prices!F349</f>
        <v>292.70001200000002</v>
      </c>
      <c r="G351" s="1">
        <f t="shared" si="66"/>
        <v>179.44883072564176</v>
      </c>
      <c r="H351" s="1">
        <f t="shared" si="67"/>
        <v>59.369614396217401</v>
      </c>
      <c r="I351" s="1">
        <f t="shared" si="68"/>
        <v>104.83207496860764</v>
      </c>
      <c r="J351" s="1">
        <f t="shared" si="69"/>
        <v>53.722721437740759</v>
      </c>
      <c r="K351" s="1">
        <f t="shared" si="70"/>
        <v>67.75463240740747</v>
      </c>
      <c r="L351" s="23">
        <f t="shared" si="61"/>
        <v>-2.9812569672975631E-3</v>
      </c>
      <c r="M351" s="23">
        <f t="shared" si="62"/>
        <v>-6.5924598269467838E-3</v>
      </c>
      <c r="N351" s="23">
        <f t="shared" si="63"/>
        <v>5.0928372776875008E-3</v>
      </c>
      <c r="O351" s="23">
        <f t="shared" si="64"/>
        <v>-1.4714537963507968E-2</v>
      </c>
      <c r="P351" s="23">
        <f t="shared" si="65"/>
        <v>-4.4217278911563573E-3</v>
      </c>
    </row>
    <row r="352" spans="1:16" x14ac:dyDescent="0.35">
      <c r="A352" s="2">
        <f>Prices!A350</f>
        <v>44394</v>
      </c>
      <c r="B352" s="1">
        <f>Prices!B350</f>
        <v>2961.969971</v>
      </c>
      <c r="C352" s="1">
        <f>Prices!C350</f>
        <v>23.610001</v>
      </c>
      <c r="D352" s="1">
        <f>Prices!D350</f>
        <v>62.150002000000001</v>
      </c>
      <c r="E352" s="1">
        <f>Prices!E350</f>
        <v>32.909999999999997</v>
      </c>
      <c r="F352" s="1">
        <f>Prices!F350</f>
        <v>292.5</v>
      </c>
      <c r="G352" s="1">
        <f t="shared" si="66"/>
        <v>177.17992776560749</v>
      </c>
      <c r="H352" s="1">
        <f t="shared" si="67"/>
        <v>58.138390590042171</v>
      </c>
      <c r="I352" s="1">
        <f t="shared" si="68"/>
        <v>106.49417569406856</v>
      </c>
      <c r="J352" s="1">
        <f t="shared" si="69"/>
        <v>52.808087291399296</v>
      </c>
      <c r="K352" s="1">
        <f t="shared" si="70"/>
        <v>67.708333333333385</v>
      </c>
      <c r="L352" s="23">
        <f t="shared" si="61"/>
        <v>-1.2643732204102087E-2</v>
      </c>
      <c r="M352" s="23">
        <f t="shared" si="62"/>
        <v>-2.0738282010025588E-2</v>
      </c>
      <c r="N352" s="23">
        <f t="shared" si="63"/>
        <v>1.5854887218045066E-2</v>
      </c>
      <c r="O352" s="23">
        <f t="shared" si="64"/>
        <v>-1.7025089605734789E-2</v>
      </c>
      <c r="P352" s="23">
        <f t="shared" si="65"/>
        <v>-6.8333444414081512E-4</v>
      </c>
    </row>
    <row r="353" spans="1:16" x14ac:dyDescent="0.35">
      <c r="A353" s="2">
        <f>Prices!A351</f>
        <v>44397</v>
      </c>
      <c r="B353" s="1">
        <f>Prices!B351</f>
        <v>3196.8400879999999</v>
      </c>
      <c r="C353" s="1">
        <f>Prices!C351</f>
        <v>23.629999000000002</v>
      </c>
      <c r="D353" s="1">
        <f>Prices!D351</f>
        <v>62.419998</v>
      </c>
      <c r="E353" s="1">
        <f>Prices!E351</f>
        <v>32.409999999999997</v>
      </c>
      <c r="F353" s="1">
        <f>Prices!F351</f>
        <v>291.5</v>
      </c>
      <c r="G353" s="1">
        <f t="shared" si="66"/>
        <v>191.2294524980646</v>
      </c>
      <c r="H353" s="1">
        <f t="shared" si="67"/>
        <v>58.187634617393954</v>
      </c>
      <c r="I353" s="1">
        <f t="shared" si="68"/>
        <v>106.95681447983554</v>
      </c>
      <c r="J353" s="1">
        <f t="shared" si="69"/>
        <v>52.005776636713804</v>
      </c>
      <c r="K353" s="1">
        <f t="shared" si="70"/>
        <v>67.476851851851904</v>
      </c>
      <c r="L353" s="23">
        <f t="shared" si="61"/>
        <v>7.9295239080598989E-2</v>
      </c>
      <c r="M353" s="23">
        <f t="shared" si="62"/>
        <v>8.4701394125308305E-4</v>
      </c>
      <c r="N353" s="23">
        <f t="shared" si="63"/>
        <v>4.3442637379158544E-3</v>
      </c>
      <c r="O353" s="23">
        <f t="shared" si="64"/>
        <v>-1.5192950470981459E-2</v>
      </c>
      <c r="P353" s="23">
        <f t="shared" si="65"/>
        <v>-3.4188034188034067E-3</v>
      </c>
    </row>
    <row r="354" spans="1:16" x14ac:dyDescent="0.35">
      <c r="A354" s="2">
        <f>Prices!A352</f>
        <v>44398</v>
      </c>
      <c r="B354" s="1">
        <f>Prices!B352</f>
        <v>3138.290039</v>
      </c>
      <c r="C354" s="1">
        <f>Prices!C352</f>
        <v>24.16</v>
      </c>
      <c r="D354" s="1">
        <f>Prices!D352</f>
        <v>61.310001</v>
      </c>
      <c r="E354" s="1">
        <f>Prices!E352</f>
        <v>33.43</v>
      </c>
      <c r="F354" s="1">
        <f>Prices!F352</f>
        <v>288.10000600000001</v>
      </c>
      <c r="G354" s="1">
        <f t="shared" si="66"/>
        <v>187.72708969423428</v>
      </c>
      <c r="H354" s="1">
        <f t="shared" si="67"/>
        <v>59.492734314387306</v>
      </c>
      <c r="I354" s="1">
        <f t="shared" si="68"/>
        <v>105.05483199015053</v>
      </c>
      <c r="J354" s="1">
        <f t="shared" si="69"/>
        <v>53.642490372272221</v>
      </c>
      <c r="K354" s="1">
        <f t="shared" si="70"/>
        <v>66.689816203703757</v>
      </c>
      <c r="L354" s="23">
        <f t="shared" si="61"/>
        <v>-1.8314975847487536E-2</v>
      </c>
      <c r="M354" s="23">
        <f t="shared" si="62"/>
        <v>2.2429158799371907E-2</v>
      </c>
      <c r="N354" s="23">
        <f t="shared" si="63"/>
        <v>-1.7782714443534631E-2</v>
      </c>
      <c r="O354" s="23">
        <f t="shared" si="64"/>
        <v>3.1471767972848008E-2</v>
      </c>
      <c r="P354" s="23">
        <f t="shared" si="65"/>
        <v>-1.1663787307032547E-2</v>
      </c>
    </row>
    <row r="355" spans="1:16" x14ac:dyDescent="0.35">
      <c r="A355" s="2">
        <f>Prices!A353</f>
        <v>44399</v>
      </c>
      <c r="B355" s="1">
        <f>Prices!B353</f>
        <v>3099.9099120000001</v>
      </c>
      <c r="C355" s="1">
        <f>Prices!C353</f>
        <v>23.559999000000001</v>
      </c>
      <c r="D355" s="1">
        <f>Prices!D353</f>
        <v>61.439999</v>
      </c>
      <c r="E355" s="1">
        <f>Prices!E353</f>
        <v>32.75</v>
      </c>
      <c r="F355" s="1">
        <f>Prices!F353</f>
        <v>291.5</v>
      </c>
      <c r="G355" s="1">
        <f t="shared" si="66"/>
        <v>185.43125678705627</v>
      </c>
      <c r="H355" s="1">
        <f t="shared" si="67"/>
        <v>58.015263284529418</v>
      </c>
      <c r="I355" s="1">
        <f t="shared" si="68"/>
        <v>105.27758387118632</v>
      </c>
      <c r="J355" s="1">
        <f t="shared" si="69"/>
        <v>52.551347881899943</v>
      </c>
      <c r="K355" s="1">
        <f t="shared" si="70"/>
        <v>67.476851851851904</v>
      </c>
      <c r="L355" s="23">
        <f t="shared" si="61"/>
        <v>-1.2229630315568119E-2</v>
      </c>
      <c r="M355" s="23">
        <f t="shared" si="62"/>
        <v>-2.4834478476821187E-2</v>
      </c>
      <c r="N355" s="23">
        <f t="shared" si="63"/>
        <v>2.120339224916945E-3</v>
      </c>
      <c r="O355" s="23">
        <f t="shared" si="64"/>
        <v>-2.0341011067903092E-2</v>
      </c>
      <c r="P355" s="23">
        <f t="shared" si="65"/>
        <v>1.1801436755263461E-2</v>
      </c>
    </row>
    <row r="356" spans="1:16" x14ac:dyDescent="0.35">
      <c r="A356" s="2">
        <f>Prices!A354</f>
        <v>44400</v>
      </c>
      <c r="B356" s="1">
        <f>Prices!B354</f>
        <v>2986.5500489999999</v>
      </c>
      <c r="C356" s="1">
        <f>Prices!C354</f>
        <v>23.35</v>
      </c>
      <c r="D356" s="1">
        <f>Prices!D354</f>
        <v>60.68</v>
      </c>
      <c r="E356" s="1">
        <f>Prices!E354</f>
        <v>32.389999000000003</v>
      </c>
      <c r="F356" s="1">
        <f>Prices!F354</f>
        <v>287.39999399999999</v>
      </c>
      <c r="G356" s="1">
        <f t="shared" si="66"/>
        <v>178.65026557698056</v>
      </c>
      <c r="H356" s="1">
        <f t="shared" si="67"/>
        <v>57.498151748383435</v>
      </c>
      <c r="I356" s="1">
        <f t="shared" si="68"/>
        <v>103.97532378383642</v>
      </c>
      <c r="J356" s="1">
        <f t="shared" si="69"/>
        <v>51.973682605905083</v>
      </c>
      <c r="K356" s="1">
        <f t="shared" si="70"/>
        <v>66.527776388888938</v>
      </c>
      <c r="L356" s="23">
        <f t="shared" si="61"/>
        <v>-3.656876045370705E-2</v>
      </c>
      <c r="M356" s="23">
        <f t="shared" si="62"/>
        <v>-8.9133704971718908E-3</v>
      </c>
      <c r="N356" s="23">
        <f t="shared" si="63"/>
        <v>-1.2369775591955956E-2</v>
      </c>
      <c r="O356" s="23">
        <f t="shared" si="64"/>
        <v>-1.0992396946564842E-2</v>
      </c>
      <c r="P356" s="23">
        <f t="shared" si="65"/>
        <v>-1.4065200686106394E-2</v>
      </c>
    </row>
    <row r="357" spans="1:16" x14ac:dyDescent="0.35">
      <c r="A357" s="2">
        <f>Prices!A355</f>
        <v>44401</v>
      </c>
      <c r="B357" s="1">
        <f>Prices!B355</f>
        <v>3008.9099120000001</v>
      </c>
      <c r="C357" s="1">
        <f>Prices!C355</f>
        <v>23.24</v>
      </c>
      <c r="D357" s="1">
        <f>Prices!D355</f>
        <v>60.77</v>
      </c>
      <c r="E357" s="1">
        <f>Prices!E355</f>
        <v>32.290000999999997</v>
      </c>
      <c r="F357" s="1">
        <f>Prices!F355</f>
        <v>281</v>
      </c>
      <c r="G357" s="1">
        <f t="shared" si="66"/>
        <v>179.98779396179785</v>
      </c>
      <c r="H357" s="1">
        <f t="shared" si="67"/>
        <v>57.227282511024875</v>
      </c>
      <c r="I357" s="1">
        <f t="shared" si="68"/>
        <v>104.12953899709524</v>
      </c>
      <c r="J357" s="1">
        <f t="shared" si="69"/>
        <v>51.813223684210591</v>
      </c>
      <c r="K357" s="1">
        <f t="shared" si="70"/>
        <v>65.046296296296347</v>
      </c>
      <c r="L357" s="23">
        <f t="shared" si="61"/>
        <v>7.4868536047092427E-3</v>
      </c>
      <c r="M357" s="23">
        <f t="shared" si="62"/>
        <v>-4.7109207708780909E-3</v>
      </c>
      <c r="N357" s="23">
        <f t="shared" si="63"/>
        <v>1.4831905075807228E-3</v>
      </c>
      <c r="O357" s="23">
        <f t="shared" si="64"/>
        <v>-3.087310993742487E-3</v>
      </c>
      <c r="P357" s="23">
        <f t="shared" si="65"/>
        <v>-2.2268594758564908E-2</v>
      </c>
    </row>
    <row r="358" spans="1:16" x14ac:dyDescent="0.35">
      <c r="A358" s="2">
        <f>Prices!A356</f>
        <v>44404</v>
      </c>
      <c r="B358" s="1">
        <f>Prices!B356</f>
        <v>3055.209961</v>
      </c>
      <c r="C358" s="1">
        <f>Prices!C356</f>
        <v>22.67</v>
      </c>
      <c r="D358" s="1">
        <f>Prices!D356</f>
        <v>62.57</v>
      </c>
      <c r="E358" s="1">
        <f>Prices!E356</f>
        <v>32.450001</v>
      </c>
      <c r="F358" s="1">
        <f>Prices!F356</f>
        <v>277</v>
      </c>
      <c r="G358" s="1">
        <f t="shared" si="66"/>
        <v>182.75738292376644</v>
      </c>
      <c r="H358" s="1">
        <f t="shared" si="67"/>
        <v>55.823687371985116</v>
      </c>
      <c r="I358" s="1">
        <f t="shared" si="68"/>
        <v>107.21384326227165</v>
      </c>
      <c r="J358" s="1">
        <f t="shared" si="69"/>
        <v>52.069963093709958</v>
      </c>
      <c r="K358" s="1">
        <f t="shared" si="70"/>
        <v>64.120370370370424</v>
      </c>
      <c r="L358" s="23">
        <f t="shared" si="61"/>
        <v>1.5387648801098441E-2</v>
      </c>
      <c r="M358" s="23">
        <f t="shared" si="62"/>
        <v>-2.4526678141135849E-2</v>
      </c>
      <c r="N358" s="23">
        <f t="shared" si="63"/>
        <v>2.9619878229389496E-2</v>
      </c>
      <c r="O358" s="23">
        <f t="shared" si="64"/>
        <v>4.9550943030320926E-3</v>
      </c>
      <c r="P358" s="23">
        <f t="shared" si="65"/>
        <v>-1.4234875444839812E-2</v>
      </c>
    </row>
    <row r="359" spans="1:16" x14ac:dyDescent="0.35">
      <c r="A359" s="2">
        <f>Prices!A357</f>
        <v>44405</v>
      </c>
      <c r="B359" s="1">
        <f>Prices!B357</f>
        <v>3000.330078</v>
      </c>
      <c r="C359" s="1">
        <f>Prices!C357</f>
        <v>22.75</v>
      </c>
      <c r="D359" s="1">
        <f>Prices!D357</f>
        <v>61.279998999999997</v>
      </c>
      <c r="E359" s="1">
        <f>Prices!E357</f>
        <v>32.099997999999999</v>
      </c>
      <c r="F359" s="1">
        <f>Prices!F357</f>
        <v>279.5</v>
      </c>
      <c r="G359" s="1">
        <f t="shared" si="66"/>
        <v>179.47456311096389</v>
      </c>
      <c r="H359" s="1">
        <f t="shared" si="67"/>
        <v>56.020683180973151</v>
      </c>
      <c r="I359" s="1">
        <f t="shared" si="68"/>
        <v>105.00342349205951</v>
      </c>
      <c r="J359" s="1">
        <f t="shared" si="69"/>
        <v>51.508340821566179</v>
      </c>
      <c r="K359" s="1">
        <f t="shared" si="70"/>
        <v>64.699074074074119</v>
      </c>
      <c r="L359" s="23">
        <f t="shared" si="61"/>
        <v>-1.7962720631493845E-2</v>
      </c>
      <c r="M359" s="23">
        <f t="shared" si="62"/>
        <v>3.5288928098808903E-3</v>
      </c>
      <c r="N359" s="23">
        <f t="shared" si="63"/>
        <v>-2.0616925043950851E-2</v>
      </c>
      <c r="O359" s="23">
        <f t="shared" si="64"/>
        <v>-1.0785916462683676E-2</v>
      </c>
      <c r="P359" s="23">
        <f t="shared" si="65"/>
        <v>9.0252707581226499E-3</v>
      </c>
    </row>
    <row r="360" spans="1:16" x14ac:dyDescent="0.35">
      <c r="A360" s="2">
        <f>Prices!A358</f>
        <v>44406</v>
      </c>
      <c r="B360" s="1">
        <f>Prices!B358</f>
        <v>3033.530029</v>
      </c>
      <c r="C360" s="1">
        <f>Prices!C358</f>
        <v>23.57</v>
      </c>
      <c r="D360" s="1">
        <f>Prices!D358</f>
        <v>62.68</v>
      </c>
      <c r="E360" s="1">
        <f>Prices!E358</f>
        <v>32.409999999999997</v>
      </c>
      <c r="F360" s="1">
        <f>Prices!F358</f>
        <v>278</v>
      </c>
      <c r="G360" s="1">
        <f t="shared" si="66"/>
        <v>181.46052683699577</v>
      </c>
      <c r="H360" s="1">
        <f t="shared" si="67"/>
        <v>58.039890223100535</v>
      </c>
      <c r="I360" s="1">
        <f t="shared" si="68"/>
        <v>107.40232852292134</v>
      </c>
      <c r="J360" s="1">
        <f t="shared" si="69"/>
        <v>52.005776636713804</v>
      </c>
      <c r="K360" s="1">
        <f t="shared" si="70"/>
        <v>64.351851851851904</v>
      </c>
      <c r="L360" s="23">
        <f t="shared" si="61"/>
        <v>1.1065432848018864E-2</v>
      </c>
      <c r="M360" s="23">
        <f t="shared" si="62"/>
        <v>3.6043956043956049E-2</v>
      </c>
      <c r="N360" s="23">
        <f t="shared" si="63"/>
        <v>2.2845969693961798E-2</v>
      </c>
      <c r="O360" s="23">
        <f t="shared" si="64"/>
        <v>9.657383779276163E-3</v>
      </c>
      <c r="P360" s="23">
        <f t="shared" si="65"/>
        <v>-5.3667262969588903E-3</v>
      </c>
    </row>
    <row r="361" spans="1:16" x14ac:dyDescent="0.35">
      <c r="A361" s="2">
        <f>Prices!A359</f>
        <v>44407</v>
      </c>
      <c r="B361" s="1">
        <f>Prices!B359</f>
        <v>3051.8798830000001</v>
      </c>
      <c r="C361" s="1">
        <f>Prices!C359</f>
        <v>22.76</v>
      </c>
      <c r="D361" s="1">
        <f>Prices!D359</f>
        <v>61.040000999999997</v>
      </c>
      <c r="E361" s="1">
        <f>Prices!E359</f>
        <v>30.84</v>
      </c>
      <c r="F361" s="1">
        <f>Prices!F359</f>
        <v>266.70001200000002</v>
      </c>
      <c r="G361" s="1">
        <f t="shared" si="66"/>
        <v>182.55818340950037</v>
      </c>
      <c r="H361" s="1">
        <f t="shared" si="67"/>
        <v>56.045307657096657</v>
      </c>
      <c r="I361" s="1">
        <f t="shared" si="68"/>
        <v>104.59218635037408</v>
      </c>
      <c r="J361" s="1">
        <f t="shared" si="69"/>
        <v>49.486521181001351</v>
      </c>
      <c r="K361" s="1">
        <f t="shared" si="70"/>
        <v>61.736113888888944</v>
      </c>
      <c r="L361" s="23">
        <f t="shared" si="61"/>
        <v>6.0490101711796473E-3</v>
      </c>
      <c r="M361" s="23">
        <f t="shared" si="62"/>
        <v>-3.4365719134492934E-2</v>
      </c>
      <c r="N361" s="23">
        <f t="shared" si="63"/>
        <v>-2.6164629865986E-2</v>
      </c>
      <c r="O361" s="23">
        <f t="shared" si="64"/>
        <v>-4.8441838938599102E-2</v>
      </c>
      <c r="P361" s="23">
        <f t="shared" si="65"/>
        <v>-4.0647438848920858E-2</v>
      </c>
    </row>
    <row r="362" spans="1:16" x14ac:dyDescent="0.35">
      <c r="A362" s="2">
        <f>Prices!A360</f>
        <v>44408</v>
      </c>
      <c r="B362" s="1">
        <f>Prices!B360</f>
        <v>3164.679932</v>
      </c>
      <c r="C362" s="1">
        <f>Prices!C360</f>
        <v>22.65</v>
      </c>
      <c r="D362" s="1">
        <f>Prices!D360</f>
        <v>61.040000999999997</v>
      </c>
      <c r="E362" s="1">
        <f>Prices!E360</f>
        <v>29.809999000000001</v>
      </c>
      <c r="F362" s="1">
        <f>Prices!F360</f>
        <v>263.70001200000002</v>
      </c>
      <c r="G362" s="1">
        <f t="shared" si="66"/>
        <v>189.30568751300399</v>
      </c>
      <c r="H362" s="1">
        <f t="shared" si="67"/>
        <v>55.774438419738097</v>
      </c>
      <c r="I362" s="1">
        <f t="shared" si="68"/>
        <v>104.59218635037408</v>
      </c>
      <c r="J362" s="1">
        <f t="shared" si="69"/>
        <v>47.833759627727922</v>
      </c>
      <c r="K362" s="1">
        <f t="shared" si="70"/>
        <v>61.041669444444501</v>
      </c>
      <c r="L362" s="23">
        <f t="shared" si="61"/>
        <v>3.6960841620384377E-2</v>
      </c>
      <c r="M362" s="23">
        <f t="shared" si="62"/>
        <v>-4.833040421792778E-3</v>
      </c>
      <c r="N362" s="23">
        <f t="shared" si="63"/>
        <v>0</v>
      </c>
      <c r="O362" s="23">
        <f t="shared" si="64"/>
        <v>-3.3398216601815744E-2</v>
      </c>
      <c r="P362" s="23">
        <f t="shared" si="65"/>
        <v>-1.12485934196358E-2</v>
      </c>
    </row>
    <row r="363" spans="1:16" x14ac:dyDescent="0.35">
      <c r="A363" s="2">
        <f>Prices!A361</f>
        <v>44411</v>
      </c>
      <c r="B363" s="1">
        <f>Prices!B361</f>
        <v>3111.889893</v>
      </c>
      <c r="C363" s="1">
        <f>Prices!C361</f>
        <v>21.58</v>
      </c>
      <c r="D363" s="1">
        <f>Prices!D361</f>
        <v>61.91</v>
      </c>
      <c r="E363" s="1">
        <f>Prices!E361</f>
        <v>30.299999</v>
      </c>
      <c r="F363" s="1">
        <f>Prices!F361</f>
        <v>273.89999399999999</v>
      </c>
      <c r="G363" s="1">
        <f t="shared" si="66"/>
        <v>186.14787855871339</v>
      </c>
      <c r="H363" s="1">
        <f t="shared" si="67"/>
        <v>53.139619474523094</v>
      </c>
      <c r="I363" s="1">
        <f t="shared" si="68"/>
        <v>106.08293169837364</v>
      </c>
      <c r="J363" s="1">
        <f t="shared" si="69"/>
        <v>48.620024069319705</v>
      </c>
      <c r="K363" s="1">
        <f t="shared" si="70"/>
        <v>63.402776388888938</v>
      </c>
      <c r="L363" s="23">
        <f t="shared" si="61"/>
        <v>-1.6681004125001064E-2</v>
      </c>
      <c r="M363" s="23">
        <f t="shared" si="62"/>
        <v>-4.7240618101545229E-2</v>
      </c>
      <c r="N363" s="23">
        <f t="shared" si="63"/>
        <v>1.4252932269775087E-2</v>
      </c>
      <c r="O363" s="23">
        <f t="shared" si="64"/>
        <v>1.6437437653050502E-2</v>
      </c>
      <c r="P363" s="23">
        <f t="shared" si="65"/>
        <v>3.8680248524220584E-2</v>
      </c>
    </row>
    <row r="364" spans="1:16" x14ac:dyDescent="0.35">
      <c r="A364" s="2">
        <f>Prices!A362</f>
        <v>44412</v>
      </c>
      <c r="B364" s="1">
        <f>Prices!B362</f>
        <v>3138.830078</v>
      </c>
      <c r="C364" s="1">
        <f>Prices!C362</f>
        <v>21.91</v>
      </c>
      <c r="D364" s="1">
        <f>Prices!D362</f>
        <v>61.860000999999997</v>
      </c>
      <c r="E364" s="1">
        <f>Prices!E362</f>
        <v>31.35</v>
      </c>
      <c r="F364" s="1">
        <f>Prices!F362</f>
        <v>278.5</v>
      </c>
      <c r="G364" s="1">
        <f t="shared" si="66"/>
        <v>187.75939389446157</v>
      </c>
      <c r="H364" s="1">
        <f t="shared" si="67"/>
        <v>53.952227186598762</v>
      </c>
      <c r="I364" s="1">
        <f t="shared" si="68"/>
        <v>105.99725829339889</v>
      </c>
      <c r="J364" s="1">
        <f t="shared" si="69"/>
        <v>50.304878048780559</v>
      </c>
      <c r="K364" s="1">
        <f t="shared" si="70"/>
        <v>64.467592592592652</v>
      </c>
      <c r="L364" s="23">
        <f t="shared" si="61"/>
        <v>8.6571780899447059E-3</v>
      </c>
      <c r="M364" s="23">
        <f t="shared" si="62"/>
        <v>1.529193697868414E-2</v>
      </c>
      <c r="N364" s="23">
        <f t="shared" si="63"/>
        <v>-8.0760781779998236E-4</v>
      </c>
      <c r="O364" s="23">
        <f t="shared" si="64"/>
        <v>3.4653499493514817E-2</v>
      </c>
      <c r="P364" s="23">
        <f t="shared" si="65"/>
        <v>1.6794472803091764E-2</v>
      </c>
    </row>
    <row r="365" spans="1:16" x14ac:dyDescent="0.35">
      <c r="A365" s="2">
        <f>Prices!A363</f>
        <v>44413</v>
      </c>
      <c r="B365" s="1">
        <f>Prices!B363</f>
        <v>3205.030029</v>
      </c>
      <c r="C365" s="1">
        <f>Prices!C363</f>
        <v>21.82</v>
      </c>
      <c r="D365" s="1">
        <f>Prices!D363</f>
        <v>64.599997999999999</v>
      </c>
      <c r="E365" s="1">
        <f>Prices!E363</f>
        <v>31.52</v>
      </c>
      <c r="F365" s="1">
        <f>Prices!F363</f>
        <v>284.29998799999998</v>
      </c>
      <c r="G365" s="1">
        <f t="shared" si="66"/>
        <v>191.71936062305969</v>
      </c>
      <c r="H365" s="1">
        <f t="shared" si="67"/>
        <v>53.730606901487214</v>
      </c>
      <c r="I365" s="1">
        <f t="shared" si="68"/>
        <v>110.69224964543812</v>
      </c>
      <c r="J365" s="1">
        <f t="shared" si="69"/>
        <v>50.577663671373621</v>
      </c>
      <c r="K365" s="1">
        <f t="shared" si="70"/>
        <v>65.810182407407467</v>
      </c>
      <c r="L365" s="23">
        <f t="shared" si="61"/>
        <v>2.1090645034911093E-2</v>
      </c>
      <c r="M365" s="23">
        <f t="shared" si="62"/>
        <v>-4.1077133728890658E-3</v>
      </c>
      <c r="N365" s="23">
        <f t="shared" si="63"/>
        <v>4.4293516904404973E-2</v>
      </c>
      <c r="O365" s="23">
        <f t="shared" si="64"/>
        <v>5.4226475279106623E-3</v>
      </c>
      <c r="P365" s="23">
        <f t="shared" si="65"/>
        <v>2.0825809694793529E-2</v>
      </c>
    </row>
    <row r="366" spans="1:16" x14ac:dyDescent="0.35">
      <c r="A366" s="2">
        <f>Prices!A364</f>
        <v>44414</v>
      </c>
      <c r="B366" s="1">
        <f>Prices!B364</f>
        <v>3225</v>
      </c>
      <c r="C366" s="1">
        <f>Prices!C364</f>
        <v>21.379999000000002</v>
      </c>
      <c r="D366" s="1">
        <f>Prices!D364</f>
        <v>62.459999000000003</v>
      </c>
      <c r="E366" s="1">
        <f>Prices!E364</f>
        <v>31.25</v>
      </c>
      <c r="F366" s="1">
        <f>Prices!F364</f>
        <v>297.5</v>
      </c>
      <c r="G366" s="1">
        <f t="shared" si="66"/>
        <v>192.91392979624635</v>
      </c>
      <c r="H366" s="1">
        <f t="shared" si="67"/>
        <v>52.647127489605396</v>
      </c>
      <c r="I366" s="1">
        <f t="shared" si="68"/>
        <v>107.02535628811964</v>
      </c>
      <c r="J366" s="1">
        <f t="shared" si="69"/>
        <v>50.144415917843453</v>
      </c>
      <c r="K366" s="1">
        <f t="shared" si="70"/>
        <v>68.865740740740804</v>
      </c>
      <c r="L366" s="23">
        <f t="shared" si="61"/>
        <v>6.230821808003828E-3</v>
      </c>
      <c r="M366" s="23">
        <f t="shared" si="62"/>
        <v>-2.0165032080659895E-2</v>
      </c>
      <c r="N366" s="23">
        <f t="shared" si="63"/>
        <v>-3.312692053024513E-2</v>
      </c>
      <c r="O366" s="23">
        <f t="shared" si="64"/>
        <v>-8.565989847715727E-3</v>
      </c>
      <c r="P366" s="23">
        <f t="shared" si="65"/>
        <v>4.642987181554159E-2</v>
      </c>
    </row>
    <row r="367" spans="1:16" x14ac:dyDescent="0.35">
      <c r="A367" s="2">
        <f>Prices!A365</f>
        <v>44415</v>
      </c>
      <c r="B367" s="1">
        <f>Prices!B365</f>
        <v>3167.459961</v>
      </c>
      <c r="C367" s="1">
        <f>Prices!C365</f>
        <v>21.34</v>
      </c>
      <c r="D367" s="1">
        <f>Prices!D365</f>
        <v>60.950001</v>
      </c>
      <c r="E367" s="1">
        <f>Prices!E365</f>
        <v>30.84</v>
      </c>
      <c r="F367" s="1">
        <f>Prices!F365</f>
        <v>293.60000600000001</v>
      </c>
      <c r="G367" s="1">
        <f t="shared" si="66"/>
        <v>189.47198404613187</v>
      </c>
      <c r="H367" s="1">
        <f t="shared" si="67"/>
        <v>52.548632047558989</v>
      </c>
      <c r="I367" s="1">
        <f t="shared" si="68"/>
        <v>104.43797113711527</v>
      </c>
      <c r="J367" s="1">
        <f t="shared" si="69"/>
        <v>49.486521181001351</v>
      </c>
      <c r="K367" s="1">
        <f t="shared" si="70"/>
        <v>67.962964351851909</v>
      </c>
      <c r="L367" s="23">
        <f t="shared" si="61"/>
        <v>-1.7841872558139515E-2</v>
      </c>
      <c r="M367" s="23">
        <f t="shared" si="62"/>
        <v>-1.8708607049047199E-3</v>
      </c>
      <c r="N367" s="23">
        <f t="shared" si="63"/>
        <v>-2.4175440668835146E-2</v>
      </c>
      <c r="O367" s="23">
        <f t="shared" si="64"/>
        <v>-1.3120000000000021E-2</v>
      </c>
      <c r="P367" s="23">
        <f t="shared" si="65"/>
        <v>-1.3109223529411684E-2</v>
      </c>
    </row>
    <row r="368" spans="1:16" x14ac:dyDescent="0.35">
      <c r="A368" s="2">
        <f>Prices!A366</f>
        <v>44418</v>
      </c>
      <c r="B368" s="1">
        <f>Prices!B366</f>
        <v>3148.1599120000001</v>
      </c>
      <c r="C368" s="1">
        <f>Prices!C366</f>
        <v>21.690000999999999</v>
      </c>
      <c r="D368" s="1">
        <f>Prices!D366</f>
        <v>61.610000999999997</v>
      </c>
      <c r="E368" s="1">
        <f>Prices!E366</f>
        <v>31.450001</v>
      </c>
      <c r="F368" s="1">
        <f>Prices!F366</f>
        <v>292</v>
      </c>
      <c r="G368" s="1">
        <f t="shared" si="66"/>
        <v>188.31748844989926</v>
      </c>
      <c r="H368" s="1">
        <f t="shared" si="67"/>
        <v>53.410491174329259</v>
      </c>
      <c r="I368" s="1">
        <f t="shared" si="68"/>
        <v>105.56888270101328</v>
      </c>
      <c r="J368" s="1">
        <f t="shared" si="69"/>
        <v>50.46534178433896</v>
      </c>
      <c r="K368" s="1">
        <f t="shared" si="70"/>
        <v>67.592592592592652</v>
      </c>
      <c r="L368" s="23">
        <f t="shared" si="61"/>
        <v>-6.0932258774020198E-3</v>
      </c>
      <c r="M368" s="23">
        <f t="shared" si="62"/>
        <v>1.6401171508903412E-2</v>
      </c>
      <c r="N368" s="23">
        <f t="shared" si="63"/>
        <v>1.0828547812492983E-2</v>
      </c>
      <c r="O368" s="23">
        <f t="shared" si="64"/>
        <v>1.9779539559014347E-2</v>
      </c>
      <c r="P368" s="23">
        <f t="shared" si="65"/>
        <v>-5.4496116052531463E-3</v>
      </c>
    </row>
    <row r="369" spans="1:16" x14ac:dyDescent="0.35">
      <c r="A369" s="2">
        <f>Prices!A367</f>
        <v>44419</v>
      </c>
      <c r="B369" s="1">
        <f>Prices!B367</f>
        <v>3080.669922</v>
      </c>
      <c r="C369" s="1">
        <f>Prices!C367</f>
        <v>22.49</v>
      </c>
      <c r="D369" s="1">
        <f>Prices!D367</f>
        <v>61.349997999999999</v>
      </c>
      <c r="E369" s="1">
        <f>Prices!E367</f>
        <v>31.85</v>
      </c>
      <c r="F369" s="1">
        <f>Prices!F367</f>
        <v>300.29998799999998</v>
      </c>
      <c r="G369" s="1">
        <f t="shared" si="66"/>
        <v>184.28035381646998</v>
      </c>
      <c r="H369" s="1">
        <f t="shared" si="67"/>
        <v>55.380446801762027</v>
      </c>
      <c r="I369" s="1">
        <f t="shared" si="68"/>
        <v>105.12336694442513</v>
      </c>
      <c r="J369" s="1">
        <f t="shared" si="69"/>
        <v>51.107188703466051</v>
      </c>
      <c r="K369" s="1">
        <f t="shared" si="70"/>
        <v>69.513886111111162</v>
      </c>
      <c r="L369" s="23">
        <f t="shared" si="61"/>
        <v>-2.1437916715331129E-2</v>
      </c>
      <c r="M369" s="23">
        <f t="shared" si="62"/>
        <v>3.6883308580760277E-2</v>
      </c>
      <c r="N369" s="23">
        <f t="shared" si="63"/>
        <v>-4.2201427654577905E-3</v>
      </c>
      <c r="O369" s="23">
        <f t="shared" si="64"/>
        <v>1.2718568752986714E-2</v>
      </c>
      <c r="P369" s="23">
        <f t="shared" si="65"/>
        <v>2.8424616438356143E-2</v>
      </c>
    </row>
    <row r="370" spans="1:16" x14ac:dyDescent="0.35">
      <c r="A370" s="2">
        <f>Prices!A368</f>
        <v>44420</v>
      </c>
      <c r="B370" s="1">
        <f>Prices!B368</f>
        <v>3162.23999</v>
      </c>
      <c r="C370" s="1">
        <f>Prices!C368</f>
        <v>23.120000999999998</v>
      </c>
      <c r="D370" s="1">
        <f>Prices!D368</f>
        <v>62.32</v>
      </c>
      <c r="E370" s="1">
        <f>Prices!E368</f>
        <v>32.869999</v>
      </c>
      <c r="F370" s="1">
        <f>Prices!F368</f>
        <v>303.70001200000002</v>
      </c>
      <c r="G370" s="1">
        <f t="shared" si="66"/>
        <v>189.15973439681946</v>
      </c>
      <c r="H370" s="1">
        <f t="shared" si="67"/>
        <v>56.931791259990426</v>
      </c>
      <c r="I370" s="1">
        <f t="shared" si="68"/>
        <v>106.78546766988606</v>
      </c>
      <c r="J370" s="1">
        <f t="shared" si="69"/>
        <v>52.743900834403149</v>
      </c>
      <c r="K370" s="1">
        <f t="shared" si="70"/>
        <v>70.300928703703775</v>
      </c>
      <c r="L370" s="23">
        <f t="shared" si="61"/>
        <v>2.6478029151219218E-2</v>
      </c>
      <c r="M370" s="23">
        <f t="shared" si="62"/>
        <v>2.8012494441974178E-2</v>
      </c>
      <c r="N370" s="23">
        <f t="shared" si="63"/>
        <v>1.5810954060666793E-2</v>
      </c>
      <c r="O370" s="23">
        <f t="shared" si="64"/>
        <v>3.2025086342229114E-2</v>
      </c>
      <c r="P370" s="23">
        <f t="shared" si="65"/>
        <v>1.1322091694522474E-2</v>
      </c>
    </row>
    <row r="371" spans="1:16" x14ac:dyDescent="0.35">
      <c r="A371" s="2">
        <f>Prices!A369</f>
        <v>44421</v>
      </c>
      <c r="B371" s="1">
        <f>Prices!B369</f>
        <v>3161.0200199999999</v>
      </c>
      <c r="C371" s="1">
        <f>Prices!C369</f>
        <v>22.34</v>
      </c>
      <c r="D371" s="1">
        <f>Prices!D369</f>
        <v>61.799999</v>
      </c>
      <c r="E371" s="1">
        <f>Prices!E369</f>
        <v>31.67</v>
      </c>
      <c r="F371" s="1">
        <f>Prices!F369</f>
        <v>293</v>
      </c>
      <c r="G371" s="1">
        <f t="shared" si="66"/>
        <v>189.08675789854547</v>
      </c>
      <c r="H371" s="1">
        <f t="shared" si="67"/>
        <v>55.011079659909456</v>
      </c>
      <c r="I371" s="1">
        <f t="shared" si="68"/>
        <v>105.8944447242216</v>
      </c>
      <c r="J371" s="1">
        <f t="shared" si="69"/>
        <v>50.818356867779272</v>
      </c>
      <c r="K371" s="1">
        <f t="shared" si="70"/>
        <v>67.824074074074133</v>
      </c>
      <c r="L371" s="23">
        <f t="shared" si="61"/>
        <v>-3.8579298340990498E-4</v>
      </c>
      <c r="M371" s="23">
        <f t="shared" si="62"/>
        <v>-3.3737066014832728E-2</v>
      </c>
      <c r="N371" s="23">
        <f t="shared" si="63"/>
        <v>-8.3440468549422775E-3</v>
      </c>
      <c r="O371" s="23">
        <f t="shared" si="64"/>
        <v>-3.6507424292893886E-2</v>
      </c>
      <c r="P371" s="23">
        <f t="shared" si="65"/>
        <v>-3.5232175097839713E-2</v>
      </c>
    </row>
    <row r="372" spans="1:16" x14ac:dyDescent="0.35">
      <c r="A372" s="2">
        <f>Prices!A370</f>
        <v>44422</v>
      </c>
      <c r="B372" s="1">
        <f>Prices!B370</f>
        <v>3148.0200199999999</v>
      </c>
      <c r="C372" s="1">
        <f>Prices!C370</f>
        <v>22.280000999999999</v>
      </c>
      <c r="D372" s="1">
        <f>Prices!D370</f>
        <v>61.59</v>
      </c>
      <c r="E372" s="1">
        <f>Prices!E370</f>
        <v>31.110001</v>
      </c>
      <c r="F372" s="1">
        <f>Prices!F370</f>
        <v>288.79998799999998</v>
      </c>
      <c r="G372" s="1">
        <f t="shared" si="66"/>
        <v>188.30912035207999</v>
      </c>
      <c r="H372" s="1">
        <f t="shared" si="67"/>
        <v>54.863335265616037</v>
      </c>
      <c r="I372" s="1">
        <f t="shared" si="68"/>
        <v>105.53461094012006</v>
      </c>
      <c r="J372" s="1">
        <f t="shared" si="69"/>
        <v>49.919770539152829</v>
      </c>
      <c r="K372" s="1">
        <f t="shared" si="70"/>
        <v>66.851849074074138</v>
      </c>
      <c r="L372" s="23">
        <f t="shared" si="61"/>
        <v>-4.1125965409102294E-3</v>
      </c>
      <c r="M372" s="23">
        <f t="shared" si="62"/>
        <v>-2.6857206803939659E-3</v>
      </c>
      <c r="N372" s="23">
        <f t="shared" si="63"/>
        <v>-3.3980421261818883E-3</v>
      </c>
      <c r="O372" s="23">
        <f t="shared" si="64"/>
        <v>-1.768231765077366E-2</v>
      </c>
      <c r="P372" s="23">
        <f t="shared" si="65"/>
        <v>-1.4334511945392592E-2</v>
      </c>
    </row>
    <row r="373" spans="1:16" x14ac:dyDescent="0.35">
      <c r="A373" s="2">
        <f>Prices!A371</f>
        <v>44425</v>
      </c>
      <c r="B373" s="1">
        <f>Prices!B371</f>
        <v>3182.4099120000001</v>
      </c>
      <c r="C373" s="1">
        <f>Prices!C371</f>
        <v>22.200001</v>
      </c>
      <c r="D373" s="1">
        <f>Prices!D371</f>
        <v>62.459999000000003</v>
      </c>
      <c r="E373" s="1">
        <f>Prices!E371</f>
        <v>30.940000999999999</v>
      </c>
      <c r="F373" s="1">
        <f>Prices!F371</f>
        <v>289.10000600000001</v>
      </c>
      <c r="G373" s="1">
        <f t="shared" si="66"/>
        <v>190.3662642934718</v>
      </c>
      <c r="H373" s="1">
        <f t="shared" si="67"/>
        <v>54.666339456628002</v>
      </c>
      <c r="I373" s="1">
        <f t="shared" si="68"/>
        <v>107.02535628811962</v>
      </c>
      <c r="J373" s="1">
        <f t="shared" si="69"/>
        <v>49.646984916559759</v>
      </c>
      <c r="K373" s="1">
        <f t="shared" si="70"/>
        <v>66.921297685185266</v>
      </c>
      <c r="L373" s="23">
        <f t="shared" si="61"/>
        <v>1.092429266062922E-2</v>
      </c>
      <c r="M373" s="23">
        <f t="shared" si="62"/>
        <v>-3.5906641117295912E-3</v>
      </c>
      <c r="N373" s="23">
        <f t="shared" si="63"/>
        <v>1.4125653515181025E-2</v>
      </c>
      <c r="O373" s="23">
        <f t="shared" si="64"/>
        <v>-5.4644806986666739E-3</v>
      </c>
      <c r="P373" s="23">
        <f t="shared" si="65"/>
        <v>1.0388435334700574E-3</v>
      </c>
    </row>
    <row r="374" spans="1:16" x14ac:dyDescent="0.35">
      <c r="A374" s="2">
        <f>Prices!A372</f>
        <v>44426</v>
      </c>
      <c r="B374" s="1">
        <f>Prices!B372</f>
        <v>3312.48999</v>
      </c>
      <c r="C374" s="1">
        <f>Prices!C372</f>
        <v>21.889999</v>
      </c>
      <c r="D374" s="1">
        <f>Prices!D372</f>
        <v>63.580002</v>
      </c>
      <c r="E374" s="1">
        <f>Prices!E372</f>
        <v>30.540001</v>
      </c>
      <c r="F374" s="1">
        <f>Prices!F372</f>
        <v>287</v>
      </c>
      <c r="G374" s="1">
        <f t="shared" si="66"/>
        <v>198.14742988577638</v>
      </c>
      <c r="H374" s="1">
        <f t="shared" si="67"/>
        <v>53.902975771904131</v>
      </c>
      <c r="I374" s="1">
        <f t="shared" si="68"/>
        <v>108.94448408251429</v>
      </c>
      <c r="J374" s="1">
        <f t="shared" si="69"/>
        <v>49.005136392811366</v>
      </c>
      <c r="K374" s="1">
        <f t="shared" si="70"/>
        <v>66.435185185185262</v>
      </c>
      <c r="L374" s="23">
        <f t="shared" si="61"/>
        <v>4.0874708663237724E-2</v>
      </c>
      <c r="M374" s="23">
        <f t="shared" si="62"/>
        <v>-1.39640534250427E-2</v>
      </c>
      <c r="N374" s="23">
        <f t="shared" si="63"/>
        <v>1.7931524462560411E-2</v>
      </c>
      <c r="O374" s="23">
        <f t="shared" si="64"/>
        <v>-1.2928247804516846E-2</v>
      </c>
      <c r="P374" s="23">
        <f t="shared" si="65"/>
        <v>-7.2639431214678307E-3</v>
      </c>
    </row>
    <row r="375" spans="1:16" x14ac:dyDescent="0.35">
      <c r="A375" s="2">
        <f>Prices!A373</f>
        <v>44427</v>
      </c>
      <c r="B375" s="1">
        <f>Prices!B373</f>
        <v>3260.4799800000001</v>
      </c>
      <c r="C375" s="1">
        <f>Prices!C373</f>
        <v>21.950001</v>
      </c>
      <c r="D375" s="1">
        <f>Prices!D373</f>
        <v>62.23</v>
      </c>
      <c r="E375" s="1">
        <f>Prices!E373</f>
        <v>30.42</v>
      </c>
      <c r="F375" s="1">
        <f>Prices!F373</f>
        <v>287.10000600000001</v>
      </c>
      <c r="G375" s="1">
        <f t="shared" si="66"/>
        <v>195.03628091900364</v>
      </c>
      <c r="H375" s="1">
        <f t="shared" si="67"/>
        <v>54.050727553540383</v>
      </c>
      <c r="I375" s="1">
        <f t="shared" si="68"/>
        <v>106.63125245662724</v>
      </c>
      <c r="J375" s="1">
        <f t="shared" si="69"/>
        <v>48.812580231065539</v>
      </c>
      <c r="K375" s="1">
        <f t="shared" si="70"/>
        <v>66.458334722222304</v>
      </c>
      <c r="L375" s="23">
        <f t="shared" si="61"/>
        <v>-1.5701182541535741E-2</v>
      </c>
      <c r="M375" s="23">
        <f t="shared" si="62"/>
        <v>2.7410691064901904E-3</v>
      </c>
      <c r="N375" s="23">
        <f t="shared" si="63"/>
        <v>-2.1233122955862771E-2</v>
      </c>
      <c r="O375" s="23">
        <f t="shared" si="64"/>
        <v>-3.9293056997606879E-3</v>
      </c>
      <c r="P375" s="23">
        <f t="shared" si="65"/>
        <v>3.4845296167240747E-4</v>
      </c>
    </row>
    <row r="376" spans="1:16" x14ac:dyDescent="0.35">
      <c r="A376" s="2">
        <f>Prices!A374</f>
        <v>44428</v>
      </c>
      <c r="B376" s="1">
        <f>Prices!B374</f>
        <v>3297.3701169999999</v>
      </c>
      <c r="C376" s="1">
        <f>Prices!C374</f>
        <v>21.719999000000001</v>
      </c>
      <c r="D376" s="1">
        <f>Prices!D374</f>
        <v>62.16</v>
      </c>
      <c r="E376" s="1">
        <f>Prices!E374</f>
        <v>30.120000999999998</v>
      </c>
      <c r="F376" s="1">
        <f>Prices!F374</f>
        <v>280</v>
      </c>
      <c r="G376" s="1">
        <f t="shared" si="66"/>
        <v>197.24298519788485</v>
      </c>
      <c r="H376" s="1">
        <f t="shared" si="67"/>
        <v>53.484359677804555</v>
      </c>
      <c r="I376" s="1">
        <f t="shared" si="68"/>
        <v>106.51130729075926</v>
      </c>
      <c r="J376" s="1">
        <f t="shared" si="69"/>
        <v>48.331195442875547</v>
      </c>
      <c r="K376" s="1">
        <f t="shared" si="70"/>
        <v>64.814814814814881</v>
      </c>
      <c r="L376" s="23">
        <f t="shared" si="61"/>
        <v>1.1314327101005439E-2</v>
      </c>
      <c r="M376" s="23">
        <f t="shared" si="62"/>
        <v>-1.0478450547678708E-2</v>
      </c>
      <c r="N376" s="23">
        <f t="shared" si="63"/>
        <v>-1.1248593925758943E-3</v>
      </c>
      <c r="O376" s="23">
        <f t="shared" si="64"/>
        <v>-9.8619000657462763E-3</v>
      </c>
      <c r="P376" s="23">
        <f t="shared" si="65"/>
        <v>-2.4730079594634358E-2</v>
      </c>
    </row>
    <row r="377" spans="1:16" x14ac:dyDescent="0.35">
      <c r="A377" s="2">
        <f>Prices!A375</f>
        <v>44429</v>
      </c>
      <c r="B377" s="1">
        <f>Prices!B375</f>
        <v>3284.719971</v>
      </c>
      <c r="C377" s="1">
        <f>Prices!C375</f>
        <v>21.639999</v>
      </c>
      <c r="D377" s="1">
        <f>Prices!D375</f>
        <v>61.529998999999997</v>
      </c>
      <c r="E377" s="1">
        <f>Prices!E375</f>
        <v>29.629999000000002</v>
      </c>
      <c r="F377" s="1">
        <f>Prices!F375</f>
        <v>281.10000600000001</v>
      </c>
      <c r="G377" s="1">
        <f t="shared" si="66"/>
        <v>196.48627531343328</v>
      </c>
      <c r="H377" s="1">
        <f t="shared" si="67"/>
        <v>53.287363868816513</v>
      </c>
      <c r="I377" s="1">
        <f t="shared" si="68"/>
        <v>105.43179908444515</v>
      </c>
      <c r="J377" s="1">
        <f t="shared" si="69"/>
        <v>47.544927792041143</v>
      </c>
      <c r="K377" s="1">
        <f t="shared" si="70"/>
        <v>65.069445833333404</v>
      </c>
      <c r="L377" s="23">
        <f t="shared" si="61"/>
        <v>-3.8364349621476945E-3</v>
      </c>
      <c r="M377" s="23">
        <f t="shared" si="62"/>
        <v>-3.6832414218804788E-3</v>
      </c>
      <c r="N377" s="23">
        <f t="shared" si="63"/>
        <v>-1.0135151222651184E-2</v>
      </c>
      <c r="O377" s="23">
        <f t="shared" si="64"/>
        <v>-1.6268326153109913E-2</v>
      </c>
      <c r="P377" s="23">
        <f t="shared" si="65"/>
        <v>3.9285928571428652E-3</v>
      </c>
    </row>
    <row r="378" spans="1:16" x14ac:dyDescent="0.35">
      <c r="A378" s="2">
        <f>Prices!A376</f>
        <v>44432</v>
      </c>
      <c r="B378" s="1">
        <f>Prices!B376</f>
        <v>3307.459961</v>
      </c>
      <c r="C378" s="1">
        <f>Prices!C376</f>
        <v>22.25</v>
      </c>
      <c r="D378" s="1">
        <f>Prices!D376</f>
        <v>61.82</v>
      </c>
      <c r="E378" s="1">
        <f>Prices!E376</f>
        <v>30.530000999999999</v>
      </c>
      <c r="F378" s="1">
        <f>Prices!F376</f>
        <v>285.10000600000001</v>
      </c>
      <c r="G378" s="1">
        <f t="shared" si="66"/>
        <v>197.84654223883712</v>
      </c>
      <c r="H378" s="1">
        <f t="shared" si="67"/>
        <v>54.789459374797907</v>
      </c>
      <c r="I378" s="1">
        <f t="shared" si="68"/>
        <v>105.92871648511483</v>
      </c>
      <c r="J378" s="1">
        <f t="shared" si="69"/>
        <v>48.98909017971765</v>
      </c>
      <c r="K378" s="1">
        <f t="shared" si="70"/>
        <v>65.995371759259328</v>
      </c>
      <c r="L378" s="23">
        <f t="shared" si="61"/>
        <v>6.9229615312007553E-3</v>
      </c>
      <c r="M378" s="23">
        <f t="shared" si="62"/>
        <v>2.8188587254555753E-2</v>
      </c>
      <c r="N378" s="23">
        <f t="shared" si="63"/>
        <v>4.7131643866922257E-3</v>
      </c>
      <c r="O378" s="23">
        <f t="shared" si="64"/>
        <v>3.0374688841535047E-2</v>
      </c>
      <c r="P378" s="23">
        <f t="shared" si="65"/>
        <v>1.4229811151266869E-2</v>
      </c>
    </row>
    <row r="379" spans="1:16" x14ac:dyDescent="0.35">
      <c r="A379" s="2">
        <f>Prices!A377</f>
        <v>44433</v>
      </c>
      <c r="B379" s="1">
        <f>Prices!B377</f>
        <v>3346.48999</v>
      </c>
      <c r="C379" s="1">
        <f>Prices!C377</f>
        <v>22.059999000000001</v>
      </c>
      <c r="D379" s="1">
        <f>Prices!D377</f>
        <v>61.040000999999997</v>
      </c>
      <c r="E379" s="1">
        <f>Prices!E377</f>
        <v>30.059999000000001</v>
      </c>
      <c r="F379" s="1">
        <f>Prices!F377</f>
        <v>282.39999399999999</v>
      </c>
      <c r="G379" s="1">
        <f t="shared" si="66"/>
        <v>200.18125116114766</v>
      </c>
      <c r="H379" s="1">
        <f t="shared" si="67"/>
        <v>54.321591866003708</v>
      </c>
      <c r="I379" s="1">
        <f t="shared" si="68"/>
        <v>104.59218635037408</v>
      </c>
      <c r="J379" s="1">
        <f t="shared" si="69"/>
        <v>48.234914955070671</v>
      </c>
      <c r="K379" s="1">
        <f t="shared" si="70"/>
        <v>65.370368981481548</v>
      </c>
      <c r="L379" s="23">
        <f t="shared" si="61"/>
        <v>1.1800605135126041E-2</v>
      </c>
      <c r="M379" s="23">
        <f t="shared" si="62"/>
        <v>-8.5393707865167867E-3</v>
      </c>
      <c r="N379" s="23">
        <f t="shared" si="63"/>
        <v>-1.2617259786476875E-2</v>
      </c>
      <c r="O379" s="23">
        <f t="shared" si="64"/>
        <v>-1.5394758748943249E-2</v>
      </c>
      <c r="P379" s="23">
        <f t="shared" si="65"/>
        <v>-9.4704031679326839E-3</v>
      </c>
    </row>
    <row r="380" spans="1:16" x14ac:dyDescent="0.35">
      <c r="A380" s="2">
        <f>Prices!A378</f>
        <v>44434</v>
      </c>
      <c r="B380" s="1">
        <f>Prices!B378</f>
        <v>3441.8500979999999</v>
      </c>
      <c r="C380" s="1">
        <f>Prices!C378</f>
        <v>21.82</v>
      </c>
      <c r="D380" s="1">
        <f>Prices!D378</f>
        <v>61.759998000000003</v>
      </c>
      <c r="E380" s="1">
        <f>Prices!E378</f>
        <v>30.030000999999999</v>
      </c>
      <c r="F380" s="1">
        <f>Prices!F378</f>
        <v>285.39999399999999</v>
      </c>
      <c r="G380" s="1">
        <f t="shared" si="66"/>
        <v>205.88552811620949</v>
      </c>
      <c r="H380" s="1">
        <f t="shared" si="67"/>
        <v>53.730606901487207</v>
      </c>
      <c r="I380" s="1">
        <f t="shared" si="68"/>
        <v>105.82590291593755</v>
      </c>
      <c r="J380" s="1">
        <f t="shared" si="69"/>
        <v>48.186779525032158</v>
      </c>
      <c r="K380" s="1">
        <f t="shared" si="70"/>
        <v>66.064813425926005</v>
      </c>
      <c r="L380" s="23">
        <f t="shared" si="61"/>
        <v>2.8495560508160933E-2</v>
      </c>
      <c r="M380" s="23">
        <f t="shared" si="62"/>
        <v>-1.0879374926535679E-2</v>
      </c>
      <c r="N380" s="23">
        <f t="shared" si="63"/>
        <v>1.1795494564294184E-2</v>
      </c>
      <c r="O380" s="23">
        <f t="shared" si="64"/>
        <v>-9.9793749161480871E-4</v>
      </c>
      <c r="P380" s="23">
        <f t="shared" si="65"/>
        <v>1.0623229687462432E-2</v>
      </c>
    </row>
    <row r="381" spans="1:16" x14ac:dyDescent="0.35">
      <c r="A381" s="2">
        <f>Prices!A379</f>
        <v>44435</v>
      </c>
      <c r="B381" s="1">
        <f>Prices!B379</f>
        <v>3400</v>
      </c>
      <c r="C381" s="1">
        <f>Prices!C379</f>
        <v>21.65</v>
      </c>
      <c r="D381" s="1">
        <f>Prices!D379</f>
        <v>61.209999000000003</v>
      </c>
      <c r="E381" s="1">
        <f>Prices!E379</f>
        <v>29.780000999999999</v>
      </c>
      <c r="F381" s="1">
        <f>Prices!F379</f>
        <v>283.79998799999998</v>
      </c>
      <c r="G381" s="1">
        <f t="shared" si="66"/>
        <v>203.38212753712793</v>
      </c>
      <c r="H381" s="1">
        <f t="shared" si="67"/>
        <v>53.311990807387616</v>
      </c>
      <c r="I381" s="1">
        <f t="shared" si="68"/>
        <v>104.88347832619156</v>
      </c>
      <c r="J381" s="1">
        <f t="shared" si="69"/>
        <v>47.785624197689408</v>
      </c>
      <c r="K381" s="1">
        <f t="shared" si="70"/>
        <v>65.694441666666748</v>
      </c>
      <c r="L381" s="23">
        <f t="shared" si="61"/>
        <v>-1.2159186718886494E-2</v>
      </c>
      <c r="M381" s="23">
        <f t="shared" si="62"/>
        <v>-7.7910174152154843E-3</v>
      </c>
      <c r="N381" s="23">
        <f t="shared" si="63"/>
        <v>-8.9054245111860331E-3</v>
      </c>
      <c r="O381" s="23">
        <f t="shared" si="64"/>
        <v>-8.3250080477852428E-3</v>
      </c>
      <c r="P381" s="23">
        <f t="shared" si="65"/>
        <v>-5.6061879244468926E-3</v>
      </c>
    </row>
    <row r="382" spans="1:16" x14ac:dyDescent="0.35">
      <c r="A382" s="2">
        <f>Prices!A380</f>
        <v>44436</v>
      </c>
      <c r="B382" s="1">
        <f>Prices!B380</f>
        <v>3401.8000489999999</v>
      </c>
      <c r="C382" s="1">
        <f>Prices!C380</f>
        <v>22.040001</v>
      </c>
      <c r="D382" s="1">
        <f>Prices!D380</f>
        <v>61.98</v>
      </c>
      <c r="E382" s="1">
        <f>Prices!E380</f>
        <v>30.190000999999999</v>
      </c>
      <c r="F382" s="1">
        <f>Prices!F380</f>
        <v>282.70001200000002</v>
      </c>
      <c r="G382" s="1">
        <f t="shared" si="66"/>
        <v>203.48980335927237</v>
      </c>
      <c r="H382" s="1">
        <f t="shared" si="67"/>
        <v>54.272347838651918</v>
      </c>
      <c r="I382" s="1">
        <f t="shared" si="68"/>
        <v>106.20287686424162</v>
      </c>
      <c r="J382" s="1">
        <f t="shared" si="69"/>
        <v>48.443518934531511</v>
      </c>
      <c r="K382" s="1">
        <f t="shared" si="70"/>
        <v>65.439817592592675</v>
      </c>
      <c r="L382" s="23">
        <f t="shared" si="61"/>
        <v>5.2942617647055989E-4</v>
      </c>
      <c r="M382" s="23">
        <f t="shared" si="62"/>
        <v>1.801390300230965E-2</v>
      </c>
      <c r="N382" s="23">
        <f t="shared" si="63"/>
        <v>1.2579660391760505E-2</v>
      </c>
      <c r="O382" s="23">
        <f t="shared" si="64"/>
        <v>1.3767628819085775E-2</v>
      </c>
      <c r="P382" s="23">
        <f t="shared" si="65"/>
        <v>-3.8758845895369154E-3</v>
      </c>
    </row>
    <row r="383" spans="1:16" x14ac:dyDescent="0.35">
      <c r="A383" s="2">
        <f>Prices!A381</f>
        <v>44439</v>
      </c>
      <c r="B383" s="1">
        <f>Prices!B381</f>
        <v>3450.959961</v>
      </c>
      <c r="C383" s="1">
        <f>Prices!C381</f>
        <v>21.629999000000002</v>
      </c>
      <c r="D383" s="1">
        <f>Prices!D381</f>
        <v>61.23</v>
      </c>
      <c r="E383" s="1">
        <f>Prices!E381</f>
        <v>29.68</v>
      </c>
      <c r="F383" s="1">
        <f>Prices!F381</f>
        <v>275.70001200000002</v>
      </c>
      <c r="G383" s="1">
        <f t="shared" si="66"/>
        <v>206.43046438636</v>
      </c>
      <c r="H383" s="1">
        <f t="shared" si="67"/>
        <v>53.262739392693</v>
      </c>
      <c r="I383" s="1">
        <f t="shared" si="68"/>
        <v>104.91775008708478</v>
      </c>
      <c r="J383" s="1">
        <f t="shared" si="69"/>
        <v>47.625160462130999</v>
      </c>
      <c r="K383" s="1">
        <f t="shared" si="70"/>
        <v>63.819447222222301</v>
      </c>
      <c r="L383" s="23">
        <f t="shared" si="61"/>
        <v>1.4451146831646167E-2</v>
      </c>
      <c r="M383" s="23">
        <f t="shared" si="62"/>
        <v>-1.8602630734907755E-2</v>
      </c>
      <c r="N383" s="23">
        <f t="shared" si="63"/>
        <v>-1.2100677637947754E-2</v>
      </c>
      <c r="O383" s="23">
        <f t="shared" si="64"/>
        <v>-1.6893043494765059E-2</v>
      </c>
      <c r="P383" s="23">
        <f t="shared" si="65"/>
        <v>-2.4761229935851614E-2</v>
      </c>
    </row>
    <row r="384" spans="1:16" x14ac:dyDescent="0.35">
      <c r="A384" s="2">
        <f>Prices!A382</f>
        <v>44440</v>
      </c>
      <c r="B384" s="1">
        <f>Prices!B382</f>
        <v>3499.1201169999999</v>
      </c>
      <c r="C384" s="1">
        <f>Prices!C382</f>
        <v>21.24</v>
      </c>
      <c r="D384" s="1">
        <f>Prices!D382</f>
        <v>62.209999000000003</v>
      </c>
      <c r="E384" s="1">
        <f>Prices!E382</f>
        <v>29.200001</v>
      </c>
      <c r="F384" s="1">
        <f>Prices!F382</f>
        <v>275.89999399999999</v>
      </c>
      <c r="G384" s="1">
        <f t="shared" si="66"/>
        <v>209.31132173630115</v>
      </c>
      <c r="H384" s="1">
        <f t="shared" si="67"/>
        <v>52.302387286323921</v>
      </c>
      <c r="I384" s="1">
        <f t="shared" si="68"/>
        <v>106.59698069573405</v>
      </c>
      <c r="J384" s="1">
        <f t="shared" si="69"/>
        <v>46.854943838254229</v>
      </c>
      <c r="K384" s="1">
        <f t="shared" si="70"/>
        <v>63.865739351851929</v>
      </c>
      <c r="L384" s="23">
        <f t="shared" si="61"/>
        <v>1.3955582372518816E-2</v>
      </c>
      <c r="M384" s="23">
        <f t="shared" si="62"/>
        <v>-1.8030467777645387E-2</v>
      </c>
      <c r="N384" s="23">
        <f t="shared" si="63"/>
        <v>1.6005209864445646E-2</v>
      </c>
      <c r="O384" s="23">
        <f t="shared" si="64"/>
        <v>-1.6172473045822033E-2</v>
      </c>
      <c r="P384" s="23">
        <f t="shared" si="65"/>
        <v>7.2536086795671473E-4</v>
      </c>
    </row>
    <row r="385" spans="1:16" x14ac:dyDescent="0.35">
      <c r="A385" s="2">
        <f>Prices!A383</f>
        <v>44441</v>
      </c>
      <c r="B385" s="1">
        <f>Prices!B383</f>
        <v>3531.4499510000001</v>
      </c>
      <c r="C385" s="1">
        <f>Prices!C383</f>
        <v>21.43</v>
      </c>
      <c r="D385" s="1">
        <f>Prices!D383</f>
        <v>62.32</v>
      </c>
      <c r="E385" s="1">
        <f>Prices!E383</f>
        <v>29.040001</v>
      </c>
      <c r="F385" s="1">
        <f>Prices!F383</f>
        <v>274.29998799999998</v>
      </c>
      <c r="G385" s="1">
        <f t="shared" si="66"/>
        <v>211.24523656625473</v>
      </c>
      <c r="H385" s="1">
        <f t="shared" si="67"/>
        <v>52.770252332670509</v>
      </c>
      <c r="I385" s="1">
        <f t="shared" si="68"/>
        <v>106.78546766988609</v>
      </c>
      <c r="J385" s="1">
        <f t="shared" si="69"/>
        <v>46.598204428754869</v>
      </c>
      <c r="K385" s="1">
        <f t="shared" si="70"/>
        <v>63.495367592592665</v>
      </c>
      <c r="L385" s="23">
        <f t="shared" si="61"/>
        <v>9.2394181734229974E-3</v>
      </c>
      <c r="M385" s="23">
        <f t="shared" si="62"/>
        <v>8.9453860640302807E-3</v>
      </c>
      <c r="N385" s="23">
        <f t="shared" si="63"/>
        <v>1.7682205717444166E-3</v>
      </c>
      <c r="O385" s="23">
        <f t="shared" si="64"/>
        <v>-5.4794518671420489E-3</v>
      </c>
      <c r="P385" s="23">
        <f t="shared" si="65"/>
        <v>-5.7992244827668182E-3</v>
      </c>
    </row>
    <row r="386" spans="1:16" x14ac:dyDescent="0.35">
      <c r="A386" s="2">
        <f>Prices!A384</f>
        <v>44442</v>
      </c>
      <c r="B386" s="1">
        <f>Prices!B384</f>
        <v>3368</v>
      </c>
      <c r="C386" s="1">
        <f>Prices!C384</f>
        <v>21.059999000000001</v>
      </c>
      <c r="D386" s="1">
        <f>Prices!D384</f>
        <v>60.25</v>
      </c>
      <c r="E386" s="1">
        <f>Prices!E384</f>
        <v>28.940000999999999</v>
      </c>
      <c r="F386" s="1">
        <f>Prices!F384</f>
        <v>273.60000600000001</v>
      </c>
      <c r="G386" s="1">
        <f t="shared" si="66"/>
        <v>201.46794280736668</v>
      </c>
      <c r="H386" s="1">
        <f t="shared" si="67"/>
        <v>51.859144253653227</v>
      </c>
      <c r="I386" s="1">
        <f t="shared" si="68"/>
        <v>103.23851776493319</v>
      </c>
      <c r="J386" s="1">
        <f t="shared" si="69"/>
        <v>46.437742297817763</v>
      </c>
      <c r="K386" s="1">
        <f t="shared" si="70"/>
        <v>63.333334722222297</v>
      </c>
      <c r="L386" s="23">
        <f t="shared" si="61"/>
        <v>-4.6284091030007635E-2</v>
      </c>
      <c r="M386" s="23">
        <f t="shared" si="62"/>
        <v>-1.7265562295846859E-2</v>
      </c>
      <c r="N386" s="23">
        <f t="shared" si="63"/>
        <v>-3.3215661103979444E-2</v>
      </c>
      <c r="O386" s="23">
        <f t="shared" si="64"/>
        <v>-3.4435260522202027E-3</v>
      </c>
      <c r="P386" s="23">
        <f t="shared" si="65"/>
        <v>-2.5518849093058016E-3</v>
      </c>
    </row>
    <row r="387" spans="1:16" x14ac:dyDescent="0.35">
      <c r="A387" s="2">
        <f>Prices!A385</f>
        <v>44443</v>
      </c>
      <c r="B387" s="1">
        <f>Prices!B385</f>
        <v>3294.6201169999999</v>
      </c>
      <c r="C387" s="1">
        <f>Prices!C385</f>
        <v>21.370000999999998</v>
      </c>
      <c r="D387" s="1">
        <f>Prices!D385</f>
        <v>61.5</v>
      </c>
      <c r="E387" s="1">
        <f>Prices!E385</f>
        <v>28.91</v>
      </c>
      <c r="F387" s="1">
        <f>Prices!F385</f>
        <v>278</v>
      </c>
      <c r="G387" s="1">
        <f t="shared" si="66"/>
        <v>197.07848494767092</v>
      </c>
      <c r="H387" s="1">
        <f t="shared" si="67"/>
        <v>52.62250793837709</v>
      </c>
      <c r="I387" s="1">
        <f t="shared" si="68"/>
        <v>105.38039572686127</v>
      </c>
      <c r="J387" s="1">
        <f t="shared" si="69"/>
        <v>46.389602053915326</v>
      </c>
      <c r="K387" s="1">
        <f t="shared" si="70"/>
        <v>64.351851851851919</v>
      </c>
      <c r="L387" s="23">
        <f t="shared" si="61"/>
        <v>-2.1787376187648477E-2</v>
      </c>
      <c r="M387" s="23">
        <f t="shared" si="62"/>
        <v>1.4719943718895623E-2</v>
      </c>
      <c r="N387" s="23">
        <f t="shared" si="63"/>
        <v>2.0746887966804906E-2</v>
      </c>
      <c r="O387" s="23">
        <f t="shared" si="64"/>
        <v>-1.0366620236121893E-3</v>
      </c>
      <c r="P387" s="23">
        <f t="shared" si="65"/>
        <v>1.6081849062532516E-2</v>
      </c>
    </row>
    <row r="388" spans="1:16" x14ac:dyDescent="0.35">
      <c r="A388" s="2">
        <f>Prices!A386</f>
        <v>44447</v>
      </c>
      <c r="B388" s="1">
        <f>Prices!B386</f>
        <v>3149.8400879999999</v>
      </c>
      <c r="C388" s="1">
        <f>Prices!C386</f>
        <v>20.870000999999998</v>
      </c>
      <c r="D388" s="1">
        <f>Prices!D386</f>
        <v>60.869999</v>
      </c>
      <c r="E388" s="1">
        <f>Prices!E386</f>
        <v>28.030000999999999</v>
      </c>
      <c r="F388" s="1">
        <f>Prices!F386</f>
        <v>284</v>
      </c>
      <c r="G388" s="1">
        <f t="shared" si="66"/>
        <v>188.41799367622767</v>
      </c>
      <c r="H388" s="1">
        <f t="shared" si="67"/>
        <v>51.391284132201854</v>
      </c>
      <c r="I388" s="1">
        <f t="shared" si="68"/>
        <v>104.30088752054715</v>
      </c>
      <c r="J388" s="1">
        <f t="shared" si="69"/>
        <v>44.977536906290162</v>
      </c>
      <c r="K388" s="1">
        <f t="shared" si="70"/>
        <v>65.740740740740804</v>
      </c>
      <c r="L388" s="23">
        <f t="shared" si="61"/>
        <v>-4.3944377153816827E-2</v>
      </c>
      <c r="M388" s="23">
        <f t="shared" si="62"/>
        <v>-2.3397284819967945E-2</v>
      </c>
      <c r="N388" s="23">
        <f t="shared" si="63"/>
        <v>-1.0243918699186949E-2</v>
      </c>
      <c r="O388" s="23">
        <f t="shared" si="64"/>
        <v>-3.0439259771705363E-2</v>
      </c>
      <c r="P388" s="23">
        <f t="shared" si="65"/>
        <v>2.1582733812949728E-2</v>
      </c>
    </row>
    <row r="389" spans="1:16" x14ac:dyDescent="0.35">
      <c r="A389" s="2">
        <f>Prices!A387</f>
        <v>44448</v>
      </c>
      <c r="B389" s="1">
        <f>Prices!B387</f>
        <v>3268.610107</v>
      </c>
      <c r="C389" s="1">
        <f>Prices!C387</f>
        <v>21.209999</v>
      </c>
      <c r="D389" s="1">
        <f>Prices!D387</f>
        <v>61.93</v>
      </c>
      <c r="E389" s="1">
        <f>Prices!E387</f>
        <v>28.52</v>
      </c>
      <c r="F389" s="1">
        <f>Prices!F387</f>
        <v>287.89999399999999</v>
      </c>
      <c r="G389" s="1">
        <f t="shared" si="66"/>
        <v>195.52261107382915</v>
      </c>
      <c r="H389" s="1">
        <f t="shared" si="67"/>
        <v>52.228511395505791</v>
      </c>
      <c r="I389" s="1">
        <f t="shared" si="68"/>
        <v>106.11720174576453</v>
      </c>
      <c r="J389" s="1">
        <f t="shared" si="69"/>
        <v>45.763799743260641</v>
      </c>
      <c r="K389" s="1">
        <f t="shared" si="70"/>
        <v>66.6435171296297</v>
      </c>
      <c r="L389" s="23">
        <f t="shared" ref="L389:L452" si="71">B389/B388-1</f>
        <v>3.7706682143160197E-2</v>
      </c>
      <c r="M389" s="23">
        <f t="shared" ref="M389:M452" si="72">C389/C388-1</f>
        <v>1.6291230652073274E-2</v>
      </c>
      <c r="N389" s="23">
        <f t="shared" ref="N389:N452" si="73">D389/D388-1</f>
        <v>1.7414178041961215E-2</v>
      </c>
      <c r="O389" s="23">
        <f t="shared" ref="O389:O452" si="74">E389/E388-1</f>
        <v>1.7481233768061655E-2</v>
      </c>
      <c r="P389" s="23">
        <f t="shared" ref="P389:P452" si="75">F389/F388-1</f>
        <v>1.3732373239436546E-2</v>
      </c>
    </row>
    <row r="390" spans="1:16" x14ac:dyDescent="0.35">
      <c r="A390" s="2">
        <f>Prices!A388</f>
        <v>44449</v>
      </c>
      <c r="B390" s="1">
        <f>Prices!B388</f>
        <v>3175.110107</v>
      </c>
      <c r="C390" s="1">
        <f>Prices!C388</f>
        <v>20.709999</v>
      </c>
      <c r="D390" s="1">
        <f>Prices!D388</f>
        <v>60.889999000000003</v>
      </c>
      <c r="E390" s="1">
        <f>Prices!E388</f>
        <v>27.870000999999998</v>
      </c>
      <c r="F390" s="1">
        <f>Prices!F388</f>
        <v>288.70001200000002</v>
      </c>
      <c r="G390" s="1">
        <f t="shared" ref="G390:G453" si="76">G389*B390/B389</f>
        <v>189.92960256655812</v>
      </c>
      <c r="H390" s="1">
        <f t="shared" ref="H390:H453" si="77">H389*C390/C389</f>
        <v>50.997287589330554</v>
      </c>
      <c r="I390" s="1">
        <f t="shared" ref="I390:I453" si="78">I389*D390/D389</f>
        <v>104.33515756793801</v>
      </c>
      <c r="J390" s="1">
        <f t="shared" ref="J390:J453" si="79">J389*E390/E389</f>
        <v>44.720797496790809</v>
      </c>
      <c r="K390" s="1">
        <f t="shared" ref="K390:K453" si="80">K389*F390/F389</f>
        <v>66.828706481481561</v>
      </c>
      <c r="L390" s="23">
        <f t="shared" si="71"/>
        <v>-2.860543073025501E-2</v>
      </c>
      <c r="M390" s="23">
        <f t="shared" si="72"/>
        <v>-2.3573787061470397E-2</v>
      </c>
      <c r="N390" s="23">
        <f t="shared" si="73"/>
        <v>-1.6793169707734479E-2</v>
      </c>
      <c r="O390" s="23">
        <f t="shared" si="74"/>
        <v>-2.2790988779803678E-2</v>
      </c>
      <c r="P390" s="23">
        <f t="shared" si="75"/>
        <v>2.7788051985857543E-3</v>
      </c>
    </row>
    <row r="391" spans="1:16" x14ac:dyDescent="0.35">
      <c r="A391" s="2">
        <f>Prices!A389</f>
        <v>44450</v>
      </c>
      <c r="B391" s="1">
        <f>Prices!B389</f>
        <v>3116.219971</v>
      </c>
      <c r="C391" s="1">
        <f>Prices!C389</f>
        <v>20.67</v>
      </c>
      <c r="D391" s="1">
        <f>Prices!D389</f>
        <v>63.939999</v>
      </c>
      <c r="E391" s="1">
        <f>Prices!E389</f>
        <v>28.08</v>
      </c>
      <c r="F391" s="1">
        <f>Prices!F389</f>
        <v>303.20001200000002</v>
      </c>
      <c r="G391" s="1">
        <f t="shared" si="76"/>
        <v>186.40689634578436</v>
      </c>
      <c r="H391" s="1">
        <f t="shared" si="77"/>
        <v>50.898792147284155</v>
      </c>
      <c r="I391" s="1">
        <f t="shared" si="78"/>
        <v>109.56133979504251</v>
      </c>
      <c r="J391" s="1">
        <f t="shared" si="79"/>
        <v>45.057766367137404</v>
      </c>
      <c r="K391" s="1">
        <f t="shared" si="80"/>
        <v>70.185187962963042</v>
      </c>
      <c r="L391" s="23">
        <f t="shared" si="71"/>
        <v>-1.8547431117480917E-2</v>
      </c>
      <c r="M391" s="23">
        <f t="shared" si="72"/>
        <v>-1.9313858972179743E-3</v>
      </c>
      <c r="N391" s="23">
        <f t="shared" si="73"/>
        <v>5.0090327641489907E-2</v>
      </c>
      <c r="O391" s="23">
        <f t="shared" si="74"/>
        <v>7.5349477023700651E-3</v>
      </c>
      <c r="P391" s="23">
        <f t="shared" si="75"/>
        <v>5.0225145123998116E-2</v>
      </c>
    </row>
    <row r="392" spans="1:16" x14ac:dyDescent="0.35">
      <c r="A392" s="2">
        <f>Prices!A390</f>
        <v>44453</v>
      </c>
      <c r="B392" s="1">
        <f>Prices!B390</f>
        <v>3102.969971</v>
      </c>
      <c r="C392" s="1">
        <f>Prices!C390</f>
        <v>20.639999</v>
      </c>
      <c r="D392" s="1">
        <f>Prices!D390</f>
        <v>63.860000999999997</v>
      </c>
      <c r="E392" s="1">
        <f>Prices!E390</f>
        <v>27.719999000000001</v>
      </c>
      <c r="F392" s="1">
        <f>Prices!F390</f>
        <v>302</v>
      </c>
      <c r="G392" s="1">
        <f t="shared" si="76"/>
        <v>185.61430423111761</v>
      </c>
      <c r="H392" s="1">
        <f t="shared" si="77"/>
        <v>50.824916256466025</v>
      </c>
      <c r="I392" s="1">
        <f t="shared" si="78"/>
        <v>109.42426303248385</v>
      </c>
      <c r="J392" s="1">
        <f t="shared" si="79"/>
        <v>44.480101091142544</v>
      </c>
      <c r="K392" s="1">
        <f t="shared" si="80"/>
        <v>69.907407407407476</v>
      </c>
      <c r="L392" s="23">
        <f t="shared" si="71"/>
        <v>-4.251946307804455E-3</v>
      </c>
      <c r="M392" s="23">
        <f t="shared" si="72"/>
        <v>-1.4514271891631347E-3</v>
      </c>
      <c r="N392" s="23">
        <f t="shared" si="73"/>
        <v>-1.2511417149068116E-3</v>
      </c>
      <c r="O392" s="23">
        <f t="shared" si="74"/>
        <v>-1.2820548433048362E-2</v>
      </c>
      <c r="P392" s="23">
        <f t="shared" si="75"/>
        <v>-3.9578230623553701E-3</v>
      </c>
    </row>
    <row r="393" spans="1:16" x14ac:dyDescent="0.35">
      <c r="A393" s="2">
        <f>Prices!A391</f>
        <v>44454</v>
      </c>
      <c r="B393" s="1">
        <f>Prices!B391</f>
        <v>3156.1298830000001</v>
      </c>
      <c r="C393" s="1">
        <f>Prices!C391</f>
        <v>20.709999</v>
      </c>
      <c r="D393" s="1">
        <f>Prices!D391</f>
        <v>65.430000000000007</v>
      </c>
      <c r="E393" s="1">
        <f>Prices!E391</f>
        <v>27.84</v>
      </c>
      <c r="F393" s="1">
        <f>Prices!F391</f>
        <v>303.5</v>
      </c>
      <c r="G393" s="1">
        <f t="shared" si="76"/>
        <v>188.79423834942543</v>
      </c>
      <c r="H393" s="1">
        <f t="shared" si="77"/>
        <v>50.997287589330554</v>
      </c>
      <c r="I393" s="1">
        <f t="shared" si="78"/>
        <v>112.11446003916316</v>
      </c>
      <c r="J393" s="1">
        <f t="shared" si="79"/>
        <v>44.672657252888371</v>
      </c>
      <c r="K393" s="1">
        <f t="shared" si="80"/>
        <v>70.25462962962969</v>
      </c>
      <c r="L393" s="23">
        <f t="shared" si="71"/>
        <v>1.7131945361001488E-2</v>
      </c>
      <c r="M393" s="23">
        <f t="shared" si="72"/>
        <v>3.3914730325326214E-3</v>
      </c>
      <c r="N393" s="23">
        <f t="shared" si="73"/>
        <v>2.4585013708346315E-2</v>
      </c>
      <c r="O393" s="23">
        <f t="shared" si="74"/>
        <v>4.3290405602105508E-3</v>
      </c>
      <c r="P393" s="23">
        <f t="shared" si="75"/>
        <v>4.9668874172186239E-3</v>
      </c>
    </row>
    <row r="394" spans="1:16" x14ac:dyDescent="0.35">
      <c r="A394" s="2">
        <f>Prices!A392</f>
        <v>44455</v>
      </c>
      <c r="B394" s="1">
        <f>Prices!B392</f>
        <v>3078.1000979999999</v>
      </c>
      <c r="C394" s="1">
        <f>Prices!C392</f>
        <v>20.389999</v>
      </c>
      <c r="D394" s="1">
        <f>Prices!D392</f>
        <v>64.839995999999999</v>
      </c>
      <c r="E394" s="1">
        <f>Prices!E392</f>
        <v>28.049999</v>
      </c>
      <c r="F394" s="1">
        <f>Prices!F392</f>
        <v>301</v>
      </c>
      <c r="G394" s="1">
        <f t="shared" si="76"/>
        <v>184.12663138337697</v>
      </c>
      <c r="H394" s="1">
        <f t="shared" si="77"/>
        <v>50.2093043533784</v>
      </c>
      <c r="I394" s="1">
        <f t="shared" si="78"/>
        <v>111.10348678712363</v>
      </c>
      <c r="J394" s="1">
        <f t="shared" si="79"/>
        <v>45.009626123234966</v>
      </c>
      <c r="K394" s="1">
        <f t="shared" si="80"/>
        <v>69.675925925925981</v>
      </c>
      <c r="L394" s="23">
        <f t="shared" si="71"/>
        <v>-2.4723249008317238E-2</v>
      </c>
      <c r="M394" s="23">
        <f t="shared" si="72"/>
        <v>-1.5451473464581089E-2</v>
      </c>
      <c r="N394" s="23">
        <f t="shared" si="73"/>
        <v>-9.0173314993123865E-3</v>
      </c>
      <c r="O394" s="23">
        <f t="shared" si="74"/>
        <v>7.5430675287355697E-3</v>
      </c>
      <c r="P394" s="23">
        <f t="shared" si="75"/>
        <v>-8.2372322899505468E-3</v>
      </c>
    </row>
    <row r="395" spans="1:16" x14ac:dyDescent="0.35">
      <c r="A395" s="2">
        <f>Prices!A393</f>
        <v>44456</v>
      </c>
      <c r="B395" s="1">
        <f>Prices!B393</f>
        <v>3008.7299800000001</v>
      </c>
      <c r="C395" s="1">
        <f>Prices!C393</f>
        <v>20.139999</v>
      </c>
      <c r="D395" s="1">
        <f>Prices!D393</f>
        <v>64.720000999999996</v>
      </c>
      <c r="E395" s="1">
        <f>Prices!E393</f>
        <v>27.6</v>
      </c>
      <c r="F395" s="1">
        <f>Prices!F393</f>
        <v>299.60000600000001</v>
      </c>
      <c r="G395" s="1">
        <f t="shared" si="76"/>
        <v>179.97703074033535</v>
      </c>
      <c r="H395" s="1">
        <f t="shared" si="77"/>
        <v>49.593692450290781</v>
      </c>
      <c r="I395" s="1">
        <f t="shared" si="78"/>
        <v>110.89787507029038</v>
      </c>
      <c r="J395" s="1">
        <f t="shared" si="79"/>
        <v>44.287548138639337</v>
      </c>
      <c r="K395" s="1">
        <f t="shared" si="80"/>
        <v>69.351853240740795</v>
      </c>
      <c r="L395" s="23">
        <f t="shared" si="71"/>
        <v>-2.2536667356943041E-2</v>
      </c>
      <c r="M395" s="23">
        <f t="shared" si="72"/>
        <v>-1.2260912813188418E-2</v>
      </c>
      <c r="N395" s="23">
        <f t="shared" si="73"/>
        <v>-1.8506324398910312E-3</v>
      </c>
      <c r="O395" s="23">
        <f t="shared" si="74"/>
        <v>-1.6042745669972991E-2</v>
      </c>
      <c r="P395" s="23">
        <f t="shared" si="75"/>
        <v>-4.6511428571428537E-3</v>
      </c>
    </row>
    <row r="396" spans="1:16" x14ac:dyDescent="0.35">
      <c r="A396" s="2">
        <f>Prices!A394</f>
        <v>44457</v>
      </c>
      <c r="B396" s="1">
        <f>Prices!B394</f>
        <v>2954.9099120000001</v>
      </c>
      <c r="C396" s="1">
        <f>Prices!C394</f>
        <v>19.73</v>
      </c>
      <c r="D396" s="1">
        <f>Prices!D394</f>
        <v>64.419998000000007</v>
      </c>
      <c r="E396" s="1">
        <f>Prices!E394</f>
        <v>26.98</v>
      </c>
      <c r="F396" s="1">
        <f>Prices!F394</f>
        <v>292.29998799999998</v>
      </c>
      <c r="G396" s="1">
        <f t="shared" si="76"/>
        <v>176.7576072303257</v>
      </c>
      <c r="H396" s="1">
        <f t="shared" si="77"/>
        <v>48.584091391674704</v>
      </c>
      <c r="I396" s="1">
        <f t="shared" si="78"/>
        <v>110.38381921892055</v>
      </c>
      <c r="J396" s="1">
        <f t="shared" si="79"/>
        <v>43.292682926829322</v>
      </c>
      <c r="K396" s="1">
        <f t="shared" si="80"/>
        <v>67.662034259259315</v>
      </c>
      <c r="L396" s="23">
        <f t="shared" si="71"/>
        <v>-1.7887968796721276E-2</v>
      </c>
      <c r="M396" s="23">
        <f t="shared" si="72"/>
        <v>-2.0357448875742201E-2</v>
      </c>
      <c r="N396" s="23">
        <f t="shared" si="73"/>
        <v>-4.6353985686741206E-3</v>
      </c>
      <c r="O396" s="23">
        <f t="shared" si="74"/>
        <v>-2.2463768115942084E-2</v>
      </c>
      <c r="P396" s="23">
        <f t="shared" si="75"/>
        <v>-2.4365880686931685E-2</v>
      </c>
    </row>
    <row r="397" spans="1:16" x14ac:dyDescent="0.35">
      <c r="A397" s="2">
        <f>Prices!A395</f>
        <v>44460</v>
      </c>
      <c r="B397" s="1">
        <f>Prices!B395</f>
        <v>2960.469971</v>
      </c>
      <c r="C397" s="1">
        <f>Prices!C395</f>
        <v>18.639999</v>
      </c>
      <c r="D397" s="1">
        <f>Prices!D395</f>
        <v>61.599997999999999</v>
      </c>
      <c r="E397" s="1">
        <f>Prices!E395</f>
        <v>26.309999000000001</v>
      </c>
      <c r="F397" s="1">
        <f>Prices!F395</f>
        <v>282.29998799999998</v>
      </c>
      <c r="G397" s="1">
        <f t="shared" si="76"/>
        <v>177.09020035639981</v>
      </c>
      <c r="H397" s="1">
        <f t="shared" si="77"/>
        <v>45.900021031765078</v>
      </c>
      <c r="I397" s="1">
        <f t="shared" si="78"/>
        <v>105.55174253681081</v>
      </c>
      <c r="J397" s="1">
        <f t="shared" si="79"/>
        <v>42.217585044929443</v>
      </c>
      <c r="K397" s="1">
        <f t="shared" si="80"/>
        <v>65.347219444444505</v>
      </c>
      <c r="L397" s="23">
        <f t="shared" si="71"/>
        <v>1.8816340144314214E-3</v>
      </c>
      <c r="M397" s="23">
        <f t="shared" si="72"/>
        <v>-5.524586923466801E-2</v>
      </c>
      <c r="N397" s="23">
        <f t="shared" si="73"/>
        <v>-4.3775226444434323E-2</v>
      </c>
      <c r="O397" s="23">
        <f t="shared" si="74"/>
        <v>-2.4833246849518154E-2</v>
      </c>
      <c r="P397" s="23">
        <f t="shared" si="75"/>
        <v>-3.4211428020995971E-2</v>
      </c>
    </row>
    <row r="398" spans="1:16" x14ac:dyDescent="0.35">
      <c r="A398" s="2">
        <f>Prices!A396</f>
        <v>44461</v>
      </c>
      <c r="B398" s="1">
        <f>Prices!B396</f>
        <v>3128.98999</v>
      </c>
      <c r="C398" s="1">
        <f>Prices!C396</f>
        <v>18.350000000000001</v>
      </c>
      <c r="D398" s="1">
        <f>Prices!D396</f>
        <v>61.41</v>
      </c>
      <c r="E398" s="1">
        <f>Prices!E396</f>
        <v>26.639999</v>
      </c>
      <c r="F398" s="1">
        <f>Prices!F396</f>
        <v>279.29998799999998</v>
      </c>
      <c r="G398" s="1">
        <f t="shared" si="76"/>
        <v>187.17077682605193</v>
      </c>
      <c r="H398" s="1">
        <f t="shared" si="77"/>
        <v>45.185913686631061</v>
      </c>
      <c r="I398" s="1">
        <f t="shared" si="78"/>
        <v>105.22618051360249</v>
      </c>
      <c r="J398" s="1">
        <f t="shared" si="79"/>
        <v>42.747110077021865</v>
      </c>
      <c r="K398" s="1">
        <f t="shared" si="80"/>
        <v>64.652775000000048</v>
      </c>
      <c r="L398" s="23">
        <f t="shared" si="71"/>
        <v>5.6923400896066623E-2</v>
      </c>
      <c r="M398" s="23">
        <f t="shared" si="72"/>
        <v>-1.5557887100744905E-2</v>
      </c>
      <c r="N398" s="23">
        <f t="shared" si="73"/>
        <v>-3.0843832170254215E-3</v>
      </c>
      <c r="O398" s="23">
        <f t="shared" si="74"/>
        <v>1.254275988379927E-2</v>
      </c>
      <c r="P398" s="23">
        <f t="shared" si="75"/>
        <v>-1.0626993012837094E-2</v>
      </c>
    </row>
    <row r="399" spans="1:16" x14ac:dyDescent="0.35">
      <c r="A399" s="2">
        <f>Prices!A397</f>
        <v>44462</v>
      </c>
      <c r="B399" s="1">
        <f>Prices!B397</f>
        <v>2999.860107</v>
      </c>
      <c r="C399" s="1">
        <f>Prices!C397</f>
        <v>18.420000000000002</v>
      </c>
      <c r="D399" s="1">
        <f>Prices!D397</f>
        <v>60.400002000000001</v>
      </c>
      <c r="E399" s="1">
        <f>Prices!E397</f>
        <v>26.120000999999998</v>
      </c>
      <c r="F399" s="1">
        <f>Prices!F397</f>
        <v>282.70001200000002</v>
      </c>
      <c r="G399" s="1">
        <f t="shared" si="76"/>
        <v>179.44645025747536</v>
      </c>
      <c r="H399" s="1">
        <f t="shared" si="77"/>
        <v>45.35828501949559</v>
      </c>
      <c r="I399" s="1">
        <f t="shared" si="78"/>
        <v>103.49554654736934</v>
      </c>
      <c r="J399" s="1">
        <f t="shared" si="79"/>
        <v>41.912710205391569</v>
      </c>
      <c r="K399" s="1">
        <f t="shared" si="80"/>
        <v>65.439817592592647</v>
      </c>
      <c r="L399" s="23">
        <f t="shared" si="71"/>
        <v>-4.126887059808082E-2</v>
      </c>
      <c r="M399" s="23">
        <f t="shared" si="72"/>
        <v>3.814713896457711E-3</v>
      </c>
      <c r="N399" s="23">
        <f t="shared" si="73"/>
        <v>-1.6446800195407896E-2</v>
      </c>
      <c r="O399" s="23">
        <f t="shared" si="74"/>
        <v>-1.9519445177156425E-2</v>
      </c>
      <c r="P399" s="23">
        <f t="shared" si="75"/>
        <v>1.2173376820911352E-2</v>
      </c>
    </row>
    <row r="400" spans="1:16" x14ac:dyDescent="0.35">
      <c r="A400" s="2">
        <f>Prices!A398</f>
        <v>44463</v>
      </c>
      <c r="B400" s="1">
        <f>Prices!B398</f>
        <v>3019.790039</v>
      </c>
      <c r="C400" s="1">
        <f>Prices!C398</f>
        <v>18.389999</v>
      </c>
      <c r="D400" s="1">
        <f>Prices!D398</f>
        <v>61.169998</v>
      </c>
      <c r="E400" s="1">
        <f>Prices!E398</f>
        <v>26.540001</v>
      </c>
      <c r="F400" s="1">
        <f>Prices!F398</f>
        <v>279</v>
      </c>
      <c r="G400" s="1">
        <f t="shared" si="76"/>
        <v>180.63862436683723</v>
      </c>
      <c r="H400" s="1">
        <f t="shared" si="77"/>
        <v>45.28440912867746</v>
      </c>
      <c r="I400" s="1">
        <f t="shared" si="78"/>
        <v>104.81493651790757</v>
      </c>
      <c r="J400" s="1">
        <f t="shared" si="79"/>
        <v>42.586651155327388</v>
      </c>
      <c r="K400" s="1">
        <f t="shared" si="80"/>
        <v>64.583333333333385</v>
      </c>
      <c r="L400" s="23">
        <f t="shared" si="71"/>
        <v>6.6436204653326225E-3</v>
      </c>
      <c r="M400" s="23">
        <f t="shared" si="72"/>
        <v>-1.6287187839306716E-3</v>
      </c>
      <c r="N400" s="23">
        <f t="shared" si="73"/>
        <v>1.2748277723567014E-2</v>
      </c>
      <c r="O400" s="23">
        <f t="shared" si="74"/>
        <v>1.6079631849937659E-2</v>
      </c>
      <c r="P400" s="23">
        <f t="shared" si="75"/>
        <v>-1.3088121128201458E-2</v>
      </c>
    </row>
    <row r="401" spans="1:16" x14ac:dyDescent="0.35">
      <c r="A401" s="2">
        <f>Prices!A399</f>
        <v>44464</v>
      </c>
      <c r="B401" s="1">
        <f>Prices!B399</f>
        <v>3095.1298830000001</v>
      </c>
      <c r="C401" s="1">
        <f>Prices!C399</f>
        <v>18.110001</v>
      </c>
      <c r="D401" s="1">
        <f>Prices!D399</f>
        <v>60.360000999999997</v>
      </c>
      <c r="E401" s="1">
        <f>Prices!E399</f>
        <v>25.74</v>
      </c>
      <c r="F401" s="1">
        <f>Prices!F399</f>
        <v>279.89999399999999</v>
      </c>
      <c r="G401" s="1">
        <f t="shared" si="76"/>
        <v>185.14532370831824</v>
      </c>
      <c r="H401" s="1">
        <f t="shared" si="77"/>
        <v>44.594928722114552</v>
      </c>
      <c r="I401" s="1">
        <f t="shared" si="78"/>
        <v>103.42700473908528</v>
      </c>
      <c r="J401" s="1">
        <f t="shared" si="79"/>
        <v>41.302952503209291</v>
      </c>
      <c r="K401" s="1">
        <f t="shared" si="80"/>
        <v>64.791665277777824</v>
      </c>
      <c r="L401" s="23">
        <f t="shared" si="71"/>
        <v>2.4948702733302852E-2</v>
      </c>
      <c r="M401" s="23">
        <f t="shared" si="72"/>
        <v>-1.5225558196060751E-2</v>
      </c>
      <c r="N401" s="23">
        <f t="shared" si="73"/>
        <v>-1.3241736578118002E-2</v>
      </c>
      <c r="O401" s="23">
        <f t="shared" si="74"/>
        <v>-3.014321664871078E-2</v>
      </c>
      <c r="P401" s="23">
        <f t="shared" si="75"/>
        <v>3.2257849462364874E-3</v>
      </c>
    </row>
    <row r="402" spans="1:16" x14ac:dyDescent="0.35">
      <c r="A402" s="2">
        <f>Prices!A400</f>
        <v>44467</v>
      </c>
      <c r="B402" s="1">
        <f>Prices!B400</f>
        <v>3174.0500489999999</v>
      </c>
      <c r="C402" s="1">
        <f>Prices!C400</f>
        <v>19.959999</v>
      </c>
      <c r="D402" s="1">
        <f>Prices!D400</f>
        <v>60.490001999999997</v>
      </c>
      <c r="E402" s="1">
        <f>Prices!E400</f>
        <v>26.09</v>
      </c>
      <c r="F402" s="1">
        <f>Prices!F400</f>
        <v>293.5</v>
      </c>
      <c r="G402" s="1">
        <f t="shared" si="76"/>
        <v>189.8661917279251</v>
      </c>
      <c r="H402" s="1">
        <f t="shared" si="77"/>
        <v>49.150451880067685</v>
      </c>
      <c r="I402" s="1">
        <f t="shared" si="78"/>
        <v>103.64976176062817</v>
      </c>
      <c r="J402" s="1">
        <f t="shared" si="79"/>
        <v>41.864569961489138</v>
      </c>
      <c r="K402" s="1">
        <f t="shared" si="80"/>
        <v>67.939814814814866</v>
      </c>
      <c r="L402" s="23">
        <f t="shared" si="71"/>
        <v>2.5498175838587267E-2</v>
      </c>
      <c r="M402" s="23">
        <f t="shared" si="72"/>
        <v>0.10215339027314241</v>
      </c>
      <c r="N402" s="23">
        <f t="shared" si="73"/>
        <v>2.1537607330390784E-3</v>
      </c>
      <c r="O402" s="23">
        <f t="shared" si="74"/>
        <v>1.3597513597513711E-2</v>
      </c>
      <c r="P402" s="23">
        <f t="shared" si="75"/>
        <v>4.8588804185540679E-2</v>
      </c>
    </row>
    <row r="403" spans="1:16" x14ac:dyDescent="0.35">
      <c r="A403" s="2">
        <f>Prices!A401</f>
        <v>44468</v>
      </c>
      <c r="B403" s="1">
        <f>Prices!B401</f>
        <v>3144.8798830000001</v>
      </c>
      <c r="C403" s="1">
        <f>Prices!C401</f>
        <v>19.399999999999999</v>
      </c>
      <c r="D403" s="1">
        <f>Prices!D401</f>
        <v>60.209999000000003</v>
      </c>
      <c r="E403" s="1">
        <f>Prices!E401</f>
        <v>25.65</v>
      </c>
      <c r="F403" s="1">
        <f>Prices!F401</f>
        <v>286.60000600000001</v>
      </c>
      <c r="G403" s="1">
        <f t="shared" si="76"/>
        <v>188.12128278036889</v>
      </c>
      <c r="H403" s="1">
        <f t="shared" si="77"/>
        <v>47.771483679599029</v>
      </c>
      <c r="I403" s="1">
        <f t="shared" si="78"/>
        <v>103.16997595664917</v>
      </c>
      <c r="J403" s="1">
        <f t="shared" si="79"/>
        <v>41.158536585365901</v>
      </c>
      <c r="K403" s="1">
        <f t="shared" si="80"/>
        <v>66.342593981481528</v>
      </c>
      <c r="L403" s="23">
        <f t="shared" si="71"/>
        <v>-9.1902035411162153E-3</v>
      </c>
      <c r="M403" s="23">
        <f t="shared" si="72"/>
        <v>-2.8056063529863007E-2</v>
      </c>
      <c r="N403" s="23">
        <f t="shared" si="73"/>
        <v>-4.6289137170137939E-3</v>
      </c>
      <c r="O403" s="23">
        <f t="shared" si="74"/>
        <v>-1.6864699118436244E-2</v>
      </c>
      <c r="P403" s="23">
        <f t="shared" si="75"/>
        <v>-2.3509349233390098E-2</v>
      </c>
    </row>
    <row r="404" spans="1:16" x14ac:dyDescent="0.35">
      <c r="A404" s="2">
        <f>Prices!A402</f>
        <v>44469</v>
      </c>
      <c r="B404" s="1">
        <f>Prices!B402</f>
        <v>3148.7299800000001</v>
      </c>
      <c r="C404" s="1">
        <f>Prices!C402</f>
        <v>19.579999999999998</v>
      </c>
      <c r="D404" s="1">
        <f>Prices!D402</f>
        <v>60.389999000000003</v>
      </c>
      <c r="E404" s="1">
        <f>Prices!E402</f>
        <v>25.17</v>
      </c>
      <c r="F404" s="1">
        <f>Prices!F402</f>
        <v>285.70001200000002</v>
      </c>
      <c r="G404" s="1">
        <f t="shared" si="76"/>
        <v>188.35158893304072</v>
      </c>
      <c r="H404" s="1">
        <f t="shared" si="77"/>
        <v>48.214724249822112</v>
      </c>
      <c r="I404" s="1">
        <f t="shared" si="78"/>
        <v>103.47840638316681</v>
      </c>
      <c r="J404" s="1">
        <f t="shared" si="79"/>
        <v>40.388318356867835</v>
      </c>
      <c r="K404" s="1">
        <f t="shared" si="80"/>
        <v>66.134262037037089</v>
      </c>
      <c r="L404" s="23">
        <f t="shared" si="71"/>
        <v>1.2242429419362377E-3</v>
      </c>
      <c r="M404" s="23">
        <f t="shared" si="72"/>
        <v>9.2783505154638846E-3</v>
      </c>
      <c r="N404" s="23">
        <f t="shared" si="73"/>
        <v>2.9895366714753902E-3</v>
      </c>
      <c r="O404" s="23">
        <f t="shared" si="74"/>
        <v>-1.8713450292397571E-2</v>
      </c>
      <c r="P404" s="23">
        <f t="shared" si="75"/>
        <v>-3.1402441771057887E-3</v>
      </c>
    </row>
    <row r="405" spans="1:16" x14ac:dyDescent="0.35">
      <c r="A405" s="2">
        <f>Prices!A403</f>
        <v>44470</v>
      </c>
      <c r="B405" s="1">
        <f>Prices!B403</f>
        <v>3221.26001</v>
      </c>
      <c r="C405" s="1">
        <f>Prices!C403</f>
        <v>19.510000000000002</v>
      </c>
      <c r="D405" s="1">
        <f>Prices!D403</f>
        <v>59.82</v>
      </c>
      <c r="E405" s="1">
        <f>Prices!E403</f>
        <v>24.24</v>
      </c>
      <c r="F405" s="1">
        <f>Prices!F403</f>
        <v>285.79998799999998</v>
      </c>
      <c r="G405" s="1">
        <f t="shared" si="76"/>
        <v>192.69021005413828</v>
      </c>
      <c r="H405" s="1">
        <f t="shared" si="77"/>
        <v>48.04235291695759</v>
      </c>
      <c r="I405" s="1">
        <f t="shared" si="78"/>
        <v>102.50171174602997</v>
      </c>
      <c r="J405" s="1">
        <f t="shared" si="79"/>
        <v>38.896020539152808</v>
      </c>
      <c r="K405" s="1">
        <f t="shared" si="80"/>
        <v>66.157404629629681</v>
      </c>
      <c r="L405" s="23">
        <f t="shared" si="71"/>
        <v>2.3034693498868997E-2</v>
      </c>
      <c r="M405" s="23">
        <f t="shared" si="72"/>
        <v>-3.5750766087843111E-3</v>
      </c>
      <c r="N405" s="23">
        <f t="shared" si="73"/>
        <v>-9.43863238017284E-3</v>
      </c>
      <c r="O405" s="23">
        <f t="shared" si="74"/>
        <v>-3.6948748510131191E-2</v>
      </c>
      <c r="P405" s="23">
        <f t="shared" si="75"/>
        <v>3.4993348197676077E-4</v>
      </c>
    </row>
    <row r="406" spans="1:16" x14ac:dyDescent="0.35">
      <c r="A406" s="2">
        <f>Prices!A404</f>
        <v>44471</v>
      </c>
      <c r="B406" s="1">
        <f>Prices!B404</f>
        <v>3125</v>
      </c>
      <c r="C406" s="1">
        <f>Prices!C404</f>
        <v>19.870000999999998</v>
      </c>
      <c r="D406" s="1">
        <f>Prices!D404</f>
        <v>60.490001999999997</v>
      </c>
      <c r="E406" s="1">
        <f>Prices!E404</f>
        <v>24.6</v>
      </c>
      <c r="F406" s="1">
        <f>Prices!F404</f>
        <v>287.60000600000001</v>
      </c>
      <c r="G406" s="1">
        <f t="shared" si="76"/>
        <v>186.93210251574263</v>
      </c>
      <c r="H406" s="1">
        <f t="shared" si="77"/>
        <v>48.928836519851359</v>
      </c>
      <c r="I406" s="1">
        <f t="shared" si="78"/>
        <v>103.64976176062814</v>
      </c>
      <c r="J406" s="1">
        <f t="shared" si="79"/>
        <v>39.473684210526372</v>
      </c>
      <c r="K406" s="1">
        <f t="shared" si="80"/>
        <v>66.574075462963023</v>
      </c>
      <c r="L406" s="23">
        <f t="shared" si="71"/>
        <v>-2.9882719712526429E-2</v>
      </c>
      <c r="M406" s="23">
        <f t="shared" si="72"/>
        <v>1.845212711430011E-2</v>
      </c>
      <c r="N406" s="23">
        <f t="shared" si="73"/>
        <v>1.120030090270796E-2</v>
      </c>
      <c r="O406" s="23">
        <f t="shared" si="74"/>
        <v>1.4851485148514865E-2</v>
      </c>
      <c r="P406" s="23">
        <f t="shared" si="75"/>
        <v>6.2981738123797371E-3</v>
      </c>
    </row>
    <row r="407" spans="1:16" x14ac:dyDescent="0.35">
      <c r="A407" s="2">
        <f>Prices!A405</f>
        <v>44474</v>
      </c>
      <c r="B407" s="1">
        <f>Prices!B405</f>
        <v>3199.1999510000001</v>
      </c>
      <c r="C407" s="1">
        <f>Prices!C405</f>
        <v>19.959999</v>
      </c>
      <c r="D407" s="1">
        <f>Prices!D405</f>
        <v>61.23</v>
      </c>
      <c r="E407" s="1">
        <f>Prices!E405</f>
        <v>25.41</v>
      </c>
      <c r="F407" s="1">
        <f>Prices!F405</f>
        <v>291.29998799999998</v>
      </c>
      <c r="G407" s="1">
        <f t="shared" si="76"/>
        <v>191.37061542678106</v>
      </c>
      <c r="H407" s="1">
        <f t="shared" si="77"/>
        <v>49.150451880067685</v>
      </c>
      <c r="I407" s="1">
        <f t="shared" si="78"/>
        <v>104.91775008708481</v>
      </c>
      <c r="J407" s="1">
        <f t="shared" si="79"/>
        <v>40.773427471116875</v>
      </c>
      <c r="K407" s="1">
        <f t="shared" si="80"/>
        <v>67.430552777777834</v>
      </c>
      <c r="L407" s="23">
        <f t="shared" si="71"/>
        <v>2.3743984320000022E-2</v>
      </c>
      <c r="M407" s="23">
        <f t="shared" si="72"/>
        <v>4.5293404866966203E-3</v>
      </c>
      <c r="N407" s="23">
        <f t="shared" si="73"/>
        <v>1.2233393544936577E-2</v>
      </c>
      <c r="O407" s="23">
        <f t="shared" si="74"/>
        <v>3.2926829268292712E-2</v>
      </c>
      <c r="P407" s="23">
        <f t="shared" si="75"/>
        <v>1.2865027548017327E-2</v>
      </c>
    </row>
    <row r="408" spans="1:16" x14ac:dyDescent="0.35">
      <c r="A408" s="2">
        <f>Prices!A406</f>
        <v>44475</v>
      </c>
      <c r="B408" s="1">
        <f>Prices!B406</f>
        <v>3099.959961</v>
      </c>
      <c r="C408" s="1">
        <f>Prices!C406</f>
        <v>19.989999999999998</v>
      </c>
      <c r="D408" s="1">
        <f>Prices!D406</f>
        <v>59.610000999999997</v>
      </c>
      <c r="E408" s="1">
        <f>Prices!E406</f>
        <v>25.299999</v>
      </c>
      <c r="F408" s="1">
        <f>Prices!F406</f>
        <v>298.79998799999998</v>
      </c>
      <c r="G408" s="1">
        <f t="shared" si="76"/>
        <v>185.43425063179183</v>
      </c>
      <c r="H408" s="1">
        <f t="shared" si="77"/>
        <v>49.224327770885807</v>
      </c>
      <c r="I408" s="1">
        <f t="shared" si="78"/>
        <v>102.1418779619284</v>
      </c>
      <c r="J408" s="1">
        <f t="shared" si="79"/>
        <v>40.596917522464757</v>
      </c>
      <c r="K408" s="1">
        <f t="shared" si="80"/>
        <v>69.166663888888948</v>
      </c>
      <c r="L408" s="23">
        <f t="shared" si="71"/>
        <v>-3.1020252413100913E-2</v>
      </c>
      <c r="M408" s="23">
        <f t="shared" si="72"/>
        <v>1.5030561875277737E-3</v>
      </c>
      <c r="N408" s="23">
        <f t="shared" si="73"/>
        <v>-2.6457602482443221E-2</v>
      </c>
      <c r="O408" s="23">
        <f t="shared" si="74"/>
        <v>-4.3290436835891066E-3</v>
      </c>
      <c r="P408" s="23">
        <f t="shared" si="75"/>
        <v>2.5746653995742719E-2</v>
      </c>
    </row>
    <row r="409" spans="1:16" x14ac:dyDescent="0.35">
      <c r="A409" s="2">
        <f>Prices!A407</f>
        <v>44476</v>
      </c>
      <c r="B409" s="1">
        <f>Prices!B407</f>
        <v>3195.6899410000001</v>
      </c>
      <c r="C409" s="1">
        <f>Prices!C407</f>
        <v>20.370000999999998</v>
      </c>
      <c r="D409" s="1">
        <f>Prices!D407</f>
        <v>61.200001</v>
      </c>
      <c r="E409" s="1">
        <f>Prices!E407</f>
        <v>25.59</v>
      </c>
      <c r="F409" s="1">
        <f>Prices!F407</f>
        <v>295.39999399999999</v>
      </c>
      <c r="G409" s="1">
        <f t="shared" si="76"/>
        <v>191.16065269105263</v>
      </c>
      <c r="H409" s="1">
        <f t="shared" si="77"/>
        <v>50.160060326026596</v>
      </c>
      <c r="I409" s="1">
        <f t="shared" si="78"/>
        <v>104.86634672950092</v>
      </c>
      <c r="J409" s="1">
        <f t="shared" si="79"/>
        <v>41.062259306803654</v>
      </c>
      <c r="K409" s="1">
        <f t="shared" si="80"/>
        <v>68.3796282407408</v>
      </c>
      <c r="L409" s="23">
        <f t="shared" si="71"/>
        <v>3.0881037563181613E-2</v>
      </c>
      <c r="M409" s="23">
        <f t="shared" si="72"/>
        <v>1.9009554777388749E-2</v>
      </c>
      <c r="N409" s="23">
        <f t="shared" si="73"/>
        <v>2.6673376502711399E-2</v>
      </c>
      <c r="O409" s="23">
        <f t="shared" si="74"/>
        <v>1.146249057164006E-2</v>
      </c>
      <c r="P409" s="23">
        <f t="shared" si="75"/>
        <v>-1.1378829104906063E-2</v>
      </c>
    </row>
    <row r="410" spans="1:16" x14ac:dyDescent="0.35">
      <c r="A410" s="2">
        <f>Prices!A408</f>
        <v>44477</v>
      </c>
      <c r="B410" s="1">
        <f>Prices!B408</f>
        <v>3190.5500489999999</v>
      </c>
      <c r="C410" s="1">
        <f>Prices!C408</f>
        <v>20.32</v>
      </c>
      <c r="D410" s="1">
        <f>Prices!D408</f>
        <v>61.52</v>
      </c>
      <c r="E410" s="1">
        <f>Prices!E408</f>
        <v>26.440000999999999</v>
      </c>
      <c r="F410" s="1">
        <f>Prices!F408</f>
        <v>295.39999399999999</v>
      </c>
      <c r="G410" s="1">
        <f t="shared" si="76"/>
        <v>190.85319322920819</v>
      </c>
      <c r="H410" s="1">
        <f t="shared" si="77"/>
        <v>50.036935482961468</v>
      </c>
      <c r="I410" s="1">
        <f t="shared" si="78"/>
        <v>105.41466577425214</v>
      </c>
      <c r="J410" s="1">
        <f t="shared" si="79"/>
        <v>42.426189024390304</v>
      </c>
      <c r="K410" s="1">
        <f t="shared" si="80"/>
        <v>68.3796282407408</v>
      </c>
      <c r="L410" s="23">
        <f t="shared" si="71"/>
        <v>-1.6083825699284571E-3</v>
      </c>
      <c r="M410" s="23">
        <f t="shared" si="72"/>
        <v>-2.454639054754959E-3</v>
      </c>
      <c r="N410" s="23">
        <f t="shared" si="73"/>
        <v>5.2287417446283957E-3</v>
      </c>
      <c r="O410" s="23">
        <f t="shared" si="74"/>
        <v>3.3216139116842403E-2</v>
      </c>
      <c r="P410" s="23">
        <f t="shared" si="75"/>
        <v>0</v>
      </c>
    </row>
    <row r="411" spans="1:16" x14ac:dyDescent="0.35">
      <c r="A411" s="2">
        <f>Prices!A409</f>
        <v>44478</v>
      </c>
      <c r="B411" s="1">
        <f>Prices!B409</f>
        <v>3286.6499020000001</v>
      </c>
      <c r="C411" s="1">
        <f>Prices!C409</f>
        <v>20.129999000000002</v>
      </c>
      <c r="D411" s="1">
        <f>Prices!D409</f>
        <v>62.09</v>
      </c>
      <c r="E411" s="1">
        <f>Prices!E409</f>
        <v>26.66</v>
      </c>
      <c r="F411" s="1">
        <f>Prices!F409</f>
        <v>295.70001200000002</v>
      </c>
      <c r="G411" s="1">
        <f t="shared" si="76"/>
        <v>196.60172045248621</v>
      </c>
      <c r="H411" s="1">
        <f t="shared" si="77"/>
        <v>49.569067974167268</v>
      </c>
      <c r="I411" s="1">
        <f t="shared" si="78"/>
        <v>106.39136212489134</v>
      </c>
      <c r="J411" s="1">
        <f t="shared" si="79"/>
        <v>42.779204107830616</v>
      </c>
      <c r="K411" s="1">
        <f t="shared" si="80"/>
        <v>68.449076851851913</v>
      </c>
      <c r="L411" s="23">
        <f t="shared" si="71"/>
        <v>3.0120152175679094E-2</v>
      </c>
      <c r="M411" s="23">
        <f t="shared" si="72"/>
        <v>-9.3504429133857148E-3</v>
      </c>
      <c r="N411" s="23">
        <f t="shared" si="73"/>
        <v>9.2652795838752411E-3</v>
      </c>
      <c r="O411" s="23">
        <f t="shared" si="74"/>
        <v>8.3206880362827196E-3</v>
      </c>
      <c r="P411" s="23">
        <f t="shared" si="75"/>
        <v>1.0156330605748387E-3</v>
      </c>
    </row>
    <row r="412" spans="1:16" x14ac:dyDescent="0.35">
      <c r="A412" s="2">
        <f>Prices!A410</f>
        <v>44481</v>
      </c>
      <c r="B412" s="1">
        <f>Prices!B410</f>
        <v>3442.929932</v>
      </c>
      <c r="C412" s="1">
        <f>Prices!C410</f>
        <v>20.25</v>
      </c>
      <c r="D412" s="1">
        <f>Prices!D410</f>
        <v>61.689999</v>
      </c>
      <c r="E412" s="1">
        <f>Prices!E410</f>
        <v>26.299999</v>
      </c>
      <c r="F412" s="1">
        <f>Prices!F410</f>
        <v>296.60000600000001</v>
      </c>
      <c r="G412" s="1">
        <f t="shared" si="76"/>
        <v>205.95012192100566</v>
      </c>
      <c r="H412" s="1">
        <f t="shared" si="77"/>
        <v>49.864564150096932</v>
      </c>
      <c r="I412" s="1">
        <f t="shared" si="78"/>
        <v>105.70595946357199</v>
      </c>
      <c r="J412" s="1">
        <f t="shared" si="79"/>
        <v>42.201538831835755</v>
      </c>
      <c r="K412" s="1">
        <f t="shared" si="80"/>
        <v>68.657408796296352</v>
      </c>
      <c r="L412" s="23">
        <f t="shared" si="71"/>
        <v>4.7549947411466009E-2</v>
      </c>
      <c r="M412" s="23">
        <f t="shared" si="72"/>
        <v>5.961301836130195E-3</v>
      </c>
      <c r="N412" s="23">
        <f t="shared" si="73"/>
        <v>-6.442277339346214E-3</v>
      </c>
      <c r="O412" s="23">
        <f t="shared" si="74"/>
        <v>-1.3503413353338378E-2</v>
      </c>
      <c r="P412" s="23">
        <f t="shared" si="75"/>
        <v>3.0436048815580818E-3</v>
      </c>
    </row>
    <row r="413" spans="1:16" x14ac:dyDescent="0.35">
      <c r="A413" s="2">
        <f>Prices!A411</f>
        <v>44482</v>
      </c>
      <c r="B413" s="1">
        <f>Prices!B411</f>
        <v>3443.6298830000001</v>
      </c>
      <c r="C413" s="1">
        <f>Prices!C411</f>
        <v>19.77</v>
      </c>
      <c r="D413" s="1">
        <f>Prices!D411</f>
        <v>61.07</v>
      </c>
      <c r="E413" s="1">
        <f>Prices!E411</f>
        <v>25.82</v>
      </c>
      <c r="F413" s="1">
        <f>Prices!F411</f>
        <v>286.79998799999998</v>
      </c>
      <c r="G413" s="1">
        <f t="shared" si="76"/>
        <v>205.99199178087383</v>
      </c>
      <c r="H413" s="1">
        <f t="shared" si="77"/>
        <v>48.682589296168707</v>
      </c>
      <c r="I413" s="1">
        <f t="shared" si="78"/>
        <v>104.64358970795803</v>
      </c>
      <c r="J413" s="1">
        <f t="shared" si="79"/>
        <v>41.431322207958985</v>
      </c>
      <c r="K413" s="1">
        <f t="shared" si="80"/>
        <v>66.388886111111162</v>
      </c>
      <c r="L413" s="23">
        <f t="shared" si="71"/>
        <v>2.0330097150522697E-4</v>
      </c>
      <c r="M413" s="23">
        <f t="shared" si="72"/>
        <v>-2.3703703703703671E-2</v>
      </c>
      <c r="N413" s="23">
        <f t="shared" si="73"/>
        <v>-1.0050235209113856E-2</v>
      </c>
      <c r="O413" s="23">
        <f t="shared" si="74"/>
        <v>-1.8250913241479538E-2</v>
      </c>
      <c r="P413" s="23">
        <f t="shared" si="75"/>
        <v>-3.3041192858236257E-2</v>
      </c>
    </row>
    <row r="414" spans="1:16" x14ac:dyDescent="0.35">
      <c r="A414" s="2">
        <f>Prices!A412</f>
        <v>44483</v>
      </c>
      <c r="B414" s="1">
        <f>Prices!B412</f>
        <v>3363.709961</v>
      </c>
      <c r="C414" s="1">
        <f>Prices!C412</f>
        <v>19.23</v>
      </c>
      <c r="D414" s="1">
        <f>Prices!D412</f>
        <v>61</v>
      </c>
      <c r="E414" s="1">
        <f>Prices!E412</f>
        <v>25.790001</v>
      </c>
      <c r="F414" s="1">
        <f>Prices!F412</f>
        <v>287.10000600000001</v>
      </c>
      <c r="G414" s="1">
        <f t="shared" si="76"/>
        <v>201.2113200841205</v>
      </c>
      <c r="H414" s="1">
        <f t="shared" si="77"/>
        <v>47.352867585499453</v>
      </c>
      <c r="I414" s="1">
        <f t="shared" si="78"/>
        <v>104.52364454209007</v>
      </c>
      <c r="J414" s="1">
        <f t="shared" si="79"/>
        <v>41.383185173299168</v>
      </c>
      <c r="K414" s="1">
        <f t="shared" si="80"/>
        <v>66.458334722222276</v>
      </c>
      <c r="L414" s="23">
        <f t="shared" si="71"/>
        <v>-2.3208046368321078E-2</v>
      </c>
      <c r="M414" s="23">
        <f t="shared" si="72"/>
        <v>-2.7314112291350501E-2</v>
      </c>
      <c r="N414" s="23">
        <f t="shared" si="73"/>
        <v>-1.1462256427050566E-3</v>
      </c>
      <c r="O414" s="23">
        <f t="shared" si="74"/>
        <v>-1.1618512780789958E-3</v>
      </c>
      <c r="P414" s="23">
        <f t="shared" si="75"/>
        <v>1.0460879098781461E-3</v>
      </c>
    </row>
    <row r="415" spans="1:16" x14ac:dyDescent="0.35">
      <c r="A415" s="2">
        <f>Prices!A413</f>
        <v>44484</v>
      </c>
      <c r="B415" s="1">
        <f>Prices!B413</f>
        <v>3338.6499020000001</v>
      </c>
      <c r="C415" s="1">
        <f>Prices!C413</f>
        <v>19.399999999999999</v>
      </c>
      <c r="D415" s="1">
        <f>Prices!D413</f>
        <v>60.549999</v>
      </c>
      <c r="E415" s="1">
        <f>Prices!E413</f>
        <v>25.370000999999998</v>
      </c>
      <c r="F415" s="1">
        <f>Prices!F413</f>
        <v>278.89999399999999</v>
      </c>
      <c r="G415" s="1">
        <f t="shared" si="76"/>
        <v>199.71227063834817</v>
      </c>
      <c r="H415" s="1">
        <f t="shared" si="77"/>
        <v>47.771483679599029</v>
      </c>
      <c r="I415" s="1">
        <f t="shared" si="78"/>
        <v>103.7525667622936</v>
      </c>
      <c r="J415" s="1">
        <f t="shared" si="79"/>
        <v>40.709244223363349</v>
      </c>
      <c r="K415" s="1">
        <f t="shared" si="80"/>
        <v>64.560183796296343</v>
      </c>
      <c r="L415" s="23">
        <f t="shared" si="71"/>
        <v>-7.4501247998652875E-3</v>
      </c>
      <c r="M415" s="23">
        <f t="shared" si="72"/>
        <v>8.8403536141443695E-3</v>
      </c>
      <c r="N415" s="23">
        <f t="shared" si="73"/>
        <v>-7.3770655737704915E-3</v>
      </c>
      <c r="O415" s="23">
        <f t="shared" si="74"/>
        <v>-1.6285381299519952E-2</v>
      </c>
      <c r="P415" s="23">
        <f t="shared" si="75"/>
        <v>-2.856151803772522E-2</v>
      </c>
    </row>
    <row r="416" spans="1:16" x14ac:dyDescent="0.35">
      <c r="A416" s="2">
        <f>Prices!A414</f>
        <v>44485</v>
      </c>
      <c r="B416" s="1">
        <f>Prices!B414</f>
        <v>3272.709961</v>
      </c>
      <c r="C416" s="1">
        <f>Prices!C414</f>
        <v>19.709999</v>
      </c>
      <c r="D416" s="1">
        <f>Prices!D414</f>
        <v>60.049999</v>
      </c>
      <c r="E416" s="1">
        <f>Prices!E414</f>
        <v>25.27</v>
      </c>
      <c r="F416" s="1">
        <f>Prices!F414</f>
        <v>281.89999399999999</v>
      </c>
      <c r="G416" s="1">
        <f t="shared" si="76"/>
        <v>195.76785725886211</v>
      </c>
      <c r="H416" s="1">
        <f t="shared" si="77"/>
        <v>48.534839976980059</v>
      </c>
      <c r="I416" s="1">
        <f t="shared" si="78"/>
        <v>102.89581557752237</v>
      </c>
      <c r="J416" s="1">
        <f t="shared" si="79"/>
        <v>40.54878048780494</v>
      </c>
      <c r="K416" s="1">
        <f t="shared" si="80"/>
        <v>65.254628240740786</v>
      </c>
      <c r="L416" s="23">
        <f t="shared" si="71"/>
        <v>-1.9750480863686581E-2</v>
      </c>
      <c r="M416" s="23">
        <f t="shared" si="72"/>
        <v>1.5979329896907313E-2</v>
      </c>
      <c r="N416" s="23">
        <f t="shared" si="73"/>
        <v>-8.2576384518189272E-3</v>
      </c>
      <c r="O416" s="23">
        <f t="shared" si="74"/>
        <v>-3.9417026432123636E-3</v>
      </c>
      <c r="P416" s="23">
        <f t="shared" si="75"/>
        <v>1.0756543795407802E-2</v>
      </c>
    </row>
    <row r="417" spans="1:16" x14ac:dyDescent="0.35">
      <c r="A417" s="2">
        <f>Prices!A415</f>
        <v>44488</v>
      </c>
      <c r="B417" s="1">
        <f>Prices!B415</f>
        <v>3207.209961</v>
      </c>
      <c r="C417" s="1">
        <f>Prices!C415</f>
        <v>19.84</v>
      </c>
      <c r="D417" s="1">
        <f>Prices!D415</f>
        <v>59.23</v>
      </c>
      <c r="E417" s="1">
        <f>Prices!E415</f>
        <v>25.040001</v>
      </c>
      <c r="F417" s="1">
        <f>Prices!F415</f>
        <v>282.20001200000002</v>
      </c>
      <c r="G417" s="1">
        <f t="shared" si="76"/>
        <v>191.84976039013216</v>
      </c>
      <c r="H417" s="1">
        <f t="shared" si="77"/>
        <v>48.854960629033229</v>
      </c>
      <c r="I417" s="1">
        <f t="shared" si="78"/>
        <v>101.49074534799992</v>
      </c>
      <c r="J417" s="1">
        <f t="shared" si="79"/>
        <v>40.179719191270927</v>
      </c>
      <c r="K417" s="1">
        <f t="shared" si="80"/>
        <v>65.324076851851899</v>
      </c>
      <c r="L417" s="23">
        <f t="shared" si="71"/>
        <v>-2.0013994756805764E-2</v>
      </c>
      <c r="M417" s="23">
        <f t="shared" si="72"/>
        <v>6.5956878029267418E-3</v>
      </c>
      <c r="N417" s="23">
        <f t="shared" si="73"/>
        <v>-1.3655270835225219E-2</v>
      </c>
      <c r="O417" s="23">
        <f t="shared" si="74"/>
        <v>-9.1016620498615142E-3</v>
      </c>
      <c r="P417" s="23">
        <f t="shared" si="75"/>
        <v>1.0642710407438027E-3</v>
      </c>
    </row>
    <row r="418" spans="1:16" x14ac:dyDescent="0.35">
      <c r="A418" s="2">
        <f>Prices!A416</f>
        <v>44489</v>
      </c>
      <c r="B418" s="1">
        <f>Prices!B416</f>
        <v>3217.01001</v>
      </c>
      <c r="C418" s="1">
        <f>Prices!C416</f>
        <v>19.91</v>
      </c>
      <c r="D418" s="1">
        <f>Prices!D416</f>
        <v>59.580002</v>
      </c>
      <c r="E418" s="1">
        <f>Prices!E416</f>
        <v>25.32</v>
      </c>
      <c r="F418" s="1">
        <f>Prices!F416</f>
        <v>281.5</v>
      </c>
      <c r="G418" s="1">
        <f t="shared" si="76"/>
        <v>192.43598239471692</v>
      </c>
      <c r="H418" s="1">
        <f t="shared" si="77"/>
        <v>49.027331961897758</v>
      </c>
      <c r="I418" s="1">
        <f t="shared" si="78"/>
        <v>102.09047460434454</v>
      </c>
      <c r="J418" s="1">
        <f t="shared" si="79"/>
        <v>40.629011553273493</v>
      </c>
      <c r="K418" s="1">
        <f t="shared" si="80"/>
        <v>65.162037037037081</v>
      </c>
      <c r="L418" s="23">
        <f t="shared" si="71"/>
        <v>3.0556306319728943E-3</v>
      </c>
      <c r="M418" s="23">
        <f t="shared" si="72"/>
        <v>3.5282258064517347E-3</v>
      </c>
      <c r="N418" s="23">
        <f t="shared" si="73"/>
        <v>5.9092014182002828E-3</v>
      </c>
      <c r="O418" s="23">
        <f t="shared" si="74"/>
        <v>1.1182068243527521E-2</v>
      </c>
      <c r="P418" s="23">
        <f t="shared" si="75"/>
        <v>-2.4805526939524203E-3</v>
      </c>
    </row>
    <row r="419" spans="1:16" x14ac:dyDescent="0.35">
      <c r="A419" s="2">
        <f>Prices!A417</f>
        <v>44490</v>
      </c>
      <c r="B419" s="1">
        <f>Prices!B417</f>
        <v>3184.9399410000001</v>
      </c>
      <c r="C419" s="1">
        <f>Prices!C417</f>
        <v>19.879999000000002</v>
      </c>
      <c r="D419" s="1">
        <f>Prices!D417</f>
        <v>60.220001000000003</v>
      </c>
      <c r="E419" s="1">
        <f>Prices!E417</f>
        <v>24.83</v>
      </c>
      <c r="F419" s="1">
        <f>Prices!F417</f>
        <v>273.79998799999998</v>
      </c>
      <c r="G419" s="1">
        <f t="shared" si="76"/>
        <v>190.51760625839853</v>
      </c>
      <c r="H419" s="1">
        <f t="shared" si="77"/>
        <v>48.953456071079636</v>
      </c>
      <c r="I419" s="1">
        <f t="shared" si="78"/>
        <v>103.18711440734936</v>
      </c>
      <c r="J419" s="1">
        <f t="shared" si="79"/>
        <v>39.842747111681703</v>
      </c>
      <c r="K419" s="1">
        <f t="shared" si="80"/>
        <v>63.379626851851896</v>
      </c>
      <c r="L419" s="23">
        <f t="shared" si="71"/>
        <v>-9.9689055676889238E-3</v>
      </c>
      <c r="M419" s="23">
        <f t="shared" si="72"/>
        <v>-1.5068307383223623E-3</v>
      </c>
      <c r="N419" s="23">
        <f t="shared" si="73"/>
        <v>1.0741842539716551E-2</v>
      </c>
      <c r="O419" s="23">
        <f t="shared" si="74"/>
        <v>-1.9352290679304995E-2</v>
      </c>
      <c r="P419" s="23">
        <f t="shared" si="75"/>
        <v>-2.7353506216696299E-2</v>
      </c>
    </row>
    <row r="420" spans="1:16" x14ac:dyDescent="0.35">
      <c r="A420" s="2">
        <f>Prices!A418</f>
        <v>44491</v>
      </c>
      <c r="B420" s="1">
        <f>Prices!B418</f>
        <v>3176.3999020000001</v>
      </c>
      <c r="C420" s="1">
        <f>Prices!C418</f>
        <v>20.170000000000002</v>
      </c>
      <c r="D420" s="1">
        <f>Prices!D418</f>
        <v>59.900002000000001</v>
      </c>
      <c r="E420" s="1">
        <f>Prices!E418</f>
        <v>25.450001</v>
      </c>
      <c r="F420" s="1">
        <f>Prices!F418</f>
        <v>273.29998799999998</v>
      </c>
      <c r="G420" s="1">
        <f t="shared" si="76"/>
        <v>190.00675587573087</v>
      </c>
      <c r="H420" s="1">
        <f t="shared" si="77"/>
        <v>49.667568341108883</v>
      </c>
      <c r="I420" s="1">
        <f t="shared" si="78"/>
        <v>102.63879536259813</v>
      </c>
      <c r="J420" s="1">
        <f t="shared" si="79"/>
        <v>40.837613928113029</v>
      </c>
      <c r="K420" s="1">
        <f t="shared" si="80"/>
        <v>63.263886111111155</v>
      </c>
      <c r="L420" s="23">
        <f t="shared" si="71"/>
        <v>-2.6813814885685572E-3</v>
      </c>
      <c r="M420" s="23">
        <f t="shared" si="72"/>
        <v>1.4587576186497753E-2</v>
      </c>
      <c r="N420" s="23">
        <f t="shared" si="73"/>
        <v>-5.3138325255093211E-3</v>
      </c>
      <c r="O420" s="23">
        <f t="shared" si="74"/>
        <v>2.4969834877164754E-2</v>
      </c>
      <c r="P420" s="23">
        <f t="shared" si="75"/>
        <v>-1.8261505548349266E-3</v>
      </c>
    </row>
    <row r="421" spans="1:16" x14ac:dyDescent="0.35">
      <c r="A421" s="2">
        <f>Prices!A419</f>
        <v>44492</v>
      </c>
      <c r="B421" s="1">
        <f>Prices!B419</f>
        <v>3204.3999020000001</v>
      </c>
      <c r="C421" s="1">
        <f>Prices!C419</f>
        <v>20.879999000000002</v>
      </c>
      <c r="D421" s="1">
        <f>Prices!D419</f>
        <v>59.599997999999999</v>
      </c>
      <c r="E421" s="1">
        <f>Prices!E419</f>
        <v>25.610001</v>
      </c>
      <c r="F421" s="1">
        <f>Prices!F419</f>
        <v>278.10000600000001</v>
      </c>
      <c r="G421" s="1">
        <f t="shared" si="76"/>
        <v>191.68166751427191</v>
      </c>
      <c r="H421" s="1">
        <f t="shared" si="77"/>
        <v>51.415903683430095</v>
      </c>
      <c r="I421" s="1">
        <f t="shared" si="78"/>
        <v>102.12473779772591</v>
      </c>
      <c r="J421" s="1">
        <f t="shared" si="79"/>
        <v>41.094353337612382</v>
      </c>
      <c r="K421" s="1">
        <f t="shared" si="80"/>
        <v>64.375001388888933</v>
      </c>
      <c r="L421" s="23">
        <f t="shared" si="71"/>
        <v>8.8150109759070894E-3</v>
      </c>
      <c r="M421" s="23">
        <f t="shared" si="72"/>
        <v>3.5200743678730717E-2</v>
      </c>
      <c r="N421" s="23">
        <f t="shared" si="73"/>
        <v>-5.0084138561464764E-3</v>
      </c>
      <c r="O421" s="23">
        <f t="shared" si="74"/>
        <v>6.2868366881401183E-3</v>
      </c>
      <c r="P421" s="23">
        <f t="shared" si="75"/>
        <v>1.7563184086199168E-2</v>
      </c>
    </row>
    <row r="422" spans="1:16" x14ac:dyDescent="0.35">
      <c r="A422" s="2">
        <f>Prices!A420</f>
        <v>44495</v>
      </c>
      <c r="B422" s="1">
        <f>Prices!B420</f>
        <v>3207.040039</v>
      </c>
      <c r="C422" s="1">
        <f>Prices!C420</f>
        <v>20.73</v>
      </c>
      <c r="D422" s="1">
        <f>Prices!D420</f>
        <v>58.279998999999997</v>
      </c>
      <c r="E422" s="1">
        <f>Prices!E420</f>
        <v>24.83</v>
      </c>
      <c r="F422" s="1">
        <f>Prices!F420</f>
        <v>276.5</v>
      </c>
      <c r="G422" s="1">
        <f t="shared" si="76"/>
        <v>191.83959594958057</v>
      </c>
      <c r="H422" s="1">
        <f t="shared" si="77"/>
        <v>51.046539004025135</v>
      </c>
      <c r="I422" s="1">
        <f t="shared" si="78"/>
        <v>99.862916383432236</v>
      </c>
      <c r="J422" s="1">
        <f t="shared" si="79"/>
        <v>39.842747111681696</v>
      </c>
      <c r="K422" s="1">
        <f t="shared" si="80"/>
        <v>64.004629629629676</v>
      </c>
      <c r="L422" s="23">
        <f t="shared" si="71"/>
        <v>8.2390996153502982E-4</v>
      </c>
      <c r="M422" s="23">
        <f t="shared" si="72"/>
        <v>-7.1838604973113451E-3</v>
      </c>
      <c r="N422" s="23">
        <f t="shared" si="73"/>
        <v>-2.2147634971397157E-2</v>
      </c>
      <c r="O422" s="23">
        <f t="shared" si="74"/>
        <v>-3.0456890649867674E-2</v>
      </c>
      <c r="P422" s="23">
        <f t="shared" si="75"/>
        <v>-5.7533475925204414E-3</v>
      </c>
    </row>
    <row r="423" spans="1:16" x14ac:dyDescent="0.35">
      <c r="A423" s="2">
        <f>Prices!A421</f>
        <v>44496</v>
      </c>
      <c r="B423" s="1">
        <f>Prices!B421</f>
        <v>3286.330078</v>
      </c>
      <c r="C423" s="1">
        <f>Prices!C421</f>
        <v>21.52</v>
      </c>
      <c r="D423" s="1">
        <f>Prices!D421</f>
        <v>57.950001</v>
      </c>
      <c r="E423" s="1">
        <f>Prices!E421</f>
        <v>24.190000999999999</v>
      </c>
      <c r="F423" s="1">
        <f>Prices!F421</f>
        <v>267.60000600000001</v>
      </c>
      <c r="G423" s="1">
        <f t="shared" si="76"/>
        <v>196.58258913320466</v>
      </c>
      <c r="H423" s="1">
        <f t="shared" si="77"/>
        <v>52.991872617782001</v>
      </c>
      <c r="I423" s="1">
        <f t="shared" si="78"/>
        <v>99.29746402848798</v>
      </c>
      <c r="J423" s="1">
        <f t="shared" si="79"/>
        <v>38.815791078305573</v>
      </c>
      <c r="K423" s="1">
        <f t="shared" si="80"/>
        <v>61.944445833333383</v>
      </c>
      <c r="L423" s="23">
        <f t="shared" si="71"/>
        <v>2.4723744647953794E-2</v>
      </c>
      <c r="M423" s="23">
        <f t="shared" si="72"/>
        <v>3.8109020742884692E-2</v>
      </c>
      <c r="N423" s="23">
        <f t="shared" si="73"/>
        <v>-5.6622856153445422E-3</v>
      </c>
      <c r="O423" s="23">
        <f t="shared" si="74"/>
        <v>-2.5775231574707957E-2</v>
      </c>
      <c r="P423" s="23">
        <f t="shared" si="75"/>
        <v>-3.2188043399638322E-2</v>
      </c>
    </row>
    <row r="424" spans="1:16" x14ac:dyDescent="0.35">
      <c r="A424" s="2">
        <f>Prices!A422</f>
        <v>44497</v>
      </c>
      <c r="B424" s="1">
        <f>Prices!B422</f>
        <v>3162.780029</v>
      </c>
      <c r="C424" s="1">
        <f>Prices!C422</f>
        <v>20.51</v>
      </c>
      <c r="D424" s="1">
        <f>Prices!D422</f>
        <v>55.419998</v>
      </c>
      <c r="E424" s="1">
        <f>Prices!E422</f>
        <v>23.1</v>
      </c>
      <c r="F424" s="1">
        <f>Prices!F422</f>
        <v>261.10000600000001</v>
      </c>
      <c r="G424" s="1">
        <f t="shared" si="76"/>
        <v>189.19203859704689</v>
      </c>
      <c r="H424" s="1">
        <f t="shared" si="77"/>
        <v>50.504800529308042</v>
      </c>
      <c r="I424" s="1">
        <f t="shared" si="78"/>
        <v>94.962297893038439</v>
      </c>
      <c r="J424" s="1">
        <f t="shared" si="79"/>
        <v>37.066752246469889</v>
      </c>
      <c r="K424" s="1">
        <f t="shared" si="80"/>
        <v>60.439816203703757</v>
      </c>
      <c r="L424" s="23">
        <f t="shared" si="71"/>
        <v>-3.7595142930739955E-2</v>
      </c>
      <c r="M424" s="23">
        <f t="shared" si="72"/>
        <v>-4.6933085501858596E-2</v>
      </c>
      <c r="N424" s="23">
        <f t="shared" si="73"/>
        <v>-4.3658377158612982E-2</v>
      </c>
      <c r="O424" s="23">
        <f t="shared" si="74"/>
        <v>-4.505998160148883E-2</v>
      </c>
      <c r="P424" s="23">
        <f t="shared" si="75"/>
        <v>-2.428998450769837E-2</v>
      </c>
    </row>
    <row r="425" spans="1:16" x14ac:dyDescent="0.35">
      <c r="A425" s="2">
        <f>Prices!A423</f>
        <v>44498</v>
      </c>
      <c r="B425" s="1">
        <f>Prices!B423</f>
        <v>3211.01001</v>
      </c>
      <c r="C425" s="1">
        <f>Prices!C423</f>
        <v>21.15</v>
      </c>
      <c r="D425" s="1">
        <f>Prices!D423</f>
        <v>56.650002000000001</v>
      </c>
      <c r="E425" s="1">
        <f>Prices!E423</f>
        <v>24.629999000000002</v>
      </c>
      <c r="F425" s="1">
        <f>Prices!F423</f>
        <v>256.5</v>
      </c>
      <c r="G425" s="1">
        <f t="shared" si="76"/>
        <v>192.07707275788667</v>
      </c>
      <c r="H425" s="1">
        <f t="shared" si="77"/>
        <v>52.08076700121233</v>
      </c>
      <c r="I425" s="1">
        <f t="shared" si="78"/>
        <v>97.069912661585136</v>
      </c>
      <c r="J425" s="1">
        <f t="shared" si="79"/>
        <v>39.521821245186196</v>
      </c>
      <c r="K425" s="1">
        <f t="shared" si="80"/>
        <v>59.37500000000005</v>
      </c>
      <c r="L425" s="23">
        <f t="shared" si="71"/>
        <v>1.5249236607595806E-2</v>
      </c>
      <c r="M425" s="23">
        <f t="shared" si="72"/>
        <v>3.1204290589955885E-2</v>
      </c>
      <c r="N425" s="23">
        <f t="shared" si="73"/>
        <v>2.2194226712169973E-2</v>
      </c>
      <c r="O425" s="23">
        <f t="shared" si="74"/>
        <v>6.6233722943722873E-2</v>
      </c>
      <c r="P425" s="23">
        <f t="shared" si="75"/>
        <v>-1.7617793543827087E-2</v>
      </c>
    </row>
    <row r="426" spans="1:16" x14ac:dyDescent="0.35">
      <c r="A426" s="2">
        <f>Prices!A424</f>
        <v>44499</v>
      </c>
      <c r="B426" s="1">
        <f>Prices!B424</f>
        <v>3036.1499020000001</v>
      </c>
      <c r="C426" s="1">
        <f>Prices!C424</f>
        <v>20.98</v>
      </c>
      <c r="D426" s="1">
        <f>Prices!D424</f>
        <v>56.77</v>
      </c>
      <c r="E426" s="1">
        <f>Prices!E424</f>
        <v>25.549999</v>
      </c>
      <c r="F426" s="1">
        <f>Prices!F424</f>
        <v>257.5</v>
      </c>
      <c r="G426" s="1">
        <f t="shared" si="76"/>
        <v>181.61724311482433</v>
      </c>
      <c r="H426" s="1">
        <f t="shared" si="77"/>
        <v>51.66215090711276</v>
      </c>
      <c r="I426" s="1">
        <f t="shared" si="78"/>
        <v>97.275529518925495</v>
      </c>
      <c r="J426" s="1">
        <f t="shared" si="79"/>
        <v>40.9980728498075</v>
      </c>
      <c r="K426" s="1">
        <f t="shared" si="80"/>
        <v>59.606481481481531</v>
      </c>
      <c r="L426" s="23">
        <f t="shared" si="71"/>
        <v>-5.4456419461613503E-2</v>
      </c>
      <c r="M426" s="23">
        <f t="shared" si="72"/>
        <v>-8.0378250591015554E-3</v>
      </c>
      <c r="N426" s="23">
        <f t="shared" si="73"/>
        <v>2.1182347001507118E-3</v>
      </c>
      <c r="O426" s="23">
        <f t="shared" si="74"/>
        <v>3.7352823278636649E-2</v>
      </c>
      <c r="P426" s="23">
        <f t="shared" si="75"/>
        <v>3.8986354775829568E-3</v>
      </c>
    </row>
    <row r="427" spans="1:16" x14ac:dyDescent="0.35">
      <c r="A427" s="2">
        <f>Prices!A425</f>
        <v>44502</v>
      </c>
      <c r="B427" s="1">
        <f>Prices!B425</f>
        <v>3004.4799800000001</v>
      </c>
      <c r="C427" s="1">
        <f>Prices!C425</f>
        <v>21.41</v>
      </c>
      <c r="D427" s="1">
        <f>Prices!D425</f>
        <v>57.41</v>
      </c>
      <c r="E427" s="1">
        <f>Prices!E425</f>
        <v>26.67</v>
      </c>
      <c r="F427" s="1">
        <f>Prices!F425</f>
        <v>262.29998799999998</v>
      </c>
      <c r="G427" s="1">
        <f t="shared" si="76"/>
        <v>179.72280308091405</v>
      </c>
      <c r="H427" s="1">
        <f t="shared" si="77"/>
        <v>52.721003380423461</v>
      </c>
      <c r="I427" s="1">
        <f t="shared" si="78"/>
        <v>98.372171035432672</v>
      </c>
      <c r="J427" s="1">
        <f t="shared" si="79"/>
        <v>42.795250320924318</v>
      </c>
      <c r="K427" s="1">
        <f t="shared" si="80"/>
        <v>60.717589814814858</v>
      </c>
      <c r="L427" s="23">
        <f t="shared" si="71"/>
        <v>-1.0430948083010705E-2</v>
      </c>
      <c r="M427" s="23">
        <f t="shared" si="72"/>
        <v>2.0495710200190587E-2</v>
      </c>
      <c r="N427" s="23">
        <f t="shared" si="73"/>
        <v>1.1273559978862036E-2</v>
      </c>
      <c r="O427" s="23">
        <f t="shared" si="74"/>
        <v>4.3835657292980779E-2</v>
      </c>
      <c r="P427" s="23">
        <f t="shared" si="75"/>
        <v>1.8640730097087221E-2</v>
      </c>
    </row>
    <row r="428" spans="1:16" x14ac:dyDescent="0.35">
      <c r="A428" s="2">
        <f>Prices!A426</f>
        <v>44503</v>
      </c>
      <c r="B428" s="1">
        <f>Prices!B426</f>
        <v>3048.4099120000001</v>
      </c>
      <c r="C428" s="1">
        <f>Prices!C426</f>
        <v>22.540001</v>
      </c>
      <c r="D428" s="1">
        <f>Prices!D426</f>
        <v>58.82</v>
      </c>
      <c r="E428" s="1">
        <f>Prices!E426</f>
        <v>26.870000999999998</v>
      </c>
      <c r="F428" s="1">
        <f>Prices!F426</f>
        <v>268.39999399999999</v>
      </c>
      <c r="G428" s="1">
        <f t="shared" si="76"/>
        <v>182.3506157375968</v>
      </c>
      <c r="H428" s="1">
        <f t="shared" si="77"/>
        <v>55.503571644827105</v>
      </c>
      <c r="I428" s="1">
        <f t="shared" si="78"/>
        <v>100.78820937648756</v>
      </c>
      <c r="J428" s="1">
        <f t="shared" si="79"/>
        <v>43.116176187419818</v>
      </c>
      <c r="K428" s="1">
        <f t="shared" si="80"/>
        <v>62.129628240740786</v>
      </c>
      <c r="L428" s="23">
        <f t="shared" si="71"/>
        <v>1.4621476026610125E-2</v>
      </c>
      <c r="M428" s="23">
        <f t="shared" si="72"/>
        <v>5.2779121905651483E-2</v>
      </c>
      <c r="N428" s="23">
        <f t="shared" si="73"/>
        <v>2.4560181153109317E-2</v>
      </c>
      <c r="O428" s="23">
        <f t="shared" si="74"/>
        <v>7.4991001124857792E-3</v>
      </c>
      <c r="P428" s="23">
        <f t="shared" si="75"/>
        <v>2.3255837891994036E-2</v>
      </c>
    </row>
    <row r="429" spans="1:16" x14ac:dyDescent="0.35">
      <c r="A429" s="2">
        <f>Prices!A427</f>
        <v>44504</v>
      </c>
      <c r="B429" s="1">
        <f>Prices!B427</f>
        <v>3241.1599120000001</v>
      </c>
      <c r="C429" s="1">
        <f>Prices!C427</f>
        <v>21.469999000000001</v>
      </c>
      <c r="D429" s="1">
        <f>Prices!D427</f>
        <v>57.599997999999999</v>
      </c>
      <c r="E429" s="1">
        <f>Prices!E427</f>
        <v>26.9</v>
      </c>
      <c r="F429" s="1">
        <f>Prices!F427</f>
        <v>267.79998799999998</v>
      </c>
      <c r="G429" s="1">
        <f t="shared" si="76"/>
        <v>193.8805878207678</v>
      </c>
      <c r="H429" s="1">
        <f t="shared" si="77"/>
        <v>52.868747774716887</v>
      </c>
      <c r="I429" s="1">
        <f t="shared" si="78"/>
        <v>98.69773305864102</v>
      </c>
      <c r="J429" s="1">
        <f t="shared" si="79"/>
        <v>43.164313222079642</v>
      </c>
      <c r="K429" s="1">
        <f t="shared" si="80"/>
        <v>61.99073796296301</v>
      </c>
      <c r="L429" s="23">
        <f t="shared" si="71"/>
        <v>6.3229685496443144E-2</v>
      </c>
      <c r="M429" s="23">
        <f t="shared" si="72"/>
        <v>-4.7471249003050109E-2</v>
      </c>
      <c r="N429" s="23">
        <f t="shared" si="73"/>
        <v>-2.0741278476708591E-2</v>
      </c>
      <c r="O429" s="23">
        <f t="shared" si="74"/>
        <v>1.1164495304634148E-3</v>
      </c>
      <c r="P429" s="23">
        <f t="shared" si="75"/>
        <v>-2.235491853252447E-3</v>
      </c>
    </row>
    <row r="430" spans="1:16" x14ac:dyDescent="0.35">
      <c r="A430" s="2">
        <f>Prices!A428</f>
        <v>44505</v>
      </c>
      <c r="B430" s="1">
        <f>Prices!B428</f>
        <v>3322</v>
      </c>
      <c r="C430" s="1">
        <f>Prices!C428</f>
        <v>22.02</v>
      </c>
      <c r="D430" s="1">
        <f>Prices!D428</f>
        <v>58.779998999999997</v>
      </c>
      <c r="E430" s="1">
        <f>Prices!E428</f>
        <v>26.84</v>
      </c>
      <c r="F430" s="1">
        <f>Prices!F428</f>
        <v>271.89999399999999</v>
      </c>
      <c r="G430" s="1">
        <f t="shared" si="76"/>
        <v>198.71630225833505</v>
      </c>
      <c r="H430" s="1">
        <f t="shared" si="77"/>
        <v>54.223096423957251</v>
      </c>
      <c r="I430" s="1">
        <f t="shared" si="78"/>
        <v>100.71966756820349</v>
      </c>
      <c r="J430" s="1">
        <f t="shared" si="79"/>
        <v>43.068035943517387</v>
      </c>
      <c r="K430" s="1">
        <f t="shared" si="80"/>
        <v>62.939813425925969</v>
      </c>
      <c r="L430" s="23">
        <f t="shared" si="71"/>
        <v>2.4941715371925799E-2</v>
      </c>
      <c r="M430" s="23">
        <f t="shared" si="72"/>
        <v>2.5617187965402133E-2</v>
      </c>
      <c r="N430" s="23">
        <f t="shared" si="73"/>
        <v>2.0486129183546087E-2</v>
      </c>
      <c r="O430" s="23">
        <f t="shared" si="74"/>
        <v>-2.2304832713754275E-3</v>
      </c>
      <c r="P430" s="23">
        <f t="shared" si="75"/>
        <v>1.5309955876473103E-2</v>
      </c>
    </row>
    <row r="431" spans="1:16" x14ac:dyDescent="0.35">
      <c r="A431" s="2">
        <f>Prices!A429</f>
        <v>44506</v>
      </c>
      <c r="B431" s="1">
        <f>Prices!B429</f>
        <v>3311.3701169999999</v>
      </c>
      <c r="C431" s="1">
        <f>Prices!C429</f>
        <v>22.280000999999999</v>
      </c>
      <c r="D431" s="1">
        <f>Prices!D429</f>
        <v>60.830002</v>
      </c>
      <c r="E431" s="1">
        <f>Prices!E429</f>
        <v>26.67</v>
      </c>
      <c r="F431" s="1">
        <f>Prices!F429</f>
        <v>277.60000600000001</v>
      </c>
      <c r="G431" s="1">
        <f t="shared" si="76"/>
        <v>198.08044101715541</v>
      </c>
      <c r="H431" s="1">
        <f t="shared" si="77"/>
        <v>54.863335265615987</v>
      </c>
      <c r="I431" s="1">
        <f t="shared" si="78"/>
        <v>104.23235256627265</v>
      </c>
      <c r="J431" s="1">
        <f t="shared" si="79"/>
        <v>42.795250320924325</v>
      </c>
      <c r="K431" s="1">
        <f t="shared" si="80"/>
        <v>64.259260648148199</v>
      </c>
      <c r="L431" s="23">
        <f t="shared" si="71"/>
        <v>-3.1998443708609603E-3</v>
      </c>
      <c r="M431" s="23">
        <f t="shared" si="72"/>
        <v>1.1807493188010776E-2</v>
      </c>
      <c r="N431" s="23">
        <f t="shared" si="73"/>
        <v>3.4875859729089242E-2</v>
      </c>
      <c r="O431" s="23">
        <f t="shared" si="74"/>
        <v>-6.3338301043218692E-3</v>
      </c>
      <c r="P431" s="23">
        <f t="shared" si="75"/>
        <v>2.0963634151459409E-2</v>
      </c>
    </row>
    <row r="432" spans="1:16" x14ac:dyDescent="0.35">
      <c r="A432" s="2">
        <f>Prices!A430</f>
        <v>44509</v>
      </c>
      <c r="B432" s="1">
        <f>Prices!B430</f>
        <v>3143.73999</v>
      </c>
      <c r="C432" s="1">
        <f>Prices!C430</f>
        <v>24.59</v>
      </c>
      <c r="D432" s="1">
        <f>Prices!D430</f>
        <v>61.560001</v>
      </c>
      <c r="E432" s="1">
        <f>Prices!E430</f>
        <v>30.23</v>
      </c>
      <c r="F432" s="1">
        <f>Prices!F430</f>
        <v>304.60000600000001</v>
      </c>
      <c r="G432" s="1">
        <f t="shared" si="76"/>
        <v>188.05309634992631</v>
      </c>
      <c r="H432" s="1">
        <f t="shared" si="77"/>
        <v>60.551586787697957</v>
      </c>
      <c r="I432" s="1">
        <f t="shared" si="78"/>
        <v>105.48320758253628</v>
      </c>
      <c r="J432" s="1">
        <f t="shared" si="79"/>
        <v>48.507702182285051</v>
      </c>
      <c r="K432" s="1">
        <f t="shared" si="80"/>
        <v>70.509260648148199</v>
      </c>
      <c r="L432" s="23">
        <f t="shared" si="71"/>
        <v>-5.0622588559163462E-2</v>
      </c>
      <c r="M432" s="23">
        <f t="shared" si="72"/>
        <v>0.10368038134289148</v>
      </c>
      <c r="N432" s="23">
        <f t="shared" si="73"/>
        <v>1.2000640736457679E-2</v>
      </c>
      <c r="O432" s="23">
        <f t="shared" si="74"/>
        <v>0.13348331458567664</v>
      </c>
      <c r="P432" s="23">
        <f t="shared" si="75"/>
        <v>9.7262245736406738E-2</v>
      </c>
    </row>
    <row r="433" spans="1:16" x14ac:dyDescent="0.35">
      <c r="A433" s="2">
        <f>Prices!A431</f>
        <v>44510</v>
      </c>
      <c r="B433" s="1">
        <f>Prices!B431</f>
        <v>3035.0200199999999</v>
      </c>
      <c r="C433" s="1">
        <f>Prices!C431</f>
        <v>24.459999</v>
      </c>
      <c r="D433" s="1">
        <f>Prices!D431</f>
        <v>62.709999000000003</v>
      </c>
      <c r="E433" s="1">
        <f>Prices!E431</f>
        <v>31.76</v>
      </c>
      <c r="F433" s="1">
        <f>Prices!F431</f>
        <v>315.5</v>
      </c>
      <c r="G433" s="1">
        <f t="shared" si="76"/>
        <v>181.54965552511081</v>
      </c>
      <c r="H433" s="1">
        <f t="shared" si="77"/>
        <v>60.231466135644787</v>
      </c>
      <c r="I433" s="1">
        <f t="shared" si="78"/>
        <v>107.45373188050539</v>
      </c>
      <c r="J433" s="1">
        <f t="shared" si="79"/>
        <v>50.962772785622668</v>
      </c>
      <c r="K433" s="1">
        <f t="shared" si="80"/>
        <v>73.032407407407447</v>
      </c>
      <c r="L433" s="23">
        <f t="shared" si="71"/>
        <v>-3.458300315733176E-2</v>
      </c>
      <c r="M433" s="23">
        <f t="shared" si="72"/>
        <v>-5.2867425782838762E-3</v>
      </c>
      <c r="N433" s="23">
        <f t="shared" si="73"/>
        <v>1.8680928871330105E-2</v>
      </c>
      <c r="O433" s="23">
        <f t="shared" si="74"/>
        <v>5.0611974859411157E-2</v>
      </c>
      <c r="P433" s="23">
        <f t="shared" si="75"/>
        <v>3.5784615184807356E-2</v>
      </c>
    </row>
    <row r="434" spans="1:16" x14ac:dyDescent="0.35">
      <c r="A434" s="2">
        <f>Prices!A432</f>
        <v>44511</v>
      </c>
      <c r="B434" s="1">
        <f>Prices!B432</f>
        <v>3137.389893</v>
      </c>
      <c r="C434" s="1">
        <f>Prices!C432</f>
        <v>25.309999000000001</v>
      </c>
      <c r="D434" s="1">
        <f>Prices!D432</f>
        <v>62.970001000000003</v>
      </c>
      <c r="E434" s="1">
        <f>Prices!E432</f>
        <v>31.389999</v>
      </c>
      <c r="F434" s="1">
        <f>Prices!F432</f>
        <v>310.60000600000001</v>
      </c>
      <c r="G434" s="1">
        <f t="shared" si="76"/>
        <v>187.67324451524186</v>
      </c>
      <c r="H434" s="1">
        <f t="shared" si="77"/>
        <v>62.32454660614269</v>
      </c>
      <c r="I434" s="1">
        <f t="shared" si="78"/>
        <v>107.89924592359117</v>
      </c>
      <c r="J434" s="1">
        <f t="shared" si="79"/>
        <v>50.369061296534092</v>
      </c>
      <c r="K434" s="1">
        <f t="shared" si="80"/>
        <v>71.898149537037071</v>
      </c>
      <c r="L434" s="23">
        <f t="shared" si="71"/>
        <v>3.3729554442939014E-2</v>
      </c>
      <c r="M434" s="23">
        <f t="shared" si="72"/>
        <v>3.4750614666828161E-2</v>
      </c>
      <c r="N434" s="23">
        <f t="shared" si="73"/>
        <v>4.1461011664185587E-3</v>
      </c>
      <c r="O434" s="23">
        <f t="shared" si="74"/>
        <v>-1.1649905541561756E-2</v>
      </c>
      <c r="P434" s="23">
        <f t="shared" si="75"/>
        <v>-1.5530884310617998E-2</v>
      </c>
    </row>
    <row r="435" spans="1:16" x14ac:dyDescent="0.35">
      <c r="A435" s="2">
        <f>Prices!A433</f>
        <v>44512</v>
      </c>
      <c r="B435" s="1">
        <f>Prices!B433</f>
        <v>3110.280029</v>
      </c>
      <c r="C435" s="1">
        <f>Prices!C433</f>
        <v>24.26</v>
      </c>
      <c r="D435" s="1">
        <f>Prices!D433</f>
        <v>62.060001</v>
      </c>
      <c r="E435" s="1">
        <f>Prices!E433</f>
        <v>30.629999000000002</v>
      </c>
      <c r="F435" s="1">
        <f>Prices!F433</f>
        <v>305.5</v>
      </c>
      <c r="G435" s="1">
        <f t="shared" si="76"/>
        <v>186.0515792747824</v>
      </c>
      <c r="H435" s="1">
        <f t="shared" si="77"/>
        <v>59.738979075622311</v>
      </c>
      <c r="I435" s="1">
        <f t="shared" si="78"/>
        <v>106.33995876730752</v>
      </c>
      <c r="J435" s="1">
        <f t="shared" si="79"/>
        <v>49.149549101412141</v>
      </c>
      <c r="K435" s="1">
        <f t="shared" si="80"/>
        <v>70.717592592592624</v>
      </c>
      <c r="L435" s="23">
        <f t="shared" si="71"/>
        <v>-8.640897346066656E-3</v>
      </c>
      <c r="M435" s="23">
        <f t="shared" si="72"/>
        <v>-4.1485540951621491E-2</v>
      </c>
      <c r="N435" s="23">
        <f t="shared" si="73"/>
        <v>-1.4451325798772063E-2</v>
      </c>
      <c r="O435" s="23">
        <f t="shared" si="74"/>
        <v>-2.4211533106452077E-2</v>
      </c>
      <c r="P435" s="23">
        <f t="shared" si="75"/>
        <v>-1.641985158235959E-2</v>
      </c>
    </row>
    <row r="436" spans="1:16" x14ac:dyDescent="0.35">
      <c r="A436" s="2">
        <f>Prices!A434</f>
        <v>44513</v>
      </c>
      <c r="B436" s="1">
        <f>Prices!B434</f>
        <v>3128.8100589999999</v>
      </c>
      <c r="C436" s="1">
        <f>Prices!C434</f>
        <v>24.530000999999999</v>
      </c>
      <c r="D436" s="1">
        <f>Prices!D434</f>
        <v>62.509998000000003</v>
      </c>
      <c r="E436" s="1">
        <f>Prices!E434</f>
        <v>31.209999</v>
      </c>
      <c r="F436" s="1">
        <f>Prices!F434</f>
        <v>309.10000600000001</v>
      </c>
      <c r="G436" s="1">
        <f t="shared" si="76"/>
        <v>187.16001366440793</v>
      </c>
      <c r="H436" s="1">
        <f t="shared" si="77"/>
        <v>60.403842393404538</v>
      </c>
      <c r="I436" s="1">
        <f t="shared" si="78"/>
        <v>107.11102969309452</v>
      </c>
      <c r="J436" s="1">
        <f t="shared" si="79"/>
        <v>50.080229460847313</v>
      </c>
      <c r="K436" s="1">
        <f t="shared" si="80"/>
        <v>71.550927314814842</v>
      </c>
      <c r="L436" s="23">
        <f t="shared" si="71"/>
        <v>5.9576725655656748E-3</v>
      </c>
      <c r="M436" s="23">
        <f t="shared" si="72"/>
        <v>1.1129472382522598E-2</v>
      </c>
      <c r="N436" s="23">
        <f t="shared" si="73"/>
        <v>7.2509989163551669E-3</v>
      </c>
      <c r="O436" s="23">
        <f t="shared" si="74"/>
        <v>1.8935684588171187E-2</v>
      </c>
      <c r="P436" s="23">
        <f t="shared" si="75"/>
        <v>1.1783980360065449E-2</v>
      </c>
    </row>
    <row r="437" spans="1:16" x14ac:dyDescent="0.35">
      <c r="A437" s="2">
        <f>Prices!A435</f>
        <v>44516</v>
      </c>
      <c r="B437" s="1">
        <f>Prices!B435</f>
        <v>3131.0600589999999</v>
      </c>
      <c r="C437" s="1">
        <f>Prices!C435</f>
        <v>25.48</v>
      </c>
      <c r="D437" s="1">
        <f>Prices!D435</f>
        <v>63.169998</v>
      </c>
      <c r="E437" s="1">
        <f>Prices!E435</f>
        <v>33.200001</v>
      </c>
      <c r="F437" s="1">
        <f>Prices!F435</f>
        <v>316</v>
      </c>
      <c r="G437" s="1">
        <f t="shared" si="76"/>
        <v>187.29460477821928</v>
      </c>
      <c r="H437" s="1">
        <f t="shared" si="77"/>
        <v>62.743165162689877</v>
      </c>
      <c r="I437" s="1">
        <f t="shared" si="78"/>
        <v>108.24194125699255</v>
      </c>
      <c r="J437" s="1">
        <f t="shared" si="79"/>
        <v>53.2734290757382</v>
      </c>
      <c r="K437" s="1">
        <f t="shared" si="80"/>
        <v>73.148148148148181</v>
      </c>
      <c r="L437" s="23">
        <f t="shared" si="71"/>
        <v>7.1912323137923728E-4</v>
      </c>
      <c r="M437" s="23">
        <f t="shared" si="72"/>
        <v>3.8728045710230585E-2</v>
      </c>
      <c r="N437" s="23">
        <f t="shared" si="73"/>
        <v>1.055831100810467E-2</v>
      </c>
      <c r="O437" s="23">
        <f t="shared" si="74"/>
        <v>6.3761680992043601E-2</v>
      </c>
      <c r="P437" s="23">
        <f t="shared" si="75"/>
        <v>2.2322853012173738E-2</v>
      </c>
    </row>
    <row r="438" spans="1:16" x14ac:dyDescent="0.35">
      <c r="A438" s="2">
        <f>Prices!A436</f>
        <v>44517</v>
      </c>
      <c r="B438" s="1">
        <f>Prices!B436</f>
        <v>3135.6599120000001</v>
      </c>
      <c r="C438" s="1">
        <f>Prices!C436</f>
        <v>24.91</v>
      </c>
      <c r="D438" s="1">
        <f>Prices!D436</f>
        <v>63.259998000000003</v>
      </c>
      <c r="E438" s="1">
        <f>Prices!E436</f>
        <v>33.75</v>
      </c>
      <c r="F438" s="1">
        <f>Prices!F436</f>
        <v>316.79998799999998</v>
      </c>
      <c r="G438" s="1">
        <f t="shared" si="76"/>
        <v>187.56976003983635</v>
      </c>
      <c r="H438" s="1">
        <f t="shared" si="77"/>
        <v>61.339570023650111</v>
      </c>
      <c r="I438" s="1">
        <f t="shared" si="78"/>
        <v>108.39615647025137</v>
      </c>
      <c r="J438" s="1">
        <f t="shared" si="79"/>
        <v>54.155969191270934</v>
      </c>
      <c r="K438" s="1">
        <f t="shared" si="80"/>
        <v>73.333330555555591</v>
      </c>
      <c r="L438" s="23">
        <f t="shared" si="71"/>
        <v>1.4691040456979998E-3</v>
      </c>
      <c r="M438" s="23">
        <f t="shared" si="72"/>
        <v>-2.2370486656201005E-2</v>
      </c>
      <c r="N438" s="23">
        <f t="shared" si="73"/>
        <v>1.424726972446777E-3</v>
      </c>
      <c r="O438" s="23">
        <f t="shared" si="74"/>
        <v>1.6566234440775984E-2</v>
      </c>
      <c r="P438" s="23">
        <f t="shared" si="75"/>
        <v>2.5316075949366468E-3</v>
      </c>
    </row>
    <row r="439" spans="1:16" x14ac:dyDescent="0.35">
      <c r="A439" s="2">
        <f>Prices!A437</f>
        <v>44518</v>
      </c>
      <c r="B439" s="1">
        <f>Prices!B437</f>
        <v>3105.459961</v>
      </c>
      <c r="C439" s="1">
        <f>Prices!C437</f>
        <v>25.24</v>
      </c>
      <c r="D439" s="1">
        <f>Prices!D437</f>
        <v>63.09</v>
      </c>
      <c r="E439" s="1">
        <f>Prices!E437</f>
        <v>32.990001999999997</v>
      </c>
      <c r="F439" s="1">
        <f>Prices!F437</f>
        <v>319.29998799999998</v>
      </c>
      <c r="G439" s="1">
        <f t="shared" si="76"/>
        <v>185.76325113221958</v>
      </c>
      <c r="H439" s="1">
        <f t="shared" si="77"/>
        <v>62.152177735725765</v>
      </c>
      <c r="I439" s="1">
        <f t="shared" si="78"/>
        <v>108.10486449443388</v>
      </c>
      <c r="J439" s="1">
        <f t="shared" si="79"/>
        <v>52.936460205391597</v>
      </c>
      <c r="K439" s="1">
        <f t="shared" si="80"/>
        <v>73.9120342592593</v>
      </c>
      <c r="L439" s="23">
        <f t="shared" si="71"/>
        <v>-9.6311308775630655E-3</v>
      </c>
      <c r="M439" s="23">
        <f t="shared" si="72"/>
        <v>1.3247691690084329E-2</v>
      </c>
      <c r="N439" s="23">
        <f t="shared" si="73"/>
        <v>-2.6872906319093115E-3</v>
      </c>
      <c r="O439" s="23">
        <f t="shared" si="74"/>
        <v>-2.2518459259259327E-2</v>
      </c>
      <c r="P439" s="23">
        <f t="shared" si="75"/>
        <v>7.8914144403312569E-3</v>
      </c>
    </row>
    <row r="440" spans="1:16" x14ac:dyDescent="0.35">
      <c r="A440" s="2">
        <f>Prices!A438</f>
        <v>44519</v>
      </c>
      <c r="B440" s="1">
        <f>Prices!B438</f>
        <v>3117.0200199999999</v>
      </c>
      <c r="C440" s="1">
        <f>Prices!C438</f>
        <v>25.379999000000002</v>
      </c>
      <c r="D440" s="1">
        <f>Prices!D438</f>
        <v>63.110000999999997</v>
      </c>
      <c r="E440" s="1">
        <f>Prices!E438</f>
        <v>33.18</v>
      </c>
      <c r="F440" s="1">
        <f>Prices!F438</f>
        <v>315</v>
      </c>
      <c r="G440" s="1">
        <f t="shared" si="76"/>
        <v>186.45475389512393</v>
      </c>
      <c r="H440" s="1">
        <f t="shared" si="77"/>
        <v>62.496917939007218</v>
      </c>
      <c r="I440" s="1">
        <f t="shared" si="78"/>
        <v>108.13913625532709</v>
      </c>
      <c r="J440" s="1">
        <f t="shared" si="79"/>
        <v>53.241335044929471</v>
      </c>
      <c r="K440" s="1">
        <f t="shared" si="80"/>
        <v>72.916666666666714</v>
      </c>
      <c r="L440" s="23">
        <f t="shared" si="71"/>
        <v>3.7224949428351639E-3</v>
      </c>
      <c r="M440" s="23">
        <f t="shared" si="72"/>
        <v>5.5467115689382673E-3</v>
      </c>
      <c r="N440" s="23">
        <f t="shared" si="73"/>
        <v>3.1702330004734769E-4</v>
      </c>
      <c r="O440" s="23">
        <f t="shared" si="74"/>
        <v>5.7592600327820431E-3</v>
      </c>
      <c r="P440" s="23">
        <f t="shared" si="75"/>
        <v>-1.3466921896658435E-2</v>
      </c>
    </row>
    <row r="441" spans="1:16" x14ac:dyDescent="0.35">
      <c r="A441" s="2">
        <f>Prices!A439</f>
        <v>44520</v>
      </c>
      <c r="B441" s="1">
        <f>Prices!B439</f>
        <v>3099.3999020000001</v>
      </c>
      <c r="C441" s="1">
        <f>Prices!C439</f>
        <v>25.27</v>
      </c>
      <c r="D441" s="1">
        <f>Prices!D439</f>
        <v>63.529998999999997</v>
      </c>
      <c r="E441" s="1">
        <f>Prices!E439</f>
        <v>33.659999999999997</v>
      </c>
      <c r="F441" s="1">
        <f>Prices!F439</f>
        <v>318</v>
      </c>
      <c r="G441" s="1">
        <f t="shared" si="76"/>
        <v>185.40074886974298</v>
      </c>
      <c r="H441" s="1">
        <f t="shared" si="77"/>
        <v>62.226051164096276</v>
      </c>
      <c r="I441" s="1">
        <f t="shared" si="78"/>
        <v>108.85880382353018</v>
      </c>
      <c r="J441" s="1">
        <f t="shared" si="79"/>
        <v>54.011553273427538</v>
      </c>
      <c r="K441" s="1">
        <f t="shared" si="80"/>
        <v>73.611111111111157</v>
      </c>
      <c r="L441" s="23">
        <f t="shared" si="71"/>
        <v>-5.6528729000591138E-3</v>
      </c>
      <c r="M441" s="23">
        <f t="shared" si="72"/>
        <v>-4.3340821250623662E-3</v>
      </c>
      <c r="N441" s="23">
        <f t="shared" si="73"/>
        <v>6.6550149476309883E-3</v>
      </c>
      <c r="O441" s="23">
        <f t="shared" si="74"/>
        <v>1.4466546112115619E-2</v>
      </c>
      <c r="P441" s="23">
        <f t="shared" si="75"/>
        <v>9.52380952380949E-3</v>
      </c>
    </row>
    <row r="442" spans="1:16" x14ac:dyDescent="0.35">
      <c r="A442" s="2">
        <f>Prices!A440</f>
        <v>44523</v>
      </c>
      <c r="B442" s="1">
        <f>Prices!B440</f>
        <v>3098.389893</v>
      </c>
      <c r="C442" s="1">
        <f>Prices!C440</f>
        <v>25.610001</v>
      </c>
      <c r="D442" s="1">
        <f>Prices!D440</f>
        <v>65.379997000000003</v>
      </c>
      <c r="E442" s="1">
        <f>Prices!E440</f>
        <v>35.209999000000003</v>
      </c>
      <c r="F442" s="1">
        <f>Prices!F440</f>
        <v>324.60000600000001</v>
      </c>
      <c r="G442" s="1">
        <f t="shared" si="76"/>
        <v>185.34033187584546</v>
      </c>
      <c r="H442" s="1">
        <f t="shared" si="77"/>
        <v>63.063285814743047</v>
      </c>
      <c r="I442" s="1">
        <f t="shared" si="78"/>
        <v>112.02877978017901</v>
      </c>
      <c r="J442" s="1">
        <f t="shared" si="79"/>
        <v>56.498714698331277</v>
      </c>
      <c r="K442" s="1">
        <f t="shared" si="80"/>
        <v>75.138890277777833</v>
      </c>
      <c r="L442" s="23">
        <f t="shared" si="71"/>
        <v>-3.258724372251498E-4</v>
      </c>
      <c r="M442" s="23">
        <f t="shared" si="72"/>
        <v>1.3454728927582149E-2</v>
      </c>
      <c r="N442" s="23">
        <f t="shared" si="73"/>
        <v>2.9120069716985331E-2</v>
      </c>
      <c r="O442" s="23">
        <f t="shared" si="74"/>
        <v>4.6048692810457759E-2</v>
      </c>
      <c r="P442" s="23">
        <f t="shared" si="75"/>
        <v>2.0754735849056738E-2</v>
      </c>
    </row>
    <row r="443" spans="1:16" x14ac:dyDescent="0.35">
      <c r="A443" s="2">
        <f>Prices!A441</f>
        <v>44524</v>
      </c>
      <c r="B443" s="1">
        <f>Prices!B441</f>
        <v>3118.0600589999999</v>
      </c>
      <c r="C443" s="1">
        <f>Prices!C441</f>
        <v>26.66</v>
      </c>
      <c r="D443" s="1">
        <f>Prices!D441</f>
        <v>67.650002000000001</v>
      </c>
      <c r="E443" s="1">
        <f>Prices!E441</f>
        <v>37.110000999999997</v>
      </c>
      <c r="F443" s="1">
        <f>Prices!F441</f>
        <v>337.79998799999998</v>
      </c>
      <c r="G443" s="1">
        <f t="shared" si="76"/>
        <v>186.51696723175382</v>
      </c>
      <c r="H443" s="1">
        <f t="shared" si="77"/>
        <v>65.648853345263419</v>
      </c>
      <c r="I443" s="1">
        <f t="shared" si="78"/>
        <v>115.91843872655224</v>
      </c>
      <c r="J443" s="1">
        <f t="shared" si="79"/>
        <v>59.547498395378767</v>
      </c>
      <c r="K443" s="1">
        <f t="shared" si="80"/>
        <v>78.194441666666719</v>
      </c>
      <c r="L443" s="23">
        <f t="shared" si="71"/>
        <v>6.348512188359301E-3</v>
      </c>
      <c r="M443" s="23">
        <f t="shared" si="72"/>
        <v>4.0999568879360737E-2</v>
      </c>
      <c r="N443" s="23">
        <f t="shared" si="73"/>
        <v>3.4720175958405042E-2</v>
      </c>
      <c r="O443" s="23">
        <f t="shared" si="74"/>
        <v>5.396200096455539E-2</v>
      </c>
      <c r="P443" s="23">
        <f t="shared" si="75"/>
        <v>4.0665378176240718E-2</v>
      </c>
    </row>
    <row r="444" spans="1:16" x14ac:dyDescent="0.35">
      <c r="A444" s="2">
        <f>Prices!A442</f>
        <v>44525</v>
      </c>
      <c r="B444" s="1">
        <f>Prices!B442</f>
        <v>3185.070068</v>
      </c>
      <c r="C444" s="1">
        <f>Prices!C442</f>
        <v>26.75</v>
      </c>
      <c r="D444" s="1">
        <f>Prices!D442</f>
        <v>66.279999000000004</v>
      </c>
      <c r="E444" s="1">
        <f>Prices!E442</f>
        <v>36.340000000000003</v>
      </c>
      <c r="F444" s="1">
        <f>Prices!F442</f>
        <v>327.60000600000001</v>
      </c>
      <c r="G444" s="1">
        <f t="shared" si="76"/>
        <v>190.52539023078387</v>
      </c>
      <c r="H444" s="1">
        <f t="shared" si="77"/>
        <v>65.87047363037496</v>
      </c>
      <c r="I444" s="1">
        <f t="shared" si="78"/>
        <v>113.57093533977196</v>
      </c>
      <c r="J444" s="1">
        <f t="shared" si="79"/>
        <v>58.311938382541804</v>
      </c>
      <c r="K444" s="1">
        <f t="shared" si="80"/>
        <v>75.833334722222276</v>
      </c>
      <c r="L444" s="23">
        <f t="shared" si="71"/>
        <v>2.149092953055276E-2</v>
      </c>
      <c r="M444" s="23">
        <f t="shared" si="72"/>
        <v>3.3758439609903323E-3</v>
      </c>
      <c r="N444" s="23">
        <f t="shared" si="73"/>
        <v>-2.0251337169213901E-2</v>
      </c>
      <c r="O444" s="23">
        <f t="shared" si="74"/>
        <v>-2.0749150613065037E-2</v>
      </c>
      <c r="P444" s="23">
        <f t="shared" si="75"/>
        <v>-3.0195329669461035E-2</v>
      </c>
    </row>
    <row r="445" spans="1:16" x14ac:dyDescent="0.35">
      <c r="A445" s="2">
        <f>Prices!A443</f>
        <v>44527</v>
      </c>
      <c r="B445" s="1">
        <f>Prices!B443</f>
        <v>3195.3400879999999</v>
      </c>
      <c r="C445" s="1">
        <f>Prices!C443</f>
        <v>26.889999</v>
      </c>
      <c r="D445" s="1">
        <f>Prices!D443</f>
        <v>66.050003000000004</v>
      </c>
      <c r="E445" s="1">
        <f>Prices!E443</f>
        <v>36.270000000000003</v>
      </c>
      <c r="F445" s="1">
        <f>Prices!F443</f>
        <v>326.79998799999998</v>
      </c>
      <c r="G445" s="1">
        <f t="shared" si="76"/>
        <v>191.13972508885703</v>
      </c>
      <c r="H445" s="1">
        <f t="shared" si="77"/>
        <v>66.215213833656421</v>
      </c>
      <c r="I445" s="1">
        <f t="shared" si="78"/>
        <v>113.17683664878668</v>
      </c>
      <c r="J445" s="1">
        <f t="shared" si="79"/>
        <v>58.199614890885826</v>
      </c>
      <c r="K445" s="1">
        <f t="shared" si="80"/>
        <v>75.648145370370429</v>
      </c>
      <c r="L445" s="23">
        <f t="shared" si="71"/>
        <v>3.2244251400248558E-3</v>
      </c>
      <c r="M445" s="23">
        <f t="shared" si="72"/>
        <v>5.2336074766354823E-3</v>
      </c>
      <c r="N445" s="23">
        <f t="shared" si="73"/>
        <v>-3.4700664373878976E-3</v>
      </c>
      <c r="O445" s="23">
        <f t="shared" si="74"/>
        <v>-1.9262520638414493E-3</v>
      </c>
      <c r="P445" s="23">
        <f t="shared" si="75"/>
        <v>-2.4420573423311609E-3</v>
      </c>
    </row>
    <row r="446" spans="1:16" x14ac:dyDescent="0.35">
      <c r="A446" s="2">
        <f>Prices!A444</f>
        <v>44530</v>
      </c>
      <c r="B446" s="1">
        <f>Prices!B444</f>
        <v>3168.040039</v>
      </c>
      <c r="C446" s="1">
        <f>Prices!C444</f>
        <v>25.889999</v>
      </c>
      <c r="D446" s="1">
        <f>Prices!D444</f>
        <v>64.970000999999996</v>
      </c>
      <c r="E446" s="1">
        <f>Prices!E444</f>
        <v>33.840000000000003</v>
      </c>
      <c r="F446" s="1">
        <f>Prices!F444</f>
        <v>324.10000600000001</v>
      </c>
      <c r="G446" s="1">
        <f t="shared" si="76"/>
        <v>189.50668331018417</v>
      </c>
      <c r="H446" s="1">
        <f t="shared" si="77"/>
        <v>63.752766221305954</v>
      </c>
      <c r="I446" s="1">
        <f t="shared" si="78"/>
        <v>111.32625066267606</v>
      </c>
      <c r="J446" s="1">
        <f t="shared" si="79"/>
        <v>54.300385109114316</v>
      </c>
      <c r="K446" s="1">
        <f t="shared" si="80"/>
        <v>75.023149537037099</v>
      </c>
      <c r="L446" s="23">
        <f t="shared" si="71"/>
        <v>-8.543706850649313E-3</v>
      </c>
      <c r="M446" s="23">
        <f t="shared" si="72"/>
        <v>-3.7188547310842202E-2</v>
      </c>
      <c r="N446" s="23">
        <f t="shared" si="73"/>
        <v>-1.6351278591160812E-2</v>
      </c>
      <c r="O446" s="23">
        <f t="shared" si="74"/>
        <v>-6.6997518610421802E-2</v>
      </c>
      <c r="P446" s="23">
        <f t="shared" si="75"/>
        <v>-8.2618791283430859E-3</v>
      </c>
    </row>
    <row r="447" spans="1:16" x14ac:dyDescent="0.35">
      <c r="A447" s="2">
        <f>Prices!A445</f>
        <v>44531</v>
      </c>
      <c r="B447" s="1">
        <f>Prices!B445</f>
        <v>3220.080078</v>
      </c>
      <c r="C447" s="1">
        <f>Prices!C445</f>
        <v>27.290001</v>
      </c>
      <c r="D447" s="1">
        <f>Prices!D445</f>
        <v>67.510002</v>
      </c>
      <c r="E447" s="1">
        <f>Prices!E445</f>
        <v>35.060001</v>
      </c>
      <c r="F447" s="1">
        <f>Prices!F445</f>
        <v>321.20001200000002</v>
      </c>
      <c r="G447" s="1">
        <f t="shared" si="76"/>
        <v>192.61962855987099</v>
      </c>
      <c r="H447" s="1">
        <f t="shared" si="77"/>
        <v>67.200197803491832</v>
      </c>
      <c r="I447" s="1">
        <f t="shared" si="78"/>
        <v>115.67854839481629</v>
      </c>
      <c r="J447" s="1">
        <f t="shared" si="79"/>
        <v>56.258024711168225</v>
      </c>
      <c r="K447" s="1">
        <f t="shared" si="80"/>
        <v>74.351854629629699</v>
      </c>
      <c r="L447" s="23">
        <f t="shared" si="71"/>
        <v>1.6426572378935855E-2</v>
      </c>
      <c r="M447" s="23">
        <f t="shared" si="72"/>
        <v>5.4075011744882717E-2</v>
      </c>
      <c r="N447" s="23">
        <f t="shared" si="73"/>
        <v>3.9094981697783915E-2</v>
      </c>
      <c r="O447" s="23">
        <f t="shared" si="74"/>
        <v>3.6052039007092196E-2</v>
      </c>
      <c r="P447" s="23">
        <f t="shared" si="75"/>
        <v>-8.9478369216691167E-3</v>
      </c>
    </row>
    <row r="448" spans="1:16" x14ac:dyDescent="0.35">
      <c r="A448" s="2">
        <f>Prices!A446</f>
        <v>44532</v>
      </c>
      <c r="B448" s="1">
        <f>Prices!B446</f>
        <v>3203.530029</v>
      </c>
      <c r="C448" s="1">
        <f>Prices!C446</f>
        <v>27.780000999999999</v>
      </c>
      <c r="D448" s="1">
        <f>Prices!D446</f>
        <v>70.190002000000007</v>
      </c>
      <c r="E448" s="1">
        <f>Prices!E446</f>
        <v>36.389999000000003</v>
      </c>
      <c r="F448" s="1">
        <f>Prices!F446</f>
        <v>332.39999399999999</v>
      </c>
      <c r="G448" s="1">
        <f t="shared" si="76"/>
        <v>191.62963321385226</v>
      </c>
      <c r="H448" s="1">
        <f t="shared" si="77"/>
        <v>68.406797133543549</v>
      </c>
      <c r="I448" s="1">
        <f t="shared" si="78"/>
        <v>120.2707347451901</v>
      </c>
      <c r="J448" s="1">
        <f t="shared" si="79"/>
        <v>58.392167843389025</v>
      </c>
      <c r="K448" s="1">
        <f t="shared" si="80"/>
        <v>76.944443055555624</v>
      </c>
      <c r="L448" s="23">
        <f t="shared" si="71"/>
        <v>-5.139638952792458E-3</v>
      </c>
      <c r="M448" s="23">
        <f t="shared" si="72"/>
        <v>1.7955294321901905E-2</v>
      </c>
      <c r="N448" s="23">
        <f t="shared" si="73"/>
        <v>3.9697821368750663E-2</v>
      </c>
      <c r="O448" s="23">
        <f t="shared" si="74"/>
        <v>3.7934910498148788E-2</v>
      </c>
      <c r="P448" s="23">
        <f t="shared" si="75"/>
        <v>3.4869183006132509E-2</v>
      </c>
    </row>
    <row r="449" spans="1:16" x14ac:dyDescent="0.35">
      <c r="A449" s="2">
        <f>Prices!A447</f>
        <v>44533</v>
      </c>
      <c r="B449" s="1">
        <f>Prices!B447</f>
        <v>3186.7299800000001</v>
      </c>
      <c r="C449" s="1">
        <f>Prices!C447</f>
        <v>28.16</v>
      </c>
      <c r="D449" s="1">
        <f>Prices!D447</f>
        <v>72.569999999999993</v>
      </c>
      <c r="E449" s="1">
        <f>Prices!E447</f>
        <v>36.709999000000003</v>
      </c>
      <c r="F449" s="1">
        <f>Prices!F447</f>
        <v>336.10000600000001</v>
      </c>
      <c r="G449" s="1">
        <f t="shared" si="76"/>
        <v>190.62468329963227</v>
      </c>
      <c r="H449" s="1">
        <f t="shared" si="77"/>
        <v>69.342524763789115</v>
      </c>
      <c r="I449" s="1">
        <f t="shared" si="78"/>
        <v>124.34886695769639</v>
      </c>
      <c r="J449" s="1">
        <f t="shared" si="79"/>
        <v>58.905646662387738</v>
      </c>
      <c r="K449" s="1">
        <f t="shared" si="80"/>
        <v>77.800927314814885</v>
      </c>
      <c r="L449" s="23">
        <f t="shared" si="71"/>
        <v>-5.2442302235088389E-3</v>
      </c>
      <c r="M449" s="23">
        <f t="shared" si="72"/>
        <v>1.3678869198024968E-2</v>
      </c>
      <c r="N449" s="23">
        <f t="shared" si="73"/>
        <v>3.3907934637186443E-2</v>
      </c>
      <c r="O449" s="23">
        <f t="shared" si="74"/>
        <v>8.7936248637985326E-3</v>
      </c>
      <c r="P449" s="23">
        <f t="shared" si="75"/>
        <v>1.1131203570358794E-2</v>
      </c>
    </row>
    <row r="450" spans="1:16" x14ac:dyDescent="0.35">
      <c r="A450" s="2">
        <f>Prices!A448</f>
        <v>44534</v>
      </c>
      <c r="B450" s="1">
        <f>Prices!B448</f>
        <v>3162.580078</v>
      </c>
      <c r="C450" s="1">
        <f>Prices!C448</f>
        <v>28.370000999999998</v>
      </c>
      <c r="D450" s="1">
        <f>Prices!D448</f>
        <v>73.919998000000007</v>
      </c>
      <c r="E450" s="1">
        <f>Prices!E448</f>
        <v>38.229999999999997</v>
      </c>
      <c r="F450" s="1">
        <f>Prices!F448</f>
        <v>334.89999399999999</v>
      </c>
      <c r="G450" s="1">
        <f t="shared" si="76"/>
        <v>189.18007787358133</v>
      </c>
      <c r="H450" s="1">
        <f t="shared" si="77"/>
        <v>69.859641224830312</v>
      </c>
      <c r="I450" s="1">
        <f t="shared" si="78"/>
        <v>126.662091729574</v>
      </c>
      <c r="J450" s="1">
        <f t="shared" si="79"/>
        <v>61.344672657252936</v>
      </c>
      <c r="K450" s="1">
        <f t="shared" si="80"/>
        <v>77.523146759259333</v>
      </c>
      <c r="L450" s="23">
        <f t="shared" si="71"/>
        <v>-7.5782705631055602E-3</v>
      </c>
      <c r="M450" s="23">
        <f t="shared" si="72"/>
        <v>7.45742187499987E-3</v>
      </c>
      <c r="N450" s="23">
        <f t="shared" si="73"/>
        <v>1.860270084056781E-2</v>
      </c>
      <c r="O450" s="23">
        <f t="shared" si="74"/>
        <v>4.1405639918431936E-2</v>
      </c>
      <c r="P450" s="23">
        <f t="shared" si="75"/>
        <v>-3.5704016024326046E-3</v>
      </c>
    </row>
    <row r="451" spans="1:16" x14ac:dyDescent="0.35">
      <c r="A451" s="2">
        <f>Prices!A449</f>
        <v>44537</v>
      </c>
      <c r="B451" s="1">
        <f>Prices!B449</f>
        <v>3158</v>
      </c>
      <c r="C451" s="1">
        <f>Prices!C449</f>
        <v>27.32</v>
      </c>
      <c r="D451" s="1">
        <f>Prices!D449</f>
        <v>72.970000999999996</v>
      </c>
      <c r="E451" s="1">
        <f>Prices!E449</f>
        <v>37.419998</v>
      </c>
      <c r="F451" s="1">
        <f>Prices!F449</f>
        <v>338.20001200000002</v>
      </c>
      <c r="G451" s="1">
        <f t="shared" si="76"/>
        <v>188.90610551830898</v>
      </c>
      <c r="H451" s="1">
        <f t="shared" si="77"/>
        <v>67.274068769414711</v>
      </c>
      <c r="I451" s="1">
        <f t="shared" si="78"/>
        <v>125.03426961901576</v>
      </c>
      <c r="J451" s="1">
        <f t="shared" si="79"/>
        <v>60.044926187419826</v>
      </c>
      <c r="K451" s="1">
        <f t="shared" si="80"/>
        <v>78.287039814814904</v>
      </c>
      <c r="L451" s="23">
        <f t="shared" si="71"/>
        <v>-1.4482093376418925E-3</v>
      </c>
      <c r="M451" s="23">
        <f t="shared" si="72"/>
        <v>-3.7010960979521945E-2</v>
      </c>
      <c r="N451" s="23">
        <f t="shared" si="73"/>
        <v>-1.2851691365035056E-2</v>
      </c>
      <c r="O451" s="23">
        <f t="shared" si="74"/>
        <v>-2.1187601360188268E-2</v>
      </c>
      <c r="P451" s="23">
        <f t="shared" si="75"/>
        <v>9.8537415918855675E-3</v>
      </c>
    </row>
    <row r="452" spans="1:16" x14ac:dyDescent="0.35">
      <c r="A452" s="2">
        <f>Prices!A450</f>
        <v>44538</v>
      </c>
      <c r="B452" s="1">
        <f>Prices!B450</f>
        <v>3177.290039</v>
      </c>
      <c r="C452" s="1">
        <f>Prices!C450</f>
        <v>26.620000999999998</v>
      </c>
      <c r="D452" s="1">
        <f>Prices!D450</f>
        <v>72.889999000000003</v>
      </c>
      <c r="E452" s="1">
        <f>Prices!E450</f>
        <v>37.389999000000003</v>
      </c>
      <c r="F452" s="1">
        <f>Prices!F450</f>
        <v>333.10000600000001</v>
      </c>
      <c r="G452" s="1">
        <f t="shared" si="76"/>
        <v>190.06000233363079</v>
      </c>
      <c r="H452" s="1">
        <f t="shared" si="77"/>
        <v>65.550357903216991</v>
      </c>
      <c r="I452" s="1">
        <f t="shared" si="78"/>
        <v>124.89718600244764</v>
      </c>
      <c r="J452" s="1">
        <f t="shared" si="79"/>
        <v>59.996789152760016</v>
      </c>
      <c r="K452" s="1">
        <f t="shared" si="80"/>
        <v>77.106482870370456</v>
      </c>
      <c r="L452" s="23">
        <f t="shared" si="71"/>
        <v>6.1083087397086899E-3</v>
      </c>
      <c r="M452" s="23">
        <f t="shared" si="72"/>
        <v>-2.5622218155197718E-2</v>
      </c>
      <c r="N452" s="23">
        <f t="shared" si="73"/>
        <v>-1.0963683555382797E-3</v>
      </c>
      <c r="O452" s="23">
        <f t="shared" si="74"/>
        <v>-8.0168363450994207E-4</v>
      </c>
      <c r="P452" s="23">
        <f t="shared" si="75"/>
        <v>-1.5079851623423401E-2</v>
      </c>
    </row>
    <row r="453" spans="1:16" x14ac:dyDescent="0.35">
      <c r="A453" s="2">
        <f>Prices!A451</f>
        <v>44539</v>
      </c>
      <c r="B453" s="1">
        <f>Prices!B451</f>
        <v>3104.1999510000001</v>
      </c>
      <c r="C453" s="1">
        <f>Prices!C451</f>
        <v>26.91</v>
      </c>
      <c r="D453" s="1">
        <f>Prices!D451</f>
        <v>72.389999000000003</v>
      </c>
      <c r="E453" s="1">
        <f>Prices!E451</f>
        <v>37.580002</v>
      </c>
      <c r="F453" s="1">
        <f>Prices!F451</f>
        <v>330</v>
      </c>
      <c r="G453" s="1">
        <f t="shared" si="76"/>
        <v>185.68787951030259</v>
      </c>
      <c r="H453" s="1">
        <f t="shared" si="77"/>
        <v>66.264465248351016</v>
      </c>
      <c r="I453" s="1">
        <f t="shared" si="78"/>
        <v>124.0404348176764</v>
      </c>
      <c r="J453" s="1">
        <f t="shared" si="79"/>
        <v>60.301672015404435</v>
      </c>
      <c r="K453" s="1">
        <f t="shared" si="80"/>
        <v>76.388888888888971</v>
      </c>
      <c r="L453" s="23">
        <f t="shared" ref="L453:L467" si="81">B453/B452-1</f>
        <v>-2.3003908079793578E-2</v>
      </c>
      <c r="M453" s="23">
        <f t="shared" ref="M453:M467" si="82">C453/C452-1</f>
        <v>1.0894026638090804E-2</v>
      </c>
      <c r="N453" s="23">
        <f t="shared" ref="N453:N467" si="83">D453/D452-1</f>
        <v>-6.8596516238119687E-3</v>
      </c>
      <c r="O453" s="23">
        <f t="shared" ref="O453:O467" si="84">E453/E452-1</f>
        <v>5.0816529842645508E-3</v>
      </c>
      <c r="P453" s="23">
        <f t="shared" ref="P453:P467" si="85">F453/F452-1</f>
        <v>-9.3065324051661014E-3</v>
      </c>
    </row>
    <row r="454" spans="1:16" x14ac:dyDescent="0.35">
      <c r="A454" s="2">
        <f>Prices!A452</f>
        <v>44540</v>
      </c>
      <c r="B454" s="1">
        <f>Prices!B452</f>
        <v>3101.48999</v>
      </c>
      <c r="C454" s="1">
        <f>Prices!C452</f>
        <v>26.780000999999999</v>
      </c>
      <c r="D454" s="1">
        <f>Prices!D452</f>
        <v>73.980002999999996</v>
      </c>
      <c r="E454" s="1">
        <f>Prices!E452</f>
        <v>38.419998</v>
      </c>
      <c r="F454" s="1">
        <f>Prices!F452</f>
        <v>333.20001200000002</v>
      </c>
      <c r="G454" s="1">
        <f t="shared" ref="G454:G467" si="86">G453*B454/B453</f>
        <v>185.52577432391359</v>
      </c>
      <c r="H454" s="1">
        <f t="shared" ref="H454:H467" si="87">H453*C454/C453</f>
        <v>65.944349521193061</v>
      </c>
      <c r="I454" s="1">
        <f t="shared" ref="I454:I467" si="88">I453*D454/D453</f>
        <v>126.76491043925839</v>
      </c>
      <c r="J454" s="1">
        <f t="shared" ref="J454:J467" si="89">J453*E454/E453</f>
        <v>61.649547496790831</v>
      </c>
      <c r="K454" s="1">
        <f t="shared" ref="K454:K467" si="90">K453*F454/F453</f>
        <v>77.129632407407499</v>
      </c>
      <c r="L454" s="23">
        <f t="shared" si="81"/>
        <v>-8.7299820977282394E-4</v>
      </c>
      <c r="M454" s="23">
        <f t="shared" si="82"/>
        <v>-4.8308807134894716E-3</v>
      </c>
      <c r="N454" s="23">
        <f t="shared" si="83"/>
        <v>2.1964415277861749E-2</v>
      </c>
      <c r="O454" s="23">
        <f t="shared" si="84"/>
        <v>2.235220743202726E-2</v>
      </c>
      <c r="P454" s="23">
        <f t="shared" si="85"/>
        <v>9.6970060606060837E-3</v>
      </c>
    </row>
    <row r="455" spans="1:16" x14ac:dyDescent="0.35">
      <c r="A455" s="2">
        <f>Prices!A453</f>
        <v>44541</v>
      </c>
      <c r="B455" s="1">
        <f>Prices!B453</f>
        <v>3116.419922</v>
      </c>
      <c r="C455" s="1">
        <f>Prices!C453</f>
        <v>26.549999</v>
      </c>
      <c r="D455" s="1">
        <f>Prices!D453</f>
        <v>74.120002999999997</v>
      </c>
      <c r="E455" s="1">
        <f>Prices!E453</f>
        <v>37.810001</v>
      </c>
      <c r="F455" s="1">
        <f>Prices!F453</f>
        <v>323.79998799999998</v>
      </c>
      <c r="G455" s="1">
        <f t="shared" si="86"/>
        <v>186.41885706925024</v>
      </c>
      <c r="H455" s="1">
        <f t="shared" si="87"/>
        <v>65.37798164545724</v>
      </c>
      <c r="I455" s="1">
        <f t="shared" si="88"/>
        <v>127.00480077099432</v>
      </c>
      <c r="J455" s="1">
        <f t="shared" si="89"/>
        <v>60.670733311938449</v>
      </c>
      <c r="K455" s="1">
        <f t="shared" si="90"/>
        <v>74.953700925926</v>
      </c>
      <c r="L455" s="23">
        <f t="shared" si="81"/>
        <v>4.8137933858041215E-3</v>
      </c>
      <c r="M455" s="23">
        <f t="shared" si="82"/>
        <v>-8.5885732416514093E-3</v>
      </c>
      <c r="N455" s="23">
        <f t="shared" si="83"/>
        <v>1.8924032755176512E-3</v>
      </c>
      <c r="O455" s="23">
        <f t="shared" si="84"/>
        <v>-1.5877070061273812E-2</v>
      </c>
      <c r="P455" s="23">
        <f t="shared" si="85"/>
        <v>-2.8211355526601922E-2</v>
      </c>
    </row>
    <row r="456" spans="1:16" x14ac:dyDescent="0.35">
      <c r="A456" s="2">
        <f>Prices!A454</f>
        <v>44544</v>
      </c>
      <c r="B456" s="1">
        <f>Prices!B454</f>
        <v>3156.969971</v>
      </c>
      <c r="C456" s="1">
        <f>Prices!C454</f>
        <v>26.68</v>
      </c>
      <c r="D456" s="1">
        <f>Prices!D454</f>
        <v>74.389999000000003</v>
      </c>
      <c r="E456" s="1">
        <f>Prices!E454</f>
        <v>36.419998</v>
      </c>
      <c r="F456" s="1">
        <f>Prices!F454</f>
        <v>316</v>
      </c>
      <c r="G456" s="1">
        <f t="shared" si="86"/>
        <v>188.84449096258987</v>
      </c>
      <c r="H456" s="1">
        <f t="shared" si="87"/>
        <v>65.698102297510417</v>
      </c>
      <c r="I456" s="1">
        <f t="shared" si="88"/>
        <v>127.46743955676132</v>
      </c>
      <c r="J456" s="1">
        <f t="shared" si="89"/>
        <v>58.440304878048849</v>
      </c>
      <c r="K456" s="1">
        <f t="shared" si="90"/>
        <v>73.148148148148223</v>
      </c>
      <c r="L456" s="23">
        <f t="shared" si="81"/>
        <v>1.3011741040975133E-2</v>
      </c>
      <c r="M456" s="23">
        <f t="shared" si="82"/>
        <v>4.8964596947818073E-3</v>
      </c>
      <c r="N456" s="23">
        <f t="shared" si="83"/>
        <v>3.6426873862918097E-3</v>
      </c>
      <c r="O456" s="23">
        <f t="shared" si="84"/>
        <v>-3.6762839546076731E-2</v>
      </c>
      <c r="P456" s="23">
        <f t="shared" si="85"/>
        <v>-2.4088907625283706E-2</v>
      </c>
    </row>
    <row r="457" spans="1:16" x14ac:dyDescent="0.35">
      <c r="A457" s="2">
        <f>Prices!A455</f>
        <v>44545</v>
      </c>
      <c r="B457" s="1">
        <f>Prices!B455</f>
        <v>3165.1201169999999</v>
      </c>
      <c r="C457" s="1">
        <f>Prices!C455</f>
        <v>26.940000999999999</v>
      </c>
      <c r="D457" s="1">
        <f>Prices!D455</f>
        <v>76.190002000000007</v>
      </c>
      <c r="E457" s="1">
        <f>Prices!E455</f>
        <v>37.580002</v>
      </c>
      <c r="F457" s="1">
        <f>Prices!F455</f>
        <v>320.29998799999998</v>
      </c>
      <c r="G457" s="1">
        <f t="shared" si="86"/>
        <v>189.33201861941873</v>
      </c>
      <c r="H457" s="1">
        <f t="shared" si="87"/>
        <v>66.338341139169145</v>
      </c>
      <c r="I457" s="1">
        <f t="shared" si="88"/>
        <v>130.55174896244489</v>
      </c>
      <c r="J457" s="1">
        <f t="shared" si="89"/>
        <v>60.301672015404442</v>
      </c>
      <c r="K457" s="1">
        <f t="shared" si="90"/>
        <v>74.14351574074081</v>
      </c>
      <c r="L457" s="23">
        <f t="shared" si="81"/>
        <v>2.5816355793268908E-3</v>
      </c>
      <c r="M457" s="23">
        <f t="shared" si="82"/>
        <v>9.7451649175412935E-3</v>
      </c>
      <c r="N457" s="23">
        <f t="shared" si="83"/>
        <v>2.4196841298519178E-2</v>
      </c>
      <c r="O457" s="23">
        <f t="shared" si="84"/>
        <v>3.1850743099985923E-2</v>
      </c>
      <c r="P457" s="23">
        <f t="shared" si="85"/>
        <v>1.3607556962025313E-2</v>
      </c>
    </row>
    <row r="458" spans="1:16" x14ac:dyDescent="0.35">
      <c r="A458" s="2">
        <f>Prices!A456</f>
        <v>44546</v>
      </c>
      <c r="B458" s="1">
        <f>Prices!B456</f>
        <v>3240.959961</v>
      </c>
      <c r="C458" s="1">
        <f>Prices!C456</f>
        <v>26.66</v>
      </c>
      <c r="D458" s="1">
        <f>Prices!D456</f>
        <v>75.900002000000001</v>
      </c>
      <c r="E458" s="1">
        <f>Prices!E456</f>
        <v>37.830002</v>
      </c>
      <c r="F458" s="1">
        <f>Prices!F456</f>
        <v>324.60000600000001</v>
      </c>
      <c r="G458" s="1">
        <f t="shared" si="86"/>
        <v>193.86862709730224</v>
      </c>
      <c r="H458" s="1">
        <f t="shared" si="87"/>
        <v>65.648853345263404</v>
      </c>
      <c r="I458" s="1">
        <f t="shared" si="88"/>
        <v>130.05483327527756</v>
      </c>
      <c r="J458" s="1">
        <f t="shared" si="89"/>
        <v>60.702827342747192</v>
      </c>
      <c r="K458" s="1">
        <f t="shared" si="90"/>
        <v>75.138890277777847</v>
      </c>
      <c r="L458" s="23">
        <f t="shared" si="81"/>
        <v>2.3961126654454823E-2</v>
      </c>
      <c r="M458" s="23">
        <f t="shared" si="82"/>
        <v>-1.0393503697345818E-2</v>
      </c>
      <c r="N458" s="23">
        <f t="shared" si="83"/>
        <v>-3.8062736892959803E-3</v>
      </c>
      <c r="O458" s="23">
        <f t="shared" si="84"/>
        <v>6.6524743665528074E-3</v>
      </c>
      <c r="P458" s="23">
        <f t="shared" si="85"/>
        <v>1.3424970843270989E-2</v>
      </c>
    </row>
    <row r="459" spans="1:16" x14ac:dyDescent="0.35">
      <c r="A459" s="2">
        <f>Prices!A457</f>
        <v>44547</v>
      </c>
      <c r="B459" s="1">
        <f>Prices!B457</f>
        <v>3236.080078</v>
      </c>
      <c r="C459" s="1">
        <f>Prices!C457</f>
        <v>26.690000999999999</v>
      </c>
      <c r="D459" s="1">
        <f>Prices!D457</f>
        <v>76.599997999999999</v>
      </c>
      <c r="E459" s="1">
        <f>Prices!E457</f>
        <v>38.099997999999999</v>
      </c>
      <c r="F459" s="1">
        <f>Prices!F457</f>
        <v>328.70001200000002</v>
      </c>
      <c r="G459" s="1">
        <f t="shared" si="86"/>
        <v>193.57672092475156</v>
      </c>
      <c r="H459" s="1">
        <f t="shared" si="87"/>
        <v>65.72272923608152</v>
      </c>
      <c r="I459" s="1">
        <f t="shared" si="88"/>
        <v>131.2542780799478</v>
      </c>
      <c r="J459" s="1">
        <f t="shared" si="89"/>
        <v>61.136068677792125</v>
      </c>
      <c r="K459" s="1">
        <f t="shared" si="90"/>
        <v>76.087965740740813</v>
      </c>
      <c r="L459" s="23">
        <f t="shared" si="81"/>
        <v>-1.505690615966282E-3</v>
      </c>
      <c r="M459" s="23">
        <f t="shared" si="82"/>
        <v>1.1253188297073446E-3</v>
      </c>
      <c r="N459" s="23">
        <f t="shared" si="83"/>
        <v>9.2226084526321195E-3</v>
      </c>
      <c r="O459" s="23">
        <f t="shared" si="84"/>
        <v>7.1370865906905667E-3</v>
      </c>
      <c r="P459" s="23">
        <f t="shared" si="85"/>
        <v>1.2630948626661587E-2</v>
      </c>
    </row>
    <row r="460" spans="1:16" x14ac:dyDescent="0.35">
      <c r="A460" s="2">
        <f>Prices!A458</f>
        <v>44548</v>
      </c>
      <c r="B460" s="1">
        <f>Prices!B458</f>
        <v>3201.6499020000001</v>
      </c>
      <c r="C460" s="1">
        <f>Prices!C458</f>
        <v>26.200001</v>
      </c>
      <c r="D460" s="1">
        <f>Prices!D458</f>
        <v>76.610000999999997</v>
      </c>
      <c r="E460" s="1">
        <f>Prices!E458</f>
        <v>37.299999</v>
      </c>
      <c r="F460" s="1">
        <f>Prices!F458</f>
        <v>331.89999399999999</v>
      </c>
      <c r="G460" s="1">
        <f t="shared" si="86"/>
        <v>191.51716726405809</v>
      </c>
      <c r="H460" s="1">
        <f t="shared" si="87"/>
        <v>64.516129906029789</v>
      </c>
      <c r="I460" s="1">
        <f t="shared" si="88"/>
        <v>131.27141824415034</v>
      </c>
      <c r="J460" s="1">
        <f t="shared" si="89"/>
        <v>59.852373234916641</v>
      </c>
      <c r="K460" s="1">
        <f t="shared" si="90"/>
        <v>76.82870231481489</v>
      </c>
      <c r="L460" s="23">
        <f t="shared" si="81"/>
        <v>-1.0639469719574635E-2</v>
      </c>
      <c r="M460" s="23">
        <f t="shared" si="82"/>
        <v>-1.835893524320209E-2</v>
      </c>
      <c r="N460" s="23">
        <f t="shared" si="83"/>
        <v>1.3058747077243638E-4</v>
      </c>
      <c r="O460" s="23">
        <f t="shared" si="84"/>
        <v>-2.0997350183587948E-2</v>
      </c>
      <c r="P460" s="23">
        <f t="shared" si="85"/>
        <v>9.7352658447726892E-3</v>
      </c>
    </row>
    <row r="461" spans="1:16" x14ac:dyDescent="0.35">
      <c r="A461" s="2">
        <f>Prices!A459</f>
        <v>44551</v>
      </c>
      <c r="B461" s="1">
        <f>Prices!B459</f>
        <v>3206.179932</v>
      </c>
      <c r="C461" s="1">
        <f>Prices!C459</f>
        <v>25.58</v>
      </c>
      <c r="D461" s="1">
        <f>Prices!D459</f>
        <v>76.279999000000004</v>
      </c>
      <c r="E461" s="1">
        <f>Prices!E459</f>
        <v>35.540000999999997</v>
      </c>
      <c r="F461" s="1">
        <f>Prices!F459</f>
        <v>326.10000600000001</v>
      </c>
      <c r="G461" s="1">
        <f t="shared" si="86"/>
        <v>191.78814583441306</v>
      </c>
      <c r="H461" s="1">
        <f t="shared" si="87"/>
        <v>62.989409923924882</v>
      </c>
      <c r="I461" s="1">
        <f t="shared" si="88"/>
        <v>130.7059590351966</v>
      </c>
      <c r="J461" s="1">
        <f t="shared" si="89"/>
        <v>57.028242939666313</v>
      </c>
      <c r="K461" s="1">
        <f t="shared" si="90"/>
        <v>75.486112500000075</v>
      </c>
      <c r="L461" s="23">
        <f t="shared" si="81"/>
        <v>1.4149048580140988E-3</v>
      </c>
      <c r="M461" s="23">
        <f t="shared" si="82"/>
        <v>-2.3664159402131402E-2</v>
      </c>
      <c r="N461" s="23">
        <f t="shared" si="83"/>
        <v>-4.3075577038563795E-3</v>
      </c>
      <c r="O461" s="23">
        <f t="shared" si="84"/>
        <v>-4.7184934240882992E-2</v>
      </c>
      <c r="P461" s="23">
        <f t="shared" si="85"/>
        <v>-1.7475107275838009E-2</v>
      </c>
    </row>
    <row r="462" spans="1:16" x14ac:dyDescent="0.35">
      <c r="A462" s="2">
        <f>Prices!A460</f>
        <v>44552</v>
      </c>
      <c r="B462" s="1">
        <f>Prices!B460</f>
        <v>3206.5200199999999</v>
      </c>
      <c r="C462" s="1">
        <f>Prices!C460</f>
        <v>25.530000999999999</v>
      </c>
      <c r="D462" s="1">
        <f>Prices!D460</f>
        <v>75.290001000000004</v>
      </c>
      <c r="E462" s="1">
        <f>Prices!E460</f>
        <v>34.939999</v>
      </c>
      <c r="F462" s="1">
        <f>Prices!F460</f>
        <v>314.20001200000002</v>
      </c>
      <c r="G462" s="1">
        <f t="shared" si="86"/>
        <v>191.80848931117475</v>
      </c>
      <c r="H462" s="1">
        <f t="shared" si="87"/>
        <v>62.866290005754969</v>
      </c>
      <c r="I462" s="1">
        <f t="shared" si="88"/>
        <v>129.00959511635429</v>
      </c>
      <c r="J462" s="1">
        <f t="shared" si="89"/>
        <v>56.065466944801109</v>
      </c>
      <c r="K462" s="1">
        <f t="shared" si="90"/>
        <v>72.731484259259332</v>
      </c>
      <c r="L462" s="23">
        <f t="shared" si="81"/>
        <v>1.0607264944972883E-4</v>
      </c>
      <c r="M462" s="23">
        <f t="shared" si="82"/>
        <v>-1.9546129788897693E-3</v>
      </c>
      <c r="N462" s="23">
        <f t="shared" si="83"/>
        <v>-1.2978474213142022E-2</v>
      </c>
      <c r="O462" s="23">
        <f t="shared" si="84"/>
        <v>-1.688244184348775E-2</v>
      </c>
      <c r="P462" s="23">
        <f t="shared" si="85"/>
        <v>-3.6491854587699657E-2</v>
      </c>
    </row>
    <row r="463" spans="1:16" x14ac:dyDescent="0.35">
      <c r="A463" s="2">
        <f>Prices!A461</f>
        <v>44553</v>
      </c>
      <c r="B463" s="1">
        <f>Prices!B461</f>
        <v>3185.2700199999999</v>
      </c>
      <c r="C463" s="1">
        <f>Prices!C461</f>
        <v>26.030000999999999</v>
      </c>
      <c r="D463" s="1">
        <f>Prices!D461</f>
        <v>76.129997000000003</v>
      </c>
      <c r="E463" s="1">
        <f>Prices!E461</f>
        <v>35.939999</v>
      </c>
      <c r="F463" s="1">
        <f>Prices!F461</f>
        <v>317.70001200000002</v>
      </c>
      <c r="G463" s="1">
        <f t="shared" si="86"/>
        <v>190.53735101406772</v>
      </c>
      <c r="H463" s="1">
        <f t="shared" si="87"/>
        <v>64.097513811930199</v>
      </c>
      <c r="I463" s="1">
        <f t="shared" si="88"/>
        <v>130.44893025276048</v>
      </c>
      <c r="J463" s="1">
        <f t="shared" si="89"/>
        <v>57.6700882541721</v>
      </c>
      <c r="K463" s="1">
        <f t="shared" si="90"/>
        <v>73.541669444444523</v>
      </c>
      <c r="L463" s="23">
        <f t="shared" si="81"/>
        <v>-6.6271221971039296E-3</v>
      </c>
      <c r="M463" s="23">
        <f t="shared" si="82"/>
        <v>1.958480142636887E-2</v>
      </c>
      <c r="N463" s="23">
        <f t="shared" si="83"/>
        <v>1.1156806864698998E-2</v>
      </c>
      <c r="O463" s="23">
        <f t="shared" si="84"/>
        <v>2.8620493091599641E-2</v>
      </c>
      <c r="P463" s="23">
        <f t="shared" si="85"/>
        <v>1.1139401229558255E-2</v>
      </c>
    </row>
    <row r="464" spans="1:16" x14ac:dyDescent="0.35">
      <c r="A464" s="2">
        <f>Prices!A462</f>
        <v>44554</v>
      </c>
      <c r="B464" s="1">
        <f>Prices!B462</f>
        <v>3172.6899410000001</v>
      </c>
      <c r="C464" s="1">
        <f>Prices!C462</f>
        <v>26.049999</v>
      </c>
      <c r="D464" s="1">
        <f>Prices!D462</f>
        <v>75.940002000000007</v>
      </c>
      <c r="E464" s="1">
        <f>Prices!E462</f>
        <v>35.830002</v>
      </c>
      <c r="F464" s="1">
        <f>Prices!F462</f>
        <v>326</v>
      </c>
      <c r="G464" s="1">
        <f t="shared" si="86"/>
        <v>189.7848324165368</v>
      </c>
      <c r="H464" s="1">
        <f t="shared" si="87"/>
        <v>64.146757839281989</v>
      </c>
      <c r="I464" s="1">
        <f t="shared" si="88"/>
        <v>130.12337337005926</v>
      </c>
      <c r="J464" s="1">
        <f t="shared" si="89"/>
        <v>57.493584724005217</v>
      </c>
      <c r="K464" s="1">
        <f t="shared" si="90"/>
        <v>75.462962962963033</v>
      </c>
      <c r="L464" s="23">
        <f t="shared" si="81"/>
        <v>-3.9494544955406274E-3</v>
      </c>
      <c r="M464" s="23">
        <f t="shared" si="82"/>
        <v>7.6826735427326653E-4</v>
      </c>
      <c r="N464" s="23">
        <f t="shared" si="83"/>
        <v>-2.495665407684089E-3</v>
      </c>
      <c r="O464" s="23">
        <f t="shared" si="84"/>
        <v>-3.0605732626759474E-3</v>
      </c>
      <c r="P464" s="23">
        <f t="shared" si="85"/>
        <v>2.612523665878852E-2</v>
      </c>
    </row>
    <row r="465" spans="1:16" x14ac:dyDescent="0.35">
      <c r="A465" s="2">
        <f>Prices!A463</f>
        <v>44558</v>
      </c>
      <c r="B465" s="1">
        <f>Prices!B463</f>
        <v>3283.959961</v>
      </c>
      <c r="C465" s="1">
        <f>Prices!C463</f>
        <v>25.85</v>
      </c>
      <c r="D465" s="1">
        <f>Prices!D463</f>
        <v>75.589995999999999</v>
      </c>
      <c r="E465" s="1">
        <f>Prices!E463</f>
        <v>35.900002000000001</v>
      </c>
      <c r="F465" s="1">
        <f>Prices!F463</f>
        <v>328</v>
      </c>
      <c r="G465" s="1">
        <f t="shared" si="86"/>
        <v>196.44081282791879</v>
      </c>
      <c r="H465" s="1">
        <f t="shared" si="87"/>
        <v>63.654270779259505</v>
      </c>
      <c r="I465" s="1">
        <f t="shared" si="88"/>
        <v>129.52363725970514</v>
      </c>
      <c r="J465" s="1">
        <f t="shared" si="89"/>
        <v>57.605908215661188</v>
      </c>
      <c r="K465" s="1">
        <f t="shared" si="90"/>
        <v>75.925925925925995</v>
      </c>
      <c r="L465" s="23">
        <f t="shared" si="81"/>
        <v>3.5071192606022095E-2</v>
      </c>
      <c r="M465" s="23">
        <f t="shared" si="82"/>
        <v>-7.6775050931863209E-3</v>
      </c>
      <c r="N465" s="23">
        <f t="shared" si="83"/>
        <v>-4.6089806529108213E-3</v>
      </c>
      <c r="O465" s="23">
        <f t="shared" si="84"/>
        <v>1.9536699997950713E-3</v>
      </c>
      <c r="P465" s="23">
        <f t="shared" si="85"/>
        <v>6.1349693251533388E-3</v>
      </c>
    </row>
    <row r="466" spans="1:16" x14ac:dyDescent="0.35">
      <c r="A466" s="2">
        <f>Prices!A464</f>
        <v>44559</v>
      </c>
      <c r="B466" s="1">
        <f>Prices!B464</f>
        <v>3322</v>
      </c>
      <c r="C466" s="1">
        <f>Prices!C464</f>
        <v>25.82</v>
      </c>
      <c r="D466" s="1">
        <f>Prices!D464</f>
        <v>76.129997000000003</v>
      </c>
      <c r="E466" s="1">
        <f>Prices!E464</f>
        <v>36.139999000000003</v>
      </c>
      <c r="F466" s="1">
        <f>Prices!F464</f>
        <v>328.70001200000002</v>
      </c>
      <c r="G466" s="1">
        <f t="shared" si="86"/>
        <v>198.71630225833505</v>
      </c>
      <c r="H466" s="1">
        <f t="shared" si="87"/>
        <v>63.580397350888987</v>
      </c>
      <c r="I466" s="1">
        <f t="shared" si="88"/>
        <v>130.44893025276045</v>
      </c>
      <c r="J466" s="1">
        <f t="shared" si="89"/>
        <v>57.991012516046304</v>
      </c>
      <c r="K466" s="1">
        <f t="shared" si="90"/>
        <v>76.087965740740813</v>
      </c>
      <c r="L466" s="23">
        <f t="shared" si="81"/>
        <v>1.1583587940096729E-2</v>
      </c>
      <c r="M466" s="23">
        <f t="shared" si="82"/>
        <v>-1.1605415860735935E-3</v>
      </c>
      <c r="N466" s="23">
        <f t="shared" si="83"/>
        <v>7.1438156975163203E-3</v>
      </c>
      <c r="O466" s="23">
        <f t="shared" si="84"/>
        <v>6.6851528309108676E-3</v>
      </c>
      <c r="P466" s="23">
        <f t="shared" si="85"/>
        <v>2.13418292682932E-3</v>
      </c>
    </row>
    <row r="467" spans="1:16" x14ac:dyDescent="0.35">
      <c r="A467" s="2">
        <f>Prices!A465</f>
        <v>44560</v>
      </c>
      <c r="B467" s="1">
        <f>Prices!B465</f>
        <v>3285.8500979999999</v>
      </c>
      <c r="C467" s="1">
        <f>Prices!C465</f>
        <v>25.940000999999999</v>
      </c>
      <c r="D467" s="1">
        <f>Prices!D465</f>
        <v>75.989998</v>
      </c>
      <c r="E467" s="1">
        <f>Prices!E465</f>
        <v>36.029998999999997</v>
      </c>
      <c r="F467" s="1">
        <f>Prices!F465</f>
        <v>328</v>
      </c>
      <c r="G467" s="1">
        <f t="shared" si="86"/>
        <v>196.55387755862367</v>
      </c>
      <c r="H467" s="1">
        <f t="shared" si="87"/>
        <v>63.875893526818658</v>
      </c>
      <c r="I467" s="1">
        <f t="shared" si="88"/>
        <v>130.20904163452687</v>
      </c>
      <c r="J467" s="1">
        <f t="shared" si="89"/>
        <v>57.814504172015482</v>
      </c>
      <c r="K467" s="1">
        <f t="shared" si="90"/>
        <v>75.925925925925995</v>
      </c>
      <c r="L467" s="23">
        <f t="shared" si="81"/>
        <v>-1.0881969295605143E-2</v>
      </c>
      <c r="M467" s="23">
        <f t="shared" si="82"/>
        <v>4.6475987606506841E-3</v>
      </c>
      <c r="N467" s="23">
        <f t="shared" si="83"/>
        <v>-1.8389466112812558E-3</v>
      </c>
      <c r="O467" s="23">
        <f t="shared" si="84"/>
        <v>-3.0437189552774413E-3</v>
      </c>
      <c r="P467" s="23">
        <f t="shared" si="85"/>
        <v>-2.129637890004088E-3</v>
      </c>
    </row>
    <row r="468" spans="1:16" x14ac:dyDescent="0.35">
      <c r="A468" s="2"/>
      <c r="L468" s="6"/>
      <c r="M468" s="6"/>
      <c r="N468" s="6"/>
      <c r="O468" s="6"/>
      <c r="P468" s="6"/>
    </row>
    <row r="469" spans="1:16" x14ac:dyDescent="0.35">
      <c r="A469" s="2"/>
      <c r="L469" s="6"/>
      <c r="M469" s="6"/>
      <c r="N469" s="6"/>
      <c r="O469" s="6"/>
      <c r="P469" s="6"/>
    </row>
    <row r="470" spans="1:16" x14ac:dyDescent="0.35">
      <c r="A470" s="2"/>
      <c r="L470" s="6"/>
      <c r="M470" s="6"/>
      <c r="N470" s="6"/>
      <c r="O470" s="6"/>
      <c r="P470" s="6"/>
    </row>
    <row r="471" spans="1:16" x14ac:dyDescent="0.35">
      <c r="A471" s="2"/>
      <c r="L471" s="6"/>
      <c r="M471" s="6"/>
      <c r="N471" s="6"/>
      <c r="O471" s="6"/>
      <c r="P471" s="6"/>
    </row>
    <row r="472" spans="1:16" x14ac:dyDescent="0.35">
      <c r="A472" s="2"/>
      <c r="L472" s="6"/>
      <c r="M472" s="6"/>
      <c r="N472" s="6"/>
      <c r="O472" s="6"/>
      <c r="P472" s="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B5"/>
  <sheetViews>
    <sheetView workbookViewId="0"/>
  </sheetViews>
  <sheetFormatPr defaultColWidth="8.81640625" defaultRowHeight="14.5" x14ac:dyDescent="0.35"/>
  <cols>
    <col min="1" max="1" width="22.36328125" bestFit="1" customWidth="1"/>
  </cols>
  <sheetData>
    <row r="1" spans="1:2" ht="15.5" x14ac:dyDescent="0.35">
      <c r="A1" s="3" t="s">
        <v>9</v>
      </c>
    </row>
    <row r="3" spans="1:2" x14ac:dyDescent="0.35">
      <c r="A3" t="s">
        <v>61</v>
      </c>
      <c r="B3">
        <v>1000</v>
      </c>
    </row>
    <row r="4" spans="1:2" x14ac:dyDescent="0.35">
      <c r="A4" t="s">
        <v>59</v>
      </c>
      <c r="B4">
        <v>5</v>
      </c>
    </row>
    <row r="5" spans="1:2" x14ac:dyDescent="0.35">
      <c r="A5" t="s">
        <v>60</v>
      </c>
      <c r="B5">
        <f>B3/B4</f>
        <v>200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99D9-25E2-224C-83A9-854C8E8BAAA0}">
  <sheetPr codeName="Sheet3"/>
  <dimension ref="A1:Z472"/>
  <sheetViews>
    <sheetView topLeftCell="A193" zoomScale="80" zoomScaleNormal="80" workbookViewId="0">
      <selection activeCell="G216" sqref="G216"/>
    </sheetView>
  </sheetViews>
  <sheetFormatPr defaultColWidth="9.1796875" defaultRowHeight="14.5" x14ac:dyDescent="0.35"/>
  <cols>
    <col min="1" max="1" width="19.81640625" style="1" bestFit="1" customWidth="1"/>
    <col min="2" max="6" width="9.1796875" style="1"/>
    <col min="7" max="7" width="10.81640625" style="1" bestFit="1" customWidth="1"/>
    <col min="8" max="20" width="9.1796875" style="1"/>
    <col min="21" max="21" width="20.453125" style="1" bestFit="1" customWidth="1"/>
    <col min="22" max="16384" width="9.1796875" style="1"/>
  </cols>
  <sheetData>
    <row r="1" spans="1:26" ht="15.5" x14ac:dyDescent="0.35">
      <c r="A1" s="5" t="s">
        <v>62</v>
      </c>
    </row>
    <row r="2" spans="1:26" x14ac:dyDescent="0.35">
      <c r="G2" s="4" t="s">
        <v>15</v>
      </c>
      <c r="H2" s="4"/>
      <c r="I2" s="4"/>
      <c r="J2" s="4"/>
      <c r="K2" s="4"/>
      <c r="L2" s="4" t="s">
        <v>16</v>
      </c>
      <c r="M2" s="4"/>
      <c r="N2" s="4"/>
      <c r="O2" s="4"/>
      <c r="P2" s="4"/>
    </row>
    <row r="3" spans="1:26" x14ac:dyDescent="0.35">
      <c r="A3" s="4" t="s">
        <v>0</v>
      </c>
      <c r="B3" s="4" t="s">
        <v>4</v>
      </c>
      <c r="C3" s="4" t="s">
        <v>7</v>
      </c>
      <c r="D3" s="4" t="s">
        <v>8</v>
      </c>
      <c r="E3" s="4" t="s">
        <v>6</v>
      </c>
      <c r="F3" s="4" t="s">
        <v>5</v>
      </c>
      <c r="G3" s="4" t="str">
        <f>B3</f>
        <v>Tech</v>
      </c>
      <c r="H3" s="4" t="str">
        <f t="shared" ref="H3:K3" si="0">C3</f>
        <v>Banking</v>
      </c>
      <c r="I3" s="4" t="str">
        <f t="shared" si="0"/>
        <v>Mining</v>
      </c>
      <c r="J3" s="4" t="str">
        <f t="shared" si="0"/>
        <v>Energy</v>
      </c>
      <c r="K3" s="4" t="str">
        <f t="shared" si="0"/>
        <v>Insurance</v>
      </c>
      <c r="L3" s="4" t="str">
        <f t="shared" ref="L3:P3" si="1">G3</f>
        <v>Tech</v>
      </c>
      <c r="M3" s="4" t="str">
        <f t="shared" si="1"/>
        <v>Banking</v>
      </c>
      <c r="N3" s="4" t="str">
        <f t="shared" si="1"/>
        <v>Mining</v>
      </c>
      <c r="O3" s="4" t="str">
        <f t="shared" si="1"/>
        <v>Energy</v>
      </c>
      <c r="P3" s="4" t="str">
        <f t="shared" si="1"/>
        <v>Insurance</v>
      </c>
    </row>
    <row r="4" spans="1:26" x14ac:dyDescent="0.35">
      <c r="A4" s="2">
        <f>Prices!A2</f>
        <v>43891</v>
      </c>
      <c r="B4" s="1">
        <f>Prices!B2</f>
        <v>1671.7299800000001</v>
      </c>
      <c r="C4" s="1">
        <f>Prices!C2</f>
        <v>40.610000999999997</v>
      </c>
      <c r="D4" s="1">
        <f>Prices!D2</f>
        <v>58.360000999999997</v>
      </c>
      <c r="E4" s="1">
        <f>Prices!E2</f>
        <v>62.32</v>
      </c>
      <c r="F4" s="1">
        <f>Prices!F2</f>
        <v>432</v>
      </c>
      <c r="G4" s="10"/>
      <c r="H4" s="10" t="s">
        <v>63</v>
      </c>
      <c r="I4" s="10"/>
      <c r="J4" s="10"/>
      <c r="K4" s="10"/>
      <c r="L4" s="10"/>
      <c r="M4" s="10"/>
      <c r="N4" s="10"/>
      <c r="O4" s="10"/>
      <c r="P4" s="10"/>
      <c r="U4" s="4"/>
    </row>
    <row r="5" spans="1:26" x14ac:dyDescent="0.35">
      <c r="A5" s="2">
        <f>Prices!A3</f>
        <v>43894</v>
      </c>
      <c r="B5" s="1">
        <f>Prices!B3</f>
        <v>1696.170044</v>
      </c>
      <c r="C5" s="1">
        <f>Prices!C3</f>
        <v>40.68</v>
      </c>
      <c r="D5" s="1">
        <f>Prices!D3</f>
        <v>58.66</v>
      </c>
      <c r="E5" s="1">
        <f>Prices!E3</f>
        <v>62.290000999999997</v>
      </c>
      <c r="F5" s="1">
        <f>Prices!F3</f>
        <v>434.5</v>
      </c>
      <c r="V5" s="4"/>
      <c r="W5" s="4"/>
      <c r="X5" s="4"/>
      <c r="Y5" s="4"/>
      <c r="Z5" s="4"/>
    </row>
    <row r="6" spans="1:26" x14ac:dyDescent="0.35">
      <c r="A6" s="2">
        <f>Prices!A4</f>
        <v>43895</v>
      </c>
      <c r="B6" s="1">
        <f>Prices!B4</f>
        <v>1692.4300539999999</v>
      </c>
      <c r="C6" s="1">
        <f>Prices!C4</f>
        <v>41</v>
      </c>
      <c r="D6" s="1">
        <f>Prices!D4</f>
        <v>58.919998</v>
      </c>
      <c r="E6" s="1">
        <f>Prices!E4</f>
        <v>62.380001</v>
      </c>
      <c r="F6" s="1">
        <f>Prices!F4</f>
        <v>438.79998799999998</v>
      </c>
      <c r="V6" s="6"/>
      <c r="W6" s="6"/>
      <c r="X6" s="6"/>
      <c r="Y6" s="6"/>
      <c r="Z6" s="6"/>
    </row>
    <row r="7" spans="1:26" x14ac:dyDescent="0.35">
      <c r="A7" s="2">
        <f>Prices!A5</f>
        <v>43896</v>
      </c>
      <c r="B7" s="1">
        <f>Prices!B5</f>
        <v>1668.9499510000001</v>
      </c>
      <c r="C7" s="1">
        <f>Prices!C5</f>
        <v>40.970001000000003</v>
      </c>
      <c r="D7" s="1">
        <f>Prices!D5</f>
        <v>59.189999</v>
      </c>
      <c r="E7" s="1">
        <f>Prices!E5</f>
        <v>62.389999000000003</v>
      </c>
      <c r="F7" s="1">
        <f>Prices!F5</f>
        <v>433.29998799999998</v>
      </c>
      <c r="V7" s="6"/>
      <c r="W7" s="6"/>
      <c r="X7" s="6"/>
      <c r="Y7" s="6"/>
      <c r="Z7" s="6"/>
    </row>
    <row r="8" spans="1:26" x14ac:dyDescent="0.35">
      <c r="A8" s="2">
        <f>Prices!A6</f>
        <v>43897</v>
      </c>
      <c r="B8" s="1">
        <f>Prices!B6</f>
        <v>1625.9499510000001</v>
      </c>
      <c r="C8" s="1">
        <f>Prices!C6</f>
        <v>40.869999</v>
      </c>
      <c r="D8" s="1">
        <f>Prices!D6</f>
        <v>54.740001999999997</v>
      </c>
      <c r="E8" s="1">
        <f>Prices!E6</f>
        <v>61.57</v>
      </c>
      <c r="F8" s="1">
        <f>Prices!F6</f>
        <v>419</v>
      </c>
      <c r="V8" s="6"/>
      <c r="W8" s="6"/>
      <c r="X8" s="6"/>
      <c r="Y8" s="6"/>
      <c r="Z8" s="6"/>
    </row>
    <row r="9" spans="1:26" x14ac:dyDescent="0.35">
      <c r="A9" s="2">
        <f>Prices!A7</f>
        <v>43898</v>
      </c>
      <c r="B9" s="1">
        <f>Prices!B7</f>
        <v>1620.8000489999999</v>
      </c>
      <c r="C9" s="1">
        <f>Prices!C7</f>
        <v>40.869999</v>
      </c>
      <c r="D9" s="1">
        <f>Prices!D7</f>
        <v>54.66</v>
      </c>
      <c r="E9" s="1">
        <f>Prices!E7</f>
        <v>60.799999</v>
      </c>
      <c r="F9" s="1">
        <f>Prices!F7</f>
        <v>414.89999399999999</v>
      </c>
      <c r="V9" s="6"/>
      <c r="W9" s="6"/>
      <c r="X9" s="6"/>
      <c r="Y9" s="6"/>
      <c r="Z9" s="6"/>
    </row>
    <row r="10" spans="1:26" x14ac:dyDescent="0.35">
      <c r="A10" s="2">
        <f>Prices!A8</f>
        <v>43901</v>
      </c>
      <c r="B10" s="1">
        <f>Prices!B8</f>
        <v>1670.619995</v>
      </c>
      <c r="C10" s="1">
        <f>Prices!C8</f>
        <v>41.009998000000003</v>
      </c>
      <c r="D10" s="1">
        <f>Prices!D8</f>
        <v>55.279998999999997</v>
      </c>
      <c r="E10" s="1">
        <f>Prices!E8</f>
        <v>61.23</v>
      </c>
      <c r="F10" s="1">
        <f>Prices!F8</f>
        <v>421.70001200000002</v>
      </c>
    </row>
    <row r="11" spans="1:26" x14ac:dyDescent="0.35">
      <c r="A11" s="2">
        <f>Prices!A9</f>
        <v>43902</v>
      </c>
      <c r="B11" s="1">
        <f>Prices!B9</f>
        <v>1673.099976</v>
      </c>
      <c r="C11" s="1">
        <f>Prices!C9</f>
        <v>41.07</v>
      </c>
      <c r="D11" s="1">
        <f>Prices!D9</f>
        <v>55.32</v>
      </c>
      <c r="E11" s="1">
        <f>Prices!E9</f>
        <v>61.34</v>
      </c>
      <c r="F11" s="1">
        <f>Prices!F9</f>
        <v>420</v>
      </c>
      <c r="U11" s="4"/>
    </row>
    <row r="12" spans="1:26" x14ac:dyDescent="0.35">
      <c r="A12" s="2">
        <f>Prices!A10</f>
        <v>43903</v>
      </c>
      <c r="B12" s="1">
        <f>Prices!B10</f>
        <v>1690.8100589999999</v>
      </c>
      <c r="C12" s="1">
        <f>Prices!C10</f>
        <v>41.119999</v>
      </c>
      <c r="D12" s="1">
        <f>Prices!D10</f>
        <v>56.029998999999997</v>
      </c>
      <c r="E12" s="1">
        <f>Prices!E10</f>
        <v>62.990001999999997</v>
      </c>
      <c r="F12" s="1">
        <f>Prices!F10</f>
        <v>419.79998799999998</v>
      </c>
      <c r="V12" s="6"/>
      <c r="W12" s="6"/>
      <c r="X12" s="6"/>
      <c r="Y12" s="6"/>
      <c r="Z12" s="6"/>
    </row>
    <row r="13" spans="1:26" x14ac:dyDescent="0.35">
      <c r="A13" s="2">
        <f>Prices!A11</f>
        <v>43904</v>
      </c>
      <c r="B13" s="1">
        <f>Prices!B11</f>
        <v>1686.219971</v>
      </c>
      <c r="C13" s="1">
        <f>Prices!C11</f>
        <v>41.139999000000003</v>
      </c>
      <c r="D13" s="1">
        <f>Prices!D11</f>
        <v>56</v>
      </c>
      <c r="E13" s="1">
        <f>Prices!E11</f>
        <v>63.049999</v>
      </c>
      <c r="F13" s="1">
        <f>Prices!F11</f>
        <v>425.60000600000001</v>
      </c>
      <c r="V13" s="6"/>
      <c r="W13" s="6"/>
      <c r="X13" s="6"/>
      <c r="Y13" s="6"/>
      <c r="Z13" s="6"/>
    </row>
    <row r="14" spans="1:26" x14ac:dyDescent="0.35">
      <c r="A14" s="2">
        <f>Prices!A12</f>
        <v>43905</v>
      </c>
      <c r="B14" s="1">
        <f>Prices!B12</f>
        <v>1712.3599850000001</v>
      </c>
      <c r="C14" s="1">
        <f>Prices!C12</f>
        <v>41.41</v>
      </c>
      <c r="D14" s="1">
        <f>Prices!D12</f>
        <v>55.98</v>
      </c>
      <c r="E14" s="1">
        <f>Prices!E12</f>
        <v>63.290000999999997</v>
      </c>
      <c r="F14" s="1">
        <f>Prices!F12</f>
        <v>433.89999399999999</v>
      </c>
      <c r="V14" s="6"/>
      <c r="W14" s="6"/>
      <c r="X14" s="6"/>
      <c r="Y14" s="6"/>
      <c r="Z14" s="6"/>
    </row>
    <row r="15" spans="1:26" x14ac:dyDescent="0.35">
      <c r="A15" s="2">
        <f>Prices!A13</f>
        <v>43908</v>
      </c>
      <c r="B15" s="1">
        <f>Prices!B13</f>
        <v>1742.150024</v>
      </c>
      <c r="C15" s="1">
        <f>Prices!C13</f>
        <v>41.529998999999997</v>
      </c>
      <c r="D15" s="1">
        <f>Prices!D13</f>
        <v>56.990001999999997</v>
      </c>
      <c r="E15" s="1">
        <f>Prices!E13</f>
        <v>64.089995999999999</v>
      </c>
      <c r="F15" s="1">
        <f>Prices!F13</f>
        <v>436</v>
      </c>
      <c r="V15" s="6"/>
      <c r="W15" s="6"/>
      <c r="X15" s="6"/>
      <c r="Y15" s="6"/>
      <c r="Z15" s="6"/>
    </row>
    <row r="16" spans="1:26" x14ac:dyDescent="0.35">
      <c r="A16" s="2">
        <f>Prices!A14</f>
        <v>43909</v>
      </c>
      <c r="B16" s="1">
        <f>Prices!B14</f>
        <v>1761.849976</v>
      </c>
      <c r="C16" s="1">
        <f>Prices!C14</f>
        <v>41.380001</v>
      </c>
      <c r="D16" s="1">
        <f>Prices!D14</f>
        <v>56.52</v>
      </c>
      <c r="E16" s="1">
        <f>Prices!E14</f>
        <v>63.950001</v>
      </c>
      <c r="F16" s="1">
        <f>Prices!F14</f>
        <v>434.29998799999998</v>
      </c>
    </row>
    <row r="17" spans="1:6" x14ac:dyDescent="0.35">
      <c r="A17" s="2">
        <f>Prices!A15</f>
        <v>43910</v>
      </c>
      <c r="B17" s="1">
        <f>Prices!B15</f>
        <v>1797.2700199999999</v>
      </c>
      <c r="C17" s="1">
        <f>Prices!C15</f>
        <v>41.209999000000003</v>
      </c>
      <c r="D17" s="1">
        <f>Prices!D15</f>
        <v>56.650002000000001</v>
      </c>
      <c r="E17" s="1">
        <f>Prices!E15</f>
        <v>64.480002999999996</v>
      </c>
      <c r="F17" s="1">
        <f>Prices!F15</f>
        <v>427.60000600000001</v>
      </c>
    </row>
    <row r="18" spans="1:6" x14ac:dyDescent="0.35">
      <c r="A18" s="2">
        <f>Prices!A16</f>
        <v>43911</v>
      </c>
      <c r="B18" s="1">
        <f>Prices!B16</f>
        <v>1819.26001</v>
      </c>
      <c r="C18" s="1">
        <f>Prices!C16</f>
        <v>41.07</v>
      </c>
      <c r="D18" s="1">
        <f>Prices!D16</f>
        <v>56.830002</v>
      </c>
      <c r="E18" s="1">
        <f>Prices!E16</f>
        <v>64.080001999999993</v>
      </c>
      <c r="F18" s="1">
        <f>Prices!F16</f>
        <v>424.5</v>
      </c>
    </row>
    <row r="19" spans="1:6" x14ac:dyDescent="0.35">
      <c r="A19" s="2">
        <f>Prices!A17</f>
        <v>43912</v>
      </c>
      <c r="B19" s="1">
        <f>Prices!B17</f>
        <v>1764.7700199999999</v>
      </c>
      <c r="C19" s="1">
        <f>Prices!C17</f>
        <v>40.419998</v>
      </c>
      <c r="D19" s="1">
        <f>Prices!D17</f>
        <v>56.139999000000003</v>
      </c>
      <c r="E19" s="1">
        <f>Prices!E17</f>
        <v>62.880001</v>
      </c>
      <c r="F19" s="1">
        <f>Prices!F17</f>
        <v>409.89999399999999</v>
      </c>
    </row>
    <row r="20" spans="1:6" x14ac:dyDescent="0.35">
      <c r="A20" s="2">
        <f>Prices!A18</f>
        <v>43915</v>
      </c>
      <c r="B20" s="1">
        <f>Prices!B18</f>
        <v>1774.26001</v>
      </c>
      <c r="C20" s="1">
        <f>Prices!C18</f>
        <v>40.43</v>
      </c>
      <c r="D20" s="1">
        <f>Prices!D18</f>
        <v>56.950001</v>
      </c>
      <c r="E20" s="1">
        <f>Prices!E18</f>
        <v>62.790000999999997</v>
      </c>
      <c r="F20" s="1">
        <f>Prices!F18</f>
        <v>409</v>
      </c>
    </row>
    <row r="21" spans="1:6" x14ac:dyDescent="0.35">
      <c r="A21" s="2">
        <f>Prices!A19</f>
        <v>43916</v>
      </c>
      <c r="B21" s="1">
        <f>Prices!B19</f>
        <v>1783.76001</v>
      </c>
      <c r="C21" s="1">
        <f>Prices!C19</f>
        <v>40.580002</v>
      </c>
      <c r="D21" s="1">
        <f>Prices!D19</f>
        <v>57.790000999999997</v>
      </c>
      <c r="E21" s="1">
        <f>Prices!E19</f>
        <v>63.200001</v>
      </c>
      <c r="F21" s="1">
        <f>Prices!F19</f>
        <v>405</v>
      </c>
    </row>
    <row r="22" spans="1:6" x14ac:dyDescent="0.35">
      <c r="A22" s="2">
        <f>Prices!A20</f>
        <v>43917</v>
      </c>
      <c r="B22" s="1">
        <f>Prices!B20</f>
        <v>1765.6999510000001</v>
      </c>
      <c r="C22" s="1">
        <f>Prices!C20</f>
        <v>40.650002000000001</v>
      </c>
      <c r="D22" s="1">
        <f>Prices!D20</f>
        <v>57.66</v>
      </c>
      <c r="E22" s="1">
        <f>Prices!E20</f>
        <v>62.580002</v>
      </c>
      <c r="F22" s="1">
        <f>Prices!F20</f>
        <v>410.89999399999999</v>
      </c>
    </row>
    <row r="23" spans="1:6" x14ac:dyDescent="0.35">
      <c r="A23" s="2">
        <f>Prices!A21</f>
        <v>43918</v>
      </c>
      <c r="B23" s="1">
        <f>Prices!B21</f>
        <v>1773.420044</v>
      </c>
      <c r="C23" s="1">
        <f>Prices!C21</f>
        <v>40.509998000000003</v>
      </c>
      <c r="D23" s="1">
        <f>Prices!D21</f>
        <v>58.02</v>
      </c>
      <c r="E23" s="1">
        <f>Prices!E21</f>
        <v>62.639999000000003</v>
      </c>
      <c r="F23" s="1">
        <f>Prices!F21</f>
        <v>407.10000600000001</v>
      </c>
    </row>
    <row r="24" spans="1:6" x14ac:dyDescent="0.35">
      <c r="A24" s="2">
        <f>Prices!A22</f>
        <v>43919</v>
      </c>
      <c r="B24" s="1">
        <f>Prices!B22</f>
        <v>1780.75</v>
      </c>
      <c r="C24" s="1">
        <f>Prices!C22</f>
        <v>40.580002</v>
      </c>
      <c r="D24" s="1">
        <f>Prices!D22</f>
        <v>58.849997999999999</v>
      </c>
      <c r="E24" s="1">
        <f>Prices!E22</f>
        <v>62.59</v>
      </c>
      <c r="F24" s="1">
        <f>Prices!F22</f>
        <v>412.39999399999999</v>
      </c>
    </row>
    <row r="25" spans="1:6" x14ac:dyDescent="0.35">
      <c r="A25" s="2">
        <f>Prices!A23</f>
        <v>43922</v>
      </c>
      <c r="B25" s="1">
        <f>Prices!B23</f>
        <v>1814.1899410000001</v>
      </c>
      <c r="C25" s="1">
        <f>Prices!C23</f>
        <v>41.759998000000003</v>
      </c>
      <c r="D25" s="1">
        <f>Prices!D23</f>
        <v>59.849997999999999</v>
      </c>
      <c r="E25" s="1">
        <f>Prices!E23</f>
        <v>63.279998999999997</v>
      </c>
      <c r="F25" s="1">
        <f>Prices!F23</f>
        <v>416.39999399999999</v>
      </c>
    </row>
    <row r="26" spans="1:6" x14ac:dyDescent="0.35">
      <c r="A26" s="2">
        <f>Prices!A24</f>
        <v>43923</v>
      </c>
      <c r="B26" s="1">
        <f>Prices!B24</f>
        <v>1813.9799800000001</v>
      </c>
      <c r="C26" s="1">
        <f>Prices!C24</f>
        <v>42.150002000000001</v>
      </c>
      <c r="D26" s="1">
        <f>Prices!D24</f>
        <v>60.98</v>
      </c>
      <c r="E26" s="1">
        <f>Prices!E24</f>
        <v>63.509998000000003</v>
      </c>
      <c r="F26" s="1">
        <f>Prices!F24</f>
        <v>422.39999399999999</v>
      </c>
    </row>
    <row r="27" spans="1:6" x14ac:dyDescent="0.35">
      <c r="A27" s="2">
        <f>Prices!A25</f>
        <v>43924</v>
      </c>
      <c r="B27" s="1">
        <f>Prices!B25</f>
        <v>1820.6999510000001</v>
      </c>
      <c r="C27" s="1">
        <f>Prices!C25</f>
        <v>42.549999</v>
      </c>
      <c r="D27" s="1">
        <f>Prices!D25</f>
        <v>61.02</v>
      </c>
      <c r="E27" s="1">
        <f>Prices!E25</f>
        <v>63.82</v>
      </c>
      <c r="F27" s="1">
        <f>Prices!F25</f>
        <v>428.60000600000001</v>
      </c>
    </row>
    <row r="28" spans="1:6" x14ac:dyDescent="0.35">
      <c r="A28" s="2">
        <f>Prices!A26</f>
        <v>43925</v>
      </c>
      <c r="B28" s="1">
        <f>Prices!B26</f>
        <v>1818.8599850000001</v>
      </c>
      <c r="C28" s="1">
        <f>Prices!C26</f>
        <v>42.299999</v>
      </c>
      <c r="D28" s="1">
        <f>Prices!D26</f>
        <v>61.040000999999997</v>
      </c>
      <c r="E28" s="1">
        <f>Prices!E26</f>
        <v>63.970001000000003</v>
      </c>
      <c r="F28" s="1">
        <f>Prices!F26</f>
        <v>429.10000600000001</v>
      </c>
    </row>
    <row r="29" spans="1:6" x14ac:dyDescent="0.35">
      <c r="A29" s="2">
        <f>Prices!A27</f>
        <v>43926</v>
      </c>
      <c r="B29" s="1">
        <f>Prices!B27</f>
        <v>1837.280029</v>
      </c>
      <c r="C29" s="1">
        <f>Prices!C27</f>
        <v>42.48</v>
      </c>
      <c r="D29" s="1">
        <f>Prices!D27</f>
        <v>61.07</v>
      </c>
      <c r="E29" s="1">
        <f>Prices!E27</f>
        <v>64.519997000000004</v>
      </c>
      <c r="F29" s="1">
        <f>Prices!F27</f>
        <v>430.5</v>
      </c>
    </row>
    <row r="30" spans="1:6" x14ac:dyDescent="0.35">
      <c r="A30" s="2">
        <f>Prices!A28</f>
        <v>43929</v>
      </c>
      <c r="B30" s="1">
        <f>Prices!B28</f>
        <v>1849.8599850000001</v>
      </c>
      <c r="C30" s="1">
        <f>Prices!C28</f>
        <v>42.560001</v>
      </c>
      <c r="D30" s="1">
        <f>Prices!D28</f>
        <v>62.360000999999997</v>
      </c>
      <c r="E30" s="1">
        <f>Prices!E28</f>
        <v>65.300003000000004</v>
      </c>
      <c r="F30" s="1">
        <f>Prices!F28</f>
        <v>429.60000600000001</v>
      </c>
    </row>
    <row r="31" spans="1:6" x14ac:dyDescent="0.35">
      <c r="A31" s="2">
        <f>Prices!A29</f>
        <v>43930</v>
      </c>
      <c r="B31" s="1">
        <f>Prices!B29</f>
        <v>1835.839966</v>
      </c>
      <c r="C31" s="1">
        <f>Prices!C29</f>
        <v>42.630001</v>
      </c>
      <c r="D31" s="1">
        <f>Prices!D29</f>
        <v>61.889999000000003</v>
      </c>
      <c r="E31" s="1">
        <f>Prices!E29</f>
        <v>64.569999999999993</v>
      </c>
      <c r="F31" s="1">
        <f>Prices!F29</f>
        <v>431.70001200000002</v>
      </c>
    </row>
    <row r="32" spans="1:6" x14ac:dyDescent="0.35">
      <c r="A32" s="2">
        <f>Prices!A30</f>
        <v>43931</v>
      </c>
      <c r="B32" s="1">
        <f>Prices!B30</f>
        <v>1847.329956</v>
      </c>
      <c r="C32" s="1">
        <f>Prices!C30</f>
        <v>42.540000999999997</v>
      </c>
      <c r="D32" s="1">
        <f>Prices!D30</f>
        <v>62.400002000000001</v>
      </c>
      <c r="E32" s="1">
        <f>Prices!E30</f>
        <v>65.010002</v>
      </c>
      <c r="F32" s="1">
        <f>Prices!F30</f>
        <v>429.89999399999999</v>
      </c>
    </row>
    <row r="33" spans="1:6" x14ac:dyDescent="0.35">
      <c r="A33" s="2">
        <f>Prices!A31</f>
        <v>43932</v>
      </c>
      <c r="B33" s="1">
        <f>Prices!B31</f>
        <v>1844.0699460000001</v>
      </c>
      <c r="C33" s="1">
        <f>Prices!C31</f>
        <v>42.59</v>
      </c>
      <c r="D33" s="1">
        <f>Prices!D31</f>
        <v>62.060001</v>
      </c>
      <c r="E33" s="1">
        <f>Prices!E31</f>
        <v>64.919998000000007</v>
      </c>
      <c r="F33" s="1">
        <f>Prices!F31</f>
        <v>416.5</v>
      </c>
    </row>
    <row r="34" spans="1:6" x14ac:dyDescent="0.35">
      <c r="A34" s="2">
        <f>Prices!A32</f>
        <v>43933</v>
      </c>
      <c r="B34" s="1">
        <f>Prices!B32</f>
        <v>1843.0600589999999</v>
      </c>
      <c r="C34" s="1">
        <f>Prices!C32</f>
        <v>43.040000999999997</v>
      </c>
      <c r="D34" s="1">
        <f>Prices!D32</f>
        <v>62.779998999999997</v>
      </c>
      <c r="E34" s="1">
        <f>Prices!E32</f>
        <v>64.5</v>
      </c>
      <c r="F34" s="1">
        <f>Prices!F32</f>
        <v>418</v>
      </c>
    </row>
    <row r="35" spans="1:6" x14ac:dyDescent="0.35">
      <c r="A35" s="2">
        <f>Prices!A33</f>
        <v>43936</v>
      </c>
      <c r="B35" s="1">
        <f>Prices!B33</f>
        <v>1844.869995</v>
      </c>
      <c r="C35" s="1">
        <f>Prices!C33</f>
        <v>42.889999000000003</v>
      </c>
      <c r="D35" s="1">
        <f>Prices!D33</f>
        <v>62.459999000000003</v>
      </c>
      <c r="E35" s="1">
        <f>Prices!E33</f>
        <v>64.580001999999993</v>
      </c>
      <c r="F35" s="1">
        <f>Prices!F33</f>
        <v>418.70001200000002</v>
      </c>
    </row>
    <row r="36" spans="1:6" x14ac:dyDescent="0.35">
      <c r="A36" s="2">
        <f>Prices!A34</f>
        <v>43937</v>
      </c>
      <c r="B36" s="1">
        <f>Prices!B34</f>
        <v>1863.040039</v>
      </c>
      <c r="C36" s="1">
        <f>Prices!C34</f>
        <v>43.330002</v>
      </c>
      <c r="D36" s="1">
        <f>Prices!D34</f>
        <v>60.34</v>
      </c>
      <c r="E36" s="1">
        <f>Prices!E34</f>
        <v>64.300003000000004</v>
      </c>
      <c r="F36" s="1">
        <f>Prices!F34</f>
        <v>426.29998799999998</v>
      </c>
    </row>
    <row r="37" spans="1:6" x14ac:dyDescent="0.35">
      <c r="A37" s="2">
        <f>Prices!A35</f>
        <v>43938</v>
      </c>
      <c r="B37" s="1">
        <f>Prices!B35</f>
        <v>1864.8199460000001</v>
      </c>
      <c r="C37" s="1">
        <f>Prices!C35</f>
        <v>43.459999000000003</v>
      </c>
      <c r="D37" s="1">
        <f>Prices!D35</f>
        <v>60.459999000000003</v>
      </c>
      <c r="E37" s="1">
        <f>Prices!E35</f>
        <v>64.589995999999999</v>
      </c>
      <c r="F37" s="1">
        <f>Prices!F35</f>
        <v>435</v>
      </c>
    </row>
    <row r="38" spans="1:6" x14ac:dyDescent="0.35">
      <c r="A38" s="2">
        <f>Prices!A36</f>
        <v>43939</v>
      </c>
      <c r="B38" s="1">
        <f>Prices!B36</f>
        <v>1861.6899410000001</v>
      </c>
      <c r="C38" s="1">
        <f>Prices!C36</f>
        <v>43.25</v>
      </c>
      <c r="D38" s="1">
        <f>Prices!D36</f>
        <v>60.77</v>
      </c>
      <c r="E38" s="1">
        <f>Prices!E36</f>
        <v>64.199996999999996</v>
      </c>
      <c r="F38" s="1">
        <f>Prices!F36</f>
        <v>431.60000600000001</v>
      </c>
    </row>
    <row r="39" spans="1:6" x14ac:dyDescent="0.35">
      <c r="A39" s="2">
        <f>Prices!A37</f>
        <v>43943</v>
      </c>
      <c r="B39" s="1">
        <f>Prices!B37</f>
        <v>1887.3100589999999</v>
      </c>
      <c r="C39" s="1">
        <f>Prices!C37</f>
        <v>43.220001000000003</v>
      </c>
      <c r="D39" s="1">
        <f>Prices!D37</f>
        <v>60.869999</v>
      </c>
      <c r="E39" s="1">
        <f>Prices!E37</f>
        <v>65.239998</v>
      </c>
      <c r="F39" s="1">
        <f>Prices!F37</f>
        <v>425.60000600000001</v>
      </c>
    </row>
    <row r="40" spans="1:6" x14ac:dyDescent="0.35">
      <c r="A40" s="2">
        <f>Prices!A38</f>
        <v>43944</v>
      </c>
      <c r="B40" s="1">
        <f>Prices!B38</f>
        <v>1923.7700199999999</v>
      </c>
      <c r="C40" s="1">
        <f>Prices!C38</f>
        <v>43.150002000000001</v>
      </c>
      <c r="D40" s="1">
        <f>Prices!D38</f>
        <v>60.599997999999999</v>
      </c>
      <c r="E40" s="1">
        <f>Prices!E38</f>
        <v>65</v>
      </c>
      <c r="F40" s="1">
        <f>Prices!F38</f>
        <v>422.79998799999998</v>
      </c>
    </row>
    <row r="41" spans="1:6" x14ac:dyDescent="0.35">
      <c r="A41" s="2">
        <f>Prices!A39</f>
        <v>43945</v>
      </c>
      <c r="B41" s="1">
        <f>Prices!B39</f>
        <v>1901.75</v>
      </c>
      <c r="C41" s="1">
        <f>Prices!C39</f>
        <v>42.830002</v>
      </c>
      <c r="D41" s="1">
        <f>Prices!D39</f>
        <v>59.43</v>
      </c>
      <c r="E41" s="1">
        <f>Prices!E39</f>
        <v>63.459999000000003</v>
      </c>
      <c r="F41" s="1">
        <f>Prices!F39</f>
        <v>418.79998799999998</v>
      </c>
    </row>
    <row r="42" spans="1:6" x14ac:dyDescent="0.35">
      <c r="A42" s="2">
        <f>Prices!A40</f>
        <v>43946</v>
      </c>
      <c r="B42" s="1">
        <f>Prices!B40</f>
        <v>1902.25</v>
      </c>
      <c r="C42" s="1">
        <f>Prices!C40</f>
        <v>42.759998000000003</v>
      </c>
      <c r="D42" s="1">
        <f>Prices!D40</f>
        <v>59.34</v>
      </c>
      <c r="E42" s="1">
        <f>Prices!E40</f>
        <v>63.619999</v>
      </c>
      <c r="F42" s="1">
        <f>Prices!F40</f>
        <v>424.5</v>
      </c>
    </row>
    <row r="43" spans="1:6" x14ac:dyDescent="0.35">
      <c r="A43" s="2">
        <f>Prices!A41</f>
        <v>43947</v>
      </c>
      <c r="B43" s="1">
        <f>Prices!B41</f>
        <v>1950.630005</v>
      </c>
      <c r="C43" s="1">
        <f>Prices!C41</f>
        <v>43.07</v>
      </c>
      <c r="D43" s="1">
        <f>Prices!D41</f>
        <v>59.299999</v>
      </c>
      <c r="E43" s="1">
        <f>Prices!E41</f>
        <v>63.060001</v>
      </c>
      <c r="F43" s="1">
        <f>Prices!F41</f>
        <v>431.39999399999999</v>
      </c>
    </row>
    <row r="44" spans="1:6" x14ac:dyDescent="0.35">
      <c r="A44" s="2">
        <f>Prices!A42</f>
        <v>43950</v>
      </c>
      <c r="B44" s="1">
        <f>Prices!B42</f>
        <v>1938.4300539999999</v>
      </c>
      <c r="C44" s="1">
        <f>Prices!C42</f>
        <v>43.299999</v>
      </c>
      <c r="D44" s="1">
        <f>Prices!D42</f>
        <v>59.290000999999997</v>
      </c>
      <c r="E44" s="1">
        <f>Prices!E42</f>
        <v>63.130001</v>
      </c>
      <c r="F44" s="1">
        <f>Prices!F42</f>
        <v>429.5</v>
      </c>
    </row>
    <row r="45" spans="1:6" x14ac:dyDescent="0.35">
      <c r="A45" s="2">
        <f>Prices!A43</f>
        <v>43951</v>
      </c>
      <c r="B45" s="1">
        <f>Prices!B43</f>
        <v>1926.5200199999999</v>
      </c>
      <c r="C45" s="1">
        <f>Prices!C43</f>
        <v>43.57</v>
      </c>
      <c r="D45" s="1">
        <f>Prices!D43</f>
        <v>58.900002000000001</v>
      </c>
      <c r="E45" s="1">
        <f>Prices!E43</f>
        <v>63.529998999999997</v>
      </c>
      <c r="F45" s="1">
        <f>Prices!F43</f>
        <v>430.89999399999999</v>
      </c>
    </row>
    <row r="46" spans="1:6" x14ac:dyDescent="0.35">
      <c r="A46" s="2">
        <f>Prices!A44</f>
        <v>43952</v>
      </c>
      <c r="B46" s="1">
        <f>Prices!B44</f>
        <v>1911.5200199999999</v>
      </c>
      <c r="C46" s="1">
        <f>Prices!C44</f>
        <v>43.200001</v>
      </c>
      <c r="D46" s="1">
        <f>Prices!D44</f>
        <v>57.939999</v>
      </c>
      <c r="E46" s="1">
        <f>Prices!E44</f>
        <v>62.720001000000003</v>
      </c>
      <c r="F46" s="1">
        <f>Prices!F44</f>
        <v>427.60000600000001</v>
      </c>
    </row>
    <row r="47" spans="1:6" x14ac:dyDescent="0.35">
      <c r="A47" s="2">
        <f>Prices!A45</f>
        <v>43953</v>
      </c>
      <c r="B47" s="1">
        <f>Prices!B45</f>
        <v>1900.8199460000001</v>
      </c>
      <c r="C47" s="1">
        <f>Prices!C45</f>
        <v>43.470001000000003</v>
      </c>
      <c r="D47" s="1">
        <f>Prices!D45</f>
        <v>57.439999</v>
      </c>
      <c r="E47" s="1">
        <f>Prices!E45</f>
        <v>63.700001</v>
      </c>
      <c r="F47" s="1">
        <f>Prices!F45</f>
        <v>426.20001200000002</v>
      </c>
    </row>
    <row r="48" spans="1:6" x14ac:dyDescent="0.35">
      <c r="A48" s="2">
        <f>Prices!A46</f>
        <v>43954</v>
      </c>
      <c r="B48" s="1">
        <f>Prices!B46</f>
        <v>1962.459961</v>
      </c>
      <c r="C48" s="1">
        <f>Prices!C46</f>
        <v>44.700001</v>
      </c>
      <c r="D48" s="1">
        <f>Prices!D46</f>
        <v>58.919998</v>
      </c>
      <c r="E48" s="1">
        <f>Prices!E46</f>
        <v>64.290001000000004</v>
      </c>
      <c r="F48" s="1">
        <f>Prices!F46</f>
        <v>417.39999399999999</v>
      </c>
    </row>
    <row r="49" spans="1:6" x14ac:dyDescent="0.35">
      <c r="A49" s="2">
        <f>Prices!A47</f>
        <v>43957</v>
      </c>
      <c r="B49" s="1">
        <f>Prices!B47</f>
        <v>1950.5500489999999</v>
      </c>
      <c r="C49" s="1">
        <f>Prices!C47</f>
        <v>43.790000999999997</v>
      </c>
      <c r="D49" s="1">
        <f>Prices!D47</f>
        <v>58.080002</v>
      </c>
      <c r="E49" s="1">
        <f>Prices!E47</f>
        <v>64.110000999999997</v>
      </c>
      <c r="F49" s="1">
        <f>Prices!F47</f>
        <v>415.5</v>
      </c>
    </row>
    <row r="50" spans="1:6" x14ac:dyDescent="0.35">
      <c r="A50" s="2">
        <f>Prices!A48</f>
        <v>43958</v>
      </c>
      <c r="B50" s="1">
        <f>Prices!B48</f>
        <v>1921</v>
      </c>
      <c r="C50" s="1">
        <f>Prices!C48</f>
        <v>43.150002000000001</v>
      </c>
      <c r="D50" s="1">
        <f>Prices!D48</f>
        <v>58.290000999999997</v>
      </c>
      <c r="E50" s="1">
        <f>Prices!E48</f>
        <v>62.23</v>
      </c>
      <c r="F50" s="1">
        <f>Prices!F48</f>
        <v>413.10000600000001</v>
      </c>
    </row>
    <row r="51" spans="1:6" x14ac:dyDescent="0.35">
      <c r="A51" s="2">
        <f>Prices!A49</f>
        <v>43959</v>
      </c>
      <c r="B51" s="1">
        <f>Prices!B49</f>
        <v>1917.7700199999999</v>
      </c>
      <c r="C51" s="1">
        <f>Prices!C49</f>
        <v>42.84</v>
      </c>
      <c r="D51" s="1">
        <f>Prices!D49</f>
        <v>57.669998</v>
      </c>
      <c r="E51" s="1">
        <f>Prices!E49</f>
        <v>62.709999000000003</v>
      </c>
      <c r="F51" s="1">
        <f>Prices!F49</f>
        <v>415.10000600000001</v>
      </c>
    </row>
    <row r="52" spans="1:6" x14ac:dyDescent="0.35">
      <c r="A52" s="2">
        <f>Prices!A50</f>
        <v>43960</v>
      </c>
      <c r="B52" s="1">
        <f>Prices!B50</f>
        <v>1899.869995</v>
      </c>
      <c r="C52" s="1">
        <f>Prices!C50</f>
        <v>42.779998999999997</v>
      </c>
      <c r="D52" s="1">
        <f>Prices!D50</f>
        <v>57.740001999999997</v>
      </c>
      <c r="E52" s="1">
        <f>Prices!E50</f>
        <v>63.130001</v>
      </c>
      <c r="F52" s="1">
        <f>Prices!F50</f>
        <v>407.60000600000001</v>
      </c>
    </row>
    <row r="53" spans="1:6" x14ac:dyDescent="0.35">
      <c r="A53" s="2">
        <f>Prices!A51</f>
        <v>43961</v>
      </c>
      <c r="B53" s="1">
        <f>Prices!B51</f>
        <v>1889.9799800000001</v>
      </c>
      <c r="C53" s="1">
        <f>Prices!C51</f>
        <v>42.860000999999997</v>
      </c>
      <c r="D53" s="1">
        <f>Prices!D51</f>
        <v>58.869999</v>
      </c>
      <c r="E53" s="1">
        <f>Prices!E51</f>
        <v>63.549999</v>
      </c>
      <c r="F53" s="1">
        <f>Prices!F51</f>
        <v>413.10000600000001</v>
      </c>
    </row>
    <row r="54" spans="1:6" x14ac:dyDescent="0.35">
      <c r="A54" s="2">
        <f>Prices!A52</f>
        <v>43964</v>
      </c>
      <c r="B54" s="1">
        <f>Prices!B52</f>
        <v>1822.6800539999999</v>
      </c>
      <c r="C54" s="1">
        <f>Prices!C52</f>
        <v>42.07</v>
      </c>
      <c r="D54" s="1">
        <f>Prices!D52</f>
        <v>57.16</v>
      </c>
      <c r="E54" s="1">
        <f>Prices!E52</f>
        <v>63.380001</v>
      </c>
      <c r="F54" s="1">
        <f>Prices!F52</f>
        <v>417</v>
      </c>
    </row>
    <row r="55" spans="1:6" x14ac:dyDescent="0.35">
      <c r="A55" s="2">
        <f>Prices!A53</f>
        <v>43965</v>
      </c>
      <c r="B55" s="1">
        <f>Prices!B53</f>
        <v>1840.119995</v>
      </c>
      <c r="C55" s="1">
        <f>Prices!C53</f>
        <v>42.150002000000001</v>
      </c>
      <c r="D55" s="1">
        <f>Prices!D53</f>
        <v>58.459999000000003</v>
      </c>
      <c r="E55" s="1">
        <f>Prices!E53</f>
        <v>64.110000999999997</v>
      </c>
      <c r="F55" s="1">
        <f>Prices!F53</f>
        <v>425.29998799999998</v>
      </c>
    </row>
    <row r="56" spans="1:6" x14ac:dyDescent="0.35">
      <c r="A56" s="2">
        <f>Prices!A54</f>
        <v>43966</v>
      </c>
      <c r="B56" s="1">
        <f>Prices!B54</f>
        <v>1871.150024</v>
      </c>
      <c r="C56" s="1">
        <f>Prices!C54</f>
        <v>42.560001</v>
      </c>
      <c r="D56" s="1">
        <f>Prices!D54</f>
        <v>58.290000999999997</v>
      </c>
      <c r="E56" s="1">
        <f>Prices!E54</f>
        <v>64.860000999999997</v>
      </c>
      <c r="F56" s="1">
        <f>Prices!F54</f>
        <v>419.89999399999999</v>
      </c>
    </row>
    <row r="57" spans="1:6" x14ac:dyDescent="0.35">
      <c r="A57" s="2">
        <f>Prices!A55</f>
        <v>43967</v>
      </c>
      <c r="B57" s="1">
        <f>Prices!B55</f>
        <v>1907.5699460000001</v>
      </c>
      <c r="C57" s="1">
        <f>Prices!C55</f>
        <v>42.23</v>
      </c>
      <c r="D57" s="1">
        <f>Prices!D55</f>
        <v>59.779998999999997</v>
      </c>
      <c r="E57" s="1">
        <f>Prices!E55</f>
        <v>64.260002</v>
      </c>
      <c r="F57" s="1">
        <f>Prices!F55</f>
        <v>416.89999399999999</v>
      </c>
    </row>
    <row r="58" spans="1:6" x14ac:dyDescent="0.35">
      <c r="A58" s="2">
        <f>Prices!A56</f>
        <v>43968</v>
      </c>
      <c r="B58" s="1">
        <f>Prices!B56</f>
        <v>1869</v>
      </c>
      <c r="C58" s="1">
        <f>Prices!C56</f>
        <v>41.610000999999997</v>
      </c>
      <c r="D58" s="1">
        <f>Prices!D56</f>
        <v>59.959999000000003</v>
      </c>
      <c r="E58" s="1">
        <f>Prices!E56</f>
        <v>64.269997000000004</v>
      </c>
      <c r="F58" s="1">
        <f>Prices!F56</f>
        <v>417.79998799999998</v>
      </c>
    </row>
    <row r="59" spans="1:6" x14ac:dyDescent="0.35">
      <c r="A59" s="2">
        <f>Prices!A57</f>
        <v>43971</v>
      </c>
      <c r="B59" s="1">
        <f>Prices!B57</f>
        <v>1858.969971</v>
      </c>
      <c r="C59" s="1">
        <f>Prices!C57</f>
        <v>41.419998</v>
      </c>
      <c r="D59" s="1">
        <f>Prices!D57</f>
        <v>59.740001999999997</v>
      </c>
      <c r="E59" s="1">
        <f>Prices!E57</f>
        <v>64.430000000000007</v>
      </c>
      <c r="F59" s="1">
        <f>Prices!F57</f>
        <v>411.89999399999999</v>
      </c>
    </row>
    <row r="60" spans="1:6" x14ac:dyDescent="0.35">
      <c r="A60" s="2">
        <f>Prices!A58</f>
        <v>43972</v>
      </c>
      <c r="B60" s="1">
        <f>Prices!B58</f>
        <v>1857.5200199999999</v>
      </c>
      <c r="C60" s="1">
        <f>Prices!C58</f>
        <v>41.68</v>
      </c>
      <c r="D60" s="1">
        <f>Prices!D58</f>
        <v>59.759998000000003</v>
      </c>
      <c r="E60" s="1">
        <f>Prices!E58</f>
        <v>64.470000999999996</v>
      </c>
      <c r="F60" s="1">
        <f>Prices!F58</f>
        <v>402.29998799999998</v>
      </c>
    </row>
    <row r="61" spans="1:6" x14ac:dyDescent="0.35">
      <c r="A61" s="2">
        <f>Prices!A59</f>
        <v>43973</v>
      </c>
      <c r="B61" s="1">
        <f>Prices!B59</f>
        <v>1859.6800539999999</v>
      </c>
      <c r="C61" s="1">
        <f>Prices!C59</f>
        <v>41.700001</v>
      </c>
      <c r="D61" s="1">
        <f>Prices!D59</f>
        <v>59.450001</v>
      </c>
      <c r="E61" s="1">
        <f>Prices!E59</f>
        <v>63.720001000000003</v>
      </c>
      <c r="F61" s="1">
        <f>Prices!F59</f>
        <v>404.29998799999998</v>
      </c>
    </row>
    <row r="62" spans="1:6" x14ac:dyDescent="0.35">
      <c r="A62" s="2">
        <f>Prices!A60</f>
        <v>43974</v>
      </c>
      <c r="B62" s="1">
        <f>Prices!B60</f>
        <v>1815.4799800000001</v>
      </c>
      <c r="C62" s="1">
        <f>Prices!C60</f>
        <v>41.810001</v>
      </c>
      <c r="D62" s="1">
        <f>Prices!D60</f>
        <v>58.77</v>
      </c>
      <c r="E62" s="1">
        <f>Prices!E60</f>
        <v>62.459999000000003</v>
      </c>
      <c r="F62" s="1">
        <f>Prices!F60</f>
        <v>408.20001200000002</v>
      </c>
    </row>
    <row r="63" spans="1:6" x14ac:dyDescent="0.35">
      <c r="A63" s="2">
        <f>Prices!A61</f>
        <v>43975</v>
      </c>
      <c r="B63" s="1">
        <f>Prices!B61</f>
        <v>1823.280029</v>
      </c>
      <c r="C63" s="1">
        <f>Prices!C61</f>
        <v>42</v>
      </c>
      <c r="D63" s="1">
        <f>Prices!D61</f>
        <v>59.709999000000003</v>
      </c>
      <c r="E63" s="1">
        <f>Prices!E61</f>
        <v>63.299999</v>
      </c>
      <c r="F63" s="1">
        <f>Prices!F61</f>
        <v>402.39999399999999</v>
      </c>
    </row>
    <row r="64" spans="1:6" x14ac:dyDescent="0.35">
      <c r="A64" s="2">
        <f>Prices!A62</f>
        <v>43979</v>
      </c>
      <c r="B64" s="1">
        <f>Prices!B62</f>
        <v>1836.4300539999999</v>
      </c>
      <c r="C64" s="1">
        <f>Prices!C62</f>
        <v>41.560001</v>
      </c>
      <c r="D64" s="1">
        <f>Prices!D62</f>
        <v>60.630001</v>
      </c>
      <c r="E64" s="1">
        <f>Prices!E62</f>
        <v>62.560001</v>
      </c>
      <c r="F64" s="1">
        <f>Prices!F62</f>
        <v>408.20001200000002</v>
      </c>
    </row>
    <row r="65" spans="1:6" x14ac:dyDescent="0.35">
      <c r="A65" s="2">
        <f>Prices!A63</f>
        <v>43980</v>
      </c>
      <c r="B65" s="1">
        <f>Prices!B63</f>
        <v>1819.1899410000001</v>
      </c>
      <c r="C65" s="1">
        <f>Prices!C63</f>
        <v>41.560001</v>
      </c>
      <c r="D65" s="1">
        <f>Prices!D63</f>
        <v>59.389999000000003</v>
      </c>
      <c r="E65" s="1">
        <f>Prices!E63</f>
        <v>62.360000999999997</v>
      </c>
      <c r="F65" s="1">
        <f>Prices!F63</f>
        <v>404.60000600000001</v>
      </c>
    </row>
    <row r="66" spans="1:6" x14ac:dyDescent="0.35">
      <c r="A66" s="2">
        <f>Prices!A64</f>
        <v>43981</v>
      </c>
      <c r="B66" s="1">
        <f>Prices!B64</f>
        <v>1816.3199460000001</v>
      </c>
      <c r="C66" s="1">
        <f>Prices!C64</f>
        <v>41.290000999999997</v>
      </c>
      <c r="D66" s="1">
        <f>Prices!D64</f>
        <v>58.93</v>
      </c>
      <c r="E66" s="1">
        <f>Prices!E64</f>
        <v>62.279998999999997</v>
      </c>
      <c r="F66" s="1">
        <f>Prices!F64</f>
        <v>403.10000600000001</v>
      </c>
    </row>
    <row r="67" spans="1:6" x14ac:dyDescent="0.35">
      <c r="A67" s="2">
        <f>Prices!A65</f>
        <v>43982</v>
      </c>
      <c r="B67" s="1">
        <f>Prices!B65</f>
        <v>1775.0699460000001</v>
      </c>
      <c r="C67" s="1">
        <f>Prices!C65</f>
        <v>40.770000000000003</v>
      </c>
      <c r="D67" s="1">
        <f>Prices!D65</f>
        <v>57.93</v>
      </c>
      <c r="E67" s="1">
        <f>Prices!E65</f>
        <v>61.810001</v>
      </c>
      <c r="F67" s="1">
        <f>Prices!F65</f>
        <v>417.79998799999998</v>
      </c>
    </row>
    <row r="68" spans="1:6" x14ac:dyDescent="0.35">
      <c r="A68" s="2">
        <f>Prices!A66</f>
        <v>43985</v>
      </c>
      <c r="B68" s="1">
        <f>Prices!B66</f>
        <v>1692.6899410000001</v>
      </c>
      <c r="C68" s="1">
        <f>Prices!C66</f>
        <v>40.840000000000003</v>
      </c>
      <c r="D68" s="1">
        <f>Prices!D66</f>
        <v>58.759998000000003</v>
      </c>
      <c r="E68" s="1">
        <f>Prices!E66</f>
        <v>62.380001</v>
      </c>
      <c r="F68" s="1">
        <f>Prices!F66</f>
        <v>410.60000600000001</v>
      </c>
    </row>
    <row r="69" spans="1:6" x14ac:dyDescent="0.35">
      <c r="A69" s="2">
        <f>Prices!A67</f>
        <v>43986</v>
      </c>
      <c r="B69" s="1">
        <f>Prices!B67</f>
        <v>1729.5600589999999</v>
      </c>
      <c r="C69" s="1">
        <f>Prices!C67</f>
        <v>41.189999</v>
      </c>
      <c r="D69" s="1">
        <f>Prices!D67</f>
        <v>59.25</v>
      </c>
      <c r="E69" s="1">
        <f>Prices!E67</f>
        <v>62.48</v>
      </c>
      <c r="F69" s="1">
        <f>Prices!F67</f>
        <v>413.60000600000001</v>
      </c>
    </row>
    <row r="70" spans="1:6" x14ac:dyDescent="0.35">
      <c r="A70" s="2">
        <f>Prices!A68</f>
        <v>43987</v>
      </c>
      <c r="B70" s="1">
        <f>Prices!B68</f>
        <v>1738.5</v>
      </c>
      <c r="C70" s="1">
        <f>Prices!C68</f>
        <v>41.139999000000003</v>
      </c>
      <c r="D70" s="1">
        <f>Prices!D68</f>
        <v>58.040000999999997</v>
      </c>
      <c r="E70" s="1">
        <f>Prices!E68</f>
        <v>62.759998000000003</v>
      </c>
      <c r="F70" s="1">
        <f>Prices!F68</f>
        <v>417</v>
      </c>
    </row>
    <row r="71" spans="1:6" x14ac:dyDescent="0.35">
      <c r="A71" s="2">
        <f>Prices!A69</f>
        <v>43988</v>
      </c>
      <c r="B71" s="1">
        <f>Prices!B69</f>
        <v>1754.3599850000001</v>
      </c>
      <c r="C71" s="1">
        <f>Prices!C69</f>
        <v>41.18</v>
      </c>
      <c r="D71" s="1">
        <f>Prices!D69</f>
        <v>57.990001999999997</v>
      </c>
      <c r="E71" s="1">
        <f>Prices!E69</f>
        <v>63.619999</v>
      </c>
      <c r="F71" s="1">
        <f>Prices!F69</f>
        <v>417.89999399999999</v>
      </c>
    </row>
    <row r="72" spans="1:6" x14ac:dyDescent="0.35">
      <c r="A72" s="2">
        <f>Prices!A70</f>
        <v>43989</v>
      </c>
      <c r="B72" s="1">
        <f>Prices!B70</f>
        <v>1804.030029</v>
      </c>
      <c r="C72" s="1">
        <f>Prices!C70</f>
        <v>41.459999000000003</v>
      </c>
      <c r="D72" s="1">
        <f>Prices!D70</f>
        <v>58.110000999999997</v>
      </c>
      <c r="E72" s="1">
        <f>Prices!E70</f>
        <v>64.480002999999996</v>
      </c>
      <c r="F72" s="1">
        <f>Prices!F70</f>
        <v>418.5</v>
      </c>
    </row>
    <row r="73" spans="1:6" x14ac:dyDescent="0.35">
      <c r="A73" s="2">
        <f>Prices!A71</f>
        <v>43992</v>
      </c>
      <c r="B73" s="1">
        <f>Prices!B71</f>
        <v>1860.630005</v>
      </c>
      <c r="C73" s="1">
        <f>Prices!C71</f>
        <v>41.639999000000003</v>
      </c>
      <c r="D73" s="1">
        <f>Prices!D71</f>
        <v>58.669998</v>
      </c>
      <c r="E73" s="1">
        <f>Prices!E71</f>
        <v>64.279999000000004</v>
      </c>
      <c r="F73" s="1">
        <f>Prices!F71</f>
        <v>415.5</v>
      </c>
    </row>
    <row r="74" spans="1:6" x14ac:dyDescent="0.35">
      <c r="A74" s="2">
        <f>Prices!A72</f>
        <v>43993</v>
      </c>
      <c r="B74" s="1">
        <f>Prices!B72</f>
        <v>1863.6999510000001</v>
      </c>
      <c r="C74" s="1">
        <f>Prices!C72</f>
        <v>41.75</v>
      </c>
      <c r="D74" s="1">
        <f>Prices!D72</f>
        <v>60.27</v>
      </c>
      <c r="E74" s="1">
        <f>Prices!E72</f>
        <v>64.510002</v>
      </c>
      <c r="F74" s="1">
        <f>Prices!F72</f>
        <v>412.79998799999998</v>
      </c>
    </row>
    <row r="75" spans="1:6" x14ac:dyDescent="0.35">
      <c r="A75" s="2">
        <f>Prices!A73</f>
        <v>43994</v>
      </c>
      <c r="B75" s="1">
        <f>Prices!B73</f>
        <v>1855.3199460000001</v>
      </c>
      <c r="C75" s="1">
        <f>Prices!C73</f>
        <v>41.220001000000003</v>
      </c>
      <c r="D75" s="1">
        <f>Prices!D73</f>
        <v>60.290000999999997</v>
      </c>
      <c r="E75" s="1">
        <f>Prices!E73</f>
        <v>63.490001999999997</v>
      </c>
      <c r="F75" s="1">
        <f>Prices!F73</f>
        <v>408.60000600000001</v>
      </c>
    </row>
    <row r="76" spans="1:6" x14ac:dyDescent="0.35">
      <c r="A76" s="2">
        <f>Prices!A74</f>
        <v>43995</v>
      </c>
      <c r="B76" s="1">
        <f>Prices!B74</f>
        <v>1870.3000489999999</v>
      </c>
      <c r="C76" s="1">
        <f>Prices!C74</f>
        <v>41.049999</v>
      </c>
      <c r="D76" s="1">
        <f>Prices!D74</f>
        <v>61.57</v>
      </c>
      <c r="E76" s="1">
        <f>Prices!E74</f>
        <v>63.75</v>
      </c>
      <c r="F76" s="1">
        <f>Prices!F74</f>
        <v>409.70001200000002</v>
      </c>
    </row>
    <row r="77" spans="1:6" x14ac:dyDescent="0.35">
      <c r="A77" s="2">
        <f>Prices!A75</f>
        <v>43996</v>
      </c>
      <c r="B77" s="1">
        <f>Prices!B75</f>
        <v>1869.670044</v>
      </c>
      <c r="C77" s="1">
        <f>Prices!C75</f>
        <v>40.759998000000003</v>
      </c>
      <c r="D77" s="1">
        <f>Prices!D75</f>
        <v>60.77</v>
      </c>
      <c r="E77" s="1">
        <f>Prices!E75</f>
        <v>63.43</v>
      </c>
      <c r="F77" s="1">
        <f>Prices!F75</f>
        <v>413</v>
      </c>
    </row>
    <row r="78" spans="1:6" x14ac:dyDescent="0.35">
      <c r="A78" s="2">
        <f>Prices!A76</f>
        <v>43999</v>
      </c>
      <c r="B78" s="1">
        <f>Prices!B76</f>
        <v>1886.030029</v>
      </c>
      <c r="C78" s="1">
        <f>Prices!C76</f>
        <v>40.639999000000003</v>
      </c>
      <c r="D78" s="1">
        <f>Prices!D76</f>
        <v>60.66</v>
      </c>
      <c r="E78" s="1">
        <f>Prices!E76</f>
        <v>62.919998</v>
      </c>
      <c r="F78" s="1">
        <f>Prices!F76</f>
        <v>416.29998799999998</v>
      </c>
    </row>
    <row r="79" spans="1:6" x14ac:dyDescent="0.35">
      <c r="A79" s="2">
        <f>Prices!A77</f>
        <v>44000</v>
      </c>
      <c r="B79" s="1">
        <f>Prices!B77</f>
        <v>1901.369995</v>
      </c>
      <c r="C79" s="1">
        <f>Prices!C77</f>
        <v>41.240001999999997</v>
      </c>
      <c r="D79" s="1">
        <f>Prices!D77</f>
        <v>62.18</v>
      </c>
      <c r="E79" s="1">
        <f>Prices!E77</f>
        <v>63.919998</v>
      </c>
      <c r="F79" s="1">
        <f>Prices!F77</f>
        <v>417.10000600000001</v>
      </c>
    </row>
    <row r="80" spans="1:6" x14ac:dyDescent="0.35">
      <c r="A80" s="2">
        <f>Prices!A78</f>
        <v>44001</v>
      </c>
      <c r="B80" s="1">
        <f>Prices!B78</f>
        <v>1908.790039</v>
      </c>
      <c r="C80" s="1">
        <f>Prices!C78</f>
        <v>41.419998</v>
      </c>
      <c r="D80" s="1">
        <f>Prices!D78</f>
        <v>59.900002000000001</v>
      </c>
      <c r="E80" s="1">
        <f>Prices!E78</f>
        <v>64.379997000000003</v>
      </c>
      <c r="F80" s="1">
        <f>Prices!F78</f>
        <v>417</v>
      </c>
    </row>
    <row r="81" spans="1:6" x14ac:dyDescent="0.35">
      <c r="A81" s="2">
        <f>Prices!A79</f>
        <v>44002</v>
      </c>
      <c r="B81" s="1">
        <f>Prices!B79</f>
        <v>1918.1899410000001</v>
      </c>
      <c r="C81" s="1">
        <f>Prices!C79</f>
        <v>41.650002000000001</v>
      </c>
      <c r="D81" s="1">
        <f>Prices!D79</f>
        <v>60.400002000000001</v>
      </c>
      <c r="E81" s="1">
        <f>Prices!E79</f>
        <v>65.519997000000004</v>
      </c>
      <c r="F81" s="1">
        <f>Prices!F79</f>
        <v>413.5</v>
      </c>
    </row>
    <row r="82" spans="1:6" x14ac:dyDescent="0.35">
      <c r="A82" s="2">
        <f>Prices!A80</f>
        <v>44003</v>
      </c>
      <c r="B82" s="1">
        <f>Prices!B80</f>
        <v>1911.3000489999999</v>
      </c>
      <c r="C82" s="1">
        <f>Prices!C80</f>
        <v>41.099997999999999</v>
      </c>
      <c r="D82" s="1">
        <f>Prices!D80</f>
        <v>60.27</v>
      </c>
      <c r="E82" s="1">
        <f>Prices!E80</f>
        <v>65.699996999999996</v>
      </c>
      <c r="F82" s="1">
        <f>Prices!F80</f>
        <v>412.60000600000001</v>
      </c>
    </row>
    <row r="83" spans="1:6" x14ac:dyDescent="0.35">
      <c r="A83" s="2">
        <f>Prices!A81</f>
        <v>44006</v>
      </c>
      <c r="B83" s="1">
        <f>Prices!B81</f>
        <v>1913.900024</v>
      </c>
      <c r="C83" s="1">
        <f>Prices!C81</f>
        <v>41.060001</v>
      </c>
      <c r="D83" s="1">
        <f>Prices!D81</f>
        <v>60.939999</v>
      </c>
      <c r="E83" s="1">
        <f>Prices!E81</f>
        <v>65.860000999999997</v>
      </c>
      <c r="F83" s="1">
        <f>Prices!F81</f>
        <v>414.20001200000002</v>
      </c>
    </row>
    <row r="84" spans="1:6" x14ac:dyDescent="0.35">
      <c r="A84" s="2">
        <f>Prices!A82</f>
        <v>44007</v>
      </c>
      <c r="B84" s="1">
        <f>Prices!B82</f>
        <v>1878.2700199999999</v>
      </c>
      <c r="C84" s="1">
        <f>Prices!C82</f>
        <v>40.98</v>
      </c>
      <c r="D84" s="1">
        <f>Prices!D82</f>
        <v>60.990001999999997</v>
      </c>
      <c r="E84" s="1">
        <f>Prices!E82</f>
        <v>65.760002</v>
      </c>
      <c r="F84" s="1">
        <f>Prices!F82</f>
        <v>413.10000600000001</v>
      </c>
    </row>
    <row r="85" spans="1:6" x14ac:dyDescent="0.35">
      <c r="A85" s="2">
        <f>Prices!A83</f>
        <v>44008</v>
      </c>
      <c r="B85" s="1">
        <f>Prices!B83</f>
        <v>1897.829956</v>
      </c>
      <c r="C85" s="1">
        <f>Prices!C83</f>
        <v>41.16</v>
      </c>
      <c r="D85" s="1">
        <f>Prices!D83</f>
        <v>61.700001</v>
      </c>
      <c r="E85" s="1">
        <f>Prices!E83</f>
        <v>66.010002</v>
      </c>
      <c r="F85" s="1">
        <f>Prices!F83</f>
        <v>416.5</v>
      </c>
    </row>
    <row r="86" spans="1:6" x14ac:dyDescent="0.35">
      <c r="A86" s="2">
        <f>Prices!A84</f>
        <v>44009</v>
      </c>
      <c r="B86" s="1">
        <f>Prices!B84</f>
        <v>1904.280029</v>
      </c>
      <c r="C86" s="1">
        <f>Prices!C84</f>
        <v>41.41</v>
      </c>
      <c r="D86" s="1">
        <f>Prices!D84</f>
        <v>61.950001</v>
      </c>
      <c r="E86" s="1">
        <f>Prices!E84</f>
        <v>65.089995999999999</v>
      </c>
      <c r="F86" s="1">
        <f>Prices!F84</f>
        <v>422.10000600000001</v>
      </c>
    </row>
    <row r="87" spans="1:6" x14ac:dyDescent="0.35">
      <c r="A87" s="2">
        <f>Prices!A85</f>
        <v>44010</v>
      </c>
      <c r="B87" s="1">
        <f>Prices!B85</f>
        <v>1893.630005</v>
      </c>
      <c r="C87" s="1">
        <f>Prices!C85</f>
        <v>41.740001999999997</v>
      </c>
      <c r="D87" s="1">
        <f>Prices!D85</f>
        <v>62.34</v>
      </c>
      <c r="E87" s="1">
        <f>Prices!E85</f>
        <v>65.069999999999993</v>
      </c>
      <c r="F87" s="1">
        <f>Prices!F85</f>
        <v>430.79998799999998</v>
      </c>
    </row>
    <row r="88" spans="1:6" x14ac:dyDescent="0.35">
      <c r="A88" s="2">
        <f>Prices!A86</f>
        <v>44013</v>
      </c>
      <c r="B88" s="1">
        <f>Prices!B86</f>
        <v>1922.1899410000001</v>
      </c>
      <c r="C88" s="1">
        <f>Prices!C86</f>
        <v>41.869999</v>
      </c>
      <c r="D88" s="1">
        <f>Prices!D86</f>
        <v>62.779998999999997</v>
      </c>
      <c r="E88" s="1">
        <f>Prices!E86</f>
        <v>65.199996999999996</v>
      </c>
      <c r="F88" s="1">
        <f>Prices!F86</f>
        <v>433.20001200000002</v>
      </c>
    </row>
    <row r="89" spans="1:6" x14ac:dyDescent="0.35">
      <c r="A89" s="2">
        <f>Prices!A87</f>
        <v>44014</v>
      </c>
      <c r="B89" s="1">
        <f>Prices!B87</f>
        <v>1934.3100589999999</v>
      </c>
      <c r="C89" s="1">
        <f>Prices!C87</f>
        <v>42.080002</v>
      </c>
      <c r="D89" s="1">
        <f>Prices!D87</f>
        <v>63.73</v>
      </c>
      <c r="E89" s="1">
        <f>Prices!E87</f>
        <v>65.110000999999997</v>
      </c>
      <c r="F89" s="1">
        <f>Prices!F87</f>
        <v>434.89999399999999</v>
      </c>
    </row>
    <row r="90" spans="1:6" x14ac:dyDescent="0.35">
      <c r="A90" s="2">
        <f>Prices!A88</f>
        <v>44015</v>
      </c>
      <c r="B90" s="1">
        <f>Prices!B88</f>
        <v>1939</v>
      </c>
      <c r="C90" s="1">
        <f>Prices!C88</f>
        <v>42.099997999999999</v>
      </c>
      <c r="D90" s="1">
        <f>Prices!D88</f>
        <v>63.310001</v>
      </c>
      <c r="E90" s="1">
        <f>Prices!E88</f>
        <v>64.680000000000007</v>
      </c>
      <c r="F90" s="1">
        <f>Prices!F88</f>
        <v>431.70001200000002</v>
      </c>
    </row>
    <row r="91" spans="1:6" x14ac:dyDescent="0.35">
      <c r="A91" s="2">
        <f>Prices!A89</f>
        <v>44017</v>
      </c>
      <c r="B91" s="1">
        <f>Prices!B89</f>
        <v>1942.910034</v>
      </c>
      <c r="C91" s="1">
        <f>Prices!C89</f>
        <v>42.080002</v>
      </c>
      <c r="D91" s="1">
        <f>Prices!D89</f>
        <v>60.049999</v>
      </c>
      <c r="E91" s="1">
        <f>Prices!E89</f>
        <v>64.589995999999999</v>
      </c>
      <c r="F91" s="1">
        <f>Prices!F89</f>
        <v>430.5</v>
      </c>
    </row>
    <row r="92" spans="1:6" x14ac:dyDescent="0.35">
      <c r="A92" s="2">
        <f>Prices!A90</f>
        <v>44020</v>
      </c>
      <c r="B92" s="1">
        <f>Prices!B90</f>
        <v>1952.3199460000001</v>
      </c>
      <c r="C92" s="1">
        <f>Prices!C90</f>
        <v>41.810001</v>
      </c>
      <c r="D92" s="1">
        <f>Prices!D90</f>
        <v>60.48</v>
      </c>
      <c r="E92" s="1">
        <f>Prices!E90</f>
        <v>64.419998000000007</v>
      </c>
      <c r="F92" s="1">
        <f>Prices!F90</f>
        <v>427.5</v>
      </c>
    </row>
    <row r="93" spans="1:6" x14ac:dyDescent="0.35">
      <c r="A93" s="2">
        <f>Prices!A91</f>
        <v>44021</v>
      </c>
      <c r="B93" s="1">
        <f>Prices!B91</f>
        <v>1988.3000489999999</v>
      </c>
      <c r="C93" s="1">
        <f>Prices!C91</f>
        <v>41.84</v>
      </c>
      <c r="D93" s="1">
        <f>Prices!D91</f>
        <v>60.580002</v>
      </c>
      <c r="E93" s="1">
        <f>Prices!E91</f>
        <v>64.440002000000007</v>
      </c>
      <c r="F93" s="1">
        <f>Prices!F91</f>
        <v>426.5</v>
      </c>
    </row>
    <row r="94" spans="1:6" x14ac:dyDescent="0.35">
      <c r="A94" s="2">
        <f>Prices!A92</f>
        <v>44022</v>
      </c>
      <c r="B94" s="1">
        <f>Prices!B92</f>
        <v>2017.410034</v>
      </c>
      <c r="C94" s="1">
        <f>Prices!C92</f>
        <v>41.650002000000001</v>
      </c>
      <c r="D94" s="1">
        <f>Prices!D92</f>
        <v>61.389999000000003</v>
      </c>
      <c r="E94" s="1">
        <f>Prices!E92</f>
        <v>65.239998</v>
      </c>
      <c r="F94" s="1">
        <f>Prices!F92</f>
        <v>424</v>
      </c>
    </row>
    <row r="95" spans="1:6" x14ac:dyDescent="0.35">
      <c r="A95" s="2">
        <f>Prices!A93</f>
        <v>44023</v>
      </c>
      <c r="B95" s="1">
        <f>Prices!B93</f>
        <v>2001.0699460000001</v>
      </c>
      <c r="C95" s="1">
        <f>Prices!C93</f>
        <v>41.700001</v>
      </c>
      <c r="D95" s="1">
        <f>Prices!D93</f>
        <v>60.849997999999999</v>
      </c>
      <c r="E95" s="1">
        <f>Prices!E93</f>
        <v>65.379997000000003</v>
      </c>
      <c r="F95" s="1">
        <f>Prices!F93</f>
        <v>424</v>
      </c>
    </row>
    <row r="96" spans="1:6" x14ac:dyDescent="0.35">
      <c r="A96" s="2">
        <f>Prices!A94</f>
        <v>44024</v>
      </c>
      <c r="B96" s="1">
        <f>Prices!B94</f>
        <v>2011</v>
      </c>
      <c r="C96" s="1">
        <f>Prices!C94</f>
        <v>41.630001</v>
      </c>
      <c r="D96" s="1">
        <f>Prices!D94</f>
        <v>60.709999000000003</v>
      </c>
      <c r="E96" s="1">
        <f>Prices!E94</f>
        <v>65.059997999999993</v>
      </c>
      <c r="F96" s="1">
        <f>Prices!F94</f>
        <v>424.5</v>
      </c>
    </row>
    <row r="97" spans="1:6" x14ac:dyDescent="0.35">
      <c r="A97" s="2">
        <f>Prices!A95</f>
        <v>44027</v>
      </c>
      <c r="B97" s="1">
        <f>Prices!B95</f>
        <v>2020.98999</v>
      </c>
      <c r="C97" s="1">
        <f>Prices!C95</f>
        <v>41.700001</v>
      </c>
      <c r="D97" s="1">
        <f>Prices!D95</f>
        <v>61.509998000000003</v>
      </c>
      <c r="E97" s="1">
        <f>Prices!E95</f>
        <v>64.5</v>
      </c>
      <c r="F97" s="1">
        <f>Prices!F95</f>
        <v>425.29998799999998</v>
      </c>
    </row>
    <row r="98" spans="1:6" x14ac:dyDescent="0.35">
      <c r="A98" s="2">
        <f>Prices!A96</f>
        <v>44028</v>
      </c>
      <c r="B98" s="1">
        <f>Prices!B96</f>
        <v>2009.900024</v>
      </c>
      <c r="C98" s="1">
        <f>Prices!C96</f>
        <v>41.5</v>
      </c>
      <c r="D98" s="1">
        <f>Prices!D96</f>
        <v>60.43</v>
      </c>
      <c r="E98" s="1">
        <f>Prices!E96</f>
        <v>63.82</v>
      </c>
      <c r="F98" s="1">
        <f>Prices!F96</f>
        <v>422.5</v>
      </c>
    </row>
    <row r="99" spans="1:6" x14ac:dyDescent="0.35">
      <c r="A99" s="2">
        <f>Prices!A97</f>
        <v>44029</v>
      </c>
      <c r="B99" s="1">
        <f>Prices!B97</f>
        <v>1992.030029</v>
      </c>
      <c r="C99" s="1">
        <f>Prices!C97</f>
        <v>41.23</v>
      </c>
      <c r="D99" s="1">
        <f>Prices!D97</f>
        <v>60.959999000000003</v>
      </c>
      <c r="E99" s="1">
        <f>Prices!E97</f>
        <v>63.330002</v>
      </c>
      <c r="F99" s="1">
        <f>Prices!F97</f>
        <v>421</v>
      </c>
    </row>
    <row r="100" spans="1:6" x14ac:dyDescent="0.35">
      <c r="A100" s="2">
        <f>Prices!A98</f>
        <v>44030</v>
      </c>
      <c r="B100" s="1">
        <f>Prices!B98</f>
        <v>1977.900024</v>
      </c>
      <c r="C100" s="1">
        <f>Prices!C98</f>
        <v>41.43</v>
      </c>
      <c r="D100" s="1">
        <f>Prices!D98</f>
        <v>60.650002000000001</v>
      </c>
      <c r="E100" s="1">
        <f>Prices!E98</f>
        <v>63.130001</v>
      </c>
      <c r="F100" s="1">
        <f>Prices!F98</f>
        <v>419.79998799999998</v>
      </c>
    </row>
    <row r="101" spans="1:6" x14ac:dyDescent="0.35">
      <c r="A101" s="2">
        <f>Prices!A99</f>
        <v>44031</v>
      </c>
      <c r="B101" s="1">
        <f>Prices!B99</f>
        <v>1964.5200199999999</v>
      </c>
      <c r="C101" s="1">
        <f>Prices!C99</f>
        <v>41.34</v>
      </c>
      <c r="D101" s="1">
        <f>Prices!D99</f>
        <v>61.110000999999997</v>
      </c>
      <c r="E101" s="1">
        <f>Prices!E99</f>
        <v>63.650002000000001</v>
      </c>
      <c r="F101" s="1">
        <f>Prices!F99</f>
        <v>416.10000600000001</v>
      </c>
    </row>
    <row r="102" spans="1:6" x14ac:dyDescent="0.35">
      <c r="A102" s="2">
        <f>Prices!A100</f>
        <v>44034</v>
      </c>
      <c r="B102" s="1">
        <f>Prices!B100</f>
        <v>1985.630005</v>
      </c>
      <c r="C102" s="1">
        <f>Prices!C100</f>
        <v>41.43</v>
      </c>
      <c r="D102" s="1">
        <f>Prices!D100</f>
        <v>60.75</v>
      </c>
      <c r="E102" s="1">
        <f>Prices!E100</f>
        <v>63.900002000000001</v>
      </c>
      <c r="F102" s="1">
        <f>Prices!F100</f>
        <v>418.10000600000001</v>
      </c>
    </row>
    <row r="103" spans="1:6" x14ac:dyDescent="0.35">
      <c r="A103" s="2">
        <f>Prices!A101</f>
        <v>44035</v>
      </c>
      <c r="B103" s="1">
        <f>Prices!B101</f>
        <v>1994.48999</v>
      </c>
      <c r="C103" s="1">
        <f>Prices!C101</f>
        <v>41.650002000000001</v>
      </c>
      <c r="D103" s="1">
        <f>Prices!D101</f>
        <v>60.549999</v>
      </c>
      <c r="E103" s="1">
        <f>Prices!E101</f>
        <v>63.790000999999997</v>
      </c>
      <c r="F103" s="1">
        <f>Prices!F101</f>
        <v>414.20001200000002</v>
      </c>
    </row>
    <row r="104" spans="1:6" x14ac:dyDescent="0.35">
      <c r="A104" s="2">
        <f>Prices!A102</f>
        <v>44036</v>
      </c>
      <c r="B104" s="1">
        <f>Prices!B102</f>
        <v>2000.8100589999999</v>
      </c>
      <c r="C104" s="1">
        <f>Prices!C102</f>
        <v>41.09</v>
      </c>
      <c r="D104" s="1">
        <f>Prices!D102</f>
        <v>58.040000999999997</v>
      </c>
      <c r="E104" s="1">
        <f>Prices!E102</f>
        <v>63.169998</v>
      </c>
      <c r="F104" s="1">
        <f>Prices!F102</f>
        <v>410.79998799999998</v>
      </c>
    </row>
    <row r="105" spans="1:6" x14ac:dyDescent="0.35">
      <c r="A105" s="2">
        <f>Prices!A103</f>
        <v>44037</v>
      </c>
      <c r="B105" s="1">
        <f>Prices!B103</f>
        <v>1973.8199460000001</v>
      </c>
      <c r="C105" s="1">
        <f>Prices!C103</f>
        <v>40.909999999999997</v>
      </c>
      <c r="D105" s="1">
        <f>Prices!D103</f>
        <v>57.299999</v>
      </c>
      <c r="E105" s="1">
        <f>Prices!E103</f>
        <v>62.869999</v>
      </c>
      <c r="F105" s="1">
        <f>Prices!F103</f>
        <v>410.60000600000001</v>
      </c>
    </row>
    <row r="106" spans="1:6" x14ac:dyDescent="0.35">
      <c r="A106" s="2">
        <f>Prices!A104</f>
        <v>44038</v>
      </c>
      <c r="B106" s="1">
        <f>Prices!B104</f>
        <v>1943.0500489999999</v>
      </c>
      <c r="C106" s="1">
        <f>Prices!C104</f>
        <v>41.049999</v>
      </c>
      <c r="D106" s="1">
        <f>Prices!D104</f>
        <v>57.529998999999997</v>
      </c>
      <c r="E106" s="1">
        <f>Prices!E104</f>
        <v>63.02</v>
      </c>
      <c r="F106" s="1">
        <f>Prices!F104</f>
        <v>412.79998799999998</v>
      </c>
    </row>
    <row r="107" spans="1:6" x14ac:dyDescent="0.35">
      <c r="A107" s="2">
        <f>Prices!A105</f>
        <v>44041</v>
      </c>
      <c r="B107" s="1">
        <f>Prices!B105</f>
        <v>1912.4499510000001</v>
      </c>
      <c r="C107" s="1">
        <f>Prices!C105</f>
        <v>40.599997999999999</v>
      </c>
      <c r="D107" s="1">
        <f>Prices!D105</f>
        <v>57.810001</v>
      </c>
      <c r="E107" s="1">
        <f>Prices!E105</f>
        <v>63.459999000000003</v>
      </c>
      <c r="F107" s="1">
        <f>Prices!F105</f>
        <v>408</v>
      </c>
    </row>
    <row r="108" spans="1:6" x14ac:dyDescent="0.35">
      <c r="A108" s="2">
        <f>Prices!A106</f>
        <v>44042</v>
      </c>
      <c r="B108" s="1">
        <f>Prices!B106</f>
        <v>1898.530029</v>
      </c>
      <c r="C108" s="1">
        <f>Prices!C106</f>
        <v>40.389999000000003</v>
      </c>
      <c r="D108" s="1">
        <f>Prices!D106</f>
        <v>58.040000999999997</v>
      </c>
      <c r="E108" s="1">
        <f>Prices!E106</f>
        <v>63.799999</v>
      </c>
      <c r="F108" s="1">
        <f>Prices!F106</f>
        <v>406.10000600000001</v>
      </c>
    </row>
    <row r="109" spans="1:6" x14ac:dyDescent="0.35">
      <c r="A109" s="2">
        <f>Prices!A107</f>
        <v>44043</v>
      </c>
      <c r="B109" s="1">
        <f>Prices!B107</f>
        <v>1866.780029</v>
      </c>
      <c r="C109" s="1">
        <f>Prices!C107</f>
        <v>40.159999999999997</v>
      </c>
      <c r="D109" s="1">
        <f>Prices!D107</f>
        <v>57.080002</v>
      </c>
      <c r="E109" s="1">
        <f>Prices!E107</f>
        <v>62.889999000000003</v>
      </c>
      <c r="F109" s="1">
        <f>Prices!F107</f>
        <v>409.60000600000001</v>
      </c>
    </row>
    <row r="110" spans="1:6" x14ac:dyDescent="0.35">
      <c r="A110" s="2">
        <f>Prices!A108</f>
        <v>44044</v>
      </c>
      <c r="B110" s="1">
        <f>Prices!B108</f>
        <v>1855.3199460000001</v>
      </c>
      <c r="C110" s="1">
        <f>Prices!C108</f>
        <v>39.720001000000003</v>
      </c>
      <c r="D110" s="1">
        <f>Prices!D108</f>
        <v>54.529998999999997</v>
      </c>
      <c r="E110" s="1">
        <f>Prices!E108</f>
        <v>58.779998999999997</v>
      </c>
      <c r="F110" s="1">
        <f>Prices!F108</f>
        <v>400.79998799999998</v>
      </c>
    </row>
    <row r="111" spans="1:6" x14ac:dyDescent="0.35">
      <c r="A111" s="2">
        <f>Prices!A109</f>
        <v>44045</v>
      </c>
      <c r="B111" s="1">
        <f>Prices!B109</f>
        <v>1823.23999</v>
      </c>
      <c r="C111" s="1">
        <f>Prices!C109</f>
        <v>39.360000999999997</v>
      </c>
      <c r="D111" s="1">
        <f>Prices!D109</f>
        <v>53.279998999999997</v>
      </c>
      <c r="E111" s="1">
        <f>Prices!E109</f>
        <v>58.41</v>
      </c>
      <c r="F111" s="1">
        <f>Prices!F109</f>
        <v>384.89999399999999</v>
      </c>
    </row>
    <row r="112" spans="1:6" x14ac:dyDescent="0.35">
      <c r="A112" s="2">
        <f>Prices!A110</f>
        <v>44048</v>
      </c>
      <c r="B112" s="1">
        <f>Prices!B110</f>
        <v>1765.130005</v>
      </c>
      <c r="C112" s="1">
        <f>Prices!C110</f>
        <v>37.990001999999997</v>
      </c>
      <c r="D112" s="1">
        <f>Prices!D110</f>
        <v>52.139999000000003</v>
      </c>
      <c r="E112" s="1">
        <f>Prices!E110</f>
        <v>57.07</v>
      </c>
      <c r="F112" s="1">
        <f>Prices!F110</f>
        <v>381.70001200000002</v>
      </c>
    </row>
    <row r="113" spans="1:6" x14ac:dyDescent="0.35">
      <c r="A113" s="2">
        <f>Prices!A111</f>
        <v>44049</v>
      </c>
      <c r="B113" s="1">
        <f>Prices!B111</f>
        <v>1787.829956</v>
      </c>
      <c r="C113" s="1">
        <f>Prices!C111</f>
        <v>38.32</v>
      </c>
      <c r="D113" s="1">
        <f>Prices!D111</f>
        <v>52.139999000000003</v>
      </c>
      <c r="E113" s="1">
        <f>Prices!E111</f>
        <v>57.299999</v>
      </c>
      <c r="F113" s="1">
        <f>Prices!F111</f>
        <v>382</v>
      </c>
    </row>
    <row r="114" spans="1:6" x14ac:dyDescent="0.35">
      <c r="A114" s="2">
        <f>Prices!A112</f>
        <v>44050</v>
      </c>
      <c r="B114" s="1">
        <f>Prices!B112</f>
        <v>1793.400024</v>
      </c>
      <c r="C114" s="1">
        <f>Prices!C112</f>
        <v>38.270000000000003</v>
      </c>
      <c r="D114" s="1">
        <f>Prices!D112</f>
        <v>51.560001</v>
      </c>
      <c r="E114" s="1">
        <f>Prices!E112</f>
        <v>57.07</v>
      </c>
      <c r="F114" s="1">
        <f>Prices!F112</f>
        <v>388.79998799999998</v>
      </c>
    </row>
    <row r="115" spans="1:6" x14ac:dyDescent="0.35">
      <c r="A115" s="2">
        <f>Prices!A113</f>
        <v>44051</v>
      </c>
      <c r="B115" s="1">
        <f>Prices!B113</f>
        <v>1832.8900149999999</v>
      </c>
      <c r="C115" s="1">
        <f>Prices!C113</f>
        <v>38.349997999999999</v>
      </c>
      <c r="D115" s="1">
        <f>Prices!D113</f>
        <v>50.650002000000001</v>
      </c>
      <c r="E115" s="1">
        <f>Prices!E113</f>
        <v>58.02</v>
      </c>
      <c r="F115" s="1">
        <f>Prices!F113</f>
        <v>383.10000600000001</v>
      </c>
    </row>
    <row r="116" spans="1:6" x14ac:dyDescent="0.35">
      <c r="A116" s="2">
        <f>Prices!A114</f>
        <v>44052</v>
      </c>
      <c r="B116" s="1">
        <f>Prices!B114</f>
        <v>1807.579956</v>
      </c>
      <c r="C116" s="1">
        <f>Prices!C114</f>
        <v>37.779998999999997</v>
      </c>
      <c r="D116" s="1">
        <f>Prices!D114</f>
        <v>48.779998999999997</v>
      </c>
      <c r="E116" s="1">
        <f>Prices!E114</f>
        <v>57.299999</v>
      </c>
      <c r="F116" s="1">
        <f>Prices!F114</f>
        <v>379.89999399999999</v>
      </c>
    </row>
    <row r="117" spans="1:6" x14ac:dyDescent="0.35">
      <c r="A117" s="2">
        <f>Prices!A115</f>
        <v>44055</v>
      </c>
      <c r="B117" s="1">
        <f>Prices!B115</f>
        <v>1784.920044</v>
      </c>
      <c r="C117" s="1">
        <f>Prices!C115</f>
        <v>36.790000999999997</v>
      </c>
      <c r="D117" s="1">
        <f>Prices!D115</f>
        <v>48.790000999999997</v>
      </c>
      <c r="E117" s="1">
        <f>Prices!E115</f>
        <v>57.32</v>
      </c>
      <c r="F117" s="1">
        <f>Prices!F115</f>
        <v>380.20001200000002</v>
      </c>
    </row>
    <row r="118" spans="1:6" x14ac:dyDescent="0.35">
      <c r="A118" s="2">
        <f>Prices!A116</f>
        <v>44056</v>
      </c>
      <c r="B118" s="1">
        <f>Prices!B116</f>
        <v>1824.339966</v>
      </c>
      <c r="C118" s="1">
        <f>Prices!C116</f>
        <v>37.009998000000003</v>
      </c>
      <c r="D118" s="1">
        <f>Prices!D116</f>
        <v>50.009998000000003</v>
      </c>
      <c r="E118" s="1">
        <f>Prices!E116</f>
        <v>57.700001</v>
      </c>
      <c r="F118" s="1">
        <f>Prices!F116</f>
        <v>371</v>
      </c>
    </row>
    <row r="119" spans="1:6" x14ac:dyDescent="0.35">
      <c r="A119" s="2">
        <f>Prices!A117</f>
        <v>44057</v>
      </c>
      <c r="B119" s="1">
        <f>Prices!B117</f>
        <v>1762.959961</v>
      </c>
      <c r="C119" s="1">
        <f>Prices!C117</f>
        <v>36</v>
      </c>
      <c r="D119" s="1">
        <f>Prices!D117</f>
        <v>48.560001</v>
      </c>
      <c r="E119" s="1">
        <f>Prices!E117</f>
        <v>56.380001</v>
      </c>
      <c r="F119" s="1">
        <f>Prices!F117</f>
        <v>357.60000600000001</v>
      </c>
    </row>
    <row r="120" spans="1:6" x14ac:dyDescent="0.35">
      <c r="A120" s="2">
        <f>Prices!A118</f>
        <v>44058</v>
      </c>
      <c r="B120" s="1">
        <f>Prices!B118</f>
        <v>1776.119995</v>
      </c>
      <c r="C120" s="1">
        <f>Prices!C118</f>
        <v>35.639999000000003</v>
      </c>
      <c r="D120" s="1">
        <f>Prices!D118</f>
        <v>48.970001000000003</v>
      </c>
      <c r="E120" s="1">
        <f>Prices!E118</f>
        <v>55.09</v>
      </c>
      <c r="F120" s="1">
        <f>Prices!F118</f>
        <v>360.70001200000002</v>
      </c>
    </row>
    <row r="121" spans="1:6" x14ac:dyDescent="0.35">
      <c r="A121" s="2">
        <f>Prices!A119</f>
        <v>44059</v>
      </c>
      <c r="B121" s="1">
        <f>Prices!B119</f>
        <v>1792.5699460000001</v>
      </c>
      <c r="C121" s="1">
        <f>Prices!C119</f>
        <v>36.119999</v>
      </c>
      <c r="D121" s="1">
        <f>Prices!D119</f>
        <v>48.82</v>
      </c>
      <c r="E121" s="1">
        <f>Prices!E119</f>
        <v>55.560001</v>
      </c>
      <c r="F121" s="1">
        <f>Prices!F119</f>
        <v>363.5</v>
      </c>
    </row>
    <row r="122" spans="1:6" x14ac:dyDescent="0.35">
      <c r="A122" s="2">
        <f>Prices!A120</f>
        <v>44062</v>
      </c>
      <c r="B122" s="1">
        <f>Prices!B120</f>
        <v>1816.119995</v>
      </c>
      <c r="C122" s="1">
        <f>Prices!C120</f>
        <v>36.560001</v>
      </c>
      <c r="D122" s="1">
        <f>Prices!D120</f>
        <v>49.130001</v>
      </c>
      <c r="E122" s="1">
        <f>Prices!E120</f>
        <v>56.060001</v>
      </c>
      <c r="F122" s="1">
        <f>Prices!F120</f>
        <v>358.10000600000001</v>
      </c>
    </row>
    <row r="123" spans="1:6" x14ac:dyDescent="0.35">
      <c r="A123" s="2">
        <f>Prices!A121</f>
        <v>44063</v>
      </c>
      <c r="B123" s="1">
        <f>Prices!B121</f>
        <v>1801.380005</v>
      </c>
      <c r="C123" s="1">
        <f>Prices!C121</f>
        <v>36.169998</v>
      </c>
      <c r="D123" s="1">
        <f>Prices!D121</f>
        <v>48.720001000000003</v>
      </c>
      <c r="E123" s="1">
        <f>Prices!E121</f>
        <v>55.66</v>
      </c>
      <c r="F123" s="1">
        <f>Prices!F121</f>
        <v>358.5</v>
      </c>
    </row>
    <row r="124" spans="1:6" x14ac:dyDescent="0.35">
      <c r="A124" s="2">
        <f>Prices!A122</f>
        <v>44064</v>
      </c>
      <c r="B124" s="1">
        <f>Prices!B122</f>
        <v>1823.540039</v>
      </c>
      <c r="C124" s="1">
        <f>Prices!C122</f>
        <v>36.259998000000003</v>
      </c>
      <c r="D124" s="1">
        <f>Prices!D122</f>
        <v>48.48</v>
      </c>
      <c r="E124" s="1">
        <f>Prices!E122</f>
        <v>56.240001999999997</v>
      </c>
      <c r="F124" s="1">
        <f>Prices!F122</f>
        <v>362.5</v>
      </c>
    </row>
    <row r="125" spans="1:6" x14ac:dyDescent="0.35">
      <c r="A125" s="2">
        <f>Prices!A123</f>
        <v>44065</v>
      </c>
      <c r="B125" s="1">
        <f>Prices!B123</f>
        <v>1804.660034</v>
      </c>
      <c r="C125" s="1">
        <f>Prices!C123</f>
        <v>36.200001</v>
      </c>
      <c r="D125" s="1">
        <f>Prices!D123</f>
        <v>48.549999</v>
      </c>
      <c r="E125" s="1">
        <f>Prices!E123</f>
        <v>55.889999000000003</v>
      </c>
      <c r="F125" s="1">
        <f>Prices!F123</f>
        <v>361.39999399999999</v>
      </c>
    </row>
    <row r="126" spans="1:6" x14ac:dyDescent="0.35">
      <c r="A126" s="2">
        <f>Prices!A124</f>
        <v>44066</v>
      </c>
      <c r="B126" s="1">
        <f>Prices!B124</f>
        <v>1749.619995</v>
      </c>
      <c r="C126" s="1">
        <f>Prices!C124</f>
        <v>35.630001</v>
      </c>
      <c r="D126" s="1">
        <f>Prices!D124</f>
        <v>47.98</v>
      </c>
      <c r="E126" s="1">
        <f>Prices!E124</f>
        <v>55.130001</v>
      </c>
      <c r="F126" s="1">
        <f>Prices!F124</f>
        <v>358.5</v>
      </c>
    </row>
    <row r="127" spans="1:6" x14ac:dyDescent="0.35">
      <c r="A127" s="2">
        <f>Prices!A125</f>
        <v>44069</v>
      </c>
      <c r="B127" s="1">
        <f>Prices!B125</f>
        <v>1768.869995</v>
      </c>
      <c r="C127" s="1">
        <f>Prices!C125</f>
        <v>35.599997999999999</v>
      </c>
      <c r="D127" s="1">
        <f>Prices!D125</f>
        <v>48.349997999999999</v>
      </c>
      <c r="E127" s="1">
        <f>Prices!E125</f>
        <v>55.310001</v>
      </c>
      <c r="F127" s="1">
        <f>Prices!F125</f>
        <v>353.5</v>
      </c>
    </row>
    <row r="128" spans="1:6" x14ac:dyDescent="0.35">
      <c r="A128" s="2">
        <f>Prices!A126</f>
        <v>44070</v>
      </c>
      <c r="B128" s="1">
        <f>Prices!B126</f>
        <v>1761.829956</v>
      </c>
      <c r="C128" s="1">
        <f>Prices!C126</f>
        <v>35.560001</v>
      </c>
      <c r="D128" s="1">
        <f>Prices!D126</f>
        <v>48.200001</v>
      </c>
      <c r="E128" s="1">
        <f>Prices!E126</f>
        <v>54.950001</v>
      </c>
      <c r="F128" s="1">
        <f>Prices!F126</f>
        <v>354.89999399999999</v>
      </c>
    </row>
    <row r="129" spans="1:6" x14ac:dyDescent="0.35">
      <c r="A129" s="2">
        <f>Prices!A127</f>
        <v>44071</v>
      </c>
      <c r="B129" s="1">
        <f>Prices!B127</f>
        <v>1764.25</v>
      </c>
      <c r="C129" s="1">
        <f>Prices!C127</f>
        <v>35.529998999999997</v>
      </c>
      <c r="D129" s="1">
        <f>Prices!D127</f>
        <v>48.700001</v>
      </c>
      <c r="E129" s="1">
        <f>Prices!E127</f>
        <v>55.68</v>
      </c>
      <c r="F129" s="1">
        <f>Prices!F127</f>
        <v>354.10000600000001</v>
      </c>
    </row>
    <row r="130" spans="1:6" x14ac:dyDescent="0.35">
      <c r="A130" s="2">
        <f>Prices!A128</f>
        <v>44072</v>
      </c>
      <c r="B130" s="1">
        <f>Prices!B128</f>
        <v>1786.400024</v>
      </c>
      <c r="C130" s="1">
        <f>Prices!C128</f>
        <v>35.959999000000003</v>
      </c>
      <c r="D130" s="1">
        <f>Prices!D128</f>
        <v>49.259998000000003</v>
      </c>
      <c r="E130" s="1">
        <f>Prices!E128</f>
        <v>55.700001</v>
      </c>
      <c r="F130" s="1">
        <f>Prices!F128</f>
        <v>355.70001200000002</v>
      </c>
    </row>
    <row r="131" spans="1:6" x14ac:dyDescent="0.35">
      <c r="A131" s="2">
        <f>Prices!A129</f>
        <v>44073</v>
      </c>
      <c r="B131" s="1">
        <f>Prices!B129</f>
        <v>1776.290039</v>
      </c>
      <c r="C131" s="1">
        <f>Prices!C129</f>
        <v>35.900002000000001</v>
      </c>
      <c r="D131" s="1">
        <f>Prices!D129</f>
        <v>50.580002</v>
      </c>
      <c r="E131" s="1">
        <f>Prices!E129</f>
        <v>55.599997999999999</v>
      </c>
      <c r="F131" s="1">
        <f>Prices!F129</f>
        <v>352.29998799999998</v>
      </c>
    </row>
    <row r="132" spans="1:6" x14ac:dyDescent="0.35">
      <c r="A132" s="2">
        <f>Prices!A130</f>
        <v>44077</v>
      </c>
      <c r="B132" s="1">
        <f>Prices!B130</f>
        <v>1789.839966</v>
      </c>
      <c r="C132" s="1">
        <f>Prices!C130</f>
        <v>35.880001</v>
      </c>
      <c r="D132" s="1">
        <f>Prices!D130</f>
        <v>49.970001000000003</v>
      </c>
      <c r="E132" s="1">
        <f>Prices!E130</f>
        <v>55.27</v>
      </c>
      <c r="F132" s="1">
        <f>Prices!F130</f>
        <v>355.39999399999999</v>
      </c>
    </row>
    <row r="133" spans="1:6" x14ac:dyDescent="0.35">
      <c r="A133" s="2">
        <f>Prices!A131</f>
        <v>44078</v>
      </c>
      <c r="B133" s="1">
        <f>Prices!B131</f>
        <v>1800.619995</v>
      </c>
      <c r="C133" s="1">
        <f>Prices!C131</f>
        <v>36.720001000000003</v>
      </c>
      <c r="D133" s="1">
        <f>Prices!D131</f>
        <v>51.599997999999999</v>
      </c>
      <c r="E133" s="1">
        <f>Prices!E131</f>
        <v>55.889999000000003</v>
      </c>
      <c r="F133" s="1">
        <f>Prices!F131</f>
        <v>364.39999399999999</v>
      </c>
    </row>
    <row r="134" spans="1:6" x14ac:dyDescent="0.35">
      <c r="A134" s="2">
        <f>Prices!A132</f>
        <v>44079</v>
      </c>
      <c r="B134" s="1">
        <f>Prices!B132</f>
        <v>1840.719971</v>
      </c>
      <c r="C134" s="1">
        <f>Prices!C132</f>
        <v>36.799999</v>
      </c>
      <c r="D134" s="1">
        <f>Prices!D132</f>
        <v>52.169998</v>
      </c>
      <c r="E134" s="1">
        <f>Prices!E132</f>
        <v>55.740001999999997</v>
      </c>
      <c r="F134" s="1">
        <f>Prices!F132</f>
        <v>364</v>
      </c>
    </row>
    <row r="135" spans="1:6" x14ac:dyDescent="0.35">
      <c r="A135" s="2">
        <f>Prices!A133</f>
        <v>44080</v>
      </c>
      <c r="B135" s="1">
        <f>Prices!B133</f>
        <v>1833.51001</v>
      </c>
      <c r="C135" s="1">
        <f>Prices!C133</f>
        <v>36.900002000000001</v>
      </c>
      <c r="D135" s="1">
        <f>Prices!D133</f>
        <v>52.16</v>
      </c>
      <c r="E135" s="1">
        <f>Prices!E133</f>
        <v>55.599997999999999</v>
      </c>
      <c r="F135" s="1">
        <f>Prices!F133</f>
        <v>374.39999399999999</v>
      </c>
    </row>
    <row r="136" spans="1:6" x14ac:dyDescent="0.35">
      <c r="A136" s="2">
        <f>Prices!A134</f>
        <v>44083</v>
      </c>
      <c r="B136" s="1">
        <f>Prices!B134</f>
        <v>1831.349976</v>
      </c>
      <c r="C136" s="1">
        <f>Prices!C134</f>
        <v>37.450001</v>
      </c>
      <c r="D136" s="1">
        <f>Prices!D134</f>
        <v>52.389999000000003</v>
      </c>
      <c r="E136" s="1">
        <f>Prices!E134</f>
        <v>56.259998000000003</v>
      </c>
      <c r="F136" s="1">
        <f>Prices!F134</f>
        <v>387.39999399999999</v>
      </c>
    </row>
    <row r="137" spans="1:6" x14ac:dyDescent="0.35">
      <c r="A137" s="2">
        <f>Prices!A135</f>
        <v>44084</v>
      </c>
      <c r="B137" s="1">
        <f>Prices!B135</f>
        <v>1820.5500489999999</v>
      </c>
      <c r="C137" s="1">
        <f>Prices!C135</f>
        <v>38.119999</v>
      </c>
      <c r="D137" s="1">
        <f>Prices!D135</f>
        <v>52.860000999999997</v>
      </c>
      <c r="E137" s="1">
        <f>Prices!E135</f>
        <v>56.810001</v>
      </c>
      <c r="F137" s="1">
        <f>Prices!F135</f>
        <v>392.70001200000002</v>
      </c>
    </row>
    <row r="138" spans="1:6" x14ac:dyDescent="0.35">
      <c r="A138" s="2">
        <f>Prices!A136</f>
        <v>44085</v>
      </c>
      <c r="B138" s="1">
        <f>Prices!B136</f>
        <v>1822.98999</v>
      </c>
      <c r="C138" s="1">
        <f>Prices!C136</f>
        <v>38.599997999999999</v>
      </c>
      <c r="D138" s="1">
        <f>Prices!D136</f>
        <v>53.240001999999997</v>
      </c>
      <c r="E138" s="1">
        <f>Prices!E136</f>
        <v>56.5</v>
      </c>
      <c r="F138" s="1">
        <f>Prices!F136</f>
        <v>390.60000600000001</v>
      </c>
    </row>
    <row r="139" spans="1:6" x14ac:dyDescent="0.35">
      <c r="A139" s="2">
        <f>Prices!A137</f>
        <v>44086</v>
      </c>
      <c r="B139" s="1">
        <f>Prices!B137</f>
        <v>1843.5500489999999</v>
      </c>
      <c r="C139" s="1">
        <f>Prices!C137</f>
        <v>38.740001999999997</v>
      </c>
      <c r="D139" s="1">
        <f>Prices!D137</f>
        <v>53.689999</v>
      </c>
      <c r="E139" s="1">
        <f>Prices!E137</f>
        <v>56.549999</v>
      </c>
      <c r="F139" s="1">
        <f>Prices!F137</f>
        <v>401</v>
      </c>
    </row>
    <row r="140" spans="1:6" x14ac:dyDescent="0.35">
      <c r="A140" s="2">
        <f>Prices!A138</f>
        <v>44087</v>
      </c>
      <c r="B140" s="1">
        <f>Prices!B138</f>
        <v>1839.339966</v>
      </c>
      <c r="C140" s="1">
        <f>Prices!C138</f>
        <v>39.139999000000003</v>
      </c>
      <c r="D140" s="1">
        <f>Prices!D138</f>
        <v>54.849997999999999</v>
      </c>
      <c r="E140" s="1">
        <f>Prices!E138</f>
        <v>56.869999</v>
      </c>
      <c r="F140" s="1">
        <f>Prices!F138</f>
        <v>394.5</v>
      </c>
    </row>
    <row r="141" spans="1:6" x14ac:dyDescent="0.35">
      <c r="A141" s="2">
        <f>Prices!A139</f>
        <v>44090</v>
      </c>
      <c r="B141" s="1">
        <f>Prices!B139</f>
        <v>1807.839966</v>
      </c>
      <c r="C141" s="1">
        <f>Prices!C139</f>
        <v>38.389999000000003</v>
      </c>
      <c r="D141" s="1">
        <f>Prices!D139</f>
        <v>53.650002000000001</v>
      </c>
      <c r="E141" s="1">
        <f>Prices!E139</f>
        <v>57.990001999999997</v>
      </c>
      <c r="F141" s="1">
        <f>Prices!F139</f>
        <v>388.70001200000002</v>
      </c>
    </row>
    <row r="142" spans="1:6" x14ac:dyDescent="0.35">
      <c r="A142" s="2">
        <f>Prices!A140</f>
        <v>44091</v>
      </c>
      <c r="B142" s="1">
        <f>Prices!B140</f>
        <v>1822.5500489999999</v>
      </c>
      <c r="C142" s="1">
        <f>Prices!C140</f>
        <v>38.299999</v>
      </c>
      <c r="D142" s="1">
        <f>Prices!D140</f>
        <v>53.610000999999997</v>
      </c>
      <c r="E142" s="1">
        <f>Prices!E140</f>
        <v>58.09</v>
      </c>
      <c r="F142" s="1">
        <f>Prices!F140</f>
        <v>388</v>
      </c>
    </row>
    <row r="143" spans="1:6" x14ac:dyDescent="0.35">
      <c r="A143" s="2">
        <f>Prices!A141</f>
        <v>44092</v>
      </c>
      <c r="B143" s="1">
        <f>Prices!B141</f>
        <v>1817.459961</v>
      </c>
      <c r="C143" s="1">
        <f>Prices!C141</f>
        <v>38.200001</v>
      </c>
      <c r="D143" s="1">
        <f>Prices!D141</f>
        <v>53.049999</v>
      </c>
      <c r="E143" s="1">
        <f>Prices!E141</f>
        <v>58.220001000000003</v>
      </c>
      <c r="F143" s="1">
        <f>Prices!F141</f>
        <v>388.60000600000001</v>
      </c>
    </row>
    <row r="144" spans="1:6" x14ac:dyDescent="0.35">
      <c r="A144" s="2">
        <f>Prices!A142</f>
        <v>44093</v>
      </c>
      <c r="B144" s="1">
        <f>Prices!B142</f>
        <v>1821.5</v>
      </c>
      <c r="C144" s="1">
        <f>Prices!C142</f>
        <v>38.229999999999997</v>
      </c>
      <c r="D144" s="1">
        <f>Prices!D142</f>
        <v>52.91</v>
      </c>
      <c r="E144" s="1">
        <f>Prices!E142</f>
        <v>58.310001</v>
      </c>
      <c r="F144" s="1">
        <f>Prices!F142</f>
        <v>389.39999399999999</v>
      </c>
    </row>
    <row r="145" spans="1:6" x14ac:dyDescent="0.35">
      <c r="A145" s="2">
        <f>Prices!A143</f>
        <v>44094</v>
      </c>
      <c r="B145" s="1">
        <f>Prices!B143</f>
        <v>1794.160034</v>
      </c>
      <c r="C145" s="1">
        <f>Prices!C143</f>
        <v>38.159999999999997</v>
      </c>
      <c r="D145" s="1">
        <f>Prices!D143</f>
        <v>52.82</v>
      </c>
      <c r="E145" s="1">
        <f>Prices!E143</f>
        <v>58.48</v>
      </c>
      <c r="F145" s="1">
        <f>Prices!F143</f>
        <v>388.10000600000001</v>
      </c>
    </row>
    <row r="146" spans="1:6" x14ac:dyDescent="0.35">
      <c r="A146" s="2">
        <f>Prices!A144</f>
        <v>44097</v>
      </c>
      <c r="B146" s="1">
        <f>Prices!B144</f>
        <v>1785.3000489999999</v>
      </c>
      <c r="C146" s="1">
        <f>Prices!C144</f>
        <v>38.110000999999997</v>
      </c>
      <c r="D146" s="1">
        <f>Prices!D144</f>
        <v>52.990001999999997</v>
      </c>
      <c r="E146" s="1">
        <f>Prices!E144</f>
        <v>58.5</v>
      </c>
      <c r="F146" s="1">
        <f>Prices!F144</f>
        <v>388.20001200000002</v>
      </c>
    </row>
    <row r="147" spans="1:6" x14ac:dyDescent="0.35">
      <c r="A147" s="2">
        <f>Prices!A145</f>
        <v>44098</v>
      </c>
      <c r="B147" s="1">
        <f>Prices!B145</f>
        <v>1741.6099850000001</v>
      </c>
      <c r="C147" s="1">
        <f>Prices!C145</f>
        <v>37.909999999999997</v>
      </c>
      <c r="D147" s="1">
        <f>Prices!D145</f>
        <v>51.419998</v>
      </c>
      <c r="E147" s="1">
        <f>Prices!E145</f>
        <v>57.889999000000003</v>
      </c>
      <c r="F147" s="1">
        <f>Prices!F145</f>
        <v>387.5</v>
      </c>
    </row>
    <row r="148" spans="1:6" x14ac:dyDescent="0.35">
      <c r="A148" s="2">
        <f>Prices!A146</f>
        <v>44099</v>
      </c>
      <c r="B148" s="1">
        <f>Prices!B146</f>
        <v>1768.329956</v>
      </c>
      <c r="C148" s="1">
        <f>Prices!C146</f>
        <v>37.979999999999997</v>
      </c>
      <c r="D148" s="1">
        <f>Prices!D146</f>
        <v>51.900002000000001</v>
      </c>
      <c r="E148" s="1">
        <f>Prices!E146</f>
        <v>57.830002</v>
      </c>
      <c r="F148" s="1">
        <f>Prices!F146</f>
        <v>391.20001200000002</v>
      </c>
    </row>
    <row r="149" spans="1:6" x14ac:dyDescent="0.35">
      <c r="A149" s="2">
        <f>Prices!A147</f>
        <v>44100</v>
      </c>
      <c r="B149" s="1">
        <f>Prices!B147</f>
        <v>1739.839966</v>
      </c>
      <c r="C149" s="1">
        <f>Prices!C147</f>
        <v>38.099997999999999</v>
      </c>
      <c r="D149" s="1">
        <f>Prices!D147</f>
        <v>51.419998</v>
      </c>
      <c r="E149" s="1">
        <f>Prices!E147</f>
        <v>58.549999</v>
      </c>
      <c r="F149" s="1">
        <f>Prices!F147</f>
        <v>397.70001200000002</v>
      </c>
    </row>
    <row r="150" spans="1:6" x14ac:dyDescent="0.35">
      <c r="A150" s="2">
        <f>Prices!A148</f>
        <v>44101</v>
      </c>
      <c r="B150" s="1">
        <f>Prices!B148</f>
        <v>1725.4499510000001</v>
      </c>
      <c r="C150" s="1">
        <f>Prices!C148</f>
        <v>38.139999000000003</v>
      </c>
      <c r="D150" s="1">
        <f>Prices!D148</f>
        <v>51.98</v>
      </c>
      <c r="E150" s="1">
        <f>Prices!E148</f>
        <v>59.110000999999997</v>
      </c>
      <c r="F150" s="1">
        <f>Prices!F148</f>
        <v>399.29998799999998</v>
      </c>
    </row>
    <row r="151" spans="1:6" x14ac:dyDescent="0.35">
      <c r="A151" s="2">
        <f>Prices!A149</f>
        <v>44104</v>
      </c>
      <c r="B151" s="1">
        <f>Prices!B149</f>
        <v>1735.910034</v>
      </c>
      <c r="C151" s="1">
        <f>Prices!C149</f>
        <v>38.270000000000003</v>
      </c>
      <c r="D151" s="1">
        <f>Prices!D149</f>
        <v>52.09</v>
      </c>
      <c r="E151" s="1">
        <f>Prices!E149</f>
        <v>58.849997999999999</v>
      </c>
      <c r="F151" s="1">
        <f>Prices!F149</f>
        <v>394</v>
      </c>
    </row>
    <row r="152" spans="1:6" x14ac:dyDescent="0.35">
      <c r="A152" s="2">
        <f>Prices!A150</f>
        <v>44105</v>
      </c>
      <c r="B152" s="1">
        <f>Prices!B150</f>
        <v>1735.650024</v>
      </c>
      <c r="C152" s="1">
        <f>Prices!C150</f>
        <v>37.860000999999997</v>
      </c>
      <c r="D152" s="1">
        <f>Prices!D150</f>
        <v>51.369999</v>
      </c>
      <c r="E152" s="1">
        <f>Prices!E150</f>
        <v>58.389999000000003</v>
      </c>
      <c r="F152" s="1">
        <f>Prices!F150</f>
        <v>384.89999399999999</v>
      </c>
    </row>
    <row r="153" spans="1:6" x14ac:dyDescent="0.35">
      <c r="A153" s="2">
        <f>Prices!A151</f>
        <v>44106</v>
      </c>
      <c r="B153" s="1">
        <f>Prices!B151</f>
        <v>1713.2299800000001</v>
      </c>
      <c r="C153" s="1">
        <f>Prices!C151</f>
        <v>37.130001</v>
      </c>
      <c r="D153" s="1">
        <f>Prices!D151</f>
        <v>49.75</v>
      </c>
      <c r="E153" s="1">
        <f>Prices!E151</f>
        <v>56.610000999999997</v>
      </c>
      <c r="F153" s="1">
        <f>Prices!F151</f>
        <v>381.60000600000001</v>
      </c>
    </row>
    <row r="154" spans="1:6" x14ac:dyDescent="0.35">
      <c r="A154" s="2">
        <f>Prices!A152</f>
        <v>44107</v>
      </c>
      <c r="B154" s="1">
        <f>Prices!B152</f>
        <v>1724.420044</v>
      </c>
      <c r="C154" s="1">
        <f>Prices!C152</f>
        <v>37.349997999999999</v>
      </c>
      <c r="D154" s="1">
        <f>Prices!D152</f>
        <v>49.790000999999997</v>
      </c>
      <c r="E154" s="1">
        <f>Prices!E152</f>
        <v>56.990001999999997</v>
      </c>
      <c r="F154" s="1">
        <f>Prices!F152</f>
        <v>380</v>
      </c>
    </row>
    <row r="155" spans="1:6" x14ac:dyDescent="0.35">
      <c r="A155" s="2">
        <f>Prices!A153</f>
        <v>44108</v>
      </c>
      <c r="B155" s="1">
        <f>Prices!B153</f>
        <v>1739.650024</v>
      </c>
      <c r="C155" s="1">
        <f>Prices!C153</f>
        <v>37.209999000000003</v>
      </c>
      <c r="D155" s="1">
        <f>Prices!D153</f>
        <v>50.139999000000003</v>
      </c>
      <c r="E155" s="1">
        <f>Prices!E153</f>
        <v>57.299999</v>
      </c>
      <c r="F155" s="1">
        <f>Prices!F153</f>
        <v>377.89999399999999</v>
      </c>
    </row>
    <row r="156" spans="1:6" x14ac:dyDescent="0.35">
      <c r="A156" s="2">
        <f>Prices!A154</f>
        <v>44111</v>
      </c>
      <c r="B156" s="1">
        <f>Prices!B154</f>
        <v>1732.660034</v>
      </c>
      <c r="C156" s="1">
        <f>Prices!C154</f>
        <v>37.159999999999997</v>
      </c>
      <c r="D156" s="1">
        <f>Prices!D154</f>
        <v>49.689999</v>
      </c>
      <c r="E156" s="1">
        <f>Prices!E154</f>
        <v>57.18</v>
      </c>
      <c r="F156" s="1">
        <f>Prices!F154</f>
        <v>375</v>
      </c>
    </row>
    <row r="157" spans="1:6" x14ac:dyDescent="0.35">
      <c r="A157" s="2">
        <f>Prices!A155</f>
        <v>44112</v>
      </c>
      <c r="B157" s="1">
        <f>Prices!B155</f>
        <v>1705.51001</v>
      </c>
      <c r="C157" s="1">
        <f>Prices!C155</f>
        <v>36.68</v>
      </c>
      <c r="D157" s="1">
        <f>Prices!D155</f>
        <v>49.240001999999997</v>
      </c>
      <c r="E157" s="1">
        <f>Prices!E155</f>
        <v>56.439999</v>
      </c>
      <c r="F157" s="1">
        <f>Prices!F155</f>
        <v>375</v>
      </c>
    </row>
    <row r="158" spans="1:6" x14ac:dyDescent="0.35">
      <c r="A158" s="2">
        <f>Prices!A156</f>
        <v>44113</v>
      </c>
      <c r="B158" s="1">
        <f>Prices!B156</f>
        <v>1721.98999</v>
      </c>
      <c r="C158" s="1">
        <f>Prices!C156</f>
        <v>36.93</v>
      </c>
      <c r="D158" s="1">
        <f>Prices!D156</f>
        <v>49.549999</v>
      </c>
      <c r="E158" s="1">
        <f>Prices!E156</f>
        <v>56.549999</v>
      </c>
      <c r="F158" s="1">
        <f>Prices!F156</f>
        <v>381.20001200000002</v>
      </c>
    </row>
    <row r="159" spans="1:6" x14ac:dyDescent="0.35">
      <c r="A159" s="2">
        <f>Prices!A157</f>
        <v>44114</v>
      </c>
      <c r="B159" s="1">
        <f>Prices!B157</f>
        <v>1720.26001</v>
      </c>
      <c r="C159" s="1">
        <f>Prices!C157</f>
        <v>36.900002000000001</v>
      </c>
      <c r="D159" s="1">
        <f>Prices!D157</f>
        <v>50.900002000000001</v>
      </c>
      <c r="E159" s="1">
        <f>Prices!E157</f>
        <v>57.259998000000003</v>
      </c>
      <c r="F159" s="1">
        <f>Prices!F157</f>
        <v>405.20001200000002</v>
      </c>
    </row>
    <row r="160" spans="1:6" x14ac:dyDescent="0.35">
      <c r="A160" s="2">
        <f>Prices!A158</f>
        <v>44115</v>
      </c>
      <c r="B160" s="1">
        <f>Prices!B158</f>
        <v>1731.920044</v>
      </c>
      <c r="C160" s="1">
        <f>Prices!C158</f>
        <v>38.200001</v>
      </c>
      <c r="D160" s="1">
        <f>Prices!D158</f>
        <v>52.849997999999999</v>
      </c>
      <c r="E160" s="1">
        <f>Prices!E158</f>
        <v>57.849997999999999</v>
      </c>
      <c r="F160" s="1">
        <f>Prices!F158</f>
        <v>396.79998799999998</v>
      </c>
    </row>
    <row r="161" spans="1:6" x14ac:dyDescent="0.35">
      <c r="A161" s="2">
        <f>Prices!A159</f>
        <v>44118</v>
      </c>
      <c r="B161" s="1">
        <f>Prices!B159</f>
        <v>1736.4300539999999</v>
      </c>
      <c r="C161" s="1">
        <f>Prices!C159</f>
        <v>38.240001999999997</v>
      </c>
      <c r="D161" s="1">
        <f>Prices!D159</f>
        <v>51.84</v>
      </c>
      <c r="E161" s="1">
        <f>Prices!E159</f>
        <v>57.82</v>
      </c>
      <c r="F161" s="1">
        <f>Prices!F159</f>
        <v>406.39999399999999</v>
      </c>
    </row>
    <row r="162" spans="1:6" x14ac:dyDescent="0.35">
      <c r="A162" s="2">
        <f>Prices!A160</f>
        <v>44119</v>
      </c>
      <c r="B162" s="1">
        <f>Prices!B160</f>
        <v>1767.380005</v>
      </c>
      <c r="C162" s="1">
        <f>Prices!C160</f>
        <v>38.599997999999999</v>
      </c>
      <c r="D162" s="1">
        <f>Prices!D160</f>
        <v>51.400002000000001</v>
      </c>
      <c r="E162" s="1">
        <f>Prices!E160</f>
        <v>57.540000999999997</v>
      </c>
      <c r="F162" s="1">
        <f>Prices!F160</f>
        <v>408.5</v>
      </c>
    </row>
    <row r="163" spans="1:6" x14ac:dyDescent="0.35">
      <c r="A163" s="2">
        <f>Prices!A161</f>
        <v>44120</v>
      </c>
      <c r="B163" s="1">
        <f>Prices!B161</f>
        <v>1777.4300539999999</v>
      </c>
      <c r="C163" s="1">
        <f>Prices!C161</f>
        <v>38.659999999999997</v>
      </c>
      <c r="D163" s="1">
        <f>Prices!D161</f>
        <v>50.52</v>
      </c>
      <c r="E163" s="1">
        <f>Prices!E161</f>
        <v>57.389999000000003</v>
      </c>
      <c r="F163" s="1">
        <f>Prices!F161</f>
        <v>408</v>
      </c>
    </row>
    <row r="164" spans="1:6" x14ac:dyDescent="0.35">
      <c r="A164" s="2">
        <f>Prices!A162</f>
        <v>44121</v>
      </c>
      <c r="B164" s="1">
        <f>Prices!B162</f>
        <v>1787.4799800000001</v>
      </c>
      <c r="C164" s="1">
        <f>Prices!C162</f>
        <v>38.869999</v>
      </c>
      <c r="D164" s="1">
        <f>Prices!D162</f>
        <v>50.77</v>
      </c>
      <c r="E164" s="1">
        <f>Prices!E162</f>
        <v>58.16</v>
      </c>
      <c r="F164" s="1">
        <f>Prices!F162</f>
        <v>412.20001200000002</v>
      </c>
    </row>
    <row r="165" spans="1:6" x14ac:dyDescent="0.35">
      <c r="A165" s="2">
        <f>Prices!A163</f>
        <v>44122</v>
      </c>
      <c r="B165" s="1">
        <f>Prices!B163</f>
        <v>1757.51001</v>
      </c>
      <c r="C165" s="1">
        <f>Prices!C163</f>
        <v>38.729999999999997</v>
      </c>
      <c r="D165" s="1">
        <f>Prices!D163</f>
        <v>50.950001</v>
      </c>
      <c r="E165" s="1">
        <f>Prices!E163</f>
        <v>57.720001000000003</v>
      </c>
      <c r="F165" s="1">
        <f>Prices!F163</f>
        <v>417.20001200000002</v>
      </c>
    </row>
    <row r="166" spans="1:6" x14ac:dyDescent="0.35">
      <c r="A166" s="2">
        <f>Prices!A164</f>
        <v>44125</v>
      </c>
      <c r="B166" s="1">
        <f>Prices!B164</f>
        <v>1785.660034</v>
      </c>
      <c r="C166" s="1">
        <f>Prices!C164</f>
        <v>39.150002000000001</v>
      </c>
      <c r="D166" s="1">
        <f>Prices!D164</f>
        <v>51.880001</v>
      </c>
      <c r="E166" s="1">
        <f>Prices!E164</f>
        <v>58.279998999999997</v>
      </c>
      <c r="F166" s="1">
        <f>Prices!F164</f>
        <v>418.60000600000001</v>
      </c>
    </row>
    <row r="167" spans="1:6" x14ac:dyDescent="0.35">
      <c r="A167" s="2">
        <f>Prices!A165</f>
        <v>44126</v>
      </c>
      <c r="B167" s="1">
        <f>Prices!B165</f>
        <v>1765.7299800000001</v>
      </c>
      <c r="C167" s="1">
        <f>Prices!C165</f>
        <v>39.209999000000003</v>
      </c>
      <c r="D167" s="1">
        <f>Prices!D165</f>
        <v>52.200001</v>
      </c>
      <c r="E167" s="1">
        <f>Prices!E165</f>
        <v>58.939999</v>
      </c>
      <c r="F167" s="1">
        <f>Prices!F165</f>
        <v>421.5</v>
      </c>
    </row>
    <row r="168" spans="1:6" x14ac:dyDescent="0.35">
      <c r="A168" s="2">
        <f>Prices!A166</f>
        <v>44127</v>
      </c>
      <c r="B168" s="1">
        <f>Prices!B166</f>
        <v>1762.170044</v>
      </c>
      <c r="C168" s="1">
        <f>Prices!C166</f>
        <v>39.360000999999997</v>
      </c>
      <c r="D168" s="1">
        <f>Prices!D166</f>
        <v>52.130001</v>
      </c>
      <c r="E168" s="1">
        <f>Prices!E166</f>
        <v>59.610000999999997</v>
      </c>
      <c r="F168" s="1">
        <f>Prices!F166</f>
        <v>424.29998799999998</v>
      </c>
    </row>
    <row r="169" spans="1:6" x14ac:dyDescent="0.35">
      <c r="A169" s="2">
        <f>Prices!A167</f>
        <v>44128</v>
      </c>
      <c r="B169" s="1">
        <f>Prices!B167</f>
        <v>1780.780029</v>
      </c>
      <c r="C169" s="1">
        <f>Prices!C167</f>
        <v>39.459999000000003</v>
      </c>
      <c r="D169" s="1">
        <f>Prices!D167</f>
        <v>52.02</v>
      </c>
      <c r="E169" s="1">
        <f>Prices!E167</f>
        <v>59.57</v>
      </c>
      <c r="F169" s="1">
        <f>Prices!F167</f>
        <v>420.89999399999999</v>
      </c>
    </row>
    <row r="170" spans="1:6" x14ac:dyDescent="0.35">
      <c r="A170" s="2">
        <f>Prices!A168</f>
        <v>44129</v>
      </c>
      <c r="B170" s="1">
        <f>Prices!B168</f>
        <v>1761.329956</v>
      </c>
      <c r="C170" s="1">
        <f>Prices!C168</f>
        <v>39.520000000000003</v>
      </c>
      <c r="D170" s="1">
        <f>Prices!D168</f>
        <v>52.560001</v>
      </c>
      <c r="E170" s="1">
        <f>Prices!E168</f>
        <v>59.73</v>
      </c>
      <c r="F170" s="1">
        <f>Prices!F168</f>
        <v>424.20001200000002</v>
      </c>
    </row>
    <row r="171" spans="1:6" x14ac:dyDescent="0.35">
      <c r="A171" s="2">
        <f>Prices!A169</f>
        <v>44132</v>
      </c>
      <c r="B171" s="1">
        <f>Prices!B169</f>
        <v>1777.079956</v>
      </c>
      <c r="C171" s="1">
        <f>Prices!C169</f>
        <v>38.090000000000003</v>
      </c>
      <c r="D171" s="1">
        <f>Prices!D169</f>
        <v>53.34</v>
      </c>
      <c r="E171" s="1">
        <f>Prices!E169</f>
        <v>59.919998</v>
      </c>
      <c r="F171" s="1">
        <f>Prices!F169</f>
        <v>423.60000600000001</v>
      </c>
    </row>
    <row r="172" spans="1:6" x14ac:dyDescent="0.35">
      <c r="A172" s="2">
        <f>Prices!A170</f>
        <v>44133</v>
      </c>
      <c r="B172" s="1">
        <f>Prices!B170</f>
        <v>1762.709961</v>
      </c>
      <c r="C172" s="1">
        <f>Prices!C170</f>
        <v>37.970001000000003</v>
      </c>
      <c r="D172" s="1">
        <f>Prices!D170</f>
        <v>53.369999</v>
      </c>
      <c r="E172" s="1">
        <f>Prices!E170</f>
        <v>59.93</v>
      </c>
      <c r="F172" s="1">
        <f>Prices!F170</f>
        <v>416.39999399999999</v>
      </c>
    </row>
    <row r="173" spans="1:6" x14ac:dyDescent="0.35">
      <c r="A173" s="2">
        <f>Prices!A171</f>
        <v>44134</v>
      </c>
      <c r="B173" s="1">
        <f>Prices!B171</f>
        <v>1779.98999</v>
      </c>
      <c r="C173" s="1">
        <f>Prices!C171</f>
        <v>37.93</v>
      </c>
      <c r="D173" s="1">
        <f>Prices!D171</f>
        <v>52.529998999999997</v>
      </c>
      <c r="E173" s="1">
        <f>Prices!E171</f>
        <v>60.049999</v>
      </c>
      <c r="F173" s="1">
        <f>Prices!F171</f>
        <v>415.20001200000002</v>
      </c>
    </row>
    <row r="174" spans="1:6" x14ac:dyDescent="0.35">
      <c r="A174" s="2">
        <f>Prices!A172</f>
        <v>44135</v>
      </c>
      <c r="B174" s="1">
        <f>Prices!B172</f>
        <v>1776.660034</v>
      </c>
      <c r="C174" s="1">
        <f>Prices!C172</f>
        <v>37.790000999999997</v>
      </c>
      <c r="D174" s="1">
        <f>Prices!D172</f>
        <v>52.009998000000003</v>
      </c>
      <c r="E174" s="1">
        <f>Prices!E172</f>
        <v>57.970001000000003</v>
      </c>
      <c r="F174" s="1">
        <f>Prices!F172</f>
        <v>419.70001200000002</v>
      </c>
    </row>
    <row r="175" spans="1:6" x14ac:dyDescent="0.35">
      <c r="A175" s="2">
        <f>Prices!A173</f>
        <v>44136</v>
      </c>
      <c r="B175" s="1">
        <f>Prices!B173</f>
        <v>1791.4399410000001</v>
      </c>
      <c r="C175" s="1">
        <f>Prices!C173</f>
        <v>38.07</v>
      </c>
      <c r="D175" s="1">
        <f>Prices!D173</f>
        <v>53.98</v>
      </c>
      <c r="E175" s="1">
        <f>Prices!E173</f>
        <v>58.639999000000003</v>
      </c>
      <c r="F175" s="1">
        <f>Prices!F173</f>
        <v>422</v>
      </c>
    </row>
    <row r="176" spans="1:6" x14ac:dyDescent="0.35">
      <c r="A176" s="2">
        <f>Prices!A174</f>
        <v>44139</v>
      </c>
      <c r="B176" s="1">
        <f>Prices!B174</f>
        <v>1804.660034</v>
      </c>
      <c r="C176" s="1">
        <f>Prices!C174</f>
        <v>38.520000000000003</v>
      </c>
      <c r="D176" s="1">
        <f>Prices!D174</f>
        <v>55.23</v>
      </c>
      <c r="E176" s="1">
        <f>Prices!E174</f>
        <v>59.439999</v>
      </c>
      <c r="F176" s="1">
        <f>Prices!F174</f>
        <v>431.79998799999998</v>
      </c>
    </row>
    <row r="177" spans="1:6" x14ac:dyDescent="0.35">
      <c r="A177" s="2">
        <f>Prices!A175</f>
        <v>44140</v>
      </c>
      <c r="B177" s="1">
        <f>Prices!B175</f>
        <v>1801.709961</v>
      </c>
      <c r="C177" s="1">
        <f>Prices!C175</f>
        <v>38.43</v>
      </c>
      <c r="D177" s="1">
        <f>Prices!D175</f>
        <v>55.82</v>
      </c>
      <c r="E177" s="1">
        <f>Prices!E175</f>
        <v>60.16</v>
      </c>
      <c r="F177" s="1">
        <f>Prices!F175</f>
        <v>428.70001200000002</v>
      </c>
    </row>
    <row r="178" spans="1:6" x14ac:dyDescent="0.35">
      <c r="A178" s="2">
        <f>Prices!A176</f>
        <v>44141</v>
      </c>
      <c r="B178" s="1">
        <f>Prices!B176</f>
        <v>1795.7700199999999</v>
      </c>
      <c r="C178" s="1">
        <f>Prices!C176</f>
        <v>38.5</v>
      </c>
      <c r="D178" s="1">
        <f>Prices!D176</f>
        <v>55.66</v>
      </c>
      <c r="E178" s="1">
        <f>Prices!E176</f>
        <v>59.869999</v>
      </c>
      <c r="F178" s="1">
        <f>Prices!F176</f>
        <v>433.70001200000002</v>
      </c>
    </row>
    <row r="179" spans="1:6" x14ac:dyDescent="0.35">
      <c r="A179" s="2">
        <f>Prices!A177</f>
        <v>44142</v>
      </c>
      <c r="B179" s="1">
        <f>Prices!B177</f>
        <v>1788.1999510000001</v>
      </c>
      <c r="C179" s="1">
        <f>Prices!C177</f>
        <v>38.439999</v>
      </c>
      <c r="D179" s="1">
        <f>Prices!D177</f>
        <v>55.509998000000003</v>
      </c>
      <c r="E179" s="1">
        <f>Prices!E177</f>
        <v>60.369999</v>
      </c>
      <c r="F179" s="1">
        <f>Prices!F177</f>
        <v>430.70001200000002</v>
      </c>
    </row>
    <row r="180" spans="1:6" x14ac:dyDescent="0.35">
      <c r="A180" s="2">
        <f>Prices!A178</f>
        <v>44143</v>
      </c>
      <c r="B180" s="1">
        <f>Prices!B178</f>
        <v>1785.880005</v>
      </c>
      <c r="C180" s="1">
        <f>Prices!C178</f>
        <v>38.240001999999997</v>
      </c>
      <c r="D180" s="1">
        <f>Prices!D178</f>
        <v>54.110000999999997</v>
      </c>
      <c r="E180" s="1">
        <f>Prices!E178</f>
        <v>60.25</v>
      </c>
      <c r="F180" s="1">
        <f>Prices!F178</f>
        <v>435.10000600000001</v>
      </c>
    </row>
    <row r="181" spans="1:6" x14ac:dyDescent="0.35">
      <c r="A181" s="2">
        <f>Prices!A179</f>
        <v>44146</v>
      </c>
      <c r="B181" s="1">
        <f>Prices!B179</f>
        <v>1771.650024</v>
      </c>
      <c r="C181" s="1">
        <f>Prices!C179</f>
        <v>37.709999000000003</v>
      </c>
      <c r="D181" s="1">
        <f>Prices!D179</f>
        <v>53.380001</v>
      </c>
      <c r="E181" s="1">
        <f>Prices!E179</f>
        <v>60.18</v>
      </c>
      <c r="F181" s="1">
        <f>Prices!F179</f>
        <v>438.39999399999999</v>
      </c>
    </row>
    <row r="182" spans="1:6" x14ac:dyDescent="0.35">
      <c r="A182" s="2">
        <f>Prices!A180</f>
        <v>44147</v>
      </c>
      <c r="B182" s="1">
        <f>Prices!B180</f>
        <v>1778</v>
      </c>
      <c r="C182" s="1">
        <f>Prices!C180</f>
        <v>37.68</v>
      </c>
      <c r="D182" s="1">
        <f>Prices!D180</f>
        <v>53.02</v>
      </c>
      <c r="E182" s="1">
        <f>Prices!E180</f>
        <v>59.889999000000003</v>
      </c>
      <c r="F182" s="1">
        <f>Prices!F180</f>
        <v>432.10000600000001</v>
      </c>
    </row>
    <row r="183" spans="1:6" x14ac:dyDescent="0.35">
      <c r="A183" s="2">
        <f>Prices!A181</f>
        <v>44148</v>
      </c>
      <c r="B183" s="1">
        <f>Prices!B181</f>
        <v>1753.1099850000001</v>
      </c>
      <c r="C183" s="1">
        <f>Prices!C181</f>
        <v>36.900002000000001</v>
      </c>
      <c r="D183" s="1">
        <f>Prices!D181</f>
        <v>52.18</v>
      </c>
      <c r="E183" s="1">
        <f>Prices!E181</f>
        <v>60.290000999999997</v>
      </c>
      <c r="F183" s="1">
        <f>Prices!F181</f>
        <v>431</v>
      </c>
    </row>
    <row r="184" spans="1:6" x14ac:dyDescent="0.35">
      <c r="A184" s="2">
        <f>Prices!A182</f>
        <v>44149</v>
      </c>
      <c r="B184" s="1">
        <f>Prices!B182</f>
        <v>1754.599976</v>
      </c>
      <c r="C184" s="1">
        <f>Prices!C182</f>
        <v>36.810001</v>
      </c>
      <c r="D184" s="1">
        <f>Prices!D182</f>
        <v>52.919998</v>
      </c>
      <c r="E184" s="1">
        <f>Prices!E182</f>
        <v>59.130001</v>
      </c>
      <c r="F184" s="1">
        <f>Prices!F182</f>
        <v>434.39999399999999</v>
      </c>
    </row>
    <row r="185" spans="1:6" x14ac:dyDescent="0.35">
      <c r="A185" s="2">
        <f>Prices!A183</f>
        <v>44150</v>
      </c>
      <c r="B185" s="1">
        <f>Prices!B183</f>
        <v>1739.48999</v>
      </c>
      <c r="C185" s="1">
        <f>Prices!C183</f>
        <v>37.009998000000003</v>
      </c>
      <c r="D185" s="1">
        <f>Prices!D183</f>
        <v>53.970001000000003</v>
      </c>
      <c r="E185" s="1">
        <f>Prices!E183</f>
        <v>59.57</v>
      </c>
      <c r="F185" s="1">
        <f>Prices!F183</f>
        <v>414.5</v>
      </c>
    </row>
    <row r="186" spans="1:6" x14ac:dyDescent="0.35">
      <c r="A186" s="2">
        <f>Prices!A184</f>
        <v>44153</v>
      </c>
      <c r="B186" s="1">
        <f>Prices!B184</f>
        <v>1752.530029</v>
      </c>
      <c r="C186" s="1">
        <f>Prices!C184</f>
        <v>37.240001999999997</v>
      </c>
      <c r="D186" s="1">
        <f>Prices!D184</f>
        <v>53.990001999999997</v>
      </c>
      <c r="E186" s="1">
        <f>Prices!E184</f>
        <v>59.419998</v>
      </c>
      <c r="F186" s="1">
        <f>Prices!F184</f>
        <v>418.29998799999998</v>
      </c>
    </row>
    <row r="187" spans="1:6" x14ac:dyDescent="0.35">
      <c r="A187" s="2">
        <f>Prices!A185</f>
        <v>44154</v>
      </c>
      <c r="B187" s="1">
        <f>Prices!B185</f>
        <v>1752.790039</v>
      </c>
      <c r="C187" s="1">
        <f>Prices!C185</f>
        <v>37.439999</v>
      </c>
      <c r="D187" s="1">
        <f>Prices!D185</f>
        <v>54.529998999999997</v>
      </c>
      <c r="E187" s="1">
        <f>Prices!E185</f>
        <v>58.73</v>
      </c>
      <c r="F187" s="1">
        <f>Prices!F185</f>
        <v>403.5</v>
      </c>
    </row>
    <row r="188" spans="1:6" x14ac:dyDescent="0.35">
      <c r="A188" s="2">
        <f>Prices!A186</f>
        <v>44155</v>
      </c>
      <c r="B188" s="1">
        <f>Prices!B186</f>
        <v>1745.530029</v>
      </c>
      <c r="C188" s="1">
        <f>Prices!C186</f>
        <v>37.099997999999999</v>
      </c>
      <c r="D188" s="1">
        <f>Prices!D186</f>
        <v>53.110000999999997</v>
      </c>
      <c r="E188" s="1">
        <f>Prices!E186</f>
        <v>58.439999</v>
      </c>
      <c r="F188" s="1">
        <f>Prices!F186</f>
        <v>397.70001200000002</v>
      </c>
    </row>
    <row r="189" spans="1:6" x14ac:dyDescent="0.35">
      <c r="A189" s="2">
        <f>Prices!A187</f>
        <v>44156</v>
      </c>
      <c r="B189" s="1">
        <f>Prices!B187</f>
        <v>1734.709961</v>
      </c>
      <c r="C189" s="1">
        <f>Prices!C187</f>
        <v>36.840000000000003</v>
      </c>
      <c r="D189" s="1">
        <f>Prices!D187</f>
        <v>53.299999</v>
      </c>
      <c r="E189" s="1">
        <f>Prices!E187</f>
        <v>58.669998</v>
      </c>
      <c r="F189" s="1">
        <f>Prices!F187</f>
        <v>400</v>
      </c>
    </row>
    <row r="190" spans="1:6" x14ac:dyDescent="0.35">
      <c r="A190" s="2">
        <f>Prices!A188</f>
        <v>44157</v>
      </c>
      <c r="B190" s="1">
        <f>Prices!B188</f>
        <v>1745.719971</v>
      </c>
      <c r="C190" s="1">
        <f>Prices!C188</f>
        <v>37.189999</v>
      </c>
      <c r="D190" s="1">
        <f>Prices!D188</f>
        <v>53.799999</v>
      </c>
      <c r="E190" s="1">
        <f>Prices!E188</f>
        <v>58.439999</v>
      </c>
      <c r="F190" s="1">
        <f>Prices!F188</f>
        <v>403.29998799999998</v>
      </c>
    </row>
    <row r="191" spans="1:6" x14ac:dyDescent="0.35">
      <c r="A191" s="2">
        <f>Prices!A189</f>
        <v>44160</v>
      </c>
      <c r="B191" s="1">
        <f>Prices!B189</f>
        <v>1773.839966</v>
      </c>
      <c r="C191" s="1">
        <f>Prices!C189</f>
        <v>37.590000000000003</v>
      </c>
      <c r="D191" s="1">
        <f>Prices!D189</f>
        <v>54.669998</v>
      </c>
      <c r="E191" s="1">
        <f>Prices!E189</f>
        <v>58.639999000000003</v>
      </c>
      <c r="F191" s="1">
        <f>Prices!F189</f>
        <v>401.79998799999998</v>
      </c>
    </row>
    <row r="192" spans="1:6" x14ac:dyDescent="0.35">
      <c r="A192" s="2">
        <f>Prices!A190</f>
        <v>44161</v>
      </c>
      <c r="B192" s="1">
        <f>Prices!B190</f>
        <v>1796.9399410000001</v>
      </c>
      <c r="C192" s="1">
        <f>Prices!C190</f>
        <v>37.529998999999997</v>
      </c>
      <c r="D192" s="1">
        <f>Prices!D190</f>
        <v>54.860000999999997</v>
      </c>
      <c r="E192" s="1">
        <f>Prices!E190</f>
        <v>57.970001000000003</v>
      </c>
      <c r="F192" s="1">
        <f>Prices!F190</f>
        <v>402.39999399999999</v>
      </c>
    </row>
    <row r="193" spans="1:6" x14ac:dyDescent="0.35">
      <c r="A193" s="2">
        <f>Prices!A191</f>
        <v>44162</v>
      </c>
      <c r="B193" s="1">
        <f>Prices!B191</f>
        <v>1818.51001</v>
      </c>
      <c r="C193" s="1">
        <f>Prices!C191</f>
        <v>37.619999</v>
      </c>
      <c r="D193" s="1">
        <f>Prices!D191</f>
        <v>54.98</v>
      </c>
      <c r="E193" s="1">
        <f>Prices!E191</f>
        <v>57.799999</v>
      </c>
      <c r="F193" s="1">
        <f>Prices!F191</f>
        <v>402</v>
      </c>
    </row>
    <row r="194" spans="1:6" x14ac:dyDescent="0.35">
      <c r="A194" s="2">
        <f>Prices!A192</f>
        <v>44164</v>
      </c>
      <c r="B194" s="1">
        <f>Prices!B192</f>
        <v>1800.8000489999999</v>
      </c>
      <c r="C194" s="1">
        <f>Prices!C192</f>
        <v>37.259998000000003</v>
      </c>
      <c r="D194" s="1">
        <f>Prices!D192</f>
        <v>54.560001</v>
      </c>
      <c r="E194" s="1">
        <f>Prices!E192</f>
        <v>57.490001999999997</v>
      </c>
      <c r="F194" s="1">
        <f>Prices!F192</f>
        <v>403.79998799999998</v>
      </c>
    </row>
    <row r="195" spans="1:6" x14ac:dyDescent="0.35">
      <c r="A195" s="2">
        <f>Prices!A193</f>
        <v>44167</v>
      </c>
      <c r="B195" s="1">
        <f>Prices!B193</f>
        <v>1781.599976</v>
      </c>
      <c r="C195" s="1">
        <f>Prices!C193</f>
        <v>36.810001</v>
      </c>
      <c r="D195" s="1">
        <f>Prices!D193</f>
        <v>55.150002000000001</v>
      </c>
      <c r="E195" s="1">
        <f>Prices!E193</f>
        <v>57.130001</v>
      </c>
      <c r="F195" s="1">
        <f>Prices!F193</f>
        <v>398.39999399999999</v>
      </c>
    </row>
    <row r="196" spans="1:6" x14ac:dyDescent="0.35">
      <c r="A196" s="2">
        <f>Prices!A194</f>
        <v>44168</v>
      </c>
      <c r="B196" s="1">
        <f>Prices!B194</f>
        <v>1769.959961</v>
      </c>
      <c r="C196" s="1">
        <f>Prices!C194</f>
        <v>36.330002</v>
      </c>
      <c r="D196" s="1">
        <f>Prices!D194</f>
        <v>54.599997999999999</v>
      </c>
      <c r="E196" s="1">
        <f>Prices!E194</f>
        <v>56.209999000000003</v>
      </c>
      <c r="F196" s="1">
        <f>Prices!F194</f>
        <v>393.29998799999998</v>
      </c>
    </row>
    <row r="197" spans="1:6" x14ac:dyDescent="0.35">
      <c r="A197" s="2">
        <f>Prices!A195</f>
        <v>44169</v>
      </c>
      <c r="B197" s="1">
        <f>Prices!B195</f>
        <v>1760.6899410000001</v>
      </c>
      <c r="C197" s="1">
        <f>Prices!C195</f>
        <v>36.470001000000003</v>
      </c>
      <c r="D197" s="1">
        <f>Prices!D195</f>
        <v>54.860000999999997</v>
      </c>
      <c r="E197" s="1">
        <f>Prices!E195</f>
        <v>56.84</v>
      </c>
      <c r="F197" s="1">
        <f>Prices!F195</f>
        <v>395.39999399999999</v>
      </c>
    </row>
    <row r="198" spans="1:6" x14ac:dyDescent="0.35">
      <c r="A198" s="2">
        <f>Prices!A196</f>
        <v>44170</v>
      </c>
      <c r="B198" s="1">
        <f>Prices!B196</f>
        <v>1740.4799800000001</v>
      </c>
      <c r="C198" s="1">
        <f>Prices!C196</f>
        <v>36.369999</v>
      </c>
      <c r="D198" s="1">
        <f>Prices!D196</f>
        <v>54.610000999999997</v>
      </c>
      <c r="E198" s="1">
        <f>Prices!E196</f>
        <v>56.490001999999997</v>
      </c>
      <c r="F198" s="1">
        <f>Prices!F196</f>
        <v>393</v>
      </c>
    </row>
    <row r="199" spans="1:6" x14ac:dyDescent="0.35">
      <c r="A199" s="2">
        <f>Prices!A197</f>
        <v>44171</v>
      </c>
      <c r="B199" s="1">
        <f>Prices!B197</f>
        <v>1751.599976</v>
      </c>
      <c r="C199" s="1">
        <f>Prices!C197</f>
        <v>36.869999</v>
      </c>
      <c r="D199" s="1">
        <f>Prices!D197</f>
        <v>55.369999</v>
      </c>
      <c r="E199" s="1">
        <f>Prices!E197</f>
        <v>57.290000999999997</v>
      </c>
      <c r="F199" s="1">
        <f>Prices!F197</f>
        <v>397.89999399999999</v>
      </c>
    </row>
    <row r="200" spans="1:6" x14ac:dyDescent="0.35">
      <c r="A200" s="2">
        <f>Prices!A198</f>
        <v>44174</v>
      </c>
      <c r="B200" s="1">
        <f>Prices!B198</f>
        <v>1749.51001</v>
      </c>
      <c r="C200" s="1">
        <f>Prices!C198</f>
        <v>36.830002</v>
      </c>
      <c r="D200" s="1">
        <f>Prices!D198</f>
        <v>55.91</v>
      </c>
      <c r="E200" s="1">
        <f>Prices!E198</f>
        <v>57.27</v>
      </c>
      <c r="F200" s="1">
        <f>Prices!F198</f>
        <v>404.39999399999999</v>
      </c>
    </row>
    <row r="201" spans="1:6" x14ac:dyDescent="0.35">
      <c r="A201" s="2">
        <f>Prices!A199</f>
        <v>44175</v>
      </c>
      <c r="B201" s="1">
        <f>Prices!B199</f>
        <v>1739.209961</v>
      </c>
      <c r="C201" s="1">
        <f>Prices!C199</f>
        <v>36.709999000000003</v>
      </c>
      <c r="D201" s="1">
        <f>Prices!D199</f>
        <v>56.060001</v>
      </c>
      <c r="E201" s="1">
        <f>Prices!E199</f>
        <v>57.360000999999997</v>
      </c>
      <c r="F201" s="1">
        <f>Prices!F199</f>
        <v>404</v>
      </c>
    </row>
    <row r="202" spans="1:6" x14ac:dyDescent="0.35">
      <c r="A202" s="2">
        <f>Prices!A200</f>
        <v>44176</v>
      </c>
      <c r="B202" s="1">
        <f>Prices!B200</f>
        <v>1748.719971</v>
      </c>
      <c r="C202" s="1">
        <f>Prices!C200</f>
        <v>37.159999999999997</v>
      </c>
      <c r="D202" s="1">
        <f>Prices!D200</f>
        <v>56.91</v>
      </c>
      <c r="E202" s="1">
        <f>Prices!E200</f>
        <v>57.400002000000001</v>
      </c>
      <c r="F202" s="1">
        <f>Prices!F200</f>
        <v>400</v>
      </c>
    </row>
    <row r="203" spans="1:6" x14ac:dyDescent="0.35">
      <c r="A203" s="2">
        <f>Prices!A201</f>
        <v>44177</v>
      </c>
      <c r="B203" s="1">
        <f>Prices!B201</f>
        <v>1760.329956</v>
      </c>
      <c r="C203" s="1">
        <f>Prices!C201</f>
        <v>37.93</v>
      </c>
      <c r="D203" s="1">
        <f>Prices!D201</f>
        <v>57.52</v>
      </c>
      <c r="E203" s="1">
        <f>Prices!E201</f>
        <v>57.759998000000003</v>
      </c>
      <c r="F203" s="1">
        <f>Prices!F201</f>
        <v>406.10000600000001</v>
      </c>
    </row>
    <row r="204" spans="1:6" x14ac:dyDescent="0.35">
      <c r="A204" s="2">
        <f>Prices!A202</f>
        <v>44178</v>
      </c>
      <c r="B204" s="1">
        <f>Prices!B202</f>
        <v>1760.9399410000001</v>
      </c>
      <c r="C204" s="1">
        <f>Prices!C202</f>
        <v>38.43</v>
      </c>
      <c r="D204" s="1">
        <f>Prices!D202</f>
        <v>57.720001000000003</v>
      </c>
      <c r="E204" s="1">
        <f>Prices!E202</f>
        <v>57.439999</v>
      </c>
      <c r="F204" s="1">
        <f>Prices!F202</f>
        <v>415.79998799999998</v>
      </c>
    </row>
    <row r="205" spans="1:6" x14ac:dyDescent="0.35">
      <c r="A205" s="2">
        <f>Prices!A203</f>
        <v>44181</v>
      </c>
      <c r="B205" s="1">
        <f>Prices!B203</f>
        <v>1769.209961</v>
      </c>
      <c r="C205" s="1">
        <f>Prices!C203</f>
        <v>38.919998</v>
      </c>
      <c r="D205" s="1">
        <f>Prices!D203</f>
        <v>58.82</v>
      </c>
      <c r="E205" s="1">
        <f>Prices!E203</f>
        <v>58.16</v>
      </c>
      <c r="F205" s="1">
        <f>Prices!F203</f>
        <v>428</v>
      </c>
    </row>
    <row r="206" spans="1:6" x14ac:dyDescent="0.35">
      <c r="A206" s="2">
        <f>Prices!A204</f>
        <v>44182</v>
      </c>
      <c r="B206" s="1">
        <f>Prices!B204</f>
        <v>1790.660034</v>
      </c>
      <c r="C206" s="1">
        <f>Prices!C204</f>
        <v>38.909999999999997</v>
      </c>
      <c r="D206" s="1">
        <f>Prices!D204</f>
        <v>58.68</v>
      </c>
      <c r="E206" s="1">
        <f>Prices!E204</f>
        <v>58.470001000000003</v>
      </c>
      <c r="F206" s="1">
        <f>Prices!F204</f>
        <v>425.89999399999999</v>
      </c>
    </row>
    <row r="207" spans="1:6" x14ac:dyDescent="0.35">
      <c r="A207" s="2">
        <f>Prices!A205</f>
        <v>44183</v>
      </c>
      <c r="B207" s="1">
        <f>Prices!B205</f>
        <v>1784.030029</v>
      </c>
      <c r="C207" s="1">
        <f>Prices!C205</f>
        <v>39.029998999999997</v>
      </c>
      <c r="D207" s="1">
        <f>Prices!D205</f>
        <v>58.529998999999997</v>
      </c>
      <c r="E207" s="1">
        <f>Prices!E205</f>
        <v>58.52</v>
      </c>
      <c r="F207" s="1">
        <f>Prices!F205</f>
        <v>424.5</v>
      </c>
    </row>
    <row r="208" spans="1:6" x14ac:dyDescent="0.35">
      <c r="A208" s="2">
        <f>Prices!A206</f>
        <v>44184</v>
      </c>
      <c r="B208" s="1">
        <f>Prices!B206</f>
        <v>1792.280029</v>
      </c>
      <c r="C208" s="1">
        <f>Prices!C206</f>
        <v>38.880001</v>
      </c>
      <c r="D208" s="1">
        <f>Prices!D206</f>
        <v>58.48</v>
      </c>
      <c r="E208" s="1">
        <f>Prices!E206</f>
        <v>58.900002000000001</v>
      </c>
      <c r="F208" s="1">
        <f>Prices!F206</f>
        <v>421.29998799999998</v>
      </c>
    </row>
    <row r="209" spans="1:16" x14ac:dyDescent="0.35">
      <c r="A209" s="2">
        <f>Prices!A207</f>
        <v>44185</v>
      </c>
      <c r="B209" s="1">
        <f>Prices!B207</f>
        <v>1786.5</v>
      </c>
      <c r="C209" s="1">
        <f>Prices!C207</f>
        <v>38.889999000000003</v>
      </c>
      <c r="D209" s="1">
        <f>Prices!D207</f>
        <v>58.77</v>
      </c>
      <c r="E209" s="1">
        <f>Prices!E207</f>
        <v>58.18</v>
      </c>
      <c r="F209" s="1">
        <f>Prices!F207</f>
        <v>419.20001200000002</v>
      </c>
    </row>
    <row r="210" spans="1:16" x14ac:dyDescent="0.35">
      <c r="A210" s="2">
        <f>Prices!A208</f>
        <v>44188</v>
      </c>
      <c r="B210" s="1">
        <f>Prices!B208</f>
        <v>1793</v>
      </c>
      <c r="C210" s="1">
        <f>Prices!C208</f>
        <v>38.779998999999997</v>
      </c>
      <c r="D210" s="1">
        <f>Prices!D208</f>
        <v>58.970001000000003</v>
      </c>
      <c r="E210" s="1">
        <f>Prices!E208</f>
        <v>58.799999</v>
      </c>
      <c r="F210" s="1">
        <f>Prices!F208</f>
        <v>420.39999399999999</v>
      </c>
    </row>
    <row r="211" spans="1:16" x14ac:dyDescent="0.35">
      <c r="A211" s="2">
        <f>Prices!A209</f>
        <v>44189</v>
      </c>
      <c r="B211" s="1">
        <f>Prices!B209</f>
        <v>1789.209961</v>
      </c>
      <c r="C211" s="1">
        <f>Prices!C209</f>
        <v>38.689999</v>
      </c>
      <c r="D211" s="1">
        <f>Prices!D209</f>
        <v>59.009998000000003</v>
      </c>
      <c r="E211" s="1">
        <f>Prices!E209</f>
        <v>58.700001</v>
      </c>
      <c r="F211" s="1">
        <f>Prices!F209</f>
        <v>422.60000600000001</v>
      </c>
    </row>
    <row r="212" spans="1:16" x14ac:dyDescent="0.35">
      <c r="A212" s="2">
        <f>Prices!A210</f>
        <v>44191</v>
      </c>
      <c r="B212" s="1">
        <f>Prices!B210</f>
        <v>1868.7700199999999</v>
      </c>
      <c r="C212" s="1">
        <f>Prices!C210</f>
        <v>38.919998</v>
      </c>
      <c r="D212" s="1">
        <f>Prices!D210</f>
        <v>59.490001999999997</v>
      </c>
      <c r="E212" s="1">
        <f>Prices!E210</f>
        <v>58.869999</v>
      </c>
      <c r="F212" s="1">
        <f>Prices!F210</f>
        <v>422.20001200000002</v>
      </c>
    </row>
    <row r="213" spans="1:16" x14ac:dyDescent="0.35">
      <c r="A213" s="2">
        <f>Prices!A211</f>
        <v>44192</v>
      </c>
      <c r="B213" s="1">
        <f>Prices!B211</f>
        <v>1869.8000489999999</v>
      </c>
      <c r="C213" s="1">
        <f>Prices!C211</f>
        <v>39</v>
      </c>
      <c r="D213" s="1">
        <f>Prices!D211</f>
        <v>59.349997999999999</v>
      </c>
      <c r="E213" s="1">
        <f>Prices!E211</f>
        <v>59.09</v>
      </c>
      <c r="F213" s="1">
        <f>Prices!F211</f>
        <v>420.20001200000002</v>
      </c>
    </row>
    <row r="214" spans="1:16" x14ac:dyDescent="0.35">
      <c r="A214" s="2">
        <f>Prices!A212</f>
        <v>44195</v>
      </c>
      <c r="B214" s="1">
        <f>Prices!B212</f>
        <v>1846.8900149999999</v>
      </c>
      <c r="C214" s="1">
        <f>Prices!C212</f>
        <v>38.979999999999997</v>
      </c>
      <c r="D214" s="1">
        <f>Prices!D212</f>
        <v>59.169998</v>
      </c>
      <c r="E214" s="1">
        <f>Prices!E212</f>
        <v>58.68</v>
      </c>
      <c r="F214" s="1">
        <f>Prices!F212</f>
        <v>418.70001200000002</v>
      </c>
    </row>
    <row r="215" spans="1:16" x14ac:dyDescent="0.35">
      <c r="A215" s="2">
        <f>Prices!A213</f>
        <v>44196</v>
      </c>
      <c r="B215" s="1">
        <f>Prices!B213</f>
        <v>1847.839966</v>
      </c>
      <c r="C215" s="1">
        <f>Prices!C213</f>
        <v>39.090000000000003</v>
      </c>
      <c r="D215" s="1">
        <f>Prices!D213</f>
        <v>59.360000999999997</v>
      </c>
      <c r="E215" s="1">
        <f>Prices!E213</f>
        <v>58.98</v>
      </c>
      <c r="F215" s="1">
        <f>Prices!F213</f>
        <v>423.60000600000001</v>
      </c>
    </row>
    <row r="216" spans="1:16" x14ac:dyDescent="0.35">
      <c r="A216" s="2">
        <f>Prices!A214</f>
        <v>44198</v>
      </c>
      <c r="B216" s="1">
        <f>Prices!B214</f>
        <v>1898.01001</v>
      </c>
      <c r="C216" s="1">
        <f>Prices!C214</f>
        <v>39.369999</v>
      </c>
      <c r="D216" s="1">
        <f>Prices!D214</f>
        <v>59.889999000000003</v>
      </c>
      <c r="E216" s="1">
        <f>Prices!E214</f>
        <v>59.740001999999997</v>
      </c>
      <c r="F216" s="1">
        <f>Prices!F214</f>
        <v>419.39999399999999</v>
      </c>
      <c r="G216" s="9">
        <f t="shared" ref="G216:K231" si="2">AVERAGE(B166:B215)</f>
        <v>1778.7843920599996</v>
      </c>
      <c r="H216" s="9">
        <f t="shared" si="2"/>
        <v>37.971999880000006</v>
      </c>
      <c r="I216" s="9">
        <f t="shared" si="2"/>
        <v>55.259199980000012</v>
      </c>
      <c r="J216" s="9">
        <f t="shared" si="2"/>
        <v>58.678599879999993</v>
      </c>
      <c r="K216" s="9">
        <f t="shared" si="2"/>
        <v>416.09000000000015</v>
      </c>
      <c r="L216" s="9">
        <f t="shared" ref="L216:P231" si="3">AVERAGE(B16:B215)</f>
        <v>1826.8594988700017</v>
      </c>
      <c r="M216" s="9">
        <f t="shared" si="3"/>
        <v>39.646550049999995</v>
      </c>
      <c r="N216" s="9">
        <f t="shared" si="3"/>
        <v>56.174450014999948</v>
      </c>
      <c r="O216" s="9">
        <f t="shared" si="3"/>
        <v>60.667649919999995</v>
      </c>
      <c r="P216" s="9">
        <f t="shared" si="3"/>
        <v>407.44550033000013</v>
      </c>
    </row>
    <row r="217" spans="1:16" x14ac:dyDescent="0.35">
      <c r="A217" s="2">
        <f>Prices!A215</f>
        <v>44199</v>
      </c>
      <c r="B217" s="1">
        <f>Prices!B215</f>
        <v>1874.969971</v>
      </c>
      <c r="C217" s="1">
        <f>Prices!C215</f>
        <v>38.759998000000003</v>
      </c>
      <c r="D217" s="1">
        <f>Prices!D215</f>
        <v>58.84</v>
      </c>
      <c r="E217" s="1">
        <f>Prices!E215</f>
        <v>60.209999000000003</v>
      </c>
      <c r="F217" s="1">
        <f>Prices!F215</f>
        <v>414</v>
      </c>
      <c r="G217" s="9">
        <f t="shared" si="2"/>
        <v>1781.0313915799995</v>
      </c>
      <c r="H217" s="9">
        <f t="shared" si="2"/>
        <v>37.976399820000005</v>
      </c>
      <c r="I217" s="9">
        <f t="shared" si="2"/>
        <v>55.419399940000012</v>
      </c>
      <c r="J217" s="9">
        <f t="shared" si="2"/>
        <v>58.707799939999987</v>
      </c>
      <c r="K217" s="9">
        <f t="shared" si="2"/>
        <v>416.10599976000015</v>
      </c>
      <c r="L217" s="9">
        <f t="shared" si="3"/>
        <v>1827.5402990400016</v>
      </c>
      <c r="M217" s="9">
        <f t="shared" si="3"/>
        <v>39.636500039999994</v>
      </c>
      <c r="N217" s="9">
        <f t="shared" si="3"/>
        <v>56.191300009999949</v>
      </c>
      <c r="O217" s="9">
        <f t="shared" si="3"/>
        <v>60.64659992499999</v>
      </c>
      <c r="P217" s="9">
        <f t="shared" si="3"/>
        <v>407.37100036000015</v>
      </c>
    </row>
    <row r="218" spans="1:16" x14ac:dyDescent="0.35">
      <c r="A218" s="2">
        <f>Prices!A216</f>
        <v>44202</v>
      </c>
      <c r="B218" s="1">
        <f>Prices!B216</f>
        <v>1902.880005</v>
      </c>
      <c r="C218" s="1">
        <f>Prices!C216</f>
        <v>38.630001</v>
      </c>
      <c r="D218" s="1">
        <f>Prices!D216</f>
        <v>58.450001</v>
      </c>
      <c r="E218" s="1">
        <f>Prices!E216</f>
        <v>60.959999000000003</v>
      </c>
      <c r="F218" s="1">
        <f>Prices!F216</f>
        <v>417.39999399999999</v>
      </c>
      <c r="G218" s="9">
        <f t="shared" si="2"/>
        <v>1783.2161913999994</v>
      </c>
      <c r="H218" s="9">
        <f t="shared" si="2"/>
        <v>37.967399800000003</v>
      </c>
      <c r="I218" s="9">
        <f t="shared" si="2"/>
        <v>55.552199920000014</v>
      </c>
      <c r="J218" s="9">
        <f t="shared" si="2"/>
        <v>58.733199939999992</v>
      </c>
      <c r="K218" s="9">
        <f t="shared" si="2"/>
        <v>415.95599976000005</v>
      </c>
      <c r="L218" s="9">
        <f t="shared" si="3"/>
        <v>1827.9287987950017</v>
      </c>
      <c r="M218" s="9">
        <f t="shared" si="3"/>
        <v>39.624250035000003</v>
      </c>
      <c r="N218" s="9">
        <f t="shared" si="3"/>
        <v>56.20224999999995</v>
      </c>
      <c r="O218" s="9">
        <f t="shared" si="3"/>
        <v>60.625249905000004</v>
      </c>
      <c r="P218" s="9">
        <f t="shared" si="3"/>
        <v>407.3030003300002</v>
      </c>
    </row>
    <row r="219" spans="1:16" x14ac:dyDescent="0.35">
      <c r="A219" s="2">
        <f>Prices!A217</f>
        <v>44203</v>
      </c>
      <c r="B219" s="1">
        <f>Prices!B217</f>
        <v>1906.8599850000001</v>
      </c>
      <c r="C219" s="1">
        <f>Prices!C217</f>
        <v>38.340000000000003</v>
      </c>
      <c r="D219" s="1">
        <f>Prices!D217</f>
        <v>58.389999000000003</v>
      </c>
      <c r="E219" s="1">
        <f>Prices!E217</f>
        <v>60.400002000000001</v>
      </c>
      <c r="F219" s="1">
        <f>Prices!F217</f>
        <v>416.10000600000001</v>
      </c>
      <c r="G219" s="9">
        <f t="shared" si="2"/>
        <v>1786.0303906199995</v>
      </c>
      <c r="H219" s="9">
        <f t="shared" si="2"/>
        <v>37.952799800000001</v>
      </c>
      <c r="I219" s="9">
        <f t="shared" si="2"/>
        <v>55.678599920000003</v>
      </c>
      <c r="J219" s="9">
        <f t="shared" si="2"/>
        <v>58.760199900000003</v>
      </c>
      <c r="K219" s="9">
        <f t="shared" si="2"/>
        <v>415.81799988000006</v>
      </c>
      <c r="L219" s="9">
        <f t="shared" si="3"/>
        <v>1828.3468987700014</v>
      </c>
      <c r="M219" s="9">
        <f t="shared" si="3"/>
        <v>39.612050040000007</v>
      </c>
      <c r="N219" s="9">
        <f t="shared" si="3"/>
        <v>56.210349994999945</v>
      </c>
      <c r="O219" s="9">
        <f t="shared" si="3"/>
        <v>60.609649890000007</v>
      </c>
      <c r="P219" s="9">
        <f t="shared" si="3"/>
        <v>407.26750030000034</v>
      </c>
    </row>
    <row r="220" spans="1:16" x14ac:dyDescent="0.35">
      <c r="A220" s="2">
        <f>Prices!A218</f>
        <v>44204</v>
      </c>
      <c r="B220" s="1">
        <f>Prices!B218</f>
        <v>1891.969971</v>
      </c>
      <c r="C220" s="1">
        <f>Prices!C218</f>
        <v>38.25</v>
      </c>
      <c r="D220" s="1">
        <f>Prices!D218</f>
        <v>58.900002000000001</v>
      </c>
      <c r="E220" s="1">
        <f>Prices!E218</f>
        <v>59.689999</v>
      </c>
      <c r="F220" s="1">
        <f>Prices!F218</f>
        <v>417.70001200000002</v>
      </c>
      <c r="G220" s="9">
        <f t="shared" si="2"/>
        <v>1788.5519897399995</v>
      </c>
      <c r="H220" s="9">
        <f t="shared" si="2"/>
        <v>37.930399820000005</v>
      </c>
      <c r="I220" s="9">
        <f t="shared" si="2"/>
        <v>55.805999900000018</v>
      </c>
      <c r="J220" s="9">
        <f t="shared" si="2"/>
        <v>58.776799939999989</v>
      </c>
      <c r="K220" s="9">
        <f t="shared" si="2"/>
        <v>415.72200012000008</v>
      </c>
      <c r="L220" s="9">
        <f t="shared" si="3"/>
        <v>1829.0573485950015</v>
      </c>
      <c r="M220" s="9">
        <f t="shared" si="3"/>
        <v>39.601650049999996</v>
      </c>
      <c r="N220" s="9">
        <f t="shared" si="3"/>
        <v>56.221599994999949</v>
      </c>
      <c r="O220" s="9">
        <f t="shared" si="3"/>
        <v>60.597249895000004</v>
      </c>
      <c r="P220" s="9">
        <f t="shared" si="3"/>
        <v>407.29850036000028</v>
      </c>
    </row>
    <row r="221" spans="1:16" x14ac:dyDescent="0.35">
      <c r="A221" s="2">
        <f>Prices!A219</f>
        <v>44205</v>
      </c>
      <c r="B221" s="1">
        <f>Prices!B219</f>
        <v>1901.0500489999999</v>
      </c>
      <c r="C221" s="1">
        <f>Prices!C219</f>
        <v>38.5</v>
      </c>
      <c r="D221" s="1">
        <f>Prices!D219</f>
        <v>58.290000999999997</v>
      </c>
      <c r="E221" s="1">
        <f>Prices!E219</f>
        <v>59.68</v>
      </c>
      <c r="F221" s="1">
        <f>Prices!F219</f>
        <v>412.79998799999998</v>
      </c>
      <c r="G221" s="9">
        <f t="shared" si="2"/>
        <v>1791.1647900399994</v>
      </c>
      <c r="H221" s="9">
        <f t="shared" si="2"/>
        <v>37.904999820000008</v>
      </c>
      <c r="I221" s="9">
        <f t="shared" si="2"/>
        <v>55.932799920000008</v>
      </c>
      <c r="J221" s="9">
        <f t="shared" si="2"/>
        <v>58.775999920000004</v>
      </c>
      <c r="K221" s="9">
        <f t="shared" si="2"/>
        <v>415.59200012000014</v>
      </c>
      <c r="L221" s="9">
        <f t="shared" si="3"/>
        <v>1829.6458984000012</v>
      </c>
      <c r="M221" s="9">
        <f t="shared" si="3"/>
        <v>39.590750049999997</v>
      </c>
      <c r="N221" s="9">
        <f t="shared" si="3"/>
        <v>56.231349999999956</v>
      </c>
      <c r="O221" s="9">
        <f t="shared" si="3"/>
        <v>60.581749885000008</v>
      </c>
      <c r="P221" s="9">
        <f t="shared" si="3"/>
        <v>407.34200042000026</v>
      </c>
    </row>
    <row r="222" spans="1:16" x14ac:dyDescent="0.35">
      <c r="A222" s="2">
        <f>Prices!A220</f>
        <v>44206</v>
      </c>
      <c r="B222" s="1">
        <f>Prices!B220</f>
        <v>1883.160034</v>
      </c>
      <c r="C222" s="1">
        <f>Prices!C220</f>
        <v>38.139999000000003</v>
      </c>
      <c r="D222" s="1">
        <f>Prices!D220</f>
        <v>58.450001</v>
      </c>
      <c r="E222" s="1">
        <f>Prices!E220</f>
        <v>59.009998000000003</v>
      </c>
      <c r="F222" s="1">
        <f>Prices!F220</f>
        <v>411.60000600000001</v>
      </c>
      <c r="G222" s="9">
        <f t="shared" si="2"/>
        <v>1793.6441918999992</v>
      </c>
      <c r="H222" s="9">
        <f t="shared" si="2"/>
        <v>37.91319982000001</v>
      </c>
      <c r="I222" s="9">
        <f t="shared" si="2"/>
        <v>56.031799940000013</v>
      </c>
      <c r="J222" s="9">
        <f t="shared" si="2"/>
        <v>58.771199959999997</v>
      </c>
      <c r="K222" s="9">
        <f t="shared" si="2"/>
        <v>415.37599976000007</v>
      </c>
      <c r="L222" s="9">
        <f t="shared" si="3"/>
        <v>1830.2323485950014</v>
      </c>
      <c r="M222" s="9">
        <f t="shared" si="3"/>
        <v>39.580350039999999</v>
      </c>
      <c r="N222" s="9">
        <f t="shared" si="3"/>
        <v>56.233849999999968</v>
      </c>
      <c r="O222" s="9">
        <f t="shared" si="3"/>
        <v>60.564149880000002</v>
      </c>
      <c r="P222" s="9">
        <f t="shared" si="3"/>
        <v>407.38100036000031</v>
      </c>
    </row>
    <row r="223" spans="1:16" x14ac:dyDescent="0.35">
      <c r="A223" s="2">
        <f>Prices!A221</f>
        <v>44209</v>
      </c>
      <c r="B223" s="1">
        <f>Prices!B221</f>
        <v>1891.3000489999999</v>
      </c>
      <c r="C223" s="1">
        <f>Prices!C221</f>
        <v>38.520000000000003</v>
      </c>
      <c r="D223" s="1">
        <f>Prices!D221</f>
        <v>59.130001</v>
      </c>
      <c r="E223" s="1">
        <f>Prices!E221</f>
        <v>58.959999000000003</v>
      </c>
      <c r="F223" s="1">
        <f>Prices!F221</f>
        <v>411</v>
      </c>
      <c r="G223" s="9">
        <f t="shared" si="2"/>
        <v>1796.0531933599996</v>
      </c>
      <c r="H223" s="9">
        <f t="shared" si="2"/>
        <v>37.916599780000006</v>
      </c>
      <c r="I223" s="9">
        <f t="shared" si="2"/>
        <v>56.133399980000007</v>
      </c>
      <c r="J223" s="9">
        <f t="shared" si="2"/>
        <v>58.752799920000001</v>
      </c>
      <c r="K223" s="9">
        <f t="shared" si="2"/>
        <v>415.28000000000009</v>
      </c>
      <c r="L223" s="9">
        <f t="shared" si="3"/>
        <v>1830.8196490100011</v>
      </c>
      <c r="M223" s="9">
        <f t="shared" si="3"/>
        <v>39.567800025000004</v>
      </c>
      <c r="N223" s="9">
        <f t="shared" si="3"/>
        <v>56.237800004999961</v>
      </c>
      <c r="O223" s="9">
        <f t="shared" si="3"/>
        <v>60.546299859999998</v>
      </c>
      <c r="P223" s="9">
        <f t="shared" si="3"/>
        <v>407.38450042000017</v>
      </c>
    </row>
    <row r="224" spans="1:16" x14ac:dyDescent="0.35">
      <c r="A224" s="2">
        <f>Prices!A222</f>
        <v>44210</v>
      </c>
      <c r="B224" s="1">
        <f>Prices!B222</f>
        <v>1869.4399410000001</v>
      </c>
      <c r="C224" s="1">
        <f>Prices!C222</f>
        <v>38.380001</v>
      </c>
      <c r="D224" s="1">
        <f>Prices!D222</f>
        <v>59.23</v>
      </c>
      <c r="E224" s="1">
        <f>Prices!E222</f>
        <v>58.919998</v>
      </c>
      <c r="F224" s="1">
        <f>Prices!F222</f>
        <v>408.5</v>
      </c>
      <c r="G224" s="9">
        <f t="shared" si="2"/>
        <v>1798.2793945399994</v>
      </c>
      <c r="H224" s="9">
        <f t="shared" si="2"/>
        <v>37.928399780000014</v>
      </c>
      <c r="I224" s="9">
        <f t="shared" si="2"/>
        <v>56.265400020000008</v>
      </c>
      <c r="J224" s="9">
        <f t="shared" si="2"/>
        <v>58.730999920000002</v>
      </c>
      <c r="K224" s="9">
        <f t="shared" si="2"/>
        <v>415.19599976000006</v>
      </c>
      <c r="L224" s="9">
        <f t="shared" si="3"/>
        <v>1831.4090490350013</v>
      </c>
      <c r="M224" s="9">
        <f t="shared" si="3"/>
        <v>39.557850035000001</v>
      </c>
      <c r="N224" s="9">
        <f t="shared" si="3"/>
        <v>56.243350009999965</v>
      </c>
      <c r="O224" s="9">
        <f t="shared" si="3"/>
        <v>60.527899860000005</v>
      </c>
      <c r="P224" s="9">
        <f t="shared" si="3"/>
        <v>407.40400039000014</v>
      </c>
    </row>
    <row r="225" spans="1:16" x14ac:dyDescent="0.35">
      <c r="A225" s="2">
        <f>Prices!A223</f>
        <v>44211</v>
      </c>
      <c r="B225" s="1">
        <f>Prices!B223</f>
        <v>1862.0200199999999</v>
      </c>
      <c r="C225" s="1">
        <f>Prices!C223</f>
        <v>38.349997999999999</v>
      </c>
      <c r="D225" s="1">
        <f>Prices!D223</f>
        <v>58.990001999999997</v>
      </c>
      <c r="E225" s="1">
        <f>Prices!E223</f>
        <v>58.82</v>
      </c>
      <c r="F225" s="1">
        <f>Prices!F223</f>
        <v>406.89999399999999</v>
      </c>
      <c r="G225" s="9">
        <f t="shared" si="2"/>
        <v>1800.1349926799996</v>
      </c>
      <c r="H225" s="9">
        <f t="shared" si="2"/>
        <v>37.940199780000015</v>
      </c>
      <c r="I225" s="9">
        <f t="shared" si="2"/>
        <v>56.409800060000009</v>
      </c>
      <c r="J225" s="9">
        <f t="shared" si="2"/>
        <v>58.74999986000001</v>
      </c>
      <c r="K225" s="9">
        <f t="shared" si="2"/>
        <v>414.97199951999994</v>
      </c>
      <c r="L225" s="9">
        <f t="shared" si="3"/>
        <v>1831.8524987400012</v>
      </c>
      <c r="M225" s="9">
        <f t="shared" si="3"/>
        <v>39.546850030000002</v>
      </c>
      <c r="N225" s="9">
        <f t="shared" si="3"/>
        <v>56.245250019999965</v>
      </c>
      <c r="O225" s="9">
        <f t="shared" si="3"/>
        <v>60.509549850000006</v>
      </c>
      <c r="P225" s="9">
        <f t="shared" si="3"/>
        <v>407.38450042000017</v>
      </c>
    </row>
    <row r="226" spans="1:16" x14ac:dyDescent="0.35">
      <c r="A226" s="2">
        <f>Prices!A224</f>
        <v>44212</v>
      </c>
      <c r="B226" s="1">
        <f>Prices!B224</f>
        <v>1877.9399410000001</v>
      </c>
      <c r="C226" s="1">
        <f>Prices!C224</f>
        <v>38.619999</v>
      </c>
      <c r="D226" s="1">
        <f>Prices!D224</f>
        <v>59.150002000000001</v>
      </c>
      <c r="E226" s="1">
        <f>Prices!E224</f>
        <v>58.77</v>
      </c>
      <c r="F226" s="1">
        <f>Prices!F224</f>
        <v>407.70001200000002</v>
      </c>
      <c r="G226" s="9">
        <f t="shared" si="2"/>
        <v>1801.5465942599997</v>
      </c>
      <c r="H226" s="9">
        <f t="shared" si="2"/>
        <v>37.945799740000005</v>
      </c>
      <c r="I226" s="9">
        <f t="shared" si="2"/>
        <v>56.510000099999999</v>
      </c>
      <c r="J226" s="9">
        <f t="shared" si="2"/>
        <v>58.75359988000001</v>
      </c>
      <c r="K226" s="9">
        <f t="shared" si="2"/>
        <v>414.66999939999994</v>
      </c>
      <c r="L226" s="9">
        <f t="shared" si="3"/>
        <v>1832.091649135001</v>
      </c>
      <c r="M226" s="9">
        <f t="shared" si="3"/>
        <v>39.529800029999997</v>
      </c>
      <c r="N226" s="9">
        <f t="shared" si="3"/>
        <v>56.240950039999973</v>
      </c>
      <c r="O226" s="9">
        <f t="shared" si="3"/>
        <v>60.487249855000002</v>
      </c>
      <c r="P226" s="9">
        <f t="shared" si="3"/>
        <v>407.33700042000027</v>
      </c>
    </row>
    <row r="227" spans="1:16" x14ac:dyDescent="0.35">
      <c r="A227" s="2">
        <f>Prices!A225</f>
        <v>44213</v>
      </c>
      <c r="B227" s="1">
        <f>Prices!B225</f>
        <v>1864.719971</v>
      </c>
      <c r="C227" s="1">
        <f>Prices!C225</f>
        <v>38.770000000000003</v>
      </c>
      <c r="D227" s="1">
        <f>Prices!D225</f>
        <v>60.669998</v>
      </c>
      <c r="E227" s="1">
        <f>Prices!E225</f>
        <v>58.540000999999997</v>
      </c>
      <c r="F227" s="1">
        <f>Prices!F225</f>
        <v>408.79998799999998</v>
      </c>
      <c r="G227" s="9">
        <f t="shared" si="2"/>
        <v>1803.0121923999998</v>
      </c>
      <c r="H227" s="9">
        <f t="shared" si="2"/>
        <v>37.947799720000006</v>
      </c>
      <c r="I227" s="9">
        <f t="shared" si="2"/>
        <v>56.588400139999997</v>
      </c>
      <c r="J227" s="9">
        <f t="shared" si="2"/>
        <v>58.740199900000007</v>
      </c>
      <c r="K227" s="9">
        <f t="shared" si="2"/>
        <v>414.18799988000001</v>
      </c>
      <c r="L227" s="9">
        <f t="shared" si="3"/>
        <v>1832.411448940001</v>
      </c>
      <c r="M227" s="9">
        <f t="shared" si="3"/>
        <v>39.512150014999996</v>
      </c>
      <c r="N227" s="9">
        <f t="shared" si="3"/>
        <v>56.231800049999968</v>
      </c>
      <c r="O227" s="9">
        <f t="shared" si="3"/>
        <v>60.463549865000005</v>
      </c>
      <c r="P227" s="9">
        <f t="shared" si="3"/>
        <v>407.26350051000026</v>
      </c>
    </row>
    <row r="228" spans="1:16" x14ac:dyDescent="0.35">
      <c r="A228" s="2">
        <f>Prices!A226</f>
        <v>44217</v>
      </c>
      <c r="B228" s="1">
        <f>Prices!B226</f>
        <v>1892</v>
      </c>
      <c r="C228" s="1">
        <f>Prices!C226</f>
        <v>37.93</v>
      </c>
      <c r="D228" s="1">
        <f>Prices!D226</f>
        <v>59.950001</v>
      </c>
      <c r="E228" s="1">
        <f>Prices!E226</f>
        <v>57.459999000000003</v>
      </c>
      <c r="F228" s="1">
        <f>Prices!F226</f>
        <v>409.39999399999999</v>
      </c>
      <c r="G228" s="9">
        <f t="shared" si="2"/>
        <v>1804.2723925999996</v>
      </c>
      <c r="H228" s="9">
        <f t="shared" si="2"/>
        <v>37.954599720000004</v>
      </c>
      <c r="I228" s="9">
        <f t="shared" si="2"/>
        <v>56.685400099999995</v>
      </c>
      <c r="J228" s="9">
        <f t="shared" si="2"/>
        <v>58.707799920000006</v>
      </c>
      <c r="K228" s="9">
        <f t="shared" si="2"/>
        <v>413.78999939999994</v>
      </c>
      <c r="L228" s="9">
        <f t="shared" si="3"/>
        <v>1832.6315490400011</v>
      </c>
      <c r="M228" s="9">
        <f t="shared" si="3"/>
        <v>39.493250019999998</v>
      </c>
      <c r="N228" s="9">
        <f t="shared" si="3"/>
        <v>56.230050039999959</v>
      </c>
      <c r="O228" s="9">
        <f t="shared" si="3"/>
        <v>60.437149870000006</v>
      </c>
      <c r="P228" s="9">
        <f t="shared" si="3"/>
        <v>407.16450042000025</v>
      </c>
    </row>
    <row r="229" spans="1:16" x14ac:dyDescent="0.35">
      <c r="A229" s="2">
        <f>Prices!A227</f>
        <v>44218</v>
      </c>
      <c r="B229" s="1">
        <f>Prices!B227</f>
        <v>1887.459961</v>
      </c>
      <c r="C229" s="1">
        <f>Prices!C227</f>
        <v>38.07</v>
      </c>
      <c r="D229" s="1">
        <f>Prices!D227</f>
        <v>60.5</v>
      </c>
      <c r="E229" s="1">
        <f>Prices!E227</f>
        <v>57.439999</v>
      </c>
      <c r="F229" s="1">
        <f>Prices!F227</f>
        <v>410.29998799999998</v>
      </c>
      <c r="G229" s="9">
        <f t="shared" si="2"/>
        <v>1806.1969921999998</v>
      </c>
      <c r="H229" s="9">
        <f t="shared" si="2"/>
        <v>37.943199720000003</v>
      </c>
      <c r="I229" s="9">
        <f t="shared" si="2"/>
        <v>56.771200120000003</v>
      </c>
      <c r="J229" s="9">
        <f t="shared" si="2"/>
        <v>58.659599920000012</v>
      </c>
      <c r="K229" s="9">
        <f t="shared" si="2"/>
        <v>413.30399904000001</v>
      </c>
      <c r="L229" s="9">
        <f t="shared" si="3"/>
        <v>1832.9972491150011</v>
      </c>
      <c r="M229" s="9">
        <f t="shared" si="3"/>
        <v>39.471400025000001</v>
      </c>
      <c r="N229" s="9">
        <f t="shared" si="3"/>
        <v>56.22460003999997</v>
      </c>
      <c r="O229" s="9">
        <f t="shared" si="3"/>
        <v>60.404599860000005</v>
      </c>
      <c r="P229" s="9">
        <f t="shared" si="3"/>
        <v>407.06600036000026</v>
      </c>
    </row>
    <row r="230" spans="1:16" x14ac:dyDescent="0.35">
      <c r="A230" s="2">
        <f>Prices!A228</f>
        <v>44219</v>
      </c>
      <c r="B230" s="1">
        <f>Prices!B228</f>
        <v>1884.579956</v>
      </c>
      <c r="C230" s="1">
        <f>Prices!C228</f>
        <v>37.720001000000003</v>
      </c>
      <c r="D230" s="1">
        <f>Prices!D228</f>
        <v>58.91</v>
      </c>
      <c r="E230" s="1">
        <f>Prices!E228</f>
        <v>57.400002000000001</v>
      </c>
      <c r="F230" s="1">
        <f>Prices!F228</f>
        <v>406.5</v>
      </c>
      <c r="G230" s="9">
        <f t="shared" si="2"/>
        <v>1808.1821923999998</v>
      </c>
      <c r="H230" s="9">
        <f t="shared" si="2"/>
        <v>37.935799739999993</v>
      </c>
      <c r="I230" s="9">
        <f t="shared" si="2"/>
        <v>56.871000160000001</v>
      </c>
      <c r="J230" s="9">
        <f t="shared" si="2"/>
        <v>58.600999920000014</v>
      </c>
      <c r="K230" s="9">
        <f t="shared" si="2"/>
        <v>412.89599855999995</v>
      </c>
      <c r="L230" s="9">
        <f t="shared" si="3"/>
        <v>1833.2481487750015</v>
      </c>
      <c r="M230" s="9">
        <f t="shared" si="3"/>
        <v>39.449350024999994</v>
      </c>
      <c r="N230" s="9">
        <f t="shared" si="3"/>
        <v>56.221750039999961</v>
      </c>
      <c r="O230" s="9">
        <f t="shared" si="3"/>
        <v>60.369199870000003</v>
      </c>
      <c r="P230" s="9">
        <f t="shared" si="3"/>
        <v>406.96500030000027</v>
      </c>
    </row>
    <row r="231" spans="1:16" x14ac:dyDescent="0.35">
      <c r="A231" s="2">
        <f>Prices!A229</f>
        <v>44220</v>
      </c>
      <c r="B231" s="1">
        <f>Prices!B229</f>
        <v>1861.6400149999999</v>
      </c>
      <c r="C231" s="1">
        <f>Prices!C229</f>
        <v>37.520000000000003</v>
      </c>
      <c r="D231" s="1">
        <f>Prices!D229</f>
        <v>57.759998000000003</v>
      </c>
      <c r="E231" s="1">
        <f>Prices!E229</f>
        <v>57.169998</v>
      </c>
      <c r="F231" s="1">
        <f>Prices!F229</f>
        <v>411.60000600000001</v>
      </c>
      <c r="G231" s="9">
        <f t="shared" si="2"/>
        <v>1810.1561914199999</v>
      </c>
      <c r="H231" s="9">
        <f t="shared" si="2"/>
        <v>37.925399719999994</v>
      </c>
      <c r="I231" s="9">
        <f t="shared" si="2"/>
        <v>56.967000140000003</v>
      </c>
      <c r="J231" s="9">
        <f t="shared" si="2"/>
        <v>58.543999960000008</v>
      </c>
      <c r="K231" s="9">
        <f t="shared" si="2"/>
        <v>412.32399843999991</v>
      </c>
      <c r="L231" s="9">
        <f t="shared" si="3"/>
        <v>1833.4217486300013</v>
      </c>
      <c r="M231" s="9">
        <f t="shared" si="3"/>
        <v>39.425150024999994</v>
      </c>
      <c r="N231" s="9">
        <f t="shared" si="3"/>
        <v>56.204500034999967</v>
      </c>
      <c r="O231" s="9">
        <f t="shared" si="3"/>
        <v>60.329699865000002</v>
      </c>
      <c r="P231" s="9">
        <f t="shared" si="3"/>
        <v>406.84950027000031</v>
      </c>
    </row>
    <row r="232" spans="1:16" x14ac:dyDescent="0.35">
      <c r="A232" s="2">
        <f>Prices!A230</f>
        <v>44223</v>
      </c>
      <c r="B232" s="1">
        <f>Prices!B230</f>
        <v>1828.339966</v>
      </c>
      <c r="C232" s="1">
        <f>Prices!C230</f>
        <v>36.509998000000003</v>
      </c>
      <c r="D232" s="1">
        <f>Prices!D230</f>
        <v>55.099997999999999</v>
      </c>
      <c r="E232" s="1">
        <f>Prices!E230</f>
        <v>56.09</v>
      </c>
      <c r="F232" s="1">
        <f>Prices!F230</f>
        <v>402.70001200000002</v>
      </c>
      <c r="G232" s="9">
        <f t="shared" ref="G232:K247" si="4">AVERAGE(B182:B231)</f>
        <v>1811.95599124</v>
      </c>
      <c r="H232" s="9">
        <f t="shared" si="4"/>
        <v>37.921599739999991</v>
      </c>
      <c r="I232" s="9">
        <f t="shared" si="4"/>
        <v>57.054600079999993</v>
      </c>
      <c r="J232" s="9">
        <f t="shared" si="4"/>
        <v>58.48379992000001</v>
      </c>
      <c r="K232" s="9">
        <f t="shared" si="4"/>
        <v>411.78799867999993</v>
      </c>
      <c r="L232" s="9">
        <f t="shared" ref="L232:P247" si="5">AVERAGE(B32:B231)</f>
        <v>1833.5507488750015</v>
      </c>
      <c r="M232" s="9">
        <f t="shared" si="5"/>
        <v>39.399600019999994</v>
      </c>
      <c r="N232" s="9">
        <f t="shared" si="5"/>
        <v>56.183850029999959</v>
      </c>
      <c r="O232" s="9">
        <f t="shared" si="5"/>
        <v>60.292699855000002</v>
      </c>
      <c r="P232" s="9">
        <f t="shared" si="5"/>
        <v>406.74900024000021</v>
      </c>
    </row>
    <row r="233" spans="1:16" x14ac:dyDescent="0.35">
      <c r="A233" s="2">
        <f>Prices!A231</f>
        <v>44224</v>
      </c>
      <c r="B233" s="1">
        <f>Prices!B231</f>
        <v>1853.25</v>
      </c>
      <c r="C233" s="1">
        <f>Prices!C231</f>
        <v>36.729999999999997</v>
      </c>
      <c r="D233" s="1">
        <f>Prices!D231</f>
        <v>55.509998000000003</v>
      </c>
      <c r="E233" s="1">
        <f>Prices!E231</f>
        <v>55.919998</v>
      </c>
      <c r="F233" s="1">
        <f>Prices!F231</f>
        <v>406.79998799999998</v>
      </c>
      <c r="G233" s="9">
        <f t="shared" si="4"/>
        <v>1812.96279056</v>
      </c>
      <c r="H233" s="9">
        <f t="shared" si="4"/>
        <v>37.898199699999992</v>
      </c>
      <c r="I233" s="9">
        <f t="shared" si="4"/>
        <v>57.096200039999992</v>
      </c>
      <c r="J233" s="9">
        <f t="shared" si="4"/>
        <v>58.407799940000004</v>
      </c>
      <c r="K233" s="9">
        <f t="shared" si="4"/>
        <v>411.19999879999995</v>
      </c>
      <c r="L233" s="9">
        <f t="shared" si="5"/>
        <v>1833.4557989250013</v>
      </c>
      <c r="M233" s="9">
        <f t="shared" si="5"/>
        <v>39.369450004999997</v>
      </c>
      <c r="N233" s="9">
        <f t="shared" si="5"/>
        <v>56.147350009999961</v>
      </c>
      <c r="O233" s="9">
        <f t="shared" si="5"/>
        <v>60.248099844999999</v>
      </c>
      <c r="P233" s="9">
        <f t="shared" si="5"/>
        <v>406.6130003300002</v>
      </c>
    </row>
    <row r="234" spans="1:16" x14ac:dyDescent="0.35">
      <c r="A234" s="2">
        <f>Prices!A232</f>
        <v>44225</v>
      </c>
      <c r="B234" s="1">
        <f>Prices!B232</f>
        <v>1858</v>
      </c>
      <c r="C234" s="1">
        <f>Prices!C232</f>
        <v>36.700001</v>
      </c>
      <c r="D234" s="1">
        <f>Prices!D232</f>
        <v>55.25</v>
      </c>
      <c r="E234" s="1">
        <f>Prices!E232</f>
        <v>55.73</v>
      </c>
      <c r="F234" s="1">
        <f>Prices!F232</f>
        <v>407.39999399999999</v>
      </c>
      <c r="G234" s="9">
        <f t="shared" si="4"/>
        <v>1814.96559086</v>
      </c>
      <c r="H234" s="9">
        <f t="shared" si="4"/>
        <v>37.89479965999999</v>
      </c>
      <c r="I234" s="9">
        <f t="shared" si="4"/>
        <v>57.16279999999999</v>
      </c>
      <c r="J234" s="9">
        <f t="shared" si="4"/>
        <v>58.320399879999997</v>
      </c>
      <c r="K234" s="9">
        <f t="shared" si="4"/>
        <v>410.71599855999995</v>
      </c>
      <c r="L234" s="9">
        <f t="shared" si="5"/>
        <v>1833.501699195001</v>
      </c>
      <c r="M234" s="9">
        <f t="shared" si="5"/>
        <v>39.340150004999998</v>
      </c>
      <c r="N234" s="9">
        <f t="shared" si="5"/>
        <v>56.114599994999963</v>
      </c>
      <c r="O234" s="9">
        <f t="shared" si="5"/>
        <v>60.203099845000004</v>
      </c>
      <c r="P234" s="9">
        <f t="shared" si="5"/>
        <v>406.56450027000011</v>
      </c>
    </row>
    <row r="235" spans="1:16" x14ac:dyDescent="0.35">
      <c r="A235" s="2">
        <f>Prices!A233</f>
        <v>44226</v>
      </c>
      <c r="B235" s="1">
        <f>Prices!B233</f>
        <v>1870.6800539999999</v>
      </c>
      <c r="C235" s="1">
        <f>Prices!C233</f>
        <v>37.040000999999997</v>
      </c>
      <c r="D235" s="1">
        <f>Prices!D233</f>
        <v>55.220001000000003</v>
      </c>
      <c r="E235" s="1">
        <f>Prices!E233</f>
        <v>53.84</v>
      </c>
      <c r="F235" s="1">
        <f>Prices!F233</f>
        <v>405.5</v>
      </c>
      <c r="G235" s="9">
        <f t="shared" si="4"/>
        <v>1817.0335913399999</v>
      </c>
      <c r="H235" s="9">
        <f t="shared" si="4"/>
        <v>37.892599659999988</v>
      </c>
      <c r="I235" s="9">
        <f t="shared" si="4"/>
        <v>57.209400039999998</v>
      </c>
      <c r="J235" s="9">
        <f t="shared" si="4"/>
        <v>58.252399859999997</v>
      </c>
      <c r="K235" s="9">
        <f t="shared" si="4"/>
        <v>410.17599855999987</v>
      </c>
      <c r="L235" s="9">
        <f t="shared" si="5"/>
        <v>1833.5763989000011</v>
      </c>
      <c r="M235" s="9">
        <f t="shared" si="5"/>
        <v>39.308450004999997</v>
      </c>
      <c r="N235" s="9">
        <f t="shared" si="5"/>
        <v>56.076949999999968</v>
      </c>
      <c r="O235" s="9">
        <f t="shared" si="5"/>
        <v>60.159249845000005</v>
      </c>
      <c r="P235" s="9">
        <f t="shared" si="5"/>
        <v>406.51150024000026</v>
      </c>
    </row>
    <row r="236" spans="1:16" x14ac:dyDescent="0.35">
      <c r="A236" s="2">
        <f>Prices!A234</f>
        <v>44227</v>
      </c>
      <c r="B236" s="1">
        <f>Prices!B234</f>
        <v>2008.719971</v>
      </c>
      <c r="C236" s="1">
        <f>Prices!C234</f>
        <v>36.290000999999997</v>
      </c>
      <c r="D236" s="1">
        <f>Prices!D234</f>
        <v>53.43</v>
      </c>
      <c r="E236" s="1">
        <f>Prices!E234</f>
        <v>52.150002000000001</v>
      </c>
      <c r="F236" s="1">
        <f>Prices!F234</f>
        <v>398.39999399999999</v>
      </c>
      <c r="G236" s="9">
        <f t="shared" si="4"/>
        <v>1819.6573926199999</v>
      </c>
      <c r="H236" s="9">
        <f t="shared" si="4"/>
        <v>37.893199719999984</v>
      </c>
      <c r="I236" s="9">
        <f t="shared" si="4"/>
        <v>57.234400039999997</v>
      </c>
      <c r="J236" s="9">
        <f t="shared" si="4"/>
        <v>58.137799860000001</v>
      </c>
      <c r="K236" s="9">
        <f t="shared" si="4"/>
        <v>409.99599855999992</v>
      </c>
      <c r="L236" s="9">
        <f t="shared" si="5"/>
        <v>1833.7054491950009</v>
      </c>
      <c r="M236" s="9">
        <f t="shared" si="5"/>
        <v>39.279200014999994</v>
      </c>
      <c r="N236" s="9">
        <f t="shared" si="5"/>
        <v>56.040750009999968</v>
      </c>
      <c r="O236" s="9">
        <f t="shared" si="5"/>
        <v>60.105549835000012</v>
      </c>
      <c r="P236" s="9">
        <f t="shared" si="5"/>
        <v>406.44550018000018</v>
      </c>
    </row>
    <row r="237" spans="1:16" x14ac:dyDescent="0.35">
      <c r="A237" s="2">
        <f>Prices!A235</f>
        <v>44230</v>
      </c>
      <c r="B237" s="1">
        <f>Prices!B235</f>
        <v>2004.1999510000001</v>
      </c>
      <c r="C237" s="1">
        <f>Prices!C235</f>
        <v>36.060001</v>
      </c>
      <c r="D237" s="1">
        <f>Prices!D235</f>
        <v>53.139999000000003</v>
      </c>
      <c r="E237" s="1">
        <f>Prices!E235</f>
        <v>51.240001999999997</v>
      </c>
      <c r="F237" s="1">
        <f>Prices!F235</f>
        <v>401.39999399999999</v>
      </c>
      <c r="G237" s="9">
        <f t="shared" si="4"/>
        <v>1824.7811914599997</v>
      </c>
      <c r="H237" s="9">
        <f t="shared" si="4"/>
        <v>37.874199699999984</v>
      </c>
      <c r="I237" s="9">
        <f t="shared" si="4"/>
        <v>57.223199999999999</v>
      </c>
      <c r="J237" s="9">
        <f t="shared" si="4"/>
        <v>57.992399940000006</v>
      </c>
      <c r="K237" s="9">
        <f t="shared" si="4"/>
        <v>409.59799867999988</v>
      </c>
      <c r="L237" s="9">
        <f t="shared" si="5"/>
        <v>1834.4338488550011</v>
      </c>
      <c r="M237" s="9">
        <f t="shared" si="5"/>
        <v>39.244000010000001</v>
      </c>
      <c r="N237" s="9">
        <f t="shared" si="5"/>
        <v>56.006200009999972</v>
      </c>
      <c r="O237" s="9">
        <f t="shared" si="5"/>
        <v>60.044799830000009</v>
      </c>
      <c r="P237" s="9">
        <f t="shared" si="5"/>
        <v>406.30600021000015</v>
      </c>
    </row>
    <row r="238" spans="1:16" x14ac:dyDescent="0.35">
      <c r="A238" s="2">
        <f>Prices!A236</f>
        <v>44231</v>
      </c>
      <c r="B238" s="1">
        <f>Prices!B236</f>
        <v>2049.669922</v>
      </c>
      <c r="C238" s="1">
        <f>Prices!C236</f>
        <v>36.540000999999997</v>
      </c>
      <c r="D238" s="1">
        <f>Prices!D236</f>
        <v>54.970001000000003</v>
      </c>
      <c r="E238" s="1">
        <f>Prices!E236</f>
        <v>51.650002000000001</v>
      </c>
      <c r="F238" s="1">
        <f>Prices!F236</f>
        <v>401.79998799999998</v>
      </c>
      <c r="G238" s="9">
        <f t="shared" si="4"/>
        <v>1829.8093896999999</v>
      </c>
      <c r="H238" s="9">
        <f t="shared" si="4"/>
        <v>37.846599739999995</v>
      </c>
      <c r="I238" s="9">
        <f t="shared" si="4"/>
        <v>57.195399999999999</v>
      </c>
      <c r="J238" s="9">
        <f t="shared" si="4"/>
        <v>57.842599980000003</v>
      </c>
      <c r="K238" s="9">
        <f t="shared" si="4"/>
        <v>409.55599855999986</v>
      </c>
      <c r="L238" s="9">
        <f t="shared" si="5"/>
        <v>1835.130748880001</v>
      </c>
      <c r="M238" s="9">
        <f t="shared" si="5"/>
        <v>39.207000020000002</v>
      </c>
      <c r="N238" s="9">
        <f t="shared" si="5"/>
        <v>55.969600009999979</v>
      </c>
      <c r="O238" s="9">
        <f t="shared" si="5"/>
        <v>59.978049860000013</v>
      </c>
      <c r="P238" s="9">
        <f t="shared" si="5"/>
        <v>406.13800018000023</v>
      </c>
    </row>
    <row r="239" spans="1:16" x14ac:dyDescent="0.35">
      <c r="A239" s="2">
        <f>Prices!A237</f>
        <v>44232</v>
      </c>
      <c r="B239" s="1">
        <f>Prices!B237</f>
        <v>2039.869995</v>
      </c>
      <c r="C239" s="1">
        <f>Prices!C237</f>
        <v>36.979999999999997</v>
      </c>
      <c r="D239" s="1">
        <f>Prices!D237</f>
        <v>55.68</v>
      </c>
      <c r="E239" s="1">
        <f>Prices!E237</f>
        <v>52.950001</v>
      </c>
      <c r="F239" s="1">
        <f>Prices!F237</f>
        <v>408.39999399999999</v>
      </c>
      <c r="G239" s="9">
        <f t="shared" si="4"/>
        <v>1835.8921875599999</v>
      </c>
      <c r="H239" s="9">
        <f t="shared" si="4"/>
        <v>37.835399799999998</v>
      </c>
      <c r="I239" s="9">
        <f t="shared" si="4"/>
        <v>57.232599999999991</v>
      </c>
      <c r="J239" s="9">
        <f t="shared" si="4"/>
        <v>57.706800039999997</v>
      </c>
      <c r="K239" s="9">
        <f t="shared" si="4"/>
        <v>409.63799807999987</v>
      </c>
      <c r="L239" s="9">
        <f t="shared" si="5"/>
        <v>1836.0706487850009</v>
      </c>
      <c r="M239" s="9">
        <f t="shared" si="5"/>
        <v>39.173450025000008</v>
      </c>
      <c r="N239" s="9">
        <f t="shared" si="5"/>
        <v>55.940600014999973</v>
      </c>
      <c r="O239" s="9">
        <f t="shared" si="5"/>
        <v>59.91529988500001</v>
      </c>
      <c r="P239" s="9">
        <f t="shared" si="5"/>
        <v>405.9890000900001</v>
      </c>
    </row>
    <row r="240" spans="1:16" x14ac:dyDescent="0.35">
      <c r="A240" s="2">
        <f>Prices!A238</f>
        <v>44233</v>
      </c>
      <c r="B240" s="1">
        <f>Prices!B238</f>
        <v>2050.2299800000001</v>
      </c>
      <c r="C240" s="1">
        <f>Prices!C238</f>
        <v>37.099997999999999</v>
      </c>
      <c r="D240" s="1">
        <f>Prices!D238</f>
        <v>55.380001</v>
      </c>
      <c r="E240" s="1">
        <f>Prices!E238</f>
        <v>52.139999000000003</v>
      </c>
      <c r="F240" s="1">
        <f>Prices!F238</f>
        <v>409</v>
      </c>
      <c r="G240" s="9">
        <f t="shared" si="4"/>
        <v>1841.9953882399998</v>
      </c>
      <c r="H240" s="9">
        <f t="shared" si="4"/>
        <v>37.838199799999991</v>
      </c>
      <c r="I240" s="9">
        <f t="shared" si="4"/>
        <v>57.280200019999981</v>
      </c>
      <c r="J240" s="9">
        <f t="shared" si="4"/>
        <v>57.592400099999992</v>
      </c>
      <c r="K240" s="9">
        <f t="shared" si="4"/>
        <v>409.8059979599999</v>
      </c>
      <c r="L240" s="9">
        <f t="shared" si="5"/>
        <v>1836.8334484650011</v>
      </c>
      <c r="M240" s="9">
        <f t="shared" si="5"/>
        <v>39.142250020000006</v>
      </c>
      <c r="N240" s="9">
        <f t="shared" si="5"/>
        <v>55.914650019999975</v>
      </c>
      <c r="O240" s="9">
        <f t="shared" si="5"/>
        <v>59.853849900000007</v>
      </c>
      <c r="P240" s="9">
        <f t="shared" si="5"/>
        <v>405.9030000300001</v>
      </c>
    </row>
    <row r="241" spans="1:16" x14ac:dyDescent="0.35">
      <c r="A241" s="2">
        <f>Prices!A239</f>
        <v>44234</v>
      </c>
      <c r="B241" s="1">
        <f>Prices!B239</f>
        <v>2079.280029</v>
      </c>
      <c r="C241" s="1">
        <f>Prices!C239</f>
        <v>37.299999</v>
      </c>
      <c r="D241" s="1">
        <f>Prices!D239</f>
        <v>53.73</v>
      </c>
      <c r="E241" s="1">
        <f>Prices!E239</f>
        <v>51.790000999999997</v>
      </c>
      <c r="F241" s="1">
        <f>Prices!F239</f>
        <v>407.79998799999998</v>
      </c>
      <c r="G241" s="9">
        <f t="shared" si="4"/>
        <v>1848.08558842</v>
      </c>
      <c r="H241" s="9">
        <f t="shared" si="4"/>
        <v>37.836399779999994</v>
      </c>
      <c r="I241" s="9">
        <f t="shared" si="4"/>
        <v>57.311800059999996</v>
      </c>
      <c r="J241" s="9">
        <f t="shared" si="4"/>
        <v>57.466400100000001</v>
      </c>
      <c r="K241" s="9">
        <f t="shared" si="4"/>
        <v>409.9199981999999</v>
      </c>
      <c r="L241" s="9">
        <f t="shared" si="5"/>
        <v>1837.4657482650011</v>
      </c>
      <c r="M241" s="9">
        <f t="shared" si="5"/>
        <v>39.112000000000002</v>
      </c>
      <c r="N241" s="9">
        <f t="shared" si="5"/>
        <v>55.888550034999973</v>
      </c>
      <c r="O241" s="9">
        <f t="shared" si="5"/>
        <v>59.789549895</v>
      </c>
      <c r="P241" s="9">
        <f t="shared" si="5"/>
        <v>405.83400009000019</v>
      </c>
    </row>
    <row r="242" spans="1:16" x14ac:dyDescent="0.35">
      <c r="A242" s="2">
        <f>Prices!A240</f>
        <v>44237</v>
      </c>
      <c r="B242" s="1">
        <f>Prices!B240</f>
        <v>2133.9099120000001</v>
      </c>
      <c r="C242" s="1">
        <f>Prices!C240</f>
        <v>37.439999</v>
      </c>
      <c r="D242" s="1">
        <f>Prices!D240</f>
        <v>53.43</v>
      </c>
      <c r="E242" s="1">
        <f>Prices!E240</f>
        <v>51.389999000000003</v>
      </c>
      <c r="F242" s="1">
        <f>Prices!F240</f>
        <v>406.70001200000002</v>
      </c>
      <c r="G242" s="9">
        <f t="shared" si="4"/>
        <v>1854.1943896800001</v>
      </c>
      <c r="H242" s="9">
        <f t="shared" si="4"/>
        <v>37.830599759999998</v>
      </c>
      <c r="I242" s="9">
        <f t="shared" si="4"/>
        <v>57.2930001</v>
      </c>
      <c r="J242" s="9">
        <f t="shared" si="4"/>
        <v>57.329400139999997</v>
      </c>
      <c r="K242" s="9">
        <f t="shared" si="4"/>
        <v>410.0399981999999</v>
      </c>
      <c r="L242" s="9">
        <f t="shared" si="5"/>
        <v>1838.3533984100013</v>
      </c>
      <c r="M242" s="9">
        <f t="shared" si="5"/>
        <v>39.084349984999996</v>
      </c>
      <c r="N242" s="9">
        <f t="shared" si="5"/>
        <v>55.860050034999965</v>
      </c>
      <c r="O242" s="9">
        <f t="shared" si="5"/>
        <v>59.731199905000004</v>
      </c>
      <c r="P242" s="9">
        <f t="shared" si="5"/>
        <v>405.77900009000018</v>
      </c>
    </row>
    <row r="243" spans="1:16" x14ac:dyDescent="0.35">
      <c r="A243" s="2">
        <f>Prices!A241</f>
        <v>44238</v>
      </c>
      <c r="B243" s="1">
        <f>Prices!B241</f>
        <v>2150.8000489999999</v>
      </c>
      <c r="C243" s="1">
        <f>Prices!C241</f>
        <v>38.25</v>
      </c>
      <c r="D243" s="1">
        <f>Prices!D241</f>
        <v>53.849997999999999</v>
      </c>
      <c r="E243" s="1">
        <f>Prices!E241</f>
        <v>51.990001999999997</v>
      </c>
      <c r="F243" s="1">
        <f>Prices!F241</f>
        <v>410.60000600000001</v>
      </c>
      <c r="G243" s="9">
        <f t="shared" si="4"/>
        <v>1860.9337890999998</v>
      </c>
      <c r="H243" s="9">
        <f t="shared" si="4"/>
        <v>37.828799759999995</v>
      </c>
      <c r="I243" s="9">
        <f t="shared" si="4"/>
        <v>57.264400079999994</v>
      </c>
      <c r="J243" s="9">
        <f t="shared" si="4"/>
        <v>57.197800099999995</v>
      </c>
      <c r="K243" s="9">
        <f t="shared" si="4"/>
        <v>410.12599855999986</v>
      </c>
      <c r="L243" s="9">
        <f t="shared" si="5"/>
        <v>1839.5116979700013</v>
      </c>
      <c r="M243" s="9">
        <f t="shared" si="5"/>
        <v>39.057749990000005</v>
      </c>
      <c r="N243" s="9">
        <f t="shared" si="5"/>
        <v>55.830500034999972</v>
      </c>
      <c r="O243" s="9">
        <f t="shared" si="5"/>
        <v>59.670049904999999</v>
      </c>
      <c r="P243" s="9">
        <f t="shared" si="5"/>
        <v>405.69000015000017</v>
      </c>
    </row>
    <row r="244" spans="1:16" x14ac:dyDescent="0.35">
      <c r="A244" s="2">
        <f>Prices!A242</f>
        <v>44239</v>
      </c>
      <c r="B244" s="1">
        <f>Prices!B242</f>
        <v>2160</v>
      </c>
      <c r="C244" s="1">
        <f>Prices!C242</f>
        <v>38.599997999999999</v>
      </c>
      <c r="D244" s="1">
        <f>Prices!D242</f>
        <v>55.279998999999997</v>
      </c>
      <c r="E244" s="1">
        <f>Prices!E242</f>
        <v>52.650002000000001</v>
      </c>
      <c r="F244" s="1">
        <f>Prices!F242</f>
        <v>412.39999399999999</v>
      </c>
      <c r="G244" s="9">
        <f t="shared" si="4"/>
        <v>1867.5795898799997</v>
      </c>
      <c r="H244" s="9">
        <f t="shared" si="4"/>
        <v>37.841399780000003</v>
      </c>
      <c r="I244" s="9">
        <f t="shared" si="4"/>
        <v>57.241800040000008</v>
      </c>
      <c r="J244" s="9">
        <f t="shared" si="4"/>
        <v>57.081600159999986</v>
      </c>
      <c r="K244" s="9">
        <f t="shared" si="4"/>
        <v>410.29799867999992</v>
      </c>
      <c r="L244" s="9">
        <f t="shared" si="5"/>
        <v>1840.5125481900011</v>
      </c>
      <c r="M244" s="9">
        <f t="shared" si="5"/>
        <v>39.033649990000001</v>
      </c>
      <c r="N244" s="9">
        <f t="shared" si="5"/>
        <v>55.803250029999965</v>
      </c>
      <c r="O244" s="9">
        <f t="shared" si="5"/>
        <v>59.614699909999999</v>
      </c>
      <c r="P244" s="9">
        <f t="shared" si="5"/>
        <v>405.58600021000012</v>
      </c>
    </row>
    <row r="245" spans="1:16" x14ac:dyDescent="0.35">
      <c r="A245" s="2">
        <f>Prices!A243</f>
        <v>44240</v>
      </c>
      <c r="B245" s="1">
        <f>Prices!B243</f>
        <v>2149.8701169999999</v>
      </c>
      <c r="C245" s="1">
        <f>Prices!C243</f>
        <v>38.209999000000003</v>
      </c>
      <c r="D245" s="1">
        <f>Prices!D243</f>
        <v>54.869999</v>
      </c>
      <c r="E245" s="1">
        <f>Prices!E243</f>
        <v>50.990001999999997</v>
      </c>
      <c r="F245" s="1">
        <f>Prices!F243</f>
        <v>410.20001200000002</v>
      </c>
      <c r="G245" s="9">
        <f t="shared" si="4"/>
        <v>1874.7635888999998</v>
      </c>
      <c r="H245" s="9">
        <f t="shared" si="4"/>
        <v>37.868199779999998</v>
      </c>
      <c r="I245" s="9">
        <f t="shared" si="4"/>
        <v>57.2562</v>
      </c>
      <c r="J245" s="9">
        <f t="shared" si="4"/>
        <v>56.984800159999985</v>
      </c>
      <c r="K245" s="9">
        <f t="shared" si="4"/>
        <v>410.46999879999998</v>
      </c>
      <c r="L245" s="9">
        <f t="shared" si="5"/>
        <v>1841.6203979200011</v>
      </c>
      <c r="M245" s="9">
        <f t="shared" si="5"/>
        <v>39.010149985000005</v>
      </c>
      <c r="N245" s="9">
        <f t="shared" si="5"/>
        <v>55.783200019999974</v>
      </c>
      <c r="O245" s="9">
        <f t="shared" si="5"/>
        <v>59.562299915000004</v>
      </c>
      <c r="P245" s="9">
        <f t="shared" si="5"/>
        <v>405.50050018000019</v>
      </c>
    </row>
    <row r="246" spans="1:16" x14ac:dyDescent="0.35">
      <c r="A246" s="2">
        <f>Prices!A244</f>
        <v>44241</v>
      </c>
      <c r="B246" s="1">
        <f>Prices!B244</f>
        <v>2134.8701169999999</v>
      </c>
      <c r="C246" s="1">
        <f>Prices!C244</f>
        <v>37.939999</v>
      </c>
      <c r="D246" s="1">
        <f>Prices!D244</f>
        <v>54.5</v>
      </c>
      <c r="E246" s="1">
        <f>Prices!E244</f>
        <v>50.490001999999997</v>
      </c>
      <c r="F246" s="1">
        <f>Prices!F244</f>
        <v>410.89999399999999</v>
      </c>
      <c r="G246" s="9">
        <f t="shared" si="4"/>
        <v>1882.1289917200002</v>
      </c>
      <c r="H246" s="9">
        <f t="shared" si="4"/>
        <v>37.89619974</v>
      </c>
      <c r="I246" s="9">
        <f t="shared" si="4"/>
        <v>57.250599940000001</v>
      </c>
      <c r="J246" s="9">
        <f t="shared" si="4"/>
        <v>56.862000179999988</v>
      </c>
      <c r="K246" s="9">
        <f t="shared" si="4"/>
        <v>410.70599915999998</v>
      </c>
      <c r="L246" s="9">
        <f t="shared" si="5"/>
        <v>1842.7371484050009</v>
      </c>
      <c r="M246" s="9">
        <f t="shared" si="5"/>
        <v>38.98334998</v>
      </c>
      <c r="N246" s="9">
        <f t="shared" si="5"/>
        <v>55.763050004999975</v>
      </c>
      <c r="O246" s="9">
        <f t="shared" si="5"/>
        <v>59.499599930000002</v>
      </c>
      <c r="P246" s="9">
        <f t="shared" si="5"/>
        <v>405.39700027000021</v>
      </c>
    </row>
    <row r="247" spans="1:16" x14ac:dyDescent="0.35">
      <c r="A247" s="2">
        <f>Prices!A245</f>
        <v>44245</v>
      </c>
      <c r="B247" s="1">
        <f>Prices!B245</f>
        <v>2155.669922</v>
      </c>
      <c r="C247" s="1">
        <f>Prices!C245</f>
        <v>35.82</v>
      </c>
      <c r="D247" s="1">
        <f>Prices!D245</f>
        <v>54.419998</v>
      </c>
      <c r="E247" s="1">
        <f>Prices!E245</f>
        <v>50.209999000000003</v>
      </c>
      <c r="F247" s="1">
        <f>Prices!F245</f>
        <v>412.79998799999998</v>
      </c>
      <c r="G247" s="9">
        <f t="shared" si="4"/>
        <v>1889.4271948400001</v>
      </c>
      <c r="H247" s="9">
        <f t="shared" si="4"/>
        <v>37.928399679999998</v>
      </c>
      <c r="I247" s="9">
        <f t="shared" si="4"/>
        <v>57.248599980000002</v>
      </c>
      <c r="J247" s="9">
        <f t="shared" si="4"/>
        <v>56.74760023999999</v>
      </c>
      <c r="K247" s="9">
        <f t="shared" si="4"/>
        <v>411.05799927999999</v>
      </c>
      <c r="L247" s="9">
        <f t="shared" si="5"/>
        <v>1843.8538988900009</v>
      </c>
      <c r="M247" s="9">
        <f t="shared" si="5"/>
        <v>38.95704997</v>
      </c>
      <c r="N247" s="9">
        <f t="shared" si="5"/>
        <v>55.74585000999997</v>
      </c>
      <c r="O247" s="9">
        <f t="shared" si="5"/>
        <v>59.438449935000008</v>
      </c>
      <c r="P247" s="9">
        <f t="shared" si="5"/>
        <v>405.3135002100002</v>
      </c>
    </row>
    <row r="248" spans="1:16" x14ac:dyDescent="0.35">
      <c r="A248" s="2">
        <f>Prices!A246</f>
        <v>44246</v>
      </c>
      <c r="B248" s="1">
        <f>Prices!B246</f>
        <v>2170.219971</v>
      </c>
      <c r="C248" s="1">
        <f>Prices!C246</f>
        <v>36.229999999999997</v>
      </c>
      <c r="D248" s="1">
        <f>Prices!D246</f>
        <v>54.34</v>
      </c>
      <c r="E248" s="1">
        <f>Prices!E246</f>
        <v>50.220001000000003</v>
      </c>
      <c r="F248" s="1">
        <f>Prices!F246</f>
        <v>409.20001200000002</v>
      </c>
      <c r="G248" s="9">
        <f t="shared" ref="G248:K263" si="6">AVERAGE(B198:B247)</f>
        <v>1897.32679446</v>
      </c>
      <c r="H248" s="9">
        <f t="shared" si="6"/>
        <v>37.915399659999991</v>
      </c>
      <c r="I248" s="9">
        <f t="shared" si="6"/>
        <v>57.239799919999996</v>
      </c>
      <c r="J248" s="9">
        <f t="shared" si="6"/>
        <v>56.615000219999992</v>
      </c>
      <c r="K248" s="9">
        <f t="shared" si="6"/>
        <v>411.40599915999996</v>
      </c>
      <c r="L248" s="9">
        <f t="shared" ref="L248:P263" si="7">AVERAGE(B48:B247)</f>
        <v>1845.1281487700012</v>
      </c>
      <c r="M248" s="9">
        <f t="shared" si="7"/>
        <v>38.918799965000005</v>
      </c>
      <c r="N248" s="9">
        <f t="shared" si="7"/>
        <v>55.730750004999976</v>
      </c>
      <c r="O248" s="9">
        <f t="shared" si="7"/>
        <v>59.370999925000007</v>
      </c>
      <c r="P248" s="9">
        <f t="shared" si="7"/>
        <v>405.24650009000021</v>
      </c>
    </row>
    <row r="249" spans="1:16" x14ac:dyDescent="0.35">
      <c r="A249" s="2">
        <f>Prices!A247</f>
        <v>44247</v>
      </c>
      <c r="B249" s="1">
        <f>Prices!B247</f>
        <v>2153.1000979999999</v>
      </c>
      <c r="C249" s="1">
        <f>Prices!C247</f>
        <v>36.169998</v>
      </c>
      <c r="D249" s="1">
        <f>Prices!D247</f>
        <v>54.189999</v>
      </c>
      <c r="E249" s="1">
        <f>Prices!E247</f>
        <v>49.619999</v>
      </c>
      <c r="F249" s="1">
        <f>Prices!F247</f>
        <v>409.70001200000002</v>
      </c>
      <c r="G249" s="9">
        <f t="shared" si="6"/>
        <v>1905.9215942799999</v>
      </c>
      <c r="H249" s="9">
        <f t="shared" si="6"/>
        <v>37.912599679999992</v>
      </c>
      <c r="I249" s="9">
        <f t="shared" si="6"/>
        <v>57.2343999</v>
      </c>
      <c r="J249" s="9">
        <f t="shared" si="6"/>
        <v>56.489600199999998</v>
      </c>
      <c r="K249" s="9">
        <f t="shared" si="6"/>
        <v>411.7299994</v>
      </c>
      <c r="L249" s="9">
        <f t="shared" si="7"/>
        <v>1846.1669488200009</v>
      </c>
      <c r="M249" s="9">
        <f t="shared" si="7"/>
        <v>38.876449960000002</v>
      </c>
      <c r="N249" s="9">
        <f t="shared" si="7"/>
        <v>55.70785001499997</v>
      </c>
      <c r="O249" s="9">
        <f t="shared" si="7"/>
        <v>59.300649925000016</v>
      </c>
      <c r="P249" s="9">
        <f t="shared" si="7"/>
        <v>405.20550018000017</v>
      </c>
    </row>
    <row r="250" spans="1:16" x14ac:dyDescent="0.35">
      <c r="A250" s="2">
        <f>Prices!A248</f>
        <v>44248</v>
      </c>
      <c r="B250" s="1">
        <f>Prices!B248</f>
        <v>2095.969971</v>
      </c>
      <c r="C250" s="1">
        <f>Prices!C248</f>
        <v>36.459999000000003</v>
      </c>
      <c r="D250" s="1">
        <f>Prices!D248</f>
        <v>54.619999</v>
      </c>
      <c r="E250" s="1">
        <f>Prices!E248</f>
        <v>49.169998</v>
      </c>
      <c r="F250" s="1">
        <f>Prices!F248</f>
        <v>406.20001200000002</v>
      </c>
      <c r="G250" s="9">
        <f t="shared" si="6"/>
        <v>1913.9515967199998</v>
      </c>
      <c r="H250" s="9">
        <f t="shared" si="6"/>
        <v>37.898599659999995</v>
      </c>
      <c r="I250" s="9">
        <f t="shared" si="6"/>
        <v>57.210799900000005</v>
      </c>
      <c r="J250" s="9">
        <f t="shared" si="6"/>
        <v>56.336200159999997</v>
      </c>
      <c r="K250" s="9">
        <f t="shared" si="6"/>
        <v>411.96599976000005</v>
      </c>
      <c r="L250" s="9">
        <f t="shared" si="7"/>
        <v>1847.1796990650007</v>
      </c>
      <c r="M250" s="9">
        <f t="shared" si="7"/>
        <v>38.838349944999997</v>
      </c>
      <c r="N250" s="9">
        <f t="shared" si="7"/>
        <v>55.688399999999973</v>
      </c>
      <c r="O250" s="9">
        <f t="shared" si="7"/>
        <v>59.228199915000026</v>
      </c>
      <c r="P250" s="9">
        <f t="shared" si="7"/>
        <v>405.17650024000017</v>
      </c>
    </row>
    <row r="251" spans="1:16" x14ac:dyDescent="0.35">
      <c r="A251" s="2">
        <f>Prices!A249</f>
        <v>44251</v>
      </c>
      <c r="B251" s="1">
        <f>Prices!B249</f>
        <v>2009.290039</v>
      </c>
      <c r="C251" s="1">
        <f>Prices!C249</f>
        <v>35.5</v>
      </c>
      <c r="D251" s="1">
        <f>Prices!D249</f>
        <v>51.23</v>
      </c>
      <c r="E251" s="1">
        <f>Prices!E249</f>
        <v>47.279998999999997</v>
      </c>
      <c r="F251" s="1">
        <f>Prices!F249</f>
        <v>404.10000600000001</v>
      </c>
      <c r="G251" s="9">
        <f t="shared" si="6"/>
        <v>1920.8807959399999</v>
      </c>
      <c r="H251" s="9">
        <f t="shared" si="6"/>
        <v>37.891199599999993</v>
      </c>
      <c r="I251" s="9">
        <f t="shared" si="6"/>
        <v>57.184999880000007</v>
      </c>
      <c r="J251" s="9">
        <f t="shared" si="6"/>
        <v>56.174200119999995</v>
      </c>
      <c r="K251" s="9">
        <f t="shared" si="6"/>
        <v>412.0020001200001</v>
      </c>
      <c r="L251" s="9">
        <f t="shared" si="7"/>
        <v>1848.0545489200006</v>
      </c>
      <c r="M251" s="9">
        <f t="shared" si="7"/>
        <v>38.804899929999998</v>
      </c>
      <c r="N251" s="9">
        <f t="shared" si="7"/>
        <v>55.670049989999981</v>
      </c>
      <c r="O251" s="9">
        <f t="shared" si="7"/>
        <v>59.16289990500001</v>
      </c>
      <c r="P251" s="9">
        <f t="shared" si="7"/>
        <v>405.14200027000021</v>
      </c>
    </row>
    <row r="252" spans="1:16" x14ac:dyDescent="0.35">
      <c r="A252" s="2">
        <f>Prices!A250</f>
        <v>44252</v>
      </c>
      <c r="B252" s="1">
        <f>Prices!B250</f>
        <v>1972.73999</v>
      </c>
      <c r="C252" s="1">
        <f>Prices!C250</f>
        <v>34.82</v>
      </c>
      <c r="D252" s="1">
        <f>Prices!D250</f>
        <v>50.43</v>
      </c>
      <c r="E252" s="1">
        <f>Prices!E250</f>
        <v>45.900002000000001</v>
      </c>
      <c r="F252" s="1">
        <f>Prices!F250</f>
        <v>389.5</v>
      </c>
      <c r="G252" s="9">
        <f t="shared" si="6"/>
        <v>1926.2823974999994</v>
      </c>
      <c r="H252" s="9">
        <f t="shared" si="6"/>
        <v>37.866999619999994</v>
      </c>
      <c r="I252" s="9">
        <f t="shared" si="6"/>
        <v>57.08839986000001</v>
      </c>
      <c r="J252" s="9">
        <f t="shared" si="6"/>
        <v>55.972600079999992</v>
      </c>
      <c r="K252" s="9">
        <f t="shared" si="6"/>
        <v>412.0040002400001</v>
      </c>
      <c r="L252" s="9">
        <f t="shared" si="7"/>
        <v>1848.5121490150007</v>
      </c>
      <c r="M252" s="9">
        <f t="shared" si="7"/>
        <v>38.768199930000002</v>
      </c>
      <c r="N252" s="9">
        <f t="shared" si="7"/>
        <v>55.637849999999972</v>
      </c>
      <c r="O252" s="9">
        <f t="shared" si="7"/>
        <v>59.085749905000021</v>
      </c>
      <c r="P252" s="9">
        <f t="shared" si="7"/>
        <v>405.08700027000015</v>
      </c>
    </row>
    <row r="253" spans="1:16" x14ac:dyDescent="0.35">
      <c r="A253" s="2">
        <f>Prices!A251</f>
        <v>44253</v>
      </c>
      <c r="B253" s="1">
        <f>Prices!B251</f>
        <v>1979.589966</v>
      </c>
      <c r="C253" s="1">
        <f>Prices!C251</f>
        <v>35.669998</v>
      </c>
      <c r="D253" s="1">
        <f>Prices!D251</f>
        <v>49.709999000000003</v>
      </c>
      <c r="E253" s="1">
        <f>Prices!E251</f>
        <v>45.75</v>
      </c>
      <c r="F253" s="1">
        <f>Prices!F251</f>
        <v>381.79998799999998</v>
      </c>
      <c r="G253" s="9">
        <f t="shared" si="6"/>
        <v>1930.7627978799997</v>
      </c>
      <c r="H253" s="9">
        <f t="shared" si="6"/>
        <v>37.820199619999997</v>
      </c>
      <c r="I253" s="9">
        <f t="shared" si="6"/>
        <v>56.958799859999999</v>
      </c>
      <c r="J253" s="9">
        <f t="shared" si="6"/>
        <v>55.742600080000003</v>
      </c>
      <c r="K253" s="9">
        <f t="shared" si="6"/>
        <v>411.79400024000012</v>
      </c>
      <c r="L253" s="9">
        <f t="shared" si="7"/>
        <v>1848.8764989900003</v>
      </c>
      <c r="M253" s="9">
        <f t="shared" si="7"/>
        <v>38.728399934999999</v>
      </c>
      <c r="N253" s="9">
        <f t="shared" si="7"/>
        <v>55.601299989999973</v>
      </c>
      <c r="O253" s="9">
        <f t="shared" si="7"/>
        <v>58.999599910000015</v>
      </c>
      <c r="P253" s="9">
        <f t="shared" si="7"/>
        <v>404.99650024000016</v>
      </c>
    </row>
    <row r="254" spans="1:16" x14ac:dyDescent="0.35">
      <c r="A254" s="2">
        <f>Prices!A252</f>
        <v>44254</v>
      </c>
      <c r="B254" s="1">
        <f>Prices!B252</f>
        <v>1884.3000489999999</v>
      </c>
      <c r="C254" s="1">
        <f>Prices!C252</f>
        <v>33.82</v>
      </c>
      <c r="D254" s="1">
        <f>Prices!D252</f>
        <v>47.259998000000003</v>
      </c>
      <c r="E254" s="1">
        <f>Prices!E252</f>
        <v>43.939999</v>
      </c>
      <c r="F254" s="1">
        <f>Prices!F252</f>
        <v>379.89999399999999</v>
      </c>
      <c r="G254" s="9">
        <f t="shared" si="6"/>
        <v>1935.1479980799995</v>
      </c>
      <c r="H254" s="9">
        <f t="shared" si="6"/>
        <v>37.774999579999999</v>
      </c>
      <c r="I254" s="9">
        <f t="shared" si="6"/>
        <v>56.802599839999999</v>
      </c>
      <c r="J254" s="9">
        <f t="shared" si="6"/>
        <v>55.50240011999999</v>
      </c>
      <c r="K254" s="9">
        <f t="shared" si="6"/>
        <v>411.30799988000001</v>
      </c>
      <c r="L254" s="9">
        <f t="shared" si="7"/>
        <v>1849.3245489200003</v>
      </c>
      <c r="M254" s="9">
        <f t="shared" si="7"/>
        <v>38.692449920000001</v>
      </c>
      <c r="N254" s="9">
        <f t="shared" si="7"/>
        <v>55.55549998999998</v>
      </c>
      <c r="O254" s="9">
        <f t="shared" si="7"/>
        <v>58.91059991500002</v>
      </c>
      <c r="P254" s="9">
        <f t="shared" si="7"/>
        <v>404.84000015000021</v>
      </c>
    </row>
    <row r="255" spans="1:16" x14ac:dyDescent="0.35">
      <c r="A255" s="2">
        <f>Prices!A253</f>
        <v>44255</v>
      </c>
      <c r="B255" s="1">
        <f>Prices!B253</f>
        <v>1883.75</v>
      </c>
      <c r="C255" s="1">
        <f>Prices!C253</f>
        <v>33.57</v>
      </c>
      <c r="D255" s="1">
        <f>Prices!D253</f>
        <v>46.93</v>
      </c>
      <c r="E255" s="1">
        <f>Prices!E253</f>
        <v>44.029998999999997</v>
      </c>
      <c r="F255" s="1">
        <f>Prices!F253</f>
        <v>364.70001200000002</v>
      </c>
      <c r="G255" s="9">
        <f t="shared" si="6"/>
        <v>1937.6152002399995</v>
      </c>
      <c r="H255" s="9">
        <f t="shared" si="6"/>
        <v>37.682799580000001</v>
      </c>
      <c r="I255" s="9">
        <f t="shared" si="6"/>
        <v>56.593399779999999</v>
      </c>
      <c r="J255" s="9">
        <f t="shared" si="6"/>
        <v>55.232400120000001</v>
      </c>
      <c r="K255" s="9">
        <f t="shared" si="6"/>
        <v>410.59</v>
      </c>
      <c r="L255" s="9">
        <f t="shared" si="7"/>
        <v>1849.6326488950001</v>
      </c>
      <c r="M255" s="9">
        <f t="shared" si="7"/>
        <v>38.651199919999996</v>
      </c>
      <c r="N255" s="9">
        <f t="shared" si="7"/>
        <v>55.50599997999997</v>
      </c>
      <c r="O255" s="9">
        <f t="shared" si="7"/>
        <v>58.813399905000026</v>
      </c>
      <c r="P255" s="9">
        <f t="shared" si="7"/>
        <v>404.65450012000014</v>
      </c>
    </row>
    <row r="256" spans="1:16" x14ac:dyDescent="0.35">
      <c r="A256" s="2">
        <f>Prices!A254</f>
        <v>44257</v>
      </c>
      <c r="B256" s="1">
        <f>Prices!B254</f>
        <v>1953.9499510000001</v>
      </c>
      <c r="C256" s="1">
        <f>Prices!C254</f>
        <v>33.770000000000003</v>
      </c>
      <c r="D256" s="1">
        <f>Prices!D254</f>
        <v>48.77</v>
      </c>
      <c r="E256" s="1">
        <f>Prices!E254</f>
        <v>44.830002</v>
      </c>
      <c r="F256" s="1">
        <f>Prices!F254</f>
        <v>350.79998799999998</v>
      </c>
      <c r="G256" s="9">
        <f t="shared" si="6"/>
        <v>1939.9060010199994</v>
      </c>
      <c r="H256" s="9">
        <f t="shared" si="6"/>
        <v>37.575799619999998</v>
      </c>
      <c r="I256" s="9">
        <f t="shared" si="6"/>
        <v>56.355599779999991</v>
      </c>
      <c r="J256" s="9">
        <f t="shared" si="6"/>
        <v>54.94980009999999</v>
      </c>
      <c r="K256" s="9">
        <f t="shared" si="6"/>
        <v>409.32400024000003</v>
      </c>
      <c r="L256" s="9">
        <f t="shared" si="7"/>
        <v>1849.85079892</v>
      </c>
      <c r="M256" s="9">
        <f t="shared" si="7"/>
        <v>38.608299909999992</v>
      </c>
      <c r="N256" s="9">
        <f t="shared" si="7"/>
        <v>55.448349984999986</v>
      </c>
      <c r="O256" s="9">
        <f t="shared" si="7"/>
        <v>58.712999895000024</v>
      </c>
      <c r="P256" s="9">
        <f t="shared" si="7"/>
        <v>404.35150024000018</v>
      </c>
    </row>
    <row r="257" spans="1:16" x14ac:dyDescent="0.35">
      <c r="A257" s="2">
        <f>Prices!A255</f>
        <v>44258</v>
      </c>
      <c r="B257" s="1">
        <f>Prices!B255</f>
        <v>1908.98999</v>
      </c>
      <c r="C257" s="1">
        <f>Prices!C255</f>
        <v>32.57</v>
      </c>
      <c r="D257" s="1">
        <f>Prices!D255</f>
        <v>48.759998000000003</v>
      </c>
      <c r="E257" s="1">
        <f>Prices!E255</f>
        <v>43.959999000000003</v>
      </c>
      <c r="F257" s="1">
        <f>Prices!F255</f>
        <v>343.20001200000002</v>
      </c>
      <c r="G257" s="9">
        <f t="shared" si="6"/>
        <v>1943.1717993599998</v>
      </c>
      <c r="H257" s="9">
        <f t="shared" si="6"/>
        <v>37.472999619999996</v>
      </c>
      <c r="I257" s="9">
        <f t="shared" si="6"/>
        <v>56.157399779999999</v>
      </c>
      <c r="J257" s="9">
        <f t="shared" si="6"/>
        <v>54.677000120000002</v>
      </c>
      <c r="K257" s="9">
        <f t="shared" si="6"/>
        <v>407.82200011999998</v>
      </c>
      <c r="L257" s="9">
        <f t="shared" si="7"/>
        <v>1850.264798555</v>
      </c>
      <c r="M257" s="9">
        <f t="shared" si="7"/>
        <v>38.564349904999993</v>
      </c>
      <c r="N257" s="9">
        <f t="shared" si="7"/>
        <v>55.400749979999979</v>
      </c>
      <c r="O257" s="9">
        <f t="shared" si="7"/>
        <v>58.612849900000022</v>
      </c>
      <c r="P257" s="9">
        <f t="shared" si="7"/>
        <v>404.0060002100002</v>
      </c>
    </row>
    <row r="258" spans="1:16" x14ac:dyDescent="0.35">
      <c r="A258" s="2">
        <f>Prices!A256</f>
        <v>44259</v>
      </c>
      <c r="B258" s="1">
        <f>Prices!B256</f>
        <v>1975.829956</v>
      </c>
      <c r="C258" s="1">
        <f>Prices!C256</f>
        <v>33.229999999999997</v>
      </c>
      <c r="D258" s="1">
        <f>Prices!D256</f>
        <v>51.48</v>
      </c>
      <c r="E258" s="1">
        <f>Prices!E256</f>
        <v>45.299999</v>
      </c>
      <c r="F258" s="1">
        <f>Prices!F256</f>
        <v>346</v>
      </c>
      <c r="G258" s="9">
        <f t="shared" si="6"/>
        <v>1945.6709985799998</v>
      </c>
      <c r="H258" s="9">
        <f t="shared" si="6"/>
        <v>37.34379964</v>
      </c>
      <c r="I258" s="9">
        <f t="shared" si="6"/>
        <v>55.961999759999998</v>
      </c>
      <c r="J258" s="9">
        <f t="shared" si="6"/>
        <v>54.385800100000004</v>
      </c>
      <c r="K258" s="9">
        <f t="shared" si="6"/>
        <v>406.19600036000003</v>
      </c>
      <c r="L258" s="9">
        <f t="shared" si="7"/>
        <v>1850.2718987749997</v>
      </c>
      <c r="M258" s="9">
        <f t="shared" si="7"/>
        <v>38.516049904999996</v>
      </c>
      <c r="N258" s="9">
        <f t="shared" si="7"/>
        <v>55.345649974999979</v>
      </c>
      <c r="O258" s="9">
        <f t="shared" si="7"/>
        <v>58.511349885000016</v>
      </c>
      <c r="P258" s="9">
        <f t="shared" si="7"/>
        <v>403.63750030000017</v>
      </c>
    </row>
    <row r="259" spans="1:16" x14ac:dyDescent="0.35">
      <c r="A259" s="2">
        <f>Prices!A257</f>
        <v>44260</v>
      </c>
      <c r="B259" s="1">
        <f>Prices!B257</f>
        <v>1924.030029</v>
      </c>
      <c r="C259" s="1">
        <f>Prices!C257</f>
        <v>32.729999999999997</v>
      </c>
      <c r="D259" s="1">
        <f>Prices!D257</f>
        <v>49.27</v>
      </c>
      <c r="E259" s="1">
        <f>Prices!E257</f>
        <v>43.73</v>
      </c>
      <c r="F259" s="1">
        <f>Prices!F257</f>
        <v>350.10000600000001</v>
      </c>
      <c r="G259" s="9">
        <f t="shared" si="6"/>
        <v>1949.3419971199996</v>
      </c>
      <c r="H259" s="9">
        <f t="shared" si="6"/>
        <v>37.230799619999992</v>
      </c>
      <c r="I259" s="9">
        <f t="shared" si="6"/>
        <v>55.821999759999997</v>
      </c>
      <c r="J259" s="9">
        <f t="shared" si="6"/>
        <v>54.113800040000008</v>
      </c>
      <c r="K259" s="9">
        <f t="shared" si="6"/>
        <v>404.69000060000008</v>
      </c>
      <c r="L259" s="9">
        <f t="shared" si="7"/>
        <v>1850.8060485549995</v>
      </c>
      <c r="M259" s="9">
        <f t="shared" si="7"/>
        <v>38.4741499</v>
      </c>
      <c r="N259" s="9">
        <f t="shared" si="7"/>
        <v>55.303249979999975</v>
      </c>
      <c r="O259" s="9">
        <f t="shared" si="7"/>
        <v>58.416499895000022</v>
      </c>
      <c r="P259" s="9">
        <f t="shared" si="7"/>
        <v>403.27850036000024</v>
      </c>
    </row>
    <row r="260" spans="1:16" x14ac:dyDescent="0.35">
      <c r="A260" s="2">
        <f>Prices!A258</f>
        <v>44261</v>
      </c>
      <c r="B260" s="1">
        <f>Prices!B258</f>
        <v>1901.089966</v>
      </c>
      <c r="C260" s="1">
        <f>Prices!C258</f>
        <v>32.259998000000003</v>
      </c>
      <c r="D260" s="1">
        <f>Prices!D258</f>
        <v>46.16</v>
      </c>
      <c r="E260" s="1">
        <f>Prices!E258</f>
        <v>41.869999</v>
      </c>
      <c r="F260" s="1">
        <f>Prices!F258</f>
        <v>351.60000600000001</v>
      </c>
      <c r="G260" s="9">
        <f t="shared" si="6"/>
        <v>1952.0925976999999</v>
      </c>
      <c r="H260" s="9">
        <f t="shared" si="6"/>
        <v>37.107599639999997</v>
      </c>
      <c r="I260" s="9">
        <f t="shared" si="6"/>
        <v>55.631999759999999</v>
      </c>
      <c r="J260" s="9">
        <f t="shared" si="6"/>
        <v>53.82480004</v>
      </c>
      <c r="K260" s="9">
        <f t="shared" si="6"/>
        <v>403.30800047999998</v>
      </c>
      <c r="L260" s="9">
        <f t="shared" si="7"/>
        <v>1851.1313488449998</v>
      </c>
      <c r="M260" s="9">
        <f t="shared" si="7"/>
        <v>38.430699909999994</v>
      </c>
      <c r="N260" s="9">
        <f t="shared" si="7"/>
        <v>55.250899969999985</v>
      </c>
      <c r="O260" s="9">
        <f t="shared" si="7"/>
        <v>58.312999895000019</v>
      </c>
      <c r="P260" s="9">
        <f t="shared" si="7"/>
        <v>402.9695004200002</v>
      </c>
    </row>
    <row r="261" spans="1:16" x14ac:dyDescent="0.35">
      <c r="A261" s="2">
        <f>Prices!A259</f>
        <v>44264</v>
      </c>
      <c r="B261" s="1">
        <f>Prices!B259</f>
        <v>1800.6099850000001</v>
      </c>
      <c r="C261" s="1">
        <f>Prices!C259</f>
        <v>30.450001</v>
      </c>
      <c r="D261" s="1">
        <f>Prices!D259</f>
        <v>41.810001</v>
      </c>
      <c r="E261" s="1">
        <f>Prices!E259</f>
        <v>34.68</v>
      </c>
      <c r="F261" s="1">
        <f>Prices!F259</f>
        <v>343</v>
      </c>
      <c r="G261" s="9">
        <f t="shared" si="6"/>
        <v>1954.2543970199999</v>
      </c>
      <c r="H261" s="9">
        <f t="shared" si="6"/>
        <v>36.977199619999993</v>
      </c>
      <c r="I261" s="9">
        <f t="shared" si="6"/>
        <v>55.375799739999991</v>
      </c>
      <c r="J261" s="9">
        <f t="shared" si="6"/>
        <v>53.48620004</v>
      </c>
      <c r="K261" s="9">
        <f t="shared" si="6"/>
        <v>401.93200071999991</v>
      </c>
      <c r="L261" s="9">
        <f t="shared" si="7"/>
        <v>1851.3491985749997</v>
      </c>
      <c r="M261" s="9">
        <f t="shared" si="7"/>
        <v>38.3835999</v>
      </c>
      <c r="N261" s="9">
        <f t="shared" si="7"/>
        <v>55.182899979999981</v>
      </c>
      <c r="O261" s="9">
        <f t="shared" si="7"/>
        <v>58.199999885000018</v>
      </c>
      <c r="P261" s="9">
        <f t="shared" si="7"/>
        <v>402.71600051000019</v>
      </c>
    </row>
    <row r="262" spans="1:16" x14ac:dyDescent="0.35">
      <c r="A262" s="2">
        <f>Prices!A260</f>
        <v>44265</v>
      </c>
      <c r="B262" s="1">
        <f>Prices!B260</f>
        <v>1891.8199460000001</v>
      </c>
      <c r="C262" s="1">
        <f>Prices!C260</f>
        <v>31.67</v>
      </c>
      <c r="D262" s="1">
        <f>Prices!D260</f>
        <v>45.799999</v>
      </c>
      <c r="E262" s="1">
        <f>Prices!E260</f>
        <v>36.959999000000003</v>
      </c>
      <c r="F262" s="1">
        <f>Prices!F260</f>
        <v>308</v>
      </c>
      <c r="G262" s="9">
        <f t="shared" si="6"/>
        <v>1954.4823975000002</v>
      </c>
      <c r="H262" s="9">
        <f t="shared" si="6"/>
        <v>36.81239965999999</v>
      </c>
      <c r="I262" s="9">
        <f t="shared" si="6"/>
        <v>55.031799800000002</v>
      </c>
      <c r="J262" s="9">
        <f t="shared" si="6"/>
        <v>53.005800019999995</v>
      </c>
      <c r="K262" s="9">
        <f t="shared" si="6"/>
        <v>400.34000059999994</v>
      </c>
      <c r="L262" s="9">
        <f t="shared" si="7"/>
        <v>1851.0538482299994</v>
      </c>
      <c r="M262" s="9">
        <f t="shared" si="7"/>
        <v>38.327349900000002</v>
      </c>
      <c r="N262" s="9">
        <f t="shared" si="7"/>
        <v>55.094699979999987</v>
      </c>
      <c r="O262" s="9">
        <f t="shared" si="7"/>
        <v>58.054799880000019</v>
      </c>
      <c r="P262" s="9">
        <f t="shared" si="7"/>
        <v>402.40950057000015</v>
      </c>
    </row>
    <row r="263" spans="1:16" x14ac:dyDescent="0.35">
      <c r="A263" s="2">
        <f>Prices!A261</f>
        <v>44266</v>
      </c>
      <c r="B263" s="1">
        <f>Prices!B261</f>
        <v>1820.8599850000001</v>
      </c>
      <c r="C263" s="1">
        <f>Prices!C261</f>
        <v>30.91</v>
      </c>
      <c r="D263" s="1">
        <f>Prices!D261</f>
        <v>42.709999000000003</v>
      </c>
      <c r="E263" s="1">
        <f>Prices!E261</f>
        <v>34.490001999999997</v>
      </c>
      <c r="F263" s="1">
        <f>Prices!F261</f>
        <v>316.10000600000001</v>
      </c>
      <c r="G263" s="9">
        <f t="shared" si="6"/>
        <v>1954.9433960199999</v>
      </c>
      <c r="H263" s="9">
        <f t="shared" si="6"/>
        <v>36.66739969999999</v>
      </c>
      <c r="I263" s="9">
        <f t="shared" si="6"/>
        <v>54.757999739999995</v>
      </c>
      <c r="J263" s="9">
        <f t="shared" si="6"/>
        <v>52.56760002</v>
      </c>
      <c r="K263" s="9">
        <f t="shared" si="6"/>
        <v>398.05600035999998</v>
      </c>
      <c r="L263" s="9">
        <f t="shared" si="7"/>
        <v>1851.4355480599995</v>
      </c>
      <c r="M263" s="9">
        <f t="shared" si="7"/>
        <v>38.276649894999998</v>
      </c>
      <c r="N263" s="9">
        <f t="shared" si="7"/>
        <v>55.029849974999991</v>
      </c>
      <c r="O263" s="9">
        <f t="shared" si="7"/>
        <v>57.927299880000021</v>
      </c>
      <c r="P263" s="9">
        <f t="shared" si="7"/>
        <v>401.90850051000018</v>
      </c>
    </row>
    <row r="264" spans="1:16" x14ac:dyDescent="0.35">
      <c r="A264" s="2">
        <f>Prices!A262</f>
        <v>44267</v>
      </c>
      <c r="B264" s="1">
        <f>Prices!B262</f>
        <v>1676.6099850000001</v>
      </c>
      <c r="C264" s="1">
        <f>Prices!C262</f>
        <v>28.549999</v>
      </c>
      <c r="D264" s="1">
        <f>Prices!D262</f>
        <v>38.860000999999997</v>
      </c>
      <c r="E264" s="1">
        <f>Prices!E262</f>
        <v>29.33</v>
      </c>
      <c r="F264" s="1">
        <f>Prices!F262</f>
        <v>311</v>
      </c>
      <c r="G264" s="9">
        <f t="shared" ref="G264:K279" si="8">AVERAGE(B214:B263)</f>
        <v>1953.9645947399999</v>
      </c>
      <c r="H264" s="9">
        <f t="shared" si="8"/>
        <v>36.505599699999991</v>
      </c>
      <c r="I264" s="9">
        <f t="shared" si="8"/>
        <v>54.425199759999984</v>
      </c>
      <c r="J264" s="9">
        <f t="shared" si="8"/>
        <v>52.075600059999999</v>
      </c>
      <c r="K264" s="9">
        <f t="shared" si="8"/>
        <v>395.97400024000001</v>
      </c>
      <c r="L264" s="9">
        <f t="shared" ref="L264:P279" si="9">AVERAGE(B64:B263)</f>
        <v>1851.4234478399992</v>
      </c>
      <c r="M264" s="9">
        <f t="shared" si="9"/>
        <v>38.221199894999998</v>
      </c>
      <c r="N264" s="9">
        <f t="shared" si="9"/>
        <v>54.94484997499999</v>
      </c>
      <c r="O264" s="9">
        <f t="shared" si="9"/>
        <v>57.783249895000026</v>
      </c>
      <c r="P264" s="9">
        <f t="shared" si="9"/>
        <v>401.47700057000009</v>
      </c>
    </row>
    <row r="265" spans="1:16" x14ac:dyDescent="0.35">
      <c r="A265" s="2">
        <f>Prices!A263</f>
        <v>44268</v>
      </c>
      <c r="B265" s="1">
        <f>Prices!B263</f>
        <v>1785</v>
      </c>
      <c r="C265" s="1">
        <f>Prices!C263</f>
        <v>29.9</v>
      </c>
      <c r="D265" s="1">
        <f>Prices!D263</f>
        <v>43.900002000000001</v>
      </c>
      <c r="E265" s="1">
        <f>Prices!E263</f>
        <v>30.08</v>
      </c>
      <c r="F265" s="1">
        <f>Prices!F263</f>
        <v>272</v>
      </c>
      <c r="G265" s="9">
        <f t="shared" si="8"/>
        <v>1950.5589941400001</v>
      </c>
      <c r="H265" s="9">
        <f t="shared" si="8"/>
        <v>36.296999679999992</v>
      </c>
      <c r="I265" s="9">
        <f t="shared" si="8"/>
        <v>54.018999819999991</v>
      </c>
      <c r="J265" s="9">
        <f t="shared" si="8"/>
        <v>51.48860006000001</v>
      </c>
      <c r="K265" s="9">
        <f t="shared" si="8"/>
        <v>393.82</v>
      </c>
      <c r="L265" s="9">
        <f t="shared" si="9"/>
        <v>1850.6243474949993</v>
      </c>
      <c r="M265" s="9">
        <f t="shared" si="9"/>
        <v>38.156149884999998</v>
      </c>
      <c r="N265" s="9">
        <f t="shared" si="9"/>
        <v>54.835999974999986</v>
      </c>
      <c r="O265" s="9">
        <f t="shared" si="9"/>
        <v>57.617099890000027</v>
      </c>
      <c r="P265" s="9">
        <f t="shared" si="9"/>
        <v>400.99100051000016</v>
      </c>
    </row>
    <row r="266" spans="1:16" x14ac:dyDescent="0.35">
      <c r="A266" s="2">
        <f>Prices!A264</f>
        <v>44271</v>
      </c>
      <c r="B266" s="1">
        <f>Prices!B264</f>
        <v>1689.150024</v>
      </c>
      <c r="C266" s="1">
        <f>Prices!C264</f>
        <v>28.139999</v>
      </c>
      <c r="D266" s="1">
        <f>Prices!D264</f>
        <v>40.259998000000003</v>
      </c>
      <c r="E266" s="1">
        <f>Prices!E264</f>
        <v>25.32</v>
      </c>
      <c r="F266" s="1">
        <f>Prices!F264</f>
        <v>271.60000600000001</v>
      </c>
      <c r="G266" s="9">
        <f t="shared" si="8"/>
        <v>1949.3021948200001</v>
      </c>
      <c r="H266" s="9">
        <f t="shared" si="8"/>
        <v>36.113199680000001</v>
      </c>
      <c r="I266" s="9">
        <f t="shared" si="8"/>
        <v>53.709799839999988</v>
      </c>
      <c r="J266" s="9">
        <f t="shared" si="8"/>
        <v>50.910600060000007</v>
      </c>
      <c r="K266" s="9">
        <f t="shared" si="8"/>
        <v>390.78799987999997</v>
      </c>
      <c r="L266" s="9">
        <f t="shared" si="9"/>
        <v>1850.4533977899991</v>
      </c>
      <c r="M266" s="9">
        <f t="shared" si="9"/>
        <v>38.097849879999998</v>
      </c>
      <c r="N266" s="9">
        <f t="shared" si="9"/>
        <v>54.758549989999985</v>
      </c>
      <c r="O266" s="9">
        <f t="shared" si="9"/>
        <v>57.45569988500003</v>
      </c>
      <c r="P266" s="9">
        <f t="shared" si="9"/>
        <v>400.32800048000007</v>
      </c>
    </row>
    <row r="267" spans="1:16" x14ac:dyDescent="0.35">
      <c r="A267" s="2">
        <f>Prices!A265</f>
        <v>44272</v>
      </c>
      <c r="B267" s="1">
        <f>Prices!B265</f>
        <v>1807.839966</v>
      </c>
      <c r="C267" s="1">
        <f>Prices!C265</f>
        <v>29.700001</v>
      </c>
      <c r="D267" s="1">
        <f>Prices!D265</f>
        <v>41.790000999999997</v>
      </c>
      <c r="E267" s="1">
        <f>Prices!E265</f>
        <v>25.66</v>
      </c>
      <c r="F267" s="1">
        <f>Prices!F265</f>
        <v>251.10000600000001</v>
      </c>
      <c r="G267" s="9">
        <f t="shared" si="8"/>
        <v>1945.1249951000004</v>
      </c>
      <c r="H267" s="9">
        <f t="shared" si="8"/>
        <v>35.888599679999999</v>
      </c>
      <c r="I267" s="9">
        <f t="shared" si="8"/>
        <v>53.317199819999985</v>
      </c>
      <c r="J267" s="9">
        <f t="shared" si="8"/>
        <v>50.22220002000001</v>
      </c>
      <c r="K267" s="9">
        <f t="shared" si="8"/>
        <v>387.83200012000003</v>
      </c>
      <c r="L267" s="9">
        <f t="shared" si="9"/>
        <v>1849.8175481799988</v>
      </c>
      <c r="M267" s="9">
        <f t="shared" si="9"/>
        <v>38.032099869999996</v>
      </c>
      <c r="N267" s="9">
        <f t="shared" si="9"/>
        <v>54.66519997999999</v>
      </c>
      <c r="O267" s="9">
        <f t="shared" si="9"/>
        <v>57.270899890000031</v>
      </c>
      <c r="P267" s="9">
        <f t="shared" si="9"/>
        <v>399.67050048000004</v>
      </c>
    </row>
    <row r="268" spans="1:16" x14ac:dyDescent="0.35">
      <c r="A268" s="2">
        <f>Prices!A266</f>
        <v>44273</v>
      </c>
      <c r="B268" s="1">
        <f>Prices!B266</f>
        <v>1830</v>
      </c>
      <c r="C268" s="1">
        <f>Prices!C266</f>
        <v>28.6</v>
      </c>
      <c r="D268" s="1">
        <f>Prices!D266</f>
        <v>38.029998999999997</v>
      </c>
      <c r="E268" s="1">
        <f>Prices!E266</f>
        <v>21.620000999999998</v>
      </c>
      <c r="F268" s="1">
        <f>Prices!F266</f>
        <v>247.39999399999999</v>
      </c>
      <c r="G268" s="9">
        <f t="shared" si="8"/>
        <v>1943.7823950000006</v>
      </c>
      <c r="H268" s="9">
        <f t="shared" si="8"/>
        <v>35.70739974</v>
      </c>
      <c r="I268" s="9">
        <f t="shared" si="8"/>
        <v>52.976199839999992</v>
      </c>
      <c r="J268" s="9">
        <f t="shared" si="8"/>
        <v>49.531200040000002</v>
      </c>
      <c r="K268" s="9">
        <f t="shared" si="8"/>
        <v>384.57400024000003</v>
      </c>
      <c r="L268" s="9">
        <f t="shared" si="9"/>
        <v>1849.9813982799988</v>
      </c>
      <c r="M268" s="9">
        <f t="shared" si="9"/>
        <v>37.976749875000003</v>
      </c>
      <c r="N268" s="9">
        <f t="shared" si="9"/>
        <v>54.584499984999987</v>
      </c>
      <c r="O268" s="9">
        <f t="shared" si="9"/>
        <v>57.090149885000031</v>
      </c>
      <c r="P268" s="9">
        <f t="shared" si="9"/>
        <v>398.83700057000004</v>
      </c>
    </row>
    <row r="269" spans="1:16" x14ac:dyDescent="0.35">
      <c r="A269" s="2">
        <f>Prices!A267</f>
        <v>44274</v>
      </c>
      <c r="B269" s="1">
        <f>Prices!B267</f>
        <v>1880.9300539999999</v>
      </c>
      <c r="C269" s="1">
        <f>Prices!C267</f>
        <v>29.08</v>
      </c>
      <c r="D269" s="1">
        <f>Prices!D267</f>
        <v>37.959999000000003</v>
      </c>
      <c r="E269" s="1">
        <f>Prices!E267</f>
        <v>24.040001</v>
      </c>
      <c r="F269" s="1">
        <f>Prices!F267</f>
        <v>235.300003</v>
      </c>
      <c r="G269" s="9">
        <f t="shared" si="8"/>
        <v>1942.3247949000004</v>
      </c>
      <c r="H269" s="9">
        <f t="shared" si="8"/>
        <v>35.506799719999997</v>
      </c>
      <c r="I269" s="9">
        <f t="shared" si="8"/>
        <v>52.567799799999982</v>
      </c>
      <c r="J269" s="9">
        <f t="shared" si="8"/>
        <v>48.744400079999998</v>
      </c>
      <c r="K269" s="9">
        <f t="shared" si="8"/>
        <v>381.17400023999994</v>
      </c>
      <c r="L269" s="9">
        <f t="shared" si="9"/>
        <v>1850.6679485749985</v>
      </c>
      <c r="M269" s="9">
        <f t="shared" si="9"/>
        <v>37.915549875000004</v>
      </c>
      <c r="N269" s="9">
        <f t="shared" si="9"/>
        <v>54.480849989999989</v>
      </c>
      <c r="O269" s="9">
        <f t="shared" si="9"/>
        <v>56.88634988500003</v>
      </c>
      <c r="P269" s="9">
        <f t="shared" si="9"/>
        <v>398.02100051000002</v>
      </c>
    </row>
    <row r="270" spans="1:16" x14ac:dyDescent="0.35">
      <c r="A270" s="2">
        <f>Prices!A268</f>
        <v>44275</v>
      </c>
      <c r="B270" s="1">
        <f>Prices!B268</f>
        <v>1846.089966</v>
      </c>
      <c r="C270" s="1">
        <f>Prices!C268</f>
        <v>28.809999000000001</v>
      </c>
      <c r="D270" s="1">
        <f>Prices!D268</f>
        <v>36.57</v>
      </c>
      <c r="E270" s="1">
        <f>Prices!E268</f>
        <v>25.08</v>
      </c>
      <c r="F270" s="1">
        <f>Prices!F268</f>
        <v>218.800003</v>
      </c>
      <c r="G270" s="9">
        <f t="shared" si="8"/>
        <v>1941.8061962800004</v>
      </c>
      <c r="H270" s="9">
        <f t="shared" si="8"/>
        <v>35.321599719999995</v>
      </c>
      <c r="I270" s="9">
        <f t="shared" si="8"/>
        <v>52.159199799999989</v>
      </c>
      <c r="J270" s="9">
        <f t="shared" si="8"/>
        <v>48.017200059999993</v>
      </c>
      <c r="K270" s="9">
        <f t="shared" si="8"/>
        <v>377.55800018000002</v>
      </c>
      <c r="L270" s="9">
        <f t="shared" si="9"/>
        <v>1851.4247985499987</v>
      </c>
      <c r="M270" s="9">
        <f t="shared" si="9"/>
        <v>37.854999880000001</v>
      </c>
      <c r="N270" s="9">
        <f t="shared" si="9"/>
        <v>54.374399984999989</v>
      </c>
      <c r="O270" s="9">
        <f t="shared" si="9"/>
        <v>56.694149890000027</v>
      </c>
      <c r="P270" s="9">
        <f t="shared" si="9"/>
        <v>397.129500495</v>
      </c>
    </row>
    <row r="271" spans="1:16" x14ac:dyDescent="0.35">
      <c r="A271" s="2">
        <f>Prices!A269</f>
        <v>44278</v>
      </c>
      <c r="B271" s="1">
        <f>Prices!B269</f>
        <v>1902.829956</v>
      </c>
      <c r="C271" s="1">
        <f>Prices!C269</f>
        <v>28.129999000000002</v>
      </c>
      <c r="D271" s="1">
        <f>Prices!D269</f>
        <v>36.419998</v>
      </c>
      <c r="E271" s="1">
        <f>Prices!E269</f>
        <v>26.83</v>
      </c>
      <c r="F271" s="1">
        <f>Prices!F269</f>
        <v>231.60000600000001</v>
      </c>
      <c r="G271" s="9">
        <f t="shared" si="8"/>
        <v>1940.8885961800004</v>
      </c>
      <c r="H271" s="9">
        <f t="shared" si="8"/>
        <v>35.132799699999993</v>
      </c>
      <c r="I271" s="9">
        <f t="shared" si="8"/>
        <v>51.712599759999996</v>
      </c>
      <c r="J271" s="9">
        <f t="shared" si="8"/>
        <v>47.325000079999988</v>
      </c>
      <c r="K271" s="9">
        <f t="shared" si="8"/>
        <v>373.58</v>
      </c>
      <c r="L271" s="9">
        <f t="shared" si="9"/>
        <v>1851.9627483799986</v>
      </c>
      <c r="M271" s="9">
        <f t="shared" si="9"/>
        <v>37.793349880000001</v>
      </c>
      <c r="N271" s="9">
        <f t="shared" si="9"/>
        <v>54.267049979999996</v>
      </c>
      <c r="O271" s="9">
        <f t="shared" si="9"/>
        <v>56.505749900000019</v>
      </c>
      <c r="P271" s="9">
        <f t="shared" si="9"/>
        <v>396.13850051000009</v>
      </c>
    </row>
    <row r="272" spans="1:16" x14ac:dyDescent="0.35">
      <c r="A272" s="2">
        <f>Prices!A270</f>
        <v>44279</v>
      </c>
      <c r="B272" s="1">
        <f>Prices!B270</f>
        <v>1940.099976</v>
      </c>
      <c r="C272" s="1">
        <f>Prices!C270</f>
        <v>29.59</v>
      </c>
      <c r="D272" s="1">
        <f>Prices!D270</f>
        <v>42.169998</v>
      </c>
      <c r="E272" s="1">
        <f>Prices!E270</f>
        <v>32.110000999999997</v>
      </c>
      <c r="F272" s="1">
        <f>Prices!F270</f>
        <v>211</v>
      </c>
      <c r="G272" s="9">
        <f t="shared" si="8"/>
        <v>1940.9241943200004</v>
      </c>
      <c r="H272" s="9">
        <f t="shared" si="8"/>
        <v>34.925399679999998</v>
      </c>
      <c r="I272" s="9">
        <f t="shared" si="8"/>
        <v>51.275199699999995</v>
      </c>
      <c r="J272" s="9">
        <f t="shared" si="8"/>
        <v>46.668000079999992</v>
      </c>
      <c r="K272" s="9">
        <f t="shared" si="8"/>
        <v>369.95600036000002</v>
      </c>
      <c r="L272" s="9">
        <f t="shared" si="9"/>
        <v>1852.7050982349986</v>
      </c>
      <c r="M272" s="9">
        <f t="shared" si="9"/>
        <v>37.728099874999998</v>
      </c>
      <c r="N272" s="9">
        <f t="shared" si="9"/>
        <v>54.159199959999988</v>
      </c>
      <c r="O272" s="9">
        <f t="shared" si="9"/>
        <v>56.321799905000027</v>
      </c>
      <c r="P272" s="9">
        <f t="shared" si="9"/>
        <v>395.20700056999999</v>
      </c>
    </row>
    <row r="273" spans="1:16" x14ac:dyDescent="0.35">
      <c r="A273" s="2">
        <f>Prices!A271</f>
        <v>44280</v>
      </c>
      <c r="B273" s="1">
        <f>Prices!B271</f>
        <v>1885.839966</v>
      </c>
      <c r="C273" s="1">
        <f>Prices!C271</f>
        <v>29.700001</v>
      </c>
      <c r="D273" s="1">
        <f>Prices!D271</f>
        <v>44.18</v>
      </c>
      <c r="E273" s="1">
        <f>Prices!E271</f>
        <v>34.340000000000003</v>
      </c>
      <c r="F273" s="1">
        <f>Prices!F271</f>
        <v>242.60000600000001</v>
      </c>
      <c r="G273" s="9">
        <f t="shared" si="8"/>
        <v>1942.0629931600006</v>
      </c>
      <c r="H273" s="9">
        <f t="shared" si="8"/>
        <v>34.7543997</v>
      </c>
      <c r="I273" s="9">
        <f t="shared" si="8"/>
        <v>50.949599639999988</v>
      </c>
      <c r="J273" s="9">
        <f t="shared" si="8"/>
        <v>46.130000139999986</v>
      </c>
      <c r="K273" s="9">
        <f t="shared" si="8"/>
        <v>365.94400024000004</v>
      </c>
      <c r="L273" s="9">
        <f t="shared" si="9"/>
        <v>1853.3854479699987</v>
      </c>
      <c r="M273" s="9">
        <f t="shared" si="9"/>
        <v>37.668749879999993</v>
      </c>
      <c r="N273" s="9">
        <f t="shared" si="9"/>
        <v>54.079499944999995</v>
      </c>
      <c r="O273" s="9">
        <f t="shared" si="9"/>
        <v>56.159949895000025</v>
      </c>
      <c r="P273" s="9">
        <f t="shared" si="9"/>
        <v>394.16950057000003</v>
      </c>
    </row>
    <row r="274" spans="1:16" x14ac:dyDescent="0.35">
      <c r="A274" s="2">
        <f>Prices!A272</f>
        <v>44281</v>
      </c>
      <c r="B274" s="1">
        <f>Prices!B272</f>
        <v>1955.48999</v>
      </c>
      <c r="C274" s="1">
        <f>Prices!C272</f>
        <v>30.129999000000002</v>
      </c>
      <c r="D274" s="1">
        <f>Prices!D272</f>
        <v>45.400002000000001</v>
      </c>
      <c r="E274" s="1">
        <f>Prices!E272</f>
        <v>34.93</v>
      </c>
      <c r="F274" s="1">
        <f>Prices!F272</f>
        <v>258.70001200000002</v>
      </c>
      <c r="G274" s="9">
        <f t="shared" si="8"/>
        <v>1941.9537915000003</v>
      </c>
      <c r="H274" s="9">
        <f t="shared" si="8"/>
        <v>34.577999720000001</v>
      </c>
      <c r="I274" s="9">
        <f t="shared" si="8"/>
        <v>50.650599619999994</v>
      </c>
      <c r="J274" s="9">
        <f t="shared" si="8"/>
        <v>45.637600159999991</v>
      </c>
      <c r="K274" s="9">
        <f t="shared" si="8"/>
        <v>362.57600036000002</v>
      </c>
      <c r="L274" s="9">
        <f t="shared" si="9"/>
        <v>1853.5114977749988</v>
      </c>
      <c r="M274" s="9">
        <f t="shared" si="9"/>
        <v>37.609049890000001</v>
      </c>
      <c r="N274" s="9">
        <f t="shared" si="9"/>
        <v>54.007049954999999</v>
      </c>
      <c r="O274" s="9">
        <f t="shared" si="9"/>
        <v>56.010249900000026</v>
      </c>
      <c r="P274" s="9">
        <f t="shared" si="9"/>
        <v>393.30500059999991</v>
      </c>
    </row>
    <row r="275" spans="1:16" x14ac:dyDescent="0.35">
      <c r="A275" s="2">
        <f>Prices!A273</f>
        <v>44282</v>
      </c>
      <c r="B275" s="1">
        <f>Prices!B273</f>
        <v>1900.099976</v>
      </c>
      <c r="C275" s="1">
        <f>Prices!C273</f>
        <v>28.870000999999998</v>
      </c>
      <c r="D275" s="1">
        <f>Prices!D273</f>
        <v>43.57</v>
      </c>
      <c r="E275" s="1">
        <f>Prices!E273</f>
        <v>31.639999</v>
      </c>
      <c r="F275" s="1">
        <f>Prices!F273</f>
        <v>277</v>
      </c>
      <c r="G275" s="9">
        <f t="shared" si="8"/>
        <v>1943.6747924800002</v>
      </c>
      <c r="H275" s="9">
        <f t="shared" si="8"/>
        <v>34.412999679999999</v>
      </c>
      <c r="I275" s="9">
        <f t="shared" si="8"/>
        <v>50.373999659999988</v>
      </c>
      <c r="J275" s="9">
        <f t="shared" si="8"/>
        <v>45.157800199999983</v>
      </c>
      <c r="K275" s="9">
        <f t="shared" si="8"/>
        <v>359.58000060000006</v>
      </c>
      <c r="L275" s="9">
        <f t="shared" si="9"/>
        <v>1853.9704479699985</v>
      </c>
      <c r="M275" s="9">
        <f t="shared" si="9"/>
        <v>37.550949885000001</v>
      </c>
      <c r="N275" s="9">
        <f t="shared" si="9"/>
        <v>53.932699965000005</v>
      </c>
      <c r="O275" s="9">
        <f t="shared" si="9"/>
        <v>55.862349890000033</v>
      </c>
      <c r="P275" s="9">
        <f t="shared" si="9"/>
        <v>392.53450071999993</v>
      </c>
    </row>
    <row r="276" spans="1:16" x14ac:dyDescent="0.35">
      <c r="A276" s="2">
        <f>Prices!A274</f>
        <v>44285</v>
      </c>
      <c r="B276" s="1">
        <f>Prices!B274</f>
        <v>1963.9499510000001</v>
      </c>
      <c r="C276" s="1">
        <f>Prices!C274</f>
        <v>28.860001</v>
      </c>
      <c r="D276" s="1">
        <f>Prices!D274</f>
        <v>44.91</v>
      </c>
      <c r="E276" s="1">
        <f>Prices!E274</f>
        <v>33.439999</v>
      </c>
      <c r="F276" s="1">
        <f>Prices!F274</f>
        <v>268.5</v>
      </c>
      <c r="G276" s="9">
        <f t="shared" si="8"/>
        <v>1944.4363916000002</v>
      </c>
      <c r="H276" s="9">
        <f t="shared" si="8"/>
        <v>34.223399739999998</v>
      </c>
      <c r="I276" s="9">
        <f t="shared" si="8"/>
        <v>50.065599619999986</v>
      </c>
      <c r="J276" s="9">
        <f t="shared" si="8"/>
        <v>44.614200179999997</v>
      </c>
      <c r="K276" s="9">
        <f t="shared" si="8"/>
        <v>356.98200072000009</v>
      </c>
      <c r="L276" s="9">
        <f t="shared" si="9"/>
        <v>1854.1943481199987</v>
      </c>
      <c r="M276" s="9">
        <f t="shared" si="9"/>
        <v>37.489199885000005</v>
      </c>
      <c r="N276" s="9">
        <f t="shared" si="9"/>
        <v>53.849099960000004</v>
      </c>
      <c r="O276" s="9">
        <f t="shared" si="9"/>
        <v>55.703099875000028</v>
      </c>
      <c r="P276" s="9">
        <f t="shared" si="9"/>
        <v>391.87650068999989</v>
      </c>
    </row>
    <row r="277" spans="1:16" x14ac:dyDescent="0.35">
      <c r="A277" s="2">
        <f>Prices!A275</f>
        <v>44286</v>
      </c>
      <c r="B277" s="1">
        <f>Prices!B275</f>
        <v>1949.719971</v>
      </c>
      <c r="C277" s="1">
        <f>Prices!C275</f>
        <v>28.01</v>
      </c>
      <c r="D277" s="1">
        <f>Prices!D275</f>
        <v>45.560001</v>
      </c>
      <c r="E277" s="1">
        <f>Prices!E275</f>
        <v>34.889999000000003</v>
      </c>
      <c r="F277" s="1">
        <f>Prices!F275</f>
        <v>267.79998799999998</v>
      </c>
      <c r="G277" s="9">
        <f t="shared" si="8"/>
        <v>1946.1565918000001</v>
      </c>
      <c r="H277" s="9">
        <f t="shared" si="8"/>
        <v>34.028199780000001</v>
      </c>
      <c r="I277" s="9">
        <f t="shared" si="8"/>
        <v>49.780799579999993</v>
      </c>
      <c r="J277" s="9">
        <f t="shared" si="8"/>
        <v>44.10760015999999</v>
      </c>
      <c r="K277" s="9">
        <f t="shared" si="8"/>
        <v>354.19800048000002</v>
      </c>
      <c r="L277" s="9">
        <f t="shared" si="9"/>
        <v>1854.6625976299986</v>
      </c>
      <c r="M277" s="9">
        <f t="shared" si="9"/>
        <v>37.428249895</v>
      </c>
      <c r="N277" s="9">
        <f t="shared" si="9"/>
        <v>53.765799960000002</v>
      </c>
      <c r="O277" s="9">
        <f t="shared" si="9"/>
        <v>55.551549870000038</v>
      </c>
      <c r="P277" s="9">
        <f t="shared" si="9"/>
        <v>391.17050062999988</v>
      </c>
    </row>
    <row r="278" spans="1:16" x14ac:dyDescent="0.35">
      <c r="A278" s="2">
        <f>Prices!A276</f>
        <v>44287</v>
      </c>
      <c r="B278" s="1">
        <f>Prices!B276</f>
        <v>1907.6999510000001</v>
      </c>
      <c r="C278" s="1">
        <f>Prices!C276</f>
        <v>25.139999</v>
      </c>
      <c r="D278" s="1">
        <f>Prices!D276</f>
        <v>44.169998</v>
      </c>
      <c r="E278" s="1">
        <f>Prices!E276</f>
        <v>35.310001</v>
      </c>
      <c r="F278" s="1">
        <f>Prices!F276</f>
        <v>268.5</v>
      </c>
      <c r="G278" s="9">
        <f t="shared" si="8"/>
        <v>1947.8565918000004</v>
      </c>
      <c r="H278" s="9">
        <f t="shared" si="8"/>
        <v>33.812999779999998</v>
      </c>
      <c r="I278" s="9">
        <f t="shared" si="8"/>
        <v>49.478599639999992</v>
      </c>
      <c r="J278" s="9">
        <f t="shared" si="8"/>
        <v>43.634600119999995</v>
      </c>
      <c r="K278" s="9">
        <f t="shared" si="8"/>
        <v>351.37800048000003</v>
      </c>
      <c r="L278" s="9">
        <f t="shared" si="9"/>
        <v>1855.0628472649987</v>
      </c>
      <c r="M278" s="9">
        <f t="shared" si="9"/>
        <v>37.364499905000002</v>
      </c>
      <c r="N278" s="9">
        <f t="shared" si="9"/>
        <v>53.689749965000004</v>
      </c>
      <c r="O278" s="9">
        <f t="shared" si="9"/>
        <v>55.408849865000036</v>
      </c>
      <c r="P278" s="9">
        <f t="shared" si="9"/>
        <v>390.44450056999989</v>
      </c>
    </row>
    <row r="279" spans="1:16" x14ac:dyDescent="0.35">
      <c r="A279" s="2">
        <f>Prices!A277</f>
        <v>44288</v>
      </c>
      <c r="B279" s="1">
        <f>Prices!B277</f>
        <v>1918.829956</v>
      </c>
      <c r="C279" s="1">
        <f>Prices!C277</f>
        <v>24.530000999999999</v>
      </c>
      <c r="D279" s="1">
        <f>Prices!D277</f>
        <v>46.009998000000003</v>
      </c>
      <c r="E279" s="1">
        <f>Prices!E277</f>
        <v>38.959999000000003</v>
      </c>
      <c r="F279" s="1">
        <f>Prices!F277</f>
        <v>241.5</v>
      </c>
      <c r="G279" s="9">
        <f t="shared" si="8"/>
        <v>1948.1705908200001</v>
      </c>
      <c r="H279" s="9">
        <f t="shared" si="8"/>
        <v>33.55719976000001</v>
      </c>
      <c r="I279" s="9">
        <f t="shared" si="8"/>
        <v>49.16299957999999</v>
      </c>
      <c r="J279" s="9">
        <f t="shared" si="8"/>
        <v>43.19160016</v>
      </c>
      <c r="K279" s="9">
        <f t="shared" si="8"/>
        <v>348.56000060000008</v>
      </c>
      <c r="L279" s="9">
        <f t="shared" si="9"/>
        <v>1855.1711968749989</v>
      </c>
      <c r="M279" s="9">
        <f t="shared" si="9"/>
        <v>37.286999904999995</v>
      </c>
      <c r="N279" s="9">
        <f t="shared" si="9"/>
        <v>53.607299955000002</v>
      </c>
      <c r="O279" s="9">
        <f t="shared" si="9"/>
        <v>55.270799880000034</v>
      </c>
      <c r="P279" s="9">
        <f t="shared" si="9"/>
        <v>389.7055006299999</v>
      </c>
    </row>
    <row r="280" spans="1:16" x14ac:dyDescent="0.35">
      <c r="A280" s="2">
        <f>Prices!A278</f>
        <v>44289</v>
      </c>
      <c r="B280" s="1">
        <f>Prices!B278</f>
        <v>1906.589966</v>
      </c>
      <c r="C280" s="1">
        <f>Prices!C278</f>
        <v>24.33</v>
      </c>
      <c r="D280" s="1">
        <f>Prices!D278</f>
        <v>45.040000999999997</v>
      </c>
      <c r="E280" s="1">
        <f>Prices!E278</f>
        <v>36.240001999999997</v>
      </c>
      <c r="F280" s="1">
        <f>Prices!F278</f>
        <v>249.699997</v>
      </c>
      <c r="G280" s="9">
        <f t="shared" ref="G280:K295" si="10">AVERAGE(B230:B279)</f>
        <v>1948.7979907200001</v>
      </c>
      <c r="H280" s="9">
        <f t="shared" si="10"/>
        <v>33.286399780000004</v>
      </c>
      <c r="I280" s="9">
        <f t="shared" si="10"/>
        <v>48.873199539999987</v>
      </c>
      <c r="J280" s="9">
        <f t="shared" si="10"/>
        <v>42.822000159999995</v>
      </c>
      <c r="K280" s="9">
        <f t="shared" si="10"/>
        <v>345.18400084000007</v>
      </c>
      <c r="L280" s="9">
        <f t="shared" ref="L280:P295" si="11">AVERAGE(B80:B279)</f>
        <v>1855.2584966799986</v>
      </c>
      <c r="M280" s="9">
        <f t="shared" si="11"/>
        <v>37.203449899999995</v>
      </c>
      <c r="N280" s="9">
        <f t="shared" si="11"/>
        <v>53.526449945000003</v>
      </c>
      <c r="O280" s="9">
        <f t="shared" si="11"/>
        <v>55.145999885000037</v>
      </c>
      <c r="P280" s="9">
        <f t="shared" si="11"/>
        <v>388.82750059999984</v>
      </c>
    </row>
    <row r="281" spans="1:16" x14ac:dyDescent="0.35">
      <c r="A281" s="2">
        <f>Prices!A279</f>
        <v>44292</v>
      </c>
      <c r="B281" s="1">
        <f>Prices!B279</f>
        <v>1997.589966</v>
      </c>
      <c r="C281" s="1">
        <f>Prices!C279</f>
        <v>25.43</v>
      </c>
      <c r="D281" s="1">
        <f>Prices!D279</f>
        <v>46.34</v>
      </c>
      <c r="E281" s="1">
        <f>Prices!E279</f>
        <v>37.330002</v>
      </c>
      <c r="F281" s="1">
        <f>Prices!F279</f>
        <v>233.60000600000001</v>
      </c>
      <c r="G281" s="9">
        <f t="shared" si="10"/>
        <v>1949.2381909200003</v>
      </c>
      <c r="H281" s="9">
        <f t="shared" si="10"/>
        <v>33.018599760000008</v>
      </c>
      <c r="I281" s="9">
        <f t="shared" si="10"/>
        <v>48.595799559999996</v>
      </c>
      <c r="J281" s="9">
        <f t="shared" si="10"/>
        <v>42.39880016</v>
      </c>
      <c r="K281" s="9">
        <f t="shared" si="10"/>
        <v>342.04800078000005</v>
      </c>
      <c r="L281" s="9">
        <f t="shared" si="11"/>
        <v>1855.2474963149984</v>
      </c>
      <c r="M281" s="9">
        <f t="shared" si="11"/>
        <v>37.117999910000002</v>
      </c>
      <c r="N281" s="9">
        <f t="shared" si="11"/>
        <v>53.452149939999998</v>
      </c>
      <c r="O281" s="9">
        <f t="shared" si="11"/>
        <v>55.005299910000033</v>
      </c>
      <c r="P281" s="9">
        <f t="shared" si="11"/>
        <v>387.99100058499988</v>
      </c>
    </row>
    <row r="282" spans="1:16" x14ac:dyDescent="0.35">
      <c r="A282" s="2">
        <f>Prices!A280</f>
        <v>44293</v>
      </c>
      <c r="B282" s="1">
        <f>Prices!B280</f>
        <v>2011.599976</v>
      </c>
      <c r="C282" s="1">
        <f>Prices!C280</f>
        <v>25.6</v>
      </c>
      <c r="D282" s="1">
        <f>Prices!D280</f>
        <v>45.73</v>
      </c>
      <c r="E282" s="1">
        <f>Prices!E280</f>
        <v>37.259998000000003</v>
      </c>
      <c r="F282" s="1">
        <f>Prices!F280</f>
        <v>246</v>
      </c>
      <c r="G282" s="9">
        <f t="shared" si="10"/>
        <v>1951.9571899400003</v>
      </c>
      <c r="H282" s="9">
        <f t="shared" si="10"/>
        <v>32.776799760000003</v>
      </c>
      <c r="I282" s="9">
        <f t="shared" si="10"/>
        <v>48.367399599999999</v>
      </c>
      <c r="J282" s="9">
        <f t="shared" si="10"/>
        <v>42.002000240000001</v>
      </c>
      <c r="K282" s="9">
        <f t="shared" si="10"/>
        <v>338.48800078000005</v>
      </c>
      <c r="L282" s="9">
        <f t="shared" si="11"/>
        <v>1855.6444964399986</v>
      </c>
      <c r="M282" s="9">
        <f t="shared" si="11"/>
        <v>37.036899900000002</v>
      </c>
      <c r="N282" s="9">
        <f t="shared" si="11"/>
        <v>53.381849930000008</v>
      </c>
      <c r="O282" s="9">
        <f t="shared" si="11"/>
        <v>54.864349935000035</v>
      </c>
      <c r="P282" s="9">
        <f t="shared" si="11"/>
        <v>387.0915006149998</v>
      </c>
    </row>
    <row r="283" spans="1:16" x14ac:dyDescent="0.35">
      <c r="A283" s="2">
        <f>Prices!A281</f>
        <v>44294</v>
      </c>
      <c r="B283" s="1">
        <f>Prices!B281</f>
        <v>2043</v>
      </c>
      <c r="C283" s="1">
        <f>Prices!C281</f>
        <v>26.01</v>
      </c>
      <c r="D283" s="1">
        <f>Prices!D281</f>
        <v>46</v>
      </c>
      <c r="E283" s="1">
        <f>Prices!E281</f>
        <v>38.07</v>
      </c>
      <c r="F283" s="1">
        <f>Prices!F281</f>
        <v>266.70001200000002</v>
      </c>
      <c r="G283" s="9">
        <f t="shared" si="10"/>
        <v>1955.6223901400001</v>
      </c>
      <c r="H283" s="9">
        <f t="shared" si="10"/>
        <v>32.558599800000003</v>
      </c>
      <c r="I283" s="9">
        <f t="shared" si="10"/>
        <v>48.179999640000005</v>
      </c>
      <c r="J283" s="9">
        <f t="shared" si="10"/>
        <v>41.625400199999994</v>
      </c>
      <c r="K283" s="9">
        <f t="shared" si="10"/>
        <v>335.35400054000007</v>
      </c>
      <c r="L283" s="9">
        <f t="shared" si="11"/>
        <v>1856.1459960749985</v>
      </c>
      <c r="M283" s="9">
        <f t="shared" si="11"/>
        <v>36.959399910000002</v>
      </c>
      <c r="N283" s="9">
        <f t="shared" si="11"/>
        <v>53.309149930000011</v>
      </c>
      <c r="O283" s="9">
        <f t="shared" si="11"/>
        <v>54.722149940000037</v>
      </c>
      <c r="P283" s="9">
        <f t="shared" si="11"/>
        <v>386.25850058499981</v>
      </c>
    </row>
    <row r="284" spans="1:16" x14ac:dyDescent="0.35">
      <c r="A284" s="2">
        <f>Prices!A282</f>
        <v>44295</v>
      </c>
      <c r="B284" s="1">
        <f>Prices!B282</f>
        <v>2042.76001</v>
      </c>
      <c r="C284" s="1">
        <f>Prices!C282</f>
        <v>26.76</v>
      </c>
      <c r="D284" s="1">
        <f>Prices!D282</f>
        <v>47.66</v>
      </c>
      <c r="E284" s="1">
        <f>Prices!E282</f>
        <v>37.909999999999997</v>
      </c>
      <c r="F284" s="1">
        <f>Prices!F282</f>
        <v>253.60000600000001</v>
      </c>
      <c r="G284" s="9">
        <f t="shared" si="10"/>
        <v>1959.4173901400002</v>
      </c>
      <c r="H284" s="9">
        <f t="shared" si="10"/>
        <v>32.344199799999998</v>
      </c>
      <c r="I284" s="9">
        <f t="shared" si="10"/>
        <v>47.989799680000004</v>
      </c>
      <c r="J284" s="9">
        <f t="shared" si="10"/>
        <v>41.268400239999991</v>
      </c>
      <c r="K284" s="9">
        <f t="shared" si="10"/>
        <v>332.55200102000009</v>
      </c>
      <c r="L284" s="9">
        <f t="shared" si="11"/>
        <v>1856.7914959549985</v>
      </c>
      <c r="M284" s="9">
        <f t="shared" si="11"/>
        <v>36.884149905000001</v>
      </c>
      <c r="N284" s="9">
        <f t="shared" si="11"/>
        <v>53.234449935000015</v>
      </c>
      <c r="O284" s="9">
        <f t="shared" si="11"/>
        <v>54.583199935000039</v>
      </c>
      <c r="P284" s="9">
        <f t="shared" si="11"/>
        <v>385.5210005849998</v>
      </c>
    </row>
    <row r="285" spans="1:16" x14ac:dyDescent="0.35">
      <c r="A285" s="2">
        <f>Prices!A283</f>
        <v>44299</v>
      </c>
      <c r="B285" s="1">
        <f>Prices!B283</f>
        <v>2168.8701169999999</v>
      </c>
      <c r="C285" s="1">
        <f>Prices!C283</f>
        <v>26.440000999999999</v>
      </c>
      <c r="D285" s="1">
        <f>Prices!D283</f>
        <v>47.869999</v>
      </c>
      <c r="E285" s="1">
        <f>Prices!E283</f>
        <v>37.369999</v>
      </c>
      <c r="F285" s="1">
        <f>Prices!F283</f>
        <v>264.60000600000001</v>
      </c>
      <c r="G285" s="9">
        <f t="shared" si="10"/>
        <v>1963.1125903400002</v>
      </c>
      <c r="H285" s="9">
        <f t="shared" si="10"/>
        <v>32.145399779999998</v>
      </c>
      <c r="I285" s="9">
        <f t="shared" si="10"/>
        <v>47.837999680000003</v>
      </c>
      <c r="J285" s="9">
        <f t="shared" si="10"/>
        <v>40.91200023999999</v>
      </c>
      <c r="K285" s="9">
        <f t="shared" si="10"/>
        <v>329.47600126000003</v>
      </c>
      <c r="L285" s="9">
        <f t="shared" si="11"/>
        <v>1857.6139459049987</v>
      </c>
      <c r="M285" s="9">
        <f t="shared" si="11"/>
        <v>36.813049905</v>
      </c>
      <c r="N285" s="9">
        <f t="shared" si="11"/>
        <v>53.167799925000011</v>
      </c>
      <c r="O285" s="9">
        <f t="shared" si="11"/>
        <v>54.443949925000041</v>
      </c>
      <c r="P285" s="9">
        <f t="shared" si="11"/>
        <v>384.72350058499978</v>
      </c>
    </row>
    <row r="286" spans="1:16" x14ac:dyDescent="0.35">
      <c r="A286" s="2">
        <f>Prices!A284</f>
        <v>44300</v>
      </c>
      <c r="B286" s="1">
        <f>Prices!B284</f>
        <v>2283.320068</v>
      </c>
      <c r="C286" s="1">
        <f>Prices!C284</f>
        <v>26.85</v>
      </c>
      <c r="D286" s="1">
        <f>Prices!D284</f>
        <v>47.990001999999997</v>
      </c>
      <c r="E286" s="1">
        <f>Prices!E284</f>
        <v>37.009998000000003</v>
      </c>
      <c r="F286" s="1">
        <f>Prices!F284</f>
        <v>256.10000600000001</v>
      </c>
      <c r="G286" s="9">
        <f t="shared" si="10"/>
        <v>1969.0763916000003</v>
      </c>
      <c r="H286" s="9">
        <f t="shared" si="10"/>
        <v>31.933399779999995</v>
      </c>
      <c r="I286" s="9">
        <f t="shared" si="10"/>
        <v>47.690999640000008</v>
      </c>
      <c r="J286" s="9">
        <f t="shared" si="10"/>
        <v>40.582600219999996</v>
      </c>
      <c r="K286" s="9">
        <f t="shared" si="10"/>
        <v>326.65800138000009</v>
      </c>
      <c r="L286" s="9">
        <f t="shared" si="11"/>
        <v>1858.9691467099985</v>
      </c>
      <c r="M286" s="9">
        <f t="shared" si="11"/>
        <v>36.739449910000005</v>
      </c>
      <c r="N286" s="9">
        <f t="shared" si="11"/>
        <v>53.098649915000017</v>
      </c>
      <c r="O286" s="9">
        <f t="shared" si="11"/>
        <v>54.300749910000043</v>
      </c>
      <c r="P286" s="9">
        <f t="shared" si="11"/>
        <v>383.96400061499969</v>
      </c>
    </row>
    <row r="287" spans="1:16" x14ac:dyDescent="0.35">
      <c r="A287" s="2">
        <f>Prices!A285</f>
        <v>44301</v>
      </c>
      <c r="B287" s="1">
        <f>Prices!B285</f>
        <v>2307.679932</v>
      </c>
      <c r="C287" s="1">
        <f>Prices!C285</f>
        <v>25.450001</v>
      </c>
      <c r="D287" s="1">
        <f>Prices!D285</f>
        <v>46.02</v>
      </c>
      <c r="E287" s="1">
        <f>Prices!E285</f>
        <v>34.360000999999997</v>
      </c>
      <c r="F287" s="1">
        <f>Prices!F285</f>
        <v>243.10000600000001</v>
      </c>
      <c r="G287" s="9">
        <f t="shared" si="10"/>
        <v>1974.5683935400002</v>
      </c>
      <c r="H287" s="9">
        <f t="shared" si="10"/>
        <v>31.744599759999993</v>
      </c>
      <c r="I287" s="9">
        <f t="shared" si="10"/>
        <v>47.582199680000009</v>
      </c>
      <c r="J287" s="9">
        <f t="shared" si="10"/>
        <v>40.279800139999992</v>
      </c>
      <c r="K287" s="9">
        <f t="shared" si="10"/>
        <v>323.8120016200001</v>
      </c>
      <c r="L287" s="9">
        <f t="shared" si="11"/>
        <v>1860.8643469049985</v>
      </c>
      <c r="M287" s="9">
        <f t="shared" si="11"/>
        <v>36.666649910000004</v>
      </c>
      <c r="N287" s="9">
        <f t="shared" si="11"/>
        <v>53.028849920000013</v>
      </c>
      <c r="O287" s="9">
        <f t="shared" si="11"/>
        <v>54.160349920000044</v>
      </c>
      <c r="P287" s="9">
        <f t="shared" si="11"/>
        <v>383.13400061499965</v>
      </c>
    </row>
    <row r="288" spans="1:16" x14ac:dyDescent="0.35">
      <c r="A288" s="2">
        <f>Prices!A286</f>
        <v>44302</v>
      </c>
      <c r="B288" s="1">
        <f>Prices!B286</f>
        <v>2408.1899410000001</v>
      </c>
      <c r="C288" s="1">
        <f>Prices!C286</f>
        <v>25.26</v>
      </c>
      <c r="D288" s="1">
        <f>Prices!D286</f>
        <v>46.470001000000003</v>
      </c>
      <c r="E288" s="1">
        <f>Prices!E286</f>
        <v>32.599997999999999</v>
      </c>
      <c r="F288" s="1">
        <f>Prices!F286</f>
        <v>241.10000600000001</v>
      </c>
      <c r="G288" s="9">
        <f t="shared" si="10"/>
        <v>1980.63799316</v>
      </c>
      <c r="H288" s="9">
        <f t="shared" si="10"/>
        <v>31.53239975999999</v>
      </c>
      <c r="I288" s="9">
        <f t="shared" si="10"/>
        <v>47.439799700000009</v>
      </c>
      <c r="J288" s="9">
        <f t="shared" si="10"/>
        <v>39.942200119999995</v>
      </c>
      <c r="K288" s="9">
        <f t="shared" si="10"/>
        <v>320.64600186000013</v>
      </c>
      <c r="L288" s="9">
        <f t="shared" si="11"/>
        <v>1862.9345965399989</v>
      </c>
      <c r="M288" s="9">
        <f t="shared" si="11"/>
        <v>36.58519990500001</v>
      </c>
      <c r="N288" s="9">
        <f t="shared" si="11"/>
        <v>52.947249920000012</v>
      </c>
      <c r="O288" s="9">
        <f t="shared" si="11"/>
        <v>54.006799925000031</v>
      </c>
      <c r="P288" s="9">
        <f t="shared" si="11"/>
        <v>382.19550070499957</v>
      </c>
    </row>
    <row r="289" spans="1:16" x14ac:dyDescent="0.35">
      <c r="A289" s="2">
        <f>Prices!A287</f>
        <v>44303</v>
      </c>
      <c r="B289" s="1">
        <f>Prices!B287</f>
        <v>2375</v>
      </c>
      <c r="C289" s="1">
        <f>Prices!C287</f>
        <v>25.959999</v>
      </c>
      <c r="D289" s="1">
        <f>Prices!D287</f>
        <v>47.639999000000003</v>
      </c>
      <c r="E289" s="1">
        <f>Prices!E287</f>
        <v>35.479999999999997</v>
      </c>
      <c r="F289" s="1">
        <f>Prices!F287</f>
        <v>247.800003</v>
      </c>
      <c r="G289" s="9">
        <f t="shared" si="10"/>
        <v>1987.8083935400002</v>
      </c>
      <c r="H289" s="9">
        <f t="shared" si="10"/>
        <v>31.306799739999995</v>
      </c>
      <c r="I289" s="9">
        <f t="shared" si="10"/>
        <v>47.269799700000014</v>
      </c>
      <c r="J289" s="9">
        <f t="shared" si="10"/>
        <v>39.561200039999989</v>
      </c>
      <c r="K289" s="9">
        <f t="shared" si="10"/>
        <v>317.43200222000013</v>
      </c>
      <c r="L289" s="9">
        <f t="shared" si="11"/>
        <v>1865.364596539999</v>
      </c>
      <c r="M289" s="9">
        <f t="shared" si="11"/>
        <v>36.502149910000007</v>
      </c>
      <c r="N289" s="9">
        <f t="shared" si="11"/>
        <v>52.865699930000012</v>
      </c>
      <c r="O289" s="9">
        <f t="shared" si="11"/>
        <v>53.843799930000031</v>
      </c>
      <c r="P289" s="9">
        <f t="shared" si="11"/>
        <v>381.23500067499958</v>
      </c>
    </row>
    <row r="290" spans="1:16" x14ac:dyDescent="0.35">
      <c r="A290" s="2">
        <f>Prices!A288</f>
        <v>44306</v>
      </c>
      <c r="B290" s="1">
        <f>Prices!B288</f>
        <v>2393.610107</v>
      </c>
      <c r="C290" s="1">
        <f>Prices!C288</f>
        <v>25.52</v>
      </c>
      <c r="D290" s="1">
        <f>Prices!D288</f>
        <v>46.400002000000001</v>
      </c>
      <c r="E290" s="1">
        <f>Prices!E288</f>
        <v>33.479999999999997</v>
      </c>
      <c r="F290" s="1">
        <f>Prices!F288</f>
        <v>243.39999399999999</v>
      </c>
      <c r="G290" s="9">
        <f t="shared" si="10"/>
        <v>1994.5109936400002</v>
      </c>
      <c r="H290" s="9">
        <f t="shared" si="10"/>
        <v>31.086399719999996</v>
      </c>
      <c r="I290" s="9">
        <f t="shared" si="10"/>
        <v>47.108999680000018</v>
      </c>
      <c r="J290" s="9">
        <f t="shared" si="10"/>
        <v>39.211800019999991</v>
      </c>
      <c r="K290" s="9">
        <f t="shared" si="10"/>
        <v>314.22000240000011</v>
      </c>
      <c r="L290" s="9">
        <f t="shared" si="11"/>
        <v>1867.5680462449986</v>
      </c>
      <c r="M290" s="9">
        <f t="shared" si="11"/>
        <v>36.421549895000005</v>
      </c>
      <c r="N290" s="9">
        <f t="shared" si="11"/>
        <v>52.785249925000009</v>
      </c>
      <c r="O290" s="9">
        <f t="shared" si="11"/>
        <v>53.695649925000026</v>
      </c>
      <c r="P290" s="9">
        <f t="shared" si="11"/>
        <v>380.29950071999957</v>
      </c>
    </row>
    <row r="291" spans="1:16" x14ac:dyDescent="0.35">
      <c r="A291" s="2">
        <f>Prices!A289</f>
        <v>44307</v>
      </c>
      <c r="B291" s="1">
        <f>Prices!B289</f>
        <v>2328.1201169999999</v>
      </c>
      <c r="C291" s="1">
        <f>Prices!C289</f>
        <v>24.68</v>
      </c>
      <c r="D291" s="1">
        <f>Prices!D289</f>
        <v>44.630001</v>
      </c>
      <c r="E291" s="1">
        <f>Prices!E289</f>
        <v>32.93</v>
      </c>
      <c r="F291" s="1">
        <f>Prices!F289</f>
        <v>236.5</v>
      </c>
      <c r="G291" s="9">
        <f t="shared" si="10"/>
        <v>2001.3785961800002</v>
      </c>
      <c r="H291" s="9">
        <f t="shared" si="10"/>
        <v>30.854799759999992</v>
      </c>
      <c r="I291" s="9">
        <f t="shared" si="10"/>
        <v>46.929399700000012</v>
      </c>
      <c r="J291" s="9">
        <f t="shared" si="10"/>
        <v>38.838600039999989</v>
      </c>
      <c r="K291" s="9">
        <f t="shared" si="10"/>
        <v>310.90800228000012</v>
      </c>
      <c r="L291" s="9">
        <f t="shared" si="11"/>
        <v>1869.8410967799989</v>
      </c>
      <c r="M291" s="9">
        <f t="shared" si="11"/>
        <v>36.338649905000018</v>
      </c>
      <c r="N291" s="9">
        <f t="shared" si="11"/>
        <v>52.700699930000013</v>
      </c>
      <c r="O291" s="9">
        <f t="shared" si="11"/>
        <v>53.53964992500002</v>
      </c>
      <c r="P291" s="9">
        <f t="shared" si="11"/>
        <v>379.35800062999965</v>
      </c>
    </row>
    <row r="292" spans="1:16" x14ac:dyDescent="0.35">
      <c r="A292" s="2">
        <f>Prices!A290</f>
        <v>44308</v>
      </c>
      <c r="B292" s="1">
        <f>Prices!B290</f>
        <v>2363.48999</v>
      </c>
      <c r="C292" s="1">
        <f>Prices!C290</f>
        <v>24.969999000000001</v>
      </c>
      <c r="D292" s="1">
        <f>Prices!D290</f>
        <v>46.290000999999997</v>
      </c>
      <c r="E292" s="1">
        <f>Prices!E290</f>
        <v>34.860000999999997</v>
      </c>
      <c r="F292" s="1">
        <f>Prices!F290</f>
        <v>237.5</v>
      </c>
      <c r="G292" s="9">
        <f t="shared" si="10"/>
        <v>2006.3553979400003</v>
      </c>
      <c r="H292" s="9">
        <f t="shared" si="10"/>
        <v>30.602399779999992</v>
      </c>
      <c r="I292" s="9">
        <f t="shared" si="10"/>
        <v>46.747399720000011</v>
      </c>
      <c r="J292" s="9">
        <f t="shared" si="10"/>
        <v>38.461400019999992</v>
      </c>
      <c r="K292" s="9">
        <f t="shared" si="10"/>
        <v>307.48200252000009</v>
      </c>
      <c r="L292" s="9">
        <f t="shared" si="11"/>
        <v>1871.7671471949989</v>
      </c>
      <c r="M292" s="9">
        <f t="shared" si="11"/>
        <v>36.251649895000021</v>
      </c>
      <c r="N292" s="9">
        <f t="shared" si="11"/>
        <v>52.623599940000005</v>
      </c>
      <c r="O292" s="9">
        <f t="shared" si="11"/>
        <v>53.381349945000039</v>
      </c>
      <c r="P292" s="9">
        <f t="shared" si="11"/>
        <v>378.38800062999957</v>
      </c>
    </row>
    <row r="293" spans="1:16" x14ac:dyDescent="0.35">
      <c r="A293" s="2">
        <f>Prices!A291</f>
        <v>44309</v>
      </c>
      <c r="B293" s="1">
        <f>Prices!B291</f>
        <v>2399.4499510000001</v>
      </c>
      <c r="C293" s="1">
        <f>Prices!C291</f>
        <v>25.01</v>
      </c>
      <c r="D293" s="1">
        <f>Prices!D291</f>
        <v>46.040000999999997</v>
      </c>
      <c r="E293" s="1">
        <f>Prices!E291</f>
        <v>35.159999999999997</v>
      </c>
      <c r="F293" s="1">
        <f>Prices!F291</f>
        <v>238</v>
      </c>
      <c r="G293" s="9">
        <f t="shared" si="10"/>
        <v>2010.9469995000002</v>
      </c>
      <c r="H293" s="9">
        <f t="shared" si="10"/>
        <v>30.352999779999994</v>
      </c>
      <c r="I293" s="9">
        <f t="shared" si="10"/>
        <v>46.604599740000005</v>
      </c>
      <c r="J293" s="9">
        <f t="shared" si="10"/>
        <v>38.130800059999999</v>
      </c>
      <c r="K293" s="9">
        <f t="shared" si="10"/>
        <v>304.09800228000012</v>
      </c>
      <c r="L293" s="9">
        <f t="shared" si="11"/>
        <v>1873.8229974149988</v>
      </c>
      <c r="M293" s="9">
        <f t="shared" si="11"/>
        <v>36.167449885000018</v>
      </c>
      <c r="N293" s="9">
        <f t="shared" si="11"/>
        <v>52.552649945000006</v>
      </c>
      <c r="O293" s="9">
        <f t="shared" si="11"/>
        <v>53.233549960000026</v>
      </c>
      <c r="P293" s="9">
        <f t="shared" si="11"/>
        <v>377.43800062999964</v>
      </c>
    </row>
    <row r="294" spans="1:16" x14ac:dyDescent="0.35">
      <c r="A294" s="2">
        <f>Prices!A292</f>
        <v>44310</v>
      </c>
      <c r="B294" s="1">
        <f>Prices!B292</f>
        <v>2410.219971</v>
      </c>
      <c r="C294" s="1">
        <f>Prices!C292</f>
        <v>24.98</v>
      </c>
      <c r="D294" s="1">
        <f>Prices!D292</f>
        <v>46.5</v>
      </c>
      <c r="E294" s="1">
        <f>Prices!E292</f>
        <v>35.029998999999997</v>
      </c>
      <c r="F294" s="1">
        <f>Prices!F292</f>
        <v>230.39999399999999</v>
      </c>
      <c r="G294" s="9">
        <f t="shared" si="10"/>
        <v>2015.9199975400004</v>
      </c>
      <c r="H294" s="9">
        <f t="shared" si="10"/>
        <v>30.088199779999989</v>
      </c>
      <c r="I294" s="9">
        <f t="shared" si="10"/>
        <v>46.448399800000004</v>
      </c>
      <c r="J294" s="9">
        <f t="shared" si="10"/>
        <v>37.794200019999998</v>
      </c>
      <c r="K294" s="9">
        <f t="shared" si="10"/>
        <v>300.64600216000008</v>
      </c>
      <c r="L294" s="9">
        <f t="shared" si="11"/>
        <v>1875.8787469249987</v>
      </c>
      <c r="M294" s="9">
        <f t="shared" si="11"/>
        <v>36.083299885000024</v>
      </c>
      <c r="N294" s="9">
        <f t="shared" si="11"/>
        <v>52.47994993999999</v>
      </c>
      <c r="O294" s="9">
        <f t="shared" si="11"/>
        <v>53.087149950000033</v>
      </c>
      <c r="P294" s="9">
        <f t="shared" si="11"/>
        <v>376.49550062999958</v>
      </c>
    </row>
    <row r="295" spans="1:16" x14ac:dyDescent="0.35">
      <c r="A295" s="2">
        <f>Prices!A293</f>
        <v>44313</v>
      </c>
      <c r="B295" s="1">
        <f>Prices!B293</f>
        <v>2376</v>
      </c>
      <c r="C295" s="1">
        <f>Prices!C293</f>
        <v>25.82</v>
      </c>
      <c r="D295" s="1">
        <f>Prices!D293</f>
        <v>46.889999000000003</v>
      </c>
      <c r="E295" s="1">
        <f>Prices!E293</f>
        <v>35.82</v>
      </c>
      <c r="F295" s="1">
        <f>Prices!F293</f>
        <v>238.800003</v>
      </c>
      <c r="G295" s="9">
        <f t="shared" si="10"/>
        <v>2020.9243969600002</v>
      </c>
      <c r="H295" s="9">
        <f t="shared" si="10"/>
        <v>29.815799819999992</v>
      </c>
      <c r="I295" s="9">
        <f t="shared" si="10"/>
        <v>46.272799820000003</v>
      </c>
      <c r="J295" s="9">
        <f t="shared" si="10"/>
        <v>37.441799960000004</v>
      </c>
      <c r="K295" s="9">
        <f t="shared" si="10"/>
        <v>297.00600216000004</v>
      </c>
      <c r="L295" s="9">
        <f t="shared" si="11"/>
        <v>1877.8427966099987</v>
      </c>
      <c r="M295" s="9">
        <f t="shared" si="11"/>
        <v>35.999949875000027</v>
      </c>
      <c r="N295" s="9">
        <f t="shared" si="11"/>
        <v>52.405499944999995</v>
      </c>
      <c r="O295" s="9">
        <f t="shared" si="11"/>
        <v>52.936099955000039</v>
      </c>
      <c r="P295" s="9">
        <f t="shared" si="11"/>
        <v>375.5275005999996</v>
      </c>
    </row>
    <row r="296" spans="1:16" x14ac:dyDescent="0.35">
      <c r="A296" s="2">
        <f>Prices!A294</f>
        <v>44314</v>
      </c>
      <c r="B296" s="1">
        <f>Prices!B294</f>
        <v>2314.080078</v>
      </c>
      <c r="C296" s="1">
        <f>Prices!C294</f>
        <v>25.879999000000002</v>
      </c>
      <c r="D296" s="1">
        <f>Prices!D294</f>
        <v>46.959999000000003</v>
      </c>
      <c r="E296" s="1">
        <f>Prices!E294</f>
        <v>36</v>
      </c>
      <c r="F296" s="1">
        <f>Prices!F294</f>
        <v>249.5</v>
      </c>
      <c r="G296" s="9">
        <f t="shared" ref="G296:K311" si="12">AVERAGE(B246:B295)</f>
        <v>2025.4469946200002</v>
      </c>
      <c r="H296" s="9">
        <f t="shared" si="12"/>
        <v>29.567999839999992</v>
      </c>
      <c r="I296" s="9">
        <f t="shared" si="12"/>
        <v>46.113199819999998</v>
      </c>
      <c r="J296" s="9">
        <f t="shared" si="12"/>
        <v>37.138399920000005</v>
      </c>
      <c r="K296" s="9">
        <f t="shared" si="12"/>
        <v>293.57800198000007</v>
      </c>
      <c r="L296" s="9">
        <f t="shared" ref="L296:P311" si="13">AVERAGE(B96:B295)</f>
        <v>1879.7174468799985</v>
      </c>
      <c r="M296" s="9">
        <f t="shared" si="13"/>
        <v>35.920549870000016</v>
      </c>
      <c r="N296" s="9">
        <f t="shared" si="13"/>
        <v>52.335699949999992</v>
      </c>
      <c r="O296" s="9">
        <f t="shared" si="13"/>
        <v>52.788299970000033</v>
      </c>
      <c r="P296" s="9">
        <f t="shared" si="13"/>
        <v>374.60150061499962</v>
      </c>
    </row>
    <row r="297" spans="1:16" x14ac:dyDescent="0.35">
      <c r="A297" s="2">
        <f>Prices!A295</f>
        <v>44315</v>
      </c>
      <c r="B297" s="1">
        <f>Prices!B295</f>
        <v>2372.709961</v>
      </c>
      <c r="C297" s="1">
        <f>Prices!C295</f>
        <v>26.58</v>
      </c>
      <c r="D297" s="1">
        <f>Prices!D295</f>
        <v>48.869999</v>
      </c>
      <c r="E297" s="1">
        <f>Prices!E295</f>
        <v>38.009998000000003</v>
      </c>
      <c r="F297" s="1">
        <f>Prices!F295</f>
        <v>259.70001200000002</v>
      </c>
      <c r="G297" s="9">
        <f t="shared" si="12"/>
        <v>2029.0311938400002</v>
      </c>
      <c r="H297" s="9">
        <f t="shared" si="12"/>
        <v>29.326799839999989</v>
      </c>
      <c r="I297" s="9">
        <f t="shared" si="12"/>
        <v>45.9623998</v>
      </c>
      <c r="J297" s="9">
        <f t="shared" si="12"/>
        <v>36.848599880000002</v>
      </c>
      <c r="K297" s="9">
        <f t="shared" si="12"/>
        <v>290.35000210000004</v>
      </c>
      <c r="L297" s="9">
        <f t="shared" si="13"/>
        <v>1881.2328472699987</v>
      </c>
      <c r="M297" s="9">
        <f t="shared" si="13"/>
        <v>35.841799860000016</v>
      </c>
      <c r="N297" s="9">
        <f t="shared" si="13"/>
        <v>52.266949949999997</v>
      </c>
      <c r="O297" s="9">
        <f t="shared" si="13"/>
        <v>52.642999980000035</v>
      </c>
      <c r="P297" s="9">
        <f t="shared" si="13"/>
        <v>373.72650061499968</v>
      </c>
    </row>
    <row r="298" spans="1:16" x14ac:dyDescent="0.35">
      <c r="A298" s="2">
        <f>Prices!A296</f>
        <v>44316</v>
      </c>
      <c r="B298" s="1">
        <f>Prices!B296</f>
        <v>2474</v>
      </c>
      <c r="C298" s="1">
        <f>Prices!C296</f>
        <v>25.73</v>
      </c>
      <c r="D298" s="1">
        <f>Prices!D296</f>
        <v>46.189999</v>
      </c>
      <c r="E298" s="1">
        <f>Prices!E296</f>
        <v>33.130001</v>
      </c>
      <c r="F298" s="1">
        <f>Prices!F296</f>
        <v>241.800003</v>
      </c>
      <c r="G298" s="9">
        <f t="shared" si="12"/>
        <v>2033.3719946199999</v>
      </c>
      <c r="H298" s="9">
        <f t="shared" si="12"/>
        <v>29.14199983999999</v>
      </c>
      <c r="I298" s="9">
        <f t="shared" si="12"/>
        <v>45.851399820000005</v>
      </c>
      <c r="J298" s="9">
        <f t="shared" si="12"/>
        <v>36.60459986</v>
      </c>
      <c r="K298" s="9">
        <f t="shared" si="12"/>
        <v>287.28800258000001</v>
      </c>
      <c r="L298" s="9">
        <f t="shared" si="13"/>
        <v>1882.9914471249986</v>
      </c>
      <c r="M298" s="9">
        <f t="shared" si="13"/>
        <v>35.766199855000011</v>
      </c>
      <c r="N298" s="9">
        <f t="shared" si="13"/>
        <v>52.203749955000006</v>
      </c>
      <c r="O298" s="9">
        <f t="shared" si="13"/>
        <v>52.510549970000021</v>
      </c>
      <c r="P298" s="9">
        <f t="shared" si="13"/>
        <v>372.89850073499974</v>
      </c>
    </row>
    <row r="299" spans="1:16" x14ac:dyDescent="0.35">
      <c r="A299" s="2">
        <f>Prices!A297</f>
        <v>44317</v>
      </c>
      <c r="B299" s="1">
        <f>Prices!B297</f>
        <v>2286.040039</v>
      </c>
      <c r="C299" s="1">
        <f>Prices!C297</f>
        <v>25.280000999999999</v>
      </c>
      <c r="D299" s="1">
        <f>Prices!D297</f>
        <v>45.040000999999997</v>
      </c>
      <c r="E299" s="1">
        <f>Prices!E297</f>
        <v>31.290001</v>
      </c>
      <c r="F299" s="1">
        <f>Prices!F297</f>
        <v>237.5</v>
      </c>
      <c r="G299" s="9">
        <f t="shared" si="12"/>
        <v>2039.4475952</v>
      </c>
      <c r="H299" s="9">
        <f t="shared" si="12"/>
        <v>28.931999839999989</v>
      </c>
      <c r="I299" s="9">
        <f t="shared" si="12"/>
        <v>45.688399800000013</v>
      </c>
      <c r="J299" s="9">
        <f t="shared" si="12"/>
        <v>36.262799860000001</v>
      </c>
      <c r="K299" s="9">
        <f t="shared" si="12"/>
        <v>283.94000240000003</v>
      </c>
      <c r="L299" s="9">
        <f t="shared" si="13"/>
        <v>1885.3119470049987</v>
      </c>
      <c r="M299" s="9">
        <f t="shared" si="13"/>
        <v>35.687349855000008</v>
      </c>
      <c r="N299" s="9">
        <f t="shared" si="13"/>
        <v>52.132549950000005</v>
      </c>
      <c r="O299" s="9">
        <f t="shared" si="13"/>
        <v>52.357099975000025</v>
      </c>
      <c r="P299" s="9">
        <f t="shared" si="13"/>
        <v>371.99500074999969</v>
      </c>
    </row>
    <row r="300" spans="1:16" x14ac:dyDescent="0.35">
      <c r="A300" s="2">
        <f>Prices!A298</f>
        <v>44320</v>
      </c>
      <c r="B300" s="1">
        <f>Prices!B298</f>
        <v>2315.98999</v>
      </c>
      <c r="C300" s="1">
        <f>Prices!C298</f>
        <v>24.76</v>
      </c>
      <c r="D300" s="1">
        <f>Prices!D298</f>
        <v>44.98</v>
      </c>
      <c r="E300" s="1">
        <f>Prices!E298</f>
        <v>32.75</v>
      </c>
      <c r="F300" s="1">
        <f>Prices!F298</f>
        <v>228.89999399999999</v>
      </c>
      <c r="G300" s="9">
        <f t="shared" si="12"/>
        <v>2042.1063940199999</v>
      </c>
      <c r="H300" s="9">
        <f t="shared" si="12"/>
        <v>28.714199899999997</v>
      </c>
      <c r="I300" s="9">
        <f t="shared" si="12"/>
        <v>45.505399840000017</v>
      </c>
      <c r="J300" s="9">
        <f t="shared" si="12"/>
        <v>35.896199900000006</v>
      </c>
      <c r="K300" s="9">
        <f t="shared" si="12"/>
        <v>280.49600216000005</v>
      </c>
      <c r="L300" s="9">
        <f t="shared" si="13"/>
        <v>1886.7819970549986</v>
      </c>
      <c r="M300" s="9">
        <f t="shared" si="13"/>
        <v>35.607599860000008</v>
      </c>
      <c r="N300" s="9">
        <f t="shared" si="13"/>
        <v>52.052949960000007</v>
      </c>
      <c r="O300" s="9">
        <f t="shared" si="13"/>
        <v>52.196899970000025</v>
      </c>
      <c r="P300" s="9">
        <f t="shared" si="13"/>
        <v>371.07750074999973</v>
      </c>
    </row>
    <row r="301" spans="1:16" x14ac:dyDescent="0.35">
      <c r="A301" s="2">
        <f>Prices!A299</f>
        <v>44321</v>
      </c>
      <c r="B301" s="1">
        <f>Prices!B299</f>
        <v>2317.8000489999999</v>
      </c>
      <c r="C301" s="1">
        <f>Prices!C299</f>
        <v>24.889999</v>
      </c>
      <c r="D301" s="1">
        <f>Prices!D299</f>
        <v>44.25</v>
      </c>
      <c r="E301" s="1">
        <f>Prices!E299</f>
        <v>33.07</v>
      </c>
      <c r="F301" s="1">
        <f>Prices!F299</f>
        <v>234.800003</v>
      </c>
      <c r="G301" s="9">
        <f t="shared" si="12"/>
        <v>2046.5067944</v>
      </c>
      <c r="H301" s="9">
        <f t="shared" si="12"/>
        <v>28.480199919999997</v>
      </c>
      <c r="I301" s="9">
        <f t="shared" si="12"/>
        <v>45.312599860000006</v>
      </c>
      <c r="J301" s="9">
        <f t="shared" si="12"/>
        <v>35.567799940000008</v>
      </c>
      <c r="K301" s="9">
        <f t="shared" si="12"/>
        <v>276.95000180000005</v>
      </c>
      <c r="L301" s="9">
        <f t="shared" si="13"/>
        <v>1888.4724468849986</v>
      </c>
      <c r="M301" s="9">
        <f t="shared" si="13"/>
        <v>35.524249860000012</v>
      </c>
      <c r="N301" s="9">
        <f t="shared" si="13"/>
        <v>51.974599949999991</v>
      </c>
      <c r="O301" s="9">
        <f t="shared" si="13"/>
        <v>52.044999965000024</v>
      </c>
      <c r="P301" s="9">
        <f t="shared" si="13"/>
        <v>370.12300077999976</v>
      </c>
    </row>
    <row r="302" spans="1:16" x14ac:dyDescent="0.35">
      <c r="A302" s="2">
        <f>Prices!A300</f>
        <v>44322</v>
      </c>
      <c r="B302" s="1">
        <f>Prices!B300</f>
        <v>2351.26001</v>
      </c>
      <c r="C302" s="1">
        <f>Prices!C300</f>
        <v>24.82</v>
      </c>
      <c r="D302" s="1">
        <f>Prices!D300</f>
        <v>44.509998000000003</v>
      </c>
      <c r="E302" s="1">
        <f>Prices!E300</f>
        <v>32.060001</v>
      </c>
      <c r="F302" s="1">
        <f>Prices!F300</f>
        <v>239.199997</v>
      </c>
      <c r="G302" s="9">
        <f t="shared" si="12"/>
        <v>2052.6769945999999</v>
      </c>
      <c r="H302" s="9">
        <f t="shared" si="12"/>
        <v>28.267999899999996</v>
      </c>
      <c r="I302" s="9">
        <f t="shared" si="12"/>
        <v>45.172999859999997</v>
      </c>
      <c r="J302" s="9">
        <f t="shared" si="12"/>
        <v>35.283599960000004</v>
      </c>
      <c r="K302" s="9">
        <f t="shared" si="12"/>
        <v>273.56400174000004</v>
      </c>
      <c r="L302" s="9">
        <f t="shared" si="13"/>
        <v>1890.2388470299986</v>
      </c>
      <c r="M302" s="9">
        <f t="shared" si="13"/>
        <v>35.441999855000006</v>
      </c>
      <c r="N302" s="9">
        <f t="shared" si="13"/>
        <v>51.890299944999988</v>
      </c>
      <c r="O302" s="9">
        <f t="shared" si="13"/>
        <v>51.89209995500002</v>
      </c>
      <c r="P302" s="9">
        <f t="shared" si="13"/>
        <v>369.21650076499981</v>
      </c>
    </row>
    <row r="303" spans="1:16" x14ac:dyDescent="0.35">
      <c r="A303" s="2">
        <f>Prices!A301</f>
        <v>44323</v>
      </c>
      <c r="B303" s="1">
        <f>Prices!B301</f>
        <v>2367.610107</v>
      </c>
      <c r="C303" s="1">
        <f>Prices!C301</f>
        <v>25.209999</v>
      </c>
      <c r="D303" s="1">
        <f>Prices!D301</f>
        <v>45.799999</v>
      </c>
      <c r="E303" s="1">
        <f>Prices!E301</f>
        <v>32.529998999999997</v>
      </c>
      <c r="F303" s="1">
        <f>Prices!F301</f>
        <v>247.300003</v>
      </c>
      <c r="G303" s="9">
        <f t="shared" si="12"/>
        <v>2060.2473949999999</v>
      </c>
      <c r="H303" s="9">
        <f t="shared" si="12"/>
        <v>28.0679999</v>
      </c>
      <c r="I303" s="9">
        <f t="shared" si="12"/>
        <v>45.05459982</v>
      </c>
      <c r="J303" s="9">
        <f t="shared" si="12"/>
        <v>35.006799940000008</v>
      </c>
      <c r="K303" s="9">
        <f t="shared" si="12"/>
        <v>270.55800168000002</v>
      </c>
      <c r="L303" s="9">
        <f t="shared" si="13"/>
        <v>1892.0669970549986</v>
      </c>
      <c r="M303" s="9">
        <f t="shared" si="13"/>
        <v>35.358949854999999</v>
      </c>
      <c r="N303" s="9">
        <f t="shared" si="13"/>
        <v>51.809099934999985</v>
      </c>
      <c r="O303" s="9">
        <f t="shared" si="13"/>
        <v>51.732899950000011</v>
      </c>
      <c r="P303" s="9">
        <f t="shared" si="13"/>
        <v>368.32200071999978</v>
      </c>
    </row>
    <row r="304" spans="1:16" x14ac:dyDescent="0.35">
      <c r="A304" s="2">
        <f>Prices!A302</f>
        <v>44324</v>
      </c>
      <c r="B304" s="1">
        <f>Prices!B302</f>
        <v>2379.610107</v>
      </c>
      <c r="C304" s="1">
        <f>Prices!C302</f>
        <v>25.629999000000002</v>
      </c>
      <c r="D304" s="1">
        <f>Prices!D302</f>
        <v>46.950001</v>
      </c>
      <c r="E304" s="1">
        <f>Prices!E302</f>
        <v>33.909999999999997</v>
      </c>
      <c r="F304" s="1">
        <f>Prices!F302</f>
        <v>242.199997</v>
      </c>
      <c r="G304" s="9">
        <f t="shared" si="12"/>
        <v>2068.0077978200002</v>
      </c>
      <c r="H304" s="9">
        <f t="shared" si="12"/>
        <v>27.858799919999996</v>
      </c>
      <c r="I304" s="9">
        <f t="shared" si="12"/>
        <v>44.976399819999997</v>
      </c>
      <c r="J304" s="9">
        <f t="shared" si="12"/>
        <v>34.742399920000004</v>
      </c>
      <c r="K304" s="9">
        <f t="shared" si="12"/>
        <v>267.86800198000003</v>
      </c>
      <c r="L304" s="9">
        <f t="shared" si="13"/>
        <v>1893.9325976399989</v>
      </c>
      <c r="M304" s="9">
        <f t="shared" si="13"/>
        <v>35.276749840000001</v>
      </c>
      <c r="N304" s="9">
        <f t="shared" si="13"/>
        <v>51.735349934999995</v>
      </c>
      <c r="O304" s="9">
        <f t="shared" si="13"/>
        <v>51.576599940000015</v>
      </c>
      <c r="P304" s="9">
        <f t="shared" si="13"/>
        <v>367.48750067499975</v>
      </c>
    </row>
    <row r="305" spans="1:16" x14ac:dyDescent="0.35">
      <c r="A305" s="2">
        <f>Prices!A303</f>
        <v>44327</v>
      </c>
      <c r="B305" s="1">
        <f>Prices!B303</f>
        <v>2409</v>
      </c>
      <c r="C305" s="1">
        <f>Prices!C303</f>
        <v>25.49</v>
      </c>
      <c r="D305" s="1">
        <f>Prices!D303</f>
        <v>45.470001000000003</v>
      </c>
      <c r="E305" s="1">
        <f>Prices!E303</f>
        <v>32.759998000000003</v>
      </c>
      <c r="F305" s="1">
        <f>Prices!F303</f>
        <v>245</v>
      </c>
      <c r="G305" s="9">
        <f t="shared" si="12"/>
        <v>2077.9139989799996</v>
      </c>
      <c r="H305" s="9">
        <f t="shared" si="12"/>
        <v>27.694999900000003</v>
      </c>
      <c r="I305" s="9">
        <f t="shared" si="12"/>
        <v>44.970199880000003</v>
      </c>
      <c r="J305" s="9">
        <f t="shared" si="12"/>
        <v>34.541799940000011</v>
      </c>
      <c r="K305" s="9">
        <f t="shared" si="12"/>
        <v>265.11400204</v>
      </c>
      <c r="L305" s="9">
        <f t="shared" si="13"/>
        <v>1895.8265978799991</v>
      </c>
      <c r="M305" s="9">
        <f t="shared" si="13"/>
        <v>35.199449835000003</v>
      </c>
      <c r="N305" s="9">
        <f t="shared" si="13"/>
        <v>51.679899934999995</v>
      </c>
      <c r="O305" s="9">
        <f t="shared" si="13"/>
        <v>51.430299950000006</v>
      </c>
      <c r="P305" s="9">
        <f t="shared" si="13"/>
        <v>366.64450071999983</v>
      </c>
    </row>
    <row r="306" spans="1:16" x14ac:dyDescent="0.35">
      <c r="A306" s="2">
        <f>Prices!A304</f>
        <v>44328</v>
      </c>
      <c r="B306" s="1">
        <f>Prices!B304</f>
        <v>2356.9499510000001</v>
      </c>
      <c r="C306" s="1">
        <f>Prices!C304</f>
        <v>25.030000999999999</v>
      </c>
      <c r="D306" s="1">
        <f>Prices!D304</f>
        <v>44.990001999999997</v>
      </c>
      <c r="E306" s="1">
        <f>Prices!E304</f>
        <v>32.209999000000003</v>
      </c>
      <c r="F306" s="1">
        <f>Prices!F304</f>
        <v>235.39999399999999</v>
      </c>
      <c r="G306" s="9">
        <f t="shared" si="12"/>
        <v>2088.4189989799997</v>
      </c>
      <c r="H306" s="9">
        <f t="shared" si="12"/>
        <v>27.533399899999999</v>
      </c>
      <c r="I306" s="9">
        <f t="shared" si="12"/>
        <v>44.940999900000008</v>
      </c>
      <c r="J306" s="9">
        <f t="shared" si="12"/>
        <v>34.316399920000009</v>
      </c>
      <c r="K306" s="9">
        <f t="shared" si="12"/>
        <v>262.72000179999998</v>
      </c>
      <c r="L306" s="9">
        <f t="shared" si="13"/>
        <v>1898.0024981499989</v>
      </c>
      <c r="M306" s="9">
        <f t="shared" si="13"/>
        <v>35.122349835000001</v>
      </c>
      <c r="N306" s="9">
        <f t="shared" si="13"/>
        <v>51.620749945</v>
      </c>
      <c r="O306" s="9">
        <f t="shared" si="13"/>
        <v>51.279749945000006</v>
      </c>
      <c r="P306" s="9">
        <f t="shared" si="13"/>
        <v>365.81650068999988</v>
      </c>
    </row>
    <row r="307" spans="1:16" x14ac:dyDescent="0.35">
      <c r="A307" s="2">
        <f>Prices!A305</f>
        <v>44329</v>
      </c>
      <c r="B307" s="1">
        <f>Prices!B305</f>
        <v>2367.919922</v>
      </c>
      <c r="C307" s="1">
        <f>Prices!C305</f>
        <v>24.700001</v>
      </c>
      <c r="D307" s="1">
        <f>Prices!D305</f>
        <v>45.720001000000003</v>
      </c>
      <c r="E307" s="1">
        <f>Prices!E305</f>
        <v>31.040001</v>
      </c>
      <c r="F307" s="1">
        <f>Prices!F305</f>
        <v>231.60000600000001</v>
      </c>
      <c r="G307" s="9">
        <f t="shared" si="12"/>
        <v>2096.4789989799997</v>
      </c>
      <c r="H307" s="9">
        <f t="shared" si="12"/>
        <v>27.358599920000003</v>
      </c>
      <c r="I307" s="9">
        <f t="shared" si="12"/>
        <v>44.865399940000003</v>
      </c>
      <c r="J307" s="9">
        <f t="shared" si="12"/>
        <v>34.06399986000001</v>
      </c>
      <c r="K307" s="9">
        <f t="shared" si="12"/>
        <v>260.41200191999997</v>
      </c>
      <c r="L307" s="9">
        <f t="shared" si="13"/>
        <v>1900.0719976599989</v>
      </c>
      <c r="M307" s="9">
        <f t="shared" si="13"/>
        <v>35.042249845000001</v>
      </c>
      <c r="N307" s="9">
        <f t="shared" si="13"/>
        <v>51.558049959999991</v>
      </c>
      <c r="O307" s="9">
        <f t="shared" si="13"/>
        <v>51.125699940000004</v>
      </c>
      <c r="P307" s="9">
        <f t="shared" si="13"/>
        <v>364.92950071999985</v>
      </c>
    </row>
    <row r="308" spans="1:16" x14ac:dyDescent="0.35">
      <c r="A308" s="2">
        <f>Prices!A306</f>
        <v>44330</v>
      </c>
      <c r="B308" s="1">
        <f>Prices!B306</f>
        <v>2388.8500979999999</v>
      </c>
      <c r="C308" s="1">
        <f>Prices!C306</f>
        <v>24.540001</v>
      </c>
      <c r="D308" s="1">
        <f>Prices!D306</f>
        <v>46.560001</v>
      </c>
      <c r="E308" s="1">
        <f>Prices!E306</f>
        <v>30.17</v>
      </c>
      <c r="F308" s="1">
        <f>Prices!F306</f>
        <v>229.199997</v>
      </c>
      <c r="G308" s="9">
        <f t="shared" si="12"/>
        <v>2105.6575976200002</v>
      </c>
      <c r="H308" s="9">
        <f t="shared" si="12"/>
        <v>27.201199939999995</v>
      </c>
      <c r="I308" s="9">
        <f t="shared" si="12"/>
        <v>44.804600000000008</v>
      </c>
      <c r="J308" s="9">
        <f t="shared" si="12"/>
        <v>33.805599900000011</v>
      </c>
      <c r="K308" s="9">
        <f t="shared" si="12"/>
        <v>258.1800017999999</v>
      </c>
      <c r="L308" s="9">
        <f t="shared" si="13"/>
        <v>1902.3493475149987</v>
      </c>
      <c r="M308" s="9">
        <f t="shared" si="13"/>
        <v>34.962749860000002</v>
      </c>
      <c r="N308" s="9">
        <f t="shared" si="13"/>
        <v>51.497599959999995</v>
      </c>
      <c r="O308" s="9">
        <f t="shared" si="13"/>
        <v>50.96359995000001</v>
      </c>
      <c r="P308" s="9">
        <f t="shared" si="13"/>
        <v>364.04750074999987</v>
      </c>
    </row>
    <row r="309" spans="1:16" x14ac:dyDescent="0.35">
      <c r="A309" s="2">
        <f>Prices!A307</f>
        <v>44331</v>
      </c>
      <c r="B309" s="1">
        <f>Prices!B307</f>
        <v>2409.780029</v>
      </c>
      <c r="C309" s="1">
        <f>Prices!C307</f>
        <v>24.33</v>
      </c>
      <c r="D309" s="1">
        <f>Prices!D307</f>
        <v>47.59</v>
      </c>
      <c r="E309" s="1">
        <f>Prices!E307</f>
        <v>30.129999000000002</v>
      </c>
      <c r="F309" s="1">
        <f>Prices!F307</f>
        <v>241.10000600000001</v>
      </c>
      <c r="G309" s="9">
        <f t="shared" si="12"/>
        <v>2113.9180004599998</v>
      </c>
      <c r="H309" s="9">
        <f t="shared" si="12"/>
        <v>27.027399960000004</v>
      </c>
      <c r="I309" s="9">
        <f t="shared" si="12"/>
        <v>44.706200020000004</v>
      </c>
      <c r="J309" s="9">
        <f t="shared" si="12"/>
        <v>33.502999920000008</v>
      </c>
      <c r="K309" s="9">
        <f t="shared" si="12"/>
        <v>255.84400173999992</v>
      </c>
      <c r="L309" s="9">
        <f t="shared" si="13"/>
        <v>1904.800947859999</v>
      </c>
      <c r="M309" s="9">
        <f t="shared" si="13"/>
        <v>34.883499870000009</v>
      </c>
      <c r="N309" s="9">
        <f t="shared" si="13"/>
        <v>51.440199959999994</v>
      </c>
      <c r="O309" s="9">
        <f t="shared" si="13"/>
        <v>50.795449955000002</v>
      </c>
      <c r="P309" s="9">
        <f t="shared" si="13"/>
        <v>363.16300070499989</v>
      </c>
    </row>
    <row r="310" spans="1:16" x14ac:dyDescent="0.35">
      <c r="A310" s="2">
        <f>Prices!A308</f>
        <v>44334</v>
      </c>
      <c r="B310" s="1">
        <f>Prices!B308</f>
        <v>2426.26001</v>
      </c>
      <c r="C310" s="1">
        <f>Prices!C308</f>
        <v>25.26</v>
      </c>
      <c r="D310" s="1">
        <f>Prices!D308</f>
        <v>51.419998</v>
      </c>
      <c r="E310" s="1">
        <f>Prices!E308</f>
        <v>32.82</v>
      </c>
      <c r="F310" s="1">
        <f>Prices!F308</f>
        <v>239.5</v>
      </c>
      <c r="G310" s="9">
        <f t="shared" si="12"/>
        <v>2123.6330004599999</v>
      </c>
      <c r="H310" s="9">
        <f t="shared" si="12"/>
        <v>26.859399960000001</v>
      </c>
      <c r="I310" s="9">
        <f t="shared" si="12"/>
        <v>44.672600020000012</v>
      </c>
      <c r="J310" s="9">
        <f t="shared" si="12"/>
        <v>33.230999900000008</v>
      </c>
      <c r="K310" s="9">
        <f t="shared" si="12"/>
        <v>253.66400173999995</v>
      </c>
      <c r="L310" s="9">
        <f t="shared" si="13"/>
        <v>1907.5159478599994</v>
      </c>
      <c r="M310" s="9">
        <f t="shared" si="13"/>
        <v>34.804349870000003</v>
      </c>
      <c r="N310" s="9">
        <f t="shared" si="13"/>
        <v>51.392749949999988</v>
      </c>
      <c r="O310" s="9">
        <f t="shared" si="13"/>
        <v>50.631649955</v>
      </c>
      <c r="P310" s="9">
        <f t="shared" si="13"/>
        <v>362.32050070499986</v>
      </c>
    </row>
    <row r="311" spans="1:16" x14ac:dyDescent="0.35">
      <c r="A311" s="2">
        <f>Prices!A309</f>
        <v>44335</v>
      </c>
      <c r="B311" s="1">
        <f>Prices!B309</f>
        <v>2449.330078</v>
      </c>
      <c r="C311" s="1">
        <f>Prices!C309</f>
        <v>24.9</v>
      </c>
      <c r="D311" s="1">
        <f>Prices!D309</f>
        <v>51.82</v>
      </c>
      <c r="E311" s="1">
        <f>Prices!E309</f>
        <v>32.159999999999997</v>
      </c>
      <c r="F311" s="1">
        <f>Prices!F309</f>
        <v>239</v>
      </c>
      <c r="G311" s="9">
        <f t="shared" si="12"/>
        <v>2134.1364013399998</v>
      </c>
      <c r="H311" s="9">
        <f t="shared" si="12"/>
        <v>26.7194</v>
      </c>
      <c r="I311" s="9">
        <f t="shared" si="12"/>
        <v>44.77779997999999</v>
      </c>
      <c r="J311" s="9">
        <f t="shared" si="12"/>
        <v>33.049999920000012</v>
      </c>
      <c r="K311" s="9">
        <f t="shared" si="12"/>
        <v>251.42200161999997</v>
      </c>
      <c r="L311" s="9">
        <f t="shared" si="13"/>
        <v>1910.3706481799995</v>
      </c>
      <c r="M311" s="9">
        <f t="shared" si="13"/>
        <v>34.732049865</v>
      </c>
      <c r="N311" s="9">
        <f t="shared" si="13"/>
        <v>51.377199944999994</v>
      </c>
      <c r="O311" s="9">
        <f t="shared" si="13"/>
        <v>50.501849960000008</v>
      </c>
      <c r="P311" s="9">
        <f t="shared" si="13"/>
        <v>361.51400076499988</v>
      </c>
    </row>
    <row r="312" spans="1:16" x14ac:dyDescent="0.35">
      <c r="A312" s="2">
        <f>Prices!A310</f>
        <v>44336</v>
      </c>
      <c r="B312" s="1">
        <f>Prices!B310</f>
        <v>2497.9399410000001</v>
      </c>
      <c r="C312" s="1">
        <f>Prices!C310</f>
        <v>25.129999000000002</v>
      </c>
      <c r="D312" s="1">
        <f>Prices!D310</f>
        <v>52.389999000000003</v>
      </c>
      <c r="E312" s="1">
        <f>Prices!E310</f>
        <v>33.450001</v>
      </c>
      <c r="F312" s="1">
        <f>Prices!F310</f>
        <v>237</v>
      </c>
      <c r="G312" s="9">
        <f t="shared" ref="G312:K327" si="14">AVERAGE(B262:B311)</f>
        <v>2147.1108031999997</v>
      </c>
      <c r="H312" s="9">
        <f t="shared" si="14"/>
        <v>26.608399980000005</v>
      </c>
      <c r="I312" s="9">
        <f t="shared" si="14"/>
        <v>44.977999959999998</v>
      </c>
      <c r="J312" s="9">
        <f t="shared" si="14"/>
        <v>32.999599920000009</v>
      </c>
      <c r="K312" s="9">
        <f t="shared" si="14"/>
        <v>249.34200161999996</v>
      </c>
      <c r="L312" s="9">
        <f t="shared" ref="L312:P327" si="15">AVERAGE(B112:B311)</f>
        <v>1913.5010986199995</v>
      </c>
      <c r="M312" s="9">
        <f t="shared" si="15"/>
        <v>34.659749860000005</v>
      </c>
      <c r="N312" s="9">
        <f t="shared" si="15"/>
        <v>51.369899949999983</v>
      </c>
      <c r="O312" s="9">
        <f t="shared" si="15"/>
        <v>50.37059996</v>
      </c>
      <c r="P312" s="9">
        <f t="shared" si="15"/>
        <v>360.78450079499993</v>
      </c>
    </row>
    <row r="313" spans="1:16" x14ac:dyDescent="0.35">
      <c r="A313" s="2">
        <f>Prices!A311</f>
        <v>44337</v>
      </c>
      <c r="B313" s="1">
        <f>Prices!B311</f>
        <v>2446.73999</v>
      </c>
      <c r="C313" s="1">
        <f>Prices!C311</f>
        <v>24.4</v>
      </c>
      <c r="D313" s="1">
        <f>Prices!D311</f>
        <v>51.82</v>
      </c>
      <c r="E313" s="1">
        <f>Prices!E311</f>
        <v>32.439999</v>
      </c>
      <c r="F313" s="1">
        <f>Prices!F311</f>
        <v>236.10000600000001</v>
      </c>
      <c r="G313" s="9">
        <f t="shared" si="14"/>
        <v>2159.2332030999996</v>
      </c>
      <c r="H313" s="9">
        <f t="shared" si="14"/>
        <v>26.477599960000003</v>
      </c>
      <c r="I313" s="9">
        <f t="shared" si="14"/>
        <v>45.109799960000004</v>
      </c>
      <c r="J313" s="9">
        <f t="shared" si="14"/>
        <v>32.929399960000005</v>
      </c>
      <c r="K313" s="9">
        <f t="shared" si="14"/>
        <v>247.92200161999997</v>
      </c>
      <c r="L313" s="9">
        <f t="shared" si="15"/>
        <v>1917.1651483000001</v>
      </c>
      <c r="M313" s="9">
        <f t="shared" si="15"/>
        <v>34.595449844999997</v>
      </c>
      <c r="N313" s="9">
        <f t="shared" si="15"/>
        <v>51.371149949999996</v>
      </c>
      <c r="O313" s="9">
        <f t="shared" si="15"/>
        <v>50.252499964999991</v>
      </c>
      <c r="P313" s="9">
        <f t="shared" si="15"/>
        <v>360.06100073499999</v>
      </c>
    </row>
    <row r="314" spans="1:16" x14ac:dyDescent="0.35">
      <c r="A314" s="2">
        <f>Prices!A312</f>
        <v>44338</v>
      </c>
      <c r="B314" s="1">
        <f>Prices!B312</f>
        <v>2436.8798830000001</v>
      </c>
      <c r="C314" s="1">
        <f>Prices!C312</f>
        <v>22.969999000000001</v>
      </c>
      <c r="D314" s="1">
        <f>Prices!D312</f>
        <v>52.119999</v>
      </c>
      <c r="E314" s="1">
        <f>Prices!E312</f>
        <v>32.240001999999997</v>
      </c>
      <c r="F314" s="1">
        <f>Prices!F312</f>
        <v>248.39999399999999</v>
      </c>
      <c r="G314" s="9">
        <f t="shared" si="14"/>
        <v>2171.7508032000001</v>
      </c>
      <c r="H314" s="9">
        <f t="shared" si="14"/>
        <v>26.347399960000004</v>
      </c>
      <c r="I314" s="9">
        <f t="shared" si="14"/>
        <v>45.29199998</v>
      </c>
      <c r="J314" s="9">
        <f t="shared" si="14"/>
        <v>32.888399900000003</v>
      </c>
      <c r="K314" s="9">
        <f t="shared" si="14"/>
        <v>246.32200161999998</v>
      </c>
      <c r="L314" s="9">
        <f t="shared" si="15"/>
        <v>1920.4596984699997</v>
      </c>
      <c r="M314" s="9">
        <f t="shared" si="15"/>
        <v>34.525849844999996</v>
      </c>
      <c r="N314" s="9">
        <f t="shared" si="15"/>
        <v>51.369549955000004</v>
      </c>
      <c r="O314" s="9">
        <f t="shared" si="15"/>
        <v>50.128199964999986</v>
      </c>
      <c r="P314" s="9">
        <f t="shared" si="15"/>
        <v>359.33150076499993</v>
      </c>
    </row>
    <row r="315" spans="1:16" x14ac:dyDescent="0.35">
      <c r="A315" s="2">
        <f>Prices!A313</f>
        <v>44342</v>
      </c>
      <c r="B315" s="1">
        <f>Prices!B313</f>
        <v>2421.860107</v>
      </c>
      <c r="C315" s="1">
        <f>Prices!C313</f>
        <v>23.809999000000001</v>
      </c>
      <c r="D315" s="1">
        <f>Prices!D313</f>
        <v>51.459999000000003</v>
      </c>
      <c r="E315" s="1">
        <f>Prices!E313</f>
        <v>32.689999</v>
      </c>
      <c r="F315" s="1">
        <f>Prices!F313</f>
        <v>262.60000600000001</v>
      </c>
      <c r="G315" s="9">
        <f t="shared" si="14"/>
        <v>2186.9562011600001</v>
      </c>
      <c r="H315" s="9">
        <f t="shared" si="14"/>
        <v>26.235799960000008</v>
      </c>
      <c r="I315" s="9">
        <f t="shared" si="14"/>
        <v>45.557199940000004</v>
      </c>
      <c r="J315" s="9">
        <f t="shared" si="14"/>
        <v>32.946599939999999</v>
      </c>
      <c r="K315" s="9">
        <f t="shared" si="14"/>
        <v>245.07000149999999</v>
      </c>
      <c r="L315" s="9">
        <f t="shared" si="15"/>
        <v>1923.6770977649999</v>
      </c>
      <c r="M315" s="9">
        <f t="shared" si="15"/>
        <v>34.449349839999996</v>
      </c>
      <c r="N315" s="9">
        <f t="shared" si="15"/>
        <v>51.372349945000003</v>
      </c>
      <c r="O315" s="9">
        <f t="shared" si="15"/>
        <v>50.004049974999987</v>
      </c>
      <c r="P315" s="9">
        <f t="shared" si="15"/>
        <v>358.62950079500007</v>
      </c>
    </row>
    <row r="316" spans="1:16" x14ac:dyDescent="0.35">
      <c r="A316" s="2">
        <f>Prices!A314</f>
        <v>44343</v>
      </c>
      <c r="B316" s="1">
        <f>Prices!B314</f>
        <v>2410.389893</v>
      </c>
      <c r="C316" s="1">
        <f>Prices!C314</f>
        <v>24.17</v>
      </c>
      <c r="D316" s="1">
        <f>Prices!D314</f>
        <v>52.34</v>
      </c>
      <c r="E316" s="1">
        <f>Prices!E314</f>
        <v>32.979999999999997</v>
      </c>
      <c r="F316" s="1">
        <f>Prices!F314</f>
        <v>261.89999399999999</v>
      </c>
      <c r="G316" s="9">
        <f t="shared" si="14"/>
        <v>2199.6934032999998</v>
      </c>
      <c r="H316" s="9">
        <f t="shared" si="14"/>
        <v>26.113999940000006</v>
      </c>
      <c r="I316" s="9">
        <f t="shared" si="14"/>
        <v>45.708399880000009</v>
      </c>
      <c r="J316" s="9">
        <f t="shared" si="14"/>
        <v>32.998799920000003</v>
      </c>
      <c r="K316" s="9">
        <f t="shared" si="14"/>
        <v>244.88200162000001</v>
      </c>
      <c r="L316" s="9">
        <f t="shared" si="15"/>
        <v>1926.6219482249999</v>
      </c>
      <c r="M316" s="9">
        <f t="shared" si="15"/>
        <v>34.376649844999996</v>
      </c>
      <c r="N316" s="9">
        <f t="shared" si="15"/>
        <v>51.376399930000005</v>
      </c>
      <c r="O316" s="9">
        <f t="shared" si="15"/>
        <v>49.877399969999978</v>
      </c>
      <c r="P316" s="9">
        <f t="shared" si="15"/>
        <v>358.02700079499999</v>
      </c>
    </row>
    <row r="317" spans="1:16" x14ac:dyDescent="0.35">
      <c r="A317" s="2">
        <f>Prices!A315</f>
        <v>44344</v>
      </c>
      <c r="B317" s="1">
        <f>Prices!B315</f>
        <v>2401.1000979999999</v>
      </c>
      <c r="C317" s="1">
        <f>Prices!C315</f>
        <v>23.59</v>
      </c>
      <c r="D317" s="1">
        <f>Prices!D315</f>
        <v>52.509998000000003</v>
      </c>
      <c r="E317" s="1">
        <f>Prices!E315</f>
        <v>32.610000999999997</v>
      </c>
      <c r="F317" s="1">
        <f>Prices!F315</f>
        <v>247.699997</v>
      </c>
      <c r="G317" s="9">
        <f t="shared" si="14"/>
        <v>2214.11820068</v>
      </c>
      <c r="H317" s="9">
        <f t="shared" si="14"/>
        <v>26.034599960000008</v>
      </c>
      <c r="I317" s="9">
        <f t="shared" si="14"/>
        <v>45.94999992000001</v>
      </c>
      <c r="J317" s="9">
        <f t="shared" si="14"/>
        <v>33.151999920000002</v>
      </c>
      <c r="K317" s="9">
        <f t="shared" si="14"/>
        <v>244.68800138000003</v>
      </c>
      <c r="L317" s="9">
        <f t="shared" si="15"/>
        <v>1929.6359979099998</v>
      </c>
      <c r="M317" s="9">
        <f t="shared" si="15"/>
        <v>34.308599849999993</v>
      </c>
      <c r="N317" s="9">
        <f t="shared" si="15"/>
        <v>51.394199935000003</v>
      </c>
      <c r="O317" s="9">
        <f t="shared" si="15"/>
        <v>49.755799974999974</v>
      </c>
      <c r="P317" s="9">
        <f t="shared" si="15"/>
        <v>357.43700079500007</v>
      </c>
    </row>
    <row r="318" spans="1:16" x14ac:dyDescent="0.35">
      <c r="A318" s="2">
        <f>Prices!A316</f>
        <v>44345</v>
      </c>
      <c r="B318" s="1">
        <f>Prices!B316</f>
        <v>2442.3701169999999</v>
      </c>
      <c r="C318" s="1">
        <f>Prices!C316</f>
        <v>23.049999</v>
      </c>
      <c r="D318" s="1">
        <f>Prices!D316</f>
        <v>53.919998</v>
      </c>
      <c r="E318" s="1">
        <f>Prices!E316</f>
        <v>31.950001</v>
      </c>
      <c r="F318" s="1">
        <f>Prices!F316</f>
        <v>253.10000600000001</v>
      </c>
      <c r="G318" s="9">
        <f t="shared" si="14"/>
        <v>2225.98340332</v>
      </c>
      <c r="H318" s="9">
        <f t="shared" si="14"/>
        <v>25.912399940000004</v>
      </c>
      <c r="I318" s="9">
        <f t="shared" si="14"/>
        <v>46.164399860000003</v>
      </c>
      <c r="J318" s="9">
        <f t="shared" si="14"/>
        <v>33.290999939999999</v>
      </c>
      <c r="K318" s="9">
        <f t="shared" si="14"/>
        <v>244.62000120000002</v>
      </c>
      <c r="L318" s="9">
        <f t="shared" si="15"/>
        <v>1932.71689818</v>
      </c>
      <c r="M318" s="9">
        <f t="shared" si="15"/>
        <v>34.242599844999994</v>
      </c>
      <c r="N318" s="9">
        <f t="shared" si="15"/>
        <v>51.412799920000005</v>
      </c>
      <c r="O318" s="9">
        <f t="shared" si="15"/>
        <v>49.632249979999969</v>
      </c>
      <c r="P318" s="9">
        <f t="shared" si="15"/>
        <v>356.77450071999999</v>
      </c>
    </row>
    <row r="319" spans="1:16" x14ac:dyDescent="0.35">
      <c r="A319" s="2">
        <f>Prices!A317</f>
        <v>44348</v>
      </c>
      <c r="B319" s="1">
        <f>Prices!B317</f>
        <v>2471.040039</v>
      </c>
      <c r="C319" s="1">
        <f>Prices!C317</f>
        <v>23.82</v>
      </c>
      <c r="D319" s="1">
        <f>Prices!D317</f>
        <v>54.869999</v>
      </c>
      <c r="E319" s="1">
        <f>Prices!E317</f>
        <v>33.18</v>
      </c>
      <c r="F319" s="1">
        <f>Prices!F317</f>
        <v>260.89999399999999</v>
      </c>
      <c r="G319" s="9">
        <f t="shared" si="14"/>
        <v>2238.23080566</v>
      </c>
      <c r="H319" s="9">
        <f t="shared" si="14"/>
        <v>25.801399920000009</v>
      </c>
      <c r="I319" s="9">
        <f t="shared" si="14"/>
        <v>46.48219984</v>
      </c>
      <c r="J319" s="9">
        <f t="shared" si="14"/>
        <v>33.497599940000008</v>
      </c>
      <c r="K319" s="9">
        <f t="shared" si="14"/>
        <v>244.73400144000007</v>
      </c>
      <c r="L319" s="9">
        <f t="shared" si="15"/>
        <v>1935.8070489350002</v>
      </c>
      <c r="M319" s="9">
        <f t="shared" si="15"/>
        <v>34.17279984999999</v>
      </c>
      <c r="N319" s="9">
        <f t="shared" si="15"/>
        <v>51.432349920000007</v>
      </c>
      <c r="O319" s="9">
        <f t="shared" si="15"/>
        <v>49.503499979999972</v>
      </c>
      <c r="P319" s="9">
        <f t="shared" si="15"/>
        <v>356.18500074999997</v>
      </c>
    </row>
    <row r="320" spans="1:16" x14ac:dyDescent="0.35">
      <c r="A320" s="2">
        <f>Prices!A318</f>
        <v>44349</v>
      </c>
      <c r="B320" s="1">
        <f>Prices!B318</f>
        <v>2472.4099120000001</v>
      </c>
      <c r="C320" s="1">
        <f>Prices!C318</f>
        <v>24.15</v>
      </c>
      <c r="D320" s="1">
        <f>Prices!D318</f>
        <v>55.75</v>
      </c>
      <c r="E320" s="1">
        <f>Prices!E318</f>
        <v>34</v>
      </c>
      <c r="F320" s="1">
        <f>Prices!F318</f>
        <v>278.89999399999999</v>
      </c>
      <c r="G320" s="9">
        <f t="shared" si="14"/>
        <v>2250.0330053600001</v>
      </c>
      <c r="H320" s="9">
        <f t="shared" si="14"/>
        <v>25.696199920000005</v>
      </c>
      <c r="I320" s="9">
        <f t="shared" si="14"/>
        <v>46.82039984</v>
      </c>
      <c r="J320" s="9">
        <f t="shared" si="14"/>
        <v>33.680399919999999</v>
      </c>
      <c r="K320" s="9">
        <f t="shared" si="14"/>
        <v>245.24600126000001</v>
      </c>
      <c r="L320" s="9">
        <f t="shared" si="15"/>
        <v>1939.3474493250001</v>
      </c>
      <c r="M320" s="9">
        <f t="shared" si="15"/>
        <v>34.111899849999993</v>
      </c>
      <c r="N320" s="9">
        <f t="shared" si="15"/>
        <v>51.463899910000009</v>
      </c>
      <c r="O320" s="9">
        <f t="shared" si="15"/>
        <v>49.387499974999976</v>
      </c>
      <c r="P320" s="9">
        <f t="shared" si="15"/>
        <v>355.70150068999993</v>
      </c>
    </row>
    <row r="321" spans="1:16" x14ac:dyDescent="0.35">
      <c r="A321" s="2">
        <f>Prices!A319</f>
        <v>44350</v>
      </c>
      <c r="B321" s="1">
        <f>Prices!B319</f>
        <v>2478.3999020000001</v>
      </c>
      <c r="C321" s="1">
        <f>Prices!C319</f>
        <v>25.26</v>
      </c>
      <c r="D321" s="1">
        <f>Prices!D319</f>
        <v>56.529998999999997</v>
      </c>
      <c r="E321" s="1">
        <f>Prices!E319</f>
        <v>35.650002000000001</v>
      </c>
      <c r="F321" s="1">
        <f>Prices!F319</f>
        <v>281.20001200000002</v>
      </c>
      <c r="G321" s="9">
        <f t="shared" si="14"/>
        <v>2262.5594042799999</v>
      </c>
      <c r="H321" s="9">
        <f t="shared" si="14"/>
        <v>25.602999940000007</v>
      </c>
      <c r="I321" s="9">
        <f t="shared" si="14"/>
        <v>47.203999839999994</v>
      </c>
      <c r="J321" s="9">
        <f t="shared" si="14"/>
        <v>33.858799920000003</v>
      </c>
      <c r="K321" s="9">
        <f t="shared" si="14"/>
        <v>246.44800108000007</v>
      </c>
      <c r="L321" s="9">
        <f t="shared" si="15"/>
        <v>1942.8288989099999</v>
      </c>
      <c r="M321" s="9">
        <f t="shared" si="15"/>
        <v>34.054449854999987</v>
      </c>
      <c r="N321" s="9">
        <f t="shared" si="15"/>
        <v>51.497799905000008</v>
      </c>
      <c r="O321" s="9">
        <f t="shared" si="15"/>
        <v>49.282049974999978</v>
      </c>
      <c r="P321" s="9">
        <f t="shared" si="15"/>
        <v>355.29250060000004</v>
      </c>
    </row>
    <row r="322" spans="1:16" x14ac:dyDescent="0.35">
      <c r="A322" s="2">
        <f>Prices!A320</f>
        <v>44351</v>
      </c>
      <c r="B322" s="1">
        <f>Prices!B320</f>
        <v>2460.6000979999999</v>
      </c>
      <c r="C322" s="1">
        <f>Prices!C320</f>
        <v>25.15</v>
      </c>
      <c r="D322" s="1">
        <f>Prices!D320</f>
        <v>56.650002000000001</v>
      </c>
      <c r="E322" s="1">
        <f>Prices!E320</f>
        <v>35.57</v>
      </c>
      <c r="F322" s="1">
        <f>Prices!F320</f>
        <v>296.29998799999998</v>
      </c>
      <c r="G322" s="9">
        <f t="shared" si="14"/>
        <v>2274.0708032000002</v>
      </c>
      <c r="H322" s="9">
        <f t="shared" si="14"/>
        <v>25.545599960000004</v>
      </c>
      <c r="I322" s="9">
        <f t="shared" si="14"/>
        <v>47.60619985999999</v>
      </c>
      <c r="J322" s="9">
        <f t="shared" si="14"/>
        <v>34.035199960000007</v>
      </c>
      <c r="K322" s="9">
        <f t="shared" si="14"/>
        <v>247.44000120000001</v>
      </c>
      <c r="L322" s="9">
        <f t="shared" si="15"/>
        <v>1946.2580486900001</v>
      </c>
      <c r="M322" s="9">
        <f t="shared" si="15"/>
        <v>34.000149859999993</v>
      </c>
      <c r="N322" s="9">
        <f t="shared" si="15"/>
        <v>51.536349900000012</v>
      </c>
      <c r="O322" s="9">
        <f t="shared" si="15"/>
        <v>49.182499979999974</v>
      </c>
      <c r="P322" s="9">
        <f t="shared" si="15"/>
        <v>354.88100066000004</v>
      </c>
    </row>
    <row r="323" spans="1:16" x14ac:dyDescent="0.35">
      <c r="A323" s="2">
        <f>Prices!A321</f>
        <v>44352</v>
      </c>
      <c r="B323" s="1">
        <f>Prices!B321</f>
        <v>2483</v>
      </c>
      <c r="C323" s="1">
        <f>Prices!C321</f>
        <v>26.549999</v>
      </c>
      <c r="D323" s="1">
        <f>Prices!D321</f>
        <v>56.549999</v>
      </c>
      <c r="E323" s="1">
        <f>Prices!E321</f>
        <v>37.770000000000003</v>
      </c>
      <c r="F323" s="1">
        <f>Prices!F321</f>
        <v>296.79998799999998</v>
      </c>
      <c r="G323" s="9">
        <f t="shared" si="14"/>
        <v>2284.4808056400002</v>
      </c>
      <c r="H323" s="9">
        <f t="shared" si="14"/>
        <v>25.456799960000009</v>
      </c>
      <c r="I323" s="9">
        <f t="shared" si="14"/>
        <v>47.895799939999989</v>
      </c>
      <c r="J323" s="9">
        <f t="shared" si="14"/>
        <v>34.10439994</v>
      </c>
      <c r="K323" s="9">
        <f t="shared" si="14"/>
        <v>249.14600096000007</v>
      </c>
      <c r="L323" s="9">
        <f t="shared" si="15"/>
        <v>1949.4804492049998</v>
      </c>
      <c r="M323" s="9">
        <f t="shared" si="15"/>
        <v>33.943099854999993</v>
      </c>
      <c r="N323" s="9">
        <f t="shared" si="15"/>
        <v>51.573949905000021</v>
      </c>
      <c r="O323" s="9">
        <f t="shared" si="15"/>
        <v>49.08004997499998</v>
      </c>
      <c r="P323" s="9">
        <f t="shared" si="15"/>
        <v>354.57200057</v>
      </c>
    </row>
    <row r="324" spans="1:16" x14ac:dyDescent="0.35">
      <c r="A324" s="2">
        <f>Prices!A322</f>
        <v>44355</v>
      </c>
      <c r="B324" s="1">
        <f>Prices!B322</f>
        <v>2524.0600589999999</v>
      </c>
      <c r="C324" s="1">
        <f>Prices!C322</f>
        <v>26.67</v>
      </c>
      <c r="D324" s="1">
        <f>Prices!D322</f>
        <v>58.279998999999997</v>
      </c>
      <c r="E324" s="1">
        <f>Prices!E322</f>
        <v>39.290000999999997</v>
      </c>
      <c r="F324" s="1">
        <f>Prices!F322</f>
        <v>290.10000600000001</v>
      </c>
      <c r="G324" s="9">
        <f t="shared" si="14"/>
        <v>2296.42400632</v>
      </c>
      <c r="H324" s="9">
        <f t="shared" si="14"/>
        <v>25.393799920000006</v>
      </c>
      <c r="I324" s="9">
        <f t="shared" si="14"/>
        <v>48.143199919999979</v>
      </c>
      <c r="J324" s="9">
        <f t="shared" si="14"/>
        <v>34.172999940000004</v>
      </c>
      <c r="K324" s="9">
        <f t="shared" si="14"/>
        <v>250.23000060000007</v>
      </c>
      <c r="L324" s="9">
        <f t="shared" si="15"/>
        <v>1952.8885491800002</v>
      </c>
      <c r="M324" s="9">
        <f t="shared" si="15"/>
        <v>33.894999859999992</v>
      </c>
      <c r="N324" s="9">
        <f t="shared" si="15"/>
        <v>51.613099895000033</v>
      </c>
      <c r="O324" s="9">
        <f t="shared" si="15"/>
        <v>48.990599974999981</v>
      </c>
      <c r="P324" s="9">
        <f t="shared" si="15"/>
        <v>354.26350050999991</v>
      </c>
    </row>
    <row r="325" spans="1:16" x14ac:dyDescent="0.35">
      <c r="A325" s="2">
        <f>Prices!A323</f>
        <v>44356</v>
      </c>
      <c r="B325" s="1">
        <f>Prices!B323</f>
        <v>2600.860107</v>
      </c>
      <c r="C325" s="1">
        <f>Prices!C323</f>
        <v>25.75</v>
      </c>
      <c r="D325" s="1">
        <f>Prices!D323</f>
        <v>57.75</v>
      </c>
      <c r="E325" s="1">
        <f>Prices!E323</f>
        <v>37.259998000000003</v>
      </c>
      <c r="F325" s="1">
        <f>Prices!F323</f>
        <v>287.89999399999999</v>
      </c>
      <c r="G325" s="9">
        <f t="shared" si="14"/>
        <v>2307.7954076999995</v>
      </c>
      <c r="H325" s="9">
        <f t="shared" si="14"/>
        <v>25.324599940000006</v>
      </c>
      <c r="I325" s="9">
        <f t="shared" si="14"/>
        <v>48.400799859999978</v>
      </c>
      <c r="J325" s="9">
        <f t="shared" si="14"/>
        <v>34.260199960000001</v>
      </c>
      <c r="K325" s="9">
        <f t="shared" si="14"/>
        <v>250.85800048000007</v>
      </c>
      <c r="L325" s="9">
        <f t="shared" si="15"/>
        <v>1956.3911492800003</v>
      </c>
      <c r="M325" s="9">
        <f t="shared" si="15"/>
        <v>33.847049869999985</v>
      </c>
      <c r="N325" s="9">
        <f t="shared" si="15"/>
        <v>51.662099890000029</v>
      </c>
      <c r="O325" s="9">
        <f t="shared" si="15"/>
        <v>48.90584996999997</v>
      </c>
      <c r="P325" s="9">
        <f t="shared" si="15"/>
        <v>353.90150053999992</v>
      </c>
    </row>
    <row r="326" spans="1:16" x14ac:dyDescent="0.35">
      <c r="A326" s="2">
        <f>Prices!A324</f>
        <v>44357</v>
      </c>
      <c r="B326" s="1">
        <f>Prices!B324</f>
        <v>2647.4499510000001</v>
      </c>
      <c r="C326" s="1">
        <f>Prices!C324</f>
        <v>25.290001</v>
      </c>
      <c r="D326" s="1">
        <f>Prices!D324</f>
        <v>58.57</v>
      </c>
      <c r="E326" s="1">
        <f>Prices!E324</f>
        <v>36.25</v>
      </c>
      <c r="F326" s="1">
        <f>Prices!F324</f>
        <v>275.5</v>
      </c>
      <c r="G326" s="9">
        <f t="shared" si="14"/>
        <v>2321.8106103199998</v>
      </c>
      <c r="H326" s="9">
        <f t="shared" si="14"/>
        <v>25.262199920000008</v>
      </c>
      <c r="I326" s="9">
        <f t="shared" si="14"/>
        <v>48.684399859999978</v>
      </c>
      <c r="J326" s="9">
        <f t="shared" si="14"/>
        <v>34.372599940000001</v>
      </c>
      <c r="K326" s="9">
        <f t="shared" si="14"/>
        <v>251.07600036000002</v>
      </c>
      <c r="L326" s="9">
        <f t="shared" si="15"/>
        <v>1960.3721496450003</v>
      </c>
      <c r="M326" s="9">
        <f t="shared" si="15"/>
        <v>33.794799864999987</v>
      </c>
      <c r="N326" s="9">
        <f t="shared" si="15"/>
        <v>51.708099895000032</v>
      </c>
      <c r="O326" s="9">
        <f t="shared" si="15"/>
        <v>48.812699964999965</v>
      </c>
      <c r="P326" s="9">
        <f t="shared" si="15"/>
        <v>353.53400053999997</v>
      </c>
    </row>
    <row r="327" spans="1:16" x14ac:dyDescent="0.35">
      <c r="A327" s="2">
        <f>Prices!A325</f>
        <v>44358</v>
      </c>
      <c r="B327" s="1">
        <f>Prices!B325</f>
        <v>2557.959961</v>
      </c>
      <c r="C327" s="1">
        <f>Prices!C325</f>
        <v>23.52</v>
      </c>
      <c r="D327" s="1">
        <f>Prices!D325</f>
        <v>55.549999</v>
      </c>
      <c r="E327" s="1">
        <f>Prices!E325</f>
        <v>33.189999</v>
      </c>
      <c r="F327" s="1">
        <f>Prices!F325</f>
        <v>276.5</v>
      </c>
      <c r="G327" s="9">
        <f t="shared" si="14"/>
        <v>2335.4806103199999</v>
      </c>
      <c r="H327" s="9">
        <f t="shared" si="14"/>
        <v>25.190799920000007</v>
      </c>
      <c r="I327" s="9">
        <f t="shared" si="14"/>
        <v>48.957599859999988</v>
      </c>
      <c r="J327" s="9">
        <f t="shared" si="14"/>
        <v>34.428799959999999</v>
      </c>
      <c r="K327" s="9">
        <f t="shared" si="14"/>
        <v>251.21600036000001</v>
      </c>
      <c r="L327" s="9">
        <f t="shared" si="15"/>
        <v>1964.8612994250004</v>
      </c>
      <c r="M327" s="9">
        <f t="shared" si="15"/>
        <v>33.743099864999991</v>
      </c>
      <c r="N327" s="9">
        <f t="shared" si="15"/>
        <v>51.761049895000021</v>
      </c>
      <c r="O327" s="9">
        <f t="shared" si="15"/>
        <v>48.71829995999996</v>
      </c>
      <c r="P327" s="9">
        <f t="shared" si="15"/>
        <v>353.11900054</v>
      </c>
    </row>
    <row r="328" spans="1:16" x14ac:dyDescent="0.35">
      <c r="A328" s="2">
        <f>Prices!A326</f>
        <v>44359</v>
      </c>
      <c r="B328" s="1">
        <f>Prices!B326</f>
        <v>2545.0200199999999</v>
      </c>
      <c r="C328" s="1">
        <f>Prices!C326</f>
        <v>23.98</v>
      </c>
      <c r="D328" s="1">
        <f>Prices!D326</f>
        <v>57.5</v>
      </c>
      <c r="E328" s="1">
        <f>Prices!E326</f>
        <v>34.450001</v>
      </c>
      <c r="F328" s="1">
        <f>Prices!F326</f>
        <v>278.29998799999998</v>
      </c>
      <c r="G328" s="9">
        <f t="shared" ref="G328:K343" si="16">AVERAGE(B278:B327)</f>
        <v>2347.6454101199997</v>
      </c>
      <c r="H328" s="9">
        <f t="shared" si="16"/>
        <v>25.100999920000003</v>
      </c>
      <c r="I328" s="9">
        <f t="shared" si="16"/>
        <v>49.157399819999974</v>
      </c>
      <c r="J328" s="9">
        <f t="shared" si="16"/>
        <v>34.39479996</v>
      </c>
      <c r="K328" s="9">
        <f t="shared" si="16"/>
        <v>251.39000060000001</v>
      </c>
      <c r="L328" s="9">
        <f t="shared" ref="L328:P343" si="17">AVERAGE(B128:B327)</f>
        <v>1968.8067492550003</v>
      </c>
      <c r="M328" s="9">
        <f t="shared" si="17"/>
        <v>33.68269987499999</v>
      </c>
      <c r="N328" s="9">
        <f t="shared" si="17"/>
        <v>51.79704990000004</v>
      </c>
      <c r="O328" s="9">
        <f t="shared" si="17"/>
        <v>48.607699949999969</v>
      </c>
      <c r="P328" s="9">
        <f t="shared" si="17"/>
        <v>352.73400053999995</v>
      </c>
    </row>
    <row r="329" spans="1:16" x14ac:dyDescent="0.35">
      <c r="A329" s="2">
        <f>Prices!A327</f>
        <v>44362</v>
      </c>
      <c r="B329" s="1">
        <f>Prices!B327</f>
        <v>2572.679932</v>
      </c>
      <c r="C329" s="1">
        <f>Prices!C327</f>
        <v>23.82</v>
      </c>
      <c r="D329" s="1">
        <f>Prices!D327</f>
        <v>57.09</v>
      </c>
      <c r="E329" s="1">
        <f>Prices!E327</f>
        <v>34.520000000000003</v>
      </c>
      <c r="F329" s="1">
        <f>Prices!F327</f>
        <v>288.10000600000001</v>
      </c>
      <c r="G329" s="9">
        <f t="shared" si="16"/>
        <v>2360.3918114999997</v>
      </c>
      <c r="H329" s="9">
        <f t="shared" si="16"/>
        <v>25.077799940000006</v>
      </c>
      <c r="I329" s="9">
        <f t="shared" si="16"/>
        <v>49.423999859999974</v>
      </c>
      <c r="J329" s="9">
        <f t="shared" si="16"/>
        <v>34.377599959999998</v>
      </c>
      <c r="K329" s="9">
        <f t="shared" si="16"/>
        <v>251.58600036000004</v>
      </c>
      <c r="L329" s="9">
        <f t="shared" si="17"/>
        <v>1972.7226995750002</v>
      </c>
      <c r="M329" s="9">
        <f t="shared" si="17"/>
        <v>33.62479986999999</v>
      </c>
      <c r="N329" s="9">
        <f t="shared" si="17"/>
        <v>51.843549895000031</v>
      </c>
      <c r="O329" s="9">
        <f t="shared" si="17"/>
        <v>48.505199949999962</v>
      </c>
      <c r="P329" s="9">
        <f t="shared" si="17"/>
        <v>352.35100051000001</v>
      </c>
    </row>
    <row r="330" spans="1:16" x14ac:dyDescent="0.35">
      <c r="A330" s="2">
        <f>Prices!A328</f>
        <v>44363</v>
      </c>
      <c r="B330" s="1">
        <f>Prices!B328</f>
        <v>2615.2700199999999</v>
      </c>
      <c r="C330" s="1">
        <f>Prices!C328</f>
        <v>24.139999</v>
      </c>
      <c r="D330" s="1">
        <f>Prices!D328</f>
        <v>57.450001</v>
      </c>
      <c r="E330" s="1">
        <f>Prices!E328</f>
        <v>34.970001000000003</v>
      </c>
      <c r="F330" s="1">
        <f>Prices!F328</f>
        <v>278.29998799999998</v>
      </c>
      <c r="G330" s="9">
        <f t="shared" si="16"/>
        <v>2373.46881102</v>
      </c>
      <c r="H330" s="9">
        <f t="shared" si="16"/>
        <v>25.063599920000005</v>
      </c>
      <c r="I330" s="9">
        <f t="shared" si="16"/>
        <v>49.645599899999986</v>
      </c>
      <c r="J330" s="9">
        <f t="shared" si="16"/>
        <v>34.28879998</v>
      </c>
      <c r="K330" s="9">
        <f t="shared" si="16"/>
        <v>252.51800048000001</v>
      </c>
      <c r="L330" s="9">
        <f t="shared" si="17"/>
        <v>1976.7648492350002</v>
      </c>
      <c r="M330" s="9">
        <f t="shared" si="17"/>
        <v>33.566249874999983</v>
      </c>
      <c r="N330" s="9">
        <f t="shared" si="17"/>
        <v>51.885499890000027</v>
      </c>
      <c r="O330" s="9">
        <f t="shared" si="17"/>
        <v>48.39939994999996</v>
      </c>
      <c r="P330" s="9">
        <f t="shared" si="17"/>
        <v>352.02100050999996</v>
      </c>
    </row>
    <row r="331" spans="1:16" x14ac:dyDescent="0.35">
      <c r="A331" s="2">
        <f>Prices!A329</f>
        <v>44364</v>
      </c>
      <c r="B331" s="1">
        <f>Prices!B329</f>
        <v>2640.9799800000001</v>
      </c>
      <c r="C331" s="1">
        <f>Prices!C329</f>
        <v>23.91</v>
      </c>
      <c r="D331" s="1">
        <f>Prices!D329</f>
        <v>57.459999000000003</v>
      </c>
      <c r="E331" s="1">
        <f>Prices!E329</f>
        <v>34.189999</v>
      </c>
      <c r="F331" s="1">
        <f>Prices!F329</f>
        <v>278.79998799999998</v>
      </c>
      <c r="G331" s="9">
        <f t="shared" si="16"/>
        <v>2387.6424121</v>
      </c>
      <c r="H331" s="9">
        <f t="shared" si="16"/>
        <v>25.059799900000009</v>
      </c>
      <c r="I331" s="9">
        <f t="shared" si="16"/>
        <v>49.893799899999998</v>
      </c>
      <c r="J331" s="9">
        <f t="shared" si="16"/>
        <v>34.263399959999994</v>
      </c>
      <c r="K331" s="9">
        <f t="shared" si="16"/>
        <v>253.09000030000004</v>
      </c>
      <c r="L331" s="9">
        <f t="shared" si="17"/>
        <v>1980.9091992150002</v>
      </c>
      <c r="M331" s="9">
        <f t="shared" si="17"/>
        <v>33.507149874999982</v>
      </c>
      <c r="N331" s="9">
        <f t="shared" si="17"/>
        <v>51.92644990500002</v>
      </c>
      <c r="O331" s="9">
        <f t="shared" si="17"/>
        <v>48.295749949999966</v>
      </c>
      <c r="P331" s="9">
        <f t="shared" si="17"/>
        <v>351.63400038999998</v>
      </c>
    </row>
    <row r="332" spans="1:16" x14ac:dyDescent="0.35">
      <c r="A332" s="2">
        <f>Prices!A330</f>
        <v>44365</v>
      </c>
      <c r="B332" s="1">
        <f>Prices!B330</f>
        <v>2653.9799800000001</v>
      </c>
      <c r="C332" s="1">
        <f>Prices!C330</f>
        <v>23.700001</v>
      </c>
      <c r="D332" s="1">
        <f>Prices!D330</f>
        <v>56.130001</v>
      </c>
      <c r="E332" s="1">
        <f>Prices!E330</f>
        <v>34.299999</v>
      </c>
      <c r="F332" s="1">
        <f>Prices!F330</f>
        <v>278.70001200000002</v>
      </c>
      <c r="G332" s="9">
        <f t="shared" si="16"/>
        <v>2400.5102123800002</v>
      </c>
      <c r="H332" s="9">
        <f t="shared" si="16"/>
        <v>25.029399900000001</v>
      </c>
      <c r="I332" s="9">
        <f t="shared" si="16"/>
        <v>50.116199880000003</v>
      </c>
      <c r="J332" s="9">
        <f t="shared" si="16"/>
        <v>34.200599899999993</v>
      </c>
      <c r="K332" s="9">
        <f t="shared" si="16"/>
        <v>253.99399994000004</v>
      </c>
      <c r="L332" s="9">
        <f t="shared" si="17"/>
        <v>1985.2326489200004</v>
      </c>
      <c r="M332" s="9">
        <f t="shared" si="17"/>
        <v>33.447199864999988</v>
      </c>
      <c r="N332" s="9">
        <f t="shared" si="17"/>
        <v>51.960849890000027</v>
      </c>
      <c r="O332" s="9">
        <f t="shared" si="17"/>
        <v>48.188699954999969</v>
      </c>
      <c r="P332" s="9">
        <f t="shared" si="17"/>
        <v>351.26650038999992</v>
      </c>
    </row>
    <row r="333" spans="1:16" x14ac:dyDescent="0.35">
      <c r="A333" s="2">
        <f>Prices!A331</f>
        <v>44366</v>
      </c>
      <c r="B333" s="1">
        <f>Prices!B331</f>
        <v>2675.01001</v>
      </c>
      <c r="C333" s="1">
        <f>Prices!C331</f>
        <v>24.059999000000001</v>
      </c>
      <c r="D333" s="1">
        <f>Prices!D331</f>
        <v>55.02</v>
      </c>
      <c r="E333" s="1">
        <f>Prices!E331</f>
        <v>33.939999</v>
      </c>
      <c r="F333" s="1">
        <f>Prices!F331</f>
        <v>274.70001200000002</v>
      </c>
      <c r="G333" s="9">
        <f t="shared" si="16"/>
        <v>2413.3578124599999</v>
      </c>
      <c r="H333" s="9">
        <f t="shared" si="16"/>
        <v>24.991399919999999</v>
      </c>
      <c r="I333" s="9">
        <f t="shared" si="16"/>
        <v>50.324199900000011</v>
      </c>
      <c r="J333" s="9">
        <f t="shared" si="16"/>
        <v>34.141399919999998</v>
      </c>
      <c r="K333" s="9">
        <f t="shared" si="16"/>
        <v>254.64800018000003</v>
      </c>
      <c r="L333" s="9">
        <f t="shared" si="17"/>
        <v>1989.5533489900004</v>
      </c>
      <c r="M333" s="9">
        <f t="shared" si="17"/>
        <v>33.386299864999984</v>
      </c>
      <c r="N333" s="9">
        <f t="shared" si="17"/>
        <v>51.991649890000019</v>
      </c>
      <c r="O333" s="9">
        <f t="shared" si="17"/>
        <v>48.083849949999966</v>
      </c>
      <c r="P333" s="9">
        <f t="shared" si="17"/>
        <v>350.88300047999996</v>
      </c>
    </row>
    <row r="334" spans="1:16" x14ac:dyDescent="0.35">
      <c r="A334" s="2">
        <f>Prices!A332</f>
        <v>44369</v>
      </c>
      <c r="B334" s="1">
        <f>Prices!B332</f>
        <v>2713.820068</v>
      </c>
      <c r="C334" s="1">
        <f>Prices!C332</f>
        <v>23.68</v>
      </c>
      <c r="D334" s="1">
        <f>Prices!D332</f>
        <v>56.119999</v>
      </c>
      <c r="E334" s="1">
        <f>Prices!E332</f>
        <v>34.409999999999997</v>
      </c>
      <c r="F334" s="1">
        <f>Prices!F332</f>
        <v>280.10000600000001</v>
      </c>
      <c r="G334" s="9">
        <f t="shared" si="16"/>
        <v>2425.9980126600003</v>
      </c>
      <c r="H334" s="9">
        <f t="shared" si="16"/>
        <v>24.9523999</v>
      </c>
      <c r="I334" s="9">
        <f t="shared" si="16"/>
        <v>50.504599900000009</v>
      </c>
      <c r="J334" s="9">
        <f t="shared" si="16"/>
        <v>34.058799899999997</v>
      </c>
      <c r="K334" s="9">
        <f t="shared" si="16"/>
        <v>254.80800018000002</v>
      </c>
      <c r="L334" s="9">
        <f t="shared" si="17"/>
        <v>1993.9252990650004</v>
      </c>
      <c r="M334" s="9">
        <f t="shared" si="17"/>
        <v>33.322999854999985</v>
      </c>
      <c r="N334" s="9">
        <f t="shared" si="17"/>
        <v>52.008749900000012</v>
      </c>
      <c r="O334" s="9">
        <f t="shared" si="17"/>
        <v>47.97409994999996</v>
      </c>
      <c r="P334" s="9">
        <f t="shared" si="17"/>
        <v>350.43450056999995</v>
      </c>
    </row>
    <row r="335" spans="1:16" x14ac:dyDescent="0.35">
      <c r="A335" s="2">
        <f>Prices!A333</f>
        <v>44370</v>
      </c>
      <c r="B335" s="1">
        <f>Prices!B333</f>
        <v>2764.4099120000001</v>
      </c>
      <c r="C335" s="1">
        <f>Prices!C333</f>
        <v>24.139999</v>
      </c>
      <c r="D335" s="1">
        <f>Prices!D333</f>
        <v>56.919998</v>
      </c>
      <c r="E335" s="1">
        <f>Prices!E333</f>
        <v>34.849997999999999</v>
      </c>
      <c r="F335" s="1">
        <f>Prices!F333</f>
        <v>269.10000600000001</v>
      </c>
      <c r="G335" s="9">
        <f t="shared" si="16"/>
        <v>2439.4192138200001</v>
      </c>
      <c r="H335" s="9">
        <f t="shared" si="16"/>
        <v>24.890799899999998</v>
      </c>
      <c r="I335" s="9">
        <f t="shared" si="16"/>
        <v>50.673799880000004</v>
      </c>
      <c r="J335" s="9">
        <f t="shared" si="16"/>
        <v>33.988799899999997</v>
      </c>
      <c r="K335" s="9">
        <f t="shared" si="16"/>
        <v>255.33800018000002</v>
      </c>
      <c r="L335" s="9">
        <f t="shared" si="17"/>
        <v>1998.2907995500004</v>
      </c>
      <c r="M335" s="9">
        <f t="shared" si="17"/>
        <v>33.257399859999985</v>
      </c>
      <c r="N335" s="9">
        <f t="shared" si="17"/>
        <v>52.028499905000025</v>
      </c>
      <c r="O335" s="9">
        <f t="shared" si="17"/>
        <v>47.867449939999972</v>
      </c>
      <c r="P335" s="9">
        <f t="shared" si="17"/>
        <v>350.01500059999989</v>
      </c>
    </row>
    <row r="336" spans="1:16" x14ac:dyDescent="0.35">
      <c r="A336" s="2">
        <f>Prices!A334</f>
        <v>44371</v>
      </c>
      <c r="B336" s="1">
        <f>Prices!B334</f>
        <v>2734.3999020000001</v>
      </c>
      <c r="C336" s="1">
        <f>Prices!C334</f>
        <v>23.52</v>
      </c>
      <c r="D336" s="1">
        <f>Prices!D334</f>
        <v>55.630001</v>
      </c>
      <c r="E336" s="1">
        <f>Prices!E334</f>
        <v>33.119999</v>
      </c>
      <c r="F336" s="1">
        <f>Prices!F334</f>
        <v>269</v>
      </c>
      <c r="G336" s="9">
        <f t="shared" si="16"/>
        <v>2451.3300097199999</v>
      </c>
      <c r="H336" s="9">
        <f t="shared" si="16"/>
        <v>24.844799859999998</v>
      </c>
      <c r="I336" s="9">
        <f t="shared" si="16"/>
        <v>50.85479986</v>
      </c>
      <c r="J336" s="9">
        <f t="shared" si="16"/>
        <v>33.938399879999992</v>
      </c>
      <c r="K336" s="9">
        <f t="shared" si="16"/>
        <v>255.42800018000003</v>
      </c>
      <c r="L336" s="9">
        <f t="shared" si="17"/>
        <v>2002.9452990600007</v>
      </c>
      <c r="M336" s="9">
        <f t="shared" si="17"/>
        <v>33.193599844999987</v>
      </c>
      <c r="N336" s="9">
        <f t="shared" si="17"/>
        <v>52.052299895000026</v>
      </c>
      <c r="O336" s="9">
        <f t="shared" si="17"/>
        <v>47.763699939999967</v>
      </c>
      <c r="P336" s="9">
        <f t="shared" si="17"/>
        <v>349.48850065999994</v>
      </c>
    </row>
    <row r="337" spans="1:16" x14ac:dyDescent="0.35">
      <c r="A337" s="2">
        <f>Prices!A335</f>
        <v>44372</v>
      </c>
      <c r="B337" s="1">
        <f>Prices!B335</f>
        <v>2754.580078</v>
      </c>
      <c r="C337" s="1">
        <f>Prices!C335</f>
        <v>24.059999000000001</v>
      </c>
      <c r="D337" s="1">
        <f>Prices!D335</f>
        <v>56.759998000000003</v>
      </c>
      <c r="E337" s="1">
        <f>Prices!E335</f>
        <v>33.889999000000003</v>
      </c>
      <c r="F337" s="1">
        <f>Prices!F335</f>
        <v>269</v>
      </c>
      <c r="G337" s="9">
        <f t="shared" si="16"/>
        <v>2460.3516064</v>
      </c>
      <c r="H337" s="9">
        <f t="shared" si="16"/>
        <v>24.778199859999994</v>
      </c>
      <c r="I337" s="9">
        <f t="shared" si="16"/>
        <v>51.007599840000005</v>
      </c>
      <c r="J337" s="9">
        <f t="shared" si="16"/>
        <v>33.86059989999999</v>
      </c>
      <c r="K337" s="9">
        <f t="shared" si="16"/>
        <v>255.68600006000005</v>
      </c>
      <c r="L337" s="9">
        <f t="shared" si="17"/>
        <v>2007.4605486900007</v>
      </c>
      <c r="M337" s="9">
        <f t="shared" si="17"/>
        <v>33.123949839999995</v>
      </c>
      <c r="N337" s="9">
        <f t="shared" si="17"/>
        <v>52.068499905000024</v>
      </c>
      <c r="O337" s="9">
        <f t="shared" si="17"/>
        <v>47.647999944999974</v>
      </c>
      <c r="P337" s="9">
        <f t="shared" si="17"/>
        <v>348.89650068999987</v>
      </c>
    </row>
    <row r="338" spans="1:16" x14ac:dyDescent="0.35">
      <c r="A338" s="2">
        <f>Prices!A336</f>
        <v>44373</v>
      </c>
      <c r="B338" s="1">
        <f>Prices!B336</f>
        <v>2692.8701169999999</v>
      </c>
      <c r="C338" s="1">
        <f>Prices!C336</f>
        <v>23.360001</v>
      </c>
      <c r="D338" s="1">
        <f>Prices!D336</f>
        <v>55.799999</v>
      </c>
      <c r="E338" s="1">
        <f>Prices!E336</f>
        <v>32.909999999999997</v>
      </c>
      <c r="F338" s="1">
        <f>Prices!F336</f>
        <v>273.89999399999999</v>
      </c>
      <c r="G338" s="9">
        <f t="shared" si="16"/>
        <v>2469.2896093199997</v>
      </c>
      <c r="H338" s="9">
        <f t="shared" si="16"/>
        <v>24.750399819999998</v>
      </c>
      <c r="I338" s="9">
        <f t="shared" si="16"/>
        <v>51.222399800000012</v>
      </c>
      <c r="J338" s="9">
        <f t="shared" si="16"/>
        <v>33.851199859999994</v>
      </c>
      <c r="K338" s="9">
        <f t="shared" si="16"/>
        <v>256.20399994000007</v>
      </c>
      <c r="L338" s="9">
        <f t="shared" si="17"/>
        <v>2012.1306988350009</v>
      </c>
      <c r="M338" s="9">
        <f t="shared" si="17"/>
        <v>33.053649839999991</v>
      </c>
      <c r="N338" s="9">
        <f t="shared" si="17"/>
        <v>52.087999890000027</v>
      </c>
      <c r="O338" s="9">
        <f t="shared" si="17"/>
        <v>47.533399934999977</v>
      </c>
      <c r="P338" s="9">
        <f t="shared" si="17"/>
        <v>348.27800062999989</v>
      </c>
    </row>
    <row r="339" spans="1:16" x14ac:dyDescent="0.35">
      <c r="A339" s="2">
        <f>Prices!A337</f>
        <v>44376</v>
      </c>
      <c r="B339" s="1">
        <f>Prices!B337</f>
        <v>2680.3798830000001</v>
      </c>
      <c r="C339" s="1">
        <f>Prices!C337</f>
        <v>23.59</v>
      </c>
      <c r="D339" s="1">
        <f>Prices!D337</f>
        <v>55.59</v>
      </c>
      <c r="E339" s="1">
        <f>Prices!E337</f>
        <v>33.439999</v>
      </c>
      <c r="F339" s="1">
        <f>Prices!F337</f>
        <v>273.60000600000001</v>
      </c>
      <c r="G339" s="9">
        <f t="shared" si="16"/>
        <v>2474.9832128400003</v>
      </c>
      <c r="H339" s="9">
        <f t="shared" si="16"/>
        <v>24.71239984</v>
      </c>
      <c r="I339" s="9">
        <f t="shared" si="16"/>
        <v>51.408999760000007</v>
      </c>
      <c r="J339" s="9">
        <f t="shared" si="16"/>
        <v>33.857399899999997</v>
      </c>
      <c r="K339" s="9">
        <f t="shared" si="16"/>
        <v>256.85999970000006</v>
      </c>
      <c r="L339" s="9">
        <f t="shared" si="17"/>
        <v>2016.4800994700011</v>
      </c>
      <c r="M339" s="9">
        <f t="shared" si="17"/>
        <v>32.977449854999989</v>
      </c>
      <c r="N339" s="9">
        <f t="shared" si="17"/>
        <v>52.100799875000021</v>
      </c>
      <c r="O339" s="9">
        <f t="shared" si="17"/>
        <v>47.415449934999977</v>
      </c>
      <c r="P339" s="9">
        <f t="shared" si="17"/>
        <v>347.69450056999989</v>
      </c>
    </row>
    <row r="340" spans="1:16" x14ac:dyDescent="0.35">
      <c r="A340" s="2">
        <f>Prices!A338</f>
        <v>44377</v>
      </c>
      <c r="B340" s="1">
        <f>Prices!B338</f>
        <v>2758.820068</v>
      </c>
      <c r="C340" s="1">
        <f>Prices!C338</f>
        <v>23.33</v>
      </c>
      <c r="D340" s="1">
        <f>Prices!D338</f>
        <v>56.18</v>
      </c>
      <c r="E340" s="1">
        <f>Prices!E338</f>
        <v>32.689999</v>
      </c>
      <c r="F340" s="1">
        <f>Prices!F338</f>
        <v>273.29998799999998</v>
      </c>
      <c r="G340" s="9">
        <f t="shared" si="16"/>
        <v>2481.0908105000003</v>
      </c>
      <c r="H340" s="9">
        <f t="shared" si="16"/>
        <v>24.664999859999998</v>
      </c>
      <c r="I340" s="9">
        <f t="shared" si="16"/>
        <v>51.567999780000008</v>
      </c>
      <c r="J340" s="9">
        <f t="shared" si="16"/>
        <v>33.816599879999991</v>
      </c>
      <c r="K340" s="9">
        <f t="shared" si="16"/>
        <v>257.37599976000007</v>
      </c>
      <c r="L340" s="9">
        <f t="shared" si="17"/>
        <v>2020.6642486400008</v>
      </c>
      <c r="M340" s="9">
        <f t="shared" si="17"/>
        <v>32.901699844999996</v>
      </c>
      <c r="N340" s="9">
        <f t="shared" si="17"/>
        <v>52.110299880000021</v>
      </c>
      <c r="O340" s="9">
        <f t="shared" si="17"/>
        <v>47.299899934999985</v>
      </c>
      <c r="P340" s="9">
        <f t="shared" si="17"/>
        <v>347.05750059999986</v>
      </c>
    </row>
    <row r="341" spans="1:16" x14ac:dyDescent="0.35">
      <c r="A341" s="2">
        <f>Prices!A339</f>
        <v>44378</v>
      </c>
      <c r="B341" s="1">
        <f>Prices!B339</f>
        <v>2878.6999510000001</v>
      </c>
      <c r="C341" s="1">
        <f>Prices!C339</f>
        <v>23.200001</v>
      </c>
      <c r="D341" s="1">
        <f>Prices!D339</f>
        <v>55.98</v>
      </c>
      <c r="E341" s="1">
        <f>Prices!E339</f>
        <v>32.770000000000003</v>
      </c>
      <c r="F341" s="1">
        <f>Prices!F339</f>
        <v>278.70001200000002</v>
      </c>
      <c r="G341" s="9">
        <f t="shared" si="16"/>
        <v>2488.3950097200004</v>
      </c>
      <c r="H341" s="9">
        <f t="shared" si="16"/>
        <v>24.621199859999997</v>
      </c>
      <c r="I341" s="9">
        <f t="shared" si="16"/>
        <v>51.763599739999997</v>
      </c>
      <c r="J341" s="9">
        <f t="shared" si="16"/>
        <v>33.800799859999991</v>
      </c>
      <c r="K341" s="9">
        <f t="shared" si="16"/>
        <v>257.97399964000005</v>
      </c>
      <c r="L341" s="9">
        <f t="shared" si="17"/>
        <v>2025.2616491500005</v>
      </c>
      <c r="M341" s="9">
        <f t="shared" si="17"/>
        <v>32.822649849999998</v>
      </c>
      <c r="N341" s="9">
        <f t="shared" si="17"/>
        <v>52.116949890000015</v>
      </c>
      <c r="O341" s="9">
        <f t="shared" si="17"/>
        <v>47.178999934999986</v>
      </c>
      <c r="P341" s="9">
        <f t="shared" si="17"/>
        <v>346.45150053999981</v>
      </c>
    </row>
    <row r="342" spans="1:16" x14ac:dyDescent="0.35">
      <c r="A342" s="2">
        <f>Prices!A340</f>
        <v>44379</v>
      </c>
      <c r="B342" s="1">
        <f>Prices!B340</f>
        <v>2890.3000489999999</v>
      </c>
      <c r="C342" s="1">
        <f>Prices!C340</f>
        <v>24.26</v>
      </c>
      <c r="D342" s="1">
        <f>Prices!D340</f>
        <v>56.290000999999997</v>
      </c>
      <c r="E342" s="1">
        <f>Prices!E340</f>
        <v>32.900002000000001</v>
      </c>
      <c r="F342" s="1">
        <f>Prices!F340</f>
        <v>273.5</v>
      </c>
      <c r="G342" s="9">
        <f t="shared" si="16"/>
        <v>2499.4066064000003</v>
      </c>
      <c r="H342" s="9">
        <f t="shared" si="16"/>
        <v>24.591599879999993</v>
      </c>
      <c r="I342" s="9">
        <f t="shared" si="16"/>
        <v>51.990599719999999</v>
      </c>
      <c r="J342" s="9">
        <f t="shared" si="16"/>
        <v>33.797599859999991</v>
      </c>
      <c r="K342" s="9">
        <f t="shared" si="16"/>
        <v>258.81799988</v>
      </c>
      <c r="L342" s="9">
        <f t="shared" si="17"/>
        <v>2030.6159490750006</v>
      </c>
      <c r="M342" s="9">
        <f t="shared" si="17"/>
        <v>32.74669986</v>
      </c>
      <c r="N342" s="9">
        <f t="shared" si="17"/>
        <v>52.128599880000017</v>
      </c>
      <c r="O342" s="9">
        <f t="shared" si="17"/>
        <v>47.052899924999991</v>
      </c>
      <c r="P342" s="9">
        <f t="shared" si="17"/>
        <v>345.90150053999986</v>
      </c>
    </row>
    <row r="343" spans="1:16" x14ac:dyDescent="0.35">
      <c r="A343" s="2">
        <f>Prices!A341</f>
        <v>44383</v>
      </c>
      <c r="B343" s="1">
        <f>Prices!B341</f>
        <v>3057.040039</v>
      </c>
      <c r="C343" s="1">
        <f>Prices!C341</f>
        <v>25.639999</v>
      </c>
      <c r="D343" s="1">
        <f>Prices!D341</f>
        <v>56.950001</v>
      </c>
      <c r="E343" s="1">
        <f>Prices!E341</f>
        <v>33.450001</v>
      </c>
      <c r="F343" s="1">
        <f>Prices!F341</f>
        <v>283.39999399999999</v>
      </c>
      <c r="G343" s="9">
        <f t="shared" si="16"/>
        <v>2509.9428075800006</v>
      </c>
      <c r="H343" s="9">
        <f t="shared" si="16"/>
        <v>24.577399899999993</v>
      </c>
      <c r="I343" s="9">
        <f t="shared" si="16"/>
        <v>52.190599720000002</v>
      </c>
      <c r="J343" s="9">
        <f t="shared" si="16"/>
        <v>33.758399879999992</v>
      </c>
      <c r="K343" s="9">
        <f t="shared" si="16"/>
        <v>259.53799988000009</v>
      </c>
      <c r="L343" s="9">
        <f t="shared" si="17"/>
        <v>2035.9546990750005</v>
      </c>
      <c r="M343" s="9">
        <f t="shared" si="17"/>
        <v>32.676499865000004</v>
      </c>
      <c r="N343" s="9">
        <f t="shared" si="17"/>
        <v>52.141999880000022</v>
      </c>
      <c r="O343" s="9">
        <f t="shared" si="17"/>
        <v>46.926949934999996</v>
      </c>
      <c r="P343" s="9">
        <f t="shared" si="17"/>
        <v>345.32900053999992</v>
      </c>
    </row>
    <row r="344" spans="1:16" x14ac:dyDescent="0.35">
      <c r="A344" s="2">
        <f>Prices!A342</f>
        <v>44384</v>
      </c>
      <c r="B344" s="1">
        <f>Prices!B342</f>
        <v>3000.1201169999999</v>
      </c>
      <c r="C344" s="1">
        <f>Prices!C342</f>
        <v>24.6</v>
      </c>
      <c r="D344" s="1">
        <f>Prices!D342</f>
        <v>56.91</v>
      </c>
      <c r="E344" s="1">
        <f>Prices!E342</f>
        <v>32.630001</v>
      </c>
      <c r="F344" s="1">
        <f>Prices!F342</f>
        <v>284.89999399999999</v>
      </c>
      <c r="G344" s="9">
        <f t="shared" ref="G344:K359" si="18">AVERAGE(B294:B343)</f>
        <v>2523.0946093399998</v>
      </c>
      <c r="H344" s="9">
        <f t="shared" si="18"/>
        <v>24.58999987999999</v>
      </c>
      <c r="I344" s="9">
        <f t="shared" si="18"/>
        <v>52.408799719999998</v>
      </c>
      <c r="J344" s="9">
        <f t="shared" si="18"/>
        <v>33.724199899999995</v>
      </c>
      <c r="K344" s="9">
        <f t="shared" si="18"/>
        <v>260.44599976000006</v>
      </c>
      <c r="L344" s="9">
        <f t="shared" ref="L344:P359" si="19">AVERAGE(B144:B343)</f>
        <v>2042.1525994650003</v>
      </c>
      <c r="M344" s="9">
        <f t="shared" si="19"/>
        <v>32.613699855</v>
      </c>
      <c r="N344" s="9">
        <f t="shared" si="19"/>
        <v>52.161499890000023</v>
      </c>
      <c r="O344" s="9">
        <f t="shared" si="19"/>
        <v>46.803099934999985</v>
      </c>
      <c r="P344" s="9">
        <f t="shared" si="19"/>
        <v>344.80300047999992</v>
      </c>
    </row>
    <row r="345" spans="1:16" x14ac:dyDescent="0.35">
      <c r="A345" s="2">
        <f>Prices!A343</f>
        <v>44385</v>
      </c>
      <c r="B345" s="1">
        <f>Prices!B343</f>
        <v>3081.110107</v>
      </c>
      <c r="C345" s="1">
        <f>Prices!C343</f>
        <v>24.09</v>
      </c>
      <c r="D345" s="1">
        <f>Prices!D343</f>
        <v>58.299999</v>
      </c>
      <c r="E345" s="1">
        <f>Prices!E343</f>
        <v>32.75</v>
      </c>
      <c r="F345" s="1">
        <f>Prices!F343</f>
        <v>281.5</v>
      </c>
      <c r="G345" s="9">
        <f t="shared" si="18"/>
        <v>2534.8926122600001</v>
      </c>
      <c r="H345" s="9">
        <f t="shared" si="18"/>
        <v>24.58239987999999</v>
      </c>
      <c r="I345" s="9">
        <f t="shared" si="18"/>
        <v>52.616999719999995</v>
      </c>
      <c r="J345" s="9">
        <f t="shared" si="18"/>
        <v>33.676199939999989</v>
      </c>
      <c r="K345" s="9">
        <f t="shared" si="18"/>
        <v>261.53599976000004</v>
      </c>
      <c r="L345" s="9">
        <f t="shared" si="19"/>
        <v>2048.0457000500005</v>
      </c>
      <c r="M345" s="9">
        <f t="shared" si="19"/>
        <v>32.545549854999997</v>
      </c>
      <c r="N345" s="9">
        <f t="shared" si="19"/>
        <v>52.181499890000012</v>
      </c>
      <c r="O345" s="9">
        <f t="shared" si="19"/>
        <v>46.674699934999978</v>
      </c>
      <c r="P345" s="9">
        <f t="shared" si="19"/>
        <v>344.28050048</v>
      </c>
    </row>
    <row r="346" spans="1:16" x14ac:dyDescent="0.35">
      <c r="A346" s="2">
        <f>Prices!A344</f>
        <v>44386</v>
      </c>
      <c r="B346" s="1">
        <f>Prices!B344</f>
        <v>3182.6298830000001</v>
      </c>
      <c r="C346" s="1">
        <f>Prices!C344</f>
        <v>23.52</v>
      </c>
      <c r="D346" s="1">
        <f>Prices!D344</f>
        <v>57.959999000000003</v>
      </c>
      <c r="E346" s="1">
        <f>Prices!E344</f>
        <v>31.280000999999999</v>
      </c>
      <c r="F346" s="1">
        <f>Prices!F344</f>
        <v>279.29998799999998</v>
      </c>
      <c r="G346" s="9">
        <f t="shared" si="18"/>
        <v>2548.9948144</v>
      </c>
      <c r="H346" s="9">
        <f t="shared" si="18"/>
        <v>24.547799879999985</v>
      </c>
      <c r="I346" s="9">
        <f t="shared" si="18"/>
        <v>52.845199720000004</v>
      </c>
      <c r="J346" s="9">
        <f t="shared" si="18"/>
        <v>33.61479993999999</v>
      </c>
      <c r="K346" s="9">
        <f t="shared" si="18"/>
        <v>262.38999970000003</v>
      </c>
      <c r="L346" s="9">
        <f t="shared" si="19"/>
        <v>2054.4804504150002</v>
      </c>
      <c r="M346" s="9">
        <f t="shared" si="19"/>
        <v>32.475199855</v>
      </c>
      <c r="N346" s="9">
        <f t="shared" si="19"/>
        <v>52.208899885000022</v>
      </c>
      <c r="O346" s="9">
        <f t="shared" si="19"/>
        <v>46.546049934999992</v>
      </c>
      <c r="P346" s="9">
        <f t="shared" si="19"/>
        <v>343.74750045000002</v>
      </c>
    </row>
    <row r="347" spans="1:16" x14ac:dyDescent="0.35">
      <c r="A347" s="2">
        <f>Prices!A345</f>
        <v>44387</v>
      </c>
      <c r="B347" s="1">
        <f>Prices!B345</f>
        <v>3200</v>
      </c>
      <c r="C347" s="1">
        <f>Prices!C345</f>
        <v>23.879999000000002</v>
      </c>
      <c r="D347" s="1">
        <f>Prices!D345</f>
        <v>58.900002000000001</v>
      </c>
      <c r="E347" s="1">
        <f>Prices!E345</f>
        <v>32.209999000000003</v>
      </c>
      <c r="F347" s="1">
        <f>Prices!F345</f>
        <v>282.79998799999998</v>
      </c>
      <c r="G347" s="9">
        <f t="shared" si="18"/>
        <v>2566.3658105</v>
      </c>
      <c r="H347" s="9">
        <f t="shared" si="18"/>
        <v>24.500599899999983</v>
      </c>
      <c r="I347" s="9">
        <f t="shared" si="18"/>
        <v>53.065199720000003</v>
      </c>
      <c r="J347" s="9">
        <f t="shared" si="18"/>
        <v>33.520399959999992</v>
      </c>
      <c r="K347" s="9">
        <f t="shared" si="18"/>
        <v>262.98599946000002</v>
      </c>
      <c r="L347" s="9">
        <f t="shared" si="19"/>
        <v>2061.4670995850001</v>
      </c>
      <c r="M347" s="9">
        <f t="shared" si="19"/>
        <v>32.402249850000004</v>
      </c>
      <c r="N347" s="9">
        <f t="shared" si="19"/>
        <v>52.233749870000018</v>
      </c>
      <c r="O347" s="9">
        <f t="shared" si="19"/>
        <v>46.40994993999999</v>
      </c>
      <c r="P347" s="9">
        <f t="shared" si="19"/>
        <v>343.20300033000001</v>
      </c>
    </row>
    <row r="348" spans="1:16" x14ac:dyDescent="0.35">
      <c r="A348" s="2">
        <f>Prices!A346</f>
        <v>44390</v>
      </c>
      <c r="B348" s="1">
        <f>Prices!B346</f>
        <v>3104</v>
      </c>
      <c r="C348" s="1">
        <f>Prices!C346</f>
        <v>23.889999</v>
      </c>
      <c r="D348" s="1">
        <f>Prices!D346</f>
        <v>58.75</v>
      </c>
      <c r="E348" s="1">
        <f>Prices!E346</f>
        <v>32.409999999999997</v>
      </c>
      <c r="F348" s="1">
        <f>Prices!F346</f>
        <v>286.39999399999999</v>
      </c>
      <c r="G348" s="9">
        <f t="shared" si="18"/>
        <v>2582.9116112800002</v>
      </c>
      <c r="H348" s="9">
        <f t="shared" si="18"/>
        <v>24.446599879999987</v>
      </c>
      <c r="I348" s="9">
        <f t="shared" si="18"/>
        <v>53.265799779999995</v>
      </c>
      <c r="J348" s="9">
        <f t="shared" si="18"/>
        <v>33.404399979999994</v>
      </c>
      <c r="K348" s="9">
        <f t="shared" si="18"/>
        <v>263.44799898000002</v>
      </c>
      <c r="L348" s="9">
        <f t="shared" si="19"/>
        <v>2068.7590496600001</v>
      </c>
      <c r="M348" s="9">
        <f t="shared" si="19"/>
        <v>32.332099845000002</v>
      </c>
      <c r="N348" s="9">
        <f t="shared" si="19"/>
        <v>52.271149890000025</v>
      </c>
      <c r="O348" s="9">
        <f t="shared" si="19"/>
        <v>46.281549939999998</v>
      </c>
      <c r="P348" s="9">
        <f t="shared" si="19"/>
        <v>342.67950027000001</v>
      </c>
    </row>
    <row r="349" spans="1:16" x14ac:dyDescent="0.35">
      <c r="A349" s="2">
        <f>Prices!A347</f>
        <v>44391</v>
      </c>
      <c r="B349" s="1">
        <f>Prices!B347</f>
        <v>3084</v>
      </c>
      <c r="C349" s="1">
        <f>Prices!C347</f>
        <v>23.950001</v>
      </c>
      <c r="D349" s="1">
        <f>Prices!D347</f>
        <v>60.84</v>
      </c>
      <c r="E349" s="1">
        <f>Prices!E347</f>
        <v>33.509998000000003</v>
      </c>
      <c r="F349" s="1">
        <f>Prices!F347</f>
        <v>289.29998799999998</v>
      </c>
      <c r="G349" s="9">
        <f t="shared" si="18"/>
        <v>2595.5116112800001</v>
      </c>
      <c r="H349" s="9">
        <f t="shared" si="18"/>
        <v>24.409799859999989</v>
      </c>
      <c r="I349" s="9">
        <f t="shared" si="18"/>
        <v>53.516999799999994</v>
      </c>
      <c r="J349" s="9">
        <f t="shared" si="18"/>
        <v>33.389999959999997</v>
      </c>
      <c r="K349" s="9">
        <f t="shared" si="18"/>
        <v>264.33999879999999</v>
      </c>
      <c r="L349" s="9">
        <f t="shared" si="19"/>
        <v>2075.4373998799997</v>
      </c>
      <c r="M349" s="9">
        <f t="shared" si="19"/>
        <v>32.261649840000004</v>
      </c>
      <c r="N349" s="9">
        <f t="shared" si="19"/>
        <v>52.305399880000024</v>
      </c>
      <c r="O349" s="9">
        <f t="shared" si="19"/>
        <v>46.154449929999998</v>
      </c>
      <c r="P349" s="9">
        <f t="shared" si="19"/>
        <v>342.15550017999999</v>
      </c>
    </row>
    <row r="350" spans="1:16" x14ac:dyDescent="0.35">
      <c r="A350" s="2">
        <f>Prices!A348</f>
        <v>44392</v>
      </c>
      <c r="B350" s="1">
        <f>Prices!B348</f>
        <v>3008.8701169999999</v>
      </c>
      <c r="C350" s="1">
        <f>Prices!C348</f>
        <v>24.27</v>
      </c>
      <c r="D350" s="1">
        <f>Prices!D348</f>
        <v>60.869999</v>
      </c>
      <c r="E350" s="1">
        <f>Prices!E348</f>
        <v>33.979999999999997</v>
      </c>
      <c r="F350" s="1">
        <f>Prices!F348</f>
        <v>294</v>
      </c>
      <c r="G350" s="9">
        <f t="shared" si="18"/>
        <v>2611.4708105000004</v>
      </c>
      <c r="H350" s="9">
        <f t="shared" si="18"/>
        <v>24.383199859999991</v>
      </c>
      <c r="I350" s="9">
        <f t="shared" si="18"/>
        <v>53.832999780000002</v>
      </c>
      <c r="J350" s="9">
        <f t="shared" si="18"/>
        <v>33.434399900000003</v>
      </c>
      <c r="K350" s="9">
        <f t="shared" si="18"/>
        <v>265.37599856000003</v>
      </c>
      <c r="L350" s="9">
        <f t="shared" si="19"/>
        <v>2082.1582000500002</v>
      </c>
      <c r="M350" s="9">
        <f t="shared" si="19"/>
        <v>32.190899855000012</v>
      </c>
      <c r="N350" s="9">
        <f t="shared" si="19"/>
        <v>52.352499890000018</v>
      </c>
      <c r="O350" s="9">
        <f t="shared" si="19"/>
        <v>46.029249924999995</v>
      </c>
      <c r="P350" s="9">
        <f t="shared" si="19"/>
        <v>341.61350006000009</v>
      </c>
    </row>
    <row r="351" spans="1:16" x14ac:dyDescent="0.35">
      <c r="A351" s="2">
        <f>Prices!A349</f>
        <v>44393</v>
      </c>
      <c r="B351" s="1">
        <f>Prices!B349</f>
        <v>2999.8999020000001</v>
      </c>
      <c r="C351" s="1">
        <f>Prices!C349</f>
        <v>24.110001</v>
      </c>
      <c r="D351" s="1">
        <f>Prices!D349</f>
        <v>61.18</v>
      </c>
      <c r="E351" s="1">
        <f>Prices!E349</f>
        <v>33.479999999999997</v>
      </c>
      <c r="F351" s="1">
        <f>Prices!F349</f>
        <v>292.70001200000002</v>
      </c>
      <c r="G351" s="9">
        <f t="shared" si="18"/>
        <v>2625.3284130400007</v>
      </c>
      <c r="H351" s="9">
        <f t="shared" si="18"/>
        <v>24.373399859999992</v>
      </c>
      <c r="I351" s="9">
        <f t="shared" si="18"/>
        <v>54.150799759999998</v>
      </c>
      <c r="J351" s="9">
        <f t="shared" si="18"/>
        <v>33.458999900000002</v>
      </c>
      <c r="K351" s="9">
        <f t="shared" si="18"/>
        <v>266.67799867999997</v>
      </c>
      <c r="L351" s="9">
        <f t="shared" si="19"/>
        <v>2088.5753008800002</v>
      </c>
      <c r="M351" s="9">
        <f t="shared" si="19"/>
        <v>32.121549860000016</v>
      </c>
      <c r="N351" s="9">
        <f t="shared" si="19"/>
        <v>52.396949885000033</v>
      </c>
      <c r="O351" s="9">
        <f t="shared" si="19"/>
        <v>45.903599919999998</v>
      </c>
      <c r="P351" s="9">
        <f t="shared" si="19"/>
        <v>341.08700012000003</v>
      </c>
    </row>
    <row r="352" spans="1:16" x14ac:dyDescent="0.35">
      <c r="A352" s="2">
        <f>Prices!A350</f>
        <v>44394</v>
      </c>
      <c r="B352" s="1">
        <f>Prices!B350</f>
        <v>2961.969971</v>
      </c>
      <c r="C352" s="1">
        <f>Prices!C350</f>
        <v>23.610001</v>
      </c>
      <c r="D352" s="1">
        <f>Prices!D350</f>
        <v>62.150002000000001</v>
      </c>
      <c r="E352" s="1">
        <f>Prices!E350</f>
        <v>32.909999999999997</v>
      </c>
      <c r="F352" s="1">
        <f>Prices!F350</f>
        <v>292.5</v>
      </c>
      <c r="G352" s="9">
        <f t="shared" si="18"/>
        <v>2638.9704101000007</v>
      </c>
      <c r="H352" s="9">
        <f t="shared" si="18"/>
        <v>24.357799899999989</v>
      </c>
      <c r="I352" s="9">
        <f t="shared" si="18"/>
        <v>54.489399759999998</v>
      </c>
      <c r="J352" s="9">
        <f t="shared" si="18"/>
        <v>33.467199899999997</v>
      </c>
      <c r="K352" s="9">
        <f t="shared" si="18"/>
        <v>267.83599886000002</v>
      </c>
      <c r="L352" s="9">
        <f t="shared" si="19"/>
        <v>2094.89525022</v>
      </c>
      <c r="M352" s="9">
        <f t="shared" si="19"/>
        <v>32.050749865000014</v>
      </c>
      <c r="N352" s="9">
        <f t="shared" si="19"/>
        <v>52.442399885000043</v>
      </c>
      <c r="O352" s="9">
        <f t="shared" si="19"/>
        <v>45.776749929999987</v>
      </c>
      <c r="P352" s="9">
        <f t="shared" si="19"/>
        <v>340.58050018000012</v>
      </c>
    </row>
    <row r="353" spans="1:16" x14ac:dyDescent="0.35">
      <c r="A353" s="2">
        <f>Prices!A351</f>
        <v>44397</v>
      </c>
      <c r="B353" s="1">
        <f>Prices!B351</f>
        <v>3196.8400879999999</v>
      </c>
      <c r="C353" s="1">
        <f>Prices!C351</f>
        <v>23.629999000000002</v>
      </c>
      <c r="D353" s="1">
        <f>Prices!D351</f>
        <v>62.419998</v>
      </c>
      <c r="E353" s="1">
        <f>Prices!E351</f>
        <v>32.409999999999997</v>
      </c>
      <c r="F353" s="1">
        <f>Prices!F351</f>
        <v>291.5</v>
      </c>
      <c r="G353" s="9">
        <f t="shared" si="18"/>
        <v>2651.1846093200006</v>
      </c>
      <c r="H353" s="9">
        <f t="shared" si="18"/>
        <v>24.333599919999994</v>
      </c>
      <c r="I353" s="9">
        <f t="shared" si="18"/>
        <v>54.842199839999992</v>
      </c>
      <c r="J353" s="9">
        <f t="shared" si="18"/>
        <v>33.484199879999998</v>
      </c>
      <c r="K353" s="9">
        <f t="shared" si="18"/>
        <v>268.90199891999998</v>
      </c>
      <c r="L353" s="9">
        <f t="shared" si="19"/>
        <v>2101.0268499549998</v>
      </c>
      <c r="M353" s="9">
        <f t="shared" si="19"/>
        <v>31.979499865000015</v>
      </c>
      <c r="N353" s="9">
        <f t="shared" si="19"/>
        <v>52.496299900000032</v>
      </c>
      <c r="O353" s="9">
        <f t="shared" si="19"/>
        <v>45.649349934999989</v>
      </c>
      <c r="P353" s="9">
        <f t="shared" si="19"/>
        <v>340.11850020999998</v>
      </c>
    </row>
    <row r="354" spans="1:16" x14ac:dyDescent="0.35">
      <c r="A354" s="2">
        <f>Prices!A352</f>
        <v>44398</v>
      </c>
      <c r="B354" s="1">
        <f>Prices!B352</f>
        <v>3138.290039</v>
      </c>
      <c r="C354" s="1">
        <f>Prices!C352</f>
        <v>24.16</v>
      </c>
      <c r="D354" s="1">
        <f>Prices!D352</f>
        <v>61.310001</v>
      </c>
      <c r="E354" s="1">
        <f>Prices!E352</f>
        <v>33.43</v>
      </c>
      <c r="F354" s="1">
        <f>Prices!F352</f>
        <v>288.10000600000001</v>
      </c>
      <c r="G354" s="9">
        <f t="shared" si="18"/>
        <v>2667.7692089400002</v>
      </c>
      <c r="H354" s="9">
        <f t="shared" si="18"/>
        <v>24.301999919999993</v>
      </c>
      <c r="I354" s="9">
        <f t="shared" si="18"/>
        <v>55.174599819999997</v>
      </c>
      <c r="J354" s="9">
        <f t="shared" si="18"/>
        <v>33.481799900000006</v>
      </c>
      <c r="K354" s="9">
        <f t="shared" si="18"/>
        <v>269.78599885999995</v>
      </c>
      <c r="L354" s="9">
        <f t="shared" si="19"/>
        <v>2108.4449004949997</v>
      </c>
      <c r="M354" s="9">
        <f t="shared" si="19"/>
        <v>31.911999855000019</v>
      </c>
      <c r="N354" s="9">
        <f t="shared" si="19"/>
        <v>52.559649890000031</v>
      </c>
      <c r="O354" s="9">
        <f t="shared" si="19"/>
        <v>45.528349929999997</v>
      </c>
      <c r="P354" s="9">
        <f t="shared" si="19"/>
        <v>339.66800017999992</v>
      </c>
    </row>
    <row r="355" spans="1:16" x14ac:dyDescent="0.35">
      <c r="A355" s="2">
        <f>Prices!A353</f>
        <v>44399</v>
      </c>
      <c r="B355" s="1">
        <f>Prices!B353</f>
        <v>3099.9099120000001</v>
      </c>
      <c r="C355" s="1">
        <f>Prices!C353</f>
        <v>23.559999000000001</v>
      </c>
      <c r="D355" s="1">
        <f>Prices!D353</f>
        <v>61.439999</v>
      </c>
      <c r="E355" s="1">
        <f>Prices!E353</f>
        <v>32.75</v>
      </c>
      <c r="F355" s="1">
        <f>Prices!F353</f>
        <v>291.5</v>
      </c>
      <c r="G355" s="9">
        <f t="shared" si="18"/>
        <v>2682.9428075800006</v>
      </c>
      <c r="H355" s="9">
        <f t="shared" si="18"/>
        <v>24.272599939999999</v>
      </c>
      <c r="I355" s="9">
        <f t="shared" si="18"/>
        <v>55.461799819999989</v>
      </c>
      <c r="J355" s="9">
        <f t="shared" si="18"/>
        <v>33.472199900000007</v>
      </c>
      <c r="K355" s="9">
        <f t="shared" si="18"/>
        <v>270.70399903999999</v>
      </c>
      <c r="L355" s="9">
        <f t="shared" si="19"/>
        <v>2115.5142504699998</v>
      </c>
      <c r="M355" s="9">
        <f t="shared" si="19"/>
        <v>31.846049865000019</v>
      </c>
      <c r="N355" s="9">
        <f t="shared" si="19"/>
        <v>52.617249890000018</v>
      </c>
      <c r="O355" s="9">
        <f t="shared" si="19"/>
        <v>45.410549919999994</v>
      </c>
      <c r="P355" s="9">
        <f t="shared" si="19"/>
        <v>339.20850021000001</v>
      </c>
    </row>
    <row r="356" spans="1:16" x14ac:dyDescent="0.35">
      <c r="A356" s="2">
        <f>Prices!A354</f>
        <v>44400</v>
      </c>
      <c r="B356" s="1">
        <f>Prices!B354</f>
        <v>2986.5500489999999</v>
      </c>
      <c r="C356" s="1">
        <f>Prices!C354</f>
        <v>23.35</v>
      </c>
      <c r="D356" s="1">
        <f>Prices!D354</f>
        <v>60.68</v>
      </c>
      <c r="E356" s="1">
        <f>Prices!E354</f>
        <v>32.389999000000003</v>
      </c>
      <c r="F356" s="1">
        <f>Prices!F354</f>
        <v>287.39999399999999</v>
      </c>
      <c r="G356" s="9">
        <f t="shared" si="18"/>
        <v>2696.7610058200003</v>
      </c>
      <c r="H356" s="9">
        <f t="shared" si="18"/>
        <v>24.233999920000002</v>
      </c>
      <c r="I356" s="9">
        <f t="shared" si="18"/>
        <v>55.781199779999987</v>
      </c>
      <c r="J356" s="9">
        <f t="shared" si="18"/>
        <v>33.471999940000003</v>
      </c>
      <c r="K356" s="9">
        <f t="shared" si="18"/>
        <v>271.63399903999999</v>
      </c>
      <c r="L356" s="9">
        <f t="shared" si="19"/>
        <v>2122.3155499100003</v>
      </c>
      <c r="M356" s="9">
        <f t="shared" si="19"/>
        <v>31.77779986500002</v>
      </c>
      <c r="N356" s="9">
        <f t="shared" si="19"/>
        <v>52.673749890000018</v>
      </c>
      <c r="O356" s="9">
        <f t="shared" si="19"/>
        <v>45.287799925000002</v>
      </c>
      <c r="P356" s="9">
        <f t="shared" si="19"/>
        <v>338.77650023999996</v>
      </c>
    </row>
    <row r="357" spans="1:16" x14ac:dyDescent="0.35">
      <c r="A357" s="2">
        <f>Prices!A355</f>
        <v>44401</v>
      </c>
      <c r="B357" s="1">
        <f>Prices!B355</f>
        <v>3008.9099120000001</v>
      </c>
      <c r="C357" s="1">
        <f>Prices!C355</f>
        <v>23.24</v>
      </c>
      <c r="D357" s="1">
        <f>Prices!D355</f>
        <v>60.77</v>
      </c>
      <c r="E357" s="1">
        <f>Prices!E355</f>
        <v>32.290000999999997</v>
      </c>
      <c r="F357" s="1">
        <f>Prices!F355</f>
        <v>281</v>
      </c>
      <c r="G357" s="9">
        <f t="shared" si="18"/>
        <v>2709.3530077800006</v>
      </c>
      <c r="H357" s="9">
        <f t="shared" si="18"/>
        <v>24.200399900000001</v>
      </c>
      <c r="I357" s="9">
        <f t="shared" si="18"/>
        <v>56.094999739999984</v>
      </c>
      <c r="J357" s="9">
        <f t="shared" si="18"/>
        <v>33.475599940000009</v>
      </c>
      <c r="K357" s="9">
        <f t="shared" si="18"/>
        <v>272.67399903999996</v>
      </c>
      <c r="L357" s="9">
        <f t="shared" si="19"/>
        <v>2128.5849999850002</v>
      </c>
      <c r="M357" s="9">
        <f t="shared" si="19"/>
        <v>31.708749865000019</v>
      </c>
      <c r="N357" s="9">
        <f t="shared" si="19"/>
        <v>52.72869989500002</v>
      </c>
      <c r="O357" s="9">
        <f t="shared" si="19"/>
        <v>45.163849920000004</v>
      </c>
      <c r="P357" s="9">
        <f t="shared" si="19"/>
        <v>338.33850021000001</v>
      </c>
    </row>
    <row r="358" spans="1:16" x14ac:dyDescent="0.35">
      <c r="A358" s="2">
        <f>Prices!A356</f>
        <v>44404</v>
      </c>
      <c r="B358" s="1">
        <f>Prices!B356</f>
        <v>3055.209961</v>
      </c>
      <c r="C358" s="1">
        <f>Prices!C356</f>
        <v>22.67</v>
      </c>
      <c r="D358" s="1">
        <f>Prices!D356</f>
        <v>62.57</v>
      </c>
      <c r="E358" s="1">
        <f>Prices!E356</f>
        <v>32.450001</v>
      </c>
      <c r="F358" s="1">
        <f>Prices!F356</f>
        <v>277</v>
      </c>
      <c r="G358" s="9">
        <f t="shared" si="18"/>
        <v>2722.1728075800002</v>
      </c>
      <c r="H358" s="9">
        <f t="shared" si="18"/>
        <v>24.171199880000003</v>
      </c>
      <c r="I358" s="9">
        <f t="shared" si="18"/>
        <v>56.395999719999992</v>
      </c>
      <c r="J358" s="9">
        <f t="shared" si="18"/>
        <v>33.500599940000008</v>
      </c>
      <c r="K358" s="9">
        <f t="shared" si="18"/>
        <v>273.66199891999997</v>
      </c>
      <c r="L358" s="9">
        <f t="shared" si="19"/>
        <v>2135.1019994950002</v>
      </c>
      <c r="M358" s="9">
        <f t="shared" si="19"/>
        <v>31.641549865000016</v>
      </c>
      <c r="N358" s="9">
        <f t="shared" si="19"/>
        <v>52.786349885000021</v>
      </c>
      <c r="O358" s="9">
        <f t="shared" si="19"/>
        <v>45.04309992999999</v>
      </c>
      <c r="P358" s="9">
        <f t="shared" si="19"/>
        <v>337.86850020999998</v>
      </c>
    </row>
    <row r="359" spans="1:16" x14ac:dyDescent="0.35">
      <c r="A359" s="2">
        <f>Prices!A357</f>
        <v>44405</v>
      </c>
      <c r="B359" s="1">
        <f>Prices!B357</f>
        <v>3000.330078</v>
      </c>
      <c r="C359" s="1">
        <f>Prices!C357</f>
        <v>22.75</v>
      </c>
      <c r="D359" s="1">
        <f>Prices!D357</f>
        <v>61.279998999999997</v>
      </c>
      <c r="E359" s="1">
        <f>Prices!E357</f>
        <v>32.099997999999999</v>
      </c>
      <c r="F359" s="1">
        <f>Prices!F357</f>
        <v>279.5</v>
      </c>
      <c r="G359" s="9">
        <f t="shared" si="18"/>
        <v>2735.5000048399997</v>
      </c>
      <c r="H359" s="9">
        <f t="shared" si="18"/>
        <v>24.133799860000003</v>
      </c>
      <c r="I359" s="9">
        <f t="shared" si="18"/>
        <v>56.71619969999999</v>
      </c>
      <c r="J359" s="9">
        <f t="shared" si="18"/>
        <v>33.54619996000001</v>
      </c>
      <c r="K359" s="9">
        <f t="shared" si="18"/>
        <v>274.61799897999998</v>
      </c>
      <c r="L359" s="9">
        <f t="shared" si="19"/>
        <v>2141.7680993499998</v>
      </c>
      <c r="M359" s="9">
        <f t="shared" si="19"/>
        <v>31.570249865000015</v>
      </c>
      <c r="N359" s="9">
        <f t="shared" si="19"/>
        <v>52.851449890000019</v>
      </c>
      <c r="O359" s="9">
        <f t="shared" si="19"/>
        <v>44.922599939999991</v>
      </c>
      <c r="P359" s="9">
        <f t="shared" si="19"/>
        <v>337.34750014999997</v>
      </c>
    </row>
    <row r="360" spans="1:16" x14ac:dyDescent="0.35">
      <c r="A360" s="2">
        <f>Prices!A358</f>
        <v>44406</v>
      </c>
      <c r="B360" s="1">
        <f>Prices!B358</f>
        <v>3033.530029</v>
      </c>
      <c r="C360" s="1">
        <f>Prices!C358</f>
        <v>23.57</v>
      </c>
      <c r="D360" s="1">
        <f>Prices!D358</f>
        <v>62.68</v>
      </c>
      <c r="E360" s="1">
        <f>Prices!E358</f>
        <v>32.409999999999997</v>
      </c>
      <c r="F360" s="1">
        <f>Prices!F358</f>
        <v>278</v>
      </c>
      <c r="G360" s="9">
        <f t="shared" ref="G360:K375" si="20">AVERAGE(B310:B359)</f>
        <v>2747.31100582</v>
      </c>
      <c r="H360" s="9">
        <f t="shared" si="20"/>
        <v>24.102199859999999</v>
      </c>
      <c r="I360" s="9">
        <f t="shared" si="20"/>
        <v>56.989999679999983</v>
      </c>
      <c r="J360" s="9">
        <f t="shared" si="20"/>
        <v>33.585599940000002</v>
      </c>
      <c r="K360" s="9">
        <f t="shared" si="20"/>
        <v>275.38599885999992</v>
      </c>
      <c r="L360" s="9">
        <f t="shared" ref="L360:P375" si="21">AVERAGE(B160:B359)</f>
        <v>2148.1684496899998</v>
      </c>
      <c r="M360" s="9">
        <f t="shared" si="21"/>
        <v>31.499499855000018</v>
      </c>
      <c r="N360" s="9">
        <f t="shared" si="21"/>
        <v>52.903349875000025</v>
      </c>
      <c r="O360" s="9">
        <f t="shared" si="21"/>
        <v>44.796799939999985</v>
      </c>
      <c r="P360" s="9">
        <f t="shared" si="21"/>
        <v>336.71900009000007</v>
      </c>
    </row>
    <row r="361" spans="1:16" x14ac:dyDescent="0.35">
      <c r="A361" s="2">
        <f>Prices!A359</f>
        <v>44407</v>
      </c>
      <c r="B361" s="1">
        <f>Prices!B359</f>
        <v>3051.8798830000001</v>
      </c>
      <c r="C361" s="1">
        <f>Prices!C359</f>
        <v>22.76</v>
      </c>
      <c r="D361" s="1">
        <f>Prices!D359</f>
        <v>61.040000999999997</v>
      </c>
      <c r="E361" s="1">
        <f>Prices!E359</f>
        <v>30.84</v>
      </c>
      <c r="F361" s="1">
        <f>Prices!F359</f>
        <v>266.70001200000002</v>
      </c>
      <c r="G361" s="9">
        <f t="shared" si="20"/>
        <v>2759.4564061999995</v>
      </c>
      <c r="H361" s="9">
        <f t="shared" si="20"/>
        <v>24.068399860000003</v>
      </c>
      <c r="I361" s="9">
        <f t="shared" si="20"/>
        <v>57.21519971999998</v>
      </c>
      <c r="J361" s="9">
        <f t="shared" si="20"/>
        <v>33.577399940000006</v>
      </c>
      <c r="K361" s="9">
        <f t="shared" si="20"/>
        <v>276.15599885999995</v>
      </c>
      <c r="L361" s="9">
        <f t="shared" si="21"/>
        <v>2154.676499615</v>
      </c>
      <c r="M361" s="9">
        <f t="shared" si="21"/>
        <v>31.426349850000015</v>
      </c>
      <c r="N361" s="9">
        <f t="shared" si="21"/>
        <v>52.952499885000023</v>
      </c>
      <c r="O361" s="9">
        <f t="shared" si="21"/>
        <v>44.669599949999984</v>
      </c>
      <c r="P361" s="9">
        <f t="shared" si="21"/>
        <v>336.12500015000001</v>
      </c>
    </row>
    <row r="362" spans="1:16" x14ac:dyDescent="0.35">
      <c r="A362" s="2">
        <f>Prices!A360</f>
        <v>44408</v>
      </c>
      <c r="B362" s="1">
        <f>Prices!B360</f>
        <v>3164.679932</v>
      </c>
      <c r="C362" s="1">
        <f>Prices!C360</f>
        <v>22.65</v>
      </c>
      <c r="D362" s="1">
        <f>Prices!D360</f>
        <v>61.040000999999997</v>
      </c>
      <c r="E362" s="1">
        <f>Prices!E360</f>
        <v>29.809999000000001</v>
      </c>
      <c r="F362" s="1">
        <f>Prices!F360</f>
        <v>263.70001200000002</v>
      </c>
      <c r="G362" s="9">
        <f t="shared" si="20"/>
        <v>2771.5074022999997</v>
      </c>
      <c r="H362" s="9">
        <f t="shared" si="20"/>
        <v>24.025599860000003</v>
      </c>
      <c r="I362" s="9">
        <f t="shared" si="20"/>
        <v>57.399599739999992</v>
      </c>
      <c r="J362" s="9">
        <f t="shared" si="20"/>
        <v>33.550999940000004</v>
      </c>
      <c r="K362" s="9">
        <f t="shared" si="20"/>
        <v>276.70999909999995</v>
      </c>
      <c r="L362" s="9">
        <f t="shared" si="21"/>
        <v>2161.2537487599998</v>
      </c>
      <c r="M362" s="9">
        <f t="shared" si="21"/>
        <v>31.348949840000017</v>
      </c>
      <c r="N362" s="9">
        <f t="shared" si="21"/>
        <v>52.998499890000019</v>
      </c>
      <c r="O362" s="9">
        <f t="shared" si="21"/>
        <v>44.534699949999975</v>
      </c>
      <c r="P362" s="9">
        <f t="shared" si="21"/>
        <v>335.42650024</v>
      </c>
    </row>
    <row r="363" spans="1:16" x14ac:dyDescent="0.35">
      <c r="A363" s="2">
        <f>Prices!A361</f>
        <v>44411</v>
      </c>
      <c r="B363" s="1">
        <f>Prices!B361</f>
        <v>3111.889893</v>
      </c>
      <c r="C363" s="1">
        <f>Prices!C361</f>
        <v>21.58</v>
      </c>
      <c r="D363" s="1">
        <f>Prices!D361</f>
        <v>61.91</v>
      </c>
      <c r="E363" s="1">
        <f>Prices!E361</f>
        <v>30.299999</v>
      </c>
      <c r="F363" s="1">
        <f>Prices!F361</f>
        <v>273.89999399999999</v>
      </c>
      <c r="G363" s="9">
        <f t="shared" si="20"/>
        <v>2784.8422021199995</v>
      </c>
      <c r="H363" s="9">
        <f t="shared" si="20"/>
        <v>23.975999880000003</v>
      </c>
      <c r="I363" s="9">
        <f t="shared" si="20"/>
        <v>57.572599779999983</v>
      </c>
      <c r="J363" s="9">
        <f t="shared" si="20"/>
        <v>33.478199900000007</v>
      </c>
      <c r="K363" s="9">
        <f t="shared" si="20"/>
        <v>277.24399933999996</v>
      </c>
      <c r="L363" s="9">
        <f t="shared" si="21"/>
        <v>2168.240248395</v>
      </c>
      <c r="M363" s="9">
        <f t="shared" si="21"/>
        <v>31.269199850000017</v>
      </c>
      <c r="N363" s="9">
        <f t="shared" si="21"/>
        <v>53.046699885000017</v>
      </c>
      <c r="O363" s="9">
        <f t="shared" si="21"/>
        <v>44.396049939999969</v>
      </c>
      <c r="P363" s="9">
        <f t="shared" si="21"/>
        <v>334.70250029999994</v>
      </c>
    </row>
    <row r="364" spans="1:16" x14ac:dyDescent="0.35">
      <c r="A364" s="2">
        <f>Prices!A362</f>
        <v>44412</v>
      </c>
      <c r="B364" s="1">
        <f>Prices!B362</f>
        <v>3138.830078</v>
      </c>
      <c r="C364" s="1">
        <f>Prices!C362</f>
        <v>21.91</v>
      </c>
      <c r="D364" s="1">
        <f>Prices!D362</f>
        <v>61.860000999999997</v>
      </c>
      <c r="E364" s="1">
        <f>Prices!E362</f>
        <v>31.35</v>
      </c>
      <c r="F364" s="1">
        <f>Prices!F362</f>
        <v>278.5</v>
      </c>
      <c r="G364" s="9">
        <f t="shared" si="20"/>
        <v>2798.1452001799998</v>
      </c>
      <c r="H364" s="9">
        <f t="shared" si="20"/>
        <v>23.91959988</v>
      </c>
      <c r="I364" s="9">
        <f t="shared" si="20"/>
        <v>57.774399779999975</v>
      </c>
      <c r="J364" s="9">
        <f t="shared" si="20"/>
        <v>33.435399900000007</v>
      </c>
      <c r="K364" s="9">
        <f t="shared" si="20"/>
        <v>277.99999909999991</v>
      </c>
      <c r="L364" s="9">
        <f t="shared" si="21"/>
        <v>2174.9125475900005</v>
      </c>
      <c r="M364" s="9">
        <f t="shared" si="21"/>
        <v>31.183799850000014</v>
      </c>
      <c r="N364" s="9">
        <f t="shared" si="21"/>
        <v>53.103649885000024</v>
      </c>
      <c r="O364" s="9">
        <f t="shared" si="21"/>
        <v>44.260599939999977</v>
      </c>
      <c r="P364" s="9">
        <f t="shared" si="21"/>
        <v>334.03200026999997</v>
      </c>
    </row>
    <row r="365" spans="1:16" x14ac:dyDescent="0.35">
      <c r="A365" s="2">
        <f>Prices!A363</f>
        <v>44413</v>
      </c>
      <c r="B365" s="1">
        <f>Prices!B363</f>
        <v>3205.030029</v>
      </c>
      <c r="C365" s="1">
        <f>Prices!C363</f>
        <v>21.82</v>
      </c>
      <c r="D365" s="1">
        <f>Prices!D363</f>
        <v>64.599997999999999</v>
      </c>
      <c r="E365" s="1">
        <f>Prices!E363</f>
        <v>31.52</v>
      </c>
      <c r="F365" s="1">
        <f>Prices!F363</f>
        <v>284.29998799999998</v>
      </c>
      <c r="G365" s="9">
        <f t="shared" si="20"/>
        <v>2812.1842040800002</v>
      </c>
      <c r="H365" s="9">
        <f t="shared" si="20"/>
        <v>23.898399900000005</v>
      </c>
      <c r="I365" s="9">
        <f t="shared" si="20"/>
        <v>57.969199819999986</v>
      </c>
      <c r="J365" s="9">
        <f t="shared" si="20"/>
        <v>33.417599860000003</v>
      </c>
      <c r="K365" s="9">
        <f t="shared" si="20"/>
        <v>278.60199921999998</v>
      </c>
      <c r="L365" s="9">
        <f t="shared" si="21"/>
        <v>2181.6692980800003</v>
      </c>
      <c r="M365" s="9">
        <f t="shared" si="21"/>
        <v>31.098999855000017</v>
      </c>
      <c r="N365" s="9">
        <f t="shared" si="21"/>
        <v>53.159099890000014</v>
      </c>
      <c r="O365" s="9">
        <f t="shared" si="21"/>
        <v>44.126549939999975</v>
      </c>
      <c r="P365" s="9">
        <f t="shared" si="21"/>
        <v>333.36350021000004</v>
      </c>
    </row>
    <row r="366" spans="1:16" x14ac:dyDescent="0.35">
      <c r="A366" s="2">
        <f>Prices!A364</f>
        <v>44414</v>
      </c>
      <c r="B366" s="1">
        <f>Prices!B364</f>
        <v>3225</v>
      </c>
      <c r="C366" s="1">
        <f>Prices!C364</f>
        <v>21.379999000000002</v>
      </c>
      <c r="D366" s="1">
        <f>Prices!D364</f>
        <v>62.459999000000003</v>
      </c>
      <c r="E366" s="1">
        <f>Prices!E364</f>
        <v>31.25</v>
      </c>
      <c r="F366" s="1">
        <f>Prices!F364</f>
        <v>297.5</v>
      </c>
      <c r="G366" s="9">
        <f t="shared" si="20"/>
        <v>2827.8476025200002</v>
      </c>
      <c r="H366" s="9">
        <f t="shared" si="20"/>
        <v>23.858599920000003</v>
      </c>
      <c r="I366" s="9">
        <f t="shared" si="20"/>
        <v>58.231999799999983</v>
      </c>
      <c r="J366" s="9">
        <f t="shared" si="20"/>
        <v>33.394199880000002</v>
      </c>
      <c r="K366" s="9">
        <f t="shared" si="20"/>
        <v>279.03599886000001</v>
      </c>
      <c r="L366" s="9">
        <f t="shared" si="21"/>
        <v>2188.9068981750006</v>
      </c>
      <c r="M366" s="9">
        <f t="shared" si="21"/>
        <v>31.014449855000013</v>
      </c>
      <c r="N366" s="9">
        <f t="shared" si="21"/>
        <v>53.227349875000009</v>
      </c>
      <c r="O366" s="9">
        <f t="shared" si="21"/>
        <v>43.995549934999993</v>
      </c>
      <c r="P366" s="9">
        <f t="shared" si="21"/>
        <v>332.69900009000003</v>
      </c>
    </row>
    <row r="367" spans="1:16" x14ac:dyDescent="0.35">
      <c r="A367" s="2">
        <f>Prices!A365</f>
        <v>44415</v>
      </c>
      <c r="B367" s="1">
        <f>Prices!B365</f>
        <v>3167.459961</v>
      </c>
      <c r="C367" s="1">
        <f>Prices!C365</f>
        <v>21.34</v>
      </c>
      <c r="D367" s="1">
        <f>Prices!D365</f>
        <v>60.950001</v>
      </c>
      <c r="E367" s="1">
        <f>Prices!E365</f>
        <v>30.84</v>
      </c>
      <c r="F367" s="1">
        <f>Prices!F365</f>
        <v>293.60000600000001</v>
      </c>
      <c r="G367" s="9">
        <f t="shared" si="20"/>
        <v>2844.1398046600002</v>
      </c>
      <c r="H367" s="9">
        <f t="shared" si="20"/>
        <v>23.8027999</v>
      </c>
      <c r="I367" s="9">
        <f t="shared" si="20"/>
        <v>58.434399779999993</v>
      </c>
      <c r="J367" s="9">
        <f t="shared" si="20"/>
        <v>33.359599880000005</v>
      </c>
      <c r="K367" s="9">
        <f t="shared" si="20"/>
        <v>279.74799897999998</v>
      </c>
      <c r="L367" s="9">
        <f t="shared" si="21"/>
        <v>2196.1035980050005</v>
      </c>
      <c r="M367" s="9">
        <f t="shared" si="21"/>
        <v>30.925599840000007</v>
      </c>
      <c r="N367" s="9">
        <f t="shared" si="21"/>
        <v>53.280249865000016</v>
      </c>
      <c r="O367" s="9">
        <f t="shared" si="21"/>
        <v>43.860399939999986</v>
      </c>
      <c r="P367" s="9">
        <f t="shared" si="21"/>
        <v>332.09350006</v>
      </c>
    </row>
    <row r="368" spans="1:16" x14ac:dyDescent="0.35">
      <c r="A368" s="2">
        <f>Prices!A366</f>
        <v>44418</v>
      </c>
      <c r="B368" s="1">
        <f>Prices!B366</f>
        <v>3148.1599120000001</v>
      </c>
      <c r="C368" s="1">
        <f>Prices!C366</f>
        <v>21.690000999999999</v>
      </c>
      <c r="D368" s="1">
        <f>Prices!D366</f>
        <v>61.610000999999997</v>
      </c>
      <c r="E368" s="1">
        <f>Prices!E366</f>
        <v>31.450001</v>
      </c>
      <c r="F368" s="1">
        <f>Prices!F366</f>
        <v>292</v>
      </c>
      <c r="G368" s="9">
        <f t="shared" si="20"/>
        <v>2859.4670019199998</v>
      </c>
      <c r="H368" s="9">
        <f t="shared" si="20"/>
        <v>23.757799899999998</v>
      </c>
      <c r="I368" s="9">
        <f t="shared" si="20"/>
        <v>58.603199839999995</v>
      </c>
      <c r="J368" s="9">
        <f t="shared" si="20"/>
        <v>33.32419986</v>
      </c>
      <c r="K368" s="9">
        <f t="shared" si="20"/>
        <v>280.66599916000001</v>
      </c>
      <c r="L368" s="9">
        <f t="shared" si="21"/>
        <v>2203.1122479100004</v>
      </c>
      <c r="M368" s="9">
        <f t="shared" si="21"/>
        <v>30.836249845000008</v>
      </c>
      <c r="N368" s="9">
        <f t="shared" si="21"/>
        <v>53.323999865000005</v>
      </c>
      <c r="O368" s="9">
        <f t="shared" si="21"/>
        <v>43.719899944999995</v>
      </c>
      <c r="P368" s="9">
        <f t="shared" si="21"/>
        <v>331.45400008999997</v>
      </c>
    </row>
    <row r="369" spans="1:16" x14ac:dyDescent="0.35">
      <c r="A369" s="2">
        <f>Prices!A367</f>
        <v>44419</v>
      </c>
      <c r="B369" s="1">
        <f>Prices!B367</f>
        <v>3080.669922</v>
      </c>
      <c r="C369" s="1">
        <f>Prices!C367</f>
        <v>22.49</v>
      </c>
      <c r="D369" s="1">
        <f>Prices!D367</f>
        <v>61.349997999999999</v>
      </c>
      <c r="E369" s="1">
        <f>Prices!E367</f>
        <v>31.85</v>
      </c>
      <c r="F369" s="1">
        <f>Prices!F367</f>
        <v>300.29998799999998</v>
      </c>
      <c r="G369" s="9">
        <f t="shared" si="20"/>
        <v>2873.58279782</v>
      </c>
      <c r="H369" s="9">
        <f t="shared" si="20"/>
        <v>23.730599940000001</v>
      </c>
      <c r="I369" s="9">
        <f t="shared" si="20"/>
        <v>58.756999900000011</v>
      </c>
      <c r="J369" s="9">
        <f t="shared" si="20"/>
        <v>33.314199860000002</v>
      </c>
      <c r="K369" s="9">
        <f t="shared" si="20"/>
        <v>281.44399903999999</v>
      </c>
      <c r="L369" s="9">
        <f t="shared" si="21"/>
        <v>2210.0421972500008</v>
      </c>
      <c r="M369" s="9">
        <f t="shared" si="21"/>
        <v>30.747899845000006</v>
      </c>
      <c r="N369" s="9">
        <f t="shared" si="21"/>
        <v>53.371399864999994</v>
      </c>
      <c r="O369" s="9">
        <f t="shared" si="21"/>
        <v>43.579099944999989</v>
      </c>
      <c r="P369" s="9">
        <f t="shared" si="21"/>
        <v>330.79250014999997</v>
      </c>
    </row>
    <row r="370" spans="1:16" x14ac:dyDescent="0.35">
      <c r="A370" s="2">
        <f>Prices!A368</f>
        <v>44420</v>
      </c>
      <c r="B370" s="1">
        <f>Prices!B368</f>
        <v>3162.23999</v>
      </c>
      <c r="C370" s="1">
        <f>Prices!C368</f>
        <v>23.120000999999998</v>
      </c>
      <c r="D370" s="1">
        <f>Prices!D368</f>
        <v>62.32</v>
      </c>
      <c r="E370" s="1">
        <f>Prices!E368</f>
        <v>32.869999</v>
      </c>
      <c r="F370" s="1">
        <f>Prices!F368</f>
        <v>303.70001200000002</v>
      </c>
      <c r="G370" s="9">
        <f t="shared" si="20"/>
        <v>2885.7753954799996</v>
      </c>
      <c r="H370" s="9">
        <f t="shared" si="20"/>
        <v>23.703999939999996</v>
      </c>
      <c r="I370" s="9">
        <f t="shared" si="20"/>
        <v>58.886599880000006</v>
      </c>
      <c r="J370" s="9">
        <f t="shared" si="20"/>
        <v>33.28759986</v>
      </c>
      <c r="K370" s="9">
        <f t="shared" si="20"/>
        <v>282.23199892000002</v>
      </c>
      <c r="L370" s="9">
        <f t="shared" si="21"/>
        <v>2216.5416467150003</v>
      </c>
      <c r="M370" s="9">
        <f t="shared" si="21"/>
        <v>30.663049850000011</v>
      </c>
      <c r="N370" s="9">
        <f t="shared" si="21"/>
        <v>53.418049855</v>
      </c>
      <c r="O370" s="9">
        <f t="shared" si="21"/>
        <v>43.440499944999985</v>
      </c>
      <c r="P370" s="9">
        <f t="shared" si="21"/>
        <v>330.18950011999993</v>
      </c>
    </row>
    <row r="371" spans="1:16" x14ac:dyDescent="0.35">
      <c r="A371" s="2">
        <f>Prices!A369</f>
        <v>44421</v>
      </c>
      <c r="B371" s="1">
        <f>Prices!B369</f>
        <v>3161.0200199999999</v>
      </c>
      <c r="C371" s="1">
        <f>Prices!C369</f>
        <v>22.34</v>
      </c>
      <c r="D371" s="1">
        <f>Prices!D369</f>
        <v>61.799999</v>
      </c>
      <c r="E371" s="1">
        <f>Prices!E369</f>
        <v>31.67</v>
      </c>
      <c r="F371" s="1">
        <f>Prices!F369</f>
        <v>293</v>
      </c>
      <c r="G371" s="9">
        <f t="shared" si="20"/>
        <v>2899.5719970399996</v>
      </c>
      <c r="H371" s="9">
        <f t="shared" si="20"/>
        <v>23.683399959999996</v>
      </c>
      <c r="I371" s="9">
        <f t="shared" si="20"/>
        <v>59.017999880000005</v>
      </c>
      <c r="J371" s="9">
        <f t="shared" si="20"/>
        <v>33.264999839999994</v>
      </c>
      <c r="K371" s="9">
        <f t="shared" si="20"/>
        <v>282.72799928000001</v>
      </c>
      <c r="L371" s="9">
        <f t="shared" si="21"/>
        <v>2223.5461968850004</v>
      </c>
      <c r="M371" s="9">
        <f t="shared" si="21"/>
        <v>30.581049855000007</v>
      </c>
      <c r="N371" s="9">
        <f t="shared" si="21"/>
        <v>53.466849849999988</v>
      </c>
      <c r="O371" s="9">
        <f t="shared" si="21"/>
        <v>43.306199939999985</v>
      </c>
      <c r="P371" s="9">
        <f t="shared" si="21"/>
        <v>329.58700012000003</v>
      </c>
    </row>
    <row r="372" spans="1:16" x14ac:dyDescent="0.35">
      <c r="A372" s="2">
        <f>Prices!A370</f>
        <v>44422</v>
      </c>
      <c r="B372" s="1">
        <f>Prices!B370</f>
        <v>3148.0200199999999</v>
      </c>
      <c r="C372" s="1">
        <f>Prices!C370</f>
        <v>22.280000999999999</v>
      </c>
      <c r="D372" s="1">
        <f>Prices!D370</f>
        <v>61.59</v>
      </c>
      <c r="E372" s="1">
        <f>Prices!E370</f>
        <v>31.110001</v>
      </c>
      <c r="F372" s="1">
        <f>Prices!F370</f>
        <v>288.79998799999998</v>
      </c>
      <c r="G372" s="9">
        <f t="shared" si="20"/>
        <v>2913.2243994</v>
      </c>
      <c r="H372" s="9">
        <f t="shared" si="20"/>
        <v>23.624999959999997</v>
      </c>
      <c r="I372" s="9">
        <f t="shared" si="20"/>
        <v>59.123399880000015</v>
      </c>
      <c r="J372" s="9">
        <f t="shared" si="20"/>
        <v>33.185399799999999</v>
      </c>
      <c r="K372" s="9">
        <f t="shared" si="20"/>
        <v>282.96399903999998</v>
      </c>
      <c r="L372" s="9">
        <f t="shared" si="21"/>
        <v>2230.4658972050001</v>
      </c>
      <c r="M372" s="9">
        <f t="shared" si="21"/>
        <v>30.502299855000004</v>
      </c>
      <c r="N372" s="9">
        <f t="shared" si="21"/>
        <v>53.509149844999996</v>
      </c>
      <c r="O372" s="9">
        <f t="shared" si="21"/>
        <v>43.164949949999993</v>
      </c>
      <c r="P372" s="9">
        <f t="shared" si="21"/>
        <v>328.93400008999998</v>
      </c>
    </row>
    <row r="373" spans="1:16" x14ac:dyDescent="0.35">
      <c r="A373" s="2">
        <f>Prices!A371</f>
        <v>44425</v>
      </c>
      <c r="B373" s="1">
        <f>Prices!B371</f>
        <v>3182.4099120000001</v>
      </c>
      <c r="C373" s="1">
        <f>Prices!C371</f>
        <v>22.200001</v>
      </c>
      <c r="D373" s="1">
        <f>Prices!D371</f>
        <v>62.459999000000003</v>
      </c>
      <c r="E373" s="1">
        <f>Prices!E371</f>
        <v>30.940000999999999</v>
      </c>
      <c r="F373" s="1">
        <f>Prices!F371</f>
        <v>289.10000600000001</v>
      </c>
      <c r="G373" s="9">
        <f t="shared" si="20"/>
        <v>2926.9727978400001</v>
      </c>
      <c r="H373" s="9">
        <f t="shared" si="20"/>
        <v>23.567599979999997</v>
      </c>
      <c r="I373" s="9">
        <f t="shared" si="20"/>
        <v>59.222199840000002</v>
      </c>
      <c r="J373" s="9">
        <f t="shared" si="20"/>
        <v>33.096199819999995</v>
      </c>
      <c r="K373" s="9">
        <f t="shared" si="20"/>
        <v>282.81399904</v>
      </c>
      <c r="L373" s="9">
        <f t="shared" si="21"/>
        <v>2237.3924475000003</v>
      </c>
      <c r="M373" s="9">
        <f t="shared" si="21"/>
        <v>30.423849855000007</v>
      </c>
      <c r="N373" s="9">
        <f t="shared" si="21"/>
        <v>53.55024985</v>
      </c>
      <c r="O373" s="9">
        <f t="shared" si="21"/>
        <v>43.020849954999996</v>
      </c>
      <c r="P373" s="9">
        <f t="shared" si="21"/>
        <v>328.29600005999998</v>
      </c>
    </row>
    <row r="374" spans="1:16" x14ac:dyDescent="0.35">
      <c r="A374" s="2">
        <f>Prices!A372</f>
        <v>44426</v>
      </c>
      <c r="B374" s="1">
        <f>Prices!B372</f>
        <v>3312.48999</v>
      </c>
      <c r="C374" s="1">
        <f>Prices!C372</f>
        <v>21.889999</v>
      </c>
      <c r="D374" s="1">
        <f>Prices!D372</f>
        <v>63.580002</v>
      </c>
      <c r="E374" s="1">
        <f>Prices!E372</f>
        <v>30.540001</v>
      </c>
      <c r="F374" s="1">
        <f>Prices!F372</f>
        <v>287</v>
      </c>
      <c r="G374" s="9">
        <f t="shared" si="20"/>
        <v>2940.9609960800003</v>
      </c>
      <c r="H374" s="9">
        <f t="shared" si="20"/>
        <v>23.480600019999997</v>
      </c>
      <c r="I374" s="9">
        <f t="shared" si="20"/>
        <v>59.340399840000011</v>
      </c>
      <c r="J374" s="9">
        <f t="shared" si="20"/>
        <v>32.959599839999989</v>
      </c>
      <c r="K374" s="9">
        <f t="shared" si="20"/>
        <v>282.6599994</v>
      </c>
      <c r="L374" s="9">
        <f t="shared" si="21"/>
        <v>2244.4045471100003</v>
      </c>
      <c r="M374" s="9">
        <f t="shared" si="21"/>
        <v>30.345199860000008</v>
      </c>
      <c r="N374" s="9">
        <f t="shared" si="21"/>
        <v>53.59989985</v>
      </c>
      <c r="O374" s="9">
        <f t="shared" si="21"/>
        <v>42.875299964999996</v>
      </c>
      <c r="P374" s="9">
        <f t="shared" si="21"/>
        <v>327.66550002999998</v>
      </c>
    </row>
    <row r="375" spans="1:16" x14ac:dyDescent="0.35">
      <c r="A375" s="2">
        <f>Prices!A373</f>
        <v>44427</v>
      </c>
      <c r="B375" s="1">
        <f>Prices!B373</f>
        <v>3260.4799800000001</v>
      </c>
      <c r="C375" s="1">
        <f>Prices!C373</f>
        <v>21.950001</v>
      </c>
      <c r="D375" s="1">
        <f>Prices!D373</f>
        <v>62.23</v>
      </c>
      <c r="E375" s="1">
        <f>Prices!E373</f>
        <v>30.42</v>
      </c>
      <c r="F375" s="1">
        <f>Prices!F373</f>
        <v>287.10000600000001</v>
      </c>
      <c r="G375" s="9">
        <f t="shared" si="20"/>
        <v>2956.7295947000002</v>
      </c>
      <c r="H375" s="9">
        <f t="shared" si="20"/>
        <v>23.385000000000002</v>
      </c>
      <c r="I375" s="9">
        <f t="shared" si="20"/>
        <v>59.446399900000017</v>
      </c>
      <c r="J375" s="9">
        <f t="shared" si="20"/>
        <v>32.784599839999991</v>
      </c>
      <c r="K375" s="9">
        <f t="shared" si="20"/>
        <v>282.59799928000007</v>
      </c>
      <c r="L375" s="9">
        <f t="shared" si="21"/>
        <v>2252.0836968900003</v>
      </c>
      <c r="M375" s="9">
        <f t="shared" si="21"/>
        <v>30.265699850000004</v>
      </c>
      <c r="N375" s="9">
        <f t="shared" si="21"/>
        <v>53.657749870000004</v>
      </c>
      <c r="O375" s="9">
        <f t="shared" si="21"/>
        <v>42.738149965000005</v>
      </c>
      <c r="P375" s="9">
        <f t="shared" si="21"/>
        <v>327.00199996999999</v>
      </c>
    </row>
    <row r="376" spans="1:16" x14ac:dyDescent="0.35">
      <c r="A376" s="2">
        <f>Prices!A374</f>
        <v>44428</v>
      </c>
      <c r="B376" s="1">
        <f>Prices!B374</f>
        <v>3297.3701169999999</v>
      </c>
      <c r="C376" s="1">
        <f>Prices!C374</f>
        <v>21.719999000000001</v>
      </c>
      <c r="D376" s="1">
        <f>Prices!D374</f>
        <v>62.16</v>
      </c>
      <c r="E376" s="1">
        <f>Prices!E374</f>
        <v>30.120000999999998</v>
      </c>
      <c r="F376" s="1">
        <f>Prices!F374</f>
        <v>280</v>
      </c>
      <c r="G376" s="9">
        <f t="shared" ref="G376:K391" si="22">AVERAGE(B326:B375)</f>
        <v>2969.9219921600002</v>
      </c>
      <c r="H376" s="9">
        <f t="shared" si="22"/>
        <v>23.309000019999999</v>
      </c>
      <c r="I376" s="9">
        <f t="shared" si="22"/>
        <v>59.535999900000022</v>
      </c>
      <c r="J376" s="9">
        <f t="shared" si="22"/>
        <v>32.647799880000001</v>
      </c>
      <c r="K376" s="9">
        <f t="shared" si="22"/>
        <v>282.58199952000001</v>
      </c>
      <c r="L376" s="9">
        <f t="shared" ref="L376:P391" si="23">AVERAGE(B176:B375)</f>
        <v>2259.4288970850002</v>
      </c>
      <c r="M376" s="9">
        <f t="shared" si="23"/>
        <v>30.185099855000008</v>
      </c>
      <c r="N376" s="9">
        <f t="shared" si="23"/>
        <v>53.698999869999994</v>
      </c>
      <c r="O376" s="9">
        <f t="shared" si="23"/>
        <v>42.59704997</v>
      </c>
      <c r="P376" s="9">
        <f t="shared" si="23"/>
        <v>326.32749999999999</v>
      </c>
    </row>
    <row r="377" spans="1:16" x14ac:dyDescent="0.35">
      <c r="A377" s="2">
        <f>Prices!A375</f>
        <v>44429</v>
      </c>
      <c r="B377" s="1">
        <f>Prices!B375</f>
        <v>3284.719971</v>
      </c>
      <c r="C377" s="1">
        <f>Prices!C375</f>
        <v>21.639999</v>
      </c>
      <c r="D377" s="1">
        <f>Prices!D375</f>
        <v>61.529998999999997</v>
      </c>
      <c r="E377" s="1">
        <f>Prices!E375</f>
        <v>29.629999000000002</v>
      </c>
      <c r="F377" s="1">
        <f>Prices!F375</f>
        <v>281.10000600000001</v>
      </c>
      <c r="G377" s="9">
        <f t="shared" si="22"/>
        <v>2982.9203954800009</v>
      </c>
      <c r="H377" s="9">
        <f t="shared" si="22"/>
        <v>23.237599979999995</v>
      </c>
      <c r="I377" s="9">
        <f t="shared" si="22"/>
        <v>59.607799900000018</v>
      </c>
      <c r="J377" s="9">
        <f t="shared" si="22"/>
        <v>32.52519989999999</v>
      </c>
      <c r="K377" s="9">
        <f t="shared" si="22"/>
        <v>282.67199952000004</v>
      </c>
      <c r="L377" s="9">
        <f t="shared" si="23"/>
        <v>2266.8924474999999</v>
      </c>
      <c r="M377" s="9">
        <f t="shared" si="23"/>
        <v>30.101099850000011</v>
      </c>
      <c r="N377" s="9">
        <f t="shared" si="23"/>
        <v>53.733649870000001</v>
      </c>
      <c r="O377" s="9">
        <f t="shared" si="23"/>
        <v>42.450449979999995</v>
      </c>
      <c r="P377" s="9">
        <f t="shared" si="23"/>
        <v>325.56850005999996</v>
      </c>
    </row>
    <row r="378" spans="1:16" x14ac:dyDescent="0.35">
      <c r="A378" s="2">
        <f>Prices!A376</f>
        <v>44432</v>
      </c>
      <c r="B378" s="1">
        <f>Prices!B376</f>
        <v>3307.459961</v>
      </c>
      <c r="C378" s="1">
        <f>Prices!C376</f>
        <v>22.25</v>
      </c>
      <c r="D378" s="1">
        <f>Prices!D376</f>
        <v>61.82</v>
      </c>
      <c r="E378" s="1">
        <f>Prices!E376</f>
        <v>30.530000999999999</v>
      </c>
      <c r="F378" s="1">
        <f>Prices!F376</f>
        <v>285.10000600000001</v>
      </c>
      <c r="G378" s="9">
        <f t="shared" si="22"/>
        <v>2997.4555956800009</v>
      </c>
      <c r="H378" s="9">
        <f t="shared" si="22"/>
        <v>23.199999959999996</v>
      </c>
      <c r="I378" s="9">
        <f t="shared" si="22"/>
        <v>59.727399900000016</v>
      </c>
      <c r="J378" s="9">
        <f t="shared" si="22"/>
        <v>32.453999899999992</v>
      </c>
      <c r="K378" s="9">
        <f t="shared" si="22"/>
        <v>282.76399964000007</v>
      </c>
      <c r="L378" s="9">
        <f t="shared" si="23"/>
        <v>2274.3074975499999</v>
      </c>
      <c r="M378" s="9">
        <f t="shared" si="23"/>
        <v>30.017149845000013</v>
      </c>
      <c r="N378" s="9">
        <f t="shared" si="23"/>
        <v>53.762199864999999</v>
      </c>
      <c r="O378" s="9">
        <f t="shared" si="23"/>
        <v>42.297799975000004</v>
      </c>
      <c r="P378" s="9">
        <f t="shared" si="23"/>
        <v>324.83050002999994</v>
      </c>
    </row>
    <row r="379" spans="1:16" x14ac:dyDescent="0.35">
      <c r="A379" s="2">
        <f>Prices!A377</f>
        <v>44433</v>
      </c>
      <c r="B379" s="1">
        <f>Prices!B377</f>
        <v>3346.48999</v>
      </c>
      <c r="C379" s="1">
        <f>Prices!C377</f>
        <v>22.059999000000001</v>
      </c>
      <c r="D379" s="1">
        <f>Prices!D377</f>
        <v>61.040000999999997</v>
      </c>
      <c r="E379" s="1">
        <f>Prices!E377</f>
        <v>30.059999000000001</v>
      </c>
      <c r="F379" s="1">
        <f>Prices!F377</f>
        <v>282.39999399999999</v>
      </c>
      <c r="G379" s="9">
        <f t="shared" si="22"/>
        <v>3012.7043945</v>
      </c>
      <c r="H379" s="9">
        <f t="shared" si="22"/>
        <v>23.165399959999995</v>
      </c>
      <c r="I379" s="9">
        <f t="shared" si="22"/>
        <v>59.813799900000028</v>
      </c>
      <c r="J379" s="9">
        <f t="shared" si="22"/>
        <v>32.375599899999997</v>
      </c>
      <c r="K379" s="9">
        <f t="shared" si="22"/>
        <v>282.90000000000009</v>
      </c>
      <c r="L379" s="9">
        <f t="shared" si="23"/>
        <v>2281.8659472549998</v>
      </c>
      <c r="M379" s="9">
        <f t="shared" si="23"/>
        <v>29.935899845000012</v>
      </c>
      <c r="N379" s="9">
        <f t="shared" si="23"/>
        <v>53.792999865000013</v>
      </c>
      <c r="O379" s="9">
        <f t="shared" si="23"/>
        <v>42.151099984999995</v>
      </c>
      <c r="P379" s="9">
        <f t="shared" si="23"/>
        <v>324.08749999999998</v>
      </c>
    </row>
    <row r="380" spans="1:16" x14ac:dyDescent="0.35">
      <c r="A380" s="2">
        <f>Prices!A378</f>
        <v>44434</v>
      </c>
      <c r="B380" s="1">
        <f>Prices!B378</f>
        <v>3441.8500979999999</v>
      </c>
      <c r="C380" s="1">
        <f>Prices!C378</f>
        <v>21.82</v>
      </c>
      <c r="D380" s="1">
        <f>Prices!D378</f>
        <v>61.759998000000003</v>
      </c>
      <c r="E380" s="1">
        <f>Prices!E378</f>
        <v>30.030000999999999</v>
      </c>
      <c r="F380" s="1">
        <f>Prices!F378</f>
        <v>285.39999399999999</v>
      </c>
      <c r="G380" s="9">
        <f t="shared" si="22"/>
        <v>3028.1805956600001</v>
      </c>
      <c r="H380" s="9">
        <f t="shared" si="22"/>
        <v>23.130199939999997</v>
      </c>
      <c r="I380" s="9">
        <f t="shared" si="22"/>
        <v>59.892799920000023</v>
      </c>
      <c r="J380" s="9">
        <f t="shared" si="22"/>
        <v>32.286399879999998</v>
      </c>
      <c r="K380" s="9">
        <f t="shared" si="22"/>
        <v>282.78599976000004</v>
      </c>
      <c r="L380" s="9">
        <f t="shared" si="23"/>
        <v>2289.6573974499993</v>
      </c>
      <c r="M380" s="9">
        <f t="shared" si="23"/>
        <v>29.853999845000008</v>
      </c>
      <c r="N380" s="9">
        <f t="shared" si="23"/>
        <v>53.820649880000012</v>
      </c>
      <c r="O380" s="9">
        <f t="shared" si="23"/>
        <v>41.999549984999994</v>
      </c>
      <c r="P380" s="9">
        <f t="shared" si="23"/>
        <v>323.34599990999993</v>
      </c>
    </row>
    <row r="381" spans="1:16" x14ac:dyDescent="0.35">
      <c r="A381" s="2">
        <f>Prices!A379</f>
        <v>44435</v>
      </c>
      <c r="B381" s="1">
        <f>Prices!B379</f>
        <v>3400</v>
      </c>
      <c r="C381" s="1">
        <f>Prices!C379</f>
        <v>21.65</v>
      </c>
      <c r="D381" s="1">
        <f>Prices!D379</f>
        <v>61.209999000000003</v>
      </c>
      <c r="E381" s="1">
        <f>Prices!E379</f>
        <v>29.780000999999999</v>
      </c>
      <c r="F381" s="1">
        <f>Prices!F379</f>
        <v>283.79998799999998</v>
      </c>
      <c r="G381" s="9">
        <f t="shared" si="22"/>
        <v>3044.7121972200002</v>
      </c>
      <c r="H381" s="9">
        <f t="shared" si="22"/>
        <v>23.083799959999997</v>
      </c>
      <c r="I381" s="9">
        <f t="shared" si="22"/>
        <v>59.978999860000023</v>
      </c>
      <c r="J381" s="9">
        <f t="shared" si="22"/>
        <v>32.18759988</v>
      </c>
      <c r="K381" s="9">
        <f t="shared" si="22"/>
        <v>282.92799988000002</v>
      </c>
      <c r="L381" s="9">
        <f t="shared" si="23"/>
        <v>2297.9372479149993</v>
      </c>
      <c r="M381" s="9">
        <f t="shared" si="23"/>
        <v>29.77189983500001</v>
      </c>
      <c r="N381" s="9">
        <f t="shared" si="23"/>
        <v>53.858899865000012</v>
      </c>
      <c r="O381" s="9">
        <f t="shared" si="23"/>
        <v>41.848449989999992</v>
      </c>
      <c r="P381" s="9">
        <f t="shared" si="23"/>
        <v>322.59749984999996</v>
      </c>
    </row>
    <row r="382" spans="1:16" x14ac:dyDescent="0.35">
      <c r="A382" s="2">
        <f>Prices!A380</f>
        <v>44436</v>
      </c>
      <c r="B382" s="1">
        <f>Prices!B380</f>
        <v>3401.8000489999999</v>
      </c>
      <c r="C382" s="1">
        <f>Prices!C380</f>
        <v>22.040001</v>
      </c>
      <c r="D382" s="1">
        <f>Prices!D380</f>
        <v>61.98</v>
      </c>
      <c r="E382" s="1">
        <f>Prices!E380</f>
        <v>30.190000999999999</v>
      </c>
      <c r="F382" s="1">
        <f>Prices!F380</f>
        <v>282.70001200000002</v>
      </c>
      <c r="G382" s="9">
        <f t="shared" si="22"/>
        <v>3059.8925976199998</v>
      </c>
      <c r="H382" s="9">
        <f t="shared" si="22"/>
        <v>23.038599960000003</v>
      </c>
      <c r="I382" s="9">
        <f t="shared" si="22"/>
        <v>60.053999860000019</v>
      </c>
      <c r="J382" s="9">
        <f t="shared" si="22"/>
        <v>32.099399920000003</v>
      </c>
      <c r="K382" s="9">
        <f t="shared" si="22"/>
        <v>283.02799988000004</v>
      </c>
      <c r="L382" s="9">
        <f t="shared" si="23"/>
        <v>2306.0789977949994</v>
      </c>
      <c r="M382" s="9">
        <f t="shared" si="23"/>
        <v>29.691599840000013</v>
      </c>
      <c r="N382" s="9">
        <f t="shared" si="23"/>
        <v>53.898049854999996</v>
      </c>
      <c r="O382" s="9">
        <f t="shared" si="23"/>
        <v>41.696449994999988</v>
      </c>
      <c r="P382" s="9">
        <f t="shared" si="23"/>
        <v>321.82449981999997</v>
      </c>
    </row>
    <row r="383" spans="1:16" x14ac:dyDescent="0.35">
      <c r="A383" s="2">
        <f>Prices!A381</f>
        <v>44439</v>
      </c>
      <c r="B383" s="1">
        <f>Prices!B381</f>
        <v>3450.959961</v>
      </c>
      <c r="C383" s="1">
        <f>Prices!C381</f>
        <v>21.629999000000002</v>
      </c>
      <c r="D383" s="1">
        <f>Prices!D381</f>
        <v>61.23</v>
      </c>
      <c r="E383" s="1">
        <f>Prices!E381</f>
        <v>29.68</v>
      </c>
      <c r="F383" s="1">
        <f>Prices!F381</f>
        <v>275.70001200000002</v>
      </c>
      <c r="G383" s="9">
        <f t="shared" si="22"/>
        <v>3074.8489990000003</v>
      </c>
      <c r="H383" s="9">
        <f t="shared" si="22"/>
        <v>23.005399960000009</v>
      </c>
      <c r="I383" s="9">
        <f t="shared" si="22"/>
        <v>60.170999840000022</v>
      </c>
      <c r="J383" s="9">
        <f t="shared" si="22"/>
        <v>32.017199959999999</v>
      </c>
      <c r="K383" s="9">
        <f t="shared" si="22"/>
        <v>283.10799988000008</v>
      </c>
      <c r="L383" s="9">
        <f t="shared" si="23"/>
        <v>2314.1979980399997</v>
      </c>
      <c r="M383" s="9">
        <f t="shared" si="23"/>
        <v>29.613399845000018</v>
      </c>
      <c r="N383" s="9">
        <f t="shared" si="23"/>
        <v>53.942849854999992</v>
      </c>
      <c r="O383" s="9">
        <f t="shared" si="23"/>
        <v>41.54795000499999</v>
      </c>
      <c r="P383" s="9">
        <f t="shared" si="23"/>
        <v>321.07749984999992</v>
      </c>
    </row>
    <row r="384" spans="1:16" x14ac:dyDescent="0.35">
      <c r="A384" s="2">
        <f>Prices!A382</f>
        <v>44440</v>
      </c>
      <c r="B384" s="1">
        <f>Prices!B382</f>
        <v>3499.1201169999999</v>
      </c>
      <c r="C384" s="1">
        <f>Prices!C382</f>
        <v>21.24</v>
      </c>
      <c r="D384" s="1">
        <f>Prices!D382</f>
        <v>62.209999000000003</v>
      </c>
      <c r="E384" s="1">
        <f>Prices!E382</f>
        <v>29.200001</v>
      </c>
      <c r="F384" s="1">
        <f>Prices!F382</f>
        <v>275.89999399999999</v>
      </c>
      <c r="G384" s="9">
        <f t="shared" si="22"/>
        <v>3090.36799802</v>
      </c>
      <c r="H384" s="9">
        <f t="shared" si="22"/>
        <v>22.956799960000009</v>
      </c>
      <c r="I384" s="9">
        <f t="shared" si="22"/>
        <v>60.295199840000016</v>
      </c>
      <c r="J384" s="9">
        <f t="shared" si="22"/>
        <v>31.931999980000004</v>
      </c>
      <c r="K384" s="9">
        <f t="shared" si="22"/>
        <v>283.12799988000006</v>
      </c>
      <c r="L384" s="9">
        <f t="shared" si="23"/>
        <v>2322.6872479199997</v>
      </c>
      <c r="M384" s="9">
        <f t="shared" si="23"/>
        <v>29.537049830000015</v>
      </c>
      <c r="N384" s="9">
        <f t="shared" si="23"/>
        <v>53.988099855000002</v>
      </c>
      <c r="O384" s="9">
        <f t="shared" si="23"/>
        <v>41.394900000000007</v>
      </c>
      <c r="P384" s="9">
        <f t="shared" si="23"/>
        <v>320.30099990999997</v>
      </c>
    </row>
    <row r="385" spans="1:16" x14ac:dyDescent="0.35">
      <c r="A385" s="2">
        <f>Prices!A383</f>
        <v>44441</v>
      </c>
      <c r="B385" s="1">
        <f>Prices!B383</f>
        <v>3531.4499510000001</v>
      </c>
      <c r="C385" s="1">
        <f>Prices!C383</f>
        <v>21.43</v>
      </c>
      <c r="D385" s="1">
        <f>Prices!D383</f>
        <v>62.32</v>
      </c>
      <c r="E385" s="1">
        <f>Prices!E383</f>
        <v>29.040001</v>
      </c>
      <c r="F385" s="1">
        <f>Prices!F383</f>
        <v>274.29998799999998</v>
      </c>
      <c r="G385" s="9">
        <f t="shared" si="22"/>
        <v>3106.0739990000002</v>
      </c>
      <c r="H385" s="9">
        <f t="shared" si="22"/>
        <v>22.907999960000005</v>
      </c>
      <c r="I385" s="9">
        <f t="shared" si="22"/>
        <v>60.416999840000017</v>
      </c>
      <c r="J385" s="9">
        <f t="shared" si="22"/>
        <v>31.827800000000003</v>
      </c>
      <c r="K385" s="9">
        <f t="shared" si="22"/>
        <v>283.0439996400001</v>
      </c>
      <c r="L385" s="9">
        <f t="shared" si="23"/>
        <v>2331.4098486249995</v>
      </c>
      <c r="M385" s="9">
        <f t="shared" si="23"/>
        <v>29.459199825000013</v>
      </c>
      <c r="N385" s="9">
        <f t="shared" si="23"/>
        <v>54.034549860000006</v>
      </c>
      <c r="O385" s="9">
        <f t="shared" si="23"/>
        <v>41.245249999999999</v>
      </c>
      <c r="P385" s="9">
        <f t="shared" si="23"/>
        <v>319.50849990999995</v>
      </c>
    </row>
    <row r="386" spans="1:16" x14ac:dyDescent="0.35">
      <c r="A386" s="2">
        <f>Prices!A384</f>
        <v>44442</v>
      </c>
      <c r="B386" s="1">
        <f>Prices!B384</f>
        <v>3368</v>
      </c>
      <c r="C386" s="1">
        <f>Prices!C384</f>
        <v>21.059999000000001</v>
      </c>
      <c r="D386" s="1">
        <f>Prices!D384</f>
        <v>60.25</v>
      </c>
      <c r="E386" s="1">
        <f>Prices!E384</f>
        <v>28.940000999999999</v>
      </c>
      <c r="F386" s="1">
        <f>Prices!F384</f>
        <v>273.60000600000001</v>
      </c>
      <c r="G386" s="9">
        <f t="shared" si="22"/>
        <v>3121.4147997800001</v>
      </c>
      <c r="H386" s="9">
        <f t="shared" si="22"/>
        <v>22.853799980000009</v>
      </c>
      <c r="I386" s="9">
        <f t="shared" si="22"/>
        <v>60.524999880000017</v>
      </c>
      <c r="J386" s="9">
        <f t="shared" si="22"/>
        <v>31.711600060000006</v>
      </c>
      <c r="K386" s="9">
        <f t="shared" si="22"/>
        <v>283.14799928000002</v>
      </c>
      <c r="L386" s="9">
        <f t="shared" si="23"/>
        <v>2340.3696484299994</v>
      </c>
      <c r="M386" s="9">
        <f t="shared" si="23"/>
        <v>29.381299835000014</v>
      </c>
      <c r="N386" s="9">
        <f t="shared" si="23"/>
        <v>54.076299855000009</v>
      </c>
      <c r="O386" s="9">
        <f t="shared" si="23"/>
        <v>41.092600005000016</v>
      </c>
      <c r="P386" s="9">
        <f t="shared" si="23"/>
        <v>318.80749985</v>
      </c>
    </row>
    <row r="387" spans="1:16" x14ac:dyDescent="0.35">
      <c r="A387" s="2">
        <f>Prices!A385</f>
        <v>44443</v>
      </c>
      <c r="B387" s="1">
        <f>Prices!B385</f>
        <v>3294.6201169999999</v>
      </c>
      <c r="C387" s="1">
        <f>Prices!C385</f>
        <v>21.370000999999998</v>
      </c>
      <c r="D387" s="1">
        <f>Prices!D385</f>
        <v>61.5</v>
      </c>
      <c r="E387" s="1">
        <f>Prices!E385</f>
        <v>28.91</v>
      </c>
      <c r="F387" s="1">
        <f>Prices!F385</f>
        <v>278</v>
      </c>
      <c r="G387" s="9">
        <f t="shared" si="22"/>
        <v>3134.0868017399998</v>
      </c>
      <c r="H387" s="9">
        <f t="shared" si="22"/>
        <v>22.804599960000008</v>
      </c>
      <c r="I387" s="9">
        <f t="shared" si="22"/>
        <v>60.617399860000013</v>
      </c>
      <c r="J387" s="9">
        <f t="shared" si="22"/>
        <v>31.628000100000005</v>
      </c>
      <c r="K387" s="9">
        <f t="shared" si="22"/>
        <v>283.23999940000004</v>
      </c>
      <c r="L387" s="9">
        <f t="shared" si="23"/>
        <v>2348.4469982849996</v>
      </c>
      <c r="M387" s="9">
        <f t="shared" si="23"/>
        <v>29.300399820000017</v>
      </c>
      <c r="N387" s="9">
        <f t="shared" si="23"/>
        <v>54.10759984500001</v>
      </c>
      <c r="O387" s="9">
        <f t="shared" si="23"/>
        <v>40.940200020000013</v>
      </c>
      <c r="P387" s="9">
        <f t="shared" si="23"/>
        <v>318.08399994000001</v>
      </c>
    </row>
    <row r="388" spans="1:16" x14ac:dyDescent="0.35">
      <c r="A388" s="2">
        <f>Prices!A386</f>
        <v>44447</v>
      </c>
      <c r="B388" s="1">
        <f>Prices!B386</f>
        <v>3149.8400879999999</v>
      </c>
      <c r="C388" s="1">
        <f>Prices!C386</f>
        <v>20.870000999999998</v>
      </c>
      <c r="D388" s="1">
        <f>Prices!D386</f>
        <v>60.869999</v>
      </c>
      <c r="E388" s="1">
        <f>Prices!E386</f>
        <v>28.030000999999999</v>
      </c>
      <c r="F388" s="1">
        <f>Prices!F386</f>
        <v>284</v>
      </c>
      <c r="G388" s="9">
        <f t="shared" si="22"/>
        <v>3144.8876025200007</v>
      </c>
      <c r="H388" s="9">
        <f t="shared" si="22"/>
        <v>22.750800000000009</v>
      </c>
      <c r="I388" s="9">
        <f t="shared" si="22"/>
        <v>60.712199900000002</v>
      </c>
      <c r="J388" s="9">
        <f t="shared" si="22"/>
        <v>31.528400120000011</v>
      </c>
      <c r="K388" s="9">
        <f t="shared" si="22"/>
        <v>283.41999940000005</v>
      </c>
      <c r="L388" s="9">
        <f t="shared" si="23"/>
        <v>2356.1561486749993</v>
      </c>
      <c r="M388" s="9">
        <f t="shared" si="23"/>
        <v>29.220049830000022</v>
      </c>
      <c r="N388" s="9">
        <f t="shared" si="23"/>
        <v>54.142449850000006</v>
      </c>
      <c r="O388" s="9">
        <f t="shared" si="23"/>
        <v>40.791100020000016</v>
      </c>
      <c r="P388" s="9">
        <f t="shared" si="23"/>
        <v>317.45649994000001</v>
      </c>
    </row>
    <row r="389" spans="1:16" x14ac:dyDescent="0.35">
      <c r="A389" s="2">
        <f>Prices!A387</f>
        <v>44448</v>
      </c>
      <c r="B389" s="1">
        <f>Prices!B387</f>
        <v>3268.610107</v>
      </c>
      <c r="C389" s="1">
        <f>Prices!C387</f>
        <v>21.209999</v>
      </c>
      <c r="D389" s="1">
        <f>Prices!D387</f>
        <v>61.93</v>
      </c>
      <c r="E389" s="1">
        <f>Prices!E387</f>
        <v>28.52</v>
      </c>
      <c r="F389" s="1">
        <f>Prices!F387</f>
        <v>287.89999399999999</v>
      </c>
      <c r="G389" s="9">
        <f t="shared" si="22"/>
        <v>3154.0270019399995</v>
      </c>
      <c r="H389" s="9">
        <f t="shared" si="22"/>
        <v>22.701000000000008</v>
      </c>
      <c r="I389" s="9">
        <f t="shared" si="22"/>
        <v>60.813599900000007</v>
      </c>
      <c r="J389" s="9">
        <f t="shared" si="22"/>
        <v>31.430800140000009</v>
      </c>
      <c r="K389" s="9">
        <f t="shared" si="22"/>
        <v>283.62199952000009</v>
      </c>
      <c r="L389" s="9">
        <f t="shared" si="23"/>
        <v>2363.1776989699993</v>
      </c>
      <c r="M389" s="9">
        <f t="shared" si="23"/>
        <v>29.138899845000029</v>
      </c>
      <c r="N389" s="9">
        <f t="shared" si="23"/>
        <v>54.18124984</v>
      </c>
      <c r="O389" s="9">
        <f t="shared" si="23"/>
        <v>40.639050030000014</v>
      </c>
      <c r="P389" s="9">
        <f t="shared" si="23"/>
        <v>316.88799988</v>
      </c>
    </row>
    <row r="390" spans="1:16" x14ac:dyDescent="0.35">
      <c r="A390" s="2">
        <f>Prices!A388</f>
        <v>44449</v>
      </c>
      <c r="B390" s="1">
        <f>Prices!B388</f>
        <v>3175.110107</v>
      </c>
      <c r="C390" s="1">
        <f>Prices!C388</f>
        <v>20.709999</v>
      </c>
      <c r="D390" s="1">
        <f>Prices!D388</f>
        <v>60.889999000000003</v>
      </c>
      <c r="E390" s="1">
        <f>Prices!E388</f>
        <v>27.870000999999998</v>
      </c>
      <c r="F390" s="1">
        <f>Prices!F388</f>
        <v>288.70001200000002</v>
      </c>
      <c r="G390" s="9">
        <f t="shared" si="22"/>
        <v>3165.7916064199999</v>
      </c>
      <c r="H390" s="9">
        <f t="shared" si="22"/>
        <v>22.653399980000003</v>
      </c>
      <c r="I390" s="9">
        <f t="shared" si="22"/>
        <v>60.940399900000003</v>
      </c>
      <c r="J390" s="9">
        <f t="shared" si="22"/>
        <v>31.332400160000009</v>
      </c>
      <c r="K390" s="9">
        <f t="shared" si="22"/>
        <v>283.90799928000001</v>
      </c>
      <c r="L390" s="9">
        <f t="shared" si="23"/>
        <v>2370.8471996999997</v>
      </c>
      <c r="M390" s="9">
        <f t="shared" si="23"/>
        <v>29.060749840000021</v>
      </c>
      <c r="N390" s="9">
        <f t="shared" si="23"/>
        <v>54.224399845000001</v>
      </c>
      <c r="O390" s="9">
        <f t="shared" si="23"/>
        <v>40.48830004000002</v>
      </c>
      <c r="P390" s="9">
        <f t="shared" si="23"/>
        <v>316.32749985000004</v>
      </c>
    </row>
    <row r="391" spans="1:16" x14ac:dyDescent="0.35">
      <c r="A391" s="2">
        <f>Prices!A389</f>
        <v>44450</v>
      </c>
      <c r="B391" s="1">
        <f>Prices!B389</f>
        <v>3116.219971</v>
      </c>
      <c r="C391" s="1">
        <f>Prices!C389</f>
        <v>20.67</v>
      </c>
      <c r="D391" s="1">
        <f>Prices!D389</f>
        <v>63.939999</v>
      </c>
      <c r="E391" s="1">
        <f>Prices!E389</f>
        <v>28.08</v>
      </c>
      <c r="F391" s="1">
        <f>Prices!F389</f>
        <v>303.20001200000002</v>
      </c>
      <c r="G391" s="9">
        <f t="shared" si="22"/>
        <v>3174.1174071999994</v>
      </c>
      <c r="H391" s="9">
        <f t="shared" si="22"/>
        <v>22.600999960000003</v>
      </c>
      <c r="I391" s="9">
        <f t="shared" si="22"/>
        <v>61.034599879999995</v>
      </c>
      <c r="J391" s="9">
        <f t="shared" si="22"/>
        <v>31.236000200000014</v>
      </c>
      <c r="K391" s="9">
        <f t="shared" si="22"/>
        <v>284.21599975999999</v>
      </c>
      <c r="L391" s="9">
        <f t="shared" si="23"/>
        <v>2377.9941503799996</v>
      </c>
      <c r="M391" s="9">
        <f t="shared" si="23"/>
        <v>28.978349840000018</v>
      </c>
      <c r="N391" s="9">
        <f t="shared" si="23"/>
        <v>54.259849845000005</v>
      </c>
      <c r="O391" s="9">
        <f t="shared" si="23"/>
        <v>40.33545005000002</v>
      </c>
      <c r="P391" s="9">
        <f t="shared" si="23"/>
        <v>315.75449997000004</v>
      </c>
    </row>
    <row r="392" spans="1:16" x14ac:dyDescent="0.35">
      <c r="A392" s="2">
        <f>Prices!A390</f>
        <v>44453</v>
      </c>
      <c r="B392" s="1">
        <f>Prices!B390</f>
        <v>3102.969971</v>
      </c>
      <c r="C392" s="1">
        <f>Prices!C390</f>
        <v>20.639999</v>
      </c>
      <c r="D392" s="1">
        <f>Prices!D390</f>
        <v>63.860000999999997</v>
      </c>
      <c r="E392" s="1">
        <f>Prices!E390</f>
        <v>27.719999000000001</v>
      </c>
      <c r="F392" s="1">
        <f>Prices!F390</f>
        <v>302</v>
      </c>
      <c r="G392" s="9">
        <f t="shared" ref="G392:K407" si="24">AVERAGE(B342:B391)</f>
        <v>3178.8678076000001</v>
      </c>
      <c r="H392" s="9">
        <f t="shared" si="24"/>
        <v>22.550399939999998</v>
      </c>
      <c r="I392" s="9">
        <f t="shared" si="24"/>
        <v>61.193799859999999</v>
      </c>
      <c r="J392" s="9">
        <f t="shared" si="24"/>
        <v>31.142200200000012</v>
      </c>
      <c r="K392" s="9">
        <f t="shared" si="24"/>
        <v>284.70599976</v>
      </c>
      <c r="L392" s="9">
        <f t="shared" ref="L392:P407" si="25">AVERAGE(B192:B391)</f>
        <v>2384.7060504049996</v>
      </c>
      <c r="M392" s="9">
        <f t="shared" si="25"/>
        <v>28.893749840000019</v>
      </c>
      <c r="N392" s="9">
        <f t="shared" si="25"/>
        <v>54.306199850000006</v>
      </c>
      <c r="O392" s="9">
        <f t="shared" si="25"/>
        <v>40.182650055000011</v>
      </c>
      <c r="P392" s="9">
        <f t="shared" si="25"/>
        <v>315.26150009000003</v>
      </c>
    </row>
    <row r="393" spans="1:16" x14ac:dyDescent="0.35">
      <c r="A393" s="2">
        <f>Prices!A391</f>
        <v>44454</v>
      </c>
      <c r="B393" s="1">
        <f>Prices!B391</f>
        <v>3156.1298830000001</v>
      </c>
      <c r="C393" s="1">
        <f>Prices!C391</f>
        <v>20.709999</v>
      </c>
      <c r="D393" s="1">
        <f>Prices!D391</f>
        <v>65.430000000000007</v>
      </c>
      <c r="E393" s="1">
        <f>Prices!E391</f>
        <v>27.84</v>
      </c>
      <c r="F393" s="1">
        <f>Prices!F391</f>
        <v>303.5</v>
      </c>
      <c r="G393" s="9">
        <f t="shared" si="24"/>
        <v>3183.1212060399998</v>
      </c>
      <c r="H393" s="9">
        <f t="shared" si="24"/>
        <v>22.477999920000002</v>
      </c>
      <c r="I393" s="9">
        <f t="shared" si="24"/>
        <v>61.345199859999994</v>
      </c>
      <c r="J393" s="9">
        <f t="shared" si="24"/>
        <v>31.038600140000007</v>
      </c>
      <c r="K393" s="9">
        <f t="shared" si="24"/>
        <v>285.27599975999999</v>
      </c>
      <c r="L393" s="9">
        <f t="shared" si="25"/>
        <v>2391.2362005549994</v>
      </c>
      <c r="M393" s="9">
        <f t="shared" si="25"/>
        <v>28.809299840000023</v>
      </c>
      <c r="N393" s="9">
        <f t="shared" si="25"/>
        <v>54.351199849999993</v>
      </c>
      <c r="O393" s="9">
        <f t="shared" si="25"/>
        <v>40.031400045000012</v>
      </c>
      <c r="P393" s="9">
        <f t="shared" si="25"/>
        <v>314.75950011999998</v>
      </c>
    </row>
    <row r="394" spans="1:16" x14ac:dyDescent="0.35">
      <c r="A394" s="2">
        <f>Prices!A392</f>
        <v>44455</v>
      </c>
      <c r="B394" s="1">
        <f>Prices!B392</f>
        <v>3078.1000979999999</v>
      </c>
      <c r="C394" s="1">
        <f>Prices!C392</f>
        <v>20.389999</v>
      </c>
      <c r="D394" s="1">
        <f>Prices!D392</f>
        <v>64.839995999999999</v>
      </c>
      <c r="E394" s="1">
        <f>Prices!E392</f>
        <v>28.049999</v>
      </c>
      <c r="F394" s="1">
        <f>Prices!F392</f>
        <v>301</v>
      </c>
      <c r="G394" s="9">
        <f t="shared" si="24"/>
        <v>3185.1030029200001</v>
      </c>
      <c r="H394" s="9">
        <f t="shared" si="24"/>
        <v>22.379399920000001</v>
      </c>
      <c r="I394" s="9">
        <f t="shared" si="24"/>
        <v>61.514799839999995</v>
      </c>
      <c r="J394" s="9">
        <f t="shared" si="24"/>
        <v>30.926400119999997</v>
      </c>
      <c r="K394" s="9">
        <f t="shared" si="24"/>
        <v>285.67799988000002</v>
      </c>
      <c r="L394" s="9">
        <f t="shared" si="25"/>
        <v>2397.9242999199992</v>
      </c>
      <c r="M394" s="9">
        <f t="shared" si="25"/>
        <v>28.724749840000023</v>
      </c>
      <c r="N394" s="9">
        <f t="shared" si="25"/>
        <v>54.403449849999994</v>
      </c>
      <c r="O394" s="9">
        <f t="shared" si="25"/>
        <v>39.88160005000001</v>
      </c>
      <c r="P394" s="9">
        <f t="shared" si="25"/>
        <v>314.26700012000003</v>
      </c>
    </row>
    <row r="395" spans="1:16" x14ac:dyDescent="0.35">
      <c r="A395" s="2">
        <f>Prices!A393</f>
        <v>44456</v>
      </c>
      <c r="B395" s="1">
        <f>Prices!B393</f>
        <v>3008.7299800000001</v>
      </c>
      <c r="C395" s="1">
        <f>Prices!C393</f>
        <v>20.139999</v>
      </c>
      <c r="D395" s="1">
        <f>Prices!D393</f>
        <v>64.720000999999996</v>
      </c>
      <c r="E395" s="1">
        <f>Prices!E393</f>
        <v>27.6</v>
      </c>
      <c r="F395" s="1">
        <f>Prices!F393</f>
        <v>299.60000600000001</v>
      </c>
      <c r="G395" s="9">
        <f t="shared" si="24"/>
        <v>3186.6626025400001</v>
      </c>
      <c r="H395" s="9">
        <f t="shared" si="24"/>
        <v>22.295199900000004</v>
      </c>
      <c r="I395" s="9">
        <f t="shared" si="24"/>
        <v>61.673399760000002</v>
      </c>
      <c r="J395" s="9">
        <f t="shared" si="24"/>
        <v>30.834800080000004</v>
      </c>
      <c r="K395" s="9">
        <f t="shared" si="24"/>
        <v>285.99999999999994</v>
      </c>
      <c r="L395" s="9">
        <f t="shared" si="25"/>
        <v>2404.3108001649994</v>
      </c>
      <c r="M395" s="9">
        <f t="shared" si="25"/>
        <v>28.640399845000026</v>
      </c>
      <c r="N395" s="9">
        <f t="shared" si="25"/>
        <v>54.454849825000004</v>
      </c>
      <c r="O395" s="9">
        <f t="shared" si="25"/>
        <v>39.734400035000014</v>
      </c>
      <c r="P395" s="9">
        <f t="shared" si="25"/>
        <v>313.75300018000002</v>
      </c>
    </row>
    <row r="396" spans="1:16" x14ac:dyDescent="0.35">
      <c r="A396" s="2">
        <f>Prices!A394</f>
        <v>44457</v>
      </c>
      <c r="B396" s="1">
        <f>Prices!B394</f>
        <v>2954.9099120000001</v>
      </c>
      <c r="C396" s="1">
        <f>Prices!C394</f>
        <v>19.73</v>
      </c>
      <c r="D396" s="1">
        <f>Prices!D394</f>
        <v>64.419998000000007</v>
      </c>
      <c r="E396" s="1">
        <f>Prices!E394</f>
        <v>26.98</v>
      </c>
      <c r="F396" s="1">
        <f>Prices!F394</f>
        <v>292.29998799999998</v>
      </c>
      <c r="G396" s="9">
        <f t="shared" si="24"/>
        <v>3185.2150000000001</v>
      </c>
      <c r="H396" s="9">
        <f t="shared" si="24"/>
        <v>22.216199879999998</v>
      </c>
      <c r="I396" s="9">
        <f t="shared" si="24"/>
        <v>61.801799799999998</v>
      </c>
      <c r="J396" s="9">
        <f t="shared" si="24"/>
        <v>30.731800079999999</v>
      </c>
      <c r="K396" s="9">
        <f t="shared" si="24"/>
        <v>286.36200011999995</v>
      </c>
      <c r="L396" s="9">
        <f t="shared" si="25"/>
        <v>2410.4464501849998</v>
      </c>
      <c r="M396" s="9">
        <f t="shared" si="25"/>
        <v>28.557049835000026</v>
      </c>
      <c r="N396" s="9">
        <f t="shared" si="25"/>
        <v>54.502699819999997</v>
      </c>
      <c r="O396" s="9">
        <f t="shared" si="25"/>
        <v>39.586750030000012</v>
      </c>
      <c r="P396" s="9">
        <f t="shared" si="25"/>
        <v>313.25900024000003</v>
      </c>
    </row>
    <row r="397" spans="1:16" x14ac:dyDescent="0.35">
      <c r="A397" s="2">
        <f>Prices!A395</f>
        <v>44460</v>
      </c>
      <c r="B397" s="1">
        <f>Prices!B395</f>
        <v>2960.469971</v>
      </c>
      <c r="C397" s="1">
        <f>Prices!C395</f>
        <v>18.639999</v>
      </c>
      <c r="D397" s="1">
        <f>Prices!D395</f>
        <v>61.599997999999999</v>
      </c>
      <c r="E397" s="1">
        <f>Prices!E395</f>
        <v>26.309999000000001</v>
      </c>
      <c r="F397" s="1">
        <f>Prices!F395</f>
        <v>282.29998799999998</v>
      </c>
      <c r="G397" s="9">
        <f t="shared" si="24"/>
        <v>3180.6606005799999</v>
      </c>
      <c r="H397" s="9">
        <f t="shared" si="24"/>
        <v>22.140399879999997</v>
      </c>
      <c r="I397" s="9">
        <f t="shared" si="24"/>
        <v>61.93099978</v>
      </c>
      <c r="J397" s="9">
        <f t="shared" si="24"/>
        <v>30.645800059999996</v>
      </c>
      <c r="K397" s="9">
        <f t="shared" si="24"/>
        <v>286.62200012</v>
      </c>
      <c r="L397" s="9">
        <f t="shared" si="25"/>
        <v>2416.3711999399998</v>
      </c>
      <c r="M397" s="9">
        <f t="shared" si="25"/>
        <v>28.474049825000019</v>
      </c>
      <c r="N397" s="9">
        <f t="shared" si="25"/>
        <v>54.551799819999999</v>
      </c>
      <c r="O397" s="9">
        <f t="shared" si="25"/>
        <v>39.440600035000017</v>
      </c>
      <c r="P397" s="9">
        <f t="shared" si="25"/>
        <v>312.75400024000004</v>
      </c>
    </row>
    <row r="398" spans="1:16" x14ac:dyDescent="0.35">
      <c r="A398" s="2">
        <f>Prices!A396</f>
        <v>44461</v>
      </c>
      <c r="B398" s="1">
        <f>Prices!B396</f>
        <v>3128.98999</v>
      </c>
      <c r="C398" s="1">
        <f>Prices!C396</f>
        <v>18.350000000000001</v>
      </c>
      <c r="D398" s="1">
        <f>Prices!D396</f>
        <v>61.41</v>
      </c>
      <c r="E398" s="1">
        <f>Prices!E396</f>
        <v>26.639999</v>
      </c>
      <c r="F398" s="1">
        <f>Prices!F396</f>
        <v>279.29998799999998</v>
      </c>
      <c r="G398" s="9">
        <f t="shared" si="24"/>
        <v>3175.87</v>
      </c>
      <c r="H398" s="9">
        <f t="shared" si="24"/>
        <v>22.035599879999999</v>
      </c>
      <c r="I398" s="9">
        <f t="shared" si="24"/>
        <v>61.984999699999996</v>
      </c>
      <c r="J398" s="9">
        <f t="shared" si="24"/>
        <v>30.527800060000001</v>
      </c>
      <c r="K398" s="9">
        <f t="shared" si="24"/>
        <v>286.61200011999995</v>
      </c>
      <c r="L398" s="9">
        <f t="shared" si="25"/>
        <v>2422.3701000900001</v>
      </c>
      <c r="M398" s="9">
        <f t="shared" si="25"/>
        <v>28.384899815000018</v>
      </c>
      <c r="N398" s="9">
        <f t="shared" si="25"/>
        <v>54.585499804999991</v>
      </c>
      <c r="O398" s="9">
        <f t="shared" si="25"/>
        <v>39.287950030000019</v>
      </c>
      <c r="P398" s="9">
        <f t="shared" si="25"/>
        <v>312.18850021000003</v>
      </c>
    </row>
    <row r="399" spans="1:16" x14ac:dyDescent="0.35">
      <c r="A399" s="2">
        <f>Prices!A397</f>
        <v>44462</v>
      </c>
      <c r="B399" s="1">
        <f>Prices!B397</f>
        <v>2999.860107</v>
      </c>
      <c r="C399" s="1">
        <f>Prices!C397</f>
        <v>18.420000000000002</v>
      </c>
      <c r="D399" s="1">
        <f>Prices!D397</f>
        <v>60.400002000000001</v>
      </c>
      <c r="E399" s="1">
        <f>Prices!E397</f>
        <v>26.120000999999998</v>
      </c>
      <c r="F399" s="1">
        <f>Prices!F397</f>
        <v>282.70001200000002</v>
      </c>
      <c r="G399" s="9">
        <f t="shared" si="24"/>
        <v>3176.3697998000002</v>
      </c>
      <c r="H399" s="9">
        <f t="shared" si="24"/>
        <v>21.924799899999996</v>
      </c>
      <c r="I399" s="9">
        <f t="shared" si="24"/>
        <v>62.038199699999993</v>
      </c>
      <c r="J399" s="9">
        <f t="shared" si="24"/>
        <v>30.412400039999998</v>
      </c>
      <c r="K399" s="9">
        <f t="shared" si="24"/>
        <v>286.47000000000003</v>
      </c>
      <c r="L399" s="9">
        <f t="shared" si="25"/>
        <v>2429.3126501399997</v>
      </c>
      <c r="M399" s="9">
        <f t="shared" si="25"/>
        <v>28.294799820000023</v>
      </c>
      <c r="N399" s="9">
        <f t="shared" si="25"/>
        <v>54.619499799999993</v>
      </c>
      <c r="O399" s="9">
        <f t="shared" si="25"/>
        <v>39.138700015000019</v>
      </c>
      <c r="P399" s="9">
        <f t="shared" si="25"/>
        <v>311.62000015000007</v>
      </c>
    </row>
    <row r="400" spans="1:16" x14ac:dyDescent="0.35">
      <c r="A400" s="2">
        <f>Prices!A398</f>
        <v>44463</v>
      </c>
      <c r="B400" s="1">
        <f>Prices!B398</f>
        <v>3019.790039</v>
      </c>
      <c r="C400" s="1">
        <f>Prices!C398</f>
        <v>18.389999</v>
      </c>
      <c r="D400" s="1">
        <f>Prices!D398</f>
        <v>61.169998</v>
      </c>
      <c r="E400" s="1">
        <f>Prices!E398</f>
        <v>26.540001</v>
      </c>
      <c r="F400" s="1">
        <f>Prices!F398</f>
        <v>279</v>
      </c>
      <c r="G400" s="9">
        <f t="shared" si="24"/>
        <v>3174.6870019400003</v>
      </c>
      <c r="H400" s="9">
        <f t="shared" si="24"/>
        <v>21.814199879999997</v>
      </c>
      <c r="I400" s="9">
        <f t="shared" si="24"/>
        <v>62.029399739999988</v>
      </c>
      <c r="J400" s="9">
        <f t="shared" si="24"/>
        <v>30.264600099999999</v>
      </c>
      <c r="K400" s="9">
        <f t="shared" si="24"/>
        <v>286.33800047999995</v>
      </c>
      <c r="L400" s="9">
        <f t="shared" si="25"/>
        <v>2435.5539507949998</v>
      </c>
      <c r="M400" s="9">
        <f t="shared" si="25"/>
        <v>28.202549825000023</v>
      </c>
      <c r="N400" s="9">
        <f t="shared" si="25"/>
        <v>54.644649814999994</v>
      </c>
      <c r="O400" s="9">
        <f t="shared" si="25"/>
        <v>38.982850015000025</v>
      </c>
      <c r="P400" s="9">
        <f t="shared" si="25"/>
        <v>311.04400024</v>
      </c>
    </row>
    <row r="401" spans="1:16" x14ac:dyDescent="0.35">
      <c r="A401" s="2">
        <f>Prices!A399</f>
        <v>44464</v>
      </c>
      <c r="B401" s="1">
        <f>Prices!B399</f>
        <v>3095.1298830000001</v>
      </c>
      <c r="C401" s="1">
        <f>Prices!C399</f>
        <v>18.110001</v>
      </c>
      <c r="D401" s="1">
        <f>Prices!D399</f>
        <v>60.360000999999997</v>
      </c>
      <c r="E401" s="1">
        <f>Prices!E399</f>
        <v>25.74</v>
      </c>
      <c r="F401" s="1">
        <f>Prices!F399</f>
        <v>279.89999399999999</v>
      </c>
      <c r="G401" s="9">
        <f t="shared" si="24"/>
        <v>3174.9054003800002</v>
      </c>
      <c r="H401" s="9">
        <f t="shared" si="24"/>
        <v>21.696599860000003</v>
      </c>
      <c r="I401" s="9">
        <f t="shared" si="24"/>
        <v>62.035399719999994</v>
      </c>
      <c r="J401" s="9">
        <f t="shared" si="24"/>
        <v>30.115800119999999</v>
      </c>
      <c r="K401" s="9">
        <f t="shared" si="24"/>
        <v>286.03800047999994</v>
      </c>
      <c r="L401" s="9">
        <f t="shared" si="25"/>
        <v>2441.9053509399992</v>
      </c>
      <c r="M401" s="9">
        <f t="shared" si="25"/>
        <v>28.11034981000002</v>
      </c>
      <c r="N401" s="9">
        <f t="shared" si="25"/>
        <v>54.670949804999992</v>
      </c>
      <c r="O401" s="9">
        <f t="shared" si="25"/>
        <v>38.829200020000023</v>
      </c>
      <c r="P401" s="9">
        <f t="shared" si="25"/>
        <v>310.41700027000007</v>
      </c>
    </row>
    <row r="402" spans="1:16" x14ac:dyDescent="0.35">
      <c r="A402" s="2">
        <f>Prices!A400</f>
        <v>44467</v>
      </c>
      <c r="B402" s="1">
        <f>Prices!B400</f>
        <v>3174.0500489999999</v>
      </c>
      <c r="C402" s="1">
        <f>Prices!C400</f>
        <v>19.959999</v>
      </c>
      <c r="D402" s="1">
        <f>Prices!D400</f>
        <v>60.490001999999997</v>
      </c>
      <c r="E402" s="1">
        <f>Prices!E400</f>
        <v>26.09</v>
      </c>
      <c r="F402" s="1">
        <f>Prices!F400</f>
        <v>293.5</v>
      </c>
      <c r="G402" s="9">
        <f t="shared" si="24"/>
        <v>3176.81</v>
      </c>
      <c r="H402" s="9">
        <f t="shared" si="24"/>
        <v>21.576599860000002</v>
      </c>
      <c r="I402" s="9">
        <f t="shared" si="24"/>
        <v>62.018999739999991</v>
      </c>
      <c r="J402" s="9">
        <f t="shared" si="24"/>
        <v>29.961000119999998</v>
      </c>
      <c r="K402" s="9">
        <f t="shared" si="24"/>
        <v>285.78200011999996</v>
      </c>
      <c r="L402" s="9">
        <f t="shared" si="25"/>
        <v>2448.684950549999</v>
      </c>
      <c r="M402" s="9">
        <f t="shared" si="25"/>
        <v>28.017349820000021</v>
      </c>
      <c r="N402" s="9">
        <f t="shared" si="25"/>
        <v>54.692449804999981</v>
      </c>
      <c r="O402" s="9">
        <f t="shared" si="25"/>
        <v>38.671100015000022</v>
      </c>
      <c r="P402" s="9">
        <f t="shared" si="25"/>
        <v>309.79650024000006</v>
      </c>
    </row>
    <row r="403" spans="1:16" x14ac:dyDescent="0.35">
      <c r="A403" s="2">
        <f>Prices!A401</f>
        <v>44468</v>
      </c>
      <c r="B403" s="1">
        <f>Prices!B401</f>
        <v>3144.8798830000001</v>
      </c>
      <c r="C403" s="1">
        <f>Prices!C401</f>
        <v>19.399999999999999</v>
      </c>
      <c r="D403" s="1">
        <f>Prices!D401</f>
        <v>60.209999000000003</v>
      </c>
      <c r="E403" s="1">
        <f>Prices!E401</f>
        <v>25.65</v>
      </c>
      <c r="F403" s="1">
        <f>Prices!F401</f>
        <v>286.60000600000001</v>
      </c>
      <c r="G403" s="9">
        <f t="shared" si="24"/>
        <v>3181.0516015600001</v>
      </c>
      <c r="H403" s="9">
        <f t="shared" si="24"/>
        <v>21.503599819999994</v>
      </c>
      <c r="I403" s="9">
        <f t="shared" si="24"/>
        <v>61.985799739999983</v>
      </c>
      <c r="J403" s="9">
        <f t="shared" si="24"/>
        <v>29.824600119999996</v>
      </c>
      <c r="K403" s="9">
        <f t="shared" si="24"/>
        <v>285.80200012</v>
      </c>
      <c r="L403" s="9">
        <f t="shared" si="25"/>
        <v>2455.8116009399992</v>
      </c>
      <c r="M403" s="9">
        <f t="shared" si="25"/>
        <v>27.931349815000019</v>
      </c>
      <c r="N403" s="9">
        <f t="shared" si="25"/>
        <v>54.710349814999979</v>
      </c>
      <c r="O403" s="9">
        <f t="shared" si="25"/>
        <v>38.514550005000025</v>
      </c>
      <c r="P403" s="9">
        <f t="shared" si="25"/>
        <v>309.26400024000009</v>
      </c>
    </row>
    <row r="404" spans="1:16" x14ac:dyDescent="0.35">
      <c r="A404" s="2">
        <f>Prices!A402</f>
        <v>44469</v>
      </c>
      <c r="B404" s="1">
        <f>Prices!B402</f>
        <v>3148.7299800000001</v>
      </c>
      <c r="C404" s="1">
        <f>Prices!C402</f>
        <v>19.579999999999998</v>
      </c>
      <c r="D404" s="1">
        <f>Prices!D402</f>
        <v>60.389999000000003</v>
      </c>
      <c r="E404" s="1">
        <f>Prices!E402</f>
        <v>25.17</v>
      </c>
      <c r="F404" s="1">
        <f>Prices!F402</f>
        <v>285.70001200000002</v>
      </c>
      <c r="G404" s="9">
        <f t="shared" si="24"/>
        <v>3180.0123974600006</v>
      </c>
      <c r="H404" s="9">
        <f t="shared" si="24"/>
        <v>21.418999839999998</v>
      </c>
      <c r="I404" s="9">
        <f t="shared" si="24"/>
        <v>61.941599760000003</v>
      </c>
      <c r="J404" s="9">
        <f t="shared" si="24"/>
        <v>29.689400119999995</v>
      </c>
      <c r="K404" s="9">
        <f t="shared" si="24"/>
        <v>285.70400023999997</v>
      </c>
      <c r="L404" s="9">
        <f t="shared" si="25"/>
        <v>2462.7343505749996</v>
      </c>
      <c r="M404" s="9">
        <f t="shared" si="25"/>
        <v>27.838699815000012</v>
      </c>
      <c r="N404" s="9">
        <f t="shared" si="25"/>
        <v>54.723799809999981</v>
      </c>
      <c r="O404" s="9">
        <f t="shared" si="25"/>
        <v>38.354000015000025</v>
      </c>
      <c r="P404" s="9">
        <f t="shared" si="25"/>
        <v>308.66650024000006</v>
      </c>
    </row>
    <row r="405" spans="1:16" x14ac:dyDescent="0.35">
      <c r="A405" s="2">
        <f>Prices!A403</f>
        <v>44470</v>
      </c>
      <c r="B405" s="1">
        <f>Prices!B403</f>
        <v>3221.26001</v>
      </c>
      <c r="C405" s="1">
        <f>Prices!C403</f>
        <v>19.510000000000002</v>
      </c>
      <c r="D405" s="1">
        <f>Prices!D403</f>
        <v>59.82</v>
      </c>
      <c r="E405" s="1">
        <f>Prices!E403</f>
        <v>24.24</v>
      </c>
      <c r="F405" s="1">
        <f>Prices!F403</f>
        <v>285.79998799999998</v>
      </c>
      <c r="G405" s="9">
        <f t="shared" si="24"/>
        <v>3180.2211962800002</v>
      </c>
      <c r="H405" s="9">
        <f t="shared" si="24"/>
        <v>21.327399839999998</v>
      </c>
      <c r="I405" s="9">
        <f t="shared" si="24"/>
        <v>61.923199719999992</v>
      </c>
      <c r="J405" s="9">
        <f t="shared" si="24"/>
        <v>29.524200119999996</v>
      </c>
      <c r="K405" s="9">
        <f t="shared" si="24"/>
        <v>285.65600036000001</v>
      </c>
      <c r="L405" s="9">
        <f t="shared" si="25"/>
        <v>2469.6733007699995</v>
      </c>
      <c r="M405" s="9">
        <f t="shared" si="25"/>
        <v>27.74444981500001</v>
      </c>
      <c r="N405" s="9">
        <f t="shared" si="25"/>
        <v>54.73714979999999</v>
      </c>
      <c r="O405" s="9">
        <f t="shared" si="25"/>
        <v>38.192650020000031</v>
      </c>
      <c r="P405" s="9">
        <f t="shared" si="25"/>
        <v>308.01600036000008</v>
      </c>
    </row>
    <row r="406" spans="1:16" x14ac:dyDescent="0.35">
      <c r="A406" s="2">
        <f>Prices!A404</f>
        <v>44471</v>
      </c>
      <c r="B406" s="1">
        <f>Prices!B404</f>
        <v>3125</v>
      </c>
      <c r="C406" s="1">
        <f>Prices!C404</f>
        <v>19.870000999999998</v>
      </c>
      <c r="D406" s="1">
        <f>Prices!D404</f>
        <v>60.490001999999997</v>
      </c>
      <c r="E406" s="1">
        <f>Prices!E404</f>
        <v>24.6</v>
      </c>
      <c r="F406" s="1">
        <f>Prices!F404</f>
        <v>287.60000600000001</v>
      </c>
      <c r="G406" s="9">
        <f t="shared" si="24"/>
        <v>3182.6481982400001</v>
      </c>
      <c r="H406" s="9">
        <f t="shared" si="24"/>
        <v>21.246399859999997</v>
      </c>
      <c r="I406" s="9">
        <f t="shared" si="24"/>
        <v>61.890799740000006</v>
      </c>
      <c r="J406" s="9">
        <f t="shared" si="24"/>
        <v>29.354000119999995</v>
      </c>
      <c r="K406" s="9">
        <f t="shared" si="24"/>
        <v>285.54200012000001</v>
      </c>
      <c r="L406" s="9">
        <f t="shared" si="25"/>
        <v>2476.9335510149995</v>
      </c>
      <c r="M406" s="9">
        <f t="shared" si="25"/>
        <v>27.647399825000015</v>
      </c>
      <c r="N406" s="9">
        <f t="shared" si="25"/>
        <v>54.742149799999986</v>
      </c>
      <c r="O406" s="9">
        <f t="shared" si="25"/>
        <v>38.023050020000021</v>
      </c>
      <c r="P406" s="9">
        <f t="shared" si="25"/>
        <v>307.30500030000007</v>
      </c>
    </row>
    <row r="407" spans="1:16" x14ac:dyDescent="0.35">
      <c r="A407" s="2">
        <f>Prices!A405</f>
        <v>44474</v>
      </c>
      <c r="B407" s="1">
        <f>Prices!B405</f>
        <v>3199.1999510000001</v>
      </c>
      <c r="C407" s="1">
        <f>Prices!C405</f>
        <v>19.959999</v>
      </c>
      <c r="D407" s="1">
        <f>Prices!D405</f>
        <v>61.23</v>
      </c>
      <c r="E407" s="1">
        <f>Prices!E405</f>
        <v>25.41</v>
      </c>
      <c r="F407" s="1">
        <f>Prices!F405</f>
        <v>291.29998799999998</v>
      </c>
      <c r="G407" s="9">
        <f t="shared" si="24"/>
        <v>3185.4171972599997</v>
      </c>
      <c r="H407" s="9">
        <f t="shared" si="24"/>
        <v>21.176799879999997</v>
      </c>
      <c r="I407" s="9">
        <f t="shared" si="24"/>
        <v>61.886999780000018</v>
      </c>
      <c r="J407" s="9">
        <f t="shared" si="24"/>
        <v>29.198200139999994</v>
      </c>
      <c r="K407" s="9">
        <f t="shared" si="24"/>
        <v>285.54600036000005</v>
      </c>
      <c r="L407" s="9">
        <f t="shared" si="25"/>
        <v>2483.6052508449993</v>
      </c>
      <c r="M407" s="9">
        <f t="shared" si="25"/>
        <v>27.552199830000013</v>
      </c>
      <c r="N407" s="9">
        <f t="shared" si="25"/>
        <v>54.751199809999996</v>
      </c>
      <c r="O407" s="9">
        <f t="shared" si="25"/>
        <v>37.85370001500003</v>
      </c>
      <c r="P407" s="9">
        <f t="shared" si="25"/>
        <v>306.61350036000005</v>
      </c>
    </row>
    <row r="408" spans="1:16" x14ac:dyDescent="0.35">
      <c r="A408" s="2">
        <f>Prices!A406</f>
        <v>44475</v>
      </c>
      <c r="B408" s="1">
        <f>Prices!B406</f>
        <v>3099.959961</v>
      </c>
      <c r="C408" s="1">
        <f>Prices!C406</f>
        <v>19.989999999999998</v>
      </c>
      <c r="D408" s="1">
        <f>Prices!D406</f>
        <v>59.610000999999997</v>
      </c>
      <c r="E408" s="1">
        <f>Prices!E406</f>
        <v>25.299999</v>
      </c>
      <c r="F408" s="1">
        <f>Prices!F406</f>
        <v>298.79998799999998</v>
      </c>
      <c r="G408" s="9">
        <f t="shared" ref="G408:K423" si="26">AVERAGE(B358:B407)</f>
        <v>3189.2229980399993</v>
      </c>
      <c r="H408" s="9">
        <f t="shared" si="26"/>
        <v>21.111199859999996</v>
      </c>
      <c r="I408" s="9">
        <f t="shared" si="26"/>
        <v>61.896199780000003</v>
      </c>
      <c r="J408" s="9">
        <f t="shared" si="26"/>
        <v>29.060600119999993</v>
      </c>
      <c r="K408" s="9">
        <f t="shared" si="26"/>
        <v>285.75200011999999</v>
      </c>
      <c r="L408" s="9">
        <f t="shared" ref="L408:P423" si="27">AVERAGE(B208:B407)</f>
        <v>2490.6811004549991</v>
      </c>
      <c r="M408" s="9">
        <f t="shared" si="27"/>
        <v>27.456849830000014</v>
      </c>
      <c r="N408" s="9">
        <f t="shared" si="27"/>
        <v>54.764699815</v>
      </c>
      <c r="O408" s="9">
        <f t="shared" si="27"/>
        <v>37.688150015000026</v>
      </c>
      <c r="P408" s="9">
        <f t="shared" si="27"/>
        <v>305.94750030000006</v>
      </c>
    </row>
    <row r="409" spans="1:16" x14ac:dyDescent="0.35">
      <c r="A409" s="2">
        <f>Prices!A407</f>
        <v>44476</v>
      </c>
      <c r="B409" s="1">
        <f>Prices!B407</f>
        <v>3195.6899410000001</v>
      </c>
      <c r="C409" s="1">
        <f>Prices!C407</f>
        <v>20.370000999999998</v>
      </c>
      <c r="D409" s="1">
        <f>Prices!D407</f>
        <v>61.200001</v>
      </c>
      <c r="E409" s="1">
        <f>Prices!E407</f>
        <v>25.59</v>
      </c>
      <c r="F409" s="1">
        <f>Prices!F407</f>
        <v>295.39999399999999</v>
      </c>
      <c r="G409" s="9">
        <f t="shared" si="26"/>
        <v>3190.1179980399993</v>
      </c>
      <c r="H409" s="9">
        <f t="shared" si="26"/>
        <v>21.057599859999996</v>
      </c>
      <c r="I409" s="9">
        <f t="shared" si="26"/>
        <v>61.836999800000001</v>
      </c>
      <c r="J409" s="9">
        <f t="shared" si="26"/>
        <v>28.917600080000003</v>
      </c>
      <c r="K409" s="9">
        <f t="shared" si="26"/>
        <v>286.18799988000001</v>
      </c>
      <c r="L409" s="9">
        <f t="shared" si="27"/>
        <v>2497.2195001149994</v>
      </c>
      <c r="M409" s="9">
        <f t="shared" si="27"/>
        <v>27.362399825000011</v>
      </c>
      <c r="N409" s="9">
        <f t="shared" si="27"/>
        <v>54.77034982</v>
      </c>
      <c r="O409" s="9">
        <f t="shared" si="27"/>
        <v>37.520150000000022</v>
      </c>
      <c r="P409" s="9">
        <f t="shared" si="27"/>
        <v>305.33500030000005</v>
      </c>
    </row>
    <row r="410" spans="1:16" x14ac:dyDescent="0.35">
      <c r="A410" s="2">
        <f>Prices!A408</f>
        <v>44477</v>
      </c>
      <c r="B410" s="1">
        <f>Prices!B408</f>
        <v>3190.5500489999999</v>
      </c>
      <c r="C410" s="1">
        <f>Prices!C408</f>
        <v>20.32</v>
      </c>
      <c r="D410" s="1">
        <f>Prices!D408</f>
        <v>61.52</v>
      </c>
      <c r="E410" s="1">
        <f>Prices!E408</f>
        <v>26.440000999999999</v>
      </c>
      <c r="F410" s="1">
        <f>Prices!F408</f>
        <v>295.39999399999999</v>
      </c>
      <c r="G410" s="9">
        <f t="shared" si="26"/>
        <v>3194.0251952999993</v>
      </c>
      <c r="H410" s="9">
        <f t="shared" si="26"/>
        <v>21.009999879999999</v>
      </c>
      <c r="I410" s="9">
        <f t="shared" si="26"/>
        <v>61.835399840000008</v>
      </c>
      <c r="J410" s="9">
        <f t="shared" si="26"/>
        <v>28.787400120000001</v>
      </c>
      <c r="K410" s="9">
        <f t="shared" si="26"/>
        <v>286.50599976000007</v>
      </c>
      <c r="L410" s="9">
        <f t="shared" si="27"/>
        <v>2504.2654498199995</v>
      </c>
      <c r="M410" s="9">
        <f t="shared" si="27"/>
        <v>27.269799835000011</v>
      </c>
      <c r="N410" s="9">
        <f t="shared" si="27"/>
        <v>54.782499825000002</v>
      </c>
      <c r="O410" s="9">
        <f t="shared" si="27"/>
        <v>37.35720000000002</v>
      </c>
      <c r="P410" s="9">
        <f t="shared" si="27"/>
        <v>304.71600021</v>
      </c>
    </row>
    <row r="411" spans="1:16" x14ac:dyDescent="0.35">
      <c r="A411" s="2">
        <f>Prices!A409</f>
        <v>44478</v>
      </c>
      <c r="B411" s="1">
        <f>Prices!B409</f>
        <v>3286.6499020000001</v>
      </c>
      <c r="C411" s="1">
        <f>Prices!C409</f>
        <v>20.129999000000002</v>
      </c>
      <c r="D411" s="1">
        <f>Prices!D409</f>
        <v>62.09</v>
      </c>
      <c r="E411" s="1">
        <f>Prices!E409</f>
        <v>26.66</v>
      </c>
      <c r="F411" s="1">
        <f>Prices!F409</f>
        <v>295.70001200000002</v>
      </c>
      <c r="G411" s="9">
        <f t="shared" si="26"/>
        <v>3197.1655956999998</v>
      </c>
      <c r="H411" s="9">
        <f t="shared" si="26"/>
        <v>20.944999879999997</v>
      </c>
      <c r="I411" s="9">
        <f t="shared" si="26"/>
        <v>61.812199840000005</v>
      </c>
      <c r="J411" s="9">
        <f t="shared" si="26"/>
        <v>28.668000140000004</v>
      </c>
      <c r="K411" s="9">
        <f t="shared" si="26"/>
        <v>286.85399964000004</v>
      </c>
      <c r="L411" s="9">
        <f t="shared" si="27"/>
        <v>2511.2532000649999</v>
      </c>
      <c r="M411" s="9">
        <f t="shared" si="27"/>
        <v>27.17749984000001</v>
      </c>
      <c r="N411" s="9">
        <f t="shared" si="27"/>
        <v>54.795249820000002</v>
      </c>
      <c r="O411" s="9">
        <f t="shared" si="27"/>
        <v>37.195400010000021</v>
      </c>
      <c r="P411" s="9">
        <f t="shared" si="27"/>
        <v>304.09100021</v>
      </c>
    </row>
    <row r="412" spans="1:16" x14ac:dyDescent="0.35">
      <c r="A412" s="2">
        <f>Prices!A410</f>
        <v>44481</v>
      </c>
      <c r="B412" s="1">
        <f>Prices!B410</f>
        <v>3442.929932</v>
      </c>
      <c r="C412" s="1">
        <f>Prices!C410</f>
        <v>20.25</v>
      </c>
      <c r="D412" s="1">
        <f>Prices!D410</f>
        <v>61.689999</v>
      </c>
      <c r="E412" s="1">
        <f>Prices!E410</f>
        <v>26.299999</v>
      </c>
      <c r="F412" s="1">
        <f>Prices!F410</f>
        <v>296.60000600000001</v>
      </c>
      <c r="G412" s="9">
        <f t="shared" si="26"/>
        <v>3201.8609960799995</v>
      </c>
      <c r="H412" s="9">
        <f t="shared" si="26"/>
        <v>20.892399860000001</v>
      </c>
      <c r="I412" s="9">
        <f t="shared" si="26"/>
        <v>61.833199820000011</v>
      </c>
      <c r="J412" s="9">
        <f t="shared" si="26"/>
        <v>28.584400140000003</v>
      </c>
      <c r="K412" s="9">
        <f t="shared" si="26"/>
        <v>287.43399964000002</v>
      </c>
      <c r="L412" s="9">
        <f t="shared" si="27"/>
        <v>2518.7403997699994</v>
      </c>
      <c r="M412" s="9">
        <f t="shared" si="27"/>
        <v>27.084699840000006</v>
      </c>
      <c r="N412" s="9">
        <f t="shared" si="27"/>
        <v>54.810649829999996</v>
      </c>
      <c r="O412" s="9">
        <f t="shared" si="27"/>
        <v>37.035200005000014</v>
      </c>
      <c r="P412" s="9">
        <f t="shared" si="27"/>
        <v>303.45650023999997</v>
      </c>
    </row>
    <row r="413" spans="1:16" x14ac:dyDescent="0.35">
      <c r="A413" s="2">
        <f>Prices!A411</f>
        <v>44482</v>
      </c>
      <c r="B413" s="1">
        <f>Prices!B411</f>
        <v>3443.6298830000001</v>
      </c>
      <c r="C413" s="1">
        <f>Prices!C411</f>
        <v>19.77</v>
      </c>
      <c r="D413" s="1">
        <f>Prices!D411</f>
        <v>61.07</v>
      </c>
      <c r="E413" s="1">
        <f>Prices!E411</f>
        <v>25.82</v>
      </c>
      <c r="F413" s="1">
        <f>Prices!F411</f>
        <v>286.79998799999998</v>
      </c>
      <c r="G413" s="9">
        <f t="shared" si="26"/>
        <v>3207.4259960799995</v>
      </c>
      <c r="H413" s="9">
        <f t="shared" si="26"/>
        <v>20.844399860000003</v>
      </c>
      <c r="I413" s="9">
        <f t="shared" si="26"/>
        <v>61.846199780000006</v>
      </c>
      <c r="J413" s="9">
        <f t="shared" si="26"/>
        <v>28.514200140000003</v>
      </c>
      <c r="K413" s="9">
        <f t="shared" si="26"/>
        <v>288.09199952000006</v>
      </c>
      <c r="L413" s="9">
        <f t="shared" si="27"/>
        <v>2526.6111993299992</v>
      </c>
      <c r="M413" s="9">
        <f t="shared" si="27"/>
        <v>26.991349850000006</v>
      </c>
      <c r="N413" s="9">
        <f t="shared" si="27"/>
        <v>54.821649815000001</v>
      </c>
      <c r="O413" s="9">
        <f t="shared" si="27"/>
        <v>36.872350005000015</v>
      </c>
      <c r="P413" s="9">
        <f t="shared" si="27"/>
        <v>302.82850021000002</v>
      </c>
    </row>
    <row r="414" spans="1:16" x14ac:dyDescent="0.35">
      <c r="A414" s="2">
        <f>Prices!A412</f>
        <v>44483</v>
      </c>
      <c r="B414" s="1">
        <f>Prices!B412</f>
        <v>3363.709961</v>
      </c>
      <c r="C414" s="1">
        <f>Prices!C412</f>
        <v>19.23</v>
      </c>
      <c r="D414" s="1">
        <f>Prices!D412</f>
        <v>61</v>
      </c>
      <c r="E414" s="1">
        <f>Prices!E412</f>
        <v>25.790001</v>
      </c>
      <c r="F414" s="1">
        <f>Prices!F412</f>
        <v>287.10000600000001</v>
      </c>
      <c r="G414" s="9">
        <f t="shared" si="26"/>
        <v>3214.0607958799992</v>
      </c>
      <c r="H414" s="9">
        <f t="shared" si="26"/>
        <v>20.808199860000006</v>
      </c>
      <c r="I414" s="9">
        <f t="shared" si="26"/>
        <v>61.82939978000001</v>
      </c>
      <c r="J414" s="9">
        <f t="shared" si="26"/>
        <v>28.424600160000004</v>
      </c>
      <c r="K414" s="9">
        <f t="shared" si="26"/>
        <v>288.34999940000012</v>
      </c>
      <c r="L414" s="9">
        <f t="shared" si="27"/>
        <v>2534.4803484999993</v>
      </c>
      <c r="M414" s="9">
        <f t="shared" si="27"/>
        <v>26.895199850000008</v>
      </c>
      <c r="N414" s="9">
        <f t="shared" si="27"/>
        <v>54.830249825000003</v>
      </c>
      <c r="O414" s="9">
        <f t="shared" si="27"/>
        <v>36.706000005000014</v>
      </c>
      <c r="P414" s="9">
        <f t="shared" si="27"/>
        <v>302.16150009000006</v>
      </c>
    </row>
    <row r="415" spans="1:16" x14ac:dyDescent="0.35">
      <c r="A415" s="2">
        <f>Prices!A413</f>
        <v>44484</v>
      </c>
      <c r="B415" s="1">
        <f>Prices!B413</f>
        <v>3338.6499020000001</v>
      </c>
      <c r="C415" s="1">
        <f>Prices!C413</f>
        <v>19.399999999999999</v>
      </c>
      <c r="D415" s="1">
        <f>Prices!D413</f>
        <v>60.549999</v>
      </c>
      <c r="E415" s="1">
        <f>Prices!E413</f>
        <v>25.370000999999998</v>
      </c>
      <c r="F415" s="1">
        <f>Prices!F413</f>
        <v>278.89999399999999</v>
      </c>
      <c r="G415" s="9">
        <f t="shared" si="26"/>
        <v>3218.5583935399986</v>
      </c>
      <c r="H415" s="9">
        <f t="shared" si="26"/>
        <v>20.754599860000003</v>
      </c>
      <c r="I415" s="9">
        <f t="shared" si="26"/>
        <v>61.812199760000013</v>
      </c>
      <c r="J415" s="9">
        <f t="shared" si="26"/>
        <v>28.313400180000002</v>
      </c>
      <c r="K415" s="9">
        <f t="shared" si="26"/>
        <v>288.52199952000012</v>
      </c>
      <c r="L415" s="9">
        <f t="shared" si="27"/>
        <v>2542.0644482299995</v>
      </c>
      <c r="M415" s="9">
        <f t="shared" si="27"/>
        <v>26.796449850000002</v>
      </c>
      <c r="N415" s="9">
        <f t="shared" si="27"/>
        <v>54.839399835000002</v>
      </c>
      <c r="O415" s="9">
        <f t="shared" si="27"/>
        <v>36.541550010000023</v>
      </c>
      <c r="P415" s="9">
        <f t="shared" si="27"/>
        <v>301.50350006000002</v>
      </c>
    </row>
    <row r="416" spans="1:16" x14ac:dyDescent="0.35">
      <c r="A416" s="2">
        <f>Prices!A414</f>
        <v>44485</v>
      </c>
      <c r="B416" s="1">
        <f>Prices!B414</f>
        <v>3272.709961</v>
      </c>
      <c r="C416" s="1">
        <f>Prices!C414</f>
        <v>19.709999</v>
      </c>
      <c r="D416" s="1">
        <f>Prices!D414</f>
        <v>60.049999</v>
      </c>
      <c r="E416" s="1">
        <f>Prices!E414</f>
        <v>25.27</v>
      </c>
      <c r="F416" s="1">
        <f>Prices!F414</f>
        <v>281.89999399999999</v>
      </c>
      <c r="G416" s="9">
        <f t="shared" si="26"/>
        <v>3221.230790999999</v>
      </c>
      <c r="H416" s="9">
        <f t="shared" si="26"/>
        <v>20.706199860000002</v>
      </c>
      <c r="I416" s="9">
        <f t="shared" si="26"/>
        <v>61.731199780000004</v>
      </c>
      <c r="J416" s="9">
        <f t="shared" si="26"/>
        <v>28.190400200000003</v>
      </c>
      <c r="K416" s="9">
        <f t="shared" si="26"/>
        <v>288.4139996400001</v>
      </c>
      <c r="L416" s="9">
        <f t="shared" si="27"/>
        <v>2549.5184979099995</v>
      </c>
      <c r="M416" s="9">
        <f t="shared" si="27"/>
        <v>26.697999850000002</v>
      </c>
      <c r="N416" s="9">
        <f t="shared" si="27"/>
        <v>54.845349825</v>
      </c>
      <c r="O416" s="9">
        <f t="shared" si="27"/>
        <v>36.373500015000019</v>
      </c>
      <c r="P416" s="9">
        <f t="shared" si="27"/>
        <v>300.77999999999997</v>
      </c>
    </row>
    <row r="417" spans="1:16" x14ac:dyDescent="0.35">
      <c r="A417" s="2">
        <f>Prices!A415</f>
        <v>44488</v>
      </c>
      <c r="B417" s="1">
        <f>Prices!B415</f>
        <v>3207.209961</v>
      </c>
      <c r="C417" s="1">
        <f>Prices!C415</f>
        <v>19.84</v>
      </c>
      <c r="D417" s="1">
        <f>Prices!D415</f>
        <v>59.23</v>
      </c>
      <c r="E417" s="1">
        <f>Prices!E415</f>
        <v>25.040001</v>
      </c>
      <c r="F417" s="1">
        <f>Prices!F415</f>
        <v>282.20001200000002</v>
      </c>
      <c r="G417" s="9">
        <f t="shared" si="26"/>
        <v>3222.1849902199988</v>
      </c>
      <c r="H417" s="9">
        <f t="shared" si="26"/>
        <v>20.672799860000001</v>
      </c>
      <c r="I417" s="9">
        <f t="shared" si="26"/>
        <v>61.68299978000001</v>
      </c>
      <c r="J417" s="9">
        <f t="shared" si="26"/>
        <v>28.070800200000004</v>
      </c>
      <c r="K417" s="9">
        <f t="shared" si="26"/>
        <v>288.10199952000005</v>
      </c>
      <c r="L417" s="9">
        <f t="shared" si="27"/>
        <v>2556.3919976649995</v>
      </c>
      <c r="M417" s="9">
        <f t="shared" si="27"/>
        <v>26.599699849999997</v>
      </c>
      <c r="N417" s="9">
        <f t="shared" si="27"/>
        <v>54.846149825000005</v>
      </c>
      <c r="O417" s="9">
        <f t="shared" si="27"/>
        <v>36.201150005000024</v>
      </c>
      <c r="P417" s="9">
        <f t="shared" si="27"/>
        <v>300.09249999999997</v>
      </c>
    </row>
    <row r="418" spans="1:16" x14ac:dyDescent="0.35">
      <c r="A418" s="2">
        <f>Prices!A416</f>
        <v>44489</v>
      </c>
      <c r="B418" s="1">
        <f>Prices!B416</f>
        <v>3217.01001</v>
      </c>
      <c r="C418" s="1">
        <f>Prices!C416</f>
        <v>19.91</v>
      </c>
      <c r="D418" s="1">
        <f>Prices!D416</f>
        <v>59.580002</v>
      </c>
      <c r="E418" s="1">
        <f>Prices!E416</f>
        <v>25.32</v>
      </c>
      <c r="F418" s="1">
        <f>Prices!F416</f>
        <v>281.5</v>
      </c>
      <c r="G418" s="9">
        <f t="shared" si="26"/>
        <v>3222.9799902199989</v>
      </c>
      <c r="H418" s="9">
        <f t="shared" si="26"/>
        <v>20.64279986</v>
      </c>
      <c r="I418" s="9">
        <f t="shared" si="26"/>
        <v>61.648599760000018</v>
      </c>
      <c r="J418" s="9">
        <f t="shared" si="26"/>
        <v>27.954800220000006</v>
      </c>
      <c r="K418" s="9">
        <f t="shared" si="26"/>
        <v>287.87399964000002</v>
      </c>
      <c r="L418" s="9">
        <f t="shared" si="27"/>
        <v>2563.0531976149996</v>
      </c>
      <c r="M418" s="9">
        <f t="shared" si="27"/>
        <v>26.505099860000001</v>
      </c>
      <c r="N418" s="9">
        <f t="shared" si="27"/>
        <v>54.848099824999998</v>
      </c>
      <c r="O418" s="9">
        <f t="shared" si="27"/>
        <v>36.025300015000028</v>
      </c>
      <c r="P418" s="9">
        <f t="shared" si="27"/>
        <v>299.43350006000003</v>
      </c>
    </row>
    <row r="419" spans="1:16" x14ac:dyDescent="0.35">
      <c r="A419" s="2">
        <f>Prices!A417</f>
        <v>44490</v>
      </c>
      <c r="B419" s="1">
        <f>Prices!B417</f>
        <v>3184.9399410000001</v>
      </c>
      <c r="C419" s="1">
        <f>Prices!C417</f>
        <v>19.879999000000002</v>
      </c>
      <c r="D419" s="1">
        <f>Prices!D417</f>
        <v>60.220001000000003</v>
      </c>
      <c r="E419" s="1">
        <f>Prices!E417</f>
        <v>24.83</v>
      </c>
      <c r="F419" s="1">
        <f>Prices!F417</f>
        <v>273.79998799999998</v>
      </c>
      <c r="G419" s="9">
        <f t="shared" si="26"/>
        <v>3224.3569921799995</v>
      </c>
      <c r="H419" s="9">
        <f t="shared" si="26"/>
        <v>20.607199840000003</v>
      </c>
      <c r="I419" s="9">
        <f t="shared" si="26"/>
        <v>61.607999780000021</v>
      </c>
      <c r="J419" s="9">
        <f t="shared" si="26"/>
        <v>27.832200200000003</v>
      </c>
      <c r="K419" s="9">
        <f t="shared" si="26"/>
        <v>287.66399963999999</v>
      </c>
      <c r="L419" s="9">
        <f t="shared" si="27"/>
        <v>2569.6238476399994</v>
      </c>
      <c r="M419" s="9">
        <f t="shared" si="27"/>
        <v>26.411499855000002</v>
      </c>
      <c r="N419" s="9">
        <f t="shared" si="27"/>
        <v>54.853749830000005</v>
      </c>
      <c r="O419" s="9">
        <f t="shared" si="27"/>
        <v>35.847100020000028</v>
      </c>
      <c r="P419" s="9">
        <f t="shared" si="27"/>
        <v>298.75400008999998</v>
      </c>
    </row>
    <row r="420" spans="1:16" x14ac:dyDescent="0.35">
      <c r="A420" s="2">
        <f>Prices!A418</f>
        <v>44491</v>
      </c>
      <c r="B420" s="1">
        <f>Prices!B418</f>
        <v>3176.3999020000001</v>
      </c>
      <c r="C420" s="1">
        <f>Prices!C418</f>
        <v>20.170000000000002</v>
      </c>
      <c r="D420" s="1">
        <f>Prices!D418</f>
        <v>59.900002000000001</v>
      </c>
      <c r="E420" s="1">
        <f>Prices!E418</f>
        <v>25.450001</v>
      </c>
      <c r="F420" s="1">
        <f>Prices!F418</f>
        <v>273.29998799999998</v>
      </c>
      <c r="G420" s="9">
        <f t="shared" si="26"/>
        <v>3226.442392559999</v>
      </c>
      <c r="H420" s="9">
        <f t="shared" si="26"/>
        <v>20.554999820000003</v>
      </c>
      <c r="I420" s="9">
        <f t="shared" si="26"/>
        <v>61.585399840000029</v>
      </c>
      <c r="J420" s="9">
        <f t="shared" si="26"/>
        <v>27.691800199999999</v>
      </c>
      <c r="K420" s="9">
        <f t="shared" si="26"/>
        <v>287.13399964000001</v>
      </c>
      <c r="L420" s="9">
        <f t="shared" si="27"/>
        <v>2576.0142474199997</v>
      </c>
      <c r="M420" s="9">
        <f t="shared" si="27"/>
        <v>26.319199850000004</v>
      </c>
      <c r="N420" s="9">
        <f t="shared" si="27"/>
        <v>54.862899839999997</v>
      </c>
      <c r="O420" s="9">
        <f t="shared" si="27"/>
        <v>35.669250010000027</v>
      </c>
      <c r="P420" s="9">
        <f t="shared" si="27"/>
        <v>298.04250000000002</v>
      </c>
    </row>
    <row r="421" spans="1:16" x14ac:dyDescent="0.35">
      <c r="A421" s="2">
        <f>Prices!A419</f>
        <v>44492</v>
      </c>
      <c r="B421" s="1">
        <f>Prices!B419</f>
        <v>3204.3999020000001</v>
      </c>
      <c r="C421" s="1">
        <f>Prices!C419</f>
        <v>20.879999000000002</v>
      </c>
      <c r="D421" s="1">
        <f>Prices!D419</f>
        <v>59.599997999999999</v>
      </c>
      <c r="E421" s="1">
        <f>Prices!E419</f>
        <v>25.610001</v>
      </c>
      <c r="F421" s="1">
        <f>Prices!F419</f>
        <v>278.10000600000001</v>
      </c>
      <c r="G421" s="9">
        <f t="shared" si="26"/>
        <v>3226.7255907999988</v>
      </c>
      <c r="H421" s="9">
        <f t="shared" si="26"/>
        <v>20.495999800000003</v>
      </c>
      <c r="I421" s="9">
        <f t="shared" si="26"/>
        <v>61.536999880000025</v>
      </c>
      <c r="J421" s="9">
        <f t="shared" si="26"/>
        <v>27.543400239999997</v>
      </c>
      <c r="K421" s="9">
        <f t="shared" si="26"/>
        <v>286.52599916000003</v>
      </c>
      <c r="L421" s="9">
        <f t="shared" si="27"/>
        <v>2582.4363970749996</v>
      </c>
      <c r="M421" s="9">
        <f t="shared" si="27"/>
        <v>26.228799850000005</v>
      </c>
      <c r="N421" s="9">
        <f t="shared" si="27"/>
        <v>54.86789984</v>
      </c>
      <c r="O421" s="9">
        <f t="shared" si="27"/>
        <v>35.498050020000022</v>
      </c>
      <c r="P421" s="9">
        <f t="shared" si="27"/>
        <v>297.32049988</v>
      </c>
    </row>
    <row r="422" spans="1:16" x14ac:dyDescent="0.35">
      <c r="A422" s="2">
        <f>Prices!A420</f>
        <v>44495</v>
      </c>
      <c r="B422" s="1">
        <f>Prices!B420</f>
        <v>3207.040039</v>
      </c>
      <c r="C422" s="1">
        <f>Prices!C420</f>
        <v>20.73</v>
      </c>
      <c r="D422" s="1">
        <f>Prices!D420</f>
        <v>58.279998999999997</v>
      </c>
      <c r="E422" s="1">
        <f>Prices!E420</f>
        <v>24.83</v>
      </c>
      <c r="F422" s="1">
        <f>Prices!F420</f>
        <v>276.5</v>
      </c>
      <c r="G422" s="9">
        <f t="shared" si="26"/>
        <v>3227.5931884399993</v>
      </c>
      <c r="H422" s="9">
        <f t="shared" si="26"/>
        <v>20.466799780000002</v>
      </c>
      <c r="I422" s="9">
        <f t="shared" si="26"/>
        <v>61.492999860000019</v>
      </c>
      <c r="J422" s="9">
        <f t="shared" si="26"/>
        <v>27.422200259999997</v>
      </c>
      <c r="K422" s="9">
        <f t="shared" si="26"/>
        <v>286.22799928000006</v>
      </c>
      <c r="L422" s="9">
        <f t="shared" si="27"/>
        <v>2588.9531463399994</v>
      </c>
      <c r="M422" s="9">
        <f t="shared" si="27"/>
        <v>26.140699845000004</v>
      </c>
      <c r="N422" s="9">
        <f t="shared" si="27"/>
        <v>54.874449824999999</v>
      </c>
      <c r="O422" s="9">
        <f t="shared" si="27"/>
        <v>35.327700025000027</v>
      </c>
      <c r="P422" s="9">
        <f t="shared" si="27"/>
        <v>296.64699997000002</v>
      </c>
    </row>
    <row r="423" spans="1:16" x14ac:dyDescent="0.35">
      <c r="A423" s="2">
        <f>Prices!A421</f>
        <v>44496</v>
      </c>
      <c r="B423" s="1">
        <f>Prices!B421</f>
        <v>3286.330078</v>
      </c>
      <c r="C423" s="1">
        <f>Prices!C421</f>
        <v>21.52</v>
      </c>
      <c r="D423" s="1">
        <f>Prices!D421</f>
        <v>57.950001</v>
      </c>
      <c r="E423" s="1">
        <f>Prices!E421</f>
        <v>24.190000999999999</v>
      </c>
      <c r="F423" s="1">
        <f>Prices!F421</f>
        <v>267.60000600000001</v>
      </c>
      <c r="G423" s="9">
        <f t="shared" si="26"/>
        <v>3228.7735888199995</v>
      </c>
      <c r="H423" s="9">
        <f t="shared" si="26"/>
        <v>20.435799760000002</v>
      </c>
      <c r="I423" s="9">
        <f t="shared" si="26"/>
        <v>61.426799840000015</v>
      </c>
      <c r="J423" s="9">
        <f t="shared" si="26"/>
        <v>27.296600239999997</v>
      </c>
      <c r="K423" s="9">
        <f t="shared" si="26"/>
        <v>285.98199952000004</v>
      </c>
      <c r="L423" s="9">
        <f t="shared" si="27"/>
        <v>2595.5725463649997</v>
      </c>
      <c r="M423" s="9">
        <f t="shared" si="27"/>
        <v>26.053649850000006</v>
      </c>
      <c r="N423" s="9">
        <f t="shared" si="27"/>
        <v>54.873599814999999</v>
      </c>
      <c r="O423" s="9">
        <f t="shared" si="27"/>
        <v>35.156800035000018</v>
      </c>
      <c r="P423" s="9">
        <f t="shared" si="27"/>
        <v>295.97149994</v>
      </c>
    </row>
    <row r="424" spans="1:16" x14ac:dyDescent="0.35">
      <c r="A424" s="2">
        <f>Prices!A422</f>
        <v>44497</v>
      </c>
      <c r="B424" s="1">
        <f>Prices!B422</f>
        <v>3162.780029</v>
      </c>
      <c r="C424" s="1">
        <f>Prices!C422</f>
        <v>20.51</v>
      </c>
      <c r="D424" s="1">
        <f>Prices!D422</f>
        <v>55.419998</v>
      </c>
      <c r="E424" s="1">
        <f>Prices!E422</f>
        <v>23.1</v>
      </c>
      <c r="F424" s="1">
        <f>Prices!F422</f>
        <v>261.10000600000001</v>
      </c>
      <c r="G424" s="9">
        <f t="shared" ref="G424:K439" si="28">AVERAGE(B374:B423)</f>
        <v>3230.8519921399998</v>
      </c>
      <c r="H424" s="9">
        <f t="shared" si="28"/>
        <v>20.42219974</v>
      </c>
      <c r="I424" s="9">
        <f t="shared" si="28"/>
        <v>61.336599880000016</v>
      </c>
      <c r="J424" s="9">
        <f t="shared" si="28"/>
        <v>27.161600239999999</v>
      </c>
      <c r="K424" s="9">
        <f t="shared" si="28"/>
        <v>285.55199952000004</v>
      </c>
      <c r="L424" s="9">
        <f t="shared" ref="L424:P439" si="29">AVERAGE(B224:B423)</f>
        <v>2602.5476965099997</v>
      </c>
      <c r="M424" s="9">
        <f t="shared" si="29"/>
        <v>25.968649850000006</v>
      </c>
      <c r="N424" s="9">
        <f t="shared" si="29"/>
        <v>54.867699815000009</v>
      </c>
      <c r="O424" s="9">
        <f t="shared" si="29"/>
        <v>34.982950045000017</v>
      </c>
      <c r="P424" s="9">
        <f t="shared" si="29"/>
        <v>295.25449996999998</v>
      </c>
    </row>
    <row r="425" spans="1:16" x14ac:dyDescent="0.35">
      <c r="A425" s="2">
        <f>Prices!A423</f>
        <v>44498</v>
      </c>
      <c r="B425" s="1">
        <f>Prices!B423</f>
        <v>3211.01001</v>
      </c>
      <c r="C425" s="1">
        <f>Prices!C423</f>
        <v>21.15</v>
      </c>
      <c r="D425" s="1">
        <f>Prices!D423</f>
        <v>56.650002000000001</v>
      </c>
      <c r="E425" s="1">
        <f>Prices!E423</f>
        <v>24.629999000000002</v>
      </c>
      <c r="F425" s="1">
        <f>Prices!F423</f>
        <v>256.5</v>
      </c>
      <c r="G425" s="9">
        <f t="shared" si="28"/>
        <v>3227.8577929200001</v>
      </c>
      <c r="H425" s="9">
        <f t="shared" si="28"/>
        <v>20.394599760000002</v>
      </c>
      <c r="I425" s="9">
        <f t="shared" si="28"/>
        <v>61.173399800000006</v>
      </c>
      <c r="J425" s="9">
        <f t="shared" si="28"/>
        <v>27.012800219999988</v>
      </c>
      <c r="K425" s="9">
        <f t="shared" si="28"/>
        <v>285.03399964000005</v>
      </c>
      <c r="L425" s="9">
        <f t="shared" si="29"/>
        <v>2609.01439695</v>
      </c>
      <c r="M425" s="9">
        <f t="shared" si="29"/>
        <v>25.879299845000006</v>
      </c>
      <c r="N425" s="9">
        <f t="shared" si="29"/>
        <v>54.848649804999994</v>
      </c>
      <c r="O425" s="9">
        <f t="shared" si="29"/>
        <v>34.803850055000019</v>
      </c>
      <c r="P425" s="9">
        <f t="shared" si="29"/>
        <v>294.51749999999998</v>
      </c>
    </row>
    <row r="426" spans="1:16" x14ac:dyDescent="0.35">
      <c r="A426" s="2">
        <f>Prices!A424</f>
        <v>44499</v>
      </c>
      <c r="B426" s="1">
        <f>Prices!B424</f>
        <v>3036.1499020000001</v>
      </c>
      <c r="C426" s="1">
        <f>Prices!C424</f>
        <v>20.98</v>
      </c>
      <c r="D426" s="1">
        <f>Prices!D424</f>
        <v>56.77</v>
      </c>
      <c r="E426" s="1">
        <f>Prices!E424</f>
        <v>25.549999</v>
      </c>
      <c r="F426" s="1">
        <f>Prices!F424</f>
        <v>257.5</v>
      </c>
      <c r="G426" s="9">
        <f t="shared" si="28"/>
        <v>3226.8683935199997</v>
      </c>
      <c r="H426" s="9">
        <f t="shared" si="28"/>
        <v>20.378599740000002</v>
      </c>
      <c r="I426" s="9">
        <f t="shared" si="28"/>
        <v>61.061799840000006</v>
      </c>
      <c r="J426" s="9">
        <f t="shared" si="28"/>
        <v>26.897000199999994</v>
      </c>
      <c r="K426" s="9">
        <f t="shared" si="28"/>
        <v>284.42199952000004</v>
      </c>
      <c r="L426" s="9">
        <f t="shared" si="29"/>
        <v>2615.7593468999999</v>
      </c>
      <c r="M426" s="9">
        <f t="shared" si="29"/>
        <v>25.793299855000004</v>
      </c>
      <c r="N426" s="9">
        <f t="shared" si="29"/>
        <v>54.836949805000003</v>
      </c>
      <c r="O426" s="9">
        <f t="shared" si="29"/>
        <v>34.632900050000018</v>
      </c>
      <c r="P426" s="9">
        <f t="shared" si="29"/>
        <v>293.76550003</v>
      </c>
    </row>
    <row r="427" spans="1:16" x14ac:dyDescent="0.35">
      <c r="A427" s="2">
        <f>Prices!A425</f>
        <v>44502</v>
      </c>
      <c r="B427" s="1">
        <f>Prices!B425</f>
        <v>3004.4799800000001</v>
      </c>
      <c r="C427" s="1">
        <f>Prices!C425</f>
        <v>21.41</v>
      </c>
      <c r="D427" s="1">
        <f>Prices!D425</f>
        <v>57.41</v>
      </c>
      <c r="E427" s="1">
        <f>Prices!E425</f>
        <v>26.67</v>
      </c>
      <c r="F427" s="1">
        <f>Prices!F425</f>
        <v>262.29998799999998</v>
      </c>
      <c r="G427" s="9">
        <f t="shared" si="28"/>
        <v>3221.6439892200001</v>
      </c>
      <c r="H427" s="9">
        <f t="shared" si="28"/>
        <v>20.363799760000003</v>
      </c>
      <c r="I427" s="9">
        <f t="shared" si="28"/>
        <v>60.953999840000009</v>
      </c>
      <c r="J427" s="9">
        <f t="shared" si="28"/>
        <v>26.805600159999994</v>
      </c>
      <c r="K427" s="9">
        <f t="shared" si="28"/>
        <v>283.97199952000005</v>
      </c>
      <c r="L427" s="9">
        <f t="shared" si="29"/>
        <v>2621.5503967049999</v>
      </c>
      <c r="M427" s="9">
        <f t="shared" si="29"/>
        <v>25.705099859999997</v>
      </c>
      <c r="N427" s="9">
        <f t="shared" si="29"/>
        <v>54.825049795000005</v>
      </c>
      <c r="O427" s="9">
        <f t="shared" si="29"/>
        <v>34.466800045000021</v>
      </c>
      <c r="P427" s="9">
        <f t="shared" si="29"/>
        <v>293.01449996999997</v>
      </c>
    </row>
    <row r="428" spans="1:16" x14ac:dyDescent="0.35">
      <c r="A428" s="2">
        <f>Prices!A426</f>
        <v>44503</v>
      </c>
      <c r="B428" s="1">
        <f>Prices!B426</f>
        <v>3048.4099120000001</v>
      </c>
      <c r="C428" s="1">
        <f>Prices!C426</f>
        <v>22.540001</v>
      </c>
      <c r="D428" s="1">
        <f>Prices!D426</f>
        <v>58.82</v>
      </c>
      <c r="E428" s="1">
        <f>Prices!E426</f>
        <v>26.870000999999998</v>
      </c>
      <c r="F428" s="1">
        <f>Prices!F426</f>
        <v>268.39999399999999</v>
      </c>
      <c r="G428" s="9">
        <f t="shared" si="28"/>
        <v>3216.0391894000004</v>
      </c>
      <c r="H428" s="9">
        <f t="shared" si="28"/>
        <v>20.359199780000001</v>
      </c>
      <c r="I428" s="9">
        <f t="shared" si="28"/>
        <v>60.871599859999996</v>
      </c>
      <c r="J428" s="9">
        <f t="shared" si="28"/>
        <v>26.746400179999991</v>
      </c>
      <c r="K428" s="9">
        <f t="shared" si="28"/>
        <v>283.59599916000008</v>
      </c>
      <c r="L428" s="9">
        <f t="shared" si="29"/>
        <v>2627.2491967499996</v>
      </c>
      <c r="M428" s="9">
        <f t="shared" si="29"/>
        <v>25.618299859999997</v>
      </c>
      <c r="N428" s="9">
        <f t="shared" si="29"/>
        <v>54.808749805000005</v>
      </c>
      <c r="O428" s="9">
        <f t="shared" si="29"/>
        <v>34.30745004000002</v>
      </c>
      <c r="P428" s="9">
        <f t="shared" si="29"/>
        <v>292.28199997000002</v>
      </c>
    </row>
    <row r="429" spans="1:16" x14ac:dyDescent="0.35">
      <c r="A429" s="2">
        <f>Prices!A427</f>
        <v>44504</v>
      </c>
      <c r="B429" s="1">
        <f>Prices!B427</f>
        <v>3241.1599120000001</v>
      </c>
      <c r="C429" s="1">
        <f>Prices!C427</f>
        <v>21.469999000000001</v>
      </c>
      <c r="D429" s="1">
        <f>Prices!D427</f>
        <v>57.599997999999999</v>
      </c>
      <c r="E429" s="1">
        <f>Prices!E427</f>
        <v>26.9</v>
      </c>
      <c r="F429" s="1">
        <f>Prices!F427</f>
        <v>267.79998799999998</v>
      </c>
      <c r="G429" s="9">
        <f t="shared" si="28"/>
        <v>3210.8581884200003</v>
      </c>
      <c r="H429" s="9">
        <f t="shared" si="28"/>
        <v>20.3649998</v>
      </c>
      <c r="I429" s="9">
        <f t="shared" si="28"/>
        <v>60.811599859999994</v>
      </c>
      <c r="J429" s="9">
        <f t="shared" si="28"/>
        <v>26.673200179999995</v>
      </c>
      <c r="K429" s="9">
        <f t="shared" si="28"/>
        <v>283.26199892</v>
      </c>
      <c r="L429" s="9">
        <f t="shared" si="29"/>
        <v>2633.0312463099999</v>
      </c>
      <c r="M429" s="9">
        <f t="shared" si="29"/>
        <v>25.541349865000001</v>
      </c>
      <c r="N429" s="9">
        <f t="shared" si="29"/>
        <v>54.803099800000012</v>
      </c>
      <c r="O429" s="9">
        <f t="shared" si="29"/>
        <v>34.154500050000024</v>
      </c>
      <c r="P429" s="9">
        <f t="shared" si="29"/>
        <v>291.57699996999997</v>
      </c>
    </row>
    <row r="430" spans="1:16" x14ac:dyDescent="0.35">
      <c r="A430" s="2">
        <f>Prices!A428</f>
        <v>44505</v>
      </c>
      <c r="B430" s="1">
        <f>Prices!B428</f>
        <v>3322</v>
      </c>
      <c r="C430" s="1">
        <f>Prices!C428</f>
        <v>22.02</v>
      </c>
      <c r="D430" s="1">
        <f>Prices!D428</f>
        <v>58.779998999999997</v>
      </c>
      <c r="E430" s="1">
        <f>Prices!E428</f>
        <v>26.84</v>
      </c>
      <c r="F430" s="1">
        <f>Prices!F428</f>
        <v>271.89999399999999</v>
      </c>
      <c r="G430" s="9">
        <f t="shared" si="28"/>
        <v>3208.7515868600008</v>
      </c>
      <c r="H430" s="9">
        <f t="shared" si="28"/>
        <v>20.353199799999999</v>
      </c>
      <c r="I430" s="9">
        <f t="shared" si="28"/>
        <v>60.742799799999993</v>
      </c>
      <c r="J430" s="9">
        <f t="shared" si="28"/>
        <v>26.610000199999991</v>
      </c>
      <c r="K430" s="9">
        <f t="shared" si="28"/>
        <v>282.96999880000004</v>
      </c>
      <c r="L430" s="9">
        <f t="shared" si="29"/>
        <v>2639.7997460649995</v>
      </c>
      <c r="M430" s="9">
        <f t="shared" si="29"/>
        <v>25.458349860000002</v>
      </c>
      <c r="N430" s="9">
        <f t="shared" si="29"/>
        <v>54.788599790000006</v>
      </c>
      <c r="O430" s="9">
        <f t="shared" si="29"/>
        <v>34.001800055000025</v>
      </c>
      <c r="P430" s="9">
        <f t="shared" si="29"/>
        <v>290.86449997</v>
      </c>
    </row>
    <row r="431" spans="1:16" x14ac:dyDescent="0.35">
      <c r="A431" s="2">
        <f>Prices!A429</f>
        <v>44506</v>
      </c>
      <c r="B431" s="1">
        <f>Prices!B429</f>
        <v>3311.3701169999999</v>
      </c>
      <c r="C431" s="1">
        <f>Prices!C429</f>
        <v>22.280000999999999</v>
      </c>
      <c r="D431" s="1">
        <f>Prices!D429</f>
        <v>60.830002</v>
      </c>
      <c r="E431" s="1">
        <f>Prices!E429</f>
        <v>26.67</v>
      </c>
      <c r="F431" s="1">
        <f>Prices!F429</f>
        <v>277.60000600000001</v>
      </c>
      <c r="G431" s="9">
        <f t="shared" si="28"/>
        <v>3206.3545849000006</v>
      </c>
      <c r="H431" s="9">
        <f t="shared" si="28"/>
        <v>20.3571998</v>
      </c>
      <c r="I431" s="9">
        <f t="shared" si="28"/>
        <v>60.683199819999992</v>
      </c>
      <c r="J431" s="9">
        <f t="shared" si="28"/>
        <v>26.546200179999996</v>
      </c>
      <c r="K431" s="9">
        <f t="shared" si="28"/>
        <v>282.6999988</v>
      </c>
      <c r="L431" s="9">
        <f t="shared" si="29"/>
        <v>2646.9868462849995</v>
      </c>
      <c r="M431" s="9">
        <f t="shared" si="29"/>
        <v>25.379849855000003</v>
      </c>
      <c r="N431" s="9">
        <f t="shared" si="29"/>
        <v>54.787949785000009</v>
      </c>
      <c r="O431" s="9">
        <f t="shared" si="29"/>
        <v>33.849000045000025</v>
      </c>
      <c r="P431" s="9">
        <f t="shared" si="29"/>
        <v>290.19149993999997</v>
      </c>
    </row>
    <row r="432" spans="1:16" x14ac:dyDescent="0.35">
      <c r="A432" s="2">
        <f>Prices!A430</f>
        <v>44509</v>
      </c>
      <c r="B432" s="1">
        <f>Prices!B430</f>
        <v>3143.73999</v>
      </c>
      <c r="C432" s="1">
        <f>Prices!C430</f>
        <v>24.59</v>
      </c>
      <c r="D432" s="1">
        <f>Prices!D430</f>
        <v>61.560001</v>
      </c>
      <c r="E432" s="1">
        <f>Prices!E430</f>
        <v>30.23</v>
      </c>
      <c r="F432" s="1">
        <f>Prices!F430</f>
        <v>304.60000600000001</v>
      </c>
      <c r="G432" s="9">
        <f t="shared" si="28"/>
        <v>3204.5819872400011</v>
      </c>
      <c r="H432" s="9">
        <f t="shared" si="28"/>
        <v>20.369799819999997</v>
      </c>
      <c r="I432" s="9">
        <f t="shared" si="28"/>
        <v>60.67559988</v>
      </c>
      <c r="J432" s="9">
        <f t="shared" si="28"/>
        <v>26.484000160000001</v>
      </c>
      <c r="K432" s="9">
        <f t="shared" si="28"/>
        <v>282.57599916000004</v>
      </c>
      <c r="L432" s="9">
        <f t="shared" si="29"/>
        <v>2654.235496795</v>
      </c>
      <c r="M432" s="9">
        <f t="shared" si="29"/>
        <v>25.303649860000004</v>
      </c>
      <c r="N432" s="9">
        <f t="shared" si="29"/>
        <v>54.803299805000016</v>
      </c>
      <c r="O432" s="9">
        <f t="shared" si="29"/>
        <v>33.696500055000023</v>
      </c>
      <c r="P432" s="9">
        <f t="shared" si="29"/>
        <v>289.52149994000001</v>
      </c>
    </row>
    <row r="433" spans="1:16" x14ac:dyDescent="0.35">
      <c r="A433" s="2">
        <f>Prices!A431</f>
        <v>44510</v>
      </c>
      <c r="B433" s="1">
        <f>Prices!B431</f>
        <v>3035.0200199999999</v>
      </c>
      <c r="C433" s="1">
        <f>Prices!C431</f>
        <v>24.459999</v>
      </c>
      <c r="D433" s="1">
        <f>Prices!D431</f>
        <v>62.709999000000003</v>
      </c>
      <c r="E433" s="1">
        <f>Prices!E431</f>
        <v>31.76</v>
      </c>
      <c r="F433" s="1">
        <f>Prices!F431</f>
        <v>315.5</v>
      </c>
      <c r="G433" s="9">
        <f t="shared" si="28"/>
        <v>3199.4207860600013</v>
      </c>
      <c r="H433" s="9">
        <f t="shared" si="28"/>
        <v>20.420799799999998</v>
      </c>
      <c r="I433" s="9">
        <f t="shared" si="28"/>
        <v>60.667199899999993</v>
      </c>
      <c r="J433" s="9">
        <f t="shared" si="28"/>
        <v>26.484800140000001</v>
      </c>
      <c r="K433" s="9">
        <f t="shared" si="28"/>
        <v>283.0139990400001</v>
      </c>
      <c r="L433" s="9">
        <f t="shared" si="29"/>
        <v>2660.8124969149999</v>
      </c>
      <c r="M433" s="9">
        <f t="shared" si="29"/>
        <v>25.244049869999998</v>
      </c>
      <c r="N433" s="9">
        <f t="shared" si="29"/>
        <v>54.835599820000006</v>
      </c>
      <c r="O433" s="9">
        <f t="shared" si="29"/>
        <v>33.567200055000015</v>
      </c>
      <c r="P433" s="9">
        <f t="shared" si="29"/>
        <v>289.03099990999999</v>
      </c>
    </row>
    <row r="434" spans="1:16" x14ac:dyDescent="0.35">
      <c r="A434" s="2">
        <f>Prices!A432</f>
        <v>44511</v>
      </c>
      <c r="B434" s="1">
        <f>Prices!B432</f>
        <v>3137.389893</v>
      </c>
      <c r="C434" s="1">
        <f>Prices!C432</f>
        <v>25.309999000000001</v>
      </c>
      <c r="D434" s="1">
        <f>Prices!D432</f>
        <v>62.970001000000003</v>
      </c>
      <c r="E434" s="1">
        <f>Prices!E432</f>
        <v>31.389999</v>
      </c>
      <c r="F434" s="1">
        <f>Prices!F432</f>
        <v>310.60000600000001</v>
      </c>
      <c r="G434" s="9">
        <f t="shared" si="28"/>
        <v>3191.1019872400007</v>
      </c>
      <c r="H434" s="9">
        <f t="shared" si="28"/>
        <v>20.477399799999997</v>
      </c>
      <c r="I434" s="9">
        <f t="shared" si="28"/>
        <v>60.69679988</v>
      </c>
      <c r="J434" s="9">
        <f t="shared" si="28"/>
        <v>26.526400140000007</v>
      </c>
      <c r="K434" s="9">
        <f t="shared" si="28"/>
        <v>283.80999880000007</v>
      </c>
      <c r="L434" s="9">
        <f t="shared" si="29"/>
        <v>2666.721347015</v>
      </c>
      <c r="M434" s="9">
        <f t="shared" si="29"/>
        <v>25.182699865</v>
      </c>
      <c r="N434" s="9">
        <f t="shared" si="29"/>
        <v>54.871599825000011</v>
      </c>
      <c r="O434" s="9">
        <f t="shared" si="29"/>
        <v>33.446400065000013</v>
      </c>
      <c r="P434" s="9">
        <f t="shared" si="29"/>
        <v>288.57449996999998</v>
      </c>
    </row>
    <row r="435" spans="1:16" x14ac:dyDescent="0.35">
      <c r="A435" s="2">
        <f>Prices!A433</f>
        <v>44512</v>
      </c>
      <c r="B435" s="1">
        <f>Prices!B433</f>
        <v>3110.280029</v>
      </c>
      <c r="C435" s="1">
        <f>Prices!C433</f>
        <v>24.26</v>
      </c>
      <c r="D435" s="1">
        <f>Prices!D433</f>
        <v>62.060001</v>
      </c>
      <c r="E435" s="1">
        <f>Prices!E433</f>
        <v>30.629999000000002</v>
      </c>
      <c r="F435" s="1">
        <f>Prices!F433</f>
        <v>305.5</v>
      </c>
      <c r="G435" s="9">
        <f t="shared" si="28"/>
        <v>3183.8673827600014</v>
      </c>
      <c r="H435" s="9">
        <f t="shared" si="28"/>
        <v>20.558799780000001</v>
      </c>
      <c r="I435" s="9">
        <f t="shared" si="28"/>
        <v>60.711999919999997</v>
      </c>
      <c r="J435" s="9">
        <f t="shared" si="28"/>
        <v>26.570200100000008</v>
      </c>
      <c r="K435" s="9">
        <f t="shared" si="28"/>
        <v>284.50399904000005</v>
      </c>
      <c r="L435" s="9">
        <f t="shared" si="29"/>
        <v>2673.11829648</v>
      </c>
      <c r="M435" s="9">
        <f t="shared" si="29"/>
        <v>25.125749854999995</v>
      </c>
      <c r="N435" s="9">
        <f t="shared" si="29"/>
        <v>54.91019983000001</v>
      </c>
      <c r="O435" s="9">
        <f t="shared" si="29"/>
        <v>33.324700060000012</v>
      </c>
      <c r="P435" s="9">
        <f t="shared" si="29"/>
        <v>288.09050002999999</v>
      </c>
    </row>
    <row r="436" spans="1:16" x14ac:dyDescent="0.35">
      <c r="A436" s="2">
        <f>Prices!A434</f>
        <v>44513</v>
      </c>
      <c r="B436" s="1">
        <f>Prices!B434</f>
        <v>3128.8100589999999</v>
      </c>
      <c r="C436" s="1">
        <f>Prices!C434</f>
        <v>24.530000999999999</v>
      </c>
      <c r="D436" s="1">
        <f>Prices!D434</f>
        <v>62.509998000000003</v>
      </c>
      <c r="E436" s="1">
        <f>Prices!E434</f>
        <v>31.209999</v>
      </c>
      <c r="F436" s="1">
        <f>Prices!F434</f>
        <v>309.10000600000001</v>
      </c>
      <c r="G436" s="9">
        <f t="shared" si="28"/>
        <v>3175.4439843200007</v>
      </c>
      <c r="H436" s="9">
        <f t="shared" si="28"/>
        <v>20.615399779999997</v>
      </c>
      <c r="I436" s="9">
        <f t="shared" si="28"/>
        <v>60.706799939999989</v>
      </c>
      <c r="J436" s="9">
        <f t="shared" si="28"/>
        <v>26.602000060000009</v>
      </c>
      <c r="K436" s="9">
        <f t="shared" si="28"/>
        <v>285.12799928000004</v>
      </c>
      <c r="L436" s="9">
        <f t="shared" si="29"/>
        <v>2679.3162963550003</v>
      </c>
      <c r="M436" s="9">
        <f t="shared" si="29"/>
        <v>25.061849849999998</v>
      </c>
      <c r="N436" s="9">
        <f t="shared" si="29"/>
        <v>54.944399830000002</v>
      </c>
      <c r="O436" s="9">
        <f t="shared" si="29"/>
        <v>33.208650055000014</v>
      </c>
      <c r="P436" s="9">
        <f t="shared" si="29"/>
        <v>287.59050002999999</v>
      </c>
    </row>
    <row r="437" spans="1:16" x14ac:dyDescent="0.35">
      <c r="A437" s="2">
        <f>Prices!A435</f>
        <v>44516</v>
      </c>
      <c r="B437" s="1">
        <f>Prices!B435</f>
        <v>3131.0600589999999</v>
      </c>
      <c r="C437" s="1">
        <f>Prices!C435</f>
        <v>25.48</v>
      </c>
      <c r="D437" s="1">
        <f>Prices!D435</f>
        <v>63.169998</v>
      </c>
      <c r="E437" s="1">
        <f>Prices!E435</f>
        <v>33.200001</v>
      </c>
      <c r="F437" s="1">
        <f>Prices!F435</f>
        <v>316</v>
      </c>
      <c r="G437" s="9">
        <f t="shared" si="28"/>
        <v>3170.6601855000008</v>
      </c>
      <c r="H437" s="9">
        <f t="shared" si="28"/>
        <v>20.684799819999995</v>
      </c>
      <c r="I437" s="9">
        <f t="shared" si="28"/>
        <v>60.751999899999994</v>
      </c>
      <c r="J437" s="9">
        <f t="shared" si="28"/>
        <v>26.647400020000006</v>
      </c>
      <c r="K437" s="9">
        <f t="shared" si="28"/>
        <v>285.83799928000008</v>
      </c>
      <c r="L437" s="9">
        <f t="shared" si="29"/>
        <v>2684.9167467950006</v>
      </c>
      <c r="M437" s="9">
        <f t="shared" si="29"/>
        <v>25.003049849999996</v>
      </c>
      <c r="N437" s="9">
        <f t="shared" si="29"/>
        <v>54.989799820000002</v>
      </c>
      <c r="O437" s="9">
        <f t="shared" si="29"/>
        <v>33.103950040000015</v>
      </c>
      <c r="P437" s="9">
        <f t="shared" si="29"/>
        <v>287.14400008999996</v>
      </c>
    </row>
    <row r="438" spans="1:16" x14ac:dyDescent="0.35">
      <c r="A438" s="2">
        <f>Prices!A436</f>
        <v>44517</v>
      </c>
      <c r="B438" s="1">
        <f>Prices!B436</f>
        <v>3135.6599120000001</v>
      </c>
      <c r="C438" s="1">
        <f>Prices!C436</f>
        <v>24.91</v>
      </c>
      <c r="D438" s="1">
        <f>Prices!D436</f>
        <v>63.259998000000003</v>
      </c>
      <c r="E438" s="1">
        <f>Prices!E436</f>
        <v>33.75</v>
      </c>
      <c r="F438" s="1">
        <f>Prices!F436</f>
        <v>316.79998799999998</v>
      </c>
      <c r="G438" s="9">
        <f t="shared" si="28"/>
        <v>3167.3889843400016</v>
      </c>
      <c r="H438" s="9">
        <f t="shared" si="28"/>
        <v>20.766999799999994</v>
      </c>
      <c r="I438" s="9">
        <f t="shared" si="28"/>
        <v>60.785399859999991</v>
      </c>
      <c r="J438" s="9">
        <f t="shared" si="28"/>
        <v>26.73320004</v>
      </c>
      <c r="K438" s="9">
        <f t="shared" si="28"/>
        <v>286.59799928000007</v>
      </c>
      <c r="L438" s="9">
        <f t="shared" si="29"/>
        <v>2690.5510473350005</v>
      </c>
      <c r="M438" s="9">
        <f t="shared" si="29"/>
        <v>24.950149844999995</v>
      </c>
      <c r="N438" s="9">
        <f t="shared" si="29"/>
        <v>55.039949814999993</v>
      </c>
      <c r="O438" s="9">
        <f t="shared" si="29"/>
        <v>33.013750035000015</v>
      </c>
      <c r="P438" s="9">
        <f t="shared" si="29"/>
        <v>286.71700011999997</v>
      </c>
    </row>
    <row r="439" spans="1:16" x14ac:dyDescent="0.35">
      <c r="A439" s="2">
        <f>Prices!A437</f>
        <v>44518</v>
      </c>
      <c r="B439" s="1">
        <f>Prices!B437</f>
        <v>3105.459961</v>
      </c>
      <c r="C439" s="1">
        <f>Prices!C437</f>
        <v>25.24</v>
      </c>
      <c r="D439" s="1">
        <f>Prices!D437</f>
        <v>63.09</v>
      </c>
      <c r="E439" s="1">
        <f>Prices!E437</f>
        <v>32.990001999999997</v>
      </c>
      <c r="F439" s="1">
        <f>Prices!F437</f>
        <v>319.29998799999998</v>
      </c>
      <c r="G439" s="9">
        <f t="shared" si="28"/>
        <v>3167.1053808200008</v>
      </c>
      <c r="H439" s="9">
        <f t="shared" si="28"/>
        <v>20.847799779999995</v>
      </c>
      <c r="I439" s="9">
        <f t="shared" si="28"/>
        <v>60.833199839999992</v>
      </c>
      <c r="J439" s="9">
        <f t="shared" si="28"/>
        <v>26.847600020000002</v>
      </c>
      <c r="K439" s="9">
        <f t="shared" si="28"/>
        <v>287.25399904000011</v>
      </c>
      <c r="L439" s="9">
        <f t="shared" si="29"/>
        <v>2695.9809972849998</v>
      </c>
      <c r="M439" s="9">
        <f t="shared" si="29"/>
        <v>24.891999839999997</v>
      </c>
      <c r="N439" s="9">
        <f t="shared" si="29"/>
        <v>55.081399799999993</v>
      </c>
      <c r="O439" s="9">
        <f t="shared" si="29"/>
        <v>32.924250025000013</v>
      </c>
      <c r="P439" s="9">
        <f t="shared" si="29"/>
        <v>286.29200012000001</v>
      </c>
    </row>
    <row r="440" spans="1:16" x14ac:dyDescent="0.35">
      <c r="A440" s="2">
        <f>Prices!A438</f>
        <v>44519</v>
      </c>
      <c r="B440" s="1">
        <f>Prices!B438</f>
        <v>3117.0200199999999</v>
      </c>
      <c r="C440" s="1">
        <f>Prices!C438</f>
        <v>25.379999000000002</v>
      </c>
      <c r="D440" s="1">
        <f>Prices!D438</f>
        <v>63.110000999999997</v>
      </c>
      <c r="E440" s="1">
        <f>Prices!E438</f>
        <v>33.18</v>
      </c>
      <c r="F440" s="1">
        <f>Prices!F438</f>
        <v>315</v>
      </c>
      <c r="G440" s="9">
        <f t="shared" ref="G440:K455" si="30">AVERAGE(B390:B439)</f>
        <v>3163.8423779000004</v>
      </c>
      <c r="H440" s="9">
        <f t="shared" si="30"/>
        <v>20.928399799999998</v>
      </c>
      <c r="I440" s="9">
        <f t="shared" si="30"/>
        <v>60.856399839999995</v>
      </c>
      <c r="J440" s="9">
        <f t="shared" si="30"/>
        <v>26.937000059999999</v>
      </c>
      <c r="K440" s="9">
        <f t="shared" si="30"/>
        <v>287.88199892000011</v>
      </c>
      <c r="L440" s="9">
        <f t="shared" ref="L440:P455" si="31">AVERAGE(B240:B439)</f>
        <v>2701.3089471150001</v>
      </c>
      <c r="M440" s="9">
        <f t="shared" si="31"/>
        <v>24.833299839999999</v>
      </c>
      <c r="N440" s="9">
        <f t="shared" si="31"/>
        <v>55.118449799999986</v>
      </c>
      <c r="O440" s="9">
        <f t="shared" si="31"/>
        <v>32.824450030000015</v>
      </c>
      <c r="P440" s="9">
        <f t="shared" si="31"/>
        <v>285.84650008999995</v>
      </c>
    </row>
    <row r="441" spans="1:16" x14ac:dyDescent="0.35">
      <c r="A441" s="2">
        <f>Prices!A439</f>
        <v>44520</v>
      </c>
      <c r="B441" s="1">
        <f>Prices!B439</f>
        <v>3099.3999020000001</v>
      </c>
      <c r="C441" s="1">
        <f>Prices!C439</f>
        <v>25.27</v>
      </c>
      <c r="D441" s="1">
        <f>Prices!D439</f>
        <v>63.529998999999997</v>
      </c>
      <c r="E441" s="1">
        <f>Prices!E439</f>
        <v>33.659999999999997</v>
      </c>
      <c r="F441" s="1">
        <f>Prices!F439</f>
        <v>318</v>
      </c>
      <c r="G441" s="9">
        <f t="shared" si="30"/>
        <v>3162.6805761600008</v>
      </c>
      <c r="H441" s="9">
        <f t="shared" si="30"/>
        <v>21.021799799999993</v>
      </c>
      <c r="I441" s="9">
        <f t="shared" si="30"/>
        <v>60.900799879999994</v>
      </c>
      <c r="J441" s="9">
        <f t="shared" si="30"/>
        <v>27.043200040000002</v>
      </c>
      <c r="K441" s="9">
        <f t="shared" si="30"/>
        <v>288.40799868000011</v>
      </c>
      <c r="L441" s="9">
        <f t="shared" si="31"/>
        <v>2706.6428973150005</v>
      </c>
      <c r="M441" s="9">
        <f t="shared" si="31"/>
        <v>24.774699844999997</v>
      </c>
      <c r="N441" s="9">
        <f t="shared" si="31"/>
        <v>55.15709979999999</v>
      </c>
      <c r="O441" s="9">
        <f t="shared" si="31"/>
        <v>32.72965003500002</v>
      </c>
      <c r="P441" s="9">
        <f t="shared" si="31"/>
        <v>285.37650009000004</v>
      </c>
    </row>
    <row r="442" spans="1:16" x14ac:dyDescent="0.35">
      <c r="A442" s="2">
        <f>Prices!A440</f>
        <v>44523</v>
      </c>
      <c r="B442" s="1">
        <f>Prices!B440</f>
        <v>3098.389893</v>
      </c>
      <c r="C442" s="1">
        <f>Prices!C440</f>
        <v>25.610001</v>
      </c>
      <c r="D442" s="1">
        <f>Prices!D440</f>
        <v>65.379997000000003</v>
      </c>
      <c r="E442" s="1">
        <f>Prices!E440</f>
        <v>35.209999000000003</v>
      </c>
      <c r="F442" s="1">
        <f>Prices!F440</f>
        <v>324.60000600000001</v>
      </c>
      <c r="G442" s="9">
        <f t="shared" si="30"/>
        <v>3162.3441747800007</v>
      </c>
      <c r="H442" s="9">
        <f t="shared" si="30"/>
        <v>21.113799799999995</v>
      </c>
      <c r="I442" s="9">
        <f t="shared" si="30"/>
        <v>60.892599879999999</v>
      </c>
      <c r="J442" s="9">
        <f t="shared" si="30"/>
        <v>27.154800040000001</v>
      </c>
      <c r="K442" s="9">
        <f t="shared" si="30"/>
        <v>288.70399844000008</v>
      </c>
      <c r="L442" s="9">
        <f t="shared" si="31"/>
        <v>2711.7434966800006</v>
      </c>
      <c r="M442" s="9">
        <f t="shared" si="31"/>
        <v>24.714549849999997</v>
      </c>
      <c r="N442" s="9">
        <f t="shared" si="31"/>
        <v>55.206099794999993</v>
      </c>
      <c r="O442" s="9">
        <f t="shared" si="31"/>
        <v>32.639000030000012</v>
      </c>
      <c r="P442" s="9">
        <f t="shared" si="31"/>
        <v>284.92750014999996</v>
      </c>
    </row>
    <row r="443" spans="1:16" x14ac:dyDescent="0.35">
      <c r="A443" s="2">
        <f>Prices!A441</f>
        <v>44524</v>
      </c>
      <c r="B443" s="1">
        <f>Prices!B441</f>
        <v>3118.0600589999999</v>
      </c>
      <c r="C443" s="1">
        <f>Prices!C441</f>
        <v>26.66</v>
      </c>
      <c r="D443" s="1">
        <f>Prices!D441</f>
        <v>67.650002000000001</v>
      </c>
      <c r="E443" s="1">
        <f>Prices!E441</f>
        <v>37.110000999999997</v>
      </c>
      <c r="F443" s="1">
        <f>Prices!F441</f>
        <v>337.79998799999998</v>
      </c>
      <c r="G443" s="9">
        <f t="shared" si="30"/>
        <v>3162.2525732200011</v>
      </c>
      <c r="H443" s="9">
        <f t="shared" si="30"/>
        <v>21.213199839999998</v>
      </c>
      <c r="I443" s="9">
        <f t="shared" si="30"/>
        <v>60.922999799999999</v>
      </c>
      <c r="J443" s="9">
        <f t="shared" si="30"/>
        <v>27.30460004</v>
      </c>
      <c r="K443" s="9">
        <f t="shared" si="30"/>
        <v>289.15599856000011</v>
      </c>
      <c r="L443" s="9">
        <f t="shared" si="31"/>
        <v>2716.5658965850002</v>
      </c>
      <c r="M443" s="9">
        <f t="shared" si="31"/>
        <v>24.655399860000003</v>
      </c>
      <c r="N443" s="9">
        <f t="shared" si="31"/>
        <v>55.265849779999989</v>
      </c>
      <c r="O443" s="9">
        <f t="shared" si="31"/>
        <v>32.558100030000013</v>
      </c>
      <c r="P443" s="9">
        <f t="shared" si="31"/>
        <v>284.51700011999998</v>
      </c>
    </row>
    <row r="444" spans="1:16" x14ac:dyDescent="0.35">
      <c r="A444" s="2">
        <f>Prices!A442</f>
        <v>44525</v>
      </c>
      <c r="B444" s="1">
        <f>Prices!B442</f>
        <v>3185.070068</v>
      </c>
      <c r="C444" s="1">
        <f>Prices!C442</f>
        <v>26.75</v>
      </c>
      <c r="D444" s="1">
        <f>Prices!D442</f>
        <v>66.279999000000004</v>
      </c>
      <c r="E444" s="1">
        <f>Prices!E442</f>
        <v>36.340000000000003</v>
      </c>
      <c r="F444" s="1">
        <f>Prices!F442</f>
        <v>327.60000600000001</v>
      </c>
      <c r="G444" s="9">
        <f t="shared" si="30"/>
        <v>3161.4911767400008</v>
      </c>
      <c r="H444" s="9">
        <f t="shared" si="30"/>
        <v>21.332199859999996</v>
      </c>
      <c r="I444" s="9">
        <f t="shared" si="30"/>
        <v>60.967399839999999</v>
      </c>
      <c r="J444" s="9">
        <f t="shared" si="30"/>
        <v>27.490000060000003</v>
      </c>
      <c r="K444" s="9">
        <f t="shared" si="30"/>
        <v>289.84199832000013</v>
      </c>
      <c r="L444" s="9">
        <f t="shared" si="31"/>
        <v>2721.4021966350001</v>
      </c>
      <c r="M444" s="9">
        <f t="shared" si="31"/>
        <v>24.597449859999998</v>
      </c>
      <c r="N444" s="9">
        <f t="shared" si="31"/>
        <v>55.334849799999994</v>
      </c>
      <c r="O444" s="9">
        <f t="shared" si="31"/>
        <v>32.483700025000012</v>
      </c>
      <c r="P444" s="9">
        <f t="shared" si="31"/>
        <v>284.15300002999999</v>
      </c>
    </row>
    <row r="445" spans="1:16" x14ac:dyDescent="0.35">
      <c r="A445" s="2">
        <f>Prices!A443</f>
        <v>44527</v>
      </c>
      <c r="B445" s="1">
        <f>Prices!B443</f>
        <v>3195.3400879999999</v>
      </c>
      <c r="C445" s="1">
        <f>Prices!C443</f>
        <v>26.889999</v>
      </c>
      <c r="D445" s="1">
        <f>Prices!D443</f>
        <v>66.050003000000004</v>
      </c>
      <c r="E445" s="1">
        <f>Prices!E443</f>
        <v>36.270000000000003</v>
      </c>
      <c r="F445" s="1">
        <f>Prices!F443</f>
        <v>326.79998799999998</v>
      </c>
      <c r="G445" s="9">
        <f t="shared" si="30"/>
        <v>3163.6305761400013</v>
      </c>
      <c r="H445" s="9">
        <f t="shared" si="30"/>
        <v>21.459399879999996</v>
      </c>
      <c r="I445" s="9">
        <f t="shared" si="30"/>
        <v>60.996199899999993</v>
      </c>
      <c r="J445" s="9">
        <f t="shared" si="30"/>
        <v>27.655800080000002</v>
      </c>
      <c r="K445" s="9">
        <f t="shared" si="30"/>
        <v>290.37399844000015</v>
      </c>
      <c r="L445" s="9">
        <f t="shared" si="31"/>
        <v>2726.5275469750004</v>
      </c>
      <c r="M445" s="9">
        <f t="shared" si="31"/>
        <v>24.53819987</v>
      </c>
      <c r="N445" s="9">
        <f t="shared" si="31"/>
        <v>55.3898498</v>
      </c>
      <c r="O445" s="9">
        <f t="shared" si="31"/>
        <v>32.402150015000018</v>
      </c>
      <c r="P445" s="9">
        <f t="shared" si="31"/>
        <v>283.72900008999994</v>
      </c>
    </row>
    <row r="446" spans="1:16" x14ac:dyDescent="0.35">
      <c r="A446" s="2">
        <f>Prices!A444</f>
        <v>44530</v>
      </c>
      <c r="B446" s="1">
        <f>Prices!B444</f>
        <v>3168.040039</v>
      </c>
      <c r="C446" s="1">
        <f>Prices!C444</f>
        <v>25.889999</v>
      </c>
      <c r="D446" s="1">
        <f>Prices!D444</f>
        <v>64.970000999999996</v>
      </c>
      <c r="E446" s="1">
        <f>Prices!E444</f>
        <v>33.840000000000003</v>
      </c>
      <c r="F446" s="1">
        <f>Prices!F444</f>
        <v>324.10000600000001</v>
      </c>
      <c r="G446" s="9">
        <f t="shared" si="30"/>
        <v>3167.3627783000002</v>
      </c>
      <c r="H446" s="9">
        <f t="shared" si="30"/>
        <v>21.594399879999997</v>
      </c>
      <c r="I446" s="9">
        <f t="shared" si="30"/>
        <v>61.022799939999999</v>
      </c>
      <c r="J446" s="9">
        <f t="shared" si="30"/>
        <v>27.82920008</v>
      </c>
      <c r="K446" s="9">
        <f t="shared" si="30"/>
        <v>290.91799808000013</v>
      </c>
      <c r="L446" s="9">
        <f t="shared" si="31"/>
        <v>2731.7548968300007</v>
      </c>
      <c r="M446" s="9">
        <f t="shared" si="31"/>
        <v>24.48159987</v>
      </c>
      <c r="N446" s="9">
        <f t="shared" si="31"/>
        <v>55.445749820000003</v>
      </c>
      <c r="O446" s="9">
        <f t="shared" si="31"/>
        <v>32.328550005000018</v>
      </c>
      <c r="P446" s="9">
        <f t="shared" si="31"/>
        <v>283.31199996999999</v>
      </c>
    </row>
    <row r="447" spans="1:16" x14ac:dyDescent="0.35">
      <c r="A447" s="2">
        <f>Prices!A445</f>
        <v>44531</v>
      </c>
      <c r="B447" s="1">
        <f>Prices!B445</f>
        <v>3220.080078</v>
      </c>
      <c r="C447" s="1">
        <f>Prices!C445</f>
        <v>27.290001</v>
      </c>
      <c r="D447" s="1">
        <f>Prices!D445</f>
        <v>67.510002</v>
      </c>
      <c r="E447" s="1">
        <f>Prices!E445</f>
        <v>35.060001</v>
      </c>
      <c r="F447" s="1">
        <f>Prices!F445</f>
        <v>321.20001200000002</v>
      </c>
      <c r="G447" s="9">
        <f t="shared" si="30"/>
        <v>3171.6253808400006</v>
      </c>
      <c r="H447" s="9">
        <f t="shared" si="30"/>
        <v>21.717599859999996</v>
      </c>
      <c r="I447" s="9">
        <f t="shared" si="30"/>
        <v>61.033799999999992</v>
      </c>
      <c r="J447" s="9">
        <f t="shared" si="30"/>
        <v>27.96640008</v>
      </c>
      <c r="K447" s="9">
        <f t="shared" si="30"/>
        <v>291.5539984400001</v>
      </c>
      <c r="L447" s="9">
        <f t="shared" si="31"/>
        <v>2736.920746440001</v>
      </c>
      <c r="M447" s="9">
        <f t="shared" si="31"/>
        <v>24.42134987</v>
      </c>
      <c r="N447" s="9">
        <f t="shared" si="31"/>
        <v>55.498099824999997</v>
      </c>
      <c r="O447" s="9">
        <f t="shared" si="31"/>
        <v>32.245299995000018</v>
      </c>
      <c r="P447" s="9">
        <f t="shared" si="31"/>
        <v>282.87800002999995</v>
      </c>
    </row>
    <row r="448" spans="1:16" x14ac:dyDescent="0.35">
      <c r="A448" s="2">
        <f>Prices!A446</f>
        <v>44532</v>
      </c>
      <c r="B448" s="1">
        <f>Prices!B446</f>
        <v>3203.530029</v>
      </c>
      <c r="C448" s="1">
        <f>Prices!C446</f>
        <v>27.780000999999999</v>
      </c>
      <c r="D448" s="1">
        <f>Prices!D446</f>
        <v>70.190002000000007</v>
      </c>
      <c r="E448" s="1">
        <f>Prices!E446</f>
        <v>36.389999000000003</v>
      </c>
      <c r="F448" s="1">
        <f>Prices!F446</f>
        <v>332.39999399999999</v>
      </c>
      <c r="G448" s="9">
        <f t="shared" si="30"/>
        <v>3176.8175829800007</v>
      </c>
      <c r="H448" s="9">
        <f t="shared" si="30"/>
        <v>21.890599899999998</v>
      </c>
      <c r="I448" s="9">
        <f t="shared" si="30"/>
        <v>61.152000080000001</v>
      </c>
      <c r="J448" s="9">
        <f t="shared" si="30"/>
        <v>28.14140012</v>
      </c>
      <c r="K448" s="9">
        <f t="shared" si="30"/>
        <v>292.3319989200001</v>
      </c>
      <c r="L448" s="9">
        <f t="shared" si="31"/>
        <v>2742.2427972200007</v>
      </c>
      <c r="M448" s="9">
        <f t="shared" si="31"/>
        <v>24.378699875000002</v>
      </c>
      <c r="N448" s="9">
        <f t="shared" si="31"/>
        <v>55.563549845000004</v>
      </c>
      <c r="O448" s="9">
        <f t="shared" si="31"/>
        <v>32.169550005000019</v>
      </c>
      <c r="P448" s="9">
        <f t="shared" si="31"/>
        <v>282.42000014999996</v>
      </c>
    </row>
    <row r="449" spans="1:16" x14ac:dyDescent="0.35">
      <c r="A449" s="2">
        <f>Prices!A447</f>
        <v>44533</v>
      </c>
      <c r="B449" s="1">
        <f>Prices!B447</f>
        <v>3186.7299800000001</v>
      </c>
      <c r="C449" s="1">
        <f>Prices!C447</f>
        <v>28.16</v>
      </c>
      <c r="D449" s="1">
        <f>Prices!D447</f>
        <v>72.569999999999993</v>
      </c>
      <c r="E449" s="1">
        <f>Prices!E447</f>
        <v>36.709999000000003</v>
      </c>
      <c r="F449" s="1">
        <f>Prices!F447</f>
        <v>336.10000600000001</v>
      </c>
      <c r="G449" s="9">
        <f t="shared" si="30"/>
        <v>3178.3083837600007</v>
      </c>
      <c r="H449" s="9">
        <f t="shared" si="30"/>
        <v>22.079199920000001</v>
      </c>
      <c r="I449" s="9">
        <f t="shared" si="30"/>
        <v>61.327600119999985</v>
      </c>
      <c r="J449" s="9">
        <f t="shared" si="30"/>
        <v>28.336400120000004</v>
      </c>
      <c r="K449" s="9">
        <f t="shared" si="30"/>
        <v>293.3939990400001</v>
      </c>
      <c r="L449" s="9">
        <f t="shared" si="31"/>
        <v>2747.4093475100008</v>
      </c>
      <c r="M449" s="9">
        <f t="shared" si="31"/>
        <v>24.336449880000004</v>
      </c>
      <c r="N449" s="9">
        <f t="shared" si="31"/>
        <v>55.642799855</v>
      </c>
      <c r="O449" s="9">
        <f t="shared" si="31"/>
        <v>32.100399995000018</v>
      </c>
      <c r="P449" s="9">
        <f t="shared" si="31"/>
        <v>282.03600005999994</v>
      </c>
    </row>
    <row r="450" spans="1:16" x14ac:dyDescent="0.35">
      <c r="A450" s="2">
        <f>Prices!A448</f>
        <v>44534</v>
      </c>
      <c r="B450" s="1">
        <f>Prices!B448</f>
        <v>3162.580078</v>
      </c>
      <c r="C450" s="1">
        <f>Prices!C448</f>
        <v>28.370000999999998</v>
      </c>
      <c r="D450" s="1">
        <f>Prices!D448</f>
        <v>73.919998000000007</v>
      </c>
      <c r="E450" s="1">
        <f>Prices!E448</f>
        <v>38.229999999999997</v>
      </c>
      <c r="F450" s="1">
        <f>Prices!F448</f>
        <v>334.89999399999999</v>
      </c>
      <c r="G450" s="9">
        <f t="shared" si="30"/>
        <v>3182.0457812200002</v>
      </c>
      <c r="H450" s="9">
        <f t="shared" si="30"/>
        <v>22.273999920000001</v>
      </c>
      <c r="I450" s="9">
        <f t="shared" si="30"/>
        <v>61.571000079999983</v>
      </c>
      <c r="J450" s="9">
        <f t="shared" si="30"/>
        <v>28.548200080000001</v>
      </c>
      <c r="K450" s="9">
        <f t="shared" si="30"/>
        <v>294.4619989200001</v>
      </c>
      <c r="L450" s="9">
        <f t="shared" si="31"/>
        <v>2752.5774969200006</v>
      </c>
      <c r="M450" s="9">
        <f t="shared" si="31"/>
        <v>24.296399890000007</v>
      </c>
      <c r="N450" s="9">
        <f t="shared" si="31"/>
        <v>55.734699860000006</v>
      </c>
      <c r="O450" s="9">
        <f t="shared" si="31"/>
        <v>32.035849995000014</v>
      </c>
      <c r="P450" s="9">
        <f t="shared" si="31"/>
        <v>281.66800002999997</v>
      </c>
    </row>
    <row r="451" spans="1:16" x14ac:dyDescent="0.35">
      <c r="A451" s="2">
        <f>Prices!A449</f>
        <v>44537</v>
      </c>
      <c r="B451" s="1">
        <f>Prices!B449</f>
        <v>3158</v>
      </c>
      <c r="C451" s="1">
        <f>Prices!C449</f>
        <v>27.32</v>
      </c>
      <c r="D451" s="1">
        <f>Prices!D449</f>
        <v>72.970000999999996</v>
      </c>
      <c r="E451" s="1">
        <f>Prices!E449</f>
        <v>37.419998</v>
      </c>
      <c r="F451" s="1">
        <f>Prices!F449</f>
        <v>338.20001200000002</v>
      </c>
      <c r="G451" s="9">
        <f t="shared" si="30"/>
        <v>3184.9015820000004</v>
      </c>
      <c r="H451" s="9">
        <f t="shared" si="30"/>
        <v>22.473599960000001</v>
      </c>
      <c r="I451" s="9">
        <f t="shared" si="30"/>
        <v>61.826000079999986</v>
      </c>
      <c r="J451" s="9">
        <f t="shared" si="30"/>
        <v>28.782000059999994</v>
      </c>
      <c r="K451" s="9">
        <f t="shared" si="30"/>
        <v>295.57999880000011</v>
      </c>
      <c r="L451" s="9">
        <f t="shared" si="31"/>
        <v>2757.9105474549997</v>
      </c>
      <c r="M451" s="9">
        <f t="shared" si="31"/>
        <v>24.255949900000008</v>
      </c>
      <c r="N451" s="9">
        <f t="shared" si="31"/>
        <v>55.831199855000001</v>
      </c>
      <c r="O451" s="9">
        <f t="shared" si="31"/>
        <v>31.981150005000014</v>
      </c>
      <c r="P451" s="9">
        <f t="shared" si="31"/>
        <v>281.31149993999998</v>
      </c>
    </row>
    <row r="452" spans="1:16" x14ac:dyDescent="0.35">
      <c r="A452" s="2">
        <f>Prices!A450</f>
        <v>44538</v>
      </c>
      <c r="B452" s="1">
        <f>Prices!B450</f>
        <v>3177.290039</v>
      </c>
      <c r="C452" s="1">
        <f>Prices!C450</f>
        <v>26.620000999999998</v>
      </c>
      <c r="D452" s="1">
        <f>Prices!D450</f>
        <v>72.889999000000003</v>
      </c>
      <c r="E452" s="1">
        <f>Prices!E450</f>
        <v>37.389999000000003</v>
      </c>
      <c r="F452" s="1">
        <f>Prices!F450</f>
        <v>333.10000600000001</v>
      </c>
      <c r="G452" s="9">
        <f t="shared" si="30"/>
        <v>3186.1589843400002</v>
      </c>
      <c r="H452" s="9">
        <f t="shared" si="30"/>
        <v>22.657799939999997</v>
      </c>
      <c r="I452" s="9">
        <f t="shared" si="30"/>
        <v>62.078200079999995</v>
      </c>
      <c r="J452" s="9">
        <f t="shared" si="30"/>
        <v>29.015600019999997</v>
      </c>
      <c r="K452" s="9">
        <f t="shared" si="30"/>
        <v>296.74599916000005</v>
      </c>
      <c r="L452" s="9">
        <f t="shared" si="31"/>
        <v>2763.6540972599996</v>
      </c>
      <c r="M452" s="9">
        <f t="shared" si="31"/>
        <v>24.215049900000011</v>
      </c>
      <c r="N452" s="9">
        <f t="shared" si="31"/>
        <v>55.93989985999999</v>
      </c>
      <c r="O452" s="9">
        <f t="shared" si="31"/>
        <v>31.931850000000011</v>
      </c>
      <c r="P452" s="9">
        <f t="shared" si="31"/>
        <v>280.98199996999995</v>
      </c>
    </row>
    <row r="453" spans="1:16" x14ac:dyDescent="0.35">
      <c r="A453" s="2">
        <f>Prices!A451</f>
        <v>44539</v>
      </c>
      <c r="B453" s="1">
        <f>Prices!B451</f>
        <v>3104.1999510000001</v>
      </c>
      <c r="C453" s="1">
        <f>Prices!C451</f>
        <v>26.91</v>
      </c>
      <c r="D453" s="1">
        <f>Prices!D451</f>
        <v>72.389999000000003</v>
      </c>
      <c r="E453" s="1">
        <f>Prices!E451</f>
        <v>37.580002</v>
      </c>
      <c r="F453" s="1">
        <f>Prices!F451</f>
        <v>330</v>
      </c>
      <c r="G453" s="9">
        <f t="shared" si="30"/>
        <v>3186.2237841399997</v>
      </c>
      <c r="H453" s="9">
        <f t="shared" si="30"/>
        <v>22.790999979999995</v>
      </c>
      <c r="I453" s="9">
        <f t="shared" si="30"/>
        <v>62.326200019999987</v>
      </c>
      <c r="J453" s="9">
        <f t="shared" si="30"/>
        <v>29.241599999999998</v>
      </c>
      <c r="K453" s="9">
        <f t="shared" si="30"/>
        <v>297.53799928000007</v>
      </c>
      <c r="L453" s="9">
        <f t="shared" si="31"/>
        <v>2769.6768475049994</v>
      </c>
      <c r="M453" s="9">
        <f t="shared" si="31"/>
        <v>24.174049905000015</v>
      </c>
      <c r="N453" s="9">
        <f t="shared" si="31"/>
        <v>56.052199854999991</v>
      </c>
      <c r="O453" s="9">
        <f t="shared" si="31"/>
        <v>31.889299985000012</v>
      </c>
      <c r="P453" s="9">
        <f t="shared" si="31"/>
        <v>280.7</v>
      </c>
    </row>
    <row r="454" spans="1:16" x14ac:dyDescent="0.35">
      <c r="A454" s="2">
        <f>Prices!A452</f>
        <v>44540</v>
      </c>
      <c r="B454" s="1">
        <f>Prices!B452</f>
        <v>3101.48999</v>
      </c>
      <c r="C454" s="1">
        <f>Prices!C452</f>
        <v>26.780000999999999</v>
      </c>
      <c r="D454" s="1">
        <f>Prices!D452</f>
        <v>73.980002999999996</v>
      </c>
      <c r="E454" s="1">
        <f>Prices!E452</f>
        <v>38.419998</v>
      </c>
      <c r="F454" s="1">
        <f>Prices!F452</f>
        <v>333.20001200000002</v>
      </c>
      <c r="G454" s="9">
        <f t="shared" si="30"/>
        <v>3185.4101854999999</v>
      </c>
      <c r="H454" s="9">
        <f t="shared" si="30"/>
        <v>22.941199979999997</v>
      </c>
      <c r="I454" s="9">
        <f t="shared" si="30"/>
        <v>62.569800019999995</v>
      </c>
      <c r="J454" s="9">
        <f t="shared" si="30"/>
        <v>29.480200039999989</v>
      </c>
      <c r="K454" s="9">
        <f t="shared" si="30"/>
        <v>298.40599916000008</v>
      </c>
      <c r="L454" s="9">
        <f t="shared" si="31"/>
        <v>2775.2998974299994</v>
      </c>
      <c r="M454" s="9">
        <f t="shared" si="31"/>
        <v>24.130249915000014</v>
      </c>
      <c r="N454" s="9">
        <f t="shared" si="31"/>
        <v>56.165599854999989</v>
      </c>
      <c r="O454" s="9">
        <f t="shared" si="31"/>
        <v>31.848449995000006</v>
      </c>
      <c r="P454" s="9">
        <f t="shared" si="31"/>
        <v>280.44100005999996</v>
      </c>
    </row>
    <row r="455" spans="1:16" x14ac:dyDescent="0.35">
      <c r="A455" s="2">
        <f>Prices!A453</f>
        <v>44541</v>
      </c>
      <c r="B455" s="1">
        <f>Prices!B453</f>
        <v>3116.419922</v>
      </c>
      <c r="C455" s="1">
        <f>Prices!C453</f>
        <v>26.549999</v>
      </c>
      <c r="D455" s="1">
        <f>Prices!D453</f>
        <v>74.120002999999997</v>
      </c>
      <c r="E455" s="1">
        <f>Prices!E453</f>
        <v>37.810001</v>
      </c>
      <c r="F455" s="1">
        <f>Prices!F453</f>
        <v>323.79998799999998</v>
      </c>
      <c r="G455" s="9">
        <f t="shared" si="30"/>
        <v>3184.4653856999998</v>
      </c>
      <c r="H455" s="9">
        <f t="shared" si="30"/>
        <v>23.0852</v>
      </c>
      <c r="I455" s="9">
        <f t="shared" si="30"/>
        <v>62.841600099999994</v>
      </c>
      <c r="J455" s="9">
        <f t="shared" si="30"/>
        <v>29.745199999999997</v>
      </c>
      <c r="K455" s="9">
        <f t="shared" si="30"/>
        <v>299.35599916000001</v>
      </c>
      <c r="L455" s="9">
        <f t="shared" si="31"/>
        <v>2781.3858471349999</v>
      </c>
      <c r="M455" s="9">
        <f t="shared" si="31"/>
        <v>24.095049920000019</v>
      </c>
      <c r="N455" s="9">
        <f t="shared" si="31"/>
        <v>56.299199879999989</v>
      </c>
      <c r="O455" s="9">
        <f t="shared" si="31"/>
        <v>31.820849990000006</v>
      </c>
      <c r="P455" s="9">
        <f t="shared" si="31"/>
        <v>280.20750014999999</v>
      </c>
    </row>
    <row r="456" spans="1:16" x14ac:dyDescent="0.35">
      <c r="A456" s="2">
        <f>Prices!A454</f>
        <v>44544</v>
      </c>
      <c r="B456" s="1">
        <f>Prices!B454</f>
        <v>3156.969971</v>
      </c>
      <c r="C456" s="1">
        <f>Prices!C454</f>
        <v>26.68</v>
      </c>
      <c r="D456" s="1">
        <f>Prices!D454</f>
        <v>74.389999000000003</v>
      </c>
      <c r="E456" s="1">
        <f>Prices!E454</f>
        <v>36.419998</v>
      </c>
      <c r="F456" s="1">
        <f>Prices!F454</f>
        <v>316</v>
      </c>
      <c r="G456" s="9">
        <f t="shared" ref="G456:K467" si="32">AVERAGE(B406:B455)</f>
        <v>3182.36858394</v>
      </c>
      <c r="H456" s="9">
        <f t="shared" si="32"/>
        <v>23.225999979999997</v>
      </c>
      <c r="I456" s="9">
        <f t="shared" si="32"/>
        <v>63.127600159999993</v>
      </c>
      <c r="J456" s="9">
        <f t="shared" si="32"/>
        <v>30.016600019999995</v>
      </c>
      <c r="K456" s="9">
        <f t="shared" si="32"/>
        <v>300.11599916</v>
      </c>
      <c r="L456" s="9">
        <f t="shared" ref="L456:P467" si="33">AVERAGE(B256:B455)</f>
        <v>2787.5491967450002</v>
      </c>
      <c r="M456" s="9">
        <f t="shared" si="33"/>
        <v>24.059949915000018</v>
      </c>
      <c r="N456" s="9">
        <f t="shared" si="33"/>
        <v>56.435149894999988</v>
      </c>
      <c r="O456" s="9">
        <f t="shared" si="33"/>
        <v>31.789750000000005</v>
      </c>
      <c r="P456" s="9">
        <f t="shared" si="33"/>
        <v>280.00300002999995</v>
      </c>
    </row>
    <row r="457" spans="1:16" x14ac:dyDescent="0.35">
      <c r="A457" s="2">
        <f>Prices!A455</f>
        <v>44545</v>
      </c>
      <c r="B457" s="1">
        <f>Prices!B455</f>
        <v>3165.1201169999999</v>
      </c>
      <c r="C457" s="1">
        <f>Prices!C455</f>
        <v>26.940000999999999</v>
      </c>
      <c r="D457" s="1">
        <f>Prices!D455</f>
        <v>76.190002000000007</v>
      </c>
      <c r="E457" s="1">
        <f>Prices!E455</f>
        <v>37.580002</v>
      </c>
      <c r="F457" s="1">
        <f>Prices!F455</f>
        <v>320.29998799999998</v>
      </c>
      <c r="G457" s="9">
        <f t="shared" si="32"/>
        <v>3183.0079833600003</v>
      </c>
      <c r="H457" s="9">
        <f t="shared" si="32"/>
        <v>23.362199960000002</v>
      </c>
      <c r="I457" s="9">
        <f t="shared" si="32"/>
        <v>63.405600099999994</v>
      </c>
      <c r="J457" s="9">
        <f t="shared" si="32"/>
        <v>30.252999979999998</v>
      </c>
      <c r="K457" s="9">
        <f t="shared" si="32"/>
        <v>300.68399904</v>
      </c>
      <c r="L457" s="9">
        <f t="shared" si="33"/>
        <v>2793.5642968449997</v>
      </c>
      <c r="M457" s="9">
        <f t="shared" si="33"/>
        <v>24.024499915000021</v>
      </c>
      <c r="N457" s="9">
        <f t="shared" si="33"/>
        <v>56.563249889999994</v>
      </c>
      <c r="O457" s="9">
        <f t="shared" si="33"/>
        <v>31.747699980000007</v>
      </c>
      <c r="P457" s="9">
        <f t="shared" si="33"/>
        <v>279.82900008999991</v>
      </c>
    </row>
    <row r="458" spans="1:16" x14ac:dyDescent="0.35">
      <c r="A458" s="2">
        <f>Prices!A456</f>
        <v>44546</v>
      </c>
      <c r="B458" s="1">
        <f>Prices!B456</f>
        <v>3240.959961</v>
      </c>
      <c r="C458" s="1">
        <f>Prices!C456</f>
        <v>26.66</v>
      </c>
      <c r="D458" s="1">
        <f>Prices!D456</f>
        <v>75.900002000000001</v>
      </c>
      <c r="E458" s="1">
        <f>Prices!E456</f>
        <v>37.830002</v>
      </c>
      <c r="F458" s="1">
        <f>Prices!F456</f>
        <v>324.60000600000001</v>
      </c>
      <c r="G458" s="9">
        <f t="shared" si="32"/>
        <v>3182.3263866799998</v>
      </c>
      <c r="H458" s="9">
        <f t="shared" si="32"/>
        <v>23.501800000000003</v>
      </c>
      <c r="I458" s="9">
        <f t="shared" si="32"/>
        <v>63.704800139999989</v>
      </c>
      <c r="J458" s="9">
        <f t="shared" si="32"/>
        <v>30.496400019999999</v>
      </c>
      <c r="K458" s="9">
        <f t="shared" si="32"/>
        <v>301.26399904000004</v>
      </c>
      <c r="L458" s="9">
        <f t="shared" si="33"/>
        <v>2799.8449474799995</v>
      </c>
      <c r="M458" s="9">
        <f t="shared" si="33"/>
        <v>23.996349920000014</v>
      </c>
      <c r="N458" s="9">
        <f t="shared" si="33"/>
        <v>56.700399909999987</v>
      </c>
      <c r="O458" s="9">
        <f t="shared" si="33"/>
        <v>31.715799995000008</v>
      </c>
      <c r="P458" s="9">
        <f t="shared" si="33"/>
        <v>279.71449996999991</v>
      </c>
    </row>
    <row r="459" spans="1:16" x14ac:dyDescent="0.35">
      <c r="A459" s="2">
        <f>Prices!A457</f>
        <v>44547</v>
      </c>
      <c r="B459" s="1">
        <f>Prices!B457</f>
        <v>3236.080078</v>
      </c>
      <c r="C459" s="1">
        <f>Prices!C457</f>
        <v>26.690000999999999</v>
      </c>
      <c r="D459" s="1">
        <f>Prices!D457</f>
        <v>76.599997999999999</v>
      </c>
      <c r="E459" s="1">
        <f>Prices!E457</f>
        <v>38.099997999999999</v>
      </c>
      <c r="F459" s="1">
        <f>Prices!F457</f>
        <v>328.70001200000002</v>
      </c>
      <c r="G459" s="9">
        <f t="shared" si="32"/>
        <v>3185.14638668</v>
      </c>
      <c r="H459" s="9">
        <f t="shared" si="32"/>
        <v>23.635200000000001</v>
      </c>
      <c r="I459" s="9">
        <f t="shared" si="32"/>
        <v>64.030600159999992</v>
      </c>
      <c r="J459" s="9">
        <f t="shared" si="32"/>
        <v>30.747000080000003</v>
      </c>
      <c r="K459" s="9">
        <f t="shared" si="32"/>
        <v>301.77999940000007</v>
      </c>
      <c r="L459" s="9">
        <f t="shared" si="33"/>
        <v>2806.1705975049995</v>
      </c>
      <c r="M459" s="9">
        <f t="shared" si="33"/>
        <v>23.963499920000014</v>
      </c>
      <c r="N459" s="9">
        <f t="shared" si="33"/>
        <v>56.822499919999998</v>
      </c>
      <c r="O459" s="9">
        <f t="shared" si="33"/>
        <v>31.678450010000006</v>
      </c>
      <c r="P459" s="9">
        <f t="shared" si="33"/>
        <v>279.60749999999996</v>
      </c>
    </row>
    <row r="460" spans="1:16" x14ac:dyDescent="0.35">
      <c r="A460" s="2">
        <f>Prices!A458</f>
        <v>44548</v>
      </c>
      <c r="B460" s="1">
        <f>Prices!B458</f>
        <v>3201.6499020000001</v>
      </c>
      <c r="C460" s="1">
        <f>Prices!C458</f>
        <v>26.200001</v>
      </c>
      <c r="D460" s="1">
        <f>Prices!D458</f>
        <v>76.610000999999997</v>
      </c>
      <c r="E460" s="1">
        <f>Prices!E458</f>
        <v>37.299999</v>
      </c>
      <c r="F460" s="1">
        <f>Prices!F458</f>
        <v>331.89999399999999</v>
      </c>
      <c r="G460" s="9">
        <f t="shared" si="32"/>
        <v>3185.9541894200001</v>
      </c>
      <c r="H460" s="9">
        <f t="shared" si="32"/>
        <v>23.761599999999998</v>
      </c>
      <c r="I460" s="9">
        <f t="shared" si="32"/>
        <v>64.338600099999994</v>
      </c>
      <c r="J460" s="9">
        <f t="shared" si="32"/>
        <v>30.997200039999999</v>
      </c>
      <c r="K460" s="9">
        <f t="shared" si="32"/>
        <v>302.44599976000001</v>
      </c>
      <c r="L460" s="9">
        <f t="shared" si="33"/>
        <v>2812.7308477499992</v>
      </c>
      <c r="M460" s="9">
        <f t="shared" si="33"/>
        <v>23.933299925000014</v>
      </c>
      <c r="N460" s="9">
        <f t="shared" si="33"/>
        <v>56.959149909999994</v>
      </c>
      <c r="O460" s="9">
        <f t="shared" si="33"/>
        <v>31.650300000000001</v>
      </c>
      <c r="P460" s="9">
        <f t="shared" si="33"/>
        <v>279.50050002999996</v>
      </c>
    </row>
    <row r="461" spans="1:16" x14ac:dyDescent="0.35">
      <c r="A461" s="2">
        <f>Prices!A459</f>
        <v>44551</v>
      </c>
      <c r="B461" s="1">
        <f>Prices!B459</f>
        <v>3206.179932</v>
      </c>
      <c r="C461" s="1">
        <f>Prices!C459</f>
        <v>25.58</v>
      </c>
      <c r="D461" s="1">
        <f>Prices!D459</f>
        <v>76.279999000000004</v>
      </c>
      <c r="E461" s="1">
        <f>Prices!E459</f>
        <v>35.540000999999997</v>
      </c>
      <c r="F461" s="1">
        <f>Prices!F459</f>
        <v>326.10000600000001</v>
      </c>
      <c r="G461" s="9">
        <f t="shared" si="32"/>
        <v>3186.1761864800001</v>
      </c>
      <c r="H461" s="9">
        <f t="shared" si="32"/>
        <v>23.879200019999999</v>
      </c>
      <c r="I461" s="9">
        <f t="shared" si="32"/>
        <v>64.640400119999995</v>
      </c>
      <c r="J461" s="9">
        <f t="shared" si="32"/>
        <v>31.214400000000001</v>
      </c>
      <c r="K461" s="9">
        <f t="shared" si="32"/>
        <v>303.17599976000002</v>
      </c>
      <c r="L461" s="9">
        <f t="shared" si="33"/>
        <v>2819.2336474299991</v>
      </c>
      <c r="M461" s="9">
        <f t="shared" si="33"/>
        <v>23.902999940000019</v>
      </c>
      <c r="N461" s="9">
        <f t="shared" si="33"/>
        <v>57.111399914999986</v>
      </c>
      <c r="O461" s="9">
        <f t="shared" si="33"/>
        <v>31.62745</v>
      </c>
      <c r="P461" s="9">
        <f t="shared" si="33"/>
        <v>279.40199996999996</v>
      </c>
    </row>
    <row r="462" spans="1:16" x14ac:dyDescent="0.35">
      <c r="A462" s="2">
        <f>Prices!A460</f>
        <v>44552</v>
      </c>
      <c r="B462" s="1">
        <f>Prices!B460</f>
        <v>3206.5200199999999</v>
      </c>
      <c r="C462" s="1">
        <f>Prices!C460</f>
        <v>25.530000999999999</v>
      </c>
      <c r="D462" s="1">
        <f>Prices!D460</f>
        <v>75.290001000000004</v>
      </c>
      <c r="E462" s="1">
        <f>Prices!E460</f>
        <v>34.939999</v>
      </c>
      <c r="F462" s="1">
        <f>Prices!F460</f>
        <v>314.20001200000002</v>
      </c>
      <c r="G462" s="9">
        <f t="shared" si="32"/>
        <v>3184.5667870799998</v>
      </c>
      <c r="H462" s="9">
        <f t="shared" si="32"/>
        <v>23.988200039999992</v>
      </c>
      <c r="I462" s="9">
        <f t="shared" si="32"/>
        <v>64.924200099999993</v>
      </c>
      <c r="J462" s="9">
        <f t="shared" si="32"/>
        <v>31.392000020000001</v>
      </c>
      <c r="K462" s="9">
        <f t="shared" si="32"/>
        <v>303.78399963999999</v>
      </c>
      <c r="L462" s="9">
        <f t="shared" si="33"/>
        <v>2826.2614971649991</v>
      </c>
      <c r="M462" s="9">
        <f t="shared" si="33"/>
        <v>23.878649935000016</v>
      </c>
      <c r="N462" s="9">
        <f t="shared" si="33"/>
        <v>57.283749904999986</v>
      </c>
      <c r="O462" s="9">
        <f t="shared" si="33"/>
        <v>31.631750005000004</v>
      </c>
      <c r="P462" s="9">
        <f t="shared" si="33"/>
        <v>279.31749999999994</v>
      </c>
    </row>
    <row r="463" spans="1:16" x14ac:dyDescent="0.35">
      <c r="A463" s="2">
        <f>Prices!A461</f>
        <v>44553</v>
      </c>
      <c r="B463" s="1">
        <f>Prices!B461</f>
        <v>3185.2700199999999</v>
      </c>
      <c r="C463" s="1">
        <f>Prices!C461</f>
        <v>26.030000999999999</v>
      </c>
      <c r="D463" s="1">
        <f>Prices!D461</f>
        <v>76.129997000000003</v>
      </c>
      <c r="E463" s="1">
        <f>Prices!E461</f>
        <v>35.939999</v>
      </c>
      <c r="F463" s="1">
        <f>Prices!F461</f>
        <v>317.70001200000002</v>
      </c>
      <c r="G463" s="9">
        <f t="shared" si="32"/>
        <v>3179.8385888399998</v>
      </c>
      <c r="H463" s="9">
        <f t="shared" si="32"/>
        <v>24.093800059999992</v>
      </c>
      <c r="I463" s="9">
        <f t="shared" si="32"/>
        <v>65.196200140000002</v>
      </c>
      <c r="J463" s="9">
        <f t="shared" si="32"/>
        <v>31.564800020000003</v>
      </c>
      <c r="K463" s="9">
        <f t="shared" si="32"/>
        <v>304.13599976</v>
      </c>
      <c r="L463" s="9">
        <f t="shared" si="33"/>
        <v>2832.8349975349993</v>
      </c>
      <c r="M463" s="9">
        <f t="shared" si="33"/>
        <v>23.847949940000017</v>
      </c>
      <c r="N463" s="9">
        <f t="shared" si="33"/>
        <v>57.431199914999986</v>
      </c>
      <c r="O463" s="9">
        <f t="shared" si="33"/>
        <v>31.621650005000003</v>
      </c>
      <c r="P463" s="9">
        <f t="shared" si="33"/>
        <v>279.34850005999999</v>
      </c>
    </row>
    <row r="464" spans="1:16" x14ac:dyDescent="0.35">
      <c r="A464" s="2">
        <f>Prices!A462</f>
        <v>44554</v>
      </c>
      <c r="B464" s="1">
        <f>Prices!B462</f>
        <v>3172.6899410000001</v>
      </c>
      <c r="C464" s="1">
        <f>Prices!C462</f>
        <v>26.049999</v>
      </c>
      <c r="D464" s="1">
        <f>Prices!D462</f>
        <v>75.940002000000007</v>
      </c>
      <c r="E464" s="1">
        <f>Prices!E462</f>
        <v>35.830002</v>
      </c>
      <c r="F464" s="1">
        <f>Prices!F462</f>
        <v>326</v>
      </c>
      <c r="G464" s="9">
        <f t="shared" si="32"/>
        <v>3174.6713915800001</v>
      </c>
      <c r="H464" s="9">
        <f t="shared" si="32"/>
        <v>24.219000079999997</v>
      </c>
      <c r="I464" s="9">
        <f t="shared" si="32"/>
        <v>65.497400079999991</v>
      </c>
      <c r="J464" s="9">
        <f t="shared" si="32"/>
        <v>31.767200000000003</v>
      </c>
      <c r="K464" s="9">
        <f t="shared" si="32"/>
        <v>304.75400023999998</v>
      </c>
      <c r="L464" s="9">
        <f t="shared" si="33"/>
        <v>2839.6570477099995</v>
      </c>
      <c r="M464" s="9">
        <f t="shared" si="33"/>
        <v>23.823549945000018</v>
      </c>
      <c r="N464" s="9">
        <f t="shared" si="33"/>
        <v>57.598299904999998</v>
      </c>
      <c r="O464" s="9">
        <f t="shared" si="33"/>
        <v>31.628899990000001</v>
      </c>
      <c r="P464" s="9">
        <f t="shared" si="33"/>
        <v>279.35650009</v>
      </c>
    </row>
    <row r="465" spans="1:16" x14ac:dyDescent="0.35">
      <c r="A465" s="2">
        <f>Prices!A463</f>
        <v>44558</v>
      </c>
      <c r="B465" s="1">
        <f>Prices!B463</f>
        <v>3283.959961</v>
      </c>
      <c r="C465" s="1">
        <f>Prices!C463</f>
        <v>25.85</v>
      </c>
      <c r="D465" s="1">
        <f>Prices!D463</f>
        <v>75.589995999999999</v>
      </c>
      <c r="E465" s="1">
        <f>Prices!E463</f>
        <v>35.900002000000001</v>
      </c>
      <c r="F465" s="1">
        <f>Prices!F463</f>
        <v>328</v>
      </c>
      <c r="G465" s="9">
        <f t="shared" si="32"/>
        <v>3170.8509911799997</v>
      </c>
      <c r="H465" s="9">
        <f t="shared" si="32"/>
        <v>24.355400059999997</v>
      </c>
      <c r="I465" s="9">
        <f t="shared" si="32"/>
        <v>65.796200119999995</v>
      </c>
      <c r="J465" s="9">
        <f t="shared" si="32"/>
        <v>31.968000019999998</v>
      </c>
      <c r="K465" s="9">
        <f t="shared" si="32"/>
        <v>305.53200011999996</v>
      </c>
      <c r="L465" s="9">
        <f t="shared" si="33"/>
        <v>2847.1374474899994</v>
      </c>
      <c r="M465" s="9">
        <f t="shared" si="33"/>
        <v>23.811049945000018</v>
      </c>
      <c r="N465" s="9">
        <f t="shared" si="33"/>
        <v>57.783699909999989</v>
      </c>
      <c r="O465" s="9">
        <f t="shared" si="33"/>
        <v>31.6614</v>
      </c>
      <c r="P465" s="9">
        <f t="shared" si="33"/>
        <v>279.43150008999999</v>
      </c>
    </row>
    <row r="466" spans="1:16" x14ac:dyDescent="0.35">
      <c r="A466" s="2">
        <f>Prices!A464</f>
        <v>44559</v>
      </c>
      <c r="B466" s="1">
        <f>Prices!B464</f>
        <v>3322</v>
      </c>
      <c r="C466" s="1">
        <f>Prices!C464</f>
        <v>25.82</v>
      </c>
      <c r="D466" s="1">
        <f>Prices!D464</f>
        <v>76.129997000000003</v>
      </c>
      <c r="E466" s="1">
        <f>Prices!E464</f>
        <v>36.139999000000003</v>
      </c>
      <c r="F466" s="1">
        <f>Prices!F464</f>
        <v>328.70001200000002</v>
      </c>
      <c r="G466" s="9">
        <f t="shared" si="32"/>
        <v>3169.757192359999</v>
      </c>
      <c r="H466" s="9">
        <f t="shared" si="32"/>
        <v>24.484400059999995</v>
      </c>
      <c r="I466" s="9">
        <f t="shared" si="32"/>
        <v>66.097000059999999</v>
      </c>
      <c r="J466" s="9">
        <f t="shared" si="32"/>
        <v>32.178600039999999</v>
      </c>
      <c r="K466" s="9">
        <f t="shared" si="32"/>
        <v>306.51400023999997</v>
      </c>
      <c r="L466" s="9">
        <f t="shared" si="33"/>
        <v>2854.6322472949996</v>
      </c>
      <c r="M466" s="9">
        <f t="shared" si="33"/>
        <v>23.790799945000021</v>
      </c>
      <c r="N466" s="9">
        <f t="shared" si="33"/>
        <v>57.942149879999988</v>
      </c>
      <c r="O466" s="9">
        <f t="shared" si="33"/>
        <v>31.690500010000001</v>
      </c>
      <c r="P466" s="9">
        <f t="shared" si="33"/>
        <v>279.71150008999996</v>
      </c>
    </row>
    <row r="467" spans="1:16" x14ac:dyDescent="0.35">
      <c r="A467" s="2">
        <f>Prices!A465</f>
        <v>44560</v>
      </c>
      <c r="B467" s="1">
        <f>Prices!B465</f>
        <v>3285.8500979999999</v>
      </c>
      <c r="C467" s="1">
        <f>Prices!C465</f>
        <v>25.940000999999999</v>
      </c>
      <c r="D467" s="1">
        <f>Prices!D465</f>
        <v>75.989998</v>
      </c>
      <c r="E467" s="1">
        <f>Prices!E465</f>
        <v>36.029998999999997</v>
      </c>
      <c r="F467" s="1">
        <f>Prices!F465</f>
        <v>328</v>
      </c>
      <c r="G467" s="9">
        <f t="shared" si="32"/>
        <v>3170.7429931399993</v>
      </c>
      <c r="H467" s="9">
        <f t="shared" si="32"/>
        <v>24.606600079999993</v>
      </c>
      <c r="I467" s="9">
        <f t="shared" si="32"/>
        <v>66.41860002</v>
      </c>
      <c r="J467" s="9">
        <f t="shared" si="32"/>
        <v>32.396000019999995</v>
      </c>
      <c r="K467" s="9">
        <f t="shared" si="32"/>
        <v>307.4500005999999</v>
      </c>
      <c r="L467" s="9">
        <f t="shared" si="33"/>
        <v>2862.7964971750002</v>
      </c>
      <c r="M467" s="9">
        <f t="shared" si="33"/>
        <v>23.779199950000017</v>
      </c>
      <c r="N467" s="9">
        <f t="shared" si="33"/>
        <v>58.121499874999991</v>
      </c>
      <c r="O467" s="9">
        <f t="shared" si="33"/>
        <v>31.744600004999999</v>
      </c>
      <c r="P467" s="9">
        <f t="shared" si="33"/>
        <v>279.99700012</v>
      </c>
    </row>
    <row r="468" spans="1:16" x14ac:dyDescent="0.35">
      <c r="A468" s="2"/>
    </row>
    <row r="469" spans="1:16" x14ac:dyDescent="0.35">
      <c r="A469" s="2"/>
    </row>
    <row r="470" spans="1:16" x14ac:dyDescent="0.35">
      <c r="A470" s="2"/>
    </row>
    <row r="471" spans="1:16" x14ac:dyDescent="0.35">
      <c r="A471" s="2"/>
    </row>
    <row r="472" spans="1:16" x14ac:dyDescent="0.35">
      <c r="A472" s="2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U257"/>
  <sheetViews>
    <sheetView topLeftCell="H1" workbookViewId="0">
      <selection activeCell="Z9" sqref="Z9"/>
    </sheetView>
  </sheetViews>
  <sheetFormatPr defaultColWidth="8.81640625" defaultRowHeight="14.5" x14ac:dyDescent="0.35"/>
  <cols>
    <col min="1" max="1" width="10.453125" bestFit="1" customWidth="1"/>
  </cols>
  <sheetData>
    <row r="1" spans="1:47" x14ac:dyDescent="0.35">
      <c r="A1" s="11" t="s">
        <v>17</v>
      </c>
    </row>
    <row r="3" spans="1:47" x14ac:dyDescent="0.35">
      <c r="B3" s="11" t="s">
        <v>28</v>
      </c>
      <c r="J3" s="11" t="s">
        <v>29</v>
      </c>
      <c r="W3" s="11" t="s">
        <v>31</v>
      </c>
      <c r="AJ3" s="11" t="s">
        <v>32</v>
      </c>
    </row>
    <row r="4" spans="1:47" x14ac:dyDescent="0.35">
      <c r="B4" s="12" t="s">
        <v>64</v>
      </c>
      <c r="C4" s="13"/>
      <c r="D4" s="13"/>
      <c r="E4" s="13"/>
      <c r="F4" s="14"/>
      <c r="G4" s="13"/>
      <c r="H4" s="14"/>
      <c r="J4" s="12" t="s">
        <v>18</v>
      </c>
      <c r="K4" s="13"/>
      <c r="L4" s="13"/>
      <c r="M4" s="13"/>
      <c r="N4" s="13"/>
      <c r="O4" s="12" t="s">
        <v>64</v>
      </c>
      <c r="P4" s="13"/>
      <c r="Q4" s="13"/>
      <c r="R4" s="13"/>
      <c r="S4" s="14"/>
      <c r="T4" s="13"/>
      <c r="U4" s="14"/>
      <c r="W4" s="12" t="s">
        <v>18</v>
      </c>
      <c r="X4" s="13"/>
      <c r="Y4" s="13"/>
      <c r="Z4" s="13"/>
      <c r="AA4" s="13"/>
      <c r="AB4" s="12" t="s">
        <v>64</v>
      </c>
      <c r="AC4" s="13"/>
      <c r="AD4" s="13"/>
      <c r="AE4" s="13"/>
      <c r="AF4" s="14"/>
      <c r="AG4" s="13"/>
      <c r="AH4" s="14"/>
      <c r="AJ4" s="12" t="s">
        <v>18</v>
      </c>
      <c r="AK4" s="13"/>
      <c r="AL4" s="13"/>
      <c r="AM4" s="13"/>
      <c r="AN4" s="13"/>
      <c r="AO4" s="12" t="s">
        <v>64</v>
      </c>
      <c r="AP4" s="13"/>
      <c r="AQ4" s="13"/>
      <c r="AR4" s="13"/>
      <c r="AS4" s="14"/>
      <c r="AT4" s="13"/>
      <c r="AU4" s="14"/>
    </row>
    <row r="5" spans="1:47" x14ac:dyDescent="0.35">
      <c r="A5" s="11" t="s">
        <v>0</v>
      </c>
      <c r="B5" s="4" t="s">
        <v>4</v>
      </c>
      <c r="C5" s="4" t="s">
        <v>7</v>
      </c>
      <c r="D5" s="4" t="s">
        <v>8</v>
      </c>
      <c r="E5" s="4" t="s">
        <v>6</v>
      </c>
      <c r="F5" s="4" t="s">
        <v>5</v>
      </c>
      <c r="G5" s="4" t="s">
        <v>34</v>
      </c>
      <c r="H5" s="4" t="s">
        <v>35</v>
      </c>
      <c r="J5" s="4" t="s">
        <v>4</v>
      </c>
      <c r="K5" s="4" t="s">
        <v>7</v>
      </c>
      <c r="L5" s="4" t="s">
        <v>8</v>
      </c>
      <c r="M5" s="4" t="s">
        <v>6</v>
      </c>
      <c r="N5" s="4" t="s">
        <v>5</v>
      </c>
      <c r="O5" s="11" t="str">
        <f>J5</f>
        <v>Tech</v>
      </c>
      <c r="P5" s="11" t="str">
        <f t="shared" ref="P5:S5" si="0">K5</f>
        <v>Banking</v>
      </c>
      <c r="Q5" s="11" t="str">
        <f t="shared" si="0"/>
        <v>Mining</v>
      </c>
      <c r="R5" s="11" t="str">
        <f t="shared" si="0"/>
        <v>Energy</v>
      </c>
      <c r="S5" s="11" t="str">
        <f t="shared" si="0"/>
        <v>Insurance</v>
      </c>
      <c r="T5" s="4" t="s">
        <v>34</v>
      </c>
      <c r="U5" s="4" t="s">
        <v>35</v>
      </c>
      <c r="W5" s="4" t="s">
        <v>4</v>
      </c>
      <c r="X5" s="4" t="s">
        <v>7</v>
      </c>
      <c r="Y5" s="4" t="s">
        <v>8</v>
      </c>
      <c r="Z5" s="4" t="s">
        <v>6</v>
      </c>
      <c r="AA5" s="4" t="s">
        <v>5</v>
      </c>
      <c r="AB5" s="11" t="str">
        <f>W5</f>
        <v>Tech</v>
      </c>
      <c r="AC5" s="11" t="str">
        <f t="shared" ref="AC5" si="1">X5</f>
        <v>Banking</v>
      </c>
      <c r="AD5" s="11" t="str">
        <f t="shared" ref="AD5" si="2">Y5</f>
        <v>Mining</v>
      </c>
      <c r="AE5" s="11" t="str">
        <f t="shared" ref="AE5" si="3">Z5</f>
        <v>Energy</v>
      </c>
      <c r="AF5" s="11" t="str">
        <f t="shared" ref="AF5" si="4">AA5</f>
        <v>Insurance</v>
      </c>
      <c r="AG5" s="4" t="s">
        <v>34</v>
      </c>
      <c r="AH5" s="4" t="s">
        <v>35</v>
      </c>
      <c r="AJ5" s="4" t="s">
        <v>4</v>
      </c>
      <c r="AK5" s="4" t="s">
        <v>7</v>
      </c>
      <c r="AL5" s="4" t="s">
        <v>8</v>
      </c>
      <c r="AM5" s="4" t="s">
        <v>6</v>
      </c>
      <c r="AN5" s="4" t="s">
        <v>5</v>
      </c>
      <c r="AO5" s="11" t="str">
        <f>AJ5</f>
        <v>Tech</v>
      </c>
      <c r="AP5" s="11" t="str">
        <f t="shared" ref="AP5" si="5">AK5</f>
        <v>Banking</v>
      </c>
      <c r="AQ5" s="11" t="str">
        <f t="shared" ref="AQ5" si="6">AL5</f>
        <v>Mining</v>
      </c>
      <c r="AR5" s="11" t="str">
        <f t="shared" ref="AR5" si="7">AM5</f>
        <v>Energy</v>
      </c>
      <c r="AS5" s="11" t="str">
        <f t="shared" ref="AS5" si="8">AN5</f>
        <v>Insurance</v>
      </c>
      <c r="AT5" s="4" t="s">
        <v>34</v>
      </c>
      <c r="AU5" s="4" t="s">
        <v>35</v>
      </c>
    </row>
    <row r="6" spans="1:47" x14ac:dyDescent="0.35">
      <c r="A6" s="2">
        <f>Prices!A214</f>
        <v>44198</v>
      </c>
      <c r="B6" s="7">
        <f>Parameters!$B$5</f>
        <v>200</v>
      </c>
      <c r="C6" s="7">
        <f>Parameters!$B$5</f>
        <v>200</v>
      </c>
      <c r="D6" s="7">
        <f>Parameters!$B$5</f>
        <v>200</v>
      </c>
      <c r="E6" s="7">
        <f>Parameters!$B$5</f>
        <v>200</v>
      </c>
      <c r="F6" s="7">
        <f>Parameters!$B$5</f>
        <v>200</v>
      </c>
      <c r="G6" s="16">
        <f>SUM(B6:F6)</f>
        <v>1000</v>
      </c>
      <c r="H6" s="7">
        <v>0</v>
      </c>
      <c r="J6" t="str">
        <f>IF(AND('Data Checks'!B216&gt;'Data Checks'!B215,'Data Checks'!B215&gt;'Data Checks'!B214,'Data Checks'!B214&gt;'Data Checks'!B213),"SELL",IF(AND('Data Checks'!B216&lt;'Data Checks'!B215,'Data Checks'!B215&lt;'Data Checks'!B214,'Data Checks'!B214&lt;'Data Checks'!B213),"BUY",""))</f>
        <v/>
      </c>
      <c r="K6" t="str">
        <f>IF(AND('Data Checks'!C216&gt;'Data Checks'!C215,'Data Checks'!C215&gt;'Data Checks'!C214,'Data Checks'!C214&gt;'Data Checks'!C213),"SELL",IF(AND('Data Checks'!C216&lt;'Data Checks'!C215,'Data Checks'!C215&lt;'Data Checks'!C214,'Data Checks'!C214&lt;'Data Checks'!C213),"BUY",""))</f>
        <v/>
      </c>
      <c r="L6" t="str">
        <f>IF(AND('Data Checks'!D216&gt;'Data Checks'!D215,'Data Checks'!D215&gt;'Data Checks'!D214,'Data Checks'!D214&gt;'Data Checks'!D213),"SELL",IF(AND('Data Checks'!D216&lt;'Data Checks'!D215,'Data Checks'!D215&lt;'Data Checks'!D214,'Data Checks'!D214&lt;'Data Checks'!D213),"BUY",""))</f>
        <v/>
      </c>
      <c r="M6" t="str">
        <f>IF(AND('Data Checks'!E216&gt;'Data Checks'!E215,'Data Checks'!E215&gt;'Data Checks'!E214,'Data Checks'!E214&gt;'Data Checks'!E213),"SELL",IF(AND('Data Checks'!E216&lt;'Data Checks'!E215,'Data Checks'!E215&lt;'Data Checks'!E214,'Data Checks'!E214&lt;'Data Checks'!E213),"BUY",""))</f>
        <v/>
      </c>
      <c r="N6" t="str">
        <f>IF(AND('Data Checks'!F216&gt;'Data Checks'!F215,'Data Checks'!F215&gt;'Data Checks'!F214,'Data Checks'!F214&gt;'Data Checks'!F213),"SELL",IF(AND('Data Checks'!F216&lt;'Data Checks'!F215,'Data Checks'!F215&lt;'Data Checks'!F214,'Data Checks'!F214&lt;'Data Checks'!F213),"BUY",""))</f>
        <v/>
      </c>
      <c r="O6" s="7">
        <f>Parameters!$B$5</f>
        <v>200</v>
      </c>
      <c r="P6" s="7">
        <f>Parameters!$B$5</f>
        <v>200</v>
      </c>
      <c r="Q6" s="7">
        <f>Parameters!$B$5</f>
        <v>200</v>
      </c>
      <c r="R6" s="7">
        <f>Parameters!$B$5</f>
        <v>200</v>
      </c>
      <c r="S6" s="7">
        <f>Parameters!$B$5</f>
        <v>200</v>
      </c>
      <c r="T6" s="16">
        <f>SUM(O6:S6)</f>
        <v>1000</v>
      </c>
      <c r="U6" s="7">
        <v>0</v>
      </c>
      <c r="W6" t="str">
        <f>IF(AND('Data Checks'!B216&gt;'Data Checks'!B215,'Data Checks'!B215&gt;'Data Checks'!B214,'Data Checks'!B214&gt;'Data Checks'!B213),"BUY",IF(AND('Data Checks'!B216&lt;'Data Checks'!B215,'Data Checks'!B215&lt;'Data Checks'!B214,'Data Checks'!B214&lt;'Data Checks'!B213),"SELL",""))</f>
        <v/>
      </c>
      <c r="X6" t="str">
        <f>IF(AND('Data Checks'!C216&gt;'Data Checks'!C215,'Data Checks'!C215&gt;'Data Checks'!C214,'Data Checks'!C214&gt;'Data Checks'!C213),"BUY",IF(AND('Data Checks'!C216&lt;'Data Checks'!C215,'Data Checks'!C215&lt;'Data Checks'!C214,'Data Checks'!C214&lt;'Data Checks'!C213),"SELL",""))</f>
        <v/>
      </c>
      <c r="Y6" t="str">
        <f>IF(AND('Data Checks'!D216&gt;'Data Checks'!D215,'Data Checks'!D215&gt;'Data Checks'!D214,'Data Checks'!D214&gt;'Data Checks'!D213),"BUY",IF(AND('Data Checks'!D216&lt;'Data Checks'!D215,'Data Checks'!D215&lt;'Data Checks'!D214,'Data Checks'!D214&lt;'Data Checks'!D213),"SELL",""))</f>
        <v/>
      </c>
      <c r="Z6" t="str">
        <f>IF(AND('Data Checks'!E216&gt;'Data Checks'!E215,'Data Checks'!E215&gt;'Data Checks'!E214,'Data Checks'!E214&gt;'Data Checks'!E213),"BUY",IF(AND('Data Checks'!E216&lt;'Data Checks'!E215,'Data Checks'!E215&lt;'Data Checks'!E214,'Data Checks'!E214&lt;'Data Checks'!E213),"SELL",""))</f>
        <v/>
      </c>
      <c r="AA6" t="str">
        <f>IF(AND('Data Checks'!F216&gt;'Data Checks'!F215,'Data Checks'!F215&gt;'Data Checks'!F214,'Data Checks'!F214&gt;'Data Checks'!F213),"BUY",IF(AND('Data Checks'!F216&lt;'Data Checks'!F215,'Data Checks'!F215&lt;'Data Checks'!F214,'Data Checks'!F214&lt;'Data Checks'!F213),"SELL",""))</f>
        <v/>
      </c>
      <c r="AB6" s="7">
        <f>Parameters!$B$5</f>
        <v>200</v>
      </c>
      <c r="AC6" s="7">
        <f>Parameters!$B$5</f>
        <v>200</v>
      </c>
      <c r="AD6" s="7">
        <f>Parameters!$B$5</f>
        <v>200</v>
      </c>
      <c r="AE6" s="7">
        <f>Parameters!$B$5</f>
        <v>200</v>
      </c>
      <c r="AF6" s="7">
        <f>Parameters!$B$5</f>
        <v>200</v>
      </c>
      <c r="AG6" s="16">
        <f>SUM(AB6:AF6)</f>
        <v>1000</v>
      </c>
      <c r="AH6" s="7">
        <v>0</v>
      </c>
      <c r="AJ6" t="str">
        <f>IF('Moving Ave'!G216&gt;'Moving Ave'!L216,"SELL","BUY")</f>
        <v>BUY</v>
      </c>
      <c r="AK6" t="str">
        <f>IF('Moving Ave'!H216&gt;'Moving Ave'!M216,"SELL","BUY")</f>
        <v>BUY</v>
      </c>
      <c r="AL6" t="str">
        <f>IF('Moving Ave'!I216&gt;'Moving Ave'!N216,"SELL","BUY")</f>
        <v>BUY</v>
      </c>
      <c r="AM6" t="str">
        <f>IF('Moving Ave'!J216&gt;'Moving Ave'!O216,"SELL","BUY")</f>
        <v>BUY</v>
      </c>
      <c r="AN6" t="str">
        <f>IF('Moving Ave'!K216&gt;'Moving Ave'!P216,"SELL","BUY")</f>
        <v>SELL</v>
      </c>
      <c r="AO6" s="7">
        <f>Parameters!$B$5</f>
        <v>200</v>
      </c>
      <c r="AP6" s="7">
        <f>Parameters!$B$5</f>
        <v>200</v>
      </c>
      <c r="AQ6" s="7">
        <f>Parameters!$B$5</f>
        <v>200</v>
      </c>
      <c r="AR6" s="7">
        <f>Parameters!$B$5</f>
        <v>200</v>
      </c>
      <c r="AS6" s="7">
        <f>Parameters!$B$5</f>
        <v>200</v>
      </c>
      <c r="AT6" s="16">
        <f>SUM(AO6:AS6)</f>
        <v>1000</v>
      </c>
      <c r="AU6" s="7">
        <v>0</v>
      </c>
    </row>
    <row r="7" spans="1:47" x14ac:dyDescent="0.35">
      <c r="A7" s="2">
        <f>Prices!A215</f>
        <v>44199</v>
      </c>
      <c r="B7">
        <f>B6*('Data Checks'!B217/'Data Checks'!B216)</f>
        <v>197.57218993802883</v>
      </c>
      <c r="C7">
        <f>C6*('Data Checks'!C217/'Data Checks'!C216)</f>
        <v>196.9011886436675</v>
      </c>
      <c r="D7">
        <f>D6*('Data Checks'!D217/'Data Checks'!D216)</f>
        <v>196.49357482874561</v>
      </c>
      <c r="E7">
        <f>E6*('Data Checks'!E217/'Data Checks'!E216)</f>
        <v>201.57347500590981</v>
      </c>
      <c r="F7">
        <f>F6*('Data Checks'!F217/'Data Checks'!F216)</f>
        <v>197.42489552825316</v>
      </c>
      <c r="G7" s="16">
        <f t="shared" ref="G7:G70" si="9">SUM(B7:F7)</f>
        <v>989.96532394460496</v>
      </c>
      <c r="H7" s="17">
        <f>G7/G6-1</f>
        <v>-1.0034676055394987E-2</v>
      </c>
      <c r="J7" t="str">
        <f>IF(AND('Data Checks'!B217&gt;'Data Checks'!B216,'Data Checks'!B216&gt;'Data Checks'!B215,'Data Checks'!B215&gt;'Data Checks'!B214),"SELL",IF(AND('Data Checks'!B217&lt;'Data Checks'!B216,'Data Checks'!B216&lt;'Data Checks'!B215,'Data Checks'!B215&lt;'Data Checks'!B214),"BUY",""))</f>
        <v/>
      </c>
      <c r="K7" t="str">
        <f>IF(AND('Data Checks'!C217&gt;'Data Checks'!C216,'Data Checks'!C216&gt;'Data Checks'!C215,'Data Checks'!C215&gt;'Data Checks'!C214),"SELL",IF(AND('Data Checks'!C217&lt;'Data Checks'!C216,'Data Checks'!C216&lt;'Data Checks'!C215,'Data Checks'!C215&lt;'Data Checks'!C214),"BUY",""))</f>
        <v/>
      </c>
      <c r="L7" t="str">
        <f>IF(AND('Data Checks'!D217&gt;'Data Checks'!D216,'Data Checks'!D216&gt;'Data Checks'!D215,'Data Checks'!D215&gt;'Data Checks'!D214),"SELL",IF(AND('Data Checks'!D217&lt;'Data Checks'!D216,'Data Checks'!D216&lt;'Data Checks'!D215,'Data Checks'!D215&lt;'Data Checks'!D214),"BUY",""))</f>
        <v/>
      </c>
      <c r="M7" t="str">
        <f>IF(AND('Data Checks'!E217&gt;'Data Checks'!E216,'Data Checks'!E216&gt;'Data Checks'!E215,'Data Checks'!E215&gt;'Data Checks'!E214),"SELL",IF(AND('Data Checks'!E217&lt;'Data Checks'!E216,'Data Checks'!E216&lt;'Data Checks'!E215,'Data Checks'!E215&lt;'Data Checks'!E214),"BUY",""))</f>
        <v>SELL</v>
      </c>
      <c r="N7" t="str">
        <f>IF(AND('Data Checks'!F217&gt;'Data Checks'!F216,'Data Checks'!F216&gt;'Data Checks'!F215,'Data Checks'!F215&gt;'Data Checks'!F214),"SELL",IF(AND('Data Checks'!F217&lt;'Data Checks'!F216,'Data Checks'!F216&lt;'Data Checks'!F215,'Data Checks'!F215&lt;'Data Checks'!F214),"BUY",""))</f>
        <v/>
      </c>
      <c r="O7">
        <f>IF(J6="BUY",O6*('Data Checks'!B217/'Data Checks'!B216),IF(J6="SELL",O6*('Data Checks'!B216/'Data Checks'!B217),O6))</f>
        <v>200</v>
      </c>
      <c r="P7">
        <f>IF(K6="BUY",P6*('Data Checks'!C217/'Data Checks'!C216),IF(K6="SELL",P6*('Data Checks'!C216/'Data Checks'!C217),P6))</f>
        <v>200</v>
      </c>
      <c r="Q7">
        <f>IF(L6="BUY",Q6*('Data Checks'!D217/'Data Checks'!D216),IF(L6="SELL",Q6*('Data Checks'!D216/'Data Checks'!D217),Q6))</f>
        <v>200</v>
      </c>
      <c r="R7">
        <f>IF(M6="BUY",R6*('Data Checks'!E217/'Data Checks'!E216),IF(M6="SELL",R6*('Data Checks'!E216/'Data Checks'!E217),R6))</f>
        <v>200</v>
      </c>
      <c r="S7">
        <f>IF(N6="BUY",S6*('Data Checks'!F217/'Data Checks'!F216),IF(N6="SELL",S6*('Data Checks'!F216/'Data Checks'!F217),S6))</f>
        <v>200</v>
      </c>
      <c r="T7" s="16">
        <f t="shared" ref="T7:T70" si="10">SUM(O7:S7)</f>
        <v>1000</v>
      </c>
      <c r="U7" s="17">
        <f>T7/T6-1</f>
        <v>0</v>
      </c>
      <c r="W7" t="str">
        <f>IF(AND('Data Checks'!B217&gt;'Data Checks'!B216,'Data Checks'!B216&gt;'Data Checks'!B215,'Data Checks'!B215&gt;'Data Checks'!B214),"BUY",IF(AND('Data Checks'!B217&lt;'Data Checks'!B216,'Data Checks'!B216&lt;'Data Checks'!B215,'Data Checks'!B215&lt;'Data Checks'!B214),"SELL",""))</f>
        <v/>
      </c>
      <c r="X7" t="str">
        <f>IF(AND('Data Checks'!C217&gt;'Data Checks'!C216,'Data Checks'!C216&gt;'Data Checks'!C215,'Data Checks'!C215&gt;'Data Checks'!C214),"BUY",IF(AND('Data Checks'!C217&lt;'Data Checks'!C216,'Data Checks'!C216&lt;'Data Checks'!C215,'Data Checks'!C215&lt;'Data Checks'!C214),"SELL",""))</f>
        <v/>
      </c>
      <c r="Y7" t="str">
        <f>IF(AND('Data Checks'!D217&gt;'Data Checks'!D216,'Data Checks'!D216&gt;'Data Checks'!D215,'Data Checks'!D215&gt;'Data Checks'!D214),"BUY",IF(AND('Data Checks'!D217&lt;'Data Checks'!D216,'Data Checks'!D216&lt;'Data Checks'!D215,'Data Checks'!D215&lt;'Data Checks'!D214),"SELL",""))</f>
        <v/>
      </c>
      <c r="Z7" t="str">
        <f>IF(AND('Data Checks'!E217&gt;'Data Checks'!E216,'Data Checks'!E216&gt;'Data Checks'!E215,'Data Checks'!E215&gt;'Data Checks'!E214),"BUY",IF(AND('Data Checks'!E217&lt;'Data Checks'!E216,'Data Checks'!E216&lt;'Data Checks'!E215,'Data Checks'!E215&lt;'Data Checks'!E214),"SELL",""))</f>
        <v>BUY</v>
      </c>
      <c r="AA7" t="str">
        <f>IF(AND('Data Checks'!F217&gt;'Data Checks'!F216,'Data Checks'!F216&gt;'Data Checks'!F215,'Data Checks'!F215&gt;'Data Checks'!F214),"BUY",IF(AND('Data Checks'!F217&lt;'Data Checks'!F216,'Data Checks'!F216&lt;'Data Checks'!F215,'Data Checks'!F215&lt;'Data Checks'!F214),"SELL",""))</f>
        <v/>
      </c>
      <c r="AB7">
        <f>IF(W6="BUY",AB6*('Data Checks'!B217/'Data Checks'!B216),IF(W6="SELL",AB6*('Data Checks'!B216/'Data Checks'!B217),AB6))</f>
        <v>200</v>
      </c>
      <c r="AC7">
        <f>IF(X6="BUY",AC6*('Data Checks'!C217/'Data Checks'!C216),IF(X6="SELL",AC6*('Data Checks'!C216/'Data Checks'!C217),AC6))</f>
        <v>200</v>
      </c>
      <c r="AD7">
        <f>IF(Y6="BUY",AD6*('Data Checks'!D217/'Data Checks'!D216),IF(Y6="SELL",AD6*('Data Checks'!D216/'Data Checks'!D217),AD6))</f>
        <v>200</v>
      </c>
      <c r="AE7">
        <f>IF(Z6="BUY",AE6*('Data Checks'!E217/'Data Checks'!E216),IF(Z6="SELL",AE6*('Data Checks'!E216/'Data Checks'!E217),AE6))</f>
        <v>200</v>
      </c>
      <c r="AF7">
        <f>IF(AA6="BUY",AF6*('Data Checks'!F217/'Data Checks'!F216),IF(AA6="SELL",AF6*('Data Checks'!F216/'Data Checks'!F217),AF6))</f>
        <v>200</v>
      </c>
      <c r="AG7" s="16">
        <f t="shared" ref="AG7:AG70" si="11">SUM(AB7:AF7)</f>
        <v>1000</v>
      </c>
      <c r="AH7" s="17">
        <f>AG7/AG6-1</f>
        <v>0</v>
      </c>
      <c r="AJ7" t="str">
        <f>IF('Moving Ave'!G217&gt;'Moving Ave'!L217,"SELL","BUY")</f>
        <v>BUY</v>
      </c>
      <c r="AK7" t="str">
        <f>IF('Moving Ave'!H217&gt;'Moving Ave'!M217,"SELL","BUY")</f>
        <v>BUY</v>
      </c>
      <c r="AL7" t="str">
        <f>IF('Moving Ave'!I217&gt;'Moving Ave'!N217,"SELL","BUY")</f>
        <v>BUY</v>
      </c>
      <c r="AM7" t="str">
        <f>IF('Moving Ave'!J217&gt;'Moving Ave'!O217,"SELL","BUY")</f>
        <v>BUY</v>
      </c>
      <c r="AN7" t="str">
        <f>IF('Moving Ave'!K217&gt;'Moving Ave'!P217,"SELL","BUY")</f>
        <v>SELL</v>
      </c>
      <c r="AO7">
        <f>IF(AJ6="BUY",AO6*('Data Checks'!B217/'Data Checks'!B216),AO6*('Data Checks'!B216/'Data Checks'!B217))</f>
        <v>197.57218993802883</v>
      </c>
      <c r="AP7">
        <f>IF(AK6="BUY",AP6*('Data Checks'!C217/'Data Checks'!C216),AP6*('Data Checks'!C216/'Data Checks'!C217))</f>
        <v>196.9011886436675</v>
      </c>
      <c r="AQ7">
        <f>IF(AL6="BUY",AQ6*('Data Checks'!D217/'Data Checks'!D216),AQ6*('Data Checks'!D216/'Data Checks'!D217))</f>
        <v>196.49357482874561</v>
      </c>
      <c r="AR7">
        <f>IF(AM6="BUY",AR6*('Data Checks'!E217/'Data Checks'!E216),AR6*('Data Checks'!E216/'Data Checks'!E217))</f>
        <v>201.57347500590981</v>
      </c>
      <c r="AS7">
        <f>IF(AN6="BUY",AS6*('Data Checks'!F217/'Data Checks'!F216),AS6*('Data Checks'!F216/'Data Checks'!F217))</f>
        <v>202.60869275362316</v>
      </c>
      <c r="AT7" s="16">
        <f t="shared" ref="AT7:AT70" si="12">SUM(AO7:AS7)</f>
        <v>995.14912116997493</v>
      </c>
      <c r="AU7" s="17">
        <f>AT7/AT6-1</f>
        <v>-4.8508788300251071E-3</v>
      </c>
    </row>
    <row r="8" spans="1:47" x14ac:dyDescent="0.35">
      <c r="A8" s="2">
        <f>Prices!A216</f>
        <v>44202</v>
      </c>
      <c r="B8">
        <f>B7*('Data Checks'!B218/'Data Checks'!B217)</f>
        <v>200.51316852643996</v>
      </c>
      <c r="C8">
        <f>C7*('Data Checks'!C218/'Data Checks'!C217)</f>
        <v>196.24080254612147</v>
      </c>
      <c r="D8">
        <f>D7*('Data Checks'!D218/'Data Checks'!D217)</f>
        <v>195.19119043565186</v>
      </c>
      <c r="E8">
        <f>E7*('Data Checks'!E218/'Data Checks'!E217)</f>
        <v>204.08435540393862</v>
      </c>
      <c r="F8">
        <f>F7*('Data Checks'!F218/'Data Checks'!F217)</f>
        <v>199.0462565433418</v>
      </c>
      <c r="G8" s="16">
        <f t="shared" si="9"/>
        <v>995.07577345549362</v>
      </c>
      <c r="H8" s="17">
        <f t="shared" ref="H8:H71" si="13">G8/G7-1</f>
        <v>5.1622510276678746E-3</v>
      </c>
      <c r="J8" t="str">
        <f>IF(AND('Data Checks'!B218&gt;'Data Checks'!B217,'Data Checks'!B217&gt;'Data Checks'!B216,'Data Checks'!B216&gt;'Data Checks'!B215),"SELL",IF(AND('Data Checks'!B218&lt;'Data Checks'!B217,'Data Checks'!B217&lt;'Data Checks'!B216,'Data Checks'!B216&lt;'Data Checks'!B215),"BUY",""))</f>
        <v/>
      </c>
      <c r="K8" t="str">
        <f>IF(AND('Data Checks'!C218&gt;'Data Checks'!C217,'Data Checks'!C217&gt;'Data Checks'!C216,'Data Checks'!C216&gt;'Data Checks'!C215),"SELL",IF(AND('Data Checks'!C218&lt;'Data Checks'!C217,'Data Checks'!C217&lt;'Data Checks'!C216,'Data Checks'!C216&lt;'Data Checks'!C215),"BUY",""))</f>
        <v/>
      </c>
      <c r="L8" t="str">
        <f>IF(AND('Data Checks'!D218&gt;'Data Checks'!D217,'Data Checks'!D217&gt;'Data Checks'!D216,'Data Checks'!D216&gt;'Data Checks'!D215),"SELL",IF(AND('Data Checks'!D218&lt;'Data Checks'!D217,'Data Checks'!D217&lt;'Data Checks'!D216,'Data Checks'!D216&lt;'Data Checks'!D215),"BUY",""))</f>
        <v/>
      </c>
      <c r="M8" t="str">
        <f>IF(AND('Data Checks'!E218&gt;'Data Checks'!E217,'Data Checks'!E217&gt;'Data Checks'!E216,'Data Checks'!E216&gt;'Data Checks'!E215),"SELL",IF(AND('Data Checks'!E218&lt;'Data Checks'!E217,'Data Checks'!E217&lt;'Data Checks'!E216,'Data Checks'!E216&lt;'Data Checks'!E215),"BUY",""))</f>
        <v>SELL</v>
      </c>
      <c r="N8" t="str">
        <f>IF(AND('Data Checks'!F218&gt;'Data Checks'!F217,'Data Checks'!F217&gt;'Data Checks'!F216,'Data Checks'!F216&gt;'Data Checks'!F215),"SELL",IF(AND('Data Checks'!F218&lt;'Data Checks'!F217,'Data Checks'!F217&lt;'Data Checks'!F216,'Data Checks'!F216&lt;'Data Checks'!F215),"BUY",""))</f>
        <v/>
      </c>
      <c r="O8">
        <f>IF(J7="BUY",O7*('Data Checks'!B218/'Data Checks'!B217),IF(J7="SELL",O7*('Data Checks'!B217/'Data Checks'!B218),O7))</f>
        <v>200</v>
      </c>
      <c r="P8">
        <f>IF(K7="BUY",P7*('Data Checks'!C218/'Data Checks'!C217),IF(K7="SELL",P7*('Data Checks'!C217/'Data Checks'!C218),P7))</f>
        <v>200</v>
      </c>
      <c r="Q8">
        <f>IF(L7="BUY",Q7*('Data Checks'!D218/'Data Checks'!D217),IF(L7="SELL",Q7*('Data Checks'!D217/'Data Checks'!D218),Q7))</f>
        <v>200</v>
      </c>
      <c r="R8">
        <f>IF(M7="BUY",R7*('Data Checks'!E218/'Data Checks'!E217),IF(M7="SELL",R7*('Data Checks'!E217/'Data Checks'!E218),R7))</f>
        <v>197.53937003837549</v>
      </c>
      <c r="S8">
        <f>IF(N7="BUY",S7*('Data Checks'!F218/'Data Checks'!F217),IF(N7="SELL",S7*('Data Checks'!F217/'Data Checks'!F218),S7))</f>
        <v>200</v>
      </c>
      <c r="T8" s="16">
        <f t="shared" si="10"/>
        <v>997.53937003837552</v>
      </c>
      <c r="U8" s="17">
        <f t="shared" ref="U8:U71" si="14">T8/T7-1</f>
        <v>-2.4606299616244387E-3</v>
      </c>
      <c r="W8" t="str">
        <f>IF(AND('Data Checks'!B218&gt;'Data Checks'!B217,'Data Checks'!B217&gt;'Data Checks'!B216,'Data Checks'!B216&gt;'Data Checks'!B215),"BUY",IF(AND('Data Checks'!B218&lt;'Data Checks'!B217,'Data Checks'!B217&lt;'Data Checks'!B216,'Data Checks'!B216&lt;'Data Checks'!B215),"SELL",""))</f>
        <v/>
      </c>
      <c r="X8" t="str">
        <f>IF(AND('Data Checks'!C218&gt;'Data Checks'!C217,'Data Checks'!C217&gt;'Data Checks'!C216,'Data Checks'!C216&gt;'Data Checks'!C215),"BUY",IF(AND('Data Checks'!C218&lt;'Data Checks'!C217,'Data Checks'!C217&lt;'Data Checks'!C216,'Data Checks'!C216&lt;'Data Checks'!C215),"SELL",""))</f>
        <v/>
      </c>
      <c r="Y8" t="str">
        <f>IF(AND('Data Checks'!D218&gt;'Data Checks'!D217,'Data Checks'!D217&gt;'Data Checks'!D216,'Data Checks'!D216&gt;'Data Checks'!D215),"BUY",IF(AND('Data Checks'!D218&lt;'Data Checks'!D217,'Data Checks'!D217&lt;'Data Checks'!D216,'Data Checks'!D216&lt;'Data Checks'!D215),"SELL",""))</f>
        <v/>
      </c>
      <c r="Z8" t="str">
        <f>IF(AND('Data Checks'!E218&gt;'Data Checks'!E217,'Data Checks'!E217&gt;'Data Checks'!E216,'Data Checks'!E216&gt;'Data Checks'!E215),"BUY",IF(AND('Data Checks'!E218&lt;'Data Checks'!E217,'Data Checks'!E217&lt;'Data Checks'!E216,'Data Checks'!E216&lt;'Data Checks'!E215),"SELL",""))</f>
        <v>BUY</v>
      </c>
      <c r="AA8" t="str">
        <f>IF(AND('Data Checks'!F218&gt;'Data Checks'!F217,'Data Checks'!F217&gt;'Data Checks'!F216,'Data Checks'!F216&gt;'Data Checks'!F215),"BUY",IF(AND('Data Checks'!F218&lt;'Data Checks'!F217,'Data Checks'!F217&lt;'Data Checks'!F216,'Data Checks'!F216&lt;'Data Checks'!F215),"SELL",""))</f>
        <v/>
      </c>
      <c r="AB8">
        <f>IF(W7="BUY",AB7*('Data Checks'!B218/'Data Checks'!B217),IF(W7="SELL",AB7*('Data Checks'!B217/'Data Checks'!B218),AB7))</f>
        <v>200</v>
      </c>
      <c r="AC8">
        <f>IF(X7="BUY",AC7*('Data Checks'!C218/'Data Checks'!C217),IF(X7="SELL",AC7*('Data Checks'!C217/'Data Checks'!C218),AC7))</f>
        <v>200</v>
      </c>
      <c r="AD8">
        <f>IF(Y7="BUY",AD7*('Data Checks'!D218/'Data Checks'!D217),IF(Y7="SELL",AD7*('Data Checks'!D217/'Data Checks'!D218),AD7))</f>
        <v>200</v>
      </c>
      <c r="AE8">
        <f>IF(Z7="BUY",AE7*('Data Checks'!E218/'Data Checks'!E217),IF(Z7="SELL",AE7*('Data Checks'!E217/'Data Checks'!E218),AE7))</f>
        <v>202.49128055956288</v>
      </c>
      <c r="AF8">
        <f>IF(AA7="BUY",AF7*('Data Checks'!F218/'Data Checks'!F217),IF(AA7="SELL",AF7*('Data Checks'!F217/'Data Checks'!F218),AF7))</f>
        <v>200</v>
      </c>
      <c r="AG8" s="16">
        <f t="shared" si="11"/>
        <v>1002.4912805595629</v>
      </c>
      <c r="AH8" s="17">
        <f t="shared" ref="AH8:AH71" si="15">AG8/AG7-1</f>
        <v>2.4912805595629361E-3</v>
      </c>
      <c r="AJ8" t="str">
        <f>IF('Moving Ave'!G218&gt;'Moving Ave'!L218,"SELL","BUY")</f>
        <v>BUY</v>
      </c>
      <c r="AK8" t="str">
        <f>IF('Moving Ave'!H218&gt;'Moving Ave'!M218,"SELL","BUY")</f>
        <v>BUY</v>
      </c>
      <c r="AL8" t="str">
        <f>IF('Moving Ave'!I218&gt;'Moving Ave'!N218,"SELL","BUY")</f>
        <v>BUY</v>
      </c>
      <c r="AM8" t="str">
        <f>IF('Moving Ave'!J218&gt;'Moving Ave'!O218,"SELL","BUY")</f>
        <v>BUY</v>
      </c>
      <c r="AN8" t="str">
        <f>IF('Moving Ave'!K218&gt;'Moving Ave'!P218,"SELL","BUY")</f>
        <v>SELL</v>
      </c>
      <c r="AO8">
        <f>IF(AJ7="BUY",AO7*('Data Checks'!B218/'Data Checks'!B217),AO7*('Data Checks'!B217/'Data Checks'!B218))</f>
        <v>200.51316852643996</v>
      </c>
      <c r="AP8">
        <f>IF(AK7="BUY",AP7*('Data Checks'!C218/'Data Checks'!C217),AP7*('Data Checks'!C217/'Data Checks'!C218))</f>
        <v>196.24080254612147</v>
      </c>
      <c r="AQ8">
        <f>IF(AL7="BUY",AQ7*('Data Checks'!D218/'Data Checks'!D217),AQ7*('Data Checks'!D217/'Data Checks'!D218))</f>
        <v>195.19119043565186</v>
      </c>
      <c r="AR8">
        <f>IF(AM7="BUY",AR7*('Data Checks'!E218/'Data Checks'!E217),AR7*('Data Checks'!E217/'Data Checks'!E218))</f>
        <v>204.08435540393862</v>
      </c>
      <c r="AS8">
        <f>IF(AN7="BUY",AS7*('Data Checks'!F218/'Data Checks'!F217),AS7*('Data Checks'!F217/'Data Checks'!F218))</f>
        <v>200.95831338224693</v>
      </c>
      <c r="AT8" s="16">
        <f t="shared" si="12"/>
        <v>996.9878302943988</v>
      </c>
      <c r="AU8" s="17">
        <f t="shared" ref="AU8:AU71" si="16">AT8/AT7-1</f>
        <v>1.8476719572058098E-3</v>
      </c>
    </row>
    <row r="9" spans="1:47" x14ac:dyDescent="0.35">
      <c r="A9" s="2">
        <f>Prices!A217</f>
        <v>44203</v>
      </c>
      <c r="B9">
        <f>B8*('Data Checks'!B219/'Data Checks'!B218)</f>
        <v>200.9325530374837</v>
      </c>
      <c r="C9">
        <f>C8*('Data Checks'!C219/'Data Checks'!C218)</f>
        <v>194.76759448228589</v>
      </c>
      <c r="D9">
        <f>D8*('Data Checks'!D219/'Data Checks'!D218)</f>
        <v>194.99081641327126</v>
      </c>
      <c r="E9">
        <f>E8*('Data Checks'!E219/'Data Checks'!E218)</f>
        <v>202.20957475026538</v>
      </c>
      <c r="F9">
        <f>F8*('Data Checks'!F219/'Data Checks'!F218)</f>
        <v>198.42632901897471</v>
      </c>
      <c r="G9" s="16">
        <f t="shared" si="9"/>
        <v>991.32686770228088</v>
      </c>
      <c r="H9" s="17">
        <f t="shared" si="13"/>
        <v>-3.7674575677733024E-3</v>
      </c>
      <c r="J9" t="str">
        <f>IF(AND('Data Checks'!B219&gt;'Data Checks'!B218,'Data Checks'!B218&gt;'Data Checks'!B217,'Data Checks'!B217&gt;'Data Checks'!B216),"SELL",IF(AND('Data Checks'!B219&lt;'Data Checks'!B218,'Data Checks'!B218&lt;'Data Checks'!B217,'Data Checks'!B217&lt;'Data Checks'!B216),"BUY",""))</f>
        <v/>
      </c>
      <c r="K9" t="str">
        <f>IF(AND('Data Checks'!C219&gt;'Data Checks'!C218,'Data Checks'!C218&gt;'Data Checks'!C217,'Data Checks'!C217&gt;'Data Checks'!C216),"SELL",IF(AND('Data Checks'!C219&lt;'Data Checks'!C218,'Data Checks'!C218&lt;'Data Checks'!C217,'Data Checks'!C217&lt;'Data Checks'!C216),"BUY",""))</f>
        <v>BUY</v>
      </c>
      <c r="L9" t="str">
        <f>IF(AND('Data Checks'!D219&gt;'Data Checks'!D218,'Data Checks'!D218&gt;'Data Checks'!D217,'Data Checks'!D217&gt;'Data Checks'!D216),"SELL",IF(AND('Data Checks'!D219&lt;'Data Checks'!D218,'Data Checks'!D218&lt;'Data Checks'!D217,'Data Checks'!D217&lt;'Data Checks'!D216),"BUY",""))</f>
        <v>BUY</v>
      </c>
      <c r="M9" t="str">
        <f>IF(AND('Data Checks'!E219&gt;'Data Checks'!E218,'Data Checks'!E218&gt;'Data Checks'!E217,'Data Checks'!E217&gt;'Data Checks'!E216),"SELL",IF(AND('Data Checks'!E219&lt;'Data Checks'!E218,'Data Checks'!E218&lt;'Data Checks'!E217,'Data Checks'!E217&lt;'Data Checks'!E216),"BUY",""))</f>
        <v/>
      </c>
      <c r="N9" t="str">
        <f>IF(AND('Data Checks'!F219&gt;'Data Checks'!F218,'Data Checks'!F218&gt;'Data Checks'!F217,'Data Checks'!F217&gt;'Data Checks'!F216),"SELL",IF(AND('Data Checks'!F219&lt;'Data Checks'!F218,'Data Checks'!F218&lt;'Data Checks'!F217,'Data Checks'!F217&lt;'Data Checks'!F216),"BUY",""))</f>
        <v/>
      </c>
      <c r="O9">
        <f>IF(J8="BUY",O8*('Data Checks'!B219/'Data Checks'!B218),IF(J8="SELL",O8*('Data Checks'!B218/'Data Checks'!B219),O8))</f>
        <v>200</v>
      </c>
      <c r="P9">
        <f>IF(K8="BUY",P8*('Data Checks'!C219/'Data Checks'!C218),IF(K8="SELL",P8*('Data Checks'!C218/'Data Checks'!C219),P8))</f>
        <v>200</v>
      </c>
      <c r="Q9">
        <f>IF(L8="BUY",Q8*('Data Checks'!D219/'Data Checks'!D218),IF(L8="SELL",Q8*('Data Checks'!D218/'Data Checks'!D219),Q8))</f>
        <v>200</v>
      </c>
      <c r="R9">
        <f>IF(M8="BUY",R8*('Data Checks'!E219/'Data Checks'!E218),IF(M8="SELL",R8*('Data Checks'!E218/'Data Checks'!E219),R8))</f>
        <v>199.37085101421022</v>
      </c>
      <c r="S9">
        <f>IF(N8="BUY",S8*('Data Checks'!F219/'Data Checks'!F218),IF(N8="SELL",S8*('Data Checks'!F218/'Data Checks'!F219),S8))</f>
        <v>200</v>
      </c>
      <c r="T9" s="16">
        <f t="shared" si="10"/>
        <v>999.37085101421019</v>
      </c>
      <c r="U9" s="17">
        <f t="shared" si="14"/>
        <v>1.8359986892189095E-3</v>
      </c>
      <c r="W9" t="str">
        <f>IF(AND('Data Checks'!B219&gt;'Data Checks'!B218,'Data Checks'!B218&gt;'Data Checks'!B217,'Data Checks'!B217&gt;'Data Checks'!B216),"BUY",IF(AND('Data Checks'!B219&lt;'Data Checks'!B218,'Data Checks'!B218&lt;'Data Checks'!B217,'Data Checks'!B217&lt;'Data Checks'!B216),"SELL",""))</f>
        <v/>
      </c>
      <c r="X9" t="str">
        <f>IF(AND('Data Checks'!C219&gt;'Data Checks'!C218,'Data Checks'!C218&gt;'Data Checks'!C217,'Data Checks'!C217&gt;'Data Checks'!C216),"BUY",IF(AND('Data Checks'!C219&lt;'Data Checks'!C218,'Data Checks'!C218&lt;'Data Checks'!C217,'Data Checks'!C217&lt;'Data Checks'!C216),"SELL",""))</f>
        <v>SELL</v>
      </c>
      <c r="Y9" t="str">
        <f>IF(AND('Data Checks'!D219&gt;'Data Checks'!D218,'Data Checks'!D218&gt;'Data Checks'!D217,'Data Checks'!D217&gt;'Data Checks'!D216),"BUY",IF(AND('Data Checks'!D219&lt;'Data Checks'!D218,'Data Checks'!D218&lt;'Data Checks'!D217,'Data Checks'!D217&lt;'Data Checks'!D216),"SELL",""))</f>
        <v>SELL</v>
      </c>
      <c r="Z9" t="str">
        <f>IF(AND('Data Checks'!E219&gt;'Data Checks'!E218,'Data Checks'!E218&gt;'Data Checks'!E217,'Data Checks'!E217&gt;'Data Checks'!E216),"BUY",IF(AND('Data Checks'!E219&lt;'Data Checks'!E218,'Data Checks'!E218&lt;'Data Checks'!E217,'Data Checks'!E217&lt;'Data Checks'!E216),"SELL",""))</f>
        <v/>
      </c>
      <c r="AA9" t="str">
        <f>IF(AND('Data Checks'!F219&gt;'Data Checks'!F218,'Data Checks'!F218&gt;'Data Checks'!F217,'Data Checks'!F217&gt;'Data Checks'!F216),"BUY",IF(AND('Data Checks'!F219&lt;'Data Checks'!F218,'Data Checks'!F218&lt;'Data Checks'!F217,'Data Checks'!F217&lt;'Data Checks'!F216),"SELL",""))</f>
        <v/>
      </c>
      <c r="AB9">
        <f>IF(W8="BUY",AB8*('Data Checks'!B219/'Data Checks'!B218),IF(W8="SELL",AB8*('Data Checks'!B218/'Data Checks'!B219),AB8))</f>
        <v>200</v>
      </c>
      <c r="AC9">
        <f>IF(X8="BUY",AC8*('Data Checks'!C219/'Data Checks'!C218),IF(X8="SELL",AC8*('Data Checks'!C218/'Data Checks'!C219),AC8))</f>
        <v>200</v>
      </c>
      <c r="AD9">
        <f>IF(Y8="BUY",AD8*('Data Checks'!D219/'Data Checks'!D218),IF(Y8="SELL",AD8*('Data Checks'!D218/'Data Checks'!D219),AD8))</f>
        <v>200</v>
      </c>
      <c r="AE9">
        <f>IF(Z8="BUY",AE8*('Data Checks'!E219/'Data Checks'!E218),IF(Z8="SELL",AE8*('Data Checks'!E218/'Data Checks'!E219),AE8))</f>
        <v>200.63113437354482</v>
      </c>
      <c r="AF9">
        <f>IF(AA8="BUY",AF8*('Data Checks'!F219/'Data Checks'!F218),IF(AA8="SELL",AF8*('Data Checks'!F218/'Data Checks'!F219),AF8))</f>
        <v>200</v>
      </c>
      <c r="AG9" s="16">
        <f t="shared" si="11"/>
        <v>1000.6311343735448</v>
      </c>
      <c r="AH9" s="17">
        <f t="shared" si="15"/>
        <v>-1.8555235562546235E-3</v>
      </c>
      <c r="AJ9" t="str">
        <f>IF('Moving Ave'!G219&gt;'Moving Ave'!L219,"SELL","BUY")</f>
        <v>BUY</v>
      </c>
      <c r="AK9" t="str">
        <f>IF('Moving Ave'!H219&gt;'Moving Ave'!M219,"SELL","BUY")</f>
        <v>BUY</v>
      </c>
      <c r="AL9" t="str">
        <f>IF('Moving Ave'!I219&gt;'Moving Ave'!N219,"SELL","BUY")</f>
        <v>BUY</v>
      </c>
      <c r="AM9" t="str">
        <f>IF('Moving Ave'!J219&gt;'Moving Ave'!O219,"SELL","BUY")</f>
        <v>BUY</v>
      </c>
      <c r="AN9" t="str">
        <f>IF('Moving Ave'!K219&gt;'Moving Ave'!P219,"SELL","BUY")</f>
        <v>SELL</v>
      </c>
      <c r="AO9">
        <f>IF(AJ8="BUY",AO8*('Data Checks'!B219/'Data Checks'!B218),AO8*('Data Checks'!B218/'Data Checks'!B219))</f>
        <v>200.9325530374837</v>
      </c>
      <c r="AP9">
        <f>IF(AK8="BUY",AP8*('Data Checks'!C219/'Data Checks'!C218),AP8*('Data Checks'!C218/'Data Checks'!C219))</f>
        <v>194.76759448228589</v>
      </c>
      <c r="AQ9">
        <f>IF(AL8="BUY",AQ8*('Data Checks'!D219/'Data Checks'!D218),AQ8*('Data Checks'!D218/'Data Checks'!D219))</f>
        <v>194.99081641327126</v>
      </c>
      <c r="AR9">
        <f>IF(AM8="BUY",AR8*('Data Checks'!E219/'Data Checks'!E218),AR8*('Data Checks'!E218/'Data Checks'!E219))</f>
        <v>202.20957475026538</v>
      </c>
      <c r="AS9">
        <f>IF(AN8="BUY",AS8*('Data Checks'!F219/'Data Checks'!F218),AS8*('Data Checks'!F218/'Data Checks'!F219))</f>
        <v>201.58615138304032</v>
      </c>
      <c r="AT9" s="16">
        <f t="shared" si="12"/>
        <v>994.48669006634645</v>
      </c>
      <c r="AU9" s="17">
        <f t="shared" si="16"/>
        <v>-2.5086968487005867E-3</v>
      </c>
    </row>
    <row r="10" spans="1:47" x14ac:dyDescent="0.35">
      <c r="A10" s="2">
        <f>Prices!A218</f>
        <v>44204</v>
      </c>
      <c r="B10">
        <f>B9*('Data Checks'!B220/'Data Checks'!B219)</f>
        <v>199.36353981610452</v>
      </c>
      <c r="C10">
        <f>C9*('Data Checks'!C220/'Data Checks'!C219)</f>
        <v>194.31039355627112</v>
      </c>
      <c r="D10">
        <f>D9*('Data Checks'!D220/'Data Checks'!D219)</f>
        <v>196.69394885112618</v>
      </c>
      <c r="E10">
        <f>E9*('Data Checks'!E220/'Data Checks'!E219)</f>
        <v>199.8325979299432</v>
      </c>
      <c r="F10">
        <f>F9*('Data Checks'!F220/'Data Checks'!F219)</f>
        <v>199.18932664553168</v>
      </c>
      <c r="G10" s="16">
        <f t="shared" si="9"/>
        <v>989.38980679897668</v>
      </c>
      <c r="H10" s="17">
        <f t="shared" si="13"/>
        <v>-1.9540082755892252E-3</v>
      </c>
      <c r="J10" t="str">
        <f>IF(AND('Data Checks'!B220&gt;'Data Checks'!B219,'Data Checks'!B219&gt;'Data Checks'!B218,'Data Checks'!B218&gt;'Data Checks'!B217),"SELL",IF(AND('Data Checks'!B220&lt;'Data Checks'!B219,'Data Checks'!B219&lt;'Data Checks'!B218,'Data Checks'!B218&lt;'Data Checks'!B217),"BUY",""))</f>
        <v/>
      </c>
      <c r="K10" t="str">
        <f>IF(AND('Data Checks'!C220&gt;'Data Checks'!C219,'Data Checks'!C219&gt;'Data Checks'!C218,'Data Checks'!C218&gt;'Data Checks'!C217),"SELL",IF(AND('Data Checks'!C220&lt;'Data Checks'!C219,'Data Checks'!C219&lt;'Data Checks'!C218,'Data Checks'!C218&lt;'Data Checks'!C217),"BUY",""))</f>
        <v>BUY</v>
      </c>
      <c r="L10" t="str">
        <f>IF(AND('Data Checks'!D220&gt;'Data Checks'!D219,'Data Checks'!D219&gt;'Data Checks'!D218,'Data Checks'!D218&gt;'Data Checks'!D217),"SELL",IF(AND('Data Checks'!D220&lt;'Data Checks'!D219,'Data Checks'!D219&lt;'Data Checks'!D218,'Data Checks'!D218&lt;'Data Checks'!D217),"BUY",""))</f>
        <v/>
      </c>
      <c r="M10" t="str">
        <f>IF(AND('Data Checks'!E220&gt;'Data Checks'!E219,'Data Checks'!E219&gt;'Data Checks'!E218,'Data Checks'!E218&gt;'Data Checks'!E217),"SELL",IF(AND('Data Checks'!E220&lt;'Data Checks'!E219,'Data Checks'!E219&lt;'Data Checks'!E218,'Data Checks'!E218&lt;'Data Checks'!E217),"BUY",""))</f>
        <v/>
      </c>
      <c r="N10" t="str">
        <f>IF(AND('Data Checks'!F220&gt;'Data Checks'!F219,'Data Checks'!F219&gt;'Data Checks'!F218,'Data Checks'!F218&gt;'Data Checks'!F217),"SELL",IF(AND('Data Checks'!F220&lt;'Data Checks'!F219,'Data Checks'!F219&lt;'Data Checks'!F218,'Data Checks'!F218&lt;'Data Checks'!F217),"BUY",""))</f>
        <v/>
      </c>
      <c r="O10">
        <f>IF(J9="BUY",O9*('Data Checks'!B220/'Data Checks'!B219),IF(J9="SELL",O9*('Data Checks'!B219/'Data Checks'!B220),O9))</f>
        <v>200</v>
      </c>
      <c r="P10">
        <f>IF(K9="BUY",P9*('Data Checks'!C220/'Data Checks'!C219),IF(K9="SELL",P9*('Data Checks'!C219/'Data Checks'!C220),P9))</f>
        <v>199.53051643192487</v>
      </c>
      <c r="Q10">
        <f>IF(L9="BUY",Q9*('Data Checks'!D220/'Data Checks'!D219),IF(L9="SELL",Q9*('Data Checks'!D219/'Data Checks'!D220),Q9))</f>
        <v>201.74688477045527</v>
      </c>
      <c r="R10">
        <f>IF(M9="BUY",R9*('Data Checks'!E220/'Data Checks'!E219),IF(M9="SELL",R9*('Data Checks'!E219/'Data Checks'!E220),R9))</f>
        <v>199.37085101421022</v>
      </c>
      <c r="S10">
        <f>IF(N9="BUY",S9*('Data Checks'!F220/'Data Checks'!F219),IF(N9="SELL",S9*('Data Checks'!F219/'Data Checks'!F220),S9))</f>
        <v>200</v>
      </c>
      <c r="T10" s="16">
        <f t="shared" si="10"/>
        <v>1000.6482522165903</v>
      </c>
      <c r="U10" s="17">
        <f t="shared" si="14"/>
        <v>1.2782053840010299E-3</v>
      </c>
      <c r="W10" t="str">
        <f>IF(AND('Data Checks'!B220&gt;'Data Checks'!B219,'Data Checks'!B219&gt;'Data Checks'!B218,'Data Checks'!B218&gt;'Data Checks'!B217),"BUY",IF(AND('Data Checks'!B220&lt;'Data Checks'!B219,'Data Checks'!B219&lt;'Data Checks'!B218,'Data Checks'!B218&lt;'Data Checks'!B217),"SELL",""))</f>
        <v/>
      </c>
      <c r="X10" t="str">
        <f>IF(AND('Data Checks'!C220&gt;'Data Checks'!C219,'Data Checks'!C219&gt;'Data Checks'!C218,'Data Checks'!C218&gt;'Data Checks'!C217),"BUY",IF(AND('Data Checks'!C220&lt;'Data Checks'!C219,'Data Checks'!C219&lt;'Data Checks'!C218,'Data Checks'!C218&lt;'Data Checks'!C217),"SELL",""))</f>
        <v>SELL</v>
      </c>
      <c r="Y10" t="str">
        <f>IF(AND('Data Checks'!D220&gt;'Data Checks'!D219,'Data Checks'!D219&gt;'Data Checks'!D218,'Data Checks'!D218&gt;'Data Checks'!D217),"BUY",IF(AND('Data Checks'!D220&lt;'Data Checks'!D219,'Data Checks'!D219&lt;'Data Checks'!D218,'Data Checks'!D218&lt;'Data Checks'!D217),"SELL",""))</f>
        <v/>
      </c>
      <c r="Z10" t="str">
        <f>IF(AND('Data Checks'!E220&gt;'Data Checks'!E219,'Data Checks'!E219&gt;'Data Checks'!E218,'Data Checks'!E218&gt;'Data Checks'!E217),"BUY",IF(AND('Data Checks'!E220&lt;'Data Checks'!E219,'Data Checks'!E219&lt;'Data Checks'!E218,'Data Checks'!E218&lt;'Data Checks'!E217),"SELL",""))</f>
        <v/>
      </c>
      <c r="AA10" t="str">
        <f>IF(AND('Data Checks'!F220&gt;'Data Checks'!F219,'Data Checks'!F219&gt;'Data Checks'!F218,'Data Checks'!F218&gt;'Data Checks'!F217),"BUY",IF(AND('Data Checks'!F220&lt;'Data Checks'!F219,'Data Checks'!F219&lt;'Data Checks'!F218,'Data Checks'!F218&lt;'Data Checks'!F217),"SELL",""))</f>
        <v/>
      </c>
      <c r="AB10">
        <f>IF(W9="BUY",AB9*('Data Checks'!B220/'Data Checks'!B219),IF(W9="SELL",AB9*('Data Checks'!B219/'Data Checks'!B220),AB9))</f>
        <v>200</v>
      </c>
      <c r="AC10">
        <f>IF(X9="BUY",AC9*('Data Checks'!C220/'Data Checks'!C219),IF(X9="SELL",AC9*('Data Checks'!C219/'Data Checks'!C220),AC9))</f>
        <v>200.47058823529414</v>
      </c>
      <c r="AD10">
        <f>IF(Y9="BUY",AD9*('Data Checks'!D220/'Data Checks'!D219),IF(Y9="SELL",AD9*('Data Checks'!D219/'Data Checks'!D220),AD9))</f>
        <v>198.26824114539082</v>
      </c>
      <c r="AE10">
        <f>IF(Z9="BUY",AE9*('Data Checks'!E220/'Data Checks'!E219),IF(Z9="SELL",AE9*('Data Checks'!E219/'Data Checks'!E220),AE9))</f>
        <v>200.63113437354482</v>
      </c>
      <c r="AF10">
        <f>IF(AA9="BUY",AF9*('Data Checks'!F220/'Data Checks'!F219),IF(AA9="SELL",AF9*('Data Checks'!F219/'Data Checks'!F220),AF9))</f>
        <v>200</v>
      </c>
      <c r="AG10" s="16">
        <f t="shared" si="11"/>
        <v>999.36996375422973</v>
      </c>
      <c r="AH10" s="17">
        <f t="shared" si="15"/>
        <v>-1.260375153232296E-3</v>
      </c>
      <c r="AJ10" t="str">
        <f>IF('Moving Ave'!G220&gt;'Moving Ave'!L220,"SELL","BUY")</f>
        <v>BUY</v>
      </c>
      <c r="AK10" t="str">
        <f>IF('Moving Ave'!H220&gt;'Moving Ave'!M220,"SELL","BUY")</f>
        <v>BUY</v>
      </c>
      <c r="AL10" t="str">
        <f>IF('Moving Ave'!I220&gt;'Moving Ave'!N220,"SELL","BUY")</f>
        <v>BUY</v>
      </c>
      <c r="AM10" t="str">
        <f>IF('Moving Ave'!J220&gt;'Moving Ave'!O220,"SELL","BUY")</f>
        <v>BUY</v>
      </c>
      <c r="AN10" t="str">
        <f>IF('Moving Ave'!K220&gt;'Moving Ave'!P220,"SELL","BUY")</f>
        <v>SELL</v>
      </c>
      <c r="AO10">
        <f>IF(AJ9="BUY",AO9*('Data Checks'!B220/'Data Checks'!B219),AO9*('Data Checks'!B219/'Data Checks'!B220))</f>
        <v>199.36353981610452</v>
      </c>
      <c r="AP10">
        <f>IF(AK9="BUY",AP9*('Data Checks'!C220/'Data Checks'!C219),AP9*('Data Checks'!C219/'Data Checks'!C220))</f>
        <v>194.31039355627112</v>
      </c>
      <c r="AQ10">
        <f>IF(AL9="BUY",AQ9*('Data Checks'!D220/'Data Checks'!D219),AQ9*('Data Checks'!D219/'Data Checks'!D220))</f>
        <v>196.69394885112618</v>
      </c>
      <c r="AR10">
        <f>IF(AM9="BUY",AR9*('Data Checks'!E220/'Data Checks'!E219),AR9*('Data Checks'!E219/'Data Checks'!E220))</f>
        <v>199.8325979299432</v>
      </c>
      <c r="AS10">
        <f>IF(AN9="BUY",AS9*('Data Checks'!F220/'Data Checks'!F219),AS9*('Data Checks'!F219/'Data Checks'!F220))</f>
        <v>200.81397268430047</v>
      </c>
      <c r="AT10" s="16">
        <f t="shared" si="12"/>
        <v>991.01445283774547</v>
      </c>
      <c r="AU10" s="17">
        <f t="shared" si="16"/>
        <v>-3.4914868778880281E-3</v>
      </c>
    </row>
    <row r="11" spans="1:47" x14ac:dyDescent="0.35">
      <c r="A11" s="2">
        <f>Prices!A219</f>
        <v>44205</v>
      </c>
      <c r="B11">
        <f>B10*('Data Checks'!B221/'Data Checks'!B220)</f>
        <v>200.32033961717619</v>
      </c>
      <c r="C11">
        <f>C10*('Data Checks'!C221/'Data Checks'!C220)</f>
        <v>195.58039612853432</v>
      </c>
      <c r="D11">
        <f>D10*('Data Checks'!D221/'Data Checks'!D220)</f>
        <v>194.65687751973411</v>
      </c>
      <c r="E11">
        <f>E10*('Data Checks'!E221/'Data Checks'!E220)</f>
        <v>199.79912287247669</v>
      </c>
      <c r="F11">
        <f>F10*('Data Checks'!F221/'Data Checks'!F220)</f>
        <v>196.85264373179754</v>
      </c>
      <c r="G11" s="16">
        <f t="shared" si="9"/>
        <v>987.20937986971887</v>
      </c>
      <c r="H11" s="17">
        <f t="shared" si="13"/>
        <v>-2.2038097767675957E-3</v>
      </c>
      <c r="J11" t="str">
        <f>IF(AND('Data Checks'!B221&gt;'Data Checks'!B220,'Data Checks'!B220&gt;'Data Checks'!B219,'Data Checks'!B219&gt;'Data Checks'!B218),"SELL",IF(AND('Data Checks'!B221&lt;'Data Checks'!B220,'Data Checks'!B220&lt;'Data Checks'!B219,'Data Checks'!B219&lt;'Data Checks'!B218),"BUY",""))</f>
        <v/>
      </c>
      <c r="K11" t="str">
        <f>IF(AND('Data Checks'!C221&gt;'Data Checks'!C220,'Data Checks'!C220&gt;'Data Checks'!C219,'Data Checks'!C219&gt;'Data Checks'!C218),"SELL",IF(AND('Data Checks'!C221&lt;'Data Checks'!C220,'Data Checks'!C220&lt;'Data Checks'!C219,'Data Checks'!C219&lt;'Data Checks'!C218),"BUY",""))</f>
        <v/>
      </c>
      <c r="L11" t="str">
        <f>IF(AND('Data Checks'!D221&gt;'Data Checks'!D220,'Data Checks'!D220&gt;'Data Checks'!D219,'Data Checks'!D219&gt;'Data Checks'!D218),"SELL",IF(AND('Data Checks'!D221&lt;'Data Checks'!D220,'Data Checks'!D220&lt;'Data Checks'!D219,'Data Checks'!D219&lt;'Data Checks'!D218),"BUY",""))</f>
        <v/>
      </c>
      <c r="M11" t="str">
        <f>IF(AND('Data Checks'!E221&gt;'Data Checks'!E220,'Data Checks'!E220&gt;'Data Checks'!E219,'Data Checks'!E219&gt;'Data Checks'!E218),"SELL",IF(AND('Data Checks'!E221&lt;'Data Checks'!E220,'Data Checks'!E220&lt;'Data Checks'!E219,'Data Checks'!E219&lt;'Data Checks'!E218),"BUY",""))</f>
        <v>BUY</v>
      </c>
      <c r="N11" t="str">
        <f>IF(AND('Data Checks'!F221&gt;'Data Checks'!F220,'Data Checks'!F220&gt;'Data Checks'!F219,'Data Checks'!F219&gt;'Data Checks'!F218),"SELL",IF(AND('Data Checks'!F221&lt;'Data Checks'!F220,'Data Checks'!F220&lt;'Data Checks'!F219,'Data Checks'!F219&lt;'Data Checks'!F218),"BUY",""))</f>
        <v/>
      </c>
      <c r="O11">
        <f>IF(J10="BUY",O10*('Data Checks'!B221/'Data Checks'!B220),IF(J10="SELL",O10*('Data Checks'!B220/'Data Checks'!B221),O10))</f>
        <v>200</v>
      </c>
      <c r="P11">
        <f>IF(K10="BUY",P10*('Data Checks'!C221/'Data Checks'!C220),IF(K10="SELL",P10*('Data Checks'!C220/'Data Checks'!C221),P10))</f>
        <v>200.83463745435574</v>
      </c>
      <c r="Q11">
        <f>IF(L10="BUY",Q10*('Data Checks'!D221/'Data Checks'!D220),IF(L10="SELL",Q10*('Data Checks'!D220/'Data Checks'!D221),Q10))</f>
        <v>201.74688477045527</v>
      </c>
      <c r="R11">
        <f>IF(M10="BUY",R10*('Data Checks'!E221/'Data Checks'!E220),IF(M10="SELL",R10*('Data Checks'!E220/'Data Checks'!E221),R10))</f>
        <v>199.37085101421022</v>
      </c>
      <c r="S11">
        <f>IF(N10="BUY",S10*('Data Checks'!F221/'Data Checks'!F220),IF(N10="SELL",S10*('Data Checks'!F220/'Data Checks'!F221),S10))</f>
        <v>200</v>
      </c>
      <c r="T11" s="16">
        <f t="shared" si="10"/>
        <v>1001.9523732390212</v>
      </c>
      <c r="U11" s="17">
        <f t="shared" si="14"/>
        <v>1.3032761707643115E-3</v>
      </c>
      <c r="W11" t="str">
        <f>IF(AND('Data Checks'!B221&gt;'Data Checks'!B220,'Data Checks'!B220&gt;'Data Checks'!B219,'Data Checks'!B219&gt;'Data Checks'!B218),"BUY",IF(AND('Data Checks'!B221&lt;'Data Checks'!B220,'Data Checks'!B220&lt;'Data Checks'!B219,'Data Checks'!B219&lt;'Data Checks'!B218),"SELL",""))</f>
        <v/>
      </c>
      <c r="X11" t="str">
        <f>IF(AND('Data Checks'!C221&gt;'Data Checks'!C220,'Data Checks'!C220&gt;'Data Checks'!C219,'Data Checks'!C219&gt;'Data Checks'!C218),"BUY",IF(AND('Data Checks'!C221&lt;'Data Checks'!C220,'Data Checks'!C220&lt;'Data Checks'!C219,'Data Checks'!C219&lt;'Data Checks'!C218),"SELL",""))</f>
        <v/>
      </c>
      <c r="Y11" t="str">
        <f>IF(AND('Data Checks'!D221&gt;'Data Checks'!D220,'Data Checks'!D220&gt;'Data Checks'!D219,'Data Checks'!D219&gt;'Data Checks'!D218),"BUY",IF(AND('Data Checks'!D221&lt;'Data Checks'!D220,'Data Checks'!D220&lt;'Data Checks'!D219,'Data Checks'!D219&lt;'Data Checks'!D218),"SELL",""))</f>
        <v/>
      </c>
      <c r="Z11" t="str">
        <f>IF(AND('Data Checks'!E221&gt;'Data Checks'!E220,'Data Checks'!E220&gt;'Data Checks'!E219,'Data Checks'!E219&gt;'Data Checks'!E218),"BUY",IF(AND('Data Checks'!E221&lt;'Data Checks'!E220,'Data Checks'!E220&lt;'Data Checks'!E219,'Data Checks'!E219&lt;'Data Checks'!E218),"SELL",""))</f>
        <v>SELL</v>
      </c>
      <c r="AA11" t="str">
        <f>IF(AND('Data Checks'!F221&gt;'Data Checks'!F220,'Data Checks'!F220&gt;'Data Checks'!F219,'Data Checks'!F219&gt;'Data Checks'!F218),"BUY",IF(AND('Data Checks'!F221&lt;'Data Checks'!F220,'Data Checks'!F220&lt;'Data Checks'!F219,'Data Checks'!F219&lt;'Data Checks'!F218),"SELL",""))</f>
        <v/>
      </c>
      <c r="AB11">
        <f>IF(W10="BUY",AB10*('Data Checks'!B221/'Data Checks'!B220),IF(W10="SELL",AB10*('Data Checks'!B220/'Data Checks'!B221),AB10))</f>
        <v>200</v>
      </c>
      <c r="AC11">
        <f>IF(X10="BUY",AC10*('Data Checks'!C221/'Data Checks'!C220),IF(X10="SELL",AC10*('Data Checks'!C220/'Data Checks'!C221),AC10))</f>
        <v>199.16883116883122</v>
      </c>
      <c r="AD11">
        <f>IF(Y10="BUY",AD10*('Data Checks'!D221/'Data Checks'!D220),IF(Y10="SELL",AD10*('Data Checks'!D220/'Data Checks'!D221),AD10))</f>
        <v>198.26824114539082</v>
      </c>
      <c r="AE11">
        <f>IF(Z10="BUY",AE10*('Data Checks'!E221/'Data Checks'!E220),IF(Z10="SELL",AE10*('Data Checks'!E220/'Data Checks'!E221),AE10))</f>
        <v>200.63113437354482</v>
      </c>
      <c r="AF11">
        <f>IF(AA10="BUY",AF10*('Data Checks'!F221/'Data Checks'!F220),IF(AA10="SELL",AF10*('Data Checks'!F220/'Data Checks'!F221),AF10))</f>
        <v>200</v>
      </c>
      <c r="AG11" s="16">
        <f t="shared" si="11"/>
        <v>998.06820668776686</v>
      </c>
      <c r="AH11" s="17">
        <f t="shared" si="15"/>
        <v>-1.3025777376505232E-3</v>
      </c>
      <c r="AJ11" t="str">
        <f>IF('Moving Ave'!G221&gt;'Moving Ave'!L221,"SELL","BUY")</f>
        <v>BUY</v>
      </c>
      <c r="AK11" t="str">
        <f>IF('Moving Ave'!H221&gt;'Moving Ave'!M221,"SELL","BUY")</f>
        <v>BUY</v>
      </c>
      <c r="AL11" t="str">
        <f>IF('Moving Ave'!I221&gt;'Moving Ave'!N221,"SELL","BUY")</f>
        <v>BUY</v>
      </c>
      <c r="AM11" t="str">
        <f>IF('Moving Ave'!J221&gt;'Moving Ave'!O221,"SELL","BUY")</f>
        <v>BUY</v>
      </c>
      <c r="AN11" t="str">
        <f>IF('Moving Ave'!K221&gt;'Moving Ave'!P221,"SELL","BUY")</f>
        <v>SELL</v>
      </c>
      <c r="AO11">
        <f>IF(AJ10="BUY",AO10*('Data Checks'!B221/'Data Checks'!B220),AO10*('Data Checks'!B220/'Data Checks'!B221))</f>
        <v>200.32033961717619</v>
      </c>
      <c r="AP11">
        <f>IF(AK10="BUY",AP10*('Data Checks'!C221/'Data Checks'!C220),AP10*('Data Checks'!C220/'Data Checks'!C221))</f>
        <v>195.58039612853432</v>
      </c>
      <c r="AQ11">
        <f>IF(AL10="BUY",AQ10*('Data Checks'!D221/'Data Checks'!D220),AQ10*('Data Checks'!D220/'Data Checks'!D221))</f>
        <v>194.65687751973411</v>
      </c>
      <c r="AR11">
        <f>IF(AM10="BUY",AR10*('Data Checks'!E221/'Data Checks'!E220),AR10*('Data Checks'!E220/'Data Checks'!E221))</f>
        <v>199.79912287247669</v>
      </c>
      <c r="AS11">
        <f>IF(AN10="BUY",AS10*('Data Checks'!F221/'Data Checks'!F220),AS10*('Data Checks'!F220/'Data Checks'!F221))</f>
        <v>203.1976774185371</v>
      </c>
      <c r="AT11" s="16">
        <f t="shared" si="12"/>
        <v>993.55441355645837</v>
      </c>
      <c r="AU11" s="17">
        <f t="shared" si="16"/>
        <v>2.5629905915496298E-3</v>
      </c>
    </row>
    <row r="12" spans="1:47" x14ac:dyDescent="0.35">
      <c r="A12" s="2">
        <f>Prices!A220</f>
        <v>44206</v>
      </c>
      <c r="B12">
        <f>B11*('Data Checks'!B222/'Data Checks'!B221)</f>
        <v>198.43520572370426</v>
      </c>
      <c r="C12">
        <f>C11*('Data Checks'!C222/'Data Checks'!C221)</f>
        <v>193.75158734446501</v>
      </c>
      <c r="D12">
        <f>D11*('Data Checks'!D222/'Data Checks'!D221)</f>
        <v>195.19119043565183</v>
      </c>
      <c r="E12">
        <f>E11*('Data Checks'!E222/'Data Checks'!E221)</f>
        <v>197.55606302122325</v>
      </c>
      <c r="F12">
        <f>F11*('Data Checks'!F222/'Data Checks'!F221)</f>
        <v>196.28040624149372</v>
      </c>
      <c r="G12" s="16">
        <f t="shared" si="9"/>
        <v>981.21445276653799</v>
      </c>
      <c r="H12" s="17">
        <f t="shared" si="13"/>
        <v>-6.0725994155079732E-3</v>
      </c>
      <c r="J12" t="str">
        <f>IF(AND('Data Checks'!B222&gt;'Data Checks'!B221,'Data Checks'!B221&gt;'Data Checks'!B220,'Data Checks'!B220&gt;'Data Checks'!B219),"SELL",IF(AND('Data Checks'!B222&lt;'Data Checks'!B221,'Data Checks'!B221&lt;'Data Checks'!B220,'Data Checks'!B220&lt;'Data Checks'!B219),"BUY",""))</f>
        <v/>
      </c>
      <c r="K12" t="str">
        <f>IF(AND('Data Checks'!C222&gt;'Data Checks'!C221,'Data Checks'!C221&gt;'Data Checks'!C220,'Data Checks'!C220&gt;'Data Checks'!C219),"SELL",IF(AND('Data Checks'!C222&lt;'Data Checks'!C221,'Data Checks'!C221&lt;'Data Checks'!C220,'Data Checks'!C220&lt;'Data Checks'!C219),"BUY",""))</f>
        <v/>
      </c>
      <c r="L12" t="str">
        <f>IF(AND('Data Checks'!D222&gt;'Data Checks'!D221,'Data Checks'!D221&gt;'Data Checks'!D220,'Data Checks'!D220&gt;'Data Checks'!D219),"SELL",IF(AND('Data Checks'!D222&lt;'Data Checks'!D221,'Data Checks'!D221&lt;'Data Checks'!D220,'Data Checks'!D220&lt;'Data Checks'!D219),"BUY",""))</f>
        <v/>
      </c>
      <c r="M12" t="str">
        <f>IF(AND('Data Checks'!E222&gt;'Data Checks'!E221,'Data Checks'!E221&gt;'Data Checks'!E220,'Data Checks'!E220&gt;'Data Checks'!E219),"SELL",IF(AND('Data Checks'!E222&lt;'Data Checks'!E221,'Data Checks'!E221&lt;'Data Checks'!E220,'Data Checks'!E220&lt;'Data Checks'!E219),"BUY",""))</f>
        <v>BUY</v>
      </c>
      <c r="N12" t="str">
        <f>IF(AND('Data Checks'!F222&gt;'Data Checks'!F221,'Data Checks'!F221&gt;'Data Checks'!F220,'Data Checks'!F220&gt;'Data Checks'!F219),"SELL",IF(AND('Data Checks'!F222&lt;'Data Checks'!F221,'Data Checks'!F221&lt;'Data Checks'!F220,'Data Checks'!F220&lt;'Data Checks'!F219),"BUY",""))</f>
        <v/>
      </c>
      <c r="O12">
        <f>IF(J11="BUY",O11*('Data Checks'!B222/'Data Checks'!B221),IF(J11="SELL",O11*('Data Checks'!B221/'Data Checks'!B222),O11))</f>
        <v>200</v>
      </c>
      <c r="P12">
        <f>IF(K11="BUY",P11*('Data Checks'!C222/'Data Checks'!C221),IF(K11="SELL",P11*('Data Checks'!C221/'Data Checks'!C222),P11))</f>
        <v>200.83463745435574</v>
      </c>
      <c r="Q12">
        <f>IF(L11="BUY",Q11*('Data Checks'!D222/'Data Checks'!D221),IF(L11="SELL",Q11*('Data Checks'!D221/'Data Checks'!D222),Q11))</f>
        <v>201.74688477045527</v>
      </c>
      <c r="R12">
        <f>IF(M11="BUY",R11*('Data Checks'!E222/'Data Checks'!E221),IF(M11="SELL",R11*('Data Checks'!E221/'Data Checks'!E222),R11))</f>
        <v>197.13259918912271</v>
      </c>
      <c r="S12">
        <f>IF(N11="BUY",S11*('Data Checks'!F222/'Data Checks'!F221),IF(N11="SELL",S11*('Data Checks'!F221/'Data Checks'!F222),S11))</f>
        <v>200</v>
      </c>
      <c r="T12" s="16">
        <f t="shared" si="10"/>
        <v>999.71412141393375</v>
      </c>
      <c r="U12" s="17">
        <f t="shared" si="14"/>
        <v>-2.2338904371790314E-3</v>
      </c>
      <c r="W12" t="str">
        <f>IF(AND('Data Checks'!B222&gt;'Data Checks'!B221,'Data Checks'!B221&gt;'Data Checks'!B220,'Data Checks'!B220&gt;'Data Checks'!B219),"BUY",IF(AND('Data Checks'!B222&lt;'Data Checks'!B221,'Data Checks'!B221&lt;'Data Checks'!B220,'Data Checks'!B220&lt;'Data Checks'!B219),"SELL",""))</f>
        <v/>
      </c>
      <c r="X12" t="str">
        <f>IF(AND('Data Checks'!C222&gt;'Data Checks'!C221,'Data Checks'!C221&gt;'Data Checks'!C220,'Data Checks'!C220&gt;'Data Checks'!C219),"BUY",IF(AND('Data Checks'!C222&lt;'Data Checks'!C221,'Data Checks'!C221&lt;'Data Checks'!C220,'Data Checks'!C220&lt;'Data Checks'!C219),"SELL",""))</f>
        <v/>
      </c>
      <c r="Y12" t="str">
        <f>IF(AND('Data Checks'!D222&gt;'Data Checks'!D221,'Data Checks'!D221&gt;'Data Checks'!D220,'Data Checks'!D220&gt;'Data Checks'!D219),"BUY",IF(AND('Data Checks'!D222&lt;'Data Checks'!D221,'Data Checks'!D221&lt;'Data Checks'!D220,'Data Checks'!D220&lt;'Data Checks'!D219),"SELL",""))</f>
        <v/>
      </c>
      <c r="Z12" t="str">
        <f>IF(AND('Data Checks'!E222&gt;'Data Checks'!E221,'Data Checks'!E221&gt;'Data Checks'!E220,'Data Checks'!E220&gt;'Data Checks'!E219),"BUY",IF(AND('Data Checks'!E222&lt;'Data Checks'!E221,'Data Checks'!E221&lt;'Data Checks'!E220,'Data Checks'!E220&lt;'Data Checks'!E219),"SELL",""))</f>
        <v>SELL</v>
      </c>
      <c r="AA12" t="str">
        <f>IF(AND('Data Checks'!F222&gt;'Data Checks'!F221,'Data Checks'!F221&gt;'Data Checks'!F220,'Data Checks'!F220&gt;'Data Checks'!F219),"BUY",IF(AND('Data Checks'!F222&lt;'Data Checks'!F221,'Data Checks'!F221&lt;'Data Checks'!F220,'Data Checks'!F220&lt;'Data Checks'!F219),"SELL",""))</f>
        <v/>
      </c>
      <c r="AB12">
        <f>IF(W11="BUY",AB11*('Data Checks'!B222/'Data Checks'!B221),IF(W11="SELL",AB11*('Data Checks'!B221/'Data Checks'!B222),AB11))</f>
        <v>200</v>
      </c>
      <c r="AC12">
        <f>IF(X11="BUY",AC11*('Data Checks'!C222/'Data Checks'!C221),IF(X11="SELL",AC11*('Data Checks'!C221/'Data Checks'!C222),AC11))</f>
        <v>199.16883116883122</v>
      </c>
      <c r="AD12">
        <f>IF(Y11="BUY",AD11*('Data Checks'!D222/'Data Checks'!D221),IF(Y11="SELL",AD11*('Data Checks'!D221/'Data Checks'!D222),AD11))</f>
        <v>198.26824114539082</v>
      </c>
      <c r="AE12">
        <f>IF(Z11="BUY",AE11*('Data Checks'!E222/'Data Checks'!E221),IF(Z11="SELL",AE11*('Data Checks'!E221/'Data Checks'!E222),AE11))</f>
        <v>202.90910871430896</v>
      </c>
      <c r="AF12">
        <f>IF(AA11="BUY",AF11*('Data Checks'!F222/'Data Checks'!F221),IF(AA11="SELL",AF11*('Data Checks'!F221/'Data Checks'!F222),AF11))</f>
        <v>200</v>
      </c>
      <c r="AG12" s="16">
        <f t="shared" si="11"/>
        <v>1000.346181028531</v>
      </c>
      <c r="AH12" s="17">
        <f t="shared" si="15"/>
        <v>2.2823834338174809E-3</v>
      </c>
      <c r="AJ12" t="str">
        <f>IF('Moving Ave'!G222&gt;'Moving Ave'!L222,"SELL","BUY")</f>
        <v>BUY</v>
      </c>
      <c r="AK12" t="str">
        <f>IF('Moving Ave'!H222&gt;'Moving Ave'!M222,"SELL","BUY")</f>
        <v>BUY</v>
      </c>
      <c r="AL12" t="str">
        <f>IF('Moving Ave'!I222&gt;'Moving Ave'!N222,"SELL","BUY")</f>
        <v>BUY</v>
      </c>
      <c r="AM12" t="str">
        <f>IF('Moving Ave'!J222&gt;'Moving Ave'!O222,"SELL","BUY")</f>
        <v>BUY</v>
      </c>
      <c r="AN12" t="str">
        <f>IF('Moving Ave'!K222&gt;'Moving Ave'!P222,"SELL","BUY")</f>
        <v>SELL</v>
      </c>
      <c r="AO12">
        <f>IF(AJ11="BUY",AO11*('Data Checks'!B222/'Data Checks'!B221),AO11*('Data Checks'!B221/'Data Checks'!B222))</f>
        <v>198.43520572370426</v>
      </c>
      <c r="AP12">
        <f>IF(AK11="BUY",AP11*('Data Checks'!C222/'Data Checks'!C221),AP11*('Data Checks'!C221/'Data Checks'!C222))</f>
        <v>193.75158734446501</v>
      </c>
      <c r="AQ12">
        <f>IF(AL11="BUY",AQ11*('Data Checks'!D222/'Data Checks'!D221),AQ11*('Data Checks'!D221/'Data Checks'!D222))</f>
        <v>195.19119043565183</v>
      </c>
      <c r="AR12">
        <f>IF(AM11="BUY",AR11*('Data Checks'!E222/'Data Checks'!E221),AR11*('Data Checks'!E221/'Data Checks'!E222))</f>
        <v>197.55606302122325</v>
      </c>
      <c r="AS12">
        <f>IF(AN11="BUY",AS11*('Data Checks'!F222/'Data Checks'!F221),AS11*('Data Checks'!F221/'Data Checks'!F222))</f>
        <v>203.79008157740398</v>
      </c>
      <c r="AT12" s="16">
        <f t="shared" si="12"/>
        <v>988.72412810244828</v>
      </c>
      <c r="AU12" s="17">
        <f t="shared" si="16"/>
        <v>-4.8616214553564019E-3</v>
      </c>
    </row>
    <row r="13" spans="1:47" x14ac:dyDescent="0.35">
      <c r="A13" s="2">
        <f>Prices!A221</f>
        <v>44209</v>
      </c>
      <c r="B13">
        <f>B12*('Data Checks'!B223/'Data Checks'!B222)</f>
        <v>199.29294777533863</v>
      </c>
      <c r="C13">
        <f>C12*('Data Checks'!C223/'Data Checks'!C222)</f>
        <v>195.68199633431539</v>
      </c>
      <c r="D13">
        <f>D12*('Data Checks'!D223/'Data Checks'!D222)</f>
        <v>197.4620203283022</v>
      </c>
      <c r="E13">
        <f>E12*('Data Checks'!E223/'Data Checks'!E222)</f>
        <v>197.38867434252853</v>
      </c>
      <c r="F13">
        <f>F12*('Data Checks'!F223/'Data Checks'!F222)</f>
        <v>195.99428034326587</v>
      </c>
      <c r="G13" s="16">
        <f t="shared" si="9"/>
        <v>985.81991912375065</v>
      </c>
      <c r="H13" s="17">
        <f t="shared" si="13"/>
        <v>4.693638933086941E-3</v>
      </c>
      <c r="J13" t="str">
        <f>IF(AND('Data Checks'!B223&gt;'Data Checks'!B222,'Data Checks'!B222&gt;'Data Checks'!B221,'Data Checks'!B221&gt;'Data Checks'!B220),"SELL",IF(AND('Data Checks'!B223&lt;'Data Checks'!B222,'Data Checks'!B222&lt;'Data Checks'!B221,'Data Checks'!B221&lt;'Data Checks'!B220),"BUY",""))</f>
        <v/>
      </c>
      <c r="K13" t="str">
        <f>IF(AND('Data Checks'!C223&gt;'Data Checks'!C222,'Data Checks'!C222&gt;'Data Checks'!C221,'Data Checks'!C221&gt;'Data Checks'!C220),"SELL",IF(AND('Data Checks'!C223&lt;'Data Checks'!C222,'Data Checks'!C222&lt;'Data Checks'!C221,'Data Checks'!C221&lt;'Data Checks'!C220),"BUY",""))</f>
        <v/>
      </c>
      <c r="L13" t="str">
        <f>IF(AND('Data Checks'!D223&gt;'Data Checks'!D222,'Data Checks'!D222&gt;'Data Checks'!D221,'Data Checks'!D221&gt;'Data Checks'!D220),"SELL",IF(AND('Data Checks'!D223&lt;'Data Checks'!D222,'Data Checks'!D222&lt;'Data Checks'!D221,'Data Checks'!D221&lt;'Data Checks'!D220),"BUY",""))</f>
        <v/>
      </c>
      <c r="M13" t="str">
        <f>IF(AND('Data Checks'!E223&gt;'Data Checks'!E222,'Data Checks'!E222&gt;'Data Checks'!E221,'Data Checks'!E221&gt;'Data Checks'!E220),"SELL",IF(AND('Data Checks'!E223&lt;'Data Checks'!E222,'Data Checks'!E222&lt;'Data Checks'!E221,'Data Checks'!E221&lt;'Data Checks'!E220),"BUY",""))</f>
        <v>BUY</v>
      </c>
      <c r="N13" t="str">
        <f>IF(AND('Data Checks'!F223&gt;'Data Checks'!F222,'Data Checks'!F222&gt;'Data Checks'!F221,'Data Checks'!F221&gt;'Data Checks'!F220),"SELL",IF(AND('Data Checks'!F223&lt;'Data Checks'!F222,'Data Checks'!F222&lt;'Data Checks'!F221,'Data Checks'!F221&lt;'Data Checks'!F220),"BUY",""))</f>
        <v>BUY</v>
      </c>
      <c r="O13">
        <f>IF(J12="BUY",O12*('Data Checks'!B223/'Data Checks'!B222),IF(J12="SELL",O12*('Data Checks'!B222/'Data Checks'!B223),O12))</f>
        <v>200</v>
      </c>
      <c r="P13">
        <f>IF(K12="BUY",P12*('Data Checks'!C223/'Data Checks'!C222),IF(K12="SELL",P12*('Data Checks'!C222/'Data Checks'!C223),P12))</f>
        <v>200.83463745435574</v>
      </c>
      <c r="Q13">
        <f>IF(L12="BUY",Q12*('Data Checks'!D223/'Data Checks'!D222),IF(L12="SELL",Q12*('Data Checks'!D222/'Data Checks'!D223),Q12))</f>
        <v>201.74688477045527</v>
      </c>
      <c r="R13">
        <f>IF(M12="BUY",R12*('Data Checks'!E223/'Data Checks'!E222),IF(M12="SELL",R12*('Data Checks'!E222/'Data Checks'!E223),R12))</f>
        <v>196.96556931010363</v>
      </c>
      <c r="S13">
        <f>IF(N12="BUY",S12*('Data Checks'!F223/'Data Checks'!F222),IF(N12="SELL",S12*('Data Checks'!F222/'Data Checks'!F223),S12))</f>
        <v>200</v>
      </c>
      <c r="T13" s="16">
        <f t="shared" si="10"/>
        <v>999.54709153491467</v>
      </c>
      <c r="U13" s="17">
        <f t="shared" si="14"/>
        <v>-1.6707764293943939E-4</v>
      </c>
      <c r="W13" t="str">
        <f>IF(AND('Data Checks'!B223&gt;'Data Checks'!B222,'Data Checks'!B222&gt;'Data Checks'!B221,'Data Checks'!B221&gt;'Data Checks'!B220),"BUY",IF(AND('Data Checks'!B223&lt;'Data Checks'!B222,'Data Checks'!B222&lt;'Data Checks'!B221,'Data Checks'!B221&lt;'Data Checks'!B220),"SELL",""))</f>
        <v/>
      </c>
      <c r="X13" t="str">
        <f>IF(AND('Data Checks'!C223&gt;'Data Checks'!C222,'Data Checks'!C222&gt;'Data Checks'!C221,'Data Checks'!C221&gt;'Data Checks'!C220),"BUY",IF(AND('Data Checks'!C223&lt;'Data Checks'!C222,'Data Checks'!C222&lt;'Data Checks'!C221,'Data Checks'!C221&lt;'Data Checks'!C220),"SELL",""))</f>
        <v/>
      </c>
      <c r="Y13" t="str">
        <f>IF(AND('Data Checks'!D223&gt;'Data Checks'!D222,'Data Checks'!D222&gt;'Data Checks'!D221,'Data Checks'!D221&gt;'Data Checks'!D220),"BUY",IF(AND('Data Checks'!D223&lt;'Data Checks'!D222,'Data Checks'!D222&lt;'Data Checks'!D221,'Data Checks'!D221&lt;'Data Checks'!D220),"SELL",""))</f>
        <v/>
      </c>
      <c r="Z13" t="str">
        <f>IF(AND('Data Checks'!E223&gt;'Data Checks'!E222,'Data Checks'!E222&gt;'Data Checks'!E221,'Data Checks'!E221&gt;'Data Checks'!E220),"BUY",IF(AND('Data Checks'!E223&lt;'Data Checks'!E222,'Data Checks'!E222&lt;'Data Checks'!E221,'Data Checks'!E221&lt;'Data Checks'!E220),"SELL",""))</f>
        <v>SELL</v>
      </c>
      <c r="AA13" t="str">
        <f>IF(AND('Data Checks'!F223&gt;'Data Checks'!F222,'Data Checks'!F222&gt;'Data Checks'!F221,'Data Checks'!F221&gt;'Data Checks'!F220),"BUY",IF(AND('Data Checks'!F223&lt;'Data Checks'!F222,'Data Checks'!F222&lt;'Data Checks'!F221,'Data Checks'!F221&lt;'Data Checks'!F220),"SELL",""))</f>
        <v>SELL</v>
      </c>
      <c r="AB13">
        <f>IF(W12="BUY",AB12*('Data Checks'!B223/'Data Checks'!B222),IF(W12="SELL",AB12*('Data Checks'!B222/'Data Checks'!B223),AB12))</f>
        <v>200</v>
      </c>
      <c r="AC13">
        <f>IF(X12="BUY",AC12*('Data Checks'!C223/'Data Checks'!C222),IF(X12="SELL",AC12*('Data Checks'!C222/'Data Checks'!C223),AC12))</f>
        <v>199.16883116883122</v>
      </c>
      <c r="AD13">
        <f>IF(Y12="BUY",AD12*('Data Checks'!D223/'Data Checks'!D222),IF(Y12="SELL",AD12*('Data Checks'!D222/'Data Checks'!D223),AD12))</f>
        <v>198.26824114539082</v>
      </c>
      <c r="AE13">
        <f>IF(Z12="BUY",AE12*('Data Checks'!E223/'Data Checks'!E222),IF(Z12="SELL",AE12*('Data Checks'!E222/'Data Checks'!E223),AE12))</f>
        <v>203.0811788075701</v>
      </c>
      <c r="AF13">
        <f>IF(AA12="BUY",AF12*('Data Checks'!F223/'Data Checks'!F222),IF(AA12="SELL",AF12*('Data Checks'!F222/'Data Checks'!F223),AF12))</f>
        <v>200</v>
      </c>
      <c r="AG13" s="16">
        <f t="shared" si="11"/>
        <v>1000.5182511217922</v>
      </c>
      <c r="AH13" s="17">
        <f t="shared" si="15"/>
        <v>1.7201054647331127E-4</v>
      </c>
      <c r="AJ13" t="str">
        <f>IF('Moving Ave'!G223&gt;'Moving Ave'!L223,"SELL","BUY")</f>
        <v>BUY</v>
      </c>
      <c r="AK13" t="str">
        <f>IF('Moving Ave'!H223&gt;'Moving Ave'!M223,"SELL","BUY")</f>
        <v>BUY</v>
      </c>
      <c r="AL13" t="str">
        <f>IF('Moving Ave'!I223&gt;'Moving Ave'!N223,"SELL","BUY")</f>
        <v>BUY</v>
      </c>
      <c r="AM13" t="str">
        <f>IF('Moving Ave'!J223&gt;'Moving Ave'!O223,"SELL","BUY")</f>
        <v>BUY</v>
      </c>
      <c r="AN13" t="str">
        <f>IF('Moving Ave'!K223&gt;'Moving Ave'!P223,"SELL","BUY")</f>
        <v>SELL</v>
      </c>
      <c r="AO13">
        <f>IF(AJ12="BUY",AO12*('Data Checks'!B223/'Data Checks'!B222),AO12*('Data Checks'!B222/'Data Checks'!B223))</f>
        <v>199.29294777533863</v>
      </c>
      <c r="AP13">
        <f>IF(AK12="BUY",AP12*('Data Checks'!C223/'Data Checks'!C222),AP12*('Data Checks'!C222/'Data Checks'!C223))</f>
        <v>195.68199633431539</v>
      </c>
      <c r="AQ13">
        <f>IF(AL12="BUY",AQ12*('Data Checks'!D223/'Data Checks'!D222),AQ12*('Data Checks'!D222/'Data Checks'!D223))</f>
        <v>197.4620203283022</v>
      </c>
      <c r="AR13">
        <f>IF(AM12="BUY",AR12*('Data Checks'!E223/'Data Checks'!E222),AR12*('Data Checks'!E222/'Data Checks'!E223))</f>
        <v>197.38867434252853</v>
      </c>
      <c r="AS13">
        <f>IF(AN12="BUY",AS12*('Data Checks'!F223/'Data Checks'!F222),AS12*('Data Checks'!F222/'Data Checks'!F223))</f>
        <v>204.0875883211678</v>
      </c>
      <c r="AT13" s="16">
        <f t="shared" si="12"/>
        <v>993.91322710165252</v>
      </c>
      <c r="AU13" s="17">
        <f t="shared" si="16"/>
        <v>5.2482779085842868E-3</v>
      </c>
    </row>
    <row r="14" spans="1:47" x14ac:dyDescent="0.35">
      <c r="A14" s="2">
        <f>Prices!A222</f>
        <v>44210</v>
      </c>
      <c r="B14">
        <f>B13*('Data Checks'!B224/'Data Checks'!B223)</f>
        <v>196.98947119883735</v>
      </c>
      <c r="C14">
        <f>C13*('Data Checks'!C224/'Data Checks'!C223)</f>
        <v>194.97079997385825</v>
      </c>
      <c r="D14">
        <f>D13*('Data Checks'!D224/'Data Checks'!D223)</f>
        <v>197.79596256129506</v>
      </c>
      <c r="E14">
        <f>E13*('Data Checks'!E224/'Data Checks'!E223)</f>
        <v>197.2547573734598</v>
      </c>
      <c r="F14">
        <f>F13*('Data Checks'!F224/'Data Checks'!F223)</f>
        <v>194.80210102244308</v>
      </c>
      <c r="G14" s="16">
        <f t="shared" si="9"/>
        <v>981.81309212989345</v>
      </c>
      <c r="H14" s="17">
        <f t="shared" si="13"/>
        <v>-4.0644613850151501E-3</v>
      </c>
      <c r="J14" t="str">
        <f>IF(AND('Data Checks'!B224&gt;'Data Checks'!B223,'Data Checks'!B223&gt;'Data Checks'!B222,'Data Checks'!B222&gt;'Data Checks'!B221),"SELL",IF(AND('Data Checks'!B224&lt;'Data Checks'!B223,'Data Checks'!B223&lt;'Data Checks'!B222,'Data Checks'!B222&lt;'Data Checks'!B221),"BUY",""))</f>
        <v/>
      </c>
      <c r="K14" t="str">
        <f>IF(AND('Data Checks'!C224&gt;'Data Checks'!C223,'Data Checks'!C223&gt;'Data Checks'!C222,'Data Checks'!C222&gt;'Data Checks'!C221),"SELL",IF(AND('Data Checks'!C224&lt;'Data Checks'!C223,'Data Checks'!C223&lt;'Data Checks'!C222,'Data Checks'!C222&lt;'Data Checks'!C221),"BUY",""))</f>
        <v/>
      </c>
      <c r="L14" t="str">
        <f>IF(AND('Data Checks'!D224&gt;'Data Checks'!D223,'Data Checks'!D223&gt;'Data Checks'!D222,'Data Checks'!D222&gt;'Data Checks'!D221),"SELL",IF(AND('Data Checks'!D224&lt;'Data Checks'!D223,'Data Checks'!D223&lt;'Data Checks'!D222,'Data Checks'!D222&lt;'Data Checks'!D221),"BUY",""))</f>
        <v>SELL</v>
      </c>
      <c r="M14" t="str">
        <f>IF(AND('Data Checks'!E224&gt;'Data Checks'!E223,'Data Checks'!E223&gt;'Data Checks'!E222,'Data Checks'!E222&gt;'Data Checks'!E221),"SELL",IF(AND('Data Checks'!E224&lt;'Data Checks'!E223,'Data Checks'!E223&lt;'Data Checks'!E222,'Data Checks'!E222&lt;'Data Checks'!E221),"BUY",""))</f>
        <v>BUY</v>
      </c>
      <c r="N14" t="str">
        <f>IF(AND('Data Checks'!F224&gt;'Data Checks'!F223,'Data Checks'!F223&gt;'Data Checks'!F222,'Data Checks'!F222&gt;'Data Checks'!F221),"SELL",IF(AND('Data Checks'!F224&lt;'Data Checks'!F223,'Data Checks'!F223&lt;'Data Checks'!F222,'Data Checks'!F222&lt;'Data Checks'!F221),"BUY",""))</f>
        <v>BUY</v>
      </c>
      <c r="O14">
        <f>IF(J13="BUY",O13*('Data Checks'!B224/'Data Checks'!B223),IF(J13="SELL",O13*('Data Checks'!B223/'Data Checks'!B224),O13))</f>
        <v>200</v>
      </c>
      <c r="P14">
        <f>IF(K13="BUY",P13*('Data Checks'!C224/'Data Checks'!C223),IF(K13="SELL",P13*('Data Checks'!C223/'Data Checks'!C224),P13))</f>
        <v>200.83463745435574</v>
      </c>
      <c r="Q14">
        <f>IF(L13="BUY",Q13*('Data Checks'!D224/'Data Checks'!D223),IF(L13="SELL",Q13*('Data Checks'!D223/'Data Checks'!D224),Q13))</f>
        <v>201.74688477045527</v>
      </c>
      <c r="R14">
        <f>IF(M13="BUY",R13*('Data Checks'!E224/'Data Checks'!E223),IF(M13="SELL",R13*('Data Checks'!E223/'Data Checks'!E224),R13))</f>
        <v>196.83193939369244</v>
      </c>
      <c r="S14">
        <f>IF(N13="BUY",S13*('Data Checks'!F224/'Data Checks'!F223),IF(N13="SELL",S13*('Data Checks'!F223/'Data Checks'!F224),S13))</f>
        <v>198.78345498783455</v>
      </c>
      <c r="T14" s="16">
        <f t="shared" si="10"/>
        <v>998.19691660633794</v>
      </c>
      <c r="U14" s="17">
        <f t="shared" si="14"/>
        <v>-1.3507867113128347E-3</v>
      </c>
      <c r="W14" t="str">
        <f>IF(AND('Data Checks'!B224&gt;'Data Checks'!B223,'Data Checks'!B223&gt;'Data Checks'!B222,'Data Checks'!B222&gt;'Data Checks'!B221),"BUY",IF(AND('Data Checks'!B224&lt;'Data Checks'!B223,'Data Checks'!B223&lt;'Data Checks'!B222,'Data Checks'!B222&lt;'Data Checks'!B221),"SELL",""))</f>
        <v/>
      </c>
      <c r="X14" t="str">
        <f>IF(AND('Data Checks'!C224&gt;'Data Checks'!C223,'Data Checks'!C223&gt;'Data Checks'!C222,'Data Checks'!C222&gt;'Data Checks'!C221),"BUY",IF(AND('Data Checks'!C224&lt;'Data Checks'!C223,'Data Checks'!C223&lt;'Data Checks'!C222,'Data Checks'!C222&lt;'Data Checks'!C221),"SELL",""))</f>
        <v/>
      </c>
      <c r="Y14" t="str">
        <f>IF(AND('Data Checks'!D224&gt;'Data Checks'!D223,'Data Checks'!D223&gt;'Data Checks'!D222,'Data Checks'!D222&gt;'Data Checks'!D221),"BUY",IF(AND('Data Checks'!D224&lt;'Data Checks'!D223,'Data Checks'!D223&lt;'Data Checks'!D222,'Data Checks'!D222&lt;'Data Checks'!D221),"SELL",""))</f>
        <v>BUY</v>
      </c>
      <c r="Z14" t="str">
        <f>IF(AND('Data Checks'!E224&gt;'Data Checks'!E223,'Data Checks'!E223&gt;'Data Checks'!E222,'Data Checks'!E222&gt;'Data Checks'!E221),"BUY",IF(AND('Data Checks'!E224&lt;'Data Checks'!E223,'Data Checks'!E223&lt;'Data Checks'!E222,'Data Checks'!E222&lt;'Data Checks'!E221),"SELL",""))</f>
        <v>SELL</v>
      </c>
      <c r="AA14" t="str">
        <f>IF(AND('Data Checks'!F224&gt;'Data Checks'!F223,'Data Checks'!F223&gt;'Data Checks'!F222,'Data Checks'!F222&gt;'Data Checks'!F221),"BUY",IF(AND('Data Checks'!F224&lt;'Data Checks'!F223,'Data Checks'!F223&lt;'Data Checks'!F222,'Data Checks'!F222&lt;'Data Checks'!F221),"SELL",""))</f>
        <v>SELL</v>
      </c>
      <c r="AB14">
        <f>IF(W13="BUY",AB13*('Data Checks'!B224/'Data Checks'!B223),IF(W13="SELL",AB13*('Data Checks'!B223/'Data Checks'!B224),AB13))</f>
        <v>200</v>
      </c>
      <c r="AC14">
        <f>IF(X13="BUY",AC13*('Data Checks'!C224/'Data Checks'!C223),IF(X13="SELL",AC13*('Data Checks'!C223/'Data Checks'!C224),AC13))</f>
        <v>199.16883116883122</v>
      </c>
      <c r="AD14">
        <f>IF(Y13="BUY",AD13*('Data Checks'!D224/'Data Checks'!D223),IF(Y13="SELL",AD13*('Data Checks'!D223/'Data Checks'!D224),AD13))</f>
        <v>198.26824114539082</v>
      </c>
      <c r="AE14">
        <f>IF(Z13="BUY",AE13*('Data Checks'!E224/'Data Checks'!E223),IF(Z13="SELL",AE13*('Data Checks'!E223/'Data Checks'!E224),AE13))</f>
        <v>203.21905135524878</v>
      </c>
      <c r="AF14">
        <f>IF(AA13="BUY",AF13*('Data Checks'!F224/'Data Checks'!F223),IF(AA13="SELL",AF13*('Data Checks'!F223/'Data Checks'!F224),AF13))</f>
        <v>201.22399020807836</v>
      </c>
      <c r="AG14" s="16">
        <f t="shared" si="11"/>
        <v>1001.8801138775492</v>
      </c>
      <c r="AH14" s="17">
        <f t="shared" si="15"/>
        <v>1.3611573344414207E-3</v>
      </c>
      <c r="AJ14" t="str">
        <f>IF('Moving Ave'!G224&gt;'Moving Ave'!L224,"SELL","BUY")</f>
        <v>BUY</v>
      </c>
      <c r="AK14" t="str">
        <f>IF('Moving Ave'!H224&gt;'Moving Ave'!M224,"SELL","BUY")</f>
        <v>BUY</v>
      </c>
      <c r="AL14" t="str">
        <f>IF('Moving Ave'!I224&gt;'Moving Ave'!N224,"SELL","BUY")</f>
        <v>SELL</v>
      </c>
      <c r="AM14" t="str">
        <f>IF('Moving Ave'!J224&gt;'Moving Ave'!O224,"SELL","BUY")</f>
        <v>BUY</v>
      </c>
      <c r="AN14" t="str">
        <f>IF('Moving Ave'!K224&gt;'Moving Ave'!P224,"SELL","BUY")</f>
        <v>SELL</v>
      </c>
      <c r="AO14">
        <f>IF(AJ13="BUY",AO13*('Data Checks'!B224/'Data Checks'!B223),AO13*('Data Checks'!B223/'Data Checks'!B224))</f>
        <v>196.98947119883735</v>
      </c>
      <c r="AP14">
        <f>IF(AK13="BUY",AP13*('Data Checks'!C224/'Data Checks'!C223),AP13*('Data Checks'!C223/'Data Checks'!C224))</f>
        <v>194.97079997385825</v>
      </c>
      <c r="AQ14">
        <f>IF(AL13="BUY",AQ13*('Data Checks'!D224/'Data Checks'!D223),AQ13*('Data Checks'!D223/'Data Checks'!D224))</f>
        <v>197.79596256129506</v>
      </c>
      <c r="AR14">
        <f>IF(AM13="BUY",AR13*('Data Checks'!E224/'Data Checks'!E223),AR13*('Data Checks'!E223/'Data Checks'!E224))</f>
        <v>197.2547573734598</v>
      </c>
      <c r="AS14">
        <f>IF(AN13="BUY",AS13*('Data Checks'!F224/'Data Checks'!F223),AS13*('Data Checks'!F223/'Data Checks'!F224))</f>
        <v>205.33659436964498</v>
      </c>
      <c r="AT14" s="16">
        <f t="shared" si="12"/>
        <v>992.34758547709544</v>
      </c>
      <c r="AU14" s="17">
        <f t="shared" si="16"/>
        <v>-1.5752296899425033E-3</v>
      </c>
    </row>
    <row r="15" spans="1:47" x14ac:dyDescent="0.35">
      <c r="A15" s="2">
        <f>Prices!A223</f>
        <v>44211</v>
      </c>
      <c r="B15">
        <f>B14*('Data Checks'!B225/'Data Checks'!B224)</f>
        <v>196.20760798832666</v>
      </c>
      <c r="C15">
        <f>C14*('Data Checks'!C225/'Data Checks'!C224)</f>
        <v>194.81838442515578</v>
      </c>
      <c r="D15">
        <f>D14*('Data Checks'!D225/'Data Checks'!D224)</f>
        <v>196.9944998663299</v>
      </c>
      <c r="E15">
        <f>E14*('Data Checks'!E225/'Data Checks'!E224)</f>
        <v>196.91998001607035</v>
      </c>
      <c r="F15">
        <f>F14*('Data Checks'!F225/'Data Checks'!F224)</f>
        <v>194.03910339588612</v>
      </c>
      <c r="G15" s="16">
        <f t="shared" si="9"/>
        <v>978.97957569176879</v>
      </c>
      <c r="H15" s="17">
        <f t="shared" si="13"/>
        <v>-2.886003925632874E-3</v>
      </c>
      <c r="J15" t="str">
        <f>IF(AND('Data Checks'!B225&gt;'Data Checks'!B224,'Data Checks'!B224&gt;'Data Checks'!B223,'Data Checks'!B223&gt;'Data Checks'!B222),"SELL",IF(AND('Data Checks'!B225&lt;'Data Checks'!B224,'Data Checks'!B224&lt;'Data Checks'!B223,'Data Checks'!B223&lt;'Data Checks'!B222),"BUY",""))</f>
        <v/>
      </c>
      <c r="K15" t="str">
        <f>IF(AND('Data Checks'!C225&gt;'Data Checks'!C224,'Data Checks'!C224&gt;'Data Checks'!C223,'Data Checks'!C223&gt;'Data Checks'!C222),"SELL",IF(AND('Data Checks'!C225&lt;'Data Checks'!C224,'Data Checks'!C224&lt;'Data Checks'!C223,'Data Checks'!C223&lt;'Data Checks'!C222),"BUY",""))</f>
        <v/>
      </c>
      <c r="L15" t="str">
        <f>IF(AND('Data Checks'!D225&gt;'Data Checks'!D224,'Data Checks'!D224&gt;'Data Checks'!D223,'Data Checks'!D223&gt;'Data Checks'!D222),"SELL",IF(AND('Data Checks'!D225&lt;'Data Checks'!D224,'Data Checks'!D224&lt;'Data Checks'!D223,'Data Checks'!D223&lt;'Data Checks'!D222),"BUY",""))</f>
        <v/>
      </c>
      <c r="M15" t="str">
        <f>IF(AND('Data Checks'!E225&gt;'Data Checks'!E224,'Data Checks'!E224&gt;'Data Checks'!E223,'Data Checks'!E223&gt;'Data Checks'!E222),"SELL",IF(AND('Data Checks'!E225&lt;'Data Checks'!E224,'Data Checks'!E224&lt;'Data Checks'!E223,'Data Checks'!E223&lt;'Data Checks'!E222),"BUY",""))</f>
        <v>BUY</v>
      </c>
      <c r="N15" t="str">
        <f>IF(AND('Data Checks'!F225&gt;'Data Checks'!F224,'Data Checks'!F224&gt;'Data Checks'!F223,'Data Checks'!F223&gt;'Data Checks'!F222),"SELL",IF(AND('Data Checks'!F225&lt;'Data Checks'!F224,'Data Checks'!F224&lt;'Data Checks'!F223,'Data Checks'!F223&lt;'Data Checks'!F222),"BUY",""))</f>
        <v>BUY</v>
      </c>
      <c r="O15">
        <f>IF(J14="BUY",O14*('Data Checks'!B225/'Data Checks'!B224),IF(J14="SELL",O14*('Data Checks'!B224/'Data Checks'!B225),O14))</f>
        <v>200</v>
      </c>
      <c r="P15">
        <f>IF(K14="BUY",P14*('Data Checks'!C225/'Data Checks'!C224),IF(K14="SELL",P14*('Data Checks'!C224/'Data Checks'!C225),P14))</f>
        <v>200.83463745435574</v>
      </c>
      <c r="Q15">
        <f>IF(L14="BUY",Q14*('Data Checks'!D225/'Data Checks'!D224),IF(L14="SELL",Q14*('Data Checks'!D224/'Data Checks'!D225),Q14))</f>
        <v>202.56768231596371</v>
      </c>
      <c r="R15">
        <f>IF(M14="BUY",R14*('Data Checks'!E225/'Data Checks'!E224),IF(M14="SELL",R14*('Data Checks'!E224/'Data Checks'!E225),R14))</f>
        <v>196.49787963565424</v>
      </c>
      <c r="S15">
        <f>IF(N14="BUY",S14*('Data Checks'!F225/'Data Checks'!F224),IF(N14="SELL",S14*('Data Checks'!F224/'Data Checks'!F225),S14))</f>
        <v>198.00486326034061</v>
      </c>
      <c r="T15" s="16">
        <f t="shared" si="10"/>
        <v>997.90506266631428</v>
      </c>
      <c r="U15" s="17">
        <f t="shared" si="14"/>
        <v>-2.9238112757945522E-4</v>
      </c>
      <c r="W15" t="str">
        <f>IF(AND('Data Checks'!B225&gt;'Data Checks'!B224,'Data Checks'!B224&gt;'Data Checks'!B223,'Data Checks'!B223&gt;'Data Checks'!B222),"BUY",IF(AND('Data Checks'!B225&lt;'Data Checks'!B224,'Data Checks'!B224&lt;'Data Checks'!B223,'Data Checks'!B223&lt;'Data Checks'!B222),"SELL",""))</f>
        <v/>
      </c>
      <c r="X15" t="str">
        <f>IF(AND('Data Checks'!C225&gt;'Data Checks'!C224,'Data Checks'!C224&gt;'Data Checks'!C223,'Data Checks'!C223&gt;'Data Checks'!C222),"BUY",IF(AND('Data Checks'!C225&lt;'Data Checks'!C224,'Data Checks'!C224&lt;'Data Checks'!C223,'Data Checks'!C223&lt;'Data Checks'!C222),"SELL",""))</f>
        <v/>
      </c>
      <c r="Y15" t="str">
        <f>IF(AND('Data Checks'!D225&gt;'Data Checks'!D224,'Data Checks'!D224&gt;'Data Checks'!D223,'Data Checks'!D223&gt;'Data Checks'!D222),"BUY",IF(AND('Data Checks'!D225&lt;'Data Checks'!D224,'Data Checks'!D224&lt;'Data Checks'!D223,'Data Checks'!D223&lt;'Data Checks'!D222),"SELL",""))</f>
        <v/>
      </c>
      <c r="Z15" t="str">
        <f>IF(AND('Data Checks'!E225&gt;'Data Checks'!E224,'Data Checks'!E224&gt;'Data Checks'!E223,'Data Checks'!E223&gt;'Data Checks'!E222),"BUY",IF(AND('Data Checks'!E225&lt;'Data Checks'!E224,'Data Checks'!E224&lt;'Data Checks'!E223,'Data Checks'!E223&lt;'Data Checks'!E222),"SELL",""))</f>
        <v>SELL</v>
      </c>
      <c r="AA15" t="str">
        <f>IF(AND('Data Checks'!F225&gt;'Data Checks'!F224,'Data Checks'!F224&gt;'Data Checks'!F223,'Data Checks'!F223&gt;'Data Checks'!F222),"BUY",IF(AND('Data Checks'!F225&lt;'Data Checks'!F224,'Data Checks'!F224&lt;'Data Checks'!F223,'Data Checks'!F223&lt;'Data Checks'!F222),"SELL",""))</f>
        <v>SELL</v>
      </c>
      <c r="AB15">
        <f>IF(W14="BUY",AB14*('Data Checks'!B225/'Data Checks'!B224),IF(W14="SELL",AB14*('Data Checks'!B224/'Data Checks'!B225),AB14))</f>
        <v>200</v>
      </c>
      <c r="AC15">
        <f>IF(X14="BUY",AC14*('Data Checks'!C225/'Data Checks'!C224),IF(X14="SELL",AC14*('Data Checks'!C224/'Data Checks'!C225),AC14))</f>
        <v>199.16883116883122</v>
      </c>
      <c r="AD15">
        <f>IF(Y14="BUY",AD14*('Data Checks'!D225/'Data Checks'!D224),IF(Y14="SELL",AD14*('Data Checks'!D224/'Data Checks'!D225),AD14))</f>
        <v>197.46486479323124</v>
      </c>
      <c r="AE15">
        <f>IF(Z14="BUY",AE14*('Data Checks'!E225/'Data Checks'!E224),IF(Z14="SELL",AE14*('Data Checks'!E224/'Data Checks'!E225),AE14))</f>
        <v>203.56453756227737</v>
      </c>
      <c r="AF15">
        <f>IF(AA14="BUY",AF14*('Data Checks'!F225/'Data Checks'!F224),IF(AA14="SELL",AF14*('Data Checks'!F224/'Data Checks'!F225),AF14))</f>
        <v>202.01524013785072</v>
      </c>
      <c r="AG15" s="16">
        <f t="shared" si="11"/>
        <v>1002.2134736621905</v>
      </c>
      <c r="AH15" s="17">
        <f t="shared" si="15"/>
        <v>3.3273420644230889E-4</v>
      </c>
      <c r="AJ15" t="str">
        <f>IF('Moving Ave'!G225&gt;'Moving Ave'!L225,"SELL","BUY")</f>
        <v>BUY</v>
      </c>
      <c r="AK15" t="str">
        <f>IF('Moving Ave'!H225&gt;'Moving Ave'!M225,"SELL","BUY")</f>
        <v>BUY</v>
      </c>
      <c r="AL15" t="str">
        <f>IF('Moving Ave'!I225&gt;'Moving Ave'!N225,"SELL","BUY")</f>
        <v>SELL</v>
      </c>
      <c r="AM15" t="str">
        <f>IF('Moving Ave'!J225&gt;'Moving Ave'!O225,"SELL","BUY")</f>
        <v>BUY</v>
      </c>
      <c r="AN15" t="str">
        <f>IF('Moving Ave'!K225&gt;'Moving Ave'!P225,"SELL","BUY")</f>
        <v>SELL</v>
      </c>
      <c r="AO15">
        <f>IF(AJ14="BUY",AO14*('Data Checks'!B225/'Data Checks'!B224),AO14*('Data Checks'!B224/'Data Checks'!B225))</f>
        <v>196.20760798832666</v>
      </c>
      <c r="AP15">
        <f>IF(AK14="BUY",AP14*('Data Checks'!C225/'Data Checks'!C224),AP14*('Data Checks'!C224/'Data Checks'!C225))</f>
        <v>194.81838442515578</v>
      </c>
      <c r="AQ15">
        <f>IF(AL14="BUY",AQ14*('Data Checks'!D225/'Data Checks'!D224),AQ14*('Data Checks'!D224/'Data Checks'!D225))</f>
        <v>198.60068596887834</v>
      </c>
      <c r="AR15">
        <f>IF(AM14="BUY",AR14*('Data Checks'!E225/'Data Checks'!E224),AR14*('Data Checks'!E224/'Data Checks'!E225))</f>
        <v>196.91998001607035</v>
      </c>
      <c r="AS15">
        <f>IF(AN14="BUY",AS14*('Data Checks'!F225/'Data Checks'!F224),AS14*('Data Checks'!F224/'Data Checks'!F225))</f>
        <v>206.14401581927766</v>
      </c>
      <c r="AT15" s="16">
        <f t="shared" si="12"/>
        <v>992.69067421770876</v>
      </c>
      <c r="AU15" s="17">
        <f t="shared" si="16"/>
        <v>3.4573444389285335E-4</v>
      </c>
    </row>
    <row r="16" spans="1:47" x14ac:dyDescent="0.35">
      <c r="A16" s="2">
        <f>Prices!A224</f>
        <v>44212</v>
      </c>
      <c r="B16">
        <f>B15*('Data Checks'!B226/'Data Checks'!B225)</f>
        <v>197.88514613787521</v>
      </c>
      <c r="C16">
        <f>C15*('Data Checks'!C226/'Data Checks'!C225)</f>
        <v>196.18999228321033</v>
      </c>
      <c r="D16">
        <f>D15*('Data Checks'!D226/'Data Checks'!D225)</f>
        <v>197.52881278224766</v>
      </c>
      <c r="E16">
        <f>E15*('Data Checks'!E226/'Data Checks'!E225)</f>
        <v>196.7525879895351</v>
      </c>
      <c r="F16">
        <f>F15*('Data Checks'!F226/'Data Checks'!F225)</f>
        <v>194.42060936224055</v>
      </c>
      <c r="G16" s="16">
        <f t="shared" si="9"/>
        <v>982.77714855510885</v>
      </c>
      <c r="H16" s="17">
        <f t="shared" si="13"/>
        <v>3.8791134745141953E-3</v>
      </c>
      <c r="J16" t="str">
        <f>IF(AND('Data Checks'!B226&gt;'Data Checks'!B225,'Data Checks'!B225&gt;'Data Checks'!B224,'Data Checks'!B224&gt;'Data Checks'!B223),"SELL",IF(AND('Data Checks'!B226&lt;'Data Checks'!B225,'Data Checks'!B225&lt;'Data Checks'!B224,'Data Checks'!B224&lt;'Data Checks'!B223),"BUY",""))</f>
        <v/>
      </c>
      <c r="K16" t="str">
        <f>IF(AND('Data Checks'!C226&gt;'Data Checks'!C225,'Data Checks'!C225&gt;'Data Checks'!C224,'Data Checks'!C224&gt;'Data Checks'!C223),"SELL",IF(AND('Data Checks'!C226&lt;'Data Checks'!C225,'Data Checks'!C225&lt;'Data Checks'!C224,'Data Checks'!C224&lt;'Data Checks'!C223),"BUY",""))</f>
        <v/>
      </c>
      <c r="L16" t="str">
        <f>IF(AND('Data Checks'!D226&gt;'Data Checks'!D225,'Data Checks'!D225&gt;'Data Checks'!D224,'Data Checks'!D224&gt;'Data Checks'!D223),"SELL",IF(AND('Data Checks'!D226&lt;'Data Checks'!D225,'Data Checks'!D225&lt;'Data Checks'!D224,'Data Checks'!D224&lt;'Data Checks'!D223),"BUY",""))</f>
        <v/>
      </c>
      <c r="M16" t="str">
        <f>IF(AND('Data Checks'!E226&gt;'Data Checks'!E225,'Data Checks'!E225&gt;'Data Checks'!E224,'Data Checks'!E224&gt;'Data Checks'!E223),"SELL",IF(AND('Data Checks'!E226&lt;'Data Checks'!E225,'Data Checks'!E225&lt;'Data Checks'!E224,'Data Checks'!E224&lt;'Data Checks'!E223),"BUY",""))</f>
        <v>BUY</v>
      </c>
      <c r="N16" t="str">
        <f>IF(AND('Data Checks'!F226&gt;'Data Checks'!F225,'Data Checks'!F225&gt;'Data Checks'!F224,'Data Checks'!F224&gt;'Data Checks'!F223),"SELL",IF(AND('Data Checks'!F226&lt;'Data Checks'!F225,'Data Checks'!F225&lt;'Data Checks'!F224,'Data Checks'!F224&lt;'Data Checks'!F223),"BUY",""))</f>
        <v/>
      </c>
      <c r="O16">
        <f>IF(J15="BUY",O15*('Data Checks'!B226/'Data Checks'!B225),IF(J15="SELL",O15*('Data Checks'!B225/'Data Checks'!B226),O15))</f>
        <v>200</v>
      </c>
      <c r="P16">
        <f>IF(K15="BUY",P15*('Data Checks'!C226/'Data Checks'!C225),IF(K15="SELL",P15*('Data Checks'!C225/'Data Checks'!C226),P15))</f>
        <v>200.83463745435574</v>
      </c>
      <c r="Q16">
        <f>IF(L15="BUY",Q15*('Data Checks'!D226/'Data Checks'!D225),IF(L15="SELL",Q15*('Data Checks'!D225/'Data Checks'!D226),Q15))</f>
        <v>202.56768231596371</v>
      </c>
      <c r="R16">
        <f>IF(M15="BUY",R15*('Data Checks'!E226/'Data Checks'!E225),IF(M15="SELL",R15*('Data Checks'!E225/'Data Checks'!E226),R15))</f>
        <v>196.33084641597077</v>
      </c>
      <c r="S16">
        <f>IF(N15="BUY",S15*('Data Checks'!F226/'Data Checks'!F225),IF(N15="SELL",S15*('Data Checks'!F225/'Data Checks'!F226),S15))</f>
        <v>198.39416642335766</v>
      </c>
      <c r="T16" s="16">
        <f t="shared" si="10"/>
        <v>998.12733260964785</v>
      </c>
      <c r="U16" s="17">
        <f t="shared" si="14"/>
        <v>2.2273656247384643E-4</v>
      </c>
      <c r="W16" t="str">
        <f>IF(AND('Data Checks'!B226&gt;'Data Checks'!B225,'Data Checks'!B225&gt;'Data Checks'!B224,'Data Checks'!B224&gt;'Data Checks'!B223),"BUY",IF(AND('Data Checks'!B226&lt;'Data Checks'!B225,'Data Checks'!B225&lt;'Data Checks'!B224,'Data Checks'!B224&lt;'Data Checks'!B223),"SELL",""))</f>
        <v/>
      </c>
      <c r="X16" t="str">
        <f>IF(AND('Data Checks'!C226&gt;'Data Checks'!C225,'Data Checks'!C225&gt;'Data Checks'!C224,'Data Checks'!C224&gt;'Data Checks'!C223),"BUY",IF(AND('Data Checks'!C226&lt;'Data Checks'!C225,'Data Checks'!C225&lt;'Data Checks'!C224,'Data Checks'!C224&lt;'Data Checks'!C223),"SELL",""))</f>
        <v/>
      </c>
      <c r="Y16" t="str">
        <f>IF(AND('Data Checks'!D226&gt;'Data Checks'!D225,'Data Checks'!D225&gt;'Data Checks'!D224,'Data Checks'!D224&gt;'Data Checks'!D223),"BUY",IF(AND('Data Checks'!D226&lt;'Data Checks'!D225,'Data Checks'!D225&lt;'Data Checks'!D224,'Data Checks'!D224&lt;'Data Checks'!D223),"SELL",""))</f>
        <v/>
      </c>
      <c r="Z16" t="str">
        <f>IF(AND('Data Checks'!E226&gt;'Data Checks'!E225,'Data Checks'!E225&gt;'Data Checks'!E224,'Data Checks'!E224&gt;'Data Checks'!E223),"BUY",IF(AND('Data Checks'!E226&lt;'Data Checks'!E225,'Data Checks'!E225&lt;'Data Checks'!E224,'Data Checks'!E224&lt;'Data Checks'!E223),"SELL",""))</f>
        <v>SELL</v>
      </c>
      <c r="AA16" t="str">
        <f>IF(AND('Data Checks'!F226&gt;'Data Checks'!F225,'Data Checks'!F225&gt;'Data Checks'!F224,'Data Checks'!F224&gt;'Data Checks'!F223),"BUY",IF(AND('Data Checks'!F226&lt;'Data Checks'!F225,'Data Checks'!F225&lt;'Data Checks'!F224,'Data Checks'!F224&lt;'Data Checks'!F223),"SELL",""))</f>
        <v/>
      </c>
      <c r="AB16">
        <f>IF(W15="BUY",AB15*('Data Checks'!B226/'Data Checks'!B225),IF(W15="SELL",AB15*('Data Checks'!B225/'Data Checks'!B226),AB15))</f>
        <v>200</v>
      </c>
      <c r="AC16">
        <f>IF(X15="BUY",AC15*('Data Checks'!C226/'Data Checks'!C225),IF(X15="SELL",AC15*('Data Checks'!C225/'Data Checks'!C226),AC15))</f>
        <v>199.16883116883122</v>
      </c>
      <c r="AD16">
        <f>IF(Y15="BUY",AD15*('Data Checks'!D226/'Data Checks'!D225),IF(Y15="SELL",AD15*('Data Checks'!D225/'Data Checks'!D226),AD15))</f>
        <v>197.46486479323124</v>
      </c>
      <c r="AE16">
        <f>IF(Z15="BUY",AE15*('Data Checks'!E226/'Data Checks'!E225),IF(Z15="SELL",AE15*('Data Checks'!E225/'Data Checks'!E226),AE15))</f>
        <v>203.73772501979164</v>
      </c>
      <c r="AF16">
        <f>IF(AA15="BUY",AF15*('Data Checks'!F226/'Data Checks'!F225),IF(AA15="SELL",AF15*('Data Checks'!F225/'Data Checks'!F226),AF15))</f>
        <v>201.61883144609772</v>
      </c>
      <c r="AG16" s="16">
        <f t="shared" si="11"/>
        <v>1001.9902524279518</v>
      </c>
      <c r="AH16" s="17">
        <f t="shared" si="15"/>
        <v>-2.2272823116520346E-4</v>
      </c>
      <c r="AJ16" t="str">
        <f>IF('Moving Ave'!G226&gt;'Moving Ave'!L226,"SELL","BUY")</f>
        <v>BUY</v>
      </c>
      <c r="AK16" t="str">
        <f>IF('Moving Ave'!H226&gt;'Moving Ave'!M226,"SELL","BUY")</f>
        <v>BUY</v>
      </c>
      <c r="AL16" t="str">
        <f>IF('Moving Ave'!I226&gt;'Moving Ave'!N226,"SELL","BUY")</f>
        <v>SELL</v>
      </c>
      <c r="AM16" t="str">
        <f>IF('Moving Ave'!J226&gt;'Moving Ave'!O226,"SELL","BUY")</f>
        <v>BUY</v>
      </c>
      <c r="AN16" t="str">
        <f>IF('Moving Ave'!K226&gt;'Moving Ave'!P226,"SELL","BUY")</f>
        <v>SELL</v>
      </c>
      <c r="AO16">
        <f>IF(AJ15="BUY",AO15*('Data Checks'!B226/'Data Checks'!B225),AO15*('Data Checks'!B225/'Data Checks'!B226))</f>
        <v>197.88514613787521</v>
      </c>
      <c r="AP16">
        <f>IF(AK15="BUY",AP15*('Data Checks'!C226/'Data Checks'!C225),AP15*('Data Checks'!C225/'Data Checks'!C226))</f>
        <v>196.18999228321033</v>
      </c>
      <c r="AQ16">
        <f>IF(AL15="BUY",AQ15*('Data Checks'!D226/'Data Checks'!D225),AQ15*('Data Checks'!D225/'Data Checks'!D226))</f>
        <v>198.06347364967976</v>
      </c>
      <c r="AR16">
        <f>IF(AM15="BUY",AR15*('Data Checks'!E226/'Data Checks'!E225),AR15*('Data Checks'!E225/'Data Checks'!E226))</f>
        <v>196.7525879895351</v>
      </c>
      <c r="AS16">
        <f>IF(AN15="BUY",AS15*('Data Checks'!F226/'Data Checks'!F225),AS15*('Data Checks'!F225/'Data Checks'!F226))</f>
        <v>205.73950534983055</v>
      </c>
      <c r="AT16" s="16">
        <f t="shared" si="12"/>
        <v>994.63070541013087</v>
      </c>
      <c r="AU16" s="17">
        <f t="shared" si="16"/>
        <v>1.9543159241934838E-3</v>
      </c>
    </row>
    <row r="17" spans="1:47" x14ac:dyDescent="0.35">
      <c r="A17" s="2">
        <f>Prices!A225</f>
        <v>44213</v>
      </c>
      <c r="B17">
        <f>B16*('Data Checks'!B227/'Data Checks'!B226)</f>
        <v>196.4921113350714</v>
      </c>
      <c r="C17">
        <f>C16*('Data Checks'!C227/'Data Checks'!C226)</f>
        <v>196.95199890657855</v>
      </c>
      <c r="D17">
        <f>D16*('Data Checks'!D227/'Data Checks'!D226)</f>
        <v>202.60477212564319</v>
      </c>
      <c r="E17">
        <f>E16*('Data Checks'!E227/'Data Checks'!E226)</f>
        <v>195.98258801531344</v>
      </c>
      <c r="F17">
        <f>F16*('Data Checks'!F227/'Data Checks'!F226)</f>
        <v>194.94515681848108</v>
      </c>
      <c r="G17" s="16">
        <f t="shared" si="9"/>
        <v>986.97662720108769</v>
      </c>
      <c r="H17" s="17">
        <f t="shared" si="13"/>
        <v>4.2730731500553176E-3</v>
      </c>
      <c r="J17" t="str">
        <f>IF(AND('Data Checks'!B227&gt;'Data Checks'!B226,'Data Checks'!B226&gt;'Data Checks'!B225,'Data Checks'!B225&gt;'Data Checks'!B224),"SELL",IF(AND('Data Checks'!B227&lt;'Data Checks'!B226,'Data Checks'!B226&lt;'Data Checks'!B225,'Data Checks'!B225&lt;'Data Checks'!B224),"BUY",""))</f>
        <v/>
      </c>
      <c r="K17" t="str">
        <f>IF(AND('Data Checks'!C227&gt;'Data Checks'!C226,'Data Checks'!C226&gt;'Data Checks'!C225,'Data Checks'!C225&gt;'Data Checks'!C224),"SELL",IF(AND('Data Checks'!C227&lt;'Data Checks'!C226,'Data Checks'!C226&lt;'Data Checks'!C225,'Data Checks'!C225&lt;'Data Checks'!C224),"BUY",""))</f>
        <v/>
      </c>
      <c r="L17" t="str">
        <f>IF(AND('Data Checks'!D227&gt;'Data Checks'!D226,'Data Checks'!D226&gt;'Data Checks'!D225,'Data Checks'!D225&gt;'Data Checks'!D224),"SELL",IF(AND('Data Checks'!D227&lt;'Data Checks'!D226,'Data Checks'!D226&lt;'Data Checks'!D225,'Data Checks'!D225&lt;'Data Checks'!D224),"BUY",""))</f>
        <v/>
      </c>
      <c r="M17" t="str">
        <f>IF(AND('Data Checks'!E227&gt;'Data Checks'!E226,'Data Checks'!E226&gt;'Data Checks'!E225,'Data Checks'!E225&gt;'Data Checks'!E224),"SELL",IF(AND('Data Checks'!E227&lt;'Data Checks'!E226,'Data Checks'!E226&lt;'Data Checks'!E225,'Data Checks'!E225&lt;'Data Checks'!E224),"BUY",""))</f>
        <v>BUY</v>
      </c>
      <c r="N17" t="str">
        <f>IF(AND('Data Checks'!F227&gt;'Data Checks'!F226,'Data Checks'!F226&gt;'Data Checks'!F225,'Data Checks'!F225&gt;'Data Checks'!F224),"SELL",IF(AND('Data Checks'!F227&lt;'Data Checks'!F226,'Data Checks'!F226&lt;'Data Checks'!F225,'Data Checks'!F225&lt;'Data Checks'!F224),"BUY",""))</f>
        <v/>
      </c>
      <c r="O17">
        <f>IF(J16="BUY",O16*('Data Checks'!B227/'Data Checks'!B226),IF(J16="SELL",O16*('Data Checks'!B226/'Data Checks'!B227),O16))</f>
        <v>200</v>
      </c>
      <c r="P17">
        <f>IF(K16="BUY",P16*('Data Checks'!C227/'Data Checks'!C226),IF(K16="SELL",P16*('Data Checks'!C226/'Data Checks'!C227),P16))</f>
        <v>200.83463745435574</v>
      </c>
      <c r="Q17">
        <f>IF(L16="BUY",Q16*('Data Checks'!D227/'Data Checks'!D226),IF(L16="SELL",Q16*('Data Checks'!D226/'Data Checks'!D227),Q16))</f>
        <v>202.56768231596371</v>
      </c>
      <c r="R17">
        <f>IF(M16="BUY",R16*('Data Checks'!E227/'Data Checks'!E226),IF(M16="SELL",R16*('Data Checks'!E226/'Data Checks'!E227),R16))</f>
        <v>195.5624969460911</v>
      </c>
      <c r="S17">
        <f>IF(N16="BUY",S16*('Data Checks'!F227/'Data Checks'!F226),IF(N16="SELL",S16*('Data Checks'!F226/'Data Checks'!F227),S16))</f>
        <v>198.39416642335766</v>
      </c>
      <c r="T17" s="16">
        <f t="shared" si="10"/>
        <v>997.35898313976816</v>
      </c>
      <c r="U17" s="17">
        <f t="shared" si="14"/>
        <v>-7.697910324435675E-4</v>
      </c>
      <c r="W17" t="str">
        <f>IF(AND('Data Checks'!B227&gt;'Data Checks'!B226,'Data Checks'!B226&gt;'Data Checks'!B225,'Data Checks'!B225&gt;'Data Checks'!B224),"BUY",IF(AND('Data Checks'!B227&lt;'Data Checks'!B226,'Data Checks'!B226&lt;'Data Checks'!B225,'Data Checks'!B225&lt;'Data Checks'!B224),"SELL",""))</f>
        <v/>
      </c>
      <c r="X17" t="str">
        <f>IF(AND('Data Checks'!C227&gt;'Data Checks'!C226,'Data Checks'!C226&gt;'Data Checks'!C225,'Data Checks'!C225&gt;'Data Checks'!C224),"BUY",IF(AND('Data Checks'!C227&lt;'Data Checks'!C226,'Data Checks'!C226&lt;'Data Checks'!C225,'Data Checks'!C225&lt;'Data Checks'!C224),"SELL",""))</f>
        <v/>
      </c>
      <c r="Y17" t="str">
        <f>IF(AND('Data Checks'!D227&gt;'Data Checks'!D226,'Data Checks'!D226&gt;'Data Checks'!D225,'Data Checks'!D225&gt;'Data Checks'!D224),"BUY",IF(AND('Data Checks'!D227&lt;'Data Checks'!D226,'Data Checks'!D226&lt;'Data Checks'!D225,'Data Checks'!D225&lt;'Data Checks'!D224),"SELL",""))</f>
        <v/>
      </c>
      <c r="Z17" t="str">
        <f>IF(AND('Data Checks'!E227&gt;'Data Checks'!E226,'Data Checks'!E226&gt;'Data Checks'!E225,'Data Checks'!E225&gt;'Data Checks'!E224),"BUY",IF(AND('Data Checks'!E227&lt;'Data Checks'!E226,'Data Checks'!E226&lt;'Data Checks'!E225,'Data Checks'!E225&lt;'Data Checks'!E224),"SELL",""))</f>
        <v>SELL</v>
      </c>
      <c r="AA17" t="str">
        <f>IF(AND('Data Checks'!F227&gt;'Data Checks'!F226,'Data Checks'!F226&gt;'Data Checks'!F225,'Data Checks'!F225&gt;'Data Checks'!F224),"BUY",IF(AND('Data Checks'!F227&lt;'Data Checks'!F226,'Data Checks'!F226&lt;'Data Checks'!F225,'Data Checks'!F225&lt;'Data Checks'!F224),"SELL",""))</f>
        <v/>
      </c>
      <c r="AB17">
        <f>IF(W16="BUY",AB16*('Data Checks'!B227/'Data Checks'!B226),IF(W16="SELL",AB16*('Data Checks'!B226/'Data Checks'!B227),AB16))</f>
        <v>200</v>
      </c>
      <c r="AC17">
        <f>IF(X16="BUY",AC16*('Data Checks'!C227/'Data Checks'!C226),IF(X16="SELL",AC16*('Data Checks'!C226/'Data Checks'!C227),AC16))</f>
        <v>199.16883116883122</v>
      </c>
      <c r="AD17">
        <f>IF(Y16="BUY",AD16*('Data Checks'!D227/'Data Checks'!D226),IF(Y16="SELL",AD16*('Data Checks'!D226/'Data Checks'!D227),AD16))</f>
        <v>197.46486479323124</v>
      </c>
      <c r="AE17">
        <f>IF(Z16="BUY",AE16*('Data Checks'!E227/'Data Checks'!E226),IF(Z16="SELL",AE16*('Data Checks'!E226/'Data Checks'!E227),AE16))</f>
        <v>204.53819430944588</v>
      </c>
      <c r="AF17">
        <f>IF(AA16="BUY",AF16*('Data Checks'!F227/'Data Checks'!F226),IF(AA16="SELL",AF16*('Data Checks'!F226/'Data Checks'!F227),AF16))</f>
        <v>201.61883144609772</v>
      </c>
      <c r="AG17" s="16">
        <f t="shared" si="11"/>
        <v>1002.7907217176061</v>
      </c>
      <c r="AH17" s="17">
        <f t="shared" si="15"/>
        <v>7.9887931815170177E-4</v>
      </c>
      <c r="AJ17" t="str">
        <f>IF('Moving Ave'!G227&gt;'Moving Ave'!L227,"SELL","BUY")</f>
        <v>BUY</v>
      </c>
      <c r="AK17" t="str">
        <f>IF('Moving Ave'!H227&gt;'Moving Ave'!M227,"SELL","BUY")</f>
        <v>BUY</v>
      </c>
      <c r="AL17" t="str">
        <f>IF('Moving Ave'!I227&gt;'Moving Ave'!N227,"SELL","BUY")</f>
        <v>SELL</v>
      </c>
      <c r="AM17" t="str">
        <f>IF('Moving Ave'!J227&gt;'Moving Ave'!O227,"SELL","BUY")</f>
        <v>BUY</v>
      </c>
      <c r="AN17" t="str">
        <f>IF('Moving Ave'!K227&gt;'Moving Ave'!P227,"SELL","BUY")</f>
        <v>SELL</v>
      </c>
      <c r="AO17">
        <f>IF(AJ16="BUY",AO16*('Data Checks'!B227/'Data Checks'!B226),AO16*('Data Checks'!B226/'Data Checks'!B227))</f>
        <v>196.4921113350714</v>
      </c>
      <c r="AP17">
        <f>IF(AK16="BUY",AP16*('Data Checks'!C227/'Data Checks'!C226),AP16*('Data Checks'!C226/'Data Checks'!C227))</f>
        <v>196.95199890657855</v>
      </c>
      <c r="AQ17">
        <f>IF(AL16="BUY",AQ16*('Data Checks'!D227/'Data Checks'!D226),AQ16*('Data Checks'!D226/'Data Checks'!D227))</f>
        <v>193.10128974300451</v>
      </c>
      <c r="AR17">
        <f>IF(AM16="BUY",AR16*('Data Checks'!E227/'Data Checks'!E226),AR16*('Data Checks'!E226/'Data Checks'!E227))</f>
        <v>195.98258801531344</v>
      </c>
      <c r="AS17">
        <f>IF(AN16="BUY",AS16*('Data Checks'!F227/'Data Checks'!F226),AS16*('Data Checks'!F226/'Data Checks'!F227))</f>
        <v>205.1859130680796</v>
      </c>
      <c r="AT17" s="16">
        <f t="shared" si="12"/>
        <v>987.71390106804745</v>
      </c>
      <c r="AU17" s="17">
        <f t="shared" si="16"/>
        <v>-6.9541431854662772E-3</v>
      </c>
    </row>
    <row r="18" spans="1:47" x14ac:dyDescent="0.35">
      <c r="A18" s="2">
        <f>Prices!A226</f>
        <v>44217</v>
      </c>
      <c r="B18">
        <f>B17*('Data Checks'!B228/'Data Checks'!B227)</f>
        <v>199.36670407760388</v>
      </c>
      <c r="C18">
        <f>C17*('Data Checks'!C228/'Data Checks'!C227)</f>
        <v>192.68479026377415</v>
      </c>
      <c r="D18">
        <f>D17*('Data Checks'!D228/'Data Checks'!D227)</f>
        <v>200.20037402238057</v>
      </c>
      <c r="E18">
        <f>E17*('Data Checks'!E228/'Data Checks'!E227)</f>
        <v>192.36691354647095</v>
      </c>
      <c r="F18">
        <f>F17*('Data Checks'!F228/'Data Checks'!F227)</f>
        <v>195.23128271670893</v>
      </c>
      <c r="G18" s="16">
        <f t="shared" si="9"/>
        <v>979.85006462693855</v>
      </c>
      <c r="H18" s="17">
        <f t="shared" si="13"/>
        <v>-7.2205991284302051E-3</v>
      </c>
      <c r="J18" t="str">
        <f>IF(AND('Data Checks'!B228&gt;'Data Checks'!B227,'Data Checks'!B227&gt;'Data Checks'!B226,'Data Checks'!B226&gt;'Data Checks'!B225),"SELL",IF(AND('Data Checks'!B228&lt;'Data Checks'!B227,'Data Checks'!B227&lt;'Data Checks'!B226,'Data Checks'!B226&lt;'Data Checks'!B225),"BUY",""))</f>
        <v/>
      </c>
      <c r="K18" t="str">
        <f>IF(AND('Data Checks'!C228&gt;'Data Checks'!C227,'Data Checks'!C227&gt;'Data Checks'!C226,'Data Checks'!C226&gt;'Data Checks'!C225),"SELL",IF(AND('Data Checks'!C228&lt;'Data Checks'!C227,'Data Checks'!C227&lt;'Data Checks'!C226,'Data Checks'!C226&lt;'Data Checks'!C225),"BUY",""))</f>
        <v/>
      </c>
      <c r="L18" t="str">
        <f>IF(AND('Data Checks'!D228&gt;'Data Checks'!D227,'Data Checks'!D227&gt;'Data Checks'!D226,'Data Checks'!D226&gt;'Data Checks'!D225),"SELL",IF(AND('Data Checks'!D228&lt;'Data Checks'!D227,'Data Checks'!D227&lt;'Data Checks'!D226,'Data Checks'!D226&lt;'Data Checks'!D225),"BUY",""))</f>
        <v/>
      </c>
      <c r="M18" t="str">
        <f>IF(AND('Data Checks'!E228&gt;'Data Checks'!E227,'Data Checks'!E227&gt;'Data Checks'!E226,'Data Checks'!E226&gt;'Data Checks'!E225),"SELL",IF(AND('Data Checks'!E228&lt;'Data Checks'!E227,'Data Checks'!E227&lt;'Data Checks'!E226,'Data Checks'!E226&lt;'Data Checks'!E225),"BUY",""))</f>
        <v>BUY</v>
      </c>
      <c r="N18" t="str">
        <f>IF(AND('Data Checks'!F228&gt;'Data Checks'!F227,'Data Checks'!F227&gt;'Data Checks'!F226,'Data Checks'!F226&gt;'Data Checks'!F225),"SELL",IF(AND('Data Checks'!F228&lt;'Data Checks'!F227,'Data Checks'!F227&lt;'Data Checks'!F226,'Data Checks'!F226&lt;'Data Checks'!F225),"BUY",""))</f>
        <v>SELL</v>
      </c>
      <c r="O18">
        <f>IF(J17="BUY",O17*('Data Checks'!B228/'Data Checks'!B227),IF(J17="SELL",O17*('Data Checks'!B227/'Data Checks'!B228),O17))</f>
        <v>200</v>
      </c>
      <c r="P18">
        <f>IF(K17="BUY",P17*('Data Checks'!C228/'Data Checks'!C227),IF(K17="SELL",P17*('Data Checks'!C227/'Data Checks'!C228),P17))</f>
        <v>200.83463745435574</v>
      </c>
      <c r="Q18">
        <f>IF(L17="BUY",Q17*('Data Checks'!D228/'Data Checks'!D227),IF(L17="SELL",Q17*('Data Checks'!D227/'Data Checks'!D228),Q17))</f>
        <v>202.56768231596371</v>
      </c>
      <c r="R18">
        <f>IF(M17="BUY",R17*('Data Checks'!E228/'Data Checks'!E227),IF(M17="SELL",R17*('Data Checks'!E227/'Data Checks'!E228),R17))</f>
        <v>191.95457271959901</v>
      </c>
      <c r="S18">
        <f>IF(N17="BUY",S17*('Data Checks'!F228/'Data Checks'!F227),IF(N17="SELL",S17*('Data Checks'!F227/'Data Checks'!F228),S17))</f>
        <v>198.39416642335766</v>
      </c>
      <c r="T18" s="16">
        <f t="shared" si="10"/>
        <v>993.7510589132761</v>
      </c>
      <c r="U18" s="17">
        <f t="shared" si="14"/>
        <v>-3.6174780470057399E-3</v>
      </c>
      <c r="W18" t="str">
        <f>IF(AND('Data Checks'!B228&gt;'Data Checks'!B227,'Data Checks'!B227&gt;'Data Checks'!B226,'Data Checks'!B226&gt;'Data Checks'!B225),"BUY",IF(AND('Data Checks'!B228&lt;'Data Checks'!B227,'Data Checks'!B227&lt;'Data Checks'!B226,'Data Checks'!B226&lt;'Data Checks'!B225),"SELL",""))</f>
        <v/>
      </c>
      <c r="X18" t="str">
        <f>IF(AND('Data Checks'!C228&gt;'Data Checks'!C227,'Data Checks'!C227&gt;'Data Checks'!C226,'Data Checks'!C226&gt;'Data Checks'!C225),"BUY",IF(AND('Data Checks'!C228&lt;'Data Checks'!C227,'Data Checks'!C227&lt;'Data Checks'!C226,'Data Checks'!C226&lt;'Data Checks'!C225),"SELL",""))</f>
        <v/>
      </c>
      <c r="Y18" t="str">
        <f>IF(AND('Data Checks'!D228&gt;'Data Checks'!D227,'Data Checks'!D227&gt;'Data Checks'!D226,'Data Checks'!D226&gt;'Data Checks'!D225),"BUY",IF(AND('Data Checks'!D228&lt;'Data Checks'!D227,'Data Checks'!D227&lt;'Data Checks'!D226,'Data Checks'!D226&lt;'Data Checks'!D225),"SELL",""))</f>
        <v/>
      </c>
      <c r="Z18" t="str">
        <f>IF(AND('Data Checks'!E228&gt;'Data Checks'!E227,'Data Checks'!E227&gt;'Data Checks'!E226,'Data Checks'!E226&gt;'Data Checks'!E225),"BUY",IF(AND('Data Checks'!E228&lt;'Data Checks'!E227,'Data Checks'!E227&lt;'Data Checks'!E226,'Data Checks'!E226&lt;'Data Checks'!E225),"SELL",""))</f>
        <v>SELL</v>
      </c>
      <c r="AA18" t="str">
        <f>IF(AND('Data Checks'!F228&gt;'Data Checks'!F227,'Data Checks'!F227&gt;'Data Checks'!F226,'Data Checks'!F226&gt;'Data Checks'!F225),"BUY",IF(AND('Data Checks'!F228&lt;'Data Checks'!F227,'Data Checks'!F227&lt;'Data Checks'!F226,'Data Checks'!F226&lt;'Data Checks'!F225),"SELL",""))</f>
        <v>BUY</v>
      </c>
      <c r="AB18">
        <f>IF(W17="BUY",AB17*('Data Checks'!B228/'Data Checks'!B227),IF(W17="SELL",AB17*('Data Checks'!B227/'Data Checks'!B228),AB17))</f>
        <v>200</v>
      </c>
      <c r="AC18">
        <f>IF(X17="BUY",AC17*('Data Checks'!C228/'Data Checks'!C227),IF(X17="SELL",AC17*('Data Checks'!C227/'Data Checks'!C228),AC17))</f>
        <v>199.16883116883122</v>
      </c>
      <c r="AD18">
        <f>IF(Y17="BUY",AD17*('Data Checks'!D228/'Data Checks'!D227),IF(Y17="SELL",AD17*('Data Checks'!D227/'Data Checks'!D228),AD17))</f>
        <v>197.46486479323124</v>
      </c>
      <c r="AE18">
        <f>IF(Z17="BUY",AE17*('Data Checks'!E228/'Data Checks'!E227),IF(Z17="SELL",AE17*('Data Checks'!E227/'Data Checks'!E228),AE17))</f>
        <v>208.38263675245025</v>
      </c>
      <c r="AF18">
        <f>IF(AA17="BUY",AF17*('Data Checks'!F228/'Data Checks'!F227),IF(AA17="SELL",AF17*('Data Checks'!F227/'Data Checks'!F228),AF17))</f>
        <v>201.61883144609772</v>
      </c>
      <c r="AG18" s="16">
        <f t="shared" si="11"/>
        <v>1006.6351641606104</v>
      </c>
      <c r="AH18" s="17">
        <f t="shared" si="15"/>
        <v>3.8337435316708746E-3</v>
      </c>
      <c r="AJ18" t="str">
        <f>IF('Moving Ave'!G228&gt;'Moving Ave'!L228,"SELL","BUY")</f>
        <v>BUY</v>
      </c>
      <c r="AK18" t="str">
        <f>IF('Moving Ave'!H228&gt;'Moving Ave'!M228,"SELL","BUY")</f>
        <v>BUY</v>
      </c>
      <c r="AL18" t="str">
        <f>IF('Moving Ave'!I228&gt;'Moving Ave'!N228,"SELL","BUY")</f>
        <v>SELL</v>
      </c>
      <c r="AM18" t="str">
        <f>IF('Moving Ave'!J228&gt;'Moving Ave'!O228,"SELL","BUY")</f>
        <v>BUY</v>
      </c>
      <c r="AN18" t="str">
        <f>IF('Moving Ave'!K228&gt;'Moving Ave'!P228,"SELL","BUY")</f>
        <v>SELL</v>
      </c>
      <c r="AO18">
        <f>IF(AJ17="BUY",AO17*('Data Checks'!B228/'Data Checks'!B227),AO17*('Data Checks'!B227/'Data Checks'!B228))</f>
        <v>199.36670407760388</v>
      </c>
      <c r="AP18">
        <f>IF(AK17="BUY",AP17*('Data Checks'!C228/'Data Checks'!C227),AP17*('Data Checks'!C227/'Data Checks'!C228))</f>
        <v>192.68479026377415</v>
      </c>
      <c r="AQ18">
        <f>IF(AL17="BUY",AQ17*('Data Checks'!D228/'Data Checks'!D227),AQ17*('Data Checks'!D227/'Data Checks'!D228))</f>
        <v>195.42042814153587</v>
      </c>
      <c r="AR18">
        <f>IF(AM17="BUY",AR17*('Data Checks'!E228/'Data Checks'!E227),AR17*('Data Checks'!E227/'Data Checks'!E228))</f>
        <v>192.36691354647095</v>
      </c>
      <c r="AS18">
        <f>IF(AN17="BUY",AS17*('Data Checks'!F228/'Data Checks'!F227),AS17*('Data Checks'!F227/'Data Checks'!F228))</f>
        <v>204.88519792210838</v>
      </c>
      <c r="AT18" s="16">
        <f t="shared" si="12"/>
        <v>984.72403395149331</v>
      </c>
      <c r="AU18" s="17">
        <f t="shared" si="16"/>
        <v>-3.0270578487566757E-3</v>
      </c>
    </row>
    <row r="19" spans="1:47" x14ac:dyDescent="0.35">
      <c r="A19" s="2">
        <f>Prices!A227</f>
        <v>44218</v>
      </c>
      <c r="B19">
        <f>B18*('Data Checks'!B229/'Data Checks'!B228)</f>
        <v>198.88830417706805</v>
      </c>
      <c r="C19">
        <f>C18*('Data Checks'!C229/'Data Checks'!C228)</f>
        <v>193.39599170424154</v>
      </c>
      <c r="D19">
        <f>D18*('Data Checks'!D229/'Data Checks'!D228)</f>
        <v>202.03707133139204</v>
      </c>
      <c r="E19">
        <f>E18*('Data Checks'!E229/'Data Checks'!E228)</f>
        <v>192.29995673585682</v>
      </c>
      <c r="F19">
        <f>F18*('Data Checks'!F229/'Data Checks'!F228)</f>
        <v>195.66046441097478</v>
      </c>
      <c r="G19" s="16">
        <f t="shared" si="9"/>
        <v>982.28178835953327</v>
      </c>
      <c r="H19" s="17">
        <f t="shared" si="13"/>
        <v>2.4817304405859719E-3</v>
      </c>
      <c r="J19" t="str">
        <f>IF(AND('Data Checks'!B229&gt;'Data Checks'!B228,'Data Checks'!B228&gt;'Data Checks'!B227,'Data Checks'!B227&gt;'Data Checks'!B226),"SELL",IF(AND('Data Checks'!B229&lt;'Data Checks'!B228,'Data Checks'!B228&lt;'Data Checks'!B227,'Data Checks'!B227&lt;'Data Checks'!B226),"BUY",""))</f>
        <v/>
      </c>
      <c r="K19" t="str">
        <f>IF(AND('Data Checks'!C229&gt;'Data Checks'!C228,'Data Checks'!C228&gt;'Data Checks'!C227,'Data Checks'!C227&gt;'Data Checks'!C226),"SELL",IF(AND('Data Checks'!C229&lt;'Data Checks'!C228,'Data Checks'!C228&lt;'Data Checks'!C227,'Data Checks'!C227&lt;'Data Checks'!C226),"BUY",""))</f>
        <v/>
      </c>
      <c r="L19" t="str">
        <f>IF(AND('Data Checks'!D229&gt;'Data Checks'!D228,'Data Checks'!D228&gt;'Data Checks'!D227,'Data Checks'!D227&gt;'Data Checks'!D226),"SELL",IF(AND('Data Checks'!D229&lt;'Data Checks'!D228,'Data Checks'!D228&lt;'Data Checks'!D227,'Data Checks'!D227&lt;'Data Checks'!D226),"BUY",""))</f>
        <v/>
      </c>
      <c r="M19" t="str">
        <f>IF(AND('Data Checks'!E229&gt;'Data Checks'!E228,'Data Checks'!E228&gt;'Data Checks'!E227,'Data Checks'!E227&gt;'Data Checks'!E226),"SELL",IF(AND('Data Checks'!E229&lt;'Data Checks'!E228,'Data Checks'!E228&lt;'Data Checks'!E227,'Data Checks'!E227&lt;'Data Checks'!E226),"BUY",""))</f>
        <v>BUY</v>
      </c>
      <c r="N19" t="str">
        <f>IF(AND('Data Checks'!F229&gt;'Data Checks'!F228,'Data Checks'!F228&gt;'Data Checks'!F227,'Data Checks'!F227&gt;'Data Checks'!F226),"SELL",IF(AND('Data Checks'!F229&lt;'Data Checks'!F228,'Data Checks'!F228&lt;'Data Checks'!F227,'Data Checks'!F227&lt;'Data Checks'!F226),"BUY",""))</f>
        <v>SELL</v>
      </c>
      <c r="O19">
        <f>IF(J18="BUY",O18*('Data Checks'!B229/'Data Checks'!B228),IF(J18="SELL",O18*('Data Checks'!B228/'Data Checks'!B229),O18))</f>
        <v>200</v>
      </c>
      <c r="P19">
        <f>IF(K18="BUY",P18*('Data Checks'!C229/'Data Checks'!C228),IF(K18="SELL",P18*('Data Checks'!C228/'Data Checks'!C229),P18))</f>
        <v>200.83463745435574</v>
      </c>
      <c r="Q19">
        <f>IF(L18="BUY",Q18*('Data Checks'!D229/'Data Checks'!D228),IF(L18="SELL",Q18*('Data Checks'!D228/'Data Checks'!D229),Q18))</f>
        <v>202.56768231596371</v>
      </c>
      <c r="R19">
        <f>IF(M18="BUY",R18*('Data Checks'!E229/'Data Checks'!E228),IF(M18="SELL",R18*('Data Checks'!E228/'Data Checks'!E229),R18))</f>
        <v>191.88775943172561</v>
      </c>
      <c r="S19">
        <f>IF(N18="BUY",S18*('Data Checks'!F229/'Data Checks'!F228),IF(N18="SELL",S18*('Data Checks'!F228/'Data Checks'!F229),S18))</f>
        <v>197.95898834722274</v>
      </c>
      <c r="T19" s="16">
        <f t="shared" si="10"/>
        <v>993.24906754926781</v>
      </c>
      <c r="U19" s="17">
        <f t="shared" si="14"/>
        <v>-5.0514800412615468E-4</v>
      </c>
      <c r="W19" t="str">
        <f>IF(AND('Data Checks'!B229&gt;'Data Checks'!B228,'Data Checks'!B228&gt;'Data Checks'!B227,'Data Checks'!B227&gt;'Data Checks'!B226),"BUY",IF(AND('Data Checks'!B229&lt;'Data Checks'!B228,'Data Checks'!B228&lt;'Data Checks'!B227,'Data Checks'!B227&lt;'Data Checks'!B226),"SELL",""))</f>
        <v/>
      </c>
      <c r="X19" t="str">
        <f>IF(AND('Data Checks'!C229&gt;'Data Checks'!C228,'Data Checks'!C228&gt;'Data Checks'!C227,'Data Checks'!C227&gt;'Data Checks'!C226),"BUY",IF(AND('Data Checks'!C229&lt;'Data Checks'!C228,'Data Checks'!C228&lt;'Data Checks'!C227,'Data Checks'!C227&lt;'Data Checks'!C226),"SELL",""))</f>
        <v/>
      </c>
      <c r="Y19" t="str">
        <f>IF(AND('Data Checks'!D229&gt;'Data Checks'!D228,'Data Checks'!D228&gt;'Data Checks'!D227,'Data Checks'!D227&gt;'Data Checks'!D226),"BUY",IF(AND('Data Checks'!D229&lt;'Data Checks'!D228,'Data Checks'!D228&lt;'Data Checks'!D227,'Data Checks'!D227&lt;'Data Checks'!D226),"SELL",""))</f>
        <v/>
      </c>
      <c r="Z19" t="str">
        <f>IF(AND('Data Checks'!E229&gt;'Data Checks'!E228,'Data Checks'!E228&gt;'Data Checks'!E227,'Data Checks'!E227&gt;'Data Checks'!E226),"BUY",IF(AND('Data Checks'!E229&lt;'Data Checks'!E228,'Data Checks'!E228&lt;'Data Checks'!E227,'Data Checks'!E227&lt;'Data Checks'!E226),"SELL",""))</f>
        <v>SELL</v>
      </c>
      <c r="AA19" t="str">
        <f>IF(AND('Data Checks'!F229&gt;'Data Checks'!F228,'Data Checks'!F228&gt;'Data Checks'!F227,'Data Checks'!F227&gt;'Data Checks'!F226),"BUY",IF(AND('Data Checks'!F229&lt;'Data Checks'!F228,'Data Checks'!F228&lt;'Data Checks'!F227,'Data Checks'!F227&lt;'Data Checks'!F226),"SELL",""))</f>
        <v>BUY</v>
      </c>
      <c r="AB19">
        <f>IF(W18="BUY",AB18*('Data Checks'!B229/'Data Checks'!B228),IF(W18="SELL",AB18*('Data Checks'!B228/'Data Checks'!B229),AB18))</f>
        <v>200</v>
      </c>
      <c r="AC19">
        <f>IF(X18="BUY",AC18*('Data Checks'!C229/'Data Checks'!C228),IF(X18="SELL",AC18*('Data Checks'!C228/'Data Checks'!C229),AC18))</f>
        <v>199.16883116883122</v>
      </c>
      <c r="AD19">
        <f>IF(Y18="BUY",AD18*('Data Checks'!D229/'Data Checks'!D228),IF(Y18="SELL",AD18*('Data Checks'!D228/'Data Checks'!D229),AD18))</f>
        <v>197.46486479323124</v>
      </c>
      <c r="AE19">
        <f>IF(Z18="BUY",AE18*('Data Checks'!E229/'Data Checks'!E228),IF(Z18="SELL",AE18*('Data Checks'!E228/'Data Checks'!E229),AE18))</f>
        <v>208.45519338210914</v>
      </c>
      <c r="AF19">
        <f>IF(AA18="BUY",AF18*('Data Checks'!F229/'Data Checks'!F228),IF(AA18="SELL",AF18*('Data Checks'!F228/'Data Checks'!F229),AF18))</f>
        <v>202.06205504465132</v>
      </c>
      <c r="AG19" s="16">
        <f t="shared" si="11"/>
        <v>1007.1509443888228</v>
      </c>
      <c r="AH19" s="17">
        <f t="shared" si="15"/>
        <v>5.1238049948554298E-4</v>
      </c>
      <c r="AJ19" t="str">
        <f>IF('Moving Ave'!G229&gt;'Moving Ave'!L229,"SELL","BUY")</f>
        <v>BUY</v>
      </c>
      <c r="AK19" t="str">
        <f>IF('Moving Ave'!H229&gt;'Moving Ave'!M229,"SELL","BUY")</f>
        <v>BUY</v>
      </c>
      <c r="AL19" t="str">
        <f>IF('Moving Ave'!I229&gt;'Moving Ave'!N229,"SELL","BUY")</f>
        <v>SELL</v>
      </c>
      <c r="AM19" t="str">
        <f>IF('Moving Ave'!J229&gt;'Moving Ave'!O229,"SELL","BUY")</f>
        <v>BUY</v>
      </c>
      <c r="AN19" t="str">
        <f>IF('Moving Ave'!K229&gt;'Moving Ave'!P229,"SELL","BUY")</f>
        <v>SELL</v>
      </c>
      <c r="AO19">
        <f>IF(AJ18="BUY",AO18*('Data Checks'!B229/'Data Checks'!B228),AO18*('Data Checks'!B228/'Data Checks'!B229))</f>
        <v>198.88830417706805</v>
      </c>
      <c r="AP19">
        <f>IF(AK18="BUY",AP18*('Data Checks'!C229/'Data Checks'!C228),AP18*('Data Checks'!C228/'Data Checks'!C229))</f>
        <v>193.39599170424154</v>
      </c>
      <c r="AQ19">
        <f>IF(AL18="BUY",AQ18*('Data Checks'!D229/'Data Checks'!D228),AQ18*('Data Checks'!D228/'Data Checks'!D229))</f>
        <v>193.64388202488436</v>
      </c>
      <c r="AR19">
        <f>IF(AM18="BUY",AR18*('Data Checks'!E229/'Data Checks'!E228),AR18*('Data Checks'!E228/'Data Checks'!E229))</f>
        <v>192.29995673585682</v>
      </c>
      <c r="AS19">
        <f>IF(AN18="BUY",AS18*('Data Checks'!F229/'Data Checks'!F228),AS18*('Data Checks'!F228/'Data Checks'!F229))</f>
        <v>204.43578175293533</v>
      </c>
      <c r="AT19" s="16">
        <f t="shared" si="12"/>
        <v>982.66391639498602</v>
      </c>
      <c r="AU19" s="17">
        <f t="shared" si="16"/>
        <v>-2.0920760390507054E-3</v>
      </c>
    </row>
    <row r="20" spans="1:47" x14ac:dyDescent="0.35">
      <c r="A20" s="2">
        <f>Prices!A228</f>
        <v>44219</v>
      </c>
      <c r="B20">
        <f>B19*('Data Checks'!B230/'Data Checks'!B229)</f>
        <v>198.58482790614997</v>
      </c>
      <c r="C20">
        <f>C19*('Data Checks'!C230/'Data Checks'!C229)</f>
        <v>191.61799318308334</v>
      </c>
      <c r="D20">
        <f>D19*('Data Checks'!D230/'Data Checks'!D229)</f>
        <v>196.72733672945958</v>
      </c>
      <c r="E20">
        <f>E19*('Data Checks'!E230/'Data Checks'!E229)</f>
        <v>192.16605315815022</v>
      </c>
      <c r="F20">
        <f>F19*('Data Checks'!F230/'Data Checks'!F229)</f>
        <v>193.84835756578491</v>
      </c>
      <c r="G20" s="16">
        <f t="shared" si="9"/>
        <v>972.94456854262808</v>
      </c>
      <c r="H20" s="17">
        <f t="shared" si="13"/>
        <v>-9.5056428079551836E-3</v>
      </c>
      <c r="J20" t="str">
        <f>IF(AND('Data Checks'!B230&gt;'Data Checks'!B229,'Data Checks'!B229&gt;'Data Checks'!B228,'Data Checks'!B228&gt;'Data Checks'!B227),"SELL",IF(AND('Data Checks'!B230&lt;'Data Checks'!B229,'Data Checks'!B229&lt;'Data Checks'!B228,'Data Checks'!B228&lt;'Data Checks'!B227),"BUY",""))</f>
        <v/>
      </c>
      <c r="K20" t="str">
        <f>IF(AND('Data Checks'!C230&gt;'Data Checks'!C229,'Data Checks'!C229&gt;'Data Checks'!C228,'Data Checks'!C228&gt;'Data Checks'!C227),"SELL",IF(AND('Data Checks'!C230&lt;'Data Checks'!C229,'Data Checks'!C229&lt;'Data Checks'!C228,'Data Checks'!C228&lt;'Data Checks'!C227),"BUY",""))</f>
        <v/>
      </c>
      <c r="L20" t="str">
        <f>IF(AND('Data Checks'!D230&gt;'Data Checks'!D229,'Data Checks'!D229&gt;'Data Checks'!D228,'Data Checks'!D228&gt;'Data Checks'!D227),"SELL",IF(AND('Data Checks'!D230&lt;'Data Checks'!D229,'Data Checks'!D229&lt;'Data Checks'!D228,'Data Checks'!D228&lt;'Data Checks'!D227),"BUY",""))</f>
        <v/>
      </c>
      <c r="M20" t="str">
        <f>IF(AND('Data Checks'!E230&gt;'Data Checks'!E229,'Data Checks'!E229&gt;'Data Checks'!E228,'Data Checks'!E228&gt;'Data Checks'!E227),"SELL",IF(AND('Data Checks'!E230&lt;'Data Checks'!E229,'Data Checks'!E229&lt;'Data Checks'!E228,'Data Checks'!E228&lt;'Data Checks'!E227),"BUY",""))</f>
        <v>BUY</v>
      </c>
      <c r="N20" t="str">
        <f>IF(AND('Data Checks'!F230&gt;'Data Checks'!F229,'Data Checks'!F229&gt;'Data Checks'!F228,'Data Checks'!F228&gt;'Data Checks'!F227),"SELL",IF(AND('Data Checks'!F230&lt;'Data Checks'!F229,'Data Checks'!F229&lt;'Data Checks'!F228,'Data Checks'!F228&lt;'Data Checks'!F227),"BUY",""))</f>
        <v/>
      </c>
      <c r="O20">
        <f>IF(J19="BUY",O19*('Data Checks'!B230/'Data Checks'!B229),IF(J19="SELL",O19*('Data Checks'!B229/'Data Checks'!B230),O19))</f>
        <v>200</v>
      </c>
      <c r="P20">
        <f>IF(K19="BUY",P19*('Data Checks'!C230/'Data Checks'!C229),IF(K19="SELL",P19*('Data Checks'!C229/'Data Checks'!C230),P19))</f>
        <v>200.83463745435574</v>
      </c>
      <c r="Q20">
        <f>IF(L19="BUY",Q19*('Data Checks'!D230/'Data Checks'!D229),IF(L19="SELL",Q19*('Data Checks'!D229/'Data Checks'!D230),Q19))</f>
        <v>202.56768231596371</v>
      </c>
      <c r="R20">
        <f>IF(M19="BUY",R19*('Data Checks'!E230/'Data Checks'!E229),IF(M19="SELL",R19*('Data Checks'!E229/'Data Checks'!E230),R19))</f>
        <v>191.75414287797201</v>
      </c>
      <c r="S20">
        <f>IF(N19="BUY",S19*('Data Checks'!F230/'Data Checks'!F229),IF(N19="SELL",S19*('Data Checks'!F229/'Data Checks'!F230),S19))</f>
        <v>199.80952163187609</v>
      </c>
      <c r="T20" s="16">
        <f t="shared" si="10"/>
        <v>994.9659842801675</v>
      </c>
      <c r="U20" s="17">
        <f t="shared" si="14"/>
        <v>1.7285863002478585E-3</v>
      </c>
      <c r="W20" t="str">
        <f>IF(AND('Data Checks'!B230&gt;'Data Checks'!B229,'Data Checks'!B229&gt;'Data Checks'!B228,'Data Checks'!B228&gt;'Data Checks'!B227),"BUY",IF(AND('Data Checks'!B230&lt;'Data Checks'!B229,'Data Checks'!B229&lt;'Data Checks'!B228,'Data Checks'!B228&lt;'Data Checks'!B227),"SELL",""))</f>
        <v/>
      </c>
      <c r="X20" t="str">
        <f>IF(AND('Data Checks'!C230&gt;'Data Checks'!C229,'Data Checks'!C229&gt;'Data Checks'!C228,'Data Checks'!C228&gt;'Data Checks'!C227),"BUY",IF(AND('Data Checks'!C230&lt;'Data Checks'!C229,'Data Checks'!C229&lt;'Data Checks'!C228,'Data Checks'!C228&lt;'Data Checks'!C227),"SELL",""))</f>
        <v/>
      </c>
      <c r="Y20" t="str">
        <f>IF(AND('Data Checks'!D230&gt;'Data Checks'!D229,'Data Checks'!D229&gt;'Data Checks'!D228,'Data Checks'!D228&gt;'Data Checks'!D227),"BUY",IF(AND('Data Checks'!D230&lt;'Data Checks'!D229,'Data Checks'!D229&lt;'Data Checks'!D228,'Data Checks'!D228&lt;'Data Checks'!D227),"SELL",""))</f>
        <v/>
      </c>
      <c r="Z20" t="str">
        <f>IF(AND('Data Checks'!E230&gt;'Data Checks'!E229,'Data Checks'!E229&gt;'Data Checks'!E228,'Data Checks'!E228&gt;'Data Checks'!E227),"BUY",IF(AND('Data Checks'!E230&lt;'Data Checks'!E229,'Data Checks'!E229&lt;'Data Checks'!E228,'Data Checks'!E228&lt;'Data Checks'!E227),"SELL",""))</f>
        <v>SELL</v>
      </c>
      <c r="AA20" t="str">
        <f>IF(AND('Data Checks'!F230&gt;'Data Checks'!F229,'Data Checks'!F229&gt;'Data Checks'!F228,'Data Checks'!F228&gt;'Data Checks'!F227),"BUY",IF(AND('Data Checks'!F230&lt;'Data Checks'!F229,'Data Checks'!F229&lt;'Data Checks'!F228,'Data Checks'!F228&lt;'Data Checks'!F227),"SELL",""))</f>
        <v/>
      </c>
      <c r="AB20">
        <f>IF(W19="BUY",AB19*('Data Checks'!B230/'Data Checks'!B229),IF(W19="SELL",AB19*('Data Checks'!B229/'Data Checks'!B230),AB19))</f>
        <v>200</v>
      </c>
      <c r="AC20">
        <f>IF(X19="BUY",AC19*('Data Checks'!C230/'Data Checks'!C229),IF(X19="SELL",AC19*('Data Checks'!C229/'Data Checks'!C230),AC19))</f>
        <v>199.16883116883122</v>
      </c>
      <c r="AD20">
        <f>IF(Y19="BUY",AD19*('Data Checks'!D230/'Data Checks'!D229),IF(Y19="SELL",AD19*('Data Checks'!D229/'Data Checks'!D230),AD19))</f>
        <v>197.46486479323124</v>
      </c>
      <c r="AE20">
        <f>IF(Z19="BUY",AE19*('Data Checks'!E230/'Data Checks'!E229),IF(Z19="SELL",AE19*('Data Checks'!E229/'Data Checks'!E230),AE19))</f>
        <v>208.6004474253007</v>
      </c>
      <c r="AF20">
        <f>IF(AA19="BUY",AF19*('Data Checks'!F230/'Data Checks'!F229),IF(AA19="SELL",AF19*('Data Checks'!F229/'Data Checks'!F230),AF19))</f>
        <v>200.19065995110574</v>
      </c>
      <c r="AG20" s="16">
        <f t="shared" si="11"/>
        <v>1005.4248033384689</v>
      </c>
      <c r="AH20" s="17">
        <f t="shared" si="15"/>
        <v>-1.7138851529364674E-3</v>
      </c>
      <c r="AJ20" t="str">
        <f>IF('Moving Ave'!G230&gt;'Moving Ave'!L230,"SELL","BUY")</f>
        <v>BUY</v>
      </c>
      <c r="AK20" t="str">
        <f>IF('Moving Ave'!H230&gt;'Moving Ave'!M230,"SELL","BUY")</f>
        <v>BUY</v>
      </c>
      <c r="AL20" t="str">
        <f>IF('Moving Ave'!I230&gt;'Moving Ave'!N230,"SELL","BUY")</f>
        <v>SELL</v>
      </c>
      <c r="AM20" t="str">
        <f>IF('Moving Ave'!J230&gt;'Moving Ave'!O230,"SELL","BUY")</f>
        <v>BUY</v>
      </c>
      <c r="AN20" t="str">
        <f>IF('Moving Ave'!K230&gt;'Moving Ave'!P230,"SELL","BUY")</f>
        <v>SELL</v>
      </c>
      <c r="AO20">
        <f>IF(AJ19="BUY",AO19*('Data Checks'!B230/'Data Checks'!B229),AO19*('Data Checks'!B229/'Data Checks'!B230))</f>
        <v>198.58482790614997</v>
      </c>
      <c r="AP20">
        <f>IF(AK19="BUY",AP19*('Data Checks'!C230/'Data Checks'!C229),AP19*('Data Checks'!C229/'Data Checks'!C230))</f>
        <v>191.61799318308334</v>
      </c>
      <c r="AQ20">
        <f>IF(AL19="BUY",AQ19*('Data Checks'!D230/'Data Checks'!D229),AQ19*('Data Checks'!D229/'Data Checks'!D230))</f>
        <v>198.87039318461223</v>
      </c>
      <c r="AR20">
        <f>IF(AM19="BUY",AR19*('Data Checks'!E230/'Data Checks'!E229),AR19*('Data Checks'!E229/'Data Checks'!E230))</f>
        <v>192.16605315815022</v>
      </c>
      <c r="AS20">
        <f>IF(AN19="BUY",AS19*('Data Checks'!F230/'Data Checks'!F229),AS19*('Data Checks'!F229/'Data Checks'!F230))</f>
        <v>206.34686051660512</v>
      </c>
      <c r="AT20" s="16">
        <f t="shared" si="12"/>
        <v>987.58612794860096</v>
      </c>
      <c r="AU20" s="17">
        <f t="shared" si="16"/>
        <v>5.0090488431411284E-3</v>
      </c>
    </row>
    <row r="21" spans="1:47" x14ac:dyDescent="0.35">
      <c r="A21" s="2">
        <f>Prices!A229</f>
        <v>44220</v>
      </c>
      <c r="B21">
        <f>B20*('Data Checks'!B231/'Data Checks'!B230)</f>
        <v>196.16756552300794</v>
      </c>
      <c r="C21">
        <f>C20*('Data Checks'!C231/'Data Checks'!C230)</f>
        <v>190.60198604526249</v>
      </c>
      <c r="D21">
        <f>D20*('Data Checks'!D231/'Data Checks'!D230)</f>
        <v>192.88695596738947</v>
      </c>
      <c r="E21">
        <f>E20*('Data Checks'!E231/'Data Checks'!E230)</f>
        <v>191.39603644472595</v>
      </c>
      <c r="F21">
        <f>F20*('Data Checks'!F231/'Data Checks'!F230)</f>
        <v>196.28040624149375</v>
      </c>
      <c r="G21" s="16">
        <f t="shared" si="9"/>
        <v>967.33295022187963</v>
      </c>
      <c r="H21" s="17">
        <f t="shared" si="13"/>
        <v>-5.7676649854309092E-3</v>
      </c>
      <c r="J21" t="str">
        <f>IF(AND('Data Checks'!B231&gt;'Data Checks'!B230,'Data Checks'!B230&gt;'Data Checks'!B229,'Data Checks'!B229&gt;'Data Checks'!B228),"SELL",IF(AND('Data Checks'!B231&lt;'Data Checks'!B230,'Data Checks'!B230&lt;'Data Checks'!B229,'Data Checks'!B229&lt;'Data Checks'!B228),"BUY",""))</f>
        <v>BUY</v>
      </c>
      <c r="K21" t="str">
        <f>IF(AND('Data Checks'!C231&gt;'Data Checks'!C230,'Data Checks'!C230&gt;'Data Checks'!C229,'Data Checks'!C229&gt;'Data Checks'!C228),"SELL",IF(AND('Data Checks'!C231&lt;'Data Checks'!C230,'Data Checks'!C230&lt;'Data Checks'!C229,'Data Checks'!C229&lt;'Data Checks'!C228),"BUY",""))</f>
        <v/>
      </c>
      <c r="L21" t="str">
        <f>IF(AND('Data Checks'!D231&gt;'Data Checks'!D230,'Data Checks'!D230&gt;'Data Checks'!D229,'Data Checks'!D229&gt;'Data Checks'!D228),"SELL",IF(AND('Data Checks'!D231&lt;'Data Checks'!D230,'Data Checks'!D230&lt;'Data Checks'!D229,'Data Checks'!D229&lt;'Data Checks'!D228),"BUY",""))</f>
        <v/>
      </c>
      <c r="M21" t="str">
        <f>IF(AND('Data Checks'!E231&gt;'Data Checks'!E230,'Data Checks'!E230&gt;'Data Checks'!E229,'Data Checks'!E229&gt;'Data Checks'!E228),"SELL",IF(AND('Data Checks'!E231&lt;'Data Checks'!E230,'Data Checks'!E230&lt;'Data Checks'!E229,'Data Checks'!E229&lt;'Data Checks'!E228),"BUY",""))</f>
        <v>BUY</v>
      </c>
      <c r="N21" t="str">
        <f>IF(AND('Data Checks'!F231&gt;'Data Checks'!F230,'Data Checks'!F230&gt;'Data Checks'!F229,'Data Checks'!F229&gt;'Data Checks'!F228),"SELL",IF(AND('Data Checks'!F231&lt;'Data Checks'!F230,'Data Checks'!F230&lt;'Data Checks'!F229,'Data Checks'!F229&lt;'Data Checks'!F228),"BUY",""))</f>
        <v/>
      </c>
      <c r="O21">
        <f>IF(J20="BUY",O20*('Data Checks'!B231/'Data Checks'!B230),IF(J20="SELL",O20*('Data Checks'!B230/'Data Checks'!B231),O20))</f>
        <v>200</v>
      </c>
      <c r="P21">
        <f>IF(K20="BUY",P20*('Data Checks'!C231/'Data Checks'!C230),IF(K20="SELL",P20*('Data Checks'!C230/'Data Checks'!C231),P20))</f>
        <v>200.83463745435574</v>
      </c>
      <c r="Q21">
        <f>IF(L20="BUY",Q20*('Data Checks'!D231/'Data Checks'!D230),IF(L20="SELL",Q20*('Data Checks'!D230/'Data Checks'!D231),Q20))</f>
        <v>202.56768231596371</v>
      </c>
      <c r="R21">
        <f>IF(M20="BUY",R20*('Data Checks'!E231/'Data Checks'!E230),IF(M20="SELL",R20*('Data Checks'!E230/'Data Checks'!E231),R20))</f>
        <v>190.98577670477042</v>
      </c>
      <c r="S21">
        <f>IF(N20="BUY",S20*('Data Checks'!F231/'Data Checks'!F230),IF(N20="SELL",S20*('Data Checks'!F230/'Data Checks'!F231),S20))</f>
        <v>199.80952163187609</v>
      </c>
      <c r="T21" s="16">
        <f t="shared" si="10"/>
        <v>994.19761810696593</v>
      </c>
      <c r="U21" s="17">
        <f t="shared" si="14"/>
        <v>-7.7225371052003222E-4</v>
      </c>
      <c r="W21" t="str">
        <f>IF(AND('Data Checks'!B231&gt;'Data Checks'!B230,'Data Checks'!B230&gt;'Data Checks'!B229,'Data Checks'!B229&gt;'Data Checks'!B228),"BUY",IF(AND('Data Checks'!B231&lt;'Data Checks'!B230,'Data Checks'!B230&lt;'Data Checks'!B229,'Data Checks'!B229&lt;'Data Checks'!B228),"SELL",""))</f>
        <v>SELL</v>
      </c>
      <c r="X21" t="str">
        <f>IF(AND('Data Checks'!C231&gt;'Data Checks'!C230,'Data Checks'!C230&gt;'Data Checks'!C229,'Data Checks'!C229&gt;'Data Checks'!C228),"BUY",IF(AND('Data Checks'!C231&lt;'Data Checks'!C230,'Data Checks'!C230&lt;'Data Checks'!C229,'Data Checks'!C229&lt;'Data Checks'!C228),"SELL",""))</f>
        <v/>
      </c>
      <c r="Y21" t="str">
        <f>IF(AND('Data Checks'!D231&gt;'Data Checks'!D230,'Data Checks'!D230&gt;'Data Checks'!D229,'Data Checks'!D229&gt;'Data Checks'!D228),"BUY",IF(AND('Data Checks'!D231&lt;'Data Checks'!D230,'Data Checks'!D230&lt;'Data Checks'!D229,'Data Checks'!D229&lt;'Data Checks'!D228),"SELL",""))</f>
        <v/>
      </c>
      <c r="Z21" t="str">
        <f>IF(AND('Data Checks'!E231&gt;'Data Checks'!E230,'Data Checks'!E230&gt;'Data Checks'!E229,'Data Checks'!E229&gt;'Data Checks'!E228),"BUY",IF(AND('Data Checks'!E231&lt;'Data Checks'!E230,'Data Checks'!E230&lt;'Data Checks'!E229,'Data Checks'!E229&lt;'Data Checks'!E228),"SELL",""))</f>
        <v>SELL</v>
      </c>
      <c r="AA21" t="str">
        <f>IF(AND('Data Checks'!F231&gt;'Data Checks'!F230,'Data Checks'!F230&gt;'Data Checks'!F229,'Data Checks'!F229&gt;'Data Checks'!F228),"BUY",IF(AND('Data Checks'!F231&lt;'Data Checks'!F230,'Data Checks'!F230&lt;'Data Checks'!F229,'Data Checks'!F229&lt;'Data Checks'!F228),"SELL",""))</f>
        <v/>
      </c>
      <c r="AB21">
        <f>IF(W20="BUY",AB20*('Data Checks'!B231/'Data Checks'!B230),IF(W20="SELL",AB20*('Data Checks'!B230/'Data Checks'!B231),AB20))</f>
        <v>200</v>
      </c>
      <c r="AC21">
        <f>IF(X20="BUY",AC20*('Data Checks'!C231/'Data Checks'!C230),IF(X20="SELL",AC20*('Data Checks'!C230/'Data Checks'!C231),AC20))</f>
        <v>199.16883116883122</v>
      </c>
      <c r="AD21">
        <f>IF(Y20="BUY",AD20*('Data Checks'!D231/'Data Checks'!D230),IF(Y20="SELL",AD20*('Data Checks'!D230/'Data Checks'!D231),AD20))</f>
        <v>197.46486479323124</v>
      </c>
      <c r="AE21">
        <f>IF(Z20="BUY",AE20*('Data Checks'!E231/'Data Checks'!E230),IF(Z20="SELL",AE20*('Data Checks'!E230/'Data Checks'!E231),AE20))</f>
        <v>209.43968022201355</v>
      </c>
      <c r="AF21">
        <f>IF(AA20="BUY",AF20*('Data Checks'!F231/'Data Checks'!F230),IF(AA20="SELL",AF20*('Data Checks'!F230/'Data Checks'!F231),AF20))</f>
        <v>200.19065995110574</v>
      </c>
      <c r="AG21" s="16">
        <f t="shared" si="11"/>
        <v>1006.2640361351818</v>
      </c>
      <c r="AH21" s="17">
        <f t="shared" si="15"/>
        <v>8.3470468793511721E-4</v>
      </c>
      <c r="AJ21" t="str">
        <f>IF('Moving Ave'!G231&gt;'Moving Ave'!L231,"SELL","BUY")</f>
        <v>BUY</v>
      </c>
      <c r="AK21" t="str">
        <f>IF('Moving Ave'!H231&gt;'Moving Ave'!M231,"SELL","BUY")</f>
        <v>BUY</v>
      </c>
      <c r="AL21" t="str">
        <f>IF('Moving Ave'!I231&gt;'Moving Ave'!N231,"SELL","BUY")</f>
        <v>SELL</v>
      </c>
      <c r="AM21" t="str">
        <f>IF('Moving Ave'!J231&gt;'Moving Ave'!O231,"SELL","BUY")</f>
        <v>BUY</v>
      </c>
      <c r="AN21" t="str">
        <f>IF('Moving Ave'!K231&gt;'Moving Ave'!P231,"SELL","BUY")</f>
        <v>SELL</v>
      </c>
      <c r="AO21">
        <f>IF(AJ20="BUY",AO20*('Data Checks'!B231/'Data Checks'!B230),AO20*('Data Checks'!B230/'Data Checks'!B231))</f>
        <v>196.16756552300794</v>
      </c>
      <c r="AP21">
        <f>IF(AK20="BUY",AP20*('Data Checks'!C231/'Data Checks'!C230),AP20*('Data Checks'!C230/'Data Checks'!C231))</f>
        <v>190.60198604526249</v>
      </c>
      <c r="AQ21">
        <f>IF(AL20="BUY",AQ20*('Data Checks'!D231/'Data Checks'!D230),AQ20*('Data Checks'!D230/'Data Checks'!D231))</f>
        <v>202.82990422723881</v>
      </c>
      <c r="AR21">
        <f>IF(AM20="BUY",AR20*('Data Checks'!E231/'Data Checks'!E230),AR20*('Data Checks'!E230/'Data Checks'!E231))</f>
        <v>191.39603644472595</v>
      </c>
      <c r="AS21">
        <f>IF(AN20="BUY",AS20*('Data Checks'!F231/'Data Checks'!F230),AS20*('Data Checks'!F230/'Data Checks'!F231))</f>
        <v>203.79008157740401</v>
      </c>
      <c r="AT21" s="16">
        <f t="shared" si="12"/>
        <v>984.78557381763926</v>
      </c>
      <c r="AU21" s="17">
        <f t="shared" si="16"/>
        <v>-2.8357568537125122E-3</v>
      </c>
    </row>
    <row r="22" spans="1:47" x14ac:dyDescent="0.35">
      <c r="A22" s="2">
        <f>Prices!A230</f>
        <v>44223</v>
      </c>
      <c r="B22">
        <f>B21*('Data Checks'!B232/'Data Checks'!B231)</f>
        <v>192.65862206912175</v>
      </c>
      <c r="C22">
        <f>C21*('Data Checks'!C232/'Data Checks'!C231)</f>
        <v>185.47116549329854</v>
      </c>
      <c r="D22">
        <f>D21*('Data Checks'!D232/'Data Checks'!D231)</f>
        <v>184.00400374025719</v>
      </c>
      <c r="E22">
        <f>E21*('Data Checks'!E232/'Data Checks'!E231)</f>
        <v>187.7803753672456</v>
      </c>
      <c r="F22">
        <f>F21*('Data Checks'!F232/'Data Checks'!F231)</f>
        <v>192.03625072059501</v>
      </c>
      <c r="G22" s="16">
        <f t="shared" si="9"/>
        <v>941.95041739051817</v>
      </c>
      <c r="H22" s="17">
        <f t="shared" si="13"/>
        <v>-2.6239706634142212E-2</v>
      </c>
      <c r="J22" t="str">
        <f>IF(AND('Data Checks'!B232&gt;'Data Checks'!B231,'Data Checks'!B231&gt;'Data Checks'!B230,'Data Checks'!B230&gt;'Data Checks'!B229),"SELL",IF(AND('Data Checks'!B232&lt;'Data Checks'!B231,'Data Checks'!B231&lt;'Data Checks'!B230,'Data Checks'!B230&lt;'Data Checks'!B229),"BUY",""))</f>
        <v>BUY</v>
      </c>
      <c r="K22" t="str">
        <f>IF(AND('Data Checks'!C232&gt;'Data Checks'!C231,'Data Checks'!C231&gt;'Data Checks'!C230,'Data Checks'!C230&gt;'Data Checks'!C229),"SELL",IF(AND('Data Checks'!C232&lt;'Data Checks'!C231,'Data Checks'!C231&lt;'Data Checks'!C230,'Data Checks'!C230&lt;'Data Checks'!C229),"BUY",""))</f>
        <v>BUY</v>
      </c>
      <c r="L22" t="str">
        <f>IF(AND('Data Checks'!D232&gt;'Data Checks'!D231,'Data Checks'!D231&gt;'Data Checks'!D230,'Data Checks'!D230&gt;'Data Checks'!D229),"SELL",IF(AND('Data Checks'!D232&lt;'Data Checks'!D231,'Data Checks'!D231&lt;'Data Checks'!D230,'Data Checks'!D230&lt;'Data Checks'!D229),"BUY",""))</f>
        <v>BUY</v>
      </c>
      <c r="M22" t="str">
        <f>IF(AND('Data Checks'!E232&gt;'Data Checks'!E231,'Data Checks'!E231&gt;'Data Checks'!E230,'Data Checks'!E230&gt;'Data Checks'!E229),"SELL",IF(AND('Data Checks'!E232&lt;'Data Checks'!E231,'Data Checks'!E231&lt;'Data Checks'!E230,'Data Checks'!E230&lt;'Data Checks'!E229),"BUY",""))</f>
        <v>BUY</v>
      </c>
      <c r="N22" t="str">
        <f>IF(AND('Data Checks'!F232&gt;'Data Checks'!F231,'Data Checks'!F231&gt;'Data Checks'!F230,'Data Checks'!F230&gt;'Data Checks'!F229),"SELL",IF(AND('Data Checks'!F232&lt;'Data Checks'!F231,'Data Checks'!F231&lt;'Data Checks'!F230,'Data Checks'!F230&lt;'Data Checks'!F229),"BUY",""))</f>
        <v/>
      </c>
      <c r="O22">
        <f>IF(J21="BUY",O21*('Data Checks'!B232/'Data Checks'!B231),IF(J21="SELL",O21*('Data Checks'!B231/'Data Checks'!B232),O21))</f>
        <v>196.42250395009907</v>
      </c>
      <c r="P22">
        <f>IF(K21="BUY",P21*('Data Checks'!C232/'Data Checks'!C231),IF(K21="SELL",P21*('Data Checks'!C231/'Data Checks'!C232),P21))</f>
        <v>200.83463745435574</v>
      </c>
      <c r="Q22">
        <f>IF(L21="BUY",Q21*('Data Checks'!D232/'Data Checks'!D231),IF(L21="SELL",Q21*('Data Checks'!D231/'Data Checks'!D232),Q21))</f>
        <v>202.56768231596371</v>
      </c>
      <c r="R22">
        <f>IF(M21="BUY",R21*('Data Checks'!E232/'Data Checks'!E231),IF(M21="SELL",R21*('Data Checks'!E231/'Data Checks'!E232),R21))</f>
        <v>187.3778658409359</v>
      </c>
      <c r="S22">
        <f>IF(N21="BUY",S21*('Data Checks'!F232/'Data Checks'!F231),IF(N21="SELL",S21*('Data Checks'!F231/'Data Checks'!F232),S21))</f>
        <v>199.80952163187609</v>
      </c>
      <c r="T22" s="16">
        <f t="shared" si="10"/>
        <v>987.01221119323054</v>
      </c>
      <c r="U22" s="17">
        <f t="shared" si="14"/>
        <v>-7.2273427162469206E-3</v>
      </c>
      <c r="W22" t="str">
        <f>IF(AND('Data Checks'!B232&gt;'Data Checks'!B231,'Data Checks'!B231&gt;'Data Checks'!B230,'Data Checks'!B230&gt;'Data Checks'!B229),"BUY",IF(AND('Data Checks'!B232&lt;'Data Checks'!B231,'Data Checks'!B231&lt;'Data Checks'!B230,'Data Checks'!B230&lt;'Data Checks'!B229),"SELL",""))</f>
        <v>SELL</v>
      </c>
      <c r="X22" t="str">
        <f>IF(AND('Data Checks'!C232&gt;'Data Checks'!C231,'Data Checks'!C231&gt;'Data Checks'!C230,'Data Checks'!C230&gt;'Data Checks'!C229),"BUY",IF(AND('Data Checks'!C232&lt;'Data Checks'!C231,'Data Checks'!C231&lt;'Data Checks'!C230,'Data Checks'!C230&lt;'Data Checks'!C229),"SELL",""))</f>
        <v>SELL</v>
      </c>
      <c r="Y22" t="str">
        <f>IF(AND('Data Checks'!D232&gt;'Data Checks'!D231,'Data Checks'!D231&gt;'Data Checks'!D230,'Data Checks'!D230&gt;'Data Checks'!D229),"BUY",IF(AND('Data Checks'!D232&lt;'Data Checks'!D231,'Data Checks'!D231&lt;'Data Checks'!D230,'Data Checks'!D230&lt;'Data Checks'!D229),"SELL",""))</f>
        <v>SELL</v>
      </c>
      <c r="Z22" t="str">
        <f>IF(AND('Data Checks'!E232&gt;'Data Checks'!E231,'Data Checks'!E231&gt;'Data Checks'!E230,'Data Checks'!E230&gt;'Data Checks'!E229),"BUY",IF(AND('Data Checks'!E232&lt;'Data Checks'!E231,'Data Checks'!E231&lt;'Data Checks'!E230,'Data Checks'!E230&lt;'Data Checks'!E229),"SELL",""))</f>
        <v>SELL</v>
      </c>
      <c r="AA22" t="str">
        <f>IF(AND('Data Checks'!F232&gt;'Data Checks'!F231,'Data Checks'!F231&gt;'Data Checks'!F230,'Data Checks'!F230&gt;'Data Checks'!F229),"BUY",IF(AND('Data Checks'!F232&lt;'Data Checks'!F231,'Data Checks'!F231&lt;'Data Checks'!F230,'Data Checks'!F230&lt;'Data Checks'!F229),"SELL",""))</f>
        <v/>
      </c>
      <c r="AB22">
        <f>IF(W21="BUY",AB21*('Data Checks'!B232/'Data Checks'!B231),IF(W21="SELL",AB21*('Data Checks'!B231/'Data Checks'!B232),AB21))</f>
        <v>203.6426539504962</v>
      </c>
      <c r="AC22">
        <f>IF(X21="BUY",AC21*('Data Checks'!C232/'Data Checks'!C231),IF(X21="SELL",AC21*('Data Checks'!C231/'Data Checks'!C232),AC21))</f>
        <v>199.16883116883122</v>
      </c>
      <c r="AD22">
        <f>IF(Y21="BUY",AD21*('Data Checks'!D232/'Data Checks'!D231),IF(Y21="SELL",AD21*('Data Checks'!D231/'Data Checks'!D232),AD21))</f>
        <v>197.46486479323124</v>
      </c>
      <c r="AE22">
        <f>IF(Z21="BUY",AE21*('Data Checks'!E232/'Data Checks'!E231),IF(Z21="SELL",AE21*('Data Checks'!E231/'Data Checks'!E232),AE21))</f>
        <v>213.47238544148965</v>
      </c>
      <c r="AF22">
        <f>IF(AA21="BUY",AF21*('Data Checks'!F232/'Data Checks'!F231),IF(AA21="SELL",AF21*('Data Checks'!F231/'Data Checks'!F232),AF21))</f>
        <v>200.19065995110574</v>
      </c>
      <c r="AG22" s="16">
        <f t="shared" si="11"/>
        <v>1013.9393953051541</v>
      </c>
      <c r="AH22" s="17">
        <f t="shared" si="15"/>
        <v>7.627579734889034E-3</v>
      </c>
      <c r="AJ22" t="str">
        <f>IF('Moving Ave'!G232&gt;'Moving Ave'!L232,"SELL","BUY")</f>
        <v>BUY</v>
      </c>
      <c r="AK22" t="str">
        <f>IF('Moving Ave'!H232&gt;'Moving Ave'!M232,"SELL","BUY")</f>
        <v>BUY</v>
      </c>
      <c r="AL22" t="str">
        <f>IF('Moving Ave'!I232&gt;'Moving Ave'!N232,"SELL","BUY")</f>
        <v>SELL</v>
      </c>
      <c r="AM22" t="str">
        <f>IF('Moving Ave'!J232&gt;'Moving Ave'!O232,"SELL","BUY")</f>
        <v>BUY</v>
      </c>
      <c r="AN22" t="str">
        <f>IF('Moving Ave'!K232&gt;'Moving Ave'!P232,"SELL","BUY")</f>
        <v>SELL</v>
      </c>
      <c r="AO22">
        <f>IF(AJ21="BUY",AO21*('Data Checks'!B232/'Data Checks'!B231),AO21*('Data Checks'!B231/'Data Checks'!B232))</f>
        <v>192.65862206912175</v>
      </c>
      <c r="AP22">
        <f>IF(AK21="BUY",AP21*('Data Checks'!C232/'Data Checks'!C231),AP21*('Data Checks'!C231/'Data Checks'!C232))</f>
        <v>185.47116549329854</v>
      </c>
      <c r="AQ22">
        <f>IF(AL21="BUY",AQ21*('Data Checks'!D232/'Data Checks'!D231),AQ21*('Data Checks'!D231/'Data Checks'!D232))</f>
        <v>212.62169306259332</v>
      </c>
      <c r="AR22">
        <f>IF(AM21="BUY",AR21*('Data Checks'!E232/'Data Checks'!E231),AR21*('Data Checks'!E231/'Data Checks'!E232))</f>
        <v>187.7803753672456</v>
      </c>
      <c r="AS22">
        <f>IF(AN21="BUY",AS21*('Data Checks'!F232/'Data Checks'!F231),AS21*('Data Checks'!F231/'Data Checks'!F232))</f>
        <v>208.2940062092672</v>
      </c>
      <c r="AT22" s="16">
        <f t="shared" si="12"/>
        <v>986.82586220152643</v>
      </c>
      <c r="AU22" s="17">
        <f t="shared" si="16"/>
        <v>2.0718097808620772E-3</v>
      </c>
    </row>
    <row r="23" spans="1:47" x14ac:dyDescent="0.35">
      <c r="A23" s="2">
        <f>Prices!A231</f>
        <v>44224</v>
      </c>
      <c r="B23">
        <f>B22*('Data Checks'!B233/'Data Checks'!B232)</f>
        <v>195.28348009081364</v>
      </c>
      <c r="C23">
        <f>C22*('Data Checks'!C233/'Data Checks'!C232)</f>
        <v>186.58877791691074</v>
      </c>
      <c r="D23">
        <f>D22*('Data Checks'!D233/'Data Checks'!D232)</f>
        <v>185.37318058729639</v>
      </c>
      <c r="E23">
        <f>E22*('Data Checks'!E233/'Data Checks'!E232)</f>
        <v>187.21123578134467</v>
      </c>
      <c r="F23">
        <f>F22*('Data Checks'!F233/'Data Checks'!F232)</f>
        <v>193.99141336182285</v>
      </c>
      <c r="G23" s="16">
        <f t="shared" si="9"/>
        <v>948.44808773818841</v>
      </c>
      <c r="H23" s="17">
        <f t="shared" si="13"/>
        <v>6.8981023074130565E-3</v>
      </c>
      <c r="J23" t="str">
        <f>IF(AND('Data Checks'!B233&gt;'Data Checks'!B232,'Data Checks'!B232&gt;'Data Checks'!B231,'Data Checks'!B231&gt;'Data Checks'!B230),"SELL",IF(AND('Data Checks'!B233&lt;'Data Checks'!B232,'Data Checks'!B232&lt;'Data Checks'!B231,'Data Checks'!B231&lt;'Data Checks'!B230),"BUY",""))</f>
        <v/>
      </c>
      <c r="K23" t="str">
        <f>IF(AND('Data Checks'!C233&gt;'Data Checks'!C232,'Data Checks'!C232&gt;'Data Checks'!C231,'Data Checks'!C231&gt;'Data Checks'!C230),"SELL",IF(AND('Data Checks'!C233&lt;'Data Checks'!C232,'Data Checks'!C232&lt;'Data Checks'!C231,'Data Checks'!C231&lt;'Data Checks'!C230),"BUY",""))</f>
        <v/>
      </c>
      <c r="L23" t="str">
        <f>IF(AND('Data Checks'!D233&gt;'Data Checks'!D232,'Data Checks'!D232&gt;'Data Checks'!D231,'Data Checks'!D231&gt;'Data Checks'!D230),"SELL",IF(AND('Data Checks'!D233&lt;'Data Checks'!D232,'Data Checks'!D232&lt;'Data Checks'!D231,'Data Checks'!D231&lt;'Data Checks'!D230),"BUY",""))</f>
        <v/>
      </c>
      <c r="M23" t="str">
        <f>IF(AND('Data Checks'!E233&gt;'Data Checks'!E232,'Data Checks'!E232&gt;'Data Checks'!E231,'Data Checks'!E231&gt;'Data Checks'!E230),"SELL",IF(AND('Data Checks'!E233&lt;'Data Checks'!E232,'Data Checks'!E232&lt;'Data Checks'!E231,'Data Checks'!E231&lt;'Data Checks'!E230),"BUY",""))</f>
        <v>BUY</v>
      </c>
      <c r="N23" t="str">
        <f>IF(AND('Data Checks'!F233&gt;'Data Checks'!F232,'Data Checks'!F232&gt;'Data Checks'!F231,'Data Checks'!F231&gt;'Data Checks'!F230),"SELL",IF(AND('Data Checks'!F233&lt;'Data Checks'!F232,'Data Checks'!F232&lt;'Data Checks'!F231,'Data Checks'!F231&lt;'Data Checks'!F230),"BUY",""))</f>
        <v/>
      </c>
      <c r="O23">
        <f>IF(J22="BUY",O22*('Data Checks'!B233/'Data Checks'!B232),IF(J22="SELL",O22*('Data Checks'!B232/'Data Checks'!B233),O22))</f>
        <v>199.09864260196406</v>
      </c>
      <c r="P23">
        <f>IF(K22="BUY",P22*('Data Checks'!C233/'Data Checks'!C232),IF(K22="SELL",P22*('Data Checks'!C232/'Data Checks'!C233),P22))</f>
        <v>202.04482711005588</v>
      </c>
      <c r="Q23">
        <f>IF(L22="BUY",Q22*('Data Checks'!D233/'Data Checks'!D232),IF(L22="SELL",Q22*('Data Checks'!D232/'Data Checks'!D233),Q22))</f>
        <v>204.07499180351661</v>
      </c>
      <c r="R23">
        <f>IF(M22="BUY",R22*('Data Checks'!E233/'Data Checks'!E232),IF(M22="SELL",R22*('Data Checks'!E232/'Data Checks'!E233),R22))</f>
        <v>186.80994621268323</v>
      </c>
      <c r="S23">
        <f>IF(N22="BUY",S22*('Data Checks'!F233/'Data Checks'!F232),IF(N22="SELL",S22*('Data Checks'!F232/'Data Checks'!F233),S22))</f>
        <v>199.80952163187609</v>
      </c>
      <c r="T23" s="16">
        <f t="shared" si="10"/>
        <v>991.83792936009593</v>
      </c>
      <c r="U23" s="17">
        <f t="shared" si="14"/>
        <v>4.8892183015967206E-3</v>
      </c>
      <c r="W23" t="str">
        <f>IF(AND('Data Checks'!B233&gt;'Data Checks'!B232,'Data Checks'!B232&gt;'Data Checks'!B231,'Data Checks'!B231&gt;'Data Checks'!B230),"BUY",IF(AND('Data Checks'!B233&lt;'Data Checks'!B232,'Data Checks'!B232&lt;'Data Checks'!B231,'Data Checks'!B231&lt;'Data Checks'!B230),"SELL",""))</f>
        <v/>
      </c>
      <c r="X23" t="str">
        <f>IF(AND('Data Checks'!C233&gt;'Data Checks'!C232,'Data Checks'!C232&gt;'Data Checks'!C231,'Data Checks'!C231&gt;'Data Checks'!C230),"BUY",IF(AND('Data Checks'!C233&lt;'Data Checks'!C232,'Data Checks'!C232&lt;'Data Checks'!C231,'Data Checks'!C231&lt;'Data Checks'!C230),"SELL",""))</f>
        <v/>
      </c>
      <c r="Y23" t="str">
        <f>IF(AND('Data Checks'!D233&gt;'Data Checks'!D232,'Data Checks'!D232&gt;'Data Checks'!D231,'Data Checks'!D231&gt;'Data Checks'!D230),"BUY",IF(AND('Data Checks'!D233&lt;'Data Checks'!D232,'Data Checks'!D232&lt;'Data Checks'!D231,'Data Checks'!D231&lt;'Data Checks'!D230),"SELL",""))</f>
        <v/>
      </c>
      <c r="Z23" t="str">
        <f>IF(AND('Data Checks'!E233&gt;'Data Checks'!E232,'Data Checks'!E232&gt;'Data Checks'!E231,'Data Checks'!E231&gt;'Data Checks'!E230),"BUY",IF(AND('Data Checks'!E233&lt;'Data Checks'!E232,'Data Checks'!E232&lt;'Data Checks'!E231,'Data Checks'!E231&lt;'Data Checks'!E230),"SELL",""))</f>
        <v>SELL</v>
      </c>
      <c r="AA23" t="str">
        <f>IF(AND('Data Checks'!F233&gt;'Data Checks'!F232,'Data Checks'!F232&gt;'Data Checks'!F231,'Data Checks'!F231&gt;'Data Checks'!F230),"BUY",IF(AND('Data Checks'!F233&lt;'Data Checks'!F232,'Data Checks'!F232&lt;'Data Checks'!F231,'Data Checks'!F231&lt;'Data Checks'!F230),"SELL",""))</f>
        <v/>
      </c>
      <c r="AB23">
        <f>IF(W22="BUY",AB22*('Data Checks'!B233/'Data Checks'!B232),IF(W22="SELL",AB22*('Data Checks'!B232/'Data Checks'!B233),AB22))</f>
        <v>200.90543801429919</v>
      </c>
      <c r="AC23">
        <f>IF(X22="BUY",AC22*('Data Checks'!C233/'Data Checks'!C232),IF(X22="SELL",AC22*('Data Checks'!C232/'Data Checks'!C233),AC22))</f>
        <v>197.97586789099827</v>
      </c>
      <c r="AD23">
        <f>IF(Y22="BUY",AD22*('Data Checks'!D233/'Data Checks'!D232),IF(Y22="SELL",AD22*('Data Checks'!D232/'Data Checks'!D233),AD22))</f>
        <v>196.00637807944636</v>
      </c>
      <c r="AE23">
        <f>IF(Z22="BUY",AE22*('Data Checks'!E233/'Data Checks'!E232),IF(Z22="SELL",AE22*('Data Checks'!E232/'Data Checks'!E233),AE22))</f>
        <v>214.12136136723672</v>
      </c>
      <c r="AF23">
        <f>IF(AA22="BUY",AF22*('Data Checks'!F233/'Data Checks'!F232),IF(AA22="SELL",AF22*('Data Checks'!F232/'Data Checks'!F233),AF22))</f>
        <v>200.19065995110574</v>
      </c>
      <c r="AG23" s="16">
        <f t="shared" si="11"/>
        <v>1009.1997053030864</v>
      </c>
      <c r="AH23" s="17">
        <f t="shared" si="15"/>
        <v>-4.6745298821743164E-3</v>
      </c>
      <c r="AJ23" t="str">
        <f>IF('Moving Ave'!G233&gt;'Moving Ave'!L233,"SELL","BUY")</f>
        <v>BUY</v>
      </c>
      <c r="AK23" t="str">
        <f>IF('Moving Ave'!H233&gt;'Moving Ave'!M233,"SELL","BUY")</f>
        <v>BUY</v>
      </c>
      <c r="AL23" t="str">
        <f>IF('Moving Ave'!I233&gt;'Moving Ave'!N233,"SELL","BUY")</f>
        <v>SELL</v>
      </c>
      <c r="AM23" t="str">
        <f>IF('Moving Ave'!J233&gt;'Moving Ave'!O233,"SELL","BUY")</f>
        <v>BUY</v>
      </c>
      <c r="AN23" t="str">
        <f>IF('Moving Ave'!K233&gt;'Moving Ave'!P233,"SELL","BUY")</f>
        <v>SELL</v>
      </c>
      <c r="AO23">
        <f>IF(AJ22="BUY",AO22*('Data Checks'!B233/'Data Checks'!B232),AO22*('Data Checks'!B232/'Data Checks'!B233))</f>
        <v>195.28348009081364</v>
      </c>
      <c r="AP23">
        <f>IF(AK22="BUY",AP22*('Data Checks'!C233/'Data Checks'!C232),AP22*('Data Checks'!C232/'Data Checks'!C233))</f>
        <v>186.58877791691074</v>
      </c>
      <c r="AQ23">
        <f>IF(AL22="BUY",AQ22*('Data Checks'!D233/'Data Checks'!D232),AQ22*('Data Checks'!D232/'Data Checks'!D233))</f>
        <v>211.0512571538105</v>
      </c>
      <c r="AR23">
        <f>IF(AM22="BUY",AR22*('Data Checks'!E233/'Data Checks'!E232),AR22*('Data Checks'!E232/'Data Checks'!E233))</f>
        <v>187.21123578134467</v>
      </c>
      <c r="AS23">
        <f>IF(AN22="BUY",AS22*('Data Checks'!F233/'Data Checks'!F232),AS22*('Data Checks'!F232/'Data Checks'!F233))</f>
        <v>206.1946933980735</v>
      </c>
      <c r="AT23" s="16">
        <f t="shared" si="12"/>
        <v>986.32944434095293</v>
      </c>
      <c r="AU23" s="17">
        <f t="shared" si="16"/>
        <v>-5.0304504531939465E-4</v>
      </c>
    </row>
    <row r="24" spans="1:47" x14ac:dyDescent="0.35">
      <c r="A24" s="2">
        <f>Prices!A232</f>
        <v>44225</v>
      </c>
      <c r="B24">
        <f>B23*('Data Checks'!B234/'Data Checks'!B233)</f>
        <v>195.78400432145244</v>
      </c>
      <c r="C24">
        <f>C23*('Data Checks'!C234/'Data Checks'!C233)</f>
        <v>186.43638268824947</v>
      </c>
      <c r="D24">
        <f>D23*('Data Checks'!D234/'Data Checks'!D233)</f>
        <v>184.50492877784151</v>
      </c>
      <c r="E24">
        <f>E23*('Data Checks'!E234/'Data Checks'!E233)</f>
        <v>186.57515277619177</v>
      </c>
      <c r="F24">
        <f>F23*('Data Checks'!F234/'Data Checks'!F233)</f>
        <v>194.2775392600507</v>
      </c>
      <c r="G24" s="16">
        <f t="shared" si="9"/>
        <v>947.57800782378592</v>
      </c>
      <c r="H24" s="17">
        <f t="shared" si="13"/>
        <v>-9.173722058709588E-4</v>
      </c>
      <c r="J24" t="str">
        <f>IF(AND('Data Checks'!B234&gt;'Data Checks'!B233,'Data Checks'!B233&gt;'Data Checks'!B232,'Data Checks'!B232&gt;'Data Checks'!B231),"SELL",IF(AND('Data Checks'!B234&lt;'Data Checks'!B233,'Data Checks'!B233&lt;'Data Checks'!B232,'Data Checks'!B232&lt;'Data Checks'!B231),"BUY",""))</f>
        <v/>
      </c>
      <c r="K24" t="str">
        <f>IF(AND('Data Checks'!C234&gt;'Data Checks'!C233,'Data Checks'!C233&gt;'Data Checks'!C232,'Data Checks'!C232&gt;'Data Checks'!C231),"SELL",IF(AND('Data Checks'!C234&lt;'Data Checks'!C233,'Data Checks'!C233&lt;'Data Checks'!C232,'Data Checks'!C232&lt;'Data Checks'!C231),"BUY",""))</f>
        <v/>
      </c>
      <c r="L24" t="str">
        <f>IF(AND('Data Checks'!D234&gt;'Data Checks'!D233,'Data Checks'!D233&gt;'Data Checks'!D232,'Data Checks'!D232&gt;'Data Checks'!D231),"SELL",IF(AND('Data Checks'!D234&lt;'Data Checks'!D233,'Data Checks'!D233&lt;'Data Checks'!D232,'Data Checks'!D232&lt;'Data Checks'!D231),"BUY",""))</f>
        <v/>
      </c>
      <c r="M24" t="str">
        <f>IF(AND('Data Checks'!E234&gt;'Data Checks'!E233,'Data Checks'!E233&gt;'Data Checks'!E232,'Data Checks'!E232&gt;'Data Checks'!E231),"SELL",IF(AND('Data Checks'!E234&lt;'Data Checks'!E233,'Data Checks'!E233&lt;'Data Checks'!E232,'Data Checks'!E232&lt;'Data Checks'!E231),"BUY",""))</f>
        <v>BUY</v>
      </c>
      <c r="N24" t="str">
        <f>IF(AND('Data Checks'!F234&gt;'Data Checks'!F233,'Data Checks'!F233&gt;'Data Checks'!F232,'Data Checks'!F232&gt;'Data Checks'!F231),"SELL",IF(AND('Data Checks'!F234&lt;'Data Checks'!F233,'Data Checks'!F233&lt;'Data Checks'!F232,'Data Checks'!F232&lt;'Data Checks'!F231),"BUY",""))</f>
        <v/>
      </c>
      <c r="O24">
        <f>IF(J23="BUY",O23*('Data Checks'!B234/'Data Checks'!B233),IF(J23="SELL",O23*('Data Checks'!B233/'Data Checks'!B234),O23))</f>
        <v>199.09864260196406</v>
      </c>
      <c r="P24">
        <f>IF(K23="BUY",P23*('Data Checks'!C234/'Data Checks'!C233),IF(K23="SELL",P23*('Data Checks'!C233/'Data Checks'!C234),P23))</f>
        <v>202.04482711005588</v>
      </c>
      <c r="Q24">
        <f>IF(L23="BUY",Q23*('Data Checks'!D234/'Data Checks'!D233),IF(L23="SELL",Q23*('Data Checks'!D233/'Data Checks'!D234),Q23))</f>
        <v>204.07499180351661</v>
      </c>
      <c r="R24">
        <f>IF(M23="BUY",R23*('Data Checks'!E234/'Data Checks'!E233),IF(M23="SELL",R23*('Data Checks'!E233/'Data Checks'!E234),R23))</f>
        <v>186.17522665921476</v>
      </c>
      <c r="S24">
        <f>IF(N23="BUY",S23*('Data Checks'!F234/'Data Checks'!F233),IF(N23="SELL",S23*('Data Checks'!F233/'Data Checks'!F234),S23))</f>
        <v>199.80952163187609</v>
      </c>
      <c r="T24" s="16">
        <f t="shared" si="10"/>
        <v>991.20320980662746</v>
      </c>
      <c r="U24" s="17">
        <f t="shared" si="14"/>
        <v>-6.3994281190471458E-4</v>
      </c>
      <c r="W24" t="str">
        <f>IF(AND('Data Checks'!B234&gt;'Data Checks'!B233,'Data Checks'!B233&gt;'Data Checks'!B232,'Data Checks'!B232&gt;'Data Checks'!B231),"BUY",IF(AND('Data Checks'!B234&lt;'Data Checks'!B233,'Data Checks'!B233&lt;'Data Checks'!B232,'Data Checks'!B232&lt;'Data Checks'!B231),"SELL",""))</f>
        <v/>
      </c>
      <c r="X24" t="str">
        <f>IF(AND('Data Checks'!C234&gt;'Data Checks'!C233,'Data Checks'!C233&gt;'Data Checks'!C232,'Data Checks'!C232&gt;'Data Checks'!C231),"BUY",IF(AND('Data Checks'!C234&lt;'Data Checks'!C233,'Data Checks'!C233&lt;'Data Checks'!C232,'Data Checks'!C232&lt;'Data Checks'!C231),"SELL",""))</f>
        <v/>
      </c>
      <c r="Y24" t="str">
        <f>IF(AND('Data Checks'!D234&gt;'Data Checks'!D233,'Data Checks'!D233&gt;'Data Checks'!D232,'Data Checks'!D232&gt;'Data Checks'!D231),"BUY",IF(AND('Data Checks'!D234&lt;'Data Checks'!D233,'Data Checks'!D233&lt;'Data Checks'!D232,'Data Checks'!D232&lt;'Data Checks'!D231),"SELL",""))</f>
        <v/>
      </c>
      <c r="Z24" t="str">
        <f>IF(AND('Data Checks'!E234&gt;'Data Checks'!E233,'Data Checks'!E233&gt;'Data Checks'!E232,'Data Checks'!E232&gt;'Data Checks'!E231),"BUY",IF(AND('Data Checks'!E234&lt;'Data Checks'!E233,'Data Checks'!E233&lt;'Data Checks'!E232,'Data Checks'!E232&lt;'Data Checks'!E231),"SELL",""))</f>
        <v>SELL</v>
      </c>
      <c r="AA24" t="str">
        <f>IF(AND('Data Checks'!F234&gt;'Data Checks'!F233,'Data Checks'!F233&gt;'Data Checks'!F232,'Data Checks'!F232&gt;'Data Checks'!F231),"BUY",IF(AND('Data Checks'!F234&lt;'Data Checks'!F233,'Data Checks'!F233&lt;'Data Checks'!F232,'Data Checks'!F232&lt;'Data Checks'!F231),"SELL",""))</f>
        <v/>
      </c>
      <c r="AB24">
        <f>IF(W23="BUY",AB23*('Data Checks'!B234/'Data Checks'!B233),IF(W23="SELL",AB23*('Data Checks'!B233/'Data Checks'!B234),AB23))</f>
        <v>200.90543801429919</v>
      </c>
      <c r="AC24">
        <f>IF(X23="BUY",AC23*('Data Checks'!C234/'Data Checks'!C233),IF(X23="SELL",AC23*('Data Checks'!C233/'Data Checks'!C234),AC23))</f>
        <v>197.97586789099827</v>
      </c>
      <c r="AD24">
        <f>IF(Y23="BUY",AD23*('Data Checks'!D234/'Data Checks'!D233),IF(Y23="SELL",AD23*('Data Checks'!D233/'Data Checks'!D234),AD23))</f>
        <v>196.00637807944636</v>
      </c>
      <c r="AE24">
        <f>IF(Z23="BUY",AE23*('Data Checks'!E234/'Data Checks'!E233),IF(Z23="SELL",AE23*('Data Checks'!E233/'Data Checks'!E234),AE23))</f>
        <v>214.85135652993281</v>
      </c>
      <c r="AF24">
        <f>IF(AA23="BUY",AF23*('Data Checks'!F234/'Data Checks'!F233),IF(AA23="SELL",AF23*('Data Checks'!F233/'Data Checks'!F234),AF23))</f>
        <v>200.19065995110574</v>
      </c>
      <c r="AG24" s="16">
        <f t="shared" si="11"/>
        <v>1009.9297004657824</v>
      </c>
      <c r="AH24" s="17">
        <f t="shared" si="15"/>
        <v>7.2334064195622716E-4</v>
      </c>
      <c r="AJ24" t="str">
        <f>IF('Moving Ave'!G234&gt;'Moving Ave'!L234,"SELL","BUY")</f>
        <v>BUY</v>
      </c>
      <c r="AK24" t="str">
        <f>IF('Moving Ave'!H234&gt;'Moving Ave'!M234,"SELL","BUY")</f>
        <v>BUY</v>
      </c>
      <c r="AL24" t="str">
        <f>IF('Moving Ave'!I234&gt;'Moving Ave'!N234,"SELL","BUY")</f>
        <v>SELL</v>
      </c>
      <c r="AM24" t="str">
        <f>IF('Moving Ave'!J234&gt;'Moving Ave'!O234,"SELL","BUY")</f>
        <v>BUY</v>
      </c>
      <c r="AN24" t="str">
        <f>IF('Moving Ave'!K234&gt;'Moving Ave'!P234,"SELL","BUY")</f>
        <v>SELL</v>
      </c>
      <c r="AO24">
        <f>IF(AJ23="BUY",AO23*('Data Checks'!B234/'Data Checks'!B233),AO23*('Data Checks'!B233/'Data Checks'!B234))</f>
        <v>195.78400432145244</v>
      </c>
      <c r="AP24">
        <f>IF(AK23="BUY",AP23*('Data Checks'!C234/'Data Checks'!C233),AP23*('Data Checks'!C233/'Data Checks'!C234))</f>
        <v>186.43638268824947</v>
      </c>
      <c r="AQ24">
        <f>IF(AL23="BUY",AQ23*('Data Checks'!D234/'Data Checks'!D233),AQ23*('Data Checks'!D233/'Data Checks'!D234))</f>
        <v>212.04443190055218</v>
      </c>
      <c r="AR24">
        <f>IF(AM23="BUY",AR23*('Data Checks'!E234/'Data Checks'!E233),AR23*('Data Checks'!E233/'Data Checks'!E234))</f>
        <v>186.57515277619177</v>
      </c>
      <c r="AS24">
        <f>IF(AN23="BUY",AS23*('Data Checks'!F234/'Data Checks'!F233),AS23*('Data Checks'!F233/'Data Checks'!F234))</f>
        <v>205.89101628705467</v>
      </c>
      <c r="AT24" s="16">
        <f t="shared" si="12"/>
        <v>986.73098797350042</v>
      </c>
      <c r="AU24" s="17">
        <f t="shared" si="16"/>
        <v>4.071090393289456E-4</v>
      </c>
    </row>
    <row r="25" spans="1:47" x14ac:dyDescent="0.35">
      <c r="A25" s="2">
        <f>Prices!A233</f>
        <v>44226</v>
      </c>
      <c r="B25">
        <f>B24*('Data Checks'!B235/'Data Checks'!B234)</f>
        <v>197.12014627362262</v>
      </c>
      <c r="C25">
        <f>C24*('Data Checks'!C235/'Data Checks'!C234)</f>
        <v>188.16358618652743</v>
      </c>
      <c r="D25">
        <f>D24*('Data Checks'!D235/'Data Checks'!D234)</f>
        <v>184.40474844556266</v>
      </c>
      <c r="E25">
        <f>E24*('Data Checks'!E235/'Data Checks'!E234)</f>
        <v>180.24773417315927</v>
      </c>
      <c r="F25">
        <f>F24*('Data Checks'!F235/'Data Checks'!F234)</f>
        <v>193.37148583745577</v>
      </c>
      <c r="G25" s="16">
        <f t="shared" si="9"/>
        <v>943.3077009163278</v>
      </c>
      <c r="H25" s="17">
        <f t="shared" si="13"/>
        <v>-4.5065491940503577E-3</v>
      </c>
      <c r="J25" t="str">
        <f>IF(AND('Data Checks'!B235&gt;'Data Checks'!B234,'Data Checks'!B234&gt;'Data Checks'!B233,'Data Checks'!B233&gt;'Data Checks'!B232),"SELL",IF(AND('Data Checks'!B235&lt;'Data Checks'!B234,'Data Checks'!B234&lt;'Data Checks'!B233,'Data Checks'!B233&lt;'Data Checks'!B232),"BUY",""))</f>
        <v>SELL</v>
      </c>
      <c r="K25" t="str">
        <f>IF(AND('Data Checks'!C235&gt;'Data Checks'!C234,'Data Checks'!C234&gt;'Data Checks'!C233,'Data Checks'!C233&gt;'Data Checks'!C232),"SELL",IF(AND('Data Checks'!C235&lt;'Data Checks'!C234,'Data Checks'!C234&lt;'Data Checks'!C233,'Data Checks'!C233&lt;'Data Checks'!C232),"BUY",""))</f>
        <v/>
      </c>
      <c r="L25" t="str">
        <f>IF(AND('Data Checks'!D235&gt;'Data Checks'!D234,'Data Checks'!D234&gt;'Data Checks'!D233,'Data Checks'!D233&gt;'Data Checks'!D232),"SELL",IF(AND('Data Checks'!D235&lt;'Data Checks'!D234,'Data Checks'!D234&lt;'Data Checks'!D233,'Data Checks'!D233&lt;'Data Checks'!D232),"BUY",""))</f>
        <v/>
      </c>
      <c r="M25" t="str">
        <f>IF(AND('Data Checks'!E235&gt;'Data Checks'!E234,'Data Checks'!E234&gt;'Data Checks'!E233,'Data Checks'!E233&gt;'Data Checks'!E232),"SELL",IF(AND('Data Checks'!E235&lt;'Data Checks'!E234,'Data Checks'!E234&lt;'Data Checks'!E233,'Data Checks'!E233&lt;'Data Checks'!E232),"BUY",""))</f>
        <v>BUY</v>
      </c>
      <c r="N25" t="str">
        <f>IF(AND('Data Checks'!F235&gt;'Data Checks'!F234,'Data Checks'!F234&gt;'Data Checks'!F233,'Data Checks'!F233&gt;'Data Checks'!F232),"SELL",IF(AND('Data Checks'!F235&lt;'Data Checks'!F234,'Data Checks'!F234&lt;'Data Checks'!F233,'Data Checks'!F233&lt;'Data Checks'!F232),"BUY",""))</f>
        <v/>
      </c>
      <c r="O25">
        <f>IF(J24="BUY",O24*('Data Checks'!B235/'Data Checks'!B234),IF(J24="SELL",O24*('Data Checks'!B234/'Data Checks'!B235),O24))</f>
        <v>199.09864260196406</v>
      </c>
      <c r="P25">
        <f>IF(K24="BUY",P24*('Data Checks'!C235/'Data Checks'!C234),IF(K24="SELL",P24*('Data Checks'!C234/'Data Checks'!C235),P24))</f>
        <v>202.04482711005588</v>
      </c>
      <c r="Q25">
        <f>IF(L24="BUY",Q24*('Data Checks'!D235/'Data Checks'!D234),IF(L24="SELL",Q24*('Data Checks'!D234/'Data Checks'!D235),Q24))</f>
        <v>204.07499180351661</v>
      </c>
      <c r="R25">
        <f>IF(M24="BUY",R24*('Data Checks'!E235/'Data Checks'!E234),IF(M24="SELL",R24*('Data Checks'!E234/'Data Checks'!E235),R24))</f>
        <v>179.86137095517896</v>
      </c>
      <c r="S25">
        <f>IF(N24="BUY",S24*('Data Checks'!F235/'Data Checks'!F234),IF(N24="SELL",S24*('Data Checks'!F234/'Data Checks'!F235),S24))</f>
        <v>199.80952163187609</v>
      </c>
      <c r="T25" s="16">
        <f t="shared" si="10"/>
        <v>984.8893541025916</v>
      </c>
      <c r="U25" s="17">
        <f t="shared" si="14"/>
        <v>-6.3698902924936851E-3</v>
      </c>
      <c r="W25" t="str">
        <f>IF(AND('Data Checks'!B235&gt;'Data Checks'!B234,'Data Checks'!B234&gt;'Data Checks'!B233,'Data Checks'!B233&gt;'Data Checks'!B232),"BUY",IF(AND('Data Checks'!B235&lt;'Data Checks'!B234,'Data Checks'!B234&lt;'Data Checks'!B233,'Data Checks'!B233&lt;'Data Checks'!B232),"SELL",""))</f>
        <v>BUY</v>
      </c>
      <c r="X25" t="str">
        <f>IF(AND('Data Checks'!C235&gt;'Data Checks'!C234,'Data Checks'!C234&gt;'Data Checks'!C233,'Data Checks'!C233&gt;'Data Checks'!C232),"BUY",IF(AND('Data Checks'!C235&lt;'Data Checks'!C234,'Data Checks'!C234&lt;'Data Checks'!C233,'Data Checks'!C233&lt;'Data Checks'!C232),"SELL",""))</f>
        <v/>
      </c>
      <c r="Y25" t="str">
        <f>IF(AND('Data Checks'!D235&gt;'Data Checks'!D234,'Data Checks'!D234&gt;'Data Checks'!D233,'Data Checks'!D233&gt;'Data Checks'!D232),"BUY",IF(AND('Data Checks'!D235&lt;'Data Checks'!D234,'Data Checks'!D234&lt;'Data Checks'!D233,'Data Checks'!D233&lt;'Data Checks'!D232),"SELL",""))</f>
        <v/>
      </c>
      <c r="Z25" t="str">
        <f>IF(AND('Data Checks'!E235&gt;'Data Checks'!E234,'Data Checks'!E234&gt;'Data Checks'!E233,'Data Checks'!E233&gt;'Data Checks'!E232),"BUY",IF(AND('Data Checks'!E235&lt;'Data Checks'!E234,'Data Checks'!E234&lt;'Data Checks'!E233,'Data Checks'!E233&lt;'Data Checks'!E232),"SELL",""))</f>
        <v>SELL</v>
      </c>
      <c r="AA25" t="str">
        <f>IF(AND('Data Checks'!F235&gt;'Data Checks'!F234,'Data Checks'!F234&gt;'Data Checks'!F233,'Data Checks'!F233&gt;'Data Checks'!F232),"BUY",IF(AND('Data Checks'!F235&lt;'Data Checks'!F234,'Data Checks'!F234&lt;'Data Checks'!F233,'Data Checks'!F233&lt;'Data Checks'!F232),"SELL",""))</f>
        <v/>
      </c>
      <c r="AB25">
        <f>IF(W24="BUY",AB24*('Data Checks'!B235/'Data Checks'!B234),IF(W24="SELL",AB24*('Data Checks'!B234/'Data Checks'!B235),AB24))</f>
        <v>200.90543801429919</v>
      </c>
      <c r="AC25">
        <f>IF(X24="BUY",AC24*('Data Checks'!C235/'Data Checks'!C234),IF(X24="SELL",AC24*('Data Checks'!C234/'Data Checks'!C235),AC24))</f>
        <v>197.97586789099827</v>
      </c>
      <c r="AD25">
        <f>IF(Y24="BUY",AD24*('Data Checks'!D235/'Data Checks'!D234),IF(Y24="SELL",AD24*('Data Checks'!D234/'Data Checks'!D235),AD24))</f>
        <v>196.00637807944636</v>
      </c>
      <c r="AE25">
        <f>IF(Z24="BUY",AE24*('Data Checks'!E235/'Data Checks'!E234),IF(Z24="SELL",AE24*('Data Checks'!E234/'Data Checks'!E235),AE24))</f>
        <v>222.39350110351327</v>
      </c>
      <c r="AF25">
        <f>IF(AA24="BUY",AF24*('Data Checks'!F235/'Data Checks'!F234),IF(AA24="SELL",AF24*('Data Checks'!F234/'Data Checks'!F235),AF24))</f>
        <v>200.19065995110574</v>
      </c>
      <c r="AG25" s="16">
        <f t="shared" si="11"/>
        <v>1017.4718450393628</v>
      </c>
      <c r="AH25" s="17">
        <f t="shared" si="15"/>
        <v>7.4679896730456274E-3</v>
      </c>
      <c r="AJ25" t="str">
        <f>IF('Moving Ave'!G235&gt;'Moving Ave'!L235,"SELL","BUY")</f>
        <v>BUY</v>
      </c>
      <c r="AK25" t="str">
        <f>IF('Moving Ave'!H235&gt;'Moving Ave'!M235,"SELL","BUY")</f>
        <v>BUY</v>
      </c>
      <c r="AL25" t="str">
        <f>IF('Moving Ave'!I235&gt;'Moving Ave'!N235,"SELL","BUY")</f>
        <v>SELL</v>
      </c>
      <c r="AM25" t="str">
        <f>IF('Moving Ave'!J235&gt;'Moving Ave'!O235,"SELL","BUY")</f>
        <v>BUY</v>
      </c>
      <c r="AN25" t="str">
        <f>IF('Moving Ave'!K235&gt;'Moving Ave'!P235,"SELL","BUY")</f>
        <v>SELL</v>
      </c>
      <c r="AO25">
        <f>IF(AJ24="BUY",AO24*('Data Checks'!B235/'Data Checks'!B234),AO24*('Data Checks'!B234/'Data Checks'!B235))</f>
        <v>197.12014627362262</v>
      </c>
      <c r="AP25">
        <f>IF(AK24="BUY",AP24*('Data Checks'!C235/'Data Checks'!C234),AP24*('Data Checks'!C234/'Data Checks'!C235))</f>
        <v>188.16358618652743</v>
      </c>
      <c r="AQ25">
        <f>IF(AL24="BUY",AQ24*('Data Checks'!D235/'Data Checks'!D234),AQ24*('Data Checks'!D234/'Data Checks'!D235))</f>
        <v>212.15962785849115</v>
      </c>
      <c r="AR25">
        <f>IF(AM24="BUY",AR24*('Data Checks'!E235/'Data Checks'!E234),AR24*('Data Checks'!E234/'Data Checks'!E235))</f>
        <v>180.24773417315927</v>
      </c>
      <c r="AS25">
        <f>IF(AN24="BUY",AS24*('Data Checks'!F235/'Data Checks'!F234),AS24*('Data Checks'!F234/'Data Checks'!F235))</f>
        <v>206.85573070283593</v>
      </c>
      <c r="AT25" s="16">
        <f t="shared" si="12"/>
        <v>984.54682519463643</v>
      </c>
      <c r="AU25" s="17">
        <f t="shared" si="16"/>
        <v>-2.2135341906609485E-3</v>
      </c>
    </row>
    <row r="26" spans="1:47" x14ac:dyDescent="0.35">
      <c r="A26" s="2">
        <f>Prices!A234</f>
        <v>44227</v>
      </c>
      <c r="B26">
        <f>B25*('Data Checks'!B236/'Data Checks'!B235)</f>
        <v>211.66589853759513</v>
      </c>
      <c r="C26">
        <f>C25*('Data Checks'!C236/'Data Checks'!C235)</f>
        <v>184.35357846973778</v>
      </c>
      <c r="D26">
        <f>D25*('Data Checks'!D236/'Data Checks'!D235)</f>
        <v>178.4271193592773</v>
      </c>
      <c r="E26">
        <f>E25*('Data Checks'!E236/'Data Checks'!E235)</f>
        <v>174.58989037194883</v>
      </c>
      <c r="F26">
        <f>F25*('Data Checks'!F236/'Data Checks'!F235)</f>
        <v>189.98569370508869</v>
      </c>
      <c r="G26" s="16">
        <f t="shared" si="9"/>
        <v>939.02218044364781</v>
      </c>
      <c r="H26" s="17">
        <f t="shared" si="13"/>
        <v>-4.5430780099823265E-3</v>
      </c>
      <c r="J26" t="str">
        <f>IF(AND('Data Checks'!B236&gt;'Data Checks'!B235,'Data Checks'!B235&gt;'Data Checks'!B234,'Data Checks'!B234&gt;'Data Checks'!B233),"SELL",IF(AND('Data Checks'!B236&lt;'Data Checks'!B235,'Data Checks'!B235&lt;'Data Checks'!B234,'Data Checks'!B234&lt;'Data Checks'!B233),"BUY",""))</f>
        <v>SELL</v>
      </c>
      <c r="K26" t="str">
        <f>IF(AND('Data Checks'!C236&gt;'Data Checks'!C235,'Data Checks'!C235&gt;'Data Checks'!C234,'Data Checks'!C234&gt;'Data Checks'!C233),"SELL",IF(AND('Data Checks'!C236&lt;'Data Checks'!C235,'Data Checks'!C235&lt;'Data Checks'!C234,'Data Checks'!C234&lt;'Data Checks'!C233),"BUY",""))</f>
        <v/>
      </c>
      <c r="L26" t="str">
        <f>IF(AND('Data Checks'!D236&gt;'Data Checks'!D235,'Data Checks'!D235&gt;'Data Checks'!D234,'Data Checks'!D234&gt;'Data Checks'!D233),"SELL",IF(AND('Data Checks'!D236&lt;'Data Checks'!D235,'Data Checks'!D235&lt;'Data Checks'!D234,'Data Checks'!D234&lt;'Data Checks'!D233),"BUY",""))</f>
        <v>BUY</v>
      </c>
      <c r="M26" t="str">
        <f>IF(AND('Data Checks'!E236&gt;'Data Checks'!E235,'Data Checks'!E235&gt;'Data Checks'!E234,'Data Checks'!E234&gt;'Data Checks'!E233),"SELL",IF(AND('Data Checks'!E236&lt;'Data Checks'!E235,'Data Checks'!E235&lt;'Data Checks'!E234,'Data Checks'!E234&lt;'Data Checks'!E233),"BUY",""))</f>
        <v>BUY</v>
      </c>
      <c r="N26" t="str">
        <f>IF(AND('Data Checks'!F236&gt;'Data Checks'!F235,'Data Checks'!F235&gt;'Data Checks'!F234,'Data Checks'!F234&gt;'Data Checks'!F233),"SELL",IF(AND('Data Checks'!F236&lt;'Data Checks'!F235,'Data Checks'!F235&lt;'Data Checks'!F234,'Data Checks'!F234&lt;'Data Checks'!F233),"BUY",""))</f>
        <v/>
      </c>
      <c r="O26">
        <f>IF(J25="BUY",O25*('Data Checks'!B236/'Data Checks'!B235),IF(J25="SELL",O25*('Data Checks'!B235/'Data Checks'!B236),O25))</f>
        <v>185.41651642391562</v>
      </c>
      <c r="P26">
        <f>IF(K25="BUY",P25*('Data Checks'!C236/'Data Checks'!C235),IF(K25="SELL",P25*('Data Checks'!C235/'Data Checks'!C236),P25))</f>
        <v>202.04482711005588</v>
      </c>
      <c r="Q26">
        <f>IF(L25="BUY",Q25*('Data Checks'!D236/'Data Checks'!D235),IF(L25="SELL",Q25*('Data Checks'!D235/'Data Checks'!D236),Q25))</f>
        <v>204.07499180351661</v>
      </c>
      <c r="R26">
        <f>IF(M25="BUY",R25*('Data Checks'!E236/'Data Checks'!E235),IF(M25="SELL",R25*('Data Checks'!E235/'Data Checks'!E236),R25))</f>
        <v>174.21565481120587</v>
      </c>
      <c r="S26">
        <f>IF(N25="BUY",S25*('Data Checks'!F236/'Data Checks'!F235),IF(N25="SELL",S25*('Data Checks'!F235/'Data Checks'!F236),S25))</f>
        <v>199.80952163187609</v>
      </c>
      <c r="T26" s="16">
        <f t="shared" si="10"/>
        <v>965.56151178057007</v>
      </c>
      <c r="U26" s="17">
        <f t="shared" si="14"/>
        <v>-1.9624379369632461E-2</v>
      </c>
      <c r="W26" t="str">
        <f>IF(AND('Data Checks'!B236&gt;'Data Checks'!B235,'Data Checks'!B235&gt;'Data Checks'!B234,'Data Checks'!B234&gt;'Data Checks'!B233),"BUY",IF(AND('Data Checks'!B236&lt;'Data Checks'!B235,'Data Checks'!B235&lt;'Data Checks'!B234,'Data Checks'!B234&lt;'Data Checks'!B233),"SELL",""))</f>
        <v>BUY</v>
      </c>
      <c r="X26" t="str">
        <f>IF(AND('Data Checks'!C236&gt;'Data Checks'!C235,'Data Checks'!C235&gt;'Data Checks'!C234,'Data Checks'!C234&gt;'Data Checks'!C233),"BUY",IF(AND('Data Checks'!C236&lt;'Data Checks'!C235,'Data Checks'!C235&lt;'Data Checks'!C234,'Data Checks'!C234&lt;'Data Checks'!C233),"SELL",""))</f>
        <v/>
      </c>
      <c r="Y26" t="str">
        <f>IF(AND('Data Checks'!D236&gt;'Data Checks'!D235,'Data Checks'!D235&gt;'Data Checks'!D234,'Data Checks'!D234&gt;'Data Checks'!D233),"BUY",IF(AND('Data Checks'!D236&lt;'Data Checks'!D235,'Data Checks'!D235&lt;'Data Checks'!D234,'Data Checks'!D234&lt;'Data Checks'!D233),"SELL",""))</f>
        <v>SELL</v>
      </c>
      <c r="Z26" t="str">
        <f>IF(AND('Data Checks'!E236&gt;'Data Checks'!E235,'Data Checks'!E235&gt;'Data Checks'!E234,'Data Checks'!E234&gt;'Data Checks'!E233),"BUY",IF(AND('Data Checks'!E236&lt;'Data Checks'!E235,'Data Checks'!E235&lt;'Data Checks'!E234,'Data Checks'!E234&lt;'Data Checks'!E233),"SELL",""))</f>
        <v>SELL</v>
      </c>
      <c r="AA26" t="str">
        <f>IF(AND('Data Checks'!F236&gt;'Data Checks'!F235,'Data Checks'!F235&gt;'Data Checks'!F234,'Data Checks'!F234&gt;'Data Checks'!F233),"BUY",IF(AND('Data Checks'!F236&lt;'Data Checks'!F235,'Data Checks'!F235&lt;'Data Checks'!F234,'Data Checks'!F234&lt;'Data Checks'!F233),"SELL",""))</f>
        <v/>
      </c>
      <c r="AB26">
        <f>IF(W25="BUY",AB25*('Data Checks'!B236/'Data Checks'!B235),IF(W25="SELL",AB25*('Data Checks'!B235/'Data Checks'!B236),AB25))</f>
        <v>215.73051188465035</v>
      </c>
      <c r="AC26">
        <f>IF(X25="BUY",AC25*('Data Checks'!C236/'Data Checks'!C235),IF(X25="SELL",AC25*('Data Checks'!C235/'Data Checks'!C236),AC25))</f>
        <v>197.97586789099827</v>
      </c>
      <c r="AD26">
        <f>IF(Y25="BUY",AD25*('Data Checks'!D236/'Data Checks'!D235),IF(Y25="SELL",AD25*('Data Checks'!D235/'Data Checks'!D236),AD25))</f>
        <v>196.00637807944636</v>
      </c>
      <c r="AE26">
        <f>IF(Z25="BUY",AE25*('Data Checks'!E236/'Data Checks'!E235),IF(Z25="SELL",AE25*('Data Checks'!E235/'Data Checks'!E236),AE25))</f>
        <v>229.60049166274538</v>
      </c>
      <c r="AF26">
        <f>IF(AA25="BUY",AF25*('Data Checks'!F236/'Data Checks'!F235),IF(AA25="SELL",AF25*('Data Checks'!F235/'Data Checks'!F236),AF25))</f>
        <v>200.19065995110574</v>
      </c>
      <c r="AG26" s="16">
        <f t="shared" si="11"/>
        <v>1039.5039094689462</v>
      </c>
      <c r="AH26" s="17">
        <f t="shared" si="15"/>
        <v>2.1653733748997261E-2</v>
      </c>
      <c r="AJ26" t="str">
        <f>IF('Moving Ave'!G236&gt;'Moving Ave'!L236,"SELL","BUY")</f>
        <v>BUY</v>
      </c>
      <c r="AK26" t="str">
        <f>IF('Moving Ave'!H236&gt;'Moving Ave'!M236,"SELL","BUY")</f>
        <v>BUY</v>
      </c>
      <c r="AL26" t="str">
        <f>IF('Moving Ave'!I236&gt;'Moving Ave'!N236,"SELL","BUY")</f>
        <v>SELL</v>
      </c>
      <c r="AM26" t="str">
        <f>IF('Moving Ave'!J236&gt;'Moving Ave'!O236,"SELL","BUY")</f>
        <v>BUY</v>
      </c>
      <c r="AN26" t="str">
        <f>IF('Moving Ave'!K236&gt;'Moving Ave'!P236,"SELL","BUY")</f>
        <v>SELL</v>
      </c>
      <c r="AO26">
        <f>IF(AJ25="BUY",AO25*('Data Checks'!B236/'Data Checks'!B235),AO25*('Data Checks'!B235/'Data Checks'!B236))</f>
        <v>211.66589853759513</v>
      </c>
      <c r="AP26">
        <f>IF(AK25="BUY",AP25*('Data Checks'!C236/'Data Checks'!C235),AP25*('Data Checks'!C235/'Data Checks'!C236))</f>
        <v>184.35357846973778</v>
      </c>
      <c r="AQ26">
        <f>IF(AL25="BUY",AQ25*('Data Checks'!D236/'Data Checks'!D235),AQ25*('Data Checks'!D235/'Data Checks'!D236))</f>
        <v>219.26735658816224</v>
      </c>
      <c r="AR26">
        <f>IF(AM25="BUY",AR25*('Data Checks'!E236/'Data Checks'!E235),AR25*('Data Checks'!E235/'Data Checks'!E236))</f>
        <v>174.58989037194883</v>
      </c>
      <c r="AS26">
        <f>IF(AN25="BUY",AS25*('Data Checks'!F236/'Data Checks'!F235),AS25*('Data Checks'!F235/'Data Checks'!F236))</f>
        <v>210.54216883346632</v>
      </c>
      <c r="AT26" s="16">
        <f t="shared" si="12"/>
        <v>1000.4188928009104</v>
      </c>
      <c r="AU26" s="17">
        <f t="shared" si="16"/>
        <v>1.6121191191831974E-2</v>
      </c>
    </row>
    <row r="27" spans="1:47" x14ac:dyDescent="0.35">
      <c r="A27" s="2">
        <f>Prices!A235</f>
        <v>44230</v>
      </c>
      <c r="B27">
        <f>B26*('Data Checks'!B237/'Data Checks'!B236)</f>
        <v>211.18960810960104</v>
      </c>
      <c r="C27">
        <f>C26*('Data Checks'!C237/'Data Checks'!C236)</f>
        <v>183.18517610325563</v>
      </c>
      <c r="D27">
        <f>D26*('Data Checks'!D237/'Data Checks'!D236)</f>
        <v>177.45867385972068</v>
      </c>
      <c r="E27">
        <f>E26*('Data Checks'!E237/'Data Checks'!E236)</f>
        <v>171.54335548900724</v>
      </c>
      <c r="F27">
        <f>F26*('Data Checks'!F237/'Data Checks'!F236)</f>
        <v>191.41630889007604</v>
      </c>
      <c r="G27" s="16">
        <f t="shared" si="9"/>
        <v>934.79312245166057</v>
      </c>
      <c r="H27" s="17">
        <f t="shared" si="13"/>
        <v>-4.5036827457997086E-3</v>
      </c>
      <c r="J27" t="str">
        <f>IF(AND('Data Checks'!B237&gt;'Data Checks'!B236,'Data Checks'!B236&gt;'Data Checks'!B235,'Data Checks'!B235&gt;'Data Checks'!B234),"SELL",IF(AND('Data Checks'!B237&lt;'Data Checks'!B236,'Data Checks'!B236&lt;'Data Checks'!B235,'Data Checks'!B235&lt;'Data Checks'!B234),"BUY",""))</f>
        <v/>
      </c>
      <c r="K27" t="str">
        <f>IF(AND('Data Checks'!C237&gt;'Data Checks'!C236,'Data Checks'!C236&gt;'Data Checks'!C235,'Data Checks'!C235&gt;'Data Checks'!C234),"SELL",IF(AND('Data Checks'!C237&lt;'Data Checks'!C236,'Data Checks'!C236&lt;'Data Checks'!C235,'Data Checks'!C235&lt;'Data Checks'!C234),"BUY",""))</f>
        <v/>
      </c>
      <c r="L27" t="str">
        <f>IF(AND('Data Checks'!D237&gt;'Data Checks'!D236,'Data Checks'!D236&gt;'Data Checks'!D235,'Data Checks'!D235&gt;'Data Checks'!D234),"SELL",IF(AND('Data Checks'!D237&lt;'Data Checks'!D236,'Data Checks'!D236&lt;'Data Checks'!D235,'Data Checks'!D235&lt;'Data Checks'!D234),"BUY",""))</f>
        <v>BUY</v>
      </c>
      <c r="M27" t="str">
        <f>IF(AND('Data Checks'!E237&gt;'Data Checks'!E236,'Data Checks'!E236&gt;'Data Checks'!E235,'Data Checks'!E235&gt;'Data Checks'!E234),"SELL",IF(AND('Data Checks'!E237&lt;'Data Checks'!E236,'Data Checks'!E236&lt;'Data Checks'!E235,'Data Checks'!E235&lt;'Data Checks'!E234),"BUY",""))</f>
        <v>BUY</v>
      </c>
      <c r="N27" t="str">
        <f>IF(AND('Data Checks'!F237&gt;'Data Checks'!F236,'Data Checks'!F236&gt;'Data Checks'!F235,'Data Checks'!F235&gt;'Data Checks'!F234),"SELL",IF(AND('Data Checks'!F237&lt;'Data Checks'!F236,'Data Checks'!F236&lt;'Data Checks'!F235,'Data Checks'!F235&lt;'Data Checks'!F234),"BUY",""))</f>
        <v/>
      </c>
      <c r="O27">
        <f>IF(J26="BUY",O26*('Data Checks'!B237/'Data Checks'!B236),IF(J26="SELL",O26*('Data Checks'!B236/'Data Checks'!B237),O26))</f>
        <v>185.83468146884951</v>
      </c>
      <c r="P27">
        <f>IF(K26="BUY",P26*('Data Checks'!C237/'Data Checks'!C236),IF(K26="SELL",P26*('Data Checks'!C236/'Data Checks'!C237),P26))</f>
        <v>202.04482711005588</v>
      </c>
      <c r="Q27">
        <f>IF(L26="BUY",Q26*('Data Checks'!D237/'Data Checks'!D236),IF(L26="SELL",Q26*('Data Checks'!D236/'Data Checks'!D237),Q26))</f>
        <v>202.96733783200227</v>
      </c>
      <c r="R27">
        <f>IF(M26="BUY",R26*('Data Checks'!E237/'Data Checks'!E236),IF(M26="SELL",R26*('Data Checks'!E236/'Data Checks'!E237),R26))</f>
        <v>171.17565021296639</v>
      </c>
      <c r="S27">
        <f>IF(N26="BUY",S26*('Data Checks'!F237/'Data Checks'!F236),IF(N26="SELL",S26*('Data Checks'!F236/'Data Checks'!F237),S26))</f>
        <v>199.80952163187609</v>
      </c>
      <c r="T27" s="16">
        <f t="shared" si="10"/>
        <v>961.8320182557502</v>
      </c>
      <c r="U27" s="17">
        <f t="shared" si="14"/>
        <v>-3.8625126201875526E-3</v>
      </c>
      <c r="W27" t="str">
        <f>IF(AND('Data Checks'!B237&gt;'Data Checks'!B236,'Data Checks'!B236&gt;'Data Checks'!B235,'Data Checks'!B235&gt;'Data Checks'!B234),"BUY",IF(AND('Data Checks'!B237&lt;'Data Checks'!B236,'Data Checks'!B236&lt;'Data Checks'!B235,'Data Checks'!B235&lt;'Data Checks'!B234),"SELL",""))</f>
        <v/>
      </c>
      <c r="X27" t="str">
        <f>IF(AND('Data Checks'!C237&gt;'Data Checks'!C236,'Data Checks'!C236&gt;'Data Checks'!C235,'Data Checks'!C235&gt;'Data Checks'!C234),"BUY",IF(AND('Data Checks'!C237&lt;'Data Checks'!C236,'Data Checks'!C236&lt;'Data Checks'!C235,'Data Checks'!C235&lt;'Data Checks'!C234),"SELL",""))</f>
        <v/>
      </c>
      <c r="Y27" t="str">
        <f>IF(AND('Data Checks'!D237&gt;'Data Checks'!D236,'Data Checks'!D236&gt;'Data Checks'!D235,'Data Checks'!D235&gt;'Data Checks'!D234),"BUY",IF(AND('Data Checks'!D237&lt;'Data Checks'!D236,'Data Checks'!D236&lt;'Data Checks'!D235,'Data Checks'!D235&lt;'Data Checks'!D234),"SELL",""))</f>
        <v>SELL</v>
      </c>
      <c r="Z27" t="str">
        <f>IF(AND('Data Checks'!E237&gt;'Data Checks'!E236,'Data Checks'!E236&gt;'Data Checks'!E235,'Data Checks'!E235&gt;'Data Checks'!E234),"BUY",IF(AND('Data Checks'!E237&lt;'Data Checks'!E236,'Data Checks'!E236&lt;'Data Checks'!E235,'Data Checks'!E235&lt;'Data Checks'!E234),"SELL",""))</f>
        <v>SELL</v>
      </c>
      <c r="AA27" t="str">
        <f>IF(AND('Data Checks'!F237&gt;'Data Checks'!F236,'Data Checks'!F236&gt;'Data Checks'!F235,'Data Checks'!F235&gt;'Data Checks'!F234),"BUY",IF(AND('Data Checks'!F237&lt;'Data Checks'!F236,'Data Checks'!F236&lt;'Data Checks'!F235,'Data Checks'!F235&lt;'Data Checks'!F234),"SELL",""))</f>
        <v/>
      </c>
      <c r="AB27">
        <f>IF(W26="BUY",AB26*('Data Checks'!B237/'Data Checks'!B236),IF(W26="SELL",AB26*('Data Checks'!B236/'Data Checks'!B237),AB26))</f>
        <v>215.24507526709962</v>
      </c>
      <c r="AC27">
        <f>IF(X26="BUY",AC26*('Data Checks'!C237/'Data Checks'!C236),IF(X26="SELL",AC26*('Data Checks'!C236/'Data Checks'!C237),AC26))</f>
        <v>197.97586789099827</v>
      </c>
      <c r="AD27">
        <f>IF(Y26="BUY",AD26*('Data Checks'!D237/'Data Checks'!D236),IF(Y26="SELL",AD26*('Data Checks'!D236/'Data Checks'!D237),AD26))</f>
        <v>197.07604399437076</v>
      </c>
      <c r="AE27">
        <f>IF(Z26="BUY",AE26*('Data Checks'!E237/'Data Checks'!E236),IF(Z26="SELL",AE26*('Data Checks'!E236/'Data Checks'!E237),AE26))</f>
        <v>233.67809586371908</v>
      </c>
      <c r="AF27">
        <f>IF(AA26="BUY",AF26*('Data Checks'!F237/'Data Checks'!F236),IF(AA26="SELL",AF26*('Data Checks'!F236/'Data Checks'!F237),AF26))</f>
        <v>200.19065995110574</v>
      </c>
      <c r="AG27" s="16">
        <f t="shared" si="11"/>
        <v>1044.1657429672935</v>
      </c>
      <c r="AH27" s="17">
        <f t="shared" si="15"/>
        <v>4.4846714436397317E-3</v>
      </c>
      <c r="AJ27" t="str">
        <f>IF('Moving Ave'!G237&gt;'Moving Ave'!L237,"SELL","BUY")</f>
        <v>BUY</v>
      </c>
      <c r="AK27" t="str">
        <f>IF('Moving Ave'!H237&gt;'Moving Ave'!M237,"SELL","BUY")</f>
        <v>BUY</v>
      </c>
      <c r="AL27" t="str">
        <f>IF('Moving Ave'!I237&gt;'Moving Ave'!N237,"SELL","BUY")</f>
        <v>SELL</v>
      </c>
      <c r="AM27" t="str">
        <f>IF('Moving Ave'!J237&gt;'Moving Ave'!O237,"SELL","BUY")</f>
        <v>BUY</v>
      </c>
      <c r="AN27" t="str">
        <f>IF('Moving Ave'!K237&gt;'Moving Ave'!P237,"SELL","BUY")</f>
        <v>SELL</v>
      </c>
      <c r="AO27">
        <f>IF(AJ26="BUY",AO26*('Data Checks'!B237/'Data Checks'!B236),AO26*('Data Checks'!B236/'Data Checks'!B237))</f>
        <v>211.18960810960104</v>
      </c>
      <c r="AP27">
        <f>IF(AK26="BUY",AP26*('Data Checks'!C237/'Data Checks'!C236),AP26*('Data Checks'!C236/'Data Checks'!C237))</f>
        <v>183.18517610325563</v>
      </c>
      <c r="AQ27">
        <f>IF(AL26="BUY",AQ26*('Data Checks'!D237/'Data Checks'!D236),AQ26*('Data Checks'!D236/'Data Checks'!D237))</f>
        <v>220.46396467763404</v>
      </c>
      <c r="AR27">
        <f>IF(AM26="BUY",AR26*('Data Checks'!E237/'Data Checks'!E236),AR26*('Data Checks'!E236/'Data Checks'!E237))</f>
        <v>171.54335548900724</v>
      </c>
      <c r="AS27">
        <f>IF(AN26="BUY",AS26*('Data Checks'!F237/'Data Checks'!F236),AS26*('Data Checks'!F236/'Data Checks'!F237))</f>
        <v>208.96860999953071</v>
      </c>
      <c r="AT27" s="16">
        <f t="shared" si="12"/>
        <v>995.35071437902866</v>
      </c>
      <c r="AU27" s="17">
        <f t="shared" si="16"/>
        <v>-5.0660562873738879E-3</v>
      </c>
    </row>
    <row r="28" spans="1:47" x14ac:dyDescent="0.35">
      <c r="A28" s="2">
        <f>Prices!A236</f>
        <v>44231</v>
      </c>
      <c r="B28">
        <f>B27*('Data Checks'!B238/'Data Checks'!B237)</f>
        <v>215.98093911001027</v>
      </c>
      <c r="C28">
        <f>C27*('Data Checks'!C238/'Data Checks'!C237)</f>
        <v>185.62358104200098</v>
      </c>
      <c r="D28">
        <f>D27*('Data Checks'!D238/'Data Checks'!D237)</f>
        <v>183.56988451444118</v>
      </c>
      <c r="E28">
        <f>E27*('Data Checks'!E238/'Data Checks'!E237)</f>
        <v>172.91597010659632</v>
      </c>
      <c r="F28">
        <f>F27*('Data Checks'!F238/'Data Checks'!F237)</f>
        <v>191.6070547201773</v>
      </c>
      <c r="G28" s="16">
        <f t="shared" si="9"/>
        <v>949.69742949322597</v>
      </c>
      <c r="H28" s="17">
        <f t="shared" si="13"/>
        <v>1.5943963090438995E-2</v>
      </c>
      <c r="J28" t="str">
        <f>IF(AND('Data Checks'!B238&gt;'Data Checks'!B237,'Data Checks'!B237&gt;'Data Checks'!B236,'Data Checks'!B236&gt;'Data Checks'!B235),"SELL",IF(AND('Data Checks'!B238&lt;'Data Checks'!B237,'Data Checks'!B237&lt;'Data Checks'!B236,'Data Checks'!B236&lt;'Data Checks'!B235),"BUY",""))</f>
        <v/>
      </c>
      <c r="K28" t="str">
        <f>IF(AND('Data Checks'!C238&gt;'Data Checks'!C237,'Data Checks'!C237&gt;'Data Checks'!C236,'Data Checks'!C236&gt;'Data Checks'!C235),"SELL",IF(AND('Data Checks'!C238&lt;'Data Checks'!C237,'Data Checks'!C237&lt;'Data Checks'!C236,'Data Checks'!C236&lt;'Data Checks'!C235),"BUY",""))</f>
        <v/>
      </c>
      <c r="L28" t="str">
        <f>IF(AND('Data Checks'!D238&gt;'Data Checks'!D237,'Data Checks'!D237&gt;'Data Checks'!D236,'Data Checks'!D236&gt;'Data Checks'!D235),"SELL",IF(AND('Data Checks'!D238&lt;'Data Checks'!D237,'Data Checks'!D237&lt;'Data Checks'!D236,'Data Checks'!D236&lt;'Data Checks'!D235),"BUY",""))</f>
        <v/>
      </c>
      <c r="M28" t="str">
        <f>IF(AND('Data Checks'!E238&gt;'Data Checks'!E237,'Data Checks'!E237&gt;'Data Checks'!E236,'Data Checks'!E236&gt;'Data Checks'!E235),"SELL",IF(AND('Data Checks'!E238&lt;'Data Checks'!E237,'Data Checks'!E237&lt;'Data Checks'!E236,'Data Checks'!E236&lt;'Data Checks'!E235),"BUY",""))</f>
        <v/>
      </c>
      <c r="N28" t="str">
        <f>IF(AND('Data Checks'!F238&gt;'Data Checks'!F237,'Data Checks'!F237&gt;'Data Checks'!F236,'Data Checks'!F236&gt;'Data Checks'!F235),"SELL",IF(AND('Data Checks'!F238&lt;'Data Checks'!F237,'Data Checks'!F237&lt;'Data Checks'!F236,'Data Checks'!F236&lt;'Data Checks'!F235),"BUY",""))</f>
        <v/>
      </c>
      <c r="O28">
        <f>IF(J27="BUY",O27*('Data Checks'!B238/'Data Checks'!B237),IF(J27="SELL",O27*('Data Checks'!B237/'Data Checks'!B238),O27))</f>
        <v>185.83468146884951</v>
      </c>
      <c r="P28">
        <f>IF(K27="BUY",P27*('Data Checks'!C238/'Data Checks'!C237),IF(K27="SELL",P27*('Data Checks'!C237/'Data Checks'!C238),P27))</f>
        <v>202.04482711005588</v>
      </c>
      <c r="Q28">
        <f>IF(L27="BUY",Q27*('Data Checks'!D238/'Data Checks'!D237),IF(L27="SELL",Q27*('Data Checks'!D237/'Data Checks'!D238),Q27))</f>
        <v>209.95699987861317</v>
      </c>
      <c r="R28">
        <f>IF(M27="BUY",R27*('Data Checks'!E238/'Data Checks'!E237),IF(M27="SELL",R27*('Data Checks'!E237/'Data Checks'!E238),R27))</f>
        <v>172.545322614371</v>
      </c>
      <c r="S28">
        <f>IF(N27="BUY",S27*('Data Checks'!F238/'Data Checks'!F237),IF(N27="SELL",S27*('Data Checks'!F237/'Data Checks'!F238),S27))</f>
        <v>199.80952163187609</v>
      </c>
      <c r="T28" s="16">
        <f t="shared" si="10"/>
        <v>970.19135270376569</v>
      </c>
      <c r="U28" s="17">
        <f t="shared" si="14"/>
        <v>8.6910544558236325E-3</v>
      </c>
      <c r="W28" t="str">
        <f>IF(AND('Data Checks'!B238&gt;'Data Checks'!B237,'Data Checks'!B237&gt;'Data Checks'!B236,'Data Checks'!B236&gt;'Data Checks'!B235),"BUY",IF(AND('Data Checks'!B238&lt;'Data Checks'!B237,'Data Checks'!B237&lt;'Data Checks'!B236,'Data Checks'!B236&lt;'Data Checks'!B235),"SELL",""))</f>
        <v/>
      </c>
      <c r="X28" t="str">
        <f>IF(AND('Data Checks'!C238&gt;'Data Checks'!C237,'Data Checks'!C237&gt;'Data Checks'!C236,'Data Checks'!C236&gt;'Data Checks'!C235),"BUY",IF(AND('Data Checks'!C238&lt;'Data Checks'!C237,'Data Checks'!C237&lt;'Data Checks'!C236,'Data Checks'!C236&lt;'Data Checks'!C235),"SELL",""))</f>
        <v/>
      </c>
      <c r="Y28" t="str">
        <f>IF(AND('Data Checks'!D238&gt;'Data Checks'!D237,'Data Checks'!D237&gt;'Data Checks'!D236,'Data Checks'!D236&gt;'Data Checks'!D235),"BUY",IF(AND('Data Checks'!D238&lt;'Data Checks'!D237,'Data Checks'!D237&lt;'Data Checks'!D236,'Data Checks'!D236&lt;'Data Checks'!D235),"SELL",""))</f>
        <v/>
      </c>
      <c r="Z28" t="str">
        <f>IF(AND('Data Checks'!E238&gt;'Data Checks'!E237,'Data Checks'!E237&gt;'Data Checks'!E236,'Data Checks'!E236&gt;'Data Checks'!E235),"BUY",IF(AND('Data Checks'!E238&lt;'Data Checks'!E237,'Data Checks'!E237&lt;'Data Checks'!E236,'Data Checks'!E236&lt;'Data Checks'!E235),"SELL",""))</f>
        <v/>
      </c>
      <c r="AA28" t="str">
        <f>IF(AND('Data Checks'!F238&gt;'Data Checks'!F237,'Data Checks'!F237&gt;'Data Checks'!F236,'Data Checks'!F236&gt;'Data Checks'!F235),"BUY",IF(AND('Data Checks'!F238&lt;'Data Checks'!F237,'Data Checks'!F237&lt;'Data Checks'!F236,'Data Checks'!F236&lt;'Data Checks'!F235),"SELL",""))</f>
        <v/>
      </c>
      <c r="AB28">
        <f>IF(W27="BUY",AB27*('Data Checks'!B238/'Data Checks'!B237),IF(W27="SELL",AB27*('Data Checks'!B237/'Data Checks'!B238),AB27))</f>
        <v>215.24507526709962</v>
      </c>
      <c r="AC28">
        <f>IF(X27="BUY",AC27*('Data Checks'!C238/'Data Checks'!C237),IF(X27="SELL",AC27*('Data Checks'!C237/'Data Checks'!C238),AC27))</f>
        <v>197.97586789099827</v>
      </c>
      <c r="AD28">
        <f>IF(Y27="BUY",AD27*('Data Checks'!D238/'Data Checks'!D237),IF(Y27="SELL",AD27*('Data Checks'!D237/'Data Checks'!D238),AD27))</f>
        <v>190.51520084172489</v>
      </c>
      <c r="AE28">
        <f>IF(Z27="BUY",AE27*('Data Checks'!E238/'Data Checks'!E237),IF(Z27="SELL",AE27*('Data Checks'!E237/'Data Checks'!E238),AE27))</f>
        <v>231.82314880477946</v>
      </c>
      <c r="AF28">
        <f>IF(AA27="BUY",AF27*('Data Checks'!F238/'Data Checks'!F237),IF(AA27="SELL",AF27*('Data Checks'!F237/'Data Checks'!F238),AF27))</f>
        <v>200.19065995110574</v>
      </c>
      <c r="AG28" s="16">
        <f t="shared" si="11"/>
        <v>1035.7499527557081</v>
      </c>
      <c r="AH28" s="17">
        <f t="shared" si="15"/>
        <v>-8.0598221769557776E-3</v>
      </c>
      <c r="AJ28" t="str">
        <f>IF('Moving Ave'!G238&gt;'Moving Ave'!L238,"SELL","BUY")</f>
        <v>BUY</v>
      </c>
      <c r="AK28" t="str">
        <f>IF('Moving Ave'!H238&gt;'Moving Ave'!M238,"SELL","BUY")</f>
        <v>BUY</v>
      </c>
      <c r="AL28" t="str">
        <f>IF('Moving Ave'!I238&gt;'Moving Ave'!N238,"SELL","BUY")</f>
        <v>SELL</v>
      </c>
      <c r="AM28" t="str">
        <f>IF('Moving Ave'!J238&gt;'Moving Ave'!O238,"SELL","BUY")</f>
        <v>BUY</v>
      </c>
      <c r="AN28" t="str">
        <f>IF('Moving Ave'!K238&gt;'Moving Ave'!P238,"SELL","BUY")</f>
        <v>SELL</v>
      </c>
      <c r="AO28">
        <f>IF(AJ27="BUY",AO27*('Data Checks'!B238/'Data Checks'!B237),AO27*('Data Checks'!B237/'Data Checks'!B238))</f>
        <v>215.98093911001027</v>
      </c>
      <c r="AP28">
        <f>IF(AK27="BUY",AP27*('Data Checks'!C238/'Data Checks'!C237),AP27*('Data Checks'!C237/'Data Checks'!C238))</f>
        <v>185.62358104200098</v>
      </c>
      <c r="AQ28">
        <f>IF(AL27="BUY",AQ27*('Data Checks'!D238/'Data Checks'!D237),AQ27*('Data Checks'!D237/'Data Checks'!D238))</f>
        <v>213.12451608842991</v>
      </c>
      <c r="AR28">
        <f>IF(AM27="BUY",AR27*('Data Checks'!E238/'Data Checks'!E237),AR27*('Data Checks'!E237/'Data Checks'!E238))</f>
        <v>172.91597010659632</v>
      </c>
      <c r="AS28">
        <f>IF(AN27="BUY",AS27*('Data Checks'!F238/'Data Checks'!F237),AS27*('Data Checks'!F237/'Data Checks'!F238))</f>
        <v>208.76058064989283</v>
      </c>
      <c r="AT28" s="16">
        <f t="shared" si="12"/>
        <v>996.40558699693031</v>
      </c>
      <c r="AU28" s="17">
        <f t="shared" si="16"/>
        <v>1.0597999304795547E-3</v>
      </c>
    </row>
    <row r="29" spans="1:47" x14ac:dyDescent="0.35">
      <c r="A29" s="2">
        <f>Prices!A237</f>
        <v>44232</v>
      </c>
      <c r="B29">
        <f>B28*('Data Checks'!B239/'Data Checks'!B238)</f>
        <v>214.94828628432785</v>
      </c>
      <c r="C29">
        <f>C28*('Data Checks'!C239/'Data Checks'!C238)</f>
        <v>187.85878048917394</v>
      </c>
      <c r="D29">
        <f>D28*('Data Checks'!D239/'Data Checks'!D238)</f>
        <v>185.94089473937038</v>
      </c>
      <c r="E29">
        <f>E28*('Data Checks'!E239/'Data Checks'!E238)</f>
        <v>177.26815944867232</v>
      </c>
      <c r="F29">
        <f>F28*('Data Checks'!F239/'Data Checks'!F238)</f>
        <v>194.75441098837982</v>
      </c>
      <c r="G29" s="16">
        <f t="shared" si="9"/>
        <v>960.77053194992436</v>
      </c>
      <c r="H29" s="17">
        <f t="shared" si="13"/>
        <v>1.1659610853750779E-2</v>
      </c>
      <c r="J29" t="str">
        <f>IF(AND('Data Checks'!B239&gt;'Data Checks'!B238,'Data Checks'!B238&gt;'Data Checks'!B237,'Data Checks'!B237&gt;'Data Checks'!B236),"SELL",IF(AND('Data Checks'!B239&lt;'Data Checks'!B238,'Data Checks'!B238&lt;'Data Checks'!B237,'Data Checks'!B237&lt;'Data Checks'!B236),"BUY",""))</f>
        <v/>
      </c>
      <c r="K29" t="str">
        <f>IF(AND('Data Checks'!C239&gt;'Data Checks'!C238,'Data Checks'!C238&gt;'Data Checks'!C237,'Data Checks'!C237&gt;'Data Checks'!C236),"SELL",IF(AND('Data Checks'!C239&lt;'Data Checks'!C238,'Data Checks'!C238&lt;'Data Checks'!C237,'Data Checks'!C237&lt;'Data Checks'!C236),"BUY",""))</f>
        <v/>
      </c>
      <c r="L29" t="str">
        <f>IF(AND('Data Checks'!D239&gt;'Data Checks'!D238,'Data Checks'!D238&gt;'Data Checks'!D237,'Data Checks'!D237&gt;'Data Checks'!D236),"SELL",IF(AND('Data Checks'!D239&lt;'Data Checks'!D238,'Data Checks'!D238&lt;'Data Checks'!D237,'Data Checks'!D237&lt;'Data Checks'!D236),"BUY",""))</f>
        <v/>
      </c>
      <c r="M29" t="str">
        <f>IF(AND('Data Checks'!E239&gt;'Data Checks'!E238,'Data Checks'!E238&gt;'Data Checks'!E237,'Data Checks'!E237&gt;'Data Checks'!E236),"SELL",IF(AND('Data Checks'!E239&lt;'Data Checks'!E238,'Data Checks'!E238&lt;'Data Checks'!E237,'Data Checks'!E237&lt;'Data Checks'!E236),"BUY",""))</f>
        <v/>
      </c>
      <c r="N29" t="str">
        <f>IF(AND('Data Checks'!F239&gt;'Data Checks'!F238,'Data Checks'!F238&gt;'Data Checks'!F237,'Data Checks'!F237&gt;'Data Checks'!F236),"SELL",IF(AND('Data Checks'!F239&lt;'Data Checks'!F238,'Data Checks'!F238&lt;'Data Checks'!F237,'Data Checks'!F237&lt;'Data Checks'!F236),"BUY",""))</f>
        <v>SELL</v>
      </c>
      <c r="O29">
        <f>IF(J28="BUY",O28*('Data Checks'!B239/'Data Checks'!B238),IF(J28="SELL",O28*('Data Checks'!B238/'Data Checks'!B239),O28))</f>
        <v>185.83468146884951</v>
      </c>
      <c r="P29">
        <f>IF(K28="BUY",P28*('Data Checks'!C239/'Data Checks'!C238),IF(K28="SELL",P28*('Data Checks'!C238/'Data Checks'!C239),P28))</f>
        <v>202.04482711005588</v>
      </c>
      <c r="Q29">
        <f>IF(L28="BUY",Q28*('Data Checks'!D239/'Data Checks'!D238),IF(L28="SELL",Q28*('Data Checks'!D238/'Data Checks'!D239),Q28))</f>
        <v>209.95699987861317</v>
      </c>
      <c r="R29">
        <f>IF(M28="BUY",R28*('Data Checks'!E239/'Data Checks'!E238),IF(M28="SELL",R28*('Data Checks'!E238/'Data Checks'!E239),R28))</f>
        <v>172.545322614371</v>
      </c>
      <c r="S29">
        <f>IF(N28="BUY",S28*('Data Checks'!F239/'Data Checks'!F238),IF(N28="SELL",S28*('Data Checks'!F238/'Data Checks'!F239),S28))</f>
        <v>199.80952163187609</v>
      </c>
      <c r="T29" s="16">
        <f t="shared" si="10"/>
        <v>970.19135270376569</v>
      </c>
      <c r="U29" s="17">
        <f t="shared" si="14"/>
        <v>0</v>
      </c>
      <c r="W29" t="str">
        <f>IF(AND('Data Checks'!B239&gt;'Data Checks'!B238,'Data Checks'!B238&gt;'Data Checks'!B237,'Data Checks'!B237&gt;'Data Checks'!B236),"BUY",IF(AND('Data Checks'!B239&lt;'Data Checks'!B238,'Data Checks'!B238&lt;'Data Checks'!B237,'Data Checks'!B237&lt;'Data Checks'!B236),"SELL",""))</f>
        <v/>
      </c>
      <c r="X29" t="str">
        <f>IF(AND('Data Checks'!C239&gt;'Data Checks'!C238,'Data Checks'!C238&gt;'Data Checks'!C237,'Data Checks'!C237&gt;'Data Checks'!C236),"BUY",IF(AND('Data Checks'!C239&lt;'Data Checks'!C238,'Data Checks'!C238&lt;'Data Checks'!C237,'Data Checks'!C237&lt;'Data Checks'!C236),"SELL",""))</f>
        <v/>
      </c>
      <c r="Y29" t="str">
        <f>IF(AND('Data Checks'!D239&gt;'Data Checks'!D238,'Data Checks'!D238&gt;'Data Checks'!D237,'Data Checks'!D237&gt;'Data Checks'!D236),"BUY",IF(AND('Data Checks'!D239&lt;'Data Checks'!D238,'Data Checks'!D238&lt;'Data Checks'!D237,'Data Checks'!D237&lt;'Data Checks'!D236),"SELL",""))</f>
        <v/>
      </c>
      <c r="Z29" t="str">
        <f>IF(AND('Data Checks'!E239&gt;'Data Checks'!E238,'Data Checks'!E238&gt;'Data Checks'!E237,'Data Checks'!E237&gt;'Data Checks'!E236),"BUY",IF(AND('Data Checks'!E239&lt;'Data Checks'!E238,'Data Checks'!E238&lt;'Data Checks'!E237,'Data Checks'!E237&lt;'Data Checks'!E236),"SELL",""))</f>
        <v/>
      </c>
      <c r="AA29" t="str">
        <f>IF(AND('Data Checks'!F239&gt;'Data Checks'!F238,'Data Checks'!F238&gt;'Data Checks'!F237,'Data Checks'!F237&gt;'Data Checks'!F236),"BUY",IF(AND('Data Checks'!F239&lt;'Data Checks'!F238,'Data Checks'!F238&lt;'Data Checks'!F237,'Data Checks'!F237&lt;'Data Checks'!F236),"SELL",""))</f>
        <v>BUY</v>
      </c>
      <c r="AB29">
        <f>IF(W28="BUY",AB28*('Data Checks'!B239/'Data Checks'!B238),IF(W28="SELL",AB28*('Data Checks'!B238/'Data Checks'!B239),AB28))</f>
        <v>215.24507526709962</v>
      </c>
      <c r="AC29">
        <f>IF(X28="BUY",AC28*('Data Checks'!C239/'Data Checks'!C238),IF(X28="SELL",AC28*('Data Checks'!C238/'Data Checks'!C239),AC28))</f>
        <v>197.97586789099827</v>
      </c>
      <c r="AD29">
        <f>IF(Y28="BUY",AD28*('Data Checks'!D239/'Data Checks'!D238),IF(Y28="SELL",AD28*('Data Checks'!D238/'Data Checks'!D239),AD28))</f>
        <v>190.51520084172489</v>
      </c>
      <c r="AE29">
        <f>IF(Z28="BUY",AE28*('Data Checks'!E239/'Data Checks'!E238),IF(Z28="SELL",AE28*('Data Checks'!E238/'Data Checks'!E239),AE28))</f>
        <v>231.82314880477946</v>
      </c>
      <c r="AF29">
        <f>IF(AA28="BUY",AF28*('Data Checks'!F239/'Data Checks'!F238),IF(AA28="SELL",AF28*('Data Checks'!F238/'Data Checks'!F239),AF28))</f>
        <v>200.19065995110574</v>
      </c>
      <c r="AG29" s="16">
        <f t="shared" si="11"/>
        <v>1035.7499527557081</v>
      </c>
      <c r="AH29" s="17">
        <f t="shared" si="15"/>
        <v>0</v>
      </c>
      <c r="AJ29" t="str">
        <f>IF('Moving Ave'!G239&gt;'Moving Ave'!L239,"SELL","BUY")</f>
        <v>BUY</v>
      </c>
      <c r="AK29" t="str">
        <f>IF('Moving Ave'!H239&gt;'Moving Ave'!M239,"SELL","BUY")</f>
        <v>BUY</v>
      </c>
      <c r="AL29" t="str">
        <f>IF('Moving Ave'!I239&gt;'Moving Ave'!N239,"SELL","BUY")</f>
        <v>SELL</v>
      </c>
      <c r="AM29" t="str">
        <f>IF('Moving Ave'!J239&gt;'Moving Ave'!O239,"SELL","BUY")</f>
        <v>BUY</v>
      </c>
      <c r="AN29" t="str">
        <f>IF('Moving Ave'!K239&gt;'Moving Ave'!P239,"SELL","BUY")</f>
        <v>SELL</v>
      </c>
      <c r="AO29">
        <f>IF(AJ28="BUY",AO28*('Data Checks'!B239/'Data Checks'!B238),AO28*('Data Checks'!B238/'Data Checks'!B239))</f>
        <v>214.94828628432785</v>
      </c>
      <c r="AP29">
        <f>IF(AK28="BUY",AP28*('Data Checks'!C239/'Data Checks'!C238),AP28*('Data Checks'!C238/'Data Checks'!C239))</f>
        <v>187.85878048917394</v>
      </c>
      <c r="AQ29">
        <f>IF(AL28="BUY",AQ28*('Data Checks'!D239/'Data Checks'!D238),AQ28*('Data Checks'!D238/'Data Checks'!D239))</f>
        <v>210.40687612258458</v>
      </c>
      <c r="AR29">
        <f>IF(AM28="BUY",AR28*('Data Checks'!E239/'Data Checks'!E238),AR28*('Data Checks'!E238/'Data Checks'!E239))</f>
        <v>177.26815944867232</v>
      </c>
      <c r="AS29">
        <f>IF(AN28="BUY",AS28*('Data Checks'!F239/'Data Checks'!F238),AS28*('Data Checks'!F238/'Data Checks'!F239))</f>
        <v>205.38687569128604</v>
      </c>
      <c r="AT29" s="16">
        <f t="shared" si="12"/>
        <v>995.86897803604472</v>
      </c>
      <c r="AU29" s="17">
        <f t="shared" si="16"/>
        <v>-5.3854471300474049E-4</v>
      </c>
    </row>
    <row r="30" spans="1:47" x14ac:dyDescent="0.35">
      <c r="A30" s="2">
        <f>Prices!A238</f>
        <v>44233</v>
      </c>
      <c r="B30">
        <f>B29*('Data Checks'!B240/'Data Checks'!B239)</f>
        <v>216.03995439412884</v>
      </c>
      <c r="C30">
        <f>C29*('Data Checks'!C240/'Data Checks'!C239)</f>
        <v>188.46837156383972</v>
      </c>
      <c r="D30">
        <f>D29*('Data Checks'!D240/'Data Checks'!D239)</f>
        <v>184.93906136148036</v>
      </c>
      <c r="E30">
        <f>E29*('Data Checks'!E240/'Data Checks'!E239)</f>
        <v>174.55640192312018</v>
      </c>
      <c r="F30">
        <f>F29*('Data Checks'!F240/'Data Checks'!F239)</f>
        <v>195.04053688660767</v>
      </c>
      <c r="G30" s="16">
        <f t="shared" si="9"/>
        <v>959.04432612917685</v>
      </c>
      <c r="H30" s="17">
        <f t="shared" si="13"/>
        <v>-1.7966889734264413E-3</v>
      </c>
      <c r="J30" t="str">
        <f>IF(AND('Data Checks'!B240&gt;'Data Checks'!B239,'Data Checks'!B239&gt;'Data Checks'!B238,'Data Checks'!B238&gt;'Data Checks'!B237),"SELL",IF(AND('Data Checks'!B240&lt;'Data Checks'!B239,'Data Checks'!B239&lt;'Data Checks'!B238,'Data Checks'!B238&lt;'Data Checks'!B237),"BUY",""))</f>
        <v/>
      </c>
      <c r="K30" t="str">
        <f>IF(AND('Data Checks'!C240&gt;'Data Checks'!C239,'Data Checks'!C239&gt;'Data Checks'!C238,'Data Checks'!C238&gt;'Data Checks'!C237),"SELL",IF(AND('Data Checks'!C240&lt;'Data Checks'!C239,'Data Checks'!C239&lt;'Data Checks'!C238,'Data Checks'!C238&lt;'Data Checks'!C237),"BUY",""))</f>
        <v>SELL</v>
      </c>
      <c r="L30" t="str">
        <f>IF(AND('Data Checks'!D240&gt;'Data Checks'!D239,'Data Checks'!D239&gt;'Data Checks'!D238,'Data Checks'!D238&gt;'Data Checks'!D237),"SELL",IF(AND('Data Checks'!D240&lt;'Data Checks'!D239,'Data Checks'!D239&lt;'Data Checks'!D238,'Data Checks'!D238&lt;'Data Checks'!D237),"BUY",""))</f>
        <v/>
      </c>
      <c r="M30" t="str">
        <f>IF(AND('Data Checks'!E240&gt;'Data Checks'!E239,'Data Checks'!E239&gt;'Data Checks'!E238,'Data Checks'!E238&gt;'Data Checks'!E237),"SELL",IF(AND('Data Checks'!E240&lt;'Data Checks'!E239,'Data Checks'!E239&lt;'Data Checks'!E238,'Data Checks'!E238&lt;'Data Checks'!E237),"BUY",""))</f>
        <v/>
      </c>
      <c r="N30" t="str">
        <f>IF(AND('Data Checks'!F240&gt;'Data Checks'!F239,'Data Checks'!F239&gt;'Data Checks'!F238,'Data Checks'!F238&gt;'Data Checks'!F237),"SELL",IF(AND('Data Checks'!F240&lt;'Data Checks'!F239,'Data Checks'!F239&lt;'Data Checks'!F238,'Data Checks'!F238&lt;'Data Checks'!F237),"BUY",""))</f>
        <v>SELL</v>
      </c>
      <c r="O30">
        <f>IF(J29="BUY",O29*('Data Checks'!B240/'Data Checks'!B239),IF(J29="SELL",O29*('Data Checks'!B239/'Data Checks'!B240),O29))</f>
        <v>185.83468146884951</v>
      </c>
      <c r="P30">
        <f>IF(K29="BUY",P29*('Data Checks'!C240/'Data Checks'!C239),IF(K29="SELL",P29*('Data Checks'!C239/'Data Checks'!C240),P29))</f>
        <v>202.04482711005588</v>
      </c>
      <c r="Q30">
        <f>IF(L29="BUY",Q29*('Data Checks'!D240/'Data Checks'!D239),IF(L29="SELL",Q29*('Data Checks'!D239/'Data Checks'!D240),Q29))</f>
        <v>209.95699987861317</v>
      </c>
      <c r="R30">
        <f>IF(M29="BUY",R29*('Data Checks'!E240/'Data Checks'!E239),IF(M29="SELL",R29*('Data Checks'!E239/'Data Checks'!E240),R29))</f>
        <v>172.545322614371</v>
      </c>
      <c r="S30">
        <f>IF(N29="BUY",S29*('Data Checks'!F240/'Data Checks'!F239),IF(N29="SELL",S29*('Data Checks'!F239/'Data Checks'!F240),S29))</f>
        <v>199.51639959804663</v>
      </c>
      <c r="T30" s="16">
        <f t="shared" si="10"/>
        <v>969.8982306699362</v>
      </c>
      <c r="U30" s="17">
        <f t="shared" si="14"/>
        <v>-3.0212806268847814E-4</v>
      </c>
      <c r="W30" t="str">
        <f>IF(AND('Data Checks'!B240&gt;'Data Checks'!B239,'Data Checks'!B239&gt;'Data Checks'!B238,'Data Checks'!B238&gt;'Data Checks'!B237),"BUY",IF(AND('Data Checks'!B240&lt;'Data Checks'!B239,'Data Checks'!B239&lt;'Data Checks'!B238,'Data Checks'!B238&lt;'Data Checks'!B237),"SELL",""))</f>
        <v/>
      </c>
      <c r="X30" t="str">
        <f>IF(AND('Data Checks'!C240&gt;'Data Checks'!C239,'Data Checks'!C239&gt;'Data Checks'!C238,'Data Checks'!C238&gt;'Data Checks'!C237),"BUY",IF(AND('Data Checks'!C240&lt;'Data Checks'!C239,'Data Checks'!C239&lt;'Data Checks'!C238,'Data Checks'!C238&lt;'Data Checks'!C237),"SELL",""))</f>
        <v>BUY</v>
      </c>
      <c r="Y30" t="str">
        <f>IF(AND('Data Checks'!D240&gt;'Data Checks'!D239,'Data Checks'!D239&gt;'Data Checks'!D238,'Data Checks'!D238&gt;'Data Checks'!D237),"BUY",IF(AND('Data Checks'!D240&lt;'Data Checks'!D239,'Data Checks'!D239&lt;'Data Checks'!D238,'Data Checks'!D238&lt;'Data Checks'!D237),"SELL",""))</f>
        <v/>
      </c>
      <c r="Z30" t="str">
        <f>IF(AND('Data Checks'!E240&gt;'Data Checks'!E239,'Data Checks'!E239&gt;'Data Checks'!E238,'Data Checks'!E238&gt;'Data Checks'!E237),"BUY",IF(AND('Data Checks'!E240&lt;'Data Checks'!E239,'Data Checks'!E239&lt;'Data Checks'!E238,'Data Checks'!E238&lt;'Data Checks'!E237),"SELL",""))</f>
        <v/>
      </c>
      <c r="AA30" t="str">
        <f>IF(AND('Data Checks'!F240&gt;'Data Checks'!F239,'Data Checks'!F239&gt;'Data Checks'!F238,'Data Checks'!F238&gt;'Data Checks'!F237),"BUY",IF(AND('Data Checks'!F240&lt;'Data Checks'!F239,'Data Checks'!F239&lt;'Data Checks'!F238,'Data Checks'!F238&lt;'Data Checks'!F237),"SELL",""))</f>
        <v>BUY</v>
      </c>
      <c r="AB30">
        <f>IF(W29="BUY",AB29*('Data Checks'!B240/'Data Checks'!B239),IF(W29="SELL",AB29*('Data Checks'!B239/'Data Checks'!B240),AB29))</f>
        <v>215.24507526709962</v>
      </c>
      <c r="AC30">
        <f>IF(X29="BUY",AC29*('Data Checks'!C240/'Data Checks'!C239),IF(X29="SELL",AC29*('Data Checks'!C239/'Data Checks'!C240),AC29))</f>
        <v>197.97586789099827</v>
      </c>
      <c r="AD30">
        <f>IF(Y29="BUY",AD29*('Data Checks'!D240/'Data Checks'!D239),IF(Y29="SELL",AD29*('Data Checks'!D239/'Data Checks'!D240),AD29))</f>
        <v>190.51520084172489</v>
      </c>
      <c r="AE30">
        <f>IF(Z29="BUY",AE29*('Data Checks'!E240/'Data Checks'!E239),IF(Z29="SELL",AE29*('Data Checks'!E239/'Data Checks'!E240),AE29))</f>
        <v>231.82314880477946</v>
      </c>
      <c r="AF30">
        <f>IF(AA29="BUY",AF29*('Data Checks'!F240/'Data Checks'!F239),IF(AA29="SELL",AF29*('Data Checks'!F239/'Data Checks'!F240),AF29))</f>
        <v>200.4847725830335</v>
      </c>
      <c r="AG30" s="16">
        <f t="shared" si="11"/>
        <v>1036.0440653876358</v>
      </c>
      <c r="AH30" s="17">
        <f t="shared" si="15"/>
        <v>2.839610382265878E-4</v>
      </c>
      <c r="AJ30" t="str">
        <f>IF('Moving Ave'!G240&gt;'Moving Ave'!L240,"SELL","BUY")</f>
        <v>SELL</v>
      </c>
      <c r="AK30" t="str">
        <f>IF('Moving Ave'!H240&gt;'Moving Ave'!M240,"SELL","BUY")</f>
        <v>BUY</v>
      </c>
      <c r="AL30" t="str">
        <f>IF('Moving Ave'!I240&gt;'Moving Ave'!N240,"SELL","BUY")</f>
        <v>SELL</v>
      </c>
      <c r="AM30" t="str">
        <f>IF('Moving Ave'!J240&gt;'Moving Ave'!O240,"SELL","BUY")</f>
        <v>BUY</v>
      </c>
      <c r="AN30" t="str">
        <f>IF('Moving Ave'!K240&gt;'Moving Ave'!P240,"SELL","BUY")</f>
        <v>SELL</v>
      </c>
      <c r="AO30">
        <f>IF(AJ29="BUY",AO29*('Data Checks'!B240/'Data Checks'!B239),AO29*('Data Checks'!B239/'Data Checks'!B240))</f>
        <v>216.03995439412884</v>
      </c>
      <c r="AP30">
        <f>IF(AK29="BUY",AP29*('Data Checks'!C240/'Data Checks'!C239),AP29*('Data Checks'!C239/'Data Checks'!C240))</f>
        <v>188.46837156383972</v>
      </c>
      <c r="AQ30">
        <f>IF(AL29="BUY",AQ29*('Data Checks'!D240/'Data Checks'!D239),AQ29*('Data Checks'!D239/'Data Checks'!D240))</f>
        <v>211.54667119824555</v>
      </c>
      <c r="AR30">
        <f>IF(AM29="BUY",AR29*('Data Checks'!E240/'Data Checks'!E239),AR29*('Data Checks'!E239/'Data Checks'!E240))</f>
        <v>174.55640192312018</v>
      </c>
      <c r="AS30">
        <f>IF(AN29="BUY",AS29*('Data Checks'!F240/'Data Checks'!F239),AS29*('Data Checks'!F239/'Data Checks'!F240))</f>
        <v>205.08557163814172</v>
      </c>
      <c r="AT30" s="16">
        <f t="shared" si="12"/>
        <v>995.69697071747589</v>
      </c>
      <c r="AU30" s="17">
        <f t="shared" si="16"/>
        <v>-1.727208321199436E-4</v>
      </c>
    </row>
    <row r="31" spans="1:47" x14ac:dyDescent="0.35">
      <c r="A31" s="2">
        <f>Prices!A239</f>
        <v>44234</v>
      </c>
      <c r="B31">
        <f>B30*('Data Checks'!B241/'Data Checks'!B240)</f>
        <v>219.10106037849613</v>
      </c>
      <c r="C31">
        <f>C30*('Data Checks'!C241/'Data Checks'!C240)</f>
        <v>189.4843787016606</v>
      </c>
      <c r="D31">
        <f>D30*('Data Checks'!D241/'Data Checks'!D240)</f>
        <v>179.42895607662302</v>
      </c>
      <c r="E31">
        <f>E30*('Data Checks'!E241/'Data Checks'!E240)</f>
        <v>173.38466443305447</v>
      </c>
      <c r="F31">
        <f>F30*('Data Checks'!F241/'Data Checks'!F240)</f>
        <v>194.46828509015199</v>
      </c>
      <c r="G31" s="16">
        <f t="shared" si="9"/>
        <v>955.86734467998622</v>
      </c>
      <c r="H31" s="17">
        <f t="shared" si="13"/>
        <v>-3.312653401551624E-3</v>
      </c>
      <c r="J31" t="str">
        <f>IF(AND('Data Checks'!B241&gt;'Data Checks'!B240,'Data Checks'!B240&gt;'Data Checks'!B239,'Data Checks'!B239&gt;'Data Checks'!B238),"SELL",IF(AND('Data Checks'!B241&lt;'Data Checks'!B240,'Data Checks'!B240&lt;'Data Checks'!B239,'Data Checks'!B239&lt;'Data Checks'!B238),"BUY",""))</f>
        <v/>
      </c>
      <c r="K31" t="str">
        <f>IF(AND('Data Checks'!C241&gt;'Data Checks'!C240,'Data Checks'!C240&gt;'Data Checks'!C239,'Data Checks'!C239&gt;'Data Checks'!C238),"SELL",IF(AND('Data Checks'!C241&lt;'Data Checks'!C240,'Data Checks'!C240&lt;'Data Checks'!C239,'Data Checks'!C239&lt;'Data Checks'!C238),"BUY",""))</f>
        <v>SELL</v>
      </c>
      <c r="L31" t="str">
        <f>IF(AND('Data Checks'!D241&gt;'Data Checks'!D240,'Data Checks'!D240&gt;'Data Checks'!D239,'Data Checks'!D239&gt;'Data Checks'!D238),"SELL",IF(AND('Data Checks'!D241&lt;'Data Checks'!D240,'Data Checks'!D240&lt;'Data Checks'!D239,'Data Checks'!D239&lt;'Data Checks'!D238),"BUY",""))</f>
        <v/>
      </c>
      <c r="M31" t="str">
        <f>IF(AND('Data Checks'!E241&gt;'Data Checks'!E240,'Data Checks'!E240&gt;'Data Checks'!E239,'Data Checks'!E239&gt;'Data Checks'!E238),"SELL",IF(AND('Data Checks'!E241&lt;'Data Checks'!E240,'Data Checks'!E240&lt;'Data Checks'!E239,'Data Checks'!E239&lt;'Data Checks'!E238),"BUY",""))</f>
        <v/>
      </c>
      <c r="N31" t="str">
        <f>IF(AND('Data Checks'!F241&gt;'Data Checks'!F240,'Data Checks'!F240&gt;'Data Checks'!F239,'Data Checks'!F239&gt;'Data Checks'!F238),"SELL",IF(AND('Data Checks'!F241&lt;'Data Checks'!F240,'Data Checks'!F240&lt;'Data Checks'!F239,'Data Checks'!F239&lt;'Data Checks'!F238),"BUY",""))</f>
        <v/>
      </c>
      <c r="O31">
        <f>IF(J30="BUY",O30*('Data Checks'!B241/'Data Checks'!B240),IF(J30="SELL",O30*('Data Checks'!B240/'Data Checks'!B241),O30))</f>
        <v>185.83468146884951</v>
      </c>
      <c r="P31">
        <f>IF(K30="BUY",P30*('Data Checks'!C241/'Data Checks'!C240),IF(K30="SELL",P30*('Data Checks'!C240/'Data Checks'!C241),P30))</f>
        <v>200.9614713848496</v>
      </c>
      <c r="Q31">
        <f>IF(L30="BUY",Q30*('Data Checks'!D241/'Data Checks'!D240),IF(L30="SELL",Q30*('Data Checks'!D240/'Data Checks'!D241),Q30))</f>
        <v>209.95699987861317</v>
      </c>
      <c r="R31">
        <f>IF(M30="BUY",R30*('Data Checks'!E241/'Data Checks'!E240),IF(M30="SELL",R30*('Data Checks'!E240/'Data Checks'!E241),R30))</f>
        <v>172.545322614371</v>
      </c>
      <c r="S31">
        <f>IF(N30="BUY",S30*('Data Checks'!F241/'Data Checks'!F240),IF(N30="SELL",S30*('Data Checks'!F240/'Data Checks'!F241),S30))</f>
        <v>200.10350622080225</v>
      </c>
      <c r="T31" s="16">
        <f t="shared" si="10"/>
        <v>969.40198156748556</v>
      </c>
      <c r="U31" s="17">
        <f t="shared" si="14"/>
        <v>-5.1165069360714632E-4</v>
      </c>
      <c r="W31" t="str">
        <f>IF(AND('Data Checks'!B241&gt;'Data Checks'!B240,'Data Checks'!B240&gt;'Data Checks'!B239,'Data Checks'!B239&gt;'Data Checks'!B238),"BUY",IF(AND('Data Checks'!B241&lt;'Data Checks'!B240,'Data Checks'!B240&lt;'Data Checks'!B239,'Data Checks'!B239&lt;'Data Checks'!B238),"SELL",""))</f>
        <v/>
      </c>
      <c r="X31" t="str">
        <f>IF(AND('Data Checks'!C241&gt;'Data Checks'!C240,'Data Checks'!C240&gt;'Data Checks'!C239,'Data Checks'!C239&gt;'Data Checks'!C238),"BUY",IF(AND('Data Checks'!C241&lt;'Data Checks'!C240,'Data Checks'!C240&lt;'Data Checks'!C239,'Data Checks'!C239&lt;'Data Checks'!C238),"SELL",""))</f>
        <v>BUY</v>
      </c>
      <c r="Y31" t="str">
        <f>IF(AND('Data Checks'!D241&gt;'Data Checks'!D240,'Data Checks'!D240&gt;'Data Checks'!D239,'Data Checks'!D239&gt;'Data Checks'!D238),"BUY",IF(AND('Data Checks'!D241&lt;'Data Checks'!D240,'Data Checks'!D240&lt;'Data Checks'!D239,'Data Checks'!D239&lt;'Data Checks'!D238),"SELL",""))</f>
        <v/>
      </c>
      <c r="Z31" t="str">
        <f>IF(AND('Data Checks'!E241&gt;'Data Checks'!E240,'Data Checks'!E240&gt;'Data Checks'!E239,'Data Checks'!E239&gt;'Data Checks'!E238),"BUY",IF(AND('Data Checks'!E241&lt;'Data Checks'!E240,'Data Checks'!E240&lt;'Data Checks'!E239,'Data Checks'!E239&lt;'Data Checks'!E238),"SELL",""))</f>
        <v/>
      </c>
      <c r="AA31" t="str">
        <f>IF(AND('Data Checks'!F241&gt;'Data Checks'!F240,'Data Checks'!F240&gt;'Data Checks'!F239,'Data Checks'!F239&gt;'Data Checks'!F238),"BUY",IF(AND('Data Checks'!F241&lt;'Data Checks'!F240,'Data Checks'!F240&lt;'Data Checks'!F239,'Data Checks'!F239&lt;'Data Checks'!F238),"SELL",""))</f>
        <v/>
      </c>
      <c r="AB31">
        <f>IF(W30="BUY",AB30*('Data Checks'!B241/'Data Checks'!B240),IF(W30="SELL",AB30*('Data Checks'!B240/'Data Checks'!B241),AB30))</f>
        <v>215.24507526709962</v>
      </c>
      <c r="AC31">
        <f>IF(X30="BUY",AC30*('Data Checks'!C241/'Data Checks'!C240),IF(X30="SELL",AC30*('Data Checks'!C240/'Data Checks'!C241),AC30))</f>
        <v>199.04312863732144</v>
      </c>
      <c r="AD31">
        <f>IF(Y30="BUY",AD30*('Data Checks'!D241/'Data Checks'!D240),IF(Y30="SELL",AD30*('Data Checks'!D240/'Data Checks'!D241),AD30))</f>
        <v>190.51520084172489</v>
      </c>
      <c r="AE31">
        <f>IF(Z30="BUY",AE30*('Data Checks'!E241/'Data Checks'!E240),IF(Z30="SELL",AE30*('Data Checks'!E240/'Data Checks'!E241),AE30))</f>
        <v>231.82314880477946</v>
      </c>
      <c r="AF31">
        <f>IF(AA30="BUY",AF30*('Data Checks'!F241/'Data Checks'!F240),IF(AA30="SELL",AF30*('Data Checks'!F240/'Data Checks'!F241),AF30))</f>
        <v>199.89654731917796</v>
      </c>
      <c r="AG31" s="16">
        <f t="shared" si="11"/>
        <v>1036.5231008701032</v>
      </c>
      <c r="AH31" s="17">
        <f t="shared" si="15"/>
        <v>4.6236979533120781E-4</v>
      </c>
      <c r="AJ31" t="str">
        <f>IF('Moving Ave'!G241&gt;'Moving Ave'!L241,"SELL","BUY")</f>
        <v>SELL</v>
      </c>
      <c r="AK31" t="str">
        <f>IF('Moving Ave'!H241&gt;'Moving Ave'!M241,"SELL","BUY")</f>
        <v>BUY</v>
      </c>
      <c r="AL31" t="str">
        <f>IF('Moving Ave'!I241&gt;'Moving Ave'!N241,"SELL","BUY")</f>
        <v>SELL</v>
      </c>
      <c r="AM31" t="str">
        <f>IF('Moving Ave'!J241&gt;'Moving Ave'!O241,"SELL","BUY")</f>
        <v>BUY</v>
      </c>
      <c r="AN31" t="str">
        <f>IF('Moving Ave'!K241&gt;'Moving Ave'!P241,"SELL","BUY")</f>
        <v>SELL</v>
      </c>
      <c r="AO31">
        <f>IF(AJ30="BUY",AO30*('Data Checks'!B241/'Data Checks'!B240),AO30*('Data Checks'!B240/'Data Checks'!B241))</f>
        <v>213.02161575114889</v>
      </c>
      <c r="AP31">
        <f>IF(AK30="BUY",AP30*('Data Checks'!C241/'Data Checks'!C240),AP30*('Data Checks'!C240/'Data Checks'!C241))</f>
        <v>189.4843787016606</v>
      </c>
      <c r="AQ31">
        <f>IF(AL30="BUY",AQ30*('Data Checks'!D241/'Data Checks'!D240),AQ30*('Data Checks'!D240/'Data Checks'!D241))</f>
        <v>218.043083240378</v>
      </c>
      <c r="AR31">
        <f>IF(AM30="BUY",AR30*('Data Checks'!E241/'Data Checks'!E240),AR30*('Data Checks'!E240/'Data Checks'!E241))</f>
        <v>173.38466443305447</v>
      </c>
      <c r="AS31">
        <f>IF(AN30="BUY",AS30*('Data Checks'!F241/'Data Checks'!F240),AS30*('Data Checks'!F240/'Data Checks'!F241))</f>
        <v>205.68906637633341</v>
      </c>
      <c r="AT31" s="16">
        <f t="shared" si="12"/>
        <v>999.62280850257525</v>
      </c>
      <c r="AU31" s="17">
        <f t="shared" si="16"/>
        <v>3.9428037852424769E-3</v>
      </c>
    </row>
    <row r="32" spans="1:47" x14ac:dyDescent="0.35">
      <c r="A32" s="2">
        <f>Prices!A240</f>
        <v>44237</v>
      </c>
      <c r="B32">
        <f>B31*('Data Checks'!B242/'Data Checks'!B241)</f>
        <v>224.85760356975146</v>
      </c>
      <c r="C32">
        <f>C31*('Data Checks'!C242/'Data Checks'!C241)</f>
        <v>190.19558014212802</v>
      </c>
      <c r="D32">
        <f>D31*('Data Checks'!D242/'Data Checks'!D241)</f>
        <v>178.4271193592773</v>
      </c>
      <c r="E32">
        <f>E31*('Data Checks'!E242/'Data Checks'!E241)</f>
        <v>172.0455215250914</v>
      </c>
      <c r="F32">
        <f>F31*('Data Checks'!F242/'Data Checks'!F241)</f>
        <v>193.94373763391147</v>
      </c>
      <c r="G32" s="16">
        <f t="shared" si="9"/>
        <v>959.46956223015968</v>
      </c>
      <c r="H32" s="17">
        <f t="shared" si="13"/>
        <v>3.7685329143444246E-3</v>
      </c>
      <c r="J32" t="str">
        <f>IF(AND('Data Checks'!B242&gt;'Data Checks'!B241,'Data Checks'!B241&gt;'Data Checks'!B240,'Data Checks'!B240&gt;'Data Checks'!B239),"SELL",IF(AND('Data Checks'!B242&lt;'Data Checks'!B241,'Data Checks'!B241&lt;'Data Checks'!B240,'Data Checks'!B240&lt;'Data Checks'!B239),"BUY",""))</f>
        <v>SELL</v>
      </c>
      <c r="K32" t="str">
        <f>IF(AND('Data Checks'!C242&gt;'Data Checks'!C241,'Data Checks'!C241&gt;'Data Checks'!C240,'Data Checks'!C240&gt;'Data Checks'!C239),"SELL",IF(AND('Data Checks'!C242&lt;'Data Checks'!C241,'Data Checks'!C241&lt;'Data Checks'!C240,'Data Checks'!C240&lt;'Data Checks'!C239),"BUY",""))</f>
        <v>SELL</v>
      </c>
      <c r="L32" t="str">
        <f>IF(AND('Data Checks'!D242&gt;'Data Checks'!D241,'Data Checks'!D241&gt;'Data Checks'!D240,'Data Checks'!D240&gt;'Data Checks'!D239),"SELL",IF(AND('Data Checks'!D242&lt;'Data Checks'!D241,'Data Checks'!D241&lt;'Data Checks'!D240,'Data Checks'!D240&lt;'Data Checks'!D239),"BUY",""))</f>
        <v>BUY</v>
      </c>
      <c r="M32" t="str">
        <f>IF(AND('Data Checks'!E242&gt;'Data Checks'!E241,'Data Checks'!E241&gt;'Data Checks'!E240,'Data Checks'!E240&gt;'Data Checks'!E239),"SELL",IF(AND('Data Checks'!E242&lt;'Data Checks'!E241,'Data Checks'!E241&lt;'Data Checks'!E240,'Data Checks'!E240&lt;'Data Checks'!E239),"BUY",""))</f>
        <v>BUY</v>
      </c>
      <c r="N32" t="str">
        <f>IF(AND('Data Checks'!F242&gt;'Data Checks'!F241,'Data Checks'!F241&gt;'Data Checks'!F240,'Data Checks'!F240&gt;'Data Checks'!F239),"SELL",IF(AND('Data Checks'!F242&lt;'Data Checks'!F241,'Data Checks'!F241&lt;'Data Checks'!F240,'Data Checks'!F240&lt;'Data Checks'!F239),"BUY",""))</f>
        <v/>
      </c>
      <c r="O32">
        <f>IF(J31="BUY",O31*('Data Checks'!B242/'Data Checks'!B241),IF(J31="SELL",O31*('Data Checks'!B241/'Data Checks'!B242),O31))</f>
        <v>185.83468146884951</v>
      </c>
      <c r="P32">
        <f>IF(K31="BUY",P31*('Data Checks'!C242/'Data Checks'!C241),IF(K31="SELL",P31*('Data Checks'!C241/'Data Checks'!C242),P31))</f>
        <v>200.21001287135235</v>
      </c>
      <c r="Q32">
        <f>IF(L31="BUY",Q31*('Data Checks'!D242/'Data Checks'!D241),IF(L31="SELL",Q31*('Data Checks'!D241/'Data Checks'!D242),Q31))</f>
        <v>209.95699987861317</v>
      </c>
      <c r="R32">
        <f>IF(M31="BUY",R31*('Data Checks'!E242/'Data Checks'!E241),IF(M31="SELL",R31*('Data Checks'!E241/'Data Checks'!E242),R31))</f>
        <v>172.545322614371</v>
      </c>
      <c r="S32">
        <f>IF(N31="BUY",S31*('Data Checks'!F242/'Data Checks'!F241),IF(N31="SELL",S31*('Data Checks'!F241/'Data Checks'!F242),S31))</f>
        <v>200.10350622080225</v>
      </c>
      <c r="T32" s="16">
        <f t="shared" si="10"/>
        <v>968.65052305398831</v>
      </c>
      <c r="U32" s="17">
        <f t="shared" si="14"/>
        <v>-7.7517740605625995E-4</v>
      </c>
      <c r="W32" t="str">
        <f>IF(AND('Data Checks'!B242&gt;'Data Checks'!B241,'Data Checks'!B241&gt;'Data Checks'!B240,'Data Checks'!B240&gt;'Data Checks'!B239),"BUY",IF(AND('Data Checks'!B242&lt;'Data Checks'!B241,'Data Checks'!B241&lt;'Data Checks'!B240,'Data Checks'!B240&lt;'Data Checks'!B239),"SELL",""))</f>
        <v>BUY</v>
      </c>
      <c r="X32" t="str">
        <f>IF(AND('Data Checks'!C242&gt;'Data Checks'!C241,'Data Checks'!C241&gt;'Data Checks'!C240,'Data Checks'!C240&gt;'Data Checks'!C239),"BUY",IF(AND('Data Checks'!C242&lt;'Data Checks'!C241,'Data Checks'!C241&lt;'Data Checks'!C240,'Data Checks'!C240&lt;'Data Checks'!C239),"SELL",""))</f>
        <v>BUY</v>
      </c>
      <c r="Y32" t="str">
        <f>IF(AND('Data Checks'!D242&gt;'Data Checks'!D241,'Data Checks'!D241&gt;'Data Checks'!D240,'Data Checks'!D240&gt;'Data Checks'!D239),"BUY",IF(AND('Data Checks'!D242&lt;'Data Checks'!D241,'Data Checks'!D241&lt;'Data Checks'!D240,'Data Checks'!D240&lt;'Data Checks'!D239),"SELL",""))</f>
        <v>SELL</v>
      </c>
      <c r="Z32" t="str">
        <f>IF(AND('Data Checks'!E242&gt;'Data Checks'!E241,'Data Checks'!E241&gt;'Data Checks'!E240,'Data Checks'!E240&gt;'Data Checks'!E239),"BUY",IF(AND('Data Checks'!E242&lt;'Data Checks'!E241,'Data Checks'!E241&lt;'Data Checks'!E240,'Data Checks'!E240&lt;'Data Checks'!E239),"SELL",""))</f>
        <v>SELL</v>
      </c>
      <c r="AA32" t="str">
        <f>IF(AND('Data Checks'!F242&gt;'Data Checks'!F241,'Data Checks'!F241&gt;'Data Checks'!F240,'Data Checks'!F240&gt;'Data Checks'!F239),"BUY",IF(AND('Data Checks'!F242&lt;'Data Checks'!F241,'Data Checks'!F241&lt;'Data Checks'!F240,'Data Checks'!F240&lt;'Data Checks'!F239),"SELL",""))</f>
        <v/>
      </c>
      <c r="AB32">
        <f>IF(W31="BUY",AB31*('Data Checks'!B242/'Data Checks'!B241),IF(W31="SELL",AB31*('Data Checks'!B241/'Data Checks'!B242),AB31))</f>
        <v>215.24507526709962</v>
      </c>
      <c r="AC32">
        <f>IF(X31="BUY",AC31*('Data Checks'!C242/'Data Checks'!C241),IF(X31="SELL",AC31*('Data Checks'!C241/'Data Checks'!C242),AC31))</f>
        <v>199.79020742435372</v>
      </c>
      <c r="AD32">
        <f>IF(Y31="BUY",AD31*('Data Checks'!D242/'Data Checks'!D241),IF(Y31="SELL",AD31*('Data Checks'!D241/'Data Checks'!D242),AD31))</f>
        <v>190.51520084172489</v>
      </c>
      <c r="AE32">
        <f>IF(Z31="BUY",AE31*('Data Checks'!E242/'Data Checks'!E241),IF(Z31="SELL",AE31*('Data Checks'!E241/'Data Checks'!E242),AE31))</f>
        <v>231.82314880477946</v>
      </c>
      <c r="AF32">
        <f>IF(AA31="BUY",AF31*('Data Checks'!F242/'Data Checks'!F241),IF(AA31="SELL",AF31*('Data Checks'!F241/'Data Checks'!F242),AF31))</f>
        <v>199.89654731917796</v>
      </c>
      <c r="AG32" s="16">
        <f t="shared" si="11"/>
        <v>1037.2701796571357</v>
      </c>
      <c r="AH32" s="17">
        <f t="shared" si="15"/>
        <v>7.2075459428289079E-4</v>
      </c>
      <c r="AJ32" t="str">
        <f>IF('Moving Ave'!G242&gt;'Moving Ave'!L242,"SELL","BUY")</f>
        <v>SELL</v>
      </c>
      <c r="AK32" t="str">
        <f>IF('Moving Ave'!H242&gt;'Moving Ave'!M242,"SELL","BUY")</f>
        <v>BUY</v>
      </c>
      <c r="AL32" t="str">
        <f>IF('Moving Ave'!I242&gt;'Moving Ave'!N242,"SELL","BUY")</f>
        <v>SELL</v>
      </c>
      <c r="AM32" t="str">
        <f>IF('Moving Ave'!J242&gt;'Moving Ave'!O242,"SELL","BUY")</f>
        <v>BUY</v>
      </c>
      <c r="AN32" t="str">
        <f>IF('Moving Ave'!K242&gt;'Moving Ave'!P242,"SELL","BUY")</f>
        <v>SELL</v>
      </c>
      <c r="AO32">
        <f>IF(AJ31="BUY",AO31*('Data Checks'!B242/'Data Checks'!B241),AO31*('Data Checks'!B241/'Data Checks'!B242))</f>
        <v>207.56808377235549</v>
      </c>
      <c r="AP32">
        <f>IF(AK31="BUY",AP31*('Data Checks'!C242/'Data Checks'!C241),AP31*('Data Checks'!C241/'Data Checks'!C242))</f>
        <v>190.19558014212802</v>
      </c>
      <c r="AQ32">
        <f>IF(AL31="BUY",AQ31*('Data Checks'!D242/'Data Checks'!D241),AQ31*('Data Checks'!D241/'Data Checks'!D242))</f>
        <v>219.26735658816224</v>
      </c>
      <c r="AR32">
        <f>IF(AM31="BUY",AR31*('Data Checks'!E242/'Data Checks'!E241),AR31*('Data Checks'!E241/'Data Checks'!E242))</f>
        <v>172.0455215250914</v>
      </c>
      <c r="AS32">
        <f>IF(AN31="BUY",AS31*('Data Checks'!F242/'Data Checks'!F241),AS31*('Data Checks'!F241/'Data Checks'!F242))</f>
        <v>206.24538068614558</v>
      </c>
      <c r="AT32" s="16">
        <f t="shared" si="12"/>
        <v>995.32192271388283</v>
      </c>
      <c r="AU32" s="17">
        <f t="shared" si="16"/>
        <v>-4.302508658376003E-3</v>
      </c>
    </row>
    <row r="33" spans="1:47" x14ac:dyDescent="0.35">
      <c r="A33" s="2">
        <f>Prices!A241</f>
        <v>44238</v>
      </c>
      <c r="B33">
        <f>B32*('Data Checks'!B243/'Data Checks'!B242)</f>
        <v>226.63737679655333</v>
      </c>
      <c r="C33">
        <f>C32*('Data Checks'!C243/'Data Checks'!C242)</f>
        <v>194.31039355627109</v>
      </c>
      <c r="D33">
        <f>D32*('Data Checks'!D243/'Data Checks'!D242)</f>
        <v>179.8296840846499</v>
      </c>
      <c r="E33">
        <f>E32*('Data Checks'!E243/'Data Checks'!E242)</f>
        <v>174.05423588703599</v>
      </c>
      <c r="F33">
        <f>F32*('Data Checks'!F243/'Data Checks'!F242)</f>
        <v>195.80353451316461</v>
      </c>
      <c r="G33" s="16">
        <f t="shared" si="9"/>
        <v>970.63522483767474</v>
      </c>
      <c r="H33" s="17">
        <f t="shared" si="13"/>
        <v>1.1637328631417976E-2</v>
      </c>
      <c r="J33" t="str">
        <f>IF(AND('Data Checks'!B243&gt;'Data Checks'!B242,'Data Checks'!B242&gt;'Data Checks'!B241,'Data Checks'!B241&gt;'Data Checks'!B240),"SELL",IF(AND('Data Checks'!B243&lt;'Data Checks'!B242,'Data Checks'!B242&lt;'Data Checks'!B241,'Data Checks'!B241&lt;'Data Checks'!B240),"BUY",""))</f>
        <v>SELL</v>
      </c>
      <c r="K33" t="str">
        <f>IF(AND('Data Checks'!C243&gt;'Data Checks'!C242,'Data Checks'!C242&gt;'Data Checks'!C241,'Data Checks'!C241&gt;'Data Checks'!C240),"SELL",IF(AND('Data Checks'!C243&lt;'Data Checks'!C242,'Data Checks'!C242&lt;'Data Checks'!C241,'Data Checks'!C241&lt;'Data Checks'!C240),"BUY",""))</f>
        <v>SELL</v>
      </c>
      <c r="L33" t="str">
        <f>IF(AND('Data Checks'!D243&gt;'Data Checks'!D242,'Data Checks'!D242&gt;'Data Checks'!D241,'Data Checks'!D241&gt;'Data Checks'!D240),"SELL",IF(AND('Data Checks'!D243&lt;'Data Checks'!D242,'Data Checks'!D242&lt;'Data Checks'!D241,'Data Checks'!D241&lt;'Data Checks'!D240),"BUY",""))</f>
        <v/>
      </c>
      <c r="M33" t="str">
        <f>IF(AND('Data Checks'!E243&gt;'Data Checks'!E242,'Data Checks'!E242&gt;'Data Checks'!E241,'Data Checks'!E241&gt;'Data Checks'!E240),"SELL",IF(AND('Data Checks'!E243&lt;'Data Checks'!E242,'Data Checks'!E242&lt;'Data Checks'!E241,'Data Checks'!E241&lt;'Data Checks'!E240),"BUY",""))</f>
        <v/>
      </c>
      <c r="N33" t="str">
        <f>IF(AND('Data Checks'!F243&gt;'Data Checks'!F242,'Data Checks'!F242&gt;'Data Checks'!F241,'Data Checks'!F241&gt;'Data Checks'!F240),"SELL",IF(AND('Data Checks'!F243&lt;'Data Checks'!F242,'Data Checks'!F242&lt;'Data Checks'!F241,'Data Checks'!F241&lt;'Data Checks'!F240),"BUY",""))</f>
        <v/>
      </c>
      <c r="O33">
        <f>IF(J32="BUY",O32*('Data Checks'!B243/'Data Checks'!B242),IF(J32="SELL",O32*('Data Checks'!B242/'Data Checks'!B243),O32))</f>
        <v>184.37532999132858</v>
      </c>
      <c r="P33">
        <f>IF(K32="BUY",P32*('Data Checks'!C243/'Data Checks'!C242),IF(K32="SELL",P32*('Data Checks'!C242/'Data Checks'!C243),P32))</f>
        <v>195.97026618806325</v>
      </c>
      <c r="Q33">
        <f>IF(L32="BUY",Q32*('Data Checks'!D243/'Data Checks'!D242),IF(L32="SELL",Q32*('Data Checks'!D242/'Data Checks'!D243),Q32))</f>
        <v>211.60741200728654</v>
      </c>
      <c r="R33">
        <f>IF(M32="BUY",R32*('Data Checks'!E243/'Data Checks'!E242),IF(M32="SELL",R32*('Data Checks'!E242/'Data Checks'!E243),R32))</f>
        <v>174.55987239485628</v>
      </c>
      <c r="S33">
        <f>IF(N32="BUY",S32*('Data Checks'!F243/'Data Checks'!F242),IF(N32="SELL",S32*('Data Checks'!F242/'Data Checks'!F243),S32))</f>
        <v>200.10350622080225</v>
      </c>
      <c r="T33" s="16">
        <f t="shared" si="10"/>
        <v>966.61638680233682</v>
      </c>
      <c r="U33" s="17">
        <f t="shared" si="14"/>
        <v>-2.0999691872752857E-3</v>
      </c>
      <c r="W33" t="str">
        <f>IF(AND('Data Checks'!B243&gt;'Data Checks'!B242,'Data Checks'!B242&gt;'Data Checks'!B241,'Data Checks'!B241&gt;'Data Checks'!B240),"BUY",IF(AND('Data Checks'!B243&lt;'Data Checks'!B242,'Data Checks'!B242&lt;'Data Checks'!B241,'Data Checks'!B241&lt;'Data Checks'!B240),"SELL",""))</f>
        <v>BUY</v>
      </c>
      <c r="X33" t="str">
        <f>IF(AND('Data Checks'!C243&gt;'Data Checks'!C242,'Data Checks'!C242&gt;'Data Checks'!C241,'Data Checks'!C241&gt;'Data Checks'!C240),"BUY",IF(AND('Data Checks'!C243&lt;'Data Checks'!C242,'Data Checks'!C242&lt;'Data Checks'!C241,'Data Checks'!C241&lt;'Data Checks'!C240),"SELL",""))</f>
        <v>BUY</v>
      </c>
      <c r="Y33" t="str">
        <f>IF(AND('Data Checks'!D243&gt;'Data Checks'!D242,'Data Checks'!D242&gt;'Data Checks'!D241,'Data Checks'!D241&gt;'Data Checks'!D240),"BUY",IF(AND('Data Checks'!D243&lt;'Data Checks'!D242,'Data Checks'!D242&lt;'Data Checks'!D241,'Data Checks'!D241&lt;'Data Checks'!D240),"SELL",""))</f>
        <v/>
      </c>
      <c r="Z33" t="str">
        <f>IF(AND('Data Checks'!E243&gt;'Data Checks'!E242,'Data Checks'!E242&gt;'Data Checks'!E241,'Data Checks'!E241&gt;'Data Checks'!E240),"BUY",IF(AND('Data Checks'!E243&lt;'Data Checks'!E242,'Data Checks'!E242&lt;'Data Checks'!E241,'Data Checks'!E241&lt;'Data Checks'!E240),"SELL",""))</f>
        <v/>
      </c>
      <c r="AA33" t="str">
        <f>IF(AND('Data Checks'!F243&gt;'Data Checks'!F242,'Data Checks'!F242&gt;'Data Checks'!F241,'Data Checks'!F241&gt;'Data Checks'!F240),"BUY",IF(AND('Data Checks'!F243&lt;'Data Checks'!F242,'Data Checks'!F242&lt;'Data Checks'!F241,'Data Checks'!F241&lt;'Data Checks'!F240),"SELL",""))</f>
        <v/>
      </c>
      <c r="AB33">
        <f>IF(W32="BUY",AB32*('Data Checks'!B243/'Data Checks'!B242),IF(W32="SELL",AB32*('Data Checks'!B242/'Data Checks'!B243),AB32))</f>
        <v>216.9487642510592</v>
      </c>
      <c r="AC33">
        <f>IF(X32="BUY",AC32*('Data Checks'!C243/'Data Checks'!C242),IF(X32="SELL",AC32*('Data Checks'!C242/'Data Checks'!C243),AC32))</f>
        <v>204.1125971713175</v>
      </c>
      <c r="AD33">
        <f>IF(Y32="BUY",AD32*('Data Checks'!D243/'Data Checks'!D242),IF(Y32="SELL",AD32*('Data Checks'!D242/'Data Checks'!D243),AD32))</f>
        <v>189.02929543234822</v>
      </c>
      <c r="AE33">
        <f>IF(Z32="BUY",AE32*('Data Checks'!E243/'Data Checks'!E242),IF(Z32="SELL",AE32*('Data Checks'!E242/'Data Checks'!E243),AE32))</f>
        <v>229.14773854508545</v>
      </c>
      <c r="AF33">
        <f>IF(AA32="BUY",AF32*('Data Checks'!F243/'Data Checks'!F242),IF(AA32="SELL",AF32*('Data Checks'!F242/'Data Checks'!F243),AF32))</f>
        <v>199.89654731917796</v>
      </c>
      <c r="AG33" s="16">
        <f t="shared" si="11"/>
        <v>1039.1349427189882</v>
      </c>
      <c r="AH33" s="17">
        <f t="shared" si="15"/>
        <v>1.79776021563538E-3</v>
      </c>
      <c r="AJ33" t="str">
        <f>IF('Moving Ave'!G243&gt;'Moving Ave'!L243,"SELL","BUY")</f>
        <v>SELL</v>
      </c>
      <c r="AK33" t="str">
        <f>IF('Moving Ave'!H243&gt;'Moving Ave'!M243,"SELL","BUY")</f>
        <v>BUY</v>
      </c>
      <c r="AL33" t="str">
        <f>IF('Moving Ave'!I243&gt;'Moving Ave'!N243,"SELL","BUY")</f>
        <v>SELL</v>
      </c>
      <c r="AM33" t="str">
        <f>IF('Moving Ave'!J243&gt;'Moving Ave'!O243,"SELL","BUY")</f>
        <v>BUY</v>
      </c>
      <c r="AN33" t="str">
        <f>IF('Moving Ave'!K243&gt;'Moving Ave'!P243,"SELL","BUY")</f>
        <v>SELL</v>
      </c>
      <c r="AO33">
        <f>IF(AJ32="BUY",AO32*('Data Checks'!B243/'Data Checks'!B242),AO32*('Data Checks'!B242/'Data Checks'!B243))</f>
        <v>205.93806085443126</v>
      </c>
      <c r="AP33">
        <f>IF(AK32="BUY",AP32*('Data Checks'!C243/'Data Checks'!C242),AP32*('Data Checks'!C242/'Data Checks'!C243))</f>
        <v>194.31039355627109</v>
      </c>
      <c r="AQ33">
        <f>IF(AL32="BUY",AQ32*('Data Checks'!D243/'Data Checks'!D242),AQ32*('Data Checks'!D242/'Data Checks'!D243))</f>
        <v>217.55720144140969</v>
      </c>
      <c r="AR33">
        <f>IF(AM32="BUY",AR32*('Data Checks'!E243/'Data Checks'!E242),AR32*('Data Checks'!E242/'Data Checks'!E243))</f>
        <v>174.05423588703599</v>
      </c>
      <c r="AS33">
        <f>IF(AN32="BUY",AS32*('Data Checks'!F243/'Data Checks'!F242),AS32*('Data Checks'!F242/'Data Checks'!F243))</f>
        <v>204.28640422377387</v>
      </c>
      <c r="AT33" s="16">
        <f t="shared" si="12"/>
        <v>996.14629596292184</v>
      </c>
      <c r="AU33" s="17">
        <f t="shared" si="16"/>
        <v>8.2824785652380051E-4</v>
      </c>
    </row>
    <row r="34" spans="1:47" x14ac:dyDescent="0.35">
      <c r="A34" s="2">
        <f>Prices!A242</f>
        <v>44239</v>
      </c>
      <c r="B34">
        <f>B33*('Data Checks'!B244/'Data Checks'!B243)</f>
        <v>227.60680803785644</v>
      </c>
      <c r="C34">
        <f>C33*('Data Checks'!C244/'Data Checks'!C243)</f>
        <v>196.08838699741904</v>
      </c>
      <c r="D34">
        <f>D33*('Data Checks'!D244/'Data Checks'!D243)</f>
        <v>184.60510911012037</v>
      </c>
      <c r="E34">
        <f>E33*('Data Checks'!E244/'Data Checks'!E243)</f>
        <v>176.2638106373013</v>
      </c>
      <c r="F34">
        <f>F33*('Data Checks'!F244/'Data Checks'!F243)</f>
        <v>196.66189790169628</v>
      </c>
      <c r="G34" s="16">
        <f t="shared" si="9"/>
        <v>981.22601268439337</v>
      </c>
      <c r="H34" s="17">
        <f t="shared" si="13"/>
        <v>1.091119256308648E-2</v>
      </c>
      <c r="J34" t="str">
        <f>IF(AND('Data Checks'!B244&gt;'Data Checks'!B243,'Data Checks'!B243&gt;'Data Checks'!B242,'Data Checks'!B242&gt;'Data Checks'!B241),"SELL",IF(AND('Data Checks'!B244&lt;'Data Checks'!B243,'Data Checks'!B243&lt;'Data Checks'!B242,'Data Checks'!B242&lt;'Data Checks'!B241),"BUY",""))</f>
        <v>SELL</v>
      </c>
      <c r="K34" t="str">
        <f>IF(AND('Data Checks'!C244&gt;'Data Checks'!C243,'Data Checks'!C243&gt;'Data Checks'!C242,'Data Checks'!C242&gt;'Data Checks'!C241),"SELL",IF(AND('Data Checks'!C244&lt;'Data Checks'!C243,'Data Checks'!C243&lt;'Data Checks'!C242,'Data Checks'!C242&lt;'Data Checks'!C241),"BUY",""))</f>
        <v>SELL</v>
      </c>
      <c r="L34" t="str">
        <f>IF(AND('Data Checks'!D244&gt;'Data Checks'!D243,'Data Checks'!D243&gt;'Data Checks'!D242,'Data Checks'!D242&gt;'Data Checks'!D241),"SELL",IF(AND('Data Checks'!D244&lt;'Data Checks'!D243,'Data Checks'!D243&lt;'Data Checks'!D242,'Data Checks'!D242&lt;'Data Checks'!D241),"BUY",""))</f>
        <v/>
      </c>
      <c r="M34" t="str">
        <f>IF(AND('Data Checks'!E244&gt;'Data Checks'!E243,'Data Checks'!E243&gt;'Data Checks'!E242,'Data Checks'!E242&gt;'Data Checks'!E241),"SELL",IF(AND('Data Checks'!E244&lt;'Data Checks'!E243,'Data Checks'!E243&lt;'Data Checks'!E242,'Data Checks'!E242&lt;'Data Checks'!E241),"BUY",""))</f>
        <v/>
      </c>
      <c r="N34" t="str">
        <f>IF(AND('Data Checks'!F244&gt;'Data Checks'!F243,'Data Checks'!F243&gt;'Data Checks'!F242,'Data Checks'!F242&gt;'Data Checks'!F241),"SELL",IF(AND('Data Checks'!F244&lt;'Data Checks'!F243,'Data Checks'!F243&lt;'Data Checks'!F242,'Data Checks'!F242&lt;'Data Checks'!F241),"BUY",""))</f>
        <v/>
      </c>
      <c r="O34">
        <f>IF(J33="BUY",O33*('Data Checks'!B244/'Data Checks'!B243),IF(J33="SELL",O33*('Data Checks'!B243/'Data Checks'!B244),O33))</f>
        <v>183.59003184247254</v>
      </c>
      <c r="P34">
        <f>IF(K33="BUY",P33*('Data Checks'!C244/'Data Checks'!C243),IF(K33="SELL",P33*('Data Checks'!C243/'Data Checks'!C244),P33))</f>
        <v>194.19334378445873</v>
      </c>
      <c r="Q34">
        <f>IF(L33="BUY",Q33*('Data Checks'!D244/'Data Checks'!D243),IF(L33="SELL",Q33*('Data Checks'!D243/'Data Checks'!D244),Q33))</f>
        <v>211.60741200728654</v>
      </c>
      <c r="R34">
        <f>IF(M33="BUY",R33*('Data Checks'!E244/'Data Checks'!E243),IF(M33="SELL",R33*('Data Checks'!E243/'Data Checks'!E244),R33))</f>
        <v>174.55987239485628</v>
      </c>
      <c r="S34">
        <f>IF(N33="BUY",S33*('Data Checks'!F244/'Data Checks'!F243),IF(N33="SELL",S33*('Data Checks'!F243/'Data Checks'!F244),S33))</f>
        <v>200.10350622080225</v>
      </c>
      <c r="T34" s="16">
        <f t="shared" si="10"/>
        <v>964.05416624987629</v>
      </c>
      <c r="U34" s="17">
        <f t="shared" si="14"/>
        <v>-2.6507108584581385E-3</v>
      </c>
      <c r="W34" t="str">
        <f>IF(AND('Data Checks'!B244&gt;'Data Checks'!B243,'Data Checks'!B243&gt;'Data Checks'!B242,'Data Checks'!B242&gt;'Data Checks'!B241),"BUY",IF(AND('Data Checks'!B244&lt;'Data Checks'!B243,'Data Checks'!B243&lt;'Data Checks'!B242,'Data Checks'!B242&lt;'Data Checks'!B241),"SELL",""))</f>
        <v>BUY</v>
      </c>
      <c r="X34" t="str">
        <f>IF(AND('Data Checks'!C244&gt;'Data Checks'!C243,'Data Checks'!C243&gt;'Data Checks'!C242,'Data Checks'!C242&gt;'Data Checks'!C241),"BUY",IF(AND('Data Checks'!C244&lt;'Data Checks'!C243,'Data Checks'!C243&lt;'Data Checks'!C242,'Data Checks'!C242&lt;'Data Checks'!C241),"SELL",""))</f>
        <v>BUY</v>
      </c>
      <c r="Y34" t="str">
        <f>IF(AND('Data Checks'!D244&gt;'Data Checks'!D243,'Data Checks'!D243&gt;'Data Checks'!D242,'Data Checks'!D242&gt;'Data Checks'!D241),"BUY",IF(AND('Data Checks'!D244&lt;'Data Checks'!D243,'Data Checks'!D243&lt;'Data Checks'!D242,'Data Checks'!D242&lt;'Data Checks'!D241),"SELL",""))</f>
        <v/>
      </c>
      <c r="Z34" t="str">
        <f>IF(AND('Data Checks'!E244&gt;'Data Checks'!E243,'Data Checks'!E243&gt;'Data Checks'!E242,'Data Checks'!E242&gt;'Data Checks'!E241),"BUY",IF(AND('Data Checks'!E244&lt;'Data Checks'!E243,'Data Checks'!E243&lt;'Data Checks'!E242,'Data Checks'!E242&lt;'Data Checks'!E241),"SELL",""))</f>
        <v/>
      </c>
      <c r="AA34" t="str">
        <f>IF(AND('Data Checks'!F244&gt;'Data Checks'!F243,'Data Checks'!F243&gt;'Data Checks'!F242,'Data Checks'!F242&gt;'Data Checks'!F241),"BUY",IF(AND('Data Checks'!F244&lt;'Data Checks'!F243,'Data Checks'!F243&lt;'Data Checks'!F242,'Data Checks'!F242&lt;'Data Checks'!F241),"SELL",""))</f>
        <v/>
      </c>
      <c r="AB34">
        <f>IF(W33="BUY",AB33*('Data Checks'!B244/'Data Checks'!B243),IF(W33="SELL",AB33*('Data Checks'!B243/'Data Checks'!B244),AB33))</f>
        <v>217.87675288559004</v>
      </c>
      <c r="AC34">
        <f>IF(X33="BUY",AC33*('Data Checks'!C244/'Data Checks'!C243),IF(X33="SELL",AC33*('Data Checks'!C243/'Data Checks'!C244),AC33))</f>
        <v>205.9802834663441</v>
      </c>
      <c r="AD34">
        <f>IF(Y33="BUY",AD33*('Data Checks'!D244/'Data Checks'!D243),IF(Y33="SELL",AD33*('Data Checks'!D243/'Data Checks'!D244),AD33))</f>
        <v>189.02929543234822</v>
      </c>
      <c r="AE34">
        <f>IF(Z33="BUY",AE33*('Data Checks'!E244/'Data Checks'!E243),IF(Z33="SELL",AE33*('Data Checks'!E243/'Data Checks'!E244),AE33))</f>
        <v>229.14773854508545</v>
      </c>
      <c r="AF34">
        <f>IF(AA33="BUY",AF33*('Data Checks'!F244/'Data Checks'!F243),IF(AA33="SELL",AF33*('Data Checks'!F243/'Data Checks'!F244),AF33))</f>
        <v>199.89654731917796</v>
      </c>
      <c r="AG34" s="16">
        <f t="shared" si="11"/>
        <v>1041.9306176485456</v>
      </c>
      <c r="AH34" s="17">
        <f t="shared" si="15"/>
        <v>2.6903867963887773E-3</v>
      </c>
      <c r="AJ34" t="str">
        <f>IF('Moving Ave'!G244&gt;'Moving Ave'!L244,"SELL","BUY")</f>
        <v>SELL</v>
      </c>
      <c r="AK34" t="str">
        <f>IF('Moving Ave'!H244&gt;'Moving Ave'!M244,"SELL","BUY")</f>
        <v>BUY</v>
      </c>
      <c r="AL34" t="str">
        <f>IF('Moving Ave'!I244&gt;'Moving Ave'!N244,"SELL","BUY")</f>
        <v>SELL</v>
      </c>
      <c r="AM34" t="str">
        <f>IF('Moving Ave'!J244&gt;'Moving Ave'!O244,"SELL","BUY")</f>
        <v>BUY</v>
      </c>
      <c r="AN34" t="str">
        <f>IF('Moving Ave'!K244&gt;'Moving Ave'!P244,"SELL","BUY")</f>
        <v>SELL</v>
      </c>
      <c r="AO34">
        <f>IF(AJ33="BUY",AO33*('Data Checks'!B244/'Data Checks'!B243),AO33*('Data Checks'!B243/'Data Checks'!B244))</f>
        <v>205.06092193364617</v>
      </c>
      <c r="AP34">
        <f>IF(AK33="BUY",AP33*('Data Checks'!C244/'Data Checks'!C243),AP33*('Data Checks'!C243/'Data Checks'!C244))</f>
        <v>196.08838699741904</v>
      </c>
      <c r="AQ34">
        <f>IF(AL33="BUY",AQ33*('Data Checks'!D244/'Data Checks'!D243),AQ33*('Data Checks'!D243/'Data Checks'!D244))</f>
        <v>211.92936097024005</v>
      </c>
      <c r="AR34">
        <f>IF(AM33="BUY",AR33*('Data Checks'!E244/'Data Checks'!E243),AR33*('Data Checks'!E243/'Data Checks'!E244))</f>
        <v>176.2638106373013</v>
      </c>
      <c r="AS34">
        <f>IF(AN33="BUY",AS33*('Data Checks'!F244/'Data Checks'!F243),AS33*('Data Checks'!F243/'Data Checks'!F244))</f>
        <v>203.39476241602463</v>
      </c>
      <c r="AT34" s="16">
        <f t="shared" si="12"/>
        <v>992.73724295463114</v>
      </c>
      <c r="AU34" s="17">
        <f t="shared" si="16"/>
        <v>-3.4222413134562535E-3</v>
      </c>
    </row>
    <row r="35" spans="1:47" x14ac:dyDescent="0.35">
      <c r="A35" s="2">
        <f>Prices!A243</f>
        <v>44240</v>
      </c>
      <c r="B35">
        <f>B34*('Data Checks'!B245/'Data Checks'!B244)</f>
        <v>226.53938658626987</v>
      </c>
      <c r="C35">
        <f>C34*('Data Checks'!C245/'Data Checks'!C244)</f>
        <v>194.10718806469873</v>
      </c>
      <c r="D35">
        <f>D34*('Data Checks'!D245/'Data Checks'!D244)</f>
        <v>183.2359322630812</v>
      </c>
      <c r="E35">
        <f>E34*('Data Checks'!E245/'Data Checks'!E244)</f>
        <v>170.70639535633092</v>
      </c>
      <c r="F35">
        <f>F34*('Data Checks'!F245/'Data Checks'!F244)</f>
        <v>195.61278868306334</v>
      </c>
      <c r="G35" s="16">
        <f t="shared" si="9"/>
        <v>970.20169095344409</v>
      </c>
      <c r="H35" s="17">
        <f t="shared" si="13"/>
        <v>-1.1235252213493085E-2</v>
      </c>
      <c r="J35" t="str">
        <f>IF(AND('Data Checks'!B245&gt;'Data Checks'!B244,'Data Checks'!B244&gt;'Data Checks'!B243,'Data Checks'!B243&gt;'Data Checks'!B242),"SELL",IF(AND('Data Checks'!B245&lt;'Data Checks'!B244,'Data Checks'!B244&lt;'Data Checks'!B243,'Data Checks'!B243&lt;'Data Checks'!B242),"BUY",""))</f>
        <v/>
      </c>
      <c r="K35" t="str">
        <f>IF(AND('Data Checks'!C245&gt;'Data Checks'!C244,'Data Checks'!C244&gt;'Data Checks'!C243,'Data Checks'!C243&gt;'Data Checks'!C242),"SELL",IF(AND('Data Checks'!C245&lt;'Data Checks'!C244,'Data Checks'!C244&lt;'Data Checks'!C243,'Data Checks'!C243&lt;'Data Checks'!C242),"BUY",""))</f>
        <v/>
      </c>
      <c r="L35" t="str">
        <f>IF(AND('Data Checks'!D245&gt;'Data Checks'!D244,'Data Checks'!D244&gt;'Data Checks'!D243,'Data Checks'!D243&gt;'Data Checks'!D242),"SELL",IF(AND('Data Checks'!D245&lt;'Data Checks'!D244,'Data Checks'!D244&lt;'Data Checks'!D243,'Data Checks'!D243&lt;'Data Checks'!D242),"BUY",""))</f>
        <v/>
      </c>
      <c r="M35" t="str">
        <f>IF(AND('Data Checks'!E245&gt;'Data Checks'!E244,'Data Checks'!E244&gt;'Data Checks'!E243,'Data Checks'!E243&gt;'Data Checks'!E242),"SELL",IF(AND('Data Checks'!E245&lt;'Data Checks'!E244,'Data Checks'!E244&lt;'Data Checks'!E243,'Data Checks'!E243&lt;'Data Checks'!E242),"BUY",""))</f>
        <v/>
      </c>
      <c r="N35" t="str">
        <f>IF(AND('Data Checks'!F245&gt;'Data Checks'!F244,'Data Checks'!F244&gt;'Data Checks'!F243,'Data Checks'!F243&gt;'Data Checks'!F242),"SELL",IF(AND('Data Checks'!F245&lt;'Data Checks'!F244,'Data Checks'!F244&lt;'Data Checks'!F243,'Data Checks'!F243&lt;'Data Checks'!F242),"BUY",""))</f>
        <v/>
      </c>
      <c r="O35">
        <f>IF(J34="BUY",O34*('Data Checks'!B245/'Data Checks'!B244),IF(J34="SELL",O34*('Data Checks'!B244/'Data Checks'!B245),O34))</f>
        <v>184.45508202751614</v>
      </c>
      <c r="P35">
        <f>IF(K34="BUY",P34*('Data Checks'!C245/'Data Checks'!C244),IF(K34="SELL",P34*('Data Checks'!C244/'Data Checks'!C245),P34))</f>
        <v>196.17542208502596</v>
      </c>
      <c r="Q35">
        <f>IF(L34="BUY",Q34*('Data Checks'!D245/'Data Checks'!D244),IF(L34="SELL",Q34*('Data Checks'!D244/'Data Checks'!D245),Q34))</f>
        <v>211.60741200728654</v>
      </c>
      <c r="R35">
        <f>IF(M34="BUY",R34*('Data Checks'!E245/'Data Checks'!E244),IF(M34="SELL",R34*('Data Checks'!E244/'Data Checks'!E245),R34))</f>
        <v>174.55987239485628</v>
      </c>
      <c r="S35">
        <f>IF(N34="BUY",S34*('Data Checks'!F245/'Data Checks'!F244),IF(N34="SELL",S34*('Data Checks'!F244/'Data Checks'!F245),S34))</f>
        <v>200.10350622080225</v>
      </c>
      <c r="T35" s="16">
        <f t="shared" si="10"/>
        <v>966.90129473548723</v>
      </c>
      <c r="U35" s="17">
        <f t="shared" si="14"/>
        <v>2.9532868435040438E-3</v>
      </c>
      <c r="W35" t="str">
        <f>IF(AND('Data Checks'!B245&gt;'Data Checks'!B244,'Data Checks'!B244&gt;'Data Checks'!B243,'Data Checks'!B243&gt;'Data Checks'!B242),"BUY",IF(AND('Data Checks'!B245&lt;'Data Checks'!B244,'Data Checks'!B244&lt;'Data Checks'!B243,'Data Checks'!B243&lt;'Data Checks'!B242),"SELL",""))</f>
        <v/>
      </c>
      <c r="X35" t="str">
        <f>IF(AND('Data Checks'!C245&gt;'Data Checks'!C244,'Data Checks'!C244&gt;'Data Checks'!C243,'Data Checks'!C243&gt;'Data Checks'!C242),"BUY",IF(AND('Data Checks'!C245&lt;'Data Checks'!C244,'Data Checks'!C244&lt;'Data Checks'!C243,'Data Checks'!C243&lt;'Data Checks'!C242),"SELL",""))</f>
        <v/>
      </c>
      <c r="Y35" t="str">
        <f>IF(AND('Data Checks'!D245&gt;'Data Checks'!D244,'Data Checks'!D244&gt;'Data Checks'!D243,'Data Checks'!D243&gt;'Data Checks'!D242),"BUY",IF(AND('Data Checks'!D245&lt;'Data Checks'!D244,'Data Checks'!D244&lt;'Data Checks'!D243,'Data Checks'!D243&lt;'Data Checks'!D242),"SELL",""))</f>
        <v/>
      </c>
      <c r="Z35" t="str">
        <f>IF(AND('Data Checks'!E245&gt;'Data Checks'!E244,'Data Checks'!E244&gt;'Data Checks'!E243,'Data Checks'!E243&gt;'Data Checks'!E242),"BUY",IF(AND('Data Checks'!E245&lt;'Data Checks'!E244,'Data Checks'!E244&lt;'Data Checks'!E243,'Data Checks'!E243&lt;'Data Checks'!E242),"SELL",""))</f>
        <v/>
      </c>
      <c r="AA35" t="str">
        <f>IF(AND('Data Checks'!F245&gt;'Data Checks'!F244,'Data Checks'!F244&gt;'Data Checks'!F243,'Data Checks'!F243&gt;'Data Checks'!F242),"BUY",IF(AND('Data Checks'!F245&lt;'Data Checks'!F244,'Data Checks'!F244&lt;'Data Checks'!F243,'Data Checks'!F243&lt;'Data Checks'!F242),"SELL",""))</f>
        <v/>
      </c>
      <c r="AB35">
        <f>IF(W34="BUY",AB34*('Data Checks'!B245/'Data Checks'!B244),IF(W34="SELL",AB34*('Data Checks'!B244/'Data Checks'!B245),AB34))</f>
        <v>216.85496306376089</v>
      </c>
      <c r="AC35">
        <f>IF(X34="BUY",AC34*('Data Checks'!C245/'Data Checks'!C244),IF(X34="SELL",AC34*('Data Checks'!C244/'Data Checks'!C245),AC34))</f>
        <v>203.89914075303128</v>
      </c>
      <c r="AD35">
        <f>IF(Y34="BUY",AD34*('Data Checks'!D245/'Data Checks'!D244),IF(Y34="SELL",AD34*('Data Checks'!D244/'Data Checks'!D245),AD34))</f>
        <v>189.02929543234822</v>
      </c>
      <c r="AE35">
        <f>IF(Z34="BUY",AE34*('Data Checks'!E245/'Data Checks'!E244),IF(Z34="SELL",AE34*('Data Checks'!E244/'Data Checks'!E245),AE34))</f>
        <v>229.14773854508545</v>
      </c>
      <c r="AF35">
        <f>IF(AA34="BUY",AF34*('Data Checks'!F245/'Data Checks'!F244),IF(AA34="SELL",AF34*('Data Checks'!F244/'Data Checks'!F245),AF34))</f>
        <v>199.89654731917796</v>
      </c>
      <c r="AG35" s="16">
        <f t="shared" si="11"/>
        <v>1038.8276851134037</v>
      </c>
      <c r="AH35" s="17">
        <f t="shared" si="15"/>
        <v>-2.9780606141939225E-3</v>
      </c>
      <c r="AJ35" t="str">
        <f>IF('Moving Ave'!G245&gt;'Moving Ave'!L245,"SELL","BUY")</f>
        <v>SELL</v>
      </c>
      <c r="AK35" t="str">
        <f>IF('Moving Ave'!H245&gt;'Moving Ave'!M245,"SELL","BUY")</f>
        <v>BUY</v>
      </c>
      <c r="AL35" t="str">
        <f>IF('Moving Ave'!I245&gt;'Moving Ave'!N245,"SELL","BUY")</f>
        <v>SELL</v>
      </c>
      <c r="AM35" t="str">
        <f>IF('Moving Ave'!J245&gt;'Moving Ave'!O245,"SELL","BUY")</f>
        <v>BUY</v>
      </c>
      <c r="AN35" t="str">
        <f>IF('Moving Ave'!K245&gt;'Moving Ave'!P245,"SELL","BUY")</f>
        <v>SELL</v>
      </c>
      <c r="AO35">
        <f>IF(AJ34="BUY",AO34*('Data Checks'!B245/'Data Checks'!B244),AO34*('Data Checks'!B244/'Data Checks'!B245))</f>
        <v>206.02713990683176</v>
      </c>
      <c r="AP35">
        <f>IF(AK34="BUY",AP34*('Data Checks'!C245/'Data Checks'!C244),AP34*('Data Checks'!C244/'Data Checks'!C245))</f>
        <v>194.10718806469873</v>
      </c>
      <c r="AQ35">
        <f>IF(AL34="BUY",AQ34*('Data Checks'!D245/'Data Checks'!D244),AQ34*('Data Checks'!D244/'Data Checks'!D245))</f>
        <v>213.51294106102512</v>
      </c>
      <c r="AR35">
        <f>IF(AM34="BUY",AR34*('Data Checks'!E245/'Data Checks'!E244),AR34*('Data Checks'!E244/'Data Checks'!E245))</f>
        <v>170.70639535633092</v>
      </c>
      <c r="AS35">
        <f>IF(AN34="BUY",AS34*('Data Checks'!F245/'Data Checks'!F244),AS34*('Data Checks'!F244/'Data Checks'!F245))</f>
        <v>204.48560786487735</v>
      </c>
      <c r="AT35" s="16">
        <f t="shared" si="12"/>
        <v>988.83927225376385</v>
      </c>
      <c r="AU35" s="17">
        <f t="shared" si="16"/>
        <v>-3.9264878280036442E-3</v>
      </c>
    </row>
    <row r="36" spans="1:47" x14ac:dyDescent="0.35">
      <c r="A36" s="2">
        <f>Prices!A244</f>
        <v>44241</v>
      </c>
      <c r="B36">
        <f>B35*('Data Checks'!B246/'Data Checks'!B245)</f>
        <v>224.95878375267364</v>
      </c>
      <c r="C36">
        <f>C35*('Data Checks'!C246/'Data Checks'!C245)</f>
        <v>192.73558528665444</v>
      </c>
      <c r="D36">
        <f>D35*('Data Checks'!D246/'Data Checks'!D245)</f>
        <v>182.00033698447717</v>
      </c>
      <c r="E36">
        <f>E35*('Data Checks'!E246/'Data Checks'!E245)</f>
        <v>169.03247509097841</v>
      </c>
      <c r="F36">
        <f>F35*('Data Checks'!F246/'Data Checks'!F245)</f>
        <v>195.94659030920263</v>
      </c>
      <c r="G36" s="16">
        <f t="shared" si="9"/>
        <v>964.6737714239863</v>
      </c>
      <c r="H36" s="17">
        <f t="shared" si="13"/>
        <v>-5.6977013965264778E-3</v>
      </c>
      <c r="J36" t="str">
        <f>IF(AND('Data Checks'!B246&gt;'Data Checks'!B245,'Data Checks'!B245&gt;'Data Checks'!B244,'Data Checks'!B244&gt;'Data Checks'!B243),"SELL",IF(AND('Data Checks'!B246&lt;'Data Checks'!B245,'Data Checks'!B245&lt;'Data Checks'!B244,'Data Checks'!B244&lt;'Data Checks'!B243),"BUY",""))</f>
        <v/>
      </c>
      <c r="K36" t="str">
        <f>IF(AND('Data Checks'!C246&gt;'Data Checks'!C245,'Data Checks'!C245&gt;'Data Checks'!C244,'Data Checks'!C244&gt;'Data Checks'!C243),"SELL",IF(AND('Data Checks'!C246&lt;'Data Checks'!C245,'Data Checks'!C245&lt;'Data Checks'!C244,'Data Checks'!C244&lt;'Data Checks'!C243),"BUY",""))</f>
        <v/>
      </c>
      <c r="L36" t="str">
        <f>IF(AND('Data Checks'!D246&gt;'Data Checks'!D245,'Data Checks'!D245&gt;'Data Checks'!D244,'Data Checks'!D244&gt;'Data Checks'!D243),"SELL",IF(AND('Data Checks'!D246&lt;'Data Checks'!D245,'Data Checks'!D245&lt;'Data Checks'!D244,'Data Checks'!D244&lt;'Data Checks'!D243),"BUY",""))</f>
        <v/>
      </c>
      <c r="M36" t="str">
        <f>IF(AND('Data Checks'!E246&gt;'Data Checks'!E245,'Data Checks'!E245&gt;'Data Checks'!E244,'Data Checks'!E244&gt;'Data Checks'!E243),"SELL",IF(AND('Data Checks'!E246&lt;'Data Checks'!E245,'Data Checks'!E245&lt;'Data Checks'!E244,'Data Checks'!E244&lt;'Data Checks'!E243),"BUY",""))</f>
        <v/>
      </c>
      <c r="N36" t="str">
        <f>IF(AND('Data Checks'!F246&gt;'Data Checks'!F245,'Data Checks'!F245&gt;'Data Checks'!F244,'Data Checks'!F244&gt;'Data Checks'!F243),"SELL",IF(AND('Data Checks'!F246&lt;'Data Checks'!F245,'Data Checks'!F245&lt;'Data Checks'!F244,'Data Checks'!F244&lt;'Data Checks'!F243),"BUY",""))</f>
        <v/>
      </c>
      <c r="O36">
        <f>IF(J35="BUY",O35*('Data Checks'!B246/'Data Checks'!B245),IF(J35="SELL",O35*('Data Checks'!B245/'Data Checks'!B246),O35))</f>
        <v>184.45508202751614</v>
      </c>
      <c r="P36">
        <f>IF(K35="BUY",P35*('Data Checks'!C246/'Data Checks'!C245),IF(K35="SELL",P35*('Data Checks'!C245/'Data Checks'!C246),P35))</f>
        <v>196.17542208502596</v>
      </c>
      <c r="Q36">
        <f>IF(L35="BUY",Q35*('Data Checks'!D246/'Data Checks'!D245),IF(L35="SELL",Q35*('Data Checks'!D245/'Data Checks'!D246),Q35))</f>
        <v>211.60741200728654</v>
      </c>
      <c r="R36">
        <f>IF(M35="BUY",R35*('Data Checks'!E246/'Data Checks'!E245),IF(M35="SELL",R35*('Data Checks'!E245/'Data Checks'!E246),R35))</f>
        <v>174.55987239485628</v>
      </c>
      <c r="S36">
        <f>IF(N35="BUY",S35*('Data Checks'!F246/'Data Checks'!F245),IF(N35="SELL",S35*('Data Checks'!F245/'Data Checks'!F246),S35))</f>
        <v>200.10350622080225</v>
      </c>
      <c r="T36" s="16">
        <f t="shared" si="10"/>
        <v>966.90129473548723</v>
      </c>
      <c r="U36" s="17">
        <f t="shared" si="14"/>
        <v>0</v>
      </c>
      <c r="W36" t="str">
        <f>IF(AND('Data Checks'!B246&gt;'Data Checks'!B245,'Data Checks'!B245&gt;'Data Checks'!B244,'Data Checks'!B244&gt;'Data Checks'!B243),"BUY",IF(AND('Data Checks'!B246&lt;'Data Checks'!B245,'Data Checks'!B245&lt;'Data Checks'!B244,'Data Checks'!B244&lt;'Data Checks'!B243),"SELL",""))</f>
        <v/>
      </c>
      <c r="X36" t="str">
        <f>IF(AND('Data Checks'!C246&gt;'Data Checks'!C245,'Data Checks'!C245&gt;'Data Checks'!C244,'Data Checks'!C244&gt;'Data Checks'!C243),"BUY",IF(AND('Data Checks'!C246&lt;'Data Checks'!C245,'Data Checks'!C245&lt;'Data Checks'!C244,'Data Checks'!C244&lt;'Data Checks'!C243),"SELL",""))</f>
        <v/>
      </c>
      <c r="Y36" t="str">
        <f>IF(AND('Data Checks'!D246&gt;'Data Checks'!D245,'Data Checks'!D245&gt;'Data Checks'!D244,'Data Checks'!D244&gt;'Data Checks'!D243),"BUY",IF(AND('Data Checks'!D246&lt;'Data Checks'!D245,'Data Checks'!D245&lt;'Data Checks'!D244,'Data Checks'!D244&lt;'Data Checks'!D243),"SELL",""))</f>
        <v/>
      </c>
      <c r="Z36" t="str">
        <f>IF(AND('Data Checks'!E246&gt;'Data Checks'!E245,'Data Checks'!E245&gt;'Data Checks'!E244,'Data Checks'!E244&gt;'Data Checks'!E243),"BUY",IF(AND('Data Checks'!E246&lt;'Data Checks'!E245,'Data Checks'!E245&lt;'Data Checks'!E244,'Data Checks'!E244&lt;'Data Checks'!E243),"SELL",""))</f>
        <v/>
      </c>
      <c r="AA36" t="str">
        <f>IF(AND('Data Checks'!F246&gt;'Data Checks'!F245,'Data Checks'!F245&gt;'Data Checks'!F244,'Data Checks'!F244&gt;'Data Checks'!F243),"BUY",IF(AND('Data Checks'!F246&lt;'Data Checks'!F245,'Data Checks'!F245&lt;'Data Checks'!F244,'Data Checks'!F244&lt;'Data Checks'!F243),"SELL",""))</f>
        <v/>
      </c>
      <c r="AB36">
        <f>IF(W35="BUY",AB35*('Data Checks'!B246/'Data Checks'!B245),IF(W35="SELL",AB35*('Data Checks'!B245/'Data Checks'!B246),AB35))</f>
        <v>216.85496306376089</v>
      </c>
      <c r="AC36">
        <f>IF(X35="BUY",AC35*('Data Checks'!C246/'Data Checks'!C245),IF(X35="SELL",AC35*('Data Checks'!C245/'Data Checks'!C246),AC35))</f>
        <v>203.89914075303128</v>
      </c>
      <c r="AD36">
        <f>IF(Y35="BUY",AD35*('Data Checks'!D246/'Data Checks'!D245),IF(Y35="SELL",AD35*('Data Checks'!D245/'Data Checks'!D246),AD35))</f>
        <v>189.02929543234822</v>
      </c>
      <c r="AE36">
        <f>IF(Z35="BUY",AE35*('Data Checks'!E246/'Data Checks'!E245),IF(Z35="SELL",AE35*('Data Checks'!E245/'Data Checks'!E246),AE35))</f>
        <v>229.14773854508545</v>
      </c>
      <c r="AF36">
        <f>IF(AA35="BUY",AF35*('Data Checks'!F246/'Data Checks'!F245),IF(AA35="SELL",AF35*('Data Checks'!F245/'Data Checks'!F246),AF35))</f>
        <v>199.89654731917796</v>
      </c>
      <c r="AG36" s="16">
        <f t="shared" si="11"/>
        <v>1038.8276851134037</v>
      </c>
      <c r="AH36" s="17">
        <f t="shared" si="15"/>
        <v>0</v>
      </c>
      <c r="AJ36" t="str">
        <f>IF('Moving Ave'!G246&gt;'Moving Ave'!L246,"SELL","BUY")</f>
        <v>SELL</v>
      </c>
      <c r="AK36" t="str">
        <f>IF('Moving Ave'!H246&gt;'Moving Ave'!M246,"SELL","BUY")</f>
        <v>BUY</v>
      </c>
      <c r="AL36" t="str">
        <f>IF('Moving Ave'!I246&gt;'Moving Ave'!N246,"SELL","BUY")</f>
        <v>SELL</v>
      </c>
      <c r="AM36" t="str">
        <f>IF('Moving Ave'!J246&gt;'Moving Ave'!O246,"SELL","BUY")</f>
        <v>BUY</v>
      </c>
      <c r="AN36" t="str">
        <f>IF('Moving Ave'!K246&gt;'Moving Ave'!P246,"SELL","BUY")</f>
        <v>SELL</v>
      </c>
      <c r="AO36">
        <f>IF(AJ35="BUY",AO35*('Data Checks'!B246/'Data Checks'!B245),AO35*('Data Checks'!B245/'Data Checks'!B246))</f>
        <v>207.47472544095564</v>
      </c>
      <c r="AP36">
        <f>IF(AK35="BUY",AP35*('Data Checks'!C246/'Data Checks'!C245),AP35*('Data Checks'!C245/'Data Checks'!C246))</f>
        <v>192.73558528665444</v>
      </c>
      <c r="AQ36">
        <f>IF(AL35="BUY",AQ35*('Data Checks'!D246/'Data Checks'!D245),AQ35*('Data Checks'!D245/'Data Checks'!D246))</f>
        <v>214.96247454138546</v>
      </c>
      <c r="AR36">
        <f>IF(AM35="BUY",AR35*('Data Checks'!E246/'Data Checks'!E245),AR35*('Data Checks'!E245/'Data Checks'!E246))</f>
        <v>169.03247509097841</v>
      </c>
      <c r="AS36">
        <f>IF(AN35="BUY",AS35*('Data Checks'!F246/'Data Checks'!F245),AS35*('Data Checks'!F245/'Data Checks'!F246))</f>
        <v>204.13725973429922</v>
      </c>
      <c r="AT36" s="16">
        <f t="shared" si="12"/>
        <v>988.34252009427314</v>
      </c>
      <c r="AU36" s="17">
        <f t="shared" si="16"/>
        <v>-5.0235884984473067E-4</v>
      </c>
    </row>
    <row r="37" spans="1:47" x14ac:dyDescent="0.35">
      <c r="A37" s="2">
        <f>Prices!A245</f>
        <v>44245</v>
      </c>
      <c r="B37">
        <f>B36*('Data Checks'!B247/'Data Checks'!B246)</f>
        <v>227.15053246742357</v>
      </c>
      <c r="C37">
        <f>C36*('Data Checks'!C247/'Data Checks'!C246)</f>
        <v>181.96596855387273</v>
      </c>
      <c r="D37">
        <f>D36*('Data Checks'!D247/'Data Checks'!D246)</f>
        <v>181.73317384760688</v>
      </c>
      <c r="E37">
        <f>E36*('Data Checks'!E247/'Data Checks'!E246)</f>
        <v>168.09506969885942</v>
      </c>
      <c r="F37">
        <f>F36*('Data Checks'!F247/'Data Checks'!F246)</f>
        <v>196.8526437317976</v>
      </c>
      <c r="G37" s="16">
        <f t="shared" si="9"/>
        <v>955.79738829956023</v>
      </c>
      <c r="H37" s="17">
        <f t="shared" si="13"/>
        <v>-9.2014351248747017E-3</v>
      </c>
      <c r="J37" t="str">
        <f>IF(AND('Data Checks'!B247&gt;'Data Checks'!B246,'Data Checks'!B246&gt;'Data Checks'!B245,'Data Checks'!B245&gt;'Data Checks'!B244),"SELL",IF(AND('Data Checks'!B247&lt;'Data Checks'!B246,'Data Checks'!B246&lt;'Data Checks'!B245,'Data Checks'!B245&lt;'Data Checks'!B244),"BUY",""))</f>
        <v/>
      </c>
      <c r="K37" t="str">
        <f>IF(AND('Data Checks'!C247&gt;'Data Checks'!C246,'Data Checks'!C246&gt;'Data Checks'!C245,'Data Checks'!C245&gt;'Data Checks'!C244),"SELL",IF(AND('Data Checks'!C247&lt;'Data Checks'!C246,'Data Checks'!C246&lt;'Data Checks'!C245,'Data Checks'!C245&lt;'Data Checks'!C244),"BUY",""))</f>
        <v>BUY</v>
      </c>
      <c r="L37" t="str">
        <f>IF(AND('Data Checks'!D247&gt;'Data Checks'!D246,'Data Checks'!D246&gt;'Data Checks'!D245,'Data Checks'!D245&gt;'Data Checks'!D244),"SELL",IF(AND('Data Checks'!D247&lt;'Data Checks'!D246,'Data Checks'!D246&lt;'Data Checks'!D245,'Data Checks'!D245&lt;'Data Checks'!D244),"BUY",""))</f>
        <v>BUY</v>
      </c>
      <c r="M37" t="str">
        <f>IF(AND('Data Checks'!E247&gt;'Data Checks'!E246,'Data Checks'!E246&gt;'Data Checks'!E245,'Data Checks'!E245&gt;'Data Checks'!E244),"SELL",IF(AND('Data Checks'!E247&lt;'Data Checks'!E246,'Data Checks'!E246&lt;'Data Checks'!E245,'Data Checks'!E245&lt;'Data Checks'!E244),"BUY",""))</f>
        <v>BUY</v>
      </c>
      <c r="N37" t="str">
        <f>IF(AND('Data Checks'!F247&gt;'Data Checks'!F246,'Data Checks'!F246&gt;'Data Checks'!F245,'Data Checks'!F245&gt;'Data Checks'!F244),"SELL",IF(AND('Data Checks'!F247&lt;'Data Checks'!F246,'Data Checks'!F246&lt;'Data Checks'!F245,'Data Checks'!F245&lt;'Data Checks'!F244),"BUY",""))</f>
        <v/>
      </c>
      <c r="O37">
        <f>IF(J36="BUY",O36*('Data Checks'!B247/'Data Checks'!B246),IF(J36="SELL",O36*('Data Checks'!B246/'Data Checks'!B247),O36))</f>
        <v>184.45508202751614</v>
      </c>
      <c r="P37">
        <f>IF(K36="BUY",P36*('Data Checks'!C247/'Data Checks'!C246),IF(K36="SELL",P36*('Data Checks'!C246/'Data Checks'!C247),P36))</f>
        <v>196.17542208502596</v>
      </c>
      <c r="Q37">
        <f>IF(L36="BUY",Q36*('Data Checks'!D247/'Data Checks'!D246),IF(L36="SELL",Q36*('Data Checks'!D246/'Data Checks'!D247),Q36))</f>
        <v>211.60741200728654</v>
      </c>
      <c r="R37">
        <f>IF(M36="BUY",R36*('Data Checks'!E247/'Data Checks'!E246),IF(M36="SELL",R36*('Data Checks'!E246/'Data Checks'!E247),R36))</f>
        <v>174.55987239485628</v>
      </c>
      <c r="S37">
        <f>IF(N36="BUY",S36*('Data Checks'!F247/'Data Checks'!F246),IF(N36="SELL",S36*('Data Checks'!F246/'Data Checks'!F247),S36))</f>
        <v>200.10350622080225</v>
      </c>
      <c r="T37" s="16">
        <f t="shared" si="10"/>
        <v>966.90129473548723</v>
      </c>
      <c r="U37" s="17">
        <f t="shared" si="14"/>
        <v>0</v>
      </c>
      <c r="W37" t="str">
        <f>IF(AND('Data Checks'!B247&gt;'Data Checks'!B246,'Data Checks'!B246&gt;'Data Checks'!B245,'Data Checks'!B245&gt;'Data Checks'!B244),"BUY",IF(AND('Data Checks'!B247&lt;'Data Checks'!B246,'Data Checks'!B246&lt;'Data Checks'!B245,'Data Checks'!B245&lt;'Data Checks'!B244),"SELL",""))</f>
        <v/>
      </c>
      <c r="X37" t="str">
        <f>IF(AND('Data Checks'!C247&gt;'Data Checks'!C246,'Data Checks'!C246&gt;'Data Checks'!C245,'Data Checks'!C245&gt;'Data Checks'!C244),"BUY",IF(AND('Data Checks'!C247&lt;'Data Checks'!C246,'Data Checks'!C246&lt;'Data Checks'!C245,'Data Checks'!C245&lt;'Data Checks'!C244),"SELL",""))</f>
        <v>SELL</v>
      </c>
      <c r="Y37" t="str">
        <f>IF(AND('Data Checks'!D247&gt;'Data Checks'!D246,'Data Checks'!D246&gt;'Data Checks'!D245,'Data Checks'!D245&gt;'Data Checks'!D244),"BUY",IF(AND('Data Checks'!D247&lt;'Data Checks'!D246,'Data Checks'!D246&lt;'Data Checks'!D245,'Data Checks'!D245&lt;'Data Checks'!D244),"SELL",""))</f>
        <v>SELL</v>
      </c>
      <c r="Z37" t="str">
        <f>IF(AND('Data Checks'!E247&gt;'Data Checks'!E246,'Data Checks'!E246&gt;'Data Checks'!E245,'Data Checks'!E245&gt;'Data Checks'!E244),"BUY",IF(AND('Data Checks'!E247&lt;'Data Checks'!E246,'Data Checks'!E246&lt;'Data Checks'!E245,'Data Checks'!E245&lt;'Data Checks'!E244),"SELL",""))</f>
        <v>SELL</v>
      </c>
      <c r="AA37" t="str">
        <f>IF(AND('Data Checks'!F247&gt;'Data Checks'!F246,'Data Checks'!F246&gt;'Data Checks'!F245,'Data Checks'!F245&gt;'Data Checks'!F244),"BUY",IF(AND('Data Checks'!F247&lt;'Data Checks'!F246,'Data Checks'!F246&lt;'Data Checks'!F245,'Data Checks'!F245&lt;'Data Checks'!F244),"SELL",""))</f>
        <v/>
      </c>
      <c r="AB37">
        <f>IF(W36="BUY",AB36*('Data Checks'!B247/'Data Checks'!B246),IF(W36="SELL",AB36*('Data Checks'!B246/'Data Checks'!B247),AB36))</f>
        <v>216.85496306376089</v>
      </c>
      <c r="AC37">
        <f>IF(X36="BUY",AC36*('Data Checks'!C247/'Data Checks'!C246),IF(X36="SELL",AC36*('Data Checks'!C246/'Data Checks'!C247),AC36))</f>
        <v>203.89914075303128</v>
      </c>
      <c r="AD37">
        <f>IF(Y36="BUY",AD36*('Data Checks'!D247/'Data Checks'!D246),IF(Y36="SELL",AD36*('Data Checks'!D246/'Data Checks'!D247),AD36))</f>
        <v>189.02929543234822</v>
      </c>
      <c r="AE37">
        <f>IF(Z36="BUY",AE36*('Data Checks'!E247/'Data Checks'!E246),IF(Z36="SELL",AE36*('Data Checks'!E246/'Data Checks'!E247),AE36))</f>
        <v>229.14773854508545</v>
      </c>
      <c r="AF37">
        <f>IF(AA36="BUY",AF36*('Data Checks'!F247/'Data Checks'!F246),IF(AA36="SELL",AF36*('Data Checks'!F246/'Data Checks'!F247),AF36))</f>
        <v>199.89654731917796</v>
      </c>
      <c r="AG37" s="16">
        <f t="shared" si="11"/>
        <v>1038.8276851134037</v>
      </c>
      <c r="AH37" s="17">
        <f t="shared" si="15"/>
        <v>0</v>
      </c>
      <c r="AJ37" t="str">
        <f>IF('Moving Ave'!G247&gt;'Moving Ave'!L247,"SELL","BUY")</f>
        <v>SELL</v>
      </c>
      <c r="AK37" t="str">
        <f>IF('Moving Ave'!H247&gt;'Moving Ave'!M247,"SELL","BUY")</f>
        <v>BUY</v>
      </c>
      <c r="AL37" t="str">
        <f>IF('Moving Ave'!I247&gt;'Moving Ave'!N247,"SELL","BUY")</f>
        <v>SELL</v>
      </c>
      <c r="AM37" t="str">
        <f>IF('Moving Ave'!J247&gt;'Moving Ave'!O247,"SELL","BUY")</f>
        <v>BUY</v>
      </c>
      <c r="AN37" t="str">
        <f>IF('Moving Ave'!K247&gt;'Moving Ave'!P247,"SELL","BUY")</f>
        <v>SELL</v>
      </c>
      <c r="AO37">
        <f>IF(AJ36="BUY",AO36*('Data Checks'!B247/'Data Checks'!B246),AO36*('Data Checks'!B246/'Data Checks'!B247))</f>
        <v>205.4728262691211</v>
      </c>
      <c r="AP37">
        <f>IF(AK36="BUY",AP36*('Data Checks'!C247/'Data Checks'!C246),AP36*('Data Checks'!C246/'Data Checks'!C247))</f>
        <v>181.96596855387273</v>
      </c>
      <c r="AQ37">
        <f>IF(AL36="BUY",AQ36*('Data Checks'!D247/'Data Checks'!D246),AQ36*('Data Checks'!D246/'Data Checks'!D247))</f>
        <v>215.27848756086885</v>
      </c>
      <c r="AR37">
        <f>IF(AM36="BUY",AR36*('Data Checks'!E247/'Data Checks'!E246),AR36*('Data Checks'!E246/'Data Checks'!E247))</f>
        <v>168.09506969885942</v>
      </c>
      <c r="AS37">
        <f>IF(AN36="BUY",AS36*('Data Checks'!F247/'Data Checks'!F246),AS36*('Data Checks'!F246/'Data Checks'!F247))</f>
        <v>203.19767741853713</v>
      </c>
      <c r="AT37" s="16">
        <f t="shared" si="12"/>
        <v>974.01002950125917</v>
      </c>
      <c r="AU37" s="17">
        <f t="shared" si="16"/>
        <v>-1.4501542027805181E-2</v>
      </c>
    </row>
    <row r="38" spans="1:47" x14ac:dyDescent="0.35">
      <c r="A38" s="2">
        <f>Prices!A246</f>
        <v>44246</v>
      </c>
      <c r="B38">
        <f>B37*('Data Checks'!B248/'Data Checks'!B247)</f>
        <v>228.6837223793145</v>
      </c>
      <c r="C38">
        <f>C37*('Data Checks'!C248/'Data Checks'!C247)</f>
        <v>184.04877277238438</v>
      </c>
      <c r="D38">
        <f>D37*('Data Checks'!D248/'Data Checks'!D247)</f>
        <v>181.46602406855948</v>
      </c>
      <c r="E38">
        <f>E37*('Data Checks'!E248/'Data Checks'!E247)</f>
        <v>168.12855479984754</v>
      </c>
      <c r="F38">
        <f>F37*('Data Checks'!F248/'Data Checks'!F247)</f>
        <v>195.13591695473428</v>
      </c>
      <c r="G38" s="16">
        <f t="shared" si="9"/>
        <v>957.46299097484018</v>
      </c>
      <c r="H38" s="17">
        <f t="shared" si="13"/>
        <v>1.7426315406063875E-3</v>
      </c>
      <c r="J38" t="str">
        <f>IF(AND('Data Checks'!B248&gt;'Data Checks'!B247,'Data Checks'!B247&gt;'Data Checks'!B246,'Data Checks'!B246&gt;'Data Checks'!B245),"SELL",IF(AND('Data Checks'!B248&lt;'Data Checks'!B247,'Data Checks'!B247&lt;'Data Checks'!B246,'Data Checks'!B246&lt;'Data Checks'!B245),"BUY",""))</f>
        <v/>
      </c>
      <c r="K38" t="str">
        <f>IF(AND('Data Checks'!C248&gt;'Data Checks'!C247,'Data Checks'!C247&gt;'Data Checks'!C246,'Data Checks'!C246&gt;'Data Checks'!C245),"SELL",IF(AND('Data Checks'!C248&lt;'Data Checks'!C247,'Data Checks'!C247&lt;'Data Checks'!C246,'Data Checks'!C246&lt;'Data Checks'!C245),"BUY",""))</f>
        <v/>
      </c>
      <c r="L38" t="str">
        <f>IF(AND('Data Checks'!D248&gt;'Data Checks'!D247,'Data Checks'!D247&gt;'Data Checks'!D246,'Data Checks'!D246&gt;'Data Checks'!D245),"SELL",IF(AND('Data Checks'!D248&lt;'Data Checks'!D247,'Data Checks'!D247&lt;'Data Checks'!D246,'Data Checks'!D246&lt;'Data Checks'!D245),"BUY",""))</f>
        <v>BUY</v>
      </c>
      <c r="M38" t="str">
        <f>IF(AND('Data Checks'!E248&gt;'Data Checks'!E247,'Data Checks'!E247&gt;'Data Checks'!E246,'Data Checks'!E246&gt;'Data Checks'!E245),"SELL",IF(AND('Data Checks'!E248&lt;'Data Checks'!E247,'Data Checks'!E247&lt;'Data Checks'!E246,'Data Checks'!E246&lt;'Data Checks'!E245),"BUY",""))</f>
        <v/>
      </c>
      <c r="N38" t="str">
        <f>IF(AND('Data Checks'!F248&gt;'Data Checks'!F247,'Data Checks'!F247&gt;'Data Checks'!F246,'Data Checks'!F246&gt;'Data Checks'!F245),"SELL",IF(AND('Data Checks'!F248&lt;'Data Checks'!F247,'Data Checks'!F247&lt;'Data Checks'!F246,'Data Checks'!F246&lt;'Data Checks'!F245),"BUY",""))</f>
        <v/>
      </c>
      <c r="O38">
        <f>IF(J37="BUY",O37*('Data Checks'!B248/'Data Checks'!B247),IF(J37="SELL",O37*('Data Checks'!B247/'Data Checks'!B248),O37))</f>
        <v>184.45508202751614</v>
      </c>
      <c r="P38">
        <f>IF(K37="BUY",P37*('Data Checks'!C248/'Data Checks'!C247),IF(K37="SELL",P37*('Data Checks'!C247/'Data Checks'!C248),P37))</f>
        <v>198.42086940649051</v>
      </c>
      <c r="Q38">
        <f>IF(L37="BUY",Q37*('Data Checks'!D248/'Data Checks'!D247),IF(L37="SELL",Q37*('Data Checks'!D247/'Data Checks'!D248),Q37))</f>
        <v>211.29634676715628</v>
      </c>
      <c r="R38">
        <f>IF(M37="BUY",R37*('Data Checks'!E248/'Data Checks'!E247),IF(M37="SELL",R37*('Data Checks'!E247/'Data Checks'!E248),R37))</f>
        <v>174.594645306198</v>
      </c>
      <c r="S38">
        <f>IF(N37="BUY",S37*('Data Checks'!F248/'Data Checks'!F247),IF(N37="SELL",S37*('Data Checks'!F247/'Data Checks'!F248),S37))</f>
        <v>200.10350622080225</v>
      </c>
      <c r="T38" s="16">
        <f t="shared" si="10"/>
        <v>968.87044972816318</v>
      </c>
      <c r="U38" s="17">
        <f t="shared" si="14"/>
        <v>2.0365625771705531E-3</v>
      </c>
      <c r="W38" t="str">
        <f>IF(AND('Data Checks'!B248&gt;'Data Checks'!B247,'Data Checks'!B247&gt;'Data Checks'!B246,'Data Checks'!B246&gt;'Data Checks'!B245),"BUY",IF(AND('Data Checks'!B248&lt;'Data Checks'!B247,'Data Checks'!B247&lt;'Data Checks'!B246,'Data Checks'!B246&lt;'Data Checks'!B245),"SELL",""))</f>
        <v/>
      </c>
      <c r="X38" t="str">
        <f>IF(AND('Data Checks'!C248&gt;'Data Checks'!C247,'Data Checks'!C247&gt;'Data Checks'!C246,'Data Checks'!C246&gt;'Data Checks'!C245),"BUY",IF(AND('Data Checks'!C248&lt;'Data Checks'!C247,'Data Checks'!C247&lt;'Data Checks'!C246,'Data Checks'!C246&lt;'Data Checks'!C245),"SELL",""))</f>
        <v/>
      </c>
      <c r="Y38" t="str">
        <f>IF(AND('Data Checks'!D248&gt;'Data Checks'!D247,'Data Checks'!D247&gt;'Data Checks'!D246,'Data Checks'!D246&gt;'Data Checks'!D245),"BUY",IF(AND('Data Checks'!D248&lt;'Data Checks'!D247,'Data Checks'!D247&lt;'Data Checks'!D246,'Data Checks'!D246&lt;'Data Checks'!D245),"SELL",""))</f>
        <v>SELL</v>
      </c>
      <c r="Z38" t="str">
        <f>IF(AND('Data Checks'!E248&gt;'Data Checks'!E247,'Data Checks'!E247&gt;'Data Checks'!E246,'Data Checks'!E246&gt;'Data Checks'!E245),"BUY",IF(AND('Data Checks'!E248&lt;'Data Checks'!E247,'Data Checks'!E247&lt;'Data Checks'!E246,'Data Checks'!E246&lt;'Data Checks'!E245),"SELL",""))</f>
        <v/>
      </c>
      <c r="AA38" t="str">
        <f>IF(AND('Data Checks'!F248&gt;'Data Checks'!F247,'Data Checks'!F247&gt;'Data Checks'!F246,'Data Checks'!F246&gt;'Data Checks'!F245),"BUY",IF(AND('Data Checks'!F248&lt;'Data Checks'!F247,'Data Checks'!F247&lt;'Data Checks'!F246,'Data Checks'!F246&lt;'Data Checks'!F245),"SELL",""))</f>
        <v/>
      </c>
      <c r="AB38">
        <f>IF(W37="BUY",AB37*('Data Checks'!B248/'Data Checks'!B247),IF(W37="SELL",AB37*('Data Checks'!B247/'Data Checks'!B248),AB37))</f>
        <v>216.85496306376089</v>
      </c>
      <c r="AC38">
        <f>IF(X37="BUY",AC37*('Data Checks'!C248/'Data Checks'!C247),IF(X37="SELL",AC37*('Data Checks'!C247/'Data Checks'!C248),AC37))</f>
        <v>201.59169808925148</v>
      </c>
      <c r="AD38">
        <f>IF(Y37="BUY",AD37*('Data Checks'!D248/'Data Checks'!D247),IF(Y37="SELL",AD37*('Data Checks'!D247/'Data Checks'!D248),AD37))</f>
        <v>189.30757967187705</v>
      </c>
      <c r="AE38">
        <f>IF(Z37="BUY",AE37*('Data Checks'!E248/'Data Checks'!E247),IF(Z37="SELL",AE37*('Data Checks'!E247/'Data Checks'!E248),AE37))</f>
        <v>229.10210063916568</v>
      </c>
      <c r="AF38">
        <f>IF(AA37="BUY",AF37*('Data Checks'!F248/'Data Checks'!F247),IF(AA37="SELL",AF37*('Data Checks'!F247/'Data Checks'!F248),AF37))</f>
        <v>199.89654731917796</v>
      </c>
      <c r="AG38" s="16">
        <f t="shared" si="11"/>
        <v>1036.7528887832329</v>
      </c>
      <c r="AH38" s="17">
        <f t="shared" si="15"/>
        <v>-1.9972478206954358E-3</v>
      </c>
      <c r="AJ38" t="str">
        <f>IF('Moving Ave'!G248&gt;'Moving Ave'!L248,"SELL","BUY")</f>
        <v>SELL</v>
      </c>
      <c r="AK38" t="str">
        <f>IF('Moving Ave'!H248&gt;'Moving Ave'!M248,"SELL","BUY")</f>
        <v>BUY</v>
      </c>
      <c r="AL38" t="str">
        <f>IF('Moving Ave'!I248&gt;'Moving Ave'!N248,"SELL","BUY")</f>
        <v>SELL</v>
      </c>
      <c r="AM38" t="str">
        <f>IF('Moving Ave'!J248&gt;'Moving Ave'!O248,"SELL","BUY")</f>
        <v>BUY</v>
      </c>
      <c r="AN38" t="str">
        <f>IF('Moving Ave'!K248&gt;'Moving Ave'!P248,"SELL","BUY")</f>
        <v>SELL</v>
      </c>
      <c r="AO38">
        <f>IF(AJ37="BUY",AO37*('Data Checks'!B248/'Data Checks'!B247),AO37*('Data Checks'!B247/'Data Checks'!B248))</f>
        <v>204.09525176960776</v>
      </c>
      <c r="AP38">
        <f>IF(AK37="BUY",AP37*('Data Checks'!C248/'Data Checks'!C247),AP37*('Data Checks'!C247/'Data Checks'!C248))</f>
        <v>184.04877277238438</v>
      </c>
      <c r="AQ38">
        <f>IF(AL37="BUY",AQ37*('Data Checks'!D248/'Data Checks'!D247),AQ37*('Data Checks'!D247/'Data Checks'!D248))</f>
        <v>215.59541520989157</v>
      </c>
      <c r="AR38">
        <f>IF(AM37="BUY",AR37*('Data Checks'!E248/'Data Checks'!E247),AR37*('Data Checks'!E247/'Data Checks'!E248))</f>
        <v>168.12855479984754</v>
      </c>
      <c r="AS38">
        <f>IF(AN37="BUY",AS37*('Data Checks'!F248/'Data Checks'!F247),AS37*('Data Checks'!F247/'Data Checks'!F248))</f>
        <v>204.98532829955045</v>
      </c>
      <c r="AT38" s="16">
        <f t="shared" si="12"/>
        <v>976.85332285128175</v>
      </c>
      <c r="AU38" s="17">
        <f t="shared" si="16"/>
        <v>2.9191622918693927E-3</v>
      </c>
    </row>
    <row r="39" spans="1:47" x14ac:dyDescent="0.35">
      <c r="A39" s="2">
        <f>Prices!A247</f>
        <v>44247</v>
      </c>
      <c r="B39">
        <f>B38*('Data Checks'!B249/'Data Checks'!B248)</f>
        <v>226.87974106100731</v>
      </c>
      <c r="C39">
        <f>C38*('Data Checks'!C249/'Data Checks'!C248)</f>
        <v>183.74396199502064</v>
      </c>
      <c r="D39">
        <f>D38*('Data Checks'!D249/'Data Checks'!D248)</f>
        <v>180.96510237043088</v>
      </c>
      <c r="E39">
        <f>E38*('Data Checks'!E249/'Data Checks'!E248)</f>
        <v>166.11984378574346</v>
      </c>
      <c r="F39">
        <f>F38*('Data Checks'!F249/'Data Checks'!F248)</f>
        <v>195.37435281889884</v>
      </c>
      <c r="G39" s="16">
        <f t="shared" si="9"/>
        <v>953.08300203110105</v>
      </c>
      <c r="H39" s="17">
        <f t="shared" si="13"/>
        <v>-4.5745778009441684E-3</v>
      </c>
      <c r="J39" t="str">
        <f>IF(AND('Data Checks'!B249&gt;'Data Checks'!B248,'Data Checks'!B248&gt;'Data Checks'!B247,'Data Checks'!B247&gt;'Data Checks'!B246),"SELL",IF(AND('Data Checks'!B249&lt;'Data Checks'!B248,'Data Checks'!B248&lt;'Data Checks'!B247,'Data Checks'!B247&lt;'Data Checks'!B246),"BUY",""))</f>
        <v/>
      </c>
      <c r="K39" t="str">
        <f>IF(AND('Data Checks'!C249&gt;'Data Checks'!C248,'Data Checks'!C248&gt;'Data Checks'!C247,'Data Checks'!C247&gt;'Data Checks'!C246),"SELL",IF(AND('Data Checks'!C249&lt;'Data Checks'!C248,'Data Checks'!C248&lt;'Data Checks'!C247,'Data Checks'!C247&lt;'Data Checks'!C246),"BUY",""))</f>
        <v/>
      </c>
      <c r="L39" t="str">
        <f>IF(AND('Data Checks'!D249&gt;'Data Checks'!D248,'Data Checks'!D248&gt;'Data Checks'!D247,'Data Checks'!D247&gt;'Data Checks'!D246),"SELL",IF(AND('Data Checks'!D249&lt;'Data Checks'!D248,'Data Checks'!D248&lt;'Data Checks'!D247,'Data Checks'!D247&lt;'Data Checks'!D246),"BUY",""))</f>
        <v>BUY</v>
      </c>
      <c r="M39" t="str">
        <f>IF(AND('Data Checks'!E249&gt;'Data Checks'!E248,'Data Checks'!E248&gt;'Data Checks'!E247,'Data Checks'!E247&gt;'Data Checks'!E246),"SELL",IF(AND('Data Checks'!E249&lt;'Data Checks'!E248,'Data Checks'!E248&lt;'Data Checks'!E247,'Data Checks'!E247&lt;'Data Checks'!E246),"BUY",""))</f>
        <v/>
      </c>
      <c r="N39" t="str">
        <f>IF(AND('Data Checks'!F249&gt;'Data Checks'!F248,'Data Checks'!F248&gt;'Data Checks'!F247,'Data Checks'!F247&gt;'Data Checks'!F246),"SELL",IF(AND('Data Checks'!F249&lt;'Data Checks'!F248,'Data Checks'!F248&lt;'Data Checks'!F247,'Data Checks'!F247&lt;'Data Checks'!F246),"BUY",""))</f>
        <v/>
      </c>
      <c r="O39">
        <f>IF(J38="BUY",O38*('Data Checks'!B249/'Data Checks'!B248),IF(J38="SELL",O38*('Data Checks'!B248/'Data Checks'!B249),O38))</f>
        <v>184.45508202751614</v>
      </c>
      <c r="P39">
        <f>IF(K38="BUY",P38*('Data Checks'!C249/'Data Checks'!C248),IF(K38="SELL",P38*('Data Checks'!C248/'Data Checks'!C249),P38))</f>
        <v>198.42086940649051</v>
      </c>
      <c r="Q39">
        <f>IF(L38="BUY",Q38*('Data Checks'!D249/'Data Checks'!D248),IF(L38="SELL",Q38*('Data Checks'!D248/'Data Checks'!D249),Q38))</f>
        <v>210.71308097195163</v>
      </c>
      <c r="R39">
        <f>IF(M38="BUY",R38*('Data Checks'!E249/'Data Checks'!E248),IF(M38="SELL",R38*('Data Checks'!E248/'Data Checks'!E249),R38))</f>
        <v>174.594645306198</v>
      </c>
      <c r="S39">
        <f>IF(N38="BUY",S38*('Data Checks'!F249/'Data Checks'!F248),IF(N38="SELL",S38*('Data Checks'!F248/'Data Checks'!F249),S38))</f>
        <v>200.10350622080225</v>
      </c>
      <c r="T39" s="16">
        <f t="shared" si="10"/>
        <v>968.28718393295856</v>
      </c>
      <c r="U39" s="17">
        <f t="shared" si="14"/>
        <v>-6.0200597032167291E-4</v>
      </c>
      <c r="W39" t="str">
        <f>IF(AND('Data Checks'!B249&gt;'Data Checks'!B248,'Data Checks'!B248&gt;'Data Checks'!B247,'Data Checks'!B247&gt;'Data Checks'!B246),"BUY",IF(AND('Data Checks'!B249&lt;'Data Checks'!B248,'Data Checks'!B248&lt;'Data Checks'!B247,'Data Checks'!B247&lt;'Data Checks'!B246),"SELL",""))</f>
        <v/>
      </c>
      <c r="X39" t="str">
        <f>IF(AND('Data Checks'!C249&gt;'Data Checks'!C248,'Data Checks'!C248&gt;'Data Checks'!C247,'Data Checks'!C247&gt;'Data Checks'!C246),"BUY",IF(AND('Data Checks'!C249&lt;'Data Checks'!C248,'Data Checks'!C248&lt;'Data Checks'!C247,'Data Checks'!C247&lt;'Data Checks'!C246),"SELL",""))</f>
        <v/>
      </c>
      <c r="Y39" t="str">
        <f>IF(AND('Data Checks'!D249&gt;'Data Checks'!D248,'Data Checks'!D248&gt;'Data Checks'!D247,'Data Checks'!D247&gt;'Data Checks'!D246),"BUY",IF(AND('Data Checks'!D249&lt;'Data Checks'!D248,'Data Checks'!D248&lt;'Data Checks'!D247,'Data Checks'!D247&lt;'Data Checks'!D246),"SELL",""))</f>
        <v>SELL</v>
      </c>
      <c r="Z39" t="str">
        <f>IF(AND('Data Checks'!E249&gt;'Data Checks'!E248,'Data Checks'!E248&gt;'Data Checks'!E247,'Data Checks'!E247&gt;'Data Checks'!E246),"BUY",IF(AND('Data Checks'!E249&lt;'Data Checks'!E248,'Data Checks'!E248&lt;'Data Checks'!E247,'Data Checks'!E247&lt;'Data Checks'!E246),"SELL",""))</f>
        <v/>
      </c>
      <c r="AA39" t="str">
        <f>IF(AND('Data Checks'!F249&gt;'Data Checks'!F248,'Data Checks'!F248&gt;'Data Checks'!F247,'Data Checks'!F247&gt;'Data Checks'!F246),"BUY",IF(AND('Data Checks'!F249&lt;'Data Checks'!F248,'Data Checks'!F248&lt;'Data Checks'!F247,'Data Checks'!F247&lt;'Data Checks'!F246),"SELL",""))</f>
        <v/>
      </c>
      <c r="AB39">
        <f>IF(W38="BUY",AB38*('Data Checks'!B249/'Data Checks'!B248),IF(W38="SELL",AB38*('Data Checks'!B248/'Data Checks'!B249),AB38))</f>
        <v>216.85496306376089</v>
      </c>
      <c r="AC39">
        <f>IF(X38="BUY",AC38*('Data Checks'!C249/'Data Checks'!C248),IF(X38="SELL",AC38*('Data Checks'!C248/'Data Checks'!C249),AC38))</f>
        <v>201.59169808925148</v>
      </c>
      <c r="AD39">
        <f>IF(Y38="BUY",AD38*('Data Checks'!D249/'Data Checks'!D248),IF(Y38="SELL",AD38*('Data Checks'!D248/'Data Checks'!D249),AD38))</f>
        <v>189.83159382176405</v>
      </c>
      <c r="AE39">
        <f>IF(Z38="BUY",AE38*('Data Checks'!E249/'Data Checks'!E248),IF(Z38="SELL",AE38*('Data Checks'!E248/'Data Checks'!E249),AE38))</f>
        <v>229.10210063916568</v>
      </c>
      <c r="AF39">
        <f>IF(AA38="BUY",AF38*('Data Checks'!F249/'Data Checks'!F248),IF(AA38="SELL",AF38*('Data Checks'!F248/'Data Checks'!F249),AF38))</f>
        <v>199.89654731917796</v>
      </c>
      <c r="AG39" s="16">
        <f t="shared" si="11"/>
        <v>1037.27690293312</v>
      </c>
      <c r="AH39" s="17">
        <f t="shared" si="15"/>
        <v>5.0543784884182763E-4</v>
      </c>
      <c r="AJ39" t="str">
        <f>IF('Moving Ave'!G249&gt;'Moving Ave'!L249,"SELL","BUY")</f>
        <v>SELL</v>
      </c>
      <c r="AK39" t="str">
        <f>IF('Moving Ave'!H249&gt;'Moving Ave'!M249,"SELL","BUY")</f>
        <v>BUY</v>
      </c>
      <c r="AL39" t="str">
        <f>IF('Moving Ave'!I249&gt;'Moving Ave'!N249,"SELL","BUY")</f>
        <v>SELL</v>
      </c>
      <c r="AM39" t="str">
        <f>IF('Moving Ave'!J249&gt;'Moving Ave'!O249,"SELL","BUY")</f>
        <v>BUY</v>
      </c>
      <c r="AN39" t="str">
        <f>IF('Moving Ave'!K249&gt;'Moving Ave'!P249,"SELL","BUY")</f>
        <v>SELL</v>
      </c>
      <c r="AO39">
        <f>IF(AJ38="BUY",AO38*('Data Checks'!B249/'Data Checks'!B248),AO38*('Data Checks'!B248/'Data Checks'!B249))</f>
        <v>205.71806753811026</v>
      </c>
      <c r="AP39">
        <f>IF(AK38="BUY",AP38*('Data Checks'!C249/'Data Checks'!C248),AP38*('Data Checks'!C248/'Data Checks'!C249))</f>
        <v>183.74396199502064</v>
      </c>
      <c r="AQ39">
        <f>IF(AL38="BUY",AQ38*('Data Checks'!D249/'Data Checks'!D248),AQ38*('Data Checks'!D248/'Data Checks'!D249))</f>
        <v>216.19219558401372</v>
      </c>
      <c r="AR39">
        <f>IF(AM38="BUY",AR38*('Data Checks'!E249/'Data Checks'!E248),AR38*('Data Checks'!E248/'Data Checks'!E249))</f>
        <v>166.11984378574346</v>
      </c>
      <c r="AS39">
        <f>IF(AN38="BUY",AS38*('Data Checks'!F249/'Data Checks'!F248),AS38*('Data Checks'!F248/'Data Checks'!F249))</f>
        <v>204.73516315152068</v>
      </c>
      <c r="AT39" s="16">
        <f t="shared" si="12"/>
        <v>976.50923205440881</v>
      </c>
      <c r="AU39" s="17">
        <f t="shared" si="16"/>
        <v>-3.5224407679612657E-4</v>
      </c>
    </row>
    <row r="40" spans="1:47" x14ac:dyDescent="0.35">
      <c r="A40" s="2">
        <f>Prices!A248</f>
        <v>44248</v>
      </c>
      <c r="B40">
        <f>B39*('Data Checks'!B250/'Data Checks'!B249)</f>
        <v>220.85973835301317</v>
      </c>
      <c r="C40">
        <f>C39*('Data Checks'!C250/'Data Checks'!C249)</f>
        <v>185.21717005885625</v>
      </c>
      <c r="D40">
        <f>D39*('Data Checks'!D250/'Data Checks'!D249)</f>
        <v>182.40106833195978</v>
      </c>
      <c r="E40">
        <f>E39*('Data Checks'!E250/'Data Checks'!E249)</f>
        <v>164.61331219908564</v>
      </c>
      <c r="F40">
        <f>F39*('Data Checks'!F250/'Data Checks'!F249)</f>
        <v>193.70530176974694</v>
      </c>
      <c r="G40" s="16">
        <f t="shared" si="9"/>
        <v>946.79659071266178</v>
      </c>
      <c r="H40" s="17">
        <f t="shared" si="13"/>
        <v>-6.5958697249267617E-3</v>
      </c>
      <c r="J40" t="str">
        <f>IF(AND('Data Checks'!B250&gt;'Data Checks'!B249,'Data Checks'!B249&gt;'Data Checks'!B248,'Data Checks'!B248&gt;'Data Checks'!B247),"SELL",IF(AND('Data Checks'!B250&lt;'Data Checks'!B249,'Data Checks'!B249&lt;'Data Checks'!B248,'Data Checks'!B248&lt;'Data Checks'!B247),"BUY",""))</f>
        <v/>
      </c>
      <c r="K40" t="str">
        <f>IF(AND('Data Checks'!C250&gt;'Data Checks'!C249,'Data Checks'!C249&gt;'Data Checks'!C248,'Data Checks'!C248&gt;'Data Checks'!C247),"SELL",IF(AND('Data Checks'!C250&lt;'Data Checks'!C249,'Data Checks'!C249&lt;'Data Checks'!C248,'Data Checks'!C248&lt;'Data Checks'!C247),"BUY",""))</f>
        <v/>
      </c>
      <c r="L40" t="str">
        <f>IF(AND('Data Checks'!D250&gt;'Data Checks'!D249,'Data Checks'!D249&gt;'Data Checks'!D248,'Data Checks'!D248&gt;'Data Checks'!D247),"SELL",IF(AND('Data Checks'!D250&lt;'Data Checks'!D249,'Data Checks'!D249&lt;'Data Checks'!D248,'Data Checks'!D248&lt;'Data Checks'!D247),"BUY",""))</f>
        <v/>
      </c>
      <c r="M40" t="str">
        <f>IF(AND('Data Checks'!E250&gt;'Data Checks'!E249,'Data Checks'!E249&gt;'Data Checks'!E248,'Data Checks'!E248&gt;'Data Checks'!E247),"SELL",IF(AND('Data Checks'!E250&lt;'Data Checks'!E249,'Data Checks'!E249&lt;'Data Checks'!E248,'Data Checks'!E248&lt;'Data Checks'!E247),"BUY",""))</f>
        <v/>
      </c>
      <c r="N40" t="str">
        <f>IF(AND('Data Checks'!F250&gt;'Data Checks'!F249,'Data Checks'!F249&gt;'Data Checks'!F248,'Data Checks'!F248&gt;'Data Checks'!F247),"SELL",IF(AND('Data Checks'!F250&lt;'Data Checks'!F249,'Data Checks'!F249&lt;'Data Checks'!F248,'Data Checks'!F248&lt;'Data Checks'!F247),"BUY",""))</f>
        <v/>
      </c>
      <c r="O40">
        <f>IF(J39="BUY",O39*('Data Checks'!B250/'Data Checks'!B249),IF(J39="SELL",O39*('Data Checks'!B249/'Data Checks'!B250),O39))</f>
        <v>184.45508202751614</v>
      </c>
      <c r="P40">
        <f>IF(K39="BUY",P39*('Data Checks'!C250/'Data Checks'!C249),IF(K39="SELL",P39*('Data Checks'!C249/'Data Checks'!C250),P39))</f>
        <v>198.42086940649051</v>
      </c>
      <c r="Q40">
        <f>IF(L39="BUY",Q39*('Data Checks'!D250/'Data Checks'!D249),IF(L39="SELL",Q39*('Data Checks'!D249/'Data Checks'!D250),Q39))</f>
        <v>212.38509843808848</v>
      </c>
      <c r="R40">
        <f>IF(M39="BUY",R39*('Data Checks'!E250/'Data Checks'!E249),IF(M39="SELL",R39*('Data Checks'!E249/'Data Checks'!E250),R39))</f>
        <v>174.594645306198</v>
      </c>
      <c r="S40">
        <f>IF(N39="BUY",S39*('Data Checks'!F250/'Data Checks'!F249),IF(N39="SELL",S39*('Data Checks'!F249/'Data Checks'!F250),S39))</f>
        <v>200.10350622080225</v>
      </c>
      <c r="T40" s="16">
        <f t="shared" si="10"/>
        <v>969.95920139909538</v>
      </c>
      <c r="U40" s="17">
        <f t="shared" si="14"/>
        <v>1.7267784742802661E-3</v>
      </c>
      <c r="W40" t="str">
        <f>IF(AND('Data Checks'!B250&gt;'Data Checks'!B249,'Data Checks'!B249&gt;'Data Checks'!B248,'Data Checks'!B248&gt;'Data Checks'!B247),"BUY",IF(AND('Data Checks'!B250&lt;'Data Checks'!B249,'Data Checks'!B249&lt;'Data Checks'!B248,'Data Checks'!B248&lt;'Data Checks'!B247),"SELL",""))</f>
        <v/>
      </c>
      <c r="X40" t="str">
        <f>IF(AND('Data Checks'!C250&gt;'Data Checks'!C249,'Data Checks'!C249&gt;'Data Checks'!C248,'Data Checks'!C248&gt;'Data Checks'!C247),"BUY",IF(AND('Data Checks'!C250&lt;'Data Checks'!C249,'Data Checks'!C249&lt;'Data Checks'!C248,'Data Checks'!C248&lt;'Data Checks'!C247),"SELL",""))</f>
        <v/>
      </c>
      <c r="Y40" t="str">
        <f>IF(AND('Data Checks'!D250&gt;'Data Checks'!D249,'Data Checks'!D249&gt;'Data Checks'!D248,'Data Checks'!D248&gt;'Data Checks'!D247),"BUY",IF(AND('Data Checks'!D250&lt;'Data Checks'!D249,'Data Checks'!D249&lt;'Data Checks'!D248,'Data Checks'!D248&lt;'Data Checks'!D247),"SELL",""))</f>
        <v/>
      </c>
      <c r="Z40" t="str">
        <f>IF(AND('Data Checks'!E250&gt;'Data Checks'!E249,'Data Checks'!E249&gt;'Data Checks'!E248,'Data Checks'!E248&gt;'Data Checks'!E247),"BUY",IF(AND('Data Checks'!E250&lt;'Data Checks'!E249,'Data Checks'!E249&lt;'Data Checks'!E248,'Data Checks'!E248&lt;'Data Checks'!E247),"SELL",""))</f>
        <v/>
      </c>
      <c r="AA40" t="str">
        <f>IF(AND('Data Checks'!F250&gt;'Data Checks'!F249,'Data Checks'!F249&gt;'Data Checks'!F248,'Data Checks'!F248&gt;'Data Checks'!F247),"BUY",IF(AND('Data Checks'!F250&lt;'Data Checks'!F249,'Data Checks'!F249&lt;'Data Checks'!F248,'Data Checks'!F248&lt;'Data Checks'!F247),"SELL",""))</f>
        <v/>
      </c>
      <c r="AB40">
        <f>IF(W39="BUY",AB39*('Data Checks'!B250/'Data Checks'!B249),IF(W39="SELL",AB39*('Data Checks'!B249/'Data Checks'!B250),AB39))</f>
        <v>216.85496306376089</v>
      </c>
      <c r="AC40">
        <f>IF(X39="BUY",AC39*('Data Checks'!C250/'Data Checks'!C249),IF(X39="SELL",AC39*('Data Checks'!C249/'Data Checks'!C250),AC39))</f>
        <v>201.59169808925148</v>
      </c>
      <c r="AD40">
        <f>IF(Y39="BUY",AD39*('Data Checks'!D250/'Data Checks'!D249),IF(Y39="SELL",AD39*('Data Checks'!D249/'Data Checks'!D250),AD39))</f>
        <v>188.33713049628213</v>
      </c>
      <c r="AE40">
        <f>IF(Z39="BUY",AE39*('Data Checks'!E250/'Data Checks'!E249),IF(Z39="SELL",AE39*('Data Checks'!E249/'Data Checks'!E250),AE39))</f>
        <v>229.10210063916568</v>
      </c>
      <c r="AF40">
        <f>IF(AA39="BUY",AF39*('Data Checks'!F250/'Data Checks'!F249),IF(AA39="SELL",AF39*('Data Checks'!F249/'Data Checks'!F250),AF39))</f>
        <v>199.89654731917796</v>
      </c>
      <c r="AG40" s="16">
        <f t="shared" si="11"/>
        <v>1035.782439607638</v>
      </c>
      <c r="AH40" s="17">
        <f t="shared" si="15"/>
        <v>-1.4407563894038855E-3</v>
      </c>
      <c r="AJ40" t="str">
        <f>IF('Moving Ave'!G250&gt;'Moving Ave'!L250,"SELL","BUY")</f>
        <v>SELL</v>
      </c>
      <c r="AK40" t="str">
        <f>IF('Moving Ave'!H250&gt;'Moving Ave'!M250,"SELL","BUY")</f>
        <v>BUY</v>
      </c>
      <c r="AL40" t="str">
        <f>IF('Moving Ave'!I250&gt;'Moving Ave'!N250,"SELL","BUY")</f>
        <v>SELL</v>
      </c>
      <c r="AM40" t="str">
        <f>IF('Moving Ave'!J250&gt;'Moving Ave'!O250,"SELL","BUY")</f>
        <v>BUY</v>
      </c>
      <c r="AN40" t="str">
        <f>IF('Moving Ave'!K250&gt;'Moving Ave'!P250,"SELL","BUY")</f>
        <v>SELL</v>
      </c>
      <c r="AO40">
        <f>IF(AJ39="BUY",AO39*('Data Checks'!B250/'Data Checks'!B249),AO39*('Data Checks'!B249/'Data Checks'!B250))</f>
        <v>211.32535174888525</v>
      </c>
      <c r="AP40">
        <f>IF(AK39="BUY",AP39*('Data Checks'!C250/'Data Checks'!C249),AP39*('Data Checks'!C249/'Data Checks'!C250))</f>
        <v>185.21717005885625</v>
      </c>
      <c r="AQ40">
        <f>IF(AL39="BUY",AQ39*('Data Checks'!D250/'Data Checks'!D249),AQ39*('Data Checks'!D249/'Data Checks'!D250))</f>
        <v>214.49020646275565</v>
      </c>
      <c r="AR40">
        <f>IF(AM39="BUY",AR39*('Data Checks'!E250/'Data Checks'!E249),AR39*('Data Checks'!E249/'Data Checks'!E250))</f>
        <v>164.61331219908564</v>
      </c>
      <c r="AS40">
        <f>IF(AN39="BUY",AS39*('Data Checks'!F250/'Data Checks'!F249),AS39*('Data Checks'!F249/'Data Checks'!F250))</f>
        <v>206.49925239293194</v>
      </c>
      <c r="AT40" s="16">
        <f t="shared" si="12"/>
        <v>982.14529286251468</v>
      </c>
      <c r="AU40" s="17">
        <f t="shared" si="16"/>
        <v>5.7716410896071491E-3</v>
      </c>
    </row>
    <row r="41" spans="1:47" x14ac:dyDescent="0.35">
      <c r="A41" s="2">
        <f>Prices!A249</f>
        <v>44251</v>
      </c>
      <c r="B41">
        <f>B40*('Data Checks'!B251/'Data Checks'!B250)</f>
        <v>211.72596861067129</v>
      </c>
      <c r="C41">
        <f>C40*('Data Checks'!C251/'Data Checks'!C250)</f>
        <v>180.34036526137578</v>
      </c>
      <c r="D41">
        <f>D40*('Data Checks'!D251/'Data Checks'!D250)</f>
        <v>171.08031676540855</v>
      </c>
      <c r="E41">
        <f>E40*('Data Checks'!E251/'Data Checks'!E250)</f>
        <v>158.28589694389365</v>
      </c>
      <c r="F41">
        <f>F40*('Data Checks'!F251/'Data Checks'!F250)</f>
        <v>192.70386827902544</v>
      </c>
      <c r="G41" s="16">
        <f t="shared" si="9"/>
        <v>914.13641586037477</v>
      </c>
      <c r="H41" s="17">
        <f t="shared" si="13"/>
        <v>-3.449545041950719E-2</v>
      </c>
      <c r="J41" t="str">
        <f>IF(AND('Data Checks'!B251&gt;'Data Checks'!B250,'Data Checks'!B250&gt;'Data Checks'!B249,'Data Checks'!B249&gt;'Data Checks'!B248),"SELL",IF(AND('Data Checks'!B251&lt;'Data Checks'!B250,'Data Checks'!B250&lt;'Data Checks'!B249,'Data Checks'!B249&lt;'Data Checks'!B248),"BUY",""))</f>
        <v>BUY</v>
      </c>
      <c r="K41" t="str">
        <f>IF(AND('Data Checks'!C251&gt;'Data Checks'!C250,'Data Checks'!C250&gt;'Data Checks'!C249,'Data Checks'!C249&gt;'Data Checks'!C248),"SELL",IF(AND('Data Checks'!C251&lt;'Data Checks'!C250,'Data Checks'!C250&lt;'Data Checks'!C249,'Data Checks'!C249&lt;'Data Checks'!C248),"BUY",""))</f>
        <v/>
      </c>
      <c r="L41" t="str">
        <f>IF(AND('Data Checks'!D251&gt;'Data Checks'!D250,'Data Checks'!D250&gt;'Data Checks'!D249,'Data Checks'!D249&gt;'Data Checks'!D248),"SELL",IF(AND('Data Checks'!D251&lt;'Data Checks'!D250,'Data Checks'!D250&lt;'Data Checks'!D249,'Data Checks'!D249&lt;'Data Checks'!D248),"BUY",""))</f>
        <v/>
      </c>
      <c r="M41" t="str">
        <f>IF(AND('Data Checks'!E251&gt;'Data Checks'!E250,'Data Checks'!E250&gt;'Data Checks'!E249,'Data Checks'!E249&gt;'Data Checks'!E248),"SELL",IF(AND('Data Checks'!E251&lt;'Data Checks'!E250,'Data Checks'!E250&lt;'Data Checks'!E249,'Data Checks'!E249&lt;'Data Checks'!E248),"BUY",""))</f>
        <v>BUY</v>
      </c>
      <c r="N41" t="str">
        <f>IF(AND('Data Checks'!F251&gt;'Data Checks'!F250,'Data Checks'!F250&gt;'Data Checks'!F249,'Data Checks'!F249&gt;'Data Checks'!F248),"SELL",IF(AND('Data Checks'!F251&lt;'Data Checks'!F250,'Data Checks'!F250&lt;'Data Checks'!F249,'Data Checks'!F249&lt;'Data Checks'!F248),"BUY",""))</f>
        <v/>
      </c>
      <c r="O41">
        <f>IF(J40="BUY",O40*('Data Checks'!B251/'Data Checks'!B250),IF(J40="SELL",O40*('Data Checks'!B250/'Data Checks'!B251),O40))</f>
        <v>184.45508202751614</v>
      </c>
      <c r="P41">
        <f>IF(K40="BUY",P40*('Data Checks'!C251/'Data Checks'!C250),IF(K40="SELL",P40*('Data Checks'!C250/'Data Checks'!C251),P40))</f>
        <v>198.42086940649051</v>
      </c>
      <c r="Q41">
        <f>IF(L40="BUY",Q40*('Data Checks'!D251/'Data Checks'!D250),IF(L40="SELL",Q40*('Data Checks'!D250/'Data Checks'!D251),Q40))</f>
        <v>212.38509843808848</v>
      </c>
      <c r="R41">
        <f>IF(M40="BUY",R40*('Data Checks'!E251/'Data Checks'!E250),IF(M40="SELL",R40*('Data Checks'!E250/'Data Checks'!E251),R40))</f>
        <v>174.594645306198</v>
      </c>
      <c r="S41">
        <f>IF(N40="BUY",S40*('Data Checks'!F251/'Data Checks'!F250),IF(N40="SELL",S40*('Data Checks'!F250/'Data Checks'!F251),S40))</f>
        <v>200.10350622080225</v>
      </c>
      <c r="T41" s="16">
        <f t="shared" si="10"/>
        <v>969.95920139909538</v>
      </c>
      <c r="U41" s="17">
        <f t="shared" si="14"/>
        <v>0</v>
      </c>
      <c r="W41" t="str">
        <f>IF(AND('Data Checks'!B251&gt;'Data Checks'!B250,'Data Checks'!B250&gt;'Data Checks'!B249,'Data Checks'!B249&gt;'Data Checks'!B248),"BUY",IF(AND('Data Checks'!B251&lt;'Data Checks'!B250,'Data Checks'!B250&lt;'Data Checks'!B249,'Data Checks'!B249&lt;'Data Checks'!B248),"SELL",""))</f>
        <v>SELL</v>
      </c>
      <c r="X41" t="str">
        <f>IF(AND('Data Checks'!C251&gt;'Data Checks'!C250,'Data Checks'!C250&gt;'Data Checks'!C249,'Data Checks'!C249&gt;'Data Checks'!C248),"BUY",IF(AND('Data Checks'!C251&lt;'Data Checks'!C250,'Data Checks'!C250&lt;'Data Checks'!C249,'Data Checks'!C249&lt;'Data Checks'!C248),"SELL",""))</f>
        <v/>
      </c>
      <c r="Y41" t="str">
        <f>IF(AND('Data Checks'!D251&gt;'Data Checks'!D250,'Data Checks'!D250&gt;'Data Checks'!D249,'Data Checks'!D249&gt;'Data Checks'!D248),"BUY",IF(AND('Data Checks'!D251&lt;'Data Checks'!D250,'Data Checks'!D250&lt;'Data Checks'!D249,'Data Checks'!D249&lt;'Data Checks'!D248),"SELL",""))</f>
        <v/>
      </c>
      <c r="Z41" t="str">
        <f>IF(AND('Data Checks'!E251&gt;'Data Checks'!E250,'Data Checks'!E250&gt;'Data Checks'!E249,'Data Checks'!E249&gt;'Data Checks'!E248),"BUY",IF(AND('Data Checks'!E251&lt;'Data Checks'!E250,'Data Checks'!E250&lt;'Data Checks'!E249,'Data Checks'!E249&lt;'Data Checks'!E248),"SELL",""))</f>
        <v>SELL</v>
      </c>
      <c r="AA41" t="str">
        <f>IF(AND('Data Checks'!F251&gt;'Data Checks'!F250,'Data Checks'!F250&gt;'Data Checks'!F249,'Data Checks'!F249&gt;'Data Checks'!F248),"BUY",IF(AND('Data Checks'!F251&lt;'Data Checks'!F250,'Data Checks'!F250&lt;'Data Checks'!F249,'Data Checks'!F249&lt;'Data Checks'!F248),"SELL",""))</f>
        <v/>
      </c>
      <c r="AB41">
        <f>IF(W40="BUY",AB40*('Data Checks'!B251/'Data Checks'!B250),IF(W40="SELL",AB40*('Data Checks'!B250/'Data Checks'!B251),AB40))</f>
        <v>216.85496306376089</v>
      </c>
      <c r="AC41">
        <f>IF(X40="BUY",AC40*('Data Checks'!C251/'Data Checks'!C250),IF(X40="SELL",AC40*('Data Checks'!C250/'Data Checks'!C251),AC40))</f>
        <v>201.59169808925148</v>
      </c>
      <c r="AD41">
        <f>IF(Y40="BUY",AD40*('Data Checks'!D251/'Data Checks'!D250),IF(Y40="SELL",AD40*('Data Checks'!D250/'Data Checks'!D251),AD40))</f>
        <v>188.33713049628213</v>
      </c>
      <c r="AE41">
        <f>IF(Z40="BUY",AE40*('Data Checks'!E251/'Data Checks'!E250),IF(Z40="SELL",AE40*('Data Checks'!E250/'Data Checks'!E251),AE40))</f>
        <v>229.10210063916568</v>
      </c>
      <c r="AF41">
        <f>IF(AA40="BUY",AF40*('Data Checks'!F251/'Data Checks'!F250),IF(AA40="SELL",AF40*('Data Checks'!F250/'Data Checks'!F251),AF40))</f>
        <v>199.89654731917796</v>
      </c>
      <c r="AG41" s="16">
        <f t="shared" si="11"/>
        <v>1035.782439607638</v>
      </c>
      <c r="AH41" s="17">
        <f t="shared" si="15"/>
        <v>0</v>
      </c>
      <c r="AJ41" t="str">
        <f>IF('Moving Ave'!G251&gt;'Moving Ave'!L251,"SELL","BUY")</f>
        <v>SELL</v>
      </c>
      <c r="AK41" t="str">
        <f>IF('Moving Ave'!H251&gt;'Moving Ave'!M251,"SELL","BUY")</f>
        <v>BUY</v>
      </c>
      <c r="AL41" t="str">
        <f>IF('Moving Ave'!I251&gt;'Moving Ave'!N251,"SELL","BUY")</f>
        <v>SELL</v>
      </c>
      <c r="AM41" t="str">
        <f>IF('Moving Ave'!J251&gt;'Moving Ave'!O251,"SELL","BUY")</f>
        <v>BUY</v>
      </c>
      <c r="AN41" t="str">
        <f>IF('Moving Ave'!K251&gt;'Moving Ave'!P251,"SELL","BUY")</f>
        <v>SELL</v>
      </c>
      <c r="AO41">
        <f>IF(AJ40="BUY",AO40*('Data Checks'!B251/'Data Checks'!B250),AO40*('Data Checks'!B250/'Data Checks'!B251))</f>
        <v>220.44183904734714</v>
      </c>
      <c r="AP41">
        <f>IF(AK40="BUY",AP40*('Data Checks'!C251/'Data Checks'!C250),AP40*('Data Checks'!C250/'Data Checks'!C251))</f>
        <v>180.34036526137578</v>
      </c>
      <c r="AQ41">
        <f>IF(AL40="BUY",AQ40*('Data Checks'!D251/'Data Checks'!D250),AQ40*('Data Checks'!D250/'Data Checks'!D251))</f>
        <v>228.68348355466537</v>
      </c>
      <c r="AR41">
        <f>IF(AM40="BUY",AR40*('Data Checks'!E251/'Data Checks'!E250),AR40*('Data Checks'!E250/'Data Checks'!E251))</f>
        <v>158.28589694389365</v>
      </c>
      <c r="AS41">
        <f>IF(AN40="BUY",AS40*('Data Checks'!F251/'Data Checks'!F250),AS40*('Data Checks'!F250/'Data Checks'!F251))</f>
        <v>207.57237702193942</v>
      </c>
      <c r="AT41" s="16">
        <f t="shared" si="12"/>
        <v>995.32396182922139</v>
      </c>
      <c r="AU41" s="17">
        <f t="shared" si="16"/>
        <v>1.3418247852409637E-2</v>
      </c>
    </row>
    <row r="42" spans="1:47" x14ac:dyDescent="0.35">
      <c r="A42" s="2">
        <f>Prices!A250</f>
        <v>44252</v>
      </c>
      <c r="B42">
        <f>B41*('Data Checks'!B252/'Data Checks'!B251)</f>
        <v>207.87456120950591</v>
      </c>
      <c r="C42">
        <f>C41*('Data Checks'!C252/'Data Checks'!C251)</f>
        <v>176.88595826481986</v>
      </c>
      <c r="D42">
        <f>D41*('Data Checks'!D252/'Data Checks'!D251)</f>
        <v>168.40875218581991</v>
      </c>
      <c r="E42">
        <f>E41*('Data Checks'!E252/'Data Checks'!E251)</f>
        <v>153.6658870550423</v>
      </c>
      <c r="F42">
        <f>F41*('Data Checks'!F252/'Data Checks'!F251)</f>
        <v>185.74153818419001</v>
      </c>
      <c r="G42" s="16">
        <f t="shared" si="9"/>
        <v>892.57669689937802</v>
      </c>
      <c r="H42" s="17">
        <f t="shared" si="13"/>
        <v>-2.3584793896111234E-2</v>
      </c>
      <c r="J42" t="str">
        <f>IF(AND('Data Checks'!B252&gt;'Data Checks'!B251,'Data Checks'!B251&gt;'Data Checks'!B250,'Data Checks'!B250&gt;'Data Checks'!B249),"SELL",IF(AND('Data Checks'!B252&lt;'Data Checks'!B251,'Data Checks'!B251&lt;'Data Checks'!B250,'Data Checks'!B250&lt;'Data Checks'!B249),"BUY",""))</f>
        <v>BUY</v>
      </c>
      <c r="K42" t="str">
        <f>IF(AND('Data Checks'!C252&gt;'Data Checks'!C251,'Data Checks'!C251&gt;'Data Checks'!C250,'Data Checks'!C250&gt;'Data Checks'!C249),"SELL",IF(AND('Data Checks'!C252&lt;'Data Checks'!C251,'Data Checks'!C251&lt;'Data Checks'!C250,'Data Checks'!C250&lt;'Data Checks'!C249),"BUY",""))</f>
        <v/>
      </c>
      <c r="L42" t="str">
        <f>IF(AND('Data Checks'!D252&gt;'Data Checks'!D251,'Data Checks'!D251&gt;'Data Checks'!D250,'Data Checks'!D250&gt;'Data Checks'!D249),"SELL",IF(AND('Data Checks'!D252&lt;'Data Checks'!D251,'Data Checks'!D251&lt;'Data Checks'!D250,'Data Checks'!D250&lt;'Data Checks'!D249),"BUY",""))</f>
        <v/>
      </c>
      <c r="M42" t="str">
        <f>IF(AND('Data Checks'!E252&gt;'Data Checks'!E251,'Data Checks'!E251&gt;'Data Checks'!E250,'Data Checks'!E250&gt;'Data Checks'!E249),"SELL",IF(AND('Data Checks'!E252&lt;'Data Checks'!E251,'Data Checks'!E251&lt;'Data Checks'!E250,'Data Checks'!E250&lt;'Data Checks'!E249),"BUY",""))</f>
        <v>BUY</v>
      </c>
      <c r="N42" t="str">
        <f>IF(AND('Data Checks'!F252&gt;'Data Checks'!F251,'Data Checks'!F251&gt;'Data Checks'!F250,'Data Checks'!F250&gt;'Data Checks'!F249),"SELL",IF(AND('Data Checks'!F252&lt;'Data Checks'!F251,'Data Checks'!F251&lt;'Data Checks'!F250,'Data Checks'!F250&lt;'Data Checks'!F249),"BUY",""))</f>
        <v>BUY</v>
      </c>
      <c r="O42">
        <f>IF(J41="BUY",O41*('Data Checks'!B252/'Data Checks'!B251),IF(J41="SELL",O41*('Data Checks'!B251/'Data Checks'!B252),O41))</f>
        <v>181.09974648334548</v>
      </c>
      <c r="P42">
        <f>IF(K41="BUY",P41*('Data Checks'!C252/'Data Checks'!C251),IF(K41="SELL",P41*('Data Checks'!C251/'Data Checks'!C252),P41))</f>
        <v>198.42086940649051</v>
      </c>
      <c r="Q42">
        <f>IF(L41="BUY",Q41*('Data Checks'!D252/'Data Checks'!D251),IF(L41="SELL",Q41*('Data Checks'!D251/'Data Checks'!D252),Q41))</f>
        <v>212.38509843808848</v>
      </c>
      <c r="R42">
        <f>IF(M41="BUY",R41*('Data Checks'!E252/'Data Checks'!E251),IF(M41="SELL",R41*('Data Checks'!E251/'Data Checks'!E252),R41))</f>
        <v>169.49861967517765</v>
      </c>
      <c r="S42">
        <f>IF(N41="BUY",S41*('Data Checks'!F252/'Data Checks'!F251),IF(N41="SELL",S41*('Data Checks'!F251/'Data Checks'!F252),S41))</f>
        <v>200.10350622080225</v>
      </c>
      <c r="T42" s="16">
        <f t="shared" si="10"/>
        <v>961.5078402239044</v>
      </c>
      <c r="U42" s="17">
        <f t="shared" si="14"/>
        <v>-8.7131099565842529E-3</v>
      </c>
      <c r="W42" t="str">
        <f>IF(AND('Data Checks'!B252&gt;'Data Checks'!B251,'Data Checks'!B251&gt;'Data Checks'!B250,'Data Checks'!B250&gt;'Data Checks'!B249),"BUY",IF(AND('Data Checks'!B252&lt;'Data Checks'!B251,'Data Checks'!B251&lt;'Data Checks'!B250,'Data Checks'!B250&lt;'Data Checks'!B249),"SELL",""))</f>
        <v>SELL</v>
      </c>
      <c r="X42" t="str">
        <f>IF(AND('Data Checks'!C252&gt;'Data Checks'!C251,'Data Checks'!C251&gt;'Data Checks'!C250,'Data Checks'!C250&gt;'Data Checks'!C249),"BUY",IF(AND('Data Checks'!C252&lt;'Data Checks'!C251,'Data Checks'!C251&lt;'Data Checks'!C250,'Data Checks'!C250&lt;'Data Checks'!C249),"SELL",""))</f>
        <v/>
      </c>
      <c r="Y42" t="str">
        <f>IF(AND('Data Checks'!D252&gt;'Data Checks'!D251,'Data Checks'!D251&gt;'Data Checks'!D250,'Data Checks'!D250&gt;'Data Checks'!D249),"BUY",IF(AND('Data Checks'!D252&lt;'Data Checks'!D251,'Data Checks'!D251&lt;'Data Checks'!D250,'Data Checks'!D250&lt;'Data Checks'!D249),"SELL",""))</f>
        <v/>
      </c>
      <c r="Z42" t="str">
        <f>IF(AND('Data Checks'!E252&gt;'Data Checks'!E251,'Data Checks'!E251&gt;'Data Checks'!E250,'Data Checks'!E250&gt;'Data Checks'!E249),"BUY",IF(AND('Data Checks'!E252&lt;'Data Checks'!E251,'Data Checks'!E251&lt;'Data Checks'!E250,'Data Checks'!E250&lt;'Data Checks'!E249),"SELL",""))</f>
        <v>SELL</v>
      </c>
      <c r="AA42" t="str">
        <f>IF(AND('Data Checks'!F252&gt;'Data Checks'!F251,'Data Checks'!F251&gt;'Data Checks'!F250,'Data Checks'!F250&gt;'Data Checks'!F249),"BUY",IF(AND('Data Checks'!F252&lt;'Data Checks'!F251,'Data Checks'!F251&lt;'Data Checks'!F250,'Data Checks'!F250&lt;'Data Checks'!F249),"SELL",""))</f>
        <v>SELL</v>
      </c>
      <c r="AB42">
        <f>IF(W41="BUY",AB41*('Data Checks'!B252/'Data Checks'!B251),IF(W41="SELL",AB41*('Data Checks'!B251/'Data Checks'!B252),AB41))</f>
        <v>220.87275535572616</v>
      </c>
      <c r="AC42">
        <f>IF(X41="BUY",AC41*('Data Checks'!C252/'Data Checks'!C251),IF(X41="SELL",AC41*('Data Checks'!C251/'Data Checks'!C252),AC41))</f>
        <v>201.59169808925148</v>
      </c>
      <c r="AD42">
        <f>IF(Y41="BUY",AD41*('Data Checks'!D252/'Data Checks'!D251),IF(Y41="SELL",AD41*('Data Checks'!D251/'Data Checks'!D252),AD41))</f>
        <v>188.33713049628213</v>
      </c>
      <c r="AE42">
        <f>IF(Z41="BUY",AE41*('Data Checks'!E252/'Data Checks'!E251),IF(Z41="SELL",AE41*('Data Checks'!E251/'Data Checks'!E252),AE41))</f>
        <v>235.99012237772129</v>
      </c>
      <c r="AF42">
        <f>IF(AA41="BUY",AF41*('Data Checks'!F252/'Data Checks'!F251),IF(AA41="SELL",AF41*('Data Checks'!F251/'Data Checks'!F252),AF41))</f>
        <v>199.89654731917796</v>
      </c>
      <c r="AG42" s="16">
        <f t="shared" si="11"/>
        <v>1046.688253638159</v>
      </c>
      <c r="AH42" s="17">
        <f t="shared" si="15"/>
        <v>1.0529058626107091E-2</v>
      </c>
      <c r="AJ42" t="str">
        <f>IF('Moving Ave'!G252&gt;'Moving Ave'!L252,"SELL","BUY")</f>
        <v>SELL</v>
      </c>
      <c r="AK42" t="str">
        <f>IF('Moving Ave'!H252&gt;'Moving Ave'!M252,"SELL","BUY")</f>
        <v>BUY</v>
      </c>
      <c r="AL42" t="str">
        <f>IF('Moving Ave'!I252&gt;'Moving Ave'!N252,"SELL","BUY")</f>
        <v>SELL</v>
      </c>
      <c r="AM42" t="str">
        <f>IF('Moving Ave'!J252&gt;'Moving Ave'!O252,"SELL","BUY")</f>
        <v>BUY</v>
      </c>
      <c r="AN42" t="str">
        <f>IF('Moving Ave'!K252&gt;'Moving Ave'!P252,"SELL","BUY")</f>
        <v>SELL</v>
      </c>
      <c r="AO42">
        <f>IF(AJ41="BUY",AO41*('Data Checks'!B252/'Data Checks'!B251),AO41*('Data Checks'!B251/'Data Checks'!B252))</f>
        <v>224.52608738198481</v>
      </c>
      <c r="AP42">
        <f>IF(AK41="BUY",AP41*('Data Checks'!C252/'Data Checks'!C251),AP41*('Data Checks'!C251/'Data Checks'!C252))</f>
        <v>176.88595826481986</v>
      </c>
      <c r="AQ42">
        <f>IF(AL41="BUY",AQ41*('Data Checks'!D252/'Data Checks'!D251),AQ41*('Data Checks'!D251/'Data Checks'!D252))</f>
        <v>232.311220751646</v>
      </c>
      <c r="AR42">
        <f>IF(AM41="BUY",AR41*('Data Checks'!E252/'Data Checks'!E251),AR41*('Data Checks'!E251/'Data Checks'!E252))</f>
        <v>153.6658870550423</v>
      </c>
      <c r="AS42">
        <f>IF(AN41="BUY",AS41*('Data Checks'!F252/'Data Checks'!F251),AS41*('Data Checks'!F251/'Data Checks'!F252))</f>
        <v>215.35301360718867</v>
      </c>
      <c r="AT42" s="16">
        <f t="shared" si="12"/>
        <v>1002.7421670606817</v>
      </c>
      <c r="AU42" s="17">
        <f t="shared" si="16"/>
        <v>7.4530560058325701E-3</v>
      </c>
    </row>
    <row r="43" spans="1:47" x14ac:dyDescent="0.35">
      <c r="A43" s="2">
        <f>Prices!A251</f>
        <v>44253</v>
      </c>
      <c r="B43">
        <f>B42*('Data Checks'!B253/'Data Checks'!B252)</f>
        <v>208.59636730788367</v>
      </c>
      <c r="C43">
        <f>C42*('Data Checks'!C253/'Data Checks'!C252)</f>
        <v>181.20395685049419</v>
      </c>
      <c r="D43">
        <f>D42*('Data Checks'!D253/'Data Checks'!D252)</f>
        <v>166.00434072473442</v>
      </c>
      <c r="E43">
        <f>E42*('Data Checks'!E253/'Data Checks'!E252)</f>
        <v>153.16370427975551</v>
      </c>
      <c r="F43">
        <f>F42*('Data Checks'!F253/'Data Checks'!F252)</f>
        <v>182.06962015359508</v>
      </c>
      <c r="G43" s="16">
        <f t="shared" si="9"/>
        <v>891.03798931646293</v>
      </c>
      <c r="H43" s="17">
        <f t="shared" si="13"/>
        <v>-1.7238939670509712E-3</v>
      </c>
      <c r="J43" t="str">
        <f>IF(AND('Data Checks'!B253&gt;'Data Checks'!B252,'Data Checks'!B252&gt;'Data Checks'!B251,'Data Checks'!B251&gt;'Data Checks'!B250),"SELL",IF(AND('Data Checks'!B253&lt;'Data Checks'!B252,'Data Checks'!B252&lt;'Data Checks'!B251,'Data Checks'!B251&lt;'Data Checks'!B250),"BUY",""))</f>
        <v/>
      </c>
      <c r="K43" t="str">
        <f>IF(AND('Data Checks'!C253&gt;'Data Checks'!C252,'Data Checks'!C252&gt;'Data Checks'!C251,'Data Checks'!C251&gt;'Data Checks'!C250),"SELL",IF(AND('Data Checks'!C253&lt;'Data Checks'!C252,'Data Checks'!C252&lt;'Data Checks'!C251,'Data Checks'!C251&lt;'Data Checks'!C250),"BUY",""))</f>
        <v/>
      </c>
      <c r="L43" t="str">
        <f>IF(AND('Data Checks'!D253&gt;'Data Checks'!D252,'Data Checks'!D252&gt;'Data Checks'!D251,'Data Checks'!D251&gt;'Data Checks'!D250),"SELL",IF(AND('Data Checks'!D253&lt;'Data Checks'!D252,'Data Checks'!D252&lt;'Data Checks'!D251,'Data Checks'!D251&lt;'Data Checks'!D250),"BUY",""))</f>
        <v>BUY</v>
      </c>
      <c r="M43" t="str">
        <f>IF(AND('Data Checks'!E253&gt;'Data Checks'!E252,'Data Checks'!E252&gt;'Data Checks'!E251,'Data Checks'!E251&gt;'Data Checks'!E250),"SELL",IF(AND('Data Checks'!E253&lt;'Data Checks'!E252,'Data Checks'!E252&lt;'Data Checks'!E251,'Data Checks'!E251&lt;'Data Checks'!E250),"BUY",""))</f>
        <v>BUY</v>
      </c>
      <c r="N43" t="str">
        <f>IF(AND('Data Checks'!F253&gt;'Data Checks'!F252,'Data Checks'!F252&gt;'Data Checks'!F251,'Data Checks'!F251&gt;'Data Checks'!F250),"SELL",IF(AND('Data Checks'!F253&lt;'Data Checks'!F252,'Data Checks'!F252&lt;'Data Checks'!F251,'Data Checks'!F251&lt;'Data Checks'!F250),"BUY",""))</f>
        <v>BUY</v>
      </c>
      <c r="O43">
        <f>IF(J42="BUY",O42*('Data Checks'!B253/'Data Checks'!B252),IF(J42="SELL",O42*('Data Checks'!B252/'Data Checks'!B253),O42))</f>
        <v>181.72858197271833</v>
      </c>
      <c r="P43">
        <f>IF(K42="BUY",P42*('Data Checks'!C253/'Data Checks'!C252),IF(K42="SELL",P42*('Data Checks'!C252/'Data Checks'!C253),P42))</f>
        <v>198.42086940649051</v>
      </c>
      <c r="Q43">
        <f>IF(L42="BUY",Q42*('Data Checks'!D253/'Data Checks'!D252),IF(L42="SELL",Q42*('Data Checks'!D252/'Data Checks'!D253),Q42))</f>
        <v>212.38509843808848</v>
      </c>
      <c r="R43">
        <f>IF(M42="BUY",R42*('Data Checks'!E253/'Data Checks'!E252),IF(M42="SELL",R42*('Data Checks'!E252/'Data Checks'!E253),R42))</f>
        <v>168.94469525599101</v>
      </c>
      <c r="S43">
        <f>IF(N42="BUY",S42*('Data Checks'!F253/'Data Checks'!F252),IF(N42="SELL",S42*('Data Checks'!F252/'Data Checks'!F253),S42))</f>
        <v>196.14766694187475</v>
      </c>
      <c r="T43" s="16">
        <f t="shared" si="10"/>
        <v>957.62691201516293</v>
      </c>
      <c r="U43" s="17">
        <f t="shared" si="14"/>
        <v>-4.0362938775805324E-3</v>
      </c>
      <c r="W43" t="str">
        <f>IF(AND('Data Checks'!B253&gt;'Data Checks'!B252,'Data Checks'!B252&gt;'Data Checks'!B251,'Data Checks'!B251&gt;'Data Checks'!B250),"BUY",IF(AND('Data Checks'!B253&lt;'Data Checks'!B252,'Data Checks'!B252&lt;'Data Checks'!B251,'Data Checks'!B251&lt;'Data Checks'!B250),"SELL",""))</f>
        <v/>
      </c>
      <c r="X43" t="str">
        <f>IF(AND('Data Checks'!C253&gt;'Data Checks'!C252,'Data Checks'!C252&gt;'Data Checks'!C251,'Data Checks'!C251&gt;'Data Checks'!C250),"BUY",IF(AND('Data Checks'!C253&lt;'Data Checks'!C252,'Data Checks'!C252&lt;'Data Checks'!C251,'Data Checks'!C251&lt;'Data Checks'!C250),"SELL",""))</f>
        <v/>
      </c>
      <c r="Y43" t="str">
        <f>IF(AND('Data Checks'!D253&gt;'Data Checks'!D252,'Data Checks'!D252&gt;'Data Checks'!D251,'Data Checks'!D251&gt;'Data Checks'!D250),"BUY",IF(AND('Data Checks'!D253&lt;'Data Checks'!D252,'Data Checks'!D252&lt;'Data Checks'!D251,'Data Checks'!D251&lt;'Data Checks'!D250),"SELL",""))</f>
        <v>SELL</v>
      </c>
      <c r="Z43" t="str">
        <f>IF(AND('Data Checks'!E253&gt;'Data Checks'!E252,'Data Checks'!E252&gt;'Data Checks'!E251,'Data Checks'!E251&gt;'Data Checks'!E250),"BUY",IF(AND('Data Checks'!E253&lt;'Data Checks'!E252,'Data Checks'!E252&lt;'Data Checks'!E251,'Data Checks'!E251&lt;'Data Checks'!E250),"SELL",""))</f>
        <v>SELL</v>
      </c>
      <c r="AA43" t="str">
        <f>IF(AND('Data Checks'!F253&gt;'Data Checks'!F252,'Data Checks'!F252&gt;'Data Checks'!F251,'Data Checks'!F251&gt;'Data Checks'!F250),"BUY",IF(AND('Data Checks'!F253&lt;'Data Checks'!F252,'Data Checks'!F252&lt;'Data Checks'!F251,'Data Checks'!F251&lt;'Data Checks'!F250),"SELL",""))</f>
        <v>SELL</v>
      </c>
      <c r="AB43">
        <f>IF(W42="BUY",AB42*('Data Checks'!B253/'Data Checks'!B252),IF(W42="SELL",AB42*('Data Checks'!B252/'Data Checks'!B253),AB42))</f>
        <v>220.1084692665732</v>
      </c>
      <c r="AC43">
        <f>IF(X42="BUY",AC42*('Data Checks'!C253/'Data Checks'!C252),IF(X42="SELL",AC42*('Data Checks'!C252/'Data Checks'!C253),AC42))</f>
        <v>201.59169808925148</v>
      </c>
      <c r="AD43">
        <f>IF(Y42="BUY",AD42*('Data Checks'!D253/'Data Checks'!D252),IF(Y42="SELL",AD42*('Data Checks'!D252/'Data Checks'!D253),AD42))</f>
        <v>188.33713049628213</v>
      </c>
      <c r="AE43">
        <f>IF(Z42="BUY",AE42*('Data Checks'!E253/'Data Checks'!E252),IF(Z42="SELL",AE42*('Data Checks'!E252/'Data Checks'!E253),AE42))</f>
        <v>236.7638708003858</v>
      </c>
      <c r="AF43">
        <f>IF(AA42="BUY",AF42*('Data Checks'!F253/'Data Checks'!F252),IF(AA42="SELL",AF42*('Data Checks'!F252/'Data Checks'!F253),AF42))</f>
        <v>203.92799273953833</v>
      </c>
      <c r="AG43" s="16">
        <f t="shared" si="11"/>
        <v>1050.7291613920308</v>
      </c>
      <c r="AH43" s="17">
        <f t="shared" si="15"/>
        <v>3.86066026806553E-3</v>
      </c>
      <c r="AJ43" t="str">
        <f>IF('Moving Ave'!G253&gt;'Moving Ave'!L253,"SELL","BUY")</f>
        <v>SELL</v>
      </c>
      <c r="AK43" t="str">
        <f>IF('Moving Ave'!H253&gt;'Moving Ave'!M253,"SELL","BUY")</f>
        <v>BUY</v>
      </c>
      <c r="AL43" t="str">
        <f>IF('Moving Ave'!I253&gt;'Moving Ave'!N253,"SELL","BUY")</f>
        <v>SELL</v>
      </c>
      <c r="AM43" t="str">
        <f>IF('Moving Ave'!J253&gt;'Moving Ave'!O253,"SELL","BUY")</f>
        <v>BUY</v>
      </c>
      <c r="AN43" t="str">
        <f>IF('Moving Ave'!K253&gt;'Moving Ave'!P253,"SELL","BUY")</f>
        <v>SELL</v>
      </c>
      <c r="AO43">
        <f>IF(AJ42="BUY",AO42*('Data Checks'!B253/'Data Checks'!B252),AO42*('Data Checks'!B252/'Data Checks'!B253))</f>
        <v>223.74915966646998</v>
      </c>
      <c r="AP43">
        <f>IF(AK42="BUY",AP42*('Data Checks'!C253/'Data Checks'!C252),AP42*('Data Checks'!C252/'Data Checks'!C253))</f>
        <v>181.20395685049419</v>
      </c>
      <c r="AQ43">
        <f>IF(AL42="BUY",AQ42*('Data Checks'!D253/'Data Checks'!D252),AQ42*('Data Checks'!D252/'Data Checks'!D253))</f>
        <v>235.67602289642991</v>
      </c>
      <c r="AR43">
        <f>IF(AM42="BUY",AR42*('Data Checks'!E253/'Data Checks'!E252),AR42*('Data Checks'!E252/'Data Checks'!E253))</f>
        <v>153.16370427975551</v>
      </c>
      <c r="AS43">
        <f>IF(AN42="BUY",AS42*('Data Checks'!F253/'Data Checks'!F252),AS42*('Data Checks'!F252/'Data Checks'!F253))</f>
        <v>219.69617977044041</v>
      </c>
      <c r="AT43" s="16">
        <f t="shared" si="12"/>
        <v>1013.48902346359</v>
      </c>
      <c r="AU43" s="17">
        <f t="shared" si="16"/>
        <v>1.0717467317057583E-2</v>
      </c>
    </row>
    <row r="44" spans="1:47" x14ac:dyDescent="0.35">
      <c r="A44" s="2">
        <f>Prices!A252</f>
        <v>44254</v>
      </c>
      <c r="B44">
        <f>B43*('Data Checks'!B254/'Data Checks'!B253)</f>
        <v>198.55533311966039</v>
      </c>
      <c r="C44">
        <f>C43*('Data Checks'!C254/'Data Checks'!C253)</f>
        <v>171.80594797576703</v>
      </c>
      <c r="D44">
        <f>D43*('Data Checks'!D254/'Data Checks'!D253)</f>
        <v>157.82267086028844</v>
      </c>
      <c r="E44">
        <f>E43*('Data Checks'!E254/'Data Checks'!E253)</f>
        <v>147.10410957133885</v>
      </c>
      <c r="F44">
        <f>F43*('Data Checks'!F254/'Data Checks'!F253)</f>
        <v>181.16356673100015</v>
      </c>
      <c r="G44" s="16">
        <f t="shared" si="9"/>
        <v>856.45162825805494</v>
      </c>
      <c r="H44" s="17">
        <f t="shared" si="13"/>
        <v>-3.8815809733252826E-2</v>
      </c>
      <c r="J44" t="str">
        <f>IF(AND('Data Checks'!B254&gt;'Data Checks'!B253,'Data Checks'!B253&gt;'Data Checks'!B252,'Data Checks'!B252&gt;'Data Checks'!B251),"SELL",IF(AND('Data Checks'!B254&lt;'Data Checks'!B253,'Data Checks'!B253&lt;'Data Checks'!B252,'Data Checks'!B252&lt;'Data Checks'!B251),"BUY",""))</f>
        <v/>
      </c>
      <c r="K44" t="str">
        <f>IF(AND('Data Checks'!C254&gt;'Data Checks'!C253,'Data Checks'!C253&gt;'Data Checks'!C252,'Data Checks'!C252&gt;'Data Checks'!C251),"SELL",IF(AND('Data Checks'!C254&lt;'Data Checks'!C253,'Data Checks'!C253&lt;'Data Checks'!C252,'Data Checks'!C252&lt;'Data Checks'!C251),"BUY",""))</f>
        <v/>
      </c>
      <c r="L44" t="str">
        <f>IF(AND('Data Checks'!D254&gt;'Data Checks'!D253,'Data Checks'!D253&gt;'Data Checks'!D252,'Data Checks'!D252&gt;'Data Checks'!D251),"SELL",IF(AND('Data Checks'!D254&lt;'Data Checks'!D253,'Data Checks'!D253&lt;'Data Checks'!D252,'Data Checks'!D252&lt;'Data Checks'!D251),"BUY",""))</f>
        <v>BUY</v>
      </c>
      <c r="M44" t="str">
        <f>IF(AND('Data Checks'!E254&gt;'Data Checks'!E253,'Data Checks'!E253&gt;'Data Checks'!E252,'Data Checks'!E252&gt;'Data Checks'!E251),"SELL",IF(AND('Data Checks'!E254&lt;'Data Checks'!E253,'Data Checks'!E253&lt;'Data Checks'!E252,'Data Checks'!E252&lt;'Data Checks'!E251),"BUY",""))</f>
        <v>BUY</v>
      </c>
      <c r="N44" t="str">
        <f>IF(AND('Data Checks'!F254&gt;'Data Checks'!F253,'Data Checks'!F253&gt;'Data Checks'!F252,'Data Checks'!F252&gt;'Data Checks'!F251),"SELL",IF(AND('Data Checks'!F254&lt;'Data Checks'!F253,'Data Checks'!F253&lt;'Data Checks'!F252,'Data Checks'!F252&lt;'Data Checks'!F251),"BUY",""))</f>
        <v>BUY</v>
      </c>
      <c r="O44">
        <f>IF(J43="BUY",O43*('Data Checks'!B254/'Data Checks'!B253),IF(J43="SELL",O43*('Data Checks'!B253/'Data Checks'!B254),O43))</f>
        <v>181.72858197271833</v>
      </c>
      <c r="P44">
        <f>IF(K43="BUY",P43*('Data Checks'!C254/'Data Checks'!C253),IF(K43="SELL",P43*('Data Checks'!C253/'Data Checks'!C254),P43))</f>
        <v>198.42086940649051</v>
      </c>
      <c r="Q44">
        <f>IF(L43="BUY",Q43*('Data Checks'!D254/'Data Checks'!D253),IF(L43="SELL",Q43*('Data Checks'!D253/'Data Checks'!D254),Q43))</f>
        <v>201.91751215713893</v>
      </c>
      <c r="R44">
        <f>IF(M43="BUY",R43*('Data Checks'!E254/'Data Checks'!E253),IF(M43="SELL",R43*('Data Checks'!E253/'Data Checks'!E254),R43))</f>
        <v>162.26075935745465</v>
      </c>
      <c r="S44">
        <f>IF(N43="BUY",S43*('Data Checks'!F254/'Data Checks'!F253),IF(N43="SELL",S43*('Data Checks'!F253/'Data Checks'!F254),S43))</f>
        <v>195.17155535985037</v>
      </c>
      <c r="T44" s="16">
        <f t="shared" si="10"/>
        <v>939.49927825365273</v>
      </c>
      <c r="U44" s="17">
        <f t="shared" si="14"/>
        <v>-1.892974553457738E-2</v>
      </c>
      <c r="W44" t="str">
        <f>IF(AND('Data Checks'!B254&gt;'Data Checks'!B253,'Data Checks'!B253&gt;'Data Checks'!B252,'Data Checks'!B252&gt;'Data Checks'!B251),"BUY",IF(AND('Data Checks'!B254&lt;'Data Checks'!B253,'Data Checks'!B253&lt;'Data Checks'!B252,'Data Checks'!B252&lt;'Data Checks'!B251),"SELL",""))</f>
        <v/>
      </c>
      <c r="X44" t="str">
        <f>IF(AND('Data Checks'!C254&gt;'Data Checks'!C253,'Data Checks'!C253&gt;'Data Checks'!C252,'Data Checks'!C252&gt;'Data Checks'!C251),"BUY",IF(AND('Data Checks'!C254&lt;'Data Checks'!C253,'Data Checks'!C253&lt;'Data Checks'!C252,'Data Checks'!C252&lt;'Data Checks'!C251),"SELL",""))</f>
        <v/>
      </c>
      <c r="Y44" t="str">
        <f>IF(AND('Data Checks'!D254&gt;'Data Checks'!D253,'Data Checks'!D253&gt;'Data Checks'!D252,'Data Checks'!D252&gt;'Data Checks'!D251),"BUY",IF(AND('Data Checks'!D254&lt;'Data Checks'!D253,'Data Checks'!D253&lt;'Data Checks'!D252,'Data Checks'!D252&lt;'Data Checks'!D251),"SELL",""))</f>
        <v>SELL</v>
      </c>
      <c r="Z44" t="str">
        <f>IF(AND('Data Checks'!E254&gt;'Data Checks'!E253,'Data Checks'!E253&gt;'Data Checks'!E252,'Data Checks'!E252&gt;'Data Checks'!E251),"BUY",IF(AND('Data Checks'!E254&lt;'Data Checks'!E253,'Data Checks'!E253&lt;'Data Checks'!E252,'Data Checks'!E252&lt;'Data Checks'!E251),"SELL",""))</f>
        <v>SELL</v>
      </c>
      <c r="AA44" t="str">
        <f>IF(AND('Data Checks'!F254&gt;'Data Checks'!F253,'Data Checks'!F253&gt;'Data Checks'!F252,'Data Checks'!F252&gt;'Data Checks'!F251),"BUY",IF(AND('Data Checks'!F254&lt;'Data Checks'!F253,'Data Checks'!F253&lt;'Data Checks'!F252,'Data Checks'!F252&lt;'Data Checks'!F251),"SELL",""))</f>
        <v>SELL</v>
      </c>
      <c r="AB44">
        <f>IF(W43="BUY",AB43*('Data Checks'!B254/'Data Checks'!B253),IF(W43="SELL",AB43*('Data Checks'!B253/'Data Checks'!B254),AB43))</f>
        <v>220.1084692665732</v>
      </c>
      <c r="AC44">
        <f>IF(X43="BUY",AC43*('Data Checks'!C254/'Data Checks'!C253),IF(X43="SELL",AC43*('Data Checks'!C253/'Data Checks'!C254),AC43))</f>
        <v>201.59169808925148</v>
      </c>
      <c r="AD44">
        <f>IF(Y43="BUY",AD43*('Data Checks'!D254/'Data Checks'!D253),IF(Y43="SELL",AD43*('Data Checks'!D253/'Data Checks'!D254),AD43))</f>
        <v>198.10069752083049</v>
      </c>
      <c r="AE44">
        <f>IF(Z43="BUY",AE43*('Data Checks'!E254/'Data Checks'!E253),IF(Z43="SELL",AE43*('Data Checks'!E253/'Data Checks'!E254),AE43))</f>
        <v>246.51678051056967</v>
      </c>
      <c r="AF44">
        <f>IF(AA43="BUY",AF43*('Data Checks'!F254/'Data Checks'!F253),IF(AA43="SELL",AF43*('Data Checks'!F253/'Data Checks'!F254),AF43))</f>
        <v>204.94789789551777</v>
      </c>
      <c r="AG44" s="16">
        <f t="shared" si="11"/>
        <v>1071.2655432827426</v>
      </c>
      <c r="AH44" s="17">
        <f t="shared" si="15"/>
        <v>1.954488620407635E-2</v>
      </c>
      <c r="AJ44" t="str">
        <f>IF('Moving Ave'!G254&gt;'Moving Ave'!L254,"SELL","BUY")</f>
        <v>SELL</v>
      </c>
      <c r="AK44" t="str">
        <f>IF('Moving Ave'!H254&gt;'Moving Ave'!M254,"SELL","BUY")</f>
        <v>BUY</v>
      </c>
      <c r="AL44" t="str">
        <f>IF('Moving Ave'!I254&gt;'Moving Ave'!N254,"SELL","BUY")</f>
        <v>SELL</v>
      </c>
      <c r="AM44" t="str">
        <f>IF('Moving Ave'!J254&gt;'Moving Ave'!O254,"SELL","BUY")</f>
        <v>BUY</v>
      </c>
      <c r="AN44" t="str">
        <f>IF('Moving Ave'!K254&gt;'Moving Ave'!P254,"SELL","BUY")</f>
        <v>SELL</v>
      </c>
      <c r="AO44">
        <f>IF(AJ43="BUY",AO43*('Data Checks'!B254/'Data Checks'!B253),AO43*('Data Checks'!B253/'Data Checks'!B254))</f>
        <v>235.06425720879224</v>
      </c>
      <c r="AP44">
        <f>IF(AK43="BUY",AP43*('Data Checks'!C254/'Data Checks'!C253),AP43*('Data Checks'!C253/'Data Checks'!C254))</f>
        <v>171.80594797576703</v>
      </c>
      <c r="AQ44">
        <f>IF(AL43="BUY",AQ43*('Data Checks'!D254/'Data Checks'!D253),AQ43*('Data Checks'!D253/'Data Checks'!D254))</f>
        <v>247.89368087797016</v>
      </c>
      <c r="AR44">
        <f>IF(AM43="BUY",AR43*('Data Checks'!E254/'Data Checks'!E253),AR43*('Data Checks'!E253/'Data Checks'!E254))</f>
        <v>147.10410957133885</v>
      </c>
      <c r="AS44">
        <f>IF(AN43="BUY",AS43*('Data Checks'!F254/'Data Checks'!F253),AS43*('Data Checks'!F253/'Data Checks'!F254))</f>
        <v>220.79494636685882</v>
      </c>
      <c r="AT44" s="16">
        <f t="shared" si="12"/>
        <v>1022.6629420007271</v>
      </c>
      <c r="AU44" s="17">
        <f t="shared" si="16"/>
        <v>9.0518183470653657E-3</v>
      </c>
    </row>
    <row r="45" spans="1:47" x14ac:dyDescent="0.35">
      <c r="A45" s="2">
        <f>Prices!A253</f>
        <v>44255</v>
      </c>
      <c r="B45">
        <f>B44*('Data Checks'!B255/'Data Checks'!B254)</f>
        <v>198.49737251912595</v>
      </c>
      <c r="C45">
        <f>C44*('Data Checks'!C255/'Data Checks'!C254)</f>
        <v>170.5359454035038</v>
      </c>
      <c r="D45">
        <f>D44*('Data Checks'!D255/'Data Checks'!D254)</f>
        <v>156.72065715011954</v>
      </c>
      <c r="E45">
        <f>E44*('Data Checks'!E255/'Data Checks'!E254)</f>
        <v>147.40541521910228</v>
      </c>
      <c r="F45">
        <f>F44*('Data Checks'!F255/'Data Checks'!F254)</f>
        <v>173.91512504408874</v>
      </c>
      <c r="G45" s="16">
        <f t="shared" si="9"/>
        <v>847.07451533594042</v>
      </c>
      <c r="H45" s="17">
        <f t="shared" si="13"/>
        <v>-1.0948794552690266E-2</v>
      </c>
      <c r="J45" t="str">
        <f>IF(AND('Data Checks'!B255&gt;'Data Checks'!B254,'Data Checks'!B254&gt;'Data Checks'!B253,'Data Checks'!B253&gt;'Data Checks'!B252),"SELL",IF(AND('Data Checks'!B255&lt;'Data Checks'!B254,'Data Checks'!B254&lt;'Data Checks'!B253,'Data Checks'!B253&lt;'Data Checks'!B252),"BUY",""))</f>
        <v/>
      </c>
      <c r="K45" t="str">
        <f>IF(AND('Data Checks'!C255&gt;'Data Checks'!C254,'Data Checks'!C254&gt;'Data Checks'!C253,'Data Checks'!C253&gt;'Data Checks'!C252),"SELL",IF(AND('Data Checks'!C255&lt;'Data Checks'!C254,'Data Checks'!C254&lt;'Data Checks'!C253,'Data Checks'!C253&lt;'Data Checks'!C252),"BUY",""))</f>
        <v/>
      </c>
      <c r="L45" t="str">
        <f>IF(AND('Data Checks'!D255&gt;'Data Checks'!D254,'Data Checks'!D254&gt;'Data Checks'!D253,'Data Checks'!D253&gt;'Data Checks'!D252),"SELL",IF(AND('Data Checks'!D255&lt;'Data Checks'!D254,'Data Checks'!D254&lt;'Data Checks'!D253,'Data Checks'!D253&lt;'Data Checks'!D252),"BUY",""))</f>
        <v>BUY</v>
      </c>
      <c r="M45" t="str">
        <f>IF(AND('Data Checks'!E255&gt;'Data Checks'!E254,'Data Checks'!E254&gt;'Data Checks'!E253,'Data Checks'!E253&gt;'Data Checks'!E252),"SELL",IF(AND('Data Checks'!E255&lt;'Data Checks'!E254,'Data Checks'!E254&lt;'Data Checks'!E253,'Data Checks'!E253&lt;'Data Checks'!E252),"BUY",""))</f>
        <v/>
      </c>
      <c r="N45" t="str">
        <f>IF(AND('Data Checks'!F255&gt;'Data Checks'!F254,'Data Checks'!F254&gt;'Data Checks'!F253,'Data Checks'!F253&gt;'Data Checks'!F252),"SELL",IF(AND('Data Checks'!F255&lt;'Data Checks'!F254,'Data Checks'!F254&lt;'Data Checks'!F253,'Data Checks'!F253&lt;'Data Checks'!F252),"BUY",""))</f>
        <v>BUY</v>
      </c>
      <c r="O45">
        <f>IF(J44="BUY",O44*('Data Checks'!B255/'Data Checks'!B254),IF(J44="SELL",O44*('Data Checks'!B254/'Data Checks'!B255),O44))</f>
        <v>181.72858197271833</v>
      </c>
      <c r="P45">
        <f>IF(K44="BUY",P44*('Data Checks'!C255/'Data Checks'!C254),IF(K44="SELL",P44*('Data Checks'!C254/'Data Checks'!C255),P44))</f>
        <v>198.42086940649051</v>
      </c>
      <c r="Q45">
        <f>IF(L44="BUY",Q44*('Data Checks'!D255/'Data Checks'!D254),IF(L44="SELL",Q44*('Data Checks'!D254/'Data Checks'!D255),Q44))</f>
        <v>200.50760149280009</v>
      </c>
      <c r="R45">
        <f>IF(M44="BUY",R44*('Data Checks'!E255/'Data Checks'!E254),IF(M44="SELL",R44*('Data Checks'!E254/'Data Checks'!E255),R44))</f>
        <v>162.59310957763034</v>
      </c>
      <c r="S45">
        <f>IF(N44="BUY",S44*('Data Checks'!F255/'Data Checks'!F254),IF(N44="SELL",S44*('Data Checks'!F254/'Data Checks'!F255),S44))</f>
        <v>187.36264729131872</v>
      </c>
      <c r="T45" s="16">
        <f t="shared" si="10"/>
        <v>930.61280974095791</v>
      </c>
      <c r="U45" s="17">
        <f t="shared" si="14"/>
        <v>-9.4587284081931733E-3</v>
      </c>
      <c r="W45" t="str">
        <f>IF(AND('Data Checks'!B255&gt;'Data Checks'!B254,'Data Checks'!B254&gt;'Data Checks'!B253,'Data Checks'!B253&gt;'Data Checks'!B252),"BUY",IF(AND('Data Checks'!B255&lt;'Data Checks'!B254,'Data Checks'!B254&lt;'Data Checks'!B253,'Data Checks'!B253&lt;'Data Checks'!B252),"SELL",""))</f>
        <v/>
      </c>
      <c r="X45" t="str">
        <f>IF(AND('Data Checks'!C255&gt;'Data Checks'!C254,'Data Checks'!C254&gt;'Data Checks'!C253,'Data Checks'!C253&gt;'Data Checks'!C252),"BUY",IF(AND('Data Checks'!C255&lt;'Data Checks'!C254,'Data Checks'!C254&lt;'Data Checks'!C253,'Data Checks'!C253&lt;'Data Checks'!C252),"SELL",""))</f>
        <v/>
      </c>
      <c r="Y45" t="str">
        <f>IF(AND('Data Checks'!D255&gt;'Data Checks'!D254,'Data Checks'!D254&gt;'Data Checks'!D253,'Data Checks'!D253&gt;'Data Checks'!D252),"BUY",IF(AND('Data Checks'!D255&lt;'Data Checks'!D254,'Data Checks'!D254&lt;'Data Checks'!D253,'Data Checks'!D253&lt;'Data Checks'!D252),"SELL",""))</f>
        <v>SELL</v>
      </c>
      <c r="Z45" t="str">
        <f>IF(AND('Data Checks'!E255&gt;'Data Checks'!E254,'Data Checks'!E254&gt;'Data Checks'!E253,'Data Checks'!E253&gt;'Data Checks'!E252),"BUY",IF(AND('Data Checks'!E255&lt;'Data Checks'!E254,'Data Checks'!E254&lt;'Data Checks'!E253,'Data Checks'!E253&lt;'Data Checks'!E252),"SELL",""))</f>
        <v/>
      </c>
      <c r="AA45" t="str">
        <f>IF(AND('Data Checks'!F255&gt;'Data Checks'!F254,'Data Checks'!F254&gt;'Data Checks'!F253,'Data Checks'!F253&gt;'Data Checks'!F252),"BUY",IF(AND('Data Checks'!F255&lt;'Data Checks'!F254,'Data Checks'!F254&lt;'Data Checks'!F253,'Data Checks'!F253&lt;'Data Checks'!F252),"SELL",""))</f>
        <v>SELL</v>
      </c>
      <c r="AB45">
        <f>IF(W44="BUY",AB44*('Data Checks'!B255/'Data Checks'!B254),IF(W44="SELL",AB44*('Data Checks'!B254/'Data Checks'!B255),AB44))</f>
        <v>220.1084692665732</v>
      </c>
      <c r="AC45">
        <f>IF(X44="BUY",AC44*('Data Checks'!C255/'Data Checks'!C254),IF(X44="SELL",AC44*('Data Checks'!C254/'Data Checks'!C255),AC44))</f>
        <v>201.59169808925148</v>
      </c>
      <c r="AD45">
        <f>IF(Y44="BUY",AD44*('Data Checks'!D255/'Data Checks'!D254),IF(Y44="SELL",AD44*('Data Checks'!D254/'Data Checks'!D255),AD44))</f>
        <v>199.49368354214903</v>
      </c>
      <c r="AE45">
        <f>IF(Z44="BUY",AE44*('Data Checks'!E255/'Data Checks'!E254),IF(Z44="SELL",AE44*('Data Checks'!E254/'Data Checks'!E255),AE44))</f>
        <v>246.01288519487935</v>
      </c>
      <c r="AF45">
        <f>IF(AA44="BUY",AF44*('Data Checks'!F255/'Data Checks'!F254),IF(AA44="SELL",AF44*('Data Checks'!F254/'Data Checks'!F255),AF44))</f>
        <v>213.48972475717881</v>
      </c>
      <c r="AG45" s="16">
        <f t="shared" si="11"/>
        <v>1080.6964608500318</v>
      </c>
      <c r="AH45" s="17">
        <f t="shared" si="15"/>
        <v>8.8035292709869317E-3</v>
      </c>
      <c r="AJ45" t="str">
        <f>IF('Moving Ave'!G255&gt;'Moving Ave'!L255,"SELL","BUY")</f>
        <v>SELL</v>
      </c>
      <c r="AK45" t="str">
        <f>IF('Moving Ave'!H255&gt;'Moving Ave'!M255,"SELL","BUY")</f>
        <v>BUY</v>
      </c>
      <c r="AL45" t="str">
        <f>IF('Moving Ave'!I255&gt;'Moving Ave'!N255,"SELL","BUY")</f>
        <v>SELL</v>
      </c>
      <c r="AM45" t="str">
        <f>IF('Moving Ave'!J255&gt;'Moving Ave'!O255,"SELL","BUY")</f>
        <v>BUY</v>
      </c>
      <c r="AN45" t="str">
        <f>IF('Moving Ave'!K255&gt;'Moving Ave'!P255,"SELL","BUY")</f>
        <v>SELL</v>
      </c>
      <c r="AO45">
        <f>IF(AJ44="BUY",AO44*('Data Checks'!B255/'Data Checks'!B254),AO44*('Data Checks'!B254/'Data Checks'!B255))</f>
        <v>235.13289522318559</v>
      </c>
      <c r="AP45">
        <f>IF(AK44="BUY",AP44*('Data Checks'!C255/'Data Checks'!C254),AP44*('Data Checks'!C254/'Data Checks'!C255))</f>
        <v>170.5359454035038</v>
      </c>
      <c r="AQ45">
        <f>IF(AL44="BUY",AQ44*('Data Checks'!D255/'Data Checks'!D254),AQ44*('Data Checks'!D254/'Data Checks'!D255))</f>
        <v>249.6367965588218</v>
      </c>
      <c r="AR45">
        <f>IF(AM44="BUY",AR44*('Data Checks'!E255/'Data Checks'!E254),AR44*('Data Checks'!E254/'Data Checks'!E255))</f>
        <v>147.40541521910228</v>
      </c>
      <c r="AS45">
        <f>IF(AN44="BUY",AS44*('Data Checks'!F255/'Data Checks'!F254),AS44*('Data Checks'!F254/'Data Checks'!F255))</f>
        <v>229.99724716214155</v>
      </c>
      <c r="AT45" s="16">
        <f t="shared" si="12"/>
        <v>1032.7082995667549</v>
      </c>
      <c r="AU45" s="17">
        <f t="shared" si="16"/>
        <v>9.8227452599144449E-3</v>
      </c>
    </row>
    <row r="46" spans="1:47" x14ac:dyDescent="0.35">
      <c r="A46" s="2">
        <f>Prices!A254</f>
        <v>44257</v>
      </c>
      <c r="B46">
        <f>B45*('Data Checks'!B256/'Data Checks'!B255)</f>
        <v>205.8945886170537</v>
      </c>
      <c r="C46">
        <f>C45*('Data Checks'!C256/'Data Checks'!C255)</f>
        <v>171.5519474613144</v>
      </c>
      <c r="D46">
        <f>D45*('Data Checks'!D256/'Data Checks'!D255)</f>
        <v>162.86525568317344</v>
      </c>
      <c r="E46">
        <f>E45*('Data Checks'!E256/'Data Checks'!E255)</f>
        <v>150.08369768718791</v>
      </c>
      <c r="F46">
        <f>F45*('Data Checks'!F256/'Data Checks'!F255)</f>
        <v>167.28659657539257</v>
      </c>
      <c r="G46" s="16">
        <f t="shared" si="9"/>
        <v>857.68208602412199</v>
      </c>
      <c r="H46" s="17">
        <f t="shared" si="13"/>
        <v>1.2522594525199215E-2</v>
      </c>
      <c r="J46" t="str">
        <f>IF(AND('Data Checks'!B256&gt;'Data Checks'!B255,'Data Checks'!B255&gt;'Data Checks'!B254,'Data Checks'!B254&gt;'Data Checks'!B253),"SELL",IF(AND('Data Checks'!B256&lt;'Data Checks'!B255,'Data Checks'!B255&lt;'Data Checks'!B254,'Data Checks'!B254&lt;'Data Checks'!B253),"BUY",""))</f>
        <v/>
      </c>
      <c r="K46" t="str">
        <f>IF(AND('Data Checks'!C256&gt;'Data Checks'!C255,'Data Checks'!C255&gt;'Data Checks'!C254,'Data Checks'!C254&gt;'Data Checks'!C253),"SELL",IF(AND('Data Checks'!C256&lt;'Data Checks'!C255,'Data Checks'!C255&lt;'Data Checks'!C254,'Data Checks'!C254&lt;'Data Checks'!C253),"BUY",""))</f>
        <v/>
      </c>
      <c r="L46" t="str">
        <f>IF(AND('Data Checks'!D256&gt;'Data Checks'!D255,'Data Checks'!D255&gt;'Data Checks'!D254,'Data Checks'!D254&gt;'Data Checks'!D253),"SELL",IF(AND('Data Checks'!D256&lt;'Data Checks'!D255,'Data Checks'!D255&lt;'Data Checks'!D254,'Data Checks'!D254&lt;'Data Checks'!D253),"BUY",""))</f>
        <v/>
      </c>
      <c r="M46" t="str">
        <f>IF(AND('Data Checks'!E256&gt;'Data Checks'!E255,'Data Checks'!E255&gt;'Data Checks'!E254,'Data Checks'!E254&gt;'Data Checks'!E253),"SELL",IF(AND('Data Checks'!E256&lt;'Data Checks'!E255,'Data Checks'!E255&lt;'Data Checks'!E254,'Data Checks'!E254&lt;'Data Checks'!E253),"BUY",""))</f>
        <v/>
      </c>
      <c r="N46" t="str">
        <f>IF(AND('Data Checks'!F256&gt;'Data Checks'!F255,'Data Checks'!F255&gt;'Data Checks'!F254,'Data Checks'!F254&gt;'Data Checks'!F253),"SELL",IF(AND('Data Checks'!F256&lt;'Data Checks'!F255,'Data Checks'!F255&lt;'Data Checks'!F254,'Data Checks'!F254&lt;'Data Checks'!F253),"BUY",""))</f>
        <v>BUY</v>
      </c>
      <c r="O46">
        <f>IF(J45="BUY",O45*('Data Checks'!B256/'Data Checks'!B255),IF(J45="SELL",O45*('Data Checks'!B255/'Data Checks'!B256),O45))</f>
        <v>181.72858197271833</v>
      </c>
      <c r="P46">
        <f>IF(K45="BUY",P45*('Data Checks'!C256/'Data Checks'!C255),IF(K45="SELL",P45*('Data Checks'!C255/'Data Checks'!C256),P45))</f>
        <v>198.42086940649051</v>
      </c>
      <c r="Q46">
        <f>IF(L45="BUY",Q45*('Data Checks'!D256/'Data Checks'!D255),IF(L45="SELL",Q45*('Data Checks'!D255/'Data Checks'!D256),Q45))</f>
        <v>208.3689692052815</v>
      </c>
      <c r="R46">
        <f>IF(M45="BUY",R45*('Data Checks'!E256/'Data Checks'!E255),IF(M45="SELL",R45*('Data Checks'!E255/'Data Checks'!E256),R45))</f>
        <v>162.59310957763034</v>
      </c>
      <c r="S46">
        <f>IF(N45="BUY",S45*('Data Checks'!F256/'Data Checks'!F255),IF(N45="SELL",S45*('Data Checks'!F255/'Data Checks'!F256),S45))</f>
        <v>180.22158557385197</v>
      </c>
      <c r="T46" s="16">
        <f t="shared" si="10"/>
        <v>931.33311573597257</v>
      </c>
      <c r="U46" s="17">
        <f t="shared" si="14"/>
        <v>7.7401255116527068E-4</v>
      </c>
      <c r="W46" t="str">
        <f>IF(AND('Data Checks'!B256&gt;'Data Checks'!B255,'Data Checks'!B255&gt;'Data Checks'!B254,'Data Checks'!B254&gt;'Data Checks'!B253),"BUY",IF(AND('Data Checks'!B256&lt;'Data Checks'!B255,'Data Checks'!B255&lt;'Data Checks'!B254,'Data Checks'!B254&lt;'Data Checks'!B253),"SELL",""))</f>
        <v/>
      </c>
      <c r="X46" t="str">
        <f>IF(AND('Data Checks'!C256&gt;'Data Checks'!C255,'Data Checks'!C255&gt;'Data Checks'!C254,'Data Checks'!C254&gt;'Data Checks'!C253),"BUY",IF(AND('Data Checks'!C256&lt;'Data Checks'!C255,'Data Checks'!C255&lt;'Data Checks'!C254,'Data Checks'!C254&lt;'Data Checks'!C253),"SELL",""))</f>
        <v/>
      </c>
      <c r="Y46" t="str">
        <f>IF(AND('Data Checks'!D256&gt;'Data Checks'!D255,'Data Checks'!D255&gt;'Data Checks'!D254,'Data Checks'!D254&gt;'Data Checks'!D253),"BUY",IF(AND('Data Checks'!D256&lt;'Data Checks'!D255,'Data Checks'!D255&lt;'Data Checks'!D254,'Data Checks'!D254&lt;'Data Checks'!D253),"SELL",""))</f>
        <v/>
      </c>
      <c r="Z46" t="str">
        <f>IF(AND('Data Checks'!E256&gt;'Data Checks'!E255,'Data Checks'!E255&gt;'Data Checks'!E254,'Data Checks'!E254&gt;'Data Checks'!E253),"BUY",IF(AND('Data Checks'!E256&lt;'Data Checks'!E255,'Data Checks'!E255&lt;'Data Checks'!E254,'Data Checks'!E254&lt;'Data Checks'!E253),"SELL",""))</f>
        <v/>
      </c>
      <c r="AA46" t="str">
        <f>IF(AND('Data Checks'!F256&gt;'Data Checks'!F255,'Data Checks'!F255&gt;'Data Checks'!F254,'Data Checks'!F254&gt;'Data Checks'!F253),"BUY",IF(AND('Data Checks'!F256&lt;'Data Checks'!F255,'Data Checks'!F255&lt;'Data Checks'!F254,'Data Checks'!F254&lt;'Data Checks'!F253),"SELL",""))</f>
        <v>SELL</v>
      </c>
      <c r="AB46">
        <f>IF(W45="BUY",AB45*('Data Checks'!B256/'Data Checks'!B255),IF(W45="SELL",AB45*('Data Checks'!B255/'Data Checks'!B256),AB45))</f>
        <v>220.1084692665732</v>
      </c>
      <c r="AC46">
        <f>IF(X45="BUY",AC45*('Data Checks'!C256/'Data Checks'!C255),IF(X45="SELL",AC45*('Data Checks'!C255/'Data Checks'!C256),AC45))</f>
        <v>201.59169808925148</v>
      </c>
      <c r="AD46">
        <f>IF(Y45="BUY",AD45*('Data Checks'!D256/'Data Checks'!D255),IF(Y45="SELL",AD45*('Data Checks'!D255/'Data Checks'!D256),AD45))</f>
        <v>191.96716359715097</v>
      </c>
      <c r="AE46">
        <f>IF(Z45="BUY",AE45*('Data Checks'!E256/'Data Checks'!E255),IF(Z45="SELL",AE45*('Data Checks'!E255/'Data Checks'!E256),AE45))</f>
        <v>246.01288519487935</v>
      </c>
      <c r="AF46">
        <f>IF(AA45="BUY",AF45*('Data Checks'!F256/'Data Checks'!F255),IF(AA45="SELL",AF45*('Data Checks'!F255/'Data Checks'!F256),AF45))</f>
        <v>221.94899613514187</v>
      </c>
      <c r="AG46" s="16">
        <f t="shared" si="11"/>
        <v>1081.6292122829968</v>
      </c>
      <c r="AH46" s="17">
        <f t="shared" si="15"/>
        <v>8.6310214454798917E-4</v>
      </c>
      <c r="AJ46" t="str">
        <f>IF('Moving Ave'!G256&gt;'Moving Ave'!L256,"SELL","BUY")</f>
        <v>SELL</v>
      </c>
      <c r="AK46" t="str">
        <f>IF('Moving Ave'!H256&gt;'Moving Ave'!M256,"SELL","BUY")</f>
        <v>BUY</v>
      </c>
      <c r="AL46" t="str">
        <f>IF('Moving Ave'!I256&gt;'Moving Ave'!N256,"SELL","BUY")</f>
        <v>SELL</v>
      </c>
      <c r="AM46" t="str">
        <f>IF('Moving Ave'!J256&gt;'Moving Ave'!O256,"SELL","BUY")</f>
        <v>BUY</v>
      </c>
      <c r="AN46" t="str">
        <f>IF('Moving Ave'!K256&gt;'Moving Ave'!P256,"SELL","BUY")</f>
        <v>SELL</v>
      </c>
      <c r="AO46">
        <f>IF(AJ45="BUY",AO45*('Data Checks'!B256/'Data Checks'!B255),AO45*('Data Checks'!B255/'Data Checks'!B256))</f>
        <v>226.68522863136317</v>
      </c>
      <c r="AP46">
        <f>IF(AK45="BUY",AP45*('Data Checks'!C256/'Data Checks'!C255),AP45*('Data Checks'!C255/'Data Checks'!C256))</f>
        <v>171.5519474613144</v>
      </c>
      <c r="AQ46">
        <f>IF(AL45="BUY",AQ45*('Data Checks'!D256/'Data Checks'!D255),AQ45*('Data Checks'!D255/'Data Checks'!D256))</f>
        <v>240.21847165276822</v>
      </c>
      <c r="AR46">
        <f>IF(AM45="BUY",AR45*('Data Checks'!E256/'Data Checks'!E255),AR45*('Data Checks'!E255/'Data Checks'!E256))</f>
        <v>150.08369768718791</v>
      </c>
      <c r="AS46">
        <f>IF(AN45="BUY",AS45*('Data Checks'!F256/'Data Checks'!F255),AS45*('Data Checks'!F255/'Data Checks'!F256))</f>
        <v>239.11060909158294</v>
      </c>
      <c r="AT46" s="16">
        <f t="shared" si="12"/>
        <v>1027.6499545242168</v>
      </c>
      <c r="AU46" s="17">
        <f t="shared" si="16"/>
        <v>-4.8981353637422842E-3</v>
      </c>
    </row>
    <row r="47" spans="1:47" x14ac:dyDescent="0.35">
      <c r="A47" s="2">
        <f>Prices!A255</f>
        <v>44258</v>
      </c>
      <c r="B47">
        <f>B46*('Data Checks'!B257/'Data Checks'!B256)</f>
        <v>201.15699916672199</v>
      </c>
      <c r="C47">
        <f>C46*('Data Checks'!C257/'Data Checks'!C256)</f>
        <v>165.45593511445097</v>
      </c>
      <c r="D47">
        <f>D46*('Data Checks'!D257/'Data Checks'!D256)</f>
        <v>162.83185444701712</v>
      </c>
      <c r="E47">
        <f>E46*('Data Checks'!E257/'Data Checks'!E256)</f>
        <v>147.17106638195295</v>
      </c>
      <c r="F47">
        <f>F46*('Data Checks'!F257/'Data Checks'!F256)</f>
        <v>163.66238288501279</v>
      </c>
      <c r="G47" s="16">
        <f t="shared" si="9"/>
        <v>840.27823799515591</v>
      </c>
      <c r="H47" s="17">
        <f t="shared" si="13"/>
        <v>-2.0291723836326714E-2</v>
      </c>
      <c r="J47" t="str">
        <f>IF(AND('Data Checks'!B257&gt;'Data Checks'!B256,'Data Checks'!B256&gt;'Data Checks'!B255,'Data Checks'!B255&gt;'Data Checks'!B254),"SELL",IF(AND('Data Checks'!B257&lt;'Data Checks'!B256,'Data Checks'!B256&lt;'Data Checks'!B255,'Data Checks'!B255&lt;'Data Checks'!B254),"BUY",""))</f>
        <v/>
      </c>
      <c r="K47" t="str">
        <f>IF(AND('Data Checks'!C257&gt;'Data Checks'!C256,'Data Checks'!C256&gt;'Data Checks'!C255,'Data Checks'!C255&gt;'Data Checks'!C254),"SELL",IF(AND('Data Checks'!C257&lt;'Data Checks'!C256,'Data Checks'!C256&lt;'Data Checks'!C255,'Data Checks'!C255&lt;'Data Checks'!C254),"BUY",""))</f>
        <v/>
      </c>
      <c r="L47" t="str">
        <f>IF(AND('Data Checks'!D257&gt;'Data Checks'!D256,'Data Checks'!D256&gt;'Data Checks'!D255,'Data Checks'!D255&gt;'Data Checks'!D254),"SELL",IF(AND('Data Checks'!D257&lt;'Data Checks'!D256,'Data Checks'!D256&lt;'Data Checks'!D255,'Data Checks'!D255&lt;'Data Checks'!D254),"BUY",""))</f>
        <v/>
      </c>
      <c r="M47" t="str">
        <f>IF(AND('Data Checks'!E257&gt;'Data Checks'!E256,'Data Checks'!E256&gt;'Data Checks'!E255,'Data Checks'!E255&gt;'Data Checks'!E254),"SELL",IF(AND('Data Checks'!E257&lt;'Data Checks'!E256,'Data Checks'!E256&lt;'Data Checks'!E255,'Data Checks'!E255&lt;'Data Checks'!E254),"BUY",""))</f>
        <v/>
      </c>
      <c r="N47" t="str">
        <f>IF(AND('Data Checks'!F257&gt;'Data Checks'!F256,'Data Checks'!F256&gt;'Data Checks'!F255,'Data Checks'!F255&gt;'Data Checks'!F254),"SELL",IF(AND('Data Checks'!F257&lt;'Data Checks'!F256,'Data Checks'!F256&lt;'Data Checks'!F255,'Data Checks'!F255&lt;'Data Checks'!F254),"BUY",""))</f>
        <v>BUY</v>
      </c>
      <c r="O47">
        <f>IF(J46="BUY",O46*('Data Checks'!B257/'Data Checks'!B256),IF(J46="SELL",O46*('Data Checks'!B256/'Data Checks'!B257),O46))</f>
        <v>181.72858197271833</v>
      </c>
      <c r="P47">
        <f>IF(K46="BUY",P46*('Data Checks'!C257/'Data Checks'!C256),IF(K46="SELL",P46*('Data Checks'!C256/'Data Checks'!C257),P46))</f>
        <v>198.42086940649051</v>
      </c>
      <c r="Q47">
        <f>IF(L46="BUY",Q46*('Data Checks'!D257/'Data Checks'!D256),IF(L46="SELL",Q46*('Data Checks'!D256/'Data Checks'!D257),Q46))</f>
        <v>208.3689692052815</v>
      </c>
      <c r="R47">
        <f>IF(M46="BUY",R46*('Data Checks'!E257/'Data Checks'!E256),IF(M46="SELL",R46*('Data Checks'!E256/'Data Checks'!E257),R46))</f>
        <v>162.59310957763034</v>
      </c>
      <c r="S47">
        <f>IF(N46="BUY",S46*('Data Checks'!F257/'Data Checks'!F256),IF(N46="SELL",S46*('Data Checks'!F256/'Data Checks'!F257),S46))</f>
        <v>176.31713924575456</v>
      </c>
      <c r="T47" s="16">
        <f t="shared" si="10"/>
        <v>927.42866940787519</v>
      </c>
      <c r="U47" s="17">
        <f t="shared" si="14"/>
        <v>-4.1923198715122512E-3</v>
      </c>
      <c r="W47" t="str">
        <f>IF(AND('Data Checks'!B257&gt;'Data Checks'!B256,'Data Checks'!B256&gt;'Data Checks'!B255,'Data Checks'!B255&gt;'Data Checks'!B254),"BUY",IF(AND('Data Checks'!B257&lt;'Data Checks'!B256,'Data Checks'!B256&lt;'Data Checks'!B255,'Data Checks'!B255&lt;'Data Checks'!B254),"SELL",""))</f>
        <v/>
      </c>
      <c r="X47" t="str">
        <f>IF(AND('Data Checks'!C257&gt;'Data Checks'!C256,'Data Checks'!C256&gt;'Data Checks'!C255,'Data Checks'!C255&gt;'Data Checks'!C254),"BUY",IF(AND('Data Checks'!C257&lt;'Data Checks'!C256,'Data Checks'!C256&lt;'Data Checks'!C255,'Data Checks'!C255&lt;'Data Checks'!C254),"SELL",""))</f>
        <v/>
      </c>
      <c r="Y47" t="str">
        <f>IF(AND('Data Checks'!D257&gt;'Data Checks'!D256,'Data Checks'!D256&gt;'Data Checks'!D255,'Data Checks'!D255&gt;'Data Checks'!D254),"BUY",IF(AND('Data Checks'!D257&lt;'Data Checks'!D256,'Data Checks'!D256&lt;'Data Checks'!D255,'Data Checks'!D255&lt;'Data Checks'!D254),"SELL",""))</f>
        <v/>
      </c>
      <c r="Z47" t="str">
        <f>IF(AND('Data Checks'!E257&gt;'Data Checks'!E256,'Data Checks'!E256&gt;'Data Checks'!E255,'Data Checks'!E255&gt;'Data Checks'!E254),"BUY",IF(AND('Data Checks'!E257&lt;'Data Checks'!E256,'Data Checks'!E256&lt;'Data Checks'!E255,'Data Checks'!E255&lt;'Data Checks'!E254),"SELL",""))</f>
        <v/>
      </c>
      <c r="AA47" t="str">
        <f>IF(AND('Data Checks'!F257&gt;'Data Checks'!F256,'Data Checks'!F256&gt;'Data Checks'!F255,'Data Checks'!F255&gt;'Data Checks'!F254),"BUY",IF(AND('Data Checks'!F257&lt;'Data Checks'!F256,'Data Checks'!F256&lt;'Data Checks'!F255,'Data Checks'!F255&lt;'Data Checks'!F254),"SELL",""))</f>
        <v>SELL</v>
      </c>
      <c r="AB47">
        <f>IF(W46="BUY",AB46*('Data Checks'!B257/'Data Checks'!B256),IF(W46="SELL",AB46*('Data Checks'!B256/'Data Checks'!B257),AB46))</f>
        <v>220.1084692665732</v>
      </c>
      <c r="AC47">
        <f>IF(X46="BUY",AC46*('Data Checks'!C257/'Data Checks'!C256),IF(X46="SELL",AC46*('Data Checks'!C256/'Data Checks'!C257),AC46))</f>
        <v>201.59169808925148</v>
      </c>
      <c r="AD47">
        <f>IF(Y46="BUY",AD46*('Data Checks'!D257/'Data Checks'!D256),IF(Y46="SELL",AD46*('Data Checks'!D256/'Data Checks'!D257),AD46))</f>
        <v>191.96716359715097</v>
      </c>
      <c r="AE47">
        <f>IF(Z46="BUY",AE46*('Data Checks'!E257/'Data Checks'!E256),IF(Z46="SELL",AE46*('Data Checks'!E256/'Data Checks'!E257),AE46))</f>
        <v>246.01288519487935</v>
      </c>
      <c r="AF47">
        <f>IF(AA46="BUY",AF46*('Data Checks'!F257/'Data Checks'!F256),IF(AA46="SELL",AF46*('Data Checks'!F256/'Data Checks'!F257),AF46))</f>
        <v>226.86393490225112</v>
      </c>
      <c r="AG47" s="16">
        <f t="shared" si="11"/>
        <v>1086.5441510501059</v>
      </c>
      <c r="AH47" s="17">
        <f t="shared" si="15"/>
        <v>4.544014447183109E-3</v>
      </c>
      <c r="AJ47" t="str">
        <f>IF('Moving Ave'!G257&gt;'Moving Ave'!L257,"SELL","BUY")</f>
        <v>SELL</v>
      </c>
      <c r="AK47" t="str">
        <f>IF('Moving Ave'!H257&gt;'Moving Ave'!M257,"SELL","BUY")</f>
        <v>BUY</v>
      </c>
      <c r="AL47" t="str">
        <f>IF('Moving Ave'!I257&gt;'Moving Ave'!N257,"SELL","BUY")</f>
        <v>SELL</v>
      </c>
      <c r="AM47" t="str">
        <f>IF('Moving Ave'!J257&gt;'Moving Ave'!O257,"SELL","BUY")</f>
        <v>BUY</v>
      </c>
      <c r="AN47" t="str">
        <f>IF('Moving Ave'!K257&gt;'Moving Ave'!P257,"SELL","BUY")</f>
        <v>SELL</v>
      </c>
      <c r="AO47">
        <f>IF(AJ46="BUY",AO46*('Data Checks'!B257/'Data Checks'!B256),AO46*('Data Checks'!B256/'Data Checks'!B257))</f>
        <v>232.02405130300127</v>
      </c>
      <c r="AP47">
        <f>IF(AK46="BUY",AP46*('Data Checks'!C257/'Data Checks'!C256),AP46*('Data Checks'!C256/'Data Checks'!C257))</f>
        <v>165.45593511445097</v>
      </c>
      <c r="AQ47">
        <f>IF(AL46="BUY",AQ46*('Data Checks'!D257/'Data Checks'!D256),AQ46*('Data Checks'!D256/'Data Checks'!D257))</f>
        <v>240.26774698607466</v>
      </c>
      <c r="AR47">
        <f>IF(AM46="BUY",AR46*('Data Checks'!E257/'Data Checks'!E256),AR46*('Data Checks'!E256/'Data Checks'!E257))</f>
        <v>147.17106638195295</v>
      </c>
      <c r="AS47">
        <f>IF(AN46="BUY",AS46*('Data Checks'!F257/'Data Checks'!F256),AS46*('Data Checks'!F256/'Data Checks'!F257))</f>
        <v>244.40558236344108</v>
      </c>
      <c r="AT47" s="16">
        <f t="shared" si="12"/>
        <v>1029.3243821489209</v>
      </c>
      <c r="AU47" s="17">
        <f t="shared" si="16"/>
        <v>1.6293754671350413E-3</v>
      </c>
    </row>
    <row r="48" spans="1:47" x14ac:dyDescent="0.35">
      <c r="A48" s="2">
        <f>Prices!A256</f>
        <v>44259</v>
      </c>
      <c r="B48">
        <f>B47*('Data Checks'!B258/'Data Checks'!B257)</f>
        <v>208.20016181052702</v>
      </c>
      <c r="C48">
        <f>C47*('Data Checks'!C258/'Data Checks'!C257)</f>
        <v>168.80874190522582</v>
      </c>
      <c r="D48">
        <f>D47*('Data Checks'!D258/'Data Checks'!D257)</f>
        <v>171.91518069652997</v>
      </c>
      <c r="E48">
        <f>E47*('Data Checks'!E258/'Data Checks'!E257)</f>
        <v>151.65717269309769</v>
      </c>
      <c r="F48">
        <f>F47*('Data Checks'!F258/'Data Checks'!F257)</f>
        <v>164.99761800187355</v>
      </c>
      <c r="G48" s="16">
        <f t="shared" si="9"/>
        <v>865.57887510725402</v>
      </c>
      <c r="H48" s="17">
        <f t="shared" si="13"/>
        <v>3.0109832634085176E-2</v>
      </c>
      <c r="J48" t="str">
        <f>IF(AND('Data Checks'!B258&gt;'Data Checks'!B257,'Data Checks'!B257&gt;'Data Checks'!B256,'Data Checks'!B256&gt;'Data Checks'!B255),"SELL",IF(AND('Data Checks'!B258&lt;'Data Checks'!B257,'Data Checks'!B257&lt;'Data Checks'!B256,'Data Checks'!B256&lt;'Data Checks'!B255),"BUY",""))</f>
        <v/>
      </c>
      <c r="K48" t="str">
        <f>IF(AND('Data Checks'!C258&gt;'Data Checks'!C257,'Data Checks'!C257&gt;'Data Checks'!C256,'Data Checks'!C256&gt;'Data Checks'!C255),"SELL",IF(AND('Data Checks'!C258&lt;'Data Checks'!C257,'Data Checks'!C257&lt;'Data Checks'!C256,'Data Checks'!C256&lt;'Data Checks'!C255),"BUY",""))</f>
        <v/>
      </c>
      <c r="L48" t="str">
        <f>IF(AND('Data Checks'!D258&gt;'Data Checks'!D257,'Data Checks'!D257&gt;'Data Checks'!D256,'Data Checks'!D256&gt;'Data Checks'!D255),"SELL",IF(AND('Data Checks'!D258&lt;'Data Checks'!D257,'Data Checks'!D257&lt;'Data Checks'!D256,'Data Checks'!D256&lt;'Data Checks'!D255),"BUY",""))</f>
        <v/>
      </c>
      <c r="M48" t="str">
        <f>IF(AND('Data Checks'!E258&gt;'Data Checks'!E257,'Data Checks'!E257&gt;'Data Checks'!E256,'Data Checks'!E256&gt;'Data Checks'!E255),"SELL",IF(AND('Data Checks'!E258&lt;'Data Checks'!E257,'Data Checks'!E257&lt;'Data Checks'!E256,'Data Checks'!E256&lt;'Data Checks'!E255),"BUY",""))</f>
        <v/>
      </c>
      <c r="N48" t="str">
        <f>IF(AND('Data Checks'!F258&gt;'Data Checks'!F257,'Data Checks'!F257&gt;'Data Checks'!F256,'Data Checks'!F256&gt;'Data Checks'!F255),"SELL",IF(AND('Data Checks'!F258&lt;'Data Checks'!F257,'Data Checks'!F257&lt;'Data Checks'!F256,'Data Checks'!F256&lt;'Data Checks'!F255),"BUY",""))</f>
        <v/>
      </c>
      <c r="O48">
        <f>IF(J47="BUY",O47*('Data Checks'!B258/'Data Checks'!B257),IF(J47="SELL",O47*('Data Checks'!B257/'Data Checks'!B258),O47))</f>
        <v>181.72858197271833</v>
      </c>
      <c r="P48">
        <f>IF(K47="BUY",P47*('Data Checks'!C258/'Data Checks'!C257),IF(K47="SELL",P47*('Data Checks'!C257/'Data Checks'!C258),P47))</f>
        <v>198.42086940649051</v>
      </c>
      <c r="Q48">
        <f>IF(L47="BUY",Q47*('Data Checks'!D258/'Data Checks'!D257),IF(L47="SELL",Q47*('Data Checks'!D257/'Data Checks'!D258),Q47))</f>
        <v>208.3689692052815</v>
      </c>
      <c r="R48">
        <f>IF(M47="BUY",R47*('Data Checks'!E258/'Data Checks'!E257),IF(M47="SELL",R47*('Data Checks'!E257/'Data Checks'!E258),R47))</f>
        <v>162.59310957763034</v>
      </c>
      <c r="S48">
        <f>IF(N47="BUY",S47*('Data Checks'!F258/'Data Checks'!F257),IF(N47="SELL",S47*('Data Checks'!F257/'Data Checks'!F258),S47))</f>
        <v>177.75561784954445</v>
      </c>
      <c r="T48" s="16">
        <f t="shared" si="10"/>
        <v>928.86714801166511</v>
      </c>
      <c r="U48" s="17">
        <f t="shared" si="14"/>
        <v>1.5510396122522252E-3</v>
      </c>
      <c r="W48" t="str">
        <f>IF(AND('Data Checks'!B258&gt;'Data Checks'!B257,'Data Checks'!B257&gt;'Data Checks'!B256,'Data Checks'!B256&gt;'Data Checks'!B255),"BUY",IF(AND('Data Checks'!B258&lt;'Data Checks'!B257,'Data Checks'!B257&lt;'Data Checks'!B256,'Data Checks'!B256&lt;'Data Checks'!B255),"SELL",""))</f>
        <v/>
      </c>
      <c r="X48" t="str">
        <f>IF(AND('Data Checks'!C258&gt;'Data Checks'!C257,'Data Checks'!C257&gt;'Data Checks'!C256,'Data Checks'!C256&gt;'Data Checks'!C255),"BUY",IF(AND('Data Checks'!C258&lt;'Data Checks'!C257,'Data Checks'!C257&lt;'Data Checks'!C256,'Data Checks'!C256&lt;'Data Checks'!C255),"SELL",""))</f>
        <v/>
      </c>
      <c r="Y48" t="str">
        <f>IF(AND('Data Checks'!D258&gt;'Data Checks'!D257,'Data Checks'!D257&gt;'Data Checks'!D256,'Data Checks'!D256&gt;'Data Checks'!D255),"BUY",IF(AND('Data Checks'!D258&lt;'Data Checks'!D257,'Data Checks'!D257&lt;'Data Checks'!D256,'Data Checks'!D256&lt;'Data Checks'!D255),"SELL",""))</f>
        <v/>
      </c>
      <c r="Z48" t="str">
        <f>IF(AND('Data Checks'!E258&gt;'Data Checks'!E257,'Data Checks'!E257&gt;'Data Checks'!E256,'Data Checks'!E256&gt;'Data Checks'!E255),"BUY",IF(AND('Data Checks'!E258&lt;'Data Checks'!E257,'Data Checks'!E257&lt;'Data Checks'!E256,'Data Checks'!E256&lt;'Data Checks'!E255),"SELL",""))</f>
        <v/>
      </c>
      <c r="AA48" t="str">
        <f>IF(AND('Data Checks'!F258&gt;'Data Checks'!F257,'Data Checks'!F257&gt;'Data Checks'!F256,'Data Checks'!F256&gt;'Data Checks'!F255),"BUY",IF(AND('Data Checks'!F258&lt;'Data Checks'!F257,'Data Checks'!F257&lt;'Data Checks'!F256,'Data Checks'!F256&lt;'Data Checks'!F255),"SELL",""))</f>
        <v/>
      </c>
      <c r="AB48">
        <f>IF(W47="BUY",AB47*('Data Checks'!B258/'Data Checks'!B257),IF(W47="SELL",AB47*('Data Checks'!B257/'Data Checks'!B258),AB47))</f>
        <v>220.1084692665732</v>
      </c>
      <c r="AC48">
        <f>IF(X47="BUY",AC47*('Data Checks'!C258/'Data Checks'!C257),IF(X47="SELL",AC47*('Data Checks'!C257/'Data Checks'!C258),AC47))</f>
        <v>201.59169808925148</v>
      </c>
      <c r="AD48">
        <f>IF(Y47="BUY",AD47*('Data Checks'!D258/'Data Checks'!D257),IF(Y47="SELL",AD47*('Data Checks'!D257/'Data Checks'!D258),AD47))</f>
        <v>191.96716359715097</v>
      </c>
      <c r="AE48">
        <f>IF(Z47="BUY",AE47*('Data Checks'!E258/'Data Checks'!E257),IF(Z47="SELL",AE47*('Data Checks'!E257/'Data Checks'!E258),AE47))</f>
        <v>246.01288519487935</v>
      </c>
      <c r="AF48">
        <f>IF(AA47="BUY",AF47*('Data Checks'!F258/'Data Checks'!F257),IF(AA47="SELL",AF47*('Data Checks'!F257/'Data Checks'!F258),AF47))</f>
        <v>225.02804965554856</v>
      </c>
      <c r="AG48" s="16">
        <f t="shared" si="11"/>
        <v>1084.7082658034035</v>
      </c>
      <c r="AH48" s="17">
        <f t="shared" si="15"/>
        <v>-1.6896554501978356E-3</v>
      </c>
      <c r="AJ48" t="str">
        <f>IF('Moving Ave'!G258&gt;'Moving Ave'!L258,"SELL","BUY")</f>
        <v>SELL</v>
      </c>
      <c r="AK48" t="str">
        <f>IF('Moving Ave'!H258&gt;'Moving Ave'!M258,"SELL","BUY")</f>
        <v>BUY</v>
      </c>
      <c r="AL48" t="str">
        <f>IF('Moving Ave'!I258&gt;'Moving Ave'!N258,"SELL","BUY")</f>
        <v>SELL</v>
      </c>
      <c r="AM48" t="str">
        <f>IF('Moving Ave'!J258&gt;'Moving Ave'!O258,"SELL","BUY")</f>
        <v>BUY</v>
      </c>
      <c r="AN48" t="str">
        <f>IF('Moving Ave'!K258&gt;'Moving Ave'!P258,"SELL","BUY")</f>
        <v>SELL</v>
      </c>
      <c r="AO48">
        <f>IF(AJ47="BUY",AO47*('Data Checks'!B258/'Data Checks'!B257),AO47*('Data Checks'!B257/'Data Checks'!B258))</f>
        <v>224.17495495076699</v>
      </c>
      <c r="AP48">
        <f>IF(AK47="BUY",AP47*('Data Checks'!C258/'Data Checks'!C257),AP47*('Data Checks'!C257/'Data Checks'!C258))</f>
        <v>168.80874190522582</v>
      </c>
      <c r="AQ48">
        <f>IF(AL47="BUY",AQ47*('Data Checks'!D258/'Data Checks'!D257),AQ47*('Data Checks'!D257/'Data Checks'!D258))</f>
        <v>227.57293827710777</v>
      </c>
      <c r="AR48">
        <f>IF(AM47="BUY",AR47*('Data Checks'!E258/'Data Checks'!E257),AR47*('Data Checks'!E257/'Data Checks'!E258))</f>
        <v>151.65717269309769</v>
      </c>
      <c r="AS48">
        <f>IF(AN47="BUY",AS47*('Data Checks'!F258/'Data Checks'!F257),AS47*('Data Checks'!F257/'Data Checks'!F258))</f>
        <v>242.42774219653171</v>
      </c>
      <c r="AT48" s="16">
        <f t="shared" si="12"/>
        <v>1014.6415500227299</v>
      </c>
      <c r="AU48" s="17">
        <f t="shared" si="16"/>
        <v>-1.4264533494813048E-2</v>
      </c>
    </row>
    <row r="49" spans="1:47" x14ac:dyDescent="0.35">
      <c r="A49" s="2">
        <f>Prices!A257</f>
        <v>44260</v>
      </c>
      <c r="B49">
        <f>B48*('Data Checks'!B259/'Data Checks'!B258)</f>
        <v>202.74182105077517</v>
      </c>
      <c r="C49">
        <f>C48*('Data Checks'!C259/'Data Checks'!C258)</f>
        <v>166.2687367606994</v>
      </c>
      <c r="D49">
        <f>D48*('Data Checks'!D259/'Data Checks'!D258)</f>
        <v>164.53498354541634</v>
      </c>
      <c r="E49">
        <f>E48*('Data Checks'!E259/'Data Checks'!E258)</f>
        <v>146.40106640773129</v>
      </c>
      <c r="F49">
        <f>F48*('Data Checks'!F259/'Data Checks'!F258)</f>
        <v>166.95279494925327</v>
      </c>
      <c r="G49" s="16">
        <f t="shared" si="9"/>
        <v>846.89940271387547</v>
      </c>
      <c r="H49" s="17">
        <f t="shared" si="13"/>
        <v>-2.1580323793211731E-2</v>
      </c>
      <c r="J49" t="str">
        <f>IF(AND('Data Checks'!B259&gt;'Data Checks'!B258,'Data Checks'!B258&gt;'Data Checks'!B257,'Data Checks'!B257&gt;'Data Checks'!B256),"SELL",IF(AND('Data Checks'!B259&lt;'Data Checks'!B258,'Data Checks'!B258&lt;'Data Checks'!B257,'Data Checks'!B257&lt;'Data Checks'!B256),"BUY",""))</f>
        <v/>
      </c>
      <c r="K49" t="str">
        <f>IF(AND('Data Checks'!C259&gt;'Data Checks'!C258,'Data Checks'!C258&gt;'Data Checks'!C257,'Data Checks'!C257&gt;'Data Checks'!C256),"SELL",IF(AND('Data Checks'!C259&lt;'Data Checks'!C258,'Data Checks'!C258&lt;'Data Checks'!C257,'Data Checks'!C257&lt;'Data Checks'!C256),"BUY",""))</f>
        <v/>
      </c>
      <c r="L49" t="str">
        <f>IF(AND('Data Checks'!D259&gt;'Data Checks'!D258,'Data Checks'!D258&gt;'Data Checks'!D257,'Data Checks'!D257&gt;'Data Checks'!D256),"SELL",IF(AND('Data Checks'!D259&lt;'Data Checks'!D258,'Data Checks'!D258&lt;'Data Checks'!D257,'Data Checks'!D257&lt;'Data Checks'!D256),"BUY",""))</f>
        <v/>
      </c>
      <c r="M49" t="str">
        <f>IF(AND('Data Checks'!E259&gt;'Data Checks'!E258,'Data Checks'!E258&gt;'Data Checks'!E257,'Data Checks'!E257&gt;'Data Checks'!E256),"SELL",IF(AND('Data Checks'!E259&lt;'Data Checks'!E258,'Data Checks'!E258&lt;'Data Checks'!E257,'Data Checks'!E257&lt;'Data Checks'!E256),"BUY",""))</f>
        <v/>
      </c>
      <c r="N49" t="str">
        <f>IF(AND('Data Checks'!F259&gt;'Data Checks'!F258,'Data Checks'!F258&gt;'Data Checks'!F257,'Data Checks'!F257&gt;'Data Checks'!F256),"SELL",IF(AND('Data Checks'!F259&lt;'Data Checks'!F258,'Data Checks'!F258&lt;'Data Checks'!F257,'Data Checks'!F257&lt;'Data Checks'!F256),"BUY",""))</f>
        <v/>
      </c>
      <c r="O49">
        <f>IF(J48="BUY",O48*('Data Checks'!B259/'Data Checks'!B258),IF(J48="SELL",O48*('Data Checks'!B258/'Data Checks'!B259),O48))</f>
        <v>181.72858197271833</v>
      </c>
      <c r="P49">
        <f>IF(K48="BUY",P48*('Data Checks'!C259/'Data Checks'!C258),IF(K48="SELL",P48*('Data Checks'!C258/'Data Checks'!C259),P48))</f>
        <v>198.42086940649051</v>
      </c>
      <c r="Q49">
        <f>IF(L48="BUY",Q48*('Data Checks'!D259/'Data Checks'!D258),IF(L48="SELL",Q48*('Data Checks'!D258/'Data Checks'!D259),Q48))</f>
        <v>208.3689692052815</v>
      </c>
      <c r="R49">
        <f>IF(M48="BUY",R48*('Data Checks'!E259/'Data Checks'!E258),IF(M48="SELL",R48*('Data Checks'!E258/'Data Checks'!E259),R48))</f>
        <v>162.59310957763034</v>
      </c>
      <c r="S49">
        <f>IF(N48="BUY",S48*('Data Checks'!F259/'Data Checks'!F258),IF(N48="SELL",S48*('Data Checks'!F258/'Data Checks'!F259),S48))</f>
        <v>177.75561784954445</v>
      </c>
      <c r="T49" s="16">
        <f t="shared" si="10"/>
        <v>928.86714801166511</v>
      </c>
      <c r="U49" s="17">
        <f t="shared" si="14"/>
        <v>0</v>
      </c>
      <c r="W49" t="str">
        <f>IF(AND('Data Checks'!B259&gt;'Data Checks'!B258,'Data Checks'!B258&gt;'Data Checks'!B257,'Data Checks'!B257&gt;'Data Checks'!B256),"BUY",IF(AND('Data Checks'!B259&lt;'Data Checks'!B258,'Data Checks'!B258&lt;'Data Checks'!B257,'Data Checks'!B257&lt;'Data Checks'!B256),"SELL",""))</f>
        <v/>
      </c>
      <c r="X49" t="str">
        <f>IF(AND('Data Checks'!C259&gt;'Data Checks'!C258,'Data Checks'!C258&gt;'Data Checks'!C257,'Data Checks'!C257&gt;'Data Checks'!C256),"BUY",IF(AND('Data Checks'!C259&lt;'Data Checks'!C258,'Data Checks'!C258&lt;'Data Checks'!C257,'Data Checks'!C257&lt;'Data Checks'!C256),"SELL",""))</f>
        <v/>
      </c>
      <c r="Y49" t="str">
        <f>IF(AND('Data Checks'!D259&gt;'Data Checks'!D258,'Data Checks'!D258&gt;'Data Checks'!D257,'Data Checks'!D257&gt;'Data Checks'!D256),"BUY",IF(AND('Data Checks'!D259&lt;'Data Checks'!D258,'Data Checks'!D258&lt;'Data Checks'!D257,'Data Checks'!D257&lt;'Data Checks'!D256),"SELL",""))</f>
        <v/>
      </c>
      <c r="Z49" t="str">
        <f>IF(AND('Data Checks'!E259&gt;'Data Checks'!E258,'Data Checks'!E258&gt;'Data Checks'!E257,'Data Checks'!E257&gt;'Data Checks'!E256),"BUY",IF(AND('Data Checks'!E259&lt;'Data Checks'!E258,'Data Checks'!E258&lt;'Data Checks'!E257,'Data Checks'!E257&lt;'Data Checks'!E256),"SELL",""))</f>
        <v/>
      </c>
      <c r="AA49" t="str">
        <f>IF(AND('Data Checks'!F259&gt;'Data Checks'!F258,'Data Checks'!F258&gt;'Data Checks'!F257,'Data Checks'!F257&gt;'Data Checks'!F256),"BUY",IF(AND('Data Checks'!F259&lt;'Data Checks'!F258,'Data Checks'!F258&lt;'Data Checks'!F257,'Data Checks'!F257&lt;'Data Checks'!F256),"SELL",""))</f>
        <v/>
      </c>
      <c r="AB49">
        <f>IF(W48="BUY",AB48*('Data Checks'!B259/'Data Checks'!B258),IF(W48="SELL",AB48*('Data Checks'!B258/'Data Checks'!B259),AB48))</f>
        <v>220.1084692665732</v>
      </c>
      <c r="AC49">
        <f>IF(X48="BUY",AC48*('Data Checks'!C259/'Data Checks'!C258),IF(X48="SELL",AC48*('Data Checks'!C258/'Data Checks'!C259),AC48))</f>
        <v>201.59169808925148</v>
      </c>
      <c r="AD49">
        <f>IF(Y48="BUY",AD48*('Data Checks'!D259/'Data Checks'!D258),IF(Y48="SELL",AD48*('Data Checks'!D258/'Data Checks'!D259),AD48))</f>
        <v>191.96716359715097</v>
      </c>
      <c r="AE49">
        <f>IF(Z48="BUY",AE48*('Data Checks'!E259/'Data Checks'!E258),IF(Z48="SELL",AE48*('Data Checks'!E258/'Data Checks'!E259),AE48))</f>
        <v>246.01288519487935</v>
      </c>
      <c r="AF49">
        <f>IF(AA48="BUY",AF48*('Data Checks'!F259/'Data Checks'!F258),IF(AA48="SELL",AF48*('Data Checks'!F258/'Data Checks'!F259),AF48))</f>
        <v>225.02804965554856</v>
      </c>
      <c r="AG49" s="16">
        <f t="shared" si="11"/>
        <v>1084.7082658034035</v>
      </c>
      <c r="AH49" s="17">
        <f t="shared" si="15"/>
        <v>0</v>
      </c>
      <c r="AJ49" t="str">
        <f>IF('Moving Ave'!G259&gt;'Moving Ave'!L259,"SELL","BUY")</f>
        <v>SELL</v>
      </c>
      <c r="AK49" t="str">
        <f>IF('Moving Ave'!H259&gt;'Moving Ave'!M259,"SELL","BUY")</f>
        <v>BUY</v>
      </c>
      <c r="AL49" t="str">
        <f>IF('Moving Ave'!I259&gt;'Moving Ave'!N259,"SELL","BUY")</f>
        <v>SELL</v>
      </c>
      <c r="AM49" t="str">
        <f>IF('Moving Ave'!J259&gt;'Moving Ave'!O259,"SELL","BUY")</f>
        <v>BUY</v>
      </c>
      <c r="AN49" t="str">
        <f>IF('Moving Ave'!K259&gt;'Moving Ave'!P259,"SELL","BUY")</f>
        <v>SELL</v>
      </c>
      <c r="AO49">
        <f>IF(AJ48="BUY",AO48*('Data Checks'!B259/'Data Checks'!B258),AO48*('Data Checks'!B258/'Data Checks'!B259))</f>
        <v>230.21033180385771</v>
      </c>
      <c r="AP49">
        <f>IF(AK48="BUY",AP48*('Data Checks'!C259/'Data Checks'!C258),AP48*('Data Checks'!C258/'Data Checks'!C259))</f>
        <v>166.2687367606994</v>
      </c>
      <c r="AQ49">
        <f>IF(AL48="BUY",AQ48*('Data Checks'!D259/'Data Checks'!D258),AQ48*('Data Checks'!D258/'Data Checks'!D259))</f>
        <v>237.78069540299384</v>
      </c>
      <c r="AR49">
        <f>IF(AM48="BUY",AR48*('Data Checks'!E259/'Data Checks'!E258),AR48*('Data Checks'!E258/'Data Checks'!E259))</f>
        <v>146.40106640773129</v>
      </c>
      <c r="AS49">
        <f>IF(AN48="BUY",AS48*('Data Checks'!F259/'Data Checks'!F258),AS48*('Data Checks'!F258/'Data Checks'!F259))</f>
        <v>239.58868141236184</v>
      </c>
      <c r="AT49" s="16">
        <f t="shared" si="12"/>
        <v>1020.249511787644</v>
      </c>
      <c r="AU49" s="17">
        <f t="shared" si="16"/>
        <v>5.5270373707723142E-3</v>
      </c>
    </row>
    <row r="50" spans="1:47" x14ac:dyDescent="0.35">
      <c r="A50" s="2">
        <f>Prices!A258</f>
        <v>44261</v>
      </c>
      <c r="B50">
        <f>B49*('Data Checks'!B260/'Data Checks'!B259)</f>
        <v>200.32454581206346</v>
      </c>
      <c r="C50">
        <f>C49*('Data Checks'!C260/'Data Checks'!C259)</f>
        <v>163.881121764824</v>
      </c>
      <c r="D50">
        <f>D49*('Data Checks'!D260/'Data Checks'!D259)</f>
        <v>154.14927624226542</v>
      </c>
      <c r="E50">
        <f>E49*('Data Checks'!E260/'Data Checks'!E259)</f>
        <v>140.17407967277941</v>
      </c>
      <c r="F50">
        <f>F49*('Data Checks'!F260/'Data Checks'!F259)</f>
        <v>167.66810254174695</v>
      </c>
      <c r="G50" s="16">
        <f t="shared" si="9"/>
        <v>826.19712603367918</v>
      </c>
      <c r="H50" s="17">
        <f t="shared" si="13"/>
        <v>-2.4444788382015803E-2</v>
      </c>
      <c r="J50" t="str">
        <f>IF(AND('Data Checks'!B260&gt;'Data Checks'!B259,'Data Checks'!B259&gt;'Data Checks'!B258,'Data Checks'!B258&gt;'Data Checks'!B257),"SELL",IF(AND('Data Checks'!B260&lt;'Data Checks'!B259,'Data Checks'!B259&lt;'Data Checks'!B258,'Data Checks'!B258&lt;'Data Checks'!B257),"BUY",""))</f>
        <v/>
      </c>
      <c r="K50" t="str">
        <f>IF(AND('Data Checks'!C260&gt;'Data Checks'!C259,'Data Checks'!C259&gt;'Data Checks'!C258,'Data Checks'!C258&gt;'Data Checks'!C257),"SELL",IF(AND('Data Checks'!C260&lt;'Data Checks'!C259,'Data Checks'!C259&lt;'Data Checks'!C258,'Data Checks'!C258&lt;'Data Checks'!C257),"BUY",""))</f>
        <v/>
      </c>
      <c r="L50" t="str">
        <f>IF(AND('Data Checks'!D260&gt;'Data Checks'!D259,'Data Checks'!D259&gt;'Data Checks'!D258,'Data Checks'!D258&gt;'Data Checks'!D257),"SELL",IF(AND('Data Checks'!D260&lt;'Data Checks'!D259,'Data Checks'!D259&lt;'Data Checks'!D258,'Data Checks'!D258&lt;'Data Checks'!D257),"BUY",""))</f>
        <v/>
      </c>
      <c r="M50" t="str">
        <f>IF(AND('Data Checks'!E260&gt;'Data Checks'!E259,'Data Checks'!E259&gt;'Data Checks'!E258,'Data Checks'!E258&gt;'Data Checks'!E257),"SELL",IF(AND('Data Checks'!E260&lt;'Data Checks'!E259,'Data Checks'!E259&lt;'Data Checks'!E258,'Data Checks'!E258&lt;'Data Checks'!E257),"BUY",""))</f>
        <v/>
      </c>
      <c r="N50" t="str">
        <f>IF(AND('Data Checks'!F260&gt;'Data Checks'!F259,'Data Checks'!F259&gt;'Data Checks'!F258,'Data Checks'!F258&gt;'Data Checks'!F257),"SELL",IF(AND('Data Checks'!F260&lt;'Data Checks'!F259,'Data Checks'!F259&lt;'Data Checks'!F258,'Data Checks'!F258&lt;'Data Checks'!F257),"BUY",""))</f>
        <v>SELL</v>
      </c>
      <c r="O50">
        <f>IF(J49="BUY",O49*('Data Checks'!B260/'Data Checks'!B259),IF(J49="SELL",O49*('Data Checks'!B259/'Data Checks'!B260),O49))</f>
        <v>181.72858197271833</v>
      </c>
      <c r="P50">
        <f>IF(K49="BUY",P49*('Data Checks'!C260/'Data Checks'!C259),IF(K49="SELL",P49*('Data Checks'!C259/'Data Checks'!C260),P49))</f>
        <v>198.42086940649051</v>
      </c>
      <c r="Q50">
        <f>IF(L49="BUY",Q49*('Data Checks'!D260/'Data Checks'!D259),IF(L49="SELL",Q49*('Data Checks'!D259/'Data Checks'!D260),Q49))</f>
        <v>208.3689692052815</v>
      </c>
      <c r="R50">
        <f>IF(M49="BUY",R49*('Data Checks'!E260/'Data Checks'!E259),IF(M49="SELL",R49*('Data Checks'!E259/'Data Checks'!E260),R49))</f>
        <v>162.59310957763034</v>
      </c>
      <c r="S50">
        <f>IF(N49="BUY",S49*('Data Checks'!F260/'Data Checks'!F259),IF(N49="SELL",S49*('Data Checks'!F259/'Data Checks'!F260),S49))</f>
        <v>177.75561784954445</v>
      </c>
      <c r="T50" s="16">
        <f t="shared" si="10"/>
        <v>928.86714801166511</v>
      </c>
      <c r="U50" s="17">
        <f t="shared" si="14"/>
        <v>0</v>
      </c>
      <c r="W50" t="str">
        <f>IF(AND('Data Checks'!B260&gt;'Data Checks'!B259,'Data Checks'!B259&gt;'Data Checks'!B258,'Data Checks'!B258&gt;'Data Checks'!B257),"BUY",IF(AND('Data Checks'!B260&lt;'Data Checks'!B259,'Data Checks'!B259&lt;'Data Checks'!B258,'Data Checks'!B258&lt;'Data Checks'!B257),"SELL",""))</f>
        <v/>
      </c>
      <c r="X50" t="str">
        <f>IF(AND('Data Checks'!C260&gt;'Data Checks'!C259,'Data Checks'!C259&gt;'Data Checks'!C258,'Data Checks'!C258&gt;'Data Checks'!C257),"BUY",IF(AND('Data Checks'!C260&lt;'Data Checks'!C259,'Data Checks'!C259&lt;'Data Checks'!C258,'Data Checks'!C258&lt;'Data Checks'!C257),"SELL",""))</f>
        <v/>
      </c>
      <c r="Y50" t="str">
        <f>IF(AND('Data Checks'!D260&gt;'Data Checks'!D259,'Data Checks'!D259&gt;'Data Checks'!D258,'Data Checks'!D258&gt;'Data Checks'!D257),"BUY",IF(AND('Data Checks'!D260&lt;'Data Checks'!D259,'Data Checks'!D259&lt;'Data Checks'!D258,'Data Checks'!D258&lt;'Data Checks'!D257),"SELL",""))</f>
        <v/>
      </c>
      <c r="Z50" t="str">
        <f>IF(AND('Data Checks'!E260&gt;'Data Checks'!E259,'Data Checks'!E259&gt;'Data Checks'!E258,'Data Checks'!E258&gt;'Data Checks'!E257),"BUY",IF(AND('Data Checks'!E260&lt;'Data Checks'!E259,'Data Checks'!E259&lt;'Data Checks'!E258,'Data Checks'!E258&lt;'Data Checks'!E257),"SELL",""))</f>
        <v/>
      </c>
      <c r="AA50" t="str">
        <f>IF(AND('Data Checks'!F260&gt;'Data Checks'!F259,'Data Checks'!F259&gt;'Data Checks'!F258,'Data Checks'!F258&gt;'Data Checks'!F257),"BUY",IF(AND('Data Checks'!F260&lt;'Data Checks'!F259,'Data Checks'!F259&lt;'Data Checks'!F258,'Data Checks'!F258&lt;'Data Checks'!F257),"SELL",""))</f>
        <v>BUY</v>
      </c>
      <c r="AB50">
        <f>IF(W49="BUY",AB49*('Data Checks'!B260/'Data Checks'!B259),IF(W49="SELL",AB49*('Data Checks'!B259/'Data Checks'!B260),AB49))</f>
        <v>220.1084692665732</v>
      </c>
      <c r="AC50">
        <f>IF(X49="BUY",AC49*('Data Checks'!C260/'Data Checks'!C259),IF(X49="SELL",AC49*('Data Checks'!C259/'Data Checks'!C260),AC49))</f>
        <v>201.59169808925148</v>
      </c>
      <c r="AD50">
        <f>IF(Y49="BUY",AD49*('Data Checks'!D260/'Data Checks'!D259),IF(Y49="SELL",AD49*('Data Checks'!D259/'Data Checks'!D260),AD49))</f>
        <v>191.96716359715097</v>
      </c>
      <c r="AE50">
        <f>IF(Z49="BUY",AE49*('Data Checks'!E260/'Data Checks'!E259),IF(Z49="SELL",AE49*('Data Checks'!E259/'Data Checks'!E260),AE49))</f>
        <v>246.01288519487935</v>
      </c>
      <c r="AF50">
        <f>IF(AA49="BUY",AF49*('Data Checks'!F260/'Data Checks'!F259),IF(AA49="SELL",AF49*('Data Checks'!F259/'Data Checks'!F260),AF49))</f>
        <v>225.02804965554856</v>
      </c>
      <c r="AG50" s="16">
        <f t="shared" si="11"/>
        <v>1084.7082658034035</v>
      </c>
      <c r="AH50" s="17">
        <f t="shared" si="15"/>
        <v>0</v>
      </c>
      <c r="AJ50" t="str">
        <f>IF('Moving Ave'!G260&gt;'Moving Ave'!L260,"SELL","BUY")</f>
        <v>SELL</v>
      </c>
      <c r="AK50" t="str">
        <f>IF('Moving Ave'!H260&gt;'Moving Ave'!M260,"SELL","BUY")</f>
        <v>BUY</v>
      </c>
      <c r="AL50" t="str">
        <f>IF('Moving Ave'!I260&gt;'Moving Ave'!N260,"SELL","BUY")</f>
        <v>SELL</v>
      </c>
      <c r="AM50" t="str">
        <f>IF('Moving Ave'!J260&gt;'Moving Ave'!O260,"SELL","BUY")</f>
        <v>BUY</v>
      </c>
      <c r="AN50" t="str">
        <f>IF('Moving Ave'!K260&gt;'Moving Ave'!P260,"SELL","BUY")</f>
        <v>SELL</v>
      </c>
      <c r="AO50">
        <f>IF(AJ49="BUY",AO49*('Data Checks'!B260/'Data Checks'!B259),AO49*('Data Checks'!B259/'Data Checks'!B260))</f>
        <v>232.98823269717684</v>
      </c>
      <c r="AP50">
        <f>IF(AK49="BUY",AP49*('Data Checks'!C260/'Data Checks'!C259),AP49*('Data Checks'!C259/'Data Checks'!C260))</f>
        <v>163.881121764824</v>
      </c>
      <c r="AQ50">
        <f>IF(AL49="BUY",AQ49*('Data Checks'!D260/'Data Checks'!D259),AQ49*('Data Checks'!D259/'Data Checks'!D260))</f>
        <v>253.80101521892348</v>
      </c>
      <c r="AR50">
        <f>IF(AM49="BUY",AR49*('Data Checks'!E260/'Data Checks'!E259),AR49*('Data Checks'!E259/'Data Checks'!E260))</f>
        <v>140.17407967277941</v>
      </c>
      <c r="AS50">
        <f>IF(AN49="BUY",AS49*('Data Checks'!F260/'Data Checks'!F259),AS49*('Data Checks'!F259/'Data Checks'!F260))</f>
        <v>238.56654541695303</v>
      </c>
      <c r="AT50" s="16">
        <f t="shared" si="12"/>
        <v>1029.4109947706568</v>
      </c>
      <c r="AU50" s="17">
        <f t="shared" si="16"/>
        <v>8.9796494653160419E-3</v>
      </c>
    </row>
    <row r="51" spans="1:47" x14ac:dyDescent="0.35">
      <c r="A51" s="2">
        <f>Prices!A259</f>
        <v>44264</v>
      </c>
      <c r="B51">
        <f>B50*('Data Checks'!B261/'Data Checks'!B260)</f>
        <v>189.73661629951047</v>
      </c>
      <c r="C51">
        <f>C50*('Data Checks'!C261/'Data Checks'!C260)</f>
        <v>154.68631838166922</v>
      </c>
      <c r="D51">
        <f>D50*('Data Checks'!D261/'Data Checks'!D260)</f>
        <v>139.62264718020782</v>
      </c>
      <c r="E51">
        <f>E50*('Data Checks'!E261/'Data Checks'!E260)</f>
        <v>116.10310960485072</v>
      </c>
      <c r="F51">
        <f>F50*('Data Checks'!F261/'Data Checks'!F260)</f>
        <v>163.56700281688617</v>
      </c>
      <c r="G51" s="16">
        <f t="shared" si="9"/>
        <v>763.71569428312444</v>
      </c>
      <c r="H51" s="17">
        <f t="shared" si="13"/>
        <v>-7.562533175406827E-2</v>
      </c>
      <c r="J51" t="str">
        <f>IF(AND('Data Checks'!B261&gt;'Data Checks'!B260,'Data Checks'!B260&gt;'Data Checks'!B259,'Data Checks'!B259&gt;'Data Checks'!B258),"SELL",IF(AND('Data Checks'!B261&lt;'Data Checks'!B260,'Data Checks'!B260&lt;'Data Checks'!B259,'Data Checks'!B259&lt;'Data Checks'!B258),"BUY",""))</f>
        <v>BUY</v>
      </c>
      <c r="K51" t="str">
        <f>IF(AND('Data Checks'!C261&gt;'Data Checks'!C260,'Data Checks'!C260&gt;'Data Checks'!C259,'Data Checks'!C259&gt;'Data Checks'!C258),"SELL",IF(AND('Data Checks'!C261&lt;'Data Checks'!C260,'Data Checks'!C260&lt;'Data Checks'!C259,'Data Checks'!C259&lt;'Data Checks'!C258),"BUY",""))</f>
        <v>BUY</v>
      </c>
      <c r="L51" t="str">
        <f>IF(AND('Data Checks'!D261&gt;'Data Checks'!D260,'Data Checks'!D260&gt;'Data Checks'!D259,'Data Checks'!D259&gt;'Data Checks'!D258),"SELL",IF(AND('Data Checks'!D261&lt;'Data Checks'!D260,'Data Checks'!D260&lt;'Data Checks'!D259,'Data Checks'!D259&lt;'Data Checks'!D258),"BUY",""))</f>
        <v>BUY</v>
      </c>
      <c r="M51" t="str">
        <f>IF(AND('Data Checks'!E261&gt;'Data Checks'!E260,'Data Checks'!E260&gt;'Data Checks'!E259,'Data Checks'!E259&gt;'Data Checks'!E258),"SELL",IF(AND('Data Checks'!E261&lt;'Data Checks'!E260,'Data Checks'!E260&lt;'Data Checks'!E259,'Data Checks'!E259&lt;'Data Checks'!E258),"BUY",""))</f>
        <v>BUY</v>
      </c>
      <c r="N51" t="str">
        <f>IF(AND('Data Checks'!F261&gt;'Data Checks'!F260,'Data Checks'!F260&gt;'Data Checks'!F259,'Data Checks'!F259&gt;'Data Checks'!F258),"SELL",IF(AND('Data Checks'!F261&lt;'Data Checks'!F260,'Data Checks'!F260&lt;'Data Checks'!F259,'Data Checks'!F259&lt;'Data Checks'!F258),"BUY",""))</f>
        <v/>
      </c>
      <c r="O51">
        <f>IF(J50="BUY",O50*('Data Checks'!B261/'Data Checks'!B260),IF(J50="SELL",O50*('Data Checks'!B260/'Data Checks'!B261),O50))</f>
        <v>181.72858197271833</v>
      </c>
      <c r="P51">
        <f>IF(K50="BUY",P50*('Data Checks'!C261/'Data Checks'!C260),IF(K50="SELL",P50*('Data Checks'!C260/'Data Checks'!C261),P50))</f>
        <v>198.42086940649051</v>
      </c>
      <c r="Q51">
        <f>IF(L50="BUY",Q50*('Data Checks'!D261/'Data Checks'!D260),IF(L50="SELL",Q50*('Data Checks'!D260/'Data Checks'!D261),Q50))</f>
        <v>208.3689692052815</v>
      </c>
      <c r="R51">
        <f>IF(M50="BUY",R50*('Data Checks'!E261/'Data Checks'!E260),IF(M50="SELL",R50*('Data Checks'!E260/'Data Checks'!E261),R50))</f>
        <v>162.59310957763034</v>
      </c>
      <c r="S51">
        <f>IF(N50="BUY",S50*('Data Checks'!F261/'Data Checks'!F260),IF(N50="SELL",S50*('Data Checks'!F260/'Data Checks'!F261),S50))</f>
        <v>182.21246735403363</v>
      </c>
      <c r="T51" s="16">
        <f t="shared" si="10"/>
        <v>933.32399751615424</v>
      </c>
      <c r="U51" s="17">
        <f t="shared" si="14"/>
        <v>4.7981560269727552E-3</v>
      </c>
      <c r="W51" t="str">
        <f>IF(AND('Data Checks'!B261&gt;'Data Checks'!B260,'Data Checks'!B260&gt;'Data Checks'!B259,'Data Checks'!B259&gt;'Data Checks'!B258),"BUY",IF(AND('Data Checks'!B261&lt;'Data Checks'!B260,'Data Checks'!B260&lt;'Data Checks'!B259,'Data Checks'!B259&lt;'Data Checks'!B258),"SELL",""))</f>
        <v>SELL</v>
      </c>
      <c r="X51" t="str">
        <f>IF(AND('Data Checks'!C261&gt;'Data Checks'!C260,'Data Checks'!C260&gt;'Data Checks'!C259,'Data Checks'!C259&gt;'Data Checks'!C258),"BUY",IF(AND('Data Checks'!C261&lt;'Data Checks'!C260,'Data Checks'!C260&lt;'Data Checks'!C259,'Data Checks'!C259&lt;'Data Checks'!C258),"SELL",""))</f>
        <v>SELL</v>
      </c>
      <c r="Y51" t="str">
        <f>IF(AND('Data Checks'!D261&gt;'Data Checks'!D260,'Data Checks'!D260&gt;'Data Checks'!D259,'Data Checks'!D259&gt;'Data Checks'!D258),"BUY",IF(AND('Data Checks'!D261&lt;'Data Checks'!D260,'Data Checks'!D260&lt;'Data Checks'!D259,'Data Checks'!D259&lt;'Data Checks'!D258),"SELL",""))</f>
        <v>SELL</v>
      </c>
      <c r="Z51" t="str">
        <f>IF(AND('Data Checks'!E261&gt;'Data Checks'!E260,'Data Checks'!E260&gt;'Data Checks'!E259,'Data Checks'!E259&gt;'Data Checks'!E258),"BUY",IF(AND('Data Checks'!E261&lt;'Data Checks'!E260,'Data Checks'!E260&lt;'Data Checks'!E259,'Data Checks'!E259&lt;'Data Checks'!E258),"SELL",""))</f>
        <v>SELL</v>
      </c>
      <c r="AA51" t="str">
        <f>IF(AND('Data Checks'!F261&gt;'Data Checks'!F260,'Data Checks'!F260&gt;'Data Checks'!F259,'Data Checks'!F259&gt;'Data Checks'!F258),"BUY",IF(AND('Data Checks'!F261&lt;'Data Checks'!F260,'Data Checks'!F260&lt;'Data Checks'!F259,'Data Checks'!F259&lt;'Data Checks'!F258),"SELL",""))</f>
        <v/>
      </c>
      <c r="AB51">
        <f>IF(W50="BUY",AB50*('Data Checks'!B261/'Data Checks'!B260),IF(W50="SELL",AB50*('Data Checks'!B260/'Data Checks'!B261),AB50))</f>
        <v>220.1084692665732</v>
      </c>
      <c r="AC51">
        <f>IF(X50="BUY",AC50*('Data Checks'!C261/'Data Checks'!C260),IF(X50="SELL",AC50*('Data Checks'!C260/'Data Checks'!C261),AC50))</f>
        <v>201.59169808925148</v>
      </c>
      <c r="AD51">
        <f>IF(Y50="BUY",AD50*('Data Checks'!D261/'Data Checks'!D260),IF(Y50="SELL",AD50*('Data Checks'!D260/'Data Checks'!D261),AD50))</f>
        <v>191.96716359715097</v>
      </c>
      <c r="AE51">
        <f>IF(Z50="BUY",AE50*('Data Checks'!E261/'Data Checks'!E260),IF(Z50="SELL",AE50*('Data Checks'!E260/'Data Checks'!E261),AE50))</f>
        <v>246.01288519487935</v>
      </c>
      <c r="AF51">
        <f>IF(AA50="BUY",AF50*('Data Checks'!F261/'Data Checks'!F260),IF(AA50="SELL",AF50*('Data Checks'!F260/'Data Checks'!F261),AF50))</f>
        <v>219.5239468563978</v>
      </c>
      <c r="AG51" s="16">
        <f t="shared" si="11"/>
        <v>1079.2041630042527</v>
      </c>
      <c r="AH51" s="17">
        <f t="shared" si="15"/>
        <v>-5.0742701726109729E-3</v>
      </c>
      <c r="AJ51" t="str">
        <f>IF('Moving Ave'!G261&gt;'Moving Ave'!L261,"SELL","BUY")</f>
        <v>SELL</v>
      </c>
      <c r="AK51" t="str">
        <f>IF('Moving Ave'!H261&gt;'Moving Ave'!M261,"SELL","BUY")</f>
        <v>BUY</v>
      </c>
      <c r="AL51" t="str">
        <f>IF('Moving Ave'!I261&gt;'Moving Ave'!N261,"SELL","BUY")</f>
        <v>SELL</v>
      </c>
      <c r="AM51" t="str">
        <f>IF('Moving Ave'!J261&gt;'Moving Ave'!O261,"SELL","BUY")</f>
        <v>BUY</v>
      </c>
      <c r="AN51" t="str">
        <f>IF('Moving Ave'!K261&gt;'Moving Ave'!P261,"SELL","BUY")</f>
        <v>BUY</v>
      </c>
      <c r="AO51">
        <f>IF(AJ50="BUY",AO50*('Data Checks'!B261/'Data Checks'!B260),AO50*('Data Checks'!B260/'Data Checks'!B261))</f>
        <v>245.98974517886836</v>
      </c>
      <c r="AP51">
        <f>IF(AK50="BUY",AP50*('Data Checks'!C261/'Data Checks'!C260),AP50*('Data Checks'!C260/'Data Checks'!C261))</f>
        <v>154.68631838166922</v>
      </c>
      <c r="AQ51">
        <f>IF(AL50="BUY",AQ50*('Data Checks'!D261/'Data Checks'!D260),AQ50*('Data Checks'!D260/'Data Checks'!D261))</f>
        <v>280.20699790238007</v>
      </c>
      <c r="AR51">
        <f>IF(AM50="BUY",AR50*('Data Checks'!E261/'Data Checks'!E260),AR50*('Data Checks'!E260/'Data Checks'!E261))</f>
        <v>116.10310960485072</v>
      </c>
      <c r="AS51">
        <f>IF(AN50="BUY",AS50*('Data Checks'!F261/'Data Checks'!F260),AS50*('Data Checks'!F260/'Data Checks'!F261))</f>
        <v>244.54810145772581</v>
      </c>
      <c r="AT51" s="16">
        <f t="shared" si="12"/>
        <v>1041.5342725254941</v>
      </c>
      <c r="AU51" s="17">
        <f t="shared" si="16"/>
        <v>1.177690719879898E-2</v>
      </c>
    </row>
    <row r="52" spans="1:47" x14ac:dyDescent="0.35">
      <c r="A52" s="2">
        <f>Prices!A260</f>
        <v>44265</v>
      </c>
      <c r="B52">
        <f>B51*('Data Checks'!B262/'Data Checks'!B261)</f>
        <v>199.34773115343054</v>
      </c>
      <c r="C52">
        <f>C51*('Data Checks'!C262/'Data Checks'!C261)</f>
        <v>160.88392585430341</v>
      </c>
      <c r="D52">
        <f>D51*('Data Checks'!D262/'Data Checks'!D261)</f>
        <v>152.94706884199479</v>
      </c>
      <c r="E52">
        <f>E51*('Data Checks'!E262/'Data Checks'!E261)</f>
        <v>123.73618266701769</v>
      </c>
      <c r="F52">
        <f>F51*('Data Checks'!F262/'Data Checks'!F261)</f>
        <v>146.87649232536717</v>
      </c>
      <c r="G52" s="16">
        <f t="shared" si="9"/>
        <v>783.7914008421136</v>
      </c>
      <c r="H52" s="17">
        <f t="shared" si="13"/>
        <v>2.6286884909224817E-2</v>
      </c>
      <c r="J52" t="str">
        <f>IF(AND('Data Checks'!B262&gt;'Data Checks'!B261,'Data Checks'!B261&gt;'Data Checks'!B260,'Data Checks'!B260&gt;'Data Checks'!B259),"SELL",IF(AND('Data Checks'!B262&lt;'Data Checks'!B261,'Data Checks'!B261&lt;'Data Checks'!B260,'Data Checks'!B260&lt;'Data Checks'!B259),"BUY",""))</f>
        <v/>
      </c>
      <c r="K52" t="str">
        <f>IF(AND('Data Checks'!C262&gt;'Data Checks'!C261,'Data Checks'!C261&gt;'Data Checks'!C260,'Data Checks'!C260&gt;'Data Checks'!C259),"SELL",IF(AND('Data Checks'!C262&lt;'Data Checks'!C261,'Data Checks'!C261&lt;'Data Checks'!C260,'Data Checks'!C260&lt;'Data Checks'!C259),"BUY",""))</f>
        <v/>
      </c>
      <c r="L52" t="str">
        <f>IF(AND('Data Checks'!D262&gt;'Data Checks'!D261,'Data Checks'!D261&gt;'Data Checks'!D260,'Data Checks'!D260&gt;'Data Checks'!D259),"SELL",IF(AND('Data Checks'!D262&lt;'Data Checks'!D261,'Data Checks'!D261&lt;'Data Checks'!D260,'Data Checks'!D260&lt;'Data Checks'!D259),"BUY",""))</f>
        <v/>
      </c>
      <c r="M52" t="str">
        <f>IF(AND('Data Checks'!E262&gt;'Data Checks'!E261,'Data Checks'!E261&gt;'Data Checks'!E260,'Data Checks'!E260&gt;'Data Checks'!E259),"SELL",IF(AND('Data Checks'!E262&lt;'Data Checks'!E261,'Data Checks'!E261&lt;'Data Checks'!E260,'Data Checks'!E260&lt;'Data Checks'!E259),"BUY",""))</f>
        <v/>
      </c>
      <c r="N52" t="str">
        <f>IF(AND('Data Checks'!F262&gt;'Data Checks'!F261,'Data Checks'!F261&gt;'Data Checks'!F260,'Data Checks'!F260&gt;'Data Checks'!F259),"SELL",IF(AND('Data Checks'!F262&lt;'Data Checks'!F261,'Data Checks'!F261&lt;'Data Checks'!F260,'Data Checks'!F260&lt;'Data Checks'!F259),"BUY",""))</f>
        <v/>
      </c>
      <c r="O52">
        <f>IF(J51="BUY",O51*('Data Checks'!B262/'Data Checks'!B261),IF(J51="SELL",O51*('Data Checks'!B261/'Data Checks'!B262),O51))</f>
        <v>190.93404957114271</v>
      </c>
      <c r="P52">
        <f>IF(K51="BUY",P51*('Data Checks'!C262/'Data Checks'!C261),IF(K51="SELL",P51*('Data Checks'!C261/'Data Checks'!C262),P51))</f>
        <v>206.37072997480541</v>
      </c>
      <c r="Q52">
        <f>IF(L51="BUY",Q51*('Data Checks'!D262/'Data Checks'!D261),IF(L51="SELL",Q51*('Data Checks'!D261/'Data Checks'!D262),Q51))</f>
        <v>228.25396682561487</v>
      </c>
      <c r="R52">
        <f>IF(M51="BUY",R51*('Data Checks'!E262/'Data Checks'!E261),IF(M51="SELL",R51*('Data Checks'!E261/'Data Checks'!E262),R51))</f>
        <v>173.2826172836248</v>
      </c>
      <c r="S52">
        <f>IF(N51="BUY",S51*('Data Checks'!F262/'Data Checks'!F261),IF(N51="SELL",S51*('Data Checks'!F261/'Data Checks'!F262),S51))</f>
        <v>182.21246735403363</v>
      </c>
      <c r="T52" s="16">
        <f t="shared" si="10"/>
        <v>981.05383100922131</v>
      </c>
      <c r="U52" s="17">
        <f t="shared" si="14"/>
        <v>5.1139618846284929E-2</v>
      </c>
      <c r="W52" t="str">
        <f>IF(AND('Data Checks'!B262&gt;'Data Checks'!B261,'Data Checks'!B261&gt;'Data Checks'!B260,'Data Checks'!B260&gt;'Data Checks'!B259),"BUY",IF(AND('Data Checks'!B262&lt;'Data Checks'!B261,'Data Checks'!B261&lt;'Data Checks'!B260,'Data Checks'!B260&lt;'Data Checks'!B259),"SELL",""))</f>
        <v/>
      </c>
      <c r="X52" t="str">
        <f>IF(AND('Data Checks'!C262&gt;'Data Checks'!C261,'Data Checks'!C261&gt;'Data Checks'!C260,'Data Checks'!C260&gt;'Data Checks'!C259),"BUY",IF(AND('Data Checks'!C262&lt;'Data Checks'!C261,'Data Checks'!C261&lt;'Data Checks'!C260,'Data Checks'!C260&lt;'Data Checks'!C259),"SELL",""))</f>
        <v/>
      </c>
      <c r="Y52" t="str">
        <f>IF(AND('Data Checks'!D262&gt;'Data Checks'!D261,'Data Checks'!D261&gt;'Data Checks'!D260,'Data Checks'!D260&gt;'Data Checks'!D259),"BUY",IF(AND('Data Checks'!D262&lt;'Data Checks'!D261,'Data Checks'!D261&lt;'Data Checks'!D260,'Data Checks'!D260&lt;'Data Checks'!D259),"SELL",""))</f>
        <v/>
      </c>
      <c r="Z52" t="str">
        <f>IF(AND('Data Checks'!E262&gt;'Data Checks'!E261,'Data Checks'!E261&gt;'Data Checks'!E260,'Data Checks'!E260&gt;'Data Checks'!E259),"BUY",IF(AND('Data Checks'!E262&lt;'Data Checks'!E261,'Data Checks'!E261&lt;'Data Checks'!E260,'Data Checks'!E260&lt;'Data Checks'!E259),"SELL",""))</f>
        <v/>
      </c>
      <c r="AA52" t="str">
        <f>IF(AND('Data Checks'!F262&gt;'Data Checks'!F261,'Data Checks'!F261&gt;'Data Checks'!F260,'Data Checks'!F260&gt;'Data Checks'!F259),"BUY",IF(AND('Data Checks'!F262&lt;'Data Checks'!F261,'Data Checks'!F261&lt;'Data Checks'!F260,'Data Checks'!F260&lt;'Data Checks'!F259),"SELL",""))</f>
        <v/>
      </c>
      <c r="AB52">
        <f>IF(W51="BUY",AB51*('Data Checks'!B262/'Data Checks'!B261),IF(W51="SELL",AB51*('Data Checks'!B261/'Data Checks'!B262),AB51))</f>
        <v>209.49642083140259</v>
      </c>
      <c r="AC52">
        <f>IF(X51="BUY",AC51*('Data Checks'!C262/'Data Checks'!C261),IF(X51="SELL",AC51*('Data Checks'!C261/'Data Checks'!C262),AC51))</f>
        <v>193.82593648277251</v>
      </c>
      <c r="AD52">
        <f>IF(Y51="BUY",AD51*('Data Checks'!D262/'Data Checks'!D261),IF(Y51="SELL",AD51*('Data Checks'!D261/'Data Checks'!D262),AD51))</f>
        <v>175.24339469885243</v>
      </c>
      <c r="AE52">
        <f>IF(Z51="BUY",AE51*('Data Checks'!E262/'Data Checks'!E261),IF(Z51="SELL",AE51*('Data Checks'!E261/'Data Checks'!E262),AE51))</f>
        <v>230.83677189922042</v>
      </c>
      <c r="AF52">
        <f>IF(AA51="BUY",AF51*('Data Checks'!F262/'Data Checks'!F261),IF(AA51="SELL",AF51*('Data Checks'!F261/'Data Checks'!F262),AF51))</f>
        <v>219.5239468563978</v>
      </c>
      <c r="AG52" s="16">
        <f t="shared" si="11"/>
        <v>1028.9264707686457</v>
      </c>
      <c r="AH52" s="17">
        <f t="shared" si="15"/>
        <v>-4.658774860138204E-2</v>
      </c>
      <c r="AJ52" t="str">
        <f>IF('Moving Ave'!G262&gt;'Moving Ave'!L262,"SELL","BUY")</f>
        <v>SELL</v>
      </c>
      <c r="AK52" t="str">
        <f>IF('Moving Ave'!H262&gt;'Moving Ave'!M262,"SELL","BUY")</f>
        <v>BUY</v>
      </c>
      <c r="AL52" t="str">
        <f>IF('Moving Ave'!I262&gt;'Moving Ave'!N262,"SELL","BUY")</f>
        <v>BUY</v>
      </c>
      <c r="AM52" t="str">
        <f>IF('Moving Ave'!J262&gt;'Moving Ave'!O262,"SELL","BUY")</f>
        <v>BUY</v>
      </c>
      <c r="AN52" t="str">
        <f>IF('Moving Ave'!K262&gt;'Moving Ave'!P262,"SELL","BUY")</f>
        <v>BUY</v>
      </c>
      <c r="AO52">
        <f>IF(AJ51="BUY",AO51*('Data Checks'!B262/'Data Checks'!B261),AO51*('Data Checks'!B261/'Data Checks'!B262))</f>
        <v>234.1298876318518</v>
      </c>
      <c r="AP52">
        <f>IF(AK51="BUY",AP51*('Data Checks'!C262/'Data Checks'!C261),AP51*('Data Checks'!C261/'Data Checks'!C262))</f>
        <v>160.88392585430341</v>
      </c>
      <c r="AQ52">
        <f>IF(AL51="BUY",AQ51*('Data Checks'!D262/'Data Checks'!D261),AQ51*('Data Checks'!D261/'Data Checks'!D262))</f>
        <v>255.79596328169154</v>
      </c>
      <c r="AR52">
        <f>IF(AM51="BUY",AR51*('Data Checks'!E262/'Data Checks'!E261),AR51*('Data Checks'!E261/'Data Checks'!E262))</f>
        <v>123.73618266701769</v>
      </c>
      <c r="AS52">
        <f>IF(AN51="BUY",AS51*('Data Checks'!F262/'Data Checks'!F261),AS51*('Data Checks'!F261/'Data Checks'!F262))</f>
        <v>219.59421355387624</v>
      </c>
      <c r="AT52" s="16">
        <f t="shared" si="12"/>
        <v>994.14017298874069</v>
      </c>
      <c r="AU52" s="17">
        <f t="shared" si="16"/>
        <v>-4.550411905489482E-2</v>
      </c>
    </row>
    <row r="53" spans="1:47" x14ac:dyDescent="0.35">
      <c r="A53" s="2">
        <f>Prices!A261</f>
        <v>44266</v>
      </c>
      <c r="B53">
        <f>B52*('Data Checks'!B263/'Data Checks'!B262)</f>
        <v>191.87043012486538</v>
      </c>
      <c r="C53">
        <f>C52*('Data Checks'!C263/'Data Checks'!C262)</f>
        <v>157.02311803462325</v>
      </c>
      <c r="D53">
        <f>D52*('Data Checks'!D263/'Data Checks'!D262)</f>
        <v>142.62815065333362</v>
      </c>
      <c r="E53">
        <f>E52*('Data Checks'!E263/'Data Checks'!E262)</f>
        <v>115.4670265996978</v>
      </c>
      <c r="F53">
        <f>F52*('Data Checks'!F263/'Data Checks'!F262)</f>
        <v>150.73915618606338</v>
      </c>
      <c r="G53" s="16">
        <f t="shared" si="9"/>
        <v>757.72788159858339</v>
      </c>
      <c r="H53" s="17">
        <f t="shared" si="13"/>
        <v>-3.3253132422130793E-2</v>
      </c>
      <c r="J53" t="str">
        <f>IF(AND('Data Checks'!B263&gt;'Data Checks'!B262,'Data Checks'!B262&gt;'Data Checks'!B261,'Data Checks'!B261&gt;'Data Checks'!B260),"SELL",IF(AND('Data Checks'!B263&lt;'Data Checks'!B262,'Data Checks'!B262&lt;'Data Checks'!B261,'Data Checks'!B261&lt;'Data Checks'!B260),"BUY",""))</f>
        <v/>
      </c>
      <c r="K53" t="str">
        <f>IF(AND('Data Checks'!C263&gt;'Data Checks'!C262,'Data Checks'!C262&gt;'Data Checks'!C261,'Data Checks'!C261&gt;'Data Checks'!C260),"SELL",IF(AND('Data Checks'!C263&lt;'Data Checks'!C262,'Data Checks'!C262&lt;'Data Checks'!C261,'Data Checks'!C261&lt;'Data Checks'!C260),"BUY",""))</f>
        <v/>
      </c>
      <c r="L53" t="str">
        <f>IF(AND('Data Checks'!D263&gt;'Data Checks'!D262,'Data Checks'!D262&gt;'Data Checks'!D261,'Data Checks'!D261&gt;'Data Checks'!D260),"SELL",IF(AND('Data Checks'!D263&lt;'Data Checks'!D262,'Data Checks'!D262&lt;'Data Checks'!D261,'Data Checks'!D261&lt;'Data Checks'!D260),"BUY",""))</f>
        <v/>
      </c>
      <c r="M53" t="str">
        <f>IF(AND('Data Checks'!E263&gt;'Data Checks'!E262,'Data Checks'!E262&gt;'Data Checks'!E261,'Data Checks'!E261&gt;'Data Checks'!E260),"SELL",IF(AND('Data Checks'!E263&lt;'Data Checks'!E262,'Data Checks'!E262&lt;'Data Checks'!E261,'Data Checks'!E261&lt;'Data Checks'!E260),"BUY",""))</f>
        <v/>
      </c>
      <c r="N53" t="str">
        <f>IF(AND('Data Checks'!F263&gt;'Data Checks'!F262,'Data Checks'!F262&gt;'Data Checks'!F261,'Data Checks'!F261&gt;'Data Checks'!F260),"SELL",IF(AND('Data Checks'!F263&lt;'Data Checks'!F262,'Data Checks'!F262&lt;'Data Checks'!F261,'Data Checks'!F261&lt;'Data Checks'!F260),"BUY",""))</f>
        <v/>
      </c>
      <c r="O53">
        <f>IF(J52="BUY",O52*('Data Checks'!B263/'Data Checks'!B262),IF(J52="SELL",O52*('Data Checks'!B262/'Data Checks'!B263),O52))</f>
        <v>190.93404957114271</v>
      </c>
      <c r="P53">
        <f>IF(K52="BUY",P52*('Data Checks'!C263/'Data Checks'!C262),IF(K52="SELL",P52*('Data Checks'!C262/'Data Checks'!C263),P52))</f>
        <v>206.37072997480541</v>
      </c>
      <c r="Q53">
        <f>IF(L52="BUY",Q52*('Data Checks'!D263/'Data Checks'!D262),IF(L52="SELL",Q52*('Data Checks'!D262/'Data Checks'!D263),Q52))</f>
        <v>228.25396682561487</v>
      </c>
      <c r="R53">
        <f>IF(M52="BUY",R52*('Data Checks'!E263/'Data Checks'!E262),IF(M52="SELL",R52*('Data Checks'!E262/'Data Checks'!E263),R52))</f>
        <v>173.2826172836248</v>
      </c>
      <c r="S53">
        <f>IF(N52="BUY",S52*('Data Checks'!F263/'Data Checks'!F262),IF(N52="SELL",S52*('Data Checks'!F262/'Data Checks'!F263),S52))</f>
        <v>182.21246735403363</v>
      </c>
      <c r="T53" s="16">
        <f t="shared" si="10"/>
        <v>981.05383100922131</v>
      </c>
      <c r="U53" s="17">
        <f t="shared" si="14"/>
        <v>0</v>
      </c>
      <c r="W53" t="str">
        <f>IF(AND('Data Checks'!B263&gt;'Data Checks'!B262,'Data Checks'!B262&gt;'Data Checks'!B261,'Data Checks'!B261&gt;'Data Checks'!B260),"BUY",IF(AND('Data Checks'!B263&lt;'Data Checks'!B262,'Data Checks'!B262&lt;'Data Checks'!B261,'Data Checks'!B261&lt;'Data Checks'!B260),"SELL",""))</f>
        <v/>
      </c>
      <c r="X53" t="str">
        <f>IF(AND('Data Checks'!C263&gt;'Data Checks'!C262,'Data Checks'!C262&gt;'Data Checks'!C261,'Data Checks'!C261&gt;'Data Checks'!C260),"BUY",IF(AND('Data Checks'!C263&lt;'Data Checks'!C262,'Data Checks'!C262&lt;'Data Checks'!C261,'Data Checks'!C261&lt;'Data Checks'!C260),"SELL",""))</f>
        <v/>
      </c>
      <c r="Y53" t="str">
        <f>IF(AND('Data Checks'!D263&gt;'Data Checks'!D262,'Data Checks'!D262&gt;'Data Checks'!D261,'Data Checks'!D261&gt;'Data Checks'!D260),"BUY",IF(AND('Data Checks'!D263&lt;'Data Checks'!D262,'Data Checks'!D262&lt;'Data Checks'!D261,'Data Checks'!D261&lt;'Data Checks'!D260),"SELL",""))</f>
        <v/>
      </c>
      <c r="Z53" t="str">
        <f>IF(AND('Data Checks'!E263&gt;'Data Checks'!E262,'Data Checks'!E262&gt;'Data Checks'!E261,'Data Checks'!E261&gt;'Data Checks'!E260),"BUY",IF(AND('Data Checks'!E263&lt;'Data Checks'!E262,'Data Checks'!E262&lt;'Data Checks'!E261,'Data Checks'!E261&lt;'Data Checks'!E260),"SELL",""))</f>
        <v/>
      </c>
      <c r="AA53" t="str">
        <f>IF(AND('Data Checks'!F263&gt;'Data Checks'!F262,'Data Checks'!F262&gt;'Data Checks'!F261,'Data Checks'!F261&gt;'Data Checks'!F260),"BUY",IF(AND('Data Checks'!F263&lt;'Data Checks'!F262,'Data Checks'!F262&lt;'Data Checks'!F261,'Data Checks'!F261&lt;'Data Checks'!F260),"SELL",""))</f>
        <v/>
      </c>
      <c r="AB53">
        <f>IF(W52="BUY",AB52*('Data Checks'!B263/'Data Checks'!B262),IF(W52="SELL",AB52*('Data Checks'!B262/'Data Checks'!B263),AB52))</f>
        <v>209.49642083140259</v>
      </c>
      <c r="AC53">
        <f>IF(X52="BUY",AC52*('Data Checks'!C263/'Data Checks'!C262),IF(X52="SELL",AC52*('Data Checks'!C262/'Data Checks'!C263),AC52))</f>
        <v>193.82593648277251</v>
      </c>
      <c r="AD53">
        <f>IF(Y52="BUY",AD52*('Data Checks'!D263/'Data Checks'!D262),IF(Y52="SELL",AD52*('Data Checks'!D262/'Data Checks'!D263),AD52))</f>
        <v>175.24339469885243</v>
      </c>
      <c r="AE53">
        <f>IF(Z52="BUY",AE52*('Data Checks'!E263/'Data Checks'!E262),IF(Z52="SELL",AE52*('Data Checks'!E262/'Data Checks'!E263),AE52))</f>
        <v>230.83677189922042</v>
      </c>
      <c r="AF53">
        <f>IF(AA52="BUY",AF52*('Data Checks'!F263/'Data Checks'!F262),IF(AA52="SELL",AF52*('Data Checks'!F262/'Data Checks'!F263),AF52))</f>
        <v>219.5239468563978</v>
      </c>
      <c r="AG53" s="16">
        <f t="shared" si="11"/>
        <v>1028.9264707686457</v>
      </c>
      <c r="AH53" s="17">
        <f t="shared" si="15"/>
        <v>0</v>
      </c>
      <c r="AJ53" t="str">
        <f>IF('Moving Ave'!G263&gt;'Moving Ave'!L263,"SELL","BUY")</f>
        <v>SELL</v>
      </c>
      <c r="AK53" t="str">
        <f>IF('Moving Ave'!H263&gt;'Moving Ave'!M263,"SELL","BUY")</f>
        <v>BUY</v>
      </c>
      <c r="AL53" t="str">
        <f>IF('Moving Ave'!I263&gt;'Moving Ave'!N263,"SELL","BUY")</f>
        <v>BUY</v>
      </c>
      <c r="AM53" t="str">
        <f>IF('Moving Ave'!J263&gt;'Moving Ave'!O263,"SELL","BUY")</f>
        <v>BUY</v>
      </c>
      <c r="AN53" t="str">
        <f>IF('Moving Ave'!K263&gt;'Moving Ave'!P263,"SELL","BUY")</f>
        <v>BUY</v>
      </c>
      <c r="AO53">
        <f>IF(AJ52="BUY",AO52*('Data Checks'!B263/'Data Checks'!B262),AO52*('Data Checks'!B262/'Data Checks'!B263))</f>
        <v>243.25406402770497</v>
      </c>
      <c r="AP53">
        <f>IF(AK52="BUY",AP52*('Data Checks'!C263/'Data Checks'!C262),AP52*('Data Checks'!C262/'Data Checks'!C263))</f>
        <v>157.02311803462325</v>
      </c>
      <c r="AQ53">
        <f>IF(AL52="BUY",AQ52*('Data Checks'!D263/'Data Checks'!D262),AQ52*('Data Checks'!D262/'Data Checks'!D263))</f>
        <v>238.53811298041913</v>
      </c>
      <c r="AR53">
        <f>IF(AM52="BUY",AR52*('Data Checks'!E263/'Data Checks'!E262),AR52*('Data Checks'!E262/'Data Checks'!E263))</f>
        <v>115.4670265996978</v>
      </c>
      <c r="AS53">
        <f>IF(AN52="BUY",AS52*('Data Checks'!F263/'Data Checks'!F262),AS52*('Data Checks'!F262/'Data Checks'!F263))</f>
        <v>225.36926046086225</v>
      </c>
      <c r="AT53" s="16">
        <f t="shared" si="12"/>
        <v>979.65158210330742</v>
      </c>
      <c r="AU53" s="17">
        <f t="shared" si="16"/>
        <v>-1.4573991957165799E-2</v>
      </c>
    </row>
    <row r="54" spans="1:47" x14ac:dyDescent="0.35">
      <c r="A54" s="2">
        <f>Prices!A262</f>
        <v>44267</v>
      </c>
      <c r="B54">
        <f>B53*('Data Checks'!B264/'Data Checks'!B263)</f>
        <v>176.67029954178167</v>
      </c>
      <c r="C54">
        <f>C53*('Data Checks'!C264/'Data Checks'!C263)</f>
        <v>145.03428867244827</v>
      </c>
      <c r="D54">
        <f>D53*('Data Checks'!D264/'Data Checks'!D263)</f>
        <v>129.77125279297465</v>
      </c>
      <c r="E54">
        <f>E53*('Data Checks'!E264/'Data Checks'!E263)</f>
        <v>98.192162765578757</v>
      </c>
      <c r="F54">
        <f>F53*('Data Checks'!F264/'Data Checks'!F263)</f>
        <v>148.30710751035451</v>
      </c>
      <c r="G54" s="16">
        <f t="shared" si="9"/>
        <v>697.97511128313784</v>
      </c>
      <c r="H54" s="17">
        <f t="shared" si="13"/>
        <v>-7.8857821873183243E-2</v>
      </c>
      <c r="J54" t="str">
        <f>IF(AND('Data Checks'!B264&gt;'Data Checks'!B263,'Data Checks'!B263&gt;'Data Checks'!B262,'Data Checks'!B262&gt;'Data Checks'!B261),"SELL",IF(AND('Data Checks'!B264&lt;'Data Checks'!B263,'Data Checks'!B263&lt;'Data Checks'!B262,'Data Checks'!B262&lt;'Data Checks'!B261),"BUY",""))</f>
        <v/>
      </c>
      <c r="K54" t="str">
        <f>IF(AND('Data Checks'!C264&gt;'Data Checks'!C263,'Data Checks'!C263&gt;'Data Checks'!C262,'Data Checks'!C262&gt;'Data Checks'!C261),"SELL",IF(AND('Data Checks'!C264&lt;'Data Checks'!C263,'Data Checks'!C263&lt;'Data Checks'!C262,'Data Checks'!C262&lt;'Data Checks'!C261),"BUY",""))</f>
        <v/>
      </c>
      <c r="L54" t="str">
        <f>IF(AND('Data Checks'!D264&gt;'Data Checks'!D263,'Data Checks'!D263&gt;'Data Checks'!D262,'Data Checks'!D262&gt;'Data Checks'!D261),"SELL",IF(AND('Data Checks'!D264&lt;'Data Checks'!D263,'Data Checks'!D263&lt;'Data Checks'!D262,'Data Checks'!D262&lt;'Data Checks'!D261),"BUY",""))</f>
        <v/>
      </c>
      <c r="M54" t="str">
        <f>IF(AND('Data Checks'!E264&gt;'Data Checks'!E263,'Data Checks'!E263&gt;'Data Checks'!E262,'Data Checks'!E262&gt;'Data Checks'!E261),"SELL",IF(AND('Data Checks'!E264&lt;'Data Checks'!E263,'Data Checks'!E263&lt;'Data Checks'!E262,'Data Checks'!E262&lt;'Data Checks'!E261),"BUY",""))</f>
        <v/>
      </c>
      <c r="N54" t="str">
        <f>IF(AND('Data Checks'!F264&gt;'Data Checks'!F263,'Data Checks'!F263&gt;'Data Checks'!F262,'Data Checks'!F262&gt;'Data Checks'!F261),"SELL",IF(AND('Data Checks'!F264&lt;'Data Checks'!F263,'Data Checks'!F263&lt;'Data Checks'!F262,'Data Checks'!F262&lt;'Data Checks'!F261),"BUY",""))</f>
        <v/>
      </c>
      <c r="O54">
        <f>IF(J53="BUY",O53*('Data Checks'!B264/'Data Checks'!B263),IF(J53="SELL",O53*('Data Checks'!B263/'Data Checks'!B264),O53))</f>
        <v>190.93404957114271</v>
      </c>
      <c r="P54">
        <f>IF(K53="BUY",P53*('Data Checks'!C264/'Data Checks'!C263),IF(K53="SELL",P53*('Data Checks'!C263/'Data Checks'!C264),P53))</f>
        <v>206.37072997480541</v>
      </c>
      <c r="Q54">
        <f>IF(L53="BUY",Q53*('Data Checks'!D264/'Data Checks'!D263),IF(L53="SELL",Q53*('Data Checks'!D263/'Data Checks'!D264),Q53))</f>
        <v>228.25396682561487</v>
      </c>
      <c r="R54">
        <f>IF(M53="BUY",R53*('Data Checks'!E264/'Data Checks'!E263),IF(M53="SELL",R53*('Data Checks'!E263/'Data Checks'!E264),R53))</f>
        <v>173.2826172836248</v>
      </c>
      <c r="S54">
        <f>IF(N53="BUY",S53*('Data Checks'!F264/'Data Checks'!F263),IF(N53="SELL",S53*('Data Checks'!F263/'Data Checks'!F264),S53))</f>
        <v>182.21246735403363</v>
      </c>
      <c r="T54" s="16">
        <f t="shared" si="10"/>
        <v>981.05383100922131</v>
      </c>
      <c r="U54" s="17">
        <f t="shared" si="14"/>
        <v>0</v>
      </c>
      <c r="W54" t="str">
        <f>IF(AND('Data Checks'!B264&gt;'Data Checks'!B263,'Data Checks'!B263&gt;'Data Checks'!B262,'Data Checks'!B262&gt;'Data Checks'!B261),"BUY",IF(AND('Data Checks'!B264&lt;'Data Checks'!B263,'Data Checks'!B263&lt;'Data Checks'!B262,'Data Checks'!B262&lt;'Data Checks'!B261),"SELL",""))</f>
        <v/>
      </c>
      <c r="X54" t="str">
        <f>IF(AND('Data Checks'!C264&gt;'Data Checks'!C263,'Data Checks'!C263&gt;'Data Checks'!C262,'Data Checks'!C262&gt;'Data Checks'!C261),"BUY",IF(AND('Data Checks'!C264&lt;'Data Checks'!C263,'Data Checks'!C263&lt;'Data Checks'!C262,'Data Checks'!C262&lt;'Data Checks'!C261),"SELL",""))</f>
        <v/>
      </c>
      <c r="Y54" t="str">
        <f>IF(AND('Data Checks'!D264&gt;'Data Checks'!D263,'Data Checks'!D263&gt;'Data Checks'!D262,'Data Checks'!D262&gt;'Data Checks'!D261),"BUY",IF(AND('Data Checks'!D264&lt;'Data Checks'!D263,'Data Checks'!D263&lt;'Data Checks'!D262,'Data Checks'!D262&lt;'Data Checks'!D261),"SELL",""))</f>
        <v/>
      </c>
      <c r="Z54" t="str">
        <f>IF(AND('Data Checks'!E264&gt;'Data Checks'!E263,'Data Checks'!E263&gt;'Data Checks'!E262,'Data Checks'!E262&gt;'Data Checks'!E261),"BUY",IF(AND('Data Checks'!E264&lt;'Data Checks'!E263,'Data Checks'!E263&lt;'Data Checks'!E262,'Data Checks'!E262&lt;'Data Checks'!E261),"SELL",""))</f>
        <v/>
      </c>
      <c r="AA54" t="str">
        <f>IF(AND('Data Checks'!F264&gt;'Data Checks'!F263,'Data Checks'!F263&gt;'Data Checks'!F262,'Data Checks'!F262&gt;'Data Checks'!F261),"BUY",IF(AND('Data Checks'!F264&lt;'Data Checks'!F263,'Data Checks'!F263&lt;'Data Checks'!F262,'Data Checks'!F262&lt;'Data Checks'!F261),"SELL",""))</f>
        <v/>
      </c>
      <c r="AB54">
        <f>IF(W53="BUY",AB53*('Data Checks'!B264/'Data Checks'!B263),IF(W53="SELL",AB53*('Data Checks'!B263/'Data Checks'!B264),AB53))</f>
        <v>209.49642083140259</v>
      </c>
      <c r="AC54">
        <f>IF(X53="BUY",AC53*('Data Checks'!C264/'Data Checks'!C263),IF(X53="SELL",AC53*('Data Checks'!C263/'Data Checks'!C264),AC53))</f>
        <v>193.82593648277251</v>
      </c>
      <c r="AD54">
        <f>IF(Y53="BUY",AD53*('Data Checks'!D264/'Data Checks'!D263),IF(Y53="SELL",AD53*('Data Checks'!D263/'Data Checks'!D264),AD53))</f>
        <v>175.24339469885243</v>
      </c>
      <c r="AE54">
        <f>IF(Z53="BUY",AE53*('Data Checks'!E264/'Data Checks'!E263),IF(Z53="SELL",AE53*('Data Checks'!E263/'Data Checks'!E264),AE53))</f>
        <v>230.83677189922042</v>
      </c>
      <c r="AF54">
        <f>IF(AA53="BUY",AF53*('Data Checks'!F264/'Data Checks'!F263),IF(AA53="SELL",AF53*('Data Checks'!F263/'Data Checks'!F264),AF53))</f>
        <v>219.5239468563978</v>
      </c>
      <c r="AG54" s="16">
        <f t="shared" si="11"/>
        <v>1028.9264707686457</v>
      </c>
      <c r="AH54" s="17">
        <f t="shared" si="15"/>
        <v>0</v>
      </c>
      <c r="AJ54" t="str">
        <f>IF('Moving Ave'!G264&gt;'Moving Ave'!L264,"SELL","BUY")</f>
        <v>SELL</v>
      </c>
      <c r="AK54" t="str">
        <f>IF('Moving Ave'!H264&gt;'Moving Ave'!M264,"SELL","BUY")</f>
        <v>BUY</v>
      </c>
      <c r="AL54" t="str">
        <f>IF('Moving Ave'!I264&gt;'Moving Ave'!N264,"SELL","BUY")</f>
        <v>BUY</v>
      </c>
      <c r="AM54" t="str">
        <f>IF('Moving Ave'!J264&gt;'Moving Ave'!O264,"SELL","BUY")</f>
        <v>BUY</v>
      </c>
      <c r="AN54" t="str">
        <f>IF('Moving Ave'!K264&gt;'Moving Ave'!P264,"SELL","BUY")</f>
        <v>BUY</v>
      </c>
      <c r="AO54">
        <f>IF(AJ53="BUY",AO53*('Data Checks'!B264/'Data Checks'!B263),AO53*('Data Checks'!B263/'Data Checks'!B264))</f>
        <v>264.18284236609497</v>
      </c>
      <c r="AP54">
        <f>IF(AK53="BUY",AP53*('Data Checks'!C264/'Data Checks'!C263),AP53*('Data Checks'!C263/'Data Checks'!C264))</f>
        <v>145.03428867244827</v>
      </c>
      <c r="AQ54">
        <f>IF(AL53="BUY",AQ53*('Data Checks'!D264/'Data Checks'!D263),AQ53*('Data Checks'!D263/'Data Checks'!D264))</f>
        <v>217.03562458423843</v>
      </c>
      <c r="AR54">
        <f>IF(AM53="BUY",AR53*('Data Checks'!E264/'Data Checks'!E263),AR53*('Data Checks'!E263/'Data Checks'!E264))</f>
        <v>98.192162765578757</v>
      </c>
      <c r="AS54">
        <f>IF(AN53="BUY",AS53*('Data Checks'!F264/'Data Checks'!F263),AS53*('Data Checks'!F263/'Data Checks'!F264))</f>
        <v>221.7331182313491</v>
      </c>
      <c r="AT54" s="16">
        <f t="shared" si="12"/>
        <v>946.17803661970959</v>
      </c>
      <c r="AU54" s="17">
        <f t="shared" si="16"/>
        <v>-3.4168827055564233E-2</v>
      </c>
    </row>
    <row r="55" spans="1:47" x14ac:dyDescent="0.35">
      <c r="A55" s="2">
        <f>Prices!A263</f>
        <v>44268</v>
      </c>
      <c r="B55">
        <f>B54*('Data Checks'!B265/'Data Checks'!B264)</f>
        <v>188.09173719795081</v>
      </c>
      <c r="C55">
        <f>C54*('Data Checks'!C265/'Data Checks'!C264)</f>
        <v>151.8923076426799</v>
      </c>
      <c r="D55">
        <f>D54*('Data Checks'!D265/'Data Checks'!D264)</f>
        <v>146.60211298383894</v>
      </c>
      <c r="E55">
        <f>E54*('Data Checks'!E265/'Data Checks'!E264)</f>
        <v>100.70304316360753</v>
      </c>
      <c r="F55">
        <f>F54*('Data Checks'!F265/'Data Checks'!F264)</f>
        <v>129.70911010551907</v>
      </c>
      <c r="G55" s="16">
        <f t="shared" si="9"/>
        <v>716.99831109359616</v>
      </c>
      <c r="H55" s="17">
        <f t="shared" si="13"/>
        <v>2.7254839754223603E-2</v>
      </c>
      <c r="J55" t="str">
        <f>IF(AND('Data Checks'!B265&gt;'Data Checks'!B264,'Data Checks'!B264&gt;'Data Checks'!B263,'Data Checks'!B263&gt;'Data Checks'!B262),"SELL",IF(AND('Data Checks'!B265&lt;'Data Checks'!B264,'Data Checks'!B264&lt;'Data Checks'!B263,'Data Checks'!B263&lt;'Data Checks'!B262),"BUY",""))</f>
        <v/>
      </c>
      <c r="K55" t="str">
        <f>IF(AND('Data Checks'!C265&gt;'Data Checks'!C264,'Data Checks'!C264&gt;'Data Checks'!C263,'Data Checks'!C263&gt;'Data Checks'!C262),"SELL",IF(AND('Data Checks'!C265&lt;'Data Checks'!C264,'Data Checks'!C264&lt;'Data Checks'!C263,'Data Checks'!C263&lt;'Data Checks'!C262),"BUY",""))</f>
        <v/>
      </c>
      <c r="L55" t="str">
        <f>IF(AND('Data Checks'!D265&gt;'Data Checks'!D264,'Data Checks'!D264&gt;'Data Checks'!D263,'Data Checks'!D263&gt;'Data Checks'!D262),"SELL",IF(AND('Data Checks'!D265&lt;'Data Checks'!D264,'Data Checks'!D264&lt;'Data Checks'!D263,'Data Checks'!D263&lt;'Data Checks'!D262),"BUY",""))</f>
        <v/>
      </c>
      <c r="M55" t="str">
        <f>IF(AND('Data Checks'!E265&gt;'Data Checks'!E264,'Data Checks'!E264&gt;'Data Checks'!E263,'Data Checks'!E263&gt;'Data Checks'!E262),"SELL",IF(AND('Data Checks'!E265&lt;'Data Checks'!E264,'Data Checks'!E264&lt;'Data Checks'!E263,'Data Checks'!E263&lt;'Data Checks'!E262),"BUY",""))</f>
        <v/>
      </c>
      <c r="N55" t="str">
        <f>IF(AND('Data Checks'!F265&gt;'Data Checks'!F264,'Data Checks'!F264&gt;'Data Checks'!F263,'Data Checks'!F263&gt;'Data Checks'!F262),"SELL",IF(AND('Data Checks'!F265&lt;'Data Checks'!F264,'Data Checks'!F264&lt;'Data Checks'!F263,'Data Checks'!F263&lt;'Data Checks'!F262),"BUY",""))</f>
        <v/>
      </c>
      <c r="O55">
        <f>IF(J54="BUY",O54*('Data Checks'!B265/'Data Checks'!B264),IF(J54="SELL",O54*('Data Checks'!B264/'Data Checks'!B265),O54))</f>
        <v>190.93404957114271</v>
      </c>
      <c r="P55">
        <f>IF(K54="BUY",P54*('Data Checks'!C265/'Data Checks'!C264),IF(K54="SELL",P54*('Data Checks'!C264/'Data Checks'!C265),P54))</f>
        <v>206.37072997480541</v>
      </c>
      <c r="Q55">
        <f>IF(L54="BUY",Q54*('Data Checks'!D265/'Data Checks'!D264),IF(L54="SELL",Q54*('Data Checks'!D264/'Data Checks'!D265),Q54))</f>
        <v>228.25396682561487</v>
      </c>
      <c r="R55">
        <f>IF(M54="BUY",R54*('Data Checks'!E265/'Data Checks'!E264),IF(M54="SELL",R54*('Data Checks'!E264/'Data Checks'!E265),R54))</f>
        <v>173.2826172836248</v>
      </c>
      <c r="S55">
        <f>IF(N54="BUY",S54*('Data Checks'!F265/'Data Checks'!F264),IF(N54="SELL",S54*('Data Checks'!F264/'Data Checks'!F265),S54))</f>
        <v>182.21246735403363</v>
      </c>
      <c r="T55" s="16">
        <f t="shared" si="10"/>
        <v>981.05383100922131</v>
      </c>
      <c r="U55" s="17">
        <f t="shared" si="14"/>
        <v>0</v>
      </c>
      <c r="W55" t="str">
        <f>IF(AND('Data Checks'!B265&gt;'Data Checks'!B264,'Data Checks'!B264&gt;'Data Checks'!B263,'Data Checks'!B263&gt;'Data Checks'!B262),"BUY",IF(AND('Data Checks'!B265&lt;'Data Checks'!B264,'Data Checks'!B264&lt;'Data Checks'!B263,'Data Checks'!B263&lt;'Data Checks'!B262),"SELL",""))</f>
        <v/>
      </c>
      <c r="X55" t="str">
        <f>IF(AND('Data Checks'!C265&gt;'Data Checks'!C264,'Data Checks'!C264&gt;'Data Checks'!C263,'Data Checks'!C263&gt;'Data Checks'!C262),"BUY",IF(AND('Data Checks'!C265&lt;'Data Checks'!C264,'Data Checks'!C264&lt;'Data Checks'!C263,'Data Checks'!C263&lt;'Data Checks'!C262),"SELL",""))</f>
        <v/>
      </c>
      <c r="Y55" t="str">
        <f>IF(AND('Data Checks'!D265&gt;'Data Checks'!D264,'Data Checks'!D264&gt;'Data Checks'!D263,'Data Checks'!D263&gt;'Data Checks'!D262),"BUY",IF(AND('Data Checks'!D265&lt;'Data Checks'!D264,'Data Checks'!D264&lt;'Data Checks'!D263,'Data Checks'!D263&lt;'Data Checks'!D262),"SELL",""))</f>
        <v/>
      </c>
      <c r="Z55" t="str">
        <f>IF(AND('Data Checks'!E265&gt;'Data Checks'!E264,'Data Checks'!E264&gt;'Data Checks'!E263,'Data Checks'!E263&gt;'Data Checks'!E262),"BUY",IF(AND('Data Checks'!E265&lt;'Data Checks'!E264,'Data Checks'!E264&lt;'Data Checks'!E263,'Data Checks'!E263&lt;'Data Checks'!E262),"SELL",""))</f>
        <v/>
      </c>
      <c r="AA55" t="str">
        <f>IF(AND('Data Checks'!F265&gt;'Data Checks'!F264,'Data Checks'!F264&gt;'Data Checks'!F263,'Data Checks'!F263&gt;'Data Checks'!F262),"BUY",IF(AND('Data Checks'!F265&lt;'Data Checks'!F264,'Data Checks'!F264&lt;'Data Checks'!F263,'Data Checks'!F263&lt;'Data Checks'!F262),"SELL",""))</f>
        <v/>
      </c>
      <c r="AB55">
        <f>IF(W54="BUY",AB54*('Data Checks'!B265/'Data Checks'!B264),IF(W54="SELL",AB54*('Data Checks'!B264/'Data Checks'!B265),AB54))</f>
        <v>209.49642083140259</v>
      </c>
      <c r="AC55">
        <f>IF(X54="BUY",AC54*('Data Checks'!C265/'Data Checks'!C264),IF(X54="SELL",AC54*('Data Checks'!C264/'Data Checks'!C265),AC54))</f>
        <v>193.82593648277251</v>
      </c>
      <c r="AD55">
        <f>IF(Y54="BUY",AD54*('Data Checks'!D265/'Data Checks'!D264),IF(Y54="SELL",AD54*('Data Checks'!D264/'Data Checks'!D265),AD54))</f>
        <v>175.24339469885243</v>
      </c>
      <c r="AE55">
        <f>IF(Z54="BUY",AE54*('Data Checks'!E265/'Data Checks'!E264),IF(Z54="SELL",AE54*('Data Checks'!E264/'Data Checks'!E265),AE54))</f>
        <v>230.83677189922042</v>
      </c>
      <c r="AF55">
        <f>IF(AA54="BUY",AF54*('Data Checks'!F265/'Data Checks'!F264),IF(AA54="SELL",AF54*('Data Checks'!F264/'Data Checks'!F265),AF54))</f>
        <v>219.5239468563978</v>
      </c>
      <c r="AG55" s="16">
        <f t="shared" si="11"/>
        <v>1028.9264707686457</v>
      </c>
      <c r="AH55" s="17">
        <f t="shared" si="15"/>
        <v>0</v>
      </c>
      <c r="AJ55" t="str">
        <f>IF('Moving Ave'!G265&gt;'Moving Ave'!L265,"SELL","BUY")</f>
        <v>SELL</v>
      </c>
      <c r="AK55" t="str">
        <f>IF('Moving Ave'!H265&gt;'Moving Ave'!M265,"SELL","BUY")</f>
        <v>BUY</v>
      </c>
      <c r="AL55" t="str">
        <f>IF('Moving Ave'!I265&gt;'Moving Ave'!N265,"SELL","BUY")</f>
        <v>BUY</v>
      </c>
      <c r="AM55" t="str">
        <f>IF('Moving Ave'!J265&gt;'Moving Ave'!O265,"SELL","BUY")</f>
        <v>BUY</v>
      </c>
      <c r="AN55" t="str">
        <f>IF('Moving Ave'!K265&gt;'Moving Ave'!P265,"SELL","BUY")</f>
        <v>BUY</v>
      </c>
      <c r="AO55">
        <f>IF(AJ54="BUY",AO54*('Data Checks'!B265/'Data Checks'!B264),AO54*('Data Checks'!B264/'Data Checks'!B265))</f>
        <v>248.14094754995847</v>
      </c>
      <c r="AP55">
        <f>IF(AK54="BUY",AP54*('Data Checks'!C265/'Data Checks'!C264),AP54*('Data Checks'!C264/'Data Checks'!C265))</f>
        <v>151.8923076426799</v>
      </c>
      <c r="AQ55">
        <f>IF(AL54="BUY",AQ54*('Data Checks'!D265/'Data Checks'!D264),AQ54*('Data Checks'!D264/'Data Checks'!D265))</f>
        <v>245.18435687429132</v>
      </c>
      <c r="AR55">
        <f>IF(AM54="BUY",AR54*('Data Checks'!E265/'Data Checks'!E264),AR54*('Data Checks'!E264/'Data Checks'!E265))</f>
        <v>100.70304316360753</v>
      </c>
      <c r="AS55">
        <f>IF(AN54="BUY",AS54*('Data Checks'!F265/'Data Checks'!F264),AS54*('Data Checks'!F264/'Data Checks'!F265))</f>
        <v>193.92735742420243</v>
      </c>
      <c r="AT55" s="16">
        <f t="shared" si="12"/>
        <v>939.84801265473959</v>
      </c>
      <c r="AU55" s="17">
        <f t="shared" si="16"/>
        <v>-6.6900981844647545E-3</v>
      </c>
    </row>
    <row r="56" spans="1:47" x14ac:dyDescent="0.35">
      <c r="A56" s="2">
        <f>Prices!A264</f>
        <v>44271</v>
      </c>
      <c r="B56">
        <f>B55*('Data Checks'!B266/'Data Checks'!B265)</f>
        <v>177.99168762023547</v>
      </c>
      <c r="C56">
        <f>C55*('Data Checks'!C266/'Data Checks'!C265)</f>
        <v>142.95148445393662</v>
      </c>
      <c r="D56">
        <f>D55*('Data Checks'!D266/'Data Checks'!D265)</f>
        <v>134.44648078888767</v>
      </c>
      <c r="E56">
        <f>E55*('Data Checks'!E266/'Data Checks'!E265)</f>
        <v>84.767322237451552</v>
      </c>
      <c r="F56">
        <f>F55*('Data Checks'!F266/'Data Checks'!F265)</f>
        <v>129.51836427541781</v>
      </c>
      <c r="G56" s="16">
        <f t="shared" si="9"/>
        <v>669.67533937592907</v>
      </c>
      <c r="H56" s="17">
        <f t="shared" si="13"/>
        <v>-6.6001510722512147E-2</v>
      </c>
      <c r="J56" t="str">
        <f>IF(AND('Data Checks'!B266&gt;'Data Checks'!B265,'Data Checks'!B265&gt;'Data Checks'!B264,'Data Checks'!B264&gt;'Data Checks'!B263),"SELL",IF(AND('Data Checks'!B266&lt;'Data Checks'!B265,'Data Checks'!B265&lt;'Data Checks'!B264,'Data Checks'!B264&lt;'Data Checks'!B263),"BUY",""))</f>
        <v/>
      </c>
      <c r="K56" t="str">
        <f>IF(AND('Data Checks'!C266&gt;'Data Checks'!C265,'Data Checks'!C265&gt;'Data Checks'!C264,'Data Checks'!C264&gt;'Data Checks'!C263),"SELL",IF(AND('Data Checks'!C266&lt;'Data Checks'!C265,'Data Checks'!C265&lt;'Data Checks'!C264,'Data Checks'!C264&lt;'Data Checks'!C263),"BUY",""))</f>
        <v/>
      </c>
      <c r="L56" t="str">
        <f>IF(AND('Data Checks'!D266&gt;'Data Checks'!D265,'Data Checks'!D265&gt;'Data Checks'!D264,'Data Checks'!D264&gt;'Data Checks'!D263),"SELL",IF(AND('Data Checks'!D266&lt;'Data Checks'!D265,'Data Checks'!D265&lt;'Data Checks'!D264,'Data Checks'!D264&lt;'Data Checks'!D263),"BUY",""))</f>
        <v/>
      </c>
      <c r="M56" t="str">
        <f>IF(AND('Data Checks'!E266&gt;'Data Checks'!E265,'Data Checks'!E265&gt;'Data Checks'!E264,'Data Checks'!E264&gt;'Data Checks'!E263),"SELL",IF(AND('Data Checks'!E266&lt;'Data Checks'!E265,'Data Checks'!E265&lt;'Data Checks'!E264,'Data Checks'!E264&lt;'Data Checks'!E263),"BUY",""))</f>
        <v/>
      </c>
      <c r="N56" t="str">
        <f>IF(AND('Data Checks'!F266&gt;'Data Checks'!F265,'Data Checks'!F265&gt;'Data Checks'!F264,'Data Checks'!F264&gt;'Data Checks'!F263),"SELL",IF(AND('Data Checks'!F266&lt;'Data Checks'!F265,'Data Checks'!F265&lt;'Data Checks'!F264,'Data Checks'!F264&lt;'Data Checks'!F263),"BUY",""))</f>
        <v>BUY</v>
      </c>
      <c r="O56">
        <f>IF(J55="BUY",O55*('Data Checks'!B266/'Data Checks'!B265),IF(J55="SELL",O55*('Data Checks'!B265/'Data Checks'!B266),O55))</f>
        <v>190.93404957114271</v>
      </c>
      <c r="P56">
        <f>IF(K55="BUY",P55*('Data Checks'!C266/'Data Checks'!C265),IF(K55="SELL",P55*('Data Checks'!C265/'Data Checks'!C266),P55))</f>
        <v>206.37072997480541</v>
      </c>
      <c r="Q56">
        <f>IF(L55="BUY",Q55*('Data Checks'!D266/'Data Checks'!D265),IF(L55="SELL",Q55*('Data Checks'!D265/'Data Checks'!D266),Q55))</f>
        <v>228.25396682561487</v>
      </c>
      <c r="R56">
        <f>IF(M55="BUY",R55*('Data Checks'!E266/'Data Checks'!E265),IF(M55="SELL",R55*('Data Checks'!E265/'Data Checks'!E266),R55))</f>
        <v>173.2826172836248</v>
      </c>
      <c r="S56">
        <f>IF(N55="BUY",S55*('Data Checks'!F266/'Data Checks'!F265),IF(N55="SELL",S55*('Data Checks'!F265/'Data Checks'!F266),S55))</f>
        <v>182.21246735403363</v>
      </c>
      <c r="T56" s="16">
        <f t="shared" si="10"/>
        <v>981.05383100922131</v>
      </c>
      <c r="U56" s="17">
        <f t="shared" si="14"/>
        <v>0</v>
      </c>
      <c r="W56" t="str">
        <f>IF(AND('Data Checks'!B266&gt;'Data Checks'!B265,'Data Checks'!B265&gt;'Data Checks'!B264,'Data Checks'!B264&gt;'Data Checks'!B263),"BUY",IF(AND('Data Checks'!B266&lt;'Data Checks'!B265,'Data Checks'!B265&lt;'Data Checks'!B264,'Data Checks'!B264&lt;'Data Checks'!B263),"SELL",""))</f>
        <v/>
      </c>
      <c r="X56" t="str">
        <f>IF(AND('Data Checks'!C266&gt;'Data Checks'!C265,'Data Checks'!C265&gt;'Data Checks'!C264,'Data Checks'!C264&gt;'Data Checks'!C263),"BUY",IF(AND('Data Checks'!C266&lt;'Data Checks'!C265,'Data Checks'!C265&lt;'Data Checks'!C264,'Data Checks'!C264&lt;'Data Checks'!C263),"SELL",""))</f>
        <v/>
      </c>
      <c r="Y56" t="str">
        <f>IF(AND('Data Checks'!D266&gt;'Data Checks'!D265,'Data Checks'!D265&gt;'Data Checks'!D264,'Data Checks'!D264&gt;'Data Checks'!D263),"BUY",IF(AND('Data Checks'!D266&lt;'Data Checks'!D265,'Data Checks'!D265&lt;'Data Checks'!D264,'Data Checks'!D264&lt;'Data Checks'!D263),"SELL",""))</f>
        <v/>
      </c>
      <c r="Z56" t="str">
        <f>IF(AND('Data Checks'!E266&gt;'Data Checks'!E265,'Data Checks'!E265&gt;'Data Checks'!E264,'Data Checks'!E264&gt;'Data Checks'!E263),"BUY",IF(AND('Data Checks'!E266&lt;'Data Checks'!E265,'Data Checks'!E265&lt;'Data Checks'!E264,'Data Checks'!E264&lt;'Data Checks'!E263),"SELL",""))</f>
        <v/>
      </c>
      <c r="AA56" t="str">
        <f>IF(AND('Data Checks'!F266&gt;'Data Checks'!F265,'Data Checks'!F265&gt;'Data Checks'!F264,'Data Checks'!F264&gt;'Data Checks'!F263),"BUY",IF(AND('Data Checks'!F266&lt;'Data Checks'!F265,'Data Checks'!F265&lt;'Data Checks'!F264,'Data Checks'!F264&lt;'Data Checks'!F263),"SELL",""))</f>
        <v>SELL</v>
      </c>
      <c r="AB56">
        <f>IF(W55="BUY",AB55*('Data Checks'!B266/'Data Checks'!B265),IF(W55="SELL",AB55*('Data Checks'!B265/'Data Checks'!B266),AB55))</f>
        <v>209.49642083140259</v>
      </c>
      <c r="AC56">
        <f>IF(X55="BUY",AC55*('Data Checks'!C266/'Data Checks'!C265),IF(X55="SELL",AC55*('Data Checks'!C265/'Data Checks'!C266),AC55))</f>
        <v>193.82593648277251</v>
      </c>
      <c r="AD56">
        <f>IF(Y55="BUY",AD55*('Data Checks'!D266/'Data Checks'!D265),IF(Y55="SELL",AD55*('Data Checks'!D265/'Data Checks'!D266),AD55))</f>
        <v>175.24339469885243</v>
      </c>
      <c r="AE56">
        <f>IF(Z55="BUY",AE55*('Data Checks'!E266/'Data Checks'!E265),IF(Z55="SELL",AE55*('Data Checks'!E265/'Data Checks'!E266),AE55))</f>
        <v>230.83677189922042</v>
      </c>
      <c r="AF56">
        <f>IF(AA55="BUY",AF55*('Data Checks'!F266/'Data Checks'!F265),IF(AA55="SELL",AF55*('Data Checks'!F265/'Data Checks'!F266),AF55))</f>
        <v>219.5239468563978</v>
      </c>
      <c r="AG56" s="16">
        <f t="shared" si="11"/>
        <v>1028.9264707686457</v>
      </c>
      <c r="AH56" s="17">
        <f t="shared" si="15"/>
        <v>0</v>
      </c>
      <c r="AJ56" t="str">
        <f>IF('Moving Ave'!G266&gt;'Moving Ave'!L266,"SELL","BUY")</f>
        <v>SELL</v>
      </c>
      <c r="AK56" t="str">
        <f>IF('Moving Ave'!H266&gt;'Moving Ave'!M266,"SELL","BUY")</f>
        <v>BUY</v>
      </c>
      <c r="AL56" t="str">
        <f>IF('Moving Ave'!I266&gt;'Moving Ave'!N266,"SELL","BUY")</f>
        <v>BUY</v>
      </c>
      <c r="AM56" t="str">
        <f>IF('Moving Ave'!J266&gt;'Moving Ave'!O266,"SELL","BUY")</f>
        <v>BUY</v>
      </c>
      <c r="AN56" t="str">
        <f>IF('Moving Ave'!K266&gt;'Moving Ave'!P266,"SELL","BUY")</f>
        <v>BUY</v>
      </c>
      <c r="AO56">
        <f>IF(AJ55="BUY",AO55*('Data Checks'!B266/'Data Checks'!B265),AO55*('Data Checks'!B265/'Data Checks'!B266))</f>
        <v>262.2215819100482</v>
      </c>
      <c r="AP56">
        <f>IF(AK55="BUY",AP55*('Data Checks'!C266/'Data Checks'!C265),AP55*('Data Checks'!C265/'Data Checks'!C266))</f>
        <v>142.95148445393662</v>
      </c>
      <c r="AQ56">
        <f>IF(AL55="BUY",AQ55*('Data Checks'!D266/'Data Checks'!D265),AQ55*('Data Checks'!D265/'Data Checks'!D266))</f>
        <v>224.85469858042958</v>
      </c>
      <c r="AR56">
        <f>IF(AM55="BUY",AR55*('Data Checks'!E266/'Data Checks'!E265),AR55*('Data Checks'!E265/'Data Checks'!E266))</f>
        <v>84.767322237451552</v>
      </c>
      <c r="AS56">
        <f>IF(AN55="BUY",AS55*('Data Checks'!F266/'Data Checks'!F265),AS55*('Data Checks'!F265/'Data Checks'!F266))</f>
        <v>193.64217441168208</v>
      </c>
      <c r="AT56" s="16">
        <f t="shared" si="12"/>
        <v>908.4372615935481</v>
      </c>
      <c r="AU56" s="17">
        <f t="shared" si="16"/>
        <v>-3.3421096430759301E-2</v>
      </c>
    </row>
    <row r="57" spans="1:47" x14ac:dyDescent="0.35">
      <c r="A57" s="2">
        <f>Prices!A265</f>
        <v>44272</v>
      </c>
      <c r="B57">
        <f>B56*('Data Checks'!B267/'Data Checks'!B266)</f>
        <v>190.49846486320692</v>
      </c>
      <c r="C57">
        <f>C56*('Data Checks'!C267/'Data Checks'!C266)</f>
        <v>150.87631066487961</v>
      </c>
      <c r="D57">
        <f>D56*('Data Checks'!D267/'Data Checks'!D266)</f>
        <v>139.55585806571813</v>
      </c>
      <c r="E57">
        <f>E56*('Data Checks'!E267/'Data Checks'!E266)</f>
        <v>85.905588017891262</v>
      </c>
      <c r="F57">
        <f>F56*('Data Checks'!F267/'Data Checks'!F266)</f>
        <v>119.74249384467096</v>
      </c>
      <c r="G57" s="16">
        <f t="shared" si="9"/>
        <v>686.57871545636692</v>
      </c>
      <c r="H57" s="17">
        <f t="shared" si="13"/>
        <v>2.5241150579309313E-2</v>
      </c>
      <c r="J57" t="str">
        <f>IF(AND('Data Checks'!B267&gt;'Data Checks'!B266,'Data Checks'!B266&gt;'Data Checks'!B265,'Data Checks'!B265&gt;'Data Checks'!B264),"SELL",IF(AND('Data Checks'!B267&lt;'Data Checks'!B266,'Data Checks'!B266&lt;'Data Checks'!B265,'Data Checks'!B265&lt;'Data Checks'!B264),"BUY",""))</f>
        <v/>
      </c>
      <c r="K57" t="str">
        <f>IF(AND('Data Checks'!C267&gt;'Data Checks'!C266,'Data Checks'!C266&gt;'Data Checks'!C265,'Data Checks'!C265&gt;'Data Checks'!C264),"SELL",IF(AND('Data Checks'!C267&lt;'Data Checks'!C266,'Data Checks'!C266&lt;'Data Checks'!C265,'Data Checks'!C265&lt;'Data Checks'!C264),"BUY",""))</f>
        <v/>
      </c>
      <c r="L57" t="str">
        <f>IF(AND('Data Checks'!D267&gt;'Data Checks'!D266,'Data Checks'!D266&gt;'Data Checks'!D265,'Data Checks'!D265&gt;'Data Checks'!D264),"SELL",IF(AND('Data Checks'!D267&lt;'Data Checks'!D266,'Data Checks'!D266&lt;'Data Checks'!D265,'Data Checks'!D265&lt;'Data Checks'!D264),"BUY",""))</f>
        <v/>
      </c>
      <c r="M57" t="str">
        <f>IF(AND('Data Checks'!E267&gt;'Data Checks'!E266,'Data Checks'!E266&gt;'Data Checks'!E265,'Data Checks'!E265&gt;'Data Checks'!E264),"SELL",IF(AND('Data Checks'!E267&lt;'Data Checks'!E266,'Data Checks'!E266&lt;'Data Checks'!E265,'Data Checks'!E265&lt;'Data Checks'!E264),"BUY",""))</f>
        <v/>
      </c>
      <c r="N57" t="str">
        <f>IF(AND('Data Checks'!F267&gt;'Data Checks'!F266,'Data Checks'!F266&gt;'Data Checks'!F265,'Data Checks'!F265&gt;'Data Checks'!F264),"SELL",IF(AND('Data Checks'!F267&lt;'Data Checks'!F266,'Data Checks'!F266&lt;'Data Checks'!F265,'Data Checks'!F265&lt;'Data Checks'!F264),"BUY",""))</f>
        <v>BUY</v>
      </c>
      <c r="O57">
        <f>IF(J56="BUY",O56*('Data Checks'!B267/'Data Checks'!B266),IF(J56="SELL",O56*('Data Checks'!B266/'Data Checks'!B267),O56))</f>
        <v>190.93404957114271</v>
      </c>
      <c r="P57">
        <f>IF(K56="BUY",P56*('Data Checks'!C267/'Data Checks'!C266),IF(K56="SELL",P56*('Data Checks'!C266/'Data Checks'!C267),P56))</f>
        <v>206.37072997480541</v>
      </c>
      <c r="Q57">
        <f>IF(L56="BUY",Q56*('Data Checks'!D267/'Data Checks'!D266),IF(L56="SELL",Q56*('Data Checks'!D266/'Data Checks'!D267),Q56))</f>
        <v>228.25396682561487</v>
      </c>
      <c r="R57">
        <f>IF(M56="BUY",R56*('Data Checks'!E267/'Data Checks'!E266),IF(M56="SELL",R56*('Data Checks'!E266/'Data Checks'!E267),R56))</f>
        <v>173.2826172836248</v>
      </c>
      <c r="S57">
        <f>IF(N56="BUY",S56*('Data Checks'!F267/'Data Checks'!F266),IF(N56="SELL",S56*('Data Checks'!F266/'Data Checks'!F267),S56))</f>
        <v>168.4593175077936</v>
      </c>
      <c r="T57" s="16">
        <f t="shared" si="10"/>
        <v>967.30068116298128</v>
      </c>
      <c r="U57" s="17">
        <f t="shared" si="14"/>
        <v>-1.4018751480835645E-2</v>
      </c>
      <c r="W57" t="str">
        <f>IF(AND('Data Checks'!B267&gt;'Data Checks'!B266,'Data Checks'!B266&gt;'Data Checks'!B265,'Data Checks'!B265&gt;'Data Checks'!B264),"BUY",IF(AND('Data Checks'!B267&lt;'Data Checks'!B266,'Data Checks'!B266&lt;'Data Checks'!B265,'Data Checks'!B265&lt;'Data Checks'!B264),"SELL",""))</f>
        <v/>
      </c>
      <c r="X57" t="str">
        <f>IF(AND('Data Checks'!C267&gt;'Data Checks'!C266,'Data Checks'!C266&gt;'Data Checks'!C265,'Data Checks'!C265&gt;'Data Checks'!C264),"BUY",IF(AND('Data Checks'!C267&lt;'Data Checks'!C266,'Data Checks'!C266&lt;'Data Checks'!C265,'Data Checks'!C265&lt;'Data Checks'!C264),"SELL",""))</f>
        <v/>
      </c>
      <c r="Y57" t="str">
        <f>IF(AND('Data Checks'!D267&gt;'Data Checks'!D266,'Data Checks'!D266&gt;'Data Checks'!D265,'Data Checks'!D265&gt;'Data Checks'!D264),"BUY",IF(AND('Data Checks'!D267&lt;'Data Checks'!D266,'Data Checks'!D266&lt;'Data Checks'!D265,'Data Checks'!D265&lt;'Data Checks'!D264),"SELL",""))</f>
        <v/>
      </c>
      <c r="Z57" t="str">
        <f>IF(AND('Data Checks'!E267&gt;'Data Checks'!E266,'Data Checks'!E266&gt;'Data Checks'!E265,'Data Checks'!E265&gt;'Data Checks'!E264),"BUY",IF(AND('Data Checks'!E267&lt;'Data Checks'!E266,'Data Checks'!E266&lt;'Data Checks'!E265,'Data Checks'!E265&lt;'Data Checks'!E264),"SELL",""))</f>
        <v/>
      </c>
      <c r="AA57" t="str">
        <f>IF(AND('Data Checks'!F267&gt;'Data Checks'!F266,'Data Checks'!F266&gt;'Data Checks'!F265,'Data Checks'!F265&gt;'Data Checks'!F264),"BUY",IF(AND('Data Checks'!F267&lt;'Data Checks'!F266,'Data Checks'!F266&lt;'Data Checks'!F265,'Data Checks'!F265&lt;'Data Checks'!F264),"SELL",""))</f>
        <v>SELL</v>
      </c>
      <c r="AB57">
        <f>IF(W56="BUY",AB56*('Data Checks'!B267/'Data Checks'!B266),IF(W56="SELL",AB56*('Data Checks'!B266/'Data Checks'!B267),AB56))</f>
        <v>209.49642083140259</v>
      </c>
      <c r="AC57">
        <f>IF(X56="BUY",AC56*('Data Checks'!C267/'Data Checks'!C266),IF(X56="SELL",AC56*('Data Checks'!C266/'Data Checks'!C267),AC56))</f>
        <v>193.82593648277251</v>
      </c>
      <c r="AD57">
        <f>IF(Y56="BUY",AD56*('Data Checks'!D267/'Data Checks'!D266),IF(Y56="SELL",AD56*('Data Checks'!D266/'Data Checks'!D267),AD56))</f>
        <v>175.24339469885243</v>
      </c>
      <c r="AE57">
        <f>IF(Z56="BUY",AE56*('Data Checks'!E267/'Data Checks'!E266),IF(Z56="SELL",AE56*('Data Checks'!E266/'Data Checks'!E267),AE56))</f>
        <v>230.83677189922042</v>
      </c>
      <c r="AF57">
        <f>IF(AA56="BUY",AF56*('Data Checks'!F267/'Data Checks'!F266),IF(AA56="SELL",AF56*('Data Checks'!F266/'Data Checks'!F267),AF56))</f>
        <v>237.4460528023298</v>
      </c>
      <c r="AG57" s="16">
        <f t="shared" si="11"/>
        <v>1046.8485767145778</v>
      </c>
      <c r="AH57" s="17">
        <f t="shared" si="15"/>
        <v>1.7418257237121759E-2</v>
      </c>
      <c r="AJ57" t="str">
        <f>IF('Moving Ave'!G267&gt;'Moving Ave'!L267,"SELL","BUY")</f>
        <v>SELL</v>
      </c>
      <c r="AK57" t="str">
        <f>IF('Moving Ave'!H267&gt;'Moving Ave'!M267,"SELL","BUY")</f>
        <v>BUY</v>
      </c>
      <c r="AL57" t="str">
        <f>IF('Moving Ave'!I267&gt;'Moving Ave'!N267,"SELL","BUY")</f>
        <v>BUY</v>
      </c>
      <c r="AM57" t="str">
        <f>IF('Moving Ave'!J267&gt;'Moving Ave'!O267,"SELL","BUY")</f>
        <v>BUY</v>
      </c>
      <c r="AN57" t="str">
        <f>IF('Moving Ave'!K267&gt;'Moving Ave'!P267,"SELL","BUY")</f>
        <v>BUY</v>
      </c>
      <c r="AO57">
        <f>IF(AJ56="BUY",AO56*('Data Checks'!B267/'Data Checks'!B266),AO56*('Data Checks'!B266/'Data Checks'!B267))</f>
        <v>245.00597381785943</v>
      </c>
      <c r="AP57">
        <f>IF(AK56="BUY",AP56*('Data Checks'!C267/'Data Checks'!C266),AP56*('Data Checks'!C266/'Data Checks'!C267))</f>
        <v>150.87631066487961</v>
      </c>
      <c r="AQ57">
        <f>IF(AL56="BUY",AQ56*('Data Checks'!D267/'Data Checks'!D266),AQ56*('Data Checks'!D266/'Data Checks'!D267))</f>
        <v>233.39986451392394</v>
      </c>
      <c r="AR57">
        <f>IF(AM56="BUY",AR56*('Data Checks'!E267/'Data Checks'!E266),AR56*('Data Checks'!E266/'Data Checks'!E267))</f>
        <v>85.905588017891262</v>
      </c>
      <c r="AS57">
        <f>IF(AN56="BUY",AS56*('Data Checks'!F267/'Data Checks'!F266),AS56*('Data Checks'!F266/'Data Checks'!F267))</f>
        <v>179.02632578228446</v>
      </c>
      <c r="AT57" s="16">
        <f t="shared" si="12"/>
        <v>894.21406279683856</v>
      </c>
      <c r="AU57" s="17">
        <f t="shared" si="16"/>
        <v>-1.5656776090139379E-2</v>
      </c>
    </row>
    <row r="58" spans="1:47" x14ac:dyDescent="0.35">
      <c r="A58" s="2">
        <f>Prices!A266</f>
        <v>44273</v>
      </c>
      <c r="B58">
        <f>B57*('Data Checks'!B268/'Data Checks'!B267)</f>
        <v>192.8335456987395</v>
      </c>
      <c r="C58">
        <f>C57*('Data Checks'!C268/'Data Checks'!C267)</f>
        <v>145.28829426691121</v>
      </c>
      <c r="D58">
        <f>D57*('Data Checks'!D268/'Data Checks'!D267)</f>
        <v>126.99949786273999</v>
      </c>
      <c r="E58">
        <f>E57*('Data Checks'!E268/'Data Checks'!E267)</f>
        <v>72.380315621683437</v>
      </c>
      <c r="F58">
        <f>F57*('Data Checks'!F268/'Data Checks'!F267)</f>
        <v>117.97806272739248</v>
      </c>
      <c r="G58" s="16">
        <f t="shared" si="9"/>
        <v>655.47971617746657</v>
      </c>
      <c r="H58" s="17">
        <f t="shared" si="13"/>
        <v>-4.5295606430544422E-2</v>
      </c>
      <c r="J58" t="str">
        <f>IF(AND('Data Checks'!B268&gt;'Data Checks'!B267,'Data Checks'!B267&gt;'Data Checks'!B266,'Data Checks'!B266&gt;'Data Checks'!B265),"SELL",IF(AND('Data Checks'!B268&lt;'Data Checks'!B267,'Data Checks'!B267&lt;'Data Checks'!B266,'Data Checks'!B266&lt;'Data Checks'!B265),"BUY",""))</f>
        <v/>
      </c>
      <c r="K58" t="str">
        <f>IF(AND('Data Checks'!C268&gt;'Data Checks'!C267,'Data Checks'!C267&gt;'Data Checks'!C266,'Data Checks'!C266&gt;'Data Checks'!C265),"SELL",IF(AND('Data Checks'!C268&lt;'Data Checks'!C267,'Data Checks'!C267&lt;'Data Checks'!C266,'Data Checks'!C266&lt;'Data Checks'!C265),"BUY",""))</f>
        <v/>
      </c>
      <c r="L58" t="str">
        <f>IF(AND('Data Checks'!D268&gt;'Data Checks'!D267,'Data Checks'!D267&gt;'Data Checks'!D266,'Data Checks'!D266&gt;'Data Checks'!D265),"SELL",IF(AND('Data Checks'!D268&lt;'Data Checks'!D267,'Data Checks'!D267&lt;'Data Checks'!D266,'Data Checks'!D266&lt;'Data Checks'!D265),"BUY",""))</f>
        <v/>
      </c>
      <c r="M58" t="str">
        <f>IF(AND('Data Checks'!E268&gt;'Data Checks'!E267,'Data Checks'!E267&gt;'Data Checks'!E266,'Data Checks'!E266&gt;'Data Checks'!E265),"SELL",IF(AND('Data Checks'!E268&lt;'Data Checks'!E267,'Data Checks'!E267&lt;'Data Checks'!E266,'Data Checks'!E266&lt;'Data Checks'!E265),"BUY",""))</f>
        <v/>
      </c>
      <c r="N58" t="str">
        <f>IF(AND('Data Checks'!F268&gt;'Data Checks'!F267,'Data Checks'!F267&gt;'Data Checks'!F266,'Data Checks'!F266&gt;'Data Checks'!F265),"SELL",IF(AND('Data Checks'!F268&lt;'Data Checks'!F267,'Data Checks'!F267&lt;'Data Checks'!F266,'Data Checks'!F266&lt;'Data Checks'!F265),"BUY",""))</f>
        <v>BUY</v>
      </c>
      <c r="O58">
        <f>IF(J57="BUY",O57*('Data Checks'!B268/'Data Checks'!B267),IF(J57="SELL",O57*('Data Checks'!B267/'Data Checks'!B268),O57))</f>
        <v>190.93404957114271</v>
      </c>
      <c r="P58">
        <f>IF(K57="BUY",P57*('Data Checks'!C268/'Data Checks'!C267),IF(K57="SELL",P57*('Data Checks'!C267/'Data Checks'!C268),P57))</f>
        <v>206.37072997480541</v>
      </c>
      <c r="Q58">
        <f>IF(L57="BUY",Q57*('Data Checks'!D268/'Data Checks'!D267),IF(L57="SELL",Q57*('Data Checks'!D267/'Data Checks'!D268),Q57))</f>
        <v>228.25396682561487</v>
      </c>
      <c r="R58">
        <f>IF(M57="BUY",R57*('Data Checks'!E268/'Data Checks'!E267),IF(M57="SELL",R57*('Data Checks'!E267/'Data Checks'!E268),R57))</f>
        <v>173.2826172836248</v>
      </c>
      <c r="S58">
        <f>IF(N57="BUY",S57*('Data Checks'!F268/'Data Checks'!F267),IF(N57="SELL",S57*('Data Checks'!F267/'Data Checks'!F268),S57))</f>
        <v>165.97703363126254</v>
      </c>
      <c r="T58" s="16">
        <f t="shared" si="10"/>
        <v>964.81839728645025</v>
      </c>
      <c r="U58" s="17">
        <f t="shared" si="14"/>
        <v>-2.5661967626722237E-3</v>
      </c>
      <c r="W58" t="str">
        <f>IF(AND('Data Checks'!B268&gt;'Data Checks'!B267,'Data Checks'!B267&gt;'Data Checks'!B266,'Data Checks'!B266&gt;'Data Checks'!B265),"BUY",IF(AND('Data Checks'!B268&lt;'Data Checks'!B267,'Data Checks'!B267&lt;'Data Checks'!B266,'Data Checks'!B266&lt;'Data Checks'!B265),"SELL",""))</f>
        <v/>
      </c>
      <c r="X58" t="str">
        <f>IF(AND('Data Checks'!C268&gt;'Data Checks'!C267,'Data Checks'!C267&gt;'Data Checks'!C266,'Data Checks'!C266&gt;'Data Checks'!C265),"BUY",IF(AND('Data Checks'!C268&lt;'Data Checks'!C267,'Data Checks'!C267&lt;'Data Checks'!C266,'Data Checks'!C266&lt;'Data Checks'!C265),"SELL",""))</f>
        <v/>
      </c>
      <c r="Y58" t="str">
        <f>IF(AND('Data Checks'!D268&gt;'Data Checks'!D267,'Data Checks'!D267&gt;'Data Checks'!D266,'Data Checks'!D266&gt;'Data Checks'!D265),"BUY",IF(AND('Data Checks'!D268&lt;'Data Checks'!D267,'Data Checks'!D267&lt;'Data Checks'!D266,'Data Checks'!D266&lt;'Data Checks'!D265),"SELL",""))</f>
        <v/>
      </c>
      <c r="Z58" t="str">
        <f>IF(AND('Data Checks'!E268&gt;'Data Checks'!E267,'Data Checks'!E267&gt;'Data Checks'!E266,'Data Checks'!E266&gt;'Data Checks'!E265),"BUY",IF(AND('Data Checks'!E268&lt;'Data Checks'!E267,'Data Checks'!E267&lt;'Data Checks'!E266,'Data Checks'!E266&lt;'Data Checks'!E265),"SELL",""))</f>
        <v/>
      </c>
      <c r="AA58" t="str">
        <f>IF(AND('Data Checks'!F268&gt;'Data Checks'!F267,'Data Checks'!F267&gt;'Data Checks'!F266,'Data Checks'!F266&gt;'Data Checks'!F265),"BUY",IF(AND('Data Checks'!F268&lt;'Data Checks'!F267,'Data Checks'!F267&lt;'Data Checks'!F266,'Data Checks'!F266&lt;'Data Checks'!F265),"SELL",""))</f>
        <v>SELL</v>
      </c>
      <c r="AB58">
        <f>IF(W57="BUY",AB57*('Data Checks'!B268/'Data Checks'!B267),IF(W57="SELL",AB57*('Data Checks'!B267/'Data Checks'!B268),AB57))</f>
        <v>209.49642083140259</v>
      </c>
      <c r="AC58">
        <f>IF(X57="BUY",AC57*('Data Checks'!C268/'Data Checks'!C267),IF(X57="SELL",AC57*('Data Checks'!C267/'Data Checks'!C268),AC57))</f>
        <v>193.82593648277251</v>
      </c>
      <c r="AD58">
        <f>IF(Y57="BUY",AD57*('Data Checks'!D268/'Data Checks'!D267),IF(Y57="SELL",AD57*('Data Checks'!D267/'Data Checks'!D268),AD57))</f>
        <v>175.24339469885243</v>
      </c>
      <c r="AE58">
        <f>IF(Z57="BUY",AE57*('Data Checks'!E268/'Data Checks'!E267),IF(Z57="SELL",AE57*('Data Checks'!E267/'Data Checks'!E268),AE57))</f>
        <v>230.83677189922042</v>
      </c>
      <c r="AF58">
        <f>IF(AA57="BUY",AF57*('Data Checks'!F268/'Data Checks'!F267),IF(AA57="SELL",AF57*('Data Checks'!F267/'Data Checks'!F268),AF57))</f>
        <v>240.99719777414924</v>
      </c>
      <c r="AG58" s="16">
        <f t="shared" si="11"/>
        <v>1050.3997216863972</v>
      </c>
      <c r="AH58" s="17">
        <f t="shared" si="15"/>
        <v>3.3922241007999787E-3</v>
      </c>
      <c r="AJ58" t="str">
        <f>IF('Moving Ave'!G268&gt;'Moving Ave'!L268,"SELL","BUY")</f>
        <v>SELL</v>
      </c>
      <c r="AK58" t="str">
        <f>IF('Moving Ave'!H268&gt;'Moving Ave'!M268,"SELL","BUY")</f>
        <v>BUY</v>
      </c>
      <c r="AL58" t="str">
        <f>IF('Moving Ave'!I268&gt;'Moving Ave'!N268,"SELL","BUY")</f>
        <v>BUY</v>
      </c>
      <c r="AM58" t="str">
        <f>IF('Moving Ave'!J268&gt;'Moving Ave'!O268,"SELL","BUY")</f>
        <v>BUY</v>
      </c>
      <c r="AN58" t="str">
        <f>IF('Moving Ave'!K268&gt;'Moving Ave'!P268,"SELL","BUY")</f>
        <v>BUY</v>
      </c>
      <c r="AO58">
        <f>IF(AJ57="BUY",AO57*('Data Checks'!B268/'Data Checks'!B267),AO57*('Data Checks'!B267/'Data Checks'!B268))</f>
        <v>242.03912097086115</v>
      </c>
      <c r="AP58">
        <f>IF(AK57="BUY",AP57*('Data Checks'!C268/'Data Checks'!C267),AP57*('Data Checks'!C267/'Data Checks'!C268))</f>
        <v>145.28829426691121</v>
      </c>
      <c r="AQ58">
        <f>IF(AL57="BUY",AQ57*('Data Checks'!D268/'Data Checks'!D267),AQ57*('Data Checks'!D267/'Data Checks'!D268))</f>
        <v>212.40000961150164</v>
      </c>
      <c r="AR58">
        <f>IF(AM57="BUY",AR57*('Data Checks'!E268/'Data Checks'!E267),AR57*('Data Checks'!E267/'Data Checks'!E268))</f>
        <v>72.380315621683437</v>
      </c>
      <c r="AS58">
        <f>IF(AN57="BUY",AS57*('Data Checks'!F268/'Data Checks'!F267),AS57*('Data Checks'!F267/'Data Checks'!F268))</f>
        <v>176.38833479111591</v>
      </c>
      <c r="AT58" s="16">
        <f t="shared" si="12"/>
        <v>848.4960752620733</v>
      </c>
      <c r="AU58" s="17">
        <f t="shared" si="16"/>
        <v>-5.1126446604712106E-2</v>
      </c>
    </row>
    <row r="59" spans="1:47" x14ac:dyDescent="0.35">
      <c r="A59" s="2">
        <f>Prices!A267</f>
        <v>44274</v>
      </c>
      <c r="B59">
        <f>B58*('Data Checks'!B269/'Data Checks'!B268)</f>
        <v>198.20022487658008</v>
      </c>
      <c r="C59">
        <f>C58*('Data Checks'!C269/'Data Checks'!C268)</f>
        <v>147.72669920565656</v>
      </c>
      <c r="D59">
        <f>D58*('Data Checks'!D269/'Data Checks'!D268)</f>
        <v>126.765735962026</v>
      </c>
      <c r="E59">
        <f>E58*('Data Checks'!E269/'Data Checks'!E268)</f>
        <v>80.482089705989637</v>
      </c>
      <c r="F59">
        <f>F58*('Data Checks'!F269/'Data Checks'!F268)</f>
        <v>112.20791910645576</v>
      </c>
      <c r="G59" s="16">
        <f t="shared" si="9"/>
        <v>665.38266885670794</v>
      </c>
      <c r="H59" s="17">
        <f t="shared" si="13"/>
        <v>1.5107946798097682E-2</v>
      </c>
      <c r="J59" t="str">
        <f>IF(AND('Data Checks'!B269&gt;'Data Checks'!B268,'Data Checks'!B268&gt;'Data Checks'!B267,'Data Checks'!B267&gt;'Data Checks'!B266),"SELL",IF(AND('Data Checks'!B269&lt;'Data Checks'!B268,'Data Checks'!B268&lt;'Data Checks'!B267,'Data Checks'!B267&lt;'Data Checks'!B266),"BUY",""))</f>
        <v>SELL</v>
      </c>
      <c r="K59" t="str">
        <f>IF(AND('Data Checks'!C269&gt;'Data Checks'!C268,'Data Checks'!C268&gt;'Data Checks'!C267,'Data Checks'!C267&gt;'Data Checks'!C266),"SELL",IF(AND('Data Checks'!C269&lt;'Data Checks'!C268,'Data Checks'!C268&lt;'Data Checks'!C267,'Data Checks'!C267&lt;'Data Checks'!C266),"BUY",""))</f>
        <v/>
      </c>
      <c r="L59" t="str">
        <f>IF(AND('Data Checks'!D269&gt;'Data Checks'!D268,'Data Checks'!D268&gt;'Data Checks'!D267,'Data Checks'!D267&gt;'Data Checks'!D266),"SELL",IF(AND('Data Checks'!D269&lt;'Data Checks'!D268,'Data Checks'!D268&lt;'Data Checks'!D267,'Data Checks'!D267&lt;'Data Checks'!D266),"BUY",""))</f>
        <v/>
      </c>
      <c r="M59" t="str">
        <f>IF(AND('Data Checks'!E269&gt;'Data Checks'!E268,'Data Checks'!E268&gt;'Data Checks'!E267,'Data Checks'!E267&gt;'Data Checks'!E266),"SELL",IF(AND('Data Checks'!E269&lt;'Data Checks'!E268,'Data Checks'!E268&lt;'Data Checks'!E267,'Data Checks'!E267&lt;'Data Checks'!E266),"BUY",""))</f>
        <v/>
      </c>
      <c r="N59" t="str">
        <f>IF(AND('Data Checks'!F269&gt;'Data Checks'!F268,'Data Checks'!F268&gt;'Data Checks'!F267,'Data Checks'!F267&gt;'Data Checks'!F266),"SELL",IF(AND('Data Checks'!F269&lt;'Data Checks'!F268,'Data Checks'!F268&lt;'Data Checks'!F267,'Data Checks'!F267&lt;'Data Checks'!F266),"BUY",""))</f>
        <v>BUY</v>
      </c>
      <c r="O59">
        <f>IF(J58="BUY",O58*('Data Checks'!B269/'Data Checks'!B268),IF(J58="SELL",O58*('Data Checks'!B268/'Data Checks'!B269),O58))</f>
        <v>190.93404957114271</v>
      </c>
      <c r="P59">
        <f>IF(K58="BUY",P58*('Data Checks'!C269/'Data Checks'!C268),IF(K58="SELL",P58*('Data Checks'!C268/'Data Checks'!C269),P58))</f>
        <v>206.37072997480541</v>
      </c>
      <c r="Q59">
        <f>IF(L58="BUY",Q58*('Data Checks'!D269/'Data Checks'!D268),IF(L58="SELL",Q58*('Data Checks'!D268/'Data Checks'!D269),Q58))</f>
        <v>228.25396682561487</v>
      </c>
      <c r="R59">
        <f>IF(M58="BUY",R58*('Data Checks'!E269/'Data Checks'!E268),IF(M58="SELL",R58*('Data Checks'!E268/'Data Checks'!E269),R58))</f>
        <v>173.2826172836248</v>
      </c>
      <c r="S59">
        <f>IF(N58="BUY",S58*('Data Checks'!F269/'Data Checks'!F268),IF(N58="SELL",S58*('Data Checks'!F268/'Data Checks'!F269),S58))</f>
        <v>157.85932683315741</v>
      </c>
      <c r="T59" s="16">
        <f t="shared" si="10"/>
        <v>956.70069048834512</v>
      </c>
      <c r="U59" s="17">
        <f t="shared" si="14"/>
        <v>-8.4137147684333335E-3</v>
      </c>
      <c r="W59" t="str">
        <f>IF(AND('Data Checks'!B269&gt;'Data Checks'!B268,'Data Checks'!B268&gt;'Data Checks'!B267,'Data Checks'!B267&gt;'Data Checks'!B266),"BUY",IF(AND('Data Checks'!B269&lt;'Data Checks'!B268,'Data Checks'!B268&lt;'Data Checks'!B267,'Data Checks'!B267&lt;'Data Checks'!B266),"SELL",""))</f>
        <v>BUY</v>
      </c>
      <c r="X59" t="str">
        <f>IF(AND('Data Checks'!C269&gt;'Data Checks'!C268,'Data Checks'!C268&gt;'Data Checks'!C267,'Data Checks'!C267&gt;'Data Checks'!C266),"BUY",IF(AND('Data Checks'!C269&lt;'Data Checks'!C268,'Data Checks'!C268&lt;'Data Checks'!C267,'Data Checks'!C267&lt;'Data Checks'!C266),"SELL",""))</f>
        <v/>
      </c>
      <c r="Y59" t="str">
        <f>IF(AND('Data Checks'!D269&gt;'Data Checks'!D268,'Data Checks'!D268&gt;'Data Checks'!D267,'Data Checks'!D267&gt;'Data Checks'!D266),"BUY",IF(AND('Data Checks'!D269&lt;'Data Checks'!D268,'Data Checks'!D268&lt;'Data Checks'!D267,'Data Checks'!D267&lt;'Data Checks'!D266),"SELL",""))</f>
        <v/>
      </c>
      <c r="Z59" t="str">
        <f>IF(AND('Data Checks'!E269&gt;'Data Checks'!E268,'Data Checks'!E268&gt;'Data Checks'!E267,'Data Checks'!E267&gt;'Data Checks'!E266),"BUY",IF(AND('Data Checks'!E269&lt;'Data Checks'!E268,'Data Checks'!E268&lt;'Data Checks'!E267,'Data Checks'!E267&lt;'Data Checks'!E266),"SELL",""))</f>
        <v/>
      </c>
      <c r="AA59" t="str">
        <f>IF(AND('Data Checks'!F269&gt;'Data Checks'!F268,'Data Checks'!F268&gt;'Data Checks'!F267,'Data Checks'!F267&gt;'Data Checks'!F266),"BUY",IF(AND('Data Checks'!F269&lt;'Data Checks'!F268,'Data Checks'!F268&lt;'Data Checks'!F267,'Data Checks'!F267&lt;'Data Checks'!F266),"SELL",""))</f>
        <v>SELL</v>
      </c>
      <c r="AB59">
        <f>IF(W58="BUY",AB58*('Data Checks'!B269/'Data Checks'!B268),IF(W58="SELL",AB58*('Data Checks'!B268/'Data Checks'!B269),AB58))</f>
        <v>209.49642083140259</v>
      </c>
      <c r="AC59">
        <f>IF(X58="BUY",AC58*('Data Checks'!C269/'Data Checks'!C268),IF(X58="SELL",AC58*('Data Checks'!C268/'Data Checks'!C269),AC58))</f>
        <v>193.82593648277251</v>
      </c>
      <c r="AD59">
        <f>IF(Y58="BUY",AD58*('Data Checks'!D269/'Data Checks'!D268),IF(Y58="SELL",AD58*('Data Checks'!D268/'Data Checks'!D269),AD58))</f>
        <v>175.24339469885243</v>
      </c>
      <c r="AE59">
        <f>IF(Z58="BUY",AE58*('Data Checks'!E269/'Data Checks'!E268),IF(Z58="SELL",AE58*('Data Checks'!E268/'Data Checks'!E269),AE58))</f>
        <v>230.83677189922042</v>
      </c>
      <c r="AF59">
        <f>IF(AA58="BUY",AF58*('Data Checks'!F269/'Data Checks'!F268),IF(AA58="SELL",AF58*('Data Checks'!F268/'Data Checks'!F269),AF58))</f>
        <v>253.39015946948942</v>
      </c>
      <c r="AG59" s="16">
        <f t="shared" si="11"/>
        <v>1062.7926833817373</v>
      </c>
      <c r="AH59" s="17">
        <f t="shared" si="15"/>
        <v>1.1798329187905132E-2</v>
      </c>
      <c r="AJ59" t="str">
        <f>IF('Moving Ave'!G269&gt;'Moving Ave'!L269,"SELL","BUY")</f>
        <v>SELL</v>
      </c>
      <c r="AK59" t="str">
        <f>IF('Moving Ave'!H269&gt;'Moving Ave'!M269,"SELL","BUY")</f>
        <v>BUY</v>
      </c>
      <c r="AL59" t="str">
        <f>IF('Moving Ave'!I269&gt;'Moving Ave'!N269,"SELL","BUY")</f>
        <v>BUY</v>
      </c>
      <c r="AM59" t="str">
        <f>IF('Moving Ave'!J269&gt;'Moving Ave'!O269,"SELL","BUY")</f>
        <v>BUY</v>
      </c>
      <c r="AN59" t="str">
        <f>IF('Moving Ave'!K269&gt;'Moving Ave'!P269,"SELL","BUY")</f>
        <v>BUY</v>
      </c>
      <c r="AO59">
        <f>IF(AJ58="BUY",AO58*('Data Checks'!B269/'Data Checks'!B268),AO58*('Data Checks'!B268/'Data Checks'!B269))</f>
        <v>235.485413418077</v>
      </c>
      <c r="AP59">
        <f>IF(AK58="BUY",AP58*('Data Checks'!C269/'Data Checks'!C268),AP58*('Data Checks'!C268/'Data Checks'!C269))</f>
        <v>147.72669920565656</v>
      </c>
      <c r="AQ59">
        <f>IF(AL58="BUY",AQ58*('Data Checks'!D269/'Data Checks'!D268),AQ58*('Data Checks'!D268/'Data Checks'!D269))</f>
        <v>212.00905507393242</v>
      </c>
      <c r="AR59">
        <f>IF(AM58="BUY",AR58*('Data Checks'!E269/'Data Checks'!E268),AR58*('Data Checks'!E268/'Data Checks'!E269))</f>
        <v>80.482089705989637</v>
      </c>
      <c r="AS59">
        <f>IF(AN58="BUY",AS58*('Data Checks'!F269/'Data Checks'!F268),AS58*('Data Checks'!F268/'Data Checks'!F269))</f>
        <v>167.76142567535624</v>
      </c>
      <c r="AT59" s="16">
        <f t="shared" si="12"/>
        <v>843.46468307901193</v>
      </c>
      <c r="AU59" s="17">
        <f t="shared" si="16"/>
        <v>-5.9297766127054397E-3</v>
      </c>
    </row>
    <row r="60" spans="1:47" x14ac:dyDescent="0.35">
      <c r="A60" s="2">
        <f>Prices!A268</f>
        <v>44275</v>
      </c>
      <c r="B60">
        <f>B59*('Data Checks'!B270/'Data Checks'!B269)</f>
        <v>194.52900208887729</v>
      </c>
      <c r="C60">
        <f>C59*('Data Checks'!C270/'Data Checks'!C269)</f>
        <v>146.35509134760201</v>
      </c>
      <c r="D60">
        <f>D59*('Data Checks'!D270/'Data Checks'!D269)</f>
        <v>122.12389584444642</v>
      </c>
      <c r="E60">
        <f>E59*('Data Checks'!E270/'Data Checks'!E269)</f>
        <v>83.963840510082335</v>
      </c>
      <c r="F60">
        <f>F59*('Data Checks'!F270/'Data Checks'!F269)</f>
        <v>104.33953558902537</v>
      </c>
      <c r="G60" s="16">
        <f t="shared" si="9"/>
        <v>651.31136538003341</v>
      </c>
      <c r="H60" s="17">
        <f t="shared" si="13"/>
        <v>-2.1147685587982745E-2</v>
      </c>
      <c r="J60" t="str">
        <f>IF(AND('Data Checks'!B270&gt;'Data Checks'!B269,'Data Checks'!B269&gt;'Data Checks'!B268,'Data Checks'!B268&gt;'Data Checks'!B267),"SELL",IF(AND('Data Checks'!B270&lt;'Data Checks'!B269,'Data Checks'!B269&lt;'Data Checks'!B268,'Data Checks'!B268&lt;'Data Checks'!B267),"BUY",""))</f>
        <v/>
      </c>
      <c r="K60" t="str">
        <f>IF(AND('Data Checks'!C270&gt;'Data Checks'!C269,'Data Checks'!C269&gt;'Data Checks'!C268,'Data Checks'!C268&gt;'Data Checks'!C267),"SELL",IF(AND('Data Checks'!C270&lt;'Data Checks'!C269,'Data Checks'!C269&lt;'Data Checks'!C268,'Data Checks'!C268&lt;'Data Checks'!C267),"BUY",""))</f>
        <v/>
      </c>
      <c r="L60" t="str">
        <f>IF(AND('Data Checks'!D270&gt;'Data Checks'!D269,'Data Checks'!D269&gt;'Data Checks'!D268,'Data Checks'!D268&gt;'Data Checks'!D267),"SELL",IF(AND('Data Checks'!D270&lt;'Data Checks'!D269,'Data Checks'!D269&lt;'Data Checks'!D268,'Data Checks'!D268&lt;'Data Checks'!D267),"BUY",""))</f>
        <v>BUY</v>
      </c>
      <c r="M60" t="str">
        <f>IF(AND('Data Checks'!E270&gt;'Data Checks'!E269,'Data Checks'!E269&gt;'Data Checks'!E268,'Data Checks'!E268&gt;'Data Checks'!E267),"SELL",IF(AND('Data Checks'!E270&lt;'Data Checks'!E269,'Data Checks'!E269&lt;'Data Checks'!E268,'Data Checks'!E268&lt;'Data Checks'!E267),"BUY",""))</f>
        <v/>
      </c>
      <c r="N60" t="str">
        <f>IF(AND('Data Checks'!F270&gt;'Data Checks'!F269,'Data Checks'!F269&gt;'Data Checks'!F268,'Data Checks'!F268&gt;'Data Checks'!F267),"SELL",IF(AND('Data Checks'!F270&lt;'Data Checks'!F269,'Data Checks'!F269&lt;'Data Checks'!F268,'Data Checks'!F268&lt;'Data Checks'!F267),"BUY",""))</f>
        <v>BUY</v>
      </c>
      <c r="O60">
        <f>IF(J59="BUY",O59*('Data Checks'!B270/'Data Checks'!B269),IF(J59="SELL",O59*('Data Checks'!B269/'Data Checks'!B270),O59))</f>
        <v>194.53742709432402</v>
      </c>
      <c r="P60">
        <f>IF(K59="BUY",P59*('Data Checks'!C270/'Data Checks'!C269),IF(K59="SELL",P59*('Data Checks'!C269/'Data Checks'!C270),P59))</f>
        <v>206.37072997480541</v>
      </c>
      <c r="Q60">
        <f>IF(L59="BUY",Q59*('Data Checks'!D270/'Data Checks'!D269),IF(L59="SELL",Q59*('Data Checks'!D269/'Data Checks'!D270),Q59))</f>
        <v>228.25396682561487</v>
      </c>
      <c r="R60">
        <f>IF(M59="BUY",R59*('Data Checks'!E270/'Data Checks'!E269),IF(M59="SELL",R59*('Data Checks'!E269/'Data Checks'!E270),R59))</f>
        <v>173.2826172836248</v>
      </c>
      <c r="S60">
        <f>IF(N59="BUY",S59*('Data Checks'!F270/'Data Checks'!F269),IF(N59="SELL",S59*('Data Checks'!F269/'Data Checks'!F270),S59))</f>
        <v>146.78971842033008</v>
      </c>
      <c r="T60" s="16">
        <f t="shared" si="10"/>
        <v>949.234459598699</v>
      </c>
      <c r="U60" s="17">
        <f t="shared" si="14"/>
        <v>-7.8041449785459793E-3</v>
      </c>
      <c r="W60" t="str">
        <f>IF(AND('Data Checks'!B270&gt;'Data Checks'!B269,'Data Checks'!B269&gt;'Data Checks'!B268,'Data Checks'!B268&gt;'Data Checks'!B267),"BUY",IF(AND('Data Checks'!B270&lt;'Data Checks'!B269,'Data Checks'!B269&lt;'Data Checks'!B268,'Data Checks'!B268&lt;'Data Checks'!B267),"SELL",""))</f>
        <v/>
      </c>
      <c r="X60" t="str">
        <f>IF(AND('Data Checks'!C270&gt;'Data Checks'!C269,'Data Checks'!C269&gt;'Data Checks'!C268,'Data Checks'!C268&gt;'Data Checks'!C267),"BUY",IF(AND('Data Checks'!C270&lt;'Data Checks'!C269,'Data Checks'!C269&lt;'Data Checks'!C268,'Data Checks'!C268&lt;'Data Checks'!C267),"SELL",""))</f>
        <v/>
      </c>
      <c r="Y60" t="str">
        <f>IF(AND('Data Checks'!D270&gt;'Data Checks'!D269,'Data Checks'!D269&gt;'Data Checks'!D268,'Data Checks'!D268&gt;'Data Checks'!D267),"BUY",IF(AND('Data Checks'!D270&lt;'Data Checks'!D269,'Data Checks'!D269&lt;'Data Checks'!D268,'Data Checks'!D268&lt;'Data Checks'!D267),"SELL",""))</f>
        <v>SELL</v>
      </c>
      <c r="Z60" t="str">
        <f>IF(AND('Data Checks'!E270&gt;'Data Checks'!E269,'Data Checks'!E269&gt;'Data Checks'!E268,'Data Checks'!E268&gt;'Data Checks'!E267),"BUY",IF(AND('Data Checks'!E270&lt;'Data Checks'!E269,'Data Checks'!E269&lt;'Data Checks'!E268,'Data Checks'!E268&lt;'Data Checks'!E267),"SELL",""))</f>
        <v/>
      </c>
      <c r="AA60" t="str">
        <f>IF(AND('Data Checks'!F270&gt;'Data Checks'!F269,'Data Checks'!F269&gt;'Data Checks'!F268,'Data Checks'!F268&gt;'Data Checks'!F267),"BUY",IF(AND('Data Checks'!F270&lt;'Data Checks'!F269,'Data Checks'!F269&lt;'Data Checks'!F268,'Data Checks'!F268&lt;'Data Checks'!F267),"SELL",""))</f>
        <v>SELL</v>
      </c>
      <c r="AB60">
        <f>IF(W59="BUY",AB59*('Data Checks'!B270/'Data Checks'!B269),IF(W59="SELL",AB59*('Data Checks'!B269/'Data Checks'!B270),AB59))</f>
        <v>205.61596088451128</v>
      </c>
      <c r="AC60">
        <f>IF(X59="BUY",AC59*('Data Checks'!C270/'Data Checks'!C269),IF(X59="SELL",AC59*('Data Checks'!C269/'Data Checks'!C270),AC59))</f>
        <v>193.82593648277251</v>
      </c>
      <c r="AD60">
        <f>IF(Y59="BUY",AD59*('Data Checks'!D270/'Data Checks'!D269),IF(Y59="SELL",AD59*('Data Checks'!D269/'Data Checks'!D270),AD59))</f>
        <v>175.24339469885243</v>
      </c>
      <c r="AE60">
        <f>IF(Z59="BUY",AE59*('Data Checks'!E270/'Data Checks'!E269),IF(Z59="SELL",AE59*('Data Checks'!E269/'Data Checks'!E270),AE59))</f>
        <v>230.83677189922042</v>
      </c>
      <c r="AF60">
        <f>IF(AA59="BUY",AF59*('Data Checks'!F270/'Data Checks'!F269),IF(AA59="SELL",AF59*('Data Checks'!F269/'Data Checks'!F270),AF59))</f>
        <v>272.49864929545424</v>
      </c>
      <c r="AG60" s="16">
        <f t="shared" si="11"/>
        <v>1078.0207132608109</v>
      </c>
      <c r="AH60" s="17">
        <f t="shared" si="15"/>
        <v>1.4328316441376776E-2</v>
      </c>
      <c r="AJ60" t="str">
        <f>IF('Moving Ave'!G270&gt;'Moving Ave'!L270,"SELL","BUY")</f>
        <v>SELL</v>
      </c>
      <c r="AK60" t="str">
        <f>IF('Moving Ave'!H270&gt;'Moving Ave'!M270,"SELL","BUY")</f>
        <v>BUY</v>
      </c>
      <c r="AL60" t="str">
        <f>IF('Moving Ave'!I270&gt;'Moving Ave'!N270,"SELL","BUY")</f>
        <v>BUY</v>
      </c>
      <c r="AM60" t="str">
        <f>IF('Moving Ave'!J270&gt;'Moving Ave'!O270,"SELL","BUY")</f>
        <v>BUY</v>
      </c>
      <c r="AN60" t="str">
        <f>IF('Moving Ave'!K270&gt;'Moving Ave'!P270,"SELL","BUY")</f>
        <v>BUY</v>
      </c>
      <c r="AO60">
        <f>IF(AJ59="BUY",AO59*('Data Checks'!B270/'Data Checks'!B269),AO59*('Data Checks'!B269/'Data Checks'!B270))</f>
        <v>239.92958064573321</v>
      </c>
      <c r="AP60">
        <f>IF(AK59="BUY",AP59*('Data Checks'!C270/'Data Checks'!C269),AP59*('Data Checks'!C269/'Data Checks'!C270))</f>
        <v>146.35509134760201</v>
      </c>
      <c r="AQ60">
        <f>IF(AL59="BUY",AQ59*('Data Checks'!D270/'Data Checks'!D269),AQ59*('Data Checks'!D269/'Data Checks'!D270))</f>
        <v>204.24582055583585</v>
      </c>
      <c r="AR60">
        <f>IF(AM59="BUY",AR59*('Data Checks'!E270/'Data Checks'!E269),AR59*('Data Checks'!E269/'Data Checks'!E270))</f>
        <v>83.963840510082335</v>
      </c>
      <c r="AS60">
        <f>IF(AN59="BUY",AS59*('Data Checks'!F270/'Data Checks'!F269),AS59*('Data Checks'!F269/'Data Checks'!F270))</f>
        <v>155.99744994925572</v>
      </c>
      <c r="AT60" s="16">
        <f t="shared" si="12"/>
        <v>830.49178300850917</v>
      </c>
      <c r="AU60" s="17">
        <f t="shared" si="16"/>
        <v>-1.5380489937226627E-2</v>
      </c>
    </row>
    <row r="61" spans="1:47" x14ac:dyDescent="0.35">
      <c r="A61" s="2">
        <f>Prices!A269</f>
        <v>44278</v>
      </c>
      <c r="B61">
        <f>B60*('Data Checks'!B271/'Data Checks'!B270)</f>
        <v>200.50789468702538</v>
      </c>
      <c r="C61">
        <f>C60*('Data Checks'!C271/'Data Checks'!C270)</f>
        <v>142.9006843510461</v>
      </c>
      <c r="D61">
        <f>D60*('Data Checks'!D271/'Data Checks'!D270)</f>
        <v>121.6229708068621</v>
      </c>
      <c r="E61">
        <f>E60*('Data Checks'!E271/'Data Checks'!E270)</f>
        <v>89.822561438816152</v>
      </c>
      <c r="F61">
        <f>F60*('Data Checks'!F271/'Data Checks'!F270)</f>
        <v>110.44349514225323</v>
      </c>
      <c r="G61" s="16">
        <f t="shared" si="9"/>
        <v>665.29760642600297</v>
      </c>
      <c r="H61" s="17">
        <f t="shared" si="13"/>
        <v>2.147397049920774E-2</v>
      </c>
      <c r="J61" t="str">
        <f>IF(AND('Data Checks'!B271&gt;'Data Checks'!B270,'Data Checks'!B270&gt;'Data Checks'!B269,'Data Checks'!B269&gt;'Data Checks'!B268),"SELL",IF(AND('Data Checks'!B271&lt;'Data Checks'!B270,'Data Checks'!B270&lt;'Data Checks'!B269,'Data Checks'!B269&lt;'Data Checks'!B268),"BUY",""))</f>
        <v/>
      </c>
      <c r="K61" t="str">
        <f>IF(AND('Data Checks'!C271&gt;'Data Checks'!C270,'Data Checks'!C270&gt;'Data Checks'!C269,'Data Checks'!C269&gt;'Data Checks'!C268),"SELL",IF(AND('Data Checks'!C271&lt;'Data Checks'!C270,'Data Checks'!C270&lt;'Data Checks'!C269,'Data Checks'!C269&lt;'Data Checks'!C268),"BUY",""))</f>
        <v/>
      </c>
      <c r="L61" t="str">
        <f>IF(AND('Data Checks'!D271&gt;'Data Checks'!D270,'Data Checks'!D270&gt;'Data Checks'!D269,'Data Checks'!D269&gt;'Data Checks'!D268),"SELL",IF(AND('Data Checks'!D271&lt;'Data Checks'!D270,'Data Checks'!D270&lt;'Data Checks'!D269,'Data Checks'!D269&lt;'Data Checks'!D268),"BUY",""))</f>
        <v>BUY</v>
      </c>
      <c r="M61" t="str">
        <f>IF(AND('Data Checks'!E271&gt;'Data Checks'!E270,'Data Checks'!E270&gt;'Data Checks'!E269,'Data Checks'!E269&gt;'Data Checks'!E268),"SELL",IF(AND('Data Checks'!E271&lt;'Data Checks'!E270,'Data Checks'!E270&lt;'Data Checks'!E269,'Data Checks'!E269&lt;'Data Checks'!E268),"BUY",""))</f>
        <v>SELL</v>
      </c>
      <c r="N61" t="str">
        <f>IF(AND('Data Checks'!F271&gt;'Data Checks'!F270,'Data Checks'!F270&gt;'Data Checks'!F269,'Data Checks'!F269&gt;'Data Checks'!F268),"SELL",IF(AND('Data Checks'!F271&lt;'Data Checks'!F270,'Data Checks'!F270&lt;'Data Checks'!F269,'Data Checks'!F269&lt;'Data Checks'!F268),"BUY",""))</f>
        <v/>
      </c>
      <c r="O61">
        <f>IF(J60="BUY",O60*('Data Checks'!B271/'Data Checks'!B270),IF(J60="SELL",O60*('Data Checks'!B270/'Data Checks'!B271),O60))</f>
        <v>194.53742709432402</v>
      </c>
      <c r="P61">
        <f>IF(K60="BUY",P60*('Data Checks'!C271/'Data Checks'!C270),IF(K60="SELL",P60*('Data Checks'!C270/'Data Checks'!C271),P60))</f>
        <v>206.37072997480541</v>
      </c>
      <c r="Q61">
        <f>IF(L60="BUY",Q60*('Data Checks'!D271/'Data Checks'!D270),IF(L60="SELL",Q60*('Data Checks'!D270/'Data Checks'!D271),Q60))</f>
        <v>227.31771986002079</v>
      </c>
      <c r="R61">
        <f>IF(M60="BUY",R60*('Data Checks'!E271/'Data Checks'!E270),IF(M60="SELL",R60*('Data Checks'!E270/'Data Checks'!E271),R60))</f>
        <v>173.2826172836248</v>
      </c>
      <c r="S61">
        <f>IF(N60="BUY",S60*('Data Checks'!F271/'Data Checks'!F270),IF(N60="SELL",S60*('Data Checks'!F270/'Data Checks'!F271),S60))</f>
        <v>155.37705301990675</v>
      </c>
      <c r="T61" s="16">
        <f t="shared" si="10"/>
        <v>956.8855472326818</v>
      </c>
      <c r="U61" s="17">
        <f t="shared" si="14"/>
        <v>8.0602716816848829E-3</v>
      </c>
      <c r="W61" t="str">
        <f>IF(AND('Data Checks'!B271&gt;'Data Checks'!B270,'Data Checks'!B270&gt;'Data Checks'!B269,'Data Checks'!B269&gt;'Data Checks'!B268),"BUY",IF(AND('Data Checks'!B271&lt;'Data Checks'!B270,'Data Checks'!B270&lt;'Data Checks'!B269,'Data Checks'!B269&lt;'Data Checks'!B268),"SELL",""))</f>
        <v/>
      </c>
      <c r="X61" t="str">
        <f>IF(AND('Data Checks'!C271&gt;'Data Checks'!C270,'Data Checks'!C270&gt;'Data Checks'!C269,'Data Checks'!C269&gt;'Data Checks'!C268),"BUY",IF(AND('Data Checks'!C271&lt;'Data Checks'!C270,'Data Checks'!C270&lt;'Data Checks'!C269,'Data Checks'!C269&lt;'Data Checks'!C268),"SELL",""))</f>
        <v/>
      </c>
      <c r="Y61" t="str">
        <f>IF(AND('Data Checks'!D271&gt;'Data Checks'!D270,'Data Checks'!D270&gt;'Data Checks'!D269,'Data Checks'!D269&gt;'Data Checks'!D268),"BUY",IF(AND('Data Checks'!D271&lt;'Data Checks'!D270,'Data Checks'!D270&lt;'Data Checks'!D269,'Data Checks'!D269&lt;'Data Checks'!D268),"SELL",""))</f>
        <v>SELL</v>
      </c>
      <c r="Z61" t="str">
        <f>IF(AND('Data Checks'!E271&gt;'Data Checks'!E270,'Data Checks'!E270&gt;'Data Checks'!E269,'Data Checks'!E269&gt;'Data Checks'!E268),"BUY",IF(AND('Data Checks'!E271&lt;'Data Checks'!E270,'Data Checks'!E270&lt;'Data Checks'!E269,'Data Checks'!E269&lt;'Data Checks'!E268),"SELL",""))</f>
        <v>BUY</v>
      </c>
      <c r="AA61" t="str">
        <f>IF(AND('Data Checks'!F271&gt;'Data Checks'!F270,'Data Checks'!F270&gt;'Data Checks'!F269,'Data Checks'!F269&gt;'Data Checks'!F268),"BUY",IF(AND('Data Checks'!F271&lt;'Data Checks'!F270,'Data Checks'!F270&lt;'Data Checks'!F269,'Data Checks'!F269&lt;'Data Checks'!F268),"SELL",""))</f>
        <v/>
      </c>
      <c r="AB61">
        <f>IF(W60="BUY",AB60*('Data Checks'!B271/'Data Checks'!B270),IF(W60="SELL",AB60*('Data Checks'!B270/'Data Checks'!B271),AB60))</f>
        <v>205.61596088451128</v>
      </c>
      <c r="AC61">
        <f>IF(X60="BUY",AC60*('Data Checks'!C271/'Data Checks'!C270),IF(X60="SELL",AC60*('Data Checks'!C270/'Data Checks'!C271),AC60))</f>
        <v>193.82593648277251</v>
      </c>
      <c r="AD61">
        <f>IF(Y60="BUY",AD60*('Data Checks'!D271/'Data Checks'!D270),IF(Y60="SELL",AD60*('Data Checks'!D270/'Data Checks'!D271),AD60))</f>
        <v>175.96516463666563</v>
      </c>
      <c r="AE61">
        <f>IF(Z60="BUY",AE60*('Data Checks'!E271/'Data Checks'!E270),IF(Z60="SELL",AE60*('Data Checks'!E270/'Data Checks'!E271),AE60))</f>
        <v>230.83677189922042</v>
      </c>
      <c r="AF61">
        <f>IF(AA60="BUY",AF60*('Data Checks'!F271/'Data Checks'!F270),IF(AA60="SELL",AF60*('Data Checks'!F270/'Data Checks'!F271),AF60))</f>
        <v>257.43827175609545</v>
      </c>
      <c r="AG61" s="16">
        <f t="shared" si="11"/>
        <v>1063.6821056592653</v>
      </c>
      <c r="AH61" s="17">
        <f t="shared" si="15"/>
        <v>-1.3300864654236522E-2</v>
      </c>
      <c r="AJ61" t="str">
        <f>IF('Moving Ave'!G271&gt;'Moving Ave'!L271,"SELL","BUY")</f>
        <v>SELL</v>
      </c>
      <c r="AK61" t="str">
        <f>IF('Moving Ave'!H271&gt;'Moving Ave'!M271,"SELL","BUY")</f>
        <v>BUY</v>
      </c>
      <c r="AL61" t="str">
        <f>IF('Moving Ave'!I271&gt;'Moving Ave'!N271,"SELL","BUY")</f>
        <v>BUY</v>
      </c>
      <c r="AM61" t="str">
        <f>IF('Moving Ave'!J271&gt;'Moving Ave'!O271,"SELL","BUY")</f>
        <v>BUY</v>
      </c>
      <c r="AN61" t="str">
        <f>IF('Moving Ave'!K271&gt;'Moving Ave'!P271,"SELL","BUY")</f>
        <v>BUY</v>
      </c>
      <c r="AO61">
        <f>IF(AJ60="BUY",AO60*('Data Checks'!B271/'Data Checks'!B270),AO60*('Data Checks'!B270/'Data Checks'!B271))</f>
        <v>232.77518307929975</v>
      </c>
      <c r="AP61">
        <f>IF(AK60="BUY",AP60*('Data Checks'!C271/'Data Checks'!C270),AP60*('Data Checks'!C270/'Data Checks'!C271))</f>
        <v>142.9006843510461</v>
      </c>
      <c r="AQ61">
        <f>IF(AL60="BUY",AQ60*('Data Checks'!D271/'Data Checks'!D270),AQ60*('Data Checks'!D270/'Data Checks'!D271))</f>
        <v>203.40804966234347</v>
      </c>
      <c r="AR61">
        <f>IF(AM60="BUY",AR60*('Data Checks'!E271/'Data Checks'!E270),AR60*('Data Checks'!E270/'Data Checks'!E271))</f>
        <v>89.822561438816152</v>
      </c>
      <c r="AS61">
        <f>IF(AN60="BUY",AS60*('Data Checks'!F271/'Data Checks'!F270),AS60*('Data Checks'!F270/'Data Checks'!F271))</f>
        <v>165.12344537871112</v>
      </c>
      <c r="AT61" s="16">
        <f t="shared" si="12"/>
        <v>834.02992391021667</v>
      </c>
      <c r="AU61" s="17">
        <f t="shared" si="16"/>
        <v>4.2602960969588821E-3</v>
      </c>
    </row>
    <row r="62" spans="1:47" x14ac:dyDescent="0.35">
      <c r="A62" s="2">
        <f>Prices!A270</f>
        <v>44279</v>
      </c>
      <c r="B62">
        <f>B61*('Data Checks'!B272/'Data Checks'!B271)</f>
        <v>204.43516796837127</v>
      </c>
      <c r="C62">
        <f>C61*('Data Checks'!C272/'Data Checks'!C271)</f>
        <v>150.31750445307352</v>
      </c>
      <c r="D62">
        <f>D61*('Data Checks'!D272/'Data Checks'!D271)</f>
        <v>140.82484122265558</v>
      </c>
      <c r="E62">
        <f>E61*('Data Checks'!E272/'Data Checks'!E271)</f>
        <v>107.49916278877927</v>
      </c>
      <c r="F62">
        <f>F61*('Data Checks'!F272/'Data Checks'!F271)</f>
        <v>100.61993467744311</v>
      </c>
      <c r="G62" s="16">
        <f t="shared" si="9"/>
        <v>703.69661111032269</v>
      </c>
      <c r="H62" s="17">
        <f t="shared" si="13"/>
        <v>5.771703417151941E-2</v>
      </c>
      <c r="J62" t="str">
        <f>IF(AND('Data Checks'!B272&gt;'Data Checks'!B271,'Data Checks'!B271&gt;'Data Checks'!B270,'Data Checks'!B270&gt;'Data Checks'!B269),"SELL",IF(AND('Data Checks'!B272&lt;'Data Checks'!B271,'Data Checks'!B271&lt;'Data Checks'!B270,'Data Checks'!B270&lt;'Data Checks'!B269),"BUY",""))</f>
        <v/>
      </c>
      <c r="K62" t="str">
        <f>IF(AND('Data Checks'!C272&gt;'Data Checks'!C271,'Data Checks'!C271&gt;'Data Checks'!C270,'Data Checks'!C270&gt;'Data Checks'!C269),"SELL",IF(AND('Data Checks'!C272&lt;'Data Checks'!C271,'Data Checks'!C271&lt;'Data Checks'!C270,'Data Checks'!C270&lt;'Data Checks'!C269),"BUY",""))</f>
        <v/>
      </c>
      <c r="L62" t="str">
        <f>IF(AND('Data Checks'!D272&gt;'Data Checks'!D271,'Data Checks'!D271&gt;'Data Checks'!D270,'Data Checks'!D270&gt;'Data Checks'!D269),"SELL",IF(AND('Data Checks'!D272&lt;'Data Checks'!D271,'Data Checks'!D271&lt;'Data Checks'!D270,'Data Checks'!D270&lt;'Data Checks'!D269),"BUY",""))</f>
        <v/>
      </c>
      <c r="M62" t="str">
        <f>IF(AND('Data Checks'!E272&gt;'Data Checks'!E271,'Data Checks'!E271&gt;'Data Checks'!E270,'Data Checks'!E270&gt;'Data Checks'!E269),"SELL",IF(AND('Data Checks'!E272&lt;'Data Checks'!E271,'Data Checks'!E271&lt;'Data Checks'!E270,'Data Checks'!E270&lt;'Data Checks'!E269),"BUY",""))</f>
        <v>SELL</v>
      </c>
      <c r="N62" t="str">
        <f>IF(AND('Data Checks'!F272&gt;'Data Checks'!F271,'Data Checks'!F271&gt;'Data Checks'!F270,'Data Checks'!F270&gt;'Data Checks'!F269),"SELL",IF(AND('Data Checks'!F272&lt;'Data Checks'!F271,'Data Checks'!F271&lt;'Data Checks'!F270,'Data Checks'!F270&lt;'Data Checks'!F269),"BUY",""))</f>
        <v/>
      </c>
      <c r="O62">
        <f>IF(J61="BUY",O61*('Data Checks'!B272/'Data Checks'!B271),IF(J61="SELL",O61*('Data Checks'!B271/'Data Checks'!B272),O61))</f>
        <v>194.53742709432402</v>
      </c>
      <c r="P62">
        <f>IF(K61="BUY",P61*('Data Checks'!C272/'Data Checks'!C271),IF(K61="SELL",P61*('Data Checks'!C271/'Data Checks'!C272),P61))</f>
        <v>206.37072997480541</v>
      </c>
      <c r="Q62">
        <f>IF(L61="BUY",Q61*('Data Checks'!D272/'Data Checks'!D271),IF(L61="SELL",Q61*('Data Checks'!D271/'Data Checks'!D272),Q61))</f>
        <v>263.20670835461431</v>
      </c>
      <c r="R62">
        <f>IF(M61="BUY",R61*('Data Checks'!E272/'Data Checks'!E271),IF(M61="SELL",R61*('Data Checks'!E271/'Data Checks'!E272),R61))</f>
        <v>144.7889279642082</v>
      </c>
      <c r="S62">
        <f>IF(N61="BUY",S61*('Data Checks'!F272/'Data Checks'!F271),IF(N61="SELL",S61*('Data Checks'!F271/'Data Checks'!F272),S61))</f>
        <v>155.37705301990675</v>
      </c>
      <c r="T62" s="16">
        <f t="shared" si="10"/>
        <v>964.28084640785869</v>
      </c>
      <c r="U62" s="17">
        <f t="shared" si="14"/>
        <v>7.7285096389678731E-3</v>
      </c>
      <c r="W62" t="str">
        <f>IF(AND('Data Checks'!B272&gt;'Data Checks'!B271,'Data Checks'!B271&gt;'Data Checks'!B270,'Data Checks'!B270&gt;'Data Checks'!B269),"BUY",IF(AND('Data Checks'!B272&lt;'Data Checks'!B271,'Data Checks'!B271&lt;'Data Checks'!B270,'Data Checks'!B270&lt;'Data Checks'!B269),"SELL",""))</f>
        <v/>
      </c>
      <c r="X62" t="str">
        <f>IF(AND('Data Checks'!C272&gt;'Data Checks'!C271,'Data Checks'!C271&gt;'Data Checks'!C270,'Data Checks'!C270&gt;'Data Checks'!C269),"BUY",IF(AND('Data Checks'!C272&lt;'Data Checks'!C271,'Data Checks'!C271&lt;'Data Checks'!C270,'Data Checks'!C270&lt;'Data Checks'!C269),"SELL",""))</f>
        <v/>
      </c>
      <c r="Y62" t="str">
        <f>IF(AND('Data Checks'!D272&gt;'Data Checks'!D271,'Data Checks'!D271&gt;'Data Checks'!D270,'Data Checks'!D270&gt;'Data Checks'!D269),"BUY",IF(AND('Data Checks'!D272&lt;'Data Checks'!D271,'Data Checks'!D271&lt;'Data Checks'!D270,'Data Checks'!D270&lt;'Data Checks'!D269),"SELL",""))</f>
        <v/>
      </c>
      <c r="Z62" t="str">
        <f>IF(AND('Data Checks'!E272&gt;'Data Checks'!E271,'Data Checks'!E271&gt;'Data Checks'!E270,'Data Checks'!E270&gt;'Data Checks'!E269),"BUY",IF(AND('Data Checks'!E272&lt;'Data Checks'!E271,'Data Checks'!E271&lt;'Data Checks'!E270,'Data Checks'!E270&lt;'Data Checks'!E269),"SELL",""))</f>
        <v>BUY</v>
      </c>
      <c r="AA62" t="str">
        <f>IF(AND('Data Checks'!F272&gt;'Data Checks'!F271,'Data Checks'!F271&gt;'Data Checks'!F270,'Data Checks'!F270&gt;'Data Checks'!F269),"BUY",IF(AND('Data Checks'!F272&lt;'Data Checks'!F271,'Data Checks'!F271&lt;'Data Checks'!F270,'Data Checks'!F270&lt;'Data Checks'!F269),"SELL",""))</f>
        <v/>
      </c>
      <c r="AB62">
        <f>IF(W61="BUY",AB61*('Data Checks'!B272/'Data Checks'!B271),IF(W61="SELL",AB61*('Data Checks'!B271/'Data Checks'!B272),AB61))</f>
        <v>205.61596088451128</v>
      </c>
      <c r="AC62">
        <f>IF(X61="BUY",AC61*('Data Checks'!C272/'Data Checks'!C271),IF(X61="SELL",AC61*('Data Checks'!C271/'Data Checks'!C272),AC61))</f>
        <v>193.82593648277251</v>
      </c>
      <c r="AD62">
        <f>IF(Y61="BUY",AD61*('Data Checks'!D272/'Data Checks'!D271),IF(Y61="SELL",AD61*('Data Checks'!D271/'Data Checks'!D272),AD61))</f>
        <v>151.97181048329747</v>
      </c>
      <c r="AE62">
        <f>IF(Z61="BUY",AE61*('Data Checks'!E272/'Data Checks'!E271),IF(Z61="SELL",AE61*('Data Checks'!E271/'Data Checks'!E272),AE61))</f>
        <v>276.26421828254712</v>
      </c>
      <c r="AF62">
        <f>IF(AA61="BUY",AF61*('Data Checks'!F272/'Data Checks'!F271),IF(AA61="SELL",AF61*('Data Checks'!F271/'Data Checks'!F272),AF61))</f>
        <v>257.43827175609545</v>
      </c>
      <c r="AG62" s="16">
        <f t="shared" si="11"/>
        <v>1085.1161978892237</v>
      </c>
      <c r="AH62" s="17">
        <f t="shared" si="15"/>
        <v>2.0150844050040417E-2</v>
      </c>
      <c r="AJ62" t="str">
        <f>IF('Moving Ave'!G272&gt;'Moving Ave'!L272,"SELL","BUY")</f>
        <v>SELL</v>
      </c>
      <c r="AK62" t="str">
        <f>IF('Moving Ave'!H272&gt;'Moving Ave'!M272,"SELL","BUY")</f>
        <v>BUY</v>
      </c>
      <c r="AL62" t="str">
        <f>IF('Moving Ave'!I272&gt;'Moving Ave'!N272,"SELL","BUY")</f>
        <v>BUY</v>
      </c>
      <c r="AM62" t="str">
        <f>IF('Moving Ave'!J272&gt;'Moving Ave'!O272,"SELL","BUY")</f>
        <v>BUY</v>
      </c>
      <c r="AN62" t="str">
        <f>IF('Moving Ave'!K272&gt;'Moving Ave'!P272,"SELL","BUY")</f>
        <v>BUY</v>
      </c>
      <c r="AO62">
        <f>IF(AJ61="BUY",AO61*('Data Checks'!B272/'Data Checks'!B271),AO61*('Data Checks'!B271/'Data Checks'!B272))</f>
        <v>228.30348789029412</v>
      </c>
      <c r="AP62">
        <f>IF(AK61="BUY",AP61*('Data Checks'!C272/'Data Checks'!C271),AP61*('Data Checks'!C271/'Data Checks'!C272))</f>
        <v>150.31750445307352</v>
      </c>
      <c r="AQ62">
        <f>IF(AL61="BUY",AQ61*('Data Checks'!D272/'Data Checks'!D271),AQ61*('Data Checks'!D271/'Data Checks'!D272))</f>
        <v>235.52217239124849</v>
      </c>
      <c r="AR62">
        <f>IF(AM61="BUY",AR61*('Data Checks'!E272/'Data Checks'!E271),AR61*('Data Checks'!E271/'Data Checks'!E272))</f>
        <v>107.49916278877927</v>
      </c>
      <c r="AS62">
        <f>IF(AN61="BUY",AS61*('Data Checks'!F272/'Data Checks'!F271),AS61*('Data Checks'!F271/'Data Checks'!F272))</f>
        <v>150.43629564892174</v>
      </c>
      <c r="AT62" s="16">
        <f t="shared" si="12"/>
        <v>872.07862317231718</v>
      </c>
      <c r="AU62" s="17">
        <f t="shared" si="16"/>
        <v>4.5620304705273895E-2</v>
      </c>
    </row>
    <row r="63" spans="1:47" x14ac:dyDescent="0.35">
      <c r="A63" s="2">
        <f>Prices!A271</f>
        <v>44280</v>
      </c>
      <c r="B63">
        <f>B62*('Data Checks'!B273/'Data Checks'!B272)</f>
        <v>198.71759959790731</v>
      </c>
      <c r="C63">
        <f>C62*('Data Checks'!C273/'Data Checks'!C272)</f>
        <v>150.87631066487964</v>
      </c>
      <c r="D63">
        <f>D62*('Data Checks'!D273/'Data Checks'!D272)</f>
        <v>147.53715390778351</v>
      </c>
      <c r="E63">
        <f>E62*('Data Checks'!E273/'Data Checks'!E272)</f>
        <v>114.96484382441101</v>
      </c>
      <c r="F63">
        <f>F62*('Data Checks'!F273/'Data Checks'!F272)</f>
        <v>115.68908415387351</v>
      </c>
      <c r="G63" s="16">
        <f t="shared" si="9"/>
        <v>727.78499214885494</v>
      </c>
      <c r="H63" s="17">
        <f t="shared" si="13"/>
        <v>3.4231202279807249E-2</v>
      </c>
      <c r="J63" t="str">
        <f>IF(AND('Data Checks'!B273&gt;'Data Checks'!B272,'Data Checks'!B272&gt;'Data Checks'!B271,'Data Checks'!B271&gt;'Data Checks'!B270),"SELL",IF(AND('Data Checks'!B273&lt;'Data Checks'!B272,'Data Checks'!B272&lt;'Data Checks'!B271,'Data Checks'!B271&lt;'Data Checks'!B270),"BUY",""))</f>
        <v/>
      </c>
      <c r="K63" t="str">
        <f>IF(AND('Data Checks'!C273&gt;'Data Checks'!C272,'Data Checks'!C272&gt;'Data Checks'!C271,'Data Checks'!C271&gt;'Data Checks'!C270),"SELL",IF(AND('Data Checks'!C273&lt;'Data Checks'!C272,'Data Checks'!C272&lt;'Data Checks'!C271,'Data Checks'!C271&lt;'Data Checks'!C270),"BUY",""))</f>
        <v/>
      </c>
      <c r="L63" t="str">
        <f>IF(AND('Data Checks'!D273&gt;'Data Checks'!D272,'Data Checks'!D272&gt;'Data Checks'!D271,'Data Checks'!D271&gt;'Data Checks'!D270),"SELL",IF(AND('Data Checks'!D273&lt;'Data Checks'!D272,'Data Checks'!D272&lt;'Data Checks'!D271,'Data Checks'!D271&lt;'Data Checks'!D270),"BUY",""))</f>
        <v/>
      </c>
      <c r="M63" t="str">
        <f>IF(AND('Data Checks'!E273&gt;'Data Checks'!E272,'Data Checks'!E272&gt;'Data Checks'!E271,'Data Checks'!E271&gt;'Data Checks'!E270),"SELL",IF(AND('Data Checks'!E273&lt;'Data Checks'!E272,'Data Checks'!E272&lt;'Data Checks'!E271,'Data Checks'!E271&lt;'Data Checks'!E270),"BUY",""))</f>
        <v>SELL</v>
      </c>
      <c r="N63" t="str">
        <f>IF(AND('Data Checks'!F273&gt;'Data Checks'!F272,'Data Checks'!F272&gt;'Data Checks'!F271,'Data Checks'!F271&gt;'Data Checks'!F270),"SELL",IF(AND('Data Checks'!F273&lt;'Data Checks'!F272,'Data Checks'!F272&lt;'Data Checks'!F271,'Data Checks'!F271&lt;'Data Checks'!F270),"BUY",""))</f>
        <v/>
      </c>
      <c r="O63">
        <f>IF(J62="BUY",O62*('Data Checks'!B273/'Data Checks'!B272),IF(J62="SELL",O62*('Data Checks'!B272/'Data Checks'!B273),O62))</f>
        <v>194.53742709432402</v>
      </c>
      <c r="P63">
        <f>IF(K62="BUY",P62*('Data Checks'!C273/'Data Checks'!C272),IF(K62="SELL",P62*('Data Checks'!C272/'Data Checks'!C273),P62))</f>
        <v>206.37072997480541</v>
      </c>
      <c r="Q63">
        <f>IF(L62="BUY",Q62*('Data Checks'!D273/'Data Checks'!D272),IF(L62="SELL",Q62*('Data Checks'!D272/'Data Checks'!D273),Q62))</f>
        <v>263.20670835461431</v>
      </c>
      <c r="R63">
        <f>IF(M62="BUY",R62*('Data Checks'!E273/'Data Checks'!E272),IF(M62="SELL",R62*('Data Checks'!E272/'Data Checks'!E273),R62))</f>
        <v>135.38650616539465</v>
      </c>
      <c r="S63">
        <f>IF(N62="BUY",S62*('Data Checks'!F273/'Data Checks'!F272),IF(N62="SELL",S62*('Data Checks'!F272/'Data Checks'!F273),S62))</f>
        <v>155.37705301990675</v>
      </c>
      <c r="T63" s="16">
        <f t="shared" si="10"/>
        <v>954.87842460904506</v>
      </c>
      <c r="U63" s="17">
        <f t="shared" si="14"/>
        <v>-9.7507088664464669E-3</v>
      </c>
      <c r="W63" t="str">
        <f>IF(AND('Data Checks'!B273&gt;'Data Checks'!B272,'Data Checks'!B272&gt;'Data Checks'!B271,'Data Checks'!B271&gt;'Data Checks'!B270),"BUY",IF(AND('Data Checks'!B273&lt;'Data Checks'!B272,'Data Checks'!B272&lt;'Data Checks'!B271,'Data Checks'!B271&lt;'Data Checks'!B270),"SELL",""))</f>
        <v/>
      </c>
      <c r="X63" t="str">
        <f>IF(AND('Data Checks'!C273&gt;'Data Checks'!C272,'Data Checks'!C272&gt;'Data Checks'!C271,'Data Checks'!C271&gt;'Data Checks'!C270),"BUY",IF(AND('Data Checks'!C273&lt;'Data Checks'!C272,'Data Checks'!C272&lt;'Data Checks'!C271,'Data Checks'!C271&lt;'Data Checks'!C270),"SELL",""))</f>
        <v/>
      </c>
      <c r="Y63" t="str">
        <f>IF(AND('Data Checks'!D273&gt;'Data Checks'!D272,'Data Checks'!D272&gt;'Data Checks'!D271,'Data Checks'!D271&gt;'Data Checks'!D270),"BUY",IF(AND('Data Checks'!D273&lt;'Data Checks'!D272,'Data Checks'!D272&lt;'Data Checks'!D271,'Data Checks'!D271&lt;'Data Checks'!D270),"SELL",""))</f>
        <v/>
      </c>
      <c r="Z63" t="str">
        <f>IF(AND('Data Checks'!E273&gt;'Data Checks'!E272,'Data Checks'!E272&gt;'Data Checks'!E271,'Data Checks'!E271&gt;'Data Checks'!E270),"BUY",IF(AND('Data Checks'!E273&lt;'Data Checks'!E272,'Data Checks'!E272&lt;'Data Checks'!E271,'Data Checks'!E271&lt;'Data Checks'!E270),"SELL",""))</f>
        <v>BUY</v>
      </c>
      <c r="AA63" t="str">
        <f>IF(AND('Data Checks'!F273&gt;'Data Checks'!F272,'Data Checks'!F272&gt;'Data Checks'!F271,'Data Checks'!F271&gt;'Data Checks'!F270),"BUY",IF(AND('Data Checks'!F273&lt;'Data Checks'!F272,'Data Checks'!F272&lt;'Data Checks'!F271,'Data Checks'!F271&lt;'Data Checks'!F270),"SELL",""))</f>
        <v/>
      </c>
      <c r="AB63">
        <f>IF(W62="BUY",AB62*('Data Checks'!B273/'Data Checks'!B272),IF(W62="SELL",AB62*('Data Checks'!B272/'Data Checks'!B273),AB62))</f>
        <v>205.61596088451128</v>
      </c>
      <c r="AC63">
        <f>IF(X62="BUY",AC62*('Data Checks'!C273/'Data Checks'!C272),IF(X62="SELL",AC62*('Data Checks'!C272/'Data Checks'!C273),AC62))</f>
        <v>193.82593648277251</v>
      </c>
      <c r="AD63">
        <f>IF(Y62="BUY",AD62*('Data Checks'!D273/'Data Checks'!D272),IF(Y62="SELL",AD62*('Data Checks'!D272/'Data Checks'!D273),AD62))</f>
        <v>151.97181048329747</v>
      </c>
      <c r="AE63">
        <f>IF(Z62="BUY",AE62*('Data Checks'!E273/'Data Checks'!E272),IF(Z62="SELL",AE62*('Data Checks'!E272/'Data Checks'!E273),AE62))</f>
        <v>295.45041919564778</v>
      </c>
      <c r="AF63">
        <f>IF(AA62="BUY",AF62*('Data Checks'!F273/'Data Checks'!F272),IF(AA62="SELL",AF62*('Data Checks'!F272/'Data Checks'!F273),AF62))</f>
        <v>257.43827175609545</v>
      </c>
      <c r="AG63" s="16">
        <f t="shared" si="11"/>
        <v>1104.3023988023244</v>
      </c>
      <c r="AH63" s="17">
        <f t="shared" si="15"/>
        <v>1.768124091265233E-2</v>
      </c>
      <c r="AJ63" t="str">
        <f>IF('Moving Ave'!G273&gt;'Moving Ave'!L273,"SELL","BUY")</f>
        <v>SELL</v>
      </c>
      <c r="AK63" t="str">
        <f>IF('Moving Ave'!H273&gt;'Moving Ave'!M273,"SELL","BUY")</f>
        <v>BUY</v>
      </c>
      <c r="AL63" t="str">
        <f>IF('Moving Ave'!I273&gt;'Moving Ave'!N273,"SELL","BUY")</f>
        <v>BUY</v>
      </c>
      <c r="AM63" t="str">
        <f>IF('Moving Ave'!J273&gt;'Moving Ave'!O273,"SELL","BUY")</f>
        <v>BUY</v>
      </c>
      <c r="AN63" t="str">
        <f>IF('Moving Ave'!K273&gt;'Moving Ave'!P273,"SELL","BUY")</f>
        <v>BUY</v>
      </c>
      <c r="AO63">
        <f>IF(AJ62="BUY",AO62*('Data Checks'!B273/'Data Checks'!B272),AO62*('Data Checks'!B272/'Data Checks'!B273))</f>
        <v>234.87231120473345</v>
      </c>
      <c r="AP63">
        <f>IF(AK62="BUY",AP62*('Data Checks'!C273/'Data Checks'!C272),AP62*('Data Checks'!C272/'Data Checks'!C273))</f>
        <v>150.87631066487964</v>
      </c>
      <c r="AQ63">
        <f>IF(AL62="BUY",AQ62*('Data Checks'!D273/'Data Checks'!D272),AQ62*('Data Checks'!D272/'Data Checks'!D273))</f>
        <v>246.74816385443881</v>
      </c>
      <c r="AR63">
        <f>IF(AM62="BUY",AR62*('Data Checks'!E273/'Data Checks'!E272),AR62*('Data Checks'!E272/'Data Checks'!E273))</f>
        <v>114.96484382441101</v>
      </c>
      <c r="AS63">
        <f>IF(AN62="BUY",AS62*('Data Checks'!F273/'Data Checks'!F272),AS62*('Data Checks'!F272/'Data Checks'!F273))</f>
        <v>172.96609586277816</v>
      </c>
      <c r="AT63" s="16">
        <f t="shared" si="12"/>
        <v>920.42772541124111</v>
      </c>
      <c r="AU63" s="17">
        <f t="shared" si="16"/>
        <v>5.5441219351354709E-2</v>
      </c>
    </row>
    <row r="64" spans="1:47" x14ac:dyDescent="0.35">
      <c r="A64" s="2">
        <f>Prices!A272</f>
        <v>44281</v>
      </c>
      <c r="B64">
        <f>B63*('Data Checks'!B274/'Data Checks'!B273)</f>
        <v>206.05686795087033</v>
      </c>
      <c r="C64">
        <f>C63*('Data Checks'!C274/'Data Checks'!C273)</f>
        <v>153.0607049291518</v>
      </c>
      <c r="D64">
        <f>D63*('Data Checks'!D274/'Data Checks'!D273)</f>
        <v>151.61129657056765</v>
      </c>
      <c r="E64">
        <f>E63*('Data Checks'!E274/'Data Checks'!E273)</f>
        <v>116.94006973752697</v>
      </c>
      <c r="F64">
        <f>F63*('Data Checks'!F274/'Data Checks'!F273)</f>
        <v>123.36672184120263</v>
      </c>
      <c r="G64" s="16">
        <f t="shared" si="9"/>
        <v>751.03566102931939</v>
      </c>
      <c r="H64" s="17">
        <f t="shared" si="13"/>
        <v>3.1947167269573251E-2</v>
      </c>
      <c r="J64" t="str">
        <f>IF(AND('Data Checks'!B274&gt;'Data Checks'!B273,'Data Checks'!B273&gt;'Data Checks'!B272,'Data Checks'!B272&gt;'Data Checks'!B271),"SELL",IF(AND('Data Checks'!B274&lt;'Data Checks'!B273,'Data Checks'!B273&lt;'Data Checks'!B272,'Data Checks'!B272&lt;'Data Checks'!B271),"BUY",""))</f>
        <v/>
      </c>
      <c r="K64" t="str">
        <f>IF(AND('Data Checks'!C274&gt;'Data Checks'!C273,'Data Checks'!C273&gt;'Data Checks'!C272,'Data Checks'!C272&gt;'Data Checks'!C271),"SELL",IF(AND('Data Checks'!C274&lt;'Data Checks'!C273,'Data Checks'!C273&lt;'Data Checks'!C272,'Data Checks'!C272&lt;'Data Checks'!C271),"BUY",""))</f>
        <v>SELL</v>
      </c>
      <c r="L64" t="str">
        <f>IF(AND('Data Checks'!D274&gt;'Data Checks'!D273,'Data Checks'!D273&gt;'Data Checks'!D272,'Data Checks'!D272&gt;'Data Checks'!D271),"SELL",IF(AND('Data Checks'!D274&lt;'Data Checks'!D273,'Data Checks'!D273&lt;'Data Checks'!D272,'Data Checks'!D272&lt;'Data Checks'!D271),"BUY",""))</f>
        <v>SELL</v>
      </c>
      <c r="M64" t="str">
        <f>IF(AND('Data Checks'!E274&gt;'Data Checks'!E273,'Data Checks'!E273&gt;'Data Checks'!E272,'Data Checks'!E272&gt;'Data Checks'!E271),"SELL",IF(AND('Data Checks'!E274&lt;'Data Checks'!E273,'Data Checks'!E273&lt;'Data Checks'!E272,'Data Checks'!E272&lt;'Data Checks'!E271),"BUY",""))</f>
        <v>SELL</v>
      </c>
      <c r="N64" t="str">
        <f>IF(AND('Data Checks'!F274&gt;'Data Checks'!F273,'Data Checks'!F273&gt;'Data Checks'!F272,'Data Checks'!F272&gt;'Data Checks'!F271),"SELL",IF(AND('Data Checks'!F274&lt;'Data Checks'!F273,'Data Checks'!F273&lt;'Data Checks'!F272,'Data Checks'!F272&lt;'Data Checks'!F271),"BUY",""))</f>
        <v/>
      </c>
      <c r="O64">
        <f>IF(J63="BUY",O63*('Data Checks'!B274/'Data Checks'!B273),IF(J63="SELL",O63*('Data Checks'!B273/'Data Checks'!B274),O63))</f>
        <v>194.53742709432402</v>
      </c>
      <c r="P64">
        <f>IF(K63="BUY",P63*('Data Checks'!C274/'Data Checks'!C273),IF(K63="SELL",P63*('Data Checks'!C273/'Data Checks'!C274),P63))</f>
        <v>206.37072997480541</v>
      </c>
      <c r="Q64">
        <f>IF(L63="BUY",Q63*('Data Checks'!D274/'Data Checks'!D273),IF(L63="SELL",Q63*('Data Checks'!D273/'Data Checks'!D274),Q63))</f>
        <v>263.20670835461431</v>
      </c>
      <c r="R64">
        <f>IF(M63="BUY",R63*('Data Checks'!E274/'Data Checks'!E273),IF(M63="SELL",R63*('Data Checks'!E273/'Data Checks'!E274),R63))</f>
        <v>133.09970288347131</v>
      </c>
      <c r="S64">
        <f>IF(N63="BUY",S63*('Data Checks'!F274/'Data Checks'!F273),IF(N63="SELL",S63*('Data Checks'!F273/'Data Checks'!F274),S63))</f>
        <v>155.37705301990675</v>
      </c>
      <c r="T64" s="16">
        <f t="shared" si="10"/>
        <v>952.59162132712174</v>
      </c>
      <c r="U64" s="17">
        <f t="shared" si="14"/>
        <v>-2.3948632862446084E-3</v>
      </c>
      <c r="W64" t="str">
        <f>IF(AND('Data Checks'!B274&gt;'Data Checks'!B273,'Data Checks'!B273&gt;'Data Checks'!B272,'Data Checks'!B272&gt;'Data Checks'!B271),"BUY",IF(AND('Data Checks'!B274&lt;'Data Checks'!B273,'Data Checks'!B273&lt;'Data Checks'!B272,'Data Checks'!B272&lt;'Data Checks'!B271),"SELL",""))</f>
        <v/>
      </c>
      <c r="X64" t="str">
        <f>IF(AND('Data Checks'!C274&gt;'Data Checks'!C273,'Data Checks'!C273&gt;'Data Checks'!C272,'Data Checks'!C272&gt;'Data Checks'!C271),"BUY",IF(AND('Data Checks'!C274&lt;'Data Checks'!C273,'Data Checks'!C273&lt;'Data Checks'!C272,'Data Checks'!C272&lt;'Data Checks'!C271),"SELL",""))</f>
        <v>BUY</v>
      </c>
      <c r="Y64" t="str">
        <f>IF(AND('Data Checks'!D274&gt;'Data Checks'!D273,'Data Checks'!D273&gt;'Data Checks'!D272,'Data Checks'!D272&gt;'Data Checks'!D271),"BUY",IF(AND('Data Checks'!D274&lt;'Data Checks'!D273,'Data Checks'!D273&lt;'Data Checks'!D272,'Data Checks'!D272&lt;'Data Checks'!D271),"SELL",""))</f>
        <v>BUY</v>
      </c>
      <c r="Z64" t="str">
        <f>IF(AND('Data Checks'!E274&gt;'Data Checks'!E273,'Data Checks'!E273&gt;'Data Checks'!E272,'Data Checks'!E272&gt;'Data Checks'!E271),"BUY",IF(AND('Data Checks'!E274&lt;'Data Checks'!E273,'Data Checks'!E273&lt;'Data Checks'!E272,'Data Checks'!E272&lt;'Data Checks'!E271),"SELL",""))</f>
        <v>BUY</v>
      </c>
      <c r="AA64" t="str">
        <f>IF(AND('Data Checks'!F274&gt;'Data Checks'!F273,'Data Checks'!F273&gt;'Data Checks'!F272,'Data Checks'!F272&gt;'Data Checks'!F271),"BUY",IF(AND('Data Checks'!F274&lt;'Data Checks'!F273,'Data Checks'!F273&lt;'Data Checks'!F272,'Data Checks'!F272&lt;'Data Checks'!F271),"SELL",""))</f>
        <v/>
      </c>
      <c r="AB64">
        <f>IF(W63="BUY",AB63*('Data Checks'!B274/'Data Checks'!B273),IF(W63="SELL",AB63*('Data Checks'!B273/'Data Checks'!B274),AB63))</f>
        <v>205.61596088451128</v>
      </c>
      <c r="AC64">
        <f>IF(X63="BUY",AC63*('Data Checks'!C274/'Data Checks'!C273),IF(X63="SELL",AC63*('Data Checks'!C273/'Data Checks'!C274),AC63))</f>
        <v>193.82593648277251</v>
      </c>
      <c r="AD64">
        <f>IF(Y63="BUY",AD63*('Data Checks'!D274/'Data Checks'!D273),IF(Y63="SELL",AD63*('Data Checks'!D273/'Data Checks'!D274),AD63))</f>
        <v>151.97181048329747</v>
      </c>
      <c r="AE64">
        <f>IF(Z63="BUY",AE63*('Data Checks'!E274/'Data Checks'!E273),IF(Z63="SELL",AE63*('Data Checks'!E273/'Data Checks'!E274),AE63))</f>
        <v>300.52659122026722</v>
      </c>
      <c r="AF64">
        <f>IF(AA63="BUY",AF63*('Data Checks'!F274/'Data Checks'!F273),IF(AA63="SELL",AF63*('Data Checks'!F273/'Data Checks'!F274),AF63))</f>
        <v>257.43827175609545</v>
      </c>
      <c r="AG64" s="16">
        <f t="shared" si="11"/>
        <v>1109.3785708269438</v>
      </c>
      <c r="AH64" s="17">
        <f t="shared" si="15"/>
        <v>4.5967228090102452E-3</v>
      </c>
      <c r="AJ64" t="str">
        <f>IF('Moving Ave'!G274&gt;'Moving Ave'!L274,"SELL","BUY")</f>
        <v>SELL</v>
      </c>
      <c r="AK64" t="str">
        <f>IF('Moving Ave'!H274&gt;'Moving Ave'!M274,"SELL","BUY")</f>
        <v>BUY</v>
      </c>
      <c r="AL64" t="str">
        <f>IF('Moving Ave'!I274&gt;'Moving Ave'!N274,"SELL","BUY")</f>
        <v>BUY</v>
      </c>
      <c r="AM64" t="str">
        <f>IF('Moving Ave'!J274&gt;'Moving Ave'!O274,"SELL","BUY")</f>
        <v>BUY</v>
      </c>
      <c r="AN64" t="str">
        <f>IF('Moving Ave'!K274&gt;'Moving Ave'!P274,"SELL","BUY")</f>
        <v>BUY</v>
      </c>
      <c r="AO64">
        <f>IF(AJ63="BUY",AO63*('Data Checks'!B274/'Data Checks'!B273),AO63*('Data Checks'!B273/'Data Checks'!B274))</f>
        <v>226.50670350742934</v>
      </c>
      <c r="AP64">
        <f>IF(AK63="BUY",AP63*('Data Checks'!C274/'Data Checks'!C273),AP63*('Data Checks'!C273/'Data Checks'!C274))</f>
        <v>153.0607049291518</v>
      </c>
      <c r="AQ64">
        <f>IF(AL63="BUY",AQ63*('Data Checks'!D274/'Data Checks'!D273),AQ63*('Data Checks'!D273/'Data Checks'!D274))</f>
        <v>253.56195410791872</v>
      </c>
      <c r="AR64">
        <f>IF(AM63="BUY",AR63*('Data Checks'!E274/'Data Checks'!E273),AR63*('Data Checks'!E273/'Data Checks'!E274))</f>
        <v>116.94006973752697</v>
      </c>
      <c r="AS64">
        <f>IF(AN63="BUY",AS63*('Data Checks'!F274/'Data Checks'!F273),AS63*('Data Checks'!F273/'Data Checks'!F274))</f>
        <v>184.44488857635832</v>
      </c>
      <c r="AT64" s="16">
        <f t="shared" si="12"/>
        <v>934.51432085838519</v>
      </c>
      <c r="AU64" s="17">
        <f t="shared" si="16"/>
        <v>1.5304401484484087E-2</v>
      </c>
    </row>
    <row r="65" spans="1:47" x14ac:dyDescent="0.35">
      <c r="A65" s="2">
        <f>Prices!A273</f>
        <v>44282</v>
      </c>
      <c r="B65">
        <f>B64*('Data Checks'!B275/'Data Checks'!B274)</f>
        <v>200.22022707878133</v>
      </c>
      <c r="C65">
        <f>C64*('Data Checks'!C275/'Data Checks'!C274)</f>
        <v>146.65990212496578</v>
      </c>
      <c r="D65">
        <f>D64*('Data Checks'!D275/'Data Checks'!D274)</f>
        <v>145.50008591584714</v>
      </c>
      <c r="E65">
        <f>E64*('Data Checks'!E275/'Data Checks'!E274)</f>
        <v>105.92567104366687</v>
      </c>
      <c r="F65">
        <f>F64*('Data Checks'!F275/'Data Checks'!F274)</f>
        <v>132.09346874716468</v>
      </c>
      <c r="G65" s="16">
        <f t="shared" si="9"/>
        <v>730.39935491042581</v>
      </c>
      <c r="H65" s="17">
        <f t="shared" si="13"/>
        <v>-2.7477132165216744E-2</v>
      </c>
      <c r="J65" t="str">
        <f>IF(AND('Data Checks'!B275&gt;'Data Checks'!B274,'Data Checks'!B274&gt;'Data Checks'!B273,'Data Checks'!B273&gt;'Data Checks'!B272),"SELL",IF(AND('Data Checks'!B275&lt;'Data Checks'!B274,'Data Checks'!B274&lt;'Data Checks'!B273,'Data Checks'!B273&lt;'Data Checks'!B272),"BUY",""))</f>
        <v/>
      </c>
      <c r="K65" t="str">
        <f>IF(AND('Data Checks'!C275&gt;'Data Checks'!C274,'Data Checks'!C274&gt;'Data Checks'!C273,'Data Checks'!C273&gt;'Data Checks'!C272),"SELL",IF(AND('Data Checks'!C275&lt;'Data Checks'!C274,'Data Checks'!C274&lt;'Data Checks'!C273,'Data Checks'!C273&lt;'Data Checks'!C272),"BUY",""))</f>
        <v/>
      </c>
      <c r="L65" t="str">
        <f>IF(AND('Data Checks'!D275&gt;'Data Checks'!D274,'Data Checks'!D274&gt;'Data Checks'!D273,'Data Checks'!D273&gt;'Data Checks'!D272),"SELL",IF(AND('Data Checks'!D275&lt;'Data Checks'!D274,'Data Checks'!D274&lt;'Data Checks'!D273,'Data Checks'!D273&lt;'Data Checks'!D272),"BUY",""))</f>
        <v/>
      </c>
      <c r="M65" t="str">
        <f>IF(AND('Data Checks'!E275&gt;'Data Checks'!E274,'Data Checks'!E274&gt;'Data Checks'!E273,'Data Checks'!E273&gt;'Data Checks'!E272),"SELL",IF(AND('Data Checks'!E275&lt;'Data Checks'!E274,'Data Checks'!E274&lt;'Data Checks'!E273,'Data Checks'!E273&lt;'Data Checks'!E272),"BUY",""))</f>
        <v/>
      </c>
      <c r="N65" t="str">
        <f>IF(AND('Data Checks'!F275&gt;'Data Checks'!F274,'Data Checks'!F274&gt;'Data Checks'!F273,'Data Checks'!F273&gt;'Data Checks'!F272),"SELL",IF(AND('Data Checks'!F275&lt;'Data Checks'!F274,'Data Checks'!F274&lt;'Data Checks'!F273,'Data Checks'!F273&lt;'Data Checks'!F272),"BUY",""))</f>
        <v>SELL</v>
      </c>
      <c r="O65">
        <f>IF(J64="BUY",O64*('Data Checks'!B275/'Data Checks'!B274),IF(J64="SELL",O64*('Data Checks'!B274/'Data Checks'!B275),O64))</f>
        <v>194.53742709432402</v>
      </c>
      <c r="P65">
        <f>IF(K64="BUY",P64*('Data Checks'!C275/'Data Checks'!C274),IF(K64="SELL",P64*('Data Checks'!C274/'Data Checks'!C275),P64))</f>
        <v>215.37754320722598</v>
      </c>
      <c r="Q65">
        <f>IF(L64="BUY",Q64*('Data Checks'!D275/'Data Checks'!D274),IF(L64="SELL",Q64*('Data Checks'!D274/'Data Checks'!D275),Q64))</f>
        <v>274.26176464798954</v>
      </c>
      <c r="R65">
        <f>IF(M64="BUY",R64*('Data Checks'!E275/'Data Checks'!E274),IF(M64="SELL",R64*('Data Checks'!E274/'Data Checks'!E275),R64))</f>
        <v>146.93972088051117</v>
      </c>
      <c r="S65">
        <f>IF(N64="BUY",S64*('Data Checks'!F275/'Data Checks'!F274),IF(N64="SELL",S64*('Data Checks'!F274/'Data Checks'!F275),S64))</f>
        <v>155.37705301990675</v>
      </c>
      <c r="T65" s="16">
        <f t="shared" si="10"/>
        <v>986.49350884995738</v>
      </c>
      <c r="U65" s="17">
        <f t="shared" si="14"/>
        <v>3.5589109502773608E-2</v>
      </c>
      <c r="W65" t="str">
        <f>IF(AND('Data Checks'!B275&gt;'Data Checks'!B274,'Data Checks'!B274&gt;'Data Checks'!B273,'Data Checks'!B273&gt;'Data Checks'!B272),"BUY",IF(AND('Data Checks'!B275&lt;'Data Checks'!B274,'Data Checks'!B274&lt;'Data Checks'!B273,'Data Checks'!B273&lt;'Data Checks'!B272),"SELL",""))</f>
        <v/>
      </c>
      <c r="X65" t="str">
        <f>IF(AND('Data Checks'!C275&gt;'Data Checks'!C274,'Data Checks'!C274&gt;'Data Checks'!C273,'Data Checks'!C273&gt;'Data Checks'!C272),"BUY",IF(AND('Data Checks'!C275&lt;'Data Checks'!C274,'Data Checks'!C274&lt;'Data Checks'!C273,'Data Checks'!C273&lt;'Data Checks'!C272),"SELL",""))</f>
        <v/>
      </c>
      <c r="Y65" t="str">
        <f>IF(AND('Data Checks'!D275&gt;'Data Checks'!D274,'Data Checks'!D274&gt;'Data Checks'!D273,'Data Checks'!D273&gt;'Data Checks'!D272),"BUY",IF(AND('Data Checks'!D275&lt;'Data Checks'!D274,'Data Checks'!D274&lt;'Data Checks'!D273,'Data Checks'!D273&lt;'Data Checks'!D272),"SELL",""))</f>
        <v/>
      </c>
      <c r="Z65" t="str">
        <f>IF(AND('Data Checks'!E275&gt;'Data Checks'!E274,'Data Checks'!E274&gt;'Data Checks'!E273,'Data Checks'!E273&gt;'Data Checks'!E272),"BUY",IF(AND('Data Checks'!E275&lt;'Data Checks'!E274,'Data Checks'!E274&lt;'Data Checks'!E273,'Data Checks'!E273&lt;'Data Checks'!E272),"SELL",""))</f>
        <v/>
      </c>
      <c r="AA65" t="str">
        <f>IF(AND('Data Checks'!F275&gt;'Data Checks'!F274,'Data Checks'!F274&gt;'Data Checks'!F273,'Data Checks'!F273&gt;'Data Checks'!F272),"BUY",IF(AND('Data Checks'!F275&lt;'Data Checks'!F274,'Data Checks'!F274&lt;'Data Checks'!F273,'Data Checks'!F273&lt;'Data Checks'!F272),"SELL",""))</f>
        <v>BUY</v>
      </c>
      <c r="AB65">
        <f>IF(W64="BUY",AB64*('Data Checks'!B275/'Data Checks'!B274),IF(W64="SELL",AB64*('Data Checks'!B274/'Data Checks'!B275),AB64))</f>
        <v>205.61596088451128</v>
      </c>
      <c r="AC65">
        <f>IF(X64="BUY",AC64*('Data Checks'!C275/'Data Checks'!C274),IF(X64="SELL",AC64*('Data Checks'!C274/'Data Checks'!C275),AC64))</f>
        <v>185.72038386339071</v>
      </c>
      <c r="AD65">
        <f>IF(Y64="BUY",AD64*('Data Checks'!D275/'Data Checks'!D274),IF(Y64="SELL",AD64*('Data Checks'!D274/'Data Checks'!D275),AD64))</f>
        <v>145.84606808513513</v>
      </c>
      <c r="AE65">
        <f>IF(Z64="BUY",AE64*('Data Checks'!E275/'Data Checks'!E274),IF(Z64="SELL",AE64*('Data Checks'!E274/'Data Checks'!E275),AE64))</f>
        <v>272.22047081828407</v>
      </c>
      <c r="AF65">
        <f>IF(AA64="BUY",AF64*('Data Checks'!F275/'Data Checks'!F274),IF(AA64="SELL",AF64*('Data Checks'!F274/'Data Checks'!F275),AF64))</f>
        <v>257.43827175609545</v>
      </c>
      <c r="AG65" s="16">
        <f t="shared" si="11"/>
        <v>1066.8411554074166</v>
      </c>
      <c r="AH65" s="17">
        <f t="shared" si="15"/>
        <v>-3.8343462311354437E-2</v>
      </c>
      <c r="AJ65" t="str">
        <f>IF('Moving Ave'!G275&gt;'Moving Ave'!L275,"SELL","BUY")</f>
        <v>SELL</v>
      </c>
      <c r="AK65" t="str">
        <f>IF('Moving Ave'!H275&gt;'Moving Ave'!M275,"SELL","BUY")</f>
        <v>BUY</v>
      </c>
      <c r="AL65" t="str">
        <f>IF('Moving Ave'!I275&gt;'Moving Ave'!N275,"SELL","BUY")</f>
        <v>BUY</v>
      </c>
      <c r="AM65" t="str">
        <f>IF('Moving Ave'!J275&gt;'Moving Ave'!O275,"SELL","BUY")</f>
        <v>BUY</v>
      </c>
      <c r="AN65" t="str">
        <f>IF('Moving Ave'!K275&gt;'Moving Ave'!P275,"SELL","BUY")</f>
        <v>BUY</v>
      </c>
      <c r="AO65">
        <f>IF(AJ64="BUY",AO64*('Data Checks'!B275/'Data Checks'!B274),AO64*('Data Checks'!B274/'Data Checks'!B275))</f>
        <v>233.10962421520284</v>
      </c>
      <c r="AP65">
        <f>IF(AK64="BUY",AP64*('Data Checks'!C275/'Data Checks'!C274),AP64*('Data Checks'!C274/'Data Checks'!C275))</f>
        <v>146.65990212496578</v>
      </c>
      <c r="AQ65">
        <f>IF(AL64="BUY",AQ64*('Data Checks'!D275/'Data Checks'!D274),AQ64*('Data Checks'!D274/'Data Checks'!D275))</f>
        <v>243.34127431276366</v>
      </c>
      <c r="AR65">
        <f>IF(AM64="BUY",AR64*('Data Checks'!E275/'Data Checks'!E274),AR64*('Data Checks'!E274/'Data Checks'!E275))</f>
        <v>105.92567104366687</v>
      </c>
      <c r="AS65">
        <f>IF(AN64="BUY",AS64*('Data Checks'!F275/'Data Checks'!F274),AS64*('Data Checks'!F274/'Data Checks'!F275))</f>
        <v>197.49219855332382</v>
      </c>
      <c r="AT65" s="16">
        <f t="shared" si="12"/>
        <v>926.52867024992292</v>
      </c>
      <c r="AU65" s="17">
        <f t="shared" si="16"/>
        <v>-8.545241555129035E-3</v>
      </c>
    </row>
    <row r="66" spans="1:47" x14ac:dyDescent="0.35">
      <c r="A66" s="2">
        <f>Prices!A274</f>
        <v>44285</v>
      </c>
      <c r="B66">
        <f>B65*('Data Checks'!B276/'Data Checks'!B275)</f>
        <v>206.94832383945121</v>
      </c>
      <c r="C66">
        <f>C65*('Data Checks'!C276/'Data Checks'!C275)</f>
        <v>146.60910202207526</v>
      </c>
      <c r="D66">
        <f>D65*('Data Checks'!D276/'Data Checks'!D275)</f>
        <v>149.97495658665812</v>
      </c>
      <c r="E66">
        <f>E65*('Data Checks'!E276/'Data Checks'!E275)</f>
        <v>111.95178399893594</v>
      </c>
      <c r="F66">
        <f>F65*('Data Checks'!F276/'Data Checks'!F275)</f>
        <v>128.0400590563672</v>
      </c>
      <c r="G66" s="16">
        <f t="shared" si="9"/>
        <v>743.52422550348774</v>
      </c>
      <c r="H66" s="17">
        <f t="shared" si="13"/>
        <v>1.7969444393432621E-2</v>
      </c>
      <c r="J66" t="str">
        <f>IF(AND('Data Checks'!B276&gt;'Data Checks'!B275,'Data Checks'!B275&gt;'Data Checks'!B274,'Data Checks'!B274&gt;'Data Checks'!B273),"SELL",IF(AND('Data Checks'!B276&lt;'Data Checks'!B275,'Data Checks'!B275&lt;'Data Checks'!B274,'Data Checks'!B274&lt;'Data Checks'!B273),"BUY",""))</f>
        <v/>
      </c>
      <c r="K66" t="str">
        <f>IF(AND('Data Checks'!C276&gt;'Data Checks'!C275,'Data Checks'!C275&gt;'Data Checks'!C274,'Data Checks'!C274&gt;'Data Checks'!C273),"SELL",IF(AND('Data Checks'!C276&lt;'Data Checks'!C275,'Data Checks'!C275&lt;'Data Checks'!C274,'Data Checks'!C274&lt;'Data Checks'!C273),"BUY",""))</f>
        <v/>
      </c>
      <c r="L66" t="str">
        <f>IF(AND('Data Checks'!D276&gt;'Data Checks'!D275,'Data Checks'!D275&gt;'Data Checks'!D274,'Data Checks'!D274&gt;'Data Checks'!D273),"SELL",IF(AND('Data Checks'!D276&lt;'Data Checks'!D275,'Data Checks'!D275&lt;'Data Checks'!D274,'Data Checks'!D274&lt;'Data Checks'!D273),"BUY",""))</f>
        <v/>
      </c>
      <c r="M66" t="str">
        <f>IF(AND('Data Checks'!E276&gt;'Data Checks'!E275,'Data Checks'!E275&gt;'Data Checks'!E274,'Data Checks'!E274&gt;'Data Checks'!E273),"SELL",IF(AND('Data Checks'!E276&lt;'Data Checks'!E275,'Data Checks'!E275&lt;'Data Checks'!E274,'Data Checks'!E274&lt;'Data Checks'!E273),"BUY",""))</f>
        <v/>
      </c>
      <c r="N66" t="str">
        <f>IF(AND('Data Checks'!F276&gt;'Data Checks'!F275,'Data Checks'!F275&gt;'Data Checks'!F274,'Data Checks'!F274&gt;'Data Checks'!F273),"SELL",IF(AND('Data Checks'!F276&lt;'Data Checks'!F275,'Data Checks'!F275&lt;'Data Checks'!F274,'Data Checks'!F274&lt;'Data Checks'!F273),"BUY",""))</f>
        <v/>
      </c>
      <c r="O66">
        <f>IF(J65="BUY",O65*('Data Checks'!B276/'Data Checks'!B275),IF(J65="SELL",O65*('Data Checks'!B275/'Data Checks'!B276),O65))</f>
        <v>194.53742709432402</v>
      </c>
      <c r="P66">
        <f>IF(K65="BUY",P65*('Data Checks'!C276/'Data Checks'!C275),IF(K65="SELL",P65*('Data Checks'!C275/'Data Checks'!C276),P65))</f>
        <v>215.37754320722598</v>
      </c>
      <c r="Q66">
        <f>IF(L65="BUY",Q65*('Data Checks'!D276/'Data Checks'!D275),IF(L65="SELL",Q65*('Data Checks'!D275/'Data Checks'!D276),Q65))</f>
        <v>274.26176464798954</v>
      </c>
      <c r="R66">
        <f>IF(M65="BUY",R65*('Data Checks'!E276/'Data Checks'!E275),IF(M65="SELL",R65*('Data Checks'!E275/'Data Checks'!E276),R65))</f>
        <v>146.93972088051117</v>
      </c>
      <c r="S66">
        <f>IF(N65="BUY",S65*('Data Checks'!F276/'Data Checks'!F275),IF(N65="SELL",S65*('Data Checks'!F275/'Data Checks'!F276),S65))</f>
        <v>160.29587965182185</v>
      </c>
      <c r="T66" s="16">
        <f t="shared" si="10"/>
        <v>991.41233548187256</v>
      </c>
      <c r="U66" s="17">
        <f t="shared" si="14"/>
        <v>4.9861723242856648E-3</v>
      </c>
      <c r="W66" t="str">
        <f>IF(AND('Data Checks'!B276&gt;'Data Checks'!B275,'Data Checks'!B275&gt;'Data Checks'!B274,'Data Checks'!B274&gt;'Data Checks'!B273),"BUY",IF(AND('Data Checks'!B276&lt;'Data Checks'!B275,'Data Checks'!B275&lt;'Data Checks'!B274,'Data Checks'!B274&lt;'Data Checks'!B273),"SELL",""))</f>
        <v/>
      </c>
      <c r="X66" t="str">
        <f>IF(AND('Data Checks'!C276&gt;'Data Checks'!C275,'Data Checks'!C275&gt;'Data Checks'!C274,'Data Checks'!C274&gt;'Data Checks'!C273),"BUY",IF(AND('Data Checks'!C276&lt;'Data Checks'!C275,'Data Checks'!C275&lt;'Data Checks'!C274,'Data Checks'!C274&lt;'Data Checks'!C273),"SELL",""))</f>
        <v/>
      </c>
      <c r="Y66" t="str">
        <f>IF(AND('Data Checks'!D276&gt;'Data Checks'!D275,'Data Checks'!D275&gt;'Data Checks'!D274,'Data Checks'!D274&gt;'Data Checks'!D273),"BUY",IF(AND('Data Checks'!D276&lt;'Data Checks'!D275,'Data Checks'!D275&lt;'Data Checks'!D274,'Data Checks'!D274&lt;'Data Checks'!D273),"SELL",""))</f>
        <v/>
      </c>
      <c r="Z66" t="str">
        <f>IF(AND('Data Checks'!E276&gt;'Data Checks'!E275,'Data Checks'!E275&gt;'Data Checks'!E274,'Data Checks'!E274&gt;'Data Checks'!E273),"BUY",IF(AND('Data Checks'!E276&lt;'Data Checks'!E275,'Data Checks'!E275&lt;'Data Checks'!E274,'Data Checks'!E274&lt;'Data Checks'!E273),"SELL",""))</f>
        <v/>
      </c>
      <c r="AA66" t="str">
        <f>IF(AND('Data Checks'!F276&gt;'Data Checks'!F275,'Data Checks'!F275&gt;'Data Checks'!F274,'Data Checks'!F274&gt;'Data Checks'!F273),"BUY",IF(AND('Data Checks'!F276&lt;'Data Checks'!F275,'Data Checks'!F275&lt;'Data Checks'!F274,'Data Checks'!F274&lt;'Data Checks'!F273),"SELL",""))</f>
        <v/>
      </c>
      <c r="AB66">
        <f>IF(W65="BUY",AB65*('Data Checks'!B276/'Data Checks'!B275),IF(W65="SELL",AB65*('Data Checks'!B275/'Data Checks'!B276),AB65))</f>
        <v>205.61596088451128</v>
      </c>
      <c r="AC66">
        <f>IF(X65="BUY",AC65*('Data Checks'!C276/'Data Checks'!C275),IF(X65="SELL",AC65*('Data Checks'!C275/'Data Checks'!C276),AC65))</f>
        <v>185.72038386339071</v>
      </c>
      <c r="AD66">
        <f>IF(Y65="BUY",AD65*('Data Checks'!D276/'Data Checks'!D275),IF(Y65="SELL",AD65*('Data Checks'!D275/'Data Checks'!D276),AD65))</f>
        <v>145.84606808513513</v>
      </c>
      <c r="AE66">
        <f>IF(Z65="BUY",AE65*('Data Checks'!E276/'Data Checks'!E275),IF(Z65="SELL",AE65*('Data Checks'!E275/'Data Checks'!E276),AE65))</f>
        <v>272.22047081828407</v>
      </c>
      <c r="AF66">
        <f>IF(AA65="BUY",AF65*('Data Checks'!F276/'Data Checks'!F275),IF(AA65="SELL",AF65*('Data Checks'!F275/'Data Checks'!F276),AF65))</f>
        <v>249.53854139534883</v>
      </c>
      <c r="AG66" s="16">
        <f t="shared" si="11"/>
        <v>1058.94142504667</v>
      </c>
      <c r="AH66" s="17">
        <f t="shared" si="15"/>
        <v>-7.4047859146657569E-3</v>
      </c>
      <c r="AJ66" t="str">
        <f>IF('Moving Ave'!G276&gt;'Moving Ave'!L276,"SELL","BUY")</f>
        <v>SELL</v>
      </c>
      <c r="AK66" t="str">
        <f>IF('Moving Ave'!H276&gt;'Moving Ave'!M276,"SELL","BUY")</f>
        <v>BUY</v>
      </c>
      <c r="AL66" t="str">
        <f>IF('Moving Ave'!I276&gt;'Moving Ave'!N276,"SELL","BUY")</f>
        <v>BUY</v>
      </c>
      <c r="AM66" t="str">
        <f>IF('Moving Ave'!J276&gt;'Moving Ave'!O276,"SELL","BUY")</f>
        <v>BUY</v>
      </c>
      <c r="AN66" t="str">
        <f>IF('Moving Ave'!K276&gt;'Moving Ave'!P276,"SELL","BUY")</f>
        <v>BUY</v>
      </c>
      <c r="AO66">
        <f>IF(AJ65="BUY",AO65*('Data Checks'!B276/'Data Checks'!B275),AO65*('Data Checks'!B275/'Data Checks'!B276))</f>
        <v>225.53099744275303</v>
      </c>
      <c r="AP66">
        <f>IF(AK65="BUY",AP65*('Data Checks'!C276/'Data Checks'!C275),AP65*('Data Checks'!C275/'Data Checks'!C276))</f>
        <v>146.60910202207526</v>
      </c>
      <c r="AQ66">
        <f>IF(AL65="BUY",AQ65*('Data Checks'!D276/'Data Checks'!D275),AQ65*('Data Checks'!D275/'Data Checks'!D276))</f>
        <v>250.82526117480413</v>
      </c>
      <c r="AR66">
        <f>IF(AM65="BUY",AR65*('Data Checks'!E276/'Data Checks'!E275),AR65*('Data Checks'!E275/'Data Checks'!E276))</f>
        <v>111.95178399893594</v>
      </c>
      <c r="AS66">
        <f>IF(AN65="BUY",AS65*('Data Checks'!F276/'Data Checks'!F275),AS65*('Data Checks'!F275/'Data Checks'!F276))</f>
        <v>191.43196863381749</v>
      </c>
      <c r="AT66" s="16">
        <f t="shared" si="12"/>
        <v>926.34911327238592</v>
      </c>
      <c r="AU66" s="17">
        <f t="shared" si="16"/>
        <v>-1.937953819481919E-4</v>
      </c>
    </row>
    <row r="67" spans="1:47" x14ac:dyDescent="0.35">
      <c r="A67" s="2">
        <f>Prices!A275</f>
        <v>44286</v>
      </c>
      <c r="B67">
        <f>B66*('Data Checks'!B277/'Data Checks'!B276)</f>
        <v>205.44886072545003</v>
      </c>
      <c r="C67">
        <f>C66*('Data Checks'!C277/'Data Checks'!C276)</f>
        <v>142.29108819637008</v>
      </c>
      <c r="D67">
        <f>D66*('Data Checks'!D277/'Data Checks'!D276)</f>
        <v>152.14560614702964</v>
      </c>
      <c r="E67">
        <f>E66*('Data Checks'!E277/'Data Checks'!E276)</f>
        <v>116.80615276845825</v>
      </c>
      <c r="F67">
        <f>F66*('Data Checks'!F277/'Data Checks'!F276)</f>
        <v>127.70624312407608</v>
      </c>
      <c r="G67" s="16">
        <f t="shared" si="9"/>
        <v>744.39795096138403</v>
      </c>
      <c r="H67" s="17">
        <f t="shared" si="13"/>
        <v>1.1751136384354766E-3</v>
      </c>
      <c r="J67" t="str">
        <f>IF(AND('Data Checks'!B277&gt;'Data Checks'!B276,'Data Checks'!B276&gt;'Data Checks'!B275,'Data Checks'!B275&gt;'Data Checks'!B274),"SELL",IF(AND('Data Checks'!B277&lt;'Data Checks'!B276,'Data Checks'!B276&lt;'Data Checks'!B275,'Data Checks'!B275&lt;'Data Checks'!B274),"BUY",""))</f>
        <v/>
      </c>
      <c r="K67" t="str">
        <f>IF(AND('Data Checks'!C277&gt;'Data Checks'!C276,'Data Checks'!C276&gt;'Data Checks'!C275,'Data Checks'!C275&gt;'Data Checks'!C274),"SELL",IF(AND('Data Checks'!C277&lt;'Data Checks'!C276,'Data Checks'!C276&lt;'Data Checks'!C275,'Data Checks'!C275&lt;'Data Checks'!C274),"BUY",""))</f>
        <v>BUY</v>
      </c>
      <c r="L67" t="str">
        <f>IF(AND('Data Checks'!D277&gt;'Data Checks'!D276,'Data Checks'!D276&gt;'Data Checks'!D275,'Data Checks'!D275&gt;'Data Checks'!D274),"SELL",IF(AND('Data Checks'!D277&lt;'Data Checks'!D276,'Data Checks'!D276&lt;'Data Checks'!D275,'Data Checks'!D275&lt;'Data Checks'!D274),"BUY",""))</f>
        <v/>
      </c>
      <c r="M67" t="str">
        <f>IF(AND('Data Checks'!E277&gt;'Data Checks'!E276,'Data Checks'!E276&gt;'Data Checks'!E275,'Data Checks'!E275&gt;'Data Checks'!E274),"SELL",IF(AND('Data Checks'!E277&lt;'Data Checks'!E276,'Data Checks'!E276&lt;'Data Checks'!E275,'Data Checks'!E275&lt;'Data Checks'!E274),"BUY",""))</f>
        <v/>
      </c>
      <c r="N67" t="str">
        <f>IF(AND('Data Checks'!F277&gt;'Data Checks'!F276,'Data Checks'!F276&gt;'Data Checks'!F275,'Data Checks'!F275&gt;'Data Checks'!F274),"SELL",IF(AND('Data Checks'!F277&lt;'Data Checks'!F276,'Data Checks'!F276&lt;'Data Checks'!F275,'Data Checks'!F275&lt;'Data Checks'!F274),"BUY",""))</f>
        <v/>
      </c>
      <c r="O67">
        <f>IF(J66="BUY",O66*('Data Checks'!B277/'Data Checks'!B276),IF(J66="SELL",O66*('Data Checks'!B276/'Data Checks'!B277),O66))</f>
        <v>194.53742709432402</v>
      </c>
      <c r="P67">
        <f>IF(K66="BUY",P66*('Data Checks'!C277/'Data Checks'!C276),IF(K66="SELL",P66*('Data Checks'!C276/'Data Checks'!C277),P66))</f>
        <v>215.37754320722598</v>
      </c>
      <c r="Q67">
        <f>IF(L66="BUY",Q66*('Data Checks'!D277/'Data Checks'!D276),IF(L66="SELL",Q66*('Data Checks'!D276/'Data Checks'!D277),Q66))</f>
        <v>274.26176464798954</v>
      </c>
      <c r="R67">
        <f>IF(M66="BUY",R66*('Data Checks'!E277/'Data Checks'!E276),IF(M66="SELL",R66*('Data Checks'!E276/'Data Checks'!E277),R66))</f>
        <v>146.93972088051117</v>
      </c>
      <c r="S67">
        <f>IF(N66="BUY",S66*('Data Checks'!F277/'Data Checks'!F276),IF(N66="SELL",S66*('Data Checks'!F276/'Data Checks'!F277),S66))</f>
        <v>160.29587965182185</v>
      </c>
      <c r="T67" s="16">
        <f t="shared" si="10"/>
        <v>991.41233548187256</v>
      </c>
      <c r="U67" s="17">
        <f t="shared" si="14"/>
        <v>0</v>
      </c>
      <c r="W67" t="str">
        <f>IF(AND('Data Checks'!B277&gt;'Data Checks'!B276,'Data Checks'!B276&gt;'Data Checks'!B275,'Data Checks'!B275&gt;'Data Checks'!B274),"BUY",IF(AND('Data Checks'!B277&lt;'Data Checks'!B276,'Data Checks'!B276&lt;'Data Checks'!B275,'Data Checks'!B275&lt;'Data Checks'!B274),"SELL",""))</f>
        <v/>
      </c>
      <c r="X67" t="str">
        <f>IF(AND('Data Checks'!C277&gt;'Data Checks'!C276,'Data Checks'!C276&gt;'Data Checks'!C275,'Data Checks'!C275&gt;'Data Checks'!C274),"BUY",IF(AND('Data Checks'!C277&lt;'Data Checks'!C276,'Data Checks'!C276&lt;'Data Checks'!C275,'Data Checks'!C275&lt;'Data Checks'!C274),"SELL",""))</f>
        <v>SELL</v>
      </c>
      <c r="Y67" t="str">
        <f>IF(AND('Data Checks'!D277&gt;'Data Checks'!D276,'Data Checks'!D276&gt;'Data Checks'!D275,'Data Checks'!D275&gt;'Data Checks'!D274),"BUY",IF(AND('Data Checks'!D277&lt;'Data Checks'!D276,'Data Checks'!D276&lt;'Data Checks'!D275,'Data Checks'!D275&lt;'Data Checks'!D274),"SELL",""))</f>
        <v/>
      </c>
      <c r="Z67" t="str">
        <f>IF(AND('Data Checks'!E277&gt;'Data Checks'!E276,'Data Checks'!E276&gt;'Data Checks'!E275,'Data Checks'!E275&gt;'Data Checks'!E274),"BUY",IF(AND('Data Checks'!E277&lt;'Data Checks'!E276,'Data Checks'!E276&lt;'Data Checks'!E275,'Data Checks'!E275&lt;'Data Checks'!E274),"SELL",""))</f>
        <v/>
      </c>
      <c r="AA67" t="str">
        <f>IF(AND('Data Checks'!F277&gt;'Data Checks'!F276,'Data Checks'!F276&gt;'Data Checks'!F275,'Data Checks'!F275&gt;'Data Checks'!F274),"BUY",IF(AND('Data Checks'!F277&lt;'Data Checks'!F276,'Data Checks'!F276&lt;'Data Checks'!F275,'Data Checks'!F275&lt;'Data Checks'!F274),"SELL",""))</f>
        <v/>
      </c>
      <c r="AB67">
        <f>IF(W66="BUY",AB66*('Data Checks'!B277/'Data Checks'!B276),IF(W66="SELL",AB66*('Data Checks'!B276/'Data Checks'!B277),AB66))</f>
        <v>205.61596088451128</v>
      </c>
      <c r="AC67">
        <f>IF(X66="BUY",AC66*('Data Checks'!C277/'Data Checks'!C276),IF(X66="SELL",AC66*('Data Checks'!C276/'Data Checks'!C277),AC66))</f>
        <v>185.72038386339071</v>
      </c>
      <c r="AD67">
        <f>IF(Y66="BUY",AD66*('Data Checks'!D277/'Data Checks'!D276),IF(Y66="SELL",AD66*('Data Checks'!D276/'Data Checks'!D277),AD66))</f>
        <v>145.84606808513513</v>
      </c>
      <c r="AE67">
        <f>IF(Z66="BUY",AE66*('Data Checks'!E277/'Data Checks'!E276),IF(Z66="SELL",AE66*('Data Checks'!E276/'Data Checks'!E277),AE66))</f>
        <v>272.22047081828407</v>
      </c>
      <c r="AF67">
        <f>IF(AA66="BUY",AF66*('Data Checks'!F277/'Data Checks'!F276),IF(AA66="SELL",AF66*('Data Checks'!F276/'Data Checks'!F277),AF66))</f>
        <v>249.53854139534883</v>
      </c>
      <c r="AG67" s="16">
        <f t="shared" si="11"/>
        <v>1058.94142504667</v>
      </c>
      <c r="AH67" s="17">
        <f t="shared" si="15"/>
        <v>0</v>
      </c>
      <c r="AJ67" t="str">
        <f>IF('Moving Ave'!G277&gt;'Moving Ave'!L277,"SELL","BUY")</f>
        <v>SELL</v>
      </c>
      <c r="AK67" t="str">
        <f>IF('Moving Ave'!H277&gt;'Moving Ave'!M277,"SELL","BUY")</f>
        <v>BUY</v>
      </c>
      <c r="AL67" t="str">
        <f>IF('Moving Ave'!I277&gt;'Moving Ave'!N277,"SELL","BUY")</f>
        <v>BUY</v>
      </c>
      <c r="AM67" t="str">
        <f>IF('Moving Ave'!J277&gt;'Moving Ave'!O277,"SELL","BUY")</f>
        <v>BUY</v>
      </c>
      <c r="AN67" t="str">
        <f>IF('Moving Ave'!K277&gt;'Moving Ave'!P277,"SELL","BUY")</f>
        <v>BUY</v>
      </c>
      <c r="AO67">
        <f>IF(AJ66="BUY",AO66*('Data Checks'!B277/'Data Checks'!B276),AO66*('Data Checks'!B276/'Data Checks'!B277))</f>
        <v>227.17702950413894</v>
      </c>
      <c r="AP67">
        <f>IF(AK66="BUY",AP66*('Data Checks'!C277/'Data Checks'!C276),AP66*('Data Checks'!C276/'Data Checks'!C277))</f>
        <v>142.29108819637008</v>
      </c>
      <c r="AQ67">
        <f>IF(AL66="BUY",AQ66*('Data Checks'!D277/'Data Checks'!D276),AQ66*('Data Checks'!D276/'Data Checks'!D277))</f>
        <v>254.4555588944408</v>
      </c>
      <c r="AR67">
        <f>IF(AM66="BUY",AR66*('Data Checks'!E277/'Data Checks'!E276),AR66*('Data Checks'!E276/'Data Checks'!E277))</f>
        <v>116.80615276845825</v>
      </c>
      <c r="AS67">
        <f>IF(AN66="BUY",AS66*('Data Checks'!F277/'Data Checks'!F276),AS66*('Data Checks'!F276/'Data Checks'!F277))</f>
        <v>190.93288232012179</v>
      </c>
      <c r="AT67" s="16">
        <f t="shared" si="12"/>
        <v>931.66271168352978</v>
      </c>
      <c r="AU67" s="17">
        <f t="shared" si="16"/>
        <v>5.7360646596542608E-3</v>
      </c>
    </row>
    <row r="68" spans="1:47" x14ac:dyDescent="0.35">
      <c r="A68" s="2">
        <f>Prices!A276</f>
        <v>44287</v>
      </c>
      <c r="B68">
        <f>B67*('Data Checks'!B278/'Data Checks'!B277)</f>
        <v>201.02106321346537</v>
      </c>
      <c r="C68">
        <f>C67*('Data Checks'!C278/'Data Checks'!C277)</f>
        <v>127.71145358677813</v>
      </c>
      <c r="D68">
        <f>D67*('Data Checks'!D278/'Data Checks'!D277)</f>
        <v>147.50375267162718</v>
      </c>
      <c r="E68">
        <f>E67*('Data Checks'!E278/'Data Checks'!E277)</f>
        <v>118.21225248703541</v>
      </c>
      <c r="F68">
        <f>F67*('Data Checks'!F278/'Data Checks'!F277)</f>
        <v>128.0400590563672</v>
      </c>
      <c r="G68" s="16">
        <f t="shared" si="9"/>
        <v>722.48858101527333</v>
      </c>
      <c r="H68" s="17">
        <f t="shared" si="13"/>
        <v>-2.9432335107606011E-2</v>
      </c>
      <c r="J68" t="str">
        <f>IF(AND('Data Checks'!B278&gt;'Data Checks'!B277,'Data Checks'!B277&gt;'Data Checks'!B276,'Data Checks'!B276&gt;'Data Checks'!B275),"SELL",IF(AND('Data Checks'!B278&lt;'Data Checks'!B277,'Data Checks'!B277&lt;'Data Checks'!B276,'Data Checks'!B276&lt;'Data Checks'!B275),"BUY",""))</f>
        <v/>
      </c>
      <c r="K68" t="str">
        <f>IF(AND('Data Checks'!C278&gt;'Data Checks'!C277,'Data Checks'!C277&gt;'Data Checks'!C276,'Data Checks'!C276&gt;'Data Checks'!C275),"SELL",IF(AND('Data Checks'!C278&lt;'Data Checks'!C277,'Data Checks'!C277&lt;'Data Checks'!C276,'Data Checks'!C276&lt;'Data Checks'!C275),"BUY",""))</f>
        <v>BUY</v>
      </c>
      <c r="L68" t="str">
        <f>IF(AND('Data Checks'!D278&gt;'Data Checks'!D277,'Data Checks'!D277&gt;'Data Checks'!D276,'Data Checks'!D276&gt;'Data Checks'!D275),"SELL",IF(AND('Data Checks'!D278&lt;'Data Checks'!D277,'Data Checks'!D277&lt;'Data Checks'!D276,'Data Checks'!D276&lt;'Data Checks'!D275),"BUY",""))</f>
        <v/>
      </c>
      <c r="M68" t="str">
        <f>IF(AND('Data Checks'!E278&gt;'Data Checks'!E277,'Data Checks'!E277&gt;'Data Checks'!E276,'Data Checks'!E276&gt;'Data Checks'!E275),"SELL",IF(AND('Data Checks'!E278&lt;'Data Checks'!E277,'Data Checks'!E277&lt;'Data Checks'!E276,'Data Checks'!E276&lt;'Data Checks'!E275),"BUY",""))</f>
        <v>SELL</v>
      </c>
      <c r="N68" t="str">
        <f>IF(AND('Data Checks'!F278&gt;'Data Checks'!F277,'Data Checks'!F277&gt;'Data Checks'!F276,'Data Checks'!F276&gt;'Data Checks'!F275),"SELL",IF(AND('Data Checks'!F278&lt;'Data Checks'!F277,'Data Checks'!F277&lt;'Data Checks'!F276,'Data Checks'!F276&lt;'Data Checks'!F275),"BUY",""))</f>
        <v/>
      </c>
      <c r="O68">
        <f>IF(J67="BUY",O67*('Data Checks'!B278/'Data Checks'!B277),IF(J67="SELL",O67*('Data Checks'!B277/'Data Checks'!B278),O67))</f>
        <v>194.53742709432402</v>
      </c>
      <c r="P68">
        <f>IF(K67="BUY",P67*('Data Checks'!C278/'Data Checks'!C277),IF(K67="SELL",P67*('Data Checks'!C277/'Data Checks'!C278),P67))</f>
        <v>193.30921888083247</v>
      </c>
      <c r="Q68">
        <f>IF(L67="BUY",Q67*('Data Checks'!D278/'Data Checks'!D277),IF(L67="SELL",Q67*('Data Checks'!D277/'Data Checks'!D278),Q67))</f>
        <v>274.26176464798954</v>
      </c>
      <c r="R68">
        <f>IF(M67="BUY",R67*('Data Checks'!E278/'Data Checks'!E277),IF(M67="SELL",R67*('Data Checks'!E277/'Data Checks'!E278),R67))</f>
        <v>146.93972088051117</v>
      </c>
      <c r="S68">
        <f>IF(N67="BUY",S67*('Data Checks'!F278/'Data Checks'!F277),IF(N67="SELL",S67*('Data Checks'!F277/'Data Checks'!F278),S67))</f>
        <v>160.29587965182185</v>
      </c>
      <c r="T68" s="16">
        <f t="shared" si="10"/>
        <v>969.34401115547917</v>
      </c>
      <c r="U68" s="17">
        <f t="shared" si="14"/>
        <v>-2.2259481284008009E-2</v>
      </c>
      <c r="W68" t="str">
        <f>IF(AND('Data Checks'!B278&gt;'Data Checks'!B277,'Data Checks'!B277&gt;'Data Checks'!B276,'Data Checks'!B276&gt;'Data Checks'!B275),"BUY",IF(AND('Data Checks'!B278&lt;'Data Checks'!B277,'Data Checks'!B277&lt;'Data Checks'!B276,'Data Checks'!B276&lt;'Data Checks'!B275),"SELL",""))</f>
        <v/>
      </c>
      <c r="X68" t="str">
        <f>IF(AND('Data Checks'!C278&gt;'Data Checks'!C277,'Data Checks'!C277&gt;'Data Checks'!C276,'Data Checks'!C276&gt;'Data Checks'!C275),"BUY",IF(AND('Data Checks'!C278&lt;'Data Checks'!C277,'Data Checks'!C277&lt;'Data Checks'!C276,'Data Checks'!C276&lt;'Data Checks'!C275),"SELL",""))</f>
        <v>SELL</v>
      </c>
      <c r="Y68" t="str">
        <f>IF(AND('Data Checks'!D278&gt;'Data Checks'!D277,'Data Checks'!D277&gt;'Data Checks'!D276,'Data Checks'!D276&gt;'Data Checks'!D275),"BUY",IF(AND('Data Checks'!D278&lt;'Data Checks'!D277,'Data Checks'!D277&lt;'Data Checks'!D276,'Data Checks'!D276&lt;'Data Checks'!D275),"SELL",""))</f>
        <v/>
      </c>
      <c r="Z68" t="str">
        <f>IF(AND('Data Checks'!E278&gt;'Data Checks'!E277,'Data Checks'!E277&gt;'Data Checks'!E276,'Data Checks'!E276&gt;'Data Checks'!E275),"BUY",IF(AND('Data Checks'!E278&lt;'Data Checks'!E277,'Data Checks'!E277&lt;'Data Checks'!E276,'Data Checks'!E276&lt;'Data Checks'!E275),"SELL",""))</f>
        <v>BUY</v>
      </c>
      <c r="AA68" t="str">
        <f>IF(AND('Data Checks'!F278&gt;'Data Checks'!F277,'Data Checks'!F277&gt;'Data Checks'!F276,'Data Checks'!F276&gt;'Data Checks'!F275),"BUY",IF(AND('Data Checks'!F278&lt;'Data Checks'!F277,'Data Checks'!F277&lt;'Data Checks'!F276,'Data Checks'!F276&lt;'Data Checks'!F275),"SELL",""))</f>
        <v/>
      </c>
      <c r="AB68">
        <f>IF(W67="BUY",AB67*('Data Checks'!B278/'Data Checks'!B277),IF(W67="SELL",AB67*('Data Checks'!B277/'Data Checks'!B278),AB67))</f>
        <v>205.61596088451128</v>
      </c>
      <c r="AC68">
        <f>IF(X67="BUY",AC67*('Data Checks'!C278/'Data Checks'!C277),IF(X67="SELL",AC67*('Data Checks'!C277/'Data Checks'!C278),AC67))</f>
        <v>206.92236113508093</v>
      </c>
      <c r="AD68">
        <f>IF(Y67="BUY",AD67*('Data Checks'!D278/'Data Checks'!D277),IF(Y67="SELL",AD67*('Data Checks'!D277/'Data Checks'!D278),AD67))</f>
        <v>145.84606808513513</v>
      </c>
      <c r="AE68">
        <f>IF(Z67="BUY",AE67*('Data Checks'!E278/'Data Checks'!E277),IF(Z67="SELL",AE67*('Data Checks'!E277/'Data Checks'!E278),AE67))</f>
        <v>272.22047081828407</v>
      </c>
      <c r="AF68">
        <f>IF(AA67="BUY",AF67*('Data Checks'!F278/'Data Checks'!F277),IF(AA67="SELL",AF67*('Data Checks'!F277/'Data Checks'!F278),AF67))</f>
        <v>249.53854139534883</v>
      </c>
      <c r="AG68" s="16">
        <f t="shared" si="11"/>
        <v>1080.1434023183601</v>
      </c>
      <c r="AH68" s="17">
        <f t="shared" si="15"/>
        <v>2.0021860293883309E-2</v>
      </c>
      <c r="AJ68" t="str">
        <f>IF('Moving Ave'!G278&gt;'Moving Ave'!L278,"SELL","BUY")</f>
        <v>SELL</v>
      </c>
      <c r="AK68" t="str">
        <f>IF('Moving Ave'!H278&gt;'Moving Ave'!M278,"SELL","BUY")</f>
        <v>BUY</v>
      </c>
      <c r="AL68" t="str">
        <f>IF('Moving Ave'!I278&gt;'Moving Ave'!N278,"SELL","BUY")</f>
        <v>BUY</v>
      </c>
      <c r="AM68" t="str">
        <f>IF('Moving Ave'!J278&gt;'Moving Ave'!O278,"SELL","BUY")</f>
        <v>BUY</v>
      </c>
      <c r="AN68" t="str">
        <f>IF('Moving Ave'!K278&gt;'Moving Ave'!P278,"SELL","BUY")</f>
        <v>BUY</v>
      </c>
      <c r="AO68">
        <f>IF(AJ67="BUY",AO67*('Data Checks'!B278/'Data Checks'!B277),AO67*('Data Checks'!B277/'Data Checks'!B278))</f>
        <v>232.18095232664601</v>
      </c>
      <c r="AP68">
        <f>IF(AK67="BUY",AP67*('Data Checks'!C278/'Data Checks'!C277),AP67*('Data Checks'!C277/'Data Checks'!C278))</f>
        <v>127.71145358677813</v>
      </c>
      <c r="AQ68">
        <f>IF(AL67="BUY",AQ67*('Data Checks'!D278/'Data Checks'!D277),AQ67*('Data Checks'!D277/'Data Checks'!D278))</f>
        <v>246.69230203608493</v>
      </c>
      <c r="AR68">
        <f>IF(AM67="BUY",AR67*('Data Checks'!E278/'Data Checks'!E277),AR67*('Data Checks'!E277/'Data Checks'!E278))</f>
        <v>118.21225248703541</v>
      </c>
      <c r="AS68">
        <f>IF(AN67="BUY",AS67*('Data Checks'!F278/'Data Checks'!F277),AS67*('Data Checks'!F277/'Data Checks'!F278))</f>
        <v>191.43196863381752</v>
      </c>
      <c r="AT68" s="16">
        <f t="shared" si="12"/>
        <v>916.22892907036191</v>
      </c>
      <c r="AU68" s="17">
        <f t="shared" si="16"/>
        <v>-1.6565847725384164E-2</v>
      </c>
    </row>
    <row r="69" spans="1:47" x14ac:dyDescent="0.35">
      <c r="A69" s="2">
        <f>Prices!A277</f>
        <v>44288</v>
      </c>
      <c r="B69">
        <f>B68*('Data Checks'!B279/'Data Checks'!B278)</f>
        <v>202.19387104286136</v>
      </c>
      <c r="C69">
        <f>C68*('Data Checks'!C279/'Data Checks'!C278)</f>
        <v>124.61265747047646</v>
      </c>
      <c r="D69">
        <f>D68*('Data Checks'!D279/'Data Checks'!D278)</f>
        <v>153.64835120468109</v>
      </c>
      <c r="E69">
        <f>E68*('Data Checks'!E279/'Data Checks'!E278)</f>
        <v>130.43186372842777</v>
      </c>
      <c r="F69">
        <f>F68*('Data Checks'!F279/'Data Checks'!F278)</f>
        <v>115.16452239148111</v>
      </c>
      <c r="G69" s="16">
        <f t="shared" si="9"/>
        <v>726.05126583792776</v>
      </c>
      <c r="H69" s="17">
        <f t="shared" si="13"/>
        <v>4.9311295932843446E-3</v>
      </c>
      <c r="J69" t="str">
        <f>IF(AND('Data Checks'!B279&gt;'Data Checks'!B278,'Data Checks'!B278&gt;'Data Checks'!B277,'Data Checks'!B277&gt;'Data Checks'!B276),"SELL",IF(AND('Data Checks'!B279&lt;'Data Checks'!B278,'Data Checks'!B278&lt;'Data Checks'!B277,'Data Checks'!B277&lt;'Data Checks'!B276),"BUY",""))</f>
        <v/>
      </c>
      <c r="K69" t="str">
        <f>IF(AND('Data Checks'!C279&gt;'Data Checks'!C278,'Data Checks'!C278&gt;'Data Checks'!C277,'Data Checks'!C277&gt;'Data Checks'!C276),"SELL",IF(AND('Data Checks'!C279&lt;'Data Checks'!C278,'Data Checks'!C278&lt;'Data Checks'!C277,'Data Checks'!C277&lt;'Data Checks'!C276),"BUY",""))</f>
        <v>BUY</v>
      </c>
      <c r="L69" t="str">
        <f>IF(AND('Data Checks'!D279&gt;'Data Checks'!D278,'Data Checks'!D278&gt;'Data Checks'!D277,'Data Checks'!D277&gt;'Data Checks'!D276),"SELL",IF(AND('Data Checks'!D279&lt;'Data Checks'!D278,'Data Checks'!D278&lt;'Data Checks'!D277,'Data Checks'!D277&lt;'Data Checks'!D276),"BUY",""))</f>
        <v/>
      </c>
      <c r="M69" t="str">
        <f>IF(AND('Data Checks'!E279&gt;'Data Checks'!E278,'Data Checks'!E278&gt;'Data Checks'!E277,'Data Checks'!E277&gt;'Data Checks'!E276),"SELL",IF(AND('Data Checks'!E279&lt;'Data Checks'!E278,'Data Checks'!E278&lt;'Data Checks'!E277,'Data Checks'!E277&lt;'Data Checks'!E276),"BUY",""))</f>
        <v>SELL</v>
      </c>
      <c r="N69" t="str">
        <f>IF(AND('Data Checks'!F279&gt;'Data Checks'!F278,'Data Checks'!F278&gt;'Data Checks'!F277,'Data Checks'!F277&gt;'Data Checks'!F276),"SELL",IF(AND('Data Checks'!F279&lt;'Data Checks'!F278,'Data Checks'!F278&lt;'Data Checks'!F277,'Data Checks'!F277&lt;'Data Checks'!F276),"BUY",""))</f>
        <v/>
      </c>
      <c r="O69">
        <f>IF(J68="BUY",O68*('Data Checks'!B279/'Data Checks'!B278),IF(J68="SELL",O68*('Data Checks'!B278/'Data Checks'!B279),O68))</f>
        <v>194.53742709432402</v>
      </c>
      <c r="P69">
        <f>IF(K68="BUY",P68*('Data Checks'!C279/'Data Checks'!C278),IF(K68="SELL",P68*('Data Checks'!C278/'Data Checks'!C279),P68))</f>
        <v>188.61875581045325</v>
      </c>
      <c r="Q69">
        <f>IF(L68="BUY",Q68*('Data Checks'!D279/'Data Checks'!D278),IF(L68="SELL",Q68*('Data Checks'!D278/'Data Checks'!D279),Q68))</f>
        <v>274.26176464798954</v>
      </c>
      <c r="R69">
        <f>IF(M68="BUY",R68*('Data Checks'!E279/'Data Checks'!E278),IF(M68="SELL",R68*('Data Checks'!E278/'Data Checks'!E279),R68))</f>
        <v>133.17355812125584</v>
      </c>
      <c r="S69">
        <f>IF(N68="BUY",S68*('Data Checks'!F279/'Data Checks'!F278),IF(N68="SELL",S68*('Data Checks'!F278/'Data Checks'!F279),S68))</f>
        <v>160.29587965182185</v>
      </c>
      <c r="T69" s="16">
        <f t="shared" si="10"/>
        <v>950.88738532584443</v>
      </c>
      <c r="U69" s="17">
        <f t="shared" si="14"/>
        <v>-1.9040325846377271E-2</v>
      </c>
      <c r="W69" t="str">
        <f>IF(AND('Data Checks'!B279&gt;'Data Checks'!B278,'Data Checks'!B278&gt;'Data Checks'!B277,'Data Checks'!B277&gt;'Data Checks'!B276),"BUY",IF(AND('Data Checks'!B279&lt;'Data Checks'!B278,'Data Checks'!B278&lt;'Data Checks'!B277,'Data Checks'!B277&lt;'Data Checks'!B276),"SELL",""))</f>
        <v/>
      </c>
      <c r="X69" t="str">
        <f>IF(AND('Data Checks'!C279&gt;'Data Checks'!C278,'Data Checks'!C278&gt;'Data Checks'!C277,'Data Checks'!C277&gt;'Data Checks'!C276),"BUY",IF(AND('Data Checks'!C279&lt;'Data Checks'!C278,'Data Checks'!C278&lt;'Data Checks'!C277,'Data Checks'!C277&lt;'Data Checks'!C276),"SELL",""))</f>
        <v>SELL</v>
      </c>
      <c r="Y69" t="str">
        <f>IF(AND('Data Checks'!D279&gt;'Data Checks'!D278,'Data Checks'!D278&gt;'Data Checks'!D277,'Data Checks'!D277&gt;'Data Checks'!D276),"BUY",IF(AND('Data Checks'!D279&lt;'Data Checks'!D278,'Data Checks'!D278&lt;'Data Checks'!D277,'Data Checks'!D277&lt;'Data Checks'!D276),"SELL",""))</f>
        <v/>
      </c>
      <c r="Z69" t="str">
        <f>IF(AND('Data Checks'!E279&gt;'Data Checks'!E278,'Data Checks'!E278&gt;'Data Checks'!E277,'Data Checks'!E277&gt;'Data Checks'!E276),"BUY",IF(AND('Data Checks'!E279&lt;'Data Checks'!E278,'Data Checks'!E278&lt;'Data Checks'!E277,'Data Checks'!E277&lt;'Data Checks'!E276),"SELL",""))</f>
        <v>BUY</v>
      </c>
      <c r="AA69" t="str">
        <f>IF(AND('Data Checks'!F279&gt;'Data Checks'!F278,'Data Checks'!F278&gt;'Data Checks'!F277,'Data Checks'!F277&gt;'Data Checks'!F276),"BUY",IF(AND('Data Checks'!F279&lt;'Data Checks'!F278,'Data Checks'!F278&lt;'Data Checks'!F277,'Data Checks'!F277&lt;'Data Checks'!F276),"SELL",""))</f>
        <v/>
      </c>
      <c r="AB69">
        <f>IF(W68="BUY",AB68*('Data Checks'!B279/'Data Checks'!B278),IF(W68="SELL",AB68*('Data Checks'!B278/'Data Checks'!B279),AB68))</f>
        <v>205.61596088451128</v>
      </c>
      <c r="AC69">
        <f>IF(X68="BUY",AC68*('Data Checks'!C279/'Data Checks'!C278),IF(X68="SELL",AC68*('Data Checks'!C278/'Data Checks'!C279),AC68))</f>
        <v>212.06798776785919</v>
      </c>
      <c r="AD69">
        <f>IF(Y68="BUY",AD68*('Data Checks'!D279/'Data Checks'!D278),IF(Y68="SELL",AD68*('Data Checks'!D278/'Data Checks'!D279),AD68))</f>
        <v>145.84606808513513</v>
      </c>
      <c r="AE69">
        <f>IF(Z68="BUY",AE68*('Data Checks'!E279/'Data Checks'!E278),IF(Z68="SELL",AE68*('Data Checks'!E278/'Data Checks'!E279),AE68))</f>
        <v>300.35992553100971</v>
      </c>
      <c r="AF69">
        <f>IF(AA68="BUY",AF68*('Data Checks'!F279/'Data Checks'!F278),IF(AA68="SELL",AF68*('Data Checks'!F278/'Data Checks'!F279),AF68))</f>
        <v>249.53854139534883</v>
      </c>
      <c r="AG69" s="16">
        <f t="shared" si="11"/>
        <v>1113.428483663864</v>
      </c>
      <c r="AH69" s="17">
        <f t="shared" si="15"/>
        <v>3.0815428094142394E-2</v>
      </c>
      <c r="AJ69" t="str">
        <f>IF('Moving Ave'!G279&gt;'Moving Ave'!L279,"SELL","BUY")</f>
        <v>SELL</v>
      </c>
      <c r="AK69" t="str">
        <f>IF('Moving Ave'!H279&gt;'Moving Ave'!M279,"SELL","BUY")</f>
        <v>BUY</v>
      </c>
      <c r="AL69" t="str">
        <f>IF('Moving Ave'!I279&gt;'Moving Ave'!N279,"SELL","BUY")</f>
        <v>BUY</v>
      </c>
      <c r="AM69" t="str">
        <f>IF('Moving Ave'!J279&gt;'Moving Ave'!O279,"SELL","BUY")</f>
        <v>BUY</v>
      </c>
      <c r="AN69" t="str">
        <f>IF('Moving Ave'!K279&gt;'Moving Ave'!P279,"SELL","BUY")</f>
        <v>BUY</v>
      </c>
      <c r="AO69">
        <f>IF(AJ68="BUY",AO68*('Data Checks'!B279/'Data Checks'!B278),AO68*('Data Checks'!B278/'Data Checks'!B279))</f>
        <v>230.83420706022994</v>
      </c>
      <c r="AP69">
        <f>IF(AK68="BUY",AP68*('Data Checks'!C279/'Data Checks'!C278),AP68*('Data Checks'!C278/'Data Checks'!C279))</f>
        <v>124.61265747047646</v>
      </c>
      <c r="AQ69">
        <f>IF(AL68="BUY",AQ68*('Data Checks'!D279/'Data Checks'!D278),AQ68*('Data Checks'!D278/'Data Checks'!D279))</f>
        <v>256.96882130933454</v>
      </c>
      <c r="AR69">
        <f>IF(AM68="BUY",AR68*('Data Checks'!E279/'Data Checks'!E278),AR68*('Data Checks'!E278/'Data Checks'!E279))</f>
        <v>130.43186372842777</v>
      </c>
      <c r="AS69">
        <f>IF(AN68="BUY",AS68*('Data Checks'!F279/'Data Checks'!F278),AS68*('Data Checks'!F278/'Data Checks'!F279))</f>
        <v>172.18182653656211</v>
      </c>
      <c r="AT69" s="16">
        <f t="shared" si="12"/>
        <v>915.02937610503079</v>
      </c>
      <c r="AU69" s="17">
        <f t="shared" si="16"/>
        <v>-1.3092284332784088E-3</v>
      </c>
    </row>
    <row r="70" spans="1:47" x14ac:dyDescent="0.35">
      <c r="A70" s="2">
        <f>Prices!A278</f>
        <v>44289</v>
      </c>
      <c r="B70">
        <f>B69*('Data Checks'!B280/'Data Checks'!B279)</f>
        <v>200.90410018438206</v>
      </c>
      <c r="C70">
        <f>C69*('Data Checks'!C280/'Data Checks'!C279)</f>
        <v>123.59665033265561</v>
      </c>
      <c r="D70">
        <f>D69*('Data Checks'!D280/'Data Checks'!D279)</f>
        <v>150.40908917029699</v>
      </c>
      <c r="E70">
        <f>E69*('Data Checks'!E280/'Data Checks'!E279)</f>
        <v>121.32574752843163</v>
      </c>
      <c r="F70">
        <f>F69*('Data Checks'!F280/'Data Checks'!F279)</f>
        <v>119.07486913316467</v>
      </c>
      <c r="G70" s="16">
        <f t="shared" si="9"/>
        <v>715.31045634893098</v>
      </c>
      <c r="H70" s="17">
        <f t="shared" si="13"/>
        <v>-1.4793458801564019E-2</v>
      </c>
      <c r="J70" t="str">
        <f>IF(AND('Data Checks'!B280&gt;'Data Checks'!B279,'Data Checks'!B279&gt;'Data Checks'!B278,'Data Checks'!B278&gt;'Data Checks'!B277),"SELL",IF(AND('Data Checks'!B280&lt;'Data Checks'!B279,'Data Checks'!B279&lt;'Data Checks'!B278,'Data Checks'!B278&lt;'Data Checks'!B277),"BUY",""))</f>
        <v/>
      </c>
      <c r="K70" t="str">
        <f>IF(AND('Data Checks'!C280&gt;'Data Checks'!C279,'Data Checks'!C279&gt;'Data Checks'!C278,'Data Checks'!C278&gt;'Data Checks'!C277),"SELL",IF(AND('Data Checks'!C280&lt;'Data Checks'!C279,'Data Checks'!C279&lt;'Data Checks'!C278,'Data Checks'!C278&lt;'Data Checks'!C277),"BUY",""))</f>
        <v>BUY</v>
      </c>
      <c r="L70" t="str">
        <f>IF(AND('Data Checks'!D280&gt;'Data Checks'!D279,'Data Checks'!D279&gt;'Data Checks'!D278,'Data Checks'!D278&gt;'Data Checks'!D277),"SELL",IF(AND('Data Checks'!D280&lt;'Data Checks'!D279,'Data Checks'!D279&lt;'Data Checks'!D278,'Data Checks'!D278&lt;'Data Checks'!D277),"BUY",""))</f>
        <v/>
      </c>
      <c r="M70" t="str">
        <f>IF(AND('Data Checks'!E280&gt;'Data Checks'!E279,'Data Checks'!E279&gt;'Data Checks'!E278,'Data Checks'!E278&gt;'Data Checks'!E277),"SELL",IF(AND('Data Checks'!E280&lt;'Data Checks'!E279,'Data Checks'!E279&lt;'Data Checks'!E278,'Data Checks'!E278&lt;'Data Checks'!E277),"BUY",""))</f>
        <v/>
      </c>
      <c r="N70" t="str">
        <f>IF(AND('Data Checks'!F280&gt;'Data Checks'!F279,'Data Checks'!F279&gt;'Data Checks'!F278,'Data Checks'!F278&gt;'Data Checks'!F277),"SELL",IF(AND('Data Checks'!F280&lt;'Data Checks'!F279,'Data Checks'!F279&lt;'Data Checks'!F278,'Data Checks'!F278&lt;'Data Checks'!F277),"BUY",""))</f>
        <v/>
      </c>
      <c r="O70">
        <f>IF(J69="BUY",O69*('Data Checks'!B280/'Data Checks'!B279),IF(J69="SELL",O69*('Data Checks'!B279/'Data Checks'!B280),O69))</f>
        <v>194.53742709432402</v>
      </c>
      <c r="P70">
        <f>IF(K69="BUY",P69*('Data Checks'!C280/'Data Checks'!C279),IF(K69="SELL",P69*('Data Checks'!C279/'Data Checks'!C280),P69))</f>
        <v>187.08088633458792</v>
      </c>
      <c r="Q70">
        <f>IF(L69="BUY",Q69*('Data Checks'!D280/'Data Checks'!D279),IF(L69="SELL",Q69*('Data Checks'!D279/'Data Checks'!D280),Q69))</f>
        <v>274.26176464798954</v>
      </c>
      <c r="R70">
        <f>IF(M69="BUY",R69*('Data Checks'!E280/'Data Checks'!E279),IF(M69="SELL",R69*('Data Checks'!E279/'Data Checks'!E280),R69))</f>
        <v>143.16891293854152</v>
      </c>
      <c r="S70">
        <f>IF(N69="BUY",S69*('Data Checks'!F280/'Data Checks'!F279),IF(N69="SELL",S69*('Data Checks'!F279/'Data Checks'!F280),S69))</f>
        <v>160.29587965182185</v>
      </c>
      <c r="T70" s="16">
        <f t="shared" si="10"/>
        <v>959.34487066726501</v>
      </c>
      <c r="U70" s="17">
        <f t="shared" si="14"/>
        <v>8.8943080662726715E-3</v>
      </c>
      <c r="W70" t="str">
        <f>IF(AND('Data Checks'!B280&gt;'Data Checks'!B279,'Data Checks'!B279&gt;'Data Checks'!B278,'Data Checks'!B278&gt;'Data Checks'!B277),"BUY",IF(AND('Data Checks'!B280&lt;'Data Checks'!B279,'Data Checks'!B279&lt;'Data Checks'!B278,'Data Checks'!B278&lt;'Data Checks'!B277),"SELL",""))</f>
        <v/>
      </c>
      <c r="X70" t="str">
        <f>IF(AND('Data Checks'!C280&gt;'Data Checks'!C279,'Data Checks'!C279&gt;'Data Checks'!C278,'Data Checks'!C278&gt;'Data Checks'!C277),"BUY",IF(AND('Data Checks'!C280&lt;'Data Checks'!C279,'Data Checks'!C279&lt;'Data Checks'!C278,'Data Checks'!C278&lt;'Data Checks'!C277),"SELL",""))</f>
        <v>SELL</v>
      </c>
      <c r="Y70" t="str">
        <f>IF(AND('Data Checks'!D280&gt;'Data Checks'!D279,'Data Checks'!D279&gt;'Data Checks'!D278,'Data Checks'!D278&gt;'Data Checks'!D277),"BUY",IF(AND('Data Checks'!D280&lt;'Data Checks'!D279,'Data Checks'!D279&lt;'Data Checks'!D278,'Data Checks'!D278&lt;'Data Checks'!D277),"SELL",""))</f>
        <v/>
      </c>
      <c r="Z70" t="str">
        <f>IF(AND('Data Checks'!E280&gt;'Data Checks'!E279,'Data Checks'!E279&gt;'Data Checks'!E278,'Data Checks'!E278&gt;'Data Checks'!E277),"BUY",IF(AND('Data Checks'!E280&lt;'Data Checks'!E279,'Data Checks'!E279&lt;'Data Checks'!E278,'Data Checks'!E278&lt;'Data Checks'!E277),"SELL",""))</f>
        <v/>
      </c>
      <c r="AA70" t="str">
        <f>IF(AND('Data Checks'!F280&gt;'Data Checks'!F279,'Data Checks'!F279&gt;'Data Checks'!F278,'Data Checks'!F278&gt;'Data Checks'!F277),"BUY",IF(AND('Data Checks'!F280&lt;'Data Checks'!F279,'Data Checks'!F279&lt;'Data Checks'!F278,'Data Checks'!F278&lt;'Data Checks'!F277),"SELL",""))</f>
        <v/>
      </c>
      <c r="AB70">
        <f>IF(W69="BUY",AB69*('Data Checks'!B280/'Data Checks'!B279),IF(W69="SELL",AB69*('Data Checks'!B279/'Data Checks'!B280),AB69))</f>
        <v>205.61596088451128</v>
      </c>
      <c r="AC70">
        <f>IF(X69="BUY",AC69*('Data Checks'!C280/'Data Checks'!C279),IF(X69="SELL",AC69*('Data Checks'!C279/'Data Checks'!C280),AC69))</f>
        <v>213.8112598443721</v>
      </c>
      <c r="AD70">
        <f>IF(Y69="BUY",AD69*('Data Checks'!D280/'Data Checks'!D279),IF(Y69="SELL",AD69*('Data Checks'!D279/'Data Checks'!D280),AD69))</f>
        <v>145.84606808513513</v>
      </c>
      <c r="AE70">
        <f>IF(Z69="BUY",AE69*('Data Checks'!E280/'Data Checks'!E279),IF(Z69="SELL",AE69*('Data Checks'!E279/'Data Checks'!E280),AE69))</f>
        <v>279.39026132838558</v>
      </c>
      <c r="AF70">
        <f>IF(AA69="BUY",AF69*('Data Checks'!F280/'Data Checks'!F279),IF(AA69="SELL",AF69*('Data Checks'!F279/'Data Checks'!F280),AF69))</f>
        <v>249.53854139534883</v>
      </c>
      <c r="AG70" s="16">
        <f t="shared" si="11"/>
        <v>1094.2020915377529</v>
      </c>
      <c r="AH70" s="17">
        <f t="shared" si="15"/>
        <v>-1.7267738708142577E-2</v>
      </c>
      <c r="AJ70" t="str">
        <f>IF('Moving Ave'!G280&gt;'Moving Ave'!L280,"SELL","BUY")</f>
        <v>SELL</v>
      </c>
      <c r="AK70" t="str">
        <f>IF('Moving Ave'!H280&gt;'Moving Ave'!M280,"SELL","BUY")</f>
        <v>BUY</v>
      </c>
      <c r="AL70" t="str">
        <f>IF('Moving Ave'!I280&gt;'Moving Ave'!N280,"SELL","BUY")</f>
        <v>BUY</v>
      </c>
      <c r="AM70" t="str">
        <f>IF('Moving Ave'!J280&gt;'Moving Ave'!O280,"SELL","BUY")</f>
        <v>BUY</v>
      </c>
      <c r="AN70" t="str">
        <f>IF('Moving Ave'!K280&gt;'Moving Ave'!P280,"SELL","BUY")</f>
        <v>BUY</v>
      </c>
      <c r="AO70">
        <f>IF(AJ69="BUY",AO69*('Data Checks'!B280/'Data Checks'!B279),AO69*('Data Checks'!B279/'Data Checks'!B280))</f>
        <v>232.31612421937811</v>
      </c>
      <c r="AP70">
        <f>IF(AK69="BUY",AP69*('Data Checks'!C280/'Data Checks'!C279),AP69*('Data Checks'!C279/'Data Checks'!C280))</f>
        <v>123.59665033265561</v>
      </c>
      <c r="AQ70">
        <f>IF(AL69="BUY",AQ69*('Data Checks'!D280/'Data Checks'!D279),AQ69*('Data Checks'!D279/'Data Checks'!D280))</f>
        <v>251.55132518678326</v>
      </c>
      <c r="AR70">
        <f>IF(AM69="BUY",AR69*('Data Checks'!E280/'Data Checks'!E279),AR69*('Data Checks'!E279/'Data Checks'!E280))</f>
        <v>121.32574752843163</v>
      </c>
      <c r="AS70">
        <f>IF(AN69="BUY",AS69*('Data Checks'!F280/'Data Checks'!F279),AS69*('Data Checks'!F279/'Data Checks'!F280))</f>
        <v>178.02816384941647</v>
      </c>
      <c r="AT70" s="16">
        <f t="shared" si="12"/>
        <v>906.81801111666516</v>
      </c>
      <c r="AU70" s="17">
        <f t="shared" si="16"/>
        <v>-8.9738812794389888E-3</v>
      </c>
    </row>
    <row r="71" spans="1:47" x14ac:dyDescent="0.35">
      <c r="A71" s="2">
        <f>Prices!A279</f>
        <v>44292</v>
      </c>
      <c r="B71">
        <f>B70*('Data Checks'!B281/'Data Checks'!B280)</f>
        <v>210.49309070819916</v>
      </c>
      <c r="C71">
        <f>C70*('Data Checks'!C281/'Data Checks'!C280)</f>
        <v>129.18466165061375</v>
      </c>
      <c r="D71">
        <f>D70*('Data Checks'!D281/'Data Checks'!D280)</f>
        <v>154.75037827267286</v>
      </c>
      <c r="E71">
        <f>E70*('Data Checks'!E281/'Data Checks'!E280)</f>
        <v>124.97489370690013</v>
      </c>
      <c r="F71">
        <f>F70*('Data Checks'!F281/'Data Checks'!F280)</f>
        <v>111.39723859891149</v>
      </c>
      <c r="G71" s="16">
        <f t="shared" ref="G71:G134" si="17">SUM(B71:F71)</f>
        <v>730.80026293729736</v>
      </c>
      <c r="H71" s="17">
        <f t="shared" si="13"/>
        <v>2.1654662602625718E-2</v>
      </c>
      <c r="J71" t="str">
        <f>IF(AND('Data Checks'!B281&gt;'Data Checks'!B280,'Data Checks'!B280&gt;'Data Checks'!B279,'Data Checks'!B279&gt;'Data Checks'!B278),"SELL",IF(AND('Data Checks'!B281&lt;'Data Checks'!B280,'Data Checks'!B280&lt;'Data Checks'!B279,'Data Checks'!B279&lt;'Data Checks'!B278),"BUY",""))</f>
        <v/>
      </c>
      <c r="K71" t="str">
        <f>IF(AND('Data Checks'!C281&gt;'Data Checks'!C280,'Data Checks'!C280&gt;'Data Checks'!C279,'Data Checks'!C279&gt;'Data Checks'!C278),"SELL",IF(AND('Data Checks'!C281&lt;'Data Checks'!C280,'Data Checks'!C280&lt;'Data Checks'!C279,'Data Checks'!C279&lt;'Data Checks'!C278),"BUY",""))</f>
        <v/>
      </c>
      <c r="L71" t="str">
        <f>IF(AND('Data Checks'!D281&gt;'Data Checks'!D280,'Data Checks'!D280&gt;'Data Checks'!D279,'Data Checks'!D279&gt;'Data Checks'!D278),"SELL",IF(AND('Data Checks'!D281&lt;'Data Checks'!D280,'Data Checks'!D280&lt;'Data Checks'!D279,'Data Checks'!D279&lt;'Data Checks'!D278),"BUY",""))</f>
        <v/>
      </c>
      <c r="M71" t="str">
        <f>IF(AND('Data Checks'!E281&gt;'Data Checks'!E280,'Data Checks'!E280&gt;'Data Checks'!E279,'Data Checks'!E279&gt;'Data Checks'!E278),"SELL",IF(AND('Data Checks'!E281&lt;'Data Checks'!E280,'Data Checks'!E280&lt;'Data Checks'!E279,'Data Checks'!E279&lt;'Data Checks'!E278),"BUY",""))</f>
        <v/>
      </c>
      <c r="N71" t="str">
        <f>IF(AND('Data Checks'!F281&gt;'Data Checks'!F280,'Data Checks'!F280&gt;'Data Checks'!F279,'Data Checks'!F279&gt;'Data Checks'!F278),"SELL",IF(AND('Data Checks'!F281&lt;'Data Checks'!F280,'Data Checks'!F280&lt;'Data Checks'!F279,'Data Checks'!F279&lt;'Data Checks'!F278),"BUY",""))</f>
        <v/>
      </c>
      <c r="O71">
        <f>IF(J70="BUY",O70*('Data Checks'!B281/'Data Checks'!B280),IF(J70="SELL",O70*('Data Checks'!B280/'Data Checks'!B281),O70))</f>
        <v>194.53742709432402</v>
      </c>
      <c r="P71">
        <f>IF(K70="BUY",P70*('Data Checks'!C281/'Data Checks'!C280),IF(K70="SELL",P70*('Data Checks'!C280/'Data Checks'!C281),P70))</f>
        <v>195.53912616064821</v>
      </c>
      <c r="Q71">
        <f>IF(L70="BUY",Q70*('Data Checks'!D281/'Data Checks'!D280),IF(L70="SELL",Q70*('Data Checks'!D280/'Data Checks'!D281),Q70))</f>
        <v>274.26176464798954</v>
      </c>
      <c r="R71">
        <f>IF(M70="BUY",R70*('Data Checks'!E281/'Data Checks'!E280),IF(M70="SELL",R70*('Data Checks'!E280/'Data Checks'!E281),R70))</f>
        <v>143.16891293854152</v>
      </c>
      <c r="S71">
        <f>IF(N70="BUY",S70*('Data Checks'!F281/'Data Checks'!F280),IF(N70="SELL",S70*('Data Checks'!F280/'Data Checks'!F281),S70))</f>
        <v>160.29587965182185</v>
      </c>
      <c r="T71" s="16">
        <f t="shared" ref="T71:T134" si="18">SUM(O71:S71)</f>
        <v>967.80311049332522</v>
      </c>
      <c r="U71" s="17">
        <f t="shared" si="14"/>
        <v>8.8166832227676295E-3</v>
      </c>
      <c r="W71" t="str">
        <f>IF(AND('Data Checks'!B281&gt;'Data Checks'!B280,'Data Checks'!B280&gt;'Data Checks'!B279,'Data Checks'!B279&gt;'Data Checks'!B278),"BUY",IF(AND('Data Checks'!B281&lt;'Data Checks'!B280,'Data Checks'!B280&lt;'Data Checks'!B279,'Data Checks'!B279&lt;'Data Checks'!B278),"SELL",""))</f>
        <v/>
      </c>
      <c r="X71" t="str">
        <f>IF(AND('Data Checks'!C281&gt;'Data Checks'!C280,'Data Checks'!C280&gt;'Data Checks'!C279,'Data Checks'!C279&gt;'Data Checks'!C278),"BUY",IF(AND('Data Checks'!C281&lt;'Data Checks'!C280,'Data Checks'!C280&lt;'Data Checks'!C279,'Data Checks'!C279&lt;'Data Checks'!C278),"SELL",""))</f>
        <v/>
      </c>
      <c r="Y71" t="str">
        <f>IF(AND('Data Checks'!D281&gt;'Data Checks'!D280,'Data Checks'!D280&gt;'Data Checks'!D279,'Data Checks'!D279&gt;'Data Checks'!D278),"BUY",IF(AND('Data Checks'!D281&lt;'Data Checks'!D280,'Data Checks'!D280&lt;'Data Checks'!D279,'Data Checks'!D279&lt;'Data Checks'!D278),"SELL",""))</f>
        <v/>
      </c>
      <c r="Z71" t="str">
        <f>IF(AND('Data Checks'!E281&gt;'Data Checks'!E280,'Data Checks'!E280&gt;'Data Checks'!E279,'Data Checks'!E279&gt;'Data Checks'!E278),"BUY",IF(AND('Data Checks'!E281&lt;'Data Checks'!E280,'Data Checks'!E280&lt;'Data Checks'!E279,'Data Checks'!E279&lt;'Data Checks'!E278),"SELL",""))</f>
        <v/>
      </c>
      <c r="AA71" t="str">
        <f>IF(AND('Data Checks'!F281&gt;'Data Checks'!F280,'Data Checks'!F280&gt;'Data Checks'!F279,'Data Checks'!F279&gt;'Data Checks'!F278),"BUY",IF(AND('Data Checks'!F281&lt;'Data Checks'!F280,'Data Checks'!F280&lt;'Data Checks'!F279,'Data Checks'!F279&lt;'Data Checks'!F278),"SELL",""))</f>
        <v/>
      </c>
      <c r="AB71">
        <f>IF(W70="BUY",AB70*('Data Checks'!B281/'Data Checks'!B280),IF(W70="SELL",AB70*('Data Checks'!B280/'Data Checks'!B281),AB70))</f>
        <v>205.61596088451128</v>
      </c>
      <c r="AC71">
        <f>IF(X70="BUY",AC70*('Data Checks'!C281/'Data Checks'!C280),IF(X70="SELL",AC70*('Data Checks'!C280/'Data Checks'!C281),AC70))</f>
        <v>204.56264066117078</v>
      </c>
      <c r="AD71">
        <f>IF(Y70="BUY",AD70*('Data Checks'!D281/'Data Checks'!D280),IF(Y70="SELL",AD70*('Data Checks'!D280/'Data Checks'!D281),AD70))</f>
        <v>145.84606808513513</v>
      </c>
      <c r="AE71">
        <f>IF(Z70="BUY",AE70*('Data Checks'!E281/'Data Checks'!E280),IF(Z70="SELL",AE70*('Data Checks'!E280/'Data Checks'!E281),AE70))</f>
        <v>279.39026132838558</v>
      </c>
      <c r="AF71">
        <f>IF(AA70="BUY",AF70*('Data Checks'!F281/'Data Checks'!F280),IF(AA70="SELL",AF70*('Data Checks'!F280/'Data Checks'!F281),AF70))</f>
        <v>249.53854139534883</v>
      </c>
      <c r="AG71" s="16">
        <f t="shared" ref="AG71:AG134" si="19">SUM(AB71:AF71)</f>
        <v>1084.9534723545516</v>
      </c>
      <c r="AH71" s="17">
        <f t="shared" si="15"/>
        <v>-8.4523866795059854E-3</v>
      </c>
      <c r="AJ71" t="str">
        <f>IF('Moving Ave'!G281&gt;'Moving Ave'!L281,"SELL","BUY")</f>
        <v>SELL</v>
      </c>
      <c r="AK71" t="str">
        <f>IF('Moving Ave'!H281&gt;'Moving Ave'!M281,"SELL","BUY")</f>
        <v>BUY</v>
      </c>
      <c r="AL71" t="str">
        <f>IF('Moving Ave'!I281&gt;'Moving Ave'!N281,"SELL","BUY")</f>
        <v>BUY</v>
      </c>
      <c r="AM71" t="str">
        <f>IF('Moving Ave'!J281&gt;'Moving Ave'!O281,"SELL","BUY")</f>
        <v>BUY</v>
      </c>
      <c r="AN71" t="str">
        <f>IF('Moving Ave'!K281&gt;'Moving Ave'!P281,"SELL","BUY")</f>
        <v>BUY</v>
      </c>
      <c r="AO71">
        <f>IF(AJ70="BUY",AO70*('Data Checks'!B281/'Data Checks'!B280),AO70*('Data Checks'!B280/'Data Checks'!B281))</f>
        <v>221.73298770798687</v>
      </c>
      <c r="AP71">
        <f>IF(AK70="BUY",AP70*('Data Checks'!C281/'Data Checks'!C280),AP70*('Data Checks'!C280/'Data Checks'!C281))</f>
        <v>129.18466165061375</v>
      </c>
      <c r="AQ71">
        <f>IF(AL70="BUY",AQ70*('Data Checks'!D281/'Data Checks'!D280),AQ70*('Data Checks'!D280/'Data Checks'!D281))</f>
        <v>258.81190387086224</v>
      </c>
      <c r="AR71">
        <f>IF(AM70="BUY",AR70*('Data Checks'!E281/'Data Checks'!E280),AR70*('Data Checks'!E280/'Data Checks'!E281))</f>
        <v>124.97489370690013</v>
      </c>
      <c r="AS71">
        <f>IF(AN70="BUY",AS70*('Data Checks'!F281/'Data Checks'!F280),AS70*('Data Checks'!F280/'Data Checks'!F281))</f>
        <v>166.54938183035972</v>
      </c>
      <c r="AT71" s="16">
        <f t="shared" ref="AT71:AT134" si="20">SUM(AO71:AS71)</f>
        <v>901.25382876672279</v>
      </c>
      <c r="AU71" s="17">
        <f t="shared" si="16"/>
        <v>-6.1359415910702264E-3</v>
      </c>
    </row>
    <row r="72" spans="1:47" x14ac:dyDescent="0.35">
      <c r="A72" s="2">
        <f>Prices!A280</f>
        <v>44293</v>
      </c>
      <c r="B72">
        <f>B71*('Data Checks'!B282/'Data Checks'!B281)</f>
        <v>211.96937480851324</v>
      </c>
      <c r="C72">
        <f>C71*('Data Checks'!C282/'Data Checks'!C281)</f>
        <v>130.04826339975276</v>
      </c>
      <c r="D72">
        <f>D71*('Data Checks'!D282/'Data Checks'!D281)</f>
        <v>152.71331028073649</v>
      </c>
      <c r="E72">
        <f>E71*('Data Checks'!E282/'Data Checks'!E281)</f>
        <v>124.74053147838866</v>
      </c>
      <c r="F72">
        <f>F71*('Data Checks'!F282/'Data Checks'!F281)</f>
        <v>117.31044516896213</v>
      </c>
      <c r="G72" s="16">
        <f t="shared" si="17"/>
        <v>736.78192513635327</v>
      </c>
      <c r="H72" s="17">
        <f t="shared" ref="H72:H135" si="21">G72/G71-1</f>
        <v>8.1850849026980921E-3</v>
      </c>
      <c r="J72" t="str">
        <f>IF(AND('Data Checks'!B282&gt;'Data Checks'!B281,'Data Checks'!B281&gt;'Data Checks'!B280,'Data Checks'!B280&gt;'Data Checks'!B279),"SELL",IF(AND('Data Checks'!B282&lt;'Data Checks'!B281,'Data Checks'!B281&lt;'Data Checks'!B280,'Data Checks'!B280&lt;'Data Checks'!B279),"BUY",""))</f>
        <v/>
      </c>
      <c r="K72" t="str">
        <f>IF(AND('Data Checks'!C282&gt;'Data Checks'!C281,'Data Checks'!C281&gt;'Data Checks'!C280,'Data Checks'!C280&gt;'Data Checks'!C279),"SELL",IF(AND('Data Checks'!C282&lt;'Data Checks'!C281,'Data Checks'!C281&lt;'Data Checks'!C280,'Data Checks'!C280&lt;'Data Checks'!C279),"BUY",""))</f>
        <v/>
      </c>
      <c r="L72" t="str">
        <f>IF(AND('Data Checks'!D282&gt;'Data Checks'!D281,'Data Checks'!D281&gt;'Data Checks'!D280,'Data Checks'!D280&gt;'Data Checks'!D279),"SELL",IF(AND('Data Checks'!D282&lt;'Data Checks'!D281,'Data Checks'!D281&lt;'Data Checks'!D280,'Data Checks'!D280&lt;'Data Checks'!D279),"BUY",""))</f>
        <v/>
      </c>
      <c r="M72" t="str">
        <f>IF(AND('Data Checks'!E282&gt;'Data Checks'!E281,'Data Checks'!E281&gt;'Data Checks'!E280,'Data Checks'!E280&gt;'Data Checks'!E279),"SELL",IF(AND('Data Checks'!E282&lt;'Data Checks'!E281,'Data Checks'!E281&lt;'Data Checks'!E280,'Data Checks'!E280&lt;'Data Checks'!E279),"BUY",""))</f>
        <v/>
      </c>
      <c r="N72" t="str">
        <f>IF(AND('Data Checks'!F282&gt;'Data Checks'!F281,'Data Checks'!F281&gt;'Data Checks'!F280,'Data Checks'!F280&gt;'Data Checks'!F279),"SELL",IF(AND('Data Checks'!F282&lt;'Data Checks'!F281,'Data Checks'!F281&lt;'Data Checks'!F280,'Data Checks'!F280&lt;'Data Checks'!F279),"BUY",""))</f>
        <v/>
      </c>
      <c r="O72">
        <f>IF(J71="BUY",O71*('Data Checks'!B282/'Data Checks'!B281),IF(J71="SELL",O71*('Data Checks'!B281/'Data Checks'!B282),O71))</f>
        <v>194.53742709432402</v>
      </c>
      <c r="P72">
        <f>IF(K71="BUY",P71*('Data Checks'!C282/'Data Checks'!C281),IF(K71="SELL",P71*('Data Checks'!C281/'Data Checks'!C282),P71))</f>
        <v>195.53912616064821</v>
      </c>
      <c r="Q72">
        <f>IF(L71="BUY",Q71*('Data Checks'!D282/'Data Checks'!D281),IF(L71="SELL",Q71*('Data Checks'!D281/'Data Checks'!D282),Q71))</f>
        <v>274.26176464798954</v>
      </c>
      <c r="R72">
        <f>IF(M71="BUY",R71*('Data Checks'!E282/'Data Checks'!E281),IF(M71="SELL",R71*('Data Checks'!E281/'Data Checks'!E282),R71))</f>
        <v>143.16891293854152</v>
      </c>
      <c r="S72">
        <f>IF(N71="BUY",S71*('Data Checks'!F282/'Data Checks'!F281),IF(N71="SELL",S71*('Data Checks'!F281/'Data Checks'!F282),S71))</f>
        <v>160.29587965182185</v>
      </c>
      <c r="T72" s="16">
        <f t="shared" si="18"/>
        <v>967.80311049332522</v>
      </c>
      <c r="U72" s="17">
        <f t="shared" ref="U72:U135" si="22">T72/T71-1</f>
        <v>0</v>
      </c>
      <c r="W72" t="str">
        <f>IF(AND('Data Checks'!B282&gt;'Data Checks'!B281,'Data Checks'!B281&gt;'Data Checks'!B280,'Data Checks'!B280&gt;'Data Checks'!B279),"BUY",IF(AND('Data Checks'!B282&lt;'Data Checks'!B281,'Data Checks'!B281&lt;'Data Checks'!B280,'Data Checks'!B280&lt;'Data Checks'!B279),"SELL",""))</f>
        <v/>
      </c>
      <c r="X72" t="str">
        <f>IF(AND('Data Checks'!C282&gt;'Data Checks'!C281,'Data Checks'!C281&gt;'Data Checks'!C280,'Data Checks'!C280&gt;'Data Checks'!C279),"BUY",IF(AND('Data Checks'!C282&lt;'Data Checks'!C281,'Data Checks'!C281&lt;'Data Checks'!C280,'Data Checks'!C280&lt;'Data Checks'!C279),"SELL",""))</f>
        <v/>
      </c>
      <c r="Y72" t="str">
        <f>IF(AND('Data Checks'!D282&gt;'Data Checks'!D281,'Data Checks'!D281&gt;'Data Checks'!D280,'Data Checks'!D280&gt;'Data Checks'!D279),"BUY",IF(AND('Data Checks'!D282&lt;'Data Checks'!D281,'Data Checks'!D281&lt;'Data Checks'!D280,'Data Checks'!D280&lt;'Data Checks'!D279),"SELL",""))</f>
        <v/>
      </c>
      <c r="Z72" t="str">
        <f>IF(AND('Data Checks'!E282&gt;'Data Checks'!E281,'Data Checks'!E281&gt;'Data Checks'!E280,'Data Checks'!E280&gt;'Data Checks'!E279),"BUY",IF(AND('Data Checks'!E282&lt;'Data Checks'!E281,'Data Checks'!E281&lt;'Data Checks'!E280,'Data Checks'!E280&lt;'Data Checks'!E279),"SELL",""))</f>
        <v/>
      </c>
      <c r="AA72" t="str">
        <f>IF(AND('Data Checks'!F282&gt;'Data Checks'!F281,'Data Checks'!F281&gt;'Data Checks'!F280,'Data Checks'!F280&gt;'Data Checks'!F279),"BUY",IF(AND('Data Checks'!F282&lt;'Data Checks'!F281,'Data Checks'!F281&lt;'Data Checks'!F280,'Data Checks'!F280&lt;'Data Checks'!F279),"SELL",""))</f>
        <v/>
      </c>
      <c r="AB72">
        <f>IF(W71="BUY",AB71*('Data Checks'!B282/'Data Checks'!B281),IF(W71="SELL",AB71*('Data Checks'!B281/'Data Checks'!B282),AB71))</f>
        <v>205.61596088451128</v>
      </c>
      <c r="AC72">
        <f>IF(X71="BUY",AC71*('Data Checks'!C282/'Data Checks'!C281),IF(X71="SELL",AC71*('Data Checks'!C281/'Data Checks'!C282),AC71))</f>
        <v>204.56264066117078</v>
      </c>
      <c r="AD72">
        <f>IF(Y71="BUY",AD71*('Data Checks'!D282/'Data Checks'!D281),IF(Y71="SELL",AD71*('Data Checks'!D281/'Data Checks'!D282),AD71))</f>
        <v>145.84606808513513</v>
      </c>
      <c r="AE72">
        <f>IF(Z71="BUY",AE71*('Data Checks'!E282/'Data Checks'!E281),IF(Z71="SELL",AE71*('Data Checks'!E281/'Data Checks'!E282),AE71))</f>
        <v>279.39026132838558</v>
      </c>
      <c r="AF72">
        <f>IF(AA71="BUY",AF71*('Data Checks'!F282/'Data Checks'!F281),IF(AA71="SELL",AF71*('Data Checks'!F281/'Data Checks'!F282),AF71))</f>
        <v>249.53854139534883</v>
      </c>
      <c r="AG72" s="16">
        <f t="shared" si="19"/>
        <v>1084.9534723545516</v>
      </c>
      <c r="AH72" s="17">
        <f t="shared" ref="AH72:AH135" si="23">AG72/AG71-1</f>
        <v>0</v>
      </c>
      <c r="AJ72" t="str">
        <f>IF('Moving Ave'!G282&gt;'Moving Ave'!L282,"SELL","BUY")</f>
        <v>SELL</v>
      </c>
      <c r="AK72" t="str">
        <f>IF('Moving Ave'!H282&gt;'Moving Ave'!M282,"SELL","BUY")</f>
        <v>BUY</v>
      </c>
      <c r="AL72" t="str">
        <f>IF('Moving Ave'!I282&gt;'Moving Ave'!N282,"SELL","BUY")</f>
        <v>BUY</v>
      </c>
      <c r="AM72" t="str">
        <f>IF('Moving Ave'!J282&gt;'Moving Ave'!O282,"SELL","BUY")</f>
        <v>BUY</v>
      </c>
      <c r="AN72" t="str">
        <f>IF('Moving Ave'!K282&gt;'Moving Ave'!P282,"SELL","BUY")</f>
        <v>BUY</v>
      </c>
      <c r="AO72">
        <f>IF(AJ71="BUY",AO71*('Data Checks'!B282/'Data Checks'!B281),AO71*('Data Checks'!B281/'Data Checks'!B282))</f>
        <v>220.18870384828236</v>
      </c>
      <c r="AP72">
        <f>IF(AK71="BUY",AP71*('Data Checks'!C282/'Data Checks'!C281),AP71*('Data Checks'!C281/'Data Checks'!C282))</f>
        <v>130.04826339975276</v>
      </c>
      <c r="AQ72">
        <f>IF(AL71="BUY",AQ71*('Data Checks'!D282/'Data Checks'!D281),AQ71*('Data Checks'!D281/'Data Checks'!D282))</f>
        <v>255.40501432918708</v>
      </c>
      <c r="AR72">
        <f>IF(AM71="BUY",AR71*('Data Checks'!E282/'Data Checks'!E281),AR71*('Data Checks'!E281/'Data Checks'!E282))</f>
        <v>124.74053147838866</v>
      </c>
      <c r="AS72">
        <f>IF(AN71="BUY",AS71*('Data Checks'!F282/'Data Checks'!F281),AS71*('Data Checks'!F281/'Data Checks'!F282))</f>
        <v>175.39018355277136</v>
      </c>
      <c r="AT72" s="16">
        <f t="shared" si="20"/>
        <v>905.77269660838215</v>
      </c>
      <c r="AU72" s="17">
        <f t="shared" ref="AU72:AU135" si="24">AT72/AT71-1</f>
        <v>5.0139790782837146E-3</v>
      </c>
    </row>
    <row r="73" spans="1:47" x14ac:dyDescent="0.35">
      <c r="A73" s="2">
        <f>Prices!A281</f>
        <v>44294</v>
      </c>
      <c r="B73">
        <f>B72*('Data Checks'!B283/'Data Checks'!B282)</f>
        <v>215.27810593580588</v>
      </c>
      <c r="C73">
        <f>C72*('Data Checks'!C283/'Data Checks'!C282)</f>
        <v>132.13106761826444</v>
      </c>
      <c r="D73">
        <f>D72*('Data Checks'!D283/'Data Checks'!D282)</f>
        <v>153.61496332634766</v>
      </c>
      <c r="E73">
        <f>E72*('Data Checks'!E283/'Data Checks'!E282)</f>
        <v>127.45228900394079</v>
      </c>
      <c r="F73">
        <f>F72*('Data Checks'!F283/'Data Checks'!F282)</f>
        <v>127.18169566783556</v>
      </c>
      <c r="G73" s="16">
        <f t="shared" si="17"/>
        <v>755.65812155219442</v>
      </c>
      <c r="H73" s="17">
        <f t="shared" si="21"/>
        <v>2.5619787581444564E-2</v>
      </c>
      <c r="J73" t="str">
        <f>IF(AND('Data Checks'!B283&gt;'Data Checks'!B282,'Data Checks'!B282&gt;'Data Checks'!B281,'Data Checks'!B281&gt;'Data Checks'!B280),"SELL",IF(AND('Data Checks'!B283&lt;'Data Checks'!B282,'Data Checks'!B282&lt;'Data Checks'!B281,'Data Checks'!B281&lt;'Data Checks'!B280),"BUY",""))</f>
        <v>SELL</v>
      </c>
      <c r="K73" t="str">
        <f>IF(AND('Data Checks'!C283&gt;'Data Checks'!C282,'Data Checks'!C282&gt;'Data Checks'!C281,'Data Checks'!C281&gt;'Data Checks'!C280),"SELL",IF(AND('Data Checks'!C283&lt;'Data Checks'!C282,'Data Checks'!C282&lt;'Data Checks'!C281,'Data Checks'!C281&lt;'Data Checks'!C280),"BUY",""))</f>
        <v>SELL</v>
      </c>
      <c r="L73" t="str">
        <f>IF(AND('Data Checks'!D283&gt;'Data Checks'!D282,'Data Checks'!D282&gt;'Data Checks'!D281,'Data Checks'!D281&gt;'Data Checks'!D280),"SELL",IF(AND('Data Checks'!D283&lt;'Data Checks'!D282,'Data Checks'!D282&lt;'Data Checks'!D281,'Data Checks'!D281&lt;'Data Checks'!D280),"BUY",""))</f>
        <v/>
      </c>
      <c r="M73" t="str">
        <f>IF(AND('Data Checks'!E283&gt;'Data Checks'!E282,'Data Checks'!E282&gt;'Data Checks'!E281,'Data Checks'!E281&gt;'Data Checks'!E280),"SELL",IF(AND('Data Checks'!E283&lt;'Data Checks'!E282,'Data Checks'!E282&lt;'Data Checks'!E281,'Data Checks'!E281&lt;'Data Checks'!E280),"BUY",""))</f>
        <v/>
      </c>
      <c r="N73" t="str">
        <f>IF(AND('Data Checks'!F283&gt;'Data Checks'!F282,'Data Checks'!F282&gt;'Data Checks'!F281,'Data Checks'!F281&gt;'Data Checks'!F280),"SELL",IF(AND('Data Checks'!F283&lt;'Data Checks'!F282,'Data Checks'!F282&lt;'Data Checks'!F281,'Data Checks'!F281&lt;'Data Checks'!F280),"BUY",""))</f>
        <v/>
      </c>
      <c r="O73">
        <f>IF(J72="BUY",O72*('Data Checks'!B283/'Data Checks'!B282),IF(J72="SELL",O72*('Data Checks'!B282/'Data Checks'!B283),O72))</f>
        <v>194.53742709432402</v>
      </c>
      <c r="P73">
        <f>IF(K72="BUY",P72*('Data Checks'!C283/'Data Checks'!C282),IF(K72="SELL",P72*('Data Checks'!C282/'Data Checks'!C283),P72))</f>
        <v>195.53912616064821</v>
      </c>
      <c r="Q73">
        <f>IF(L72="BUY",Q72*('Data Checks'!D283/'Data Checks'!D282),IF(L72="SELL",Q72*('Data Checks'!D282/'Data Checks'!D283),Q72))</f>
        <v>274.26176464798954</v>
      </c>
      <c r="R73">
        <f>IF(M72="BUY",R72*('Data Checks'!E283/'Data Checks'!E282),IF(M72="SELL",R72*('Data Checks'!E282/'Data Checks'!E283),R72))</f>
        <v>143.16891293854152</v>
      </c>
      <c r="S73">
        <f>IF(N72="BUY",S72*('Data Checks'!F283/'Data Checks'!F282),IF(N72="SELL",S72*('Data Checks'!F282/'Data Checks'!F283),S72))</f>
        <v>160.29587965182185</v>
      </c>
      <c r="T73" s="16">
        <f t="shared" si="18"/>
        <v>967.80311049332522</v>
      </c>
      <c r="U73" s="17">
        <f t="shared" si="22"/>
        <v>0</v>
      </c>
      <c r="W73" t="str">
        <f>IF(AND('Data Checks'!B283&gt;'Data Checks'!B282,'Data Checks'!B282&gt;'Data Checks'!B281,'Data Checks'!B281&gt;'Data Checks'!B280),"BUY",IF(AND('Data Checks'!B283&lt;'Data Checks'!B282,'Data Checks'!B282&lt;'Data Checks'!B281,'Data Checks'!B281&lt;'Data Checks'!B280),"SELL",""))</f>
        <v>BUY</v>
      </c>
      <c r="X73" t="str">
        <f>IF(AND('Data Checks'!C283&gt;'Data Checks'!C282,'Data Checks'!C282&gt;'Data Checks'!C281,'Data Checks'!C281&gt;'Data Checks'!C280),"BUY",IF(AND('Data Checks'!C283&lt;'Data Checks'!C282,'Data Checks'!C282&lt;'Data Checks'!C281,'Data Checks'!C281&lt;'Data Checks'!C280),"SELL",""))</f>
        <v>BUY</v>
      </c>
      <c r="Y73" t="str">
        <f>IF(AND('Data Checks'!D283&gt;'Data Checks'!D282,'Data Checks'!D282&gt;'Data Checks'!D281,'Data Checks'!D281&gt;'Data Checks'!D280),"BUY",IF(AND('Data Checks'!D283&lt;'Data Checks'!D282,'Data Checks'!D282&lt;'Data Checks'!D281,'Data Checks'!D281&lt;'Data Checks'!D280),"SELL",""))</f>
        <v/>
      </c>
      <c r="Z73" t="str">
        <f>IF(AND('Data Checks'!E283&gt;'Data Checks'!E282,'Data Checks'!E282&gt;'Data Checks'!E281,'Data Checks'!E281&gt;'Data Checks'!E280),"BUY",IF(AND('Data Checks'!E283&lt;'Data Checks'!E282,'Data Checks'!E282&lt;'Data Checks'!E281,'Data Checks'!E281&lt;'Data Checks'!E280),"SELL",""))</f>
        <v/>
      </c>
      <c r="AA73" t="str">
        <f>IF(AND('Data Checks'!F283&gt;'Data Checks'!F282,'Data Checks'!F282&gt;'Data Checks'!F281,'Data Checks'!F281&gt;'Data Checks'!F280),"BUY",IF(AND('Data Checks'!F283&lt;'Data Checks'!F282,'Data Checks'!F282&lt;'Data Checks'!F281,'Data Checks'!F281&lt;'Data Checks'!F280),"SELL",""))</f>
        <v/>
      </c>
      <c r="AB73">
        <f>IF(W72="BUY",AB72*('Data Checks'!B283/'Data Checks'!B282),IF(W72="SELL",AB72*('Data Checks'!B282/'Data Checks'!B283),AB72))</f>
        <v>205.61596088451128</v>
      </c>
      <c r="AC73">
        <f>IF(X72="BUY",AC72*('Data Checks'!C283/'Data Checks'!C282),IF(X72="SELL",AC72*('Data Checks'!C282/'Data Checks'!C283),AC72))</f>
        <v>204.56264066117078</v>
      </c>
      <c r="AD73">
        <f>IF(Y72="BUY",AD72*('Data Checks'!D283/'Data Checks'!D282),IF(Y72="SELL",AD72*('Data Checks'!D282/'Data Checks'!D283),AD72))</f>
        <v>145.84606808513513</v>
      </c>
      <c r="AE73">
        <f>IF(Z72="BUY",AE72*('Data Checks'!E283/'Data Checks'!E282),IF(Z72="SELL",AE72*('Data Checks'!E282/'Data Checks'!E283),AE72))</f>
        <v>279.39026132838558</v>
      </c>
      <c r="AF73">
        <f>IF(AA72="BUY",AF72*('Data Checks'!F283/'Data Checks'!F282),IF(AA72="SELL",AF72*('Data Checks'!F282/'Data Checks'!F283),AF72))</f>
        <v>249.53854139534883</v>
      </c>
      <c r="AG73" s="16">
        <f t="shared" si="19"/>
        <v>1084.9534723545516</v>
      </c>
      <c r="AH73" s="17">
        <f t="shared" si="23"/>
        <v>0</v>
      </c>
      <c r="AJ73" t="str">
        <f>IF('Moving Ave'!G283&gt;'Moving Ave'!L283,"SELL","BUY")</f>
        <v>SELL</v>
      </c>
      <c r="AK73" t="str">
        <f>IF('Moving Ave'!H283&gt;'Moving Ave'!M283,"SELL","BUY")</f>
        <v>BUY</v>
      </c>
      <c r="AL73" t="str">
        <f>IF('Moving Ave'!I283&gt;'Moving Ave'!N283,"SELL","BUY")</f>
        <v>BUY</v>
      </c>
      <c r="AM73" t="str">
        <f>IF('Moving Ave'!J283&gt;'Moving Ave'!O283,"SELL","BUY")</f>
        <v>BUY</v>
      </c>
      <c r="AN73" t="str">
        <f>IF('Moving Ave'!K283&gt;'Moving Ave'!P283,"SELL","BUY")</f>
        <v>BUY</v>
      </c>
      <c r="AO73">
        <f>IF(AJ72="BUY",AO72*('Data Checks'!B283/'Data Checks'!B282),AO72*('Data Checks'!B282/'Data Checks'!B283))</f>
        <v>216.80449896068325</v>
      </c>
      <c r="AP73">
        <f>IF(AK72="BUY",AP72*('Data Checks'!C283/'Data Checks'!C282),AP72*('Data Checks'!C282/'Data Checks'!C283))</f>
        <v>132.13106761826444</v>
      </c>
      <c r="AQ73">
        <f>IF(AL72="BUY",AQ72*('Data Checks'!D283/'Data Checks'!D282),AQ72*('Data Checks'!D282/'Data Checks'!D283))</f>
        <v>256.91298183124002</v>
      </c>
      <c r="AR73">
        <f>IF(AM72="BUY",AR72*('Data Checks'!E283/'Data Checks'!E282),AR72*('Data Checks'!E282/'Data Checks'!E283))</f>
        <v>127.45228900394079</v>
      </c>
      <c r="AS73">
        <f>IF(AN72="BUY",AS72*('Data Checks'!F283/'Data Checks'!F282),AS72*('Data Checks'!F282/'Data Checks'!F283))</f>
        <v>190.14863438295257</v>
      </c>
      <c r="AT73" s="16">
        <f t="shared" si="20"/>
        <v>923.44947179708106</v>
      </c>
      <c r="AU73" s="17">
        <f t="shared" si="24"/>
        <v>1.951568561835515E-2</v>
      </c>
    </row>
    <row r="74" spans="1:47" x14ac:dyDescent="0.35">
      <c r="A74" s="2">
        <f>Prices!A282</f>
        <v>44295</v>
      </c>
      <c r="B74">
        <f>B73*('Data Checks'!B284/'Data Checks'!B283)</f>
        <v>215.25281734420358</v>
      </c>
      <c r="C74">
        <f>C73*('Data Checks'!C284/'Data Checks'!C283)</f>
        <v>135.94107533505405</v>
      </c>
      <c r="D74">
        <f>D73*('Data Checks'!D284/'Data Checks'!D283)</f>
        <v>159.1584598289941</v>
      </c>
      <c r="E74">
        <f>E73*('Data Checks'!E284/'Data Checks'!E283)</f>
        <v>126.91663451902798</v>
      </c>
      <c r="F74">
        <f>F73*('Data Checks'!F284/'Data Checks'!F283)</f>
        <v>120.93467316549379</v>
      </c>
      <c r="G74" s="16">
        <f t="shared" si="17"/>
        <v>758.20366019277344</v>
      </c>
      <c r="H74" s="17">
        <f t="shared" si="21"/>
        <v>3.3686379699726654E-3</v>
      </c>
      <c r="J74" t="str">
        <f>IF(AND('Data Checks'!B284&gt;'Data Checks'!B283,'Data Checks'!B283&gt;'Data Checks'!B282,'Data Checks'!B282&gt;'Data Checks'!B281),"SELL",IF(AND('Data Checks'!B284&lt;'Data Checks'!B283,'Data Checks'!B283&lt;'Data Checks'!B282,'Data Checks'!B282&lt;'Data Checks'!B281),"BUY",""))</f>
        <v/>
      </c>
      <c r="K74" t="str">
        <f>IF(AND('Data Checks'!C284&gt;'Data Checks'!C283,'Data Checks'!C283&gt;'Data Checks'!C282,'Data Checks'!C282&gt;'Data Checks'!C281),"SELL",IF(AND('Data Checks'!C284&lt;'Data Checks'!C283,'Data Checks'!C283&lt;'Data Checks'!C282,'Data Checks'!C282&lt;'Data Checks'!C281),"BUY",""))</f>
        <v>SELL</v>
      </c>
      <c r="L74" t="str">
        <f>IF(AND('Data Checks'!D284&gt;'Data Checks'!D283,'Data Checks'!D283&gt;'Data Checks'!D282,'Data Checks'!D282&gt;'Data Checks'!D281),"SELL",IF(AND('Data Checks'!D284&lt;'Data Checks'!D283,'Data Checks'!D283&lt;'Data Checks'!D282,'Data Checks'!D282&lt;'Data Checks'!D281),"BUY",""))</f>
        <v/>
      </c>
      <c r="M74" t="str">
        <f>IF(AND('Data Checks'!E284&gt;'Data Checks'!E283,'Data Checks'!E283&gt;'Data Checks'!E282,'Data Checks'!E282&gt;'Data Checks'!E281),"SELL",IF(AND('Data Checks'!E284&lt;'Data Checks'!E283,'Data Checks'!E283&lt;'Data Checks'!E282,'Data Checks'!E282&lt;'Data Checks'!E281),"BUY",""))</f>
        <v/>
      </c>
      <c r="N74" t="str">
        <f>IF(AND('Data Checks'!F284&gt;'Data Checks'!F283,'Data Checks'!F283&gt;'Data Checks'!F282,'Data Checks'!F282&gt;'Data Checks'!F281),"SELL",IF(AND('Data Checks'!F284&lt;'Data Checks'!F283,'Data Checks'!F283&lt;'Data Checks'!F282,'Data Checks'!F282&lt;'Data Checks'!F281),"BUY",""))</f>
        <v/>
      </c>
      <c r="O74">
        <f>IF(J73="BUY",O73*('Data Checks'!B284/'Data Checks'!B283),IF(J73="SELL",O73*('Data Checks'!B283/'Data Checks'!B284),O73))</f>
        <v>194.56028197541619</v>
      </c>
      <c r="P74">
        <f>IF(K73="BUY",P73*('Data Checks'!C284/'Data Checks'!C283),IF(K73="SELL",P73*('Data Checks'!C283/'Data Checks'!C284),P73))</f>
        <v>190.05876948574215</v>
      </c>
      <c r="Q74">
        <f>IF(L73="BUY",Q73*('Data Checks'!D284/'Data Checks'!D283),IF(L73="SELL",Q73*('Data Checks'!D283/'Data Checks'!D284),Q73))</f>
        <v>274.26176464798954</v>
      </c>
      <c r="R74">
        <f>IF(M73="BUY",R73*('Data Checks'!E284/'Data Checks'!E283),IF(M73="SELL",R73*('Data Checks'!E283/'Data Checks'!E284),R73))</f>
        <v>143.16891293854152</v>
      </c>
      <c r="S74">
        <f>IF(N73="BUY",S73*('Data Checks'!F284/'Data Checks'!F283),IF(N73="SELL",S73*('Data Checks'!F283/'Data Checks'!F284),S73))</f>
        <v>160.29587965182185</v>
      </c>
      <c r="T74" s="16">
        <f t="shared" si="18"/>
        <v>962.34560869951133</v>
      </c>
      <c r="U74" s="17">
        <f t="shared" si="22"/>
        <v>-5.6390620516109102E-3</v>
      </c>
      <c r="W74" t="str">
        <f>IF(AND('Data Checks'!B284&gt;'Data Checks'!B283,'Data Checks'!B283&gt;'Data Checks'!B282,'Data Checks'!B282&gt;'Data Checks'!B281),"BUY",IF(AND('Data Checks'!B284&lt;'Data Checks'!B283,'Data Checks'!B283&lt;'Data Checks'!B282,'Data Checks'!B282&lt;'Data Checks'!B281),"SELL",""))</f>
        <v/>
      </c>
      <c r="X74" t="str">
        <f>IF(AND('Data Checks'!C284&gt;'Data Checks'!C283,'Data Checks'!C283&gt;'Data Checks'!C282,'Data Checks'!C282&gt;'Data Checks'!C281),"BUY",IF(AND('Data Checks'!C284&lt;'Data Checks'!C283,'Data Checks'!C283&lt;'Data Checks'!C282,'Data Checks'!C282&lt;'Data Checks'!C281),"SELL",""))</f>
        <v>BUY</v>
      </c>
      <c r="Y74" t="str">
        <f>IF(AND('Data Checks'!D284&gt;'Data Checks'!D283,'Data Checks'!D283&gt;'Data Checks'!D282,'Data Checks'!D282&gt;'Data Checks'!D281),"BUY",IF(AND('Data Checks'!D284&lt;'Data Checks'!D283,'Data Checks'!D283&lt;'Data Checks'!D282,'Data Checks'!D282&lt;'Data Checks'!D281),"SELL",""))</f>
        <v/>
      </c>
      <c r="Z74" t="str">
        <f>IF(AND('Data Checks'!E284&gt;'Data Checks'!E283,'Data Checks'!E283&gt;'Data Checks'!E282,'Data Checks'!E282&gt;'Data Checks'!E281),"BUY",IF(AND('Data Checks'!E284&lt;'Data Checks'!E283,'Data Checks'!E283&lt;'Data Checks'!E282,'Data Checks'!E282&lt;'Data Checks'!E281),"SELL",""))</f>
        <v/>
      </c>
      <c r="AA74" t="str">
        <f>IF(AND('Data Checks'!F284&gt;'Data Checks'!F283,'Data Checks'!F283&gt;'Data Checks'!F282,'Data Checks'!F282&gt;'Data Checks'!F281),"BUY",IF(AND('Data Checks'!F284&lt;'Data Checks'!F283,'Data Checks'!F283&lt;'Data Checks'!F282,'Data Checks'!F282&lt;'Data Checks'!F281),"SELL",""))</f>
        <v/>
      </c>
      <c r="AB74">
        <f>IF(W73="BUY",AB73*('Data Checks'!B284/'Data Checks'!B283),IF(W73="SELL",AB73*('Data Checks'!B283/'Data Checks'!B284),AB73))</f>
        <v>205.59180729936557</v>
      </c>
      <c r="AC74">
        <f>IF(X73="BUY",AC73*('Data Checks'!C284/'Data Checks'!C283),IF(X73="SELL",AC73*('Data Checks'!C283/'Data Checks'!C284),AC73))</f>
        <v>210.46121738150441</v>
      </c>
      <c r="AD74">
        <f>IF(Y73="BUY",AD73*('Data Checks'!D284/'Data Checks'!D283),IF(Y73="SELL",AD73*('Data Checks'!D283/'Data Checks'!D284),AD73))</f>
        <v>145.84606808513513</v>
      </c>
      <c r="AE74">
        <f>IF(Z73="BUY",AE73*('Data Checks'!E284/'Data Checks'!E283),IF(Z73="SELL",AE73*('Data Checks'!E283/'Data Checks'!E284),AE73))</f>
        <v>279.39026132838558</v>
      </c>
      <c r="AF74">
        <f>IF(AA73="BUY",AF73*('Data Checks'!F284/'Data Checks'!F283),IF(AA73="SELL",AF73*('Data Checks'!F283/'Data Checks'!F284),AF73))</f>
        <v>249.53854139534883</v>
      </c>
      <c r="AG74" s="16">
        <f t="shared" si="19"/>
        <v>1090.8278954897396</v>
      </c>
      <c r="AH74" s="17">
        <f t="shared" si="23"/>
        <v>5.4144470568302516E-3</v>
      </c>
      <c r="AJ74" t="str">
        <f>IF('Moving Ave'!G284&gt;'Moving Ave'!L284,"SELL","BUY")</f>
        <v>SELL</v>
      </c>
      <c r="AK74" t="str">
        <f>IF('Moving Ave'!H284&gt;'Moving Ave'!M284,"SELL","BUY")</f>
        <v>BUY</v>
      </c>
      <c r="AL74" t="str">
        <f>IF('Moving Ave'!I284&gt;'Moving Ave'!N284,"SELL","BUY")</f>
        <v>BUY</v>
      </c>
      <c r="AM74" t="str">
        <f>IF('Moving Ave'!J284&gt;'Moving Ave'!O284,"SELL","BUY")</f>
        <v>BUY</v>
      </c>
      <c r="AN74" t="str">
        <f>IF('Moving Ave'!K284&gt;'Moving Ave'!P284,"SELL","BUY")</f>
        <v>BUY</v>
      </c>
      <c r="AO74">
        <f>IF(AJ73="BUY",AO73*('Data Checks'!B284/'Data Checks'!B283),AO73*('Data Checks'!B283/'Data Checks'!B284))</f>
        <v>216.82996984882033</v>
      </c>
      <c r="AP74">
        <f>IF(AK73="BUY",AP73*('Data Checks'!C284/'Data Checks'!C283),AP73*('Data Checks'!C283/'Data Checks'!C284))</f>
        <v>135.94107533505405</v>
      </c>
      <c r="AQ74">
        <f>IF(AL73="BUY",AQ73*('Data Checks'!D284/'Data Checks'!D283),AQ73*('Data Checks'!D283/'Data Checks'!D284))</f>
        <v>266.18418943645429</v>
      </c>
      <c r="AR74">
        <f>IF(AM73="BUY",AR73*('Data Checks'!E284/'Data Checks'!E283),AR73*('Data Checks'!E283/'Data Checks'!E284))</f>
        <v>126.91663451902798</v>
      </c>
      <c r="AS74">
        <f>IF(AN73="BUY",AS73*('Data Checks'!F284/'Data Checks'!F283),AS73*('Data Checks'!F283/'Data Checks'!F284))</f>
        <v>180.80874634684523</v>
      </c>
      <c r="AT74" s="16">
        <f t="shared" si="20"/>
        <v>926.68061548620176</v>
      </c>
      <c r="AU74" s="17">
        <f t="shared" si="24"/>
        <v>3.4989934888725038E-3</v>
      </c>
    </row>
    <row r="75" spans="1:47" x14ac:dyDescent="0.35">
      <c r="A75" s="2">
        <f>Prices!A283</f>
        <v>44299</v>
      </c>
      <c r="B75">
        <f>B74*('Data Checks'!B285/'Data Checks'!B284)</f>
        <v>228.54148350882514</v>
      </c>
      <c r="C75">
        <f>C74*('Data Checks'!C285/'Data Checks'!C284)</f>
        <v>134.31547712256742</v>
      </c>
      <c r="D75">
        <f>D74*('Data Checks'!D285/'Data Checks'!D284)</f>
        <v>159.8597421916804</v>
      </c>
      <c r="E75">
        <f>E74*('Data Checks'!E285/'Data Checks'!E284)</f>
        <v>125.10879728460674</v>
      </c>
      <c r="F75">
        <f>F74*('Data Checks'!F285/'Data Checks'!F284)</f>
        <v>126.18026217711403</v>
      </c>
      <c r="G75" s="16">
        <f t="shared" si="17"/>
        <v>774.00576228479383</v>
      </c>
      <c r="H75" s="17">
        <f t="shared" si="21"/>
        <v>2.0841500670153223E-2</v>
      </c>
      <c r="J75" t="str">
        <f>IF(AND('Data Checks'!B285&gt;'Data Checks'!B284,'Data Checks'!B284&gt;'Data Checks'!B283,'Data Checks'!B283&gt;'Data Checks'!B282),"SELL",IF(AND('Data Checks'!B285&lt;'Data Checks'!B284,'Data Checks'!B284&lt;'Data Checks'!B283,'Data Checks'!B283&lt;'Data Checks'!B282),"BUY",""))</f>
        <v/>
      </c>
      <c r="K75" t="str">
        <f>IF(AND('Data Checks'!C285&gt;'Data Checks'!C284,'Data Checks'!C284&gt;'Data Checks'!C283,'Data Checks'!C283&gt;'Data Checks'!C282),"SELL",IF(AND('Data Checks'!C285&lt;'Data Checks'!C284,'Data Checks'!C284&lt;'Data Checks'!C283,'Data Checks'!C283&lt;'Data Checks'!C282),"BUY",""))</f>
        <v/>
      </c>
      <c r="L75" t="str">
        <f>IF(AND('Data Checks'!D285&gt;'Data Checks'!D284,'Data Checks'!D284&gt;'Data Checks'!D283,'Data Checks'!D283&gt;'Data Checks'!D282),"SELL",IF(AND('Data Checks'!D285&lt;'Data Checks'!D284,'Data Checks'!D284&lt;'Data Checks'!D283,'Data Checks'!D283&lt;'Data Checks'!D282),"BUY",""))</f>
        <v>SELL</v>
      </c>
      <c r="M75" t="str">
        <f>IF(AND('Data Checks'!E285&gt;'Data Checks'!E284,'Data Checks'!E284&gt;'Data Checks'!E283,'Data Checks'!E283&gt;'Data Checks'!E282),"SELL",IF(AND('Data Checks'!E285&lt;'Data Checks'!E284,'Data Checks'!E284&lt;'Data Checks'!E283,'Data Checks'!E283&lt;'Data Checks'!E282),"BUY",""))</f>
        <v/>
      </c>
      <c r="N75" t="str">
        <f>IF(AND('Data Checks'!F285&gt;'Data Checks'!F284,'Data Checks'!F284&gt;'Data Checks'!F283,'Data Checks'!F283&gt;'Data Checks'!F282),"SELL",IF(AND('Data Checks'!F285&lt;'Data Checks'!F284,'Data Checks'!F284&lt;'Data Checks'!F283,'Data Checks'!F283&lt;'Data Checks'!F282),"BUY",""))</f>
        <v/>
      </c>
      <c r="O75">
        <f>IF(J74="BUY",O74*('Data Checks'!B285/'Data Checks'!B284),IF(J74="SELL",O74*('Data Checks'!B284/'Data Checks'!B285),O74))</f>
        <v>194.56028197541619</v>
      </c>
      <c r="P75">
        <f>IF(K74="BUY",P74*('Data Checks'!C285/'Data Checks'!C284),IF(K74="SELL",P74*('Data Checks'!C284/'Data Checks'!C285),P74))</f>
        <v>192.35901963235403</v>
      </c>
      <c r="Q75">
        <f>IF(L74="BUY",Q74*('Data Checks'!D285/'Data Checks'!D284),IF(L74="SELL",Q74*('Data Checks'!D284/'Data Checks'!D285),Q74))</f>
        <v>274.26176464798954</v>
      </c>
      <c r="R75">
        <f>IF(M74="BUY",R74*('Data Checks'!E285/'Data Checks'!E284),IF(M74="SELL",R74*('Data Checks'!E284/'Data Checks'!E285),R74))</f>
        <v>143.16891293854152</v>
      </c>
      <c r="S75">
        <f>IF(N74="BUY",S74*('Data Checks'!F285/'Data Checks'!F284),IF(N74="SELL",S74*('Data Checks'!F284/'Data Checks'!F285),S74))</f>
        <v>160.29587965182185</v>
      </c>
      <c r="T75" s="16">
        <f t="shared" si="18"/>
        <v>964.64585884612325</v>
      </c>
      <c r="U75" s="17">
        <f t="shared" si="22"/>
        <v>2.3902536945332731E-3</v>
      </c>
      <c r="W75" t="str">
        <f>IF(AND('Data Checks'!B285&gt;'Data Checks'!B284,'Data Checks'!B284&gt;'Data Checks'!B283,'Data Checks'!B283&gt;'Data Checks'!B282),"BUY",IF(AND('Data Checks'!B285&lt;'Data Checks'!B284,'Data Checks'!B284&lt;'Data Checks'!B283,'Data Checks'!B283&lt;'Data Checks'!B282),"SELL",""))</f>
        <v/>
      </c>
      <c r="X75" t="str">
        <f>IF(AND('Data Checks'!C285&gt;'Data Checks'!C284,'Data Checks'!C284&gt;'Data Checks'!C283,'Data Checks'!C283&gt;'Data Checks'!C282),"BUY",IF(AND('Data Checks'!C285&lt;'Data Checks'!C284,'Data Checks'!C284&lt;'Data Checks'!C283,'Data Checks'!C283&lt;'Data Checks'!C282),"SELL",""))</f>
        <v/>
      </c>
      <c r="Y75" t="str">
        <f>IF(AND('Data Checks'!D285&gt;'Data Checks'!D284,'Data Checks'!D284&gt;'Data Checks'!D283,'Data Checks'!D283&gt;'Data Checks'!D282),"BUY",IF(AND('Data Checks'!D285&lt;'Data Checks'!D284,'Data Checks'!D284&lt;'Data Checks'!D283,'Data Checks'!D283&lt;'Data Checks'!D282),"SELL",""))</f>
        <v>BUY</v>
      </c>
      <c r="Z75" t="str">
        <f>IF(AND('Data Checks'!E285&gt;'Data Checks'!E284,'Data Checks'!E284&gt;'Data Checks'!E283,'Data Checks'!E283&gt;'Data Checks'!E282),"BUY",IF(AND('Data Checks'!E285&lt;'Data Checks'!E284,'Data Checks'!E284&lt;'Data Checks'!E283,'Data Checks'!E283&lt;'Data Checks'!E282),"SELL",""))</f>
        <v/>
      </c>
      <c r="AA75" t="str">
        <f>IF(AND('Data Checks'!F285&gt;'Data Checks'!F284,'Data Checks'!F284&gt;'Data Checks'!F283,'Data Checks'!F283&gt;'Data Checks'!F282),"BUY",IF(AND('Data Checks'!F285&lt;'Data Checks'!F284,'Data Checks'!F284&lt;'Data Checks'!F283,'Data Checks'!F283&lt;'Data Checks'!F282),"SELL",""))</f>
        <v/>
      </c>
      <c r="AB75">
        <f>IF(W74="BUY",AB74*('Data Checks'!B285/'Data Checks'!B284),IF(W74="SELL",AB74*('Data Checks'!B284/'Data Checks'!B285),AB74))</f>
        <v>205.59180729936557</v>
      </c>
      <c r="AC75">
        <f>IF(X74="BUY",AC74*('Data Checks'!C285/'Data Checks'!C284),IF(X74="SELL",AC74*('Data Checks'!C284/'Data Checks'!C285),AC74))</f>
        <v>207.94449917893098</v>
      </c>
      <c r="AD75">
        <f>IF(Y74="BUY",AD74*('Data Checks'!D285/'Data Checks'!D284),IF(Y74="SELL",AD74*('Data Checks'!D284/'Data Checks'!D285),AD74))</f>
        <v>145.84606808513513</v>
      </c>
      <c r="AE75">
        <f>IF(Z74="BUY",AE74*('Data Checks'!E285/'Data Checks'!E284),IF(Z74="SELL",AE74*('Data Checks'!E284/'Data Checks'!E285),AE74))</f>
        <v>279.39026132838558</v>
      </c>
      <c r="AF75">
        <f>IF(AA74="BUY",AF74*('Data Checks'!F285/'Data Checks'!F284),IF(AA74="SELL",AF74*('Data Checks'!F284/'Data Checks'!F285),AF74))</f>
        <v>249.53854139534883</v>
      </c>
      <c r="AG75" s="16">
        <f t="shared" si="19"/>
        <v>1088.3111772871662</v>
      </c>
      <c r="AH75" s="17">
        <f t="shared" si="23"/>
        <v>-2.3071634058675627E-3</v>
      </c>
      <c r="AJ75" t="str">
        <f>IF('Moving Ave'!G285&gt;'Moving Ave'!L285,"SELL","BUY")</f>
        <v>SELL</v>
      </c>
      <c r="AK75" t="str">
        <f>IF('Moving Ave'!H285&gt;'Moving Ave'!M285,"SELL","BUY")</f>
        <v>BUY</v>
      </c>
      <c r="AL75" t="str">
        <f>IF('Moving Ave'!I285&gt;'Moving Ave'!N285,"SELL","BUY")</f>
        <v>BUY</v>
      </c>
      <c r="AM75" t="str">
        <f>IF('Moving Ave'!J285&gt;'Moving Ave'!O285,"SELL","BUY")</f>
        <v>BUY</v>
      </c>
      <c r="AN75" t="str">
        <f>IF('Moving Ave'!K285&gt;'Moving Ave'!P285,"SELL","BUY")</f>
        <v>BUY</v>
      </c>
      <c r="AO75">
        <f>IF(AJ74="BUY",AO74*('Data Checks'!B285/'Data Checks'!B284),AO74*('Data Checks'!B284/'Data Checks'!B285))</f>
        <v>204.22227587760892</v>
      </c>
      <c r="AP75">
        <f>IF(AK74="BUY",AP74*('Data Checks'!C285/'Data Checks'!C284),AP74*('Data Checks'!C284/'Data Checks'!C285))</f>
        <v>134.31547712256742</v>
      </c>
      <c r="AQ75">
        <f>IF(AL74="BUY",AQ74*('Data Checks'!D285/'Data Checks'!D284),AQ74*('Data Checks'!D284/'Data Checks'!D285))</f>
        <v>267.35704746409732</v>
      </c>
      <c r="AR75">
        <f>IF(AM74="BUY",AR74*('Data Checks'!E285/'Data Checks'!E284),AR74*('Data Checks'!E284/'Data Checks'!E285))</f>
        <v>125.10879728460674</v>
      </c>
      <c r="AS75">
        <f>IF(AN74="BUY",AS74*('Data Checks'!F285/'Data Checks'!F284),AS74*('Data Checks'!F284/'Data Checks'!F285))</f>
        <v>188.6513968309122</v>
      </c>
      <c r="AT75" s="16">
        <f t="shared" si="20"/>
        <v>919.65499457979251</v>
      </c>
      <c r="AU75" s="17">
        <f t="shared" si="24"/>
        <v>-7.5814911729032985E-3</v>
      </c>
    </row>
    <row r="76" spans="1:47" x14ac:dyDescent="0.35">
      <c r="A76" s="2">
        <f>Prices!A284</f>
        <v>44300</v>
      </c>
      <c r="B76">
        <f>B75*('Data Checks'!B286/'Data Checks'!B285)</f>
        <v>240.60147796586176</v>
      </c>
      <c r="C76">
        <f>C75*('Data Checks'!C286/'Data Checks'!C285)</f>
        <v>136.39827626106879</v>
      </c>
      <c r="D76">
        <f>D75*('Data Checks'!D286/'Data Checks'!D285)</f>
        <v>160.26048689698587</v>
      </c>
      <c r="E76">
        <f>E75*('Data Checks'!E286/'Data Checks'!E285)</f>
        <v>123.90357134571241</v>
      </c>
      <c r="F76">
        <f>F75*('Data Checks'!F286/'Data Checks'!F285)</f>
        <v>122.12685248631655</v>
      </c>
      <c r="G76" s="16">
        <f t="shared" si="17"/>
        <v>783.29066495594543</v>
      </c>
      <c r="H76" s="17">
        <f t="shared" si="21"/>
        <v>1.1995908975849678E-2</v>
      </c>
      <c r="J76" t="str">
        <f>IF(AND('Data Checks'!B286&gt;'Data Checks'!B285,'Data Checks'!B285&gt;'Data Checks'!B284,'Data Checks'!B284&gt;'Data Checks'!B283),"SELL",IF(AND('Data Checks'!B286&lt;'Data Checks'!B285,'Data Checks'!B285&lt;'Data Checks'!B284,'Data Checks'!B284&lt;'Data Checks'!B283),"BUY",""))</f>
        <v/>
      </c>
      <c r="K76" t="str">
        <f>IF(AND('Data Checks'!C286&gt;'Data Checks'!C285,'Data Checks'!C285&gt;'Data Checks'!C284,'Data Checks'!C284&gt;'Data Checks'!C283),"SELL",IF(AND('Data Checks'!C286&lt;'Data Checks'!C285,'Data Checks'!C285&lt;'Data Checks'!C284,'Data Checks'!C284&lt;'Data Checks'!C283),"BUY",""))</f>
        <v/>
      </c>
      <c r="L76" t="str">
        <f>IF(AND('Data Checks'!D286&gt;'Data Checks'!D285,'Data Checks'!D285&gt;'Data Checks'!D284,'Data Checks'!D284&gt;'Data Checks'!D283),"SELL",IF(AND('Data Checks'!D286&lt;'Data Checks'!D285,'Data Checks'!D285&lt;'Data Checks'!D284,'Data Checks'!D284&lt;'Data Checks'!D283),"BUY",""))</f>
        <v>SELL</v>
      </c>
      <c r="M76" t="str">
        <f>IF(AND('Data Checks'!E286&gt;'Data Checks'!E285,'Data Checks'!E285&gt;'Data Checks'!E284,'Data Checks'!E284&gt;'Data Checks'!E283),"SELL",IF(AND('Data Checks'!E286&lt;'Data Checks'!E285,'Data Checks'!E285&lt;'Data Checks'!E284,'Data Checks'!E284&lt;'Data Checks'!E283),"BUY",""))</f>
        <v>BUY</v>
      </c>
      <c r="N76" t="str">
        <f>IF(AND('Data Checks'!F286&gt;'Data Checks'!F285,'Data Checks'!F285&gt;'Data Checks'!F284,'Data Checks'!F284&gt;'Data Checks'!F283),"SELL",IF(AND('Data Checks'!F286&lt;'Data Checks'!F285,'Data Checks'!F285&lt;'Data Checks'!F284,'Data Checks'!F284&lt;'Data Checks'!F283),"BUY",""))</f>
        <v/>
      </c>
      <c r="O76">
        <f>IF(J75="BUY",O75*('Data Checks'!B286/'Data Checks'!B285),IF(J75="SELL",O75*('Data Checks'!B285/'Data Checks'!B286),O75))</f>
        <v>194.56028197541619</v>
      </c>
      <c r="P76">
        <f>IF(K75="BUY",P75*('Data Checks'!C286/'Data Checks'!C285),IF(K75="SELL",P75*('Data Checks'!C285/'Data Checks'!C286),P75))</f>
        <v>192.35901963235403</v>
      </c>
      <c r="Q76">
        <f>IF(L75="BUY",Q75*('Data Checks'!D286/'Data Checks'!D285),IF(L75="SELL",Q75*('Data Checks'!D285/'Data Checks'!D286),Q75))</f>
        <v>273.57595024558441</v>
      </c>
      <c r="R76">
        <f>IF(M75="BUY",R75*('Data Checks'!E286/'Data Checks'!E285),IF(M75="SELL",R75*('Data Checks'!E285/'Data Checks'!E286),R75))</f>
        <v>143.16891293854152</v>
      </c>
      <c r="S76">
        <f>IF(N75="BUY",S75*('Data Checks'!F286/'Data Checks'!F285),IF(N75="SELL",S75*('Data Checks'!F285/'Data Checks'!F286),S75))</f>
        <v>160.29587965182185</v>
      </c>
      <c r="T76" s="16">
        <f t="shared" si="18"/>
        <v>963.96004444371806</v>
      </c>
      <c r="U76" s="17">
        <f t="shared" si="22"/>
        <v>-7.1094940813365426E-4</v>
      </c>
      <c r="W76" t="str">
        <f>IF(AND('Data Checks'!B286&gt;'Data Checks'!B285,'Data Checks'!B285&gt;'Data Checks'!B284,'Data Checks'!B284&gt;'Data Checks'!B283),"BUY",IF(AND('Data Checks'!B286&lt;'Data Checks'!B285,'Data Checks'!B285&lt;'Data Checks'!B284,'Data Checks'!B284&lt;'Data Checks'!B283),"SELL",""))</f>
        <v/>
      </c>
      <c r="X76" t="str">
        <f>IF(AND('Data Checks'!C286&gt;'Data Checks'!C285,'Data Checks'!C285&gt;'Data Checks'!C284,'Data Checks'!C284&gt;'Data Checks'!C283),"BUY",IF(AND('Data Checks'!C286&lt;'Data Checks'!C285,'Data Checks'!C285&lt;'Data Checks'!C284,'Data Checks'!C284&lt;'Data Checks'!C283),"SELL",""))</f>
        <v/>
      </c>
      <c r="Y76" t="str">
        <f>IF(AND('Data Checks'!D286&gt;'Data Checks'!D285,'Data Checks'!D285&gt;'Data Checks'!D284,'Data Checks'!D284&gt;'Data Checks'!D283),"BUY",IF(AND('Data Checks'!D286&lt;'Data Checks'!D285,'Data Checks'!D285&lt;'Data Checks'!D284,'Data Checks'!D284&lt;'Data Checks'!D283),"SELL",""))</f>
        <v>BUY</v>
      </c>
      <c r="Z76" t="str">
        <f>IF(AND('Data Checks'!E286&gt;'Data Checks'!E285,'Data Checks'!E285&gt;'Data Checks'!E284,'Data Checks'!E284&gt;'Data Checks'!E283),"BUY",IF(AND('Data Checks'!E286&lt;'Data Checks'!E285,'Data Checks'!E285&lt;'Data Checks'!E284,'Data Checks'!E284&lt;'Data Checks'!E283),"SELL",""))</f>
        <v>SELL</v>
      </c>
      <c r="AA76" t="str">
        <f>IF(AND('Data Checks'!F286&gt;'Data Checks'!F285,'Data Checks'!F285&gt;'Data Checks'!F284,'Data Checks'!F284&gt;'Data Checks'!F283),"BUY",IF(AND('Data Checks'!F286&lt;'Data Checks'!F285,'Data Checks'!F285&lt;'Data Checks'!F284,'Data Checks'!F284&lt;'Data Checks'!F283),"SELL",""))</f>
        <v/>
      </c>
      <c r="AB76">
        <f>IF(W75="BUY",AB75*('Data Checks'!B286/'Data Checks'!B285),IF(W75="SELL",AB75*('Data Checks'!B285/'Data Checks'!B286),AB75))</f>
        <v>205.59180729936557</v>
      </c>
      <c r="AC76">
        <f>IF(X75="BUY",AC75*('Data Checks'!C286/'Data Checks'!C285),IF(X75="SELL",AC75*('Data Checks'!C285/'Data Checks'!C286),AC75))</f>
        <v>207.94449917893098</v>
      </c>
      <c r="AD76">
        <f>IF(Y75="BUY",AD75*('Data Checks'!D286/'Data Checks'!D285),IF(Y75="SELL",AD75*('Data Checks'!D285/'Data Checks'!D286),AD75))</f>
        <v>146.21168258427937</v>
      </c>
      <c r="AE76">
        <f>IF(Z75="BUY",AE75*('Data Checks'!E286/'Data Checks'!E285),IF(Z75="SELL",AE75*('Data Checks'!E285/'Data Checks'!E286),AE75))</f>
        <v>279.39026132838558</v>
      </c>
      <c r="AF76">
        <f>IF(AA75="BUY",AF75*('Data Checks'!F286/'Data Checks'!F285),IF(AA75="SELL",AF75*('Data Checks'!F285/'Data Checks'!F286),AF75))</f>
        <v>249.53854139534883</v>
      </c>
      <c r="AG76" s="16">
        <f t="shared" si="19"/>
        <v>1088.6767917863103</v>
      </c>
      <c r="AH76" s="17">
        <f t="shared" si="23"/>
        <v>3.3594665457314932E-4</v>
      </c>
      <c r="AJ76" t="str">
        <f>IF('Moving Ave'!G286&gt;'Moving Ave'!L286,"SELL","BUY")</f>
        <v>SELL</v>
      </c>
      <c r="AK76" t="str">
        <f>IF('Moving Ave'!H286&gt;'Moving Ave'!M286,"SELL","BUY")</f>
        <v>BUY</v>
      </c>
      <c r="AL76" t="str">
        <f>IF('Moving Ave'!I286&gt;'Moving Ave'!N286,"SELL","BUY")</f>
        <v>BUY</v>
      </c>
      <c r="AM76" t="str">
        <f>IF('Moving Ave'!J286&gt;'Moving Ave'!O286,"SELL","BUY")</f>
        <v>BUY</v>
      </c>
      <c r="AN76" t="str">
        <f>IF('Moving Ave'!K286&gt;'Moving Ave'!P286,"SELL","BUY")</f>
        <v>BUY</v>
      </c>
      <c r="AO76">
        <f>IF(AJ75="BUY",AO75*('Data Checks'!B286/'Data Checks'!B285),AO75*('Data Checks'!B285/'Data Checks'!B286))</f>
        <v>193.98576554562823</v>
      </c>
      <c r="AP76">
        <f>IF(AK75="BUY",AP75*('Data Checks'!C286/'Data Checks'!C285),AP75*('Data Checks'!C285/'Data Checks'!C286))</f>
        <v>136.39827626106879</v>
      </c>
      <c r="AQ76">
        <f>IF(AL75="BUY",AQ75*('Data Checks'!D286/'Data Checks'!D285),AQ75*('Data Checks'!D285/'Data Checks'!D286))</f>
        <v>268.02727199798198</v>
      </c>
      <c r="AR76">
        <f>IF(AM75="BUY",AR75*('Data Checks'!E286/'Data Checks'!E285),AR75*('Data Checks'!E285/'Data Checks'!E286))</f>
        <v>123.90357134571241</v>
      </c>
      <c r="AS76">
        <f>IF(AN75="BUY",AS75*('Data Checks'!F286/'Data Checks'!F285),AS75*('Data Checks'!F285/'Data Checks'!F286))</f>
        <v>182.59116691140588</v>
      </c>
      <c r="AT76" s="16">
        <f t="shared" si="20"/>
        <v>904.90605206179725</v>
      </c>
      <c r="AU76" s="17">
        <f t="shared" si="24"/>
        <v>-1.603747340570294E-2</v>
      </c>
    </row>
    <row r="77" spans="1:47" x14ac:dyDescent="0.35">
      <c r="A77" s="2">
        <f>Prices!A285</f>
        <v>44301</v>
      </c>
      <c r="B77">
        <f>B76*('Data Checks'!B287/'Data Checks'!B286)</f>
        <v>243.16836263682302</v>
      </c>
      <c r="C77">
        <f>C76*('Data Checks'!C287/'Data Checks'!C286)</f>
        <v>129.2862669364051</v>
      </c>
      <c r="D77">
        <f>D76*('Data Checks'!D287/'Data Checks'!D286)</f>
        <v>153.68175244083739</v>
      </c>
      <c r="E77">
        <f>E76*('Data Checks'!E287/'Data Checks'!E286)</f>
        <v>115.03180398286563</v>
      </c>
      <c r="F77">
        <f>F76*('Data Checks'!F287/'Data Checks'!F286)</f>
        <v>115.92752001803807</v>
      </c>
      <c r="G77" s="16">
        <f t="shared" si="17"/>
        <v>757.09570601496921</v>
      </c>
      <c r="H77" s="17">
        <f t="shared" si="21"/>
        <v>-3.3442194721482466E-2</v>
      </c>
      <c r="J77" t="str">
        <f>IF(AND('Data Checks'!B287&gt;'Data Checks'!B286,'Data Checks'!B286&gt;'Data Checks'!B285,'Data Checks'!B285&gt;'Data Checks'!B284),"SELL",IF(AND('Data Checks'!B287&lt;'Data Checks'!B286,'Data Checks'!B286&lt;'Data Checks'!B285,'Data Checks'!B285&lt;'Data Checks'!B284),"BUY",""))</f>
        <v>SELL</v>
      </c>
      <c r="K77" t="str">
        <f>IF(AND('Data Checks'!C287&gt;'Data Checks'!C286,'Data Checks'!C286&gt;'Data Checks'!C285,'Data Checks'!C285&gt;'Data Checks'!C284),"SELL",IF(AND('Data Checks'!C287&lt;'Data Checks'!C286,'Data Checks'!C286&lt;'Data Checks'!C285,'Data Checks'!C285&lt;'Data Checks'!C284),"BUY",""))</f>
        <v/>
      </c>
      <c r="L77" t="str">
        <f>IF(AND('Data Checks'!D287&gt;'Data Checks'!D286,'Data Checks'!D286&gt;'Data Checks'!D285,'Data Checks'!D285&gt;'Data Checks'!D284),"SELL",IF(AND('Data Checks'!D287&lt;'Data Checks'!D286,'Data Checks'!D286&lt;'Data Checks'!D285,'Data Checks'!D285&lt;'Data Checks'!D284),"BUY",""))</f>
        <v/>
      </c>
      <c r="M77" t="str">
        <f>IF(AND('Data Checks'!E287&gt;'Data Checks'!E286,'Data Checks'!E286&gt;'Data Checks'!E285,'Data Checks'!E285&gt;'Data Checks'!E284),"SELL",IF(AND('Data Checks'!E287&lt;'Data Checks'!E286,'Data Checks'!E286&lt;'Data Checks'!E285,'Data Checks'!E285&lt;'Data Checks'!E284),"BUY",""))</f>
        <v>BUY</v>
      </c>
      <c r="N77" t="str">
        <f>IF(AND('Data Checks'!F287&gt;'Data Checks'!F286,'Data Checks'!F286&gt;'Data Checks'!F285,'Data Checks'!F285&gt;'Data Checks'!F284),"SELL",IF(AND('Data Checks'!F287&lt;'Data Checks'!F286,'Data Checks'!F286&lt;'Data Checks'!F285,'Data Checks'!F285&lt;'Data Checks'!F284),"BUY",""))</f>
        <v/>
      </c>
      <c r="O77">
        <f>IF(J76="BUY",O76*('Data Checks'!B287/'Data Checks'!B286),IF(J76="SELL",O76*('Data Checks'!B286/'Data Checks'!B287),O76))</f>
        <v>194.56028197541619</v>
      </c>
      <c r="P77">
        <f>IF(K76="BUY",P76*('Data Checks'!C287/'Data Checks'!C286),IF(K76="SELL",P76*('Data Checks'!C286/'Data Checks'!C287),P76))</f>
        <v>192.35901963235403</v>
      </c>
      <c r="Q77">
        <f>IF(L76="BUY",Q76*('Data Checks'!D287/'Data Checks'!D286),IF(L76="SELL",Q76*('Data Checks'!D286/'Data Checks'!D287),Q76))</f>
        <v>285.28705778873302</v>
      </c>
      <c r="R77">
        <f>IF(M76="BUY",R76*('Data Checks'!E287/'Data Checks'!E286),IF(M76="SELL",R76*('Data Checks'!E286/'Data Checks'!E287),R76))</f>
        <v>132.91770487902212</v>
      </c>
      <c r="S77">
        <f>IF(N76="BUY",S76*('Data Checks'!F287/'Data Checks'!F286),IF(N76="SELL",S76*('Data Checks'!F286/'Data Checks'!F287),S76))</f>
        <v>160.29587965182185</v>
      </c>
      <c r="T77" s="16">
        <f t="shared" si="18"/>
        <v>965.41994392734728</v>
      </c>
      <c r="U77" s="17">
        <f t="shared" si="22"/>
        <v>1.5144813232084164E-3</v>
      </c>
      <c r="W77" t="str">
        <f>IF(AND('Data Checks'!B287&gt;'Data Checks'!B286,'Data Checks'!B286&gt;'Data Checks'!B285,'Data Checks'!B285&gt;'Data Checks'!B284),"BUY",IF(AND('Data Checks'!B287&lt;'Data Checks'!B286,'Data Checks'!B286&lt;'Data Checks'!B285,'Data Checks'!B285&lt;'Data Checks'!B284),"SELL",""))</f>
        <v>BUY</v>
      </c>
      <c r="X77" t="str">
        <f>IF(AND('Data Checks'!C287&gt;'Data Checks'!C286,'Data Checks'!C286&gt;'Data Checks'!C285,'Data Checks'!C285&gt;'Data Checks'!C284),"BUY",IF(AND('Data Checks'!C287&lt;'Data Checks'!C286,'Data Checks'!C286&lt;'Data Checks'!C285,'Data Checks'!C285&lt;'Data Checks'!C284),"SELL",""))</f>
        <v/>
      </c>
      <c r="Y77" t="str">
        <f>IF(AND('Data Checks'!D287&gt;'Data Checks'!D286,'Data Checks'!D286&gt;'Data Checks'!D285,'Data Checks'!D285&gt;'Data Checks'!D284),"BUY",IF(AND('Data Checks'!D287&lt;'Data Checks'!D286,'Data Checks'!D286&lt;'Data Checks'!D285,'Data Checks'!D285&lt;'Data Checks'!D284),"SELL",""))</f>
        <v/>
      </c>
      <c r="Z77" t="str">
        <f>IF(AND('Data Checks'!E287&gt;'Data Checks'!E286,'Data Checks'!E286&gt;'Data Checks'!E285,'Data Checks'!E285&gt;'Data Checks'!E284),"BUY",IF(AND('Data Checks'!E287&lt;'Data Checks'!E286,'Data Checks'!E286&lt;'Data Checks'!E285,'Data Checks'!E285&lt;'Data Checks'!E284),"SELL",""))</f>
        <v>SELL</v>
      </c>
      <c r="AA77" t="str">
        <f>IF(AND('Data Checks'!F287&gt;'Data Checks'!F286,'Data Checks'!F286&gt;'Data Checks'!F285,'Data Checks'!F285&gt;'Data Checks'!F284),"BUY",IF(AND('Data Checks'!F287&lt;'Data Checks'!F286,'Data Checks'!F286&lt;'Data Checks'!F285,'Data Checks'!F285&lt;'Data Checks'!F284),"SELL",""))</f>
        <v/>
      </c>
      <c r="AB77">
        <f>IF(W76="BUY",AB76*('Data Checks'!B287/'Data Checks'!B286),IF(W76="SELL",AB76*('Data Checks'!B286/'Data Checks'!B287),AB76))</f>
        <v>205.59180729936557</v>
      </c>
      <c r="AC77">
        <f>IF(X76="BUY",AC76*('Data Checks'!C287/'Data Checks'!C286),IF(X76="SELL",AC76*('Data Checks'!C286/'Data Checks'!C287),AC76))</f>
        <v>207.94449917893098</v>
      </c>
      <c r="AD77">
        <f>IF(Y76="BUY",AD76*('Data Checks'!D287/'Data Checks'!D286),IF(Y76="SELL",AD76*('Data Checks'!D286/'Data Checks'!D287),AD76))</f>
        <v>140.20965518043815</v>
      </c>
      <c r="AE77">
        <f>IF(Z76="BUY",AE76*('Data Checks'!E287/'Data Checks'!E286),IF(Z76="SELL",AE76*('Data Checks'!E286/'Data Checks'!E287),AE76))</f>
        <v>300.93808824344995</v>
      </c>
      <c r="AF77">
        <f>IF(AA76="BUY",AF76*('Data Checks'!F287/'Data Checks'!F286),IF(AA76="SELL",AF76*('Data Checks'!F286/'Data Checks'!F287),AF76))</f>
        <v>249.53854139534883</v>
      </c>
      <c r="AG77" s="16">
        <f t="shared" si="19"/>
        <v>1104.2225912975334</v>
      </c>
      <c r="AH77" s="17">
        <f t="shared" si="23"/>
        <v>1.4279536064799814E-2</v>
      </c>
      <c r="AJ77" t="str">
        <f>IF('Moving Ave'!G287&gt;'Moving Ave'!L287,"SELL","BUY")</f>
        <v>SELL</v>
      </c>
      <c r="AK77" t="str">
        <f>IF('Moving Ave'!H287&gt;'Moving Ave'!M287,"SELL","BUY")</f>
        <v>BUY</v>
      </c>
      <c r="AL77" t="str">
        <f>IF('Moving Ave'!I287&gt;'Moving Ave'!N287,"SELL","BUY")</f>
        <v>BUY</v>
      </c>
      <c r="AM77" t="str">
        <f>IF('Moving Ave'!J287&gt;'Moving Ave'!O287,"SELL","BUY")</f>
        <v>BUY</v>
      </c>
      <c r="AN77" t="str">
        <f>IF('Moving Ave'!K287&gt;'Moving Ave'!P287,"SELL","BUY")</f>
        <v>BUY</v>
      </c>
      <c r="AO77">
        <f>IF(AJ76="BUY",AO76*('Data Checks'!B287/'Data Checks'!B286),AO76*('Data Checks'!B286/'Data Checks'!B287))</f>
        <v>191.9380522552795</v>
      </c>
      <c r="AP77">
        <f>IF(AK76="BUY",AP76*('Data Checks'!C287/'Data Checks'!C286),AP76*('Data Checks'!C286/'Data Checks'!C287))</f>
        <v>129.2862669364051</v>
      </c>
      <c r="AQ77">
        <f>IF(AL76="BUY",AQ76*('Data Checks'!D287/'Data Checks'!D286),AQ76*('Data Checks'!D286/'Data Checks'!D287))</f>
        <v>257.02468312768838</v>
      </c>
      <c r="AR77">
        <f>IF(AM76="BUY",AR76*('Data Checks'!E287/'Data Checks'!E286),AR76*('Data Checks'!E286/'Data Checks'!E287))</f>
        <v>115.03180398286563</v>
      </c>
      <c r="AS77">
        <f>IF(AN76="BUY",AS76*('Data Checks'!F287/'Data Checks'!F286),AS76*('Data Checks'!F286/'Data Checks'!F287))</f>
        <v>173.3225799756903</v>
      </c>
      <c r="AT77" s="16">
        <f t="shared" si="20"/>
        <v>866.60338627792885</v>
      </c>
      <c r="AU77" s="17">
        <f t="shared" si="24"/>
        <v>-4.2327781648268448E-2</v>
      </c>
    </row>
    <row r="78" spans="1:47" x14ac:dyDescent="0.35">
      <c r="A78" s="2">
        <f>Prices!A286</f>
        <v>44302</v>
      </c>
      <c r="B78">
        <f>B77*('Data Checks'!B288/'Data Checks'!B287)</f>
        <v>253.75945630550186</v>
      </c>
      <c r="C78">
        <f>C77*('Data Checks'!C288/'Data Checks'!C287)</f>
        <v>128.32105990147477</v>
      </c>
      <c r="D78">
        <f>D77*('Data Checks'!D288/'Data Checks'!D287)</f>
        <v>155.18451085631173</v>
      </c>
      <c r="E78">
        <f>E77*('Data Checks'!E288/'Data Checks'!E287)</f>
        <v>109.13959460530317</v>
      </c>
      <c r="F78">
        <f>F77*('Data Checks'!F288/'Data Checks'!F287)</f>
        <v>114.97377656137984</v>
      </c>
      <c r="G78" s="16">
        <f t="shared" si="17"/>
        <v>761.37839822997137</v>
      </c>
      <c r="H78" s="17">
        <f t="shared" si="21"/>
        <v>5.6567382181367254E-3</v>
      </c>
      <c r="J78" t="str">
        <f>IF(AND('Data Checks'!B288&gt;'Data Checks'!B287,'Data Checks'!B287&gt;'Data Checks'!B286,'Data Checks'!B286&gt;'Data Checks'!B285),"SELL",IF(AND('Data Checks'!B288&lt;'Data Checks'!B287,'Data Checks'!B287&lt;'Data Checks'!B286,'Data Checks'!B286&lt;'Data Checks'!B285),"BUY",""))</f>
        <v>SELL</v>
      </c>
      <c r="K78" t="str">
        <f>IF(AND('Data Checks'!C288&gt;'Data Checks'!C287,'Data Checks'!C287&gt;'Data Checks'!C286,'Data Checks'!C286&gt;'Data Checks'!C285),"SELL",IF(AND('Data Checks'!C288&lt;'Data Checks'!C287,'Data Checks'!C287&lt;'Data Checks'!C286,'Data Checks'!C286&lt;'Data Checks'!C285),"BUY",""))</f>
        <v/>
      </c>
      <c r="L78" t="str">
        <f>IF(AND('Data Checks'!D288&gt;'Data Checks'!D287,'Data Checks'!D287&gt;'Data Checks'!D286,'Data Checks'!D286&gt;'Data Checks'!D285),"SELL",IF(AND('Data Checks'!D288&lt;'Data Checks'!D287,'Data Checks'!D287&lt;'Data Checks'!D286,'Data Checks'!D286&lt;'Data Checks'!D285),"BUY",""))</f>
        <v/>
      </c>
      <c r="M78" t="str">
        <f>IF(AND('Data Checks'!E288&gt;'Data Checks'!E287,'Data Checks'!E287&gt;'Data Checks'!E286,'Data Checks'!E286&gt;'Data Checks'!E285),"SELL",IF(AND('Data Checks'!E288&lt;'Data Checks'!E287,'Data Checks'!E287&lt;'Data Checks'!E286,'Data Checks'!E286&lt;'Data Checks'!E285),"BUY",""))</f>
        <v>BUY</v>
      </c>
      <c r="N78" t="str">
        <f>IF(AND('Data Checks'!F288&gt;'Data Checks'!F287,'Data Checks'!F287&gt;'Data Checks'!F286,'Data Checks'!F286&gt;'Data Checks'!F285),"SELL",IF(AND('Data Checks'!F288&lt;'Data Checks'!F287,'Data Checks'!F287&lt;'Data Checks'!F286,'Data Checks'!F286&lt;'Data Checks'!F285),"BUY",""))</f>
        <v>BUY</v>
      </c>
      <c r="O78">
        <f>IF(J77="BUY",O77*('Data Checks'!B288/'Data Checks'!B287),IF(J77="SELL",O77*('Data Checks'!B287/'Data Checks'!B288),O77))</f>
        <v>186.43996913818569</v>
      </c>
      <c r="P78">
        <f>IF(K77="BUY",P77*('Data Checks'!C288/'Data Checks'!C287),IF(K77="SELL",P77*('Data Checks'!C287/'Data Checks'!C288),P77))</f>
        <v>192.35901963235403</v>
      </c>
      <c r="Q78">
        <f>IF(L77="BUY",Q77*('Data Checks'!D288/'Data Checks'!D287),IF(L77="SELL",Q77*('Data Checks'!D287/'Data Checks'!D288),Q77))</f>
        <v>285.28705778873302</v>
      </c>
      <c r="R78">
        <f>IF(M77="BUY",R77*('Data Checks'!E288/'Data Checks'!E287),IF(M77="SELL",R77*('Data Checks'!E287/'Data Checks'!E288),R77))</f>
        <v>126.1093360626128</v>
      </c>
      <c r="S78">
        <f>IF(N77="BUY",S77*('Data Checks'!F288/'Data Checks'!F287),IF(N77="SELL",S77*('Data Checks'!F287/'Data Checks'!F288),S77))</f>
        <v>160.29587965182185</v>
      </c>
      <c r="T78" s="16">
        <f t="shared" si="18"/>
        <v>950.49126227370743</v>
      </c>
      <c r="U78" s="17">
        <f t="shared" si="22"/>
        <v>-1.5463407139601482E-2</v>
      </c>
      <c r="W78" t="str">
        <f>IF(AND('Data Checks'!B288&gt;'Data Checks'!B287,'Data Checks'!B287&gt;'Data Checks'!B286,'Data Checks'!B286&gt;'Data Checks'!B285),"BUY",IF(AND('Data Checks'!B288&lt;'Data Checks'!B287,'Data Checks'!B287&lt;'Data Checks'!B286,'Data Checks'!B286&lt;'Data Checks'!B285),"SELL",""))</f>
        <v>BUY</v>
      </c>
      <c r="X78" t="str">
        <f>IF(AND('Data Checks'!C288&gt;'Data Checks'!C287,'Data Checks'!C287&gt;'Data Checks'!C286,'Data Checks'!C286&gt;'Data Checks'!C285),"BUY",IF(AND('Data Checks'!C288&lt;'Data Checks'!C287,'Data Checks'!C287&lt;'Data Checks'!C286,'Data Checks'!C286&lt;'Data Checks'!C285),"SELL",""))</f>
        <v/>
      </c>
      <c r="Y78" t="str">
        <f>IF(AND('Data Checks'!D288&gt;'Data Checks'!D287,'Data Checks'!D287&gt;'Data Checks'!D286,'Data Checks'!D286&gt;'Data Checks'!D285),"BUY",IF(AND('Data Checks'!D288&lt;'Data Checks'!D287,'Data Checks'!D287&lt;'Data Checks'!D286,'Data Checks'!D286&lt;'Data Checks'!D285),"SELL",""))</f>
        <v/>
      </c>
      <c r="Z78" t="str">
        <f>IF(AND('Data Checks'!E288&gt;'Data Checks'!E287,'Data Checks'!E287&gt;'Data Checks'!E286,'Data Checks'!E286&gt;'Data Checks'!E285),"BUY",IF(AND('Data Checks'!E288&lt;'Data Checks'!E287,'Data Checks'!E287&lt;'Data Checks'!E286,'Data Checks'!E286&lt;'Data Checks'!E285),"SELL",""))</f>
        <v>SELL</v>
      </c>
      <c r="AA78" t="str">
        <f>IF(AND('Data Checks'!F288&gt;'Data Checks'!F287,'Data Checks'!F287&gt;'Data Checks'!F286,'Data Checks'!F286&gt;'Data Checks'!F285),"BUY",IF(AND('Data Checks'!F288&lt;'Data Checks'!F287,'Data Checks'!F287&lt;'Data Checks'!F286,'Data Checks'!F286&lt;'Data Checks'!F285),"SELL",""))</f>
        <v>SELL</v>
      </c>
      <c r="AB78">
        <f>IF(W77="BUY",AB77*('Data Checks'!B288/'Data Checks'!B287),IF(W77="SELL",AB77*('Data Checks'!B287/'Data Checks'!B288),AB77))</f>
        <v>214.54627022788645</v>
      </c>
      <c r="AC78">
        <f>IF(X77="BUY",AC77*('Data Checks'!C288/'Data Checks'!C287),IF(X77="SELL",AC77*('Data Checks'!C287/'Data Checks'!C288),AC77))</f>
        <v>207.94449917893098</v>
      </c>
      <c r="AD78">
        <f>IF(Y77="BUY",AD77*('Data Checks'!D288/'Data Checks'!D287),IF(Y77="SELL",AD77*('Data Checks'!D287/'Data Checks'!D288),AD77))</f>
        <v>140.20965518043815</v>
      </c>
      <c r="AE78">
        <f>IF(Z77="BUY",AE77*('Data Checks'!E288/'Data Checks'!E287),IF(Z77="SELL",AE77*('Data Checks'!E287/'Data Checks'!E288),AE77))</f>
        <v>317.18508120715308</v>
      </c>
      <c r="AF78">
        <f>IF(AA77="BUY",AF77*('Data Checks'!F288/'Data Checks'!F287),IF(AA77="SELL",AF77*('Data Checks'!F287/'Data Checks'!F288),AF77))</f>
        <v>249.53854139534883</v>
      </c>
      <c r="AG78" s="16">
        <f t="shared" si="19"/>
        <v>1129.4240471897574</v>
      </c>
      <c r="AH78" s="17">
        <f t="shared" si="23"/>
        <v>2.282280410746762E-2</v>
      </c>
      <c r="AJ78" t="str">
        <f>IF('Moving Ave'!G288&gt;'Moving Ave'!L288,"SELL","BUY")</f>
        <v>SELL</v>
      </c>
      <c r="AK78" t="str">
        <f>IF('Moving Ave'!H288&gt;'Moving Ave'!M288,"SELL","BUY")</f>
        <v>BUY</v>
      </c>
      <c r="AL78" t="str">
        <f>IF('Moving Ave'!I288&gt;'Moving Ave'!N288,"SELL","BUY")</f>
        <v>BUY</v>
      </c>
      <c r="AM78" t="str">
        <f>IF('Moving Ave'!J288&gt;'Moving Ave'!O288,"SELL","BUY")</f>
        <v>BUY</v>
      </c>
      <c r="AN78" t="str">
        <f>IF('Moving Ave'!K288&gt;'Moving Ave'!P288,"SELL","BUY")</f>
        <v>BUY</v>
      </c>
      <c r="AO78">
        <f>IF(AJ77="BUY",AO77*('Data Checks'!B288/'Data Checks'!B287),AO77*('Data Checks'!B287/'Data Checks'!B288))</f>
        <v>183.9271827506881</v>
      </c>
      <c r="AP78">
        <f>IF(AK77="BUY",AP77*('Data Checks'!C288/'Data Checks'!C287),AP77*('Data Checks'!C287/'Data Checks'!C288))</f>
        <v>128.32105990147477</v>
      </c>
      <c r="AQ78">
        <f>IF(AL77="BUY",AQ77*('Data Checks'!D288/'Data Checks'!D287),AQ77*('Data Checks'!D287/'Data Checks'!D288))</f>
        <v>259.53796788284143</v>
      </c>
      <c r="AR78">
        <f>IF(AM77="BUY",AR77*('Data Checks'!E288/'Data Checks'!E287),AR77*('Data Checks'!E287/'Data Checks'!E288))</f>
        <v>109.13959460530317</v>
      </c>
      <c r="AS78">
        <f>IF(AN77="BUY",AS77*('Data Checks'!F288/'Data Checks'!F287),AS77*('Data Checks'!F287/'Data Checks'!F288))</f>
        <v>171.89664352404176</v>
      </c>
      <c r="AT78" s="16">
        <f t="shared" si="20"/>
        <v>852.82244866434928</v>
      </c>
      <c r="AU78" s="17">
        <f t="shared" si="24"/>
        <v>-1.5902242977342662E-2</v>
      </c>
    </row>
    <row r="79" spans="1:47" x14ac:dyDescent="0.35">
      <c r="A79" s="2">
        <f>Prices!A287</f>
        <v>44303</v>
      </c>
      <c r="B79">
        <f>B78*('Data Checks'!B289/'Data Checks'!B288)</f>
        <v>250.2621153194024</v>
      </c>
      <c r="C79">
        <f>C78*('Data Checks'!C289/'Data Checks'!C288)</f>
        <v>131.87706202380144</v>
      </c>
      <c r="D79">
        <f>D78*('Data Checks'!D289/'Data Checks'!D288)</f>
        <v>159.0916673750487</v>
      </c>
      <c r="E79">
        <f>E78*('Data Checks'!E289/'Data Checks'!E288)</f>
        <v>118.78138202941473</v>
      </c>
      <c r="F79">
        <f>F78*('Data Checks'!F289/'Data Checks'!F288)</f>
        <v>118.16881571056972</v>
      </c>
      <c r="G79" s="16">
        <f t="shared" si="17"/>
        <v>778.18104245823702</v>
      </c>
      <c r="H79" s="17">
        <f t="shared" si="21"/>
        <v>2.2068716773851138E-2</v>
      </c>
      <c r="J79" t="str">
        <f>IF(AND('Data Checks'!B289&gt;'Data Checks'!B288,'Data Checks'!B288&gt;'Data Checks'!B287,'Data Checks'!B287&gt;'Data Checks'!B286),"SELL",IF(AND('Data Checks'!B289&lt;'Data Checks'!B288,'Data Checks'!B288&lt;'Data Checks'!B287,'Data Checks'!B287&lt;'Data Checks'!B286),"BUY",""))</f>
        <v/>
      </c>
      <c r="K79" t="str">
        <f>IF(AND('Data Checks'!C289&gt;'Data Checks'!C288,'Data Checks'!C288&gt;'Data Checks'!C287,'Data Checks'!C287&gt;'Data Checks'!C286),"SELL",IF(AND('Data Checks'!C289&lt;'Data Checks'!C288,'Data Checks'!C288&lt;'Data Checks'!C287,'Data Checks'!C287&lt;'Data Checks'!C286),"BUY",""))</f>
        <v/>
      </c>
      <c r="L79" t="str">
        <f>IF(AND('Data Checks'!D289&gt;'Data Checks'!D288,'Data Checks'!D288&gt;'Data Checks'!D287,'Data Checks'!D287&gt;'Data Checks'!D286),"SELL",IF(AND('Data Checks'!D289&lt;'Data Checks'!D288,'Data Checks'!D288&lt;'Data Checks'!D287,'Data Checks'!D287&lt;'Data Checks'!D286),"BUY",""))</f>
        <v/>
      </c>
      <c r="M79" t="str">
        <f>IF(AND('Data Checks'!E289&gt;'Data Checks'!E288,'Data Checks'!E288&gt;'Data Checks'!E287,'Data Checks'!E287&gt;'Data Checks'!E286),"SELL",IF(AND('Data Checks'!E289&lt;'Data Checks'!E288,'Data Checks'!E288&lt;'Data Checks'!E287,'Data Checks'!E287&lt;'Data Checks'!E286),"BUY",""))</f>
        <v/>
      </c>
      <c r="N79" t="str">
        <f>IF(AND('Data Checks'!F289&gt;'Data Checks'!F288,'Data Checks'!F288&gt;'Data Checks'!F287,'Data Checks'!F287&gt;'Data Checks'!F286),"SELL",IF(AND('Data Checks'!F289&lt;'Data Checks'!F288,'Data Checks'!F288&lt;'Data Checks'!F287,'Data Checks'!F287&lt;'Data Checks'!F286),"BUY",""))</f>
        <v/>
      </c>
      <c r="O79">
        <f>IF(J78="BUY",O78*('Data Checks'!B289/'Data Checks'!B288),IF(J78="SELL",O78*('Data Checks'!B288/'Data Checks'!B289),O78))</f>
        <v>189.04541401218071</v>
      </c>
      <c r="P79">
        <f>IF(K78="BUY",P78*('Data Checks'!C289/'Data Checks'!C288),IF(K78="SELL",P78*('Data Checks'!C288/'Data Checks'!C289),P78))</f>
        <v>192.35901963235403</v>
      </c>
      <c r="Q79">
        <f>IF(L78="BUY",Q78*('Data Checks'!D289/'Data Checks'!D288),IF(L78="SELL",Q78*('Data Checks'!D288/'Data Checks'!D289),Q78))</f>
        <v>285.28705778873302</v>
      </c>
      <c r="R79">
        <f>IF(M78="BUY",R78*('Data Checks'!E289/'Data Checks'!E288),IF(M78="SELL",R78*('Data Checks'!E288/'Data Checks'!E289),R78))</f>
        <v>137.25029196325414</v>
      </c>
      <c r="S79">
        <f>IF(N78="BUY",S78*('Data Checks'!F289/'Data Checks'!F288),IF(N78="SELL",S78*('Data Checks'!F288/'Data Checks'!F289),S78))</f>
        <v>164.75038768190279</v>
      </c>
      <c r="T79" s="16">
        <f t="shared" si="18"/>
        <v>968.69217107842474</v>
      </c>
      <c r="U79" s="17">
        <f t="shared" si="22"/>
        <v>1.9148949103622748E-2</v>
      </c>
      <c r="W79" t="str">
        <f>IF(AND('Data Checks'!B289&gt;'Data Checks'!B288,'Data Checks'!B288&gt;'Data Checks'!B287,'Data Checks'!B287&gt;'Data Checks'!B286),"BUY",IF(AND('Data Checks'!B289&lt;'Data Checks'!B288,'Data Checks'!B288&lt;'Data Checks'!B287,'Data Checks'!B287&lt;'Data Checks'!B286),"SELL",""))</f>
        <v/>
      </c>
      <c r="X79" t="str">
        <f>IF(AND('Data Checks'!C289&gt;'Data Checks'!C288,'Data Checks'!C288&gt;'Data Checks'!C287,'Data Checks'!C287&gt;'Data Checks'!C286),"BUY",IF(AND('Data Checks'!C289&lt;'Data Checks'!C288,'Data Checks'!C288&lt;'Data Checks'!C287,'Data Checks'!C287&lt;'Data Checks'!C286),"SELL",""))</f>
        <v/>
      </c>
      <c r="Y79" t="str">
        <f>IF(AND('Data Checks'!D289&gt;'Data Checks'!D288,'Data Checks'!D288&gt;'Data Checks'!D287,'Data Checks'!D287&gt;'Data Checks'!D286),"BUY",IF(AND('Data Checks'!D289&lt;'Data Checks'!D288,'Data Checks'!D288&lt;'Data Checks'!D287,'Data Checks'!D287&lt;'Data Checks'!D286),"SELL",""))</f>
        <v/>
      </c>
      <c r="Z79" t="str">
        <f>IF(AND('Data Checks'!E289&gt;'Data Checks'!E288,'Data Checks'!E288&gt;'Data Checks'!E287,'Data Checks'!E287&gt;'Data Checks'!E286),"BUY",IF(AND('Data Checks'!E289&lt;'Data Checks'!E288,'Data Checks'!E288&lt;'Data Checks'!E287,'Data Checks'!E287&lt;'Data Checks'!E286),"SELL",""))</f>
        <v/>
      </c>
      <c r="AA79" t="str">
        <f>IF(AND('Data Checks'!F289&gt;'Data Checks'!F288,'Data Checks'!F288&gt;'Data Checks'!F287,'Data Checks'!F287&gt;'Data Checks'!F286),"BUY",IF(AND('Data Checks'!F289&lt;'Data Checks'!F288,'Data Checks'!F288&lt;'Data Checks'!F287,'Data Checks'!F287&lt;'Data Checks'!F286),"SELL",""))</f>
        <v/>
      </c>
      <c r="AB79">
        <f>IF(W78="BUY",AB78*('Data Checks'!B289/'Data Checks'!B288),IF(W78="SELL",AB78*('Data Checks'!B288/'Data Checks'!B289),AB78))</f>
        <v>211.58936972373573</v>
      </c>
      <c r="AC79">
        <f>IF(X78="BUY",AC78*('Data Checks'!C289/'Data Checks'!C288),IF(X78="SELL",AC78*('Data Checks'!C288/'Data Checks'!C289),AC78))</f>
        <v>207.94449917893098</v>
      </c>
      <c r="AD79">
        <f>IF(Y78="BUY",AD78*('Data Checks'!D289/'Data Checks'!D288),IF(Y78="SELL",AD78*('Data Checks'!D288/'Data Checks'!D289),AD78))</f>
        <v>140.20965518043815</v>
      </c>
      <c r="AE79">
        <f>IF(Z78="BUY",AE78*('Data Checks'!E289/'Data Checks'!E288),IF(Z78="SELL",AE78*('Data Checks'!E288/'Data Checks'!E289),AE78))</f>
        <v>291.43836000515864</v>
      </c>
      <c r="AF79">
        <f>IF(AA78="BUY",AF78*('Data Checks'!F289/'Data Checks'!F288),IF(AA78="SELL",AF78*('Data Checks'!F288/'Data Checks'!F289),AF78))</f>
        <v>242.79153793089282</v>
      </c>
      <c r="AG79" s="16">
        <f t="shared" si="19"/>
        <v>1093.9734220191563</v>
      </c>
      <c r="AH79" s="17">
        <f t="shared" si="23"/>
        <v>-3.1388233019130185E-2</v>
      </c>
      <c r="AJ79" t="str">
        <f>IF('Moving Ave'!G289&gt;'Moving Ave'!L289,"SELL","BUY")</f>
        <v>SELL</v>
      </c>
      <c r="AK79" t="str">
        <f>IF('Moving Ave'!H289&gt;'Moving Ave'!M289,"SELL","BUY")</f>
        <v>BUY</v>
      </c>
      <c r="AL79" t="str">
        <f>IF('Moving Ave'!I289&gt;'Moving Ave'!N289,"SELL","BUY")</f>
        <v>BUY</v>
      </c>
      <c r="AM79" t="str">
        <f>IF('Moving Ave'!J289&gt;'Moving Ave'!O289,"SELL","BUY")</f>
        <v>BUY</v>
      </c>
      <c r="AN79" t="str">
        <f>IF('Moving Ave'!K289&gt;'Moving Ave'!P289,"SELL","BUY")</f>
        <v>BUY</v>
      </c>
      <c r="AO79">
        <f>IF(AJ78="BUY",AO78*('Data Checks'!B289/'Data Checks'!B288),AO78*('Data Checks'!B288/'Data Checks'!B289))</f>
        <v>186.49751215860033</v>
      </c>
      <c r="AP79">
        <f>IF(AK78="BUY",AP78*('Data Checks'!C289/'Data Checks'!C288),AP78*('Data Checks'!C288/'Data Checks'!C289))</f>
        <v>131.87706202380144</v>
      </c>
      <c r="AQ79">
        <f>IF(AL78="BUY",AQ78*('Data Checks'!D289/'Data Checks'!D288),AQ78*('Data Checks'!D288/'Data Checks'!D289))</f>
        <v>266.07248255494119</v>
      </c>
      <c r="AR79">
        <f>IF(AM78="BUY",AR78*('Data Checks'!E289/'Data Checks'!E288),AR78*('Data Checks'!E288/'Data Checks'!E289))</f>
        <v>118.78138202941473</v>
      </c>
      <c r="AS79">
        <f>IF(AN78="BUY",AS78*('Data Checks'!F289/'Data Checks'!F288),AS78*('Data Checks'!F288/'Data Checks'!F289))</f>
        <v>176.67352849815973</v>
      </c>
      <c r="AT79" s="16">
        <f t="shared" si="20"/>
        <v>879.90196726491752</v>
      </c>
      <c r="AU79" s="17">
        <f t="shared" si="24"/>
        <v>3.1752821050828217E-2</v>
      </c>
    </row>
    <row r="80" spans="1:47" x14ac:dyDescent="0.35">
      <c r="A80" s="2">
        <f>Prices!A288</f>
        <v>44306</v>
      </c>
      <c r="B80">
        <f>B79*('Data Checks'!B290/'Data Checks'!B289)</f>
        <v>252.22312784325101</v>
      </c>
      <c r="C80">
        <f>C79*('Data Checks'!C290/'Data Checks'!C289)</f>
        <v>129.64186257662848</v>
      </c>
      <c r="D80">
        <f>D79*('Data Checks'!D290/'Data Checks'!D289)</f>
        <v>154.95075229505346</v>
      </c>
      <c r="E80">
        <f>E79*('Data Checks'!E290/'Data Checks'!E289)</f>
        <v>112.08570096800466</v>
      </c>
      <c r="F80">
        <f>F79*('Data Checks'!F290/'Data Checks'!F289)</f>
        <v>116.07057581407605</v>
      </c>
      <c r="G80" s="16">
        <f t="shared" si="17"/>
        <v>764.97201949701366</v>
      </c>
      <c r="H80" s="17">
        <f t="shared" si="21"/>
        <v>-1.697422866984355E-2</v>
      </c>
      <c r="J80" t="str">
        <f>IF(AND('Data Checks'!B290&gt;'Data Checks'!B289,'Data Checks'!B289&gt;'Data Checks'!B288,'Data Checks'!B288&gt;'Data Checks'!B287),"SELL",IF(AND('Data Checks'!B290&lt;'Data Checks'!B289,'Data Checks'!B289&lt;'Data Checks'!B288,'Data Checks'!B288&lt;'Data Checks'!B287),"BUY",""))</f>
        <v/>
      </c>
      <c r="K80" t="str">
        <f>IF(AND('Data Checks'!C290&gt;'Data Checks'!C289,'Data Checks'!C289&gt;'Data Checks'!C288,'Data Checks'!C288&gt;'Data Checks'!C287),"SELL",IF(AND('Data Checks'!C290&lt;'Data Checks'!C289,'Data Checks'!C289&lt;'Data Checks'!C288,'Data Checks'!C288&lt;'Data Checks'!C287),"BUY",""))</f>
        <v/>
      </c>
      <c r="L80" t="str">
        <f>IF(AND('Data Checks'!D290&gt;'Data Checks'!D289,'Data Checks'!D289&gt;'Data Checks'!D288,'Data Checks'!D288&gt;'Data Checks'!D287),"SELL",IF(AND('Data Checks'!D290&lt;'Data Checks'!D289,'Data Checks'!D289&lt;'Data Checks'!D288,'Data Checks'!D288&lt;'Data Checks'!D287),"BUY",""))</f>
        <v/>
      </c>
      <c r="M80" t="str">
        <f>IF(AND('Data Checks'!E290&gt;'Data Checks'!E289,'Data Checks'!E289&gt;'Data Checks'!E288,'Data Checks'!E288&gt;'Data Checks'!E287),"SELL",IF(AND('Data Checks'!E290&lt;'Data Checks'!E289,'Data Checks'!E289&lt;'Data Checks'!E288,'Data Checks'!E288&lt;'Data Checks'!E287),"BUY",""))</f>
        <v/>
      </c>
      <c r="N80" t="str">
        <f>IF(AND('Data Checks'!F290&gt;'Data Checks'!F289,'Data Checks'!F289&gt;'Data Checks'!F288,'Data Checks'!F288&gt;'Data Checks'!F287),"SELL",IF(AND('Data Checks'!F290&lt;'Data Checks'!F289,'Data Checks'!F289&lt;'Data Checks'!F288,'Data Checks'!F288&lt;'Data Checks'!F287),"BUY",""))</f>
        <v/>
      </c>
      <c r="O80">
        <f>IF(J79="BUY",O79*('Data Checks'!B290/'Data Checks'!B289),IF(J79="SELL",O79*('Data Checks'!B289/'Data Checks'!B290),O79))</f>
        <v>189.04541401218071</v>
      </c>
      <c r="P80">
        <f>IF(K79="BUY",P79*('Data Checks'!C290/'Data Checks'!C289),IF(K79="SELL",P79*('Data Checks'!C289/'Data Checks'!C290),P79))</f>
        <v>192.35901963235403</v>
      </c>
      <c r="Q80">
        <f>IF(L79="BUY",Q79*('Data Checks'!D290/'Data Checks'!D289),IF(L79="SELL",Q79*('Data Checks'!D289/'Data Checks'!D290),Q79))</f>
        <v>285.28705778873302</v>
      </c>
      <c r="R80">
        <f>IF(M79="BUY",R79*('Data Checks'!E290/'Data Checks'!E289),IF(M79="SELL",R79*('Data Checks'!E289/'Data Checks'!E290),R79))</f>
        <v>137.25029196325414</v>
      </c>
      <c r="S80">
        <f>IF(N79="BUY",S79*('Data Checks'!F290/'Data Checks'!F289),IF(N79="SELL",S79*('Data Checks'!F289/'Data Checks'!F290),S79))</f>
        <v>164.75038768190279</v>
      </c>
      <c r="T80" s="16">
        <f t="shared" si="18"/>
        <v>968.69217107842474</v>
      </c>
      <c r="U80" s="17">
        <f t="shared" si="22"/>
        <v>0</v>
      </c>
      <c r="W80" t="str">
        <f>IF(AND('Data Checks'!B290&gt;'Data Checks'!B289,'Data Checks'!B289&gt;'Data Checks'!B288,'Data Checks'!B288&gt;'Data Checks'!B287),"BUY",IF(AND('Data Checks'!B290&lt;'Data Checks'!B289,'Data Checks'!B289&lt;'Data Checks'!B288,'Data Checks'!B288&lt;'Data Checks'!B287),"SELL",""))</f>
        <v/>
      </c>
      <c r="X80" t="str">
        <f>IF(AND('Data Checks'!C290&gt;'Data Checks'!C289,'Data Checks'!C289&gt;'Data Checks'!C288,'Data Checks'!C288&gt;'Data Checks'!C287),"BUY",IF(AND('Data Checks'!C290&lt;'Data Checks'!C289,'Data Checks'!C289&lt;'Data Checks'!C288,'Data Checks'!C288&lt;'Data Checks'!C287),"SELL",""))</f>
        <v/>
      </c>
      <c r="Y80" t="str">
        <f>IF(AND('Data Checks'!D290&gt;'Data Checks'!D289,'Data Checks'!D289&gt;'Data Checks'!D288,'Data Checks'!D288&gt;'Data Checks'!D287),"BUY",IF(AND('Data Checks'!D290&lt;'Data Checks'!D289,'Data Checks'!D289&lt;'Data Checks'!D288,'Data Checks'!D288&lt;'Data Checks'!D287),"SELL",""))</f>
        <v/>
      </c>
      <c r="Z80" t="str">
        <f>IF(AND('Data Checks'!E290&gt;'Data Checks'!E289,'Data Checks'!E289&gt;'Data Checks'!E288,'Data Checks'!E288&gt;'Data Checks'!E287),"BUY",IF(AND('Data Checks'!E290&lt;'Data Checks'!E289,'Data Checks'!E289&lt;'Data Checks'!E288,'Data Checks'!E288&lt;'Data Checks'!E287),"SELL",""))</f>
        <v/>
      </c>
      <c r="AA80" t="str">
        <f>IF(AND('Data Checks'!F290&gt;'Data Checks'!F289,'Data Checks'!F289&gt;'Data Checks'!F288,'Data Checks'!F288&gt;'Data Checks'!F287),"BUY",IF(AND('Data Checks'!F290&lt;'Data Checks'!F289,'Data Checks'!F289&lt;'Data Checks'!F288,'Data Checks'!F288&lt;'Data Checks'!F287),"SELL",""))</f>
        <v/>
      </c>
      <c r="AB80">
        <f>IF(W79="BUY",AB79*('Data Checks'!B290/'Data Checks'!B289),IF(W79="SELL",AB79*('Data Checks'!B289/'Data Checks'!B290),AB79))</f>
        <v>211.58936972373573</v>
      </c>
      <c r="AC80">
        <f>IF(X79="BUY",AC79*('Data Checks'!C290/'Data Checks'!C289),IF(X79="SELL",AC79*('Data Checks'!C289/'Data Checks'!C290),AC79))</f>
        <v>207.94449917893098</v>
      </c>
      <c r="AD80">
        <f>IF(Y79="BUY",AD79*('Data Checks'!D290/'Data Checks'!D289),IF(Y79="SELL",AD79*('Data Checks'!D289/'Data Checks'!D290),AD79))</f>
        <v>140.20965518043815</v>
      </c>
      <c r="AE80">
        <f>IF(Z79="BUY",AE79*('Data Checks'!E290/'Data Checks'!E289),IF(Z79="SELL",AE79*('Data Checks'!E289/'Data Checks'!E290),AE79))</f>
        <v>291.43836000515864</v>
      </c>
      <c r="AF80">
        <f>IF(AA79="BUY",AF79*('Data Checks'!F290/'Data Checks'!F289),IF(AA79="SELL",AF79*('Data Checks'!F289/'Data Checks'!F290),AF79))</f>
        <v>242.79153793089282</v>
      </c>
      <c r="AG80" s="16">
        <f t="shared" si="19"/>
        <v>1093.9734220191563</v>
      </c>
      <c r="AH80" s="17">
        <f t="shared" si="23"/>
        <v>0</v>
      </c>
      <c r="AJ80" t="str">
        <f>IF('Moving Ave'!G290&gt;'Moving Ave'!L290,"SELL","BUY")</f>
        <v>SELL</v>
      </c>
      <c r="AK80" t="str">
        <f>IF('Moving Ave'!H290&gt;'Moving Ave'!M290,"SELL","BUY")</f>
        <v>BUY</v>
      </c>
      <c r="AL80" t="str">
        <f>IF('Moving Ave'!I290&gt;'Moving Ave'!N290,"SELL","BUY")</f>
        <v>BUY</v>
      </c>
      <c r="AM80" t="str">
        <f>IF('Moving Ave'!J290&gt;'Moving Ave'!O290,"SELL","BUY")</f>
        <v>BUY</v>
      </c>
      <c r="AN80" t="str">
        <f>IF('Moving Ave'!K290&gt;'Moving Ave'!P290,"SELL","BUY")</f>
        <v>BUY</v>
      </c>
      <c r="AO80">
        <f>IF(AJ79="BUY",AO79*('Data Checks'!B290/'Data Checks'!B289),AO79*('Data Checks'!B289/'Data Checks'!B290))</f>
        <v>185.04751048691816</v>
      </c>
      <c r="AP80">
        <f>IF(AK79="BUY",AP79*('Data Checks'!C290/'Data Checks'!C289),AP79*('Data Checks'!C289/'Data Checks'!C290))</f>
        <v>129.64186257662848</v>
      </c>
      <c r="AQ80">
        <f>IF(AL79="BUY",AQ79*('Data Checks'!D290/'Data Checks'!D289),AQ79*('Data Checks'!D289/'Data Checks'!D290))</f>
        <v>259.14701893033697</v>
      </c>
      <c r="AR80">
        <f>IF(AM79="BUY",AR79*('Data Checks'!E290/'Data Checks'!E289),AR79*('Data Checks'!E289/'Data Checks'!E290))</f>
        <v>112.08570096800466</v>
      </c>
      <c r="AS80">
        <f>IF(AN79="BUY",AS79*('Data Checks'!F290/'Data Checks'!F289),AS79*('Data Checks'!F289/'Data Checks'!F290))</f>
        <v>173.53646188781889</v>
      </c>
      <c r="AT80" s="16">
        <f t="shared" si="20"/>
        <v>859.45855484970707</v>
      </c>
      <c r="AU80" s="17">
        <f t="shared" si="24"/>
        <v>-2.3233738729732223E-2</v>
      </c>
    </row>
    <row r="81" spans="1:47" x14ac:dyDescent="0.35">
      <c r="A81" s="2">
        <f>Prices!A289</f>
        <v>44307</v>
      </c>
      <c r="B81">
        <f>B80*('Data Checks'!B291/'Data Checks'!B290)</f>
        <v>245.3222169255051</v>
      </c>
      <c r="C81">
        <f>C80*('Data Checks'!C291/'Data Checks'!C290)</f>
        <v>125.37465393382409</v>
      </c>
      <c r="D81">
        <f>D80*('Data Checks'!D291/'Data Checks'!D290)</f>
        <v>149.03991232325785</v>
      </c>
      <c r="E81">
        <f>E80*('Data Checks'!E291/'Data Checks'!E290)</f>
        <v>110.2443886761169</v>
      </c>
      <c r="F81">
        <f>F80*('Data Checks'!F291/'Data Checks'!F290)</f>
        <v>112.78016374983554</v>
      </c>
      <c r="G81" s="16">
        <f t="shared" si="17"/>
        <v>742.76133560853941</v>
      </c>
      <c r="H81" s="17">
        <f t="shared" si="21"/>
        <v>-2.9034635676058129E-2</v>
      </c>
      <c r="J81" t="str">
        <f>IF(AND('Data Checks'!B291&gt;'Data Checks'!B290,'Data Checks'!B290&gt;'Data Checks'!B289,'Data Checks'!B289&gt;'Data Checks'!B288),"SELL",IF(AND('Data Checks'!B291&lt;'Data Checks'!B290,'Data Checks'!B290&lt;'Data Checks'!B289,'Data Checks'!B289&lt;'Data Checks'!B288),"BUY",""))</f>
        <v/>
      </c>
      <c r="K81" t="str">
        <f>IF(AND('Data Checks'!C291&gt;'Data Checks'!C290,'Data Checks'!C290&gt;'Data Checks'!C289,'Data Checks'!C289&gt;'Data Checks'!C288),"SELL",IF(AND('Data Checks'!C291&lt;'Data Checks'!C290,'Data Checks'!C290&lt;'Data Checks'!C289,'Data Checks'!C289&lt;'Data Checks'!C288),"BUY",""))</f>
        <v/>
      </c>
      <c r="L81" t="str">
        <f>IF(AND('Data Checks'!D291&gt;'Data Checks'!D290,'Data Checks'!D290&gt;'Data Checks'!D289,'Data Checks'!D289&gt;'Data Checks'!D288),"SELL",IF(AND('Data Checks'!D291&lt;'Data Checks'!D290,'Data Checks'!D290&lt;'Data Checks'!D289,'Data Checks'!D289&lt;'Data Checks'!D288),"BUY",""))</f>
        <v/>
      </c>
      <c r="M81" t="str">
        <f>IF(AND('Data Checks'!E291&gt;'Data Checks'!E290,'Data Checks'!E290&gt;'Data Checks'!E289,'Data Checks'!E289&gt;'Data Checks'!E288),"SELL",IF(AND('Data Checks'!E291&lt;'Data Checks'!E290,'Data Checks'!E290&lt;'Data Checks'!E289,'Data Checks'!E289&lt;'Data Checks'!E288),"BUY",""))</f>
        <v/>
      </c>
      <c r="N81" t="str">
        <f>IF(AND('Data Checks'!F291&gt;'Data Checks'!F290,'Data Checks'!F290&gt;'Data Checks'!F289,'Data Checks'!F289&gt;'Data Checks'!F288),"SELL",IF(AND('Data Checks'!F291&lt;'Data Checks'!F290,'Data Checks'!F290&lt;'Data Checks'!F289,'Data Checks'!F289&lt;'Data Checks'!F288),"BUY",""))</f>
        <v/>
      </c>
      <c r="O81">
        <f>IF(J80="BUY",O80*('Data Checks'!B291/'Data Checks'!B290),IF(J80="SELL",O80*('Data Checks'!B290/'Data Checks'!B291),O80))</f>
        <v>189.04541401218071</v>
      </c>
      <c r="P81">
        <f>IF(K80="BUY",P80*('Data Checks'!C291/'Data Checks'!C290),IF(K80="SELL",P80*('Data Checks'!C290/'Data Checks'!C291),P80))</f>
        <v>192.35901963235403</v>
      </c>
      <c r="Q81">
        <f>IF(L80="BUY",Q80*('Data Checks'!D291/'Data Checks'!D290),IF(L80="SELL",Q80*('Data Checks'!D290/'Data Checks'!D291),Q80))</f>
        <v>285.28705778873302</v>
      </c>
      <c r="R81">
        <f>IF(M80="BUY",R80*('Data Checks'!E291/'Data Checks'!E290),IF(M80="SELL",R80*('Data Checks'!E290/'Data Checks'!E291),R80))</f>
        <v>137.25029196325414</v>
      </c>
      <c r="S81">
        <f>IF(N80="BUY",S80*('Data Checks'!F291/'Data Checks'!F290),IF(N80="SELL",S80*('Data Checks'!F290/'Data Checks'!F291),S80))</f>
        <v>164.75038768190279</v>
      </c>
      <c r="T81" s="16">
        <f t="shared" si="18"/>
        <v>968.69217107842474</v>
      </c>
      <c r="U81" s="17">
        <f t="shared" si="22"/>
        <v>0</v>
      </c>
      <c r="W81" t="str">
        <f>IF(AND('Data Checks'!B291&gt;'Data Checks'!B290,'Data Checks'!B290&gt;'Data Checks'!B289,'Data Checks'!B289&gt;'Data Checks'!B288),"BUY",IF(AND('Data Checks'!B291&lt;'Data Checks'!B290,'Data Checks'!B290&lt;'Data Checks'!B289,'Data Checks'!B289&lt;'Data Checks'!B288),"SELL",""))</f>
        <v/>
      </c>
      <c r="X81" t="str">
        <f>IF(AND('Data Checks'!C291&gt;'Data Checks'!C290,'Data Checks'!C290&gt;'Data Checks'!C289,'Data Checks'!C289&gt;'Data Checks'!C288),"BUY",IF(AND('Data Checks'!C291&lt;'Data Checks'!C290,'Data Checks'!C290&lt;'Data Checks'!C289,'Data Checks'!C289&lt;'Data Checks'!C288),"SELL",""))</f>
        <v/>
      </c>
      <c r="Y81" t="str">
        <f>IF(AND('Data Checks'!D291&gt;'Data Checks'!D290,'Data Checks'!D290&gt;'Data Checks'!D289,'Data Checks'!D289&gt;'Data Checks'!D288),"BUY",IF(AND('Data Checks'!D291&lt;'Data Checks'!D290,'Data Checks'!D290&lt;'Data Checks'!D289,'Data Checks'!D289&lt;'Data Checks'!D288),"SELL",""))</f>
        <v/>
      </c>
      <c r="Z81" t="str">
        <f>IF(AND('Data Checks'!E291&gt;'Data Checks'!E290,'Data Checks'!E290&gt;'Data Checks'!E289,'Data Checks'!E289&gt;'Data Checks'!E288),"BUY",IF(AND('Data Checks'!E291&lt;'Data Checks'!E290,'Data Checks'!E290&lt;'Data Checks'!E289,'Data Checks'!E289&lt;'Data Checks'!E288),"SELL",""))</f>
        <v/>
      </c>
      <c r="AA81" t="str">
        <f>IF(AND('Data Checks'!F291&gt;'Data Checks'!F290,'Data Checks'!F290&gt;'Data Checks'!F289,'Data Checks'!F289&gt;'Data Checks'!F288),"BUY",IF(AND('Data Checks'!F291&lt;'Data Checks'!F290,'Data Checks'!F290&lt;'Data Checks'!F289,'Data Checks'!F289&lt;'Data Checks'!F288),"SELL",""))</f>
        <v/>
      </c>
      <c r="AB81">
        <f>IF(W80="BUY",AB80*('Data Checks'!B291/'Data Checks'!B290),IF(W80="SELL",AB80*('Data Checks'!B290/'Data Checks'!B291),AB80))</f>
        <v>211.58936972373573</v>
      </c>
      <c r="AC81">
        <f>IF(X80="BUY",AC80*('Data Checks'!C291/'Data Checks'!C290),IF(X80="SELL",AC80*('Data Checks'!C290/'Data Checks'!C291),AC80))</f>
        <v>207.94449917893098</v>
      </c>
      <c r="AD81">
        <f>IF(Y80="BUY",AD80*('Data Checks'!D291/'Data Checks'!D290),IF(Y80="SELL",AD80*('Data Checks'!D290/'Data Checks'!D291),AD80))</f>
        <v>140.20965518043815</v>
      </c>
      <c r="AE81">
        <f>IF(Z80="BUY",AE80*('Data Checks'!E291/'Data Checks'!E290),IF(Z80="SELL",AE80*('Data Checks'!E290/'Data Checks'!E291),AE80))</f>
        <v>291.43836000515864</v>
      </c>
      <c r="AF81">
        <f>IF(AA80="BUY",AF80*('Data Checks'!F291/'Data Checks'!F290),IF(AA80="SELL",AF80*('Data Checks'!F290/'Data Checks'!F291),AF80))</f>
        <v>242.79153793089282</v>
      </c>
      <c r="AG81" s="16">
        <f t="shared" si="19"/>
        <v>1093.9734220191563</v>
      </c>
      <c r="AH81" s="17">
        <f t="shared" si="23"/>
        <v>0</v>
      </c>
      <c r="AJ81" t="str">
        <f>IF('Moving Ave'!G291&gt;'Moving Ave'!L291,"SELL","BUY")</f>
        <v>SELL</v>
      </c>
      <c r="AK81" t="str">
        <f>IF('Moving Ave'!H291&gt;'Moving Ave'!M291,"SELL","BUY")</f>
        <v>BUY</v>
      </c>
      <c r="AL81" t="str">
        <f>IF('Moving Ave'!I291&gt;'Moving Ave'!N291,"SELL","BUY")</f>
        <v>BUY</v>
      </c>
      <c r="AM81" t="str">
        <f>IF('Moving Ave'!J291&gt;'Moving Ave'!O291,"SELL","BUY")</f>
        <v>BUY</v>
      </c>
      <c r="AN81" t="str">
        <f>IF('Moving Ave'!K291&gt;'Moving Ave'!P291,"SELL","BUY")</f>
        <v>BUY</v>
      </c>
      <c r="AO81">
        <f>IF(AJ80="BUY",AO80*('Data Checks'!B291/'Data Checks'!B290),AO80*('Data Checks'!B290/'Data Checks'!B291))</f>
        <v>190.25289466053601</v>
      </c>
      <c r="AP81">
        <f>IF(AK80="BUY",AP80*('Data Checks'!C291/'Data Checks'!C290),AP80*('Data Checks'!C290/'Data Checks'!C291))</f>
        <v>125.37465393382409</v>
      </c>
      <c r="AQ81">
        <f>IF(AL80="BUY",AQ80*('Data Checks'!D291/'Data Checks'!D290),AQ80*('Data Checks'!D290/'Data Checks'!D291))</f>
        <v>249.26144860959184</v>
      </c>
      <c r="AR81">
        <f>IF(AM80="BUY",AR80*('Data Checks'!E291/'Data Checks'!E290),AR80*('Data Checks'!E290/'Data Checks'!E291))</f>
        <v>110.2443886761169</v>
      </c>
      <c r="AS81">
        <f>IF(AN80="BUY",AS80*('Data Checks'!F291/'Data Checks'!F290),AS80*('Data Checks'!F290/'Data Checks'!F291))</f>
        <v>168.61698540744075</v>
      </c>
      <c r="AT81" s="16">
        <f t="shared" si="20"/>
        <v>843.75037128750955</v>
      </c>
      <c r="AU81" s="17">
        <f t="shared" si="24"/>
        <v>-1.8276836589222634E-2</v>
      </c>
    </row>
    <row r="82" spans="1:47" x14ac:dyDescent="0.35">
      <c r="A82" s="2">
        <f>Prices!A290</f>
        <v>44308</v>
      </c>
      <c r="B82">
        <f>B81*('Data Checks'!B292/'Data Checks'!B291)</f>
        <v>249.04926502468768</v>
      </c>
      <c r="C82">
        <f>C81*('Data Checks'!C292/'Data Checks'!C291)</f>
        <v>126.84785183763914</v>
      </c>
      <c r="D82">
        <f>D81*('Data Checks'!D292/'Data Checks'!D291)</f>
        <v>154.58340882590431</v>
      </c>
      <c r="E82">
        <f>E81*('Data Checks'!E292/'Data Checks'!E291)</f>
        <v>116.70572424821816</v>
      </c>
      <c r="F82">
        <f>F81*('Data Checks'!F292/'Data Checks'!F291)</f>
        <v>113.25703547816465</v>
      </c>
      <c r="G82" s="16">
        <f t="shared" si="17"/>
        <v>760.44328541461402</v>
      </c>
      <c r="H82" s="17">
        <f t="shared" si="21"/>
        <v>2.3805694990286286E-2</v>
      </c>
      <c r="J82" t="str">
        <f>IF(AND('Data Checks'!B292&gt;'Data Checks'!B291,'Data Checks'!B291&gt;'Data Checks'!B290,'Data Checks'!B290&gt;'Data Checks'!B289),"SELL",IF(AND('Data Checks'!B292&lt;'Data Checks'!B291,'Data Checks'!B291&lt;'Data Checks'!B290,'Data Checks'!B290&lt;'Data Checks'!B289),"BUY",""))</f>
        <v/>
      </c>
      <c r="K82" t="str">
        <f>IF(AND('Data Checks'!C292&gt;'Data Checks'!C291,'Data Checks'!C291&gt;'Data Checks'!C290,'Data Checks'!C290&gt;'Data Checks'!C289),"SELL",IF(AND('Data Checks'!C292&lt;'Data Checks'!C291,'Data Checks'!C291&lt;'Data Checks'!C290,'Data Checks'!C290&lt;'Data Checks'!C289),"BUY",""))</f>
        <v/>
      </c>
      <c r="L82" t="str">
        <f>IF(AND('Data Checks'!D292&gt;'Data Checks'!D291,'Data Checks'!D291&gt;'Data Checks'!D290,'Data Checks'!D290&gt;'Data Checks'!D289),"SELL",IF(AND('Data Checks'!D292&lt;'Data Checks'!D291,'Data Checks'!D291&lt;'Data Checks'!D290,'Data Checks'!D290&lt;'Data Checks'!D289),"BUY",""))</f>
        <v/>
      </c>
      <c r="M82" t="str">
        <f>IF(AND('Data Checks'!E292&gt;'Data Checks'!E291,'Data Checks'!E291&gt;'Data Checks'!E290,'Data Checks'!E290&gt;'Data Checks'!E289),"SELL",IF(AND('Data Checks'!E292&lt;'Data Checks'!E291,'Data Checks'!E291&lt;'Data Checks'!E290,'Data Checks'!E290&lt;'Data Checks'!E289),"BUY",""))</f>
        <v/>
      </c>
      <c r="N82" t="str">
        <f>IF(AND('Data Checks'!F292&gt;'Data Checks'!F291,'Data Checks'!F291&gt;'Data Checks'!F290,'Data Checks'!F290&gt;'Data Checks'!F289),"SELL",IF(AND('Data Checks'!F292&lt;'Data Checks'!F291,'Data Checks'!F291&lt;'Data Checks'!F290,'Data Checks'!F290&lt;'Data Checks'!F289),"BUY",""))</f>
        <v/>
      </c>
      <c r="O82">
        <f>IF(J81="BUY",O81*('Data Checks'!B292/'Data Checks'!B291),IF(J81="SELL",O81*('Data Checks'!B291/'Data Checks'!B292),O81))</f>
        <v>189.04541401218071</v>
      </c>
      <c r="P82">
        <f>IF(K81="BUY",P81*('Data Checks'!C292/'Data Checks'!C291),IF(K81="SELL",P81*('Data Checks'!C291/'Data Checks'!C292),P81))</f>
        <v>192.35901963235403</v>
      </c>
      <c r="Q82">
        <f>IF(L81="BUY",Q81*('Data Checks'!D292/'Data Checks'!D291),IF(L81="SELL",Q81*('Data Checks'!D291/'Data Checks'!D292),Q81))</f>
        <v>285.28705778873302</v>
      </c>
      <c r="R82">
        <f>IF(M81="BUY",R81*('Data Checks'!E292/'Data Checks'!E291),IF(M81="SELL",R81*('Data Checks'!E291/'Data Checks'!E292),R81))</f>
        <v>137.25029196325414</v>
      </c>
      <c r="S82">
        <f>IF(N81="BUY",S81*('Data Checks'!F292/'Data Checks'!F291),IF(N81="SELL",S81*('Data Checks'!F291/'Data Checks'!F292),S81))</f>
        <v>164.75038768190279</v>
      </c>
      <c r="T82" s="16">
        <f t="shared" si="18"/>
        <v>968.69217107842474</v>
      </c>
      <c r="U82" s="17">
        <f t="shared" si="22"/>
        <v>0</v>
      </c>
      <c r="W82" t="str">
        <f>IF(AND('Data Checks'!B292&gt;'Data Checks'!B291,'Data Checks'!B291&gt;'Data Checks'!B290,'Data Checks'!B290&gt;'Data Checks'!B289),"BUY",IF(AND('Data Checks'!B292&lt;'Data Checks'!B291,'Data Checks'!B291&lt;'Data Checks'!B290,'Data Checks'!B290&lt;'Data Checks'!B289),"SELL",""))</f>
        <v/>
      </c>
      <c r="X82" t="str">
        <f>IF(AND('Data Checks'!C292&gt;'Data Checks'!C291,'Data Checks'!C291&gt;'Data Checks'!C290,'Data Checks'!C290&gt;'Data Checks'!C289),"BUY",IF(AND('Data Checks'!C292&lt;'Data Checks'!C291,'Data Checks'!C291&lt;'Data Checks'!C290,'Data Checks'!C290&lt;'Data Checks'!C289),"SELL",""))</f>
        <v/>
      </c>
      <c r="Y82" t="str">
        <f>IF(AND('Data Checks'!D292&gt;'Data Checks'!D291,'Data Checks'!D291&gt;'Data Checks'!D290,'Data Checks'!D290&gt;'Data Checks'!D289),"BUY",IF(AND('Data Checks'!D292&lt;'Data Checks'!D291,'Data Checks'!D291&lt;'Data Checks'!D290,'Data Checks'!D290&lt;'Data Checks'!D289),"SELL",""))</f>
        <v/>
      </c>
      <c r="Z82" t="str">
        <f>IF(AND('Data Checks'!E292&gt;'Data Checks'!E291,'Data Checks'!E291&gt;'Data Checks'!E290,'Data Checks'!E290&gt;'Data Checks'!E289),"BUY",IF(AND('Data Checks'!E292&lt;'Data Checks'!E291,'Data Checks'!E291&lt;'Data Checks'!E290,'Data Checks'!E290&lt;'Data Checks'!E289),"SELL",""))</f>
        <v/>
      </c>
      <c r="AA82" t="str">
        <f>IF(AND('Data Checks'!F292&gt;'Data Checks'!F291,'Data Checks'!F291&gt;'Data Checks'!F290,'Data Checks'!F290&gt;'Data Checks'!F289),"BUY",IF(AND('Data Checks'!F292&lt;'Data Checks'!F291,'Data Checks'!F291&lt;'Data Checks'!F290,'Data Checks'!F290&lt;'Data Checks'!F289),"SELL",""))</f>
        <v/>
      </c>
      <c r="AB82">
        <f>IF(W81="BUY",AB81*('Data Checks'!B292/'Data Checks'!B291),IF(W81="SELL",AB81*('Data Checks'!B291/'Data Checks'!B292),AB81))</f>
        <v>211.58936972373573</v>
      </c>
      <c r="AC82">
        <f>IF(X81="BUY",AC81*('Data Checks'!C292/'Data Checks'!C291),IF(X81="SELL",AC81*('Data Checks'!C291/'Data Checks'!C292),AC81))</f>
        <v>207.94449917893098</v>
      </c>
      <c r="AD82">
        <f>IF(Y81="BUY",AD81*('Data Checks'!D292/'Data Checks'!D291),IF(Y81="SELL",AD81*('Data Checks'!D291/'Data Checks'!D292),AD81))</f>
        <v>140.20965518043815</v>
      </c>
      <c r="AE82">
        <f>IF(Z81="BUY",AE81*('Data Checks'!E292/'Data Checks'!E291),IF(Z81="SELL",AE81*('Data Checks'!E291/'Data Checks'!E292),AE81))</f>
        <v>291.43836000515864</v>
      </c>
      <c r="AF82">
        <f>IF(AA81="BUY",AF81*('Data Checks'!F292/'Data Checks'!F291),IF(AA81="SELL",AF81*('Data Checks'!F291/'Data Checks'!F292),AF81))</f>
        <v>242.79153793089282</v>
      </c>
      <c r="AG82" s="16">
        <f t="shared" si="19"/>
        <v>1093.9734220191563</v>
      </c>
      <c r="AH82" s="17">
        <f t="shared" si="23"/>
        <v>0</v>
      </c>
      <c r="AJ82" t="str">
        <f>IF('Moving Ave'!G292&gt;'Moving Ave'!L292,"SELL","BUY")</f>
        <v>SELL</v>
      </c>
      <c r="AK82" t="str">
        <f>IF('Moving Ave'!H292&gt;'Moving Ave'!M292,"SELL","BUY")</f>
        <v>BUY</v>
      </c>
      <c r="AL82" t="str">
        <f>IF('Moving Ave'!I292&gt;'Moving Ave'!N292,"SELL","BUY")</f>
        <v>BUY</v>
      </c>
      <c r="AM82" t="str">
        <f>IF('Moving Ave'!J292&gt;'Moving Ave'!O292,"SELL","BUY")</f>
        <v>BUY</v>
      </c>
      <c r="AN82" t="str">
        <f>IF('Moving Ave'!K292&gt;'Moving Ave'!P292,"SELL","BUY")</f>
        <v>BUY</v>
      </c>
      <c r="AO82">
        <f>IF(AJ81="BUY",AO81*('Data Checks'!B292/'Data Checks'!B291),AO81*('Data Checks'!B291/'Data Checks'!B292))</f>
        <v>187.40574034615472</v>
      </c>
      <c r="AP82">
        <f>IF(AK81="BUY",AP81*('Data Checks'!C292/'Data Checks'!C291),AP81*('Data Checks'!C291/'Data Checks'!C292))</f>
        <v>126.84785183763914</v>
      </c>
      <c r="AQ82">
        <f>IF(AL81="BUY",AQ81*('Data Checks'!D292/'Data Checks'!D291),AQ81*('Data Checks'!D291/'Data Checks'!D292))</f>
        <v>258.53265621480614</v>
      </c>
      <c r="AR82">
        <f>IF(AM81="BUY",AR81*('Data Checks'!E292/'Data Checks'!E291),AR81*('Data Checks'!E291/'Data Checks'!E292))</f>
        <v>116.70572424821816</v>
      </c>
      <c r="AS82">
        <f>IF(AN81="BUY",AS81*('Data Checks'!F292/'Data Checks'!F291),AS81*('Data Checks'!F291/'Data Checks'!F292))</f>
        <v>169.32995363326503</v>
      </c>
      <c r="AT82" s="16">
        <f t="shared" si="20"/>
        <v>858.82192628008329</v>
      </c>
      <c r="AU82" s="17">
        <f t="shared" si="24"/>
        <v>1.7862575834574734E-2</v>
      </c>
    </row>
    <row r="83" spans="1:47" x14ac:dyDescent="0.35">
      <c r="A83" s="2">
        <f>Prices!A291</f>
        <v>44309</v>
      </c>
      <c r="B83">
        <f>B82*('Data Checks'!B293/'Data Checks'!B292)</f>
        <v>252.83849277486166</v>
      </c>
      <c r="C83">
        <f>C82*('Data Checks'!C293/'Data Checks'!C292)</f>
        <v>127.05105732921156</v>
      </c>
      <c r="D83">
        <f>D82*('Data Checks'!D293/'Data Checks'!D292)</f>
        <v>153.74854489478284</v>
      </c>
      <c r="E83">
        <f>E82*('Data Checks'!E293/'Data Checks'!E292)</f>
        <v>117.71007305958915</v>
      </c>
      <c r="F83">
        <f>F82*('Data Checks'!F293/'Data Checks'!F292)</f>
        <v>113.49547134232922</v>
      </c>
      <c r="G83" s="16">
        <f t="shared" si="17"/>
        <v>764.84363940077446</v>
      </c>
      <c r="H83" s="17">
        <f t="shared" si="21"/>
        <v>5.7865643244667808E-3</v>
      </c>
      <c r="J83" t="str">
        <f>IF(AND('Data Checks'!B293&gt;'Data Checks'!B292,'Data Checks'!B292&gt;'Data Checks'!B291,'Data Checks'!B291&gt;'Data Checks'!B290),"SELL",IF(AND('Data Checks'!B293&lt;'Data Checks'!B292,'Data Checks'!B292&lt;'Data Checks'!B291,'Data Checks'!B291&lt;'Data Checks'!B290),"BUY",""))</f>
        <v/>
      </c>
      <c r="K83" t="str">
        <f>IF(AND('Data Checks'!C293&gt;'Data Checks'!C292,'Data Checks'!C292&gt;'Data Checks'!C291,'Data Checks'!C291&gt;'Data Checks'!C290),"SELL",IF(AND('Data Checks'!C293&lt;'Data Checks'!C292,'Data Checks'!C292&lt;'Data Checks'!C291,'Data Checks'!C291&lt;'Data Checks'!C290),"BUY",""))</f>
        <v/>
      </c>
      <c r="L83" t="str">
        <f>IF(AND('Data Checks'!D293&gt;'Data Checks'!D292,'Data Checks'!D292&gt;'Data Checks'!D291,'Data Checks'!D291&gt;'Data Checks'!D290),"SELL",IF(AND('Data Checks'!D293&lt;'Data Checks'!D292,'Data Checks'!D292&lt;'Data Checks'!D291,'Data Checks'!D291&lt;'Data Checks'!D290),"BUY",""))</f>
        <v/>
      </c>
      <c r="M83" t="str">
        <f>IF(AND('Data Checks'!E293&gt;'Data Checks'!E292,'Data Checks'!E292&gt;'Data Checks'!E291,'Data Checks'!E291&gt;'Data Checks'!E290),"SELL",IF(AND('Data Checks'!E293&lt;'Data Checks'!E292,'Data Checks'!E292&lt;'Data Checks'!E291,'Data Checks'!E291&lt;'Data Checks'!E290),"BUY",""))</f>
        <v/>
      </c>
      <c r="N83" t="str">
        <f>IF(AND('Data Checks'!F293&gt;'Data Checks'!F292,'Data Checks'!F292&gt;'Data Checks'!F291,'Data Checks'!F291&gt;'Data Checks'!F290),"SELL",IF(AND('Data Checks'!F293&lt;'Data Checks'!F292,'Data Checks'!F292&lt;'Data Checks'!F291,'Data Checks'!F291&lt;'Data Checks'!F290),"BUY",""))</f>
        <v/>
      </c>
      <c r="O83">
        <f>IF(J82="BUY",O82*('Data Checks'!B293/'Data Checks'!B292),IF(J82="SELL",O82*('Data Checks'!B292/'Data Checks'!B293),O82))</f>
        <v>189.04541401218071</v>
      </c>
      <c r="P83">
        <f>IF(K82="BUY",P82*('Data Checks'!C293/'Data Checks'!C292),IF(K82="SELL",P82*('Data Checks'!C292/'Data Checks'!C293),P82))</f>
        <v>192.35901963235403</v>
      </c>
      <c r="Q83">
        <f>IF(L82="BUY",Q82*('Data Checks'!D293/'Data Checks'!D292),IF(L82="SELL",Q82*('Data Checks'!D292/'Data Checks'!D293),Q82))</f>
        <v>285.28705778873302</v>
      </c>
      <c r="R83">
        <f>IF(M82="BUY",R82*('Data Checks'!E293/'Data Checks'!E292),IF(M82="SELL",R82*('Data Checks'!E292/'Data Checks'!E293),R82))</f>
        <v>137.25029196325414</v>
      </c>
      <c r="S83">
        <f>IF(N82="BUY",S82*('Data Checks'!F293/'Data Checks'!F292),IF(N82="SELL",S82*('Data Checks'!F292/'Data Checks'!F293),S82))</f>
        <v>164.75038768190279</v>
      </c>
      <c r="T83" s="16">
        <f t="shared" si="18"/>
        <v>968.69217107842474</v>
      </c>
      <c r="U83" s="17">
        <f t="shared" si="22"/>
        <v>0</v>
      </c>
      <c r="W83" t="str">
        <f>IF(AND('Data Checks'!B293&gt;'Data Checks'!B292,'Data Checks'!B292&gt;'Data Checks'!B291,'Data Checks'!B291&gt;'Data Checks'!B290),"BUY",IF(AND('Data Checks'!B293&lt;'Data Checks'!B292,'Data Checks'!B292&lt;'Data Checks'!B291,'Data Checks'!B291&lt;'Data Checks'!B290),"SELL",""))</f>
        <v/>
      </c>
      <c r="X83" t="str">
        <f>IF(AND('Data Checks'!C293&gt;'Data Checks'!C292,'Data Checks'!C292&gt;'Data Checks'!C291,'Data Checks'!C291&gt;'Data Checks'!C290),"BUY",IF(AND('Data Checks'!C293&lt;'Data Checks'!C292,'Data Checks'!C292&lt;'Data Checks'!C291,'Data Checks'!C291&lt;'Data Checks'!C290),"SELL",""))</f>
        <v/>
      </c>
      <c r="Y83" t="str">
        <f>IF(AND('Data Checks'!D293&gt;'Data Checks'!D292,'Data Checks'!D292&gt;'Data Checks'!D291,'Data Checks'!D291&gt;'Data Checks'!D290),"BUY",IF(AND('Data Checks'!D293&lt;'Data Checks'!D292,'Data Checks'!D292&lt;'Data Checks'!D291,'Data Checks'!D291&lt;'Data Checks'!D290),"SELL",""))</f>
        <v/>
      </c>
      <c r="Z83" t="str">
        <f>IF(AND('Data Checks'!E293&gt;'Data Checks'!E292,'Data Checks'!E292&gt;'Data Checks'!E291,'Data Checks'!E291&gt;'Data Checks'!E290),"BUY",IF(AND('Data Checks'!E293&lt;'Data Checks'!E292,'Data Checks'!E292&lt;'Data Checks'!E291,'Data Checks'!E291&lt;'Data Checks'!E290),"SELL",""))</f>
        <v/>
      </c>
      <c r="AA83" t="str">
        <f>IF(AND('Data Checks'!F293&gt;'Data Checks'!F292,'Data Checks'!F292&gt;'Data Checks'!F291,'Data Checks'!F291&gt;'Data Checks'!F290),"BUY",IF(AND('Data Checks'!F293&lt;'Data Checks'!F292,'Data Checks'!F292&lt;'Data Checks'!F291,'Data Checks'!F291&lt;'Data Checks'!F290),"SELL",""))</f>
        <v/>
      </c>
      <c r="AB83">
        <f>IF(W82="BUY",AB82*('Data Checks'!B293/'Data Checks'!B292),IF(W82="SELL",AB82*('Data Checks'!B292/'Data Checks'!B293),AB82))</f>
        <v>211.58936972373573</v>
      </c>
      <c r="AC83">
        <f>IF(X82="BUY",AC82*('Data Checks'!C293/'Data Checks'!C292),IF(X82="SELL",AC82*('Data Checks'!C292/'Data Checks'!C293),AC82))</f>
        <v>207.94449917893098</v>
      </c>
      <c r="AD83">
        <f>IF(Y82="BUY",AD82*('Data Checks'!D293/'Data Checks'!D292),IF(Y82="SELL",AD82*('Data Checks'!D292/'Data Checks'!D293),AD82))</f>
        <v>140.20965518043815</v>
      </c>
      <c r="AE83">
        <f>IF(Z82="BUY",AE82*('Data Checks'!E293/'Data Checks'!E292),IF(Z82="SELL",AE82*('Data Checks'!E292/'Data Checks'!E293),AE82))</f>
        <v>291.43836000515864</v>
      </c>
      <c r="AF83">
        <f>IF(AA82="BUY",AF82*('Data Checks'!F293/'Data Checks'!F292),IF(AA82="SELL",AF82*('Data Checks'!F292/'Data Checks'!F293),AF82))</f>
        <v>242.79153793089282</v>
      </c>
      <c r="AG83" s="16">
        <f t="shared" si="19"/>
        <v>1093.9734220191563</v>
      </c>
      <c r="AH83" s="17">
        <f t="shared" si="23"/>
        <v>0</v>
      </c>
      <c r="AJ83" t="str">
        <f>IF('Moving Ave'!G293&gt;'Moving Ave'!L293,"SELL","BUY")</f>
        <v>SELL</v>
      </c>
      <c r="AK83" t="str">
        <f>IF('Moving Ave'!H293&gt;'Moving Ave'!M293,"SELL","BUY")</f>
        <v>BUY</v>
      </c>
      <c r="AL83" t="str">
        <f>IF('Moving Ave'!I293&gt;'Moving Ave'!N293,"SELL","BUY")</f>
        <v>BUY</v>
      </c>
      <c r="AM83" t="str">
        <f>IF('Moving Ave'!J293&gt;'Moving Ave'!O293,"SELL","BUY")</f>
        <v>BUY</v>
      </c>
      <c r="AN83" t="str">
        <f>IF('Moving Ave'!K293&gt;'Moving Ave'!P293,"SELL","BUY")</f>
        <v>BUY</v>
      </c>
      <c r="AO83">
        <f>IF(AJ82="BUY",AO82*('Data Checks'!B293/'Data Checks'!B292),AO82*('Data Checks'!B292/'Data Checks'!B293))</f>
        <v>184.59713701970682</v>
      </c>
      <c r="AP83">
        <f>IF(AK82="BUY",AP82*('Data Checks'!C293/'Data Checks'!C292),AP82*('Data Checks'!C292/'Data Checks'!C293))</f>
        <v>127.05105732921156</v>
      </c>
      <c r="AQ83">
        <f>IF(AL82="BUY",AQ82*('Data Checks'!D293/'Data Checks'!D292),AQ82*('Data Checks'!D292/'Data Checks'!D293))</f>
        <v>257.13639000920153</v>
      </c>
      <c r="AR83">
        <f>IF(AM82="BUY",AR82*('Data Checks'!E293/'Data Checks'!E292),AR82*('Data Checks'!E292/'Data Checks'!E293))</f>
        <v>117.71007305958915</v>
      </c>
      <c r="AS83">
        <f>IF(AN82="BUY",AS82*('Data Checks'!F293/'Data Checks'!F292),AS82*('Data Checks'!F292/'Data Checks'!F293))</f>
        <v>169.68643774617718</v>
      </c>
      <c r="AT83" s="16">
        <f t="shared" si="20"/>
        <v>856.1810951638862</v>
      </c>
      <c r="AU83" s="17">
        <f t="shared" si="24"/>
        <v>-3.0749460806568374E-3</v>
      </c>
    </row>
    <row r="84" spans="1:47" x14ac:dyDescent="0.35">
      <c r="A84" s="2">
        <f>Prices!A292</f>
        <v>44310</v>
      </c>
      <c r="B84">
        <f>B83*('Data Checks'!B294/'Data Checks'!B293)</f>
        <v>253.9733677168542</v>
      </c>
      <c r="C84">
        <f>C83*('Data Checks'!C294/'Data Checks'!C293)</f>
        <v>126.89865702053997</v>
      </c>
      <c r="D84">
        <f>D83*('Data Checks'!D294/'Data Checks'!D293)</f>
        <v>155.28469118859061</v>
      </c>
      <c r="E84">
        <f>E83*('Data Checks'!E294/'Data Checks'!E293)</f>
        <v>117.27485044275696</v>
      </c>
      <c r="F84">
        <f>F83*('Data Checks'!F294/'Data Checks'!F293)</f>
        <v>109.87124334579758</v>
      </c>
      <c r="G84" s="16">
        <f t="shared" si="17"/>
        <v>763.30280971453931</v>
      </c>
      <c r="H84" s="17">
        <f t="shared" si="21"/>
        <v>-2.0145682161157863E-3</v>
      </c>
      <c r="J84" t="str">
        <f>IF(AND('Data Checks'!B294&gt;'Data Checks'!B293,'Data Checks'!B293&gt;'Data Checks'!B292,'Data Checks'!B292&gt;'Data Checks'!B291),"SELL",IF(AND('Data Checks'!B294&lt;'Data Checks'!B293,'Data Checks'!B293&lt;'Data Checks'!B292,'Data Checks'!B292&lt;'Data Checks'!B291),"BUY",""))</f>
        <v>SELL</v>
      </c>
      <c r="K84" t="str">
        <f>IF(AND('Data Checks'!C294&gt;'Data Checks'!C293,'Data Checks'!C293&gt;'Data Checks'!C292,'Data Checks'!C292&gt;'Data Checks'!C291),"SELL",IF(AND('Data Checks'!C294&lt;'Data Checks'!C293,'Data Checks'!C293&lt;'Data Checks'!C292,'Data Checks'!C292&lt;'Data Checks'!C291),"BUY",""))</f>
        <v/>
      </c>
      <c r="L84" t="str">
        <f>IF(AND('Data Checks'!D294&gt;'Data Checks'!D293,'Data Checks'!D293&gt;'Data Checks'!D292,'Data Checks'!D292&gt;'Data Checks'!D291),"SELL",IF(AND('Data Checks'!D294&lt;'Data Checks'!D293,'Data Checks'!D293&lt;'Data Checks'!D292,'Data Checks'!D292&lt;'Data Checks'!D291),"BUY",""))</f>
        <v/>
      </c>
      <c r="M84" t="str">
        <f>IF(AND('Data Checks'!E294&gt;'Data Checks'!E293,'Data Checks'!E293&gt;'Data Checks'!E292,'Data Checks'!E292&gt;'Data Checks'!E291),"SELL",IF(AND('Data Checks'!E294&lt;'Data Checks'!E293,'Data Checks'!E293&lt;'Data Checks'!E292,'Data Checks'!E292&lt;'Data Checks'!E291),"BUY",""))</f>
        <v/>
      </c>
      <c r="N84" t="str">
        <f>IF(AND('Data Checks'!F294&gt;'Data Checks'!F293,'Data Checks'!F293&gt;'Data Checks'!F292,'Data Checks'!F292&gt;'Data Checks'!F291),"SELL",IF(AND('Data Checks'!F294&lt;'Data Checks'!F293,'Data Checks'!F293&lt;'Data Checks'!F292,'Data Checks'!F292&lt;'Data Checks'!F291),"BUY",""))</f>
        <v/>
      </c>
      <c r="O84">
        <f>IF(J83="BUY",O83*('Data Checks'!B294/'Data Checks'!B293),IF(J83="SELL",O83*('Data Checks'!B293/'Data Checks'!B294),O83))</f>
        <v>189.04541401218071</v>
      </c>
      <c r="P84">
        <f>IF(K83="BUY",P83*('Data Checks'!C294/'Data Checks'!C293),IF(K83="SELL",P83*('Data Checks'!C293/'Data Checks'!C294),P83))</f>
        <v>192.35901963235403</v>
      </c>
      <c r="Q84">
        <f>IF(L83="BUY",Q83*('Data Checks'!D294/'Data Checks'!D293),IF(L83="SELL",Q83*('Data Checks'!D293/'Data Checks'!D294),Q83))</f>
        <v>285.28705778873302</v>
      </c>
      <c r="R84">
        <f>IF(M83="BUY",R83*('Data Checks'!E294/'Data Checks'!E293),IF(M83="SELL",R83*('Data Checks'!E293/'Data Checks'!E294),R83))</f>
        <v>137.25029196325414</v>
      </c>
      <c r="S84">
        <f>IF(N83="BUY",S83*('Data Checks'!F294/'Data Checks'!F293),IF(N83="SELL",S83*('Data Checks'!F293/'Data Checks'!F294),S83))</f>
        <v>164.75038768190279</v>
      </c>
      <c r="T84" s="16">
        <f t="shared" si="18"/>
        <v>968.69217107842474</v>
      </c>
      <c r="U84" s="17">
        <f t="shared" si="22"/>
        <v>0</v>
      </c>
      <c r="W84" t="str">
        <f>IF(AND('Data Checks'!B294&gt;'Data Checks'!B293,'Data Checks'!B293&gt;'Data Checks'!B292,'Data Checks'!B292&gt;'Data Checks'!B291),"BUY",IF(AND('Data Checks'!B294&lt;'Data Checks'!B293,'Data Checks'!B293&lt;'Data Checks'!B292,'Data Checks'!B292&lt;'Data Checks'!B291),"SELL",""))</f>
        <v>BUY</v>
      </c>
      <c r="X84" t="str">
        <f>IF(AND('Data Checks'!C294&gt;'Data Checks'!C293,'Data Checks'!C293&gt;'Data Checks'!C292,'Data Checks'!C292&gt;'Data Checks'!C291),"BUY",IF(AND('Data Checks'!C294&lt;'Data Checks'!C293,'Data Checks'!C293&lt;'Data Checks'!C292,'Data Checks'!C292&lt;'Data Checks'!C291),"SELL",""))</f>
        <v/>
      </c>
      <c r="Y84" t="str">
        <f>IF(AND('Data Checks'!D294&gt;'Data Checks'!D293,'Data Checks'!D293&gt;'Data Checks'!D292,'Data Checks'!D292&gt;'Data Checks'!D291),"BUY",IF(AND('Data Checks'!D294&lt;'Data Checks'!D293,'Data Checks'!D293&lt;'Data Checks'!D292,'Data Checks'!D292&lt;'Data Checks'!D291),"SELL",""))</f>
        <v/>
      </c>
      <c r="Z84" t="str">
        <f>IF(AND('Data Checks'!E294&gt;'Data Checks'!E293,'Data Checks'!E293&gt;'Data Checks'!E292,'Data Checks'!E292&gt;'Data Checks'!E291),"BUY",IF(AND('Data Checks'!E294&lt;'Data Checks'!E293,'Data Checks'!E293&lt;'Data Checks'!E292,'Data Checks'!E292&lt;'Data Checks'!E291),"SELL",""))</f>
        <v/>
      </c>
      <c r="AA84" t="str">
        <f>IF(AND('Data Checks'!F294&gt;'Data Checks'!F293,'Data Checks'!F293&gt;'Data Checks'!F292,'Data Checks'!F292&gt;'Data Checks'!F291),"BUY",IF(AND('Data Checks'!F294&lt;'Data Checks'!F293,'Data Checks'!F293&lt;'Data Checks'!F292,'Data Checks'!F292&lt;'Data Checks'!F291),"SELL",""))</f>
        <v/>
      </c>
      <c r="AB84">
        <f>IF(W83="BUY",AB83*('Data Checks'!B294/'Data Checks'!B293),IF(W83="SELL",AB83*('Data Checks'!B293/'Data Checks'!B294),AB83))</f>
        <v>211.58936972373573</v>
      </c>
      <c r="AC84">
        <f>IF(X83="BUY",AC83*('Data Checks'!C294/'Data Checks'!C293),IF(X83="SELL",AC83*('Data Checks'!C293/'Data Checks'!C294),AC83))</f>
        <v>207.94449917893098</v>
      </c>
      <c r="AD84">
        <f>IF(Y83="BUY",AD83*('Data Checks'!D294/'Data Checks'!D293),IF(Y83="SELL",AD83*('Data Checks'!D293/'Data Checks'!D294),AD83))</f>
        <v>140.20965518043815</v>
      </c>
      <c r="AE84">
        <f>IF(Z83="BUY",AE83*('Data Checks'!E294/'Data Checks'!E293),IF(Z83="SELL",AE83*('Data Checks'!E293/'Data Checks'!E294),AE83))</f>
        <v>291.43836000515864</v>
      </c>
      <c r="AF84">
        <f>IF(AA83="BUY",AF83*('Data Checks'!F294/'Data Checks'!F293),IF(AA83="SELL",AF83*('Data Checks'!F293/'Data Checks'!F294),AF83))</f>
        <v>242.79153793089282</v>
      </c>
      <c r="AG84" s="16">
        <f t="shared" si="19"/>
        <v>1093.9734220191563</v>
      </c>
      <c r="AH84" s="17">
        <f t="shared" si="23"/>
        <v>0</v>
      </c>
      <c r="AJ84" t="str">
        <f>IF('Moving Ave'!G294&gt;'Moving Ave'!L294,"SELL","BUY")</f>
        <v>SELL</v>
      </c>
      <c r="AK84" t="str">
        <f>IF('Moving Ave'!H294&gt;'Moving Ave'!M294,"SELL","BUY")</f>
        <v>BUY</v>
      </c>
      <c r="AL84" t="str">
        <f>IF('Moving Ave'!I294&gt;'Moving Ave'!N294,"SELL","BUY")</f>
        <v>BUY</v>
      </c>
      <c r="AM84" t="str">
        <f>IF('Moving Ave'!J294&gt;'Moving Ave'!O294,"SELL","BUY")</f>
        <v>BUY</v>
      </c>
      <c r="AN84" t="str">
        <f>IF('Moving Ave'!K294&gt;'Moving Ave'!P294,"SELL","BUY")</f>
        <v>BUY</v>
      </c>
      <c r="AO84">
        <f>IF(AJ83="BUY",AO83*('Data Checks'!B294/'Data Checks'!B293),AO83*('Data Checks'!B293/'Data Checks'!B294))</f>
        <v>183.7722683846585</v>
      </c>
      <c r="AP84">
        <f>IF(AK83="BUY",AP83*('Data Checks'!C294/'Data Checks'!C293),AP83*('Data Checks'!C293/'Data Checks'!C294))</f>
        <v>126.89865702053997</v>
      </c>
      <c r="AQ84">
        <f>IF(AL83="BUY",AQ83*('Data Checks'!D294/'Data Checks'!D293),AQ83*('Data Checks'!D293/'Data Checks'!D294))</f>
        <v>259.70551424244911</v>
      </c>
      <c r="AR84">
        <f>IF(AM83="BUY",AR83*('Data Checks'!E294/'Data Checks'!E293),AR83*('Data Checks'!E293/'Data Checks'!E294))</f>
        <v>117.27485044275696</v>
      </c>
      <c r="AS84">
        <f>IF(AN83="BUY",AS83*('Data Checks'!F294/'Data Checks'!F293),AS83*('Data Checks'!F293/'Data Checks'!F294))</f>
        <v>164.26787495210334</v>
      </c>
      <c r="AT84" s="16">
        <f t="shared" si="20"/>
        <v>851.91916504250798</v>
      </c>
      <c r="AU84" s="17">
        <f t="shared" si="24"/>
        <v>-4.9778372186113362E-3</v>
      </c>
    </row>
    <row r="85" spans="1:47" x14ac:dyDescent="0.35">
      <c r="A85" s="2">
        <f>Prices!A293</f>
        <v>44313</v>
      </c>
      <c r="B85">
        <f>B84*('Data Checks'!B295/'Data Checks'!B294)</f>
        <v>250.36748884164217</v>
      </c>
      <c r="C85">
        <f>C84*('Data Checks'!C295/'Data Checks'!C294)</f>
        <v>131.16586566334436</v>
      </c>
      <c r="D85">
        <f>D84*('Data Checks'!D295/'Data Checks'!D294)</f>
        <v>156.58707558168439</v>
      </c>
      <c r="E85">
        <f>E84*('Data Checks'!E295/'Data Checks'!E294)</f>
        <v>119.9196478098545</v>
      </c>
      <c r="F85">
        <f>F84*('Data Checks'!F295/'Data Checks'!F294)</f>
        <v>113.87697015560769</v>
      </c>
      <c r="G85" s="16">
        <f t="shared" si="17"/>
        <v>771.91704805213317</v>
      </c>
      <c r="H85" s="17">
        <f t="shared" si="21"/>
        <v>1.1285479665423148E-2</v>
      </c>
      <c r="J85" t="str">
        <f>IF(AND('Data Checks'!B295&gt;'Data Checks'!B294,'Data Checks'!B294&gt;'Data Checks'!B293,'Data Checks'!B293&gt;'Data Checks'!B292),"SELL",IF(AND('Data Checks'!B295&lt;'Data Checks'!B294,'Data Checks'!B294&lt;'Data Checks'!B293,'Data Checks'!B293&lt;'Data Checks'!B292),"BUY",""))</f>
        <v/>
      </c>
      <c r="K85" t="str">
        <f>IF(AND('Data Checks'!C295&gt;'Data Checks'!C294,'Data Checks'!C294&gt;'Data Checks'!C293,'Data Checks'!C293&gt;'Data Checks'!C292),"SELL",IF(AND('Data Checks'!C295&lt;'Data Checks'!C294,'Data Checks'!C294&lt;'Data Checks'!C293,'Data Checks'!C293&lt;'Data Checks'!C292),"BUY",""))</f>
        <v/>
      </c>
      <c r="L85" t="str">
        <f>IF(AND('Data Checks'!D295&gt;'Data Checks'!D294,'Data Checks'!D294&gt;'Data Checks'!D293,'Data Checks'!D293&gt;'Data Checks'!D292),"SELL",IF(AND('Data Checks'!D295&lt;'Data Checks'!D294,'Data Checks'!D294&lt;'Data Checks'!D293,'Data Checks'!D293&lt;'Data Checks'!D292),"BUY",""))</f>
        <v/>
      </c>
      <c r="M85" t="str">
        <f>IF(AND('Data Checks'!E295&gt;'Data Checks'!E294,'Data Checks'!E294&gt;'Data Checks'!E293,'Data Checks'!E293&gt;'Data Checks'!E292),"SELL",IF(AND('Data Checks'!E295&lt;'Data Checks'!E294,'Data Checks'!E294&lt;'Data Checks'!E293,'Data Checks'!E293&lt;'Data Checks'!E292),"BUY",""))</f>
        <v/>
      </c>
      <c r="N85" t="str">
        <f>IF(AND('Data Checks'!F295&gt;'Data Checks'!F294,'Data Checks'!F294&gt;'Data Checks'!F293,'Data Checks'!F293&gt;'Data Checks'!F292),"SELL",IF(AND('Data Checks'!F295&lt;'Data Checks'!F294,'Data Checks'!F294&lt;'Data Checks'!F293,'Data Checks'!F293&lt;'Data Checks'!F292),"BUY",""))</f>
        <v/>
      </c>
      <c r="O85">
        <f>IF(J84="BUY",O84*('Data Checks'!B295/'Data Checks'!B294),IF(J84="SELL",O84*('Data Checks'!B294/'Data Checks'!B295),O84))</f>
        <v>191.76811122816548</v>
      </c>
      <c r="P85">
        <f>IF(K84="BUY",P84*('Data Checks'!C295/'Data Checks'!C294),IF(K84="SELL",P84*('Data Checks'!C294/'Data Checks'!C295),P84))</f>
        <v>192.35901963235403</v>
      </c>
      <c r="Q85">
        <f>IF(L84="BUY",Q84*('Data Checks'!D295/'Data Checks'!D294),IF(L84="SELL",Q84*('Data Checks'!D294/'Data Checks'!D295),Q84))</f>
        <v>285.28705778873302</v>
      </c>
      <c r="R85">
        <f>IF(M84="BUY",R84*('Data Checks'!E295/'Data Checks'!E294),IF(M84="SELL",R84*('Data Checks'!E294/'Data Checks'!E295),R84))</f>
        <v>137.25029196325414</v>
      </c>
      <c r="S85">
        <f>IF(N84="BUY",S84*('Data Checks'!F295/'Data Checks'!F294),IF(N84="SELL",S84*('Data Checks'!F294/'Data Checks'!F295),S84))</f>
        <v>164.75038768190279</v>
      </c>
      <c r="T85" s="16">
        <f t="shared" si="18"/>
        <v>971.41486829440942</v>
      </c>
      <c r="U85" s="17">
        <f t="shared" si="22"/>
        <v>2.8106939410417198E-3</v>
      </c>
      <c r="W85" t="str">
        <f>IF(AND('Data Checks'!B295&gt;'Data Checks'!B294,'Data Checks'!B294&gt;'Data Checks'!B293,'Data Checks'!B293&gt;'Data Checks'!B292),"BUY",IF(AND('Data Checks'!B295&lt;'Data Checks'!B294,'Data Checks'!B294&lt;'Data Checks'!B293,'Data Checks'!B293&lt;'Data Checks'!B292),"SELL",""))</f>
        <v/>
      </c>
      <c r="X85" t="str">
        <f>IF(AND('Data Checks'!C295&gt;'Data Checks'!C294,'Data Checks'!C294&gt;'Data Checks'!C293,'Data Checks'!C293&gt;'Data Checks'!C292),"BUY",IF(AND('Data Checks'!C295&lt;'Data Checks'!C294,'Data Checks'!C294&lt;'Data Checks'!C293,'Data Checks'!C293&lt;'Data Checks'!C292),"SELL",""))</f>
        <v/>
      </c>
      <c r="Y85" t="str">
        <f>IF(AND('Data Checks'!D295&gt;'Data Checks'!D294,'Data Checks'!D294&gt;'Data Checks'!D293,'Data Checks'!D293&gt;'Data Checks'!D292),"BUY",IF(AND('Data Checks'!D295&lt;'Data Checks'!D294,'Data Checks'!D294&lt;'Data Checks'!D293,'Data Checks'!D293&lt;'Data Checks'!D292),"SELL",""))</f>
        <v/>
      </c>
      <c r="Z85" t="str">
        <f>IF(AND('Data Checks'!E295&gt;'Data Checks'!E294,'Data Checks'!E294&gt;'Data Checks'!E293,'Data Checks'!E293&gt;'Data Checks'!E292),"BUY",IF(AND('Data Checks'!E295&lt;'Data Checks'!E294,'Data Checks'!E294&lt;'Data Checks'!E293,'Data Checks'!E293&lt;'Data Checks'!E292),"SELL",""))</f>
        <v/>
      </c>
      <c r="AA85" t="str">
        <f>IF(AND('Data Checks'!F295&gt;'Data Checks'!F294,'Data Checks'!F294&gt;'Data Checks'!F293,'Data Checks'!F293&gt;'Data Checks'!F292),"BUY",IF(AND('Data Checks'!F295&lt;'Data Checks'!F294,'Data Checks'!F294&lt;'Data Checks'!F293,'Data Checks'!F293&lt;'Data Checks'!F292),"SELL",""))</f>
        <v/>
      </c>
      <c r="AB85">
        <f>IF(W84="BUY",AB84*('Data Checks'!B295/'Data Checks'!B294),IF(W84="SELL",AB84*('Data Checks'!B294/'Data Checks'!B295),AB84))</f>
        <v>208.58525301116433</v>
      </c>
      <c r="AC85">
        <f>IF(X84="BUY",AC84*('Data Checks'!C295/'Data Checks'!C294),IF(X84="SELL",AC84*('Data Checks'!C294/'Data Checks'!C295),AC84))</f>
        <v>207.94449917893098</v>
      </c>
      <c r="AD85">
        <f>IF(Y84="BUY",AD84*('Data Checks'!D295/'Data Checks'!D294),IF(Y84="SELL",AD84*('Data Checks'!D294/'Data Checks'!D295),AD84))</f>
        <v>140.20965518043815</v>
      </c>
      <c r="AE85">
        <f>IF(Z84="BUY",AE84*('Data Checks'!E295/'Data Checks'!E294),IF(Z84="SELL",AE84*('Data Checks'!E294/'Data Checks'!E295),AE84))</f>
        <v>291.43836000515864</v>
      </c>
      <c r="AF85">
        <f>IF(AA84="BUY",AF84*('Data Checks'!F295/'Data Checks'!F294),IF(AA84="SELL",AF84*('Data Checks'!F294/'Data Checks'!F295),AF84))</f>
        <v>242.79153793089282</v>
      </c>
      <c r="AG85" s="16">
        <f t="shared" si="19"/>
        <v>1090.9693053065851</v>
      </c>
      <c r="AH85" s="17">
        <f t="shared" si="23"/>
        <v>-2.7460600523790957E-3</v>
      </c>
      <c r="AJ85" t="str">
        <f>IF('Moving Ave'!G295&gt;'Moving Ave'!L295,"SELL","BUY")</f>
        <v>SELL</v>
      </c>
      <c r="AK85" t="str">
        <f>IF('Moving Ave'!H295&gt;'Moving Ave'!M295,"SELL","BUY")</f>
        <v>BUY</v>
      </c>
      <c r="AL85" t="str">
        <f>IF('Moving Ave'!I295&gt;'Moving Ave'!N295,"SELL","BUY")</f>
        <v>BUY</v>
      </c>
      <c r="AM85" t="str">
        <f>IF('Moving Ave'!J295&gt;'Moving Ave'!O295,"SELL","BUY")</f>
        <v>BUY</v>
      </c>
      <c r="AN85" t="str">
        <f>IF('Moving Ave'!K295&gt;'Moving Ave'!P295,"SELL","BUY")</f>
        <v>BUY</v>
      </c>
      <c r="AO85">
        <f>IF(AJ84="BUY",AO84*('Data Checks'!B295/'Data Checks'!B294),AO84*('Data Checks'!B294/'Data Checks'!B295))</f>
        <v>186.41901993967838</v>
      </c>
      <c r="AP85">
        <f>IF(AK84="BUY",AP84*('Data Checks'!C295/'Data Checks'!C294),AP84*('Data Checks'!C294/'Data Checks'!C295))</f>
        <v>131.16586566334436</v>
      </c>
      <c r="AQ85">
        <f>IF(AL84="BUY",AQ84*('Data Checks'!D295/'Data Checks'!D294),AQ84*('Data Checks'!D294/'Data Checks'!D295))</f>
        <v>261.88368393812743</v>
      </c>
      <c r="AR85">
        <f>IF(AM84="BUY",AR84*('Data Checks'!E295/'Data Checks'!E294),AR84*('Data Checks'!E294/'Data Checks'!E295))</f>
        <v>119.9196478098545</v>
      </c>
      <c r="AS85">
        <f>IF(AN84="BUY",AS84*('Data Checks'!F295/'Data Checks'!F294),AS84*('Data Checks'!F294/'Data Checks'!F295))</f>
        <v>170.25681446574129</v>
      </c>
      <c r="AT85" s="16">
        <f t="shared" si="20"/>
        <v>869.64503181674593</v>
      </c>
      <c r="AU85" s="17">
        <f t="shared" si="24"/>
        <v>2.0806982048999334E-2</v>
      </c>
    </row>
    <row r="86" spans="1:47" x14ac:dyDescent="0.35">
      <c r="A86" s="2">
        <f>Prices!A294</f>
        <v>44314</v>
      </c>
      <c r="B86">
        <f>B85*('Data Checks'!B296/'Data Checks'!B295)</f>
        <v>243.84276856369169</v>
      </c>
      <c r="C86">
        <f>C85*('Data Checks'!C296/'Data Checks'!C295)</f>
        <v>131.47066120067726</v>
      </c>
      <c r="D86">
        <f>D85*('Data Checks'!D296/'Data Checks'!D295)</f>
        <v>156.82083748239839</v>
      </c>
      <c r="E86">
        <f>E85*('Data Checks'!E296/'Data Checks'!E295)</f>
        <v>120.52225910538139</v>
      </c>
      <c r="F86">
        <f>F85*('Data Checks'!F296/'Data Checks'!F295)</f>
        <v>118.97949621811404</v>
      </c>
      <c r="G86" s="16">
        <f t="shared" si="17"/>
        <v>771.63602257026275</v>
      </c>
      <c r="H86" s="17">
        <f t="shared" si="21"/>
        <v>-3.640617636047061E-4</v>
      </c>
      <c r="J86" t="str">
        <f>IF(AND('Data Checks'!B296&gt;'Data Checks'!B295,'Data Checks'!B295&gt;'Data Checks'!B294,'Data Checks'!B294&gt;'Data Checks'!B293),"SELL",IF(AND('Data Checks'!B296&lt;'Data Checks'!B295,'Data Checks'!B295&lt;'Data Checks'!B294,'Data Checks'!B294&lt;'Data Checks'!B293),"BUY",""))</f>
        <v/>
      </c>
      <c r="K86" t="str">
        <f>IF(AND('Data Checks'!C296&gt;'Data Checks'!C295,'Data Checks'!C295&gt;'Data Checks'!C294,'Data Checks'!C294&gt;'Data Checks'!C293),"SELL",IF(AND('Data Checks'!C296&lt;'Data Checks'!C295,'Data Checks'!C295&lt;'Data Checks'!C294,'Data Checks'!C294&lt;'Data Checks'!C293),"BUY",""))</f>
        <v/>
      </c>
      <c r="L86" t="str">
        <f>IF(AND('Data Checks'!D296&gt;'Data Checks'!D295,'Data Checks'!D295&gt;'Data Checks'!D294,'Data Checks'!D294&gt;'Data Checks'!D293),"SELL",IF(AND('Data Checks'!D296&lt;'Data Checks'!D295,'Data Checks'!D295&lt;'Data Checks'!D294,'Data Checks'!D294&lt;'Data Checks'!D293),"BUY",""))</f>
        <v>SELL</v>
      </c>
      <c r="M86" t="str">
        <f>IF(AND('Data Checks'!E296&gt;'Data Checks'!E295,'Data Checks'!E295&gt;'Data Checks'!E294,'Data Checks'!E294&gt;'Data Checks'!E293),"SELL",IF(AND('Data Checks'!E296&lt;'Data Checks'!E295,'Data Checks'!E295&lt;'Data Checks'!E294,'Data Checks'!E294&lt;'Data Checks'!E293),"BUY",""))</f>
        <v/>
      </c>
      <c r="N86" t="str">
        <f>IF(AND('Data Checks'!F296&gt;'Data Checks'!F295,'Data Checks'!F295&gt;'Data Checks'!F294,'Data Checks'!F294&gt;'Data Checks'!F293),"SELL",IF(AND('Data Checks'!F296&lt;'Data Checks'!F295,'Data Checks'!F295&lt;'Data Checks'!F294,'Data Checks'!F294&lt;'Data Checks'!F293),"BUY",""))</f>
        <v/>
      </c>
      <c r="O86">
        <f>IF(J85="BUY",O85*('Data Checks'!B296/'Data Checks'!B295),IF(J85="SELL",O85*('Data Checks'!B295/'Data Checks'!B296),O85))</f>
        <v>191.76811122816548</v>
      </c>
      <c r="P86">
        <f>IF(K85="BUY",P85*('Data Checks'!C296/'Data Checks'!C295),IF(K85="SELL",P85*('Data Checks'!C295/'Data Checks'!C296),P85))</f>
        <v>192.35901963235403</v>
      </c>
      <c r="Q86">
        <f>IF(L85="BUY",Q85*('Data Checks'!D296/'Data Checks'!D295),IF(L85="SELL",Q85*('Data Checks'!D295/'Data Checks'!D296),Q85))</f>
        <v>285.28705778873302</v>
      </c>
      <c r="R86">
        <f>IF(M85="BUY",R85*('Data Checks'!E296/'Data Checks'!E295),IF(M85="SELL",R85*('Data Checks'!E295/'Data Checks'!E296),R85))</f>
        <v>137.25029196325414</v>
      </c>
      <c r="S86">
        <f>IF(N85="BUY",S85*('Data Checks'!F296/'Data Checks'!F295),IF(N85="SELL",S85*('Data Checks'!F295/'Data Checks'!F296),S85))</f>
        <v>164.75038768190279</v>
      </c>
      <c r="T86" s="16">
        <f t="shared" si="18"/>
        <v>971.41486829440942</v>
      </c>
      <c r="U86" s="17">
        <f t="shared" si="22"/>
        <v>0</v>
      </c>
      <c r="W86" t="str">
        <f>IF(AND('Data Checks'!B296&gt;'Data Checks'!B295,'Data Checks'!B295&gt;'Data Checks'!B294,'Data Checks'!B294&gt;'Data Checks'!B293),"BUY",IF(AND('Data Checks'!B296&lt;'Data Checks'!B295,'Data Checks'!B295&lt;'Data Checks'!B294,'Data Checks'!B294&lt;'Data Checks'!B293),"SELL",""))</f>
        <v/>
      </c>
      <c r="X86" t="str">
        <f>IF(AND('Data Checks'!C296&gt;'Data Checks'!C295,'Data Checks'!C295&gt;'Data Checks'!C294,'Data Checks'!C294&gt;'Data Checks'!C293),"BUY",IF(AND('Data Checks'!C296&lt;'Data Checks'!C295,'Data Checks'!C295&lt;'Data Checks'!C294,'Data Checks'!C294&lt;'Data Checks'!C293),"SELL",""))</f>
        <v/>
      </c>
      <c r="Y86" t="str">
        <f>IF(AND('Data Checks'!D296&gt;'Data Checks'!D295,'Data Checks'!D295&gt;'Data Checks'!D294,'Data Checks'!D294&gt;'Data Checks'!D293),"BUY",IF(AND('Data Checks'!D296&lt;'Data Checks'!D295,'Data Checks'!D295&lt;'Data Checks'!D294,'Data Checks'!D294&lt;'Data Checks'!D293),"SELL",""))</f>
        <v>BUY</v>
      </c>
      <c r="Z86" t="str">
        <f>IF(AND('Data Checks'!E296&gt;'Data Checks'!E295,'Data Checks'!E295&gt;'Data Checks'!E294,'Data Checks'!E294&gt;'Data Checks'!E293),"BUY",IF(AND('Data Checks'!E296&lt;'Data Checks'!E295,'Data Checks'!E295&lt;'Data Checks'!E294,'Data Checks'!E294&lt;'Data Checks'!E293),"SELL",""))</f>
        <v/>
      </c>
      <c r="AA86" t="str">
        <f>IF(AND('Data Checks'!F296&gt;'Data Checks'!F295,'Data Checks'!F295&gt;'Data Checks'!F294,'Data Checks'!F294&gt;'Data Checks'!F293),"BUY",IF(AND('Data Checks'!F296&lt;'Data Checks'!F295,'Data Checks'!F295&lt;'Data Checks'!F294,'Data Checks'!F294&lt;'Data Checks'!F293),"SELL",""))</f>
        <v/>
      </c>
      <c r="AB86">
        <f>IF(W85="BUY",AB85*('Data Checks'!B296/'Data Checks'!B295),IF(W85="SELL",AB85*('Data Checks'!B295/'Data Checks'!B296),AB85))</f>
        <v>208.58525301116433</v>
      </c>
      <c r="AC86">
        <f>IF(X85="BUY",AC85*('Data Checks'!C296/'Data Checks'!C295),IF(X85="SELL",AC85*('Data Checks'!C295/'Data Checks'!C296),AC85))</f>
        <v>207.94449917893098</v>
      </c>
      <c r="AD86">
        <f>IF(Y85="BUY",AD85*('Data Checks'!D296/'Data Checks'!D295),IF(Y85="SELL",AD85*('Data Checks'!D295/'Data Checks'!D296),AD85))</f>
        <v>140.20965518043815</v>
      </c>
      <c r="AE86">
        <f>IF(Z85="BUY",AE85*('Data Checks'!E296/'Data Checks'!E295),IF(Z85="SELL",AE85*('Data Checks'!E295/'Data Checks'!E296),AE85))</f>
        <v>291.43836000515864</v>
      </c>
      <c r="AF86">
        <f>IF(AA85="BUY",AF85*('Data Checks'!F296/'Data Checks'!F295),IF(AA85="SELL",AF85*('Data Checks'!F295/'Data Checks'!F296),AF85))</f>
        <v>242.79153793089282</v>
      </c>
      <c r="AG86" s="16">
        <f t="shared" si="19"/>
        <v>1090.9693053065851</v>
      </c>
      <c r="AH86" s="17">
        <f t="shared" si="23"/>
        <v>0</v>
      </c>
      <c r="AJ86" t="str">
        <f>IF('Moving Ave'!G296&gt;'Moving Ave'!L296,"SELL","BUY")</f>
        <v>SELL</v>
      </c>
      <c r="AK86" t="str">
        <f>IF('Moving Ave'!H296&gt;'Moving Ave'!M296,"SELL","BUY")</f>
        <v>BUY</v>
      </c>
      <c r="AL86" t="str">
        <f>IF('Moving Ave'!I296&gt;'Moving Ave'!N296,"SELL","BUY")</f>
        <v>BUY</v>
      </c>
      <c r="AM86" t="str">
        <f>IF('Moving Ave'!J296&gt;'Moving Ave'!O296,"SELL","BUY")</f>
        <v>BUY</v>
      </c>
      <c r="AN86" t="str">
        <f>IF('Moving Ave'!K296&gt;'Moving Ave'!P296,"SELL","BUY")</f>
        <v>BUY</v>
      </c>
      <c r="AO86">
        <f>IF(AJ85="BUY",AO85*('Data Checks'!B296/'Data Checks'!B295),AO85*('Data Checks'!B295/'Data Checks'!B296))</f>
        <v>191.40720132705616</v>
      </c>
      <c r="AP86">
        <f>IF(AK85="BUY",AP85*('Data Checks'!C296/'Data Checks'!C295),AP85*('Data Checks'!C295/'Data Checks'!C296))</f>
        <v>131.47066120067726</v>
      </c>
      <c r="AQ86">
        <f>IF(AL85="BUY",AQ85*('Data Checks'!D296/'Data Checks'!D295),AQ85*('Data Checks'!D295/'Data Checks'!D296))</f>
        <v>262.27463847569669</v>
      </c>
      <c r="AR86">
        <f>IF(AM85="BUY",AR85*('Data Checks'!E296/'Data Checks'!E295),AR85*('Data Checks'!E295/'Data Checks'!E296))</f>
        <v>120.52225910538139</v>
      </c>
      <c r="AS86">
        <f>IF(AN85="BUY",AS85*('Data Checks'!F296/'Data Checks'!F295),AS85*('Data Checks'!F295/'Data Checks'!F296))</f>
        <v>177.88557234315635</v>
      </c>
      <c r="AT86" s="16">
        <f t="shared" si="20"/>
        <v>883.56033245196795</v>
      </c>
      <c r="AU86" s="17">
        <f t="shared" si="24"/>
        <v>1.6001127041629815E-2</v>
      </c>
    </row>
    <row r="87" spans="1:47" x14ac:dyDescent="0.35">
      <c r="A87" s="2">
        <f>Prices!A295</f>
        <v>44315</v>
      </c>
      <c r="B87">
        <f>B86*('Data Checks'!B297/'Data Checks'!B296)</f>
        <v>250.02080584390603</v>
      </c>
      <c r="C87">
        <f>C86*('Data Checks'!C297/'Data Checks'!C296)</f>
        <v>135.02667348302452</v>
      </c>
      <c r="D87">
        <f>D86*('Data Checks'!D297/'Data Checks'!D296)</f>
        <v>163.1991979161663</v>
      </c>
      <c r="E87">
        <f>E86*('Data Checks'!E297/'Data Checks'!E296)</f>
        <v>127.25141187641748</v>
      </c>
      <c r="F87">
        <f>F86*('Data Checks'!F297/'Data Checks'!F296)</f>
        <v>123.84359356953175</v>
      </c>
      <c r="G87" s="16">
        <f t="shared" si="17"/>
        <v>799.34168268904614</v>
      </c>
      <c r="H87" s="17">
        <f t="shared" si="21"/>
        <v>3.590508906841583E-2</v>
      </c>
      <c r="J87" t="str">
        <f>IF(AND('Data Checks'!B297&gt;'Data Checks'!B296,'Data Checks'!B296&gt;'Data Checks'!B295,'Data Checks'!B295&gt;'Data Checks'!B294),"SELL",IF(AND('Data Checks'!B297&lt;'Data Checks'!B296,'Data Checks'!B296&lt;'Data Checks'!B295,'Data Checks'!B295&lt;'Data Checks'!B294),"BUY",""))</f>
        <v/>
      </c>
      <c r="K87" t="str">
        <f>IF(AND('Data Checks'!C297&gt;'Data Checks'!C296,'Data Checks'!C296&gt;'Data Checks'!C295,'Data Checks'!C295&gt;'Data Checks'!C294),"SELL",IF(AND('Data Checks'!C297&lt;'Data Checks'!C296,'Data Checks'!C296&lt;'Data Checks'!C295,'Data Checks'!C295&lt;'Data Checks'!C294),"BUY",""))</f>
        <v>SELL</v>
      </c>
      <c r="L87" t="str">
        <f>IF(AND('Data Checks'!D297&gt;'Data Checks'!D296,'Data Checks'!D296&gt;'Data Checks'!D295,'Data Checks'!D295&gt;'Data Checks'!D294),"SELL",IF(AND('Data Checks'!D297&lt;'Data Checks'!D296,'Data Checks'!D296&lt;'Data Checks'!D295,'Data Checks'!D295&lt;'Data Checks'!D294),"BUY",""))</f>
        <v>SELL</v>
      </c>
      <c r="M87" t="str">
        <f>IF(AND('Data Checks'!E297&gt;'Data Checks'!E296,'Data Checks'!E296&gt;'Data Checks'!E295,'Data Checks'!E295&gt;'Data Checks'!E294),"SELL",IF(AND('Data Checks'!E297&lt;'Data Checks'!E296,'Data Checks'!E296&lt;'Data Checks'!E295,'Data Checks'!E295&lt;'Data Checks'!E294),"BUY",""))</f>
        <v>SELL</v>
      </c>
      <c r="N87" t="str">
        <f>IF(AND('Data Checks'!F297&gt;'Data Checks'!F296,'Data Checks'!F296&gt;'Data Checks'!F295,'Data Checks'!F295&gt;'Data Checks'!F294),"SELL",IF(AND('Data Checks'!F297&lt;'Data Checks'!F296,'Data Checks'!F296&lt;'Data Checks'!F295,'Data Checks'!F295&lt;'Data Checks'!F294),"BUY",""))</f>
        <v>SELL</v>
      </c>
      <c r="O87">
        <f>IF(J86="BUY",O86*('Data Checks'!B297/'Data Checks'!B296),IF(J86="SELL",O86*('Data Checks'!B296/'Data Checks'!B297),O86))</f>
        <v>191.76811122816548</v>
      </c>
      <c r="P87">
        <f>IF(K86="BUY",P86*('Data Checks'!C297/'Data Checks'!C296),IF(K86="SELL",P86*('Data Checks'!C296/'Data Checks'!C297),P86))</f>
        <v>192.35901963235403</v>
      </c>
      <c r="Q87">
        <f>IF(L86="BUY",Q86*('Data Checks'!D297/'Data Checks'!D296),IF(L86="SELL",Q86*('Data Checks'!D296/'Data Checks'!D297),Q86))</f>
        <v>274.13710297951604</v>
      </c>
      <c r="R87">
        <f>IF(M86="BUY",R86*('Data Checks'!E297/'Data Checks'!E296),IF(M86="SELL",R86*('Data Checks'!E296/'Data Checks'!E297),R86))</f>
        <v>137.25029196325414</v>
      </c>
      <c r="S87">
        <f>IF(N86="BUY",S86*('Data Checks'!F297/'Data Checks'!F296),IF(N86="SELL",S86*('Data Checks'!F296/'Data Checks'!F297),S86))</f>
        <v>164.75038768190279</v>
      </c>
      <c r="T87" s="16">
        <f t="shared" si="18"/>
        <v>960.26491348519244</v>
      </c>
      <c r="U87" s="17">
        <f t="shared" si="22"/>
        <v>-1.1478056567935657E-2</v>
      </c>
      <c r="W87" t="str">
        <f>IF(AND('Data Checks'!B297&gt;'Data Checks'!B296,'Data Checks'!B296&gt;'Data Checks'!B295,'Data Checks'!B295&gt;'Data Checks'!B294),"BUY",IF(AND('Data Checks'!B297&lt;'Data Checks'!B296,'Data Checks'!B296&lt;'Data Checks'!B295,'Data Checks'!B295&lt;'Data Checks'!B294),"SELL",""))</f>
        <v/>
      </c>
      <c r="X87" t="str">
        <f>IF(AND('Data Checks'!C297&gt;'Data Checks'!C296,'Data Checks'!C296&gt;'Data Checks'!C295,'Data Checks'!C295&gt;'Data Checks'!C294),"BUY",IF(AND('Data Checks'!C297&lt;'Data Checks'!C296,'Data Checks'!C296&lt;'Data Checks'!C295,'Data Checks'!C295&lt;'Data Checks'!C294),"SELL",""))</f>
        <v>BUY</v>
      </c>
      <c r="Y87" t="str">
        <f>IF(AND('Data Checks'!D297&gt;'Data Checks'!D296,'Data Checks'!D296&gt;'Data Checks'!D295,'Data Checks'!D295&gt;'Data Checks'!D294),"BUY",IF(AND('Data Checks'!D297&lt;'Data Checks'!D296,'Data Checks'!D296&lt;'Data Checks'!D295,'Data Checks'!D295&lt;'Data Checks'!D294),"SELL",""))</f>
        <v>BUY</v>
      </c>
      <c r="Z87" t="str">
        <f>IF(AND('Data Checks'!E297&gt;'Data Checks'!E296,'Data Checks'!E296&gt;'Data Checks'!E295,'Data Checks'!E295&gt;'Data Checks'!E294),"BUY",IF(AND('Data Checks'!E297&lt;'Data Checks'!E296,'Data Checks'!E296&lt;'Data Checks'!E295,'Data Checks'!E295&lt;'Data Checks'!E294),"SELL",""))</f>
        <v>BUY</v>
      </c>
      <c r="AA87" t="str">
        <f>IF(AND('Data Checks'!F297&gt;'Data Checks'!F296,'Data Checks'!F296&gt;'Data Checks'!F295,'Data Checks'!F295&gt;'Data Checks'!F294),"BUY",IF(AND('Data Checks'!F297&lt;'Data Checks'!F296,'Data Checks'!F296&lt;'Data Checks'!F295,'Data Checks'!F295&lt;'Data Checks'!F294),"SELL",""))</f>
        <v>BUY</v>
      </c>
      <c r="AB87">
        <f>IF(W86="BUY",AB86*('Data Checks'!B297/'Data Checks'!B296),IF(W86="SELL",AB86*('Data Checks'!B296/'Data Checks'!B297),AB86))</f>
        <v>208.58525301116433</v>
      </c>
      <c r="AC87">
        <f>IF(X86="BUY",AC86*('Data Checks'!C297/'Data Checks'!C296),IF(X86="SELL",AC86*('Data Checks'!C296/'Data Checks'!C297),AC86))</f>
        <v>207.94449917893098</v>
      </c>
      <c r="AD87">
        <f>IF(Y86="BUY",AD86*('Data Checks'!D297/'Data Checks'!D296),IF(Y86="SELL",AD86*('Data Checks'!D296/'Data Checks'!D297),AD86))</f>
        <v>145.91239042527144</v>
      </c>
      <c r="AE87">
        <f>IF(Z86="BUY",AE86*('Data Checks'!E297/'Data Checks'!E296),IF(Z86="SELL",AE86*('Data Checks'!E296/'Data Checks'!E297),AE86))</f>
        <v>291.43836000515864</v>
      </c>
      <c r="AF87">
        <f>IF(AA86="BUY",AF86*('Data Checks'!F297/'Data Checks'!F296),IF(AA86="SELL",AF86*('Data Checks'!F296/'Data Checks'!F297),AF86))</f>
        <v>242.79153793089282</v>
      </c>
      <c r="AG87" s="16">
        <f t="shared" si="19"/>
        <v>1096.6720405514181</v>
      </c>
      <c r="AH87" s="17">
        <f t="shared" si="23"/>
        <v>5.227218783419918E-3</v>
      </c>
      <c r="AJ87" t="str">
        <f>IF('Moving Ave'!G297&gt;'Moving Ave'!L297,"SELL","BUY")</f>
        <v>SELL</v>
      </c>
      <c r="AK87" t="str">
        <f>IF('Moving Ave'!H297&gt;'Moving Ave'!M297,"SELL","BUY")</f>
        <v>BUY</v>
      </c>
      <c r="AL87" t="str">
        <f>IF('Moving Ave'!I297&gt;'Moving Ave'!N297,"SELL","BUY")</f>
        <v>BUY</v>
      </c>
      <c r="AM87" t="str">
        <f>IF('Moving Ave'!J297&gt;'Moving Ave'!O297,"SELL","BUY")</f>
        <v>BUY</v>
      </c>
      <c r="AN87" t="str">
        <f>IF('Moving Ave'!K297&gt;'Moving Ave'!P297,"SELL","BUY")</f>
        <v>BUY</v>
      </c>
      <c r="AO87">
        <f>IF(AJ86="BUY",AO86*('Data Checks'!B297/'Data Checks'!B296),AO86*('Data Checks'!B296/'Data Checks'!B297))</f>
        <v>186.6775116457969</v>
      </c>
      <c r="AP87">
        <f>IF(AK86="BUY",AP86*('Data Checks'!C297/'Data Checks'!C296),AP86*('Data Checks'!C296/'Data Checks'!C297))</f>
        <v>135.02667348302452</v>
      </c>
      <c r="AQ87">
        <f>IF(AL86="BUY",AQ86*('Data Checks'!D297/'Data Checks'!D296),AQ86*('Data Checks'!D296/'Data Checks'!D297))</f>
        <v>272.94211228651557</v>
      </c>
      <c r="AR87">
        <f>IF(AM86="BUY",AR86*('Data Checks'!E297/'Data Checks'!E296),AR86*('Data Checks'!E296/'Data Checks'!E297))</f>
        <v>127.25141187641748</v>
      </c>
      <c r="AS87">
        <f>IF(AN86="BUY",AS86*('Data Checks'!F297/'Data Checks'!F296),AS86*('Data Checks'!F296/'Data Checks'!F297))</f>
        <v>185.15785680218266</v>
      </c>
      <c r="AT87" s="16">
        <f t="shared" si="20"/>
        <v>907.05556609393716</v>
      </c>
      <c r="AU87" s="17">
        <f t="shared" si="24"/>
        <v>2.6591544209287443E-2</v>
      </c>
    </row>
    <row r="88" spans="1:47" x14ac:dyDescent="0.35">
      <c r="A88" s="2">
        <f>Prices!A296</f>
        <v>44316</v>
      </c>
      <c r="B88">
        <f>B87*('Data Checks'!B298/'Data Checks'!B297)</f>
        <v>260.69409402113752</v>
      </c>
      <c r="C88">
        <f>C87*('Data Checks'!C298/'Data Checks'!C297)</f>
        <v>130.70866473732963</v>
      </c>
      <c r="D88">
        <f>D87*('Data Checks'!D298/'Data Checks'!D297)</f>
        <v>154.2494565745443</v>
      </c>
      <c r="E88">
        <f>E87*('Data Checks'!E298/'Data Checks'!E297)</f>
        <v>110.91396013009846</v>
      </c>
      <c r="F88">
        <f>F87*('Data Checks'!F298/'Data Checks'!F297)</f>
        <v>115.30758534059504</v>
      </c>
      <c r="G88" s="16">
        <f t="shared" si="17"/>
        <v>771.87376080370495</v>
      </c>
      <c r="H88" s="17">
        <f t="shared" si="21"/>
        <v>-3.4363179701747848E-2</v>
      </c>
      <c r="J88" t="str">
        <f>IF(AND('Data Checks'!B298&gt;'Data Checks'!B297,'Data Checks'!B297&gt;'Data Checks'!B296,'Data Checks'!B296&gt;'Data Checks'!B295),"SELL",IF(AND('Data Checks'!B298&lt;'Data Checks'!B297,'Data Checks'!B297&lt;'Data Checks'!B296,'Data Checks'!B296&lt;'Data Checks'!B295),"BUY",""))</f>
        <v/>
      </c>
      <c r="K88" t="str">
        <f>IF(AND('Data Checks'!C298&gt;'Data Checks'!C297,'Data Checks'!C297&gt;'Data Checks'!C296,'Data Checks'!C296&gt;'Data Checks'!C295),"SELL",IF(AND('Data Checks'!C298&lt;'Data Checks'!C297,'Data Checks'!C297&lt;'Data Checks'!C296,'Data Checks'!C296&lt;'Data Checks'!C295),"BUY",""))</f>
        <v/>
      </c>
      <c r="L88" t="str">
        <f>IF(AND('Data Checks'!D298&gt;'Data Checks'!D297,'Data Checks'!D297&gt;'Data Checks'!D296,'Data Checks'!D296&gt;'Data Checks'!D295),"SELL",IF(AND('Data Checks'!D298&lt;'Data Checks'!D297,'Data Checks'!D297&lt;'Data Checks'!D296,'Data Checks'!D296&lt;'Data Checks'!D295),"BUY",""))</f>
        <v/>
      </c>
      <c r="M88" t="str">
        <f>IF(AND('Data Checks'!E298&gt;'Data Checks'!E297,'Data Checks'!E297&gt;'Data Checks'!E296,'Data Checks'!E296&gt;'Data Checks'!E295),"SELL",IF(AND('Data Checks'!E298&lt;'Data Checks'!E297,'Data Checks'!E297&lt;'Data Checks'!E296,'Data Checks'!E296&lt;'Data Checks'!E295),"BUY",""))</f>
        <v/>
      </c>
      <c r="N88" t="str">
        <f>IF(AND('Data Checks'!F298&gt;'Data Checks'!F297,'Data Checks'!F297&gt;'Data Checks'!F296,'Data Checks'!F296&gt;'Data Checks'!F295),"SELL",IF(AND('Data Checks'!F298&lt;'Data Checks'!F297,'Data Checks'!F297&lt;'Data Checks'!F296,'Data Checks'!F296&lt;'Data Checks'!F295),"BUY",""))</f>
        <v/>
      </c>
      <c r="O88">
        <f>IF(J87="BUY",O87*('Data Checks'!B298/'Data Checks'!B297),IF(J87="SELL",O87*('Data Checks'!B297/'Data Checks'!B298),O87))</f>
        <v>191.76811122816548</v>
      </c>
      <c r="P88">
        <f>IF(K87="BUY",P87*('Data Checks'!C298/'Data Checks'!C297),IF(K87="SELL",P87*('Data Checks'!C297/'Data Checks'!C298),P87))</f>
        <v>198.71367049467429</v>
      </c>
      <c r="Q88">
        <f>IF(L87="BUY",Q87*('Data Checks'!D298/'Data Checks'!D297),IF(L87="SELL",Q87*('Data Checks'!D297/'Data Checks'!D298),Q87))</f>
        <v>290.04287158507725</v>
      </c>
      <c r="R88">
        <f>IF(M87="BUY",R87*('Data Checks'!E298/'Data Checks'!E297),IF(M87="SELL",R87*('Data Checks'!E297/'Data Checks'!E298),R87))</f>
        <v>157.46704393467138</v>
      </c>
      <c r="S88">
        <f>IF(N87="BUY",S87*('Data Checks'!F298/'Data Checks'!F297),IF(N87="SELL",S87*('Data Checks'!F297/'Data Checks'!F298),S87))</f>
        <v>176.94655553000473</v>
      </c>
      <c r="T88" s="16">
        <f t="shared" si="18"/>
        <v>1014.938252772593</v>
      </c>
      <c r="U88" s="17">
        <f t="shared" si="22"/>
        <v>5.6935683601068821E-2</v>
      </c>
      <c r="W88" t="str">
        <f>IF(AND('Data Checks'!B298&gt;'Data Checks'!B297,'Data Checks'!B297&gt;'Data Checks'!B296,'Data Checks'!B296&gt;'Data Checks'!B295),"BUY",IF(AND('Data Checks'!B298&lt;'Data Checks'!B297,'Data Checks'!B297&lt;'Data Checks'!B296,'Data Checks'!B296&lt;'Data Checks'!B295),"SELL",""))</f>
        <v/>
      </c>
      <c r="X88" t="str">
        <f>IF(AND('Data Checks'!C298&gt;'Data Checks'!C297,'Data Checks'!C297&gt;'Data Checks'!C296,'Data Checks'!C296&gt;'Data Checks'!C295),"BUY",IF(AND('Data Checks'!C298&lt;'Data Checks'!C297,'Data Checks'!C297&lt;'Data Checks'!C296,'Data Checks'!C296&lt;'Data Checks'!C295),"SELL",""))</f>
        <v/>
      </c>
      <c r="Y88" t="str">
        <f>IF(AND('Data Checks'!D298&gt;'Data Checks'!D297,'Data Checks'!D297&gt;'Data Checks'!D296,'Data Checks'!D296&gt;'Data Checks'!D295),"BUY",IF(AND('Data Checks'!D298&lt;'Data Checks'!D297,'Data Checks'!D297&lt;'Data Checks'!D296,'Data Checks'!D296&lt;'Data Checks'!D295),"SELL",""))</f>
        <v/>
      </c>
      <c r="Z88" t="str">
        <f>IF(AND('Data Checks'!E298&gt;'Data Checks'!E297,'Data Checks'!E297&gt;'Data Checks'!E296,'Data Checks'!E296&gt;'Data Checks'!E295),"BUY",IF(AND('Data Checks'!E298&lt;'Data Checks'!E297,'Data Checks'!E297&lt;'Data Checks'!E296,'Data Checks'!E296&lt;'Data Checks'!E295),"SELL",""))</f>
        <v/>
      </c>
      <c r="AA88" t="str">
        <f>IF(AND('Data Checks'!F298&gt;'Data Checks'!F297,'Data Checks'!F297&gt;'Data Checks'!F296,'Data Checks'!F296&gt;'Data Checks'!F295),"BUY",IF(AND('Data Checks'!F298&lt;'Data Checks'!F297,'Data Checks'!F297&lt;'Data Checks'!F296,'Data Checks'!F296&lt;'Data Checks'!F295),"SELL",""))</f>
        <v/>
      </c>
      <c r="AB88">
        <f>IF(W87="BUY",AB87*('Data Checks'!B298/'Data Checks'!B297),IF(W87="SELL",AB87*('Data Checks'!B297/'Data Checks'!B298),AB87))</f>
        <v>208.58525301116433</v>
      </c>
      <c r="AC88">
        <f>IF(X87="BUY",AC87*('Data Checks'!C298/'Data Checks'!C297),IF(X87="SELL",AC87*('Data Checks'!C297/'Data Checks'!C298),AC87))</f>
        <v>201.2946562781751</v>
      </c>
      <c r="AD88">
        <f>IF(Y87="BUY",AD87*('Data Checks'!D298/'Data Checks'!D297),IF(Y87="SELL",AD87*('Data Checks'!D297/'Data Checks'!D298),AD87))</f>
        <v>137.91064673095036</v>
      </c>
      <c r="AE88">
        <f>IF(Z87="BUY",AE87*('Data Checks'!E298/'Data Checks'!E297),IF(Z87="SELL",AE87*('Data Checks'!E297/'Data Checks'!E298),AE87))</f>
        <v>254.02140664172791</v>
      </c>
      <c r="AF88">
        <f>IF(AA87="BUY",AF87*('Data Checks'!F298/'Data Checks'!F297),IF(AA87="SELL",AF87*('Data Checks'!F297/'Data Checks'!F298),AF87))</f>
        <v>226.05695759484405</v>
      </c>
      <c r="AG88" s="16">
        <f t="shared" si="19"/>
        <v>1027.8689202568619</v>
      </c>
      <c r="AH88" s="17">
        <f t="shared" si="23"/>
        <v>-6.273810013425829E-2</v>
      </c>
      <c r="AJ88" t="str">
        <f>IF('Moving Ave'!G298&gt;'Moving Ave'!L298,"SELL","BUY")</f>
        <v>SELL</v>
      </c>
      <c r="AK88" t="str">
        <f>IF('Moving Ave'!H298&gt;'Moving Ave'!M298,"SELL","BUY")</f>
        <v>BUY</v>
      </c>
      <c r="AL88" t="str">
        <f>IF('Moving Ave'!I298&gt;'Moving Ave'!N298,"SELL","BUY")</f>
        <v>BUY</v>
      </c>
      <c r="AM88" t="str">
        <f>IF('Moving Ave'!J298&gt;'Moving Ave'!O298,"SELL","BUY")</f>
        <v>BUY</v>
      </c>
      <c r="AN88" t="str">
        <f>IF('Moving Ave'!K298&gt;'Moving Ave'!P298,"SELL","BUY")</f>
        <v>BUY</v>
      </c>
      <c r="AO88">
        <f>IF(AJ87="BUY",AO87*('Data Checks'!B298/'Data Checks'!B297),AO87*('Data Checks'!B297/'Data Checks'!B298))</f>
        <v>179.03459635273882</v>
      </c>
      <c r="AP88">
        <f>IF(AK87="BUY",AP87*('Data Checks'!C298/'Data Checks'!C297),AP87*('Data Checks'!C297/'Data Checks'!C298))</f>
        <v>130.70866473732963</v>
      </c>
      <c r="AQ88">
        <f>IF(AL87="BUY",AQ87*('Data Checks'!D298/'Data Checks'!D297),AQ87*('Data Checks'!D297/'Data Checks'!D298))</f>
        <v>257.97413856243463</v>
      </c>
      <c r="AR88">
        <f>IF(AM87="BUY",AR87*('Data Checks'!E298/'Data Checks'!E297),AR87*('Data Checks'!E297/'Data Checks'!E298))</f>
        <v>110.91396013009846</v>
      </c>
      <c r="AS88">
        <f>IF(AN87="BUY",AS87*('Data Checks'!F298/'Data Checks'!F297),AS87*('Data Checks'!F297/'Data Checks'!F298))</f>
        <v>172.39571914321411</v>
      </c>
      <c r="AT88" s="16">
        <f t="shared" si="20"/>
        <v>851.02707892581566</v>
      </c>
      <c r="AU88" s="17">
        <f t="shared" si="24"/>
        <v>-6.1769630508302309E-2</v>
      </c>
    </row>
    <row r="89" spans="1:47" x14ac:dyDescent="0.35">
      <c r="A89" s="2">
        <f>Prices!A297</f>
        <v>44317</v>
      </c>
      <c r="B89">
        <f>B88*('Data Checks'!B299/'Data Checks'!B298)</f>
        <v>240.88809089052177</v>
      </c>
      <c r="C89">
        <f>C88*('Data Checks'!C299/'Data Checks'!C298)</f>
        <v>128.42266518726615</v>
      </c>
      <c r="D89">
        <f>D88*('Data Checks'!D299/'Data Checks'!D298)</f>
        <v>150.40908917029702</v>
      </c>
      <c r="E89">
        <f>E88*('Data Checks'!E299/'Data Checks'!E298)</f>
        <v>104.75393355360119</v>
      </c>
      <c r="F89">
        <f>F88*('Data Checks'!F299/'Data Checks'!F298)</f>
        <v>113.25703547816465</v>
      </c>
      <c r="G89" s="16">
        <f t="shared" si="17"/>
        <v>737.73081427985085</v>
      </c>
      <c r="H89" s="17">
        <f t="shared" si="21"/>
        <v>-4.4233847887643063E-2</v>
      </c>
      <c r="J89" t="str">
        <f>IF(AND('Data Checks'!B299&gt;'Data Checks'!B298,'Data Checks'!B298&gt;'Data Checks'!B297,'Data Checks'!B297&gt;'Data Checks'!B296),"SELL",IF(AND('Data Checks'!B299&lt;'Data Checks'!B298,'Data Checks'!B298&lt;'Data Checks'!B297,'Data Checks'!B297&lt;'Data Checks'!B296),"BUY",""))</f>
        <v/>
      </c>
      <c r="K89" t="str">
        <f>IF(AND('Data Checks'!C299&gt;'Data Checks'!C298,'Data Checks'!C298&gt;'Data Checks'!C297,'Data Checks'!C297&gt;'Data Checks'!C296),"SELL",IF(AND('Data Checks'!C299&lt;'Data Checks'!C298,'Data Checks'!C298&lt;'Data Checks'!C297,'Data Checks'!C297&lt;'Data Checks'!C296),"BUY",""))</f>
        <v/>
      </c>
      <c r="L89" t="str">
        <f>IF(AND('Data Checks'!D299&gt;'Data Checks'!D298,'Data Checks'!D298&gt;'Data Checks'!D297,'Data Checks'!D297&gt;'Data Checks'!D296),"SELL",IF(AND('Data Checks'!D299&lt;'Data Checks'!D298,'Data Checks'!D298&lt;'Data Checks'!D297,'Data Checks'!D297&lt;'Data Checks'!D296),"BUY",""))</f>
        <v/>
      </c>
      <c r="M89" t="str">
        <f>IF(AND('Data Checks'!E299&gt;'Data Checks'!E298,'Data Checks'!E298&gt;'Data Checks'!E297,'Data Checks'!E297&gt;'Data Checks'!E296),"SELL",IF(AND('Data Checks'!E299&lt;'Data Checks'!E298,'Data Checks'!E298&lt;'Data Checks'!E297,'Data Checks'!E297&lt;'Data Checks'!E296),"BUY",""))</f>
        <v/>
      </c>
      <c r="N89" t="str">
        <f>IF(AND('Data Checks'!F299&gt;'Data Checks'!F298,'Data Checks'!F298&gt;'Data Checks'!F297,'Data Checks'!F297&gt;'Data Checks'!F296),"SELL",IF(AND('Data Checks'!F299&lt;'Data Checks'!F298,'Data Checks'!F298&lt;'Data Checks'!F297,'Data Checks'!F297&lt;'Data Checks'!F296),"BUY",""))</f>
        <v/>
      </c>
      <c r="O89">
        <f>IF(J88="BUY",O88*('Data Checks'!B299/'Data Checks'!B298),IF(J88="SELL",O88*('Data Checks'!B298/'Data Checks'!B299),O88))</f>
        <v>191.76811122816548</v>
      </c>
      <c r="P89">
        <f>IF(K88="BUY",P88*('Data Checks'!C299/'Data Checks'!C298),IF(K88="SELL",P88*('Data Checks'!C298/'Data Checks'!C299),P88))</f>
        <v>198.71367049467429</v>
      </c>
      <c r="Q89">
        <f>IF(L88="BUY",Q88*('Data Checks'!D299/'Data Checks'!D298),IF(L88="SELL",Q88*('Data Checks'!D298/'Data Checks'!D299),Q88))</f>
        <v>290.04287158507725</v>
      </c>
      <c r="R89">
        <f>IF(M88="BUY",R88*('Data Checks'!E299/'Data Checks'!E298),IF(M88="SELL",R88*('Data Checks'!E298/'Data Checks'!E299),R88))</f>
        <v>157.46704393467138</v>
      </c>
      <c r="S89">
        <f>IF(N88="BUY",S88*('Data Checks'!F299/'Data Checks'!F298),IF(N88="SELL",S88*('Data Checks'!F298/'Data Checks'!F299),S88))</f>
        <v>176.94655553000473</v>
      </c>
      <c r="T89" s="16">
        <f t="shared" si="18"/>
        <v>1014.938252772593</v>
      </c>
      <c r="U89" s="17">
        <f t="shared" si="22"/>
        <v>0</v>
      </c>
      <c r="W89" t="str">
        <f>IF(AND('Data Checks'!B299&gt;'Data Checks'!B298,'Data Checks'!B298&gt;'Data Checks'!B297,'Data Checks'!B297&gt;'Data Checks'!B296),"BUY",IF(AND('Data Checks'!B299&lt;'Data Checks'!B298,'Data Checks'!B298&lt;'Data Checks'!B297,'Data Checks'!B297&lt;'Data Checks'!B296),"SELL",""))</f>
        <v/>
      </c>
      <c r="X89" t="str">
        <f>IF(AND('Data Checks'!C299&gt;'Data Checks'!C298,'Data Checks'!C298&gt;'Data Checks'!C297,'Data Checks'!C297&gt;'Data Checks'!C296),"BUY",IF(AND('Data Checks'!C299&lt;'Data Checks'!C298,'Data Checks'!C298&lt;'Data Checks'!C297,'Data Checks'!C297&lt;'Data Checks'!C296),"SELL",""))</f>
        <v/>
      </c>
      <c r="Y89" t="str">
        <f>IF(AND('Data Checks'!D299&gt;'Data Checks'!D298,'Data Checks'!D298&gt;'Data Checks'!D297,'Data Checks'!D297&gt;'Data Checks'!D296),"BUY",IF(AND('Data Checks'!D299&lt;'Data Checks'!D298,'Data Checks'!D298&lt;'Data Checks'!D297,'Data Checks'!D297&lt;'Data Checks'!D296),"SELL",""))</f>
        <v/>
      </c>
      <c r="Z89" t="str">
        <f>IF(AND('Data Checks'!E299&gt;'Data Checks'!E298,'Data Checks'!E298&gt;'Data Checks'!E297,'Data Checks'!E297&gt;'Data Checks'!E296),"BUY",IF(AND('Data Checks'!E299&lt;'Data Checks'!E298,'Data Checks'!E298&lt;'Data Checks'!E297,'Data Checks'!E297&lt;'Data Checks'!E296),"SELL",""))</f>
        <v/>
      </c>
      <c r="AA89" t="str">
        <f>IF(AND('Data Checks'!F299&gt;'Data Checks'!F298,'Data Checks'!F298&gt;'Data Checks'!F297,'Data Checks'!F297&gt;'Data Checks'!F296),"BUY",IF(AND('Data Checks'!F299&lt;'Data Checks'!F298,'Data Checks'!F298&lt;'Data Checks'!F297,'Data Checks'!F297&lt;'Data Checks'!F296),"SELL",""))</f>
        <v/>
      </c>
      <c r="AB89">
        <f>IF(W88="BUY",AB88*('Data Checks'!B299/'Data Checks'!B298),IF(W88="SELL",AB88*('Data Checks'!B298/'Data Checks'!B299),AB88))</f>
        <v>208.58525301116433</v>
      </c>
      <c r="AC89">
        <f>IF(X88="BUY",AC88*('Data Checks'!C299/'Data Checks'!C298),IF(X88="SELL",AC88*('Data Checks'!C298/'Data Checks'!C299),AC88))</f>
        <v>201.2946562781751</v>
      </c>
      <c r="AD89">
        <f>IF(Y88="BUY",AD88*('Data Checks'!D299/'Data Checks'!D298),IF(Y88="SELL",AD88*('Data Checks'!D298/'Data Checks'!D299),AD88))</f>
        <v>137.91064673095036</v>
      </c>
      <c r="AE89">
        <f>IF(Z88="BUY",AE88*('Data Checks'!E299/'Data Checks'!E298),IF(Z88="SELL",AE88*('Data Checks'!E298/'Data Checks'!E299),AE88))</f>
        <v>254.02140664172791</v>
      </c>
      <c r="AF89">
        <f>IF(AA88="BUY",AF88*('Data Checks'!F299/'Data Checks'!F298),IF(AA88="SELL",AF88*('Data Checks'!F298/'Data Checks'!F299),AF88))</f>
        <v>226.05695759484405</v>
      </c>
      <c r="AG89" s="16">
        <f t="shared" si="19"/>
        <v>1027.8689202568619</v>
      </c>
      <c r="AH89" s="17">
        <f t="shared" si="23"/>
        <v>0</v>
      </c>
      <c r="AJ89" t="str">
        <f>IF('Moving Ave'!G299&gt;'Moving Ave'!L299,"SELL","BUY")</f>
        <v>SELL</v>
      </c>
      <c r="AK89" t="str">
        <f>IF('Moving Ave'!H299&gt;'Moving Ave'!M299,"SELL","BUY")</f>
        <v>BUY</v>
      </c>
      <c r="AL89" t="str">
        <f>IF('Moving Ave'!I299&gt;'Moving Ave'!N299,"SELL","BUY")</f>
        <v>BUY</v>
      </c>
      <c r="AM89" t="str">
        <f>IF('Moving Ave'!J299&gt;'Moving Ave'!O299,"SELL","BUY")</f>
        <v>BUY</v>
      </c>
      <c r="AN89" t="str">
        <f>IF('Moving Ave'!K299&gt;'Moving Ave'!P299,"SELL","BUY")</f>
        <v>BUY</v>
      </c>
      <c r="AO89">
        <f>IF(AJ88="BUY",AO88*('Data Checks'!B299/'Data Checks'!B298),AO88*('Data Checks'!B298/'Data Checks'!B299))</f>
        <v>193.75495783985951</v>
      </c>
      <c r="AP89">
        <f>IF(AK88="BUY",AP88*('Data Checks'!C299/'Data Checks'!C298),AP88*('Data Checks'!C298/'Data Checks'!C299))</f>
        <v>128.42266518726615</v>
      </c>
      <c r="AQ89">
        <f>IF(AL88="BUY",AQ88*('Data Checks'!D299/'Data Checks'!D298),AQ88*('Data Checks'!D298/'Data Checks'!D299))</f>
        <v>251.55132518678326</v>
      </c>
      <c r="AR89">
        <f>IF(AM88="BUY",AR88*('Data Checks'!E299/'Data Checks'!E298),AR88*('Data Checks'!E298/'Data Checks'!E299))</f>
        <v>104.75393355360119</v>
      </c>
      <c r="AS89">
        <f>IF(AN88="BUY",AS88*('Data Checks'!F299/'Data Checks'!F298),AS88*('Data Checks'!F298/'Data Checks'!F299))</f>
        <v>169.32995363326503</v>
      </c>
      <c r="AT89" s="16">
        <f t="shared" si="20"/>
        <v>847.81283540077516</v>
      </c>
      <c r="AU89" s="17">
        <f t="shared" si="24"/>
        <v>-3.7768992369756615E-3</v>
      </c>
    </row>
    <row r="90" spans="1:47" x14ac:dyDescent="0.35">
      <c r="A90" s="2">
        <f>Prices!A298</f>
        <v>44320</v>
      </c>
      <c r="B90">
        <f>B89*('Data Checks'!B300/'Data Checks'!B299)</f>
        <v>244.04402271829966</v>
      </c>
      <c r="C90">
        <f>C89*('Data Checks'!C300/'Data Checks'!C299)</f>
        <v>125.78105475694839</v>
      </c>
      <c r="D90">
        <f>D89*('Data Checks'!D300/'Data Checks'!D299)</f>
        <v>150.20871848737215</v>
      </c>
      <c r="E90">
        <f>E89*('Data Checks'!E300/'Data Checks'!E299)</f>
        <v>109.64177738059001</v>
      </c>
      <c r="F90">
        <f>F89*('Data Checks'!F300/'Data Checks'!F299)</f>
        <v>109.15593575330389</v>
      </c>
      <c r="G90" s="16">
        <f t="shared" si="17"/>
        <v>738.83150909651408</v>
      </c>
      <c r="H90" s="17">
        <f t="shared" si="21"/>
        <v>1.4920005988061646E-3</v>
      </c>
      <c r="J90" t="str">
        <f>IF(AND('Data Checks'!B300&gt;'Data Checks'!B299,'Data Checks'!B299&gt;'Data Checks'!B298,'Data Checks'!B298&gt;'Data Checks'!B297),"SELL",IF(AND('Data Checks'!B300&lt;'Data Checks'!B299,'Data Checks'!B299&lt;'Data Checks'!B298,'Data Checks'!B298&lt;'Data Checks'!B297),"BUY",""))</f>
        <v/>
      </c>
      <c r="K90" t="str">
        <f>IF(AND('Data Checks'!C300&gt;'Data Checks'!C299,'Data Checks'!C299&gt;'Data Checks'!C298,'Data Checks'!C298&gt;'Data Checks'!C297),"SELL",IF(AND('Data Checks'!C300&lt;'Data Checks'!C299,'Data Checks'!C299&lt;'Data Checks'!C298,'Data Checks'!C298&lt;'Data Checks'!C297),"BUY",""))</f>
        <v>BUY</v>
      </c>
      <c r="L90" t="str">
        <f>IF(AND('Data Checks'!D300&gt;'Data Checks'!D299,'Data Checks'!D299&gt;'Data Checks'!D298,'Data Checks'!D298&gt;'Data Checks'!D297),"SELL",IF(AND('Data Checks'!D300&lt;'Data Checks'!D299,'Data Checks'!D299&lt;'Data Checks'!D298,'Data Checks'!D298&lt;'Data Checks'!D297),"BUY",""))</f>
        <v>BUY</v>
      </c>
      <c r="M90" t="str">
        <f>IF(AND('Data Checks'!E300&gt;'Data Checks'!E299,'Data Checks'!E299&gt;'Data Checks'!E298,'Data Checks'!E298&gt;'Data Checks'!E297),"SELL",IF(AND('Data Checks'!E300&lt;'Data Checks'!E299,'Data Checks'!E299&lt;'Data Checks'!E298,'Data Checks'!E298&lt;'Data Checks'!E297),"BUY",""))</f>
        <v/>
      </c>
      <c r="N90" t="str">
        <f>IF(AND('Data Checks'!F300&gt;'Data Checks'!F299,'Data Checks'!F299&gt;'Data Checks'!F298,'Data Checks'!F298&gt;'Data Checks'!F297),"SELL",IF(AND('Data Checks'!F300&lt;'Data Checks'!F299,'Data Checks'!F299&lt;'Data Checks'!F298,'Data Checks'!F298&lt;'Data Checks'!F297),"BUY",""))</f>
        <v>BUY</v>
      </c>
      <c r="O90">
        <f>IF(J89="BUY",O89*('Data Checks'!B300/'Data Checks'!B299),IF(J89="SELL",O89*('Data Checks'!B299/'Data Checks'!B300),O89))</f>
        <v>191.76811122816548</v>
      </c>
      <c r="P90">
        <f>IF(K89="BUY",P89*('Data Checks'!C300/'Data Checks'!C299),IF(K89="SELL",P89*('Data Checks'!C299/'Data Checks'!C300),P89))</f>
        <v>198.71367049467429</v>
      </c>
      <c r="Q90">
        <f>IF(L89="BUY",Q89*('Data Checks'!D300/'Data Checks'!D299),IF(L89="SELL",Q89*('Data Checks'!D299/'Data Checks'!D300),Q89))</f>
        <v>290.04287158507725</v>
      </c>
      <c r="R90">
        <f>IF(M89="BUY",R89*('Data Checks'!E300/'Data Checks'!E299),IF(M89="SELL",R89*('Data Checks'!E299/'Data Checks'!E300),R89))</f>
        <v>157.46704393467138</v>
      </c>
      <c r="S90">
        <f>IF(N89="BUY",S89*('Data Checks'!F300/'Data Checks'!F299),IF(N89="SELL",S89*('Data Checks'!F299/'Data Checks'!F300),S89))</f>
        <v>176.94655553000473</v>
      </c>
      <c r="T90" s="16">
        <f t="shared" si="18"/>
        <v>1014.938252772593</v>
      </c>
      <c r="U90" s="17">
        <f t="shared" si="22"/>
        <v>0</v>
      </c>
      <c r="W90" t="str">
        <f>IF(AND('Data Checks'!B300&gt;'Data Checks'!B299,'Data Checks'!B299&gt;'Data Checks'!B298,'Data Checks'!B298&gt;'Data Checks'!B297),"BUY",IF(AND('Data Checks'!B300&lt;'Data Checks'!B299,'Data Checks'!B299&lt;'Data Checks'!B298,'Data Checks'!B298&lt;'Data Checks'!B297),"SELL",""))</f>
        <v/>
      </c>
      <c r="X90" t="str">
        <f>IF(AND('Data Checks'!C300&gt;'Data Checks'!C299,'Data Checks'!C299&gt;'Data Checks'!C298,'Data Checks'!C298&gt;'Data Checks'!C297),"BUY",IF(AND('Data Checks'!C300&lt;'Data Checks'!C299,'Data Checks'!C299&lt;'Data Checks'!C298,'Data Checks'!C298&lt;'Data Checks'!C297),"SELL",""))</f>
        <v>SELL</v>
      </c>
      <c r="Y90" t="str">
        <f>IF(AND('Data Checks'!D300&gt;'Data Checks'!D299,'Data Checks'!D299&gt;'Data Checks'!D298,'Data Checks'!D298&gt;'Data Checks'!D297),"BUY",IF(AND('Data Checks'!D300&lt;'Data Checks'!D299,'Data Checks'!D299&lt;'Data Checks'!D298,'Data Checks'!D298&lt;'Data Checks'!D297),"SELL",""))</f>
        <v>SELL</v>
      </c>
      <c r="Z90" t="str">
        <f>IF(AND('Data Checks'!E300&gt;'Data Checks'!E299,'Data Checks'!E299&gt;'Data Checks'!E298,'Data Checks'!E298&gt;'Data Checks'!E297),"BUY",IF(AND('Data Checks'!E300&lt;'Data Checks'!E299,'Data Checks'!E299&lt;'Data Checks'!E298,'Data Checks'!E298&lt;'Data Checks'!E297),"SELL",""))</f>
        <v/>
      </c>
      <c r="AA90" t="str">
        <f>IF(AND('Data Checks'!F300&gt;'Data Checks'!F299,'Data Checks'!F299&gt;'Data Checks'!F298,'Data Checks'!F298&gt;'Data Checks'!F297),"BUY",IF(AND('Data Checks'!F300&lt;'Data Checks'!F299,'Data Checks'!F299&lt;'Data Checks'!F298,'Data Checks'!F298&lt;'Data Checks'!F297),"SELL",""))</f>
        <v>SELL</v>
      </c>
      <c r="AB90">
        <f>IF(W89="BUY",AB89*('Data Checks'!B300/'Data Checks'!B299),IF(W89="SELL",AB89*('Data Checks'!B299/'Data Checks'!B300),AB89))</f>
        <v>208.58525301116433</v>
      </c>
      <c r="AC90">
        <f>IF(X89="BUY",AC89*('Data Checks'!C300/'Data Checks'!C299),IF(X89="SELL",AC89*('Data Checks'!C299/'Data Checks'!C300),AC89))</f>
        <v>201.2946562781751</v>
      </c>
      <c r="AD90">
        <f>IF(Y89="BUY",AD89*('Data Checks'!D300/'Data Checks'!D299),IF(Y89="SELL",AD89*('Data Checks'!D299/'Data Checks'!D300),AD89))</f>
        <v>137.91064673095036</v>
      </c>
      <c r="AE90">
        <f>IF(Z89="BUY",AE89*('Data Checks'!E300/'Data Checks'!E299),IF(Z89="SELL",AE89*('Data Checks'!E299/'Data Checks'!E300),AE89))</f>
        <v>254.02140664172791</v>
      </c>
      <c r="AF90">
        <f>IF(AA89="BUY",AF89*('Data Checks'!F300/'Data Checks'!F299),IF(AA89="SELL",AF89*('Data Checks'!F299/'Data Checks'!F300),AF89))</f>
        <v>226.05695759484405</v>
      </c>
      <c r="AG90" s="16">
        <f t="shared" si="19"/>
        <v>1027.8689202568619</v>
      </c>
      <c r="AH90" s="17">
        <f t="shared" si="23"/>
        <v>0</v>
      </c>
      <c r="AJ90" t="str">
        <f>IF('Moving Ave'!G300&gt;'Moving Ave'!L300,"SELL","BUY")</f>
        <v>SELL</v>
      </c>
      <c r="AK90" t="str">
        <f>IF('Moving Ave'!H300&gt;'Moving Ave'!M300,"SELL","BUY")</f>
        <v>BUY</v>
      </c>
      <c r="AL90" t="str">
        <f>IF('Moving Ave'!I300&gt;'Moving Ave'!N300,"SELL","BUY")</f>
        <v>BUY</v>
      </c>
      <c r="AM90" t="str">
        <f>IF('Moving Ave'!J300&gt;'Moving Ave'!O300,"SELL","BUY")</f>
        <v>BUY</v>
      </c>
      <c r="AN90" t="str">
        <f>IF('Moving Ave'!K300&gt;'Moving Ave'!P300,"SELL","BUY")</f>
        <v>BUY</v>
      </c>
      <c r="AO90">
        <f>IF(AJ89="BUY",AO89*('Data Checks'!B300/'Data Checks'!B299),AO89*('Data Checks'!B299/'Data Checks'!B300))</f>
        <v>191.24935482846183</v>
      </c>
      <c r="AP90">
        <f>IF(AK89="BUY",AP89*('Data Checks'!C300/'Data Checks'!C299),AP89*('Data Checks'!C299/'Data Checks'!C300))</f>
        <v>125.78105475694839</v>
      </c>
      <c r="AQ90">
        <f>IF(AL89="BUY",AQ89*('Data Checks'!D300/'Data Checks'!D299),AQ89*('Data Checks'!D299/'Data Checks'!D300))</f>
        <v>251.21621571237336</v>
      </c>
      <c r="AR90">
        <f>IF(AM89="BUY",AR89*('Data Checks'!E300/'Data Checks'!E299),AR89*('Data Checks'!E299/'Data Checks'!E300))</f>
        <v>109.64177738059001</v>
      </c>
      <c r="AS90">
        <f>IF(AN89="BUY",AS89*('Data Checks'!F300/'Data Checks'!F299),AS89*('Data Checks'!F299/'Data Checks'!F300))</f>
        <v>163.19842261336692</v>
      </c>
      <c r="AT90" s="16">
        <f t="shared" si="20"/>
        <v>841.08682529174052</v>
      </c>
      <c r="AU90" s="17">
        <f t="shared" si="24"/>
        <v>-7.9333666915470946E-3</v>
      </c>
    </row>
    <row r="91" spans="1:47" x14ac:dyDescent="0.35">
      <c r="A91" s="2">
        <f>Prices!A299</f>
        <v>44321</v>
      </c>
      <c r="B91">
        <f>B90*('Data Checks'!B301/'Data Checks'!B300)</f>
        <v>244.23475501059139</v>
      </c>
      <c r="C91">
        <f>C90*('Data Checks'!C301/'Data Checks'!C300)</f>
        <v>126.44145101451497</v>
      </c>
      <c r="D91">
        <f>D90*('Data Checks'!D301/'Data Checks'!D300)</f>
        <v>147.77091580849751</v>
      </c>
      <c r="E91">
        <f>E90*('Data Checks'!E301/'Data Checks'!E300)</f>
        <v>110.71308635041562</v>
      </c>
      <c r="F91">
        <f>F90*('Data Checks'!F301/'Data Checks'!F300)</f>
        <v>111.96948324229123</v>
      </c>
      <c r="G91" s="16">
        <f t="shared" si="17"/>
        <v>741.12969142631073</v>
      </c>
      <c r="H91" s="17">
        <f t="shared" si="21"/>
        <v>3.1105635067012471E-3</v>
      </c>
      <c r="J91" t="str">
        <f>IF(AND('Data Checks'!B301&gt;'Data Checks'!B300,'Data Checks'!B300&gt;'Data Checks'!B299,'Data Checks'!B299&gt;'Data Checks'!B298),"SELL",IF(AND('Data Checks'!B301&lt;'Data Checks'!B300,'Data Checks'!B300&lt;'Data Checks'!B299,'Data Checks'!B299&lt;'Data Checks'!B298),"BUY",""))</f>
        <v/>
      </c>
      <c r="K91" t="str">
        <f>IF(AND('Data Checks'!C301&gt;'Data Checks'!C300,'Data Checks'!C300&gt;'Data Checks'!C299,'Data Checks'!C299&gt;'Data Checks'!C298),"SELL",IF(AND('Data Checks'!C301&lt;'Data Checks'!C300,'Data Checks'!C300&lt;'Data Checks'!C299,'Data Checks'!C299&lt;'Data Checks'!C298),"BUY",""))</f>
        <v/>
      </c>
      <c r="L91" t="str">
        <f>IF(AND('Data Checks'!D301&gt;'Data Checks'!D300,'Data Checks'!D300&gt;'Data Checks'!D299,'Data Checks'!D299&gt;'Data Checks'!D298),"SELL",IF(AND('Data Checks'!D301&lt;'Data Checks'!D300,'Data Checks'!D300&lt;'Data Checks'!D299,'Data Checks'!D299&lt;'Data Checks'!D298),"BUY",""))</f>
        <v>BUY</v>
      </c>
      <c r="M91" t="str">
        <f>IF(AND('Data Checks'!E301&gt;'Data Checks'!E300,'Data Checks'!E300&gt;'Data Checks'!E299,'Data Checks'!E299&gt;'Data Checks'!E298),"SELL",IF(AND('Data Checks'!E301&lt;'Data Checks'!E300,'Data Checks'!E300&lt;'Data Checks'!E299,'Data Checks'!E299&lt;'Data Checks'!E298),"BUY",""))</f>
        <v/>
      </c>
      <c r="N91" t="str">
        <f>IF(AND('Data Checks'!F301&gt;'Data Checks'!F300,'Data Checks'!F300&gt;'Data Checks'!F299,'Data Checks'!F299&gt;'Data Checks'!F298),"SELL",IF(AND('Data Checks'!F301&lt;'Data Checks'!F300,'Data Checks'!F300&lt;'Data Checks'!F299,'Data Checks'!F299&lt;'Data Checks'!F298),"BUY",""))</f>
        <v/>
      </c>
      <c r="O91">
        <f>IF(J90="BUY",O90*('Data Checks'!B301/'Data Checks'!B300),IF(J90="SELL",O90*('Data Checks'!B300/'Data Checks'!B301),O90))</f>
        <v>191.76811122816548</v>
      </c>
      <c r="P91">
        <f>IF(K90="BUY",P90*('Data Checks'!C301/'Data Checks'!C300),IF(K90="SELL",P90*('Data Checks'!C300/'Data Checks'!C301),P90))</f>
        <v>199.75698949510388</v>
      </c>
      <c r="Q91">
        <f>IF(L90="BUY",Q90*('Data Checks'!D301/'Data Checks'!D300),IF(L90="SELL",Q90*('Data Checks'!D300/'Data Checks'!D301),Q90))</f>
        <v>285.33563956513268</v>
      </c>
      <c r="R91">
        <f>IF(M90="BUY",R90*('Data Checks'!E301/'Data Checks'!E300),IF(M90="SELL",R90*('Data Checks'!E300/'Data Checks'!E301),R90))</f>
        <v>157.46704393467138</v>
      </c>
      <c r="S91">
        <f>IF(N90="BUY",S90*('Data Checks'!F301/'Data Checks'!F300),IF(N90="SELL",S90*('Data Checks'!F300/'Data Checks'!F301),S90))</f>
        <v>181.50743931118137</v>
      </c>
      <c r="T91" s="16">
        <f t="shared" si="18"/>
        <v>1015.8352235342547</v>
      </c>
      <c r="U91" s="17">
        <f t="shared" si="22"/>
        <v>8.8376879993568025E-4</v>
      </c>
      <c r="W91" t="str">
        <f>IF(AND('Data Checks'!B301&gt;'Data Checks'!B300,'Data Checks'!B300&gt;'Data Checks'!B299,'Data Checks'!B299&gt;'Data Checks'!B298),"BUY",IF(AND('Data Checks'!B301&lt;'Data Checks'!B300,'Data Checks'!B300&lt;'Data Checks'!B299,'Data Checks'!B299&lt;'Data Checks'!B298),"SELL",""))</f>
        <v/>
      </c>
      <c r="X91" t="str">
        <f>IF(AND('Data Checks'!C301&gt;'Data Checks'!C300,'Data Checks'!C300&gt;'Data Checks'!C299,'Data Checks'!C299&gt;'Data Checks'!C298),"BUY",IF(AND('Data Checks'!C301&lt;'Data Checks'!C300,'Data Checks'!C300&lt;'Data Checks'!C299,'Data Checks'!C299&lt;'Data Checks'!C298),"SELL",""))</f>
        <v/>
      </c>
      <c r="Y91" t="str">
        <f>IF(AND('Data Checks'!D301&gt;'Data Checks'!D300,'Data Checks'!D300&gt;'Data Checks'!D299,'Data Checks'!D299&gt;'Data Checks'!D298),"BUY",IF(AND('Data Checks'!D301&lt;'Data Checks'!D300,'Data Checks'!D300&lt;'Data Checks'!D299,'Data Checks'!D299&lt;'Data Checks'!D298),"SELL",""))</f>
        <v>SELL</v>
      </c>
      <c r="Z91" t="str">
        <f>IF(AND('Data Checks'!E301&gt;'Data Checks'!E300,'Data Checks'!E300&gt;'Data Checks'!E299,'Data Checks'!E299&gt;'Data Checks'!E298),"BUY",IF(AND('Data Checks'!E301&lt;'Data Checks'!E300,'Data Checks'!E300&lt;'Data Checks'!E299,'Data Checks'!E299&lt;'Data Checks'!E298),"SELL",""))</f>
        <v/>
      </c>
      <c r="AA91" t="str">
        <f>IF(AND('Data Checks'!F301&gt;'Data Checks'!F300,'Data Checks'!F300&gt;'Data Checks'!F299,'Data Checks'!F299&gt;'Data Checks'!F298),"BUY",IF(AND('Data Checks'!F301&lt;'Data Checks'!F300,'Data Checks'!F300&lt;'Data Checks'!F299,'Data Checks'!F299&lt;'Data Checks'!F298),"SELL",""))</f>
        <v/>
      </c>
      <c r="AB91">
        <f>IF(W90="BUY",AB90*('Data Checks'!B301/'Data Checks'!B300),IF(W90="SELL",AB90*('Data Checks'!B300/'Data Checks'!B301),AB90))</f>
        <v>208.58525301116433</v>
      </c>
      <c r="AC91">
        <f>IF(X90="BUY",AC90*('Data Checks'!C301/'Data Checks'!C300),IF(X90="SELL",AC90*('Data Checks'!C300/'Data Checks'!C301),AC90))</f>
        <v>200.24330613462925</v>
      </c>
      <c r="AD91">
        <f>IF(Y90="BUY",AD90*('Data Checks'!D301/'Data Checks'!D300),IF(Y90="SELL",AD90*('Data Checks'!D300/'Data Checks'!D301),AD90))</f>
        <v>140.18578282391292</v>
      </c>
      <c r="AE91">
        <f>IF(Z90="BUY",AE90*('Data Checks'!E301/'Data Checks'!E300),IF(Z90="SELL",AE90*('Data Checks'!E300/'Data Checks'!E301),AE90))</f>
        <v>254.02140664172791</v>
      </c>
      <c r="AF91">
        <f>IF(AA90="BUY",AF90*('Data Checks'!F301/'Data Checks'!F300),IF(AA90="SELL",AF90*('Data Checks'!F300/'Data Checks'!F301),AF90))</f>
        <v>220.3766421464571</v>
      </c>
      <c r="AG91" s="16">
        <f t="shared" si="19"/>
        <v>1023.4123907578916</v>
      </c>
      <c r="AH91" s="17">
        <f t="shared" si="23"/>
        <v>-4.3356982696359792E-3</v>
      </c>
      <c r="AJ91" t="str">
        <f>IF('Moving Ave'!G301&gt;'Moving Ave'!L301,"SELL","BUY")</f>
        <v>SELL</v>
      </c>
      <c r="AK91" t="str">
        <f>IF('Moving Ave'!H301&gt;'Moving Ave'!M301,"SELL","BUY")</f>
        <v>BUY</v>
      </c>
      <c r="AL91" t="str">
        <f>IF('Moving Ave'!I301&gt;'Moving Ave'!N301,"SELL","BUY")</f>
        <v>BUY</v>
      </c>
      <c r="AM91" t="str">
        <f>IF('Moving Ave'!J301&gt;'Moving Ave'!O301,"SELL","BUY")</f>
        <v>BUY</v>
      </c>
      <c r="AN91" t="str">
        <f>IF('Moving Ave'!K301&gt;'Moving Ave'!P301,"SELL","BUY")</f>
        <v>BUY</v>
      </c>
      <c r="AO91">
        <f>IF(AJ90="BUY",AO90*('Data Checks'!B301/'Data Checks'!B300),AO90*('Data Checks'!B300/'Data Checks'!B301))</f>
        <v>191.10000086839923</v>
      </c>
      <c r="AP91">
        <f>IF(AK90="BUY",AP90*('Data Checks'!C301/'Data Checks'!C300),AP90*('Data Checks'!C300/'Data Checks'!C301))</f>
        <v>126.44145101451497</v>
      </c>
      <c r="AQ91">
        <f>IF(AL90="BUY",AQ90*('Data Checks'!D301/'Data Checks'!D300),AQ90*('Data Checks'!D300/'Data Checks'!D301))</f>
        <v>247.13911839200804</v>
      </c>
      <c r="AR91">
        <f>IF(AM90="BUY",AR90*('Data Checks'!E301/'Data Checks'!E300),AR90*('Data Checks'!E300/'Data Checks'!E301))</f>
        <v>110.71308635041562</v>
      </c>
      <c r="AS91">
        <f>IF(AN90="BUY",AS90*('Data Checks'!F301/'Data Checks'!F300),AS90*('Data Checks'!F300/'Data Checks'!F301))</f>
        <v>167.40494156244418</v>
      </c>
      <c r="AT91" s="16">
        <f t="shared" si="20"/>
        <v>842.79859818778209</v>
      </c>
      <c r="AU91" s="17">
        <f t="shared" si="24"/>
        <v>2.0351916646035306E-3</v>
      </c>
    </row>
    <row r="92" spans="1:47" x14ac:dyDescent="0.35">
      <c r="A92" s="2">
        <f>Prices!A300</f>
        <v>44322</v>
      </c>
      <c r="B92">
        <f>B91*('Data Checks'!B302/'Data Checks'!B301)</f>
        <v>247.76054895516603</v>
      </c>
      <c r="C92">
        <f>C91*('Data Checks'!C302/'Data Checks'!C301)</f>
        <v>126.08585537429155</v>
      </c>
      <c r="D92">
        <f>D91*('Data Checks'!D302/'Data Checks'!D301)</f>
        <v>148.63916761795238</v>
      </c>
      <c r="E92">
        <f>E91*('Data Checks'!E302/'Data Checks'!E301)</f>
        <v>107.33177076224406</v>
      </c>
      <c r="F92">
        <f>F91*('Data Checks'!F302/'Data Checks'!F301)</f>
        <v>114.06771598570896</v>
      </c>
      <c r="G92" s="16">
        <f t="shared" si="17"/>
        <v>743.88505869536311</v>
      </c>
      <c r="H92" s="17">
        <f t="shared" si="21"/>
        <v>3.71779366138969E-3</v>
      </c>
      <c r="J92" t="str">
        <f>IF(AND('Data Checks'!B302&gt;'Data Checks'!B301,'Data Checks'!B301&gt;'Data Checks'!B300,'Data Checks'!B300&gt;'Data Checks'!B299),"SELL",IF(AND('Data Checks'!B302&lt;'Data Checks'!B301,'Data Checks'!B301&lt;'Data Checks'!B300,'Data Checks'!B300&lt;'Data Checks'!B299),"BUY",""))</f>
        <v>SELL</v>
      </c>
      <c r="K92" t="str">
        <f>IF(AND('Data Checks'!C302&gt;'Data Checks'!C301,'Data Checks'!C301&gt;'Data Checks'!C300,'Data Checks'!C300&gt;'Data Checks'!C299),"SELL",IF(AND('Data Checks'!C302&lt;'Data Checks'!C301,'Data Checks'!C301&lt;'Data Checks'!C300,'Data Checks'!C300&lt;'Data Checks'!C299),"BUY",""))</f>
        <v/>
      </c>
      <c r="L92" t="str">
        <f>IF(AND('Data Checks'!D302&gt;'Data Checks'!D301,'Data Checks'!D301&gt;'Data Checks'!D300,'Data Checks'!D300&gt;'Data Checks'!D299),"SELL",IF(AND('Data Checks'!D302&lt;'Data Checks'!D301,'Data Checks'!D301&lt;'Data Checks'!D300,'Data Checks'!D300&lt;'Data Checks'!D299),"BUY",""))</f>
        <v/>
      </c>
      <c r="M92" t="str">
        <f>IF(AND('Data Checks'!E302&gt;'Data Checks'!E301,'Data Checks'!E301&gt;'Data Checks'!E300,'Data Checks'!E300&gt;'Data Checks'!E299),"SELL",IF(AND('Data Checks'!E302&lt;'Data Checks'!E301,'Data Checks'!E301&lt;'Data Checks'!E300,'Data Checks'!E300&lt;'Data Checks'!E299),"BUY",""))</f>
        <v/>
      </c>
      <c r="N92" t="str">
        <f>IF(AND('Data Checks'!F302&gt;'Data Checks'!F301,'Data Checks'!F301&gt;'Data Checks'!F300,'Data Checks'!F300&gt;'Data Checks'!F299),"SELL",IF(AND('Data Checks'!F302&lt;'Data Checks'!F301,'Data Checks'!F301&lt;'Data Checks'!F300,'Data Checks'!F300&lt;'Data Checks'!F299),"BUY",""))</f>
        <v/>
      </c>
      <c r="O92">
        <f>IF(J91="BUY",O91*('Data Checks'!B302/'Data Checks'!B301),IF(J91="SELL",O91*('Data Checks'!B301/'Data Checks'!B302),O91))</f>
        <v>191.76811122816548</v>
      </c>
      <c r="P92">
        <f>IF(K91="BUY",P91*('Data Checks'!C302/'Data Checks'!C301),IF(K91="SELL",P91*('Data Checks'!C301/'Data Checks'!C302),P91))</f>
        <v>199.75698949510388</v>
      </c>
      <c r="Q92">
        <f>IF(L91="BUY",Q91*('Data Checks'!D302/'Data Checks'!D301),IF(L91="SELL",Q91*('Data Checks'!D301/'Data Checks'!D302),Q91))</f>
        <v>287.01217505927184</v>
      </c>
      <c r="R92">
        <f>IF(M91="BUY",R91*('Data Checks'!E302/'Data Checks'!E301),IF(M91="SELL",R91*('Data Checks'!E301/'Data Checks'!E302),R91))</f>
        <v>157.46704393467138</v>
      </c>
      <c r="S92">
        <f>IF(N91="BUY",S91*('Data Checks'!F302/'Data Checks'!F301),IF(N91="SELL",S91*('Data Checks'!F301/'Data Checks'!F302),S91))</f>
        <v>181.50743931118137</v>
      </c>
      <c r="T92" s="16">
        <f t="shared" si="18"/>
        <v>1017.511759028394</v>
      </c>
      <c r="U92" s="17">
        <f t="shared" si="22"/>
        <v>1.6504010249873691E-3</v>
      </c>
      <c r="W92" t="str">
        <f>IF(AND('Data Checks'!B302&gt;'Data Checks'!B301,'Data Checks'!B301&gt;'Data Checks'!B300,'Data Checks'!B300&gt;'Data Checks'!B299),"BUY",IF(AND('Data Checks'!B302&lt;'Data Checks'!B301,'Data Checks'!B301&lt;'Data Checks'!B300,'Data Checks'!B300&lt;'Data Checks'!B299),"SELL",""))</f>
        <v>BUY</v>
      </c>
      <c r="X92" t="str">
        <f>IF(AND('Data Checks'!C302&gt;'Data Checks'!C301,'Data Checks'!C301&gt;'Data Checks'!C300,'Data Checks'!C300&gt;'Data Checks'!C299),"BUY",IF(AND('Data Checks'!C302&lt;'Data Checks'!C301,'Data Checks'!C301&lt;'Data Checks'!C300,'Data Checks'!C300&lt;'Data Checks'!C299),"SELL",""))</f>
        <v/>
      </c>
      <c r="Y92" t="str">
        <f>IF(AND('Data Checks'!D302&gt;'Data Checks'!D301,'Data Checks'!D301&gt;'Data Checks'!D300,'Data Checks'!D300&gt;'Data Checks'!D299),"BUY",IF(AND('Data Checks'!D302&lt;'Data Checks'!D301,'Data Checks'!D301&lt;'Data Checks'!D300,'Data Checks'!D300&lt;'Data Checks'!D299),"SELL",""))</f>
        <v/>
      </c>
      <c r="Z92" t="str">
        <f>IF(AND('Data Checks'!E302&gt;'Data Checks'!E301,'Data Checks'!E301&gt;'Data Checks'!E300,'Data Checks'!E300&gt;'Data Checks'!E299),"BUY",IF(AND('Data Checks'!E302&lt;'Data Checks'!E301,'Data Checks'!E301&lt;'Data Checks'!E300,'Data Checks'!E300&lt;'Data Checks'!E299),"SELL",""))</f>
        <v/>
      </c>
      <c r="AA92" t="str">
        <f>IF(AND('Data Checks'!F302&gt;'Data Checks'!F301,'Data Checks'!F301&gt;'Data Checks'!F300,'Data Checks'!F300&gt;'Data Checks'!F299),"BUY",IF(AND('Data Checks'!F302&lt;'Data Checks'!F301,'Data Checks'!F301&lt;'Data Checks'!F300,'Data Checks'!F300&lt;'Data Checks'!F299),"SELL",""))</f>
        <v/>
      </c>
      <c r="AB92">
        <f>IF(W91="BUY",AB91*('Data Checks'!B302/'Data Checks'!B301),IF(W91="SELL",AB91*('Data Checks'!B301/'Data Checks'!B302),AB91))</f>
        <v>208.58525301116433</v>
      </c>
      <c r="AC92">
        <f>IF(X91="BUY",AC91*('Data Checks'!C302/'Data Checks'!C301),IF(X91="SELL",AC91*('Data Checks'!C301/'Data Checks'!C302),AC91))</f>
        <v>200.24330613462925</v>
      </c>
      <c r="AD92">
        <f>IF(Y91="BUY",AD91*('Data Checks'!D302/'Data Checks'!D301),IF(Y91="SELL",AD91*('Data Checks'!D301/'Data Checks'!D302),AD91))</f>
        <v>139.36691010316707</v>
      </c>
      <c r="AE92">
        <f>IF(Z91="BUY",AE91*('Data Checks'!E302/'Data Checks'!E301),IF(Z91="SELL",AE91*('Data Checks'!E301/'Data Checks'!E302),AE91))</f>
        <v>254.02140664172791</v>
      </c>
      <c r="AF92">
        <f>IF(AA91="BUY",AF91*('Data Checks'!F302/'Data Checks'!F301),IF(AA91="SELL",AF91*('Data Checks'!F301/'Data Checks'!F302),AF91))</f>
        <v>220.3766421464571</v>
      </c>
      <c r="AG92" s="16">
        <f t="shared" si="19"/>
        <v>1022.5935180371457</v>
      </c>
      <c r="AH92" s="17">
        <f t="shared" si="23"/>
        <v>-8.0013954114765973E-4</v>
      </c>
      <c r="AJ92" t="str">
        <f>IF('Moving Ave'!G302&gt;'Moving Ave'!L302,"SELL","BUY")</f>
        <v>SELL</v>
      </c>
      <c r="AK92" t="str">
        <f>IF('Moving Ave'!H302&gt;'Moving Ave'!M302,"SELL","BUY")</f>
        <v>BUY</v>
      </c>
      <c r="AL92" t="str">
        <f>IF('Moving Ave'!I302&gt;'Moving Ave'!N302,"SELL","BUY")</f>
        <v>BUY</v>
      </c>
      <c r="AM92" t="str">
        <f>IF('Moving Ave'!J302&gt;'Moving Ave'!O302,"SELL","BUY")</f>
        <v>BUY</v>
      </c>
      <c r="AN92" t="str">
        <f>IF('Moving Ave'!K302&gt;'Moving Ave'!P302,"SELL","BUY")</f>
        <v>BUY</v>
      </c>
      <c r="AO92">
        <f>IF(AJ91="BUY",AO91*('Data Checks'!B302/'Data Checks'!B301),AO91*('Data Checks'!B301/'Data Checks'!B302))</f>
        <v>188.38052341845247</v>
      </c>
      <c r="AP92">
        <f>IF(AK91="BUY",AP91*('Data Checks'!C302/'Data Checks'!C301),AP91*('Data Checks'!C301/'Data Checks'!C302))</f>
        <v>126.08585537429155</v>
      </c>
      <c r="AQ92">
        <f>IF(AL91="BUY",AQ91*('Data Checks'!D302/'Data Checks'!D301),AQ91*('Data Checks'!D301/'Data Checks'!D302))</f>
        <v>248.59122407570717</v>
      </c>
      <c r="AR92">
        <f>IF(AM91="BUY",AR91*('Data Checks'!E302/'Data Checks'!E301),AR91*('Data Checks'!E301/'Data Checks'!E302))</f>
        <v>107.33177076224406</v>
      </c>
      <c r="AS92">
        <f>IF(AN91="BUY",AS91*('Data Checks'!F302/'Data Checks'!F301),AS91*('Data Checks'!F301/'Data Checks'!F302))</f>
        <v>170.54199747826161</v>
      </c>
      <c r="AT92" s="16">
        <f t="shared" si="20"/>
        <v>840.93137110895691</v>
      </c>
      <c r="AU92" s="17">
        <f t="shared" si="24"/>
        <v>-2.2155080500135815E-3</v>
      </c>
    </row>
    <row r="93" spans="1:47" x14ac:dyDescent="0.35">
      <c r="A93" s="2">
        <f>Prices!A301</f>
        <v>44323</v>
      </c>
      <c r="B93">
        <f>B92*('Data Checks'!B303/'Data Checks'!B302)</f>
        <v>249.48341626501758</v>
      </c>
      <c r="C93">
        <f>C92*('Data Checks'!C303/'Data Checks'!C302)</f>
        <v>128.06705430701186</v>
      </c>
      <c r="D93">
        <f>D92*('Data Checks'!D303/'Data Checks'!D302)</f>
        <v>152.94706884199479</v>
      </c>
      <c r="E93">
        <f>E92*('Data Checks'!E303/'Data Checks'!E302)</f>
        <v>108.90524911599437</v>
      </c>
      <c r="F93">
        <f>F92*('Data Checks'!F303/'Data Checks'!F302)</f>
        <v>117.93037984640515</v>
      </c>
      <c r="G93" s="16">
        <f t="shared" si="17"/>
        <v>757.33316837642371</v>
      </c>
      <c r="H93" s="17">
        <f t="shared" si="21"/>
        <v>1.8078209158611358E-2</v>
      </c>
      <c r="J93" t="str">
        <f>IF(AND('Data Checks'!B303&gt;'Data Checks'!B302,'Data Checks'!B302&gt;'Data Checks'!B301,'Data Checks'!B301&gt;'Data Checks'!B300),"SELL",IF(AND('Data Checks'!B303&lt;'Data Checks'!B302,'Data Checks'!B302&lt;'Data Checks'!B301,'Data Checks'!B301&lt;'Data Checks'!B300),"BUY",""))</f>
        <v>SELL</v>
      </c>
      <c r="K93" t="str">
        <f>IF(AND('Data Checks'!C303&gt;'Data Checks'!C302,'Data Checks'!C302&gt;'Data Checks'!C301,'Data Checks'!C301&gt;'Data Checks'!C300),"SELL",IF(AND('Data Checks'!C303&lt;'Data Checks'!C302,'Data Checks'!C302&lt;'Data Checks'!C301,'Data Checks'!C301&lt;'Data Checks'!C300),"BUY",""))</f>
        <v/>
      </c>
      <c r="L93" t="str">
        <f>IF(AND('Data Checks'!D303&gt;'Data Checks'!D302,'Data Checks'!D302&gt;'Data Checks'!D301,'Data Checks'!D301&gt;'Data Checks'!D300),"SELL",IF(AND('Data Checks'!D303&lt;'Data Checks'!D302,'Data Checks'!D302&lt;'Data Checks'!D301,'Data Checks'!D301&lt;'Data Checks'!D300),"BUY",""))</f>
        <v/>
      </c>
      <c r="M93" t="str">
        <f>IF(AND('Data Checks'!E303&gt;'Data Checks'!E302,'Data Checks'!E302&gt;'Data Checks'!E301,'Data Checks'!E301&gt;'Data Checks'!E300),"SELL",IF(AND('Data Checks'!E303&lt;'Data Checks'!E302,'Data Checks'!E302&lt;'Data Checks'!E301,'Data Checks'!E301&lt;'Data Checks'!E300),"BUY",""))</f>
        <v/>
      </c>
      <c r="N93" t="str">
        <f>IF(AND('Data Checks'!F303&gt;'Data Checks'!F302,'Data Checks'!F302&gt;'Data Checks'!F301,'Data Checks'!F301&gt;'Data Checks'!F300),"SELL",IF(AND('Data Checks'!F303&lt;'Data Checks'!F302,'Data Checks'!F302&lt;'Data Checks'!F301,'Data Checks'!F301&lt;'Data Checks'!F300),"BUY",""))</f>
        <v>SELL</v>
      </c>
      <c r="O93">
        <f>IF(J92="BUY",O92*('Data Checks'!B303/'Data Checks'!B302),IF(J92="SELL",O92*('Data Checks'!B302/'Data Checks'!B303),O92))</f>
        <v>190.44381074016823</v>
      </c>
      <c r="P93">
        <f>IF(K92="BUY",P92*('Data Checks'!C303/'Data Checks'!C302),IF(K92="SELL",P92*('Data Checks'!C302/'Data Checks'!C303),P92))</f>
        <v>199.75698949510388</v>
      </c>
      <c r="Q93">
        <f>IF(L92="BUY",Q92*('Data Checks'!D303/'Data Checks'!D302),IF(L92="SELL",Q92*('Data Checks'!D302/'Data Checks'!D303),Q92))</f>
        <v>287.01217505927184</v>
      </c>
      <c r="R93">
        <f>IF(M92="BUY",R92*('Data Checks'!E303/'Data Checks'!E302),IF(M92="SELL",R92*('Data Checks'!E302/'Data Checks'!E303),R92))</f>
        <v>157.46704393467138</v>
      </c>
      <c r="S93">
        <f>IF(N92="BUY",S92*('Data Checks'!F303/'Data Checks'!F302),IF(N92="SELL",S92*('Data Checks'!F302/'Data Checks'!F303),S92))</f>
        <v>181.50743931118137</v>
      </c>
      <c r="T93" s="16">
        <f t="shared" si="18"/>
        <v>1016.1874585403966</v>
      </c>
      <c r="U93" s="17">
        <f t="shared" si="22"/>
        <v>-1.3015087798708969E-3</v>
      </c>
      <c r="W93" t="str">
        <f>IF(AND('Data Checks'!B303&gt;'Data Checks'!B302,'Data Checks'!B302&gt;'Data Checks'!B301,'Data Checks'!B301&gt;'Data Checks'!B300),"BUY",IF(AND('Data Checks'!B303&lt;'Data Checks'!B302,'Data Checks'!B302&lt;'Data Checks'!B301,'Data Checks'!B301&lt;'Data Checks'!B300),"SELL",""))</f>
        <v>BUY</v>
      </c>
      <c r="X93" t="str">
        <f>IF(AND('Data Checks'!C303&gt;'Data Checks'!C302,'Data Checks'!C302&gt;'Data Checks'!C301,'Data Checks'!C301&gt;'Data Checks'!C300),"BUY",IF(AND('Data Checks'!C303&lt;'Data Checks'!C302,'Data Checks'!C302&lt;'Data Checks'!C301,'Data Checks'!C301&lt;'Data Checks'!C300),"SELL",""))</f>
        <v/>
      </c>
      <c r="Y93" t="str">
        <f>IF(AND('Data Checks'!D303&gt;'Data Checks'!D302,'Data Checks'!D302&gt;'Data Checks'!D301,'Data Checks'!D301&gt;'Data Checks'!D300),"BUY",IF(AND('Data Checks'!D303&lt;'Data Checks'!D302,'Data Checks'!D302&lt;'Data Checks'!D301,'Data Checks'!D301&lt;'Data Checks'!D300),"SELL",""))</f>
        <v/>
      </c>
      <c r="Z93" t="str">
        <f>IF(AND('Data Checks'!E303&gt;'Data Checks'!E302,'Data Checks'!E302&gt;'Data Checks'!E301,'Data Checks'!E301&gt;'Data Checks'!E300),"BUY",IF(AND('Data Checks'!E303&lt;'Data Checks'!E302,'Data Checks'!E302&lt;'Data Checks'!E301,'Data Checks'!E301&lt;'Data Checks'!E300),"SELL",""))</f>
        <v/>
      </c>
      <c r="AA93" t="str">
        <f>IF(AND('Data Checks'!F303&gt;'Data Checks'!F302,'Data Checks'!F302&gt;'Data Checks'!F301,'Data Checks'!F301&gt;'Data Checks'!F300),"BUY",IF(AND('Data Checks'!F303&lt;'Data Checks'!F302,'Data Checks'!F302&lt;'Data Checks'!F301,'Data Checks'!F301&lt;'Data Checks'!F300),"SELL",""))</f>
        <v>BUY</v>
      </c>
      <c r="AB93">
        <f>IF(W92="BUY",AB92*('Data Checks'!B303/'Data Checks'!B302),IF(W92="SELL",AB92*('Data Checks'!B302/'Data Checks'!B303),AB92))</f>
        <v>210.03570472854037</v>
      </c>
      <c r="AC93">
        <f>IF(X92="BUY",AC92*('Data Checks'!C303/'Data Checks'!C302),IF(X92="SELL",AC92*('Data Checks'!C302/'Data Checks'!C303),AC92))</f>
        <v>200.24330613462925</v>
      </c>
      <c r="AD93">
        <f>IF(Y92="BUY",AD92*('Data Checks'!D303/'Data Checks'!D302),IF(Y92="SELL",AD92*('Data Checks'!D302/'Data Checks'!D303),AD92))</f>
        <v>139.36691010316707</v>
      </c>
      <c r="AE93">
        <f>IF(Z92="BUY",AE92*('Data Checks'!E303/'Data Checks'!E302),IF(Z92="SELL",AE92*('Data Checks'!E302/'Data Checks'!E303),AE92))</f>
        <v>254.02140664172791</v>
      </c>
      <c r="AF93">
        <f>IF(AA92="BUY",AF92*('Data Checks'!F303/'Data Checks'!F302),IF(AA92="SELL",AF92*('Data Checks'!F302/'Data Checks'!F303),AF92))</f>
        <v>220.3766421464571</v>
      </c>
      <c r="AG93" s="16">
        <f t="shared" si="19"/>
        <v>1024.0439697545216</v>
      </c>
      <c r="AH93" s="17">
        <f t="shared" si="23"/>
        <v>1.4184049593430892E-3</v>
      </c>
      <c r="AJ93" t="str">
        <f>IF('Moving Ave'!G303&gt;'Moving Ave'!L303,"SELL","BUY")</f>
        <v>SELL</v>
      </c>
      <c r="AK93" t="str">
        <f>IF('Moving Ave'!H303&gt;'Moving Ave'!M303,"SELL","BUY")</f>
        <v>BUY</v>
      </c>
      <c r="AL93" t="str">
        <f>IF('Moving Ave'!I303&gt;'Moving Ave'!N303,"SELL","BUY")</f>
        <v>BUY</v>
      </c>
      <c r="AM93" t="str">
        <f>IF('Moving Ave'!J303&gt;'Moving Ave'!O303,"SELL","BUY")</f>
        <v>BUY</v>
      </c>
      <c r="AN93" t="str">
        <f>IF('Moving Ave'!K303&gt;'Moving Ave'!P303,"SELL","BUY")</f>
        <v>BUY</v>
      </c>
      <c r="AO93">
        <f>IF(AJ92="BUY",AO92*('Data Checks'!B303/'Data Checks'!B302),AO92*('Data Checks'!B302/'Data Checks'!B303))</f>
        <v>187.07961672706094</v>
      </c>
      <c r="AP93">
        <f>IF(AK92="BUY",AP92*('Data Checks'!C303/'Data Checks'!C302),AP92*('Data Checks'!C302/'Data Checks'!C303))</f>
        <v>128.06705430701186</v>
      </c>
      <c r="AQ93">
        <f>IF(AL92="BUY",AQ92*('Data Checks'!D303/'Data Checks'!D302),AQ92*('Data Checks'!D302/'Data Checks'!D303))</f>
        <v>255.79596328169154</v>
      </c>
      <c r="AR93">
        <f>IF(AM92="BUY",AR92*('Data Checks'!E303/'Data Checks'!E302),AR92*('Data Checks'!E302/'Data Checks'!E303))</f>
        <v>108.90524911599437</v>
      </c>
      <c r="AS93">
        <f>IF(AN92="BUY",AS92*('Data Checks'!F303/'Data Checks'!F302),AS92*('Data Checks'!F302/'Data Checks'!F303))</f>
        <v>176.31704438524756</v>
      </c>
      <c r="AT93" s="16">
        <f t="shared" si="20"/>
        <v>856.16492781700629</v>
      </c>
      <c r="AU93" s="17">
        <f t="shared" si="24"/>
        <v>1.811510098375857E-2</v>
      </c>
    </row>
    <row r="94" spans="1:47" x14ac:dyDescent="0.35">
      <c r="A94" s="2">
        <f>Prices!A302</f>
        <v>44324</v>
      </c>
      <c r="B94">
        <f>B93*('Data Checks'!B304/'Data Checks'!B303)</f>
        <v>250.74789853189458</v>
      </c>
      <c r="C94">
        <f>C93*('Data Checks'!C304/'Data Checks'!C303)</f>
        <v>130.20065862841406</v>
      </c>
      <c r="D94">
        <f>D93*('Data Checks'!D304/'Data Checks'!D303)</f>
        <v>156.78744960406493</v>
      </c>
      <c r="E94">
        <f>E93*('Data Checks'!E304/'Data Checks'!E303)</f>
        <v>113.52527239620784</v>
      </c>
      <c r="F94">
        <f>F93*('Data Checks'!F304/'Data Checks'!F303)</f>
        <v>115.49833117069629</v>
      </c>
      <c r="G94" s="16">
        <f t="shared" si="17"/>
        <v>766.7596103312776</v>
      </c>
      <c r="H94" s="17">
        <f t="shared" si="21"/>
        <v>1.2446889095142133E-2</v>
      </c>
      <c r="J94" t="str">
        <f>IF(AND('Data Checks'!B304&gt;'Data Checks'!B303,'Data Checks'!B303&gt;'Data Checks'!B302,'Data Checks'!B302&gt;'Data Checks'!B301),"SELL",IF(AND('Data Checks'!B304&lt;'Data Checks'!B303,'Data Checks'!B303&lt;'Data Checks'!B302,'Data Checks'!B302&lt;'Data Checks'!B301),"BUY",""))</f>
        <v>SELL</v>
      </c>
      <c r="K94" t="str">
        <f>IF(AND('Data Checks'!C304&gt;'Data Checks'!C303,'Data Checks'!C303&gt;'Data Checks'!C302,'Data Checks'!C302&gt;'Data Checks'!C301),"SELL",IF(AND('Data Checks'!C304&lt;'Data Checks'!C303,'Data Checks'!C303&lt;'Data Checks'!C302,'Data Checks'!C302&lt;'Data Checks'!C301),"BUY",""))</f>
        <v/>
      </c>
      <c r="L94" t="str">
        <f>IF(AND('Data Checks'!D304&gt;'Data Checks'!D303,'Data Checks'!D303&gt;'Data Checks'!D302,'Data Checks'!D302&gt;'Data Checks'!D301),"SELL",IF(AND('Data Checks'!D304&lt;'Data Checks'!D303,'Data Checks'!D303&lt;'Data Checks'!D302,'Data Checks'!D302&lt;'Data Checks'!D301),"BUY",""))</f>
        <v>SELL</v>
      </c>
      <c r="M94" t="str">
        <f>IF(AND('Data Checks'!E304&gt;'Data Checks'!E303,'Data Checks'!E303&gt;'Data Checks'!E302,'Data Checks'!E302&gt;'Data Checks'!E301),"SELL",IF(AND('Data Checks'!E304&lt;'Data Checks'!E303,'Data Checks'!E303&lt;'Data Checks'!E302,'Data Checks'!E302&lt;'Data Checks'!E301),"BUY",""))</f>
        <v/>
      </c>
      <c r="N94" t="str">
        <f>IF(AND('Data Checks'!F304&gt;'Data Checks'!F303,'Data Checks'!F303&gt;'Data Checks'!F302,'Data Checks'!F302&gt;'Data Checks'!F301),"SELL",IF(AND('Data Checks'!F304&lt;'Data Checks'!F303,'Data Checks'!F303&lt;'Data Checks'!F302,'Data Checks'!F302&lt;'Data Checks'!F301),"BUY",""))</f>
        <v/>
      </c>
      <c r="O94">
        <f>IF(J93="BUY",O93*('Data Checks'!B304/'Data Checks'!B303),IF(J93="SELL",O93*('Data Checks'!B303/'Data Checks'!B304),O93))</f>
        <v>189.48343251595438</v>
      </c>
      <c r="P94">
        <f>IF(K93="BUY",P93*('Data Checks'!C304/'Data Checks'!C303),IF(K93="SELL",P93*('Data Checks'!C303/'Data Checks'!C304),P93))</f>
        <v>199.75698949510388</v>
      </c>
      <c r="Q94">
        <f>IF(L93="BUY",Q93*('Data Checks'!D304/'Data Checks'!D303),IF(L93="SELL",Q93*('Data Checks'!D303/'Data Checks'!D304),Q93))</f>
        <v>287.01217505927184</v>
      </c>
      <c r="R94">
        <f>IF(M93="BUY",R93*('Data Checks'!E304/'Data Checks'!E303),IF(M93="SELL",R93*('Data Checks'!E303/'Data Checks'!E304),R93))</f>
        <v>157.46704393467138</v>
      </c>
      <c r="S94">
        <f>IF(N93="BUY",S93*('Data Checks'!F304/'Data Checks'!F303),IF(N93="SELL",S93*('Data Checks'!F303/'Data Checks'!F304),S93))</f>
        <v>185.32944195774482</v>
      </c>
      <c r="T94" s="16">
        <f t="shared" si="18"/>
        <v>1019.0490829627463</v>
      </c>
      <c r="U94" s="17">
        <f t="shared" si="22"/>
        <v>2.8160398933283481E-3</v>
      </c>
      <c r="W94" t="str">
        <f>IF(AND('Data Checks'!B304&gt;'Data Checks'!B303,'Data Checks'!B303&gt;'Data Checks'!B302,'Data Checks'!B302&gt;'Data Checks'!B301),"BUY",IF(AND('Data Checks'!B304&lt;'Data Checks'!B303,'Data Checks'!B303&lt;'Data Checks'!B302,'Data Checks'!B302&lt;'Data Checks'!B301),"SELL",""))</f>
        <v>BUY</v>
      </c>
      <c r="X94" t="str">
        <f>IF(AND('Data Checks'!C304&gt;'Data Checks'!C303,'Data Checks'!C303&gt;'Data Checks'!C302,'Data Checks'!C302&gt;'Data Checks'!C301),"BUY",IF(AND('Data Checks'!C304&lt;'Data Checks'!C303,'Data Checks'!C303&lt;'Data Checks'!C302,'Data Checks'!C302&lt;'Data Checks'!C301),"SELL",""))</f>
        <v/>
      </c>
      <c r="Y94" t="str">
        <f>IF(AND('Data Checks'!D304&gt;'Data Checks'!D303,'Data Checks'!D303&gt;'Data Checks'!D302,'Data Checks'!D302&gt;'Data Checks'!D301),"BUY",IF(AND('Data Checks'!D304&lt;'Data Checks'!D303,'Data Checks'!D303&lt;'Data Checks'!D302,'Data Checks'!D302&lt;'Data Checks'!D301),"SELL",""))</f>
        <v>BUY</v>
      </c>
      <c r="Z94" t="str">
        <f>IF(AND('Data Checks'!E304&gt;'Data Checks'!E303,'Data Checks'!E303&gt;'Data Checks'!E302,'Data Checks'!E302&gt;'Data Checks'!E301),"BUY",IF(AND('Data Checks'!E304&lt;'Data Checks'!E303,'Data Checks'!E303&lt;'Data Checks'!E302,'Data Checks'!E302&lt;'Data Checks'!E301),"SELL",""))</f>
        <v/>
      </c>
      <c r="AA94" t="str">
        <f>IF(AND('Data Checks'!F304&gt;'Data Checks'!F303,'Data Checks'!F303&gt;'Data Checks'!F302,'Data Checks'!F302&gt;'Data Checks'!F301),"BUY",IF(AND('Data Checks'!F304&lt;'Data Checks'!F303,'Data Checks'!F303&lt;'Data Checks'!F302,'Data Checks'!F302&lt;'Data Checks'!F301),"SELL",""))</f>
        <v/>
      </c>
      <c r="AB94">
        <f>IF(W93="BUY",AB93*('Data Checks'!B304/'Data Checks'!B303),IF(W93="SELL",AB93*('Data Checks'!B303/'Data Checks'!B304),AB93))</f>
        <v>211.10025013206382</v>
      </c>
      <c r="AC94">
        <f>IF(X93="BUY",AC93*('Data Checks'!C304/'Data Checks'!C303),IF(X93="SELL",AC93*('Data Checks'!C303/'Data Checks'!C304),AC93))</f>
        <v>200.24330613462925</v>
      </c>
      <c r="AD94">
        <f>IF(Y93="BUY",AD93*('Data Checks'!D304/'Data Checks'!D303),IF(Y93="SELL",AD93*('Data Checks'!D303/'Data Checks'!D304),AD93))</f>
        <v>139.36691010316707</v>
      </c>
      <c r="AE94">
        <f>IF(Z93="BUY",AE93*('Data Checks'!E304/'Data Checks'!E303),IF(Z93="SELL",AE93*('Data Checks'!E303/'Data Checks'!E304),AE93))</f>
        <v>254.02140664172791</v>
      </c>
      <c r="AF94">
        <f>IF(AA93="BUY",AF93*('Data Checks'!F304/'Data Checks'!F303),IF(AA93="SELL",AF93*('Data Checks'!F303/'Data Checks'!F304),AF93))</f>
        <v>215.83186987159877</v>
      </c>
      <c r="AG94" s="16">
        <f t="shared" si="19"/>
        <v>1020.5637428831868</v>
      </c>
      <c r="AH94" s="17">
        <f t="shared" si="23"/>
        <v>-3.3985131245576339E-3</v>
      </c>
      <c r="AJ94" t="str">
        <f>IF('Moving Ave'!G304&gt;'Moving Ave'!L304,"SELL","BUY")</f>
        <v>SELL</v>
      </c>
      <c r="AK94" t="str">
        <f>IF('Moving Ave'!H304&gt;'Moving Ave'!M304,"SELL","BUY")</f>
        <v>BUY</v>
      </c>
      <c r="AL94" t="str">
        <f>IF('Moving Ave'!I304&gt;'Moving Ave'!N304,"SELL","BUY")</f>
        <v>BUY</v>
      </c>
      <c r="AM94" t="str">
        <f>IF('Moving Ave'!J304&gt;'Moving Ave'!O304,"SELL","BUY")</f>
        <v>BUY</v>
      </c>
      <c r="AN94" t="str">
        <f>IF('Moving Ave'!K304&gt;'Moving Ave'!P304,"SELL","BUY")</f>
        <v>BUY</v>
      </c>
      <c r="AO94">
        <f>IF(AJ93="BUY",AO93*('Data Checks'!B304/'Data Checks'!B303),AO93*('Data Checks'!B303/'Data Checks'!B304))</f>
        <v>186.13620360483523</v>
      </c>
      <c r="AP94">
        <f>IF(AK93="BUY",AP93*('Data Checks'!C304/'Data Checks'!C303),AP93*('Data Checks'!C303/'Data Checks'!C304))</f>
        <v>130.20065862841406</v>
      </c>
      <c r="AQ94">
        <f>IF(AL93="BUY",AQ93*('Data Checks'!D304/'Data Checks'!D303),AQ93*('Data Checks'!D303/'Data Checks'!D304))</f>
        <v>262.21879899760222</v>
      </c>
      <c r="AR94">
        <f>IF(AM93="BUY",AR93*('Data Checks'!E304/'Data Checks'!E303),AR93*('Data Checks'!E303/'Data Checks'!E304))</f>
        <v>113.52527239620784</v>
      </c>
      <c r="AS94">
        <f>IF(AN93="BUY",AS93*('Data Checks'!F304/'Data Checks'!F303),AS93*('Data Checks'!F303/'Data Checks'!F304))</f>
        <v>172.6809021557344</v>
      </c>
      <c r="AT94" s="16">
        <f t="shared" si="20"/>
        <v>864.7618357827937</v>
      </c>
      <c r="AU94" s="17">
        <f t="shared" si="24"/>
        <v>1.0041182120958059E-2</v>
      </c>
    </row>
    <row r="95" spans="1:47" x14ac:dyDescent="0.35">
      <c r="A95" s="2">
        <f>Prices!A303</f>
        <v>44327</v>
      </c>
      <c r="B95">
        <f>B94*('Data Checks'!B305/'Data Checks'!B304)</f>
        <v>253.8448150755539</v>
      </c>
      <c r="C95">
        <f>C94*('Data Checks'!C305/'Data Checks'!C304)</f>
        <v>129.48946226795695</v>
      </c>
      <c r="D95">
        <f>D94*('Data Checks'!D305/'Data Checks'!D304)</f>
        <v>151.84505513182594</v>
      </c>
      <c r="E95">
        <f>E94*('Data Checks'!E305/'Data Checks'!E304)</f>
        <v>109.67524909021601</v>
      </c>
      <c r="F95">
        <f>F94*('Data Checks'!F305/'Data Checks'!F304)</f>
        <v>116.83357344063299</v>
      </c>
      <c r="G95" s="16">
        <f t="shared" si="17"/>
        <v>761.68815500618575</v>
      </c>
      <c r="H95" s="17">
        <f t="shared" si="21"/>
        <v>-6.614139890468107E-3</v>
      </c>
      <c r="J95" t="str">
        <f>IF(AND('Data Checks'!B305&gt;'Data Checks'!B304,'Data Checks'!B304&gt;'Data Checks'!B303,'Data Checks'!B303&gt;'Data Checks'!B302),"SELL",IF(AND('Data Checks'!B305&lt;'Data Checks'!B304,'Data Checks'!B304&lt;'Data Checks'!B303,'Data Checks'!B303&lt;'Data Checks'!B302),"BUY",""))</f>
        <v>SELL</v>
      </c>
      <c r="K95" t="str">
        <f>IF(AND('Data Checks'!C305&gt;'Data Checks'!C304,'Data Checks'!C304&gt;'Data Checks'!C303,'Data Checks'!C303&gt;'Data Checks'!C302),"SELL",IF(AND('Data Checks'!C305&lt;'Data Checks'!C304,'Data Checks'!C304&lt;'Data Checks'!C303,'Data Checks'!C303&lt;'Data Checks'!C302),"BUY",""))</f>
        <v/>
      </c>
      <c r="L95" t="str">
        <f>IF(AND('Data Checks'!D305&gt;'Data Checks'!D304,'Data Checks'!D304&gt;'Data Checks'!D303,'Data Checks'!D303&gt;'Data Checks'!D302),"SELL",IF(AND('Data Checks'!D305&lt;'Data Checks'!D304,'Data Checks'!D304&lt;'Data Checks'!D303,'Data Checks'!D303&lt;'Data Checks'!D302),"BUY",""))</f>
        <v/>
      </c>
      <c r="M95" t="str">
        <f>IF(AND('Data Checks'!E305&gt;'Data Checks'!E304,'Data Checks'!E304&gt;'Data Checks'!E303,'Data Checks'!E303&gt;'Data Checks'!E302),"SELL",IF(AND('Data Checks'!E305&lt;'Data Checks'!E304,'Data Checks'!E304&lt;'Data Checks'!E303,'Data Checks'!E303&lt;'Data Checks'!E302),"BUY",""))</f>
        <v/>
      </c>
      <c r="N95" t="str">
        <f>IF(AND('Data Checks'!F305&gt;'Data Checks'!F304,'Data Checks'!F304&gt;'Data Checks'!F303,'Data Checks'!F303&gt;'Data Checks'!F302),"SELL",IF(AND('Data Checks'!F305&lt;'Data Checks'!F304,'Data Checks'!F304&lt;'Data Checks'!F303,'Data Checks'!F303&lt;'Data Checks'!F302),"BUY",""))</f>
        <v/>
      </c>
      <c r="O95">
        <f>IF(J94="BUY",O94*('Data Checks'!B305/'Data Checks'!B304),IF(J94="SELL",O94*('Data Checks'!B304/'Data Checks'!B305),O94))</f>
        <v>187.17172732420815</v>
      </c>
      <c r="P95">
        <f>IF(K94="BUY",P94*('Data Checks'!C305/'Data Checks'!C304),IF(K94="SELL",P94*('Data Checks'!C304/'Data Checks'!C305),P94))</f>
        <v>199.75698949510388</v>
      </c>
      <c r="Q95">
        <f>IF(L94="BUY",Q94*('Data Checks'!D305/'Data Checks'!D304),IF(L94="SELL",Q94*('Data Checks'!D304/'Data Checks'!D305),Q94))</f>
        <v>296.35411501409442</v>
      </c>
      <c r="R95">
        <f>IF(M94="BUY",R94*('Data Checks'!E305/'Data Checks'!E304),IF(M94="SELL",R94*('Data Checks'!E304/'Data Checks'!E305),R94))</f>
        <v>157.46704393467138</v>
      </c>
      <c r="S95">
        <f>IF(N94="BUY",S94*('Data Checks'!F305/'Data Checks'!F304),IF(N94="SELL",S94*('Data Checks'!F304/'Data Checks'!F305),S94))</f>
        <v>185.32944195774482</v>
      </c>
      <c r="T95" s="16">
        <f t="shared" si="18"/>
        <v>1026.0793177258226</v>
      </c>
      <c r="U95" s="17">
        <f t="shared" si="22"/>
        <v>6.8988185953093861E-3</v>
      </c>
      <c r="W95" t="str">
        <f>IF(AND('Data Checks'!B305&gt;'Data Checks'!B304,'Data Checks'!B304&gt;'Data Checks'!B303,'Data Checks'!B303&gt;'Data Checks'!B302),"BUY",IF(AND('Data Checks'!B305&lt;'Data Checks'!B304,'Data Checks'!B304&lt;'Data Checks'!B303,'Data Checks'!B303&lt;'Data Checks'!B302),"SELL",""))</f>
        <v>BUY</v>
      </c>
      <c r="X95" t="str">
        <f>IF(AND('Data Checks'!C305&gt;'Data Checks'!C304,'Data Checks'!C304&gt;'Data Checks'!C303,'Data Checks'!C303&gt;'Data Checks'!C302),"BUY",IF(AND('Data Checks'!C305&lt;'Data Checks'!C304,'Data Checks'!C304&lt;'Data Checks'!C303,'Data Checks'!C303&lt;'Data Checks'!C302),"SELL",""))</f>
        <v/>
      </c>
      <c r="Y95" t="str">
        <f>IF(AND('Data Checks'!D305&gt;'Data Checks'!D304,'Data Checks'!D304&gt;'Data Checks'!D303,'Data Checks'!D303&gt;'Data Checks'!D302),"BUY",IF(AND('Data Checks'!D305&lt;'Data Checks'!D304,'Data Checks'!D304&lt;'Data Checks'!D303,'Data Checks'!D303&lt;'Data Checks'!D302),"SELL",""))</f>
        <v/>
      </c>
      <c r="Z95" t="str">
        <f>IF(AND('Data Checks'!E305&gt;'Data Checks'!E304,'Data Checks'!E304&gt;'Data Checks'!E303,'Data Checks'!E303&gt;'Data Checks'!E302),"BUY",IF(AND('Data Checks'!E305&lt;'Data Checks'!E304,'Data Checks'!E304&lt;'Data Checks'!E303,'Data Checks'!E303&lt;'Data Checks'!E302),"SELL",""))</f>
        <v/>
      </c>
      <c r="AA95" t="str">
        <f>IF(AND('Data Checks'!F305&gt;'Data Checks'!F304,'Data Checks'!F304&gt;'Data Checks'!F303,'Data Checks'!F303&gt;'Data Checks'!F302),"BUY",IF(AND('Data Checks'!F305&lt;'Data Checks'!F304,'Data Checks'!F304&lt;'Data Checks'!F303,'Data Checks'!F303&lt;'Data Checks'!F302),"SELL",""))</f>
        <v/>
      </c>
      <c r="AB95">
        <f>IF(W94="BUY",AB94*('Data Checks'!B305/'Data Checks'!B304),IF(W94="SELL",AB94*('Data Checks'!B304/'Data Checks'!B305),AB94))</f>
        <v>213.70748975733011</v>
      </c>
      <c r="AC95">
        <f>IF(X94="BUY",AC94*('Data Checks'!C305/'Data Checks'!C304),IF(X94="SELL",AC94*('Data Checks'!C304/'Data Checks'!C305),AC94))</f>
        <v>200.24330613462925</v>
      </c>
      <c r="AD95">
        <f>IF(Y94="BUY",AD94*('Data Checks'!D305/'Data Checks'!D304),IF(Y94="SELL",AD94*('Data Checks'!D304/'Data Checks'!D305),AD94))</f>
        <v>134.97366148635263</v>
      </c>
      <c r="AE95">
        <f>IF(Z94="BUY",AE94*('Data Checks'!E305/'Data Checks'!E304),IF(Z94="SELL",AE94*('Data Checks'!E304/'Data Checks'!E305),AE94))</f>
        <v>254.02140664172791</v>
      </c>
      <c r="AF95">
        <f>IF(AA94="BUY",AF94*('Data Checks'!F305/'Data Checks'!F304),IF(AA94="SELL",AF94*('Data Checks'!F304/'Data Checks'!F305),AF94))</f>
        <v>215.83186987159877</v>
      </c>
      <c r="AG95" s="16">
        <f t="shared" si="19"/>
        <v>1018.7777338916387</v>
      </c>
      <c r="AH95" s="17">
        <f t="shared" si="23"/>
        <v>-1.7500219893198388E-3</v>
      </c>
      <c r="AJ95" t="str">
        <f>IF('Moving Ave'!G305&gt;'Moving Ave'!L305,"SELL","BUY")</f>
        <v>SELL</v>
      </c>
      <c r="AK95" t="str">
        <f>IF('Moving Ave'!H305&gt;'Moving Ave'!M305,"SELL","BUY")</f>
        <v>BUY</v>
      </c>
      <c r="AL95" t="str">
        <f>IF('Moving Ave'!I305&gt;'Moving Ave'!N305,"SELL","BUY")</f>
        <v>BUY</v>
      </c>
      <c r="AM95" t="str">
        <f>IF('Moving Ave'!J305&gt;'Moving Ave'!O305,"SELL","BUY")</f>
        <v>BUY</v>
      </c>
      <c r="AN95" t="str">
        <f>IF('Moving Ave'!K305&gt;'Moving Ave'!P305,"SELL","BUY")</f>
        <v>BUY</v>
      </c>
      <c r="AO95">
        <f>IF(AJ94="BUY",AO94*('Data Checks'!B305/'Data Checks'!B304),AO94*('Data Checks'!B304/'Data Checks'!B305))</f>
        <v>183.86533473502521</v>
      </c>
      <c r="AP95">
        <f>IF(AK94="BUY",AP94*('Data Checks'!C305/'Data Checks'!C304),AP94*('Data Checks'!C304/'Data Checks'!C305))</f>
        <v>129.48946226795695</v>
      </c>
      <c r="AQ95">
        <f>IF(AL94="BUY",AQ94*('Data Checks'!D305/'Data Checks'!D304),AQ94*('Data Checks'!D304/'Data Checks'!D305))</f>
        <v>253.95290306042321</v>
      </c>
      <c r="AR95">
        <f>IF(AM94="BUY",AR94*('Data Checks'!E305/'Data Checks'!E304),AR94*('Data Checks'!E304/'Data Checks'!E305))</f>
        <v>109.67524909021601</v>
      </c>
      <c r="AS95">
        <f>IF(AN94="BUY",AS94*('Data Checks'!F305/'Data Checks'!F304),AS94*('Data Checks'!F304/'Data Checks'!F305))</f>
        <v>174.67721532694705</v>
      </c>
      <c r="AT95" s="16">
        <f t="shared" si="20"/>
        <v>851.66016448056837</v>
      </c>
      <c r="AU95" s="17">
        <f t="shared" si="24"/>
        <v>-1.5150612295887878E-2</v>
      </c>
    </row>
    <row r="96" spans="1:47" x14ac:dyDescent="0.35">
      <c r="A96" s="2">
        <f>Prices!A304</f>
        <v>44328</v>
      </c>
      <c r="B96">
        <f>B95*('Data Checks'!B306/'Data Checks'!B305)</f>
        <v>248.36011807967242</v>
      </c>
      <c r="C96">
        <f>C95*('Data Checks'!C306/'Data Checks'!C305)</f>
        <v>127.15266261500294</v>
      </c>
      <c r="D96">
        <f>D95*('Data Checks'!D306/'Data Checks'!D305)</f>
        <v>150.24211972352845</v>
      </c>
      <c r="E96">
        <f>E95*('Data Checks'!E306/'Data Checks'!E305)</f>
        <v>107.83394014616877</v>
      </c>
      <c r="F96">
        <f>F95*('Data Checks'!F306/'Data Checks'!F305)</f>
        <v>112.25560198744311</v>
      </c>
      <c r="G96" s="16">
        <f t="shared" si="17"/>
        <v>745.84444255181563</v>
      </c>
      <c r="H96" s="17">
        <f t="shared" si="21"/>
        <v>-2.0800786188202469E-2</v>
      </c>
      <c r="J96" t="str">
        <f>IF(AND('Data Checks'!B306&gt;'Data Checks'!B305,'Data Checks'!B305&gt;'Data Checks'!B304,'Data Checks'!B304&gt;'Data Checks'!B303),"SELL",IF(AND('Data Checks'!B306&lt;'Data Checks'!B305,'Data Checks'!B305&lt;'Data Checks'!B304,'Data Checks'!B304&lt;'Data Checks'!B303),"BUY",""))</f>
        <v/>
      </c>
      <c r="K96" t="str">
        <f>IF(AND('Data Checks'!C306&gt;'Data Checks'!C305,'Data Checks'!C305&gt;'Data Checks'!C304,'Data Checks'!C304&gt;'Data Checks'!C303),"SELL",IF(AND('Data Checks'!C306&lt;'Data Checks'!C305,'Data Checks'!C305&lt;'Data Checks'!C304,'Data Checks'!C304&lt;'Data Checks'!C303),"BUY",""))</f>
        <v/>
      </c>
      <c r="L96" t="str">
        <f>IF(AND('Data Checks'!D306&gt;'Data Checks'!D305,'Data Checks'!D305&gt;'Data Checks'!D304,'Data Checks'!D304&gt;'Data Checks'!D303),"SELL",IF(AND('Data Checks'!D306&lt;'Data Checks'!D305,'Data Checks'!D305&lt;'Data Checks'!D304,'Data Checks'!D304&lt;'Data Checks'!D303),"BUY",""))</f>
        <v/>
      </c>
      <c r="M96" t="str">
        <f>IF(AND('Data Checks'!E306&gt;'Data Checks'!E305,'Data Checks'!E305&gt;'Data Checks'!E304,'Data Checks'!E304&gt;'Data Checks'!E303),"SELL",IF(AND('Data Checks'!E306&lt;'Data Checks'!E305,'Data Checks'!E305&lt;'Data Checks'!E304,'Data Checks'!E304&lt;'Data Checks'!E303),"BUY",""))</f>
        <v/>
      </c>
      <c r="N96" t="str">
        <f>IF(AND('Data Checks'!F306&gt;'Data Checks'!F305,'Data Checks'!F305&gt;'Data Checks'!F304,'Data Checks'!F304&gt;'Data Checks'!F303),"SELL",IF(AND('Data Checks'!F306&lt;'Data Checks'!F305,'Data Checks'!F305&lt;'Data Checks'!F304,'Data Checks'!F304&lt;'Data Checks'!F303),"BUY",""))</f>
        <v/>
      </c>
      <c r="O96">
        <f>IF(J95="BUY",O95*('Data Checks'!B306/'Data Checks'!B305),IF(J95="SELL",O95*('Data Checks'!B305/'Data Checks'!B306),O95))</f>
        <v>191.30516154265911</v>
      </c>
      <c r="P96">
        <f>IF(K95="BUY",P95*('Data Checks'!C306/'Data Checks'!C305),IF(K95="SELL",P95*('Data Checks'!C305/'Data Checks'!C306),P95))</f>
        <v>199.75698949510388</v>
      </c>
      <c r="Q96">
        <f>IF(L95="BUY",Q95*('Data Checks'!D306/'Data Checks'!D305),IF(L95="SELL",Q95*('Data Checks'!D305/'Data Checks'!D306),Q95))</f>
        <v>296.35411501409442</v>
      </c>
      <c r="R96">
        <f>IF(M95="BUY",R95*('Data Checks'!E306/'Data Checks'!E305),IF(M95="SELL",R95*('Data Checks'!E305/'Data Checks'!E306),R95))</f>
        <v>157.46704393467138</v>
      </c>
      <c r="S96">
        <f>IF(N95="BUY",S95*('Data Checks'!F306/'Data Checks'!F305),IF(N95="SELL",S95*('Data Checks'!F305/'Data Checks'!F306),S95))</f>
        <v>185.32944195774482</v>
      </c>
      <c r="T96" s="16">
        <f t="shared" si="18"/>
        <v>1030.2127519442736</v>
      </c>
      <c r="U96" s="17">
        <f t="shared" si="22"/>
        <v>4.0283768974236356E-3</v>
      </c>
      <c r="W96" t="str">
        <f>IF(AND('Data Checks'!B306&gt;'Data Checks'!B305,'Data Checks'!B305&gt;'Data Checks'!B304,'Data Checks'!B304&gt;'Data Checks'!B303),"BUY",IF(AND('Data Checks'!B306&lt;'Data Checks'!B305,'Data Checks'!B305&lt;'Data Checks'!B304,'Data Checks'!B304&lt;'Data Checks'!B303),"SELL",""))</f>
        <v/>
      </c>
      <c r="X96" t="str">
        <f>IF(AND('Data Checks'!C306&gt;'Data Checks'!C305,'Data Checks'!C305&gt;'Data Checks'!C304,'Data Checks'!C304&gt;'Data Checks'!C303),"BUY",IF(AND('Data Checks'!C306&lt;'Data Checks'!C305,'Data Checks'!C305&lt;'Data Checks'!C304,'Data Checks'!C304&lt;'Data Checks'!C303),"SELL",""))</f>
        <v/>
      </c>
      <c r="Y96" t="str">
        <f>IF(AND('Data Checks'!D306&gt;'Data Checks'!D305,'Data Checks'!D305&gt;'Data Checks'!D304,'Data Checks'!D304&gt;'Data Checks'!D303),"BUY",IF(AND('Data Checks'!D306&lt;'Data Checks'!D305,'Data Checks'!D305&lt;'Data Checks'!D304,'Data Checks'!D304&lt;'Data Checks'!D303),"SELL",""))</f>
        <v/>
      </c>
      <c r="Z96" t="str">
        <f>IF(AND('Data Checks'!E306&gt;'Data Checks'!E305,'Data Checks'!E305&gt;'Data Checks'!E304,'Data Checks'!E304&gt;'Data Checks'!E303),"BUY",IF(AND('Data Checks'!E306&lt;'Data Checks'!E305,'Data Checks'!E305&lt;'Data Checks'!E304,'Data Checks'!E304&lt;'Data Checks'!E303),"SELL",""))</f>
        <v/>
      </c>
      <c r="AA96" t="str">
        <f>IF(AND('Data Checks'!F306&gt;'Data Checks'!F305,'Data Checks'!F305&gt;'Data Checks'!F304,'Data Checks'!F304&gt;'Data Checks'!F303),"BUY",IF(AND('Data Checks'!F306&lt;'Data Checks'!F305,'Data Checks'!F305&lt;'Data Checks'!F304,'Data Checks'!F304&lt;'Data Checks'!F303),"SELL",""))</f>
        <v/>
      </c>
      <c r="AB96">
        <f>IF(W95="BUY",AB95*('Data Checks'!B306/'Data Checks'!B305),IF(W95="SELL",AB95*('Data Checks'!B305/'Data Checks'!B306),AB95))</f>
        <v>209.09001972265347</v>
      </c>
      <c r="AC96">
        <f>IF(X95="BUY",AC95*('Data Checks'!C306/'Data Checks'!C305),IF(X95="SELL",AC95*('Data Checks'!C305/'Data Checks'!C306),AC95))</f>
        <v>200.24330613462925</v>
      </c>
      <c r="AD96">
        <f>IF(Y95="BUY",AD95*('Data Checks'!D306/'Data Checks'!D305),IF(Y95="SELL",AD95*('Data Checks'!D305/'Data Checks'!D306),AD95))</f>
        <v>134.97366148635263</v>
      </c>
      <c r="AE96">
        <f>IF(Z95="BUY",AE95*('Data Checks'!E306/'Data Checks'!E305),IF(Z95="SELL",AE95*('Data Checks'!E305/'Data Checks'!E306),AE95))</f>
        <v>254.02140664172791</v>
      </c>
      <c r="AF96">
        <f>IF(AA95="BUY",AF95*('Data Checks'!F306/'Data Checks'!F305),IF(AA95="SELL",AF95*('Data Checks'!F305/'Data Checks'!F306),AF95))</f>
        <v>215.83186987159877</v>
      </c>
      <c r="AG96" s="16">
        <f t="shared" si="19"/>
        <v>1014.160263856962</v>
      </c>
      <c r="AH96" s="17">
        <f t="shared" si="23"/>
        <v>-4.5323625370554677E-3</v>
      </c>
      <c r="AJ96" t="str">
        <f>IF('Moving Ave'!G306&gt;'Moving Ave'!L306,"SELL","BUY")</f>
        <v>SELL</v>
      </c>
      <c r="AK96" t="str">
        <f>IF('Moving Ave'!H306&gt;'Moving Ave'!M306,"SELL","BUY")</f>
        <v>BUY</v>
      </c>
      <c r="AL96" t="str">
        <f>IF('Moving Ave'!I306&gt;'Moving Ave'!N306,"SELL","BUY")</f>
        <v>BUY</v>
      </c>
      <c r="AM96" t="str">
        <f>IF('Moving Ave'!J306&gt;'Moving Ave'!O306,"SELL","BUY")</f>
        <v>BUY</v>
      </c>
      <c r="AN96" t="str">
        <f>IF('Moving Ave'!K306&gt;'Moving Ave'!P306,"SELL","BUY")</f>
        <v>BUY</v>
      </c>
      <c r="AO96">
        <f>IF(AJ95="BUY",AO95*('Data Checks'!B306/'Data Checks'!B305),AO95*('Data Checks'!B305/'Data Checks'!B306))</f>
        <v>187.92575174909845</v>
      </c>
      <c r="AP96">
        <f>IF(AK95="BUY",AP95*('Data Checks'!C306/'Data Checks'!C305),AP95*('Data Checks'!C305/'Data Checks'!C306))</f>
        <v>127.15266261500294</v>
      </c>
      <c r="AQ96">
        <f>IF(AL95="BUY",AQ95*('Data Checks'!D306/'Data Checks'!D305),AQ95*('Data Checks'!D305/'Data Checks'!D306))</f>
        <v>251.27207753072722</v>
      </c>
      <c r="AR96">
        <f>IF(AM95="BUY",AR95*('Data Checks'!E306/'Data Checks'!E305),AR95*('Data Checks'!E305/'Data Checks'!E306))</f>
        <v>107.83394014616877</v>
      </c>
      <c r="AS96">
        <f>IF(AN95="BUY",AS95*('Data Checks'!F306/'Data Checks'!F305),AS95*('Data Checks'!F305/'Data Checks'!F306))</f>
        <v>167.83271608122465</v>
      </c>
      <c r="AT96" s="16">
        <f t="shared" si="20"/>
        <v>842.0171481222219</v>
      </c>
      <c r="AU96" s="17">
        <f t="shared" si="24"/>
        <v>-1.1322610544110434E-2</v>
      </c>
    </row>
    <row r="97" spans="1:47" x14ac:dyDescent="0.35">
      <c r="A97" s="2">
        <f>Prices!A305</f>
        <v>44329</v>
      </c>
      <c r="B97">
        <f>B96*('Data Checks'!B307/'Data Checks'!B306)</f>
        <v>249.51606256281028</v>
      </c>
      <c r="C97">
        <f>C96*('Data Checks'!C307/'Data Checks'!C306)</f>
        <v>125.47625921961551</v>
      </c>
      <c r="D97">
        <f>D96*('Data Checks'!D307/'Data Checks'!D306)</f>
        <v>152.67991906294739</v>
      </c>
      <c r="E97">
        <f>E96*('Data Checks'!E307/'Data Checks'!E306)</f>
        <v>103.91697342092493</v>
      </c>
      <c r="F97">
        <f>F96*('Data Checks'!F307/'Data Checks'!F306)</f>
        <v>110.44349514225323</v>
      </c>
      <c r="G97" s="16">
        <f t="shared" si="17"/>
        <v>742.03270940855134</v>
      </c>
      <c r="H97" s="17">
        <f t="shared" si="21"/>
        <v>-5.1106275327639228E-3</v>
      </c>
      <c r="J97" t="str">
        <f>IF(AND('Data Checks'!B307&gt;'Data Checks'!B306,'Data Checks'!B306&gt;'Data Checks'!B305,'Data Checks'!B305&gt;'Data Checks'!B304),"SELL",IF(AND('Data Checks'!B307&lt;'Data Checks'!B306,'Data Checks'!B306&lt;'Data Checks'!B305,'Data Checks'!B305&lt;'Data Checks'!B304),"BUY",""))</f>
        <v/>
      </c>
      <c r="K97" t="str">
        <f>IF(AND('Data Checks'!C307&gt;'Data Checks'!C306,'Data Checks'!C306&gt;'Data Checks'!C305,'Data Checks'!C305&gt;'Data Checks'!C304),"SELL",IF(AND('Data Checks'!C307&lt;'Data Checks'!C306,'Data Checks'!C306&lt;'Data Checks'!C305,'Data Checks'!C305&lt;'Data Checks'!C304),"BUY",""))</f>
        <v>BUY</v>
      </c>
      <c r="L97" t="str">
        <f>IF(AND('Data Checks'!D307&gt;'Data Checks'!D306,'Data Checks'!D306&gt;'Data Checks'!D305,'Data Checks'!D305&gt;'Data Checks'!D304),"SELL",IF(AND('Data Checks'!D307&lt;'Data Checks'!D306,'Data Checks'!D306&lt;'Data Checks'!D305,'Data Checks'!D305&lt;'Data Checks'!D304),"BUY",""))</f>
        <v/>
      </c>
      <c r="M97" t="str">
        <f>IF(AND('Data Checks'!E307&gt;'Data Checks'!E306,'Data Checks'!E306&gt;'Data Checks'!E305,'Data Checks'!E305&gt;'Data Checks'!E304),"SELL",IF(AND('Data Checks'!E307&lt;'Data Checks'!E306,'Data Checks'!E306&lt;'Data Checks'!E305,'Data Checks'!E305&lt;'Data Checks'!E304),"BUY",""))</f>
        <v>BUY</v>
      </c>
      <c r="N97" t="str">
        <f>IF(AND('Data Checks'!F307&gt;'Data Checks'!F306,'Data Checks'!F306&gt;'Data Checks'!F305,'Data Checks'!F305&gt;'Data Checks'!F304),"SELL",IF(AND('Data Checks'!F307&lt;'Data Checks'!F306,'Data Checks'!F306&lt;'Data Checks'!F305,'Data Checks'!F305&lt;'Data Checks'!F304),"BUY",""))</f>
        <v/>
      </c>
      <c r="O97">
        <f>IF(J96="BUY",O96*('Data Checks'!B307/'Data Checks'!B306),IF(J96="SELL",O96*('Data Checks'!B306/'Data Checks'!B307),O96))</f>
        <v>191.30516154265911</v>
      </c>
      <c r="P97">
        <f>IF(K96="BUY",P96*('Data Checks'!C307/'Data Checks'!C306),IF(K96="SELL",P96*('Data Checks'!C306/'Data Checks'!C307),P96))</f>
        <v>199.75698949510388</v>
      </c>
      <c r="Q97">
        <f>IF(L96="BUY",Q96*('Data Checks'!D307/'Data Checks'!D306),IF(L96="SELL",Q96*('Data Checks'!D306/'Data Checks'!D307),Q96))</f>
        <v>296.35411501409442</v>
      </c>
      <c r="R97">
        <f>IF(M96="BUY",R96*('Data Checks'!E307/'Data Checks'!E306),IF(M96="SELL",R96*('Data Checks'!E306/'Data Checks'!E307),R96))</f>
        <v>157.46704393467138</v>
      </c>
      <c r="S97">
        <f>IF(N96="BUY",S96*('Data Checks'!F307/'Data Checks'!F306),IF(N96="SELL",S96*('Data Checks'!F306/'Data Checks'!F307),S96))</f>
        <v>185.32944195774482</v>
      </c>
      <c r="T97" s="16">
        <f t="shared" si="18"/>
        <v>1030.2127519442736</v>
      </c>
      <c r="U97" s="17">
        <f t="shared" si="22"/>
        <v>0</v>
      </c>
      <c r="W97" t="str">
        <f>IF(AND('Data Checks'!B307&gt;'Data Checks'!B306,'Data Checks'!B306&gt;'Data Checks'!B305,'Data Checks'!B305&gt;'Data Checks'!B304),"BUY",IF(AND('Data Checks'!B307&lt;'Data Checks'!B306,'Data Checks'!B306&lt;'Data Checks'!B305,'Data Checks'!B305&lt;'Data Checks'!B304),"SELL",""))</f>
        <v/>
      </c>
      <c r="X97" t="str">
        <f>IF(AND('Data Checks'!C307&gt;'Data Checks'!C306,'Data Checks'!C306&gt;'Data Checks'!C305,'Data Checks'!C305&gt;'Data Checks'!C304),"BUY",IF(AND('Data Checks'!C307&lt;'Data Checks'!C306,'Data Checks'!C306&lt;'Data Checks'!C305,'Data Checks'!C305&lt;'Data Checks'!C304),"SELL",""))</f>
        <v>SELL</v>
      </c>
      <c r="Y97" t="str">
        <f>IF(AND('Data Checks'!D307&gt;'Data Checks'!D306,'Data Checks'!D306&gt;'Data Checks'!D305,'Data Checks'!D305&gt;'Data Checks'!D304),"BUY",IF(AND('Data Checks'!D307&lt;'Data Checks'!D306,'Data Checks'!D306&lt;'Data Checks'!D305,'Data Checks'!D305&lt;'Data Checks'!D304),"SELL",""))</f>
        <v/>
      </c>
      <c r="Z97" t="str">
        <f>IF(AND('Data Checks'!E307&gt;'Data Checks'!E306,'Data Checks'!E306&gt;'Data Checks'!E305,'Data Checks'!E305&gt;'Data Checks'!E304),"BUY",IF(AND('Data Checks'!E307&lt;'Data Checks'!E306,'Data Checks'!E306&lt;'Data Checks'!E305,'Data Checks'!E305&lt;'Data Checks'!E304),"SELL",""))</f>
        <v>SELL</v>
      </c>
      <c r="AA97" t="str">
        <f>IF(AND('Data Checks'!F307&gt;'Data Checks'!F306,'Data Checks'!F306&gt;'Data Checks'!F305,'Data Checks'!F305&gt;'Data Checks'!F304),"BUY",IF(AND('Data Checks'!F307&lt;'Data Checks'!F306,'Data Checks'!F306&lt;'Data Checks'!F305,'Data Checks'!F305&lt;'Data Checks'!F304),"SELL",""))</f>
        <v/>
      </c>
      <c r="AB97">
        <f>IF(W96="BUY",AB96*('Data Checks'!B307/'Data Checks'!B306),IF(W96="SELL",AB96*('Data Checks'!B306/'Data Checks'!B307),AB96))</f>
        <v>209.09001972265347</v>
      </c>
      <c r="AC97">
        <f>IF(X96="BUY",AC96*('Data Checks'!C307/'Data Checks'!C306),IF(X96="SELL",AC96*('Data Checks'!C306/'Data Checks'!C307),AC96))</f>
        <v>200.24330613462925</v>
      </c>
      <c r="AD97">
        <f>IF(Y96="BUY",AD96*('Data Checks'!D307/'Data Checks'!D306),IF(Y96="SELL",AD96*('Data Checks'!D306/'Data Checks'!D307),AD96))</f>
        <v>134.97366148635263</v>
      </c>
      <c r="AE97">
        <f>IF(Z96="BUY",AE96*('Data Checks'!E307/'Data Checks'!E306),IF(Z96="SELL",AE96*('Data Checks'!E306/'Data Checks'!E307),AE96))</f>
        <v>254.02140664172791</v>
      </c>
      <c r="AF97">
        <f>IF(AA96="BUY",AF96*('Data Checks'!F307/'Data Checks'!F306),IF(AA96="SELL",AF96*('Data Checks'!F306/'Data Checks'!F307),AF96))</f>
        <v>215.83186987159877</v>
      </c>
      <c r="AG97" s="16">
        <f t="shared" si="19"/>
        <v>1014.160263856962</v>
      </c>
      <c r="AH97" s="17">
        <f t="shared" si="23"/>
        <v>0</v>
      </c>
      <c r="AJ97" t="str">
        <f>IF('Moving Ave'!G307&gt;'Moving Ave'!L307,"SELL","BUY")</f>
        <v>SELL</v>
      </c>
      <c r="AK97" t="str">
        <f>IF('Moving Ave'!H307&gt;'Moving Ave'!M307,"SELL","BUY")</f>
        <v>BUY</v>
      </c>
      <c r="AL97" t="str">
        <f>IF('Moving Ave'!I307&gt;'Moving Ave'!N307,"SELL","BUY")</f>
        <v>BUY</v>
      </c>
      <c r="AM97" t="str">
        <f>IF('Moving Ave'!J307&gt;'Moving Ave'!O307,"SELL","BUY")</f>
        <v>BUY</v>
      </c>
      <c r="AN97" t="str">
        <f>IF('Moving Ave'!K307&gt;'Moving Ave'!P307,"SELL","BUY")</f>
        <v>BUY</v>
      </c>
      <c r="AO97">
        <f>IF(AJ96="BUY",AO96*('Data Checks'!B307/'Data Checks'!B306),AO96*('Data Checks'!B306/'Data Checks'!B307))</f>
        <v>187.0551395177948</v>
      </c>
      <c r="AP97">
        <f>IF(AK96="BUY",AP96*('Data Checks'!C307/'Data Checks'!C306),AP96*('Data Checks'!C306/'Data Checks'!C307))</f>
        <v>125.47625921961551</v>
      </c>
      <c r="AQ97">
        <f>IF(AL96="BUY",AQ96*('Data Checks'!D307/'Data Checks'!D306),AQ96*('Data Checks'!D306/'Data Checks'!D307))</f>
        <v>255.34916926602776</v>
      </c>
      <c r="AR97">
        <f>IF(AM96="BUY",AR96*('Data Checks'!E307/'Data Checks'!E306),AR96*('Data Checks'!E306/'Data Checks'!E307))</f>
        <v>103.91697342092493</v>
      </c>
      <c r="AS97">
        <f>IF(AN96="BUY",AS96*('Data Checks'!F307/'Data Checks'!F306),AS96*('Data Checks'!F306/'Data Checks'!F307))</f>
        <v>165.12344537871112</v>
      </c>
      <c r="AT97" s="16">
        <f t="shared" si="20"/>
        <v>836.92098680307413</v>
      </c>
      <c r="AU97" s="17">
        <f t="shared" si="24"/>
        <v>-6.0523248612129876E-3</v>
      </c>
    </row>
    <row r="98" spans="1:47" x14ac:dyDescent="0.35">
      <c r="A98" s="2">
        <f>Prices!A306</f>
        <v>44330</v>
      </c>
      <c r="B98">
        <f>B97*('Data Checks'!B308/'Data Checks'!B307)</f>
        <v>251.7215489290281</v>
      </c>
      <c r="C98">
        <f>C97*('Data Checks'!C308/'Data Checks'!C307)</f>
        <v>124.66345757336705</v>
      </c>
      <c r="D98">
        <f>D97*('Data Checks'!D308/'Data Checks'!D307)</f>
        <v>155.48506187151546</v>
      </c>
      <c r="E98">
        <f>E97*('Data Checks'!E308/'Data Checks'!E307)</f>
        <v>101.00434881137103</v>
      </c>
      <c r="F98">
        <f>F97*('Data Checks'!F308/'Data Checks'!F307)</f>
        <v>109.29899870241779</v>
      </c>
      <c r="G98" s="16">
        <f t="shared" si="17"/>
        <v>742.17341588769943</v>
      </c>
      <c r="H98" s="17">
        <f t="shared" si="21"/>
        <v>1.8962301440894613E-4</v>
      </c>
      <c r="J98" t="str">
        <f>IF(AND('Data Checks'!B308&gt;'Data Checks'!B307,'Data Checks'!B307&gt;'Data Checks'!B306,'Data Checks'!B306&gt;'Data Checks'!B305),"SELL",IF(AND('Data Checks'!B308&lt;'Data Checks'!B307,'Data Checks'!B307&lt;'Data Checks'!B306,'Data Checks'!B306&lt;'Data Checks'!B305),"BUY",""))</f>
        <v/>
      </c>
      <c r="K98" t="str">
        <f>IF(AND('Data Checks'!C308&gt;'Data Checks'!C307,'Data Checks'!C307&gt;'Data Checks'!C306,'Data Checks'!C306&gt;'Data Checks'!C305),"SELL",IF(AND('Data Checks'!C308&lt;'Data Checks'!C307,'Data Checks'!C307&lt;'Data Checks'!C306,'Data Checks'!C306&lt;'Data Checks'!C305),"BUY",""))</f>
        <v>BUY</v>
      </c>
      <c r="L98" t="str">
        <f>IF(AND('Data Checks'!D308&gt;'Data Checks'!D307,'Data Checks'!D307&gt;'Data Checks'!D306,'Data Checks'!D306&gt;'Data Checks'!D305),"SELL",IF(AND('Data Checks'!D308&lt;'Data Checks'!D307,'Data Checks'!D307&lt;'Data Checks'!D306,'Data Checks'!D306&lt;'Data Checks'!D305),"BUY",""))</f>
        <v/>
      </c>
      <c r="M98" t="str">
        <f>IF(AND('Data Checks'!E308&gt;'Data Checks'!E307,'Data Checks'!E307&gt;'Data Checks'!E306,'Data Checks'!E306&gt;'Data Checks'!E305),"SELL",IF(AND('Data Checks'!E308&lt;'Data Checks'!E307,'Data Checks'!E307&lt;'Data Checks'!E306,'Data Checks'!E306&lt;'Data Checks'!E305),"BUY",""))</f>
        <v>BUY</v>
      </c>
      <c r="N98" t="str">
        <f>IF(AND('Data Checks'!F308&gt;'Data Checks'!F307,'Data Checks'!F307&gt;'Data Checks'!F306,'Data Checks'!F306&gt;'Data Checks'!F305),"SELL",IF(AND('Data Checks'!F308&lt;'Data Checks'!F307,'Data Checks'!F307&lt;'Data Checks'!F306,'Data Checks'!F306&lt;'Data Checks'!F305),"BUY",""))</f>
        <v>BUY</v>
      </c>
      <c r="O98">
        <f>IF(J97="BUY",O97*('Data Checks'!B308/'Data Checks'!B307),IF(J97="SELL",O97*('Data Checks'!B307/'Data Checks'!B308),O97))</f>
        <v>191.30516154265911</v>
      </c>
      <c r="P98">
        <f>IF(K97="BUY",P97*('Data Checks'!C308/'Data Checks'!C307),IF(K97="SELL",P97*('Data Checks'!C307/'Data Checks'!C308),P97))</f>
        <v>198.46301714590371</v>
      </c>
      <c r="Q98">
        <f>IF(L97="BUY",Q97*('Data Checks'!D308/'Data Checks'!D307),IF(L97="SELL",Q97*('Data Checks'!D307/'Data Checks'!D308),Q97))</f>
        <v>296.35411501409442</v>
      </c>
      <c r="R98">
        <f>IF(M97="BUY",R97*('Data Checks'!E308/'Data Checks'!E307),IF(M97="SELL",R97*('Data Checks'!E307/'Data Checks'!E308),R97))</f>
        <v>153.05349750178925</v>
      </c>
      <c r="S98">
        <f>IF(N97="BUY",S97*('Data Checks'!F308/'Data Checks'!F307),IF(N97="SELL",S97*('Data Checks'!F307/'Data Checks'!F308),S97))</f>
        <v>185.32944195774482</v>
      </c>
      <c r="T98" s="16">
        <f t="shared" si="18"/>
        <v>1024.5052331621912</v>
      </c>
      <c r="U98" s="17">
        <f t="shared" si="22"/>
        <v>-5.5401360265739941E-3</v>
      </c>
      <c r="W98" t="str">
        <f>IF(AND('Data Checks'!B308&gt;'Data Checks'!B307,'Data Checks'!B307&gt;'Data Checks'!B306,'Data Checks'!B306&gt;'Data Checks'!B305),"BUY",IF(AND('Data Checks'!B308&lt;'Data Checks'!B307,'Data Checks'!B307&lt;'Data Checks'!B306,'Data Checks'!B306&lt;'Data Checks'!B305),"SELL",""))</f>
        <v/>
      </c>
      <c r="X98" t="str">
        <f>IF(AND('Data Checks'!C308&gt;'Data Checks'!C307,'Data Checks'!C307&gt;'Data Checks'!C306,'Data Checks'!C306&gt;'Data Checks'!C305),"BUY",IF(AND('Data Checks'!C308&lt;'Data Checks'!C307,'Data Checks'!C307&lt;'Data Checks'!C306,'Data Checks'!C306&lt;'Data Checks'!C305),"SELL",""))</f>
        <v>SELL</v>
      </c>
      <c r="Y98" t="str">
        <f>IF(AND('Data Checks'!D308&gt;'Data Checks'!D307,'Data Checks'!D307&gt;'Data Checks'!D306,'Data Checks'!D306&gt;'Data Checks'!D305),"BUY",IF(AND('Data Checks'!D308&lt;'Data Checks'!D307,'Data Checks'!D307&lt;'Data Checks'!D306,'Data Checks'!D306&lt;'Data Checks'!D305),"SELL",""))</f>
        <v/>
      </c>
      <c r="Z98" t="str">
        <f>IF(AND('Data Checks'!E308&gt;'Data Checks'!E307,'Data Checks'!E307&gt;'Data Checks'!E306,'Data Checks'!E306&gt;'Data Checks'!E305),"BUY",IF(AND('Data Checks'!E308&lt;'Data Checks'!E307,'Data Checks'!E307&lt;'Data Checks'!E306,'Data Checks'!E306&lt;'Data Checks'!E305),"SELL",""))</f>
        <v>SELL</v>
      </c>
      <c r="AA98" t="str">
        <f>IF(AND('Data Checks'!F308&gt;'Data Checks'!F307,'Data Checks'!F307&gt;'Data Checks'!F306,'Data Checks'!F306&gt;'Data Checks'!F305),"BUY",IF(AND('Data Checks'!F308&lt;'Data Checks'!F307,'Data Checks'!F307&lt;'Data Checks'!F306,'Data Checks'!F306&lt;'Data Checks'!F305),"SELL",""))</f>
        <v>SELL</v>
      </c>
      <c r="AB98">
        <f>IF(W97="BUY",AB97*('Data Checks'!B308/'Data Checks'!B307),IF(W97="SELL",AB97*('Data Checks'!B307/'Data Checks'!B308),AB97))</f>
        <v>209.09001972265347</v>
      </c>
      <c r="AC98">
        <f>IF(X97="BUY",AC97*('Data Checks'!C308/'Data Checks'!C307),IF(X97="SELL",AC97*('Data Checks'!C307/'Data Checks'!C308),AC97))</f>
        <v>201.54888590952581</v>
      </c>
      <c r="AD98">
        <f>IF(Y97="BUY",AD97*('Data Checks'!D308/'Data Checks'!D307),IF(Y97="SELL",AD97*('Data Checks'!D307/'Data Checks'!D308),AD97))</f>
        <v>134.97366148635263</v>
      </c>
      <c r="AE98">
        <f>IF(Z97="BUY",AE97*('Data Checks'!E308/'Data Checks'!E307),IF(Z97="SELL",AE97*('Data Checks'!E307/'Data Checks'!E308),AE97))</f>
        <v>261.34652688699504</v>
      </c>
      <c r="AF98">
        <f>IF(AA97="BUY",AF97*('Data Checks'!F308/'Data Checks'!F307),IF(AA97="SELL",AF97*('Data Checks'!F307/'Data Checks'!F308),AF97))</f>
        <v>215.83186987159877</v>
      </c>
      <c r="AG98" s="16">
        <f t="shared" si="19"/>
        <v>1022.7909638771256</v>
      </c>
      <c r="AH98" s="17">
        <f t="shared" si="23"/>
        <v>8.510193435641078E-3</v>
      </c>
      <c r="AJ98" t="str">
        <f>IF('Moving Ave'!G308&gt;'Moving Ave'!L308,"SELL","BUY")</f>
        <v>SELL</v>
      </c>
      <c r="AK98" t="str">
        <f>IF('Moving Ave'!H308&gt;'Moving Ave'!M308,"SELL","BUY")</f>
        <v>BUY</v>
      </c>
      <c r="AL98" t="str">
        <f>IF('Moving Ave'!I308&gt;'Moving Ave'!N308,"SELL","BUY")</f>
        <v>BUY</v>
      </c>
      <c r="AM98" t="str">
        <f>IF('Moving Ave'!J308&gt;'Moving Ave'!O308,"SELL","BUY")</f>
        <v>BUY</v>
      </c>
      <c r="AN98" t="str">
        <f>IF('Moving Ave'!K308&gt;'Moving Ave'!P308,"SELL","BUY")</f>
        <v>BUY</v>
      </c>
      <c r="AO98">
        <f>IF(AJ97="BUY",AO97*('Data Checks'!B308/'Data Checks'!B307),AO97*('Data Checks'!B307/'Data Checks'!B308))</f>
        <v>185.41623509466262</v>
      </c>
      <c r="AP98">
        <f>IF(AK97="BUY",AP97*('Data Checks'!C308/'Data Checks'!C307),AP97*('Data Checks'!C307/'Data Checks'!C308))</f>
        <v>124.66345757336705</v>
      </c>
      <c r="AQ98">
        <f>IF(AL97="BUY",AQ97*('Data Checks'!D308/'Data Checks'!D307),AQ97*('Data Checks'!D307/'Data Checks'!D308))</f>
        <v>260.0406237168591</v>
      </c>
      <c r="AR98">
        <f>IF(AM97="BUY",AR97*('Data Checks'!E308/'Data Checks'!E307),AR97*('Data Checks'!E307/'Data Checks'!E308))</f>
        <v>101.00434881137103</v>
      </c>
      <c r="AS98">
        <f>IF(AN97="BUY",AS97*('Data Checks'!F308/'Data Checks'!F307),AS97*('Data Checks'!F307/'Data Checks'!F308))</f>
        <v>163.41231522001883</v>
      </c>
      <c r="AT98" s="16">
        <f t="shared" si="20"/>
        <v>834.53698041627877</v>
      </c>
      <c r="AU98" s="17">
        <f t="shared" si="24"/>
        <v>-2.848544156960342E-3</v>
      </c>
    </row>
    <row r="99" spans="1:47" x14ac:dyDescent="0.35">
      <c r="A99" s="2">
        <f>Prices!A307</f>
        <v>44331</v>
      </c>
      <c r="B99">
        <f>B98*('Data Checks'!B309/'Data Checks'!B308)</f>
        <v>253.927009478733</v>
      </c>
      <c r="C99">
        <f>C98*('Data Checks'!C309/'Data Checks'!C308)</f>
        <v>123.59665033265566</v>
      </c>
      <c r="D99">
        <f>D98*('Data Checks'!D309/'Data Checks'!D308)</f>
        <v>158.92469792828012</v>
      </c>
      <c r="E99">
        <f>E98*('Data Checks'!E309/'Data Checks'!E308)</f>
        <v>100.8704318423023</v>
      </c>
      <c r="F99">
        <f>F98*('Data Checks'!F309/'Data Checks'!F308)</f>
        <v>114.97377656137981</v>
      </c>
      <c r="G99" s="16">
        <f t="shared" si="17"/>
        <v>752.292566143351</v>
      </c>
      <c r="H99" s="17">
        <f t="shared" si="21"/>
        <v>1.3634482236942302E-2</v>
      </c>
      <c r="J99" t="str">
        <f>IF(AND('Data Checks'!B309&gt;'Data Checks'!B308,'Data Checks'!B308&gt;'Data Checks'!B307,'Data Checks'!B307&gt;'Data Checks'!B306),"SELL",IF(AND('Data Checks'!B309&lt;'Data Checks'!B308,'Data Checks'!B308&lt;'Data Checks'!B307,'Data Checks'!B307&lt;'Data Checks'!B306),"BUY",""))</f>
        <v>SELL</v>
      </c>
      <c r="K99" t="str">
        <f>IF(AND('Data Checks'!C309&gt;'Data Checks'!C308,'Data Checks'!C308&gt;'Data Checks'!C307,'Data Checks'!C307&gt;'Data Checks'!C306),"SELL",IF(AND('Data Checks'!C309&lt;'Data Checks'!C308,'Data Checks'!C308&lt;'Data Checks'!C307,'Data Checks'!C307&lt;'Data Checks'!C306),"BUY",""))</f>
        <v>BUY</v>
      </c>
      <c r="L99" t="str">
        <f>IF(AND('Data Checks'!D309&gt;'Data Checks'!D308,'Data Checks'!D308&gt;'Data Checks'!D307,'Data Checks'!D307&gt;'Data Checks'!D306),"SELL",IF(AND('Data Checks'!D309&lt;'Data Checks'!D308,'Data Checks'!D308&lt;'Data Checks'!D307,'Data Checks'!D307&lt;'Data Checks'!D306),"BUY",""))</f>
        <v>SELL</v>
      </c>
      <c r="M99" t="str">
        <f>IF(AND('Data Checks'!E309&gt;'Data Checks'!E308,'Data Checks'!E308&gt;'Data Checks'!E307,'Data Checks'!E307&gt;'Data Checks'!E306),"SELL",IF(AND('Data Checks'!E309&lt;'Data Checks'!E308,'Data Checks'!E308&lt;'Data Checks'!E307,'Data Checks'!E307&lt;'Data Checks'!E306),"BUY",""))</f>
        <v>BUY</v>
      </c>
      <c r="N99" t="str">
        <f>IF(AND('Data Checks'!F309&gt;'Data Checks'!F308,'Data Checks'!F308&gt;'Data Checks'!F307,'Data Checks'!F307&gt;'Data Checks'!F306),"SELL",IF(AND('Data Checks'!F309&lt;'Data Checks'!F308,'Data Checks'!F308&lt;'Data Checks'!F307,'Data Checks'!F307&lt;'Data Checks'!F306),"BUY",""))</f>
        <v/>
      </c>
      <c r="O99">
        <f>IF(J98="BUY",O98*('Data Checks'!B309/'Data Checks'!B308),IF(J98="SELL",O98*('Data Checks'!B308/'Data Checks'!B309),O98))</f>
        <v>191.30516154265911</v>
      </c>
      <c r="P99">
        <f>IF(K98="BUY",P98*('Data Checks'!C309/'Data Checks'!C308),IF(K98="SELL",P98*('Data Checks'!C308/'Data Checks'!C309),P98))</f>
        <v>196.76467035025129</v>
      </c>
      <c r="Q99">
        <f>IF(L98="BUY",Q98*('Data Checks'!D309/'Data Checks'!D308),IF(L98="SELL",Q98*('Data Checks'!D308/'Data Checks'!D309),Q98))</f>
        <v>296.35411501409442</v>
      </c>
      <c r="R99">
        <f>IF(M98="BUY",R98*('Data Checks'!E309/'Data Checks'!E308),IF(M98="SELL",R98*('Data Checks'!E308/'Data Checks'!E309),R98))</f>
        <v>152.85057098692118</v>
      </c>
      <c r="S99">
        <f>IF(N98="BUY",S98*('Data Checks'!F309/'Data Checks'!F308),IF(N98="SELL",S98*('Data Checks'!F308/'Data Checks'!F309),S98))</f>
        <v>194.95170223753942</v>
      </c>
      <c r="T99" s="16">
        <f t="shared" si="18"/>
        <v>1032.2262201314654</v>
      </c>
      <c r="U99" s="17">
        <f t="shared" si="22"/>
        <v>7.5363079849215531E-3</v>
      </c>
      <c r="W99" t="str">
        <f>IF(AND('Data Checks'!B309&gt;'Data Checks'!B308,'Data Checks'!B308&gt;'Data Checks'!B307,'Data Checks'!B307&gt;'Data Checks'!B306),"BUY",IF(AND('Data Checks'!B309&lt;'Data Checks'!B308,'Data Checks'!B308&lt;'Data Checks'!B307,'Data Checks'!B307&lt;'Data Checks'!B306),"SELL",""))</f>
        <v>BUY</v>
      </c>
      <c r="X99" t="str">
        <f>IF(AND('Data Checks'!C309&gt;'Data Checks'!C308,'Data Checks'!C308&gt;'Data Checks'!C307,'Data Checks'!C307&gt;'Data Checks'!C306),"BUY",IF(AND('Data Checks'!C309&lt;'Data Checks'!C308,'Data Checks'!C308&lt;'Data Checks'!C307,'Data Checks'!C307&lt;'Data Checks'!C306),"SELL",""))</f>
        <v>SELL</v>
      </c>
      <c r="Y99" t="str">
        <f>IF(AND('Data Checks'!D309&gt;'Data Checks'!D308,'Data Checks'!D308&gt;'Data Checks'!D307,'Data Checks'!D307&gt;'Data Checks'!D306),"BUY",IF(AND('Data Checks'!D309&lt;'Data Checks'!D308,'Data Checks'!D308&lt;'Data Checks'!D307,'Data Checks'!D307&lt;'Data Checks'!D306),"SELL",""))</f>
        <v>BUY</v>
      </c>
      <c r="Z99" t="str">
        <f>IF(AND('Data Checks'!E309&gt;'Data Checks'!E308,'Data Checks'!E308&gt;'Data Checks'!E307,'Data Checks'!E307&gt;'Data Checks'!E306),"BUY",IF(AND('Data Checks'!E309&lt;'Data Checks'!E308,'Data Checks'!E308&lt;'Data Checks'!E307,'Data Checks'!E307&lt;'Data Checks'!E306),"SELL",""))</f>
        <v>SELL</v>
      </c>
      <c r="AA99" t="str">
        <f>IF(AND('Data Checks'!F309&gt;'Data Checks'!F308,'Data Checks'!F308&gt;'Data Checks'!F307,'Data Checks'!F307&gt;'Data Checks'!F306),"BUY",IF(AND('Data Checks'!F309&lt;'Data Checks'!F308,'Data Checks'!F308&lt;'Data Checks'!F307,'Data Checks'!F307&lt;'Data Checks'!F306),"SELL",""))</f>
        <v/>
      </c>
      <c r="AB99">
        <f>IF(W98="BUY",AB98*('Data Checks'!B309/'Data Checks'!B308),IF(W98="SELL",AB98*('Data Checks'!B308/'Data Checks'!B309),AB98))</f>
        <v>209.09001972265347</v>
      </c>
      <c r="AC99">
        <f>IF(X98="BUY",AC98*('Data Checks'!C309/'Data Checks'!C308),IF(X98="SELL",AC98*('Data Checks'!C308/'Data Checks'!C309),AC98))</f>
        <v>203.28852699419031</v>
      </c>
      <c r="AD99">
        <f>IF(Y98="BUY",AD98*('Data Checks'!D309/'Data Checks'!D308),IF(Y98="SELL",AD98*('Data Checks'!D308/'Data Checks'!D309),AD98))</f>
        <v>134.97366148635263</v>
      </c>
      <c r="AE99">
        <f>IF(Z98="BUY",AE98*('Data Checks'!E309/'Data Checks'!E308),IF(Z98="SELL",AE98*('Data Checks'!E308/'Data Checks'!E309),AE98))</f>
        <v>261.69349412127895</v>
      </c>
      <c r="AF99">
        <f>IF(AA98="BUY",AF98*('Data Checks'!F309/'Data Checks'!F308),IF(AA98="SELL",AF98*('Data Checks'!F308/'Data Checks'!F309),AF98))</f>
        <v>205.17902403982032</v>
      </c>
      <c r="AG99" s="16">
        <f t="shared" si="19"/>
        <v>1014.2247263642956</v>
      </c>
      <c r="AH99" s="17">
        <f t="shared" si="23"/>
        <v>-8.3753550973482138E-3</v>
      </c>
      <c r="AJ99" t="str">
        <f>IF('Moving Ave'!G309&gt;'Moving Ave'!L309,"SELL","BUY")</f>
        <v>SELL</v>
      </c>
      <c r="AK99" t="str">
        <f>IF('Moving Ave'!H309&gt;'Moving Ave'!M309,"SELL","BUY")</f>
        <v>BUY</v>
      </c>
      <c r="AL99" t="str">
        <f>IF('Moving Ave'!I309&gt;'Moving Ave'!N309,"SELL","BUY")</f>
        <v>BUY</v>
      </c>
      <c r="AM99" t="str">
        <f>IF('Moving Ave'!J309&gt;'Moving Ave'!O309,"SELL","BUY")</f>
        <v>BUY</v>
      </c>
      <c r="AN99" t="str">
        <f>IF('Moving Ave'!K309&gt;'Moving Ave'!P309,"SELL","BUY")</f>
        <v>BUY</v>
      </c>
      <c r="AO99">
        <f>IF(AJ98="BUY",AO98*('Data Checks'!B309/'Data Checks'!B308),AO98*('Data Checks'!B308/'Data Checks'!B309))</f>
        <v>183.80581880765342</v>
      </c>
      <c r="AP99">
        <f>IF(AK98="BUY",AP98*('Data Checks'!C309/'Data Checks'!C308),AP98*('Data Checks'!C308/'Data Checks'!C309))</f>
        <v>123.59665033265566</v>
      </c>
      <c r="AQ99">
        <f>IF(AL98="BUY",AQ98*('Data Checks'!D309/'Data Checks'!D308),AQ98*('Data Checks'!D308/'Data Checks'!D309))</f>
        <v>265.79323489888509</v>
      </c>
      <c r="AR99">
        <f>IF(AM98="BUY",AR98*('Data Checks'!E309/'Data Checks'!E308),AR98*('Data Checks'!E308/'Data Checks'!E309))</f>
        <v>100.8704318423023</v>
      </c>
      <c r="AS99">
        <f>IF(AN98="BUY",AS98*('Data Checks'!F309/'Data Checks'!F308),AS98*('Data Checks'!F308/'Data Checks'!F309))</f>
        <v>171.89664352404174</v>
      </c>
      <c r="AT99" s="16">
        <f t="shared" si="20"/>
        <v>845.96277940553819</v>
      </c>
      <c r="AU99" s="17">
        <f t="shared" si="24"/>
        <v>1.3691183563321552E-2</v>
      </c>
    </row>
    <row r="100" spans="1:47" x14ac:dyDescent="0.35">
      <c r="A100" s="2">
        <f>Prices!A308</f>
        <v>44334</v>
      </c>
      <c r="B100">
        <f>B99*('Data Checks'!B310/'Data Checks'!B309)</f>
        <v>255.66356312314716</v>
      </c>
      <c r="C100">
        <f>C99*('Data Checks'!C310/'Data Checks'!C309)</f>
        <v>128.32105990147483</v>
      </c>
      <c r="D100">
        <f>D99*('Data Checks'!D310/'Data Checks'!D309)</f>
        <v>171.71480667414934</v>
      </c>
      <c r="E100">
        <f>E99*('Data Checks'!E310/'Data Checks'!E309)</f>
        <v>109.87612621773937</v>
      </c>
      <c r="F100">
        <f>F99*('Data Checks'!F310/'Data Checks'!F309)</f>
        <v>114.21077893482286</v>
      </c>
      <c r="G100" s="16">
        <f t="shared" si="17"/>
        <v>779.78633485133366</v>
      </c>
      <c r="H100" s="17">
        <f t="shared" si="21"/>
        <v>3.6546644145282858E-2</v>
      </c>
      <c r="J100" t="str">
        <f>IF(AND('Data Checks'!B310&gt;'Data Checks'!B309,'Data Checks'!B309&gt;'Data Checks'!B308,'Data Checks'!B308&gt;'Data Checks'!B307),"SELL",IF(AND('Data Checks'!B310&lt;'Data Checks'!B309,'Data Checks'!B309&lt;'Data Checks'!B308,'Data Checks'!B308&lt;'Data Checks'!B307),"BUY",""))</f>
        <v>SELL</v>
      </c>
      <c r="K100" t="str">
        <f>IF(AND('Data Checks'!C310&gt;'Data Checks'!C309,'Data Checks'!C309&gt;'Data Checks'!C308,'Data Checks'!C308&gt;'Data Checks'!C307),"SELL",IF(AND('Data Checks'!C310&lt;'Data Checks'!C309,'Data Checks'!C309&lt;'Data Checks'!C308,'Data Checks'!C308&lt;'Data Checks'!C307),"BUY",""))</f>
        <v/>
      </c>
      <c r="L100" t="str">
        <f>IF(AND('Data Checks'!D310&gt;'Data Checks'!D309,'Data Checks'!D309&gt;'Data Checks'!D308,'Data Checks'!D308&gt;'Data Checks'!D307),"SELL",IF(AND('Data Checks'!D310&lt;'Data Checks'!D309,'Data Checks'!D309&lt;'Data Checks'!D308,'Data Checks'!D308&lt;'Data Checks'!D307),"BUY",""))</f>
        <v>SELL</v>
      </c>
      <c r="M100" t="str">
        <f>IF(AND('Data Checks'!E310&gt;'Data Checks'!E309,'Data Checks'!E309&gt;'Data Checks'!E308,'Data Checks'!E308&gt;'Data Checks'!E307),"SELL",IF(AND('Data Checks'!E310&lt;'Data Checks'!E309,'Data Checks'!E309&lt;'Data Checks'!E308,'Data Checks'!E308&lt;'Data Checks'!E307),"BUY",""))</f>
        <v/>
      </c>
      <c r="N100" t="str">
        <f>IF(AND('Data Checks'!F310&gt;'Data Checks'!F309,'Data Checks'!F309&gt;'Data Checks'!F308,'Data Checks'!F308&gt;'Data Checks'!F307),"SELL",IF(AND('Data Checks'!F310&lt;'Data Checks'!F309,'Data Checks'!F309&lt;'Data Checks'!F308,'Data Checks'!F308&lt;'Data Checks'!F307),"BUY",""))</f>
        <v/>
      </c>
      <c r="O100">
        <f>IF(J99="BUY",O99*('Data Checks'!B310/'Data Checks'!B309),IF(J99="SELL",O99*('Data Checks'!B309/'Data Checks'!B310),O99))</f>
        <v>190.00575199280425</v>
      </c>
      <c r="P100">
        <f>IF(K99="BUY",P99*('Data Checks'!C310/'Data Checks'!C309),IF(K99="SELL",P99*('Data Checks'!C309/'Data Checks'!C310),P99))</f>
        <v>204.28588462997735</v>
      </c>
      <c r="Q100">
        <f>IF(L99="BUY",Q99*('Data Checks'!D310/'Data Checks'!D309),IF(L99="SELL",Q99*('Data Checks'!D309/'Data Checks'!D310),Q99))</f>
        <v>274.28029720111533</v>
      </c>
      <c r="R100">
        <f>IF(M99="BUY",R99*('Data Checks'!E310/'Data Checks'!E309),IF(M99="SELL",R99*('Data Checks'!E309/'Data Checks'!E310),R99))</f>
        <v>166.49704302315951</v>
      </c>
      <c r="S100">
        <f>IF(N99="BUY",S99*('Data Checks'!F310/'Data Checks'!F309),IF(N99="SELL",S99*('Data Checks'!F309/'Data Checks'!F310),S99))</f>
        <v>194.95170223753942</v>
      </c>
      <c r="T100" s="16">
        <f t="shared" si="18"/>
        <v>1030.0206790845957</v>
      </c>
      <c r="U100" s="17">
        <f t="shared" si="22"/>
        <v>-2.1366838042428116E-3</v>
      </c>
      <c r="W100" t="str">
        <f>IF(AND('Data Checks'!B310&gt;'Data Checks'!B309,'Data Checks'!B309&gt;'Data Checks'!B308,'Data Checks'!B308&gt;'Data Checks'!B307),"BUY",IF(AND('Data Checks'!B310&lt;'Data Checks'!B309,'Data Checks'!B309&lt;'Data Checks'!B308,'Data Checks'!B308&lt;'Data Checks'!B307),"SELL",""))</f>
        <v>BUY</v>
      </c>
      <c r="X100" t="str">
        <f>IF(AND('Data Checks'!C310&gt;'Data Checks'!C309,'Data Checks'!C309&gt;'Data Checks'!C308,'Data Checks'!C308&gt;'Data Checks'!C307),"BUY",IF(AND('Data Checks'!C310&lt;'Data Checks'!C309,'Data Checks'!C309&lt;'Data Checks'!C308,'Data Checks'!C308&lt;'Data Checks'!C307),"SELL",""))</f>
        <v/>
      </c>
      <c r="Y100" t="str">
        <f>IF(AND('Data Checks'!D310&gt;'Data Checks'!D309,'Data Checks'!D309&gt;'Data Checks'!D308,'Data Checks'!D308&gt;'Data Checks'!D307),"BUY",IF(AND('Data Checks'!D310&lt;'Data Checks'!D309,'Data Checks'!D309&lt;'Data Checks'!D308,'Data Checks'!D308&lt;'Data Checks'!D307),"SELL",""))</f>
        <v>BUY</v>
      </c>
      <c r="Z100" t="str">
        <f>IF(AND('Data Checks'!E310&gt;'Data Checks'!E309,'Data Checks'!E309&gt;'Data Checks'!E308,'Data Checks'!E308&gt;'Data Checks'!E307),"BUY",IF(AND('Data Checks'!E310&lt;'Data Checks'!E309,'Data Checks'!E309&lt;'Data Checks'!E308,'Data Checks'!E308&lt;'Data Checks'!E307),"SELL",""))</f>
        <v/>
      </c>
      <c r="AA100" t="str">
        <f>IF(AND('Data Checks'!F310&gt;'Data Checks'!F309,'Data Checks'!F309&gt;'Data Checks'!F308,'Data Checks'!F308&gt;'Data Checks'!F307),"BUY",IF(AND('Data Checks'!F310&lt;'Data Checks'!F309,'Data Checks'!F309&lt;'Data Checks'!F308,'Data Checks'!F308&lt;'Data Checks'!F307),"SELL",""))</f>
        <v/>
      </c>
      <c r="AB100">
        <f>IF(W99="BUY",AB99*('Data Checks'!B310/'Data Checks'!B309),IF(W99="SELL",AB99*('Data Checks'!B309/'Data Checks'!B310),AB99))</f>
        <v>210.51994258318481</v>
      </c>
      <c r="AC100">
        <f>IF(X99="BUY",AC99*('Data Checks'!C310/'Data Checks'!C309),IF(X99="SELL",AC99*('Data Checks'!C309/'Data Checks'!C310),AC99))</f>
        <v>195.80403253240894</v>
      </c>
      <c r="AD100">
        <f>IF(Y99="BUY",AD99*('Data Checks'!D310/'Data Checks'!D309),IF(Y99="SELL",AD99*('Data Checks'!D309/'Data Checks'!D310),AD99))</f>
        <v>145.83621356757573</v>
      </c>
      <c r="AE100">
        <f>IF(Z99="BUY",AE99*('Data Checks'!E310/'Data Checks'!E309),IF(Z99="SELL",AE99*('Data Checks'!E309/'Data Checks'!E310),AE99))</f>
        <v>240.24450689154909</v>
      </c>
      <c r="AF100">
        <f>IF(AA99="BUY",AF99*('Data Checks'!F310/'Data Checks'!F309),IF(AA99="SELL",AF99*('Data Checks'!F309/'Data Checks'!F310),AF99))</f>
        <v>205.17902403982032</v>
      </c>
      <c r="AG100" s="16">
        <f t="shared" si="19"/>
        <v>997.58371961453895</v>
      </c>
      <c r="AH100" s="17">
        <f t="shared" si="23"/>
        <v>-1.6407612945318228E-2</v>
      </c>
      <c r="AJ100" t="str">
        <f>IF('Moving Ave'!G310&gt;'Moving Ave'!L310,"SELL","BUY")</f>
        <v>SELL</v>
      </c>
      <c r="AK100" t="str">
        <f>IF('Moving Ave'!H310&gt;'Moving Ave'!M310,"SELL","BUY")</f>
        <v>BUY</v>
      </c>
      <c r="AL100" t="str">
        <f>IF('Moving Ave'!I310&gt;'Moving Ave'!N310,"SELL","BUY")</f>
        <v>BUY</v>
      </c>
      <c r="AM100" t="str">
        <f>IF('Moving Ave'!J310&gt;'Moving Ave'!O310,"SELL","BUY")</f>
        <v>BUY</v>
      </c>
      <c r="AN100" t="str">
        <f>IF('Moving Ave'!K310&gt;'Moving Ave'!P310,"SELL","BUY")</f>
        <v>BUY</v>
      </c>
      <c r="AO100">
        <f>IF(AJ99="BUY",AO99*('Data Checks'!B310/'Data Checks'!B309),AO99*('Data Checks'!B309/'Data Checks'!B310))</f>
        <v>182.55734733750808</v>
      </c>
      <c r="AP100">
        <f>IF(AK99="BUY",AP99*('Data Checks'!C310/'Data Checks'!C309),AP99*('Data Checks'!C309/'Data Checks'!C310))</f>
        <v>128.32105990147483</v>
      </c>
      <c r="AQ100">
        <f>IF(AL99="BUY",AQ99*('Data Checks'!D310/'Data Checks'!D309),AQ99*('Data Checks'!D309/'Data Checks'!D310))</f>
        <v>287.18402199861737</v>
      </c>
      <c r="AR100">
        <f>IF(AM99="BUY",AR99*('Data Checks'!E310/'Data Checks'!E309),AR99*('Data Checks'!E309/'Data Checks'!E310))</f>
        <v>109.87612621773937</v>
      </c>
      <c r="AS100">
        <f>IF(AN99="BUY",AS99*('Data Checks'!F310/'Data Checks'!F309),AS99*('Data Checks'!F309/'Data Checks'!F310))</f>
        <v>170.75589008491355</v>
      </c>
      <c r="AT100" s="16">
        <f t="shared" si="20"/>
        <v>878.69444554025324</v>
      </c>
      <c r="AU100" s="17">
        <f t="shared" si="24"/>
        <v>3.8691614964095455E-2</v>
      </c>
    </row>
    <row r="101" spans="1:47" x14ac:dyDescent="0.35">
      <c r="A101" s="2">
        <f>Prices!A309</f>
        <v>44335</v>
      </c>
      <c r="B101">
        <f>B100*('Data Checks'!B311/'Data Checks'!B310)</f>
        <v>258.09453744661766</v>
      </c>
      <c r="C101">
        <f>C100*('Data Checks'!C311/'Data Checks'!C310)</f>
        <v>126.49225619741578</v>
      </c>
      <c r="D101">
        <f>D100*('Data Checks'!D311/'Data Checks'!D310)</f>
        <v>173.05059564285511</v>
      </c>
      <c r="E101">
        <f>E100*('Data Checks'!E311/'Data Checks'!E310)</f>
        <v>107.66655146747402</v>
      </c>
      <c r="F101">
        <f>F100*('Data Checks'!F311/'Data Checks'!F310)</f>
        <v>113.9723430706583</v>
      </c>
      <c r="G101" s="16">
        <f t="shared" si="17"/>
        <v>779.27628382502087</v>
      </c>
      <c r="H101" s="17">
        <f t="shared" si="21"/>
        <v>-6.5409074706346271E-4</v>
      </c>
      <c r="J101" t="str">
        <f>IF(AND('Data Checks'!B311&gt;'Data Checks'!B310,'Data Checks'!B310&gt;'Data Checks'!B309,'Data Checks'!B309&gt;'Data Checks'!B308),"SELL",IF(AND('Data Checks'!B311&lt;'Data Checks'!B310,'Data Checks'!B310&lt;'Data Checks'!B309,'Data Checks'!B309&lt;'Data Checks'!B308),"BUY",""))</f>
        <v>SELL</v>
      </c>
      <c r="K101" t="str">
        <f>IF(AND('Data Checks'!C311&gt;'Data Checks'!C310,'Data Checks'!C310&gt;'Data Checks'!C309,'Data Checks'!C309&gt;'Data Checks'!C308),"SELL",IF(AND('Data Checks'!C311&lt;'Data Checks'!C310,'Data Checks'!C310&lt;'Data Checks'!C309,'Data Checks'!C309&lt;'Data Checks'!C308),"BUY",""))</f>
        <v/>
      </c>
      <c r="L101" t="str">
        <f>IF(AND('Data Checks'!D311&gt;'Data Checks'!D310,'Data Checks'!D310&gt;'Data Checks'!D309,'Data Checks'!D309&gt;'Data Checks'!D308),"SELL",IF(AND('Data Checks'!D311&lt;'Data Checks'!D310,'Data Checks'!D310&lt;'Data Checks'!D309,'Data Checks'!D309&lt;'Data Checks'!D308),"BUY",""))</f>
        <v>SELL</v>
      </c>
      <c r="M101" t="str">
        <f>IF(AND('Data Checks'!E311&gt;'Data Checks'!E310,'Data Checks'!E310&gt;'Data Checks'!E309,'Data Checks'!E309&gt;'Data Checks'!E308),"SELL",IF(AND('Data Checks'!E311&lt;'Data Checks'!E310,'Data Checks'!E310&lt;'Data Checks'!E309,'Data Checks'!E309&lt;'Data Checks'!E308),"BUY",""))</f>
        <v/>
      </c>
      <c r="N101" t="str">
        <f>IF(AND('Data Checks'!F311&gt;'Data Checks'!F310,'Data Checks'!F310&gt;'Data Checks'!F309,'Data Checks'!F309&gt;'Data Checks'!F308),"SELL",IF(AND('Data Checks'!F311&lt;'Data Checks'!F310,'Data Checks'!F310&lt;'Data Checks'!F309,'Data Checks'!F309&lt;'Data Checks'!F308),"BUY",""))</f>
        <v/>
      </c>
      <c r="O101">
        <f>IF(J100="BUY",O100*('Data Checks'!B311/'Data Checks'!B310),IF(J100="SELL",O100*('Data Checks'!B310/'Data Checks'!B311),O100))</f>
        <v>188.21610115797498</v>
      </c>
      <c r="P101">
        <f>IF(K100="BUY",P100*('Data Checks'!C311/'Data Checks'!C310),IF(K100="SELL",P100*('Data Checks'!C310/'Data Checks'!C311),P100))</f>
        <v>204.28588462997735</v>
      </c>
      <c r="Q101">
        <f>IF(L100="BUY",Q100*('Data Checks'!D311/'Data Checks'!D310),IF(L100="SELL",Q100*('Data Checks'!D310/'Data Checks'!D311),Q100))</f>
        <v>272.16310948515542</v>
      </c>
      <c r="R101">
        <f>IF(M100="BUY",R100*('Data Checks'!E311/'Data Checks'!E310),IF(M100="SELL",R100*('Data Checks'!E310/'Data Checks'!E311),R100))</f>
        <v>166.49704302315951</v>
      </c>
      <c r="S101">
        <f>IF(N100="BUY",S100*('Data Checks'!F311/'Data Checks'!F310),IF(N100="SELL",S100*('Data Checks'!F310/'Data Checks'!F311),S100))</f>
        <v>194.95170223753942</v>
      </c>
      <c r="T101" s="16">
        <f t="shared" si="18"/>
        <v>1026.1138405338065</v>
      </c>
      <c r="U101" s="17">
        <f t="shared" si="22"/>
        <v>-3.792970986040145E-3</v>
      </c>
      <c r="W101" t="str">
        <f>IF(AND('Data Checks'!B311&gt;'Data Checks'!B310,'Data Checks'!B310&gt;'Data Checks'!B309,'Data Checks'!B309&gt;'Data Checks'!B308),"BUY",IF(AND('Data Checks'!B311&lt;'Data Checks'!B310,'Data Checks'!B310&lt;'Data Checks'!B309,'Data Checks'!B309&lt;'Data Checks'!B308),"SELL",""))</f>
        <v>BUY</v>
      </c>
      <c r="X101" t="str">
        <f>IF(AND('Data Checks'!C311&gt;'Data Checks'!C310,'Data Checks'!C310&gt;'Data Checks'!C309,'Data Checks'!C309&gt;'Data Checks'!C308),"BUY",IF(AND('Data Checks'!C311&lt;'Data Checks'!C310,'Data Checks'!C310&lt;'Data Checks'!C309,'Data Checks'!C309&lt;'Data Checks'!C308),"SELL",""))</f>
        <v/>
      </c>
      <c r="Y101" t="str">
        <f>IF(AND('Data Checks'!D311&gt;'Data Checks'!D310,'Data Checks'!D310&gt;'Data Checks'!D309,'Data Checks'!D309&gt;'Data Checks'!D308),"BUY",IF(AND('Data Checks'!D311&lt;'Data Checks'!D310,'Data Checks'!D310&lt;'Data Checks'!D309,'Data Checks'!D309&lt;'Data Checks'!D308),"SELL",""))</f>
        <v>BUY</v>
      </c>
      <c r="Z101" t="str">
        <f>IF(AND('Data Checks'!E311&gt;'Data Checks'!E310,'Data Checks'!E310&gt;'Data Checks'!E309,'Data Checks'!E309&gt;'Data Checks'!E308),"BUY",IF(AND('Data Checks'!E311&lt;'Data Checks'!E310,'Data Checks'!E310&lt;'Data Checks'!E309,'Data Checks'!E309&lt;'Data Checks'!E308),"SELL",""))</f>
        <v/>
      </c>
      <c r="AA101" t="str">
        <f>IF(AND('Data Checks'!F311&gt;'Data Checks'!F310,'Data Checks'!F310&gt;'Data Checks'!F309,'Data Checks'!F309&gt;'Data Checks'!F308),"BUY",IF(AND('Data Checks'!F311&lt;'Data Checks'!F310,'Data Checks'!F310&lt;'Data Checks'!F309,'Data Checks'!F309&lt;'Data Checks'!F308),"SELL",""))</f>
        <v/>
      </c>
      <c r="AB101">
        <f>IF(W100="BUY",AB100*('Data Checks'!B311/'Data Checks'!B310),IF(W100="SELL",AB100*('Data Checks'!B310/'Data Checks'!B311),AB100))</f>
        <v>212.52166926158404</v>
      </c>
      <c r="AC101">
        <f>IF(X100="BUY",AC100*('Data Checks'!C311/'Data Checks'!C310),IF(X100="SELL",AC100*('Data Checks'!C310/'Data Checks'!C311),AC100))</f>
        <v>195.80403253240894</v>
      </c>
      <c r="AD101">
        <f>IF(Y100="BUY",AD100*('Data Checks'!D311/'Data Checks'!D310),IF(Y100="SELL",AD100*('Data Checks'!D310/'Data Checks'!D311),AD100))</f>
        <v>146.97069002359305</v>
      </c>
      <c r="AE101">
        <f>IF(Z100="BUY",AE100*('Data Checks'!E311/'Data Checks'!E310),IF(Z100="SELL",AE100*('Data Checks'!E310/'Data Checks'!E311),AE100))</f>
        <v>240.24450689154909</v>
      </c>
      <c r="AF101">
        <f>IF(AA100="BUY",AF100*('Data Checks'!F311/'Data Checks'!F310),IF(AA100="SELL",AF100*('Data Checks'!F310/'Data Checks'!F311),AF100))</f>
        <v>205.17902403982032</v>
      </c>
      <c r="AG101" s="16">
        <f t="shared" si="19"/>
        <v>1000.7199227489555</v>
      </c>
      <c r="AH101" s="17">
        <f t="shared" si="23"/>
        <v>3.143799435327832E-3</v>
      </c>
      <c r="AJ101" t="str">
        <f>IF('Moving Ave'!G311&gt;'Moving Ave'!L311,"SELL","BUY")</f>
        <v>SELL</v>
      </c>
      <c r="AK101" t="str">
        <f>IF('Moving Ave'!H311&gt;'Moving Ave'!M311,"SELL","BUY")</f>
        <v>BUY</v>
      </c>
      <c r="AL101" t="str">
        <f>IF('Moving Ave'!I311&gt;'Moving Ave'!N311,"SELL","BUY")</f>
        <v>BUY</v>
      </c>
      <c r="AM101" t="str">
        <f>IF('Moving Ave'!J311&gt;'Moving Ave'!O311,"SELL","BUY")</f>
        <v>BUY</v>
      </c>
      <c r="AN101" t="str">
        <f>IF('Moving Ave'!K311&gt;'Moving Ave'!P311,"SELL","BUY")</f>
        <v>BUY</v>
      </c>
      <c r="AO101">
        <f>IF(AJ100="BUY",AO100*('Data Checks'!B311/'Data Checks'!B310),AO100*('Data Checks'!B310/'Data Checks'!B311))</f>
        <v>180.83785250306136</v>
      </c>
      <c r="AP101">
        <f>IF(AK100="BUY",AP100*('Data Checks'!C311/'Data Checks'!C310),AP100*('Data Checks'!C310/'Data Checks'!C311))</f>
        <v>126.49225619741578</v>
      </c>
      <c r="AQ101">
        <f>IF(AL100="BUY",AQ100*('Data Checks'!D311/'Data Checks'!D310),AQ100*('Data Checks'!D310/'Data Checks'!D311))</f>
        <v>289.41805909771432</v>
      </c>
      <c r="AR101">
        <f>IF(AM100="BUY",AR100*('Data Checks'!E311/'Data Checks'!E310),AR100*('Data Checks'!E310/'Data Checks'!E311))</f>
        <v>107.66655146747402</v>
      </c>
      <c r="AS101">
        <f>IF(AN100="BUY",AS100*('Data Checks'!F311/'Data Checks'!F310),AS100*('Data Checks'!F310/'Data Checks'!F311))</f>
        <v>170.3994059720014</v>
      </c>
      <c r="AT101" s="16">
        <f t="shared" si="20"/>
        <v>874.81412523766687</v>
      </c>
      <c r="AU101" s="17">
        <f t="shared" si="24"/>
        <v>-4.416006408462736E-3</v>
      </c>
    </row>
    <row r="102" spans="1:47" x14ac:dyDescent="0.35">
      <c r="A102" s="2">
        <f>Prices!A310</f>
        <v>44336</v>
      </c>
      <c r="B102">
        <f>B101*('Data Checks'!B312/'Data Checks'!B311)</f>
        <v>263.21672992651929</v>
      </c>
      <c r="C102">
        <f>C101*('Data Checks'!C312/'Data Checks'!C311)</f>
        <v>127.66065348388767</v>
      </c>
      <c r="D102">
        <f>D101*('Data Checks'!D312/'Data Checks'!D311)</f>
        <v>174.95408206635634</v>
      </c>
      <c r="E102">
        <f>E101*('Data Checks'!E312/'Data Checks'!E311)</f>
        <v>111.98526909992405</v>
      </c>
      <c r="F102">
        <f>F101*('Data Checks'!F312/'Data Checks'!F311)</f>
        <v>113.01859961400007</v>
      </c>
      <c r="G102" s="16">
        <f t="shared" si="17"/>
        <v>790.83533419068749</v>
      </c>
      <c r="H102" s="17">
        <f t="shared" si="21"/>
        <v>1.4833058063733029E-2</v>
      </c>
      <c r="J102" t="str">
        <f>IF(AND('Data Checks'!B312&gt;'Data Checks'!B311,'Data Checks'!B311&gt;'Data Checks'!B310,'Data Checks'!B310&gt;'Data Checks'!B309),"SELL",IF(AND('Data Checks'!B312&lt;'Data Checks'!B311,'Data Checks'!B311&lt;'Data Checks'!B310,'Data Checks'!B310&lt;'Data Checks'!B309),"BUY",""))</f>
        <v>SELL</v>
      </c>
      <c r="K102" t="str">
        <f>IF(AND('Data Checks'!C312&gt;'Data Checks'!C311,'Data Checks'!C311&gt;'Data Checks'!C310,'Data Checks'!C310&gt;'Data Checks'!C309),"SELL",IF(AND('Data Checks'!C312&lt;'Data Checks'!C311,'Data Checks'!C311&lt;'Data Checks'!C310,'Data Checks'!C310&lt;'Data Checks'!C309),"BUY",""))</f>
        <v/>
      </c>
      <c r="L102" t="str">
        <f>IF(AND('Data Checks'!D312&gt;'Data Checks'!D311,'Data Checks'!D311&gt;'Data Checks'!D310,'Data Checks'!D310&gt;'Data Checks'!D309),"SELL",IF(AND('Data Checks'!D312&lt;'Data Checks'!D311,'Data Checks'!D311&lt;'Data Checks'!D310,'Data Checks'!D310&lt;'Data Checks'!D309),"BUY",""))</f>
        <v>SELL</v>
      </c>
      <c r="M102" t="str">
        <f>IF(AND('Data Checks'!E312&gt;'Data Checks'!E311,'Data Checks'!E311&gt;'Data Checks'!E310,'Data Checks'!E310&gt;'Data Checks'!E309),"SELL",IF(AND('Data Checks'!E312&lt;'Data Checks'!E311,'Data Checks'!E311&lt;'Data Checks'!E310,'Data Checks'!E310&lt;'Data Checks'!E309),"BUY",""))</f>
        <v/>
      </c>
      <c r="N102" t="str">
        <f>IF(AND('Data Checks'!F312&gt;'Data Checks'!F311,'Data Checks'!F311&gt;'Data Checks'!F310,'Data Checks'!F310&gt;'Data Checks'!F309),"SELL",IF(AND('Data Checks'!F312&lt;'Data Checks'!F311,'Data Checks'!F311&lt;'Data Checks'!F310,'Data Checks'!F310&lt;'Data Checks'!F309),"BUY",""))</f>
        <v>BUY</v>
      </c>
      <c r="O102">
        <f>IF(J101="BUY",O101*('Data Checks'!B312/'Data Checks'!B311),IF(J101="SELL",O101*('Data Checks'!B311/'Data Checks'!B312),O101))</f>
        <v>184.55341946514747</v>
      </c>
      <c r="P102">
        <f>IF(K101="BUY",P101*('Data Checks'!C312/'Data Checks'!C311),IF(K101="SELL",P101*('Data Checks'!C311/'Data Checks'!C312),P101))</f>
        <v>204.28588462997735</v>
      </c>
      <c r="Q102">
        <f>IF(L101="BUY",Q101*('Data Checks'!D312/'Data Checks'!D311),IF(L101="SELL",Q101*('Data Checks'!D311/'Data Checks'!D312),Q101))</f>
        <v>269.20199661620063</v>
      </c>
      <c r="R102">
        <f>IF(M101="BUY",R101*('Data Checks'!E312/'Data Checks'!E311),IF(M101="SELL",R101*('Data Checks'!E311/'Data Checks'!E312),R101))</f>
        <v>166.49704302315951</v>
      </c>
      <c r="S102">
        <f>IF(N101="BUY",S101*('Data Checks'!F312/'Data Checks'!F311),IF(N101="SELL",S101*('Data Checks'!F311/'Data Checks'!F312),S101))</f>
        <v>194.95170223753942</v>
      </c>
      <c r="T102" s="16">
        <f t="shared" si="18"/>
        <v>1019.4900459720243</v>
      </c>
      <c r="U102" s="17">
        <f t="shared" si="22"/>
        <v>-6.4552238749030488E-3</v>
      </c>
      <c r="W102" t="str">
        <f>IF(AND('Data Checks'!B312&gt;'Data Checks'!B311,'Data Checks'!B311&gt;'Data Checks'!B310,'Data Checks'!B310&gt;'Data Checks'!B309),"BUY",IF(AND('Data Checks'!B312&lt;'Data Checks'!B311,'Data Checks'!B311&lt;'Data Checks'!B310,'Data Checks'!B310&lt;'Data Checks'!B309),"SELL",""))</f>
        <v>BUY</v>
      </c>
      <c r="X102" t="str">
        <f>IF(AND('Data Checks'!C312&gt;'Data Checks'!C311,'Data Checks'!C311&gt;'Data Checks'!C310,'Data Checks'!C310&gt;'Data Checks'!C309),"BUY",IF(AND('Data Checks'!C312&lt;'Data Checks'!C311,'Data Checks'!C311&lt;'Data Checks'!C310,'Data Checks'!C310&lt;'Data Checks'!C309),"SELL",""))</f>
        <v/>
      </c>
      <c r="Y102" t="str">
        <f>IF(AND('Data Checks'!D312&gt;'Data Checks'!D311,'Data Checks'!D311&gt;'Data Checks'!D310,'Data Checks'!D310&gt;'Data Checks'!D309),"BUY",IF(AND('Data Checks'!D312&lt;'Data Checks'!D311,'Data Checks'!D311&lt;'Data Checks'!D310,'Data Checks'!D310&lt;'Data Checks'!D309),"SELL",""))</f>
        <v>BUY</v>
      </c>
      <c r="Z102" t="str">
        <f>IF(AND('Data Checks'!E312&gt;'Data Checks'!E311,'Data Checks'!E311&gt;'Data Checks'!E310,'Data Checks'!E310&gt;'Data Checks'!E309),"BUY",IF(AND('Data Checks'!E312&lt;'Data Checks'!E311,'Data Checks'!E311&lt;'Data Checks'!E310,'Data Checks'!E310&lt;'Data Checks'!E309),"SELL",""))</f>
        <v/>
      </c>
      <c r="AA102" t="str">
        <f>IF(AND('Data Checks'!F312&gt;'Data Checks'!F311,'Data Checks'!F311&gt;'Data Checks'!F310,'Data Checks'!F310&gt;'Data Checks'!F309),"BUY",IF(AND('Data Checks'!F312&lt;'Data Checks'!F311,'Data Checks'!F311&lt;'Data Checks'!F310,'Data Checks'!F310&lt;'Data Checks'!F309),"SELL",""))</f>
        <v>SELL</v>
      </c>
      <c r="AB102">
        <f>IF(W101="BUY",AB101*('Data Checks'!B312/'Data Checks'!B311),IF(W101="SELL",AB101*('Data Checks'!B311/'Data Checks'!B312),AB101))</f>
        <v>216.73941407275802</v>
      </c>
      <c r="AC102">
        <f>IF(X101="BUY",AC101*('Data Checks'!C312/'Data Checks'!C311),IF(X101="SELL",AC101*('Data Checks'!C311/'Data Checks'!C312),AC101))</f>
        <v>195.80403253240894</v>
      </c>
      <c r="AD102">
        <f>IF(Y101="BUY",AD101*('Data Checks'!D312/'Data Checks'!D311),IF(Y101="SELL",AD101*('Data Checks'!D311/'Data Checks'!D312),AD101))</f>
        <v>148.58730805413646</v>
      </c>
      <c r="AE102">
        <f>IF(Z101="BUY",AE101*('Data Checks'!E312/'Data Checks'!E311),IF(Z101="SELL",AE101*('Data Checks'!E311/'Data Checks'!E312),AE101))</f>
        <v>240.24450689154909</v>
      </c>
      <c r="AF102">
        <f>IF(AA101="BUY",AF101*('Data Checks'!F312/'Data Checks'!F311),IF(AA101="SELL",AF101*('Data Checks'!F311/'Data Checks'!F312),AF101))</f>
        <v>205.17902403982032</v>
      </c>
      <c r="AG102" s="16">
        <f t="shared" si="19"/>
        <v>1006.5542855906729</v>
      </c>
      <c r="AH102" s="17">
        <f t="shared" si="23"/>
        <v>5.8301655728913993E-3</v>
      </c>
      <c r="AJ102" t="str">
        <f>IF('Moving Ave'!G312&gt;'Moving Ave'!L312,"SELL","BUY")</f>
        <v>SELL</v>
      </c>
      <c r="AK102" t="str">
        <f>IF('Moving Ave'!H312&gt;'Moving Ave'!M312,"SELL","BUY")</f>
        <v>BUY</v>
      </c>
      <c r="AL102" t="str">
        <f>IF('Moving Ave'!I312&gt;'Moving Ave'!N312,"SELL","BUY")</f>
        <v>BUY</v>
      </c>
      <c r="AM102" t="str">
        <f>IF('Moving Ave'!J312&gt;'Moving Ave'!O312,"SELL","BUY")</f>
        <v>BUY</v>
      </c>
      <c r="AN102" t="str">
        <f>IF('Moving Ave'!K312&gt;'Moving Ave'!P312,"SELL","BUY")</f>
        <v>BUY</v>
      </c>
      <c r="AO102">
        <f>IF(AJ101="BUY",AO101*('Data Checks'!B312/'Data Checks'!B311),AO101*('Data Checks'!B311/'Data Checks'!B312))</f>
        <v>177.31875138653533</v>
      </c>
      <c r="AP102">
        <f>IF(AK101="BUY",AP101*('Data Checks'!C312/'Data Checks'!C311),AP101*('Data Checks'!C311/'Data Checks'!C312))</f>
        <v>127.66065348388767</v>
      </c>
      <c r="AQ102">
        <f>IF(AL101="BUY",AQ101*('Data Checks'!D312/'Data Checks'!D311),AQ101*('Data Checks'!D311/'Data Checks'!D312))</f>
        <v>292.60154046142793</v>
      </c>
      <c r="AR102">
        <f>IF(AM101="BUY",AR101*('Data Checks'!E312/'Data Checks'!E311),AR101*('Data Checks'!E311/'Data Checks'!E312))</f>
        <v>111.98526909992405</v>
      </c>
      <c r="AS102">
        <f>IF(AN101="BUY",AS101*('Data Checks'!F312/'Data Checks'!F311),AS101*('Data Checks'!F311/'Data Checks'!F312))</f>
        <v>168.97346952035286</v>
      </c>
      <c r="AT102" s="16">
        <f t="shared" si="20"/>
        <v>878.5396839521278</v>
      </c>
      <c r="AU102" s="17">
        <f t="shared" si="24"/>
        <v>4.2586860533930793E-3</v>
      </c>
    </row>
    <row r="103" spans="1:47" x14ac:dyDescent="0.35">
      <c r="A103" s="2">
        <f>Prices!A311</f>
        <v>44337</v>
      </c>
      <c r="B103">
        <f>B102*('Data Checks'!B313/'Data Checks'!B312)</f>
        <v>257.82161075114675</v>
      </c>
      <c r="C103">
        <f>C102*('Data Checks'!C313/'Data Checks'!C312)</f>
        <v>123.95225105288938</v>
      </c>
      <c r="D103">
        <f>D102*('Data Checks'!D313/'Data Checks'!D312)</f>
        <v>173.05059564285514</v>
      </c>
      <c r="E103">
        <f>E102*('Data Checks'!E313/'Data Checks'!E312)</f>
        <v>108.60394346823091</v>
      </c>
      <c r="F103">
        <f>F102*('Data Checks'!F313/'Data Checks'!F312)</f>
        <v>112.58941791973423</v>
      </c>
      <c r="G103" s="16">
        <f t="shared" si="17"/>
        <v>776.01781883485648</v>
      </c>
      <c r="H103" s="17">
        <f t="shared" si="21"/>
        <v>-1.8736536817736793E-2</v>
      </c>
      <c r="J103" t="str">
        <f>IF(AND('Data Checks'!B313&gt;'Data Checks'!B312,'Data Checks'!B312&gt;'Data Checks'!B311,'Data Checks'!B311&gt;'Data Checks'!B310),"SELL",IF(AND('Data Checks'!B313&lt;'Data Checks'!B312,'Data Checks'!B312&lt;'Data Checks'!B311,'Data Checks'!B311&lt;'Data Checks'!B310),"BUY",""))</f>
        <v/>
      </c>
      <c r="K103" t="str">
        <f>IF(AND('Data Checks'!C313&gt;'Data Checks'!C312,'Data Checks'!C312&gt;'Data Checks'!C311,'Data Checks'!C311&gt;'Data Checks'!C310),"SELL",IF(AND('Data Checks'!C313&lt;'Data Checks'!C312,'Data Checks'!C312&lt;'Data Checks'!C311,'Data Checks'!C311&lt;'Data Checks'!C310),"BUY",""))</f>
        <v/>
      </c>
      <c r="L103" t="str">
        <f>IF(AND('Data Checks'!D313&gt;'Data Checks'!D312,'Data Checks'!D312&gt;'Data Checks'!D311,'Data Checks'!D311&gt;'Data Checks'!D310),"SELL",IF(AND('Data Checks'!D313&lt;'Data Checks'!D312,'Data Checks'!D312&lt;'Data Checks'!D311,'Data Checks'!D311&lt;'Data Checks'!D310),"BUY",""))</f>
        <v/>
      </c>
      <c r="M103" t="str">
        <f>IF(AND('Data Checks'!E313&gt;'Data Checks'!E312,'Data Checks'!E312&gt;'Data Checks'!E311,'Data Checks'!E311&gt;'Data Checks'!E310),"SELL",IF(AND('Data Checks'!E313&lt;'Data Checks'!E312,'Data Checks'!E312&lt;'Data Checks'!E311,'Data Checks'!E311&lt;'Data Checks'!E310),"BUY",""))</f>
        <v/>
      </c>
      <c r="N103" t="str">
        <f>IF(AND('Data Checks'!F313&gt;'Data Checks'!F312,'Data Checks'!F312&gt;'Data Checks'!F311,'Data Checks'!F311&gt;'Data Checks'!F310),"SELL",IF(AND('Data Checks'!F313&lt;'Data Checks'!F312,'Data Checks'!F312&lt;'Data Checks'!F311,'Data Checks'!F311&lt;'Data Checks'!F310),"BUY",""))</f>
        <v>BUY</v>
      </c>
      <c r="O103">
        <f>IF(J102="BUY",O102*('Data Checks'!B313/'Data Checks'!B312),IF(J102="SELL",O102*('Data Checks'!B312/'Data Checks'!B313),O102))</f>
        <v>188.41534434156148</v>
      </c>
      <c r="P103">
        <f>IF(K102="BUY",P102*('Data Checks'!C313/'Data Checks'!C312),IF(K102="SELL",P102*('Data Checks'!C312/'Data Checks'!C313),P102))</f>
        <v>204.28588462997735</v>
      </c>
      <c r="Q103">
        <f>IF(L102="BUY",Q102*('Data Checks'!D313/'Data Checks'!D312),IF(L102="SELL",Q102*('Data Checks'!D312/'Data Checks'!D313),Q102))</f>
        <v>272.16310948515547</v>
      </c>
      <c r="R103">
        <f>IF(M102="BUY",R102*('Data Checks'!E313/'Data Checks'!E312),IF(M102="SELL",R102*('Data Checks'!E312/'Data Checks'!E313),R102))</f>
        <v>166.49704302315951</v>
      </c>
      <c r="S103">
        <f>IF(N102="BUY",S102*('Data Checks'!F313/'Data Checks'!F312),IF(N102="SELL",S102*('Data Checks'!F312/'Data Checks'!F313),S102))</f>
        <v>194.21138425313617</v>
      </c>
      <c r="T103" s="16">
        <f t="shared" si="18"/>
        <v>1025.5727657329901</v>
      </c>
      <c r="U103" s="17">
        <f t="shared" si="22"/>
        <v>5.966433693981088E-3</v>
      </c>
      <c r="W103" t="str">
        <f>IF(AND('Data Checks'!B313&gt;'Data Checks'!B312,'Data Checks'!B312&gt;'Data Checks'!B311,'Data Checks'!B311&gt;'Data Checks'!B310),"BUY",IF(AND('Data Checks'!B313&lt;'Data Checks'!B312,'Data Checks'!B312&lt;'Data Checks'!B311,'Data Checks'!B311&lt;'Data Checks'!B310),"SELL",""))</f>
        <v/>
      </c>
      <c r="X103" t="str">
        <f>IF(AND('Data Checks'!C313&gt;'Data Checks'!C312,'Data Checks'!C312&gt;'Data Checks'!C311,'Data Checks'!C311&gt;'Data Checks'!C310),"BUY",IF(AND('Data Checks'!C313&lt;'Data Checks'!C312,'Data Checks'!C312&lt;'Data Checks'!C311,'Data Checks'!C311&lt;'Data Checks'!C310),"SELL",""))</f>
        <v/>
      </c>
      <c r="Y103" t="str">
        <f>IF(AND('Data Checks'!D313&gt;'Data Checks'!D312,'Data Checks'!D312&gt;'Data Checks'!D311,'Data Checks'!D311&gt;'Data Checks'!D310),"BUY",IF(AND('Data Checks'!D313&lt;'Data Checks'!D312,'Data Checks'!D312&lt;'Data Checks'!D311,'Data Checks'!D311&lt;'Data Checks'!D310),"SELL",""))</f>
        <v/>
      </c>
      <c r="Z103" t="str">
        <f>IF(AND('Data Checks'!E313&gt;'Data Checks'!E312,'Data Checks'!E312&gt;'Data Checks'!E311,'Data Checks'!E311&gt;'Data Checks'!E310),"BUY",IF(AND('Data Checks'!E313&lt;'Data Checks'!E312,'Data Checks'!E312&lt;'Data Checks'!E311,'Data Checks'!E311&lt;'Data Checks'!E310),"SELL",""))</f>
        <v/>
      </c>
      <c r="AA103" t="str">
        <f>IF(AND('Data Checks'!F313&gt;'Data Checks'!F312,'Data Checks'!F312&gt;'Data Checks'!F311,'Data Checks'!F311&gt;'Data Checks'!F310),"BUY",IF(AND('Data Checks'!F313&lt;'Data Checks'!F312,'Data Checks'!F312&lt;'Data Checks'!F311,'Data Checks'!F311&lt;'Data Checks'!F310),"SELL",""))</f>
        <v>SELL</v>
      </c>
      <c r="AB103">
        <f>IF(W102="BUY",AB102*('Data Checks'!B313/'Data Checks'!B312),IF(W102="SELL",AB102*('Data Checks'!B312/'Data Checks'!B313),AB102))</f>
        <v>212.29693441255793</v>
      </c>
      <c r="AC103">
        <f>IF(X102="BUY",AC102*('Data Checks'!C313/'Data Checks'!C312),IF(X102="SELL",AC102*('Data Checks'!C312/'Data Checks'!C313),AC102))</f>
        <v>195.80403253240894</v>
      </c>
      <c r="AD103">
        <f>IF(Y102="BUY",AD102*('Data Checks'!D313/'Data Checks'!D312),IF(Y102="SELL",AD102*('Data Checks'!D312/'Data Checks'!D313),AD102))</f>
        <v>146.97069002359308</v>
      </c>
      <c r="AE103">
        <f>IF(Z102="BUY",AE102*('Data Checks'!E313/'Data Checks'!E312),IF(Z102="SELL",AE102*('Data Checks'!E312/'Data Checks'!E313),AE102))</f>
        <v>240.24450689154909</v>
      </c>
      <c r="AF103">
        <f>IF(AA102="BUY",AF102*('Data Checks'!F313/'Data Checks'!F312),IF(AA102="SELL",AF102*('Data Checks'!F312/'Data Checks'!F313),AF102))</f>
        <v>205.96114977412333</v>
      </c>
      <c r="AG103" s="16">
        <f t="shared" si="19"/>
        <v>1001.2773136342324</v>
      </c>
      <c r="AH103" s="17">
        <f t="shared" si="23"/>
        <v>-5.2426103906991761E-3</v>
      </c>
      <c r="AJ103" t="str">
        <f>IF('Moving Ave'!G313&gt;'Moving Ave'!L313,"SELL","BUY")</f>
        <v>SELL</v>
      </c>
      <c r="AK103" t="str">
        <f>IF('Moving Ave'!H313&gt;'Moving Ave'!M313,"SELL","BUY")</f>
        <v>BUY</v>
      </c>
      <c r="AL103" t="str">
        <f>IF('Moving Ave'!I313&gt;'Moving Ave'!N313,"SELL","BUY")</f>
        <v>BUY</v>
      </c>
      <c r="AM103" t="str">
        <f>IF('Moving Ave'!J313&gt;'Moving Ave'!O313,"SELL","BUY")</f>
        <v>BUY</v>
      </c>
      <c r="AN103" t="str">
        <f>IF('Moving Ave'!K313&gt;'Moving Ave'!P313,"SELL","BUY")</f>
        <v>BUY</v>
      </c>
      <c r="AO103">
        <f>IF(AJ102="BUY",AO102*('Data Checks'!B313/'Data Checks'!B312),AO102*('Data Checks'!B312/'Data Checks'!B313))</f>
        <v>181.0292851659631</v>
      </c>
      <c r="AP103">
        <f>IF(AK102="BUY",AP102*('Data Checks'!C313/'Data Checks'!C312),AP102*('Data Checks'!C312/'Data Checks'!C313))</f>
        <v>123.95225105288938</v>
      </c>
      <c r="AQ103">
        <f>IF(AL102="BUY",AQ102*('Data Checks'!D313/'Data Checks'!D312),AQ102*('Data Checks'!D312/'Data Checks'!D313))</f>
        <v>289.41805909771432</v>
      </c>
      <c r="AR103">
        <f>IF(AM102="BUY",AR102*('Data Checks'!E313/'Data Checks'!E312),AR102*('Data Checks'!E312/'Data Checks'!E313))</f>
        <v>108.60394346823091</v>
      </c>
      <c r="AS103">
        <f>IF(AN102="BUY",AS102*('Data Checks'!F313/'Data Checks'!F312),AS102*('Data Checks'!F312/'Data Checks'!F313))</f>
        <v>168.33180239492037</v>
      </c>
      <c r="AT103" s="16">
        <f t="shared" si="20"/>
        <v>871.33534117971806</v>
      </c>
      <c r="AU103" s="17">
        <f t="shared" si="24"/>
        <v>-8.2003612403720449E-3</v>
      </c>
    </row>
    <row r="104" spans="1:47" x14ac:dyDescent="0.35">
      <c r="A104" s="2">
        <f>Prices!A312</f>
        <v>44338</v>
      </c>
      <c r="B104">
        <f>B103*('Data Checks'!B314/'Data Checks'!B313)</f>
        <v>256.78261654689595</v>
      </c>
      <c r="C104">
        <f>C103*('Data Checks'!C314/'Data Checks'!C313)</f>
        <v>116.68783125953354</v>
      </c>
      <c r="D104">
        <f>D103*('Data Checks'!D314/'Data Checks'!D313)</f>
        <v>174.05242902074517</v>
      </c>
      <c r="E104">
        <f>E103*('Data Checks'!E314/'Data Checks'!E313)</f>
        <v>107.93438540561148</v>
      </c>
      <c r="F104">
        <f>F103*('Data Checks'!F314/'Data Checks'!F313)</f>
        <v>118.4549344557216</v>
      </c>
      <c r="G104" s="16">
        <f t="shared" si="17"/>
        <v>773.91219668850772</v>
      </c>
      <c r="H104" s="17">
        <f t="shared" si="21"/>
        <v>-2.7133682954731952E-3</v>
      </c>
      <c r="J104" t="str">
        <f>IF(AND('Data Checks'!B314&gt;'Data Checks'!B313,'Data Checks'!B313&gt;'Data Checks'!B312,'Data Checks'!B312&gt;'Data Checks'!B311),"SELL",IF(AND('Data Checks'!B314&lt;'Data Checks'!B313,'Data Checks'!B313&lt;'Data Checks'!B312,'Data Checks'!B312&lt;'Data Checks'!B311),"BUY",""))</f>
        <v/>
      </c>
      <c r="K104" t="str">
        <f>IF(AND('Data Checks'!C314&gt;'Data Checks'!C313,'Data Checks'!C313&gt;'Data Checks'!C312,'Data Checks'!C312&gt;'Data Checks'!C311),"SELL",IF(AND('Data Checks'!C314&lt;'Data Checks'!C313,'Data Checks'!C313&lt;'Data Checks'!C312,'Data Checks'!C312&lt;'Data Checks'!C311),"BUY",""))</f>
        <v/>
      </c>
      <c r="L104" t="str">
        <f>IF(AND('Data Checks'!D314&gt;'Data Checks'!D313,'Data Checks'!D313&gt;'Data Checks'!D312,'Data Checks'!D312&gt;'Data Checks'!D311),"SELL",IF(AND('Data Checks'!D314&lt;'Data Checks'!D313,'Data Checks'!D313&lt;'Data Checks'!D312,'Data Checks'!D312&lt;'Data Checks'!D311),"BUY",""))</f>
        <v/>
      </c>
      <c r="M104" t="str">
        <f>IF(AND('Data Checks'!E314&gt;'Data Checks'!E313,'Data Checks'!E313&gt;'Data Checks'!E312,'Data Checks'!E312&gt;'Data Checks'!E311),"SELL",IF(AND('Data Checks'!E314&lt;'Data Checks'!E313,'Data Checks'!E313&lt;'Data Checks'!E312,'Data Checks'!E312&lt;'Data Checks'!E311),"BUY",""))</f>
        <v/>
      </c>
      <c r="N104" t="str">
        <f>IF(AND('Data Checks'!F314&gt;'Data Checks'!F313,'Data Checks'!F313&gt;'Data Checks'!F312,'Data Checks'!F312&gt;'Data Checks'!F311),"SELL",IF(AND('Data Checks'!F314&lt;'Data Checks'!F313,'Data Checks'!F313&lt;'Data Checks'!F312,'Data Checks'!F312&lt;'Data Checks'!F311),"BUY",""))</f>
        <v/>
      </c>
      <c r="O104">
        <f>IF(J103="BUY",O103*('Data Checks'!B314/'Data Checks'!B313),IF(J103="SELL",O103*('Data Checks'!B313/'Data Checks'!B314),O103))</f>
        <v>188.41534434156148</v>
      </c>
      <c r="P104">
        <f>IF(K103="BUY",P103*('Data Checks'!C314/'Data Checks'!C313),IF(K103="SELL",P103*('Data Checks'!C313/'Data Checks'!C314),P103))</f>
        <v>204.28588462997735</v>
      </c>
      <c r="Q104">
        <f>IF(L103="BUY",Q103*('Data Checks'!D314/'Data Checks'!D313),IF(L103="SELL",Q103*('Data Checks'!D313/'Data Checks'!D314),Q103))</f>
        <v>272.16310948515547</v>
      </c>
      <c r="R104">
        <f>IF(M103="BUY",R103*('Data Checks'!E314/'Data Checks'!E313),IF(M103="SELL",R103*('Data Checks'!E313/'Data Checks'!E314),R103))</f>
        <v>166.49704302315951</v>
      </c>
      <c r="S104">
        <f>IF(N103="BUY",S103*('Data Checks'!F314/'Data Checks'!F313),IF(N103="SELL",S103*('Data Checks'!F313/'Data Checks'!F314),S103))</f>
        <v>204.32912095398558</v>
      </c>
      <c r="T104" s="16">
        <f t="shared" si="18"/>
        <v>1035.6905024338394</v>
      </c>
      <c r="U104" s="17">
        <f t="shared" si="22"/>
        <v>9.8654498626609133E-3</v>
      </c>
      <c r="W104" t="str">
        <f>IF(AND('Data Checks'!B314&gt;'Data Checks'!B313,'Data Checks'!B313&gt;'Data Checks'!B312,'Data Checks'!B312&gt;'Data Checks'!B311),"BUY",IF(AND('Data Checks'!B314&lt;'Data Checks'!B313,'Data Checks'!B313&lt;'Data Checks'!B312,'Data Checks'!B312&lt;'Data Checks'!B311),"SELL",""))</f>
        <v/>
      </c>
      <c r="X104" t="str">
        <f>IF(AND('Data Checks'!C314&gt;'Data Checks'!C313,'Data Checks'!C313&gt;'Data Checks'!C312,'Data Checks'!C312&gt;'Data Checks'!C311),"BUY",IF(AND('Data Checks'!C314&lt;'Data Checks'!C313,'Data Checks'!C313&lt;'Data Checks'!C312,'Data Checks'!C312&lt;'Data Checks'!C311),"SELL",""))</f>
        <v/>
      </c>
      <c r="Y104" t="str">
        <f>IF(AND('Data Checks'!D314&gt;'Data Checks'!D313,'Data Checks'!D313&gt;'Data Checks'!D312,'Data Checks'!D312&gt;'Data Checks'!D311),"BUY",IF(AND('Data Checks'!D314&lt;'Data Checks'!D313,'Data Checks'!D313&lt;'Data Checks'!D312,'Data Checks'!D312&lt;'Data Checks'!D311),"SELL",""))</f>
        <v/>
      </c>
      <c r="Z104" t="str">
        <f>IF(AND('Data Checks'!E314&gt;'Data Checks'!E313,'Data Checks'!E313&gt;'Data Checks'!E312,'Data Checks'!E312&gt;'Data Checks'!E311),"BUY",IF(AND('Data Checks'!E314&lt;'Data Checks'!E313,'Data Checks'!E313&lt;'Data Checks'!E312,'Data Checks'!E312&lt;'Data Checks'!E311),"SELL",""))</f>
        <v/>
      </c>
      <c r="AA104" t="str">
        <f>IF(AND('Data Checks'!F314&gt;'Data Checks'!F313,'Data Checks'!F313&gt;'Data Checks'!F312,'Data Checks'!F312&gt;'Data Checks'!F311),"BUY",IF(AND('Data Checks'!F314&lt;'Data Checks'!F313,'Data Checks'!F313&lt;'Data Checks'!F312,'Data Checks'!F312&lt;'Data Checks'!F311),"SELL",""))</f>
        <v/>
      </c>
      <c r="AB104">
        <f>IF(W103="BUY",AB103*('Data Checks'!B314/'Data Checks'!B313),IF(W103="SELL",AB103*('Data Checks'!B313/'Data Checks'!B314),AB103))</f>
        <v>212.29693441255793</v>
      </c>
      <c r="AC104">
        <f>IF(X103="BUY",AC103*('Data Checks'!C314/'Data Checks'!C313),IF(X103="SELL",AC103*('Data Checks'!C313/'Data Checks'!C314),AC103))</f>
        <v>195.80403253240894</v>
      </c>
      <c r="AD104">
        <f>IF(Y103="BUY",AD103*('Data Checks'!D314/'Data Checks'!D313),IF(Y103="SELL",AD103*('Data Checks'!D313/'Data Checks'!D314),AD103))</f>
        <v>146.97069002359308</v>
      </c>
      <c r="AE104">
        <f>IF(Z103="BUY",AE103*('Data Checks'!E314/'Data Checks'!E313),IF(Z103="SELL",AE103*('Data Checks'!E313/'Data Checks'!E314),AE103))</f>
        <v>240.24450689154909</v>
      </c>
      <c r="AF104">
        <f>IF(AA103="BUY",AF103*('Data Checks'!F314/'Data Checks'!F313),IF(AA103="SELL",AF103*('Data Checks'!F313/'Data Checks'!F314),AF103))</f>
        <v>195.7626001288769</v>
      </c>
      <c r="AG104" s="16">
        <f t="shared" si="19"/>
        <v>991.078763988986</v>
      </c>
      <c r="AH104" s="17">
        <f t="shared" si="23"/>
        <v>-1.018553951674972E-2</v>
      </c>
      <c r="AJ104" t="str">
        <f>IF('Moving Ave'!G314&gt;'Moving Ave'!L314,"SELL","BUY")</f>
        <v>SELL</v>
      </c>
      <c r="AK104" t="str">
        <f>IF('Moving Ave'!H314&gt;'Moving Ave'!M314,"SELL","BUY")</f>
        <v>BUY</v>
      </c>
      <c r="AL104" t="str">
        <f>IF('Moving Ave'!I314&gt;'Moving Ave'!N314,"SELL","BUY")</f>
        <v>BUY</v>
      </c>
      <c r="AM104" t="str">
        <f>IF('Moving Ave'!J314&gt;'Moving Ave'!O314,"SELL","BUY")</f>
        <v>BUY</v>
      </c>
      <c r="AN104" t="str">
        <f>IF('Moving Ave'!K314&gt;'Moving Ave'!P314,"SELL","BUY")</f>
        <v>BUY</v>
      </c>
      <c r="AO104">
        <f>IF(AJ103="BUY",AO103*('Data Checks'!B314/'Data Checks'!B313),AO103*('Data Checks'!B313/'Data Checks'!B314))</f>
        <v>181.76176612832899</v>
      </c>
      <c r="AP104">
        <f>IF(AK103="BUY",AP103*('Data Checks'!C314/'Data Checks'!C313),AP103*('Data Checks'!C313/'Data Checks'!C314))</f>
        <v>116.68783125953354</v>
      </c>
      <c r="AQ104">
        <f>IF(AL103="BUY",AQ103*('Data Checks'!D314/'Data Checks'!D313),AQ103*('Data Checks'!D313/'Data Checks'!D314))</f>
        <v>291.09357295937502</v>
      </c>
      <c r="AR104">
        <f>IF(AM103="BUY",AR103*('Data Checks'!E314/'Data Checks'!E313),AR103*('Data Checks'!E313/'Data Checks'!E314))</f>
        <v>107.93438540561148</v>
      </c>
      <c r="AS104">
        <f>IF(AN103="BUY",AS103*('Data Checks'!F314/'Data Checks'!F313),AS103*('Data Checks'!F313/'Data Checks'!F314))</f>
        <v>177.10130301694022</v>
      </c>
      <c r="AT104" s="16">
        <f t="shared" si="20"/>
        <v>874.57885876978912</v>
      </c>
      <c r="AU104" s="17">
        <f t="shared" si="24"/>
        <v>3.722467615831615E-3</v>
      </c>
    </row>
    <row r="105" spans="1:47" x14ac:dyDescent="0.35">
      <c r="A105" s="2">
        <f>Prices!A313</f>
        <v>44342</v>
      </c>
      <c r="B105">
        <f>B104*('Data Checks'!B315/'Data Checks'!B314)</f>
        <v>255.1999298465239</v>
      </c>
      <c r="C105">
        <f>C104*('Data Checks'!C315/'Data Checks'!C314)</f>
        <v>120.95503990233793</v>
      </c>
      <c r="D105">
        <f>D104*('Data Checks'!D315/'Data Checks'!D314)</f>
        <v>171.84838824258455</v>
      </c>
      <c r="E105">
        <f>E104*('Data Checks'!E315/'Data Checks'!E314)</f>
        <v>109.44090360090716</v>
      </c>
      <c r="F105">
        <f>F104*('Data Checks'!F315/'Data Checks'!F314)</f>
        <v>125.22651872045577</v>
      </c>
      <c r="G105" s="16">
        <f t="shared" si="17"/>
        <v>782.67078031280926</v>
      </c>
      <c r="H105" s="17">
        <f t="shared" si="21"/>
        <v>1.1317283358213803E-2</v>
      </c>
      <c r="J105" t="str">
        <f>IF(AND('Data Checks'!B315&gt;'Data Checks'!B314,'Data Checks'!B314&gt;'Data Checks'!B313,'Data Checks'!B313&gt;'Data Checks'!B312),"SELL",IF(AND('Data Checks'!B315&lt;'Data Checks'!B314,'Data Checks'!B314&lt;'Data Checks'!B313,'Data Checks'!B313&lt;'Data Checks'!B312),"BUY",""))</f>
        <v>BUY</v>
      </c>
      <c r="K105" t="str">
        <f>IF(AND('Data Checks'!C315&gt;'Data Checks'!C314,'Data Checks'!C314&gt;'Data Checks'!C313,'Data Checks'!C313&gt;'Data Checks'!C312),"SELL",IF(AND('Data Checks'!C315&lt;'Data Checks'!C314,'Data Checks'!C314&lt;'Data Checks'!C313,'Data Checks'!C313&lt;'Data Checks'!C312),"BUY",""))</f>
        <v/>
      </c>
      <c r="L105" t="str">
        <f>IF(AND('Data Checks'!D315&gt;'Data Checks'!D314,'Data Checks'!D314&gt;'Data Checks'!D313,'Data Checks'!D313&gt;'Data Checks'!D312),"SELL",IF(AND('Data Checks'!D315&lt;'Data Checks'!D314,'Data Checks'!D314&lt;'Data Checks'!D313,'Data Checks'!D313&lt;'Data Checks'!D312),"BUY",""))</f>
        <v/>
      </c>
      <c r="M105" t="str">
        <f>IF(AND('Data Checks'!E315&gt;'Data Checks'!E314,'Data Checks'!E314&gt;'Data Checks'!E313,'Data Checks'!E313&gt;'Data Checks'!E312),"SELL",IF(AND('Data Checks'!E315&lt;'Data Checks'!E314,'Data Checks'!E314&lt;'Data Checks'!E313,'Data Checks'!E313&lt;'Data Checks'!E312),"BUY",""))</f>
        <v/>
      </c>
      <c r="N105" t="str">
        <f>IF(AND('Data Checks'!F315&gt;'Data Checks'!F314,'Data Checks'!F314&gt;'Data Checks'!F313,'Data Checks'!F313&gt;'Data Checks'!F312),"SELL",IF(AND('Data Checks'!F315&lt;'Data Checks'!F314,'Data Checks'!F314&lt;'Data Checks'!F313,'Data Checks'!F313&lt;'Data Checks'!F312),"BUY",""))</f>
        <v/>
      </c>
      <c r="O105">
        <f>IF(J104="BUY",O104*('Data Checks'!B315/'Data Checks'!B314),IF(J104="SELL",O104*('Data Checks'!B314/'Data Checks'!B315),O104))</f>
        <v>188.41534434156148</v>
      </c>
      <c r="P105">
        <f>IF(K104="BUY",P104*('Data Checks'!C315/'Data Checks'!C314),IF(K104="SELL",P104*('Data Checks'!C314/'Data Checks'!C315),P104))</f>
        <v>204.28588462997735</v>
      </c>
      <c r="Q105">
        <f>IF(L104="BUY",Q104*('Data Checks'!D315/'Data Checks'!D314),IF(L104="SELL",Q104*('Data Checks'!D314/'Data Checks'!D315),Q104))</f>
        <v>272.16310948515547</v>
      </c>
      <c r="R105">
        <f>IF(M104="BUY",R104*('Data Checks'!E315/'Data Checks'!E314),IF(M104="SELL",R104*('Data Checks'!E314/'Data Checks'!E315),R104))</f>
        <v>166.49704302315951</v>
      </c>
      <c r="S105">
        <f>IF(N104="BUY",S104*('Data Checks'!F315/'Data Checks'!F314),IF(N104="SELL",S104*('Data Checks'!F314/'Data Checks'!F315),S104))</f>
        <v>204.32912095398558</v>
      </c>
      <c r="T105" s="16">
        <f t="shared" si="18"/>
        <v>1035.6905024338394</v>
      </c>
      <c r="U105" s="17">
        <f t="shared" si="22"/>
        <v>0</v>
      </c>
      <c r="W105" t="str">
        <f>IF(AND('Data Checks'!B315&gt;'Data Checks'!B314,'Data Checks'!B314&gt;'Data Checks'!B313,'Data Checks'!B313&gt;'Data Checks'!B312),"BUY",IF(AND('Data Checks'!B315&lt;'Data Checks'!B314,'Data Checks'!B314&lt;'Data Checks'!B313,'Data Checks'!B313&lt;'Data Checks'!B312),"SELL",""))</f>
        <v>SELL</v>
      </c>
      <c r="X105" t="str">
        <f>IF(AND('Data Checks'!C315&gt;'Data Checks'!C314,'Data Checks'!C314&gt;'Data Checks'!C313,'Data Checks'!C313&gt;'Data Checks'!C312),"BUY",IF(AND('Data Checks'!C315&lt;'Data Checks'!C314,'Data Checks'!C314&lt;'Data Checks'!C313,'Data Checks'!C313&lt;'Data Checks'!C312),"SELL",""))</f>
        <v/>
      </c>
      <c r="Y105" t="str">
        <f>IF(AND('Data Checks'!D315&gt;'Data Checks'!D314,'Data Checks'!D314&gt;'Data Checks'!D313,'Data Checks'!D313&gt;'Data Checks'!D312),"BUY",IF(AND('Data Checks'!D315&lt;'Data Checks'!D314,'Data Checks'!D314&lt;'Data Checks'!D313,'Data Checks'!D313&lt;'Data Checks'!D312),"SELL",""))</f>
        <v/>
      </c>
      <c r="Z105" t="str">
        <f>IF(AND('Data Checks'!E315&gt;'Data Checks'!E314,'Data Checks'!E314&gt;'Data Checks'!E313,'Data Checks'!E313&gt;'Data Checks'!E312),"BUY",IF(AND('Data Checks'!E315&lt;'Data Checks'!E314,'Data Checks'!E314&lt;'Data Checks'!E313,'Data Checks'!E313&lt;'Data Checks'!E312),"SELL",""))</f>
        <v/>
      </c>
      <c r="AA105" t="str">
        <f>IF(AND('Data Checks'!F315&gt;'Data Checks'!F314,'Data Checks'!F314&gt;'Data Checks'!F313,'Data Checks'!F313&gt;'Data Checks'!F312),"BUY",IF(AND('Data Checks'!F315&lt;'Data Checks'!F314,'Data Checks'!F314&lt;'Data Checks'!F313,'Data Checks'!F313&lt;'Data Checks'!F312),"SELL",""))</f>
        <v/>
      </c>
      <c r="AB105">
        <f>IF(W104="BUY",AB104*('Data Checks'!B315/'Data Checks'!B314),IF(W104="SELL",AB104*('Data Checks'!B314/'Data Checks'!B315),AB104))</f>
        <v>212.29693441255793</v>
      </c>
      <c r="AC105">
        <f>IF(X104="BUY",AC104*('Data Checks'!C315/'Data Checks'!C314),IF(X104="SELL",AC104*('Data Checks'!C314/'Data Checks'!C315),AC104))</f>
        <v>195.80403253240894</v>
      </c>
      <c r="AD105">
        <f>IF(Y104="BUY",AD104*('Data Checks'!D315/'Data Checks'!D314),IF(Y104="SELL",AD104*('Data Checks'!D314/'Data Checks'!D315),AD104))</f>
        <v>146.97069002359308</v>
      </c>
      <c r="AE105">
        <f>IF(Z104="BUY",AE104*('Data Checks'!E315/'Data Checks'!E314),IF(Z104="SELL",AE104*('Data Checks'!E314/'Data Checks'!E315),AE104))</f>
        <v>240.24450689154909</v>
      </c>
      <c r="AF105">
        <f>IF(AA104="BUY",AF104*('Data Checks'!F315/'Data Checks'!F314),IF(AA104="SELL",AF104*('Data Checks'!F314/'Data Checks'!F315),AF104))</f>
        <v>195.7626001288769</v>
      </c>
      <c r="AG105" s="16">
        <f t="shared" si="19"/>
        <v>991.078763988986</v>
      </c>
      <c r="AH105" s="17">
        <f t="shared" si="23"/>
        <v>0</v>
      </c>
      <c r="AJ105" t="str">
        <f>IF('Moving Ave'!G315&gt;'Moving Ave'!L315,"SELL","BUY")</f>
        <v>SELL</v>
      </c>
      <c r="AK105" t="str">
        <f>IF('Moving Ave'!H315&gt;'Moving Ave'!M315,"SELL","BUY")</f>
        <v>BUY</v>
      </c>
      <c r="AL105" t="str">
        <f>IF('Moving Ave'!I315&gt;'Moving Ave'!N315,"SELL","BUY")</f>
        <v>BUY</v>
      </c>
      <c r="AM105" t="str">
        <f>IF('Moving Ave'!J315&gt;'Moving Ave'!O315,"SELL","BUY")</f>
        <v>BUY</v>
      </c>
      <c r="AN105" t="str">
        <f>IF('Moving Ave'!K315&gt;'Moving Ave'!P315,"SELL","BUY")</f>
        <v>BUY</v>
      </c>
      <c r="AO105">
        <f>IF(AJ104="BUY",AO104*('Data Checks'!B315/'Data Checks'!B314),AO104*('Data Checks'!B314/'Data Checks'!B315))</f>
        <v>182.88900754277782</v>
      </c>
      <c r="AP105">
        <f>IF(AK104="BUY",AP104*('Data Checks'!C315/'Data Checks'!C314),AP104*('Data Checks'!C314/'Data Checks'!C315))</f>
        <v>120.95503990233793</v>
      </c>
      <c r="AQ105">
        <f>IF(AL104="BUY",AQ104*('Data Checks'!D315/'Data Checks'!D314),AQ104*('Data Checks'!D314/'Data Checks'!D315))</f>
        <v>287.407430176579</v>
      </c>
      <c r="AR105">
        <f>IF(AM104="BUY",AR104*('Data Checks'!E315/'Data Checks'!E314),AR104*('Data Checks'!E314/'Data Checks'!E315))</f>
        <v>109.44090360090716</v>
      </c>
      <c r="AS105">
        <f>IF(AN104="BUY",AS104*('Data Checks'!F315/'Data Checks'!F314),AS104*('Data Checks'!F314/'Data Checks'!F315))</f>
        <v>187.22546037926364</v>
      </c>
      <c r="AT105" s="16">
        <f t="shared" si="20"/>
        <v>887.91784160186546</v>
      </c>
      <c r="AU105" s="17">
        <f t="shared" si="24"/>
        <v>1.5251892609020379E-2</v>
      </c>
    </row>
    <row r="106" spans="1:47" x14ac:dyDescent="0.35">
      <c r="A106" s="2">
        <f>Prices!A314</f>
        <v>44343</v>
      </c>
      <c r="B106">
        <f>B105*('Data Checks'!B316/'Data Checks'!B315)</f>
        <v>253.99127299650024</v>
      </c>
      <c r="C106">
        <f>C105*('Data Checks'!C316/'Data Checks'!C315)</f>
        <v>122.78384868640725</v>
      </c>
      <c r="D106">
        <f>D105*('Data Checks'!D316/'Data Checks'!D315)</f>
        <v>174.78711261958779</v>
      </c>
      <c r="E106">
        <f>E105*('Data Checks'!E316/'Data Checks'!E315)</f>
        <v>110.41178070265214</v>
      </c>
      <c r="F106">
        <f>F105*('Data Checks'!F316/'Data Checks'!F315)</f>
        <v>124.89270278816464</v>
      </c>
      <c r="G106" s="16">
        <f t="shared" si="17"/>
        <v>786.86671779331209</v>
      </c>
      <c r="H106" s="17">
        <f t="shared" si="21"/>
        <v>5.3610503752623551E-3</v>
      </c>
      <c r="J106" t="str">
        <f>IF(AND('Data Checks'!B316&gt;'Data Checks'!B315,'Data Checks'!B315&gt;'Data Checks'!B314,'Data Checks'!B314&gt;'Data Checks'!B313),"SELL",IF(AND('Data Checks'!B316&lt;'Data Checks'!B315,'Data Checks'!B315&lt;'Data Checks'!B314,'Data Checks'!B314&lt;'Data Checks'!B313),"BUY",""))</f>
        <v>BUY</v>
      </c>
      <c r="K106" t="str">
        <f>IF(AND('Data Checks'!C316&gt;'Data Checks'!C315,'Data Checks'!C315&gt;'Data Checks'!C314,'Data Checks'!C314&gt;'Data Checks'!C313),"SELL",IF(AND('Data Checks'!C316&lt;'Data Checks'!C315,'Data Checks'!C315&lt;'Data Checks'!C314,'Data Checks'!C314&lt;'Data Checks'!C313),"BUY",""))</f>
        <v/>
      </c>
      <c r="L106" t="str">
        <f>IF(AND('Data Checks'!D316&gt;'Data Checks'!D315,'Data Checks'!D315&gt;'Data Checks'!D314,'Data Checks'!D314&gt;'Data Checks'!D313),"SELL",IF(AND('Data Checks'!D316&lt;'Data Checks'!D315,'Data Checks'!D315&lt;'Data Checks'!D314,'Data Checks'!D314&lt;'Data Checks'!D313),"BUY",""))</f>
        <v/>
      </c>
      <c r="M106" t="str">
        <f>IF(AND('Data Checks'!E316&gt;'Data Checks'!E315,'Data Checks'!E315&gt;'Data Checks'!E314,'Data Checks'!E314&gt;'Data Checks'!E313),"SELL",IF(AND('Data Checks'!E316&lt;'Data Checks'!E315,'Data Checks'!E315&lt;'Data Checks'!E314,'Data Checks'!E314&lt;'Data Checks'!E313),"BUY",""))</f>
        <v/>
      </c>
      <c r="N106" t="str">
        <f>IF(AND('Data Checks'!F316&gt;'Data Checks'!F315,'Data Checks'!F315&gt;'Data Checks'!F314,'Data Checks'!F314&gt;'Data Checks'!F313),"SELL",IF(AND('Data Checks'!F316&lt;'Data Checks'!F315,'Data Checks'!F315&lt;'Data Checks'!F314,'Data Checks'!F314&lt;'Data Checks'!F313),"BUY",""))</f>
        <v/>
      </c>
      <c r="O106">
        <f>IF(J105="BUY",O105*('Data Checks'!B316/'Data Checks'!B315),IF(J105="SELL",O105*('Data Checks'!B315/'Data Checks'!B316),O105))</f>
        <v>187.52298713470429</v>
      </c>
      <c r="P106">
        <f>IF(K105="BUY",P105*('Data Checks'!C316/'Data Checks'!C315),IF(K105="SELL",P105*('Data Checks'!C315/'Data Checks'!C316),P105))</f>
        <v>204.28588462997735</v>
      </c>
      <c r="Q106">
        <f>IF(L105="BUY",Q105*('Data Checks'!D316/'Data Checks'!D315),IF(L105="SELL",Q105*('Data Checks'!D315/'Data Checks'!D316),Q105))</f>
        <v>272.16310948515547</v>
      </c>
      <c r="R106">
        <f>IF(M105="BUY",R105*('Data Checks'!E316/'Data Checks'!E315),IF(M105="SELL",R105*('Data Checks'!E315/'Data Checks'!E316),R105))</f>
        <v>166.49704302315951</v>
      </c>
      <c r="S106">
        <f>IF(N105="BUY",S105*('Data Checks'!F316/'Data Checks'!F315),IF(N105="SELL",S105*('Data Checks'!F315/'Data Checks'!F316),S105))</f>
        <v>204.32912095398558</v>
      </c>
      <c r="T106" s="16">
        <f t="shared" si="18"/>
        <v>1034.7981452269823</v>
      </c>
      <c r="U106" s="17">
        <f t="shared" si="22"/>
        <v>-8.6160605389351552E-4</v>
      </c>
      <c r="W106" t="str">
        <f>IF(AND('Data Checks'!B316&gt;'Data Checks'!B315,'Data Checks'!B315&gt;'Data Checks'!B314,'Data Checks'!B314&gt;'Data Checks'!B313),"BUY",IF(AND('Data Checks'!B316&lt;'Data Checks'!B315,'Data Checks'!B315&lt;'Data Checks'!B314,'Data Checks'!B314&lt;'Data Checks'!B313),"SELL",""))</f>
        <v>SELL</v>
      </c>
      <c r="X106" t="str">
        <f>IF(AND('Data Checks'!C316&gt;'Data Checks'!C315,'Data Checks'!C315&gt;'Data Checks'!C314,'Data Checks'!C314&gt;'Data Checks'!C313),"BUY",IF(AND('Data Checks'!C316&lt;'Data Checks'!C315,'Data Checks'!C315&lt;'Data Checks'!C314,'Data Checks'!C314&lt;'Data Checks'!C313),"SELL",""))</f>
        <v/>
      </c>
      <c r="Y106" t="str">
        <f>IF(AND('Data Checks'!D316&gt;'Data Checks'!D315,'Data Checks'!D315&gt;'Data Checks'!D314,'Data Checks'!D314&gt;'Data Checks'!D313),"BUY",IF(AND('Data Checks'!D316&lt;'Data Checks'!D315,'Data Checks'!D315&lt;'Data Checks'!D314,'Data Checks'!D314&lt;'Data Checks'!D313),"SELL",""))</f>
        <v/>
      </c>
      <c r="Z106" t="str">
        <f>IF(AND('Data Checks'!E316&gt;'Data Checks'!E315,'Data Checks'!E315&gt;'Data Checks'!E314,'Data Checks'!E314&gt;'Data Checks'!E313),"BUY",IF(AND('Data Checks'!E316&lt;'Data Checks'!E315,'Data Checks'!E315&lt;'Data Checks'!E314,'Data Checks'!E314&lt;'Data Checks'!E313),"SELL",""))</f>
        <v/>
      </c>
      <c r="AA106" t="str">
        <f>IF(AND('Data Checks'!F316&gt;'Data Checks'!F315,'Data Checks'!F315&gt;'Data Checks'!F314,'Data Checks'!F314&gt;'Data Checks'!F313),"BUY",IF(AND('Data Checks'!F316&lt;'Data Checks'!F315,'Data Checks'!F315&lt;'Data Checks'!F314,'Data Checks'!F314&lt;'Data Checks'!F313),"SELL",""))</f>
        <v/>
      </c>
      <c r="AB106">
        <f>IF(W105="BUY",AB105*('Data Checks'!B316/'Data Checks'!B315),IF(W105="SELL",AB105*('Data Checks'!B315/'Data Checks'!B316),AB105))</f>
        <v>213.30718228835914</v>
      </c>
      <c r="AC106">
        <f>IF(X105="BUY",AC105*('Data Checks'!C316/'Data Checks'!C315),IF(X105="SELL",AC105*('Data Checks'!C315/'Data Checks'!C316),AC105))</f>
        <v>195.80403253240894</v>
      </c>
      <c r="AD106">
        <f>IF(Y105="BUY",AD105*('Data Checks'!D316/'Data Checks'!D315),IF(Y105="SELL",AD105*('Data Checks'!D315/'Data Checks'!D316),AD105))</f>
        <v>146.97069002359308</v>
      </c>
      <c r="AE106">
        <f>IF(Z105="BUY",AE105*('Data Checks'!E316/'Data Checks'!E315),IF(Z105="SELL",AE105*('Data Checks'!E315/'Data Checks'!E316),AE105))</f>
        <v>240.24450689154909</v>
      </c>
      <c r="AF106">
        <f>IF(AA105="BUY",AF105*('Data Checks'!F316/'Data Checks'!F315),IF(AA105="SELL",AF105*('Data Checks'!F315/'Data Checks'!F316),AF105))</f>
        <v>195.7626001288769</v>
      </c>
      <c r="AG106" s="16">
        <f t="shared" si="19"/>
        <v>992.08901186478715</v>
      </c>
      <c r="AH106" s="17">
        <f t="shared" si="23"/>
        <v>1.0193416633557106E-3</v>
      </c>
      <c r="AJ106" t="str">
        <f>IF('Moving Ave'!G316&gt;'Moving Ave'!L316,"SELL","BUY")</f>
        <v>SELL</v>
      </c>
      <c r="AK106" t="str">
        <f>IF('Moving Ave'!H316&gt;'Moving Ave'!M316,"SELL","BUY")</f>
        <v>BUY</v>
      </c>
      <c r="AL106" t="str">
        <f>IF('Moving Ave'!I316&gt;'Moving Ave'!N316,"SELL","BUY")</f>
        <v>BUY</v>
      </c>
      <c r="AM106" t="str">
        <f>IF('Moving Ave'!J316&gt;'Moving Ave'!O316,"SELL","BUY")</f>
        <v>BUY</v>
      </c>
      <c r="AN106" t="str">
        <f>IF('Moving Ave'!K316&gt;'Moving Ave'!P316,"SELL","BUY")</f>
        <v>BUY</v>
      </c>
      <c r="AO106">
        <f>IF(AJ105="BUY",AO105*('Data Checks'!B316/'Data Checks'!B315),AO105*('Data Checks'!B315/'Data Checks'!B316))</f>
        <v>183.75931323931903</v>
      </c>
      <c r="AP106">
        <f>IF(AK105="BUY",AP105*('Data Checks'!C316/'Data Checks'!C315),AP105*('Data Checks'!C315/'Data Checks'!C316))</f>
        <v>122.78384868640725</v>
      </c>
      <c r="AQ106">
        <f>IF(AL105="BUY",AQ105*('Data Checks'!D316/'Data Checks'!D315),AQ105*('Data Checks'!D315/'Data Checks'!D316))</f>
        <v>292.32229280537189</v>
      </c>
      <c r="AR106">
        <f>IF(AM105="BUY",AR105*('Data Checks'!E316/'Data Checks'!E315),AR105*('Data Checks'!E315/'Data Checks'!E316))</f>
        <v>110.41178070265214</v>
      </c>
      <c r="AS106">
        <f>IF(AN105="BUY",AS105*('Data Checks'!F316/'Data Checks'!F315),AS105*('Data Checks'!F315/'Data Checks'!F316))</f>
        <v>186.72637406556791</v>
      </c>
      <c r="AT106" s="16">
        <f t="shared" si="20"/>
        <v>896.00360949931826</v>
      </c>
      <c r="AU106" s="17">
        <f t="shared" si="24"/>
        <v>9.1064370132101224E-3</v>
      </c>
    </row>
    <row r="107" spans="1:47" x14ac:dyDescent="0.35">
      <c r="A107" s="2">
        <f>Prices!A315</f>
        <v>44344</v>
      </c>
      <c r="B107">
        <f>B106*('Data Checks'!B317/'Data Checks'!B316)</f>
        <v>253.01237457646502</v>
      </c>
      <c r="C107">
        <f>C106*('Data Checks'!C317/'Data Checks'!C316)</f>
        <v>119.83744271875659</v>
      </c>
      <c r="D107">
        <f>D106*('Data Checks'!D317/'Data Checks'!D316)</f>
        <v>175.35481341383894</v>
      </c>
      <c r="E107">
        <f>E106*('Data Checks'!E317/'Data Checks'!E316)</f>
        <v>109.17308305413179</v>
      </c>
      <c r="F107">
        <f>F106*('Data Checks'!F317/'Data Checks'!F316)</f>
        <v>118.12112567650641</v>
      </c>
      <c r="G107" s="16">
        <f t="shared" si="17"/>
        <v>775.49883943969871</v>
      </c>
      <c r="H107" s="17">
        <f t="shared" si="21"/>
        <v>-1.4447018912546516E-2</v>
      </c>
      <c r="J107" t="str">
        <f>IF(AND('Data Checks'!B317&gt;'Data Checks'!B316,'Data Checks'!B316&gt;'Data Checks'!B315,'Data Checks'!B315&gt;'Data Checks'!B314),"SELL",IF(AND('Data Checks'!B317&lt;'Data Checks'!B316,'Data Checks'!B316&lt;'Data Checks'!B315,'Data Checks'!B315&lt;'Data Checks'!B314),"BUY",""))</f>
        <v>BUY</v>
      </c>
      <c r="K107" t="str">
        <f>IF(AND('Data Checks'!C317&gt;'Data Checks'!C316,'Data Checks'!C316&gt;'Data Checks'!C315,'Data Checks'!C315&gt;'Data Checks'!C314),"SELL",IF(AND('Data Checks'!C317&lt;'Data Checks'!C316,'Data Checks'!C316&lt;'Data Checks'!C315,'Data Checks'!C315&lt;'Data Checks'!C314),"BUY",""))</f>
        <v/>
      </c>
      <c r="L107" t="str">
        <f>IF(AND('Data Checks'!D317&gt;'Data Checks'!D316,'Data Checks'!D316&gt;'Data Checks'!D315,'Data Checks'!D315&gt;'Data Checks'!D314),"SELL",IF(AND('Data Checks'!D317&lt;'Data Checks'!D316,'Data Checks'!D316&lt;'Data Checks'!D315,'Data Checks'!D315&lt;'Data Checks'!D314),"BUY",""))</f>
        <v/>
      </c>
      <c r="M107" t="str">
        <f>IF(AND('Data Checks'!E317&gt;'Data Checks'!E316,'Data Checks'!E316&gt;'Data Checks'!E315,'Data Checks'!E315&gt;'Data Checks'!E314),"SELL",IF(AND('Data Checks'!E317&lt;'Data Checks'!E316,'Data Checks'!E316&lt;'Data Checks'!E315,'Data Checks'!E315&lt;'Data Checks'!E314),"BUY",""))</f>
        <v/>
      </c>
      <c r="N107" t="str">
        <f>IF(AND('Data Checks'!F317&gt;'Data Checks'!F316,'Data Checks'!F316&gt;'Data Checks'!F315,'Data Checks'!F315&gt;'Data Checks'!F314),"SELL",IF(AND('Data Checks'!F317&lt;'Data Checks'!F316,'Data Checks'!F316&lt;'Data Checks'!F315,'Data Checks'!F315&lt;'Data Checks'!F314),"BUY",""))</f>
        <v/>
      </c>
      <c r="O107">
        <f>IF(J106="BUY",O106*('Data Checks'!B317/'Data Checks'!B316),IF(J106="SELL",O106*('Data Checks'!B316/'Data Checks'!B317),O106))</f>
        <v>186.80026168961007</v>
      </c>
      <c r="P107">
        <f>IF(K106="BUY",P106*('Data Checks'!C317/'Data Checks'!C316),IF(K106="SELL",P106*('Data Checks'!C316/'Data Checks'!C317),P106))</f>
        <v>204.28588462997735</v>
      </c>
      <c r="Q107">
        <f>IF(L106="BUY",Q106*('Data Checks'!D317/'Data Checks'!D316),IF(L106="SELL",Q106*('Data Checks'!D316/'Data Checks'!D317),Q106))</f>
        <v>272.16310948515547</v>
      </c>
      <c r="R107">
        <f>IF(M106="BUY",R106*('Data Checks'!E317/'Data Checks'!E316),IF(M106="SELL",R106*('Data Checks'!E316/'Data Checks'!E317),R106))</f>
        <v>166.49704302315951</v>
      </c>
      <c r="S107">
        <f>IF(N106="BUY",S106*('Data Checks'!F317/'Data Checks'!F316),IF(N106="SELL",S106*('Data Checks'!F316/'Data Checks'!F317),S106))</f>
        <v>204.32912095398558</v>
      </c>
      <c r="T107" s="16">
        <f t="shared" si="18"/>
        <v>1034.0754197818878</v>
      </c>
      <c r="U107" s="17">
        <f t="shared" si="22"/>
        <v>-6.9842166651346016E-4</v>
      </c>
      <c r="W107" t="str">
        <f>IF(AND('Data Checks'!B317&gt;'Data Checks'!B316,'Data Checks'!B316&gt;'Data Checks'!B315,'Data Checks'!B315&gt;'Data Checks'!B314),"BUY",IF(AND('Data Checks'!B317&lt;'Data Checks'!B316,'Data Checks'!B316&lt;'Data Checks'!B315,'Data Checks'!B315&lt;'Data Checks'!B314),"SELL",""))</f>
        <v>SELL</v>
      </c>
      <c r="X107" t="str">
        <f>IF(AND('Data Checks'!C317&gt;'Data Checks'!C316,'Data Checks'!C316&gt;'Data Checks'!C315,'Data Checks'!C315&gt;'Data Checks'!C314),"BUY",IF(AND('Data Checks'!C317&lt;'Data Checks'!C316,'Data Checks'!C316&lt;'Data Checks'!C315,'Data Checks'!C315&lt;'Data Checks'!C314),"SELL",""))</f>
        <v/>
      </c>
      <c r="Y107" t="str">
        <f>IF(AND('Data Checks'!D317&gt;'Data Checks'!D316,'Data Checks'!D316&gt;'Data Checks'!D315,'Data Checks'!D315&gt;'Data Checks'!D314),"BUY",IF(AND('Data Checks'!D317&lt;'Data Checks'!D316,'Data Checks'!D316&lt;'Data Checks'!D315,'Data Checks'!D315&lt;'Data Checks'!D314),"SELL",""))</f>
        <v/>
      </c>
      <c r="Z107" t="str">
        <f>IF(AND('Data Checks'!E317&gt;'Data Checks'!E316,'Data Checks'!E316&gt;'Data Checks'!E315,'Data Checks'!E315&gt;'Data Checks'!E314),"BUY",IF(AND('Data Checks'!E317&lt;'Data Checks'!E316,'Data Checks'!E316&lt;'Data Checks'!E315,'Data Checks'!E315&lt;'Data Checks'!E314),"SELL",""))</f>
        <v/>
      </c>
      <c r="AA107" t="str">
        <f>IF(AND('Data Checks'!F317&gt;'Data Checks'!F316,'Data Checks'!F316&gt;'Data Checks'!F315,'Data Checks'!F315&gt;'Data Checks'!F314),"BUY",IF(AND('Data Checks'!F317&lt;'Data Checks'!F316,'Data Checks'!F316&lt;'Data Checks'!F315,'Data Checks'!F315&lt;'Data Checks'!F314),"SELL",""))</f>
        <v/>
      </c>
      <c r="AB107">
        <f>IF(W106="BUY",AB106*('Data Checks'!B317/'Data Checks'!B316),IF(W106="SELL",AB106*('Data Checks'!B316/'Data Checks'!B317),AB106))</f>
        <v>214.13246233275922</v>
      </c>
      <c r="AC107">
        <f>IF(X106="BUY",AC106*('Data Checks'!C317/'Data Checks'!C316),IF(X106="SELL",AC106*('Data Checks'!C316/'Data Checks'!C317),AC106))</f>
        <v>195.80403253240894</v>
      </c>
      <c r="AD107">
        <f>IF(Y106="BUY",AD106*('Data Checks'!D317/'Data Checks'!D316),IF(Y106="SELL",AD106*('Data Checks'!D316/'Data Checks'!D317),AD106))</f>
        <v>146.97069002359308</v>
      </c>
      <c r="AE107">
        <f>IF(Z106="BUY",AE106*('Data Checks'!E317/'Data Checks'!E316),IF(Z106="SELL",AE106*('Data Checks'!E316/'Data Checks'!E317),AE106))</f>
        <v>240.24450689154909</v>
      </c>
      <c r="AF107">
        <f>IF(AA106="BUY",AF106*('Data Checks'!F317/'Data Checks'!F316),IF(AA106="SELL",AF106*('Data Checks'!F316/'Data Checks'!F317),AF106))</f>
        <v>195.7626001288769</v>
      </c>
      <c r="AG107" s="16">
        <f t="shared" si="19"/>
        <v>992.91429190918723</v>
      </c>
      <c r="AH107" s="17">
        <f t="shared" si="23"/>
        <v>8.3186088599940256E-4</v>
      </c>
      <c r="AJ107" t="str">
        <f>IF('Moving Ave'!G317&gt;'Moving Ave'!L317,"SELL","BUY")</f>
        <v>SELL</v>
      </c>
      <c r="AK107" t="str">
        <f>IF('Moving Ave'!H317&gt;'Moving Ave'!M317,"SELL","BUY")</f>
        <v>BUY</v>
      </c>
      <c r="AL107" t="str">
        <f>IF('Moving Ave'!I317&gt;'Moving Ave'!N317,"SELL","BUY")</f>
        <v>BUY</v>
      </c>
      <c r="AM107" t="str">
        <f>IF('Moving Ave'!J317&gt;'Moving Ave'!O317,"SELL","BUY")</f>
        <v>BUY</v>
      </c>
      <c r="AN107" t="str">
        <f>IF('Moving Ave'!K317&gt;'Moving Ave'!P317,"SELL","BUY")</f>
        <v>BUY</v>
      </c>
      <c r="AO107">
        <f>IF(AJ106="BUY",AO106*('Data Checks'!B317/'Data Checks'!B316),AO106*('Data Checks'!B316/'Data Checks'!B317))</f>
        <v>184.470273332468</v>
      </c>
      <c r="AP107">
        <f>IF(AK106="BUY",AP106*('Data Checks'!C317/'Data Checks'!C316),AP106*('Data Checks'!C316/'Data Checks'!C317))</f>
        <v>119.83744271875659</v>
      </c>
      <c r="AQ107">
        <f>IF(AL106="BUY",AQ106*('Data Checks'!D317/'Data Checks'!D316),AQ106*('Data Checks'!D316/'Data Checks'!D317))</f>
        <v>293.2717426550534</v>
      </c>
      <c r="AR107">
        <f>IF(AM106="BUY",AR106*('Data Checks'!E317/'Data Checks'!E316),AR106*('Data Checks'!E316/'Data Checks'!E317))</f>
        <v>109.17308305413179</v>
      </c>
      <c r="AS107">
        <f>IF(AN106="BUY",AS106*('Data Checks'!F317/'Data Checks'!F316),AS106*('Data Checks'!F316/'Data Checks'!F317))</f>
        <v>176.6022273977679</v>
      </c>
      <c r="AT107" s="16">
        <f t="shared" si="20"/>
        <v>883.35476915817776</v>
      </c>
      <c r="AU107" s="17">
        <f t="shared" si="24"/>
        <v>-1.4116952439743646E-2</v>
      </c>
    </row>
    <row r="108" spans="1:47" x14ac:dyDescent="0.35">
      <c r="A108" s="2">
        <f>Prices!A316</f>
        <v>44345</v>
      </c>
      <c r="B108">
        <f>B107*('Data Checks'!B318/'Data Checks'!B317)</f>
        <v>257.36114184139637</v>
      </c>
      <c r="C108">
        <f>C107*('Data Checks'!C318/'Data Checks'!C317)</f>
        <v>117.09423208265775</v>
      </c>
      <c r="D108">
        <f>D107*('Data Checks'!D318/'Data Checks'!D317)</f>
        <v>180.06344598536393</v>
      </c>
      <c r="E108">
        <f>E107*('Data Checks'!E318/'Data Checks'!E317)</f>
        <v>106.96350830386649</v>
      </c>
      <c r="F108">
        <f>F107*('Data Checks'!F318/'Data Checks'!F317)</f>
        <v>120.69623730132919</v>
      </c>
      <c r="G108" s="16">
        <f t="shared" si="17"/>
        <v>782.17856551461375</v>
      </c>
      <c r="H108" s="17">
        <f t="shared" si="21"/>
        <v>8.6134572164429102E-3</v>
      </c>
      <c r="J108" t="str">
        <f>IF(AND('Data Checks'!B318&gt;'Data Checks'!B317,'Data Checks'!B317&gt;'Data Checks'!B316,'Data Checks'!B316&gt;'Data Checks'!B315),"SELL",IF(AND('Data Checks'!B318&lt;'Data Checks'!B317,'Data Checks'!B317&lt;'Data Checks'!B316,'Data Checks'!B316&lt;'Data Checks'!B315),"BUY",""))</f>
        <v/>
      </c>
      <c r="K108" t="str">
        <f>IF(AND('Data Checks'!C318&gt;'Data Checks'!C317,'Data Checks'!C317&gt;'Data Checks'!C316,'Data Checks'!C316&gt;'Data Checks'!C315),"SELL",IF(AND('Data Checks'!C318&lt;'Data Checks'!C317,'Data Checks'!C317&lt;'Data Checks'!C316,'Data Checks'!C316&lt;'Data Checks'!C315),"BUY",""))</f>
        <v/>
      </c>
      <c r="L108" t="str">
        <f>IF(AND('Data Checks'!D318&gt;'Data Checks'!D317,'Data Checks'!D317&gt;'Data Checks'!D316,'Data Checks'!D316&gt;'Data Checks'!D315),"SELL",IF(AND('Data Checks'!D318&lt;'Data Checks'!D317,'Data Checks'!D317&lt;'Data Checks'!D316,'Data Checks'!D316&lt;'Data Checks'!D315),"BUY",""))</f>
        <v>SELL</v>
      </c>
      <c r="M108" t="str">
        <f>IF(AND('Data Checks'!E318&gt;'Data Checks'!E317,'Data Checks'!E317&gt;'Data Checks'!E316,'Data Checks'!E316&gt;'Data Checks'!E315),"SELL",IF(AND('Data Checks'!E318&lt;'Data Checks'!E317,'Data Checks'!E317&lt;'Data Checks'!E316,'Data Checks'!E316&lt;'Data Checks'!E315),"BUY",""))</f>
        <v/>
      </c>
      <c r="N108" t="str">
        <f>IF(AND('Data Checks'!F318&gt;'Data Checks'!F317,'Data Checks'!F317&gt;'Data Checks'!F316,'Data Checks'!F316&gt;'Data Checks'!F315),"SELL",IF(AND('Data Checks'!F318&lt;'Data Checks'!F317,'Data Checks'!F317&lt;'Data Checks'!F316,'Data Checks'!F316&lt;'Data Checks'!F315),"BUY",""))</f>
        <v/>
      </c>
      <c r="O108">
        <f>IF(J107="BUY",O107*('Data Checks'!B318/'Data Checks'!B317),IF(J107="SELL",O107*('Data Checks'!B317/'Data Checks'!B318),O107))</f>
        <v>190.01097762584138</v>
      </c>
      <c r="P108">
        <f>IF(K107="BUY",P107*('Data Checks'!C318/'Data Checks'!C317),IF(K107="SELL",P107*('Data Checks'!C317/'Data Checks'!C318),P107))</f>
        <v>204.28588462997735</v>
      </c>
      <c r="Q108">
        <f>IF(L107="BUY",Q107*('Data Checks'!D318/'Data Checks'!D317),IF(L107="SELL",Q107*('Data Checks'!D317/'Data Checks'!D318),Q107))</f>
        <v>272.16310948515547</v>
      </c>
      <c r="R108">
        <f>IF(M107="BUY",R107*('Data Checks'!E318/'Data Checks'!E317),IF(M107="SELL",R107*('Data Checks'!E317/'Data Checks'!E318),R107))</f>
        <v>166.49704302315951</v>
      </c>
      <c r="S108">
        <f>IF(N107="BUY",S107*('Data Checks'!F318/'Data Checks'!F317),IF(N107="SELL",S107*('Data Checks'!F317/'Data Checks'!F318),S107))</f>
        <v>204.32912095398558</v>
      </c>
      <c r="T108" s="16">
        <f t="shared" si="18"/>
        <v>1037.2861357181191</v>
      </c>
      <c r="U108" s="17">
        <f t="shared" si="22"/>
        <v>3.1049146656134674E-3</v>
      </c>
      <c r="W108" t="str">
        <f>IF(AND('Data Checks'!B318&gt;'Data Checks'!B317,'Data Checks'!B317&gt;'Data Checks'!B316,'Data Checks'!B316&gt;'Data Checks'!B315),"BUY",IF(AND('Data Checks'!B318&lt;'Data Checks'!B317,'Data Checks'!B317&lt;'Data Checks'!B316,'Data Checks'!B316&lt;'Data Checks'!B315),"SELL",""))</f>
        <v/>
      </c>
      <c r="X108" t="str">
        <f>IF(AND('Data Checks'!C318&gt;'Data Checks'!C317,'Data Checks'!C317&gt;'Data Checks'!C316,'Data Checks'!C316&gt;'Data Checks'!C315),"BUY",IF(AND('Data Checks'!C318&lt;'Data Checks'!C317,'Data Checks'!C317&lt;'Data Checks'!C316,'Data Checks'!C316&lt;'Data Checks'!C315),"SELL",""))</f>
        <v/>
      </c>
      <c r="Y108" t="str">
        <f>IF(AND('Data Checks'!D318&gt;'Data Checks'!D317,'Data Checks'!D317&gt;'Data Checks'!D316,'Data Checks'!D316&gt;'Data Checks'!D315),"BUY",IF(AND('Data Checks'!D318&lt;'Data Checks'!D317,'Data Checks'!D317&lt;'Data Checks'!D316,'Data Checks'!D316&lt;'Data Checks'!D315),"SELL",""))</f>
        <v>BUY</v>
      </c>
      <c r="Z108" t="str">
        <f>IF(AND('Data Checks'!E318&gt;'Data Checks'!E317,'Data Checks'!E317&gt;'Data Checks'!E316,'Data Checks'!E316&gt;'Data Checks'!E315),"BUY",IF(AND('Data Checks'!E318&lt;'Data Checks'!E317,'Data Checks'!E317&lt;'Data Checks'!E316,'Data Checks'!E316&lt;'Data Checks'!E315),"SELL",""))</f>
        <v/>
      </c>
      <c r="AA108" t="str">
        <f>IF(AND('Data Checks'!F318&gt;'Data Checks'!F317,'Data Checks'!F317&gt;'Data Checks'!F316,'Data Checks'!F316&gt;'Data Checks'!F315),"BUY",IF(AND('Data Checks'!F318&lt;'Data Checks'!F317,'Data Checks'!F317&lt;'Data Checks'!F316,'Data Checks'!F316&lt;'Data Checks'!F315),"SELL",""))</f>
        <v/>
      </c>
      <c r="AB108">
        <f>IF(W107="BUY",AB107*('Data Checks'!B318/'Data Checks'!B317),IF(W107="SELL",AB107*('Data Checks'!B317/'Data Checks'!B318),AB107))</f>
        <v>210.51415291786813</v>
      </c>
      <c r="AC108">
        <f>IF(X107="BUY",AC107*('Data Checks'!C318/'Data Checks'!C317),IF(X107="SELL",AC107*('Data Checks'!C317/'Data Checks'!C318),AC107))</f>
        <v>195.80403253240894</v>
      </c>
      <c r="AD108">
        <f>IF(Y107="BUY",AD107*('Data Checks'!D318/'Data Checks'!D317),IF(Y107="SELL",AD107*('Data Checks'!D317/'Data Checks'!D318),AD107))</f>
        <v>146.97069002359308</v>
      </c>
      <c r="AE108">
        <f>IF(Z107="BUY",AE107*('Data Checks'!E318/'Data Checks'!E317),IF(Z107="SELL",AE107*('Data Checks'!E317/'Data Checks'!E318),AE107))</f>
        <v>240.24450689154909</v>
      </c>
      <c r="AF108">
        <f>IF(AA107="BUY",AF107*('Data Checks'!F318/'Data Checks'!F317),IF(AA107="SELL",AF107*('Data Checks'!F317/'Data Checks'!F318),AF107))</f>
        <v>195.7626001288769</v>
      </c>
      <c r="AG108" s="16">
        <f t="shared" si="19"/>
        <v>989.29598249429614</v>
      </c>
      <c r="AH108" s="17">
        <f t="shared" si="23"/>
        <v>-3.6441306609996671E-3</v>
      </c>
      <c r="AJ108" t="str">
        <f>IF('Moving Ave'!G318&gt;'Moving Ave'!L318,"SELL","BUY")</f>
        <v>SELL</v>
      </c>
      <c r="AK108" t="str">
        <f>IF('Moving Ave'!H318&gt;'Moving Ave'!M318,"SELL","BUY")</f>
        <v>BUY</v>
      </c>
      <c r="AL108" t="str">
        <f>IF('Moving Ave'!I318&gt;'Moving Ave'!N318,"SELL","BUY")</f>
        <v>BUY</v>
      </c>
      <c r="AM108" t="str">
        <f>IF('Moving Ave'!J318&gt;'Moving Ave'!O318,"SELL","BUY")</f>
        <v>BUY</v>
      </c>
      <c r="AN108" t="str">
        <f>IF('Moving Ave'!K318&gt;'Moving Ave'!P318,"SELL","BUY")</f>
        <v>BUY</v>
      </c>
      <c r="AO108">
        <f>IF(AJ107="BUY",AO107*('Data Checks'!B318/'Data Checks'!B317),AO107*('Data Checks'!B317/'Data Checks'!B318))</f>
        <v>181.35318160571634</v>
      </c>
      <c r="AP108">
        <f>IF(AK107="BUY",AP107*('Data Checks'!C318/'Data Checks'!C317),AP107*('Data Checks'!C317/'Data Checks'!C318))</f>
        <v>117.09423208265775</v>
      </c>
      <c r="AQ108">
        <f>IF(AL107="BUY",AQ107*('Data Checks'!D318/'Data Checks'!D317),AQ107*('Data Checks'!D317/'Data Checks'!D318))</f>
        <v>301.14668405466313</v>
      </c>
      <c r="AR108">
        <f>IF(AM107="BUY",AR107*('Data Checks'!E318/'Data Checks'!E317),AR107*('Data Checks'!E317/'Data Checks'!E318))</f>
        <v>106.96350830386649</v>
      </c>
      <c r="AS108">
        <f>IF(AN107="BUY",AS107*('Data Checks'!F318/'Data Checks'!F317),AS107*('Data Checks'!F317/'Data Checks'!F318))</f>
        <v>180.45226223393303</v>
      </c>
      <c r="AT108" s="16">
        <f t="shared" si="20"/>
        <v>887.00986828083683</v>
      </c>
      <c r="AU108" s="17">
        <f t="shared" si="24"/>
        <v>4.1377476527830748E-3</v>
      </c>
    </row>
    <row r="109" spans="1:47" x14ac:dyDescent="0.35">
      <c r="A109" s="2">
        <f>Prices!A317</f>
        <v>44348</v>
      </c>
      <c r="B109">
        <f>B108*('Data Checks'!B319/'Data Checks'!B318)</f>
        <v>260.38219250487521</v>
      </c>
      <c r="C109">
        <f>C108*('Data Checks'!C319/'Data Checks'!C318)</f>
        <v>121.00584508523873</v>
      </c>
      <c r="D109">
        <f>D108*('Data Checks'!D319/'Data Checks'!D318)</f>
        <v>183.23593226308117</v>
      </c>
      <c r="E109">
        <f>E108*('Data Checks'!E319/'Data Checks'!E318)</f>
        <v>111.08134880879317</v>
      </c>
      <c r="F109">
        <f>F108*('Data Checks'!F319/'Data Checks'!F318)</f>
        <v>124.41583105983553</v>
      </c>
      <c r="G109" s="16">
        <f t="shared" si="17"/>
        <v>800.12114972182383</v>
      </c>
      <c r="H109" s="17">
        <f t="shared" si="21"/>
        <v>2.2939243030017265E-2</v>
      </c>
      <c r="J109" t="str">
        <f>IF(AND('Data Checks'!B319&gt;'Data Checks'!B318,'Data Checks'!B318&gt;'Data Checks'!B317,'Data Checks'!B317&gt;'Data Checks'!B316),"SELL",IF(AND('Data Checks'!B319&lt;'Data Checks'!B318,'Data Checks'!B318&lt;'Data Checks'!B317,'Data Checks'!B317&lt;'Data Checks'!B316),"BUY",""))</f>
        <v/>
      </c>
      <c r="K109" t="str">
        <f>IF(AND('Data Checks'!C319&gt;'Data Checks'!C318,'Data Checks'!C318&gt;'Data Checks'!C317,'Data Checks'!C317&gt;'Data Checks'!C316),"SELL",IF(AND('Data Checks'!C319&lt;'Data Checks'!C318,'Data Checks'!C318&lt;'Data Checks'!C317,'Data Checks'!C317&lt;'Data Checks'!C316),"BUY",""))</f>
        <v/>
      </c>
      <c r="L109" t="str">
        <f>IF(AND('Data Checks'!D319&gt;'Data Checks'!D318,'Data Checks'!D318&gt;'Data Checks'!D317,'Data Checks'!D317&gt;'Data Checks'!D316),"SELL",IF(AND('Data Checks'!D319&lt;'Data Checks'!D318,'Data Checks'!D318&lt;'Data Checks'!D317,'Data Checks'!D317&lt;'Data Checks'!D316),"BUY",""))</f>
        <v>SELL</v>
      </c>
      <c r="M109" t="str">
        <f>IF(AND('Data Checks'!E319&gt;'Data Checks'!E318,'Data Checks'!E318&gt;'Data Checks'!E317,'Data Checks'!E317&gt;'Data Checks'!E316),"SELL",IF(AND('Data Checks'!E319&lt;'Data Checks'!E318,'Data Checks'!E318&lt;'Data Checks'!E317,'Data Checks'!E317&lt;'Data Checks'!E316),"BUY",""))</f>
        <v/>
      </c>
      <c r="N109" t="str">
        <f>IF(AND('Data Checks'!F319&gt;'Data Checks'!F318,'Data Checks'!F318&gt;'Data Checks'!F317,'Data Checks'!F317&gt;'Data Checks'!F316),"SELL",IF(AND('Data Checks'!F319&lt;'Data Checks'!F318,'Data Checks'!F318&lt;'Data Checks'!F317,'Data Checks'!F317&lt;'Data Checks'!F316),"BUY",""))</f>
        <v/>
      </c>
      <c r="O109">
        <f>IF(J108="BUY",O108*('Data Checks'!B319/'Data Checks'!B318),IF(J108="SELL",O108*('Data Checks'!B318/'Data Checks'!B319),O108))</f>
        <v>190.01097762584138</v>
      </c>
      <c r="P109">
        <f>IF(K108="BUY",P108*('Data Checks'!C319/'Data Checks'!C318),IF(K108="SELL",P108*('Data Checks'!C318/'Data Checks'!C319),P108))</f>
        <v>204.28588462997735</v>
      </c>
      <c r="Q109">
        <f>IF(L108="BUY",Q108*('Data Checks'!D319/'Data Checks'!D318),IF(L108="SELL",Q108*('Data Checks'!D318/'Data Checks'!D319),Q108))</f>
        <v>267.45096749707182</v>
      </c>
      <c r="R109">
        <f>IF(M108="BUY",R108*('Data Checks'!E319/'Data Checks'!E318),IF(M108="SELL",R108*('Data Checks'!E318/'Data Checks'!E319),R108))</f>
        <v>166.49704302315951</v>
      </c>
      <c r="S109">
        <f>IF(N108="BUY",S108*('Data Checks'!F319/'Data Checks'!F318),IF(N108="SELL",S108*('Data Checks'!F318/'Data Checks'!F319),S108))</f>
        <v>204.32912095398558</v>
      </c>
      <c r="T109" s="16">
        <f t="shared" si="18"/>
        <v>1032.5739937300355</v>
      </c>
      <c r="U109" s="17">
        <f t="shared" si="22"/>
        <v>-4.5427600213912012E-3</v>
      </c>
      <c r="W109" t="str">
        <f>IF(AND('Data Checks'!B319&gt;'Data Checks'!B318,'Data Checks'!B318&gt;'Data Checks'!B317,'Data Checks'!B317&gt;'Data Checks'!B316),"BUY",IF(AND('Data Checks'!B319&lt;'Data Checks'!B318,'Data Checks'!B318&lt;'Data Checks'!B317,'Data Checks'!B317&lt;'Data Checks'!B316),"SELL",""))</f>
        <v/>
      </c>
      <c r="X109" t="str">
        <f>IF(AND('Data Checks'!C319&gt;'Data Checks'!C318,'Data Checks'!C318&gt;'Data Checks'!C317,'Data Checks'!C317&gt;'Data Checks'!C316),"BUY",IF(AND('Data Checks'!C319&lt;'Data Checks'!C318,'Data Checks'!C318&lt;'Data Checks'!C317,'Data Checks'!C317&lt;'Data Checks'!C316),"SELL",""))</f>
        <v/>
      </c>
      <c r="Y109" t="str">
        <f>IF(AND('Data Checks'!D319&gt;'Data Checks'!D318,'Data Checks'!D318&gt;'Data Checks'!D317,'Data Checks'!D317&gt;'Data Checks'!D316),"BUY",IF(AND('Data Checks'!D319&lt;'Data Checks'!D318,'Data Checks'!D318&lt;'Data Checks'!D317,'Data Checks'!D317&lt;'Data Checks'!D316),"SELL",""))</f>
        <v>BUY</v>
      </c>
      <c r="Z109" t="str">
        <f>IF(AND('Data Checks'!E319&gt;'Data Checks'!E318,'Data Checks'!E318&gt;'Data Checks'!E317,'Data Checks'!E317&gt;'Data Checks'!E316),"BUY",IF(AND('Data Checks'!E319&lt;'Data Checks'!E318,'Data Checks'!E318&lt;'Data Checks'!E317,'Data Checks'!E317&lt;'Data Checks'!E316),"SELL",""))</f>
        <v/>
      </c>
      <c r="AA109" t="str">
        <f>IF(AND('Data Checks'!F319&gt;'Data Checks'!F318,'Data Checks'!F318&gt;'Data Checks'!F317,'Data Checks'!F317&gt;'Data Checks'!F316),"BUY",IF(AND('Data Checks'!F319&lt;'Data Checks'!F318,'Data Checks'!F318&lt;'Data Checks'!F317,'Data Checks'!F317&lt;'Data Checks'!F316),"SELL",""))</f>
        <v/>
      </c>
      <c r="AB109">
        <f>IF(W108="BUY",AB108*('Data Checks'!B319/'Data Checks'!B318),IF(W108="SELL",AB108*('Data Checks'!B318/'Data Checks'!B319),AB108))</f>
        <v>210.51415291786813</v>
      </c>
      <c r="AC109">
        <f>IF(X108="BUY",AC108*('Data Checks'!C319/'Data Checks'!C318),IF(X108="SELL",AC108*('Data Checks'!C318/'Data Checks'!C319),AC108))</f>
        <v>195.80403253240894</v>
      </c>
      <c r="AD109">
        <f>IF(Y108="BUY",AD108*('Data Checks'!D319/'Data Checks'!D318),IF(Y108="SELL",AD108*('Data Checks'!D318/'Data Checks'!D319),AD108))</f>
        <v>149.56012451305844</v>
      </c>
      <c r="AE109">
        <f>IF(Z108="BUY",AE108*('Data Checks'!E319/'Data Checks'!E318),IF(Z108="SELL",AE108*('Data Checks'!E318/'Data Checks'!E319),AE108))</f>
        <v>240.24450689154909</v>
      </c>
      <c r="AF109">
        <f>IF(AA108="BUY",AF108*('Data Checks'!F319/'Data Checks'!F318),IF(AA108="SELL",AF108*('Data Checks'!F318/'Data Checks'!F319),AF108))</f>
        <v>195.7626001288769</v>
      </c>
      <c r="AG109" s="16">
        <f t="shared" si="19"/>
        <v>991.8854169837615</v>
      </c>
      <c r="AH109" s="17">
        <f t="shared" si="23"/>
        <v>2.6174517386967633E-3</v>
      </c>
      <c r="AJ109" t="str">
        <f>IF('Moving Ave'!G319&gt;'Moving Ave'!L319,"SELL","BUY")</f>
        <v>SELL</v>
      </c>
      <c r="AK109" t="str">
        <f>IF('Moving Ave'!H319&gt;'Moving Ave'!M319,"SELL","BUY")</f>
        <v>BUY</v>
      </c>
      <c r="AL109" t="str">
        <f>IF('Moving Ave'!I319&gt;'Moving Ave'!N319,"SELL","BUY")</f>
        <v>BUY</v>
      </c>
      <c r="AM109" t="str">
        <f>IF('Moving Ave'!J319&gt;'Moving Ave'!O319,"SELL","BUY")</f>
        <v>BUY</v>
      </c>
      <c r="AN109" t="str">
        <f>IF('Moving Ave'!K319&gt;'Moving Ave'!P319,"SELL","BUY")</f>
        <v>BUY</v>
      </c>
      <c r="AO109">
        <f>IF(AJ108="BUY",AO108*('Data Checks'!B319/'Data Checks'!B318),AO108*('Data Checks'!B318/'Data Checks'!B319))</f>
        <v>179.24905480524902</v>
      </c>
      <c r="AP109">
        <f>IF(AK108="BUY",AP108*('Data Checks'!C319/'Data Checks'!C318),AP108*('Data Checks'!C318/'Data Checks'!C319))</f>
        <v>121.00584508523873</v>
      </c>
      <c r="AQ109">
        <f>IF(AL108="BUY",AQ108*('Data Checks'!D319/'Data Checks'!D318),AQ108*('Data Checks'!D318/'Data Checks'!D319))</f>
        <v>306.45250122102527</v>
      </c>
      <c r="AR109">
        <f>IF(AM108="BUY",AR108*('Data Checks'!E319/'Data Checks'!E318),AR108*('Data Checks'!E318/'Data Checks'!E319))</f>
        <v>111.08134880879317</v>
      </c>
      <c r="AS109">
        <f>IF(AN108="BUY",AS108*('Data Checks'!F319/'Data Checks'!F318),AS108*('Data Checks'!F318/'Data Checks'!F319))</f>
        <v>186.01340583974363</v>
      </c>
      <c r="AT109" s="16">
        <f t="shared" si="20"/>
        <v>903.8021557600498</v>
      </c>
      <c r="AU109" s="17">
        <f t="shared" si="24"/>
        <v>1.8931342344318036E-2</v>
      </c>
    </row>
    <row r="110" spans="1:47" x14ac:dyDescent="0.35">
      <c r="A110" s="2">
        <f>Prices!A318</f>
        <v>44349</v>
      </c>
      <c r="B110">
        <f>B109*('Data Checks'!B320/'Data Checks'!B319)</f>
        <v>260.52654084790635</v>
      </c>
      <c r="C110">
        <f>C109*('Data Checks'!C320/'Data Checks'!C319)</f>
        <v>122.68224848062616</v>
      </c>
      <c r="D110">
        <f>D109*('Data Checks'!D320/'Data Checks'!D319)</f>
        <v>186.17465664008441</v>
      </c>
      <c r="E110">
        <f>E109*('Data Checks'!E320/'Data Checks'!E319)</f>
        <v>113.8265780439713</v>
      </c>
      <c r="F110">
        <f>F109*('Data Checks'!F320/'Data Checks'!F319)</f>
        <v>132.99952216975959</v>
      </c>
      <c r="G110" s="16">
        <f t="shared" si="17"/>
        <v>816.20954618234782</v>
      </c>
      <c r="H110" s="17">
        <f t="shared" si="21"/>
        <v>2.010745056060248E-2</v>
      </c>
      <c r="J110" t="str">
        <f>IF(AND('Data Checks'!B320&gt;'Data Checks'!B319,'Data Checks'!B319&gt;'Data Checks'!B318,'Data Checks'!B318&gt;'Data Checks'!B317),"SELL",IF(AND('Data Checks'!B320&lt;'Data Checks'!B319,'Data Checks'!B319&lt;'Data Checks'!B318,'Data Checks'!B318&lt;'Data Checks'!B317),"BUY",""))</f>
        <v>SELL</v>
      </c>
      <c r="K110" t="str">
        <f>IF(AND('Data Checks'!C320&gt;'Data Checks'!C319,'Data Checks'!C319&gt;'Data Checks'!C318,'Data Checks'!C318&gt;'Data Checks'!C317),"SELL",IF(AND('Data Checks'!C320&lt;'Data Checks'!C319,'Data Checks'!C319&lt;'Data Checks'!C318,'Data Checks'!C318&lt;'Data Checks'!C317),"BUY",""))</f>
        <v/>
      </c>
      <c r="L110" t="str">
        <f>IF(AND('Data Checks'!D320&gt;'Data Checks'!D319,'Data Checks'!D319&gt;'Data Checks'!D318,'Data Checks'!D318&gt;'Data Checks'!D317),"SELL",IF(AND('Data Checks'!D320&lt;'Data Checks'!D319,'Data Checks'!D319&lt;'Data Checks'!D318,'Data Checks'!D318&lt;'Data Checks'!D317),"BUY",""))</f>
        <v>SELL</v>
      </c>
      <c r="M110" t="str">
        <f>IF(AND('Data Checks'!E320&gt;'Data Checks'!E319,'Data Checks'!E319&gt;'Data Checks'!E318,'Data Checks'!E318&gt;'Data Checks'!E317),"SELL",IF(AND('Data Checks'!E320&lt;'Data Checks'!E319,'Data Checks'!E319&lt;'Data Checks'!E318,'Data Checks'!E318&lt;'Data Checks'!E317),"BUY",""))</f>
        <v/>
      </c>
      <c r="N110" t="str">
        <f>IF(AND('Data Checks'!F320&gt;'Data Checks'!F319,'Data Checks'!F319&gt;'Data Checks'!F318,'Data Checks'!F318&gt;'Data Checks'!F317),"SELL",IF(AND('Data Checks'!F320&lt;'Data Checks'!F319,'Data Checks'!F319&lt;'Data Checks'!F318,'Data Checks'!F318&lt;'Data Checks'!F317),"BUY",""))</f>
        <v>SELL</v>
      </c>
      <c r="O110">
        <f>IF(J109="BUY",O109*('Data Checks'!B320/'Data Checks'!B319),IF(J109="SELL",O109*('Data Checks'!B319/'Data Checks'!B320),O109))</f>
        <v>190.01097762584138</v>
      </c>
      <c r="P110">
        <f>IF(K109="BUY",P109*('Data Checks'!C320/'Data Checks'!C319),IF(K109="SELL",P109*('Data Checks'!C319/'Data Checks'!C320),P109))</f>
        <v>204.28588462997735</v>
      </c>
      <c r="Q110">
        <f>IF(L109="BUY",Q109*('Data Checks'!D320/'Data Checks'!D319),IF(L109="SELL",Q109*('Data Checks'!D319/'Data Checks'!D320),Q109))</f>
        <v>263.22931514104687</v>
      </c>
      <c r="R110">
        <f>IF(M109="BUY",R109*('Data Checks'!E320/'Data Checks'!E319),IF(M109="SELL",R109*('Data Checks'!E319/'Data Checks'!E320),R109))</f>
        <v>166.49704302315951</v>
      </c>
      <c r="S110">
        <f>IF(N109="BUY",S109*('Data Checks'!F320/'Data Checks'!F319),IF(N109="SELL",S109*('Data Checks'!F319/'Data Checks'!F320),S109))</f>
        <v>204.32912095398558</v>
      </c>
      <c r="T110" s="16">
        <f t="shared" si="18"/>
        <v>1028.3523413740108</v>
      </c>
      <c r="U110" s="17">
        <f t="shared" si="22"/>
        <v>-4.0884744160314401E-3</v>
      </c>
      <c r="W110" t="str">
        <f>IF(AND('Data Checks'!B320&gt;'Data Checks'!B319,'Data Checks'!B319&gt;'Data Checks'!B318,'Data Checks'!B318&gt;'Data Checks'!B317),"BUY",IF(AND('Data Checks'!B320&lt;'Data Checks'!B319,'Data Checks'!B319&lt;'Data Checks'!B318,'Data Checks'!B318&lt;'Data Checks'!B317),"SELL",""))</f>
        <v>BUY</v>
      </c>
      <c r="X110" t="str">
        <f>IF(AND('Data Checks'!C320&gt;'Data Checks'!C319,'Data Checks'!C319&gt;'Data Checks'!C318,'Data Checks'!C318&gt;'Data Checks'!C317),"BUY",IF(AND('Data Checks'!C320&lt;'Data Checks'!C319,'Data Checks'!C319&lt;'Data Checks'!C318,'Data Checks'!C318&lt;'Data Checks'!C317),"SELL",""))</f>
        <v/>
      </c>
      <c r="Y110" t="str">
        <f>IF(AND('Data Checks'!D320&gt;'Data Checks'!D319,'Data Checks'!D319&gt;'Data Checks'!D318,'Data Checks'!D318&gt;'Data Checks'!D317),"BUY",IF(AND('Data Checks'!D320&lt;'Data Checks'!D319,'Data Checks'!D319&lt;'Data Checks'!D318,'Data Checks'!D318&lt;'Data Checks'!D317),"SELL",""))</f>
        <v>BUY</v>
      </c>
      <c r="Z110" t="str">
        <f>IF(AND('Data Checks'!E320&gt;'Data Checks'!E319,'Data Checks'!E319&gt;'Data Checks'!E318,'Data Checks'!E318&gt;'Data Checks'!E317),"BUY",IF(AND('Data Checks'!E320&lt;'Data Checks'!E319,'Data Checks'!E319&lt;'Data Checks'!E318,'Data Checks'!E318&lt;'Data Checks'!E317),"SELL",""))</f>
        <v/>
      </c>
      <c r="AA110" t="str">
        <f>IF(AND('Data Checks'!F320&gt;'Data Checks'!F319,'Data Checks'!F319&gt;'Data Checks'!F318,'Data Checks'!F318&gt;'Data Checks'!F317),"BUY",IF(AND('Data Checks'!F320&lt;'Data Checks'!F319,'Data Checks'!F319&lt;'Data Checks'!F318,'Data Checks'!F318&lt;'Data Checks'!F317),"SELL",""))</f>
        <v>BUY</v>
      </c>
      <c r="AB110">
        <f>IF(W109="BUY",AB109*('Data Checks'!B320/'Data Checks'!B319),IF(W109="SELL",AB109*('Data Checks'!B319/'Data Checks'!B320),AB109))</f>
        <v>210.51415291786813</v>
      </c>
      <c r="AC110">
        <f>IF(X109="BUY",AC109*('Data Checks'!C320/'Data Checks'!C319),IF(X109="SELL",AC109*('Data Checks'!C319/'Data Checks'!C320),AC109))</f>
        <v>195.80403253240894</v>
      </c>
      <c r="AD110">
        <f>IF(Y109="BUY",AD109*('Data Checks'!D320/'Data Checks'!D319),IF(Y109="SELL",AD109*('Data Checks'!D319/'Data Checks'!D320),AD109))</f>
        <v>151.95875876730028</v>
      </c>
      <c r="AE110">
        <f>IF(Z109="BUY",AE109*('Data Checks'!E320/'Data Checks'!E319),IF(Z109="SELL",AE109*('Data Checks'!E319/'Data Checks'!E320),AE109))</f>
        <v>240.24450689154909</v>
      </c>
      <c r="AF110">
        <f>IF(AA109="BUY",AF109*('Data Checks'!F320/'Data Checks'!F319),IF(AA109="SELL",AF109*('Data Checks'!F319/'Data Checks'!F320),AF109))</f>
        <v>195.7626001288769</v>
      </c>
      <c r="AG110" s="16">
        <f t="shared" si="19"/>
        <v>994.28405123800337</v>
      </c>
      <c r="AH110" s="17">
        <f t="shared" si="23"/>
        <v>2.4182574047069139E-3</v>
      </c>
      <c r="AJ110" t="str">
        <f>IF('Moving Ave'!G320&gt;'Moving Ave'!L320,"SELL","BUY")</f>
        <v>SELL</v>
      </c>
      <c r="AK110" t="str">
        <f>IF('Moving Ave'!H320&gt;'Moving Ave'!M320,"SELL","BUY")</f>
        <v>BUY</v>
      </c>
      <c r="AL110" t="str">
        <f>IF('Moving Ave'!I320&gt;'Moving Ave'!N320,"SELL","BUY")</f>
        <v>BUY</v>
      </c>
      <c r="AM110" t="str">
        <f>IF('Moving Ave'!J320&gt;'Moving Ave'!O320,"SELL","BUY")</f>
        <v>BUY</v>
      </c>
      <c r="AN110" t="str">
        <f>IF('Moving Ave'!K320&gt;'Moving Ave'!P320,"SELL","BUY")</f>
        <v>BUY</v>
      </c>
      <c r="AO110">
        <f>IF(AJ109="BUY",AO109*('Data Checks'!B320/'Data Checks'!B319),AO109*('Data Checks'!B319/'Data Checks'!B320))</f>
        <v>179.14973938054479</v>
      </c>
      <c r="AP110">
        <f>IF(AK109="BUY",AP109*('Data Checks'!C320/'Data Checks'!C319),AP109*('Data Checks'!C319/'Data Checks'!C320))</f>
        <v>122.68224848062616</v>
      </c>
      <c r="AQ110">
        <f>IF(AL109="BUY",AQ109*('Data Checks'!D320/'Data Checks'!D319),AQ109*('Data Checks'!D319/'Data Checks'!D320))</f>
        <v>311.36736384981816</v>
      </c>
      <c r="AR110">
        <f>IF(AM109="BUY",AR109*('Data Checks'!E320/'Data Checks'!E319),AR109*('Data Checks'!E319/'Data Checks'!E320))</f>
        <v>113.8265780439713</v>
      </c>
      <c r="AS110">
        <f>IF(AN109="BUY",AS109*('Data Checks'!F320/'Data Checks'!F319),AS109*('Data Checks'!F319/'Data Checks'!F320))</f>
        <v>198.84683390458056</v>
      </c>
      <c r="AT110" s="16">
        <f t="shared" si="20"/>
        <v>925.87276365954085</v>
      </c>
      <c r="AU110" s="17">
        <f t="shared" si="24"/>
        <v>2.4419733631782403E-2</v>
      </c>
    </row>
    <row r="111" spans="1:47" x14ac:dyDescent="0.35">
      <c r="A111" s="2">
        <f>Prices!A319</f>
        <v>44350</v>
      </c>
      <c r="B111">
        <f>B110*('Data Checks'!B321/'Data Checks'!B320)</f>
        <v>261.15772719238726</v>
      </c>
      <c r="C111">
        <f>C110*('Data Checks'!C321/'Data Checks'!C320)</f>
        <v>128.32105990147483</v>
      </c>
      <c r="D111">
        <f>D110*('Data Checks'!D321/'Data Checks'!D320)</f>
        <v>188.7794287657276</v>
      </c>
      <c r="E111">
        <f>E110*('Data Checks'!E321/'Data Checks'!E320)</f>
        <v>119.35052161531567</v>
      </c>
      <c r="F111">
        <f>F110*('Data Checks'!F321/'Data Checks'!F320)</f>
        <v>134.09633572860767</v>
      </c>
      <c r="G111" s="16">
        <f t="shared" si="17"/>
        <v>831.70507320351294</v>
      </c>
      <c r="H111" s="17">
        <f t="shared" si="21"/>
        <v>1.8984741226860447E-2</v>
      </c>
      <c r="J111" t="str">
        <f>IF(AND('Data Checks'!B321&gt;'Data Checks'!B320,'Data Checks'!B320&gt;'Data Checks'!B319,'Data Checks'!B319&gt;'Data Checks'!B318),"SELL",IF(AND('Data Checks'!B321&lt;'Data Checks'!B320,'Data Checks'!B320&lt;'Data Checks'!B319,'Data Checks'!B319&lt;'Data Checks'!B318),"BUY",""))</f>
        <v>SELL</v>
      </c>
      <c r="K111" t="str">
        <f>IF(AND('Data Checks'!C321&gt;'Data Checks'!C320,'Data Checks'!C320&gt;'Data Checks'!C319,'Data Checks'!C319&gt;'Data Checks'!C318),"SELL",IF(AND('Data Checks'!C321&lt;'Data Checks'!C320,'Data Checks'!C320&lt;'Data Checks'!C319,'Data Checks'!C319&lt;'Data Checks'!C318),"BUY",""))</f>
        <v>SELL</v>
      </c>
      <c r="L111" t="str">
        <f>IF(AND('Data Checks'!D321&gt;'Data Checks'!D320,'Data Checks'!D320&gt;'Data Checks'!D319,'Data Checks'!D319&gt;'Data Checks'!D318),"SELL",IF(AND('Data Checks'!D321&lt;'Data Checks'!D320,'Data Checks'!D320&lt;'Data Checks'!D319,'Data Checks'!D319&lt;'Data Checks'!D318),"BUY",""))</f>
        <v>SELL</v>
      </c>
      <c r="M111" t="str">
        <f>IF(AND('Data Checks'!E321&gt;'Data Checks'!E320,'Data Checks'!E320&gt;'Data Checks'!E319,'Data Checks'!E319&gt;'Data Checks'!E318),"SELL",IF(AND('Data Checks'!E321&lt;'Data Checks'!E320,'Data Checks'!E320&lt;'Data Checks'!E319,'Data Checks'!E319&lt;'Data Checks'!E318),"BUY",""))</f>
        <v>SELL</v>
      </c>
      <c r="N111" t="str">
        <f>IF(AND('Data Checks'!F321&gt;'Data Checks'!F320,'Data Checks'!F320&gt;'Data Checks'!F319,'Data Checks'!F319&gt;'Data Checks'!F318),"SELL",IF(AND('Data Checks'!F321&lt;'Data Checks'!F320,'Data Checks'!F320&lt;'Data Checks'!F319,'Data Checks'!F319&lt;'Data Checks'!F318),"BUY",""))</f>
        <v>SELL</v>
      </c>
      <c r="O111">
        <f>IF(J110="BUY",O110*('Data Checks'!B321/'Data Checks'!B320),IF(J110="SELL",O110*('Data Checks'!B320/'Data Checks'!B321),O110))</f>
        <v>189.55174428946555</v>
      </c>
      <c r="P111">
        <f>IF(K110="BUY",P110*('Data Checks'!C321/'Data Checks'!C320),IF(K110="SELL",P110*('Data Checks'!C320/'Data Checks'!C321),P110))</f>
        <v>204.28588462997735</v>
      </c>
      <c r="Q111">
        <f>IF(L110="BUY",Q110*('Data Checks'!D321/'Data Checks'!D320),IF(L110="SELL",Q110*('Data Checks'!D320/'Data Checks'!D321),Q110))</f>
        <v>259.59728602000087</v>
      </c>
      <c r="R111">
        <f>IF(M110="BUY",R110*('Data Checks'!E321/'Data Checks'!E320),IF(M110="SELL",R110*('Data Checks'!E320/'Data Checks'!E321),R110))</f>
        <v>166.49704302315951</v>
      </c>
      <c r="S111">
        <f>IF(N110="BUY",S110*('Data Checks'!F321/'Data Checks'!F320),IF(N110="SELL",S110*('Data Checks'!F320/'Data Checks'!F321),S110))</f>
        <v>202.65785268918071</v>
      </c>
      <c r="T111" s="16">
        <f t="shared" si="18"/>
        <v>1022.589810651784</v>
      </c>
      <c r="U111" s="17">
        <f t="shared" si="22"/>
        <v>-5.6036540107716748E-3</v>
      </c>
      <c r="W111" t="str">
        <f>IF(AND('Data Checks'!B321&gt;'Data Checks'!B320,'Data Checks'!B320&gt;'Data Checks'!B319,'Data Checks'!B319&gt;'Data Checks'!B318),"BUY",IF(AND('Data Checks'!B321&lt;'Data Checks'!B320,'Data Checks'!B320&lt;'Data Checks'!B319,'Data Checks'!B319&lt;'Data Checks'!B318),"SELL",""))</f>
        <v>BUY</v>
      </c>
      <c r="X111" t="str">
        <f>IF(AND('Data Checks'!C321&gt;'Data Checks'!C320,'Data Checks'!C320&gt;'Data Checks'!C319,'Data Checks'!C319&gt;'Data Checks'!C318),"BUY",IF(AND('Data Checks'!C321&lt;'Data Checks'!C320,'Data Checks'!C320&lt;'Data Checks'!C319,'Data Checks'!C319&lt;'Data Checks'!C318),"SELL",""))</f>
        <v>BUY</v>
      </c>
      <c r="Y111" t="str">
        <f>IF(AND('Data Checks'!D321&gt;'Data Checks'!D320,'Data Checks'!D320&gt;'Data Checks'!D319,'Data Checks'!D319&gt;'Data Checks'!D318),"BUY",IF(AND('Data Checks'!D321&lt;'Data Checks'!D320,'Data Checks'!D320&lt;'Data Checks'!D319,'Data Checks'!D319&lt;'Data Checks'!D318),"SELL",""))</f>
        <v>BUY</v>
      </c>
      <c r="Z111" t="str">
        <f>IF(AND('Data Checks'!E321&gt;'Data Checks'!E320,'Data Checks'!E320&gt;'Data Checks'!E319,'Data Checks'!E319&gt;'Data Checks'!E318),"BUY",IF(AND('Data Checks'!E321&lt;'Data Checks'!E320,'Data Checks'!E320&lt;'Data Checks'!E319,'Data Checks'!E319&lt;'Data Checks'!E318),"SELL",""))</f>
        <v>BUY</v>
      </c>
      <c r="AA111" t="str">
        <f>IF(AND('Data Checks'!F321&gt;'Data Checks'!F320,'Data Checks'!F320&gt;'Data Checks'!F319,'Data Checks'!F319&gt;'Data Checks'!F318),"BUY",IF(AND('Data Checks'!F321&lt;'Data Checks'!F320,'Data Checks'!F320&lt;'Data Checks'!F319,'Data Checks'!F319&lt;'Data Checks'!F318),"SELL",""))</f>
        <v>BUY</v>
      </c>
      <c r="AB111">
        <f>IF(W110="BUY",AB110*('Data Checks'!B321/'Data Checks'!B320),IF(W110="SELL",AB110*('Data Checks'!B320/'Data Checks'!B321),AB110))</f>
        <v>211.02417258115952</v>
      </c>
      <c r="AC111">
        <f>IF(X110="BUY",AC110*('Data Checks'!C321/'Data Checks'!C320),IF(X110="SELL",AC110*('Data Checks'!C320/'Data Checks'!C321),AC110))</f>
        <v>195.80403253240894</v>
      </c>
      <c r="AD111">
        <f>IF(Y110="BUY",AD110*('Data Checks'!D321/'Data Checks'!D320),IF(Y110="SELL",AD110*('Data Checks'!D320/'Data Checks'!D321),AD110))</f>
        <v>154.08481580550179</v>
      </c>
      <c r="AE111">
        <f>IF(Z110="BUY",AE110*('Data Checks'!E321/'Data Checks'!E320),IF(Z110="SELL",AE110*('Data Checks'!E320/'Data Checks'!E321),AE110))</f>
        <v>240.24450689154909</v>
      </c>
      <c r="AF111">
        <f>IF(AA110="BUY",AF110*('Data Checks'!F321/'Data Checks'!F320),IF(AA110="SELL",AF110*('Data Checks'!F320/'Data Checks'!F321),AF110))</f>
        <v>197.37700498262251</v>
      </c>
      <c r="AG111" s="16">
        <f t="shared" si="19"/>
        <v>998.53453279324185</v>
      </c>
      <c r="AH111" s="17">
        <f t="shared" si="23"/>
        <v>4.2749167604028138E-3</v>
      </c>
      <c r="AJ111" t="str">
        <f>IF('Moving Ave'!G321&gt;'Moving Ave'!L321,"SELL","BUY")</f>
        <v>SELL</v>
      </c>
      <c r="AK111" t="str">
        <f>IF('Moving Ave'!H321&gt;'Moving Ave'!M321,"SELL","BUY")</f>
        <v>BUY</v>
      </c>
      <c r="AL111" t="str">
        <f>IF('Moving Ave'!I321&gt;'Moving Ave'!N321,"SELL","BUY")</f>
        <v>BUY</v>
      </c>
      <c r="AM111" t="str">
        <f>IF('Moving Ave'!J321&gt;'Moving Ave'!O321,"SELL","BUY")</f>
        <v>BUY</v>
      </c>
      <c r="AN111" t="str">
        <f>IF('Moving Ave'!K321&gt;'Moving Ave'!P321,"SELL","BUY")</f>
        <v>BUY</v>
      </c>
      <c r="AO111">
        <f>IF(AJ110="BUY",AO110*('Data Checks'!B321/'Data Checks'!B320),AO110*('Data Checks'!B320/'Data Checks'!B321))</f>
        <v>178.71675633106756</v>
      </c>
      <c r="AP111">
        <f>IF(AK110="BUY",AP110*('Data Checks'!C321/'Data Checks'!C320),AP110*('Data Checks'!C320/'Data Checks'!C321))</f>
        <v>128.32105990147483</v>
      </c>
      <c r="AQ111">
        <f>IF(AL110="BUY",AQ110*('Data Checks'!D321/'Data Checks'!D320),AQ110*('Data Checks'!D320/'Data Checks'!D321))</f>
        <v>315.72370882623954</v>
      </c>
      <c r="AR111">
        <f>IF(AM110="BUY",AR110*('Data Checks'!E321/'Data Checks'!E320),AR110*('Data Checks'!E320/'Data Checks'!E321))</f>
        <v>119.35052161531567</v>
      </c>
      <c r="AS111">
        <f>IF(AN110="BUY",AS110*('Data Checks'!F321/'Data Checks'!F320),AS110*('Data Checks'!F320/'Data Checks'!F321))</f>
        <v>200.48667365740448</v>
      </c>
      <c r="AT111" s="16">
        <f t="shared" si="20"/>
        <v>942.59872033150202</v>
      </c>
      <c r="AU111" s="17">
        <f t="shared" si="24"/>
        <v>1.8065070416210638E-2</v>
      </c>
    </row>
    <row r="112" spans="1:47" x14ac:dyDescent="0.35">
      <c r="A112" s="2">
        <f>Prices!A320</f>
        <v>44351</v>
      </c>
      <c r="B112">
        <f>B111*('Data Checks'!B322/'Data Checks'!B321)</f>
        <v>259.28209914973007</v>
      </c>
      <c r="C112">
        <f>C111*('Data Checks'!C322/'Data Checks'!C321)</f>
        <v>127.76225876967899</v>
      </c>
      <c r="D112">
        <f>D111*('Data Checks'!D322/'Data Checks'!D321)</f>
        <v>189.18017347103307</v>
      </c>
      <c r="E112">
        <f>E111*('Data Checks'!E322/'Data Checks'!E321)</f>
        <v>119.0826876771782</v>
      </c>
      <c r="F112">
        <f>F111*('Data Checks'!F322/'Data Checks'!F321)</f>
        <v>141.29708738145578</v>
      </c>
      <c r="G112" s="16">
        <f t="shared" si="17"/>
        <v>836.60430644907615</v>
      </c>
      <c r="H112" s="17">
        <f t="shared" si="21"/>
        <v>5.8905895892791271E-3</v>
      </c>
      <c r="J112" t="str">
        <f>IF(AND('Data Checks'!B322&gt;'Data Checks'!B321,'Data Checks'!B321&gt;'Data Checks'!B320,'Data Checks'!B320&gt;'Data Checks'!B319),"SELL",IF(AND('Data Checks'!B322&lt;'Data Checks'!B321,'Data Checks'!B321&lt;'Data Checks'!B320,'Data Checks'!B320&lt;'Data Checks'!B319),"BUY",""))</f>
        <v/>
      </c>
      <c r="K112" t="str">
        <f>IF(AND('Data Checks'!C322&gt;'Data Checks'!C321,'Data Checks'!C321&gt;'Data Checks'!C320,'Data Checks'!C320&gt;'Data Checks'!C319),"SELL",IF(AND('Data Checks'!C322&lt;'Data Checks'!C321,'Data Checks'!C321&lt;'Data Checks'!C320,'Data Checks'!C320&lt;'Data Checks'!C319),"BUY",""))</f>
        <v/>
      </c>
      <c r="L112" t="str">
        <f>IF(AND('Data Checks'!D322&gt;'Data Checks'!D321,'Data Checks'!D321&gt;'Data Checks'!D320,'Data Checks'!D320&gt;'Data Checks'!D319),"SELL",IF(AND('Data Checks'!D322&lt;'Data Checks'!D321,'Data Checks'!D321&lt;'Data Checks'!D320,'Data Checks'!D320&lt;'Data Checks'!D319),"BUY",""))</f>
        <v>SELL</v>
      </c>
      <c r="M112" t="str">
        <f>IF(AND('Data Checks'!E322&gt;'Data Checks'!E321,'Data Checks'!E321&gt;'Data Checks'!E320,'Data Checks'!E320&gt;'Data Checks'!E319),"SELL",IF(AND('Data Checks'!E322&lt;'Data Checks'!E321,'Data Checks'!E321&lt;'Data Checks'!E320,'Data Checks'!E320&lt;'Data Checks'!E319),"BUY",""))</f>
        <v/>
      </c>
      <c r="N112" t="str">
        <f>IF(AND('Data Checks'!F322&gt;'Data Checks'!F321,'Data Checks'!F321&gt;'Data Checks'!F320,'Data Checks'!F320&gt;'Data Checks'!F319),"SELL",IF(AND('Data Checks'!F322&lt;'Data Checks'!F321,'Data Checks'!F321&lt;'Data Checks'!F320,'Data Checks'!F320&lt;'Data Checks'!F319),"BUY",""))</f>
        <v>SELL</v>
      </c>
      <c r="O112">
        <f>IF(J111="BUY",O111*('Data Checks'!B322/'Data Checks'!B321),IF(J111="SELL",O111*('Data Checks'!B321/'Data Checks'!B322),O111))</f>
        <v>190.92294796411102</v>
      </c>
      <c r="P112">
        <f>IF(K111="BUY",P111*('Data Checks'!C322/'Data Checks'!C321),IF(K111="SELL",P111*('Data Checks'!C321/'Data Checks'!C322),P111))</f>
        <v>205.17938154088381</v>
      </c>
      <c r="Q112">
        <f>IF(L111="BUY",Q111*('Data Checks'!D322/'Data Checks'!D321),IF(L111="SELL",Q111*('Data Checks'!D321/'Data Checks'!D322),Q111))</f>
        <v>259.04737512830735</v>
      </c>
      <c r="R112">
        <f>IF(M111="BUY",R111*('Data Checks'!E322/'Data Checks'!E321),IF(M111="SELL",R111*('Data Checks'!E321/'Data Checks'!E322),R111))</f>
        <v>166.87151860471528</v>
      </c>
      <c r="S112">
        <f>IF(N111="BUY",S111*('Data Checks'!F322/'Data Checks'!F321),IF(N111="SELL",S111*('Data Checks'!F321/'Data Checks'!F322),S111))</f>
        <v>192.33004696608984</v>
      </c>
      <c r="T112" s="16">
        <f t="shared" si="18"/>
        <v>1014.3512702041073</v>
      </c>
      <c r="U112" s="17">
        <f t="shared" si="22"/>
        <v>-8.0565446299778465E-3</v>
      </c>
      <c r="W112" t="str">
        <f>IF(AND('Data Checks'!B322&gt;'Data Checks'!B321,'Data Checks'!B321&gt;'Data Checks'!B320,'Data Checks'!B320&gt;'Data Checks'!B319),"BUY",IF(AND('Data Checks'!B322&lt;'Data Checks'!B321,'Data Checks'!B321&lt;'Data Checks'!B320,'Data Checks'!B320&lt;'Data Checks'!B319),"SELL",""))</f>
        <v/>
      </c>
      <c r="X112" t="str">
        <f>IF(AND('Data Checks'!C322&gt;'Data Checks'!C321,'Data Checks'!C321&gt;'Data Checks'!C320,'Data Checks'!C320&gt;'Data Checks'!C319),"BUY",IF(AND('Data Checks'!C322&lt;'Data Checks'!C321,'Data Checks'!C321&lt;'Data Checks'!C320,'Data Checks'!C320&lt;'Data Checks'!C319),"SELL",""))</f>
        <v/>
      </c>
      <c r="Y112" t="str">
        <f>IF(AND('Data Checks'!D322&gt;'Data Checks'!D321,'Data Checks'!D321&gt;'Data Checks'!D320,'Data Checks'!D320&gt;'Data Checks'!D319),"BUY",IF(AND('Data Checks'!D322&lt;'Data Checks'!D321,'Data Checks'!D321&lt;'Data Checks'!D320,'Data Checks'!D320&lt;'Data Checks'!D319),"SELL",""))</f>
        <v>BUY</v>
      </c>
      <c r="Z112" t="str">
        <f>IF(AND('Data Checks'!E322&gt;'Data Checks'!E321,'Data Checks'!E321&gt;'Data Checks'!E320,'Data Checks'!E320&gt;'Data Checks'!E319),"BUY",IF(AND('Data Checks'!E322&lt;'Data Checks'!E321,'Data Checks'!E321&lt;'Data Checks'!E320,'Data Checks'!E320&lt;'Data Checks'!E319),"SELL",""))</f>
        <v/>
      </c>
      <c r="AA112" t="str">
        <f>IF(AND('Data Checks'!F322&gt;'Data Checks'!F321,'Data Checks'!F321&gt;'Data Checks'!F320,'Data Checks'!F320&gt;'Data Checks'!F319),"BUY",IF(AND('Data Checks'!F322&lt;'Data Checks'!F321,'Data Checks'!F321&lt;'Data Checks'!F320,'Data Checks'!F320&lt;'Data Checks'!F319),"SELL",""))</f>
        <v>BUY</v>
      </c>
      <c r="AB112">
        <f>IF(W111="BUY",AB111*('Data Checks'!B322/'Data Checks'!B321),IF(W111="SELL",AB111*('Data Checks'!B321/'Data Checks'!B322),AB111))</f>
        <v>209.50860243117052</v>
      </c>
      <c r="AC112">
        <f>IF(X111="BUY",AC111*('Data Checks'!C322/'Data Checks'!C321),IF(X111="SELL",AC111*('Data Checks'!C321/'Data Checks'!C322),AC111))</f>
        <v>194.95136255701044</v>
      </c>
      <c r="AD112">
        <f>IF(Y111="BUY",AD111*('Data Checks'!D322/'Data Checks'!D321),IF(Y111="SELL",AD111*('Data Checks'!D321/'Data Checks'!D322),AD111))</f>
        <v>154.41191010018076</v>
      </c>
      <c r="AE112">
        <f>IF(Z111="BUY",AE111*('Data Checks'!E322/'Data Checks'!E321),IF(Z111="SELL",AE111*('Data Checks'!E321/'Data Checks'!E322),AE111))</f>
        <v>239.70537533581069</v>
      </c>
      <c r="AF112">
        <f>IF(AA111="BUY",AF111*('Data Checks'!F322/'Data Checks'!F321),IF(AA111="SELL",AF111*('Data Checks'!F321/'Data Checks'!F322),AF111))</f>
        <v>207.97582401179619</v>
      </c>
      <c r="AG112" s="16">
        <f t="shared" si="19"/>
        <v>1006.5530744359687</v>
      </c>
      <c r="AH112" s="17">
        <f t="shared" si="23"/>
        <v>8.0303097983964733E-3</v>
      </c>
      <c r="AJ112" t="str">
        <f>IF('Moving Ave'!G322&gt;'Moving Ave'!L322,"SELL","BUY")</f>
        <v>SELL</v>
      </c>
      <c r="AK112" t="str">
        <f>IF('Moving Ave'!H322&gt;'Moving Ave'!M322,"SELL","BUY")</f>
        <v>BUY</v>
      </c>
      <c r="AL112" t="str">
        <f>IF('Moving Ave'!I322&gt;'Moving Ave'!N322,"SELL","BUY")</f>
        <v>BUY</v>
      </c>
      <c r="AM112" t="str">
        <f>IF('Moving Ave'!J322&gt;'Moving Ave'!O322,"SELL","BUY")</f>
        <v>BUY</v>
      </c>
      <c r="AN112" t="str">
        <f>IF('Moving Ave'!K322&gt;'Moving Ave'!P322,"SELL","BUY")</f>
        <v>BUY</v>
      </c>
      <c r="AO112">
        <f>IF(AJ111="BUY",AO111*('Data Checks'!B322/'Data Checks'!B321),AO111*('Data Checks'!B321/'Data Checks'!B322))</f>
        <v>180.00958048270212</v>
      </c>
      <c r="AP112">
        <f>IF(AK111="BUY",AP111*('Data Checks'!C322/'Data Checks'!C321),AP111*('Data Checks'!C321/'Data Checks'!C322))</f>
        <v>127.76225876967899</v>
      </c>
      <c r="AQ112">
        <f>IF(AL111="BUY",AQ111*('Data Checks'!D322/'Data Checks'!D321),AQ111*('Data Checks'!D321/'Data Checks'!D322))</f>
        <v>316.39393336012421</v>
      </c>
      <c r="AR112">
        <f>IF(AM111="BUY",AR111*('Data Checks'!E322/'Data Checks'!E321),AR111*('Data Checks'!E321/'Data Checks'!E322))</f>
        <v>119.0826876771782</v>
      </c>
      <c r="AS112">
        <f>IF(AN111="BUY",AS111*('Data Checks'!F322/'Data Checks'!F321),AS111*('Data Checks'!F321/'Data Checks'!F322))</f>
        <v>211.25247675611357</v>
      </c>
      <c r="AT112" s="16">
        <f t="shared" si="20"/>
        <v>954.50093704579717</v>
      </c>
      <c r="AU112" s="17">
        <f t="shared" si="24"/>
        <v>1.2627024053363023E-2</v>
      </c>
    </row>
    <row r="113" spans="1:47" x14ac:dyDescent="0.35">
      <c r="A113" s="2">
        <f>Prices!A321</f>
        <v>44352</v>
      </c>
      <c r="B113">
        <f>B112*('Data Checks'!B323/'Data Checks'!B322)</f>
        <v>261.64245572129528</v>
      </c>
      <c r="C113">
        <f>C112*('Data Checks'!C323/'Data Checks'!C322)</f>
        <v>134.87426809434268</v>
      </c>
      <c r="D113">
        <f>D112*('Data Checks'!D323/'Data Checks'!D322)</f>
        <v>188.84621788021732</v>
      </c>
      <c r="E113">
        <f>E112*('Data Checks'!E323/'Data Checks'!E322)</f>
        <v>126.4479368447293</v>
      </c>
      <c r="F113">
        <f>F112*('Data Checks'!F323/'Data Checks'!F322)</f>
        <v>141.53552324562034</v>
      </c>
      <c r="G113" s="16">
        <f t="shared" si="17"/>
        <v>853.34640178620486</v>
      </c>
      <c r="H113" s="17">
        <f t="shared" si="21"/>
        <v>2.0011964088721523E-2</v>
      </c>
      <c r="J113" t="str">
        <f>IF(AND('Data Checks'!B323&gt;'Data Checks'!B322,'Data Checks'!B322&gt;'Data Checks'!B321,'Data Checks'!B321&gt;'Data Checks'!B320),"SELL",IF(AND('Data Checks'!B323&lt;'Data Checks'!B322,'Data Checks'!B322&lt;'Data Checks'!B321,'Data Checks'!B321&lt;'Data Checks'!B320),"BUY",""))</f>
        <v/>
      </c>
      <c r="K113" t="str">
        <f>IF(AND('Data Checks'!C323&gt;'Data Checks'!C322,'Data Checks'!C322&gt;'Data Checks'!C321,'Data Checks'!C321&gt;'Data Checks'!C320),"SELL",IF(AND('Data Checks'!C323&lt;'Data Checks'!C322,'Data Checks'!C322&lt;'Data Checks'!C321,'Data Checks'!C321&lt;'Data Checks'!C320),"BUY",""))</f>
        <v/>
      </c>
      <c r="L113" t="str">
        <f>IF(AND('Data Checks'!D323&gt;'Data Checks'!D322,'Data Checks'!D322&gt;'Data Checks'!D321,'Data Checks'!D321&gt;'Data Checks'!D320),"SELL",IF(AND('Data Checks'!D323&lt;'Data Checks'!D322,'Data Checks'!D322&lt;'Data Checks'!D321,'Data Checks'!D321&lt;'Data Checks'!D320),"BUY",""))</f>
        <v/>
      </c>
      <c r="M113" t="str">
        <f>IF(AND('Data Checks'!E323&gt;'Data Checks'!E322,'Data Checks'!E322&gt;'Data Checks'!E321,'Data Checks'!E321&gt;'Data Checks'!E320),"SELL",IF(AND('Data Checks'!E323&lt;'Data Checks'!E322,'Data Checks'!E322&lt;'Data Checks'!E321,'Data Checks'!E321&lt;'Data Checks'!E320),"BUY",""))</f>
        <v/>
      </c>
      <c r="N113" t="str">
        <f>IF(AND('Data Checks'!F323&gt;'Data Checks'!F322,'Data Checks'!F322&gt;'Data Checks'!F321,'Data Checks'!F321&gt;'Data Checks'!F320),"SELL",IF(AND('Data Checks'!F323&lt;'Data Checks'!F322,'Data Checks'!F322&lt;'Data Checks'!F321,'Data Checks'!F321&lt;'Data Checks'!F320),"BUY",""))</f>
        <v>SELL</v>
      </c>
      <c r="O113">
        <f>IF(J112="BUY",O112*('Data Checks'!B323/'Data Checks'!B322),IF(J112="SELL",O112*('Data Checks'!B322/'Data Checks'!B323),O112))</f>
        <v>190.92294796411102</v>
      </c>
      <c r="P113">
        <f>IF(K112="BUY",P112*('Data Checks'!C323/'Data Checks'!C322),IF(K112="SELL",P112*('Data Checks'!C322/'Data Checks'!C323),P112))</f>
        <v>205.17938154088381</v>
      </c>
      <c r="Q113">
        <f>IF(L112="BUY",Q112*('Data Checks'!D323/'Data Checks'!D322),IF(L112="SELL",Q112*('Data Checks'!D322/'Data Checks'!D323),Q112))</f>
        <v>259.50547442296795</v>
      </c>
      <c r="R113">
        <f>IF(M112="BUY",R112*('Data Checks'!E323/'Data Checks'!E322),IF(M112="SELL",R112*('Data Checks'!E322/'Data Checks'!E323),R112))</f>
        <v>166.87151860471528</v>
      </c>
      <c r="S113">
        <f>IF(N112="BUY",S112*('Data Checks'!F323/'Data Checks'!F322),IF(N112="SELL",S112*('Data Checks'!F322/'Data Checks'!F323),S112))</f>
        <v>192.00604080917907</v>
      </c>
      <c r="T113" s="16">
        <f t="shared" si="18"/>
        <v>1014.485363341857</v>
      </c>
      <c r="U113" s="17">
        <f t="shared" si="22"/>
        <v>1.321959578388654E-4</v>
      </c>
      <c r="W113" t="str">
        <f>IF(AND('Data Checks'!B323&gt;'Data Checks'!B322,'Data Checks'!B322&gt;'Data Checks'!B321,'Data Checks'!B321&gt;'Data Checks'!B320),"BUY",IF(AND('Data Checks'!B323&lt;'Data Checks'!B322,'Data Checks'!B322&lt;'Data Checks'!B321,'Data Checks'!B321&lt;'Data Checks'!B320),"SELL",""))</f>
        <v/>
      </c>
      <c r="X113" t="str">
        <f>IF(AND('Data Checks'!C323&gt;'Data Checks'!C322,'Data Checks'!C322&gt;'Data Checks'!C321,'Data Checks'!C321&gt;'Data Checks'!C320),"BUY",IF(AND('Data Checks'!C323&lt;'Data Checks'!C322,'Data Checks'!C322&lt;'Data Checks'!C321,'Data Checks'!C321&lt;'Data Checks'!C320),"SELL",""))</f>
        <v/>
      </c>
      <c r="Y113" t="str">
        <f>IF(AND('Data Checks'!D323&gt;'Data Checks'!D322,'Data Checks'!D322&gt;'Data Checks'!D321,'Data Checks'!D321&gt;'Data Checks'!D320),"BUY",IF(AND('Data Checks'!D323&lt;'Data Checks'!D322,'Data Checks'!D322&lt;'Data Checks'!D321,'Data Checks'!D321&lt;'Data Checks'!D320),"SELL",""))</f>
        <v/>
      </c>
      <c r="Z113" t="str">
        <f>IF(AND('Data Checks'!E323&gt;'Data Checks'!E322,'Data Checks'!E322&gt;'Data Checks'!E321,'Data Checks'!E321&gt;'Data Checks'!E320),"BUY",IF(AND('Data Checks'!E323&lt;'Data Checks'!E322,'Data Checks'!E322&lt;'Data Checks'!E321,'Data Checks'!E321&lt;'Data Checks'!E320),"SELL",""))</f>
        <v/>
      </c>
      <c r="AA113" t="str">
        <f>IF(AND('Data Checks'!F323&gt;'Data Checks'!F322,'Data Checks'!F322&gt;'Data Checks'!F321,'Data Checks'!F321&gt;'Data Checks'!F320),"BUY",IF(AND('Data Checks'!F323&lt;'Data Checks'!F322,'Data Checks'!F322&lt;'Data Checks'!F321,'Data Checks'!F321&lt;'Data Checks'!F320),"SELL",""))</f>
        <v>BUY</v>
      </c>
      <c r="AB113">
        <f>IF(W112="BUY",AB112*('Data Checks'!B323/'Data Checks'!B322),IF(W112="SELL",AB112*('Data Checks'!B322/'Data Checks'!B323),AB112))</f>
        <v>209.50860243117052</v>
      </c>
      <c r="AC113">
        <f>IF(X112="BUY",AC112*('Data Checks'!C323/'Data Checks'!C322),IF(X112="SELL",AC112*('Data Checks'!C322/'Data Checks'!C323),AC112))</f>
        <v>194.95136255701044</v>
      </c>
      <c r="AD113">
        <f>IF(Y112="BUY",AD112*('Data Checks'!D323/'Data Checks'!D322),IF(Y112="SELL",AD112*('Data Checks'!D322/'Data Checks'!D323),AD112))</f>
        <v>154.13933015842281</v>
      </c>
      <c r="AE113">
        <f>IF(Z112="BUY",AE112*('Data Checks'!E323/'Data Checks'!E322),IF(Z112="SELL",AE112*('Data Checks'!E322/'Data Checks'!E323),AE112))</f>
        <v>239.70537533581069</v>
      </c>
      <c r="AF113">
        <f>IF(AA112="BUY",AF112*('Data Checks'!F323/'Data Checks'!F322),IF(AA112="SELL",AF112*('Data Checks'!F322/'Data Checks'!F323),AF112))</f>
        <v>208.3267788420944</v>
      </c>
      <c r="AG113" s="16">
        <f t="shared" si="19"/>
        <v>1006.6314493245088</v>
      </c>
      <c r="AH113" s="17">
        <f t="shared" si="23"/>
        <v>7.7864635785962477E-5</v>
      </c>
      <c r="AJ113" t="str">
        <f>IF('Moving Ave'!G323&gt;'Moving Ave'!L323,"SELL","BUY")</f>
        <v>SELL</v>
      </c>
      <c r="AK113" t="str">
        <f>IF('Moving Ave'!H323&gt;'Moving Ave'!M323,"SELL","BUY")</f>
        <v>BUY</v>
      </c>
      <c r="AL113" t="str">
        <f>IF('Moving Ave'!I323&gt;'Moving Ave'!N323,"SELL","BUY")</f>
        <v>BUY</v>
      </c>
      <c r="AM113" t="str">
        <f>IF('Moving Ave'!J323&gt;'Moving Ave'!O323,"SELL","BUY")</f>
        <v>BUY</v>
      </c>
      <c r="AN113" t="str">
        <f>IF('Moving Ave'!K323&gt;'Moving Ave'!P323,"SELL","BUY")</f>
        <v>BUY</v>
      </c>
      <c r="AO113">
        <f>IF(AJ112="BUY",AO112*('Data Checks'!B323/'Data Checks'!B322),AO112*('Data Checks'!B322/'Data Checks'!B323))</f>
        <v>178.38565903208848</v>
      </c>
      <c r="AP113">
        <f>IF(AK112="BUY",AP112*('Data Checks'!C323/'Data Checks'!C322),AP112*('Data Checks'!C322/'Data Checks'!C323))</f>
        <v>134.87426809434268</v>
      </c>
      <c r="AQ113">
        <f>IF(AL112="BUY",AQ112*('Data Checks'!D323/'Data Checks'!D322),AQ112*('Data Checks'!D322/'Data Checks'!D323))</f>
        <v>315.8354101226879</v>
      </c>
      <c r="AR113">
        <f>IF(AM112="BUY",AR112*('Data Checks'!E323/'Data Checks'!E322),AR112*('Data Checks'!E322/'Data Checks'!E323))</f>
        <v>126.4479368447293</v>
      </c>
      <c r="AS113">
        <f>IF(AN112="BUY",AS112*('Data Checks'!F323/'Data Checks'!F322),AS112*('Data Checks'!F322/'Data Checks'!F323))</f>
        <v>211.60896086902571</v>
      </c>
      <c r="AT113" s="16">
        <f t="shared" si="20"/>
        <v>967.1522349628741</v>
      </c>
      <c r="AU113" s="17">
        <f t="shared" si="24"/>
        <v>1.3254358823610035E-2</v>
      </c>
    </row>
    <row r="114" spans="1:47" x14ac:dyDescent="0.35">
      <c r="A114" s="2">
        <f>Prices!A322</f>
        <v>44355</v>
      </c>
      <c r="B114">
        <f>B113*('Data Checks'!B324/'Data Checks'!B323)</f>
        <v>265.96909876149715</v>
      </c>
      <c r="C114">
        <f>C113*('Data Checks'!C324/'Data Checks'!C323)</f>
        <v>135.48387440903934</v>
      </c>
      <c r="D114">
        <f>D113*('Data Checks'!D324/'Data Checks'!D323)</f>
        <v>194.62347628357776</v>
      </c>
      <c r="E114">
        <f>E113*('Data Checks'!E324/'Data Checks'!E323)</f>
        <v>131.53665779924145</v>
      </c>
      <c r="F114">
        <f>F113*('Data Checks'!F324/'Data Checks'!F323)</f>
        <v>138.34049124950641</v>
      </c>
      <c r="G114" s="16">
        <f t="shared" si="17"/>
        <v>865.95359850286206</v>
      </c>
      <c r="H114" s="17">
        <f t="shared" si="21"/>
        <v>1.4773832397099396E-2</v>
      </c>
      <c r="J114" t="str">
        <f>IF(AND('Data Checks'!B324&gt;'Data Checks'!B323,'Data Checks'!B323&gt;'Data Checks'!B322,'Data Checks'!B322&gt;'Data Checks'!B321),"SELL",IF(AND('Data Checks'!B324&lt;'Data Checks'!B323,'Data Checks'!B323&lt;'Data Checks'!B322,'Data Checks'!B322&lt;'Data Checks'!B321),"BUY",""))</f>
        <v/>
      </c>
      <c r="K114" t="str">
        <f>IF(AND('Data Checks'!C324&gt;'Data Checks'!C323,'Data Checks'!C323&gt;'Data Checks'!C322,'Data Checks'!C322&gt;'Data Checks'!C321),"SELL",IF(AND('Data Checks'!C324&lt;'Data Checks'!C323,'Data Checks'!C323&lt;'Data Checks'!C322,'Data Checks'!C322&lt;'Data Checks'!C321),"BUY",""))</f>
        <v/>
      </c>
      <c r="L114" t="str">
        <f>IF(AND('Data Checks'!D324&gt;'Data Checks'!D323,'Data Checks'!D323&gt;'Data Checks'!D322,'Data Checks'!D322&gt;'Data Checks'!D321),"SELL",IF(AND('Data Checks'!D324&lt;'Data Checks'!D323,'Data Checks'!D323&lt;'Data Checks'!D322,'Data Checks'!D322&lt;'Data Checks'!D321),"BUY",""))</f>
        <v/>
      </c>
      <c r="M114" t="str">
        <f>IF(AND('Data Checks'!E324&gt;'Data Checks'!E323,'Data Checks'!E323&gt;'Data Checks'!E322,'Data Checks'!E322&gt;'Data Checks'!E321),"SELL",IF(AND('Data Checks'!E324&lt;'Data Checks'!E323,'Data Checks'!E323&lt;'Data Checks'!E322,'Data Checks'!E322&lt;'Data Checks'!E321),"BUY",""))</f>
        <v/>
      </c>
      <c r="N114" t="str">
        <f>IF(AND('Data Checks'!F324&gt;'Data Checks'!F323,'Data Checks'!F323&gt;'Data Checks'!F322,'Data Checks'!F322&gt;'Data Checks'!F321),"SELL",IF(AND('Data Checks'!F324&lt;'Data Checks'!F323,'Data Checks'!F323&lt;'Data Checks'!F322,'Data Checks'!F322&lt;'Data Checks'!F321),"BUY",""))</f>
        <v/>
      </c>
      <c r="O114">
        <f>IF(J113="BUY",O113*('Data Checks'!B324/'Data Checks'!B323),IF(J113="SELL",O113*('Data Checks'!B323/'Data Checks'!B324),O113))</f>
        <v>190.92294796411102</v>
      </c>
      <c r="P114">
        <f>IF(K113="BUY",P113*('Data Checks'!C324/'Data Checks'!C323),IF(K113="SELL",P113*('Data Checks'!C323/'Data Checks'!C324),P113))</f>
        <v>205.17938154088381</v>
      </c>
      <c r="Q114">
        <f>IF(L113="BUY",Q113*('Data Checks'!D324/'Data Checks'!D323),IF(L113="SELL",Q113*('Data Checks'!D323/'Data Checks'!D324),Q113))</f>
        <v>259.50547442296795</v>
      </c>
      <c r="R114">
        <f>IF(M113="BUY",R113*('Data Checks'!E324/'Data Checks'!E323),IF(M113="SELL",R113*('Data Checks'!E323/'Data Checks'!E324),R113))</f>
        <v>166.87151860471528</v>
      </c>
      <c r="S114">
        <f>IF(N113="BUY",S113*('Data Checks'!F324/'Data Checks'!F323),IF(N113="SELL",S113*('Data Checks'!F323/'Data Checks'!F324),S113))</f>
        <v>196.44050130799326</v>
      </c>
      <c r="T114" s="16">
        <f t="shared" si="18"/>
        <v>1018.9198238406713</v>
      </c>
      <c r="U114" s="17">
        <f t="shared" si="22"/>
        <v>4.3711429056072504E-3</v>
      </c>
      <c r="W114" t="str">
        <f>IF(AND('Data Checks'!B324&gt;'Data Checks'!B323,'Data Checks'!B323&gt;'Data Checks'!B322,'Data Checks'!B322&gt;'Data Checks'!B321),"BUY",IF(AND('Data Checks'!B324&lt;'Data Checks'!B323,'Data Checks'!B323&lt;'Data Checks'!B322,'Data Checks'!B322&lt;'Data Checks'!B321),"SELL",""))</f>
        <v/>
      </c>
      <c r="X114" t="str">
        <f>IF(AND('Data Checks'!C324&gt;'Data Checks'!C323,'Data Checks'!C323&gt;'Data Checks'!C322,'Data Checks'!C322&gt;'Data Checks'!C321),"BUY",IF(AND('Data Checks'!C324&lt;'Data Checks'!C323,'Data Checks'!C323&lt;'Data Checks'!C322,'Data Checks'!C322&lt;'Data Checks'!C321),"SELL",""))</f>
        <v/>
      </c>
      <c r="Y114" t="str">
        <f>IF(AND('Data Checks'!D324&gt;'Data Checks'!D323,'Data Checks'!D323&gt;'Data Checks'!D322,'Data Checks'!D322&gt;'Data Checks'!D321),"BUY",IF(AND('Data Checks'!D324&lt;'Data Checks'!D323,'Data Checks'!D323&lt;'Data Checks'!D322,'Data Checks'!D322&lt;'Data Checks'!D321),"SELL",""))</f>
        <v/>
      </c>
      <c r="Z114" t="str">
        <f>IF(AND('Data Checks'!E324&gt;'Data Checks'!E323,'Data Checks'!E323&gt;'Data Checks'!E322,'Data Checks'!E322&gt;'Data Checks'!E321),"BUY",IF(AND('Data Checks'!E324&lt;'Data Checks'!E323,'Data Checks'!E323&lt;'Data Checks'!E322,'Data Checks'!E322&lt;'Data Checks'!E321),"SELL",""))</f>
        <v/>
      </c>
      <c r="AA114" t="str">
        <f>IF(AND('Data Checks'!F324&gt;'Data Checks'!F323,'Data Checks'!F323&gt;'Data Checks'!F322,'Data Checks'!F322&gt;'Data Checks'!F321),"BUY",IF(AND('Data Checks'!F324&lt;'Data Checks'!F323,'Data Checks'!F323&lt;'Data Checks'!F322,'Data Checks'!F322&lt;'Data Checks'!F321),"SELL",""))</f>
        <v/>
      </c>
      <c r="AB114">
        <f>IF(W113="BUY",AB113*('Data Checks'!B324/'Data Checks'!B323),IF(W113="SELL",AB113*('Data Checks'!B323/'Data Checks'!B324),AB113))</f>
        <v>209.50860243117052</v>
      </c>
      <c r="AC114">
        <f>IF(X113="BUY",AC113*('Data Checks'!C324/'Data Checks'!C323),IF(X113="SELL",AC113*('Data Checks'!C323/'Data Checks'!C324),AC113))</f>
        <v>194.95136255701044</v>
      </c>
      <c r="AD114">
        <f>IF(Y113="BUY",AD113*('Data Checks'!D324/'Data Checks'!D323),IF(Y113="SELL",AD113*('Data Checks'!D323/'Data Checks'!D324),AD113))</f>
        <v>154.13933015842281</v>
      </c>
      <c r="AE114">
        <f>IF(Z113="BUY",AE113*('Data Checks'!E324/'Data Checks'!E323),IF(Z113="SELL",AE113*('Data Checks'!E323/'Data Checks'!E324),AE113))</f>
        <v>239.70537533581069</v>
      </c>
      <c r="AF114">
        <f>IF(AA113="BUY",AF113*('Data Checks'!F324/'Data Checks'!F323),IF(AA113="SELL",AF113*('Data Checks'!F323/'Data Checks'!F324),AF113))</f>
        <v>203.62399675047246</v>
      </c>
      <c r="AG114" s="16">
        <f t="shared" si="19"/>
        <v>1001.9286672328868</v>
      </c>
      <c r="AH114" s="17">
        <f t="shared" si="23"/>
        <v>-4.6718012781914453E-3</v>
      </c>
      <c r="AJ114" t="str">
        <f>IF('Moving Ave'!G324&gt;'Moving Ave'!L324,"SELL","BUY")</f>
        <v>SELL</v>
      </c>
      <c r="AK114" t="str">
        <f>IF('Moving Ave'!H324&gt;'Moving Ave'!M324,"SELL","BUY")</f>
        <v>BUY</v>
      </c>
      <c r="AL114" t="str">
        <f>IF('Moving Ave'!I324&gt;'Moving Ave'!N324,"SELL","BUY")</f>
        <v>BUY</v>
      </c>
      <c r="AM114" t="str">
        <f>IF('Moving Ave'!J324&gt;'Moving Ave'!O324,"SELL","BUY")</f>
        <v>BUY</v>
      </c>
      <c r="AN114" t="str">
        <f>IF('Moving Ave'!K324&gt;'Moving Ave'!P324,"SELL","BUY")</f>
        <v>BUY</v>
      </c>
      <c r="AO114">
        <f>IF(AJ113="BUY",AO113*('Data Checks'!B324/'Data Checks'!B323),AO113*('Data Checks'!B323/'Data Checks'!B324))</f>
        <v>175.48377654379567</v>
      </c>
      <c r="AP114">
        <f>IF(AK113="BUY",AP113*('Data Checks'!C324/'Data Checks'!C323),AP113*('Data Checks'!C323/'Data Checks'!C324))</f>
        <v>135.48387440903934</v>
      </c>
      <c r="AQ114">
        <f>IF(AL113="BUY",AQ113*('Data Checks'!D324/'Data Checks'!D323),AQ113*('Data Checks'!D323/'Data Checks'!D324))</f>
        <v>325.49757226547143</v>
      </c>
      <c r="AR114">
        <f>IF(AM113="BUY",AR113*('Data Checks'!E324/'Data Checks'!E323),AR113*('Data Checks'!E323/'Data Checks'!E324))</f>
        <v>131.53665779924145</v>
      </c>
      <c r="AS114">
        <f>IF(AN113="BUY",AS113*('Data Checks'!F324/'Data Checks'!F323),AS113*('Data Checks'!F323/'Data Checks'!F324))</f>
        <v>206.83208658943116</v>
      </c>
      <c r="AT114" s="16">
        <f t="shared" si="20"/>
        <v>974.83396760697894</v>
      </c>
      <c r="AU114" s="17">
        <f t="shared" si="24"/>
        <v>7.942630297907316E-3</v>
      </c>
    </row>
    <row r="115" spans="1:47" x14ac:dyDescent="0.35">
      <c r="A115" s="2">
        <f>Prices!A323</f>
        <v>44356</v>
      </c>
      <c r="B115">
        <f>B114*('Data Checks'!B325/'Data Checks'!B324)</f>
        <v>274.06179032743893</v>
      </c>
      <c r="C115">
        <f>C114*('Data Checks'!C325/'Data Checks'!C324)</f>
        <v>130.81026494311072</v>
      </c>
      <c r="D115">
        <f>D114*('Data Checks'!D325/'Data Checks'!D324)</f>
        <v>192.85356808905601</v>
      </c>
      <c r="E115">
        <f>E114*('Data Checks'!E325/'Data Checks'!E324)</f>
        <v>124.74053147838866</v>
      </c>
      <c r="F115">
        <f>F114*('Data Checks'!F325/'Data Checks'!F324)</f>
        <v>137.29136772472162</v>
      </c>
      <c r="G115" s="16">
        <f t="shared" si="17"/>
        <v>859.75752256271585</v>
      </c>
      <c r="H115" s="17">
        <f t="shared" si="21"/>
        <v>-7.1552054877519478E-3</v>
      </c>
      <c r="J115" t="str">
        <f>IF(AND('Data Checks'!B325&gt;'Data Checks'!B324,'Data Checks'!B324&gt;'Data Checks'!B323,'Data Checks'!B323&gt;'Data Checks'!B322),"SELL",IF(AND('Data Checks'!B325&lt;'Data Checks'!B324,'Data Checks'!B324&lt;'Data Checks'!B323,'Data Checks'!B323&lt;'Data Checks'!B322),"BUY",""))</f>
        <v>SELL</v>
      </c>
      <c r="K115" t="str">
        <f>IF(AND('Data Checks'!C325&gt;'Data Checks'!C324,'Data Checks'!C324&gt;'Data Checks'!C323,'Data Checks'!C323&gt;'Data Checks'!C322),"SELL",IF(AND('Data Checks'!C325&lt;'Data Checks'!C324,'Data Checks'!C324&lt;'Data Checks'!C323,'Data Checks'!C323&lt;'Data Checks'!C322),"BUY",""))</f>
        <v/>
      </c>
      <c r="L115" t="str">
        <f>IF(AND('Data Checks'!D325&gt;'Data Checks'!D324,'Data Checks'!D324&gt;'Data Checks'!D323,'Data Checks'!D323&gt;'Data Checks'!D322),"SELL",IF(AND('Data Checks'!D325&lt;'Data Checks'!D324,'Data Checks'!D324&lt;'Data Checks'!D323,'Data Checks'!D323&lt;'Data Checks'!D322),"BUY",""))</f>
        <v/>
      </c>
      <c r="M115" t="str">
        <f>IF(AND('Data Checks'!E325&gt;'Data Checks'!E324,'Data Checks'!E324&gt;'Data Checks'!E323,'Data Checks'!E323&gt;'Data Checks'!E322),"SELL",IF(AND('Data Checks'!E325&lt;'Data Checks'!E324,'Data Checks'!E324&lt;'Data Checks'!E323,'Data Checks'!E323&lt;'Data Checks'!E322),"BUY",""))</f>
        <v/>
      </c>
      <c r="N115" t="str">
        <f>IF(AND('Data Checks'!F325&gt;'Data Checks'!F324,'Data Checks'!F324&gt;'Data Checks'!F323,'Data Checks'!F323&gt;'Data Checks'!F322),"SELL",IF(AND('Data Checks'!F325&lt;'Data Checks'!F324,'Data Checks'!F324&lt;'Data Checks'!F323,'Data Checks'!F323&lt;'Data Checks'!F322),"BUY",""))</f>
        <v/>
      </c>
      <c r="O115">
        <f>IF(J114="BUY",O114*('Data Checks'!B325/'Data Checks'!B324),IF(J114="SELL",O114*('Data Checks'!B324/'Data Checks'!B325),O114))</f>
        <v>190.92294796411102</v>
      </c>
      <c r="P115">
        <f>IF(K114="BUY",P114*('Data Checks'!C325/'Data Checks'!C324),IF(K114="SELL",P114*('Data Checks'!C324/'Data Checks'!C325),P114))</f>
        <v>205.17938154088381</v>
      </c>
      <c r="Q115">
        <f>IF(L114="BUY",Q114*('Data Checks'!D325/'Data Checks'!D324),IF(L114="SELL",Q114*('Data Checks'!D324/'Data Checks'!D325),Q114))</f>
        <v>259.50547442296795</v>
      </c>
      <c r="R115">
        <f>IF(M114="BUY",R114*('Data Checks'!E325/'Data Checks'!E324),IF(M114="SELL",R114*('Data Checks'!E324/'Data Checks'!E325),R114))</f>
        <v>166.87151860471528</v>
      </c>
      <c r="S115">
        <f>IF(N114="BUY",S114*('Data Checks'!F325/'Data Checks'!F324),IF(N114="SELL",S114*('Data Checks'!F324/'Data Checks'!F325),S114))</f>
        <v>196.44050130799326</v>
      </c>
      <c r="T115" s="16">
        <f t="shared" si="18"/>
        <v>1018.9198238406713</v>
      </c>
      <c r="U115" s="17">
        <f t="shared" si="22"/>
        <v>0</v>
      </c>
      <c r="W115" t="str">
        <f>IF(AND('Data Checks'!B325&gt;'Data Checks'!B324,'Data Checks'!B324&gt;'Data Checks'!B323,'Data Checks'!B323&gt;'Data Checks'!B322),"BUY",IF(AND('Data Checks'!B325&lt;'Data Checks'!B324,'Data Checks'!B324&lt;'Data Checks'!B323,'Data Checks'!B323&lt;'Data Checks'!B322),"SELL",""))</f>
        <v>BUY</v>
      </c>
      <c r="X115" t="str">
        <f>IF(AND('Data Checks'!C325&gt;'Data Checks'!C324,'Data Checks'!C324&gt;'Data Checks'!C323,'Data Checks'!C323&gt;'Data Checks'!C322),"BUY",IF(AND('Data Checks'!C325&lt;'Data Checks'!C324,'Data Checks'!C324&lt;'Data Checks'!C323,'Data Checks'!C323&lt;'Data Checks'!C322),"SELL",""))</f>
        <v/>
      </c>
      <c r="Y115" t="str">
        <f>IF(AND('Data Checks'!D325&gt;'Data Checks'!D324,'Data Checks'!D324&gt;'Data Checks'!D323,'Data Checks'!D323&gt;'Data Checks'!D322),"BUY",IF(AND('Data Checks'!D325&lt;'Data Checks'!D324,'Data Checks'!D324&lt;'Data Checks'!D323,'Data Checks'!D323&lt;'Data Checks'!D322),"SELL",""))</f>
        <v/>
      </c>
      <c r="Z115" t="str">
        <f>IF(AND('Data Checks'!E325&gt;'Data Checks'!E324,'Data Checks'!E324&gt;'Data Checks'!E323,'Data Checks'!E323&gt;'Data Checks'!E322),"BUY",IF(AND('Data Checks'!E325&lt;'Data Checks'!E324,'Data Checks'!E324&lt;'Data Checks'!E323,'Data Checks'!E323&lt;'Data Checks'!E322),"SELL",""))</f>
        <v/>
      </c>
      <c r="AA115" t="str">
        <f>IF(AND('Data Checks'!F325&gt;'Data Checks'!F324,'Data Checks'!F324&gt;'Data Checks'!F323,'Data Checks'!F323&gt;'Data Checks'!F322),"BUY",IF(AND('Data Checks'!F325&lt;'Data Checks'!F324,'Data Checks'!F324&lt;'Data Checks'!F323,'Data Checks'!F323&lt;'Data Checks'!F322),"SELL",""))</f>
        <v/>
      </c>
      <c r="AB115">
        <f>IF(W114="BUY",AB114*('Data Checks'!B325/'Data Checks'!B324),IF(W114="SELL",AB114*('Data Checks'!B324/'Data Checks'!B325),AB114))</f>
        <v>209.50860243117052</v>
      </c>
      <c r="AC115">
        <f>IF(X114="BUY",AC114*('Data Checks'!C325/'Data Checks'!C324),IF(X114="SELL",AC114*('Data Checks'!C324/'Data Checks'!C325),AC114))</f>
        <v>194.95136255701044</v>
      </c>
      <c r="AD115">
        <f>IF(Y114="BUY",AD114*('Data Checks'!D325/'Data Checks'!D324),IF(Y114="SELL",AD114*('Data Checks'!D324/'Data Checks'!D325),AD114))</f>
        <v>154.13933015842281</v>
      </c>
      <c r="AE115">
        <f>IF(Z114="BUY",AE114*('Data Checks'!E325/'Data Checks'!E324),IF(Z114="SELL",AE114*('Data Checks'!E324/'Data Checks'!E325),AE114))</f>
        <v>239.70537533581069</v>
      </c>
      <c r="AF115">
        <f>IF(AA114="BUY",AF114*('Data Checks'!F325/'Data Checks'!F324),IF(AA114="SELL",AF114*('Data Checks'!F324/'Data Checks'!F325),AF114))</f>
        <v>203.62399675047246</v>
      </c>
      <c r="AG115" s="16">
        <f t="shared" si="19"/>
        <v>1001.9286672328868</v>
      </c>
      <c r="AH115" s="17">
        <f t="shared" si="23"/>
        <v>0</v>
      </c>
      <c r="AJ115" t="str">
        <f>IF('Moving Ave'!G325&gt;'Moving Ave'!L325,"SELL","BUY")</f>
        <v>SELL</v>
      </c>
      <c r="AK115" t="str">
        <f>IF('Moving Ave'!H325&gt;'Moving Ave'!M325,"SELL","BUY")</f>
        <v>BUY</v>
      </c>
      <c r="AL115" t="str">
        <f>IF('Moving Ave'!I325&gt;'Moving Ave'!N325,"SELL","BUY")</f>
        <v>BUY</v>
      </c>
      <c r="AM115" t="str">
        <f>IF('Moving Ave'!J325&gt;'Moving Ave'!O325,"SELL","BUY")</f>
        <v>BUY</v>
      </c>
      <c r="AN115" t="str">
        <f>IF('Moving Ave'!K325&gt;'Moving Ave'!P325,"SELL","BUY")</f>
        <v>BUY</v>
      </c>
      <c r="AO115">
        <f>IF(AJ114="BUY",AO114*('Data Checks'!B325/'Data Checks'!B324),AO114*('Data Checks'!B324/'Data Checks'!B325))</f>
        <v>170.30196671653425</v>
      </c>
      <c r="AP115">
        <f>IF(AK114="BUY",AP114*('Data Checks'!C325/'Data Checks'!C324),AP114*('Data Checks'!C324/'Data Checks'!C325))</f>
        <v>130.81026494311072</v>
      </c>
      <c r="AQ115">
        <f>IF(AL114="BUY",AQ114*('Data Checks'!D325/'Data Checks'!D324),AQ114*('Data Checks'!D324/'Data Checks'!D325))</f>
        <v>322.5374934946546</v>
      </c>
      <c r="AR115">
        <f>IF(AM114="BUY",AR114*('Data Checks'!E325/'Data Checks'!E324),AR114*('Data Checks'!E324/'Data Checks'!E325))</f>
        <v>124.74053147838866</v>
      </c>
      <c r="AS115">
        <f>IF(AN114="BUY",AS114*('Data Checks'!F325/'Data Checks'!F324),AS114*('Data Checks'!F324/'Data Checks'!F325))</f>
        <v>205.26354793699903</v>
      </c>
      <c r="AT115" s="16">
        <f t="shared" si="20"/>
        <v>953.65380456968728</v>
      </c>
      <c r="AU115" s="17">
        <f t="shared" si="24"/>
        <v>-2.1726944014153204E-2</v>
      </c>
    </row>
    <row r="116" spans="1:47" x14ac:dyDescent="0.35">
      <c r="A116" s="2">
        <f>Prices!A324</f>
        <v>44357</v>
      </c>
      <c r="B116">
        <f>B115*('Data Checks'!B326/'Data Checks'!B325)</f>
        <v>278.97112629031938</v>
      </c>
      <c r="C116">
        <f>C115*('Data Checks'!C326/'Data Checks'!C325)</f>
        <v>128.4734652901567</v>
      </c>
      <c r="D116">
        <f>D115*('Data Checks'!D326/'Data Checks'!D325)</f>
        <v>195.59192178313435</v>
      </c>
      <c r="E116">
        <f>E115*('Data Checks'!E326/'Data Checks'!E325)</f>
        <v>121.35921923805762</v>
      </c>
      <c r="F116">
        <f>F115*('Data Checks'!F326/'Data Checks'!F325)</f>
        <v>131.37816115467098</v>
      </c>
      <c r="G116" s="16">
        <f t="shared" si="17"/>
        <v>855.77389375633902</v>
      </c>
      <c r="H116" s="17">
        <f t="shared" si="21"/>
        <v>-4.6334329178099321E-3</v>
      </c>
      <c r="J116" t="str">
        <f>IF(AND('Data Checks'!B326&gt;'Data Checks'!B325,'Data Checks'!B325&gt;'Data Checks'!B324,'Data Checks'!B324&gt;'Data Checks'!B323),"SELL",IF(AND('Data Checks'!B326&lt;'Data Checks'!B325,'Data Checks'!B325&lt;'Data Checks'!B324,'Data Checks'!B324&lt;'Data Checks'!B323),"BUY",""))</f>
        <v>SELL</v>
      </c>
      <c r="K116" t="str">
        <f>IF(AND('Data Checks'!C326&gt;'Data Checks'!C325,'Data Checks'!C325&gt;'Data Checks'!C324,'Data Checks'!C324&gt;'Data Checks'!C323),"SELL",IF(AND('Data Checks'!C326&lt;'Data Checks'!C325,'Data Checks'!C325&lt;'Data Checks'!C324,'Data Checks'!C324&lt;'Data Checks'!C323),"BUY",""))</f>
        <v/>
      </c>
      <c r="L116" t="str">
        <f>IF(AND('Data Checks'!D326&gt;'Data Checks'!D325,'Data Checks'!D325&gt;'Data Checks'!D324,'Data Checks'!D324&gt;'Data Checks'!D323),"SELL",IF(AND('Data Checks'!D326&lt;'Data Checks'!D325,'Data Checks'!D325&lt;'Data Checks'!D324,'Data Checks'!D324&lt;'Data Checks'!D323),"BUY",""))</f>
        <v/>
      </c>
      <c r="M116" t="str">
        <f>IF(AND('Data Checks'!E326&gt;'Data Checks'!E325,'Data Checks'!E325&gt;'Data Checks'!E324,'Data Checks'!E324&gt;'Data Checks'!E323),"SELL",IF(AND('Data Checks'!E326&lt;'Data Checks'!E325,'Data Checks'!E325&lt;'Data Checks'!E324,'Data Checks'!E324&lt;'Data Checks'!E323),"BUY",""))</f>
        <v/>
      </c>
      <c r="N116" t="str">
        <f>IF(AND('Data Checks'!F326&gt;'Data Checks'!F325,'Data Checks'!F325&gt;'Data Checks'!F324,'Data Checks'!F324&gt;'Data Checks'!F323),"SELL",IF(AND('Data Checks'!F326&lt;'Data Checks'!F325,'Data Checks'!F325&lt;'Data Checks'!F324,'Data Checks'!F324&lt;'Data Checks'!F323),"BUY",""))</f>
        <v>BUY</v>
      </c>
      <c r="O116">
        <f>IF(J115="BUY",O115*('Data Checks'!B326/'Data Checks'!B325),IF(J115="SELL",O115*('Data Checks'!B325/'Data Checks'!B326),O115))</f>
        <v>187.56308450066456</v>
      </c>
      <c r="P116">
        <f>IF(K115="BUY",P115*('Data Checks'!C326/'Data Checks'!C325),IF(K115="SELL",P115*('Data Checks'!C325/'Data Checks'!C326),P115))</f>
        <v>205.17938154088381</v>
      </c>
      <c r="Q116">
        <f>IF(L115="BUY",Q115*('Data Checks'!D326/'Data Checks'!D325),IF(L115="SELL",Q115*('Data Checks'!D325/'Data Checks'!D326),Q115))</f>
        <v>259.50547442296795</v>
      </c>
      <c r="R116">
        <f>IF(M115="BUY",R115*('Data Checks'!E326/'Data Checks'!E325),IF(M115="SELL",R115*('Data Checks'!E325/'Data Checks'!E326),R115))</f>
        <v>166.87151860471528</v>
      </c>
      <c r="S116">
        <f>IF(N115="BUY",S115*('Data Checks'!F326/'Data Checks'!F325),IF(N115="SELL",S115*('Data Checks'!F325/'Data Checks'!F326),S115))</f>
        <v>196.44050130799326</v>
      </c>
      <c r="T116" s="16">
        <f t="shared" si="18"/>
        <v>1015.5599603772249</v>
      </c>
      <c r="U116" s="17">
        <f t="shared" si="22"/>
        <v>-3.2974758021507844E-3</v>
      </c>
      <c r="W116" t="str">
        <f>IF(AND('Data Checks'!B326&gt;'Data Checks'!B325,'Data Checks'!B325&gt;'Data Checks'!B324,'Data Checks'!B324&gt;'Data Checks'!B323),"BUY",IF(AND('Data Checks'!B326&lt;'Data Checks'!B325,'Data Checks'!B325&lt;'Data Checks'!B324,'Data Checks'!B324&lt;'Data Checks'!B323),"SELL",""))</f>
        <v>BUY</v>
      </c>
      <c r="X116" t="str">
        <f>IF(AND('Data Checks'!C326&gt;'Data Checks'!C325,'Data Checks'!C325&gt;'Data Checks'!C324,'Data Checks'!C324&gt;'Data Checks'!C323),"BUY",IF(AND('Data Checks'!C326&lt;'Data Checks'!C325,'Data Checks'!C325&lt;'Data Checks'!C324,'Data Checks'!C324&lt;'Data Checks'!C323),"SELL",""))</f>
        <v/>
      </c>
      <c r="Y116" t="str">
        <f>IF(AND('Data Checks'!D326&gt;'Data Checks'!D325,'Data Checks'!D325&gt;'Data Checks'!D324,'Data Checks'!D324&gt;'Data Checks'!D323),"BUY",IF(AND('Data Checks'!D326&lt;'Data Checks'!D325,'Data Checks'!D325&lt;'Data Checks'!D324,'Data Checks'!D324&lt;'Data Checks'!D323),"SELL",""))</f>
        <v/>
      </c>
      <c r="Z116" t="str">
        <f>IF(AND('Data Checks'!E326&gt;'Data Checks'!E325,'Data Checks'!E325&gt;'Data Checks'!E324,'Data Checks'!E324&gt;'Data Checks'!E323),"BUY",IF(AND('Data Checks'!E326&lt;'Data Checks'!E325,'Data Checks'!E325&lt;'Data Checks'!E324,'Data Checks'!E324&lt;'Data Checks'!E323),"SELL",""))</f>
        <v/>
      </c>
      <c r="AA116" t="str">
        <f>IF(AND('Data Checks'!F326&gt;'Data Checks'!F325,'Data Checks'!F325&gt;'Data Checks'!F324,'Data Checks'!F324&gt;'Data Checks'!F323),"BUY",IF(AND('Data Checks'!F326&lt;'Data Checks'!F325,'Data Checks'!F325&lt;'Data Checks'!F324,'Data Checks'!F324&lt;'Data Checks'!F323),"SELL",""))</f>
        <v>SELL</v>
      </c>
      <c r="AB116">
        <f>IF(W115="BUY",AB115*('Data Checks'!B326/'Data Checks'!B325),IF(W115="SELL",AB115*('Data Checks'!B325/'Data Checks'!B326),AB115))</f>
        <v>213.26158133136414</v>
      </c>
      <c r="AC116">
        <f>IF(X115="BUY",AC115*('Data Checks'!C326/'Data Checks'!C325),IF(X115="SELL",AC115*('Data Checks'!C325/'Data Checks'!C326),AC115))</f>
        <v>194.95136255701044</v>
      </c>
      <c r="AD116">
        <f>IF(Y115="BUY",AD115*('Data Checks'!D326/'Data Checks'!D325),IF(Y115="SELL",AD115*('Data Checks'!D325/'Data Checks'!D326),AD115))</f>
        <v>154.13933015842281</v>
      </c>
      <c r="AE116">
        <f>IF(Z115="BUY",AE115*('Data Checks'!E326/'Data Checks'!E325),IF(Z115="SELL",AE115*('Data Checks'!E325/'Data Checks'!E326),AE115))</f>
        <v>239.70537533581069</v>
      </c>
      <c r="AF116">
        <f>IF(AA115="BUY",AF115*('Data Checks'!F326/'Data Checks'!F325),IF(AA115="SELL",AF115*('Data Checks'!F325/'Data Checks'!F326),AF115))</f>
        <v>203.62399675047246</v>
      </c>
      <c r="AG116" s="16">
        <f t="shared" si="19"/>
        <v>1005.6816461330806</v>
      </c>
      <c r="AH116" s="17">
        <f t="shared" si="23"/>
        <v>3.7457545860610786E-3</v>
      </c>
      <c r="AJ116" t="str">
        <f>IF('Moving Ave'!G326&gt;'Moving Ave'!L326,"SELL","BUY")</f>
        <v>SELL</v>
      </c>
      <c r="AK116" t="str">
        <f>IF('Moving Ave'!H326&gt;'Moving Ave'!M326,"SELL","BUY")</f>
        <v>BUY</v>
      </c>
      <c r="AL116" t="str">
        <f>IF('Moving Ave'!I326&gt;'Moving Ave'!N326,"SELL","BUY")</f>
        <v>BUY</v>
      </c>
      <c r="AM116" t="str">
        <f>IF('Moving Ave'!J326&gt;'Moving Ave'!O326,"SELL","BUY")</f>
        <v>BUY</v>
      </c>
      <c r="AN116" t="str">
        <f>IF('Moving Ave'!K326&gt;'Moving Ave'!P326,"SELL","BUY")</f>
        <v>BUY</v>
      </c>
      <c r="AO116">
        <f>IF(AJ115="BUY",AO115*('Data Checks'!B326/'Data Checks'!B325),AO115*('Data Checks'!B325/'Data Checks'!B326))</f>
        <v>167.30499143501115</v>
      </c>
      <c r="AP116">
        <f>IF(AK115="BUY",AP115*('Data Checks'!C326/'Data Checks'!C325),AP115*('Data Checks'!C325/'Data Checks'!C326))</f>
        <v>128.4734652901567</v>
      </c>
      <c r="AQ116">
        <f>IF(AL115="BUY",AQ115*('Data Checks'!D326/'Data Checks'!D325),AQ115*('Data Checks'!D325/'Data Checks'!D326))</f>
        <v>327.11724664903755</v>
      </c>
      <c r="AR116">
        <f>IF(AM115="BUY",AR115*('Data Checks'!E326/'Data Checks'!E325),AR115*('Data Checks'!E325/'Data Checks'!E326))</f>
        <v>121.35921923805762</v>
      </c>
      <c r="AS116">
        <f>IF(AN115="BUY",AS115*('Data Checks'!F326/'Data Checks'!F325),AS115*('Data Checks'!F325/'Data Checks'!F326))</f>
        <v>196.42274621458739</v>
      </c>
      <c r="AT116" s="16">
        <f t="shared" si="20"/>
        <v>940.67766882685044</v>
      </c>
      <c r="AU116" s="17">
        <f t="shared" si="24"/>
        <v>-1.3606757169801309E-2</v>
      </c>
    </row>
    <row r="117" spans="1:47" x14ac:dyDescent="0.35">
      <c r="A117" s="2">
        <f>Prices!A325</f>
        <v>44358</v>
      </c>
      <c r="B117">
        <f>B116*('Data Checks'!B327/'Data Checks'!B326)</f>
        <v>269.54125083881951</v>
      </c>
      <c r="C117">
        <f>C116*('Data Checks'!C327/'Data Checks'!C326)</f>
        <v>119.48184199852288</v>
      </c>
      <c r="D117">
        <f>D116*('Data Checks'!D327/'Data Checks'!D326)</f>
        <v>185.50676215573145</v>
      </c>
      <c r="E117">
        <f>E116*('Data Checks'!E327/'Data Checks'!E326)</f>
        <v>111.11482386625967</v>
      </c>
      <c r="F117">
        <f>F116*('Data Checks'!F327/'Data Checks'!F326)</f>
        <v>131.85503288300009</v>
      </c>
      <c r="G117" s="16">
        <f t="shared" si="17"/>
        <v>817.4997117423336</v>
      </c>
      <c r="H117" s="17">
        <f t="shared" si="21"/>
        <v>-4.4724643148442489E-2</v>
      </c>
      <c r="J117" t="str">
        <f>IF(AND('Data Checks'!B327&gt;'Data Checks'!B326,'Data Checks'!B326&gt;'Data Checks'!B325,'Data Checks'!B325&gt;'Data Checks'!B324),"SELL",IF(AND('Data Checks'!B327&lt;'Data Checks'!B326,'Data Checks'!B326&lt;'Data Checks'!B325,'Data Checks'!B325&lt;'Data Checks'!B324),"BUY",""))</f>
        <v/>
      </c>
      <c r="K117" t="str">
        <f>IF(AND('Data Checks'!C327&gt;'Data Checks'!C326,'Data Checks'!C326&gt;'Data Checks'!C325,'Data Checks'!C325&gt;'Data Checks'!C324),"SELL",IF(AND('Data Checks'!C327&lt;'Data Checks'!C326,'Data Checks'!C326&lt;'Data Checks'!C325,'Data Checks'!C325&lt;'Data Checks'!C324),"BUY",""))</f>
        <v>BUY</v>
      </c>
      <c r="L117" t="str">
        <f>IF(AND('Data Checks'!D327&gt;'Data Checks'!D326,'Data Checks'!D326&gt;'Data Checks'!D325,'Data Checks'!D325&gt;'Data Checks'!D324),"SELL",IF(AND('Data Checks'!D327&lt;'Data Checks'!D326,'Data Checks'!D326&lt;'Data Checks'!D325,'Data Checks'!D325&lt;'Data Checks'!D324),"BUY",""))</f>
        <v/>
      </c>
      <c r="M117" t="str">
        <f>IF(AND('Data Checks'!E327&gt;'Data Checks'!E326,'Data Checks'!E326&gt;'Data Checks'!E325,'Data Checks'!E325&gt;'Data Checks'!E324),"SELL",IF(AND('Data Checks'!E327&lt;'Data Checks'!E326,'Data Checks'!E326&lt;'Data Checks'!E325,'Data Checks'!E325&lt;'Data Checks'!E324),"BUY",""))</f>
        <v>BUY</v>
      </c>
      <c r="N117" t="str">
        <f>IF(AND('Data Checks'!F327&gt;'Data Checks'!F326,'Data Checks'!F326&gt;'Data Checks'!F325,'Data Checks'!F325&gt;'Data Checks'!F324),"SELL",IF(AND('Data Checks'!F327&lt;'Data Checks'!F326,'Data Checks'!F326&lt;'Data Checks'!F325,'Data Checks'!F325&lt;'Data Checks'!F324),"BUY",""))</f>
        <v/>
      </c>
      <c r="O117">
        <f>IF(J116="BUY",O116*('Data Checks'!B327/'Data Checks'!B326),IF(J116="SELL",O116*('Data Checks'!B326/'Data Checks'!B327),O116))</f>
        <v>194.12496146990833</v>
      </c>
      <c r="P117">
        <f>IF(K116="BUY",P116*('Data Checks'!C327/'Data Checks'!C326),IF(K116="SELL",P116*('Data Checks'!C326/'Data Checks'!C327),P116))</f>
        <v>205.17938154088381</v>
      </c>
      <c r="Q117">
        <f>IF(L116="BUY",Q116*('Data Checks'!D327/'Data Checks'!D326),IF(L116="SELL",Q116*('Data Checks'!D326/'Data Checks'!D327),Q116))</f>
        <v>259.50547442296795</v>
      </c>
      <c r="R117">
        <f>IF(M116="BUY",R116*('Data Checks'!E327/'Data Checks'!E326),IF(M116="SELL",R116*('Data Checks'!E326/'Data Checks'!E327),R116))</f>
        <v>166.87151860471528</v>
      </c>
      <c r="S117">
        <f>IF(N116="BUY",S116*('Data Checks'!F327/'Data Checks'!F326),IF(N116="SELL",S116*('Data Checks'!F326/'Data Checks'!F327),S116))</f>
        <v>197.15353398061757</v>
      </c>
      <c r="T117" s="16">
        <f t="shared" si="18"/>
        <v>1022.8348700190929</v>
      </c>
      <c r="U117" s="17">
        <f t="shared" si="22"/>
        <v>7.1634466951275844E-3</v>
      </c>
      <c r="W117" t="str">
        <f>IF(AND('Data Checks'!B327&gt;'Data Checks'!B326,'Data Checks'!B326&gt;'Data Checks'!B325,'Data Checks'!B325&gt;'Data Checks'!B324),"BUY",IF(AND('Data Checks'!B327&lt;'Data Checks'!B326,'Data Checks'!B326&lt;'Data Checks'!B325,'Data Checks'!B325&lt;'Data Checks'!B324),"SELL",""))</f>
        <v/>
      </c>
      <c r="X117" t="str">
        <f>IF(AND('Data Checks'!C327&gt;'Data Checks'!C326,'Data Checks'!C326&gt;'Data Checks'!C325,'Data Checks'!C325&gt;'Data Checks'!C324),"BUY",IF(AND('Data Checks'!C327&lt;'Data Checks'!C326,'Data Checks'!C326&lt;'Data Checks'!C325,'Data Checks'!C325&lt;'Data Checks'!C324),"SELL",""))</f>
        <v>SELL</v>
      </c>
      <c r="Y117" t="str">
        <f>IF(AND('Data Checks'!D327&gt;'Data Checks'!D326,'Data Checks'!D326&gt;'Data Checks'!D325,'Data Checks'!D325&gt;'Data Checks'!D324),"BUY",IF(AND('Data Checks'!D327&lt;'Data Checks'!D326,'Data Checks'!D326&lt;'Data Checks'!D325,'Data Checks'!D325&lt;'Data Checks'!D324),"SELL",""))</f>
        <v/>
      </c>
      <c r="Z117" t="str">
        <f>IF(AND('Data Checks'!E327&gt;'Data Checks'!E326,'Data Checks'!E326&gt;'Data Checks'!E325,'Data Checks'!E325&gt;'Data Checks'!E324),"BUY",IF(AND('Data Checks'!E327&lt;'Data Checks'!E326,'Data Checks'!E326&lt;'Data Checks'!E325,'Data Checks'!E325&lt;'Data Checks'!E324),"SELL",""))</f>
        <v>SELL</v>
      </c>
      <c r="AA117" t="str">
        <f>IF(AND('Data Checks'!F327&gt;'Data Checks'!F326,'Data Checks'!F326&gt;'Data Checks'!F325,'Data Checks'!F325&gt;'Data Checks'!F324),"BUY",IF(AND('Data Checks'!F327&lt;'Data Checks'!F326,'Data Checks'!F326&lt;'Data Checks'!F325,'Data Checks'!F325&lt;'Data Checks'!F324),"SELL",""))</f>
        <v/>
      </c>
      <c r="AB117">
        <f>IF(W116="BUY",AB116*('Data Checks'!B327/'Data Checks'!B326),IF(W116="SELL",AB116*('Data Checks'!B326/'Data Checks'!B327),AB116))</f>
        <v>206.05284192780366</v>
      </c>
      <c r="AC117">
        <f>IF(X116="BUY",AC116*('Data Checks'!C327/'Data Checks'!C326),IF(X116="SELL",AC116*('Data Checks'!C326/'Data Checks'!C327),AC116))</f>
        <v>194.95136255701044</v>
      </c>
      <c r="AD117">
        <f>IF(Y116="BUY",AD116*('Data Checks'!D327/'Data Checks'!D326),IF(Y116="SELL",AD116*('Data Checks'!D326/'Data Checks'!D327),AD116))</f>
        <v>154.13933015842281</v>
      </c>
      <c r="AE117">
        <f>IF(Z116="BUY",AE116*('Data Checks'!E327/'Data Checks'!E326),IF(Z116="SELL",AE116*('Data Checks'!E326/'Data Checks'!E327),AE116))</f>
        <v>239.70537533581069</v>
      </c>
      <c r="AF117">
        <f>IF(AA116="BUY",AF116*('Data Checks'!F327/'Data Checks'!F326),IF(AA116="SELL",AF116*('Data Checks'!F326/'Data Checks'!F327),AF116))</f>
        <v>202.88756276584147</v>
      </c>
      <c r="AG117" s="16">
        <f t="shared" si="19"/>
        <v>997.73647274488906</v>
      </c>
      <c r="AH117" s="17">
        <f t="shared" si="23"/>
        <v>-7.9002867545026056E-3</v>
      </c>
      <c r="AJ117" t="str">
        <f>IF('Moving Ave'!G327&gt;'Moving Ave'!L327,"SELL","BUY")</f>
        <v>SELL</v>
      </c>
      <c r="AK117" t="str">
        <f>IF('Moving Ave'!H327&gt;'Moving Ave'!M327,"SELL","BUY")</f>
        <v>BUY</v>
      </c>
      <c r="AL117" t="str">
        <f>IF('Moving Ave'!I327&gt;'Moving Ave'!N327,"SELL","BUY")</f>
        <v>BUY</v>
      </c>
      <c r="AM117" t="str">
        <f>IF('Moving Ave'!J327&gt;'Moving Ave'!O327,"SELL","BUY")</f>
        <v>BUY</v>
      </c>
      <c r="AN117" t="str">
        <f>IF('Moving Ave'!K327&gt;'Moving Ave'!P327,"SELL","BUY")</f>
        <v>BUY</v>
      </c>
      <c r="AO117">
        <f>IF(AJ116="BUY",AO116*('Data Checks'!B327/'Data Checks'!B326),AO116*('Data Checks'!B326/'Data Checks'!B327))</f>
        <v>173.15814091301004</v>
      </c>
      <c r="AP117">
        <f>IF(AK116="BUY",AP116*('Data Checks'!C327/'Data Checks'!C326),AP116*('Data Checks'!C326/'Data Checks'!C327))</f>
        <v>119.48184199852288</v>
      </c>
      <c r="AQ117">
        <f>IF(AL116="BUY",AQ116*('Data Checks'!D327/'Data Checks'!D326),AQ116*('Data Checks'!D326/'Data Checks'!D327))</f>
        <v>310.2503453002696</v>
      </c>
      <c r="AR117">
        <f>IF(AM116="BUY",AR116*('Data Checks'!E327/'Data Checks'!E326),AR116*('Data Checks'!E326/'Data Checks'!E327))</f>
        <v>111.11482386625967</v>
      </c>
      <c r="AS117">
        <f>IF(AN116="BUY",AS116*('Data Checks'!F327/'Data Checks'!F326),AS116*('Data Checks'!F326/'Data Checks'!F327))</f>
        <v>197.13571444041168</v>
      </c>
      <c r="AT117" s="16">
        <f t="shared" si="20"/>
        <v>911.1408665184739</v>
      </c>
      <c r="AU117" s="17">
        <f t="shared" si="24"/>
        <v>-3.1399493457958672E-2</v>
      </c>
    </row>
    <row r="118" spans="1:47" x14ac:dyDescent="0.35">
      <c r="A118" s="2">
        <f>Prices!A326</f>
        <v>44359</v>
      </c>
      <c r="B118">
        <f>B117*('Data Checks'!B328/'Data Checks'!B327)</f>
        <v>268.17772367807498</v>
      </c>
      <c r="C118">
        <f>C117*('Data Checks'!C328/'Data Checks'!C327)</f>
        <v>121.81864673148719</v>
      </c>
      <c r="D118">
        <f>D117*('Data Checks'!D328/'Data Checks'!D327)</f>
        <v>192.01870415793454</v>
      </c>
      <c r="E118">
        <f>E117*('Data Checks'!E328/'Data Checks'!E327)</f>
        <v>115.33310963062907</v>
      </c>
      <c r="F118">
        <f>F117*('Data Checks'!F328/'Data Checks'!F327)</f>
        <v>132.71339627153176</v>
      </c>
      <c r="G118" s="16">
        <f t="shared" si="17"/>
        <v>830.06158046965766</v>
      </c>
      <c r="H118" s="17">
        <f t="shared" si="21"/>
        <v>1.536620569633107E-2</v>
      </c>
      <c r="J118" t="str">
        <f>IF(AND('Data Checks'!B328&gt;'Data Checks'!B327,'Data Checks'!B327&gt;'Data Checks'!B326,'Data Checks'!B326&gt;'Data Checks'!B325),"SELL",IF(AND('Data Checks'!B328&lt;'Data Checks'!B327,'Data Checks'!B327&lt;'Data Checks'!B326,'Data Checks'!B326&lt;'Data Checks'!B325),"BUY",""))</f>
        <v/>
      </c>
      <c r="K118" t="str">
        <f>IF(AND('Data Checks'!C328&gt;'Data Checks'!C327,'Data Checks'!C327&gt;'Data Checks'!C326,'Data Checks'!C326&gt;'Data Checks'!C325),"SELL",IF(AND('Data Checks'!C328&lt;'Data Checks'!C327,'Data Checks'!C327&lt;'Data Checks'!C326,'Data Checks'!C326&lt;'Data Checks'!C325),"BUY",""))</f>
        <v/>
      </c>
      <c r="L118" t="str">
        <f>IF(AND('Data Checks'!D328&gt;'Data Checks'!D327,'Data Checks'!D327&gt;'Data Checks'!D326,'Data Checks'!D326&gt;'Data Checks'!D325),"SELL",IF(AND('Data Checks'!D328&lt;'Data Checks'!D327,'Data Checks'!D327&lt;'Data Checks'!D326,'Data Checks'!D326&lt;'Data Checks'!D325),"BUY",""))</f>
        <v/>
      </c>
      <c r="M118" t="str">
        <f>IF(AND('Data Checks'!E328&gt;'Data Checks'!E327,'Data Checks'!E327&gt;'Data Checks'!E326,'Data Checks'!E326&gt;'Data Checks'!E325),"SELL",IF(AND('Data Checks'!E328&lt;'Data Checks'!E327,'Data Checks'!E327&lt;'Data Checks'!E326,'Data Checks'!E326&lt;'Data Checks'!E325),"BUY",""))</f>
        <v/>
      </c>
      <c r="N118" t="str">
        <f>IF(AND('Data Checks'!F328&gt;'Data Checks'!F327,'Data Checks'!F327&gt;'Data Checks'!F326,'Data Checks'!F326&gt;'Data Checks'!F325),"SELL",IF(AND('Data Checks'!F328&lt;'Data Checks'!F327,'Data Checks'!F327&lt;'Data Checks'!F326,'Data Checks'!F326&lt;'Data Checks'!F325),"BUY",""))</f>
        <v/>
      </c>
      <c r="O118">
        <f>IF(J117="BUY",O117*('Data Checks'!B328/'Data Checks'!B327),IF(J117="SELL",O117*('Data Checks'!B327/'Data Checks'!B328),O117))</f>
        <v>194.12496146990833</v>
      </c>
      <c r="P118">
        <f>IF(K117="BUY",P117*('Data Checks'!C328/'Data Checks'!C327),IF(K117="SELL",P117*('Data Checks'!C327/'Data Checks'!C328),P117))</f>
        <v>209.19224359482968</v>
      </c>
      <c r="Q118">
        <f>IF(L117="BUY",Q117*('Data Checks'!D328/'Data Checks'!D327),IF(L117="SELL",Q117*('Data Checks'!D327/'Data Checks'!D328),Q117))</f>
        <v>259.50547442296795</v>
      </c>
      <c r="R118">
        <f>IF(M117="BUY",R117*('Data Checks'!E328/'Data Checks'!E327),IF(M117="SELL",R117*('Data Checks'!E327/'Data Checks'!E328),R117))</f>
        <v>173.20651268485906</v>
      </c>
      <c r="S118">
        <f>IF(N117="BUY",S117*('Data Checks'!F328/'Data Checks'!F327),IF(N117="SELL",S117*('Data Checks'!F327/'Data Checks'!F328),S117))</f>
        <v>197.15353398061757</v>
      </c>
      <c r="T118" s="16">
        <f t="shared" si="18"/>
        <v>1033.1827261531826</v>
      </c>
      <c r="U118" s="17">
        <f t="shared" si="22"/>
        <v>1.011683942090924E-2</v>
      </c>
      <c r="W118" t="str">
        <f>IF(AND('Data Checks'!B328&gt;'Data Checks'!B327,'Data Checks'!B327&gt;'Data Checks'!B326,'Data Checks'!B326&gt;'Data Checks'!B325),"BUY",IF(AND('Data Checks'!B328&lt;'Data Checks'!B327,'Data Checks'!B327&lt;'Data Checks'!B326,'Data Checks'!B326&lt;'Data Checks'!B325),"SELL",""))</f>
        <v/>
      </c>
      <c r="X118" t="str">
        <f>IF(AND('Data Checks'!C328&gt;'Data Checks'!C327,'Data Checks'!C327&gt;'Data Checks'!C326,'Data Checks'!C326&gt;'Data Checks'!C325),"BUY",IF(AND('Data Checks'!C328&lt;'Data Checks'!C327,'Data Checks'!C327&lt;'Data Checks'!C326,'Data Checks'!C326&lt;'Data Checks'!C325),"SELL",""))</f>
        <v/>
      </c>
      <c r="Y118" t="str">
        <f>IF(AND('Data Checks'!D328&gt;'Data Checks'!D327,'Data Checks'!D327&gt;'Data Checks'!D326,'Data Checks'!D326&gt;'Data Checks'!D325),"BUY",IF(AND('Data Checks'!D328&lt;'Data Checks'!D327,'Data Checks'!D327&lt;'Data Checks'!D326,'Data Checks'!D326&lt;'Data Checks'!D325),"SELL",""))</f>
        <v/>
      </c>
      <c r="Z118" t="str">
        <f>IF(AND('Data Checks'!E328&gt;'Data Checks'!E327,'Data Checks'!E327&gt;'Data Checks'!E326,'Data Checks'!E326&gt;'Data Checks'!E325),"BUY",IF(AND('Data Checks'!E328&lt;'Data Checks'!E327,'Data Checks'!E327&lt;'Data Checks'!E326,'Data Checks'!E326&lt;'Data Checks'!E325),"SELL",""))</f>
        <v/>
      </c>
      <c r="AA118" t="str">
        <f>IF(AND('Data Checks'!F328&gt;'Data Checks'!F327,'Data Checks'!F327&gt;'Data Checks'!F326,'Data Checks'!F326&gt;'Data Checks'!F325),"BUY",IF(AND('Data Checks'!F328&lt;'Data Checks'!F327,'Data Checks'!F327&lt;'Data Checks'!F326,'Data Checks'!F326&lt;'Data Checks'!F325),"SELL",""))</f>
        <v/>
      </c>
      <c r="AB118">
        <f>IF(W117="BUY",AB117*('Data Checks'!B328/'Data Checks'!B327),IF(W117="SELL",AB117*('Data Checks'!B327/'Data Checks'!B328),AB117))</f>
        <v>206.05284192780366</v>
      </c>
      <c r="AC118">
        <f>IF(X117="BUY",AC117*('Data Checks'!C328/'Data Checks'!C327),IF(X117="SELL",AC117*('Data Checks'!C327/'Data Checks'!C328),AC117))</f>
        <v>191.21167837117954</v>
      </c>
      <c r="AD118">
        <f>IF(Y117="BUY",AD117*('Data Checks'!D328/'Data Checks'!D327),IF(Y117="SELL",AD117*('Data Checks'!D327/'Data Checks'!D328),AD117))</f>
        <v>154.13933015842281</v>
      </c>
      <c r="AE118">
        <f>IF(Z117="BUY",AE117*('Data Checks'!E328/'Data Checks'!E327),IF(Z117="SELL",AE117*('Data Checks'!E327/'Data Checks'!E328),AE117))</f>
        <v>230.93819845433913</v>
      </c>
      <c r="AF118">
        <f>IF(AA117="BUY",AF117*('Data Checks'!F328/'Data Checks'!F327),IF(AA117="SELL",AF117*('Data Checks'!F327/'Data Checks'!F328),AF117))</f>
        <v>202.88756276584147</v>
      </c>
      <c r="AG118" s="16">
        <f t="shared" si="19"/>
        <v>985.2296116775866</v>
      </c>
      <c r="AH118" s="17">
        <f t="shared" si="23"/>
        <v>-1.2535234913177651E-2</v>
      </c>
      <c r="AJ118" t="str">
        <f>IF('Moving Ave'!G328&gt;'Moving Ave'!L328,"SELL","BUY")</f>
        <v>SELL</v>
      </c>
      <c r="AK118" t="str">
        <f>IF('Moving Ave'!H328&gt;'Moving Ave'!M328,"SELL","BUY")</f>
        <v>BUY</v>
      </c>
      <c r="AL118" t="str">
        <f>IF('Moving Ave'!I328&gt;'Moving Ave'!N328,"SELL","BUY")</f>
        <v>BUY</v>
      </c>
      <c r="AM118" t="str">
        <f>IF('Moving Ave'!J328&gt;'Moving Ave'!O328,"SELL","BUY")</f>
        <v>BUY</v>
      </c>
      <c r="AN118" t="str">
        <f>IF('Moving Ave'!K328&gt;'Moving Ave'!P328,"SELL","BUY")</f>
        <v>BUY</v>
      </c>
      <c r="AO118">
        <f>IF(AJ117="BUY",AO117*('Data Checks'!B328/'Data Checks'!B327),AO117*('Data Checks'!B327/'Data Checks'!B328))</f>
        <v>174.03854896853647</v>
      </c>
      <c r="AP118">
        <f>IF(AK117="BUY",AP117*('Data Checks'!C328/'Data Checks'!C327),AP117*('Data Checks'!C327/'Data Checks'!C328))</f>
        <v>121.81864673148719</v>
      </c>
      <c r="AQ118">
        <f>IF(AL117="BUY",AQ117*('Data Checks'!D328/'Data Checks'!D327),AQ117*('Data Checks'!D327/'Data Checks'!D328))</f>
        <v>321.14122728905005</v>
      </c>
      <c r="AR118">
        <f>IF(AM117="BUY",AR117*('Data Checks'!E328/'Data Checks'!E327),AR117*('Data Checks'!E327/'Data Checks'!E328))</f>
        <v>115.33310963062907</v>
      </c>
      <c r="AS118">
        <f>IF(AN117="BUY",AS117*('Data Checks'!F328/'Data Checks'!F327),AS117*('Data Checks'!F327/'Data Checks'!F328))</f>
        <v>198.41904869127666</v>
      </c>
      <c r="AT118" s="16">
        <f t="shared" si="20"/>
        <v>930.75058131097956</v>
      </c>
      <c r="AU118" s="17">
        <f t="shared" si="24"/>
        <v>2.1522154820511563E-2</v>
      </c>
    </row>
    <row r="119" spans="1:47" x14ac:dyDescent="0.35">
      <c r="A119" s="2">
        <f>Prices!A327</f>
        <v>44362</v>
      </c>
      <c r="B119">
        <f>B118*('Data Checks'!B329/'Data Checks'!B328)</f>
        <v>271.09234603035645</v>
      </c>
      <c r="C119">
        <f>C118*('Data Checks'!C329/'Data Checks'!C328)</f>
        <v>121.00584508523873</v>
      </c>
      <c r="D119">
        <f>D118*('Data Checks'!D329/'Data Checks'!D328)</f>
        <v>190.64952731089537</v>
      </c>
      <c r="E119">
        <f>E118*('Data Checks'!E329/'Data Checks'!E328)</f>
        <v>115.5674551199379</v>
      </c>
      <c r="F119">
        <f>F118*('Data Checks'!F329/'Data Checks'!F328)</f>
        <v>137.38674779284821</v>
      </c>
      <c r="G119" s="16">
        <f t="shared" si="17"/>
        <v>835.70192133927662</v>
      </c>
      <c r="H119" s="17">
        <f t="shared" si="21"/>
        <v>6.7950872589810363E-3</v>
      </c>
      <c r="J119" t="str">
        <f>IF(AND('Data Checks'!B329&gt;'Data Checks'!B328,'Data Checks'!B328&gt;'Data Checks'!B327,'Data Checks'!B327&gt;'Data Checks'!B326),"SELL",IF(AND('Data Checks'!B329&lt;'Data Checks'!B328,'Data Checks'!B328&lt;'Data Checks'!B327,'Data Checks'!B327&lt;'Data Checks'!B326),"BUY",""))</f>
        <v/>
      </c>
      <c r="K119" t="str">
        <f>IF(AND('Data Checks'!C329&gt;'Data Checks'!C328,'Data Checks'!C328&gt;'Data Checks'!C327,'Data Checks'!C327&gt;'Data Checks'!C326),"SELL",IF(AND('Data Checks'!C329&lt;'Data Checks'!C328,'Data Checks'!C328&lt;'Data Checks'!C327,'Data Checks'!C327&lt;'Data Checks'!C326),"BUY",""))</f>
        <v/>
      </c>
      <c r="L119" t="str">
        <f>IF(AND('Data Checks'!D329&gt;'Data Checks'!D328,'Data Checks'!D328&gt;'Data Checks'!D327,'Data Checks'!D327&gt;'Data Checks'!D326),"SELL",IF(AND('Data Checks'!D329&lt;'Data Checks'!D328,'Data Checks'!D328&lt;'Data Checks'!D327,'Data Checks'!D327&lt;'Data Checks'!D326),"BUY",""))</f>
        <v/>
      </c>
      <c r="M119" t="str">
        <f>IF(AND('Data Checks'!E329&gt;'Data Checks'!E328,'Data Checks'!E328&gt;'Data Checks'!E327,'Data Checks'!E327&gt;'Data Checks'!E326),"SELL",IF(AND('Data Checks'!E329&lt;'Data Checks'!E328,'Data Checks'!E328&lt;'Data Checks'!E327,'Data Checks'!E327&lt;'Data Checks'!E326),"BUY",""))</f>
        <v/>
      </c>
      <c r="N119" t="str">
        <f>IF(AND('Data Checks'!F329&gt;'Data Checks'!F328,'Data Checks'!F328&gt;'Data Checks'!F327,'Data Checks'!F327&gt;'Data Checks'!F326),"SELL",IF(AND('Data Checks'!F329&lt;'Data Checks'!F328,'Data Checks'!F328&lt;'Data Checks'!F327,'Data Checks'!F327&lt;'Data Checks'!F326),"BUY",""))</f>
        <v>SELL</v>
      </c>
      <c r="O119">
        <f>IF(J118="BUY",O118*('Data Checks'!B329/'Data Checks'!B328),IF(J118="SELL",O118*('Data Checks'!B328/'Data Checks'!B329),O118))</f>
        <v>194.12496146990833</v>
      </c>
      <c r="P119">
        <f>IF(K118="BUY",P118*('Data Checks'!C329/'Data Checks'!C328),IF(K118="SELL",P118*('Data Checks'!C328/'Data Checks'!C329),P118))</f>
        <v>209.19224359482968</v>
      </c>
      <c r="Q119">
        <f>IF(L118="BUY",Q118*('Data Checks'!D329/'Data Checks'!D328),IF(L118="SELL",Q118*('Data Checks'!D328/'Data Checks'!D329),Q118))</f>
        <v>259.50547442296795</v>
      </c>
      <c r="R119">
        <f>IF(M118="BUY",R118*('Data Checks'!E329/'Data Checks'!E328),IF(M118="SELL",R118*('Data Checks'!E328/'Data Checks'!E329),R118))</f>
        <v>173.20651268485906</v>
      </c>
      <c r="S119">
        <f>IF(N118="BUY",S118*('Data Checks'!F329/'Data Checks'!F328),IF(N118="SELL",S118*('Data Checks'!F328/'Data Checks'!F329),S118))</f>
        <v>197.15353398061757</v>
      </c>
      <c r="T119" s="16">
        <f t="shared" si="18"/>
        <v>1033.1827261531826</v>
      </c>
      <c r="U119" s="17">
        <f t="shared" si="22"/>
        <v>0</v>
      </c>
      <c r="W119" t="str">
        <f>IF(AND('Data Checks'!B329&gt;'Data Checks'!B328,'Data Checks'!B328&gt;'Data Checks'!B327,'Data Checks'!B327&gt;'Data Checks'!B326),"BUY",IF(AND('Data Checks'!B329&lt;'Data Checks'!B328,'Data Checks'!B328&lt;'Data Checks'!B327,'Data Checks'!B327&lt;'Data Checks'!B326),"SELL",""))</f>
        <v/>
      </c>
      <c r="X119" t="str">
        <f>IF(AND('Data Checks'!C329&gt;'Data Checks'!C328,'Data Checks'!C328&gt;'Data Checks'!C327,'Data Checks'!C327&gt;'Data Checks'!C326),"BUY",IF(AND('Data Checks'!C329&lt;'Data Checks'!C328,'Data Checks'!C328&lt;'Data Checks'!C327,'Data Checks'!C327&lt;'Data Checks'!C326),"SELL",""))</f>
        <v/>
      </c>
      <c r="Y119" t="str">
        <f>IF(AND('Data Checks'!D329&gt;'Data Checks'!D328,'Data Checks'!D328&gt;'Data Checks'!D327,'Data Checks'!D327&gt;'Data Checks'!D326),"BUY",IF(AND('Data Checks'!D329&lt;'Data Checks'!D328,'Data Checks'!D328&lt;'Data Checks'!D327,'Data Checks'!D327&lt;'Data Checks'!D326),"SELL",""))</f>
        <v/>
      </c>
      <c r="Z119" t="str">
        <f>IF(AND('Data Checks'!E329&gt;'Data Checks'!E328,'Data Checks'!E328&gt;'Data Checks'!E327,'Data Checks'!E327&gt;'Data Checks'!E326),"BUY",IF(AND('Data Checks'!E329&lt;'Data Checks'!E328,'Data Checks'!E328&lt;'Data Checks'!E327,'Data Checks'!E327&lt;'Data Checks'!E326),"SELL",""))</f>
        <v/>
      </c>
      <c r="AA119" t="str">
        <f>IF(AND('Data Checks'!F329&gt;'Data Checks'!F328,'Data Checks'!F328&gt;'Data Checks'!F327,'Data Checks'!F327&gt;'Data Checks'!F326),"BUY",IF(AND('Data Checks'!F329&lt;'Data Checks'!F328,'Data Checks'!F328&lt;'Data Checks'!F327,'Data Checks'!F327&lt;'Data Checks'!F326),"SELL",""))</f>
        <v>BUY</v>
      </c>
      <c r="AB119">
        <f>IF(W118="BUY",AB118*('Data Checks'!B329/'Data Checks'!B328),IF(W118="SELL",AB118*('Data Checks'!B328/'Data Checks'!B329),AB118))</f>
        <v>206.05284192780366</v>
      </c>
      <c r="AC119">
        <f>IF(X118="BUY",AC118*('Data Checks'!C329/'Data Checks'!C328),IF(X118="SELL",AC118*('Data Checks'!C328/'Data Checks'!C329),AC118))</f>
        <v>191.21167837117954</v>
      </c>
      <c r="AD119">
        <f>IF(Y118="BUY",AD118*('Data Checks'!D329/'Data Checks'!D328),IF(Y118="SELL",AD118*('Data Checks'!D328/'Data Checks'!D329),AD118))</f>
        <v>154.13933015842281</v>
      </c>
      <c r="AE119">
        <f>IF(Z118="BUY",AE118*('Data Checks'!E329/'Data Checks'!E328),IF(Z118="SELL",AE118*('Data Checks'!E328/'Data Checks'!E329),AE118))</f>
        <v>230.93819845433913</v>
      </c>
      <c r="AF119">
        <f>IF(AA118="BUY",AF118*('Data Checks'!F329/'Data Checks'!F328),IF(AA118="SELL",AF118*('Data Checks'!F328/'Data Checks'!F329),AF118))</f>
        <v>202.88756276584147</v>
      </c>
      <c r="AG119" s="16">
        <f t="shared" si="19"/>
        <v>985.2296116775866</v>
      </c>
      <c r="AH119" s="17">
        <f t="shared" si="23"/>
        <v>0</v>
      </c>
      <c r="AJ119" t="str">
        <f>IF('Moving Ave'!G329&gt;'Moving Ave'!L329,"SELL","BUY")</f>
        <v>SELL</v>
      </c>
      <c r="AK119" t="str">
        <f>IF('Moving Ave'!H329&gt;'Moving Ave'!M329,"SELL","BUY")</f>
        <v>BUY</v>
      </c>
      <c r="AL119" t="str">
        <f>IF('Moving Ave'!I329&gt;'Moving Ave'!N329,"SELL","BUY")</f>
        <v>BUY</v>
      </c>
      <c r="AM119" t="str">
        <f>IF('Moving Ave'!J329&gt;'Moving Ave'!O329,"SELL","BUY")</f>
        <v>BUY</v>
      </c>
      <c r="AN119" t="str">
        <f>IF('Moving Ave'!K329&gt;'Moving Ave'!P329,"SELL","BUY")</f>
        <v>BUY</v>
      </c>
      <c r="AO119">
        <f>IF(AJ118="BUY",AO118*('Data Checks'!B329/'Data Checks'!B328),AO118*('Data Checks'!B328/'Data Checks'!B329))</f>
        <v>172.16739084692159</v>
      </c>
      <c r="AP119">
        <f>IF(AK118="BUY",AP118*('Data Checks'!C329/'Data Checks'!C328),AP118*('Data Checks'!C328/'Data Checks'!C329))</f>
        <v>121.00584508523873</v>
      </c>
      <c r="AQ119">
        <f>IF(AL118="BUY",AQ118*('Data Checks'!D329/'Data Checks'!D328),AQ118*('Data Checks'!D328/'Data Checks'!D329))</f>
        <v>318.85135071185857</v>
      </c>
      <c r="AR119">
        <f>IF(AM118="BUY",AR118*('Data Checks'!E329/'Data Checks'!E328),AR118*('Data Checks'!E328/'Data Checks'!E329))</f>
        <v>115.5674551199379</v>
      </c>
      <c r="AS119">
        <f>IF(AN118="BUY",AS118*('Data Checks'!F329/'Data Checks'!F328),AS118*('Data Checks'!F328/'Data Checks'!F329))</f>
        <v>205.40615013778265</v>
      </c>
      <c r="AT119" s="16">
        <f t="shared" si="20"/>
        <v>932.99819190173946</v>
      </c>
      <c r="AU119" s="17">
        <f t="shared" si="24"/>
        <v>2.4148366231413476E-3</v>
      </c>
    </row>
    <row r="120" spans="1:47" x14ac:dyDescent="0.35">
      <c r="A120" s="2">
        <f>Prices!A328</f>
        <v>44363</v>
      </c>
      <c r="B120">
        <f>B119*('Data Checks'!B330/'Data Checks'!B329)</f>
        <v>275.58021361541728</v>
      </c>
      <c r="C120">
        <f>C119*('Data Checks'!C330/'Data Checks'!C329)</f>
        <v>122.63144329772535</v>
      </c>
      <c r="D120">
        <f>D119*('Data Checks'!D330/'Data Checks'!D329)</f>
        <v>191.85173471116596</v>
      </c>
      <c r="E120">
        <f>E119*('Data Checks'!E330/'Data Checks'!E329)</f>
        <v>117.07398670659569</v>
      </c>
      <c r="F120">
        <f>F119*('Data Checks'!F330/'Data Checks'!F329)</f>
        <v>132.71339627153176</v>
      </c>
      <c r="G120" s="16">
        <f t="shared" si="17"/>
        <v>839.8507746024361</v>
      </c>
      <c r="H120" s="17">
        <f t="shared" si="21"/>
        <v>4.9645132519386959E-3</v>
      </c>
      <c r="J120" t="str">
        <f>IF(AND('Data Checks'!B330&gt;'Data Checks'!B329,'Data Checks'!B329&gt;'Data Checks'!B328,'Data Checks'!B328&gt;'Data Checks'!B327),"SELL",IF(AND('Data Checks'!B330&lt;'Data Checks'!B329,'Data Checks'!B329&lt;'Data Checks'!B328,'Data Checks'!B328&lt;'Data Checks'!B327),"BUY",""))</f>
        <v/>
      </c>
      <c r="K120" t="str">
        <f>IF(AND('Data Checks'!C330&gt;'Data Checks'!C329,'Data Checks'!C329&gt;'Data Checks'!C328,'Data Checks'!C328&gt;'Data Checks'!C327),"SELL",IF(AND('Data Checks'!C330&lt;'Data Checks'!C329,'Data Checks'!C329&lt;'Data Checks'!C328,'Data Checks'!C328&lt;'Data Checks'!C327),"BUY",""))</f>
        <v/>
      </c>
      <c r="L120" t="str">
        <f>IF(AND('Data Checks'!D330&gt;'Data Checks'!D329,'Data Checks'!D329&gt;'Data Checks'!D328,'Data Checks'!D328&gt;'Data Checks'!D327),"SELL",IF(AND('Data Checks'!D330&lt;'Data Checks'!D329,'Data Checks'!D329&lt;'Data Checks'!D328,'Data Checks'!D328&lt;'Data Checks'!D327),"BUY",""))</f>
        <v/>
      </c>
      <c r="M120" t="str">
        <f>IF(AND('Data Checks'!E330&gt;'Data Checks'!E329,'Data Checks'!E329&gt;'Data Checks'!E328,'Data Checks'!E328&gt;'Data Checks'!E327),"SELL",IF(AND('Data Checks'!E330&lt;'Data Checks'!E329,'Data Checks'!E329&lt;'Data Checks'!E328,'Data Checks'!E328&lt;'Data Checks'!E327),"BUY",""))</f>
        <v>SELL</v>
      </c>
      <c r="N120" t="str">
        <f>IF(AND('Data Checks'!F330&gt;'Data Checks'!F329,'Data Checks'!F329&gt;'Data Checks'!F328,'Data Checks'!F328&gt;'Data Checks'!F327),"SELL",IF(AND('Data Checks'!F330&lt;'Data Checks'!F329,'Data Checks'!F329&lt;'Data Checks'!F328,'Data Checks'!F328&lt;'Data Checks'!F327),"BUY",""))</f>
        <v/>
      </c>
      <c r="O120">
        <f>IF(J119="BUY",O119*('Data Checks'!B330/'Data Checks'!B329),IF(J119="SELL",O119*('Data Checks'!B329/'Data Checks'!B330),O119))</f>
        <v>194.12496146990833</v>
      </c>
      <c r="P120">
        <f>IF(K119="BUY",P119*('Data Checks'!C330/'Data Checks'!C329),IF(K119="SELL",P119*('Data Checks'!C329/'Data Checks'!C330),P119))</f>
        <v>209.19224359482968</v>
      </c>
      <c r="Q120">
        <f>IF(L119="BUY",Q119*('Data Checks'!D330/'Data Checks'!D329),IF(L119="SELL",Q119*('Data Checks'!D329/'Data Checks'!D330),Q119))</f>
        <v>259.50547442296795</v>
      </c>
      <c r="R120">
        <f>IF(M119="BUY",R119*('Data Checks'!E330/'Data Checks'!E329),IF(M119="SELL",R119*('Data Checks'!E329/'Data Checks'!E330),R119))</f>
        <v>173.20651268485906</v>
      </c>
      <c r="S120">
        <f>IF(N119="BUY",S119*('Data Checks'!F330/'Data Checks'!F329),IF(N119="SELL",S119*('Data Checks'!F329/'Data Checks'!F330),S119))</f>
        <v>204.09607176388789</v>
      </c>
      <c r="T120" s="16">
        <f t="shared" si="18"/>
        <v>1040.1252639364529</v>
      </c>
      <c r="U120" s="17">
        <f t="shared" si="22"/>
        <v>6.7195643205528732E-3</v>
      </c>
      <c r="W120" t="str">
        <f>IF(AND('Data Checks'!B330&gt;'Data Checks'!B329,'Data Checks'!B329&gt;'Data Checks'!B328,'Data Checks'!B328&gt;'Data Checks'!B327),"BUY",IF(AND('Data Checks'!B330&lt;'Data Checks'!B329,'Data Checks'!B329&lt;'Data Checks'!B328,'Data Checks'!B328&lt;'Data Checks'!B327),"SELL",""))</f>
        <v/>
      </c>
      <c r="X120" t="str">
        <f>IF(AND('Data Checks'!C330&gt;'Data Checks'!C329,'Data Checks'!C329&gt;'Data Checks'!C328,'Data Checks'!C328&gt;'Data Checks'!C327),"BUY",IF(AND('Data Checks'!C330&lt;'Data Checks'!C329,'Data Checks'!C329&lt;'Data Checks'!C328,'Data Checks'!C328&lt;'Data Checks'!C327),"SELL",""))</f>
        <v/>
      </c>
      <c r="Y120" t="str">
        <f>IF(AND('Data Checks'!D330&gt;'Data Checks'!D329,'Data Checks'!D329&gt;'Data Checks'!D328,'Data Checks'!D328&gt;'Data Checks'!D327),"BUY",IF(AND('Data Checks'!D330&lt;'Data Checks'!D329,'Data Checks'!D329&lt;'Data Checks'!D328,'Data Checks'!D328&lt;'Data Checks'!D327),"SELL",""))</f>
        <v/>
      </c>
      <c r="Z120" t="str">
        <f>IF(AND('Data Checks'!E330&gt;'Data Checks'!E329,'Data Checks'!E329&gt;'Data Checks'!E328,'Data Checks'!E328&gt;'Data Checks'!E327),"BUY",IF(AND('Data Checks'!E330&lt;'Data Checks'!E329,'Data Checks'!E329&lt;'Data Checks'!E328,'Data Checks'!E328&lt;'Data Checks'!E327),"SELL",""))</f>
        <v>BUY</v>
      </c>
      <c r="AA120" t="str">
        <f>IF(AND('Data Checks'!F330&gt;'Data Checks'!F329,'Data Checks'!F329&gt;'Data Checks'!F328,'Data Checks'!F328&gt;'Data Checks'!F327),"BUY",IF(AND('Data Checks'!F330&lt;'Data Checks'!F329,'Data Checks'!F329&lt;'Data Checks'!F328,'Data Checks'!F328&lt;'Data Checks'!F327),"SELL",""))</f>
        <v/>
      </c>
      <c r="AB120">
        <f>IF(W119="BUY",AB119*('Data Checks'!B330/'Data Checks'!B329),IF(W119="SELL",AB119*('Data Checks'!B329/'Data Checks'!B330),AB119))</f>
        <v>206.05284192780366</v>
      </c>
      <c r="AC120">
        <f>IF(X119="BUY",AC119*('Data Checks'!C330/'Data Checks'!C329),IF(X119="SELL",AC119*('Data Checks'!C329/'Data Checks'!C330),AC119))</f>
        <v>191.21167837117954</v>
      </c>
      <c r="AD120">
        <f>IF(Y119="BUY",AD119*('Data Checks'!D330/'Data Checks'!D329),IF(Y119="SELL",AD119*('Data Checks'!D329/'Data Checks'!D330),AD119))</f>
        <v>154.13933015842281</v>
      </c>
      <c r="AE120">
        <f>IF(Z119="BUY",AE119*('Data Checks'!E330/'Data Checks'!E329),IF(Z119="SELL",AE119*('Data Checks'!E329/'Data Checks'!E330),AE119))</f>
        <v>230.93819845433913</v>
      </c>
      <c r="AF120">
        <f>IF(AA119="BUY",AF119*('Data Checks'!F330/'Data Checks'!F329),IF(AA119="SELL",AF119*('Data Checks'!F329/'Data Checks'!F330),AF119))</f>
        <v>195.98613365902852</v>
      </c>
      <c r="AG120" s="16">
        <f t="shared" si="19"/>
        <v>978.32818257077361</v>
      </c>
      <c r="AH120" s="17">
        <f t="shared" si="23"/>
        <v>-7.0048941130196329E-3</v>
      </c>
      <c r="AJ120" t="str">
        <f>IF('Moving Ave'!G330&gt;'Moving Ave'!L330,"SELL","BUY")</f>
        <v>SELL</v>
      </c>
      <c r="AK120" t="str">
        <f>IF('Moving Ave'!H330&gt;'Moving Ave'!M330,"SELL","BUY")</f>
        <v>BUY</v>
      </c>
      <c r="AL120" t="str">
        <f>IF('Moving Ave'!I330&gt;'Moving Ave'!N330,"SELL","BUY")</f>
        <v>BUY</v>
      </c>
      <c r="AM120" t="str">
        <f>IF('Moving Ave'!J330&gt;'Moving Ave'!O330,"SELL","BUY")</f>
        <v>BUY</v>
      </c>
      <c r="AN120" t="str">
        <f>IF('Moving Ave'!K330&gt;'Moving Ave'!P330,"SELL","BUY")</f>
        <v>BUY</v>
      </c>
      <c r="AO120">
        <f>IF(AJ119="BUY",AO119*('Data Checks'!B330/'Data Checks'!B329),AO119*('Data Checks'!B329/'Data Checks'!B330))</f>
        <v>169.36361751918668</v>
      </c>
      <c r="AP120">
        <f>IF(AK119="BUY",AP119*('Data Checks'!C330/'Data Checks'!C329),AP119*('Data Checks'!C329/'Data Checks'!C330))</f>
        <v>122.63144329772535</v>
      </c>
      <c r="AQ120">
        <f>IF(AL119="BUY",AQ119*('Data Checks'!D330/'Data Checks'!D329),AQ119*('Data Checks'!D329/'Data Checks'!D330))</f>
        <v>320.86197963299395</v>
      </c>
      <c r="AR120">
        <f>IF(AM119="BUY",AR119*('Data Checks'!E330/'Data Checks'!E329),AR119*('Data Checks'!E329/'Data Checks'!E330))</f>
        <v>117.07398670659569</v>
      </c>
      <c r="AS120">
        <f>IF(AN119="BUY",AS119*('Data Checks'!F330/'Data Checks'!F329),AS119*('Data Checks'!F329/'Data Checks'!F330))</f>
        <v>198.41904869127669</v>
      </c>
      <c r="AT120" s="16">
        <f t="shared" si="20"/>
        <v>928.35007584777827</v>
      </c>
      <c r="AU120" s="17">
        <f t="shared" si="24"/>
        <v>-4.981913249463954E-3</v>
      </c>
    </row>
    <row r="121" spans="1:47" x14ac:dyDescent="0.35">
      <c r="A121" s="2">
        <f>Prices!A329</f>
        <v>44364</v>
      </c>
      <c r="B121">
        <f>B120*('Data Checks'!B331/'Data Checks'!B330)</f>
        <v>278.28936265726031</v>
      </c>
      <c r="C121">
        <f>C120*('Data Checks'!C331/'Data Checks'!C330)</f>
        <v>121.4630460112535</v>
      </c>
      <c r="D121">
        <f>D120*('Data Checks'!D331/'Data Checks'!D330)</f>
        <v>191.88512258949939</v>
      </c>
      <c r="E121">
        <f>E120*('Data Checks'!E331/'Data Checks'!E330)</f>
        <v>114.46266439696468</v>
      </c>
      <c r="F121">
        <f>F120*('Data Checks'!F331/'Data Checks'!F330)</f>
        <v>132.95183213569629</v>
      </c>
      <c r="G121" s="16">
        <f t="shared" si="17"/>
        <v>839.05202779067417</v>
      </c>
      <c r="H121" s="17">
        <f t="shared" si="21"/>
        <v>-9.5105801639583376E-4</v>
      </c>
      <c r="J121" t="str">
        <f>IF(AND('Data Checks'!B331&gt;'Data Checks'!B330,'Data Checks'!B330&gt;'Data Checks'!B329,'Data Checks'!B329&gt;'Data Checks'!B328),"SELL",IF(AND('Data Checks'!B331&lt;'Data Checks'!B330,'Data Checks'!B330&lt;'Data Checks'!B329,'Data Checks'!B329&lt;'Data Checks'!B328),"BUY",""))</f>
        <v>SELL</v>
      </c>
      <c r="K121" t="str">
        <f>IF(AND('Data Checks'!C331&gt;'Data Checks'!C330,'Data Checks'!C330&gt;'Data Checks'!C329,'Data Checks'!C329&gt;'Data Checks'!C328),"SELL",IF(AND('Data Checks'!C331&lt;'Data Checks'!C330,'Data Checks'!C330&lt;'Data Checks'!C329,'Data Checks'!C329&lt;'Data Checks'!C328),"BUY",""))</f>
        <v/>
      </c>
      <c r="L121" t="str">
        <f>IF(AND('Data Checks'!D331&gt;'Data Checks'!D330,'Data Checks'!D330&gt;'Data Checks'!D329,'Data Checks'!D329&gt;'Data Checks'!D328),"SELL",IF(AND('Data Checks'!D331&lt;'Data Checks'!D330,'Data Checks'!D330&lt;'Data Checks'!D329,'Data Checks'!D329&lt;'Data Checks'!D328),"BUY",""))</f>
        <v/>
      </c>
      <c r="M121" t="str">
        <f>IF(AND('Data Checks'!E331&gt;'Data Checks'!E330,'Data Checks'!E330&gt;'Data Checks'!E329,'Data Checks'!E329&gt;'Data Checks'!E328),"SELL",IF(AND('Data Checks'!E331&lt;'Data Checks'!E330,'Data Checks'!E330&lt;'Data Checks'!E329,'Data Checks'!E329&lt;'Data Checks'!E328),"BUY",""))</f>
        <v/>
      </c>
      <c r="N121" t="str">
        <f>IF(AND('Data Checks'!F331&gt;'Data Checks'!F330,'Data Checks'!F330&gt;'Data Checks'!F329,'Data Checks'!F329&gt;'Data Checks'!F328),"SELL",IF(AND('Data Checks'!F331&lt;'Data Checks'!F330,'Data Checks'!F330&lt;'Data Checks'!F329,'Data Checks'!F329&lt;'Data Checks'!F328),"BUY",""))</f>
        <v/>
      </c>
      <c r="O121">
        <f>IF(J120="BUY",O120*('Data Checks'!B331/'Data Checks'!B330),IF(J120="SELL",O120*('Data Checks'!B330/'Data Checks'!B331),O120))</f>
        <v>194.12496146990833</v>
      </c>
      <c r="P121">
        <f>IF(K120="BUY",P120*('Data Checks'!C331/'Data Checks'!C330),IF(K120="SELL",P120*('Data Checks'!C330/'Data Checks'!C331),P120))</f>
        <v>209.19224359482968</v>
      </c>
      <c r="Q121">
        <f>IF(L120="BUY",Q120*('Data Checks'!D331/'Data Checks'!D330),IF(L120="SELL",Q120*('Data Checks'!D330/'Data Checks'!D331),Q120))</f>
        <v>259.50547442296795</v>
      </c>
      <c r="R121">
        <f>IF(M120="BUY",R120*('Data Checks'!E331/'Data Checks'!E330),IF(M120="SELL",R120*('Data Checks'!E330/'Data Checks'!E331),R120))</f>
        <v>177.15800230927277</v>
      </c>
      <c r="S121">
        <f>IF(N120="BUY",S120*('Data Checks'!F331/'Data Checks'!F330),IF(N120="SELL",S120*('Data Checks'!F330/'Data Checks'!F331),S120))</f>
        <v>204.09607176388789</v>
      </c>
      <c r="T121" s="16">
        <f t="shared" si="18"/>
        <v>1044.0767535608666</v>
      </c>
      <c r="U121" s="17">
        <f t="shared" si="22"/>
        <v>3.7990516733137358E-3</v>
      </c>
      <c r="W121" t="str">
        <f>IF(AND('Data Checks'!B331&gt;'Data Checks'!B330,'Data Checks'!B330&gt;'Data Checks'!B329,'Data Checks'!B329&gt;'Data Checks'!B328),"BUY",IF(AND('Data Checks'!B331&lt;'Data Checks'!B330,'Data Checks'!B330&lt;'Data Checks'!B329,'Data Checks'!B329&lt;'Data Checks'!B328),"SELL",""))</f>
        <v>BUY</v>
      </c>
      <c r="X121" t="str">
        <f>IF(AND('Data Checks'!C331&gt;'Data Checks'!C330,'Data Checks'!C330&gt;'Data Checks'!C329,'Data Checks'!C329&gt;'Data Checks'!C328),"BUY",IF(AND('Data Checks'!C331&lt;'Data Checks'!C330,'Data Checks'!C330&lt;'Data Checks'!C329,'Data Checks'!C329&lt;'Data Checks'!C328),"SELL",""))</f>
        <v/>
      </c>
      <c r="Y121" t="str">
        <f>IF(AND('Data Checks'!D331&gt;'Data Checks'!D330,'Data Checks'!D330&gt;'Data Checks'!D329,'Data Checks'!D329&gt;'Data Checks'!D328),"BUY",IF(AND('Data Checks'!D331&lt;'Data Checks'!D330,'Data Checks'!D330&lt;'Data Checks'!D329,'Data Checks'!D329&lt;'Data Checks'!D328),"SELL",""))</f>
        <v/>
      </c>
      <c r="Z121" t="str">
        <f>IF(AND('Data Checks'!E331&gt;'Data Checks'!E330,'Data Checks'!E330&gt;'Data Checks'!E329,'Data Checks'!E329&gt;'Data Checks'!E328),"BUY",IF(AND('Data Checks'!E331&lt;'Data Checks'!E330,'Data Checks'!E330&lt;'Data Checks'!E329,'Data Checks'!E329&lt;'Data Checks'!E328),"SELL",""))</f>
        <v/>
      </c>
      <c r="AA121" t="str">
        <f>IF(AND('Data Checks'!F331&gt;'Data Checks'!F330,'Data Checks'!F330&gt;'Data Checks'!F329,'Data Checks'!F329&gt;'Data Checks'!F328),"BUY",IF(AND('Data Checks'!F331&lt;'Data Checks'!F330,'Data Checks'!F330&lt;'Data Checks'!F329,'Data Checks'!F329&lt;'Data Checks'!F328),"SELL",""))</f>
        <v/>
      </c>
      <c r="AB121">
        <f>IF(W120="BUY",AB120*('Data Checks'!B331/'Data Checks'!B330),IF(W120="SELL",AB120*('Data Checks'!B330/'Data Checks'!B331),AB120))</f>
        <v>206.05284192780366</v>
      </c>
      <c r="AC121">
        <f>IF(X120="BUY",AC120*('Data Checks'!C331/'Data Checks'!C330),IF(X120="SELL",AC120*('Data Checks'!C330/'Data Checks'!C331),AC120))</f>
        <v>191.21167837117954</v>
      </c>
      <c r="AD121">
        <f>IF(Y120="BUY",AD120*('Data Checks'!D331/'Data Checks'!D330),IF(Y120="SELL",AD120*('Data Checks'!D330/'Data Checks'!D331),AD120))</f>
        <v>154.13933015842281</v>
      </c>
      <c r="AE121">
        <f>IF(Z120="BUY",AE120*('Data Checks'!E331/'Data Checks'!E330),IF(Z120="SELL",AE120*('Data Checks'!E330/'Data Checks'!E331),AE120))</f>
        <v>225.78714751010889</v>
      </c>
      <c r="AF121">
        <f>IF(AA120="BUY",AF120*('Data Checks'!F331/'Data Checks'!F330),IF(AA120="SELL",AF120*('Data Checks'!F330/'Data Checks'!F331),AF120))</f>
        <v>195.98613365902852</v>
      </c>
      <c r="AG121" s="16">
        <f t="shared" si="19"/>
        <v>973.17713162654331</v>
      </c>
      <c r="AH121" s="17">
        <f t="shared" si="23"/>
        <v>-5.2651564536296824E-3</v>
      </c>
      <c r="AJ121" t="str">
        <f>IF('Moving Ave'!G331&gt;'Moving Ave'!L331,"SELL","BUY")</f>
        <v>SELL</v>
      </c>
      <c r="AK121" t="str">
        <f>IF('Moving Ave'!H331&gt;'Moving Ave'!M331,"SELL","BUY")</f>
        <v>BUY</v>
      </c>
      <c r="AL121" t="str">
        <f>IF('Moving Ave'!I331&gt;'Moving Ave'!N331,"SELL","BUY")</f>
        <v>BUY</v>
      </c>
      <c r="AM121" t="str">
        <f>IF('Moving Ave'!J331&gt;'Moving Ave'!O331,"SELL","BUY")</f>
        <v>BUY</v>
      </c>
      <c r="AN121" t="str">
        <f>IF('Moving Ave'!K331&gt;'Moving Ave'!P331,"SELL","BUY")</f>
        <v>BUY</v>
      </c>
      <c r="AO121">
        <f>IF(AJ120="BUY",AO120*('Data Checks'!B331/'Data Checks'!B330),AO120*('Data Checks'!B330/'Data Checks'!B331))</f>
        <v>167.71486142680857</v>
      </c>
      <c r="AP121">
        <f>IF(AK120="BUY",AP120*('Data Checks'!C331/'Data Checks'!C330),AP120*('Data Checks'!C330/'Data Checks'!C331))</f>
        <v>121.4630460112535</v>
      </c>
      <c r="AQ121">
        <f>IF(AL120="BUY",AQ120*('Data Checks'!D331/'Data Checks'!D330),AQ120*('Data Checks'!D330/'Data Checks'!D331))</f>
        <v>320.91781911108853</v>
      </c>
      <c r="AR121">
        <f>IF(AM120="BUY",AR120*('Data Checks'!E331/'Data Checks'!E330),AR120*('Data Checks'!E330/'Data Checks'!E331))</f>
        <v>114.46266439696468</v>
      </c>
      <c r="AS121">
        <f>IF(AN120="BUY",AS120*('Data Checks'!F331/'Data Checks'!F330),AS120*('Data Checks'!F330/'Data Checks'!F331))</f>
        <v>198.7755328041888</v>
      </c>
      <c r="AT121" s="16">
        <f t="shared" si="20"/>
        <v>923.33392375030417</v>
      </c>
      <c r="AU121" s="17">
        <f t="shared" si="24"/>
        <v>-5.4032979885236809E-3</v>
      </c>
    </row>
    <row r="122" spans="1:47" x14ac:dyDescent="0.35">
      <c r="A122" s="2">
        <f>Prices!A330</f>
        <v>44365</v>
      </c>
      <c r="B122">
        <f>B121*('Data Checks'!B332/'Data Checks'!B331)</f>
        <v>279.65921844637705</v>
      </c>
      <c r="C122">
        <f>C121*('Data Checks'!C332/'Data Checks'!C331)</f>
        <v>120.39624893056269</v>
      </c>
      <c r="D122">
        <f>D121*('Data Checks'!D332/'Data Checks'!D331)</f>
        <v>187.4436531548447</v>
      </c>
      <c r="E122">
        <f>E121*('Data Checks'!E332/'Data Checks'!E331)</f>
        <v>114.83092685534223</v>
      </c>
      <c r="F122">
        <f>F121*('Data Checks'!F332/'Data Checks'!F331)</f>
        <v>132.90415640778488</v>
      </c>
      <c r="G122" s="16">
        <f t="shared" si="17"/>
        <v>835.23420379491154</v>
      </c>
      <c r="H122" s="17">
        <f t="shared" si="21"/>
        <v>-4.5501636004806612E-3</v>
      </c>
      <c r="J122" t="str">
        <f>IF(AND('Data Checks'!B332&gt;'Data Checks'!B331,'Data Checks'!B331&gt;'Data Checks'!B330,'Data Checks'!B330&gt;'Data Checks'!B329),"SELL",IF(AND('Data Checks'!B332&lt;'Data Checks'!B331,'Data Checks'!B331&lt;'Data Checks'!B330,'Data Checks'!B330&lt;'Data Checks'!B329),"BUY",""))</f>
        <v>SELL</v>
      </c>
      <c r="K122" t="str">
        <f>IF(AND('Data Checks'!C332&gt;'Data Checks'!C331,'Data Checks'!C331&gt;'Data Checks'!C330,'Data Checks'!C330&gt;'Data Checks'!C329),"SELL",IF(AND('Data Checks'!C332&lt;'Data Checks'!C331,'Data Checks'!C331&lt;'Data Checks'!C330,'Data Checks'!C330&lt;'Data Checks'!C329),"BUY",""))</f>
        <v/>
      </c>
      <c r="L122" t="str">
        <f>IF(AND('Data Checks'!D332&gt;'Data Checks'!D331,'Data Checks'!D331&gt;'Data Checks'!D330,'Data Checks'!D330&gt;'Data Checks'!D329),"SELL",IF(AND('Data Checks'!D332&lt;'Data Checks'!D331,'Data Checks'!D331&lt;'Data Checks'!D330,'Data Checks'!D330&lt;'Data Checks'!D329),"BUY",""))</f>
        <v/>
      </c>
      <c r="M122" t="str">
        <f>IF(AND('Data Checks'!E332&gt;'Data Checks'!E331,'Data Checks'!E331&gt;'Data Checks'!E330,'Data Checks'!E330&gt;'Data Checks'!E329),"SELL",IF(AND('Data Checks'!E332&lt;'Data Checks'!E331,'Data Checks'!E331&lt;'Data Checks'!E330,'Data Checks'!E330&lt;'Data Checks'!E329),"BUY",""))</f>
        <v/>
      </c>
      <c r="N122" t="str">
        <f>IF(AND('Data Checks'!F332&gt;'Data Checks'!F331,'Data Checks'!F331&gt;'Data Checks'!F330,'Data Checks'!F330&gt;'Data Checks'!F329),"SELL",IF(AND('Data Checks'!F332&lt;'Data Checks'!F331,'Data Checks'!F331&lt;'Data Checks'!F330,'Data Checks'!F330&lt;'Data Checks'!F329),"BUY",""))</f>
        <v/>
      </c>
      <c r="O122">
        <f>IF(J121="BUY",O121*('Data Checks'!B332/'Data Checks'!B331),IF(J121="SELL",O121*('Data Checks'!B331/'Data Checks'!B332),O121))</f>
        <v>193.174078449642</v>
      </c>
      <c r="P122">
        <f>IF(K121="BUY",P121*('Data Checks'!C332/'Data Checks'!C331),IF(K121="SELL",P121*('Data Checks'!C331/'Data Checks'!C332),P121))</f>
        <v>209.19224359482968</v>
      </c>
      <c r="Q122">
        <f>IF(L121="BUY",Q121*('Data Checks'!D332/'Data Checks'!D331),IF(L121="SELL",Q121*('Data Checks'!D331/'Data Checks'!D332),Q121))</f>
        <v>259.50547442296795</v>
      </c>
      <c r="R122">
        <f>IF(M121="BUY",R121*('Data Checks'!E332/'Data Checks'!E331),IF(M121="SELL",R121*('Data Checks'!E331/'Data Checks'!E332),R121))</f>
        <v>177.15800230927277</v>
      </c>
      <c r="S122">
        <f>IF(N121="BUY",S121*('Data Checks'!F332/'Data Checks'!F331),IF(N121="SELL",S121*('Data Checks'!F331/'Data Checks'!F332),S121))</f>
        <v>204.09607176388789</v>
      </c>
      <c r="T122" s="16">
        <f t="shared" si="18"/>
        <v>1043.1258705406003</v>
      </c>
      <c r="U122" s="17">
        <f t="shared" si="22"/>
        <v>-9.1074053418316314E-4</v>
      </c>
      <c r="W122" t="str">
        <f>IF(AND('Data Checks'!B332&gt;'Data Checks'!B331,'Data Checks'!B331&gt;'Data Checks'!B330,'Data Checks'!B330&gt;'Data Checks'!B329),"BUY",IF(AND('Data Checks'!B332&lt;'Data Checks'!B331,'Data Checks'!B331&lt;'Data Checks'!B330,'Data Checks'!B330&lt;'Data Checks'!B329),"SELL",""))</f>
        <v>BUY</v>
      </c>
      <c r="X122" t="str">
        <f>IF(AND('Data Checks'!C332&gt;'Data Checks'!C331,'Data Checks'!C331&gt;'Data Checks'!C330,'Data Checks'!C330&gt;'Data Checks'!C329),"BUY",IF(AND('Data Checks'!C332&lt;'Data Checks'!C331,'Data Checks'!C331&lt;'Data Checks'!C330,'Data Checks'!C330&lt;'Data Checks'!C329),"SELL",""))</f>
        <v/>
      </c>
      <c r="Y122" t="str">
        <f>IF(AND('Data Checks'!D332&gt;'Data Checks'!D331,'Data Checks'!D331&gt;'Data Checks'!D330,'Data Checks'!D330&gt;'Data Checks'!D329),"BUY",IF(AND('Data Checks'!D332&lt;'Data Checks'!D331,'Data Checks'!D331&lt;'Data Checks'!D330,'Data Checks'!D330&lt;'Data Checks'!D329),"SELL",""))</f>
        <v/>
      </c>
      <c r="Z122" t="str">
        <f>IF(AND('Data Checks'!E332&gt;'Data Checks'!E331,'Data Checks'!E331&gt;'Data Checks'!E330,'Data Checks'!E330&gt;'Data Checks'!E329),"BUY",IF(AND('Data Checks'!E332&lt;'Data Checks'!E331,'Data Checks'!E331&lt;'Data Checks'!E330,'Data Checks'!E330&lt;'Data Checks'!E329),"SELL",""))</f>
        <v/>
      </c>
      <c r="AA122" t="str">
        <f>IF(AND('Data Checks'!F332&gt;'Data Checks'!F331,'Data Checks'!F331&gt;'Data Checks'!F330,'Data Checks'!F330&gt;'Data Checks'!F329),"BUY",IF(AND('Data Checks'!F332&lt;'Data Checks'!F331,'Data Checks'!F331&lt;'Data Checks'!F330,'Data Checks'!F330&lt;'Data Checks'!F329),"SELL",""))</f>
        <v/>
      </c>
      <c r="AB122">
        <f>IF(W121="BUY",AB121*('Data Checks'!B332/'Data Checks'!B331),IF(W121="SELL",AB121*('Data Checks'!B331/'Data Checks'!B332),AB121))</f>
        <v>207.06711956918946</v>
      </c>
      <c r="AC122">
        <f>IF(X121="BUY",AC121*('Data Checks'!C332/'Data Checks'!C331),IF(X121="SELL",AC121*('Data Checks'!C331/'Data Checks'!C332),AC121))</f>
        <v>191.21167837117954</v>
      </c>
      <c r="AD122">
        <f>IF(Y121="BUY",AD121*('Data Checks'!D332/'Data Checks'!D331),IF(Y121="SELL",AD121*('Data Checks'!D331/'Data Checks'!D332),AD121))</f>
        <v>154.13933015842281</v>
      </c>
      <c r="AE122">
        <f>IF(Z121="BUY",AE121*('Data Checks'!E332/'Data Checks'!E331),IF(Z121="SELL",AE121*('Data Checks'!E331/'Data Checks'!E332),AE121))</f>
        <v>225.78714751010889</v>
      </c>
      <c r="AF122">
        <f>IF(AA121="BUY",AF121*('Data Checks'!F332/'Data Checks'!F331),IF(AA121="SELL",AF121*('Data Checks'!F331/'Data Checks'!F332),AF121))</f>
        <v>195.98613365902852</v>
      </c>
      <c r="AG122" s="16">
        <f t="shared" si="19"/>
        <v>974.1914092679292</v>
      </c>
      <c r="AH122" s="17">
        <f t="shared" si="23"/>
        <v>1.0422333287780638E-3</v>
      </c>
      <c r="AJ122" t="str">
        <f>IF('Moving Ave'!G332&gt;'Moving Ave'!L332,"SELL","BUY")</f>
        <v>SELL</v>
      </c>
      <c r="AK122" t="str">
        <f>IF('Moving Ave'!H332&gt;'Moving Ave'!M332,"SELL","BUY")</f>
        <v>BUY</v>
      </c>
      <c r="AL122" t="str">
        <f>IF('Moving Ave'!I332&gt;'Moving Ave'!N332,"SELL","BUY")</f>
        <v>BUY</v>
      </c>
      <c r="AM122" t="str">
        <f>IF('Moving Ave'!J332&gt;'Moving Ave'!O332,"SELL","BUY")</f>
        <v>BUY</v>
      </c>
      <c r="AN122" t="str">
        <f>IF('Moving Ave'!K332&gt;'Moving Ave'!P332,"SELL","BUY")</f>
        <v>BUY</v>
      </c>
      <c r="AO122">
        <f>IF(AJ121="BUY",AO121*('Data Checks'!B332/'Data Checks'!B331),AO121*('Data Checks'!B331/'Data Checks'!B332))</f>
        <v>166.89334309774094</v>
      </c>
      <c r="AP122">
        <f>IF(AK121="BUY",AP121*('Data Checks'!C332/'Data Checks'!C331),AP121*('Data Checks'!C331/'Data Checks'!C332))</f>
        <v>120.39624893056269</v>
      </c>
      <c r="AQ122">
        <f>IF(AL121="BUY",AQ121*('Data Checks'!D332/'Data Checks'!D331),AQ121*('Data Checks'!D331/'Data Checks'!D332))</f>
        <v>313.48969406740184</v>
      </c>
      <c r="AR122">
        <f>IF(AM121="BUY",AR121*('Data Checks'!E332/'Data Checks'!E331),AR121*('Data Checks'!E331/'Data Checks'!E332))</f>
        <v>114.83092685534223</v>
      </c>
      <c r="AS122">
        <f>IF(AN121="BUY",AS121*('Data Checks'!F332/'Data Checks'!F331),AS121*('Data Checks'!F331/'Data Checks'!F332))</f>
        <v>198.70425309284383</v>
      </c>
      <c r="AT122" s="16">
        <f t="shared" si="20"/>
        <v>914.31446604389146</v>
      </c>
      <c r="AU122" s="17">
        <f t="shared" si="24"/>
        <v>-9.7683595007300728E-3</v>
      </c>
    </row>
    <row r="123" spans="1:47" x14ac:dyDescent="0.35">
      <c r="A123" s="2">
        <f>Prices!A331</f>
        <v>44366</v>
      </c>
      <c r="B123">
        <f>B122*('Data Checks'!B333/'Data Checks'!B332)</f>
        <v>281.87522678028466</v>
      </c>
      <c r="C123">
        <f>C122*('Data Checks'!C333/'Data Checks'!C332)</f>
        <v>122.22504247460114</v>
      </c>
      <c r="D123">
        <f>D122*('Data Checks'!D333/'Data Checks'!D332)</f>
        <v>183.7368539612097</v>
      </c>
      <c r="E123">
        <f>E122*('Data Checks'!E333/'Data Checks'!E332)</f>
        <v>113.62570426428842</v>
      </c>
      <c r="F123">
        <f>F122*('Data Checks'!F333/'Data Checks'!F332)</f>
        <v>130.99666949446842</v>
      </c>
      <c r="G123" s="16">
        <f t="shared" si="17"/>
        <v>832.4594969748523</v>
      </c>
      <c r="H123" s="17">
        <f t="shared" si="21"/>
        <v>-3.3220703934923046E-3</v>
      </c>
      <c r="J123" t="str">
        <f>IF(AND('Data Checks'!B333&gt;'Data Checks'!B332,'Data Checks'!B332&gt;'Data Checks'!B331,'Data Checks'!B331&gt;'Data Checks'!B330),"SELL",IF(AND('Data Checks'!B333&lt;'Data Checks'!B332,'Data Checks'!B332&lt;'Data Checks'!B331,'Data Checks'!B331&lt;'Data Checks'!B330),"BUY",""))</f>
        <v>SELL</v>
      </c>
      <c r="K123" t="str">
        <f>IF(AND('Data Checks'!C333&gt;'Data Checks'!C332,'Data Checks'!C332&gt;'Data Checks'!C331,'Data Checks'!C331&gt;'Data Checks'!C330),"SELL",IF(AND('Data Checks'!C333&lt;'Data Checks'!C332,'Data Checks'!C332&lt;'Data Checks'!C331,'Data Checks'!C331&lt;'Data Checks'!C330),"BUY",""))</f>
        <v/>
      </c>
      <c r="L123" t="str">
        <f>IF(AND('Data Checks'!D333&gt;'Data Checks'!D332,'Data Checks'!D332&gt;'Data Checks'!D331,'Data Checks'!D331&gt;'Data Checks'!D330),"SELL",IF(AND('Data Checks'!D333&lt;'Data Checks'!D332,'Data Checks'!D332&lt;'Data Checks'!D331,'Data Checks'!D331&lt;'Data Checks'!D330),"BUY",""))</f>
        <v/>
      </c>
      <c r="M123" t="str">
        <f>IF(AND('Data Checks'!E333&gt;'Data Checks'!E332,'Data Checks'!E332&gt;'Data Checks'!E331,'Data Checks'!E331&gt;'Data Checks'!E330),"SELL",IF(AND('Data Checks'!E333&lt;'Data Checks'!E332,'Data Checks'!E332&lt;'Data Checks'!E331,'Data Checks'!E331&lt;'Data Checks'!E330),"BUY",""))</f>
        <v/>
      </c>
      <c r="N123" t="str">
        <f>IF(AND('Data Checks'!F333&gt;'Data Checks'!F332,'Data Checks'!F332&gt;'Data Checks'!F331,'Data Checks'!F331&gt;'Data Checks'!F330),"SELL",IF(AND('Data Checks'!F333&lt;'Data Checks'!F332,'Data Checks'!F332&lt;'Data Checks'!F331,'Data Checks'!F331&lt;'Data Checks'!F330),"BUY",""))</f>
        <v/>
      </c>
      <c r="O123">
        <f>IF(J122="BUY",O122*('Data Checks'!B333/'Data Checks'!B332),IF(J122="SELL",O122*('Data Checks'!B332/'Data Checks'!B333),O122))</f>
        <v>191.6554087437973</v>
      </c>
      <c r="P123">
        <f>IF(K122="BUY",P122*('Data Checks'!C333/'Data Checks'!C332),IF(K122="SELL",P122*('Data Checks'!C332/'Data Checks'!C333),P122))</f>
        <v>209.19224359482968</v>
      </c>
      <c r="Q123">
        <f>IF(L122="BUY",Q122*('Data Checks'!D333/'Data Checks'!D332),IF(L122="SELL",Q122*('Data Checks'!D332/'Data Checks'!D333),Q122))</f>
        <v>259.50547442296795</v>
      </c>
      <c r="R123">
        <f>IF(M122="BUY",R122*('Data Checks'!E333/'Data Checks'!E332),IF(M122="SELL",R122*('Data Checks'!E332/'Data Checks'!E333),R122))</f>
        <v>177.15800230927277</v>
      </c>
      <c r="S123">
        <f>IF(N122="BUY",S122*('Data Checks'!F333/'Data Checks'!F332),IF(N122="SELL",S122*('Data Checks'!F332/'Data Checks'!F333),S122))</f>
        <v>204.09607176388789</v>
      </c>
      <c r="T123" s="16">
        <f t="shared" si="18"/>
        <v>1041.6072008347555</v>
      </c>
      <c r="U123" s="17">
        <f t="shared" si="22"/>
        <v>-1.4558834640518992E-3</v>
      </c>
      <c r="W123" t="str">
        <f>IF(AND('Data Checks'!B333&gt;'Data Checks'!B332,'Data Checks'!B332&gt;'Data Checks'!B331,'Data Checks'!B331&gt;'Data Checks'!B330),"BUY",IF(AND('Data Checks'!B333&lt;'Data Checks'!B332,'Data Checks'!B332&lt;'Data Checks'!B331,'Data Checks'!B331&lt;'Data Checks'!B330),"SELL",""))</f>
        <v>BUY</v>
      </c>
      <c r="X123" t="str">
        <f>IF(AND('Data Checks'!C333&gt;'Data Checks'!C332,'Data Checks'!C332&gt;'Data Checks'!C331,'Data Checks'!C331&gt;'Data Checks'!C330),"BUY",IF(AND('Data Checks'!C333&lt;'Data Checks'!C332,'Data Checks'!C332&lt;'Data Checks'!C331,'Data Checks'!C331&lt;'Data Checks'!C330),"SELL",""))</f>
        <v/>
      </c>
      <c r="Y123" t="str">
        <f>IF(AND('Data Checks'!D333&gt;'Data Checks'!D332,'Data Checks'!D332&gt;'Data Checks'!D331,'Data Checks'!D331&gt;'Data Checks'!D330),"BUY",IF(AND('Data Checks'!D333&lt;'Data Checks'!D332,'Data Checks'!D332&lt;'Data Checks'!D331,'Data Checks'!D331&lt;'Data Checks'!D330),"SELL",""))</f>
        <v/>
      </c>
      <c r="Z123" t="str">
        <f>IF(AND('Data Checks'!E333&gt;'Data Checks'!E332,'Data Checks'!E332&gt;'Data Checks'!E331,'Data Checks'!E331&gt;'Data Checks'!E330),"BUY",IF(AND('Data Checks'!E333&lt;'Data Checks'!E332,'Data Checks'!E332&lt;'Data Checks'!E331,'Data Checks'!E331&lt;'Data Checks'!E330),"SELL",""))</f>
        <v/>
      </c>
      <c r="AA123" t="str">
        <f>IF(AND('Data Checks'!F333&gt;'Data Checks'!F332,'Data Checks'!F332&gt;'Data Checks'!F331,'Data Checks'!F331&gt;'Data Checks'!F330),"BUY",IF(AND('Data Checks'!F333&lt;'Data Checks'!F332,'Data Checks'!F332&lt;'Data Checks'!F331,'Data Checks'!F331&lt;'Data Checks'!F330),"SELL",""))</f>
        <v/>
      </c>
      <c r="AB123">
        <f>IF(W122="BUY",AB122*('Data Checks'!B333/'Data Checks'!B332),IF(W122="SELL",AB122*('Data Checks'!B332/'Data Checks'!B333),AB122))</f>
        <v>208.70791104816425</v>
      </c>
      <c r="AC123">
        <f>IF(X122="BUY",AC122*('Data Checks'!C333/'Data Checks'!C332),IF(X122="SELL",AC122*('Data Checks'!C332/'Data Checks'!C333),AC122))</f>
        <v>191.21167837117954</v>
      </c>
      <c r="AD123">
        <f>IF(Y122="BUY",AD122*('Data Checks'!D333/'Data Checks'!D332),IF(Y122="SELL",AD122*('Data Checks'!D332/'Data Checks'!D333),AD122))</f>
        <v>154.13933015842281</v>
      </c>
      <c r="AE123">
        <f>IF(Z122="BUY",AE122*('Data Checks'!E333/'Data Checks'!E332),IF(Z122="SELL",AE122*('Data Checks'!E332/'Data Checks'!E333),AE122))</f>
        <v>225.78714751010889</v>
      </c>
      <c r="AF123">
        <f>IF(AA122="BUY",AF122*('Data Checks'!F333/'Data Checks'!F332),IF(AA122="SELL",AF122*('Data Checks'!F332/'Data Checks'!F333),AF122))</f>
        <v>195.98613365902852</v>
      </c>
      <c r="AG123" s="16">
        <f t="shared" si="19"/>
        <v>975.83220074690394</v>
      </c>
      <c r="AH123" s="17">
        <f t="shared" si="23"/>
        <v>1.6842598521862318E-3</v>
      </c>
      <c r="AJ123" t="str">
        <f>IF('Moving Ave'!G333&gt;'Moving Ave'!L333,"SELL","BUY")</f>
        <v>SELL</v>
      </c>
      <c r="AK123" t="str">
        <f>IF('Moving Ave'!H333&gt;'Moving Ave'!M333,"SELL","BUY")</f>
        <v>BUY</v>
      </c>
      <c r="AL123" t="str">
        <f>IF('Moving Ave'!I333&gt;'Moving Ave'!N333,"SELL","BUY")</f>
        <v>BUY</v>
      </c>
      <c r="AM123" t="str">
        <f>IF('Moving Ave'!J333&gt;'Moving Ave'!O333,"SELL","BUY")</f>
        <v>BUY</v>
      </c>
      <c r="AN123" t="str">
        <f>IF('Moving Ave'!K333&gt;'Moving Ave'!P333,"SELL","BUY")</f>
        <v>BUY</v>
      </c>
      <c r="AO123">
        <f>IF(AJ122="BUY",AO122*('Data Checks'!B333/'Data Checks'!B332),AO122*('Data Checks'!B332/'Data Checks'!B333))</f>
        <v>165.58128370393487</v>
      </c>
      <c r="AP123">
        <f>IF(AK122="BUY",AP122*('Data Checks'!C333/'Data Checks'!C332),AP122*('Data Checks'!C332/'Data Checks'!C333))</f>
        <v>122.22504247460114</v>
      </c>
      <c r="AQ123">
        <f>IF(AL122="BUY",AQ122*('Data Checks'!D333/'Data Checks'!D332),AQ122*('Data Checks'!D332/'Data Checks'!D333))</f>
        <v>307.29026652945277</v>
      </c>
      <c r="AR123">
        <f>IF(AM122="BUY",AR122*('Data Checks'!E333/'Data Checks'!E332),AR122*('Data Checks'!E332/'Data Checks'!E333))</f>
        <v>113.62570426428842</v>
      </c>
      <c r="AS123">
        <f>IF(AN122="BUY",AS122*('Data Checks'!F333/'Data Checks'!F332),AS122*('Data Checks'!F332/'Data Checks'!F333))</f>
        <v>195.85238018954675</v>
      </c>
      <c r="AT123" s="16">
        <f t="shared" si="20"/>
        <v>904.57467716182396</v>
      </c>
      <c r="AU123" s="17">
        <f t="shared" si="24"/>
        <v>-1.0652559096226644E-2</v>
      </c>
    </row>
    <row r="124" spans="1:47" x14ac:dyDescent="0.35">
      <c r="A124" s="2">
        <f>Prices!A332</f>
        <v>44369</v>
      </c>
      <c r="B124">
        <f>B123*('Data Checks'!B334/'Data Checks'!B333)</f>
        <v>285.96477929007364</v>
      </c>
      <c r="C124">
        <f>C123*('Data Checks'!C334/'Data Checks'!C333)</f>
        <v>120.29464364477134</v>
      </c>
      <c r="D124">
        <f>D123*('Data Checks'!D334/'Data Checks'!D333)</f>
        <v>187.41025191868835</v>
      </c>
      <c r="E124">
        <f>E123*('Data Checks'!E334/'Data Checks'!E333)</f>
        <v>115.1991926615603</v>
      </c>
      <c r="F124">
        <f>F123*('Data Checks'!F334/'Data Checks'!F333)</f>
        <v>133.57177396621529</v>
      </c>
      <c r="G124" s="16">
        <f t="shared" si="17"/>
        <v>842.44064148130883</v>
      </c>
      <c r="H124" s="17">
        <f t="shared" si="21"/>
        <v>1.1989946108763139E-2</v>
      </c>
      <c r="J124" t="str">
        <f>IF(AND('Data Checks'!B334&gt;'Data Checks'!B333,'Data Checks'!B333&gt;'Data Checks'!B332,'Data Checks'!B332&gt;'Data Checks'!B331),"SELL",IF(AND('Data Checks'!B334&lt;'Data Checks'!B333,'Data Checks'!B333&lt;'Data Checks'!B332,'Data Checks'!B332&lt;'Data Checks'!B331),"BUY",""))</f>
        <v>SELL</v>
      </c>
      <c r="K124" t="str">
        <f>IF(AND('Data Checks'!C334&gt;'Data Checks'!C333,'Data Checks'!C333&gt;'Data Checks'!C332,'Data Checks'!C332&gt;'Data Checks'!C331),"SELL",IF(AND('Data Checks'!C334&lt;'Data Checks'!C333,'Data Checks'!C333&lt;'Data Checks'!C332,'Data Checks'!C332&lt;'Data Checks'!C331),"BUY",""))</f>
        <v/>
      </c>
      <c r="L124" t="str">
        <f>IF(AND('Data Checks'!D334&gt;'Data Checks'!D333,'Data Checks'!D333&gt;'Data Checks'!D332,'Data Checks'!D332&gt;'Data Checks'!D331),"SELL",IF(AND('Data Checks'!D334&lt;'Data Checks'!D333,'Data Checks'!D333&lt;'Data Checks'!D332,'Data Checks'!D332&lt;'Data Checks'!D331),"BUY",""))</f>
        <v/>
      </c>
      <c r="M124" t="str">
        <f>IF(AND('Data Checks'!E334&gt;'Data Checks'!E333,'Data Checks'!E333&gt;'Data Checks'!E332,'Data Checks'!E332&gt;'Data Checks'!E331),"SELL",IF(AND('Data Checks'!E334&lt;'Data Checks'!E333,'Data Checks'!E333&lt;'Data Checks'!E332,'Data Checks'!E332&lt;'Data Checks'!E331),"BUY",""))</f>
        <v/>
      </c>
      <c r="N124" t="str">
        <f>IF(AND('Data Checks'!F334&gt;'Data Checks'!F333,'Data Checks'!F333&gt;'Data Checks'!F332,'Data Checks'!F332&gt;'Data Checks'!F331),"SELL",IF(AND('Data Checks'!F334&lt;'Data Checks'!F333,'Data Checks'!F333&lt;'Data Checks'!F332,'Data Checks'!F332&lt;'Data Checks'!F331),"BUY",""))</f>
        <v/>
      </c>
      <c r="O124">
        <f>IF(J123="BUY",O123*('Data Checks'!B334/'Data Checks'!B333),IF(J123="SELL",O123*('Data Checks'!B333/'Data Checks'!B334),O123))</f>
        <v>188.91456471472273</v>
      </c>
      <c r="P124">
        <f>IF(K123="BUY",P123*('Data Checks'!C334/'Data Checks'!C333),IF(K123="SELL",P123*('Data Checks'!C333/'Data Checks'!C334),P123))</f>
        <v>209.19224359482968</v>
      </c>
      <c r="Q124">
        <f>IF(L123="BUY",Q123*('Data Checks'!D334/'Data Checks'!D333),IF(L123="SELL",Q123*('Data Checks'!D333/'Data Checks'!D334),Q123))</f>
        <v>259.50547442296795</v>
      </c>
      <c r="R124">
        <f>IF(M123="BUY",R123*('Data Checks'!E334/'Data Checks'!E333),IF(M123="SELL",R123*('Data Checks'!E333/'Data Checks'!E334),R123))</f>
        <v>177.15800230927277</v>
      </c>
      <c r="S124">
        <f>IF(N123="BUY",S123*('Data Checks'!F334/'Data Checks'!F333),IF(N123="SELL",S123*('Data Checks'!F333/'Data Checks'!F334),S123))</f>
        <v>204.09607176388789</v>
      </c>
      <c r="T124" s="16">
        <f t="shared" si="18"/>
        <v>1038.8663568056811</v>
      </c>
      <c r="U124" s="17">
        <f t="shared" si="22"/>
        <v>-2.6313604849100836E-3</v>
      </c>
      <c r="W124" t="str">
        <f>IF(AND('Data Checks'!B334&gt;'Data Checks'!B333,'Data Checks'!B333&gt;'Data Checks'!B332,'Data Checks'!B332&gt;'Data Checks'!B331),"BUY",IF(AND('Data Checks'!B334&lt;'Data Checks'!B333,'Data Checks'!B333&lt;'Data Checks'!B332,'Data Checks'!B332&lt;'Data Checks'!B331),"SELL",""))</f>
        <v>BUY</v>
      </c>
      <c r="X124" t="str">
        <f>IF(AND('Data Checks'!C334&gt;'Data Checks'!C333,'Data Checks'!C333&gt;'Data Checks'!C332,'Data Checks'!C332&gt;'Data Checks'!C331),"BUY",IF(AND('Data Checks'!C334&lt;'Data Checks'!C333,'Data Checks'!C333&lt;'Data Checks'!C332,'Data Checks'!C332&lt;'Data Checks'!C331),"SELL",""))</f>
        <v/>
      </c>
      <c r="Y124" t="str">
        <f>IF(AND('Data Checks'!D334&gt;'Data Checks'!D333,'Data Checks'!D333&gt;'Data Checks'!D332,'Data Checks'!D332&gt;'Data Checks'!D331),"BUY",IF(AND('Data Checks'!D334&lt;'Data Checks'!D333,'Data Checks'!D333&lt;'Data Checks'!D332,'Data Checks'!D332&lt;'Data Checks'!D331),"SELL",""))</f>
        <v/>
      </c>
      <c r="Z124" t="str">
        <f>IF(AND('Data Checks'!E334&gt;'Data Checks'!E333,'Data Checks'!E333&gt;'Data Checks'!E332,'Data Checks'!E332&gt;'Data Checks'!E331),"BUY",IF(AND('Data Checks'!E334&lt;'Data Checks'!E333,'Data Checks'!E333&lt;'Data Checks'!E332,'Data Checks'!E332&lt;'Data Checks'!E331),"SELL",""))</f>
        <v/>
      </c>
      <c r="AA124" t="str">
        <f>IF(AND('Data Checks'!F334&gt;'Data Checks'!F333,'Data Checks'!F333&gt;'Data Checks'!F332,'Data Checks'!F332&gt;'Data Checks'!F331),"BUY",IF(AND('Data Checks'!F334&lt;'Data Checks'!F333,'Data Checks'!F333&lt;'Data Checks'!F332,'Data Checks'!F332&lt;'Data Checks'!F331),"SELL",""))</f>
        <v/>
      </c>
      <c r="AB124">
        <f>IF(W123="BUY",AB123*('Data Checks'!B334/'Data Checks'!B333),IF(W123="SELL",AB123*('Data Checks'!B333/'Data Checks'!B334),AB123))</f>
        <v>211.73592443972467</v>
      </c>
      <c r="AC124">
        <f>IF(X123="BUY",AC123*('Data Checks'!C334/'Data Checks'!C333),IF(X123="SELL",AC123*('Data Checks'!C333/'Data Checks'!C334),AC123))</f>
        <v>191.21167837117954</v>
      </c>
      <c r="AD124">
        <f>IF(Y123="BUY",AD123*('Data Checks'!D334/'Data Checks'!D333),IF(Y123="SELL",AD123*('Data Checks'!D333/'Data Checks'!D334),AD123))</f>
        <v>154.13933015842281</v>
      </c>
      <c r="AE124">
        <f>IF(Z123="BUY",AE123*('Data Checks'!E334/'Data Checks'!E333),IF(Z123="SELL",AE123*('Data Checks'!E333/'Data Checks'!E334),AE123))</f>
        <v>225.78714751010889</v>
      </c>
      <c r="AF124">
        <f>IF(AA123="BUY",AF123*('Data Checks'!F334/'Data Checks'!F333),IF(AA123="SELL",AF123*('Data Checks'!F333/'Data Checks'!F334),AF123))</f>
        <v>195.98613365902852</v>
      </c>
      <c r="AG124" s="16">
        <f t="shared" si="19"/>
        <v>978.86021413846436</v>
      </c>
      <c r="AH124" s="17">
        <f t="shared" si="23"/>
        <v>3.1030062230399391E-3</v>
      </c>
      <c r="AJ124" t="str">
        <f>IF('Moving Ave'!G334&gt;'Moving Ave'!L334,"SELL","BUY")</f>
        <v>SELL</v>
      </c>
      <c r="AK124" t="str">
        <f>IF('Moving Ave'!H334&gt;'Moving Ave'!M334,"SELL","BUY")</f>
        <v>BUY</v>
      </c>
      <c r="AL124" t="str">
        <f>IF('Moving Ave'!I334&gt;'Moving Ave'!N334,"SELL","BUY")</f>
        <v>BUY</v>
      </c>
      <c r="AM124" t="str">
        <f>IF('Moving Ave'!J334&gt;'Moving Ave'!O334,"SELL","BUY")</f>
        <v>BUY</v>
      </c>
      <c r="AN124" t="str">
        <f>IF('Moving Ave'!K334&gt;'Moving Ave'!P334,"SELL","BUY")</f>
        <v>BUY</v>
      </c>
      <c r="AO124">
        <f>IF(AJ123="BUY",AO123*('Data Checks'!B334/'Data Checks'!B333),AO123*('Data Checks'!B333/'Data Checks'!B334))</f>
        <v>163.21332302001227</v>
      </c>
      <c r="AP124">
        <f>IF(AK123="BUY",AP123*('Data Checks'!C334/'Data Checks'!C333),AP123*('Data Checks'!C333/'Data Checks'!C334))</f>
        <v>120.29464364477134</v>
      </c>
      <c r="AQ124">
        <f>IF(AL123="BUY",AQ123*('Data Checks'!D334/'Data Checks'!D333),AQ123*('Data Checks'!D333/'Data Checks'!D334))</f>
        <v>313.43383224904801</v>
      </c>
      <c r="AR124">
        <f>IF(AM123="BUY",AR123*('Data Checks'!E334/'Data Checks'!E333),AR123*('Data Checks'!E333/'Data Checks'!E334))</f>
        <v>115.1991926615603</v>
      </c>
      <c r="AS124">
        <f>IF(AN123="BUY",AS123*('Data Checks'!F334/'Data Checks'!F333),AS123*('Data Checks'!F333/'Data Checks'!F334))</f>
        <v>199.70240433118849</v>
      </c>
      <c r="AT124" s="16">
        <f t="shared" si="20"/>
        <v>911.84339590658055</v>
      </c>
      <c r="AU124" s="17">
        <f t="shared" si="24"/>
        <v>8.0355098680882087E-3</v>
      </c>
    </row>
    <row r="125" spans="1:47" x14ac:dyDescent="0.35">
      <c r="A125" s="2">
        <f>Prices!A333</f>
        <v>44370</v>
      </c>
      <c r="B125">
        <f>B124*('Data Checks'!B335/'Data Checks'!B334)</f>
        <v>291.29560934191306</v>
      </c>
      <c r="C125">
        <f>C124*('Data Checks'!C335/'Data Checks'!C334)</f>
        <v>122.63144329772535</v>
      </c>
      <c r="D125">
        <f>D124*('Data Checks'!D335/'Data Checks'!D334)</f>
        <v>190.08181315882126</v>
      </c>
      <c r="E125">
        <f>E124*('Data Checks'!E335/'Data Checks'!E334)</f>
        <v>116.67223579938947</v>
      </c>
      <c r="F125">
        <f>F124*('Data Checks'!F335/'Data Checks'!F334)</f>
        <v>128.32618495459505</v>
      </c>
      <c r="G125" s="16">
        <f t="shared" si="17"/>
        <v>849.00728655244427</v>
      </c>
      <c r="H125" s="17">
        <f t="shared" si="21"/>
        <v>7.7947866565279966E-3</v>
      </c>
      <c r="J125" t="str">
        <f>IF(AND('Data Checks'!B335&gt;'Data Checks'!B334,'Data Checks'!B334&gt;'Data Checks'!B333,'Data Checks'!B333&gt;'Data Checks'!B332),"SELL",IF(AND('Data Checks'!B335&lt;'Data Checks'!B334,'Data Checks'!B334&lt;'Data Checks'!B333,'Data Checks'!B333&lt;'Data Checks'!B332),"BUY",""))</f>
        <v>SELL</v>
      </c>
      <c r="K125" t="str">
        <f>IF(AND('Data Checks'!C335&gt;'Data Checks'!C334,'Data Checks'!C334&gt;'Data Checks'!C333,'Data Checks'!C333&gt;'Data Checks'!C332),"SELL",IF(AND('Data Checks'!C335&lt;'Data Checks'!C334,'Data Checks'!C334&lt;'Data Checks'!C333,'Data Checks'!C333&lt;'Data Checks'!C332),"BUY",""))</f>
        <v/>
      </c>
      <c r="L125" t="str">
        <f>IF(AND('Data Checks'!D335&gt;'Data Checks'!D334,'Data Checks'!D334&gt;'Data Checks'!D333,'Data Checks'!D333&gt;'Data Checks'!D332),"SELL",IF(AND('Data Checks'!D335&lt;'Data Checks'!D334,'Data Checks'!D334&lt;'Data Checks'!D333,'Data Checks'!D333&lt;'Data Checks'!D332),"BUY",""))</f>
        <v/>
      </c>
      <c r="M125" t="str">
        <f>IF(AND('Data Checks'!E335&gt;'Data Checks'!E334,'Data Checks'!E334&gt;'Data Checks'!E333,'Data Checks'!E333&gt;'Data Checks'!E332),"SELL",IF(AND('Data Checks'!E335&lt;'Data Checks'!E334,'Data Checks'!E334&lt;'Data Checks'!E333,'Data Checks'!E333&lt;'Data Checks'!E332),"BUY",""))</f>
        <v/>
      </c>
      <c r="N125" t="str">
        <f>IF(AND('Data Checks'!F335&gt;'Data Checks'!F334,'Data Checks'!F334&gt;'Data Checks'!F333,'Data Checks'!F333&gt;'Data Checks'!F332),"SELL",IF(AND('Data Checks'!F335&lt;'Data Checks'!F334,'Data Checks'!F334&lt;'Data Checks'!F333,'Data Checks'!F333&lt;'Data Checks'!F332),"BUY",""))</f>
        <v/>
      </c>
      <c r="O125">
        <f>IF(J124="BUY",O124*('Data Checks'!B335/'Data Checks'!B334),IF(J124="SELL",O124*('Data Checks'!B334/'Data Checks'!B335),O124))</f>
        <v>185.45735009660146</v>
      </c>
      <c r="P125">
        <f>IF(K124="BUY",P124*('Data Checks'!C335/'Data Checks'!C334),IF(K124="SELL",P124*('Data Checks'!C334/'Data Checks'!C335),P124))</f>
        <v>209.19224359482968</v>
      </c>
      <c r="Q125">
        <f>IF(L124="BUY",Q124*('Data Checks'!D335/'Data Checks'!D334),IF(L124="SELL",Q124*('Data Checks'!D334/'Data Checks'!D335),Q124))</f>
        <v>259.50547442296795</v>
      </c>
      <c r="R125">
        <f>IF(M124="BUY",R124*('Data Checks'!E335/'Data Checks'!E334),IF(M124="SELL",R124*('Data Checks'!E334/'Data Checks'!E335),R124))</f>
        <v>177.15800230927277</v>
      </c>
      <c r="S125">
        <f>IF(N124="BUY",S124*('Data Checks'!F335/'Data Checks'!F334),IF(N124="SELL",S124*('Data Checks'!F334/'Data Checks'!F335),S124))</f>
        <v>204.09607176388789</v>
      </c>
      <c r="T125" s="16">
        <f t="shared" si="18"/>
        <v>1035.4091421875598</v>
      </c>
      <c r="U125" s="17">
        <f t="shared" si="22"/>
        <v>-3.3278723441882985E-3</v>
      </c>
      <c r="W125" t="str">
        <f>IF(AND('Data Checks'!B335&gt;'Data Checks'!B334,'Data Checks'!B334&gt;'Data Checks'!B333,'Data Checks'!B333&gt;'Data Checks'!B332),"BUY",IF(AND('Data Checks'!B335&lt;'Data Checks'!B334,'Data Checks'!B334&lt;'Data Checks'!B333,'Data Checks'!B333&lt;'Data Checks'!B332),"SELL",""))</f>
        <v>BUY</v>
      </c>
      <c r="X125" t="str">
        <f>IF(AND('Data Checks'!C335&gt;'Data Checks'!C334,'Data Checks'!C334&gt;'Data Checks'!C333,'Data Checks'!C333&gt;'Data Checks'!C332),"BUY",IF(AND('Data Checks'!C335&lt;'Data Checks'!C334,'Data Checks'!C334&lt;'Data Checks'!C333,'Data Checks'!C333&lt;'Data Checks'!C332),"SELL",""))</f>
        <v/>
      </c>
      <c r="Y125" t="str">
        <f>IF(AND('Data Checks'!D335&gt;'Data Checks'!D334,'Data Checks'!D334&gt;'Data Checks'!D333,'Data Checks'!D333&gt;'Data Checks'!D332),"BUY",IF(AND('Data Checks'!D335&lt;'Data Checks'!D334,'Data Checks'!D334&lt;'Data Checks'!D333,'Data Checks'!D333&lt;'Data Checks'!D332),"SELL",""))</f>
        <v/>
      </c>
      <c r="Z125" t="str">
        <f>IF(AND('Data Checks'!E335&gt;'Data Checks'!E334,'Data Checks'!E334&gt;'Data Checks'!E333,'Data Checks'!E333&gt;'Data Checks'!E332),"BUY",IF(AND('Data Checks'!E335&lt;'Data Checks'!E334,'Data Checks'!E334&lt;'Data Checks'!E333,'Data Checks'!E333&lt;'Data Checks'!E332),"SELL",""))</f>
        <v/>
      </c>
      <c r="AA125" t="str">
        <f>IF(AND('Data Checks'!F335&gt;'Data Checks'!F334,'Data Checks'!F334&gt;'Data Checks'!F333,'Data Checks'!F333&gt;'Data Checks'!F332),"BUY",IF(AND('Data Checks'!F335&lt;'Data Checks'!F334,'Data Checks'!F334&lt;'Data Checks'!F333,'Data Checks'!F333&lt;'Data Checks'!F332),"SELL",""))</f>
        <v/>
      </c>
      <c r="AB125">
        <f>IF(W124="BUY",AB124*('Data Checks'!B335/'Data Checks'!B334),IF(W124="SELL",AB124*('Data Checks'!B334/'Data Checks'!B335),AB124))</f>
        <v>215.68301272052426</v>
      </c>
      <c r="AC125">
        <f>IF(X124="BUY",AC124*('Data Checks'!C335/'Data Checks'!C334),IF(X124="SELL",AC124*('Data Checks'!C334/'Data Checks'!C335),AC124))</f>
        <v>191.21167837117954</v>
      </c>
      <c r="AD125">
        <f>IF(Y124="BUY",AD124*('Data Checks'!D335/'Data Checks'!D334),IF(Y124="SELL",AD124*('Data Checks'!D334/'Data Checks'!D335),AD124))</f>
        <v>154.13933015842281</v>
      </c>
      <c r="AE125">
        <f>IF(Z124="BUY",AE124*('Data Checks'!E335/'Data Checks'!E334),IF(Z124="SELL",AE124*('Data Checks'!E334/'Data Checks'!E335),AE124))</f>
        <v>225.78714751010889</v>
      </c>
      <c r="AF125">
        <f>IF(AA124="BUY",AF124*('Data Checks'!F335/'Data Checks'!F334),IF(AA124="SELL",AF124*('Data Checks'!F334/'Data Checks'!F335),AF124))</f>
        <v>195.98613365902852</v>
      </c>
      <c r="AG125" s="16">
        <f t="shared" si="19"/>
        <v>982.80730241926403</v>
      </c>
      <c r="AH125" s="17">
        <f t="shared" si="23"/>
        <v>4.0323308923875256E-3</v>
      </c>
      <c r="AJ125" t="str">
        <f>IF('Moving Ave'!G335&gt;'Moving Ave'!L335,"SELL","BUY")</f>
        <v>SELL</v>
      </c>
      <c r="AK125" t="str">
        <f>IF('Moving Ave'!H335&gt;'Moving Ave'!M335,"SELL","BUY")</f>
        <v>BUY</v>
      </c>
      <c r="AL125" t="str">
        <f>IF('Moving Ave'!I335&gt;'Moving Ave'!N335,"SELL","BUY")</f>
        <v>BUY</v>
      </c>
      <c r="AM125" t="str">
        <f>IF('Moving Ave'!J335&gt;'Moving Ave'!O335,"SELL","BUY")</f>
        <v>BUY</v>
      </c>
      <c r="AN125" t="str">
        <f>IF('Moving Ave'!K335&gt;'Moving Ave'!P335,"SELL","BUY")</f>
        <v>BUY</v>
      </c>
      <c r="AO125">
        <f>IF(AJ124="BUY",AO124*('Data Checks'!B335/'Data Checks'!B334),AO124*('Data Checks'!B334/'Data Checks'!B335))</f>
        <v>160.22645174796915</v>
      </c>
      <c r="AP125">
        <f>IF(AK124="BUY",AP124*('Data Checks'!C335/'Data Checks'!C334),AP124*('Data Checks'!C334/'Data Checks'!C335))</f>
        <v>122.63144329772535</v>
      </c>
      <c r="AQ125">
        <f>IF(AL124="BUY",AQ124*('Data Checks'!D335/'Data Checks'!D334),AQ124*('Data Checks'!D334/'Data Checks'!D335))</f>
        <v>317.90187852191775</v>
      </c>
      <c r="AR125">
        <f>IF(AM124="BUY",AR124*('Data Checks'!E335/'Data Checks'!E334),AR124*('Data Checks'!E334/'Data Checks'!E335))</f>
        <v>116.67223579938947</v>
      </c>
      <c r="AS125">
        <f>IF(AN124="BUY",AS124*('Data Checks'!F335/'Data Checks'!F334),AS124*('Data Checks'!F334/'Data Checks'!F335))</f>
        <v>191.85975384712148</v>
      </c>
      <c r="AT125" s="16">
        <f t="shared" si="20"/>
        <v>909.29176321412319</v>
      </c>
      <c r="AU125" s="17">
        <f t="shared" si="24"/>
        <v>-2.7983233786766926E-3</v>
      </c>
    </row>
    <row r="126" spans="1:47" x14ac:dyDescent="0.35">
      <c r="A126" s="2">
        <f>Prices!A334</f>
        <v>44371</v>
      </c>
      <c r="B126">
        <f>B125*('Data Checks'!B336/'Data Checks'!B335)</f>
        <v>288.13334888576298</v>
      </c>
      <c r="C126">
        <f>C125*('Data Checks'!C336/'Data Checks'!C335)</f>
        <v>119.48184199852288</v>
      </c>
      <c r="D126">
        <f>D125*('Data Checks'!D336/'Data Checks'!D335)</f>
        <v>185.77392529260175</v>
      </c>
      <c r="E126">
        <f>E125*('Data Checks'!E336/'Data Checks'!E335)</f>
        <v>110.88047502911029</v>
      </c>
      <c r="F126">
        <f>F125*('Data Checks'!F336/'Data Checks'!F335)</f>
        <v>128.27849492053176</v>
      </c>
      <c r="G126" s="16">
        <f t="shared" si="17"/>
        <v>832.54808612652971</v>
      </c>
      <c r="H126" s="17">
        <f t="shared" si="21"/>
        <v>-1.9386406555767399E-2</v>
      </c>
      <c r="J126" t="str">
        <f>IF(AND('Data Checks'!B336&gt;'Data Checks'!B335,'Data Checks'!B335&gt;'Data Checks'!B334,'Data Checks'!B334&gt;'Data Checks'!B333),"SELL",IF(AND('Data Checks'!B336&lt;'Data Checks'!B335,'Data Checks'!B335&lt;'Data Checks'!B334,'Data Checks'!B334&lt;'Data Checks'!B333),"BUY",""))</f>
        <v/>
      </c>
      <c r="K126" t="str">
        <f>IF(AND('Data Checks'!C336&gt;'Data Checks'!C335,'Data Checks'!C335&gt;'Data Checks'!C334,'Data Checks'!C334&gt;'Data Checks'!C333),"SELL",IF(AND('Data Checks'!C336&lt;'Data Checks'!C335,'Data Checks'!C335&lt;'Data Checks'!C334,'Data Checks'!C334&lt;'Data Checks'!C333),"BUY",""))</f>
        <v/>
      </c>
      <c r="L126" t="str">
        <f>IF(AND('Data Checks'!D336&gt;'Data Checks'!D335,'Data Checks'!D335&gt;'Data Checks'!D334,'Data Checks'!D334&gt;'Data Checks'!D333),"SELL",IF(AND('Data Checks'!D336&lt;'Data Checks'!D335,'Data Checks'!D335&lt;'Data Checks'!D334,'Data Checks'!D334&lt;'Data Checks'!D333),"BUY",""))</f>
        <v/>
      </c>
      <c r="M126" t="str">
        <f>IF(AND('Data Checks'!E336&gt;'Data Checks'!E335,'Data Checks'!E335&gt;'Data Checks'!E334,'Data Checks'!E334&gt;'Data Checks'!E333),"SELL",IF(AND('Data Checks'!E336&lt;'Data Checks'!E335,'Data Checks'!E335&lt;'Data Checks'!E334,'Data Checks'!E334&lt;'Data Checks'!E333),"BUY",""))</f>
        <v/>
      </c>
      <c r="N126" t="str">
        <f>IF(AND('Data Checks'!F336&gt;'Data Checks'!F335,'Data Checks'!F335&gt;'Data Checks'!F334,'Data Checks'!F334&gt;'Data Checks'!F333),"SELL",IF(AND('Data Checks'!F336&lt;'Data Checks'!F335,'Data Checks'!F335&lt;'Data Checks'!F334,'Data Checks'!F334&lt;'Data Checks'!F333),"BUY",""))</f>
        <v/>
      </c>
      <c r="O126">
        <f>IF(J125="BUY",O125*('Data Checks'!B336/'Data Checks'!B335),IF(J125="SELL",O125*('Data Checks'!B335/'Data Checks'!B336),O125))</f>
        <v>187.49274255214598</v>
      </c>
      <c r="P126">
        <f>IF(K125="BUY",P125*('Data Checks'!C336/'Data Checks'!C335),IF(K125="SELL",P125*('Data Checks'!C335/'Data Checks'!C336),P125))</f>
        <v>209.19224359482968</v>
      </c>
      <c r="Q126">
        <f>IF(L125="BUY",Q125*('Data Checks'!D336/'Data Checks'!D335),IF(L125="SELL",Q125*('Data Checks'!D335/'Data Checks'!D336),Q125))</f>
        <v>259.50547442296795</v>
      </c>
      <c r="R126">
        <f>IF(M125="BUY",R125*('Data Checks'!E336/'Data Checks'!E335),IF(M125="SELL",R125*('Data Checks'!E335/'Data Checks'!E336),R125))</f>
        <v>177.15800230927277</v>
      </c>
      <c r="S126">
        <f>IF(N125="BUY",S125*('Data Checks'!F336/'Data Checks'!F335),IF(N125="SELL",S125*('Data Checks'!F335/'Data Checks'!F336),S125))</f>
        <v>204.09607176388789</v>
      </c>
      <c r="T126" s="16">
        <f t="shared" si="18"/>
        <v>1037.4445346431044</v>
      </c>
      <c r="U126" s="17">
        <f t="shared" si="22"/>
        <v>1.9657856712025357E-3</v>
      </c>
      <c r="W126" t="str">
        <f>IF(AND('Data Checks'!B336&gt;'Data Checks'!B335,'Data Checks'!B335&gt;'Data Checks'!B334,'Data Checks'!B334&gt;'Data Checks'!B333),"BUY",IF(AND('Data Checks'!B336&lt;'Data Checks'!B335,'Data Checks'!B335&lt;'Data Checks'!B334,'Data Checks'!B334&lt;'Data Checks'!B333),"SELL",""))</f>
        <v/>
      </c>
      <c r="X126" t="str">
        <f>IF(AND('Data Checks'!C336&gt;'Data Checks'!C335,'Data Checks'!C335&gt;'Data Checks'!C334,'Data Checks'!C334&gt;'Data Checks'!C333),"BUY",IF(AND('Data Checks'!C336&lt;'Data Checks'!C335,'Data Checks'!C335&lt;'Data Checks'!C334,'Data Checks'!C334&lt;'Data Checks'!C333),"SELL",""))</f>
        <v/>
      </c>
      <c r="Y126" t="str">
        <f>IF(AND('Data Checks'!D336&gt;'Data Checks'!D335,'Data Checks'!D335&gt;'Data Checks'!D334,'Data Checks'!D334&gt;'Data Checks'!D333),"BUY",IF(AND('Data Checks'!D336&lt;'Data Checks'!D335,'Data Checks'!D335&lt;'Data Checks'!D334,'Data Checks'!D334&lt;'Data Checks'!D333),"SELL",""))</f>
        <v/>
      </c>
      <c r="Z126" t="str">
        <f>IF(AND('Data Checks'!E336&gt;'Data Checks'!E335,'Data Checks'!E335&gt;'Data Checks'!E334,'Data Checks'!E334&gt;'Data Checks'!E333),"BUY",IF(AND('Data Checks'!E336&lt;'Data Checks'!E335,'Data Checks'!E335&lt;'Data Checks'!E334,'Data Checks'!E334&lt;'Data Checks'!E333),"SELL",""))</f>
        <v/>
      </c>
      <c r="AA126" t="str">
        <f>IF(AND('Data Checks'!F336&gt;'Data Checks'!F335,'Data Checks'!F335&gt;'Data Checks'!F334,'Data Checks'!F334&gt;'Data Checks'!F333),"BUY",IF(AND('Data Checks'!F336&lt;'Data Checks'!F335,'Data Checks'!F335&lt;'Data Checks'!F334,'Data Checks'!F334&lt;'Data Checks'!F333),"SELL",""))</f>
        <v/>
      </c>
      <c r="AB126">
        <f>IF(W125="BUY",AB125*('Data Checks'!B336/'Data Checks'!B335),IF(W125="SELL",AB125*('Data Checks'!B335/'Data Checks'!B336),AB125))</f>
        <v>213.34159101585013</v>
      </c>
      <c r="AC126">
        <f>IF(X125="BUY",AC125*('Data Checks'!C336/'Data Checks'!C335),IF(X125="SELL",AC125*('Data Checks'!C335/'Data Checks'!C336),AC125))</f>
        <v>191.21167837117954</v>
      </c>
      <c r="AD126">
        <f>IF(Y125="BUY",AD125*('Data Checks'!D336/'Data Checks'!D335),IF(Y125="SELL",AD125*('Data Checks'!D335/'Data Checks'!D336),AD125))</f>
        <v>154.13933015842281</v>
      </c>
      <c r="AE126">
        <f>IF(Z125="BUY",AE125*('Data Checks'!E336/'Data Checks'!E335),IF(Z125="SELL",AE125*('Data Checks'!E335/'Data Checks'!E336),AE125))</f>
        <v>225.78714751010889</v>
      </c>
      <c r="AF126">
        <f>IF(AA125="BUY",AF125*('Data Checks'!F336/'Data Checks'!F335),IF(AA125="SELL",AF125*('Data Checks'!F335/'Data Checks'!F336),AF125))</f>
        <v>195.98613365902852</v>
      </c>
      <c r="AG126" s="16">
        <f t="shared" si="19"/>
        <v>980.46588071458984</v>
      </c>
      <c r="AH126" s="17">
        <f t="shared" si="23"/>
        <v>-2.3823812652903342E-3</v>
      </c>
      <c r="AJ126" t="str">
        <f>IF('Moving Ave'!G336&gt;'Moving Ave'!L336,"SELL","BUY")</f>
        <v>SELL</v>
      </c>
      <c r="AK126" t="str">
        <f>IF('Moving Ave'!H336&gt;'Moving Ave'!M336,"SELL","BUY")</f>
        <v>BUY</v>
      </c>
      <c r="AL126" t="str">
        <f>IF('Moving Ave'!I336&gt;'Moving Ave'!N336,"SELL","BUY")</f>
        <v>BUY</v>
      </c>
      <c r="AM126" t="str">
        <f>IF('Moving Ave'!J336&gt;'Moving Ave'!O336,"SELL","BUY")</f>
        <v>BUY</v>
      </c>
      <c r="AN126" t="str">
        <f>IF('Moving Ave'!K336&gt;'Moving Ave'!P336,"SELL","BUY")</f>
        <v>BUY</v>
      </c>
      <c r="AO126">
        <f>IF(AJ125="BUY",AO125*('Data Checks'!B336/'Data Checks'!B335),AO125*('Data Checks'!B335/'Data Checks'!B336))</f>
        <v>161.98493536102959</v>
      </c>
      <c r="AP126">
        <f>IF(AK125="BUY",AP125*('Data Checks'!C336/'Data Checks'!C335),AP125*('Data Checks'!C335/'Data Checks'!C336))</f>
        <v>119.48184199852288</v>
      </c>
      <c r="AQ126">
        <f>IF(AL125="BUY",AQ125*('Data Checks'!D336/'Data Checks'!D335),AQ125*('Data Checks'!D335/'Data Checks'!D336))</f>
        <v>310.69716165619269</v>
      </c>
      <c r="AR126">
        <f>IF(AM125="BUY",AR125*('Data Checks'!E336/'Data Checks'!E335),AR125*('Data Checks'!E335/'Data Checks'!E336))</f>
        <v>110.88047502911029</v>
      </c>
      <c r="AS126">
        <f>IF(AN125="BUY",AS125*('Data Checks'!F336/'Data Checks'!F335),AS125*('Data Checks'!F335/'Data Checks'!F336))</f>
        <v>191.78845274672969</v>
      </c>
      <c r="AT126" s="16">
        <f t="shared" si="20"/>
        <v>894.83286679158516</v>
      </c>
      <c r="AU126" s="17">
        <f t="shared" si="24"/>
        <v>-1.5901272844955017E-2</v>
      </c>
    </row>
    <row r="127" spans="1:47" x14ac:dyDescent="0.35">
      <c r="A127" s="2">
        <f>Prices!A335</f>
        <v>44372</v>
      </c>
      <c r="B127">
        <f>B126*('Data Checks'!B337/'Data Checks'!B336)</f>
        <v>290.25980511030099</v>
      </c>
      <c r="C127">
        <f>C126*('Data Checks'!C337/'Data Checks'!C336)</f>
        <v>122.22504247460114</v>
      </c>
      <c r="D127">
        <f>D126*('Data Checks'!D337/'Data Checks'!D336)</f>
        <v>189.54750024290357</v>
      </c>
      <c r="E127">
        <f>E126*('Data Checks'!E337/'Data Checks'!E336)</f>
        <v>113.45831223775318</v>
      </c>
      <c r="F127">
        <f>F126*('Data Checks'!F337/'Data Checks'!F336)</f>
        <v>128.27849492053176</v>
      </c>
      <c r="G127" s="16">
        <f t="shared" si="17"/>
        <v>843.7691549860906</v>
      </c>
      <c r="H127" s="17">
        <f t="shared" si="21"/>
        <v>1.3477982889573914E-2</v>
      </c>
      <c r="J127" t="str">
        <f>IF(AND('Data Checks'!B337&gt;'Data Checks'!B336,'Data Checks'!B336&gt;'Data Checks'!B335,'Data Checks'!B335&gt;'Data Checks'!B334),"SELL",IF(AND('Data Checks'!B337&lt;'Data Checks'!B336,'Data Checks'!B336&lt;'Data Checks'!B335,'Data Checks'!B335&lt;'Data Checks'!B334),"BUY",""))</f>
        <v/>
      </c>
      <c r="K127" t="str">
        <f>IF(AND('Data Checks'!C337&gt;'Data Checks'!C336,'Data Checks'!C336&gt;'Data Checks'!C335,'Data Checks'!C335&gt;'Data Checks'!C334),"SELL",IF(AND('Data Checks'!C337&lt;'Data Checks'!C336,'Data Checks'!C336&lt;'Data Checks'!C335,'Data Checks'!C335&lt;'Data Checks'!C334),"BUY",""))</f>
        <v/>
      </c>
      <c r="L127" t="str">
        <f>IF(AND('Data Checks'!D337&gt;'Data Checks'!D336,'Data Checks'!D336&gt;'Data Checks'!D335,'Data Checks'!D335&gt;'Data Checks'!D334),"SELL",IF(AND('Data Checks'!D337&lt;'Data Checks'!D336,'Data Checks'!D336&lt;'Data Checks'!D335,'Data Checks'!D335&lt;'Data Checks'!D334),"BUY",""))</f>
        <v/>
      </c>
      <c r="M127" t="str">
        <f>IF(AND('Data Checks'!E337&gt;'Data Checks'!E336,'Data Checks'!E336&gt;'Data Checks'!E335,'Data Checks'!E335&gt;'Data Checks'!E334),"SELL",IF(AND('Data Checks'!E337&lt;'Data Checks'!E336,'Data Checks'!E336&lt;'Data Checks'!E335,'Data Checks'!E335&lt;'Data Checks'!E334),"BUY",""))</f>
        <v/>
      </c>
      <c r="N127" t="str">
        <f>IF(AND('Data Checks'!F337&gt;'Data Checks'!F336,'Data Checks'!F336&gt;'Data Checks'!F335,'Data Checks'!F335&gt;'Data Checks'!F334),"SELL",IF(AND('Data Checks'!F337&lt;'Data Checks'!F336,'Data Checks'!F336&lt;'Data Checks'!F335,'Data Checks'!F335&lt;'Data Checks'!F334),"BUY",""))</f>
        <v/>
      </c>
      <c r="O127">
        <f>IF(J126="BUY",O126*('Data Checks'!B337/'Data Checks'!B336),IF(J126="SELL",O126*('Data Checks'!B336/'Data Checks'!B337),O126))</f>
        <v>187.49274255214598</v>
      </c>
      <c r="P127">
        <f>IF(K126="BUY",P126*('Data Checks'!C337/'Data Checks'!C336),IF(K126="SELL",P126*('Data Checks'!C336/'Data Checks'!C337),P126))</f>
        <v>209.19224359482968</v>
      </c>
      <c r="Q127">
        <f>IF(L126="BUY",Q126*('Data Checks'!D337/'Data Checks'!D336),IF(L126="SELL",Q126*('Data Checks'!D336/'Data Checks'!D337),Q126))</f>
        <v>259.50547442296795</v>
      </c>
      <c r="R127">
        <f>IF(M126="BUY",R126*('Data Checks'!E337/'Data Checks'!E336),IF(M126="SELL",R126*('Data Checks'!E336/'Data Checks'!E337),R126))</f>
        <v>177.15800230927277</v>
      </c>
      <c r="S127">
        <f>IF(N126="BUY",S126*('Data Checks'!F337/'Data Checks'!F336),IF(N126="SELL",S126*('Data Checks'!F336/'Data Checks'!F337),S126))</f>
        <v>204.09607176388789</v>
      </c>
      <c r="T127" s="16">
        <f t="shared" si="18"/>
        <v>1037.4445346431044</v>
      </c>
      <c r="U127" s="17">
        <f t="shared" si="22"/>
        <v>0</v>
      </c>
      <c r="W127" t="str">
        <f>IF(AND('Data Checks'!B337&gt;'Data Checks'!B336,'Data Checks'!B336&gt;'Data Checks'!B335,'Data Checks'!B335&gt;'Data Checks'!B334),"BUY",IF(AND('Data Checks'!B337&lt;'Data Checks'!B336,'Data Checks'!B336&lt;'Data Checks'!B335,'Data Checks'!B335&lt;'Data Checks'!B334),"SELL",""))</f>
        <v/>
      </c>
      <c r="X127" t="str">
        <f>IF(AND('Data Checks'!C337&gt;'Data Checks'!C336,'Data Checks'!C336&gt;'Data Checks'!C335,'Data Checks'!C335&gt;'Data Checks'!C334),"BUY",IF(AND('Data Checks'!C337&lt;'Data Checks'!C336,'Data Checks'!C336&lt;'Data Checks'!C335,'Data Checks'!C335&lt;'Data Checks'!C334),"SELL",""))</f>
        <v/>
      </c>
      <c r="Y127" t="str">
        <f>IF(AND('Data Checks'!D337&gt;'Data Checks'!D336,'Data Checks'!D336&gt;'Data Checks'!D335,'Data Checks'!D335&gt;'Data Checks'!D334),"BUY",IF(AND('Data Checks'!D337&lt;'Data Checks'!D336,'Data Checks'!D336&lt;'Data Checks'!D335,'Data Checks'!D335&lt;'Data Checks'!D334),"SELL",""))</f>
        <v/>
      </c>
      <c r="Z127" t="str">
        <f>IF(AND('Data Checks'!E337&gt;'Data Checks'!E336,'Data Checks'!E336&gt;'Data Checks'!E335,'Data Checks'!E335&gt;'Data Checks'!E334),"BUY",IF(AND('Data Checks'!E337&lt;'Data Checks'!E336,'Data Checks'!E336&lt;'Data Checks'!E335,'Data Checks'!E335&lt;'Data Checks'!E334),"SELL",""))</f>
        <v/>
      </c>
      <c r="AA127" t="str">
        <f>IF(AND('Data Checks'!F337&gt;'Data Checks'!F336,'Data Checks'!F336&gt;'Data Checks'!F335,'Data Checks'!F335&gt;'Data Checks'!F334),"BUY",IF(AND('Data Checks'!F337&lt;'Data Checks'!F336,'Data Checks'!F336&lt;'Data Checks'!F335,'Data Checks'!F335&lt;'Data Checks'!F334),"SELL",""))</f>
        <v/>
      </c>
      <c r="AB127">
        <f>IF(W126="BUY",AB126*('Data Checks'!B337/'Data Checks'!B336),IF(W126="SELL",AB126*('Data Checks'!B336/'Data Checks'!B337),AB126))</f>
        <v>213.34159101585013</v>
      </c>
      <c r="AC127">
        <f>IF(X126="BUY",AC126*('Data Checks'!C337/'Data Checks'!C336),IF(X126="SELL",AC126*('Data Checks'!C336/'Data Checks'!C337),AC126))</f>
        <v>191.21167837117954</v>
      </c>
      <c r="AD127">
        <f>IF(Y126="BUY",AD126*('Data Checks'!D337/'Data Checks'!D336),IF(Y126="SELL",AD126*('Data Checks'!D336/'Data Checks'!D337),AD126))</f>
        <v>154.13933015842281</v>
      </c>
      <c r="AE127">
        <f>IF(Z126="BUY",AE126*('Data Checks'!E337/'Data Checks'!E336),IF(Z126="SELL",AE126*('Data Checks'!E336/'Data Checks'!E337),AE126))</f>
        <v>225.78714751010889</v>
      </c>
      <c r="AF127">
        <f>IF(AA126="BUY",AF126*('Data Checks'!F337/'Data Checks'!F336),IF(AA126="SELL",AF126*('Data Checks'!F336/'Data Checks'!F337),AF126))</f>
        <v>195.98613365902852</v>
      </c>
      <c r="AG127" s="16">
        <f t="shared" si="19"/>
        <v>980.46588071458984</v>
      </c>
      <c r="AH127" s="17">
        <f t="shared" si="23"/>
        <v>0</v>
      </c>
      <c r="AJ127" t="str">
        <f>IF('Moving Ave'!G337&gt;'Moving Ave'!L337,"SELL","BUY")</f>
        <v>SELL</v>
      </c>
      <c r="AK127" t="str">
        <f>IF('Moving Ave'!H337&gt;'Moving Ave'!M337,"SELL","BUY")</f>
        <v>BUY</v>
      </c>
      <c r="AL127" t="str">
        <f>IF('Moving Ave'!I337&gt;'Moving Ave'!N337,"SELL","BUY")</f>
        <v>BUY</v>
      </c>
      <c r="AM127" t="str">
        <f>IF('Moving Ave'!J337&gt;'Moving Ave'!O337,"SELL","BUY")</f>
        <v>BUY</v>
      </c>
      <c r="AN127" t="str">
        <f>IF('Moving Ave'!K337&gt;'Moving Ave'!P337,"SELL","BUY")</f>
        <v>BUY</v>
      </c>
      <c r="AO127">
        <f>IF(AJ126="BUY",AO126*('Data Checks'!B337/'Data Checks'!B336),AO126*('Data Checks'!B336/'Data Checks'!B337))</f>
        <v>160.79822652978459</v>
      </c>
      <c r="AP127">
        <f>IF(AK126="BUY",AP126*('Data Checks'!C337/'Data Checks'!C336),AP126*('Data Checks'!C336/'Data Checks'!C337))</f>
        <v>122.22504247460114</v>
      </c>
      <c r="AQ127">
        <f>IF(AL126="BUY",AQ126*('Data Checks'!D337/'Data Checks'!D336),AQ126*('Data Checks'!D336/'Data Checks'!D337))</f>
        <v>317.00826815033088</v>
      </c>
      <c r="AR127">
        <f>IF(AM126="BUY",AR126*('Data Checks'!E337/'Data Checks'!E336),AR126*('Data Checks'!E336/'Data Checks'!E337))</f>
        <v>113.45831223775318</v>
      </c>
      <c r="AS127">
        <f>IF(AN126="BUY",AS126*('Data Checks'!F337/'Data Checks'!F336),AS126*('Data Checks'!F336/'Data Checks'!F337))</f>
        <v>191.78845274672969</v>
      </c>
      <c r="AT127" s="16">
        <f t="shared" si="20"/>
        <v>905.27830213919947</v>
      </c>
      <c r="AU127" s="17">
        <f t="shared" si="24"/>
        <v>1.167305732194035E-2</v>
      </c>
    </row>
    <row r="128" spans="1:47" x14ac:dyDescent="0.35">
      <c r="A128" s="2">
        <f>Prices!A336</f>
        <v>44373</v>
      </c>
      <c r="B128">
        <f>B127*('Data Checks'!B338/'Data Checks'!B337)</f>
        <v>283.75720916245348</v>
      </c>
      <c r="C128">
        <f>C127*('Data Checks'!C338/'Data Checks'!C337)</f>
        <v>118.66904543228473</v>
      </c>
      <c r="D128">
        <f>D127*('Data Checks'!D338/'Data Checks'!D337)</f>
        <v>186.3416260868529</v>
      </c>
      <c r="E128">
        <f>E127*('Data Checks'!E338/'Data Checks'!E337)</f>
        <v>110.17743186550275</v>
      </c>
      <c r="F128">
        <f>F127*('Data Checks'!F338/'Data Checks'!F337)</f>
        <v>130.61516352811404</v>
      </c>
      <c r="G128" s="16">
        <f t="shared" si="17"/>
        <v>829.56047607520793</v>
      </c>
      <c r="H128" s="17">
        <f t="shared" si="21"/>
        <v>-1.6839533451678323E-2</v>
      </c>
      <c r="J128" t="str">
        <f>IF(AND('Data Checks'!B338&gt;'Data Checks'!B337,'Data Checks'!B337&gt;'Data Checks'!B336,'Data Checks'!B336&gt;'Data Checks'!B335),"SELL",IF(AND('Data Checks'!B338&lt;'Data Checks'!B337,'Data Checks'!B337&lt;'Data Checks'!B336,'Data Checks'!B336&lt;'Data Checks'!B335),"BUY",""))</f>
        <v/>
      </c>
      <c r="K128" t="str">
        <f>IF(AND('Data Checks'!C338&gt;'Data Checks'!C337,'Data Checks'!C337&gt;'Data Checks'!C336,'Data Checks'!C336&gt;'Data Checks'!C335),"SELL",IF(AND('Data Checks'!C338&lt;'Data Checks'!C337,'Data Checks'!C337&lt;'Data Checks'!C336,'Data Checks'!C336&lt;'Data Checks'!C335),"BUY",""))</f>
        <v/>
      </c>
      <c r="L128" t="str">
        <f>IF(AND('Data Checks'!D338&gt;'Data Checks'!D337,'Data Checks'!D337&gt;'Data Checks'!D336,'Data Checks'!D336&gt;'Data Checks'!D335),"SELL",IF(AND('Data Checks'!D338&lt;'Data Checks'!D337,'Data Checks'!D337&lt;'Data Checks'!D336,'Data Checks'!D336&lt;'Data Checks'!D335),"BUY",""))</f>
        <v/>
      </c>
      <c r="M128" t="str">
        <f>IF(AND('Data Checks'!E338&gt;'Data Checks'!E337,'Data Checks'!E337&gt;'Data Checks'!E336,'Data Checks'!E336&gt;'Data Checks'!E335),"SELL",IF(AND('Data Checks'!E338&lt;'Data Checks'!E337,'Data Checks'!E337&lt;'Data Checks'!E336,'Data Checks'!E336&lt;'Data Checks'!E335),"BUY",""))</f>
        <v/>
      </c>
      <c r="N128" t="str">
        <f>IF(AND('Data Checks'!F338&gt;'Data Checks'!F337,'Data Checks'!F337&gt;'Data Checks'!F336,'Data Checks'!F336&gt;'Data Checks'!F335),"SELL",IF(AND('Data Checks'!F338&lt;'Data Checks'!F337,'Data Checks'!F337&lt;'Data Checks'!F336,'Data Checks'!F336&lt;'Data Checks'!F335),"BUY",""))</f>
        <v/>
      </c>
      <c r="O128">
        <f>IF(J127="BUY",O127*('Data Checks'!B338/'Data Checks'!B337),IF(J127="SELL",O127*('Data Checks'!B337/'Data Checks'!B338),O127))</f>
        <v>187.49274255214598</v>
      </c>
      <c r="P128">
        <f>IF(K127="BUY",P127*('Data Checks'!C338/'Data Checks'!C337),IF(K127="SELL",P127*('Data Checks'!C337/'Data Checks'!C338),P127))</f>
        <v>209.19224359482968</v>
      </c>
      <c r="Q128">
        <f>IF(L127="BUY",Q127*('Data Checks'!D338/'Data Checks'!D337),IF(L127="SELL",Q127*('Data Checks'!D337/'Data Checks'!D338),Q127))</f>
        <v>259.50547442296795</v>
      </c>
      <c r="R128">
        <f>IF(M127="BUY",R127*('Data Checks'!E338/'Data Checks'!E337),IF(M127="SELL",R127*('Data Checks'!E337/'Data Checks'!E338),R127))</f>
        <v>177.15800230927277</v>
      </c>
      <c r="S128">
        <f>IF(N127="BUY",S127*('Data Checks'!F338/'Data Checks'!F337),IF(N127="SELL",S127*('Data Checks'!F337/'Data Checks'!F338),S127))</f>
        <v>204.09607176388789</v>
      </c>
      <c r="T128" s="16">
        <f t="shared" si="18"/>
        <v>1037.4445346431044</v>
      </c>
      <c r="U128" s="17">
        <f t="shared" si="22"/>
        <v>0</v>
      </c>
      <c r="W128" t="str">
        <f>IF(AND('Data Checks'!B338&gt;'Data Checks'!B337,'Data Checks'!B337&gt;'Data Checks'!B336,'Data Checks'!B336&gt;'Data Checks'!B335),"BUY",IF(AND('Data Checks'!B338&lt;'Data Checks'!B337,'Data Checks'!B337&lt;'Data Checks'!B336,'Data Checks'!B336&lt;'Data Checks'!B335),"SELL",""))</f>
        <v/>
      </c>
      <c r="X128" t="str">
        <f>IF(AND('Data Checks'!C338&gt;'Data Checks'!C337,'Data Checks'!C337&gt;'Data Checks'!C336,'Data Checks'!C336&gt;'Data Checks'!C335),"BUY",IF(AND('Data Checks'!C338&lt;'Data Checks'!C337,'Data Checks'!C337&lt;'Data Checks'!C336,'Data Checks'!C336&lt;'Data Checks'!C335),"SELL",""))</f>
        <v/>
      </c>
      <c r="Y128" t="str">
        <f>IF(AND('Data Checks'!D338&gt;'Data Checks'!D337,'Data Checks'!D337&gt;'Data Checks'!D336,'Data Checks'!D336&gt;'Data Checks'!D335),"BUY",IF(AND('Data Checks'!D338&lt;'Data Checks'!D337,'Data Checks'!D337&lt;'Data Checks'!D336,'Data Checks'!D336&lt;'Data Checks'!D335),"SELL",""))</f>
        <v/>
      </c>
      <c r="Z128" t="str">
        <f>IF(AND('Data Checks'!E338&gt;'Data Checks'!E337,'Data Checks'!E337&gt;'Data Checks'!E336,'Data Checks'!E336&gt;'Data Checks'!E335),"BUY",IF(AND('Data Checks'!E338&lt;'Data Checks'!E337,'Data Checks'!E337&lt;'Data Checks'!E336,'Data Checks'!E336&lt;'Data Checks'!E335),"SELL",""))</f>
        <v/>
      </c>
      <c r="AA128" t="str">
        <f>IF(AND('Data Checks'!F338&gt;'Data Checks'!F337,'Data Checks'!F337&gt;'Data Checks'!F336,'Data Checks'!F336&gt;'Data Checks'!F335),"BUY",IF(AND('Data Checks'!F338&lt;'Data Checks'!F337,'Data Checks'!F337&lt;'Data Checks'!F336,'Data Checks'!F336&lt;'Data Checks'!F335),"SELL",""))</f>
        <v/>
      </c>
      <c r="AB128">
        <f>IF(W127="BUY",AB127*('Data Checks'!B338/'Data Checks'!B337),IF(W127="SELL",AB127*('Data Checks'!B337/'Data Checks'!B338),AB127))</f>
        <v>213.34159101585013</v>
      </c>
      <c r="AC128">
        <f>IF(X127="BUY",AC127*('Data Checks'!C338/'Data Checks'!C337),IF(X127="SELL",AC127*('Data Checks'!C337/'Data Checks'!C338),AC127))</f>
        <v>191.21167837117954</v>
      </c>
      <c r="AD128">
        <f>IF(Y127="BUY",AD127*('Data Checks'!D338/'Data Checks'!D337),IF(Y127="SELL",AD127*('Data Checks'!D337/'Data Checks'!D338),AD127))</f>
        <v>154.13933015842281</v>
      </c>
      <c r="AE128">
        <f>IF(Z127="BUY",AE127*('Data Checks'!E338/'Data Checks'!E337),IF(Z127="SELL",AE127*('Data Checks'!E337/'Data Checks'!E338),AE127))</f>
        <v>225.78714751010889</v>
      </c>
      <c r="AF128">
        <f>IF(AA127="BUY",AF127*('Data Checks'!F338/'Data Checks'!F337),IF(AA127="SELL",AF127*('Data Checks'!F337/'Data Checks'!F338),AF127))</f>
        <v>195.98613365902852</v>
      </c>
      <c r="AG128" s="16">
        <f t="shared" si="19"/>
        <v>980.46588071458984</v>
      </c>
      <c r="AH128" s="17">
        <f t="shared" si="23"/>
        <v>0</v>
      </c>
      <c r="AJ128" t="str">
        <f>IF('Moving Ave'!G338&gt;'Moving Ave'!L338,"SELL","BUY")</f>
        <v>SELL</v>
      </c>
      <c r="AK128" t="str">
        <f>IF('Moving Ave'!H338&gt;'Moving Ave'!M338,"SELL","BUY")</f>
        <v>BUY</v>
      </c>
      <c r="AL128" t="str">
        <f>IF('Moving Ave'!I338&gt;'Moving Ave'!N338,"SELL","BUY")</f>
        <v>BUY</v>
      </c>
      <c r="AM128" t="str">
        <f>IF('Moving Ave'!J338&gt;'Moving Ave'!O338,"SELL","BUY")</f>
        <v>BUY</v>
      </c>
      <c r="AN128" t="str">
        <f>IF('Moving Ave'!K338&gt;'Moving Ave'!P338,"SELL","BUY")</f>
        <v>BUY</v>
      </c>
      <c r="AO128">
        <f>IF(AJ127="BUY",AO127*('Data Checks'!B338/'Data Checks'!B337),AO127*('Data Checks'!B337/'Data Checks'!B338))</f>
        <v>164.48308760993086</v>
      </c>
      <c r="AP128">
        <f>IF(AK127="BUY",AP127*('Data Checks'!C338/'Data Checks'!C337),AP127*('Data Checks'!C337/'Data Checks'!C338))</f>
        <v>118.66904543228473</v>
      </c>
      <c r="AQ128">
        <f>IF(AL127="BUY",AQ127*('Data Checks'!D338/'Data Checks'!D337),AQ127*('Data Checks'!D337/'Data Checks'!D338))</f>
        <v>311.64661150587415</v>
      </c>
      <c r="AR128">
        <f>IF(AM127="BUY",AR127*('Data Checks'!E338/'Data Checks'!E337),AR127*('Data Checks'!E337/'Data Checks'!E338))</f>
        <v>110.17743186550275</v>
      </c>
      <c r="AS128">
        <f>IF(AN127="BUY",AS127*('Data Checks'!F338/'Data Checks'!F337),AS127*('Data Checks'!F337/'Data Checks'!F338))</f>
        <v>195.28199277545926</v>
      </c>
      <c r="AT128" s="16">
        <f t="shared" si="20"/>
        <v>900.25816918905173</v>
      </c>
      <c r="AU128" s="17">
        <f t="shared" si="24"/>
        <v>-5.5454029311041708E-3</v>
      </c>
    </row>
    <row r="129" spans="1:47" x14ac:dyDescent="0.35">
      <c r="A129" s="2">
        <f>Prices!A337</f>
        <v>44376</v>
      </c>
      <c r="B129">
        <f>B128*('Data Checks'!B339/'Data Checks'!B338)</f>
        <v>282.44106921227484</v>
      </c>
      <c r="C129">
        <f>C128*('Data Checks'!C339/'Data Checks'!C338)</f>
        <v>119.83744271875661</v>
      </c>
      <c r="D129">
        <f>D128*('Data Checks'!D339/'Data Checks'!D338)</f>
        <v>185.64034372416663</v>
      </c>
      <c r="E129">
        <f>E128*('Data Checks'!E339/'Data Checks'!E338)</f>
        <v>111.95178399893591</v>
      </c>
      <c r="F129">
        <f>F128*('Data Checks'!F339/'Data Checks'!F338)</f>
        <v>130.47210773207604</v>
      </c>
      <c r="G129" s="16">
        <f t="shared" si="17"/>
        <v>830.34274738621002</v>
      </c>
      <c r="H129" s="17">
        <f t="shared" si="21"/>
        <v>9.4299491545579706E-4</v>
      </c>
      <c r="J129" t="str">
        <f>IF(AND('Data Checks'!B339&gt;'Data Checks'!B338,'Data Checks'!B338&gt;'Data Checks'!B337,'Data Checks'!B337&gt;'Data Checks'!B336),"SELL",IF(AND('Data Checks'!B339&lt;'Data Checks'!B338,'Data Checks'!B338&lt;'Data Checks'!B337,'Data Checks'!B337&lt;'Data Checks'!B336),"BUY",""))</f>
        <v/>
      </c>
      <c r="K129" t="str">
        <f>IF(AND('Data Checks'!C339&gt;'Data Checks'!C338,'Data Checks'!C338&gt;'Data Checks'!C337,'Data Checks'!C337&gt;'Data Checks'!C336),"SELL",IF(AND('Data Checks'!C339&lt;'Data Checks'!C338,'Data Checks'!C338&lt;'Data Checks'!C337,'Data Checks'!C337&lt;'Data Checks'!C336),"BUY",""))</f>
        <v/>
      </c>
      <c r="L129" t="str">
        <f>IF(AND('Data Checks'!D339&gt;'Data Checks'!D338,'Data Checks'!D338&gt;'Data Checks'!D337,'Data Checks'!D337&gt;'Data Checks'!D336),"SELL",IF(AND('Data Checks'!D339&lt;'Data Checks'!D338,'Data Checks'!D338&lt;'Data Checks'!D337,'Data Checks'!D337&lt;'Data Checks'!D336),"BUY",""))</f>
        <v/>
      </c>
      <c r="M129" t="str">
        <f>IF(AND('Data Checks'!E339&gt;'Data Checks'!E338,'Data Checks'!E338&gt;'Data Checks'!E337,'Data Checks'!E337&gt;'Data Checks'!E336),"SELL",IF(AND('Data Checks'!E339&lt;'Data Checks'!E338,'Data Checks'!E338&lt;'Data Checks'!E337,'Data Checks'!E337&lt;'Data Checks'!E336),"BUY",""))</f>
        <v/>
      </c>
      <c r="N129" t="str">
        <f>IF(AND('Data Checks'!F339&gt;'Data Checks'!F338,'Data Checks'!F338&gt;'Data Checks'!F337,'Data Checks'!F337&gt;'Data Checks'!F336),"SELL",IF(AND('Data Checks'!F339&lt;'Data Checks'!F338,'Data Checks'!F338&lt;'Data Checks'!F337,'Data Checks'!F337&lt;'Data Checks'!F336),"BUY",""))</f>
        <v/>
      </c>
      <c r="O129">
        <f>IF(J128="BUY",O128*('Data Checks'!B339/'Data Checks'!B338),IF(J128="SELL",O128*('Data Checks'!B338/'Data Checks'!B339),O128))</f>
        <v>187.49274255214598</v>
      </c>
      <c r="P129">
        <f>IF(K128="BUY",P128*('Data Checks'!C339/'Data Checks'!C338),IF(K128="SELL",P128*('Data Checks'!C338/'Data Checks'!C339),P128))</f>
        <v>209.19224359482968</v>
      </c>
      <c r="Q129">
        <f>IF(L128="BUY",Q128*('Data Checks'!D339/'Data Checks'!D338),IF(L128="SELL",Q128*('Data Checks'!D338/'Data Checks'!D339),Q128))</f>
        <v>259.50547442296795</v>
      </c>
      <c r="R129">
        <f>IF(M128="BUY",R128*('Data Checks'!E339/'Data Checks'!E338),IF(M128="SELL",R128*('Data Checks'!E338/'Data Checks'!E339),R128))</f>
        <v>177.15800230927277</v>
      </c>
      <c r="S129">
        <f>IF(N128="BUY",S128*('Data Checks'!F339/'Data Checks'!F338),IF(N128="SELL",S128*('Data Checks'!F338/'Data Checks'!F339),S128))</f>
        <v>204.09607176388789</v>
      </c>
      <c r="T129" s="16">
        <f t="shared" si="18"/>
        <v>1037.4445346431044</v>
      </c>
      <c r="U129" s="17">
        <f t="shared" si="22"/>
        <v>0</v>
      </c>
      <c r="W129" t="str">
        <f>IF(AND('Data Checks'!B339&gt;'Data Checks'!B338,'Data Checks'!B338&gt;'Data Checks'!B337,'Data Checks'!B337&gt;'Data Checks'!B336),"BUY",IF(AND('Data Checks'!B339&lt;'Data Checks'!B338,'Data Checks'!B338&lt;'Data Checks'!B337,'Data Checks'!B337&lt;'Data Checks'!B336),"SELL",""))</f>
        <v/>
      </c>
      <c r="X129" t="str">
        <f>IF(AND('Data Checks'!C339&gt;'Data Checks'!C338,'Data Checks'!C338&gt;'Data Checks'!C337,'Data Checks'!C337&gt;'Data Checks'!C336),"BUY",IF(AND('Data Checks'!C339&lt;'Data Checks'!C338,'Data Checks'!C338&lt;'Data Checks'!C337,'Data Checks'!C337&lt;'Data Checks'!C336),"SELL",""))</f>
        <v/>
      </c>
      <c r="Y129" t="str">
        <f>IF(AND('Data Checks'!D339&gt;'Data Checks'!D338,'Data Checks'!D338&gt;'Data Checks'!D337,'Data Checks'!D337&gt;'Data Checks'!D336),"BUY",IF(AND('Data Checks'!D339&lt;'Data Checks'!D338,'Data Checks'!D338&lt;'Data Checks'!D337,'Data Checks'!D337&lt;'Data Checks'!D336),"SELL",""))</f>
        <v/>
      </c>
      <c r="Z129" t="str">
        <f>IF(AND('Data Checks'!E339&gt;'Data Checks'!E338,'Data Checks'!E338&gt;'Data Checks'!E337,'Data Checks'!E337&gt;'Data Checks'!E336),"BUY",IF(AND('Data Checks'!E339&lt;'Data Checks'!E338,'Data Checks'!E338&lt;'Data Checks'!E337,'Data Checks'!E337&lt;'Data Checks'!E336),"SELL",""))</f>
        <v/>
      </c>
      <c r="AA129" t="str">
        <f>IF(AND('Data Checks'!F339&gt;'Data Checks'!F338,'Data Checks'!F338&gt;'Data Checks'!F337,'Data Checks'!F337&gt;'Data Checks'!F336),"BUY",IF(AND('Data Checks'!F339&lt;'Data Checks'!F338,'Data Checks'!F338&lt;'Data Checks'!F337,'Data Checks'!F337&lt;'Data Checks'!F336),"SELL",""))</f>
        <v/>
      </c>
      <c r="AB129">
        <f>IF(W128="BUY",AB128*('Data Checks'!B339/'Data Checks'!B338),IF(W128="SELL",AB128*('Data Checks'!B338/'Data Checks'!B339),AB128))</f>
        <v>213.34159101585013</v>
      </c>
      <c r="AC129">
        <f>IF(X128="BUY",AC128*('Data Checks'!C339/'Data Checks'!C338),IF(X128="SELL",AC128*('Data Checks'!C338/'Data Checks'!C339),AC128))</f>
        <v>191.21167837117954</v>
      </c>
      <c r="AD129">
        <f>IF(Y128="BUY",AD128*('Data Checks'!D339/'Data Checks'!D338),IF(Y128="SELL",AD128*('Data Checks'!D338/'Data Checks'!D339),AD128))</f>
        <v>154.13933015842281</v>
      </c>
      <c r="AE129">
        <f>IF(Z128="BUY",AE128*('Data Checks'!E339/'Data Checks'!E338),IF(Z128="SELL",AE128*('Data Checks'!E338/'Data Checks'!E339),AE128))</f>
        <v>225.78714751010889</v>
      </c>
      <c r="AF129">
        <f>IF(AA128="BUY",AF128*('Data Checks'!F339/'Data Checks'!F338),IF(AA128="SELL",AF128*('Data Checks'!F338/'Data Checks'!F339),AF128))</f>
        <v>195.98613365902852</v>
      </c>
      <c r="AG129" s="16">
        <f t="shared" si="19"/>
        <v>980.46588071458984</v>
      </c>
      <c r="AH129" s="17">
        <f t="shared" si="23"/>
        <v>0</v>
      </c>
      <c r="AJ129" t="str">
        <f>IF('Moving Ave'!G339&gt;'Moving Ave'!L339,"SELL","BUY")</f>
        <v>SELL</v>
      </c>
      <c r="AK129" t="str">
        <f>IF('Moving Ave'!H339&gt;'Moving Ave'!M339,"SELL","BUY")</f>
        <v>BUY</v>
      </c>
      <c r="AL129" t="str">
        <f>IF('Moving Ave'!I339&gt;'Moving Ave'!N339,"SELL","BUY")</f>
        <v>BUY</v>
      </c>
      <c r="AM129" t="str">
        <f>IF('Moving Ave'!J339&gt;'Moving Ave'!O339,"SELL","BUY")</f>
        <v>BUY</v>
      </c>
      <c r="AN129" t="str">
        <f>IF('Moving Ave'!K339&gt;'Moving Ave'!P339,"SELL","BUY")</f>
        <v>BUY</v>
      </c>
      <c r="AO129">
        <f>IF(AJ128="BUY",AO128*('Data Checks'!B339/'Data Checks'!B338),AO128*('Data Checks'!B338/'Data Checks'!B339))</f>
        <v>165.24955816372085</v>
      </c>
      <c r="AP129">
        <f>IF(AK128="BUY",AP128*('Data Checks'!C339/'Data Checks'!C338),AP128*('Data Checks'!C338/'Data Checks'!C339))</f>
        <v>119.83744271875661</v>
      </c>
      <c r="AQ129">
        <f>IF(AL128="BUY",AQ128*('Data Checks'!D339/'Data Checks'!D338),AQ128*('Data Checks'!D338/'Data Checks'!D339))</f>
        <v>310.47375347823117</v>
      </c>
      <c r="AR129">
        <f>IF(AM128="BUY",AR128*('Data Checks'!E339/'Data Checks'!E338),AR128*('Data Checks'!E338/'Data Checks'!E339))</f>
        <v>111.95178399893591</v>
      </c>
      <c r="AS129">
        <f>IF(AN128="BUY",AS128*('Data Checks'!F339/'Data Checks'!F338),AS128*('Data Checks'!F338/'Data Checks'!F339))</f>
        <v>195.0681108633307</v>
      </c>
      <c r="AT129" s="16">
        <f t="shared" si="20"/>
        <v>902.58064922297524</v>
      </c>
      <c r="AU129" s="17">
        <f t="shared" si="24"/>
        <v>2.5797933452973432E-3</v>
      </c>
    </row>
    <row r="130" spans="1:47" x14ac:dyDescent="0.35">
      <c r="A130" s="2">
        <f>Prices!A338</f>
        <v>44377</v>
      </c>
      <c r="B130">
        <f>B129*('Data Checks'!B340/'Data Checks'!B339)</f>
        <v>290.70658779086233</v>
      </c>
      <c r="C130">
        <f>C129*('Data Checks'!C340/'Data Checks'!C339)</f>
        <v>118.51664004360286</v>
      </c>
      <c r="D130">
        <f>D129*('Data Checks'!D340/'Data Checks'!D339)</f>
        <v>187.61062260161324</v>
      </c>
      <c r="E130">
        <f>E129*('Data Checks'!E340/'Data Checks'!E339)</f>
        <v>109.44090360090713</v>
      </c>
      <c r="F130">
        <f>F129*('Data Checks'!F340/'Data Checks'!F339)</f>
        <v>130.32903762988619</v>
      </c>
      <c r="G130" s="16">
        <f t="shared" si="17"/>
        <v>836.60379166687187</v>
      </c>
      <c r="H130" s="17">
        <f t="shared" si="21"/>
        <v>7.5403130820022035E-3</v>
      </c>
      <c r="J130" t="str">
        <f>IF(AND('Data Checks'!B340&gt;'Data Checks'!B339,'Data Checks'!B339&gt;'Data Checks'!B338,'Data Checks'!B338&gt;'Data Checks'!B337),"SELL",IF(AND('Data Checks'!B340&lt;'Data Checks'!B339,'Data Checks'!B339&lt;'Data Checks'!B338,'Data Checks'!B338&lt;'Data Checks'!B337),"BUY",""))</f>
        <v/>
      </c>
      <c r="K130" t="str">
        <f>IF(AND('Data Checks'!C340&gt;'Data Checks'!C339,'Data Checks'!C339&gt;'Data Checks'!C338,'Data Checks'!C338&gt;'Data Checks'!C337),"SELL",IF(AND('Data Checks'!C340&lt;'Data Checks'!C339,'Data Checks'!C339&lt;'Data Checks'!C338,'Data Checks'!C338&lt;'Data Checks'!C337),"BUY",""))</f>
        <v/>
      </c>
      <c r="L130" t="str">
        <f>IF(AND('Data Checks'!D340&gt;'Data Checks'!D339,'Data Checks'!D339&gt;'Data Checks'!D338,'Data Checks'!D338&gt;'Data Checks'!D337),"SELL",IF(AND('Data Checks'!D340&lt;'Data Checks'!D339,'Data Checks'!D339&lt;'Data Checks'!D338,'Data Checks'!D338&lt;'Data Checks'!D337),"BUY",""))</f>
        <v/>
      </c>
      <c r="M130" t="str">
        <f>IF(AND('Data Checks'!E340&gt;'Data Checks'!E339,'Data Checks'!E339&gt;'Data Checks'!E338,'Data Checks'!E338&gt;'Data Checks'!E337),"SELL",IF(AND('Data Checks'!E340&lt;'Data Checks'!E339,'Data Checks'!E339&lt;'Data Checks'!E338,'Data Checks'!E338&lt;'Data Checks'!E337),"BUY",""))</f>
        <v/>
      </c>
      <c r="N130" t="str">
        <f>IF(AND('Data Checks'!F340&gt;'Data Checks'!F339,'Data Checks'!F339&gt;'Data Checks'!F338,'Data Checks'!F338&gt;'Data Checks'!F337),"SELL",IF(AND('Data Checks'!F340&lt;'Data Checks'!F339,'Data Checks'!F339&lt;'Data Checks'!F338,'Data Checks'!F338&lt;'Data Checks'!F337),"BUY",""))</f>
        <v/>
      </c>
      <c r="O130">
        <f>IF(J129="BUY",O129*('Data Checks'!B340/'Data Checks'!B339),IF(J129="SELL",O129*('Data Checks'!B339/'Data Checks'!B340),O129))</f>
        <v>187.49274255214598</v>
      </c>
      <c r="P130">
        <f>IF(K129="BUY",P129*('Data Checks'!C340/'Data Checks'!C339),IF(K129="SELL",P129*('Data Checks'!C339/'Data Checks'!C340),P129))</f>
        <v>209.19224359482968</v>
      </c>
      <c r="Q130">
        <f>IF(L129="BUY",Q129*('Data Checks'!D340/'Data Checks'!D339),IF(L129="SELL",Q129*('Data Checks'!D339/'Data Checks'!D340),Q129))</f>
        <v>259.50547442296795</v>
      </c>
      <c r="R130">
        <f>IF(M129="BUY",R129*('Data Checks'!E340/'Data Checks'!E339),IF(M129="SELL",R129*('Data Checks'!E339/'Data Checks'!E340),R129))</f>
        <v>177.15800230927277</v>
      </c>
      <c r="S130">
        <f>IF(N129="BUY",S129*('Data Checks'!F340/'Data Checks'!F339),IF(N129="SELL",S129*('Data Checks'!F339/'Data Checks'!F340),S129))</f>
        <v>204.09607176388789</v>
      </c>
      <c r="T130" s="16">
        <f t="shared" si="18"/>
        <v>1037.4445346431044</v>
      </c>
      <c r="U130" s="17">
        <f t="shared" si="22"/>
        <v>0</v>
      </c>
      <c r="W130" t="str">
        <f>IF(AND('Data Checks'!B340&gt;'Data Checks'!B339,'Data Checks'!B339&gt;'Data Checks'!B338,'Data Checks'!B338&gt;'Data Checks'!B337),"BUY",IF(AND('Data Checks'!B340&lt;'Data Checks'!B339,'Data Checks'!B339&lt;'Data Checks'!B338,'Data Checks'!B338&lt;'Data Checks'!B337),"SELL",""))</f>
        <v/>
      </c>
      <c r="X130" t="str">
        <f>IF(AND('Data Checks'!C340&gt;'Data Checks'!C339,'Data Checks'!C339&gt;'Data Checks'!C338,'Data Checks'!C338&gt;'Data Checks'!C337),"BUY",IF(AND('Data Checks'!C340&lt;'Data Checks'!C339,'Data Checks'!C339&lt;'Data Checks'!C338,'Data Checks'!C338&lt;'Data Checks'!C337),"SELL",""))</f>
        <v/>
      </c>
      <c r="Y130" t="str">
        <f>IF(AND('Data Checks'!D340&gt;'Data Checks'!D339,'Data Checks'!D339&gt;'Data Checks'!D338,'Data Checks'!D338&gt;'Data Checks'!D337),"BUY",IF(AND('Data Checks'!D340&lt;'Data Checks'!D339,'Data Checks'!D339&lt;'Data Checks'!D338,'Data Checks'!D338&lt;'Data Checks'!D337),"SELL",""))</f>
        <v/>
      </c>
      <c r="Z130" t="str">
        <f>IF(AND('Data Checks'!E340&gt;'Data Checks'!E339,'Data Checks'!E339&gt;'Data Checks'!E338,'Data Checks'!E338&gt;'Data Checks'!E337),"BUY",IF(AND('Data Checks'!E340&lt;'Data Checks'!E339,'Data Checks'!E339&lt;'Data Checks'!E338,'Data Checks'!E338&lt;'Data Checks'!E337),"SELL",""))</f>
        <v/>
      </c>
      <c r="AA130" t="str">
        <f>IF(AND('Data Checks'!F340&gt;'Data Checks'!F339,'Data Checks'!F339&gt;'Data Checks'!F338,'Data Checks'!F338&gt;'Data Checks'!F337),"BUY",IF(AND('Data Checks'!F340&lt;'Data Checks'!F339,'Data Checks'!F339&lt;'Data Checks'!F338,'Data Checks'!F338&lt;'Data Checks'!F337),"SELL",""))</f>
        <v/>
      </c>
      <c r="AB130">
        <f>IF(W129="BUY",AB129*('Data Checks'!B340/'Data Checks'!B339),IF(W129="SELL",AB129*('Data Checks'!B339/'Data Checks'!B340),AB129))</f>
        <v>213.34159101585013</v>
      </c>
      <c r="AC130">
        <f>IF(X129="BUY",AC129*('Data Checks'!C340/'Data Checks'!C339),IF(X129="SELL",AC129*('Data Checks'!C339/'Data Checks'!C340),AC129))</f>
        <v>191.21167837117954</v>
      </c>
      <c r="AD130">
        <f>IF(Y129="BUY",AD129*('Data Checks'!D340/'Data Checks'!D339),IF(Y129="SELL",AD129*('Data Checks'!D339/'Data Checks'!D340),AD129))</f>
        <v>154.13933015842281</v>
      </c>
      <c r="AE130">
        <f>IF(Z129="BUY",AE129*('Data Checks'!E340/'Data Checks'!E339),IF(Z129="SELL",AE129*('Data Checks'!E339/'Data Checks'!E340),AE129))</f>
        <v>225.78714751010889</v>
      </c>
      <c r="AF130">
        <f>IF(AA129="BUY",AF129*('Data Checks'!F340/'Data Checks'!F339),IF(AA129="SELL",AF129*('Data Checks'!F339/'Data Checks'!F340),AF129))</f>
        <v>195.98613365902852</v>
      </c>
      <c r="AG130" s="16">
        <f t="shared" si="19"/>
        <v>980.46588071458984</v>
      </c>
      <c r="AH130" s="17">
        <f t="shared" si="23"/>
        <v>0</v>
      </c>
      <c r="AJ130" t="str">
        <f>IF('Moving Ave'!G340&gt;'Moving Ave'!L340,"SELL","BUY")</f>
        <v>SELL</v>
      </c>
      <c r="AK130" t="str">
        <f>IF('Moving Ave'!H340&gt;'Moving Ave'!M340,"SELL","BUY")</f>
        <v>BUY</v>
      </c>
      <c r="AL130" t="str">
        <f>IF('Moving Ave'!I340&gt;'Moving Ave'!N340,"SELL","BUY")</f>
        <v>BUY</v>
      </c>
      <c r="AM130" t="str">
        <f>IF('Moving Ave'!J340&gt;'Moving Ave'!O340,"SELL","BUY")</f>
        <v>BUY</v>
      </c>
      <c r="AN130" t="str">
        <f>IF('Moving Ave'!K340&gt;'Moving Ave'!P340,"SELL","BUY")</f>
        <v>BUY</v>
      </c>
      <c r="AO130">
        <f>IF(AJ129="BUY",AO129*('Data Checks'!B340/'Data Checks'!B339),AO129*('Data Checks'!B339/'Data Checks'!B340))</f>
        <v>160.55109809962272</v>
      </c>
      <c r="AP130">
        <f>IF(AK129="BUY",AP129*('Data Checks'!C340/'Data Checks'!C339),AP129*('Data Checks'!C339/'Data Checks'!C340))</f>
        <v>118.51664004360286</v>
      </c>
      <c r="AQ130">
        <f>IF(AL129="BUY",AQ129*('Data Checks'!D340/'Data Checks'!D339),AQ129*('Data Checks'!D339/'Data Checks'!D340))</f>
        <v>313.76894172345794</v>
      </c>
      <c r="AR130">
        <f>IF(AM129="BUY",AR129*('Data Checks'!E340/'Data Checks'!E339),AR129*('Data Checks'!E339/'Data Checks'!E340))</f>
        <v>109.44090360090713</v>
      </c>
      <c r="AS130">
        <f>IF(AN129="BUY",AS129*('Data Checks'!F340/'Data Checks'!F339),AS129*('Data Checks'!F339/'Data Checks'!F340))</f>
        <v>194.85420756215532</v>
      </c>
      <c r="AT130" s="16">
        <f t="shared" si="20"/>
        <v>897.13179102974607</v>
      </c>
      <c r="AU130" s="17">
        <f t="shared" si="24"/>
        <v>-6.0369765271613973E-3</v>
      </c>
    </row>
    <row r="131" spans="1:47" x14ac:dyDescent="0.35">
      <c r="A131" s="2">
        <f>Prices!A339</f>
        <v>44378</v>
      </c>
      <c r="B131">
        <f>B130*('Data Checks'!B341/'Data Checks'!B340)</f>
        <v>303.33875330826129</v>
      </c>
      <c r="C131">
        <f>C130*('Data Checks'!C341/'Data Checks'!C340)</f>
        <v>117.85624378603629</v>
      </c>
      <c r="D131">
        <f>D130*('Data Checks'!D341/'Data Checks'!D340)</f>
        <v>186.94273145671607</v>
      </c>
      <c r="E131">
        <f>E130*('Data Checks'!E341/'Data Checks'!E340)</f>
        <v>109.70873419120407</v>
      </c>
      <c r="F131">
        <f>F130*('Data Checks'!F341/'Data Checks'!F340)</f>
        <v>132.90415640778488</v>
      </c>
      <c r="G131" s="16">
        <f t="shared" si="17"/>
        <v>850.75061915000254</v>
      </c>
      <c r="H131" s="17">
        <f t="shared" si="21"/>
        <v>1.6909829508355623E-2</v>
      </c>
      <c r="J131" t="str">
        <f>IF(AND('Data Checks'!B341&gt;'Data Checks'!B340,'Data Checks'!B340&gt;'Data Checks'!B339,'Data Checks'!B339&gt;'Data Checks'!B338),"SELL",IF(AND('Data Checks'!B341&lt;'Data Checks'!B340,'Data Checks'!B340&lt;'Data Checks'!B339,'Data Checks'!B339&lt;'Data Checks'!B338),"BUY",""))</f>
        <v/>
      </c>
      <c r="K131" t="str">
        <f>IF(AND('Data Checks'!C341&gt;'Data Checks'!C340,'Data Checks'!C340&gt;'Data Checks'!C339,'Data Checks'!C339&gt;'Data Checks'!C338),"SELL",IF(AND('Data Checks'!C341&lt;'Data Checks'!C340,'Data Checks'!C340&lt;'Data Checks'!C339,'Data Checks'!C339&lt;'Data Checks'!C338),"BUY",""))</f>
        <v/>
      </c>
      <c r="L131" t="str">
        <f>IF(AND('Data Checks'!D341&gt;'Data Checks'!D340,'Data Checks'!D340&gt;'Data Checks'!D339,'Data Checks'!D339&gt;'Data Checks'!D338),"SELL",IF(AND('Data Checks'!D341&lt;'Data Checks'!D340,'Data Checks'!D340&lt;'Data Checks'!D339,'Data Checks'!D339&lt;'Data Checks'!D338),"BUY",""))</f>
        <v/>
      </c>
      <c r="M131" t="str">
        <f>IF(AND('Data Checks'!E341&gt;'Data Checks'!E340,'Data Checks'!E340&gt;'Data Checks'!E339,'Data Checks'!E339&gt;'Data Checks'!E338),"SELL",IF(AND('Data Checks'!E341&lt;'Data Checks'!E340,'Data Checks'!E340&lt;'Data Checks'!E339,'Data Checks'!E339&lt;'Data Checks'!E338),"BUY",""))</f>
        <v/>
      </c>
      <c r="N131" t="str">
        <f>IF(AND('Data Checks'!F341&gt;'Data Checks'!F340,'Data Checks'!F340&gt;'Data Checks'!F339,'Data Checks'!F339&gt;'Data Checks'!F338),"SELL",IF(AND('Data Checks'!F341&lt;'Data Checks'!F340,'Data Checks'!F340&lt;'Data Checks'!F339,'Data Checks'!F339&lt;'Data Checks'!F338),"BUY",""))</f>
        <v/>
      </c>
      <c r="O131">
        <f>IF(J130="BUY",O130*('Data Checks'!B341/'Data Checks'!B340),IF(J130="SELL",O130*('Data Checks'!B340/'Data Checks'!B341),O130))</f>
        <v>187.49274255214598</v>
      </c>
      <c r="P131">
        <f>IF(K130="BUY",P130*('Data Checks'!C341/'Data Checks'!C340),IF(K130="SELL",P130*('Data Checks'!C340/'Data Checks'!C341),P130))</f>
        <v>209.19224359482968</v>
      </c>
      <c r="Q131">
        <f>IF(L130="BUY",Q130*('Data Checks'!D341/'Data Checks'!D340),IF(L130="SELL",Q130*('Data Checks'!D340/'Data Checks'!D341),Q130))</f>
        <v>259.50547442296795</v>
      </c>
      <c r="R131">
        <f>IF(M130="BUY",R130*('Data Checks'!E341/'Data Checks'!E340),IF(M130="SELL",R130*('Data Checks'!E340/'Data Checks'!E341),R130))</f>
        <v>177.15800230927277</v>
      </c>
      <c r="S131">
        <f>IF(N130="BUY",S130*('Data Checks'!F341/'Data Checks'!F340),IF(N130="SELL",S130*('Data Checks'!F340/'Data Checks'!F341),S130))</f>
        <v>204.09607176388789</v>
      </c>
      <c r="T131" s="16">
        <f t="shared" si="18"/>
        <v>1037.4445346431044</v>
      </c>
      <c r="U131" s="17">
        <f t="shared" si="22"/>
        <v>0</v>
      </c>
      <c r="W131" t="str">
        <f>IF(AND('Data Checks'!B341&gt;'Data Checks'!B340,'Data Checks'!B340&gt;'Data Checks'!B339,'Data Checks'!B339&gt;'Data Checks'!B338),"BUY",IF(AND('Data Checks'!B341&lt;'Data Checks'!B340,'Data Checks'!B340&lt;'Data Checks'!B339,'Data Checks'!B339&lt;'Data Checks'!B338),"SELL",""))</f>
        <v/>
      </c>
      <c r="X131" t="str">
        <f>IF(AND('Data Checks'!C341&gt;'Data Checks'!C340,'Data Checks'!C340&gt;'Data Checks'!C339,'Data Checks'!C339&gt;'Data Checks'!C338),"BUY",IF(AND('Data Checks'!C341&lt;'Data Checks'!C340,'Data Checks'!C340&lt;'Data Checks'!C339,'Data Checks'!C339&lt;'Data Checks'!C338),"SELL",""))</f>
        <v/>
      </c>
      <c r="Y131" t="str">
        <f>IF(AND('Data Checks'!D341&gt;'Data Checks'!D340,'Data Checks'!D340&gt;'Data Checks'!D339,'Data Checks'!D339&gt;'Data Checks'!D338),"BUY",IF(AND('Data Checks'!D341&lt;'Data Checks'!D340,'Data Checks'!D340&lt;'Data Checks'!D339,'Data Checks'!D339&lt;'Data Checks'!D338),"SELL",""))</f>
        <v/>
      </c>
      <c r="Z131" t="str">
        <f>IF(AND('Data Checks'!E341&gt;'Data Checks'!E340,'Data Checks'!E340&gt;'Data Checks'!E339,'Data Checks'!E339&gt;'Data Checks'!E338),"BUY",IF(AND('Data Checks'!E341&lt;'Data Checks'!E340,'Data Checks'!E340&lt;'Data Checks'!E339,'Data Checks'!E339&lt;'Data Checks'!E338),"SELL",""))</f>
        <v/>
      </c>
      <c r="AA131" t="str">
        <f>IF(AND('Data Checks'!F341&gt;'Data Checks'!F340,'Data Checks'!F340&gt;'Data Checks'!F339,'Data Checks'!F339&gt;'Data Checks'!F338),"BUY",IF(AND('Data Checks'!F341&lt;'Data Checks'!F340,'Data Checks'!F340&lt;'Data Checks'!F339,'Data Checks'!F339&lt;'Data Checks'!F338),"SELL",""))</f>
        <v/>
      </c>
      <c r="AB131">
        <f>IF(W130="BUY",AB130*('Data Checks'!B341/'Data Checks'!B340),IF(W130="SELL",AB130*('Data Checks'!B340/'Data Checks'!B341),AB130))</f>
        <v>213.34159101585013</v>
      </c>
      <c r="AC131">
        <f>IF(X130="BUY",AC130*('Data Checks'!C341/'Data Checks'!C340),IF(X130="SELL",AC130*('Data Checks'!C340/'Data Checks'!C341),AC130))</f>
        <v>191.21167837117954</v>
      </c>
      <c r="AD131">
        <f>IF(Y130="BUY",AD130*('Data Checks'!D341/'Data Checks'!D340),IF(Y130="SELL",AD130*('Data Checks'!D340/'Data Checks'!D341),AD130))</f>
        <v>154.13933015842281</v>
      </c>
      <c r="AE131">
        <f>IF(Z130="BUY",AE130*('Data Checks'!E341/'Data Checks'!E340),IF(Z130="SELL",AE130*('Data Checks'!E340/'Data Checks'!E341),AE130))</f>
        <v>225.78714751010889</v>
      </c>
      <c r="AF131">
        <f>IF(AA130="BUY",AF130*('Data Checks'!F341/'Data Checks'!F340),IF(AA130="SELL",AF130*('Data Checks'!F340/'Data Checks'!F341),AF130))</f>
        <v>195.98613365902852</v>
      </c>
      <c r="AG131" s="16">
        <f t="shared" si="19"/>
        <v>980.46588071458984</v>
      </c>
      <c r="AH131" s="17">
        <f t="shared" si="23"/>
        <v>0</v>
      </c>
      <c r="AJ131" t="str">
        <f>IF('Moving Ave'!G341&gt;'Moving Ave'!L341,"SELL","BUY")</f>
        <v>SELL</v>
      </c>
      <c r="AK131" t="str">
        <f>IF('Moving Ave'!H341&gt;'Moving Ave'!M341,"SELL","BUY")</f>
        <v>BUY</v>
      </c>
      <c r="AL131" t="str">
        <f>IF('Moving Ave'!I341&gt;'Moving Ave'!N341,"SELL","BUY")</f>
        <v>BUY</v>
      </c>
      <c r="AM131" t="str">
        <f>IF('Moving Ave'!J341&gt;'Moving Ave'!O341,"SELL","BUY")</f>
        <v>BUY</v>
      </c>
      <c r="AN131" t="str">
        <f>IF('Moving Ave'!K341&gt;'Moving Ave'!P341,"SELL","BUY")</f>
        <v>BUY</v>
      </c>
      <c r="AO131">
        <f>IF(AJ130="BUY",AO130*('Data Checks'!B341/'Data Checks'!B340),AO130*('Data Checks'!B340/'Data Checks'!B341))</f>
        <v>153.86514708586097</v>
      </c>
      <c r="AP131">
        <f>IF(AK130="BUY",AP130*('Data Checks'!C341/'Data Checks'!C340),AP130*('Data Checks'!C340/'Data Checks'!C341))</f>
        <v>117.85624378603629</v>
      </c>
      <c r="AQ131">
        <f>IF(AL130="BUY",AQ130*('Data Checks'!D341/'Data Checks'!D340),AQ130*('Data Checks'!D340/'Data Checks'!D341))</f>
        <v>312.65192875897429</v>
      </c>
      <c r="AR131">
        <f>IF(AM130="BUY",AR130*('Data Checks'!E341/'Data Checks'!E340),AR130*('Data Checks'!E340/'Data Checks'!E341))</f>
        <v>109.70873419120407</v>
      </c>
      <c r="AS131">
        <f>IF(AN130="BUY",AS130*('Data Checks'!F341/'Data Checks'!F340),AS130*('Data Checks'!F340/'Data Checks'!F341))</f>
        <v>198.70425309284383</v>
      </c>
      <c r="AT131" s="16">
        <f t="shared" si="20"/>
        <v>892.78630691491935</v>
      </c>
      <c r="AU131" s="17">
        <f t="shared" si="24"/>
        <v>-4.8437522315856185E-3</v>
      </c>
    </row>
    <row r="132" spans="1:47" x14ac:dyDescent="0.35">
      <c r="A132" s="2">
        <f>Prices!A340</f>
        <v>44379</v>
      </c>
      <c r="B132">
        <f>B131*('Data Checks'!B342/'Data Checks'!B341)</f>
        <v>304.56109649284753</v>
      </c>
      <c r="C132">
        <f>C131*('Data Checks'!C342/'Data Checks'!C341)</f>
        <v>123.24104961242202</v>
      </c>
      <c r="D132">
        <f>D131*('Data Checks'!D342/'Data Checks'!D341)</f>
        <v>187.97796607076239</v>
      </c>
      <c r="E132">
        <f>E131*('Data Checks'!E342/'Data Checks'!E341)</f>
        <v>110.14396015587677</v>
      </c>
      <c r="F132">
        <f>F131*('Data Checks'!F342/'Data Checks'!F341)</f>
        <v>130.42441769801275</v>
      </c>
      <c r="G132" s="16">
        <f t="shared" si="17"/>
        <v>856.34849002992155</v>
      </c>
      <c r="H132" s="17">
        <f t="shared" si="21"/>
        <v>6.5799198424467686E-3</v>
      </c>
      <c r="J132" t="str">
        <f>IF(AND('Data Checks'!B342&gt;'Data Checks'!B341,'Data Checks'!B341&gt;'Data Checks'!B340,'Data Checks'!B340&gt;'Data Checks'!B339),"SELL",IF(AND('Data Checks'!B342&lt;'Data Checks'!B341,'Data Checks'!B341&lt;'Data Checks'!B340,'Data Checks'!B340&lt;'Data Checks'!B339),"BUY",""))</f>
        <v>SELL</v>
      </c>
      <c r="K132" t="str">
        <f>IF(AND('Data Checks'!C342&gt;'Data Checks'!C341,'Data Checks'!C341&gt;'Data Checks'!C340,'Data Checks'!C340&gt;'Data Checks'!C339),"SELL",IF(AND('Data Checks'!C342&lt;'Data Checks'!C341,'Data Checks'!C341&lt;'Data Checks'!C340,'Data Checks'!C340&lt;'Data Checks'!C339),"BUY",""))</f>
        <v/>
      </c>
      <c r="L132" t="str">
        <f>IF(AND('Data Checks'!D342&gt;'Data Checks'!D341,'Data Checks'!D341&gt;'Data Checks'!D340,'Data Checks'!D340&gt;'Data Checks'!D339),"SELL",IF(AND('Data Checks'!D342&lt;'Data Checks'!D341,'Data Checks'!D341&lt;'Data Checks'!D340,'Data Checks'!D340&lt;'Data Checks'!D339),"BUY",""))</f>
        <v/>
      </c>
      <c r="M132" t="str">
        <f>IF(AND('Data Checks'!E342&gt;'Data Checks'!E341,'Data Checks'!E341&gt;'Data Checks'!E340,'Data Checks'!E340&gt;'Data Checks'!E339),"SELL",IF(AND('Data Checks'!E342&lt;'Data Checks'!E341,'Data Checks'!E341&lt;'Data Checks'!E340,'Data Checks'!E340&lt;'Data Checks'!E339),"BUY",""))</f>
        <v/>
      </c>
      <c r="N132" t="str">
        <f>IF(AND('Data Checks'!F342&gt;'Data Checks'!F341,'Data Checks'!F341&gt;'Data Checks'!F340,'Data Checks'!F340&gt;'Data Checks'!F339),"SELL",IF(AND('Data Checks'!F342&lt;'Data Checks'!F341,'Data Checks'!F341&lt;'Data Checks'!F340,'Data Checks'!F340&lt;'Data Checks'!F339),"BUY",""))</f>
        <v/>
      </c>
      <c r="O132">
        <f>IF(J131="BUY",O131*('Data Checks'!B342/'Data Checks'!B341),IF(J131="SELL",O131*('Data Checks'!B341/'Data Checks'!B342),O131))</f>
        <v>187.49274255214598</v>
      </c>
      <c r="P132">
        <f>IF(K131="BUY",P131*('Data Checks'!C342/'Data Checks'!C341),IF(K131="SELL",P131*('Data Checks'!C341/'Data Checks'!C342),P131))</f>
        <v>209.19224359482968</v>
      </c>
      <c r="Q132">
        <f>IF(L131="BUY",Q131*('Data Checks'!D342/'Data Checks'!D341),IF(L131="SELL",Q131*('Data Checks'!D341/'Data Checks'!D342),Q131))</f>
        <v>259.50547442296795</v>
      </c>
      <c r="R132">
        <f>IF(M131="BUY",R131*('Data Checks'!E342/'Data Checks'!E341),IF(M131="SELL",R131*('Data Checks'!E341/'Data Checks'!E342),R131))</f>
        <v>177.15800230927277</v>
      </c>
      <c r="S132">
        <f>IF(N131="BUY",S131*('Data Checks'!F342/'Data Checks'!F341),IF(N131="SELL",S131*('Data Checks'!F341/'Data Checks'!F342),S131))</f>
        <v>204.09607176388789</v>
      </c>
      <c r="T132" s="16">
        <f t="shared" si="18"/>
        <v>1037.4445346431044</v>
      </c>
      <c r="U132" s="17">
        <f t="shared" si="22"/>
        <v>0</v>
      </c>
      <c r="W132" t="str">
        <f>IF(AND('Data Checks'!B342&gt;'Data Checks'!B341,'Data Checks'!B341&gt;'Data Checks'!B340,'Data Checks'!B340&gt;'Data Checks'!B339),"BUY",IF(AND('Data Checks'!B342&lt;'Data Checks'!B341,'Data Checks'!B341&lt;'Data Checks'!B340,'Data Checks'!B340&lt;'Data Checks'!B339),"SELL",""))</f>
        <v>BUY</v>
      </c>
      <c r="X132" t="str">
        <f>IF(AND('Data Checks'!C342&gt;'Data Checks'!C341,'Data Checks'!C341&gt;'Data Checks'!C340,'Data Checks'!C340&gt;'Data Checks'!C339),"BUY",IF(AND('Data Checks'!C342&lt;'Data Checks'!C341,'Data Checks'!C341&lt;'Data Checks'!C340,'Data Checks'!C340&lt;'Data Checks'!C339),"SELL",""))</f>
        <v/>
      </c>
      <c r="Y132" t="str">
        <f>IF(AND('Data Checks'!D342&gt;'Data Checks'!D341,'Data Checks'!D341&gt;'Data Checks'!D340,'Data Checks'!D340&gt;'Data Checks'!D339),"BUY",IF(AND('Data Checks'!D342&lt;'Data Checks'!D341,'Data Checks'!D341&lt;'Data Checks'!D340,'Data Checks'!D340&lt;'Data Checks'!D339),"SELL",""))</f>
        <v/>
      </c>
      <c r="Z132" t="str">
        <f>IF(AND('Data Checks'!E342&gt;'Data Checks'!E341,'Data Checks'!E341&gt;'Data Checks'!E340,'Data Checks'!E340&gt;'Data Checks'!E339),"BUY",IF(AND('Data Checks'!E342&lt;'Data Checks'!E341,'Data Checks'!E341&lt;'Data Checks'!E340,'Data Checks'!E340&lt;'Data Checks'!E339),"SELL",""))</f>
        <v/>
      </c>
      <c r="AA132" t="str">
        <f>IF(AND('Data Checks'!F342&gt;'Data Checks'!F341,'Data Checks'!F341&gt;'Data Checks'!F340,'Data Checks'!F340&gt;'Data Checks'!F339),"BUY",IF(AND('Data Checks'!F342&lt;'Data Checks'!F341,'Data Checks'!F341&lt;'Data Checks'!F340,'Data Checks'!F340&lt;'Data Checks'!F339),"SELL",""))</f>
        <v/>
      </c>
      <c r="AB132">
        <f>IF(W131="BUY",AB131*('Data Checks'!B342/'Data Checks'!B341),IF(W131="SELL",AB131*('Data Checks'!B341/'Data Checks'!B342),AB131))</f>
        <v>213.34159101585013</v>
      </c>
      <c r="AC132">
        <f>IF(X131="BUY",AC131*('Data Checks'!C342/'Data Checks'!C341),IF(X131="SELL",AC131*('Data Checks'!C341/'Data Checks'!C342),AC131))</f>
        <v>191.21167837117954</v>
      </c>
      <c r="AD132">
        <f>IF(Y131="BUY",AD131*('Data Checks'!D342/'Data Checks'!D341),IF(Y131="SELL",AD131*('Data Checks'!D341/'Data Checks'!D342),AD131))</f>
        <v>154.13933015842281</v>
      </c>
      <c r="AE132">
        <f>IF(Z131="BUY",AE131*('Data Checks'!E342/'Data Checks'!E341),IF(Z131="SELL",AE131*('Data Checks'!E341/'Data Checks'!E342),AE131))</f>
        <v>225.78714751010889</v>
      </c>
      <c r="AF132">
        <f>IF(AA131="BUY",AF131*('Data Checks'!F342/'Data Checks'!F341),IF(AA131="SELL",AF131*('Data Checks'!F341/'Data Checks'!F342),AF131))</f>
        <v>195.98613365902852</v>
      </c>
      <c r="AG132" s="16">
        <f t="shared" si="19"/>
        <v>980.46588071458984</v>
      </c>
      <c r="AH132" s="17">
        <f t="shared" si="23"/>
        <v>0</v>
      </c>
      <c r="AJ132" t="str">
        <f>IF('Moving Ave'!G342&gt;'Moving Ave'!L342,"SELL","BUY")</f>
        <v>SELL</v>
      </c>
      <c r="AK132" t="str">
        <f>IF('Moving Ave'!H342&gt;'Moving Ave'!M342,"SELL","BUY")</f>
        <v>BUY</v>
      </c>
      <c r="AL132" t="str">
        <f>IF('Moving Ave'!I342&gt;'Moving Ave'!N342,"SELL","BUY")</f>
        <v>BUY</v>
      </c>
      <c r="AM132" t="str">
        <f>IF('Moving Ave'!J342&gt;'Moving Ave'!O342,"SELL","BUY")</f>
        <v>BUY</v>
      </c>
      <c r="AN132" t="str">
        <f>IF('Moving Ave'!K342&gt;'Moving Ave'!P342,"SELL","BUY")</f>
        <v>BUY</v>
      </c>
      <c r="AO132">
        <f>IF(AJ131="BUY",AO131*('Data Checks'!B342/'Data Checks'!B341),AO131*('Data Checks'!B341/'Data Checks'!B342))</f>
        <v>153.24761577259892</v>
      </c>
      <c r="AP132">
        <f>IF(AK131="BUY",AP131*('Data Checks'!C342/'Data Checks'!C341),AP131*('Data Checks'!C341/'Data Checks'!C342))</f>
        <v>123.24104961242202</v>
      </c>
      <c r="AQ132">
        <f>IF(AL131="BUY",AQ131*('Data Checks'!D342/'Data Checks'!D341),AQ131*('Data Checks'!D341/'Data Checks'!D342))</f>
        <v>314.38330443898877</v>
      </c>
      <c r="AR132">
        <f>IF(AM131="BUY",AR131*('Data Checks'!E342/'Data Checks'!E341),AR131*('Data Checks'!E341/'Data Checks'!E342))</f>
        <v>110.14396015587677</v>
      </c>
      <c r="AS132">
        <f>IF(AN131="BUY",AS131*('Data Checks'!F342/'Data Checks'!F341),AS131*('Data Checks'!F341/'Data Checks'!F342))</f>
        <v>194.99680976293888</v>
      </c>
      <c r="AT132" s="16">
        <f t="shared" si="20"/>
        <v>896.01273974282549</v>
      </c>
      <c r="AU132" s="17">
        <f t="shared" si="24"/>
        <v>3.6138914798720112E-3</v>
      </c>
    </row>
    <row r="133" spans="1:47" x14ac:dyDescent="0.35">
      <c r="A133" s="2">
        <f>Prices!A341</f>
        <v>44383</v>
      </c>
      <c r="B133">
        <f>B132*('Data Checks'!B343/'Data Checks'!B342)</f>
        <v>322.13107653736796</v>
      </c>
      <c r="C133">
        <f>C132*('Data Checks'!C343/'Data Checks'!C342)</f>
        <v>130.25145873130464</v>
      </c>
      <c r="D133">
        <f>D132*('Data Checks'!D343/'Data Checks'!D342)</f>
        <v>190.18200684892307</v>
      </c>
      <c r="E133">
        <f>E132*('Data Checks'!E343/'Data Checks'!E342)</f>
        <v>111.985269099924</v>
      </c>
      <c r="F133">
        <f>F132*('Data Checks'!F343/'Data Checks'!F342)</f>
        <v>135.14544494724061</v>
      </c>
      <c r="G133" s="16">
        <f t="shared" si="17"/>
        <v>889.69525616476039</v>
      </c>
      <c r="H133" s="17">
        <f t="shared" si="21"/>
        <v>3.8940649190230658E-2</v>
      </c>
      <c r="J133" t="str">
        <f>IF(AND('Data Checks'!B343&gt;'Data Checks'!B342,'Data Checks'!B342&gt;'Data Checks'!B341,'Data Checks'!B341&gt;'Data Checks'!B340),"SELL",IF(AND('Data Checks'!B343&lt;'Data Checks'!B342,'Data Checks'!B342&lt;'Data Checks'!B341,'Data Checks'!B341&lt;'Data Checks'!B340),"BUY",""))</f>
        <v>SELL</v>
      </c>
      <c r="K133" t="str">
        <f>IF(AND('Data Checks'!C343&gt;'Data Checks'!C342,'Data Checks'!C342&gt;'Data Checks'!C341,'Data Checks'!C341&gt;'Data Checks'!C340),"SELL",IF(AND('Data Checks'!C343&lt;'Data Checks'!C342,'Data Checks'!C342&lt;'Data Checks'!C341,'Data Checks'!C341&lt;'Data Checks'!C340),"BUY",""))</f>
        <v/>
      </c>
      <c r="L133" t="str">
        <f>IF(AND('Data Checks'!D343&gt;'Data Checks'!D342,'Data Checks'!D342&gt;'Data Checks'!D341,'Data Checks'!D341&gt;'Data Checks'!D340),"SELL",IF(AND('Data Checks'!D343&lt;'Data Checks'!D342,'Data Checks'!D342&lt;'Data Checks'!D341,'Data Checks'!D341&lt;'Data Checks'!D340),"BUY",""))</f>
        <v/>
      </c>
      <c r="M133" t="str">
        <f>IF(AND('Data Checks'!E343&gt;'Data Checks'!E342,'Data Checks'!E342&gt;'Data Checks'!E341,'Data Checks'!E341&gt;'Data Checks'!E340),"SELL",IF(AND('Data Checks'!E343&lt;'Data Checks'!E342,'Data Checks'!E342&lt;'Data Checks'!E341,'Data Checks'!E341&lt;'Data Checks'!E340),"BUY",""))</f>
        <v>SELL</v>
      </c>
      <c r="N133" t="str">
        <f>IF(AND('Data Checks'!F343&gt;'Data Checks'!F342,'Data Checks'!F342&gt;'Data Checks'!F341,'Data Checks'!F341&gt;'Data Checks'!F340),"SELL",IF(AND('Data Checks'!F343&lt;'Data Checks'!F342,'Data Checks'!F342&lt;'Data Checks'!F341,'Data Checks'!F341&lt;'Data Checks'!F340),"BUY",""))</f>
        <v/>
      </c>
      <c r="O133">
        <f>IF(J132="BUY",O132*('Data Checks'!B343/'Data Checks'!B342),IF(J132="SELL",O132*('Data Checks'!B342/'Data Checks'!B343),O132))</f>
        <v>177.26633477881379</v>
      </c>
      <c r="P133">
        <f>IF(K132="BUY",P132*('Data Checks'!C343/'Data Checks'!C342),IF(K132="SELL",P132*('Data Checks'!C342/'Data Checks'!C343),P132))</f>
        <v>209.19224359482968</v>
      </c>
      <c r="Q133">
        <f>IF(L132="BUY",Q132*('Data Checks'!D343/'Data Checks'!D342),IF(L132="SELL",Q132*('Data Checks'!D342/'Data Checks'!D343),Q132))</f>
        <v>259.50547442296795</v>
      </c>
      <c r="R133">
        <f>IF(M132="BUY",R132*('Data Checks'!E343/'Data Checks'!E342),IF(M132="SELL",R132*('Data Checks'!E342/'Data Checks'!E343),R132))</f>
        <v>177.15800230927277</v>
      </c>
      <c r="S133">
        <f>IF(N132="BUY",S132*('Data Checks'!F343/'Data Checks'!F342),IF(N132="SELL",S132*('Data Checks'!F342/'Data Checks'!F343),S132))</f>
        <v>204.09607176388789</v>
      </c>
      <c r="T133" s="16">
        <f t="shared" si="18"/>
        <v>1027.218126869772</v>
      </c>
      <c r="U133" s="17">
        <f t="shared" si="22"/>
        <v>-9.8573055540268628E-3</v>
      </c>
      <c r="W133" t="str">
        <f>IF(AND('Data Checks'!B343&gt;'Data Checks'!B342,'Data Checks'!B342&gt;'Data Checks'!B341,'Data Checks'!B341&gt;'Data Checks'!B340),"BUY",IF(AND('Data Checks'!B343&lt;'Data Checks'!B342,'Data Checks'!B342&lt;'Data Checks'!B341,'Data Checks'!B341&lt;'Data Checks'!B340),"SELL",""))</f>
        <v>BUY</v>
      </c>
      <c r="X133" t="str">
        <f>IF(AND('Data Checks'!C343&gt;'Data Checks'!C342,'Data Checks'!C342&gt;'Data Checks'!C341,'Data Checks'!C341&gt;'Data Checks'!C340),"BUY",IF(AND('Data Checks'!C343&lt;'Data Checks'!C342,'Data Checks'!C342&lt;'Data Checks'!C341,'Data Checks'!C341&lt;'Data Checks'!C340),"SELL",""))</f>
        <v/>
      </c>
      <c r="Y133" t="str">
        <f>IF(AND('Data Checks'!D343&gt;'Data Checks'!D342,'Data Checks'!D342&gt;'Data Checks'!D341,'Data Checks'!D341&gt;'Data Checks'!D340),"BUY",IF(AND('Data Checks'!D343&lt;'Data Checks'!D342,'Data Checks'!D342&lt;'Data Checks'!D341,'Data Checks'!D341&lt;'Data Checks'!D340),"SELL",""))</f>
        <v/>
      </c>
      <c r="Z133" t="str">
        <f>IF(AND('Data Checks'!E343&gt;'Data Checks'!E342,'Data Checks'!E342&gt;'Data Checks'!E341,'Data Checks'!E341&gt;'Data Checks'!E340),"BUY",IF(AND('Data Checks'!E343&lt;'Data Checks'!E342,'Data Checks'!E342&lt;'Data Checks'!E341,'Data Checks'!E341&lt;'Data Checks'!E340),"SELL",""))</f>
        <v>BUY</v>
      </c>
      <c r="AA133" t="str">
        <f>IF(AND('Data Checks'!F343&gt;'Data Checks'!F342,'Data Checks'!F342&gt;'Data Checks'!F341,'Data Checks'!F341&gt;'Data Checks'!F340),"BUY",IF(AND('Data Checks'!F343&lt;'Data Checks'!F342,'Data Checks'!F342&lt;'Data Checks'!F341,'Data Checks'!F341&lt;'Data Checks'!F340),"SELL",""))</f>
        <v/>
      </c>
      <c r="AB133">
        <f>IF(W132="BUY",AB132*('Data Checks'!B343/'Data Checks'!B342),IF(W132="SELL",AB132*('Data Checks'!B342/'Data Checks'!B343),AB132))</f>
        <v>225.64916259994035</v>
      </c>
      <c r="AC133">
        <f>IF(X132="BUY",AC132*('Data Checks'!C343/'Data Checks'!C342),IF(X132="SELL",AC132*('Data Checks'!C342/'Data Checks'!C343),AC132))</f>
        <v>191.21167837117954</v>
      </c>
      <c r="AD133">
        <f>IF(Y132="BUY",AD132*('Data Checks'!D343/'Data Checks'!D342),IF(Y132="SELL",AD132*('Data Checks'!D342/'Data Checks'!D343),AD132))</f>
        <v>154.13933015842281</v>
      </c>
      <c r="AE133">
        <f>IF(Z132="BUY",AE132*('Data Checks'!E343/'Data Checks'!E342),IF(Z132="SELL",AE132*('Data Checks'!E342/'Data Checks'!E343),AE132))</f>
        <v>225.78714751010889</v>
      </c>
      <c r="AF133">
        <f>IF(AA132="BUY",AF132*('Data Checks'!F343/'Data Checks'!F342),IF(AA132="SELL",AF132*('Data Checks'!F342/'Data Checks'!F343),AF132))</f>
        <v>195.98613365902852</v>
      </c>
      <c r="AG133" s="16">
        <f t="shared" si="19"/>
        <v>992.77345229868001</v>
      </c>
      <c r="AH133" s="17">
        <f t="shared" si="23"/>
        <v>1.2552779067763309E-2</v>
      </c>
      <c r="AJ133" t="str">
        <f>IF('Moving Ave'!G343&gt;'Moving Ave'!L343,"SELL","BUY")</f>
        <v>SELL</v>
      </c>
      <c r="AK133" t="str">
        <f>IF('Moving Ave'!H343&gt;'Moving Ave'!M343,"SELL","BUY")</f>
        <v>BUY</v>
      </c>
      <c r="AL133" t="str">
        <f>IF('Moving Ave'!I343&gt;'Moving Ave'!N343,"SELL","BUY")</f>
        <v>SELL</v>
      </c>
      <c r="AM133" t="str">
        <f>IF('Moving Ave'!J343&gt;'Moving Ave'!O343,"SELL","BUY")</f>
        <v>BUY</v>
      </c>
      <c r="AN133" t="str">
        <f>IF('Moving Ave'!K343&gt;'Moving Ave'!P343,"SELL","BUY")</f>
        <v>BUY</v>
      </c>
      <c r="AO133">
        <f>IF(AJ132="BUY",AO132*('Data Checks'!B343/'Data Checks'!B342),AO132*('Data Checks'!B342/'Data Checks'!B343))</f>
        <v>144.88903832661768</v>
      </c>
      <c r="AP133">
        <f>IF(AK132="BUY",AP132*('Data Checks'!C343/'Data Checks'!C342),AP132*('Data Checks'!C342/'Data Checks'!C343))</f>
        <v>130.25145873130464</v>
      </c>
      <c r="AQ133">
        <f>IF(AL132="BUY",AQ132*('Data Checks'!D343/'Data Checks'!D342),AQ132*('Data Checks'!D342/'Data Checks'!D343))</f>
        <v>318.06944722178486</v>
      </c>
      <c r="AR133">
        <f>IF(AM132="BUY",AR132*('Data Checks'!E343/'Data Checks'!E342),AR132*('Data Checks'!E342/'Data Checks'!E343))</f>
        <v>111.985269099924</v>
      </c>
      <c r="AS133">
        <f>IF(AN132="BUY",AS132*('Data Checks'!F343/'Data Checks'!F342),AS132*('Data Checks'!F342/'Data Checks'!F343))</f>
        <v>202.05519092078981</v>
      </c>
      <c r="AT133" s="16">
        <f t="shared" si="20"/>
        <v>907.250404300421</v>
      </c>
      <c r="AU133" s="17">
        <f t="shared" si="24"/>
        <v>1.2541858010658435E-2</v>
      </c>
    </row>
    <row r="134" spans="1:47" x14ac:dyDescent="0.35">
      <c r="A134" s="2">
        <f>Prices!A342</f>
        <v>44384</v>
      </c>
      <c r="B134">
        <f>B133*('Data Checks'!B344/'Data Checks'!B343)</f>
        <v>316.13322387061623</v>
      </c>
      <c r="C134">
        <f>C133*('Data Checks'!C344/'Data Checks'!C343)</f>
        <v>124.96825311069998</v>
      </c>
      <c r="D134">
        <f>D133*('Data Checks'!D344/'Data Checks'!D343)</f>
        <v>190.04842528048789</v>
      </c>
      <c r="E134">
        <f>E133*('Data Checks'!E344/'Data Checks'!E343)</f>
        <v>109.24003986474587</v>
      </c>
      <c r="F134">
        <f>F133*('Data Checks'!F344/'Data Checks'!F343)</f>
        <v>135.86075253973428</v>
      </c>
      <c r="G134" s="16">
        <f t="shared" si="17"/>
        <v>876.25069466628429</v>
      </c>
      <c r="H134" s="17">
        <f t="shared" si="21"/>
        <v>-1.5111423159017479E-2</v>
      </c>
      <c r="J134" t="str">
        <f>IF(AND('Data Checks'!B344&gt;'Data Checks'!B343,'Data Checks'!B343&gt;'Data Checks'!B342,'Data Checks'!B342&gt;'Data Checks'!B341),"SELL",IF(AND('Data Checks'!B344&lt;'Data Checks'!B343,'Data Checks'!B343&lt;'Data Checks'!B342,'Data Checks'!B342&lt;'Data Checks'!B341),"BUY",""))</f>
        <v/>
      </c>
      <c r="K134" t="str">
        <f>IF(AND('Data Checks'!C344&gt;'Data Checks'!C343,'Data Checks'!C343&gt;'Data Checks'!C342,'Data Checks'!C342&gt;'Data Checks'!C341),"SELL",IF(AND('Data Checks'!C344&lt;'Data Checks'!C343,'Data Checks'!C343&lt;'Data Checks'!C342,'Data Checks'!C342&lt;'Data Checks'!C341),"BUY",""))</f>
        <v/>
      </c>
      <c r="L134" t="str">
        <f>IF(AND('Data Checks'!D344&gt;'Data Checks'!D343,'Data Checks'!D343&gt;'Data Checks'!D342,'Data Checks'!D342&gt;'Data Checks'!D341),"SELL",IF(AND('Data Checks'!D344&lt;'Data Checks'!D343,'Data Checks'!D343&lt;'Data Checks'!D342,'Data Checks'!D342&lt;'Data Checks'!D341),"BUY",""))</f>
        <v/>
      </c>
      <c r="M134" t="str">
        <f>IF(AND('Data Checks'!E344&gt;'Data Checks'!E343,'Data Checks'!E343&gt;'Data Checks'!E342,'Data Checks'!E342&gt;'Data Checks'!E341),"SELL",IF(AND('Data Checks'!E344&lt;'Data Checks'!E343,'Data Checks'!E343&lt;'Data Checks'!E342,'Data Checks'!E342&lt;'Data Checks'!E341),"BUY",""))</f>
        <v/>
      </c>
      <c r="N134" t="str">
        <f>IF(AND('Data Checks'!F344&gt;'Data Checks'!F343,'Data Checks'!F343&gt;'Data Checks'!F342,'Data Checks'!F342&gt;'Data Checks'!F341),"SELL",IF(AND('Data Checks'!F344&lt;'Data Checks'!F343,'Data Checks'!F343&lt;'Data Checks'!F342,'Data Checks'!F342&lt;'Data Checks'!F341),"BUY",""))</f>
        <v/>
      </c>
      <c r="O134">
        <f>IF(J133="BUY",O133*('Data Checks'!B344/'Data Checks'!B343),IF(J133="SELL",O133*('Data Checks'!B343/'Data Checks'!B344),O133))</f>
        <v>180.6295287695016</v>
      </c>
      <c r="P134">
        <f>IF(K133="BUY",P133*('Data Checks'!C344/'Data Checks'!C343),IF(K133="SELL",P133*('Data Checks'!C343/'Data Checks'!C344),P133))</f>
        <v>209.19224359482968</v>
      </c>
      <c r="Q134">
        <f>IF(L133="BUY",Q133*('Data Checks'!D344/'Data Checks'!D343),IF(L133="SELL",Q133*('Data Checks'!D343/'Data Checks'!D344),Q133))</f>
        <v>259.50547442296795</v>
      </c>
      <c r="R134">
        <f>IF(M133="BUY",R133*('Data Checks'!E344/'Data Checks'!E343),IF(M133="SELL",R133*('Data Checks'!E343/'Data Checks'!E344),R133))</f>
        <v>181.61002674818113</v>
      </c>
      <c r="S134">
        <f>IF(N133="BUY",S133*('Data Checks'!F344/'Data Checks'!F343),IF(N133="SELL",S133*('Data Checks'!F343/'Data Checks'!F344),S133))</f>
        <v>204.09607176388789</v>
      </c>
      <c r="T134" s="16">
        <f t="shared" si="18"/>
        <v>1035.0333452993682</v>
      </c>
      <c r="U134" s="17">
        <f t="shared" si="22"/>
        <v>7.6081391334197335E-3</v>
      </c>
      <c r="W134" t="str">
        <f>IF(AND('Data Checks'!B344&gt;'Data Checks'!B343,'Data Checks'!B343&gt;'Data Checks'!B342,'Data Checks'!B342&gt;'Data Checks'!B341),"BUY",IF(AND('Data Checks'!B344&lt;'Data Checks'!B343,'Data Checks'!B343&lt;'Data Checks'!B342,'Data Checks'!B342&lt;'Data Checks'!B341),"SELL",""))</f>
        <v/>
      </c>
      <c r="X134" t="str">
        <f>IF(AND('Data Checks'!C344&gt;'Data Checks'!C343,'Data Checks'!C343&gt;'Data Checks'!C342,'Data Checks'!C342&gt;'Data Checks'!C341),"BUY",IF(AND('Data Checks'!C344&lt;'Data Checks'!C343,'Data Checks'!C343&lt;'Data Checks'!C342,'Data Checks'!C342&lt;'Data Checks'!C341),"SELL",""))</f>
        <v/>
      </c>
      <c r="Y134" t="str">
        <f>IF(AND('Data Checks'!D344&gt;'Data Checks'!D343,'Data Checks'!D343&gt;'Data Checks'!D342,'Data Checks'!D342&gt;'Data Checks'!D341),"BUY",IF(AND('Data Checks'!D344&lt;'Data Checks'!D343,'Data Checks'!D343&lt;'Data Checks'!D342,'Data Checks'!D342&lt;'Data Checks'!D341),"SELL",""))</f>
        <v/>
      </c>
      <c r="Z134" t="str">
        <f>IF(AND('Data Checks'!E344&gt;'Data Checks'!E343,'Data Checks'!E343&gt;'Data Checks'!E342,'Data Checks'!E342&gt;'Data Checks'!E341),"BUY",IF(AND('Data Checks'!E344&lt;'Data Checks'!E343,'Data Checks'!E343&lt;'Data Checks'!E342,'Data Checks'!E342&lt;'Data Checks'!E341),"SELL",""))</f>
        <v/>
      </c>
      <c r="AA134" t="str">
        <f>IF(AND('Data Checks'!F344&gt;'Data Checks'!F343,'Data Checks'!F343&gt;'Data Checks'!F342,'Data Checks'!F342&gt;'Data Checks'!F341),"BUY",IF(AND('Data Checks'!F344&lt;'Data Checks'!F343,'Data Checks'!F343&lt;'Data Checks'!F342,'Data Checks'!F342&lt;'Data Checks'!F341),"SELL",""))</f>
        <v/>
      </c>
      <c r="AB134">
        <f>IF(W133="BUY",AB133*('Data Checks'!B344/'Data Checks'!B343),IF(W133="SELL",AB133*('Data Checks'!B343/'Data Checks'!B344),AB133))</f>
        <v>221.44773488859269</v>
      </c>
      <c r="AC134">
        <f>IF(X133="BUY",AC133*('Data Checks'!C344/'Data Checks'!C343),IF(X133="SELL",AC133*('Data Checks'!C343/'Data Checks'!C344),AC133))</f>
        <v>191.21167837117954</v>
      </c>
      <c r="AD134">
        <f>IF(Y133="BUY",AD133*('Data Checks'!D344/'Data Checks'!D343),IF(Y133="SELL",AD133*('Data Checks'!D343/'Data Checks'!D344),AD133))</f>
        <v>154.13933015842281</v>
      </c>
      <c r="AE134">
        <f>IF(Z133="BUY",AE133*('Data Checks'!E344/'Data Checks'!E343),IF(Z133="SELL",AE133*('Data Checks'!E343/'Data Checks'!E344),AE133))</f>
        <v>220.25215631658727</v>
      </c>
      <c r="AF134">
        <f>IF(AA133="BUY",AF133*('Data Checks'!F344/'Data Checks'!F343),IF(AA133="SELL",AF133*('Data Checks'!F343/'Data Checks'!F344),AF133))</f>
        <v>195.98613365902852</v>
      </c>
      <c r="AG134" s="16">
        <f t="shared" si="19"/>
        <v>983.03703339381082</v>
      </c>
      <c r="AH134" s="17">
        <f t="shared" si="23"/>
        <v>-9.8072917666416348E-3</v>
      </c>
      <c r="AJ134" t="str">
        <f>IF('Moving Ave'!G344&gt;'Moving Ave'!L344,"SELL","BUY")</f>
        <v>SELL</v>
      </c>
      <c r="AK134" t="str">
        <f>IF('Moving Ave'!H344&gt;'Moving Ave'!M344,"SELL","BUY")</f>
        <v>BUY</v>
      </c>
      <c r="AL134" t="str">
        <f>IF('Moving Ave'!I344&gt;'Moving Ave'!N344,"SELL","BUY")</f>
        <v>SELL</v>
      </c>
      <c r="AM134" t="str">
        <f>IF('Moving Ave'!J344&gt;'Moving Ave'!O344,"SELL","BUY")</f>
        <v>BUY</v>
      </c>
      <c r="AN134" t="str">
        <f>IF('Moving Ave'!K344&gt;'Moving Ave'!P344,"SELL","BUY")</f>
        <v>BUY</v>
      </c>
      <c r="AO134">
        <f>IF(AJ133="BUY",AO133*('Data Checks'!B344/'Data Checks'!B343),AO133*('Data Checks'!B343/'Data Checks'!B344))</f>
        <v>147.63795251624447</v>
      </c>
      <c r="AP134">
        <f>IF(AK133="BUY",AP133*('Data Checks'!C344/'Data Checks'!C343),AP133*('Data Checks'!C343/'Data Checks'!C344))</f>
        <v>124.96825311069998</v>
      </c>
      <c r="AQ134">
        <f>IF(AL133="BUY",AQ133*('Data Checks'!D344/'Data Checks'!D343),AQ133*('Data Checks'!D343/'Data Checks'!D344))</f>
        <v>318.29301242927596</v>
      </c>
      <c r="AR134">
        <f>IF(AM133="BUY",AR133*('Data Checks'!E344/'Data Checks'!E343),AR133*('Data Checks'!E343/'Data Checks'!E344))</f>
        <v>109.24003986474587</v>
      </c>
      <c r="AS134">
        <f>IF(AN133="BUY",AS133*('Data Checks'!F344/'Data Checks'!F343),AS133*('Data Checks'!F343/'Data Checks'!F344))</f>
        <v>203.12464325952621</v>
      </c>
      <c r="AT134" s="16">
        <f t="shared" si="20"/>
        <v>903.26390118049255</v>
      </c>
      <c r="AU134" s="17">
        <f t="shared" si="24"/>
        <v>-4.3940494278450482E-3</v>
      </c>
    </row>
    <row r="135" spans="1:47" x14ac:dyDescent="0.35">
      <c r="A135" s="2">
        <f>Prices!A343</f>
        <v>44385</v>
      </c>
      <c r="B135">
        <f>B134*('Data Checks'!B345/'Data Checks'!B344)</f>
        <v>324.66742438307818</v>
      </c>
      <c r="C135">
        <f>C134*('Data Checks'!C345/'Data Checks'!C344)</f>
        <v>122.37744786328302</v>
      </c>
      <c r="D135">
        <f>D134*('Data Checks'!D345/'Data Checks'!D344)</f>
        <v>194.69026539806748</v>
      </c>
      <c r="E135">
        <f>E134*('Data Checks'!E345/'Data Checks'!E344)</f>
        <v>109.64177738058994</v>
      </c>
      <c r="F135">
        <f>F134*('Data Checks'!F345/'Data Checks'!F344)</f>
        <v>134.23939152464567</v>
      </c>
      <c r="G135" s="16">
        <f t="shared" ref="G135:G198" si="25">SUM(B135:F135)</f>
        <v>885.61630654966439</v>
      </c>
      <c r="H135" s="17">
        <f t="shared" si="21"/>
        <v>1.0688278982702526E-2</v>
      </c>
      <c r="J135" t="str">
        <f>IF(AND('Data Checks'!B345&gt;'Data Checks'!B344,'Data Checks'!B344&gt;'Data Checks'!B343,'Data Checks'!B343&gt;'Data Checks'!B342),"SELL",IF(AND('Data Checks'!B345&lt;'Data Checks'!B344,'Data Checks'!B344&lt;'Data Checks'!B343,'Data Checks'!B343&lt;'Data Checks'!B342),"BUY",""))</f>
        <v/>
      </c>
      <c r="K135" t="str">
        <f>IF(AND('Data Checks'!C345&gt;'Data Checks'!C344,'Data Checks'!C344&gt;'Data Checks'!C343,'Data Checks'!C343&gt;'Data Checks'!C342),"SELL",IF(AND('Data Checks'!C345&lt;'Data Checks'!C344,'Data Checks'!C344&lt;'Data Checks'!C343,'Data Checks'!C343&lt;'Data Checks'!C342),"BUY",""))</f>
        <v/>
      </c>
      <c r="L135" t="str">
        <f>IF(AND('Data Checks'!D345&gt;'Data Checks'!D344,'Data Checks'!D344&gt;'Data Checks'!D343,'Data Checks'!D343&gt;'Data Checks'!D342),"SELL",IF(AND('Data Checks'!D345&lt;'Data Checks'!D344,'Data Checks'!D344&lt;'Data Checks'!D343,'Data Checks'!D343&lt;'Data Checks'!D342),"BUY",""))</f>
        <v/>
      </c>
      <c r="M135" t="str">
        <f>IF(AND('Data Checks'!E345&gt;'Data Checks'!E344,'Data Checks'!E344&gt;'Data Checks'!E343,'Data Checks'!E343&gt;'Data Checks'!E342),"SELL",IF(AND('Data Checks'!E345&lt;'Data Checks'!E344,'Data Checks'!E344&lt;'Data Checks'!E343,'Data Checks'!E343&lt;'Data Checks'!E342),"BUY",""))</f>
        <v/>
      </c>
      <c r="N135" t="str">
        <f>IF(AND('Data Checks'!F345&gt;'Data Checks'!F344,'Data Checks'!F344&gt;'Data Checks'!F343,'Data Checks'!F343&gt;'Data Checks'!F342),"SELL",IF(AND('Data Checks'!F345&lt;'Data Checks'!F344,'Data Checks'!F344&lt;'Data Checks'!F343,'Data Checks'!F343&lt;'Data Checks'!F342),"BUY",""))</f>
        <v/>
      </c>
      <c r="O135">
        <f>IF(J134="BUY",O134*('Data Checks'!B345/'Data Checks'!B344),IF(J134="SELL",O134*('Data Checks'!B344/'Data Checks'!B345),O134))</f>
        <v>180.6295287695016</v>
      </c>
      <c r="P135">
        <f>IF(K134="BUY",P134*('Data Checks'!C345/'Data Checks'!C344),IF(K134="SELL",P134*('Data Checks'!C344/'Data Checks'!C345),P134))</f>
        <v>209.19224359482968</v>
      </c>
      <c r="Q135">
        <f>IF(L134="BUY",Q134*('Data Checks'!D345/'Data Checks'!D344),IF(L134="SELL",Q134*('Data Checks'!D344/'Data Checks'!D345),Q134))</f>
        <v>259.50547442296795</v>
      </c>
      <c r="R135">
        <f>IF(M134="BUY",R134*('Data Checks'!E345/'Data Checks'!E344),IF(M134="SELL",R134*('Data Checks'!E344/'Data Checks'!E345),R134))</f>
        <v>181.61002674818113</v>
      </c>
      <c r="S135">
        <f>IF(N134="BUY",S134*('Data Checks'!F345/'Data Checks'!F344),IF(N134="SELL",S134*('Data Checks'!F344/'Data Checks'!F345),S134))</f>
        <v>204.09607176388789</v>
      </c>
      <c r="T135" s="16">
        <f t="shared" ref="T135:T198" si="26">SUM(O135:S135)</f>
        <v>1035.0333452993682</v>
      </c>
      <c r="U135" s="17">
        <f t="shared" si="22"/>
        <v>0</v>
      </c>
      <c r="W135" t="str">
        <f>IF(AND('Data Checks'!B345&gt;'Data Checks'!B344,'Data Checks'!B344&gt;'Data Checks'!B343,'Data Checks'!B343&gt;'Data Checks'!B342),"BUY",IF(AND('Data Checks'!B345&lt;'Data Checks'!B344,'Data Checks'!B344&lt;'Data Checks'!B343,'Data Checks'!B343&lt;'Data Checks'!B342),"SELL",""))</f>
        <v/>
      </c>
      <c r="X135" t="str">
        <f>IF(AND('Data Checks'!C345&gt;'Data Checks'!C344,'Data Checks'!C344&gt;'Data Checks'!C343,'Data Checks'!C343&gt;'Data Checks'!C342),"BUY",IF(AND('Data Checks'!C345&lt;'Data Checks'!C344,'Data Checks'!C344&lt;'Data Checks'!C343,'Data Checks'!C343&lt;'Data Checks'!C342),"SELL",""))</f>
        <v/>
      </c>
      <c r="Y135" t="str">
        <f>IF(AND('Data Checks'!D345&gt;'Data Checks'!D344,'Data Checks'!D344&gt;'Data Checks'!D343,'Data Checks'!D343&gt;'Data Checks'!D342),"BUY",IF(AND('Data Checks'!D345&lt;'Data Checks'!D344,'Data Checks'!D344&lt;'Data Checks'!D343,'Data Checks'!D343&lt;'Data Checks'!D342),"SELL",""))</f>
        <v/>
      </c>
      <c r="Z135" t="str">
        <f>IF(AND('Data Checks'!E345&gt;'Data Checks'!E344,'Data Checks'!E344&gt;'Data Checks'!E343,'Data Checks'!E343&gt;'Data Checks'!E342),"BUY",IF(AND('Data Checks'!E345&lt;'Data Checks'!E344,'Data Checks'!E344&lt;'Data Checks'!E343,'Data Checks'!E343&lt;'Data Checks'!E342),"SELL",""))</f>
        <v/>
      </c>
      <c r="AA135" t="str">
        <f>IF(AND('Data Checks'!F345&gt;'Data Checks'!F344,'Data Checks'!F344&gt;'Data Checks'!F343,'Data Checks'!F343&gt;'Data Checks'!F342),"BUY",IF(AND('Data Checks'!F345&lt;'Data Checks'!F344,'Data Checks'!F344&lt;'Data Checks'!F343,'Data Checks'!F343&lt;'Data Checks'!F342),"SELL",""))</f>
        <v/>
      </c>
      <c r="AB135">
        <f>IF(W134="BUY",AB134*('Data Checks'!B345/'Data Checks'!B344),IF(W134="SELL",AB134*('Data Checks'!B344/'Data Checks'!B345),AB134))</f>
        <v>221.44773488859269</v>
      </c>
      <c r="AC135">
        <f>IF(X134="BUY",AC134*('Data Checks'!C345/'Data Checks'!C344),IF(X134="SELL",AC134*('Data Checks'!C344/'Data Checks'!C345),AC134))</f>
        <v>191.21167837117954</v>
      </c>
      <c r="AD135">
        <f>IF(Y134="BUY",AD134*('Data Checks'!D345/'Data Checks'!D344),IF(Y134="SELL",AD134*('Data Checks'!D344/'Data Checks'!D345),AD134))</f>
        <v>154.13933015842281</v>
      </c>
      <c r="AE135">
        <f>IF(Z134="BUY",AE134*('Data Checks'!E345/'Data Checks'!E344),IF(Z134="SELL",AE134*('Data Checks'!E344/'Data Checks'!E345),AE134))</f>
        <v>220.25215631658727</v>
      </c>
      <c r="AF135">
        <f>IF(AA134="BUY",AF134*('Data Checks'!F345/'Data Checks'!F344),IF(AA134="SELL",AF134*('Data Checks'!F344/'Data Checks'!F345),AF134))</f>
        <v>195.98613365902852</v>
      </c>
      <c r="AG135" s="16">
        <f t="shared" ref="AG135:AG198" si="27">SUM(AB135:AF135)</f>
        <v>983.03703339381082</v>
      </c>
      <c r="AH135" s="17">
        <f t="shared" si="23"/>
        <v>0</v>
      </c>
      <c r="AJ135" t="str">
        <f>IF('Moving Ave'!G345&gt;'Moving Ave'!L345,"SELL","BUY")</f>
        <v>SELL</v>
      </c>
      <c r="AK135" t="str">
        <f>IF('Moving Ave'!H345&gt;'Moving Ave'!M345,"SELL","BUY")</f>
        <v>BUY</v>
      </c>
      <c r="AL135" t="str">
        <f>IF('Moving Ave'!I345&gt;'Moving Ave'!N345,"SELL","BUY")</f>
        <v>SELL</v>
      </c>
      <c r="AM135" t="str">
        <f>IF('Moving Ave'!J345&gt;'Moving Ave'!O345,"SELL","BUY")</f>
        <v>BUY</v>
      </c>
      <c r="AN135" t="str">
        <f>IF('Moving Ave'!K345&gt;'Moving Ave'!P345,"SELL","BUY")</f>
        <v>BUY</v>
      </c>
      <c r="AO135">
        <f>IF(AJ134="BUY",AO134*('Data Checks'!B345/'Data Checks'!B344),AO134*('Data Checks'!B344/'Data Checks'!B345))</f>
        <v>143.75714466366384</v>
      </c>
      <c r="AP135">
        <f>IF(AK134="BUY",AP134*('Data Checks'!C345/'Data Checks'!C344),AP134*('Data Checks'!C344/'Data Checks'!C345))</f>
        <v>122.37744786328302</v>
      </c>
      <c r="AQ135">
        <f>IF(AL134="BUY",AQ134*('Data Checks'!D345/'Data Checks'!D344),AQ134*('Data Checks'!D344/'Data Checks'!D345))</f>
        <v>310.70421351722655</v>
      </c>
      <c r="AR135">
        <f>IF(AM134="BUY",AR134*('Data Checks'!E345/'Data Checks'!E344),AR134*('Data Checks'!E344/'Data Checks'!E345))</f>
        <v>109.64177738058994</v>
      </c>
      <c r="AS135">
        <f>IF(AN134="BUY",AS134*('Data Checks'!F345/'Data Checks'!F344),AS134*('Data Checks'!F344/'Data Checks'!F345))</f>
        <v>200.70055556953304</v>
      </c>
      <c r="AT135" s="16">
        <f t="shared" ref="AT135:AT198" si="28">SUM(AO135:AS135)</f>
        <v>887.18113899429636</v>
      </c>
      <c r="AU135" s="17">
        <f t="shared" si="24"/>
        <v>-1.7805164321498257E-2</v>
      </c>
    </row>
    <row r="136" spans="1:47" x14ac:dyDescent="0.35">
      <c r="A136" s="2">
        <f>Prices!A344</f>
        <v>44386</v>
      </c>
      <c r="B136">
        <f>B135*('Data Checks'!B346/'Data Checks'!B345)</f>
        <v>335.36492075718849</v>
      </c>
      <c r="C136">
        <f>C135*('Data Checks'!C346/'Data Checks'!C345)</f>
        <v>119.48184199852291</v>
      </c>
      <c r="D136">
        <f>D135*('Data Checks'!D346/'Data Checks'!D345)</f>
        <v>193.55485045174231</v>
      </c>
      <c r="E136">
        <f>E135*('Data Checks'!E346/'Data Checks'!E345)</f>
        <v>104.72045514829406</v>
      </c>
      <c r="F136">
        <f>F135*('Data Checks'!F346/'Data Checks'!F345)</f>
        <v>133.19026799986088</v>
      </c>
      <c r="G136" s="16">
        <f t="shared" si="25"/>
        <v>886.31233635560864</v>
      </c>
      <c r="H136" s="17">
        <f t="shared" ref="H136:H199" si="29">G136/G135-1</f>
        <v>7.8592704402202784E-4</v>
      </c>
      <c r="J136" t="str">
        <f>IF(AND('Data Checks'!B346&gt;'Data Checks'!B345,'Data Checks'!B345&gt;'Data Checks'!B344,'Data Checks'!B344&gt;'Data Checks'!B343),"SELL",IF(AND('Data Checks'!B346&lt;'Data Checks'!B345,'Data Checks'!B345&lt;'Data Checks'!B344,'Data Checks'!B344&lt;'Data Checks'!B343),"BUY",""))</f>
        <v/>
      </c>
      <c r="K136" t="str">
        <f>IF(AND('Data Checks'!C346&gt;'Data Checks'!C345,'Data Checks'!C345&gt;'Data Checks'!C344,'Data Checks'!C344&gt;'Data Checks'!C343),"SELL",IF(AND('Data Checks'!C346&lt;'Data Checks'!C345,'Data Checks'!C345&lt;'Data Checks'!C344,'Data Checks'!C344&lt;'Data Checks'!C343),"BUY",""))</f>
        <v>BUY</v>
      </c>
      <c r="L136" t="str">
        <f>IF(AND('Data Checks'!D346&gt;'Data Checks'!D345,'Data Checks'!D345&gt;'Data Checks'!D344,'Data Checks'!D344&gt;'Data Checks'!D343),"SELL",IF(AND('Data Checks'!D346&lt;'Data Checks'!D345,'Data Checks'!D345&lt;'Data Checks'!D344,'Data Checks'!D344&lt;'Data Checks'!D343),"BUY",""))</f>
        <v/>
      </c>
      <c r="M136" t="str">
        <f>IF(AND('Data Checks'!E346&gt;'Data Checks'!E345,'Data Checks'!E345&gt;'Data Checks'!E344,'Data Checks'!E344&gt;'Data Checks'!E343),"SELL",IF(AND('Data Checks'!E346&lt;'Data Checks'!E345,'Data Checks'!E345&lt;'Data Checks'!E344,'Data Checks'!E344&lt;'Data Checks'!E343),"BUY",""))</f>
        <v/>
      </c>
      <c r="N136" t="str">
        <f>IF(AND('Data Checks'!F346&gt;'Data Checks'!F345,'Data Checks'!F345&gt;'Data Checks'!F344,'Data Checks'!F344&gt;'Data Checks'!F343),"SELL",IF(AND('Data Checks'!F346&lt;'Data Checks'!F345,'Data Checks'!F345&lt;'Data Checks'!F344,'Data Checks'!F344&lt;'Data Checks'!F343),"BUY",""))</f>
        <v/>
      </c>
      <c r="O136">
        <f>IF(J135="BUY",O135*('Data Checks'!B346/'Data Checks'!B345),IF(J135="SELL",O135*('Data Checks'!B345/'Data Checks'!B346),O135))</f>
        <v>180.6295287695016</v>
      </c>
      <c r="P136">
        <f>IF(K135="BUY",P135*('Data Checks'!C346/'Data Checks'!C345),IF(K135="SELL",P135*('Data Checks'!C345/'Data Checks'!C346),P135))</f>
        <v>209.19224359482968</v>
      </c>
      <c r="Q136">
        <f>IF(L135="BUY",Q135*('Data Checks'!D346/'Data Checks'!D345),IF(L135="SELL",Q135*('Data Checks'!D345/'Data Checks'!D346),Q135))</f>
        <v>259.50547442296795</v>
      </c>
      <c r="R136">
        <f>IF(M135="BUY",R135*('Data Checks'!E346/'Data Checks'!E345),IF(M135="SELL",R135*('Data Checks'!E345/'Data Checks'!E346),R135))</f>
        <v>181.61002674818113</v>
      </c>
      <c r="S136">
        <f>IF(N135="BUY",S135*('Data Checks'!F346/'Data Checks'!F345),IF(N135="SELL",S135*('Data Checks'!F345/'Data Checks'!F346),S135))</f>
        <v>204.09607176388789</v>
      </c>
      <c r="T136" s="16">
        <f t="shared" si="26"/>
        <v>1035.0333452993682</v>
      </c>
      <c r="U136" s="17">
        <f t="shared" ref="U136:U199" si="30">T136/T135-1</f>
        <v>0</v>
      </c>
      <c r="W136" t="str">
        <f>IF(AND('Data Checks'!B346&gt;'Data Checks'!B345,'Data Checks'!B345&gt;'Data Checks'!B344,'Data Checks'!B344&gt;'Data Checks'!B343),"BUY",IF(AND('Data Checks'!B346&lt;'Data Checks'!B345,'Data Checks'!B345&lt;'Data Checks'!B344,'Data Checks'!B344&lt;'Data Checks'!B343),"SELL",""))</f>
        <v/>
      </c>
      <c r="X136" t="str">
        <f>IF(AND('Data Checks'!C346&gt;'Data Checks'!C345,'Data Checks'!C345&gt;'Data Checks'!C344,'Data Checks'!C344&gt;'Data Checks'!C343),"BUY",IF(AND('Data Checks'!C346&lt;'Data Checks'!C345,'Data Checks'!C345&lt;'Data Checks'!C344,'Data Checks'!C344&lt;'Data Checks'!C343),"SELL",""))</f>
        <v>SELL</v>
      </c>
      <c r="Y136" t="str">
        <f>IF(AND('Data Checks'!D346&gt;'Data Checks'!D345,'Data Checks'!D345&gt;'Data Checks'!D344,'Data Checks'!D344&gt;'Data Checks'!D343),"BUY",IF(AND('Data Checks'!D346&lt;'Data Checks'!D345,'Data Checks'!D345&lt;'Data Checks'!D344,'Data Checks'!D344&lt;'Data Checks'!D343),"SELL",""))</f>
        <v/>
      </c>
      <c r="Z136" t="str">
        <f>IF(AND('Data Checks'!E346&gt;'Data Checks'!E345,'Data Checks'!E345&gt;'Data Checks'!E344,'Data Checks'!E344&gt;'Data Checks'!E343),"BUY",IF(AND('Data Checks'!E346&lt;'Data Checks'!E345,'Data Checks'!E345&lt;'Data Checks'!E344,'Data Checks'!E344&lt;'Data Checks'!E343),"SELL",""))</f>
        <v/>
      </c>
      <c r="AA136" t="str">
        <f>IF(AND('Data Checks'!F346&gt;'Data Checks'!F345,'Data Checks'!F345&gt;'Data Checks'!F344,'Data Checks'!F344&gt;'Data Checks'!F343),"BUY",IF(AND('Data Checks'!F346&lt;'Data Checks'!F345,'Data Checks'!F345&lt;'Data Checks'!F344,'Data Checks'!F344&lt;'Data Checks'!F343),"SELL",""))</f>
        <v/>
      </c>
      <c r="AB136">
        <f>IF(W135="BUY",AB135*('Data Checks'!B346/'Data Checks'!B345),IF(W135="SELL",AB135*('Data Checks'!B345/'Data Checks'!B346),AB135))</f>
        <v>221.44773488859269</v>
      </c>
      <c r="AC136">
        <f>IF(X135="BUY",AC135*('Data Checks'!C346/'Data Checks'!C345),IF(X135="SELL",AC135*('Data Checks'!C345/'Data Checks'!C346),AC135))</f>
        <v>191.21167837117954</v>
      </c>
      <c r="AD136">
        <f>IF(Y135="BUY",AD135*('Data Checks'!D346/'Data Checks'!D345),IF(Y135="SELL",AD135*('Data Checks'!D345/'Data Checks'!D346),AD135))</f>
        <v>154.13933015842281</v>
      </c>
      <c r="AE136">
        <f>IF(Z135="BUY",AE135*('Data Checks'!E346/'Data Checks'!E345),IF(Z135="SELL",AE135*('Data Checks'!E345/'Data Checks'!E346),AE135))</f>
        <v>220.25215631658727</v>
      </c>
      <c r="AF136">
        <f>IF(AA135="BUY",AF135*('Data Checks'!F346/'Data Checks'!F345),IF(AA135="SELL",AF135*('Data Checks'!F345/'Data Checks'!F346),AF135))</f>
        <v>195.98613365902852</v>
      </c>
      <c r="AG136" s="16">
        <f t="shared" si="27"/>
        <v>983.03703339381082</v>
      </c>
      <c r="AH136" s="17">
        <f t="shared" ref="AH136:AH199" si="31">AG136/AG135-1</f>
        <v>0</v>
      </c>
      <c r="AJ136" t="str">
        <f>IF('Moving Ave'!G346&gt;'Moving Ave'!L346,"SELL","BUY")</f>
        <v>SELL</v>
      </c>
      <c r="AK136" t="str">
        <f>IF('Moving Ave'!H346&gt;'Moving Ave'!M346,"SELL","BUY")</f>
        <v>BUY</v>
      </c>
      <c r="AL136" t="str">
        <f>IF('Moving Ave'!I346&gt;'Moving Ave'!N346,"SELL","BUY")</f>
        <v>SELL</v>
      </c>
      <c r="AM136" t="str">
        <f>IF('Moving Ave'!J346&gt;'Moving Ave'!O346,"SELL","BUY")</f>
        <v>BUY</v>
      </c>
      <c r="AN136" t="str">
        <f>IF('Moving Ave'!K346&gt;'Moving Ave'!P346,"SELL","BUY")</f>
        <v>BUY</v>
      </c>
      <c r="AO136">
        <f>IF(AJ135="BUY",AO135*('Data Checks'!B346/'Data Checks'!B345),AO135*('Data Checks'!B345/'Data Checks'!B346))</f>
        <v>139.17156806155577</v>
      </c>
      <c r="AP136">
        <f>IF(AK135="BUY",AP135*('Data Checks'!C346/'Data Checks'!C345),AP135*('Data Checks'!C345/'Data Checks'!C346))</f>
        <v>119.48184199852291</v>
      </c>
      <c r="AQ136">
        <f>IF(AL135="BUY",AQ135*('Data Checks'!D346/'Data Checks'!D345),AQ135*('Data Checks'!D345/'Data Checks'!D346))</f>
        <v>312.5268400599885</v>
      </c>
      <c r="AR136">
        <f>IF(AM135="BUY",AR135*('Data Checks'!E346/'Data Checks'!E345),AR135*('Data Checks'!E345/'Data Checks'!E346))</f>
        <v>104.72045514829406</v>
      </c>
      <c r="AS136">
        <f>IF(AN135="BUY",AS135*('Data Checks'!F346/'Data Checks'!F345),AS135*('Data Checks'!F345/'Data Checks'!F346))</f>
        <v>199.13201691710091</v>
      </c>
      <c r="AT136" s="16">
        <f t="shared" si="28"/>
        <v>875.03272218546215</v>
      </c>
      <c r="AU136" s="17">
        <f t="shared" ref="AU136:AU199" si="32">AT136/AT135-1</f>
        <v>-1.3693276688237055E-2</v>
      </c>
    </row>
    <row r="137" spans="1:47" x14ac:dyDescent="0.35">
      <c r="A137" s="2">
        <f>Prices!A345</f>
        <v>44387</v>
      </c>
      <c r="B137">
        <f>B136*('Data Checks'!B347/'Data Checks'!B346)</f>
        <v>337.19527116719502</v>
      </c>
      <c r="C137">
        <f>C136*('Data Checks'!C347/'Data Checks'!C346)</f>
        <v>121.31064062257165</v>
      </c>
      <c r="D137">
        <f>D136*('Data Checks'!D347/'Data Checks'!D346)</f>
        <v>196.69394885112615</v>
      </c>
      <c r="E137">
        <f>E136*('Data Checks'!E347/'Data Checks'!E346)</f>
        <v>107.83394014616871</v>
      </c>
      <c r="F137">
        <f>F136*('Data Checks'!F347/'Data Checks'!F346)</f>
        <v>134.85931904901278</v>
      </c>
      <c r="G137" s="16">
        <f t="shared" si="25"/>
        <v>897.89311983607445</v>
      </c>
      <c r="H137" s="17">
        <f t="shared" si="29"/>
        <v>1.3066255546080319E-2</v>
      </c>
      <c r="J137" t="str">
        <f>IF(AND('Data Checks'!B347&gt;'Data Checks'!B346,'Data Checks'!B346&gt;'Data Checks'!B345,'Data Checks'!B345&gt;'Data Checks'!B344),"SELL",IF(AND('Data Checks'!B347&lt;'Data Checks'!B346,'Data Checks'!B346&lt;'Data Checks'!B345,'Data Checks'!B345&lt;'Data Checks'!B344),"BUY",""))</f>
        <v>SELL</v>
      </c>
      <c r="K137" t="str">
        <f>IF(AND('Data Checks'!C347&gt;'Data Checks'!C346,'Data Checks'!C346&gt;'Data Checks'!C345,'Data Checks'!C345&gt;'Data Checks'!C344),"SELL",IF(AND('Data Checks'!C347&lt;'Data Checks'!C346,'Data Checks'!C346&lt;'Data Checks'!C345,'Data Checks'!C345&lt;'Data Checks'!C344),"BUY",""))</f>
        <v/>
      </c>
      <c r="L137" t="str">
        <f>IF(AND('Data Checks'!D347&gt;'Data Checks'!D346,'Data Checks'!D346&gt;'Data Checks'!D345,'Data Checks'!D345&gt;'Data Checks'!D344),"SELL",IF(AND('Data Checks'!D347&lt;'Data Checks'!D346,'Data Checks'!D346&lt;'Data Checks'!D345,'Data Checks'!D345&lt;'Data Checks'!D344),"BUY",""))</f>
        <v/>
      </c>
      <c r="M137" t="str">
        <f>IF(AND('Data Checks'!E347&gt;'Data Checks'!E346,'Data Checks'!E346&gt;'Data Checks'!E345,'Data Checks'!E345&gt;'Data Checks'!E344),"SELL",IF(AND('Data Checks'!E347&lt;'Data Checks'!E346,'Data Checks'!E346&lt;'Data Checks'!E345,'Data Checks'!E345&lt;'Data Checks'!E344),"BUY",""))</f>
        <v/>
      </c>
      <c r="N137" t="str">
        <f>IF(AND('Data Checks'!F347&gt;'Data Checks'!F346,'Data Checks'!F346&gt;'Data Checks'!F345,'Data Checks'!F345&gt;'Data Checks'!F344),"SELL",IF(AND('Data Checks'!F347&lt;'Data Checks'!F346,'Data Checks'!F346&lt;'Data Checks'!F345,'Data Checks'!F345&lt;'Data Checks'!F344),"BUY",""))</f>
        <v/>
      </c>
      <c r="O137">
        <f>IF(J136="BUY",O136*('Data Checks'!B347/'Data Checks'!B346),IF(J136="SELL",O136*('Data Checks'!B346/'Data Checks'!B347),O136))</f>
        <v>180.6295287695016</v>
      </c>
      <c r="P137">
        <f>IF(K136="BUY",P136*('Data Checks'!C347/'Data Checks'!C346),IF(K136="SELL",P136*('Data Checks'!C346/'Data Checks'!C347),P136))</f>
        <v>212.39415679644088</v>
      </c>
      <c r="Q137">
        <f>IF(L136="BUY",Q136*('Data Checks'!D347/'Data Checks'!D346),IF(L136="SELL",Q136*('Data Checks'!D346/'Data Checks'!D347),Q136))</f>
        <v>259.50547442296795</v>
      </c>
      <c r="R137">
        <f>IF(M136="BUY",R136*('Data Checks'!E347/'Data Checks'!E346),IF(M136="SELL",R136*('Data Checks'!E346/'Data Checks'!E347),R136))</f>
        <v>181.61002674818113</v>
      </c>
      <c r="S137">
        <f>IF(N136="BUY",S136*('Data Checks'!F347/'Data Checks'!F346),IF(N136="SELL",S136*('Data Checks'!F346/'Data Checks'!F347),S136))</f>
        <v>204.09607176388789</v>
      </c>
      <c r="T137" s="16">
        <f t="shared" si="26"/>
        <v>1038.2352585009794</v>
      </c>
      <c r="U137" s="17">
        <f t="shared" si="30"/>
        <v>3.0935362770221353E-3</v>
      </c>
      <c r="W137" t="str">
        <f>IF(AND('Data Checks'!B347&gt;'Data Checks'!B346,'Data Checks'!B346&gt;'Data Checks'!B345,'Data Checks'!B345&gt;'Data Checks'!B344),"BUY",IF(AND('Data Checks'!B347&lt;'Data Checks'!B346,'Data Checks'!B346&lt;'Data Checks'!B345,'Data Checks'!B345&lt;'Data Checks'!B344),"SELL",""))</f>
        <v>BUY</v>
      </c>
      <c r="X137" t="str">
        <f>IF(AND('Data Checks'!C347&gt;'Data Checks'!C346,'Data Checks'!C346&gt;'Data Checks'!C345,'Data Checks'!C345&gt;'Data Checks'!C344),"BUY",IF(AND('Data Checks'!C347&lt;'Data Checks'!C346,'Data Checks'!C346&lt;'Data Checks'!C345,'Data Checks'!C345&lt;'Data Checks'!C344),"SELL",""))</f>
        <v/>
      </c>
      <c r="Y137" t="str">
        <f>IF(AND('Data Checks'!D347&gt;'Data Checks'!D346,'Data Checks'!D346&gt;'Data Checks'!D345,'Data Checks'!D345&gt;'Data Checks'!D344),"BUY",IF(AND('Data Checks'!D347&lt;'Data Checks'!D346,'Data Checks'!D346&lt;'Data Checks'!D345,'Data Checks'!D345&lt;'Data Checks'!D344),"SELL",""))</f>
        <v/>
      </c>
      <c r="Z137" t="str">
        <f>IF(AND('Data Checks'!E347&gt;'Data Checks'!E346,'Data Checks'!E346&gt;'Data Checks'!E345,'Data Checks'!E345&gt;'Data Checks'!E344),"BUY",IF(AND('Data Checks'!E347&lt;'Data Checks'!E346,'Data Checks'!E346&lt;'Data Checks'!E345,'Data Checks'!E345&lt;'Data Checks'!E344),"SELL",""))</f>
        <v/>
      </c>
      <c r="AA137" t="str">
        <f>IF(AND('Data Checks'!F347&gt;'Data Checks'!F346,'Data Checks'!F346&gt;'Data Checks'!F345,'Data Checks'!F345&gt;'Data Checks'!F344),"BUY",IF(AND('Data Checks'!F347&lt;'Data Checks'!F346,'Data Checks'!F346&lt;'Data Checks'!F345,'Data Checks'!F345&lt;'Data Checks'!F344),"SELL",""))</f>
        <v/>
      </c>
      <c r="AB137">
        <f>IF(W136="BUY",AB136*('Data Checks'!B347/'Data Checks'!B346),IF(W136="SELL",AB136*('Data Checks'!B346/'Data Checks'!B347),AB136))</f>
        <v>221.44773488859269</v>
      </c>
      <c r="AC137">
        <f>IF(X136="BUY",AC136*('Data Checks'!C347/'Data Checks'!C346),IF(X136="SELL",AC136*('Data Checks'!C346/'Data Checks'!C347),AC136))</f>
        <v>188.32909814150923</v>
      </c>
      <c r="AD137">
        <f>IF(Y136="BUY",AD136*('Data Checks'!D347/'Data Checks'!D346),IF(Y136="SELL",AD136*('Data Checks'!D346/'Data Checks'!D347),AD136))</f>
        <v>154.13933015842281</v>
      </c>
      <c r="AE137">
        <f>IF(Z136="BUY",AE136*('Data Checks'!E347/'Data Checks'!E346),IF(Z136="SELL",AE136*('Data Checks'!E346/'Data Checks'!E347),AE136))</f>
        <v>220.25215631658727</v>
      </c>
      <c r="AF137">
        <f>IF(AA136="BUY",AF136*('Data Checks'!F347/'Data Checks'!F346),IF(AA136="SELL",AF136*('Data Checks'!F346/'Data Checks'!F347),AF136))</f>
        <v>195.98613365902852</v>
      </c>
      <c r="AG137" s="16">
        <f t="shared" si="27"/>
        <v>980.15445316414048</v>
      </c>
      <c r="AH137" s="17">
        <f t="shared" si="31"/>
        <v>-2.9323210944744993E-3</v>
      </c>
      <c r="AJ137" t="str">
        <f>IF('Moving Ave'!G347&gt;'Moving Ave'!L347,"SELL","BUY")</f>
        <v>SELL</v>
      </c>
      <c r="AK137" t="str">
        <f>IF('Moving Ave'!H347&gt;'Moving Ave'!M347,"SELL","BUY")</f>
        <v>BUY</v>
      </c>
      <c r="AL137" t="str">
        <f>IF('Moving Ave'!I347&gt;'Moving Ave'!N347,"SELL","BUY")</f>
        <v>SELL</v>
      </c>
      <c r="AM137" t="str">
        <f>IF('Moving Ave'!J347&gt;'Moving Ave'!O347,"SELL","BUY")</f>
        <v>BUY</v>
      </c>
      <c r="AN137" t="str">
        <f>IF('Moving Ave'!K347&gt;'Moving Ave'!P347,"SELL","BUY")</f>
        <v>BUY</v>
      </c>
      <c r="AO137">
        <f>IF(AJ136="BUY",AO136*('Data Checks'!B347/'Data Checks'!B346),AO136*('Data Checks'!B346/'Data Checks'!B347))</f>
        <v>138.41612230521119</v>
      </c>
      <c r="AP137">
        <f>IF(AK136="BUY",AP136*('Data Checks'!C347/'Data Checks'!C346),AP136*('Data Checks'!C346/'Data Checks'!C347))</f>
        <v>121.31064062257165</v>
      </c>
      <c r="AQ137">
        <f>IF(AL136="BUY",AQ136*('Data Checks'!D347/'Data Checks'!D346),AQ136*('Data Checks'!D346/'Data Checks'!D347))</f>
        <v>307.53912941038766</v>
      </c>
      <c r="AR137">
        <f>IF(AM136="BUY",AR136*('Data Checks'!E347/'Data Checks'!E346),AR136*('Data Checks'!E346/'Data Checks'!E347))</f>
        <v>107.83394014616871</v>
      </c>
      <c r="AS137">
        <f>IF(AN136="BUY",AS136*('Data Checks'!F347/'Data Checks'!F346),AS136*('Data Checks'!F346/'Data Checks'!F347))</f>
        <v>201.62740570748588</v>
      </c>
      <c r="AT137" s="16">
        <f t="shared" si="28"/>
        <v>876.72723819182511</v>
      </c>
      <c r="AU137" s="17">
        <f t="shared" si="32"/>
        <v>1.9365173020395865E-3</v>
      </c>
    </row>
    <row r="138" spans="1:47" x14ac:dyDescent="0.35">
      <c r="A138" s="2">
        <f>Prices!A346</f>
        <v>44390</v>
      </c>
      <c r="B138">
        <f>B137*('Data Checks'!B348/'Data Checks'!B347)</f>
        <v>327.07941303217916</v>
      </c>
      <c r="C138">
        <f>C137*('Data Checks'!C348/'Data Checks'!C347)</f>
        <v>121.36144072546219</v>
      </c>
      <c r="D138">
        <f>D137*('Data Checks'!D348/'Data Checks'!D347)</f>
        <v>196.19302381354183</v>
      </c>
      <c r="E138">
        <f>E137*('Data Checks'!E348/'Data Checks'!E347)</f>
        <v>108.50351160015022</v>
      </c>
      <c r="F138">
        <f>F137*('Data Checks'!F348/'Data Checks'!F347)</f>
        <v>136.57606013222798</v>
      </c>
      <c r="G138" s="16">
        <f t="shared" si="25"/>
        <v>889.71344930356133</v>
      </c>
      <c r="H138" s="17">
        <f t="shared" si="29"/>
        <v>-9.1098487690900454E-3</v>
      </c>
      <c r="J138" t="str">
        <f>IF(AND('Data Checks'!B348&gt;'Data Checks'!B347,'Data Checks'!B347&gt;'Data Checks'!B346,'Data Checks'!B346&gt;'Data Checks'!B345),"SELL",IF(AND('Data Checks'!B348&lt;'Data Checks'!B347,'Data Checks'!B347&lt;'Data Checks'!B346,'Data Checks'!B346&lt;'Data Checks'!B345),"BUY",""))</f>
        <v/>
      </c>
      <c r="K138" t="str">
        <f>IF(AND('Data Checks'!C348&gt;'Data Checks'!C347,'Data Checks'!C347&gt;'Data Checks'!C346,'Data Checks'!C346&gt;'Data Checks'!C345),"SELL",IF(AND('Data Checks'!C348&lt;'Data Checks'!C347,'Data Checks'!C347&lt;'Data Checks'!C346,'Data Checks'!C346&lt;'Data Checks'!C345),"BUY",""))</f>
        <v/>
      </c>
      <c r="L138" t="str">
        <f>IF(AND('Data Checks'!D348&gt;'Data Checks'!D347,'Data Checks'!D347&gt;'Data Checks'!D346,'Data Checks'!D346&gt;'Data Checks'!D345),"SELL",IF(AND('Data Checks'!D348&lt;'Data Checks'!D347,'Data Checks'!D347&lt;'Data Checks'!D346,'Data Checks'!D346&lt;'Data Checks'!D345),"BUY",""))</f>
        <v/>
      </c>
      <c r="M138" t="str">
        <f>IF(AND('Data Checks'!E348&gt;'Data Checks'!E347,'Data Checks'!E347&gt;'Data Checks'!E346,'Data Checks'!E346&gt;'Data Checks'!E345),"SELL",IF(AND('Data Checks'!E348&lt;'Data Checks'!E347,'Data Checks'!E347&lt;'Data Checks'!E346,'Data Checks'!E346&lt;'Data Checks'!E345),"BUY",""))</f>
        <v/>
      </c>
      <c r="N138" t="str">
        <f>IF(AND('Data Checks'!F348&gt;'Data Checks'!F347,'Data Checks'!F347&gt;'Data Checks'!F346,'Data Checks'!F346&gt;'Data Checks'!F345),"SELL",IF(AND('Data Checks'!F348&lt;'Data Checks'!F347,'Data Checks'!F347&lt;'Data Checks'!F346,'Data Checks'!F346&lt;'Data Checks'!F345),"BUY",""))</f>
        <v/>
      </c>
      <c r="O138">
        <f>IF(J137="BUY",O137*('Data Checks'!B348/'Data Checks'!B347),IF(J137="SELL",O137*('Data Checks'!B347/'Data Checks'!B348),O137))</f>
        <v>186.21600904072329</v>
      </c>
      <c r="P138">
        <f>IF(K137="BUY",P137*('Data Checks'!C348/'Data Checks'!C347),IF(K137="SELL",P137*('Data Checks'!C347/'Data Checks'!C348),P137))</f>
        <v>212.39415679644088</v>
      </c>
      <c r="Q138">
        <f>IF(L137="BUY",Q137*('Data Checks'!D348/'Data Checks'!D347),IF(L137="SELL",Q137*('Data Checks'!D347/'Data Checks'!D348),Q137))</f>
        <v>259.50547442296795</v>
      </c>
      <c r="R138">
        <f>IF(M137="BUY",R137*('Data Checks'!E348/'Data Checks'!E347),IF(M137="SELL",R137*('Data Checks'!E347/'Data Checks'!E348),R137))</f>
        <v>181.61002674818113</v>
      </c>
      <c r="S138">
        <f>IF(N137="BUY",S137*('Data Checks'!F348/'Data Checks'!F347),IF(N137="SELL",S137*('Data Checks'!F347/'Data Checks'!F348),S137))</f>
        <v>204.09607176388789</v>
      </c>
      <c r="T138" s="16">
        <f t="shared" si="26"/>
        <v>1043.8217387722011</v>
      </c>
      <c r="U138" s="17">
        <f t="shared" si="30"/>
        <v>5.3807460548851438E-3</v>
      </c>
      <c r="W138" t="str">
        <f>IF(AND('Data Checks'!B348&gt;'Data Checks'!B347,'Data Checks'!B347&gt;'Data Checks'!B346,'Data Checks'!B346&gt;'Data Checks'!B345),"BUY",IF(AND('Data Checks'!B348&lt;'Data Checks'!B347,'Data Checks'!B347&lt;'Data Checks'!B346,'Data Checks'!B346&lt;'Data Checks'!B345),"SELL",""))</f>
        <v/>
      </c>
      <c r="X138" t="str">
        <f>IF(AND('Data Checks'!C348&gt;'Data Checks'!C347,'Data Checks'!C347&gt;'Data Checks'!C346,'Data Checks'!C346&gt;'Data Checks'!C345),"BUY",IF(AND('Data Checks'!C348&lt;'Data Checks'!C347,'Data Checks'!C347&lt;'Data Checks'!C346,'Data Checks'!C346&lt;'Data Checks'!C345),"SELL",""))</f>
        <v/>
      </c>
      <c r="Y138" t="str">
        <f>IF(AND('Data Checks'!D348&gt;'Data Checks'!D347,'Data Checks'!D347&gt;'Data Checks'!D346,'Data Checks'!D346&gt;'Data Checks'!D345),"BUY",IF(AND('Data Checks'!D348&lt;'Data Checks'!D347,'Data Checks'!D347&lt;'Data Checks'!D346,'Data Checks'!D346&lt;'Data Checks'!D345),"SELL",""))</f>
        <v/>
      </c>
      <c r="Z138" t="str">
        <f>IF(AND('Data Checks'!E348&gt;'Data Checks'!E347,'Data Checks'!E347&gt;'Data Checks'!E346,'Data Checks'!E346&gt;'Data Checks'!E345),"BUY",IF(AND('Data Checks'!E348&lt;'Data Checks'!E347,'Data Checks'!E347&lt;'Data Checks'!E346,'Data Checks'!E346&lt;'Data Checks'!E345),"SELL",""))</f>
        <v/>
      </c>
      <c r="AA138" t="str">
        <f>IF(AND('Data Checks'!F348&gt;'Data Checks'!F347,'Data Checks'!F347&gt;'Data Checks'!F346,'Data Checks'!F346&gt;'Data Checks'!F345),"BUY",IF(AND('Data Checks'!F348&lt;'Data Checks'!F347,'Data Checks'!F347&lt;'Data Checks'!F346,'Data Checks'!F346&lt;'Data Checks'!F345),"SELL",""))</f>
        <v/>
      </c>
      <c r="AB138">
        <f>IF(W137="BUY",AB137*('Data Checks'!B348/'Data Checks'!B347),IF(W137="SELL",AB137*('Data Checks'!B347/'Data Checks'!B348),AB137))</f>
        <v>214.80430284193491</v>
      </c>
      <c r="AC138">
        <f>IF(X137="BUY",AC137*('Data Checks'!C348/'Data Checks'!C347),IF(X137="SELL",AC137*('Data Checks'!C347/'Data Checks'!C348),AC137))</f>
        <v>188.32909814150923</v>
      </c>
      <c r="AD138">
        <f>IF(Y137="BUY",AD137*('Data Checks'!D348/'Data Checks'!D347),IF(Y137="SELL",AD137*('Data Checks'!D347/'Data Checks'!D348),AD137))</f>
        <v>154.13933015842281</v>
      </c>
      <c r="AE138">
        <f>IF(Z137="BUY",AE137*('Data Checks'!E348/'Data Checks'!E347),IF(Z137="SELL",AE137*('Data Checks'!E347/'Data Checks'!E348),AE137))</f>
        <v>220.25215631658727</v>
      </c>
      <c r="AF138">
        <f>IF(AA137="BUY",AF137*('Data Checks'!F348/'Data Checks'!F347),IF(AA137="SELL",AF137*('Data Checks'!F347/'Data Checks'!F348),AF137))</f>
        <v>195.98613365902852</v>
      </c>
      <c r="AG138" s="16">
        <f t="shared" si="27"/>
        <v>973.51102111748276</v>
      </c>
      <c r="AH138" s="17">
        <f t="shared" si="31"/>
        <v>-6.7779440528085155E-3</v>
      </c>
      <c r="AJ138" t="str">
        <f>IF('Moving Ave'!G348&gt;'Moving Ave'!L348,"SELL","BUY")</f>
        <v>SELL</v>
      </c>
      <c r="AK138" t="str">
        <f>IF('Moving Ave'!H348&gt;'Moving Ave'!M348,"SELL","BUY")</f>
        <v>BUY</v>
      </c>
      <c r="AL138" t="str">
        <f>IF('Moving Ave'!I348&gt;'Moving Ave'!N348,"SELL","BUY")</f>
        <v>SELL</v>
      </c>
      <c r="AM138" t="str">
        <f>IF('Moving Ave'!J348&gt;'Moving Ave'!O348,"SELL","BUY")</f>
        <v>BUY</v>
      </c>
      <c r="AN138" t="str">
        <f>IF('Moving Ave'!K348&gt;'Moving Ave'!P348,"SELL","BUY")</f>
        <v>BUY</v>
      </c>
      <c r="AO138">
        <f>IF(AJ137="BUY",AO137*('Data Checks'!B348/'Data Checks'!B347),AO137*('Data Checks'!B347/'Data Checks'!B348))</f>
        <v>142.6970333043414</v>
      </c>
      <c r="AP138">
        <f>IF(AK137="BUY",AP137*('Data Checks'!C348/'Data Checks'!C347),AP137*('Data Checks'!C347/'Data Checks'!C348))</f>
        <v>121.36144072546219</v>
      </c>
      <c r="AQ138">
        <f>IF(AL137="BUY",AQ137*('Data Checks'!D348/'Data Checks'!D347),AQ137*('Data Checks'!D347/'Data Checks'!D348))</f>
        <v>308.32434616766113</v>
      </c>
      <c r="AR138">
        <f>IF(AM137="BUY",AR137*('Data Checks'!E348/'Data Checks'!E347),AR137*('Data Checks'!E347/'Data Checks'!E348))</f>
        <v>108.50351160015022</v>
      </c>
      <c r="AS138">
        <f>IF(AN137="BUY",AS137*('Data Checks'!F348/'Data Checks'!F347),AS137*('Data Checks'!F347/'Data Checks'!F348))</f>
        <v>204.19409559826263</v>
      </c>
      <c r="AT138" s="16">
        <f t="shared" si="28"/>
        <v>885.08042739587756</v>
      </c>
      <c r="AU138" s="17">
        <f t="shared" si="32"/>
        <v>9.5276944073052761E-3</v>
      </c>
    </row>
    <row r="139" spans="1:47" x14ac:dyDescent="0.35">
      <c r="A139" s="2">
        <f>Prices!A347</f>
        <v>44391</v>
      </c>
      <c r="B139">
        <f>B138*('Data Checks'!B349/'Data Checks'!B348)</f>
        <v>324.97194258738421</v>
      </c>
      <c r="C139">
        <f>C138*('Data Checks'!C349/'Data Checks'!C348)</f>
        <v>121.66625150282594</v>
      </c>
      <c r="D139">
        <f>D138*('Data Checks'!D349/'Data Checks'!D348)</f>
        <v>203.17248627771721</v>
      </c>
      <c r="E139">
        <f>E138*('Data Checks'!E349/'Data Checks'!E348)</f>
        <v>112.18612948824472</v>
      </c>
      <c r="F139">
        <f>F138*('Data Checks'!F349/'Data Checks'!F348)</f>
        <v>137.95898528315203</v>
      </c>
      <c r="G139" s="16">
        <f t="shared" si="25"/>
        <v>899.95579513932421</v>
      </c>
      <c r="H139" s="17">
        <f t="shared" si="29"/>
        <v>1.1511960220203843E-2</v>
      </c>
      <c r="J139" t="str">
        <f>IF(AND('Data Checks'!B349&gt;'Data Checks'!B348,'Data Checks'!B348&gt;'Data Checks'!B347,'Data Checks'!B347&gt;'Data Checks'!B346),"SELL",IF(AND('Data Checks'!B349&lt;'Data Checks'!B348,'Data Checks'!B348&lt;'Data Checks'!B347,'Data Checks'!B347&lt;'Data Checks'!B346),"BUY",""))</f>
        <v/>
      </c>
      <c r="K139" t="str">
        <f>IF(AND('Data Checks'!C349&gt;'Data Checks'!C348,'Data Checks'!C348&gt;'Data Checks'!C347,'Data Checks'!C347&gt;'Data Checks'!C346),"SELL",IF(AND('Data Checks'!C349&lt;'Data Checks'!C348,'Data Checks'!C348&lt;'Data Checks'!C347,'Data Checks'!C347&lt;'Data Checks'!C346),"BUY",""))</f>
        <v>SELL</v>
      </c>
      <c r="L139" t="str">
        <f>IF(AND('Data Checks'!D349&gt;'Data Checks'!D348,'Data Checks'!D348&gt;'Data Checks'!D347,'Data Checks'!D347&gt;'Data Checks'!D346),"SELL",IF(AND('Data Checks'!D349&lt;'Data Checks'!D348,'Data Checks'!D348&lt;'Data Checks'!D347,'Data Checks'!D347&lt;'Data Checks'!D346),"BUY",""))</f>
        <v/>
      </c>
      <c r="M139" t="str">
        <f>IF(AND('Data Checks'!E349&gt;'Data Checks'!E348,'Data Checks'!E348&gt;'Data Checks'!E347,'Data Checks'!E347&gt;'Data Checks'!E346),"SELL",IF(AND('Data Checks'!E349&lt;'Data Checks'!E348,'Data Checks'!E348&lt;'Data Checks'!E347,'Data Checks'!E347&lt;'Data Checks'!E346),"BUY",""))</f>
        <v>SELL</v>
      </c>
      <c r="N139" t="str">
        <f>IF(AND('Data Checks'!F349&gt;'Data Checks'!F348,'Data Checks'!F348&gt;'Data Checks'!F347,'Data Checks'!F347&gt;'Data Checks'!F346),"SELL",IF(AND('Data Checks'!F349&lt;'Data Checks'!F348,'Data Checks'!F348&lt;'Data Checks'!F347,'Data Checks'!F347&lt;'Data Checks'!F346),"BUY",""))</f>
        <v>SELL</v>
      </c>
      <c r="O139">
        <f>IF(J138="BUY",O138*('Data Checks'!B349/'Data Checks'!B348),IF(J138="SELL",O138*('Data Checks'!B348/'Data Checks'!B349),O138))</f>
        <v>186.21600904072329</v>
      </c>
      <c r="P139">
        <f>IF(K138="BUY",P138*('Data Checks'!C349/'Data Checks'!C348),IF(K138="SELL",P138*('Data Checks'!C348/'Data Checks'!C349),P138))</f>
        <v>212.39415679644088</v>
      </c>
      <c r="Q139">
        <f>IF(L138="BUY",Q138*('Data Checks'!D349/'Data Checks'!D348),IF(L138="SELL",Q138*('Data Checks'!D348/'Data Checks'!D349),Q138))</f>
        <v>259.50547442296795</v>
      </c>
      <c r="R139">
        <f>IF(M138="BUY",R138*('Data Checks'!E349/'Data Checks'!E348),IF(M138="SELL",R138*('Data Checks'!E348/'Data Checks'!E349),R138))</f>
        <v>181.61002674818113</v>
      </c>
      <c r="S139">
        <f>IF(N138="BUY",S138*('Data Checks'!F349/'Data Checks'!F348),IF(N138="SELL",S138*('Data Checks'!F348/'Data Checks'!F349),S138))</f>
        <v>204.09607176388789</v>
      </c>
      <c r="T139" s="16">
        <f t="shared" si="26"/>
        <v>1043.8217387722011</v>
      </c>
      <c r="U139" s="17">
        <f t="shared" si="30"/>
        <v>0</v>
      </c>
      <c r="W139" t="str">
        <f>IF(AND('Data Checks'!B349&gt;'Data Checks'!B348,'Data Checks'!B348&gt;'Data Checks'!B347,'Data Checks'!B347&gt;'Data Checks'!B346),"BUY",IF(AND('Data Checks'!B349&lt;'Data Checks'!B348,'Data Checks'!B348&lt;'Data Checks'!B347,'Data Checks'!B347&lt;'Data Checks'!B346),"SELL",""))</f>
        <v/>
      </c>
      <c r="X139" t="str">
        <f>IF(AND('Data Checks'!C349&gt;'Data Checks'!C348,'Data Checks'!C348&gt;'Data Checks'!C347,'Data Checks'!C347&gt;'Data Checks'!C346),"BUY",IF(AND('Data Checks'!C349&lt;'Data Checks'!C348,'Data Checks'!C348&lt;'Data Checks'!C347,'Data Checks'!C347&lt;'Data Checks'!C346),"SELL",""))</f>
        <v>BUY</v>
      </c>
      <c r="Y139" t="str">
        <f>IF(AND('Data Checks'!D349&gt;'Data Checks'!D348,'Data Checks'!D348&gt;'Data Checks'!D347,'Data Checks'!D347&gt;'Data Checks'!D346),"BUY",IF(AND('Data Checks'!D349&lt;'Data Checks'!D348,'Data Checks'!D348&lt;'Data Checks'!D347,'Data Checks'!D347&lt;'Data Checks'!D346),"SELL",""))</f>
        <v/>
      </c>
      <c r="Z139" t="str">
        <f>IF(AND('Data Checks'!E349&gt;'Data Checks'!E348,'Data Checks'!E348&gt;'Data Checks'!E347,'Data Checks'!E347&gt;'Data Checks'!E346),"BUY",IF(AND('Data Checks'!E349&lt;'Data Checks'!E348,'Data Checks'!E348&lt;'Data Checks'!E347,'Data Checks'!E347&lt;'Data Checks'!E346),"SELL",""))</f>
        <v>BUY</v>
      </c>
      <c r="AA139" t="str">
        <f>IF(AND('Data Checks'!F349&gt;'Data Checks'!F348,'Data Checks'!F348&gt;'Data Checks'!F347,'Data Checks'!F347&gt;'Data Checks'!F346),"BUY",IF(AND('Data Checks'!F349&lt;'Data Checks'!F348,'Data Checks'!F348&lt;'Data Checks'!F347,'Data Checks'!F347&lt;'Data Checks'!F346),"SELL",""))</f>
        <v>BUY</v>
      </c>
      <c r="AB139">
        <f>IF(W138="BUY",AB138*('Data Checks'!B349/'Data Checks'!B348),IF(W138="SELL",AB138*('Data Checks'!B348/'Data Checks'!B349),AB138))</f>
        <v>214.80430284193491</v>
      </c>
      <c r="AC139">
        <f>IF(X138="BUY",AC138*('Data Checks'!C349/'Data Checks'!C348),IF(X138="SELL",AC138*('Data Checks'!C348/'Data Checks'!C349),AC138))</f>
        <v>188.32909814150923</v>
      </c>
      <c r="AD139">
        <f>IF(Y138="BUY",AD138*('Data Checks'!D349/'Data Checks'!D348),IF(Y138="SELL",AD138*('Data Checks'!D348/'Data Checks'!D349),AD138))</f>
        <v>154.13933015842281</v>
      </c>
      <c r="AE139">
        <f>IF(Z138="BUY",AE138*('Data Checks'!E349/'Data Checks'!E348),IF(Z138="SELL",AE138*('Data Checks'!E348/'Data Checks'!E349),AE138))</f>
        <v>220.25215631658727</v>
      </c>
      <c r="AF139">
        <f>IF(AA138="BUY",AF138*('Data Checks'!F349/'Data Checks'!F348),IF(AA138="SELL",AF138*('Data Checks'!F348/'Data Checks'!F349),AF138))</f>
        <v>195.98613365902852</v>
      </c>
      <c r="AG139" s="16">
        <f t="shared" si="27"/>
        <v>973.51102111748276</v>
      </c>
      <c r="AH139" s="17">
        <f t="shared" si="31"/>
        <v>0</v>
      </c>
      <c r="AJ139" t="str">
        <f>IF('Moving Ave'!G349&gt;'Moving Ave'!L349,"SELL","BUY")</f>
        <v>SELL</v>
      </c>
      <c r="AK139" t="str">
        <f>IF('Moving Ave'!H349&gt;'Moving Ave'!M349,"SELL","BUY")</f>
        <v>BUY</v>
      </c>
      <c r="AL139" t="str">
        <f>IF('Moving Ave'!I349&gt;'Moving Ave'!N349,"SELL","BUY")</f>
        <v>SELL</v>
      </c>
      <c r="AM139" t="str">
        <f>IF('Moving Ave'!J349&gt;'Moving Ave'!O349,"SELL","BUY")</f>
        <v>BUY</v>
      </c>
      <c r="AN139" t="str">
        <f>IF('Moving Ave'!K349&gt;'Moving Ave'!P349,"SELL","BUY")</f>
        <v>BUY</v>
      </c>
      <c r="AO139">
        <f>IF(AJ138="BUY",AO138*('Data Checks'!B349/'Data Checks'!B348),AO138*('Data Checks'!B348/'Data Checks'!B349))</f>
        <v>143.62243559554983</v>
      </c>
      <c r="AP139">
        <f>IF(AK138="BUY",AP138*('Data Checks'!C349/'Data Checks'!C348),AP138*('Data Checks'!C348/'Data Checks'!C349))</f>
        <v>121.66625150282594</v>
      </c>
      <c r="AQ139">
        <f>IF(AL138="BUY",AQ138*('Data Checks'!D349/'Data Checks'!D348),AQ138*('Data Checks'!D348/'Data Checks'!D349))</f>
        <v>297.73266497945576</v>
      </c>
      <c r="AR139">
        <f>IF(AM138="BUY",AR138*('Data Checks'!E349/'Data Checks'!E348),AR138*('Data Checks'!E348/'Data Checks'!E349))</f>
        <v>112.18612948824472</v>
      </c>
      <c r="AS139">
        <f>IF(AN138="BUY",AS138*('Data Checks'!F349/'Data Checks'!F348),AS138*('Data Checks'!F348/'Data Checks'!F349))</f>
        <v>206.26169917534367</v>
      </c>
      <c r="AT139" s="16">
        <f t="shared" si="28"/>
        <v>881.4691807414199</v>
      </c>
      <c r="AU139" s="17">
        <f t="shared" si="32"/>
        <v>-4.0801338982072721E-3</v>
      </c>
    </row>
    <row r="140" spans="1:47" x14ac:dyDescent="0.35">
      <c r="A140" s="2">
        <f>Prices!A348</f>
        <v>44392</v>
      </c>
      <c r="B140">
        <f>B139*('Data Checks'!B350/'Data Checks'!B349)</f>
        <v>317.05524219021402</v>
      </c>
      <c r="C140">
        <f>C139*('Data Checks'!C350/'Data Checks'!C349)</f>
        <v>123.29184971531257</v>
      </c>
      <c r="D140">
        <f>D139*('Data Checks'!D350/'Data Checks'!D349)</f>
        <v>203.27266660999604</v>
      </c>
      <c r="E140">
        <f>E139*('Data Checks'!E350/'Data Checks'!E349)</f>
        <v>113.75962123335712</v>
      </c>
      <c r="F140">
        <f>F139*('Data Checks'!F350/'Data Checks'!F349)</f>
        <v>140.20028812875961</v>
      </c>
      <c r="G140" s="16">
        <f t="shared" si="25"/>
        <v>897.57966787763939</v>
      </c>
      <c r="H140" s="17">
        <f t="shared" si="29"/>
        <v>-2.6402710827779785E-3</v>
      </c>
      <c r="J140" t="str">
        <f>IF(AND('Data Checks'!B350&gt;'Data Checks'!B349,'Data Checks'!B349&gt;'Data Checks'!B348,'Data Checks'!B348&gt;'Data Checks'!B347),"SELL",IF(AND('Data Checks'!B350&lt;'Data Checks'!B349,'Data Checks'!B349&lt;'Data Checks'!B348,'Data Checks'!B348&lt;'Data Checks'!B347),"BUY",""))</f>
        <v>BUY</v>
      </c>
      <c r="K140" t="str">
        <f>IF(AND('Data Checks'!C350&gt;'Data Checks'!C349,'Data Checks'!C349&gt;'Data Checks'!C348,'Data Checks'!C348&gt;'Data Checks'!C347),"SELL",IF(AND('Data Checks'!C350&lt;'Data Checks'!C349,'Data Checks'!C349&lt;'Data Checks'!C348,'Data Checks'!C348&lt;'Data Checks'!C347),"BUY",""))</f>
        <v>SELL</v>
      </c>
      <c r="L140" t="str">
        <f>IF(AND('Data Checks'!D350&gt;'Data Checks'!D349,'Data Checks'!D349&gt;'Data Checks'!D348,'Data Checks'!D348&gt;'Data Checks'!D347),"SELL",IF(AND('Data Checks'!D350&lt;'Data Checks'!D349,'Data Checks'!D349&lt;'Data Checks'!D348,'Data Checks'!D348&lt;'Data Checks'!D347),"BUY",""))</f>
        <v/>
      </c>
      <c r="M140" t="str">
        <f>IF(AND('Data Checks'!E350&gt;'Data Checks'!E349,'Data Checks'!E349&gt;'Data Checks'!E348,'Data Checks'!E348&gt;'Data Checks'!E347),"SELL",IF(AND('Data Checks'!E350&lt;'Data Checks'!E349,'Data Checks'!E349&lt;'Data Checks'!E348,'Data Checks'!E348&lt;'Data Checks'!E347),"BUY",""))</f>
        <v>SELL</v>
      </c>
      <c r="N140" t="str">
        <f>IF(AND('Data Checks'!F350&gt;'Data Checks'!F349,'Data Checks'!F349&gt;'Data Checks'!F348,'Data Checks'!F348&gt;'Data Checks'!F347),"SELL",IF(AND('Data Checks'!F350&lt;'Data Checks'!F349,'Data Checks'!F349&lt;'Data Checks'!F348,'Data Checks'!F348&lt;'Data Checks'!F347),"BUY",""))</f>
        <v>SELL</v>
      </c>
      <c r="O140">
        <f>IF(J139="BUY",O139*('Data Checks'!B350/'Data Checks'!B349),IF(J139="SELL",O139*('Data Checks'!B349/'Data Checks'!B350),O139))</f>
        <v>186.21600904072329</v>
      </c>
      <c r="P140">
        <f>IF(K139="BUY",P139*('Data Checks'!C350/'Data Checks'!C349),IF(K139="SELL",P139*('Data Checks'!C349/'Data Checks'!C350),P139))</f>
        <v>209.59374815281896</v>
      </c>
      <c r="Q140">
        <f>IF(L139="BUY",Q139*('Data Checks'!D350/'Data Checks'!D349),IF(L139="SELL",Q139*('Data Checks'!D349/'Data Checks'!D350),Q139))</f>
        <v>259.50547442296795</v>
      </c>
      <c r="R140">
        <f>IF(M139="BUY",R139*('Data Checks'!E350/'Data Checks'!E349),IF(M139="SELL",R139*('Data Checks'!E349/'Data Checks'!E350),R139))</f>
        <v>179.09804688379921</v>
      </c>
      <c r="S140">
        <f>IF(N139="BUY",S139*('Data Checks'!F350/'Data Checks'!F349),IF(N139="SELL",S139*('Data Checks'!F349/'Data Checks'!F350),S139))</f>
        <v>200.83330310251668</v>
      </c>
      <c r="T140" s="16">
        <f t="shared" si="26"/>
        <v>1035.2465816028262</v>
      </c>
      <c r="U140" s="17">
        <f t="shared" si="30"/>
        <v>-8.2151548016824449E-3</v>
      </c>
      <c r="W140" t="str">
        <f>IF(AND('Data Checks'!B350&gt;'Data Checks'!B349,'Data Checks'!B349&gt;'Data Checks'!B348,'Data Checks'!B348&gt;'Data Checks'!B347),"BUY",IF(AND('Data Checks'!B350&lt;'Data Checks'!B349,'Data Checks'!B349&lt;'Data Checks'!B348,'Data Checks'!B348&lt;'Data Checks'!B347),"SELL",""))</f>
        <v>SELL</v>
      </c>
      <c r="X140" t="str">
        <f>IF(AND('Data Checks'!C350&gt;'Data Checks'!C349,'Data Checks'!C349&gt;'Data Checks'!C348,'Data Checks'!C348&gt;'Data Checks'!C347),"BUY",IF(AND('Data Checks'!C350&lt;'Data Checks'!C349,'Data Checks'!C349&lt;'Data Checks'!C348,'Data Checks'!C348&lt;'Data Checks'!C347),"SELL",""))</f>
        <v>BUY</v>
      </c>
      <c r="Y140" t="str">
        <f>IF(AND('Data Checks'!D350&gt;'Data Checks'!D349,'Data Checks'!D349&gt;'Data Checks'!D348,'Data Checks'!D348&gt;'Data Checks'!D347),"BUY",IF(AND('Data Checks'!D350&lt;'Data Checks'!D349,'Data Checks'!D349&lt;'Data Checks'!D348,'Data Checks'!D348&lt;'Data Checks'!D347),"SELL",""))</f>
        <v/>
      </c>
      <c r="Z140" t="str">
        <f>IF(AND('Data Checks'!E350&gt;'Data Checks'!E349,'Data Checks'!E349&gt;'Data Checks'!E348,'Data Checks'!E348&gt;'Data Checks'!E347),"BUY",IF(AND('Data Checks'!E350&lt;'Data Checks'!E349,'Data Checks'!E349&lt;'Data Checks'!E348,'Data Checks'!E348&lt;'Data Checks'!E347),"SELL",""))</f>
        <v>BUY</v>
      </c>
      <c r="AA140" t="str">
        <f>IF(AND('Data Checks'!F350&gt;'Data Checks'!F349,'Data Checks'!F349&gt;'Data Checks'!F348,'Data Checks'!F348&gt;'Data Checks'!F347),"BUY",IF(AND('Data Checks'!F350&lt;'Data Checks'!F349,'Data Checks'!F349&lt;'Data Checks'!F348,'Data Checks'!F348&lt;'Data Checks'!F347),"SELL",""))</f>
        <v>BUY</v>
      </c>
      <c r="AB140">
        <f>IF(W139="BUY",AB139*('Data Checks'!B350/'Data Checks'!B349),IF(W139="SELL",AB139*('Data Checks'!B349/'Data Checks'!B350),AB139))</f>
        <v>214.80430284193491</v>
      </c>
      <c r="AC140">
        <f>IF(X139="BUY",AC139*('Data Checks'!C350/'Data Checks'!C349),IF(X139="SELL",AC139*('Data Checks'!C349/'Data Checks'!C350),AC139))</f>
        <v>190.84538710016878</v>
      </c>
      <c r="AD140">
        <f>IF(Y139="BUY",AD139*('Data Checks'!D350/'Data Checks'!D349),IF(Y139="SELL",AD139*('Data Checks'!D349/'Data Checks'!D350),AD139))</f>
        <v>154.13933015842281</v>
      </c>
      <c r="AE140">
        <f>IF(Z139="BUY",AE139*('Data Checks'!E350/'Data Checks'!E349),IF(Z139="SELL",AE139*('Data Checks'!E349/'Data Checks'!E350),AE139))</f>
        <v>223.34135238198564</v>
      </c>
      <c r="AF140">
        <f>IF(AA139="BUY",AF139*('Data Checks'!F350/'Data Checks'!F349),IF(AA139="SELL",AF139*('Data Checks'!F349/'Data Checks'!F350),AF139))</f>
        <v>199.17015446179138</v>
      </c>
      <c r="AG140" s="16">
        <f t="shared" si="27"/>
        <v>982.30052694430356</v>
      </c>
      <c r="AH140" s="17">
        <f t="shared" si="31"/>
        <v>9.0286659690113069E-3</v>
      </c>
      <c r="AJ140" t="str">
        <f>IF('Moving Ave'!G350&gt;'Moving Ave'!L350,"SELL","BUY")</f>
        <v>SELL</v>
      </c>
      <c r="AK140" t="str">
        <f>IF('Moving Ave'!H350&gt;'Moving Ave'!M350,"SELL","BUY")</f>
        <v>BUY</v>
      </c>
      <c r="AL140" t="str">
        <f>IF('Moving Ave'!I350&gt;'Moving Ave'!N350,"SELL","BUY")</f>
        <v>SELL</v>
      </c>
      <c r="AM140" t="str">
        <f>IF('Moving Ave'!J350&gt;'Moving Ave'!O350,"SELL","BUY")</f>
        <v>BUY</v>
      </c>
      <c r="AN140" t="str">
        <f>IF('Moving Ave'!K350&gt;'Moving Ave'!P350,"SELL","BUY")</f>
        <v>BUY</v>
      </c>
      <c r="AO140">
        <f>IF(AJ139="BUY",AO139*('Data Checks'!B350/'Data Checks'!B349),AO139*('Data Checks'!B349/'Data Checks'!B350))</f>
        <v>147.20861125713913</v>
      </c>
      <c r="AP140">
        <f>IF(AK139="BUY",AP139*('Data Checks'!C350/'Data Checks'!C349),AP139*('Data Checks'!C349/'Data Checks'!C350))</f>
        <v>123.29184971531257</v>
      </c>
      <c r="AQ140">
        <f>IF(AL139="BUY",AQ139*('Data Checks'!D350/'Data Checks'!D349),AQ139*('Data Checks'!D349/'Data Checks'!D350))</f>
        <v>297.58593124586855</v>
      </c>
      <c r="AR140">
        <f>IF(AM139="BUY",AR139*('Data Checks'!E350/'Data Checks'!E349),AR139*('Data Checks'!E349/'Data Checks'!E350))</f>
        <v>113.75962123335712</v>
      </c>
      <c r="AS140">
        <f>IF(AN139="BUY",AS139*('Data Checks'!F350/'Data Checks'!F349),AS139*('Data Checks'!F349/'Data Checks'!F350))</f>
        <v>209.61265839233647</v>
      </c>
      <c r="AT140" s="16">
        <f t="shared" si="28"/>
        <v>891.45867184401391</v>
      </c>
      <c r="AU140" s="17">
        <f t="shared" si="32"/>
        <v>1.1332774101292742E-2</v>
      </c>
    </row>
    <row r="141" spans="1:47" x14ac:dyDescent="0.35">
      <c r="A141" s="2">
        <f>Prices!A349</f>
        <v>44393</v>
      </c>
      <c r="B141">
        <f>B140*('Data Checks'!B351/'Data Checks'!B350)</f>
        <v>316.1100190404162</v>
      </c>
      <c r="C141">
        <f>C140*('Data Checks'!C351/'Data Checks'!C350)</f>
        <v>122.4790531490744</v>
      </c>
      <c r="D141">
        <f>D140*('Data Checks'!D351/'Data Checks'!D350)</f>
        <v>204.30790122404238</v>
      </c>
      <c r="E141">
        <f>E140*('Data Checks'!E351/'Data Checks'!E350)</f>
        <v>112.0857009680046</v>
      </c>
      <c r="F141">
        <f>F140*('Data Checks'!F351/'Data Checks'!F350)</f>
        <v>139.58036060439252</v>
      </c>
      <c r="G141" s="16">
        <f t="shared" si="25"/>
        <v>894.56303498593024</v>
      </c>
      <c r="H141" s="17">
        <f t="shared" si="29"/>
        <v>-3.3608525233665976E-3</v>
      </c>
      <c r="J141" t="str">
        <f>IF(AND('Data Checks'!B351&gt;'Data Checks'!B350,'Data Checks'!B350&gt;'Data Checks'!B349,'Data Checks'!B349&gt;'Data Checks'!B348),"SELL",IF(AND('Data Checks'!B351&lt;'Data Checks'!B350,'Data Checks'!B350&lt;'Data Checks'!B349,'Data Checks'!B349&lt;'Data Checks'!B348),"BUY",""))</f>
        <v>BUY</v>
      </c>
      <c r="K141" t="str">
        <f>IF(AND('Data Checks'!C351&gt;'Data Checks'!C350,'Data Checks'!C350&gt;'Data Checks'!C349,'Data Checks'!C349&gt;'Data Checks'!C348),"SELL",IF(AND('Data Checks'!C351&lt;'Data Checks'!C350,'Data Checks'!C350&lt;'Data Checks'!C349,'Data Checks'!C349&lt;'Data Checks'!C348),"BUY",""))</f>
        <v/>
      </c>
      <c r="L141" t="str">
        <f>IF(AND('Data Checks'!D351&gt;'Data Checks'!D350,'Data Checks'!D350&gt;'Data Checks'!D349,'Data Checks'!D349&gt;'Data Checks'!D348),"SELL",IF(AND('Data Checks'!D351&lt;'Data Checks'!D350,'Data Checks'!D350&lt;'Data Checks'!D349,'Data Checks'!D349&lt;'Data Checks'!D348),"BUY",""))</f>
        <v>SELL</v>
      </c>
      <c r="M141" t="str">
        <f>IF(AND('Data Checks'!E351&gt;'Data Checks'!E350,'Data Checks'!E350&gt;'Data Checks'!E349,'Data Checks'!E349&gt;'Data Checks'!E348),"SELL",IF(AND('Data Checks'!E351&lt;'Data Checks'!E350,'Data Checks'!E350&lt;'Data Checks'!E349,'Data Checks'!E349&lt;'Data Checks'!E348),"BUY",""))</f>
        <v/>
      </c>
      <c r="N141" t="str">
        <f>IF(AND('Data Checks'!F351&gt;'Data Checks'!F350,'Data Checks'!F350&gt;'Data Checks'!F349,'Data Checks'!F349&gt;'Data Checks'!F348),"SELL",IF(AND('Data Checks'!F351&lt;'Data Checks'!F350,'Data Checks'!F350&lt;'Data Checks'!F349,'Data Checks'!F349&lt;'Data Checks'!F348),"BUY",""))</f>
        <v/>
      </c>
      <c r="O141">
        <f>IF(J140="BUY",O140*('Data Checks'!B351/'Data Checks'!B350),IF(J140="SELL",O140*('Data Checks'!B350/'Data Checks'!B351),O140))</f>
        <v>185.66085126634829</v>
      </c>
      <c r="P141">
        <f>IF(K140="BUY",P140*('Data Checks'!C351/'Data Checks'!C350),IF(K140="SELL",P140*('Data Checks'!C350/'Data Checks'!C351),P140))</f>
        <v>210.98465602174448</v>
      </c>
      <c r="Q141">
        <f>IF(L140="BUY",Q140*('Data Checks'!D351/'Data Checks'!D350),IF(L140="SELL",Q140*('Data Checks'!D350/'Data Checks'!D351),Q140))</f>
        <v>259.50547442296795</v>
      </c>
      <c r="R141">
        <f>IF(M140="BUY",R140*('Data Checks'!E351/'Data Checks'!E350),IF(M140="SELL",R140*('Data Checks'!E350/'Data Checks'!E351),R140))</f>
        <v>181.77274889819284</v>
      </c>
      <c r="S141">
        <f>IF(N140="BUY",S140*('Data Checks'!F351/'Data Checks'!F350),IF(N140="SELL",S140*('Data Checks'!F350/'Data Checks'!F351),S140))</f>
        <v>201.72527738789401</v>
      </c>
      <c r="T141" s="16">
        <f t="shared" si="26"/>
        <v>1039.6490079971475</v>
      </c>
      <c r="U141" s="17">
        <f t="shared" si="30"/>
        <v>4.2525389337728647E-3</v>
      </c>
      <c r="W141" t="str">
        <f>IF(AND('Data Checks'!B351&gt;'Data Checks'!B350,'Data Checks'!B350&gt;'Data Checks'!B349,'Data Checks'!B349&gt;'Data Checks'!B348),"BUY",IF(AND('Data Checks'!B351&lt;'Data Checks'!B350,'Data Checks'!B350&lt;'Data Checks'!B349,'Data Checks'!B349&lt;'Data Checks'!B348),"SELL",""))</f>
        <v>SELL</v>
      </c>
      <c r="X141" t="str">
        <f>IF(AND('Data Checks'!C351&gt;'Data Checks'!C350,'Data Checks'!C350&gt;'Data Checks'!C349,'Data Checks'!C349&gt;'Data Checks'!C348),"BUY",IF(AND('Data Checks'!C351&lt;'Data Checks'!C350,'Data Checks'!C350&lt;'Data Checks'!C349,'Data Checks'!C349&lt;'Data Checks'!C348),"SELL",""))</f>
        <v/>
      </c>
      <c r="Y141" t="str">
        <f>IF(AND('Data Checks'!D351&gt;'Data Checks'!D350,'Data Checks'!D350&gt;'Data Checks'!D349,'Data Checks'!D349&gt;'Data Checks'!D348),"BUY",IF(AND('Data Checks'!D351&lt;'Data Checks'!D350,'Data Checks'!D350&lt;'Data Checks'!D349,'Data Checks'!D349&lt;'Data Checks'!D348),"SELL",""))</f>
        <v>BUY</v>
      </c>
      <c r="Z141" t="str">
        <f>IF(AND('Data Checks'!E351&gt;'Data Checks'!E350,'Data Checks'!E350&gt;'Data Checks'!E349,'Data Checks'!E349&gt;'Data Checks'!E348),"BUY",IF(AND('Data Checks'!E351&lt;'Data Checks'!E350,'Data Checks'!E350&lt;'Data Checks'!E349,'Data Checks'!E349&lt;'Data Checks'!E348),"SELL",""))</f>
        <v/>
      </c>
      <c r="AA141" t="str">
        <f>IF(AND('Data Checks'!F351&gt;'Data Checks'!F350,'Data Checks'!F350&gt;'Data Checks'!F349,'Data Checks'!F349&gt;'Data Checks'!F348),"BUY",IF(AND('Data Checks'!F351&lt;'Data Checks'!F350,'Data Checks'!F350&lt;'Data Checks'!F349,'Data Checks'!F349&lt;'Data Checks'!F348),"SELL",""))</f>
        <v/>
      </c>
      <c r="AB141">
        <f>IF(W140="BUY",AB140*('Data Checks'!B351/'Data Checks'!B350),IF(W140="SELL",AB140*('Data Checks'!B350/'Data Checks'!B351),AB140))</f>
        <v>215.44660453277891</v>
      </c>
      <c r="AC141">
        <f>IF(X140="BUY",AC140*('Data Checks'!C351/'Data Checks'!C350),IF(X140="SELL",AC140*('Data Checks'!C350/'Data Checks'!C351),AC140))</f>
        <v>189.58724655255281</v>
      </c>
      <c r="AD141">
        <f>IF(Y140="BUY",AD140*('Data Checks'!D351/'Data Checks'!D350),IF(Y140="SELL",AD140*('Data Checks'!D350/'Data Checks'!D351),AD140))</f>
        <v>154.13933015842281</v>
      </c>
      <c r="AE141">
        <f>IF(Z140="BUY",AE140*('Data Checks'!E351/'Data Checks'!E350),IF(Z140="SELL",AE140*('Data Checks'!E350/'Data Checks'!E351),AE140))</f>
        <v>220.05498757353971</v>
      </c>
      <c r="AF141">
        <f>IF(AA140="BUY",AF140*('Data Checks'!F351/'Data Checks'!F350),IF(AA140="SELL",AF140*('Data Checks'!F350/'Data Checks'!F351),AF140))</f>
        <v>198.28947823472177</v>
      </c>
      <c r="AG141" s="16">
        <f t="shared" si="27"/>
        <v>977.51764705201595</v>
      </c>
      <c r="AH141" s="17">
        <f t="shared" si="31"/>
        <v>-4.8690596829525923E-3</v>
      </c>
      <c r="AJ141" t="str">
        <f>IF('Moving Ave'!G351&gt;'Moving Ave'!L351,"SELL","BUY")</f>
        <v>SELL</v>
      </c>
      <c r="AK141" t="str">
        <f>IF('Moving Ave'!H351&gt;'Moving Ave'!M351,"SELL","BUY")</f>
        <v>BUY</v>
      </c>
      <c r="AL141" t="str">
        <f>IF('Moving Ave'!I351&gt;'Moving Ave'!N351,"SELL","BUY")</f>
        <v>SELL</v>
      </c>
      <c r="AM141" t="str">
        <f>IF('Moving Ave'!J351&gt;'Moving Ave'!O351,"SELL","BUY")</f>
        <v>BUY</v>
      </c>
      <c r="AN141" t="str">
        <f>IF('Moving Ave'!K351&gt;'Moving Ave'!P351,"SELL","BUY")</f>
        <v>BUY</v>
      </c>
      <c r="AO141">
        <f>IF(AJ140="BUY",AO140*('Data Checks'!B351/'Data Checks'!B350),AO140*('Data Checks'!B350/'Data Checks'!B351))</f>
        <v>147.64879024176045</v>
      </c>
      <c r="AP141">
        <f>IF(AK140="BUY",AP140*('Data Checks'!C351/'Data Checks'!C350),AP140*('Data Checks'!C350/'Data Checks'!C351))</f>
        <v>122.4790531490744</v>
      </c>
      <c r="AQ141">
        <f>IF(AL140="BUY",AQ140*('Data Checks'!D351/'Data Checks'!D350),AQ140*('Data Checks'!D350/'Data Checks'!D351))</f>
        <v>296.07805389588248</v>
      </c>
      <c r="AR141">
        <f>IF(AM140="BUY",AR140*('Data Checks'!E351/'Data Checks'!E350),AR140*('Data Checks'!E350/'Data Checks'!E351))</f>
        <v>112.0857009680046</v>
      </c>
      <c r="AS141">
        <f>IF(AN140="BUY",AS140*('Data Checks'!F351/'Data Checks'!F350),AS140*('Data Checks'!F350/'Data Checks'!F351))</f>
        <v>208.68580825438366</v>
      </c>
      <c r="AT141" s="16">
        <f t="shared" si="28"/>
        <v>886.97740650910566</v>
      </c>
      <c r="AU141" s="17">
        <f t="shared" si="32"/>
        <v>-5.0268907313881783E-3</v>
      </c>
    </row>
    <row r="142" spans="1:47" x14ac:dyDescent="0.35">
      <c r="A142" s="2">
        <f>Prices!A350</f>
        <v>44394</v>
      </c>
      <c r="B142">
        <f>B141*('Data Checks'!B352/'Data Checks'!B351)</f>
        <v>312.11320861263556</v>
      </c>
      <c r="C142">
        <f>C141*('Data Checks'!C352/'Data Checks'!C351)</f>
        <v>119.93904800454798</v>
      </c>
      <c r="D142">
        <f>D141*('Data Checks'!D352/'Data Checks'!D351)</f>
        <v>207.54717995570508</v>
      </c>
      <c r="E142">
        <f>E141*('Data Checks'!E352/'Data Checks'!E351)</f>
        <v>110.17743186550273</v>
      </c>
      <c r="F142">
        <f>F141*('Data Checks'!F352/'Data Checks'!F351)</f>
        <v>139.48498053626594</v>
      </c>
      <c r="G142" s="16">
        <f t="shared" si="25"/>
        <v>889.26184897465737</v>
      </c>
      <c r="H142" s="17">
        <f t="shared" si="29"/>
        <v>-5.9260061101856776E-3</v>
      </c>
      <c r="J142" t="str">
        <f>IF(AND('Data Checks'!B352&gt;'Data Checks'!B351,'Data Checks'!B351&gt;'Data Checks'!B350,'Data Checks'!B350&gt;'Data Checks'!B349),"SELL",IF(AND('Data Checks'!B352&lt;'Data Checks'!B351,'Data Checks'!B351&lt;'Data Checks'!B350,'Data Checks'!B350&lt;'Data Checks'!B349),"BUY",""))</f>
        <v>BUY</v>
      </c>
      <c r="K142" t="str">
        <f>IF(AND('Data Checks'!C352&gt;'Data Checks'!C351,'Data Checks'!C351&gt;'Data Checks'!C350,'Data Checks'!C350&gt;'Data Checks'!C349),"SELL",IF(AND('Data Checks'!C352&lt;'Data Checks'!C351,'Data Checks'!C351&lt;'Data Checks'!C350,'Data Checks'!C350&lt;'Data Checks'!C349),"BUY",""))</f>
        <v/>
      </c>
      <c r="L142" t="str">
        <f>IF(AND('Data Checks'!D352&gt;'Data Checks'!D351,'Data Checks'!D351&gt;'Data Checks'!D350,'Data Checks'!D350&gt;'Data Checks'!D349),"SELL",IF(AND('Data Checks'!D352&lt;'Data Checks'!D351,'Data Checks'!D351&lt;'Data Checks'!D350,'Data Checks'!D350&lt;'Data Checks'!D349),"BUY",""))</f>
        <v>SELL</v>
      </c>
      <c r="M142" t="str">
        <f>IF(AND('Data Checks'!E352&gt;'Data Checks'!E351,'Data Checks'!E351&gt;'Data Checks'!E350,'Data Checks'!E350&gt;'Data Checks'!E349),"SELL",IF(AND('Data Checks'!E352&lt;'Data Checks'!E351,'Data Checks'!E351&lt;'Data Checks'!E350,'Data Checks'!E350&lt;'Data Checks'!E349),"BUY",""))</f>
        <v/>
      </c>
      <c r="N142" t="str">
        <f>IF(AND('Data Checks'!F352&gt;'Data Checks'!F351,'Data Checks'!F351&gt;'Data Checks'!F350,'Data Checks'!F350&gt;'Data Checks'!F349),"SELL",IF(AND('Data Checks'!F352&lt;'Data Checks'!F351,'Data Checks'!F351&lt;'Data Checks'!F350,'Data Checks'!F350&lt;'Data Checks'!F349),"BUY",""))</f>
        <v/>
      </c>
      <c r="O142">
        <f>IF(J141="BUY",O141*('Data Checks'!B352/'Data Checks'!B351),IF(J141="SELL",O141*('Data Checks'!B351/'Data Checks'!B352),O141))</f>
        <v>183.31340518215094</v>
      </c>
      <c r="P142">
        <f>IF(K141="BUY",P141*('Data Checks'!C352/'Data Checks'!C351),IF(K141="SELL",P141*('Data Checks'!C351/'Data Checks'!C352),P141))</f>
        <v>210.98465602174448</v>
      </c>
      <c r="Q142">
        <f>IF(L141="BUY",Q141*('Data Checks'!D352/'Data Checks'!D351),IF(L141="SELL",Q141*('Data Checks'!D351/'Data Checks'!D352),Q141))</f>
        <v>255.45526008506289</v>
      </c>
      <c r="R142">
        <f>IF(M141="BUY",R141*('Data Checks'!E352/'Data Checks'!E351),IF(M141="SELL",R141*('Data Checks'!E351/'Data Checks'!E352),R141))</f>
        <v>181.77274889819284</v>
      </c>
      <c r="S142">
        <f>IF(N141="BUY",S141*('Data Checks'!F352/'Data Checks'!F351),IF(N141="SELL",S141*('Data Checks'!F351/'Data Checks'!F352),S141))</f>
        <v>201.72527738789401</v>
      </c>
      <c r="T142" s="16">
        <f t="shared" si="26"/>
        <v>1033.2513475750452</v>
      </c>
      <c r="U142" s="17">
        <f t="shared" si="30"/>
        <v>-6.153673377159441E-3</v>
      </c>
      <c r="W142" t="str">
        <f>IF(AND('Data Checks'!B352&gt;'Data Checks'!B351,'Data Checks'!B351&gt;'Data Checks'!B350,'Data Checks'!B350&gt;'Data Checks'!B349),"BUY",IF(AND('Data Checks'!B352&lt;'Data Checks'!B351,'Data Checks'!B351&lt;'Data Checks'!B350,'Data Checks'!B350&lt;'Data Checks'!B349),"SELL",""))</f>
        <v>SELL</v>
      </c>
      <c r="X142" t="str">
        <f>IF(AND('Data Checks'!C352&gt;'Data Checks'!C351,'Data Checks'!C351&gt;'Data Checks'!C350,'Data Checks'!C350&gt;'Data Checks'!C349),"BUY",IF(AND('Data Checks'!C352&lt;'Data Checks'!C351,'Data Checks'!C351&lt;'Data Checks'!C350,'Data Checks'!C350&lt;'Data Checks'!C349),"SELL",""))</f>
        <v/>
      </c>
      <c r="Y142" t="str">
        <f>IF(AND('Data Checks'!D352&gt;'Data Checks'!D351,'Data Checks'!D351&gt;'Data Checks'!D350,'Data Checks'!D350&gt;'Data Checks'!D349),"BUY",IF(AND('Data Checks'!D352&lt;'Data Checks'!D351,'Data Checks'!D351&lt;'Data Checks'!D350,'Data Checks'!D350&lt;'Data Checks'!D349),"SELL",""))</f>
        <v>BUY</v>
      </c>
      <c r="Z142" t="str">
        <f>IF(AND('Data Checks'!E352&gt;'Data Checks'!E351,'Data Checks'!E351&gt;'Data Checks'!E350,'Data Checks'!E350&gt;'Data Checks'!E349),"BUY",IF(AND('Data Checks'!E352&lt;'Data Checks'!E351,'Data Checks'!E351&lt;'Data Checks'!E350,'Data Checks'!E350&lt;'Data Checks'!E349),"SELL",""))</f>
        <v/>
      </c>
      <c r="AA142" t="str">
        <f>IF(AND('Data Checks'!F352&gt;'Data Checks'!F351,'Data Checks'!F351&gt;'Data Checks'!F350,'Data Checks'!F350&gt;'Data Checks'!F349),"BUY",IF(AND('Data Checks'!F352&lt;'Data Checks'!F351,'Data Checks'!F351&lt;'Data Checks'!F350,'Data Checks'!F350&lt;'Data Checks'!F349),"SELL",""))</f>
        <v/>
      </c>
      <c r="AB142">
        <f>IF(W141="BUY",AB141*('Data Checks'!B352/'Data Checks'!B351),IF(W141="SELL",AB141*('Data Checks'!B351/'Data Checks'!B352),AB141))</f>
        <v>218.20553690688186</v>
      </c>
      <c r="AC142">
        <f>IF(X141="BUY",AC141*('Data Checks'!C352/'Data Checks'!C351),IF(X141="SELL",AC141*('Data Checks'!C351/'Data Checks'!C352),AC141))</f>
        <v>189.58724655255281</v>
      </c>
      <c r="AD142">
        <f>IF(Y141="BUY",AD141*('Data Checks'!D352/'Data Checks'!D351),IF(Y141="SELL",AD141*('Data Checks'!D351/'Data Checks'!D352),AD141))</f>
        <v>156.58319185394961</v>
      </c>
      <c r="AE142">
        <f>IF(Z141="BUY",AE141*('Data Checks'!E352/'Data Checks'!E351),IF(Z141="SELL",AE141*('Data Checks'!E351/'Data Checks'!E352),AE141))</f>
        <v>220.05498757353971</v>
      </c>
      <c r="AF142">
        <f>IF(AA141="BUY",AF141*('Data Checks'!F352/'Data Checks'!F351),IF(AA141="SELL",AF141*('Data Checks'!F351/'Data Checks'!F352),AF141))</f>
        <v>198.28947823472177</v>
      </c>
      <c r="AG142" s="16">
        <f t="shared" si="27"/>
        <v>982.72044112164576</v>
      </c>
      <c r="AH142" s="17">
        <f t="shared" si="31"/>
        <v>5.3224553902635474E-3</v>
      </c>
      <c r="AJ142" t="str">
        <f>IF('Moving Ave'!G352&gt;'Moving Ave'!L352,"SELL","BUY")</f>
        <v>SELL</v>
      </c>
      <c r="AK142" t="str">
        <f>IF('Moving Ave'!H352&gt;'Moving Ave'!M352,"SELL","BUY")</f>
        <v>BUY</v>
      </c>
      <c r="AL142" t="str">
        <f>IF('Moving Ave'!I352&gt;'Moving Ave'!N352,"SELL","BUY")</f>
        <v>SELL</v>
      </c>
      <c r="AM142" t="str">
        <f>IF('Moving Ave'!J352&gt;'Moving Ave'!O352,"SELL","BUY")</f>
        <v>BUY</v>
      </c>
      <c r="AN142" t="str">
        <f>IF('Moving Ave'!K352&gt;'Moving Ave'!P352,"SELL","BUY")</f>
        <v>BUY</v>
      </c>
      <c r="AO142">
        <f>IF(AJ141="BUY",AO141*('Data Checks'!B352/'Data Checks'!B351),AO141*('Data Checks'!B351/'Data Checks'!B352))</f>
        <v>149.53952798756305</v>
      </c>
      <c r="AP142">
        <f>IF(AK141="BUY",AP141*('Data Checks'!C352/'Data Checks'!C351),AP141*('Data Checks'!C351/'Data Checks'!C352))</f>
        <v>119.93904800454798</v>
      </c>
      <c r="AQ142">
        <f>IF(AL141="BUY",AQ141*('Data Checks'!D352/'Data Checks'!D351),AQ141*('Data Checks'!D351/'Data Checks'!D352))</f>
        <v>291.45703546960607</v>
      </c>
      <c r="AR142">
        <f>IF(AM141="BUY",AR141*('Data Checks'!E352/'Data Checks'!E351),AR141*('Data Checks'!E351/'Data Checks'!E352))</f>
        <v>110.17743186550273</v>
      </c>
      <c r="AS142">
        <f>IF(AN141="BUY",AS141*('Data Checks'!F352/'Data Checks'!F351),AS141*('Data Checks'!F351/'Data Checks'!F352))</f>
        <v>208.54320605360007</v>
      </c>
      <c r="AT142" s="16">
        <f t="shared" si="28"/>
        <v>879.65624938081999</v>
      </c>
      <c r="AU142" s="17">
        <f t="shared" si="32"/>
        <v>-8.2540514274198618E-3</v>
      </c>
    </row>
    <row r="143" spans="1:47" x14ac:dyDescent="0.35">
      <c r="A143" s="2">
        <f>Prices!A351</f>
        <v>44397</v>
      </c>
      <c r="B143">
        <f>B142*('Data Checks'!B353/'Data Checks'!B352)</f>
        <v>336.86230010978738</v>
      </c>
      <c r="C143">
        <f>C142*('Data Checks'!C353/'Data Checks'!C352)</f>
        <v>120.04063805030846</v>
      </c>
      <c r="D143">
        <f>D142*('Data Checks'!D353/'Data Checks'!D352)</f>
        <v>208.44881964349335</v>
      </c>
      <c r="E143">
        <f>E142*('Data Checks'!E353/'Data Checks'!E352)</f>
        <v>108.5035116001502</v>
      </c>
      <c r="F143">
        <f>F142*('Data Checks'!F353/'Data Checks'!F352)</f>
        <v>139.00810880793682</v>
      </c>
      <c r="G143" s="16">
        <f t="shared" si="25"/>
        <v>912.86337821167626</v>
      </c>
      <c r="H143" s="17">
        <f t="shared" si="29"/>
        <v>2.6540584490644781E-2</v>
      </c>
      <c r="J143" t="str">
        <f>IF(AND('Data Checks'!B353&gt;'Data Checks'!B352,'Data Checks'!B352&gt;'Data Checks'!B351,'Data Checks'!B351&gt;'Data Checks'!B350),"SELL",IF(AND('Data Checks'!B353&lt;'Data Checks'!B352,'Data Checks'!B352&lt;'Data Checks'!B351,'Data Checks'!B351&lt;'Data Checks'!B350),"BUY",""))</f>
        <v/>
      </c>
      <c r="K143" t="str">
        <f>IF(AND('Data Checks'!C353&gt;'Data Checks'!C352,'Data Checks'!C352&gt;'Data Checks'!C351,'Data Checks'!C351&gt;'Data Checks'!C350),"SELL",IF(AND('Data Checks'!C353&lt;'Data Checks'!C352,'Data Checks'!C352&lt;'Data Checks'!C351,'Data Checks'!C351&lt;'Data Checks'!C350),"BUY",""))</f>
        <v/>
      </c>
      <c r="L143" t="str">
        <f>IF(AND('Data Checks'!D353&gt;'Data Checks'!D352,'Data Checks'!D352&gt;'Data Checks'!D351,'Data Checks'!D351&gt;'Data Checks'!D350),"SELL",IF(AND('Data Checks'!D353&lt;'Data Checks'!D352,'Data Checks'!D352&lt;'Data Checks'!D351,'Data Checks'!D351&lt;'Data Checks'!D350),"BUY",""))</f>
        <v>SELL</v>
      </c>
      <c r="M143" t="str">
        <f>IF(AND('Data Checks'!E353&gt;'Data Checks'!E352,'Data Checks'!E352&gt;'Data Checks'!E351,'Data Checks'!E351&gt;'Data Checks'!E350),"SELL",IF(AND('Data Checks'!E353&lt;'Data Checks'!E352,'Data Checks'!E352&lt;'Data Checks'!E351,'Data Checks'!E351&lt;'Data Checks'!E350),"BUY",""))</f>
        <v>BUY</v>
      </c>
      <c r="N143" t="str">
        <f>IF(AND('Data Checks'!F353&gt;'Data Checks'!F352,'Data Checks'!F352&gt;'Data Checks'!F351,'Data Checks'!F351&gt;'Data Checks'!F350),"SELL",IF(AND('Data Checks'!F353&lt;'Data Checks'!F352,'Data Checks'!F352&lt;'Data Checks'!F351,'Data Checks'!F351&lt;'Data Checks'!F350),"BUY",""))</f>
        <v>BUY</v>
      </c>
      <c r="O143">
        <f>IF(J142="BUY",O142*('Data Checks'!B353/'Data Checks'!B352),IF(J142="SELL",O142*('Data Checks'!B352/'Data Checks'!B353),O142))</f>
        <v>197.84928547274831</v>
      </c>
      <c r="P143">
        <f>IF(K142="BUY",P142*('Data Checks'!C353/'Data Checks'!C352),IF(K142="SELL",P142*('Data Checks'!C352/'Data Checks'!C353),P142))</f>
        <v>210.98465602174448</v>
      </c>
      <c r="Q143">
        <f>IF(L142="BUY",Q142*('Data Checks'!D353/'Data Checks'!D352),IF(L142="SELL",Q142*('Data Checks'!D352/'Data Checks'!D353),Q142))</f>
        <v>254.35029532037441</v>
      </c>
      <c r="R143">
        <f>IF(M142="BUY",R142*('Data Checks'!E353/'Data Checks'!E352),IF(M142="SELL",R142*('Data Checks'!E352/'Data Checks'!E353),R142))</f>
        <v>181.77274889819284</v>
      </c>
      <c r="S143">
        <f>IF(N142="BUY",S142*('Data Checks'!F353/'Data Checks'!F352),IF(N142="SELL",S142*('Data Checks'!F352/'Data Checks'!F353),S142))</f>
        <v>201.72527738789401</v>
      </c>
      <c r="T143" s="16">
        <f t="shared" si="26"/>
        <v>1046.6822631009541</v>
      </c>
      <c r="U143" s="17">
        <f t="shared" si="30"/>
        <v>1.2998691516280303E-2</v>
      </c>
      <c r="W143" t="str">
        <f>IF(AND('Data Checks'!B353&gt;'Data Checks'!B352,'Data Checks'!B352&gt;'Data Checks'!B351,'Data Checks'!B351&gt;'Data Checks'!B350),"BUY",IF(AND('Data Checks'!B353&lt;'Data Checks'!B352,'Data Checks'!B352&lt;'Data Checks'!B351,'Data Checks'!B351&lt;'Data Checks'!B350),"SELL",""))</f>
        <v/>
      </c>
      <c r="X143" t="str">
        <f>IF(AND('Data Checks'!C353&gt;'Data Checks'!C352,'Data Checks'!C352&gt;'Data Checks'!C351,'Data Checks'!C351&gt;'Data Checks'!C350),"BUY",IF(AND('Data Checks'!C353&lt;'Data Checks'!C352,'Data Checks'!C352&lt;'Data Checks'!C351,'Data Checks'!C351&lt;'Data Checks'!C350),"SELL",""))</f>
        <v/>
      </c>
      <c r="Y143" t="str">
        <f>IF(AND('Data Checks'!D353&gt;'Data Checks'!D352,'Data Checks'!D352&gt;'Data Checks'!D351,'Data Checks'!D351&gt;'Data Checks'!D350),"BUY",IF(AND('Data Checks'!D353&lt;'Data Checks'!D352,'Data Checks'!D352&lt;'Data Checks'!D351,'Data Checks'!D351&lt;'Data Checks'!D350),"SELL",""))</f>
        <v>BUY</v>
      </c>
      <c r="Z143" t="str">
        <f>IF(AND('Data Checks'!E353&gt;'Data Checks'!E352,'Data Checks'!E352&gt;'Data Checks'!E351,'Data Checks'!E351&gt;'Data Checks'!E350),"BUY",IF(AND('Data Checks'!E353&lt;'Data Checks'!E352,'Data Checks'!E352&lt;'Data Checks'!E351,'Data Checks'!E351&lt;'Data Checks'!E350),"SELL",""))</f>
        <v>SELL</v>
      </c>
      <c r="AA143" t="str">
        <f>IF(AND('Data Checks'!F353&gt;'Data Checks'!F352,'Data Checks'!F352&gt;'Data Checks'!F351,'Data Checks'!F351&gt;'Data Checks'!F350),"BUY",IF(AND('Data Checks'!F353&lt;'Data Checks'!F352,'Data Checks'!F352&lt;'Data Checks'!F351,'Data Checks'!F351&lt;'Data Checks'!F350),"SELL",""))</f>
        <v>SELL</v>
      </c>
      <c r="AB143">
        <f>IF(W142="BUY",AB142*('Data Checks'!B353/'Data Checks'!B352),IF(W142="SELL",AB142*('Data Checks'!B352/'Data Checks'!B353),AB142))</f>
        <v>202.1740938028791</v>
      </c>
      <c r="AC143">
        <f>IF(X142="BUY",AC142*('Data Checks'!C353/'Data Checks'!C352),IF(X142="SELL",AC142*('Data Checks'!C352/'Data Checks'!C353),AC142))</f>
        <v>189.58724655255281</v>
      </c>
      <c r="AD143">
        <f>IF(Y142="BUY",AD142*('Data Checks'!D353/'Data Checks'!D352),IF(Y142="SELL",AD142*('Data Checks'!D352/'Data Checks'!D353),AD142))</f>
        <v>157.26343053628784</v>
      </c>
      <c r="AE143">
        <f>IF(Z142="BUY",AE142*('Data Checks'!E353/'Data Checks'!E352),IF(Z142="SELL",AE142*('Data Checks'!E352/'Data Checks'!E353),AE142))</f>
        <v>220.05498757353971</v>
      </c>
      <c r="AF143">
        <f>IF(AA142="BUY",AF142*('Data Checks'!F353/'Data Checks'!F352),IF(AA142="SELL",AF142*('Data Checks'!F352/'Data Checks'!F353),AF142))</f>
        <v>198.28947823472177</v>
      </c>
      <c r="AG143" s="16">
        <f t="shared" si="27"/>
        <v>967.36923669998123</v>
      </c>
      <c r="AH143" s="17">
        <f t="shared" si="31"/>
        <v>-1.5621130668802552E-2</v>
      </c>
      <c r="AJ143" t="str">
        <f>IF('Moving Ave'!G353&gt;'Moving Ave'!L353,"SELL","BUY")</f>
        <v>SELL</v>
      </c>
      <c r="AK143" t="str">
        <f>IF('Moving Ave'!H353&gt;'Moving Ave'!M353,"SELL","BUY")</f>
        <v>BUY</v>
      </c>
      <c r="AL143" t="str">
        <f>IF('Moving Ave'!I353&gt;'Moving Ave'!N353,"SELL","BUY")</f>
        <v>SELL</v>
      </c>
      <c r="AM143" t="str">
        <f>IF('Moving Ave'!J353&gt;'Moving Ave'!O353,"SELL","BUY")</f>
        <v>BUY</v>
      </c>
      <c r="AN143" t="str">
        <f>IF('Moving Ave'!K353&gt;'Moving Ave'!P353,"SELL","BUY")</f>
        <v>BUY</v>
      </c>
      <c r="AO143">
        <f>IF(AJ142="BUY",AO142*('Data Checks'!B353/'Data Checks'!B352),AO142*('Data Checks'!B352/'Data Checks'!B353))</f>
        <v>138.5529395227841</v>
      </c>
      <c r="AP143">
        <f>IF(AK142="BUY",AP142*('Data Checks'!C353/'Data Checks'!C352),AP142*('Data Checks'!C352/'Data Checks'!C353))</f>
        <v>120.04063805030846</v>
      </c>
      <c r="AQ143">
        <f>IF(AL142="BUY",AQ142*('Data Checks'!D353/'Data Checks'!D352),AQ142*('Data Checks'!D352/'Data Checks'!D353))</f>
        <v>290.19634600677318</v>
      </c>
      <c r="AR143">
        <f>IF(AM142="BUY",AR142*('Data Checks'!E353/'Data Checks'!E352),AR142*('Data Checks'!E352/'Data Checks'!E353))</f>
        <v>108.5035116001502</v>
      </c>
      <c r="AS143">
        <f>IF(AN142="BUY",AS142*('Data Checks'!F353/'Data Checks'!F352),AS142*('Data Checks'!F352/'Data Checks'!F353))</f>
        <v>207.83023782777579</v>
      </c>
      <c r="AT143" s="16">
        <f t="shared" si="28"/>
        <v>865.12367300779169</v>
      </c>
      <c r="AU143" s="17">
        <f t="shared" si="32"/>
        <v>-1.6520744760533002E-2</v>
      </c>
    </row>
    <row r="144" spans="1:47" x14ac:dyDescent="0.35">
      <c r="A144" s="2">
        <f>Prices!A352</f>
        <v>44398</v>
      </c>
      <c r="B144">
        <f>B143*('Data Checks'!B354/'Data Checks'!B353)</f>
        <v>330.69267521934751</v>
      </c>
      <c r="C144">
        <f>C143*('Data Checks'!C354/'Data Checks'!C353)</f>
        <v>122.73304858351675</v>
      </c>
      <c r="D144">
        <f>D143*('Data Checks'!D354/'Data Checks'!D353)</f>
        <v>204.74203380768125</v>
      </c>
      <c r="E144">
        <f>E143*('Data Checks'!E354/'Data Checks'!E353)</f>
        <v>111.91830894146935</v>
      </c>
      <c r="F144">
        <f>F143*('Data Checks'!F354/'Data Checks'!F353)</f>
        <v>137.38674779284821</v>
      </c>
      <c r="G144" s="16">
        <f t="shared" si="25"/>
        <v>907.47281434486308</v>
      </c>
      <c r="H144" s="17">
        <f t="shared" si="29"/>
        <v>-5.9051157001975829E-3</v>
      </c>
      <c r="J144" t="str">
        <f>IF(AND('Data Checks'!B354&gt;'Data Checks'!B353,'Data Checks'!B353&gt;'Data Checks'!B352,'Data Checks'!B352&gt;'Data Checks'!B351),"SELL",IF(AND('Data Checks'!B354&lt;'Data Checks'!B353,'Data Checks'!B353&lt;'Data Checks'!B352,'Data Checks'!B352&lt;'Data Checks'!B351),"BUY",""))</f>
        <v/>
      </c>
      <c r="K144" t="str">
        <f>IF(AND('Data Checks'!C354&gt;'Data Checks'!C353,'Data Checks'!C353&gt;'Data Checks'!C352,'Data Checks'!C352&gt;'Data Checks'!C351),"SELL",IF(AND('Data Checks'!C354&lt;'Data Checks'!C353,'Data Checks'!C353&lt;'Data Checks'!C352,'Data Checks'!C352&lt;'Data Checks'!C351),"BUY",""))</f>
        <v/>
      </c>
      <c r="L144" t="str">
        <f>IF(AND('Data Checks'!D354&gt;'Data Checks'!D353,'Data Checks'!D353&gt;'Data Checks'!D352,'Data Checks'!D352&gt;'Data Checks'!D351),"SELL",IF(AND('Data Checks'!D354&lt;'Data Checks'!D353,'Data Checks'!D353&lt;'Data Checks'!D352,'Data Checks'!D352&lt;'Data Checks'!D351),"BUY",""))</f>
        <v/>
      </c>
      <c r="M144" t="str">
        <f>IF(AND('Data Checks'!E354&gt;'Data Checks'!E353,'Data Checks'!E353&gt;'Data Checks'!E352,'Data Checks'!E352&gt;'Data Checks'!E351),"SELL",IF(AND('Data Checks'!E354&lt;'Data Checks'!E353,'Data Checks'!E353&lt;'Data Checks'!E352,'Data Checks'!E352&lt;'Data Checks'!E351),"BUY",""))</f>
        <v/>
      </c>
      <c r="N144" t="str">
        <f>IF(AND('Data Checks'!F354&gt;'Data Checks'!F353,'Data Checks'!F353&gt;'Data Checks'!F352,'Data Checks'!F352&gt;'Data Checks'!F351),"SELL",IF(AND('Data Checks'!F354&lt;'Data Checks'!F353,'Data Checks'!F353&lt;'Data Checks'!F352,'Data Checks'!F352&lt;'Data Checks'!F351),"BUY",""))</f>
        <v>BUY</v>
      </c>
      <c r="O144">
        <f>IF(J143="BUY",O143*('Data Checks'!B354/'Data Checks'!B353),IF(J143="SELL",O143*('Data Checks'!B353/'Data Checks'!B354),O143))</f>
        <v>197.84928547274831</v>
      </c>
      <c r="P144">
        <f>IF(K143="BUY",P143*('Data Checks'!C354/'Data Checks'!C353),IF(K143="SELL",P143*('Data Checks'!C353/'Data Checks'!C354),P143))</f>
        <v>210.98465602174448</v>
      </c>
      <c r="Q144">
        <f>IF(L143="BUY",Q143*('Data Checks'!D354/'Data Checks'!D353),IF(L143="SELL",Q143*('Data Checks'!D353/'Data Checks'!D354),Q143))</f>
        <v>258.95522208843511</v>
      </c>
      <c r="R144">
        <f>IF(M143="BUY",R143*('Data Checks'!E354/'Data Checks'!E353),IF(M143="SELL",R143*('Data Checks'!E353/'Data Checks'!E354),R143))</f>
        <v>187.49345867530354</v>
      </c>
      <c r="S144">
        <f>IF(N143="BUY",S143*('Data Checks'!F354/'Data Checks'!F353),IF(N143="SELL",S143*('Data Checks'!F353/'Data Checks'!F354),S143))</f>
        <v>199.37239665798947</v>
      </c>
      <c r="T144" s="16">
        <f t="shared" si="26"/>
        <v>1054.6550189162208</v>
      </c>
      <c r="U144" s="17">
        <f t="shared" si="30"/>
        <v>7.6171691222188809E-3</v>
      </c>
      <c r="W144" t="str">
        <f>IF(AND('Data Checks'!B354&gt;'Data Checks'!B353,'Data Checks'!B353&gt;'Data Checks'!B352,'Data Checks'!B352&gt;'Data Checks'!B351),"BUY",IF(AND('Data Checks'!B354&lt;'Data Checks'!B353,'Data Checks'!B353&lt;'Data Checks'!B352,'Data Checks'!B352&lt;'Data Checks'!B351),"SELL",""))</f>
        <v/>
      </c>
      <c r="X144" t="str">
        <f>IF(AND('Data Checks'!C354&gt;'Data Checks'!C353,'Data Checks'!C353&gt;'Data Checks'!C352,'Data Checks'!C352&gt;'Data Checks'!C351),"BUY",IF(AND('Data Checks'!C354&lt;'Data Checks'!C353,'Data Checks'!C353&lt;'Data Checks'!C352,'Data Checks'!C352&lt;'Data Checks'!C351),"SELL",""))</f>
        <v/>
      </c>
      <c r="Y144" t="str">
        <f>IF(AND('Data Checks'!D354&gt;'Data Checks'!D353,'Data Checks'!D353&gt;'Data Checks'!D352,'Data Checks'!D352&gt;'Data Checks'!D351),"BUY",IF(AND('Data Checks'!D354&lt;'Data Checks'!D353,'Data Checks'!D353&lt;'Data Checks'!D352,'Data Checks'!D352&lt;'Data Checks'!D351),"SELL",""))</f>
        <v/>
      </c>
      <c r="Z144" t="str">
        <f>IF(AND('Data Checks'!E354&gt;'Data Checks'!E353,'Data Checks'!E353&gt;'Data Checks'!E352,'Data Checks'!E352&gt;'Data Checks'!E351),"BUY",IF(AND('Data Checks'!E354&lt;'Data Checks'!E353,'Data Checks'!E353&lt;'Data Checks'!E352,'Data Checks'!E352&lt;'Data Checks'!E351),"SELL",""))</f>
        <v/>
      </c>
      <c r="AA144" t="str">
        <f>IF(AND('Data Checks'!F354&gt;'Data Checks'!F353,'Data Checks'!F353&gt;'Data Checks'!F352,'Data Checks'!F352&gt;'Data Checks'!F351),"BUY",IF(AND('Data Checks'!F354&lt;'Data Checks'!F353,'Data Checks'!F353&lt;'Data Checks'!F352,'Data Checks'!F352&lt;'Data Checks'!F351),"SELL",""))</f>
        <v>SELL</v>
      </c>
      <c r="AB144">
        <f>IF(W143="BUY",AB143*('Data Checks'!B354/'Data Checks'!B353),IF(W143="SELL",AB143*('Data Checks'!B353/'Data Checks'!B354),AB143))</f>
        <v>202.1740938028791</v>
      </c>
      <c r="AC144">
        <f>IF(X143="BUY",AC143*('Data Checks'!C354/'Data Checks'!C353),IF(X143="SELL",AC143*('Data Checks'!C353/'Data Checks'!C354),AC143))</f>
        <v>189.58724655255281</v>
      </c>
      <c r="AD144">
        <f>IF(Y143="BUY",AD143*('Data Checks'!D354/'Data Checks'!D353),IF(Y143="SELL",AD143*('Data Checks'!D353/'Data Checks'!D354),AD143))</f>
        <v>154.46685985865039</v>
      </c>
      <c r="AE144">
        <f>IF(Z143="BUY",AE143*('Data Checks'!E354/'Data Checks'!E353),IF(Z143="SELL",AE143*('Data Checks'!E353/'Data Checks'!E354),AE143))</f>
        <v>213.34077616686872</v>
      </c>
      <c r="AF144">
        <f>IF(AA143="BUY",AF143*('Data Checks'!F354/'Data Checks'!F353),IF(AA143="SELL",AF143*('Data Checks'!F353/'Data Checks'!F354),AF143))</f>
        <v>200.62957897134302</v>
      </c>
      <c r="AG144" s="16">
        <f t="shared" si="27"/>
        <v>960.19855535229408</v>
      </c>
      <c r="AH144" s="17">
        <f t="shared" si="31"/>
        <v>-7.4125587993150166E-3</v>
      </c>
      <c r="AJ144" t="str">
        <f>IF('Moving Ave'!G354&gt;'Moving Ave'!L354,"SELL","BUY")</f>
        <v>SELL</v>
      </c>
      <c r="AK144" t="str">
        <f>IF('Moving Ave'!H354&gt;'Moving Ave'!M354,"SELL","BUY")</f>
        <v>BUY</v>
      </c>
      <c r="AL144" t="str">
        <f>IF('Moving Ave'!I354&gt;'Moving Ave'!N354,"SELL","BUY")</f>
        <v>SELL</v>
      </c>
      <c r="AM144" t="str">
        <f>IF('Moving Ave'!J354&gt;'Moving Ave'!O354,"SELL","BUY")</f>
        <v>BUY</v>
      </c>
      <c r="AN144" t="str">
        <f>IF('Moving Ave'!K354&gt;'Moving Ave'!P354,"SELL","BUY")</f>
        <v>BUY</v>
      </c>
      <c r="AO144">
        <f>IF(AJ143="BUY",AO143*('Data Checks'!B354/'Data Checks'!B353),AO143*('Data Checks'!B353/'Data Checks'!B354))</f>
        <v>141.13787631872728</v>
      </c>
      <c r="AP144">
        <f>IF(AK143="BUY",AP143*('Data Checks'!C354/'Data Checks'!C353),AP143*('Data Checks'!C353/'Data Checks'!C354))</f>
        <v>122.73304858351675</v>
      </c>
      <c r="AQ144">
        <f>IF(AL143="BUY",AQ143*('Data Checks'!D354/'Data Checks'!D353),AQ143*('Data Checks'!D353/'Data Checks'!D354))</f>
        <v>295.45025349697988</v>
      </c>
      <c r="AR144">
        <f>IF(AM143="BUY",AR143*('Data Checks'!E354/'Data Checks'!E353),AR143*('Data Checks'!E353/'Data Checks'!E354))</f>
        <v>111.91830894146935</v>
      </c>
      <c r="AS144">
        <f>IF(AN143="BUY",AS143*('Data Checks'!F354/'Data Checks'!F353),AS143*('Data Checks'!F353/'Data Checks'!F354))</f>
        <v>205.40615013778262</v>
      </c>
      <c r="AT144" s="16">
        <f t="shared" si="28"/>
        <v>876.64563747847592</v>
      </c>
      <c r="AU144" s="17">
        <f t="shared" si="32"/>
        <v>1.3318285963237697E-2</v>
      </c>
    </row>
    <row r="145" spans="1:47" x14ac:dyDescent="0.35">
      <c r="A145" s="2">
        <f>Prices!A353</f>
        <v>44399</v>
      </c>
      <c r="B145">
        <f>B144*('Data Checks'!B355/'Data Checks'!B354)</f>
        <v>326.64842605334866</v>
      </c>
      <c r="C145">
        <f>C144*('Data Checks'!C355/'Data Checks'!C354)</f>
        <v>119.68503733007475</v>
      </c>
      <c r="D145">
        <f>D144*('Data Checks'!D355/'Data Checks'!D354)</f>
        <v>205.17615637295296</v>
      </c>
      <c r="E145">
        <f>E144*('Data Checks'!E355/'Data Checks'!E354)</f>
        <v>109.64177738058993</v>
      </c>
      <c r="F145">
        <f>F144*('Data Checks'!F355/'Data Checks'!F354)</f>
        <v>139.00810880793685</v>
      </c>
      <c r="G145" s="16">
        <f t="shared" si="25"/>
        <v>900.15950594490323</v>
      </c>
      <c r="H145" s="17">
        <f t="shared" si="29"/>
        <v>-8.0589834586279885E-3</v>
      </c>
      <c r="J145" t="str">
        <f>IF(AND('Data Checks'!B355&gt;'Data Checks'!B354,'Data Checks'!B354&gt;'Data Checks'!B353,'Data Checks'!B353&gt;'Data Checks'!B352),"SELL",IF(AND('Data Checks'!B355&lt;'Data Checks'!B354,'Data Checks'!B354&lt;'Data Checks'!B353,'Data Checks'!B353&lt;'Data Checks'!B352),"BUY",""))</f>
        <v/>
      </c>
      <c r="K145" t="str">
        <f>IF(AND('Data Checks'!C355&gt;'Data Checks'!C354,'Data Checks'!C354&gt;'Data Checks'!C353,'Data Checks'!C353&gt;'Data Checks'!C352),"SELL",IF(AND('Data Checks'!C355&lt;'Data Checks'!C354,'Data Checks'!C354&lt;'Data Checks'!C353,'Data Checks'!C353&lt;'Data Checks'!C352),"BUY",""))</f>
        <v/>
      </c>
      <c r="L145" t="str">
        <f>IF(AND('Data Checks'!D355&gt;'Data Checks'!D354,'Data Checks'!D354&gt;'Data Checks'!D353,'Data Checks'!D353&gt;'Data Checks'!D352),"SELL",IF(AND('Data Checks'!D355&lt;'Data Checks'!D354,'Data Checks'!D354&lt;'Data Checks'!D353,'Data Checks'!D353&lt;'Data Checks'!D352),"BUY",""))</f>
        <v/>
      </c>
      <c r="M145" t="str">
        <f>IF(AND('Data Checks'!E355&gt;'Data Checks'!E354,'Data Checks'!E354&gt;'Data Checks'!E353,'Data Checks'!E353&gt;'Data Checks'!E352),"SELL",IF(AND('Data Checks'!E355&lt;'Data Checks'!E354,'Data Checks'!E354&lt;'Data Checks'!E353,'Data Checks'!E353&lt;'Data Checks'!E352),"BUY",""))</f>
        <v/>
      </c>
      <c r="N145" t="str">
        <f>IF(AND('Data Checks'!F355&gt;'Data Checks'!F354,'Data Checks'!F354&gt;'Data Checks'!F353,'Data Checks'!F353&gt;'Data Checks'!F352),"SELL",IF(AND('Data Checks'!F355&lt;'Data Checks'!F354,'Data Checks'!F354&lt;'Data Checks'!F353,'Data Checks'!F353&lt;'Data Checks'!F352),"BUY",""))</f>
        <v/>
      </c>
      <c r="O145">
        <f>IF(J144="BUY",O144*('Data Checks'!B355/'Data Checks'!B354),IF(J144="SELL",O144*('Data Checks'!B354/'Data Checks'!B355),O144))</f>
        <v>197.84928547274831</v>
      </c>
      <c r="P145">
        <f>IF(K144="BUY",P144*('Data Checks'!C355/'Data Checks'!C354),IF(K144="SELL",P144*('Data Checks'!C354/'Data Checks'!C355),P144))</f>
        <v>210.98465602174448</v>
      </c>
      <c r="Q145">
        <f>IF(L144="BUY",Q144*('Data Checks'!D355/'Data Checks'!D354),IF(L144="SELL",Q144*('Data Checks'!D354/'Data Checks'!D355),Q144))</f>
        <v>258.95522208843511</v>
      </c>
      <c r="R145">
        <f>IF(M144="BUY",R144*('Data Checks'!E355/'Data Checks'!E354),IF(M144="SELL",R144*('Data Checks'!E354/'Data Checks'!E355),R144))</f>
        <v>187.49345867530354</v>
      </c>
      <c r="S145">
        <f>IF(N144="BUY",S144*('Data Checks'!F355/'Data Checks'!F354),IF(N144="SELL",S144*('Data Checks'!F354/'Data Checks'!F355),S144))</f>
        <v>201.72527738789404</v>
      </c>
      <c r="T145" s="16">
        <f t="shared" si="26"/>
        <v>1057.0078996461255</v>
      </c>
      <c r="U145" s="17">
        <f t="shared" si="30"/>
        <v>2.2309482131157576E-3</v>
      </c>
      <c r="W145" t="str">
        <f>IF(AND('Data Checks'!B355&gt;'Data Checks'!B354,'Data Checks'!B354&gt;'Data Checks'!B353,'Data Checks'!B353&gt;'Data Checks'!B352),"BUY",IF(AND('Data Checks'!B355&lt;'Data Checks'!B354,'Data Checks'!B354&lt;'Data Checks'!B353,'Data Checks'!B353&lt;'Data Checks'!B352),"SELL",""))</f>
        <v/>
      </c>
      <c r="X145" t="str">
        <f>IF(AND('Data Checks'!C355&gt;'Data Checks'!C354,'Data Checks'!C354&gt;'Data Checks'!C353,'Data Checks'!C353&gt;'Data Checks'!C352),"BUY",IF(AND('Data Checks'!C355&lt;'Data Checks'!C354,'Data Checks'!C354&lt;'Data Checks'!C353,'Data Checks'!C353&lt;'Data Checks'!C352),"SELL",""))</f>
        <v/>
      </c>
      <c r="Y145" t="str">
        <f>IF(AND('Data Checks'!D355&gt;'Data Checks'!D354,'Data Checks'!D354&gt;'Data Checks'!D353,'Data Checks'!D353&gt;'Data Checks'!D352),"BUY",IF(AND('Data Checks'!D355&lt;'Data Checks'!D354,'Data Checks'!D354&lt;'Data Checks'!D353,'Data Checks'!D353&lt;'Data Checks'!D352),"SELL",""))</f>
        <v/>
      </c>
      <c r="Z145" t="str">
        <f>IF(AND('Data Checks'!E355&gt;'Data Checks'!E354,'Data Checks'!E354&gt;'Data Checks'!E353,'Data Checks'!E353&gt;'Data Checks'!E352),"BUY",IF(AND('Data Checks'!E355&lt;'Data Checks'!E354,'Data Checks'!E354&lt;'Data Checks'!E353,'Data Checks'!E353&lt;'Data Checks'!E352),"SELL",""))</f>
        <v/>
      </c>
      <c r="AA145" t="str">
        <f>IF(AND('Data Checks'!F355&gt;'Data Checks'!F354,'Data Checks'!F354&gt;'Data Checks'!F353,'Data Checks'!F353&gt;'Data Checks'!F352),"BUY",IF(AND('Data Checks'!F355&lt;'Data Checks'!F354,'Data Checks'!F354&lt;'Data Checks'!F353,'Data Checks'!F353&lt;'Data Checks'!F352),"SELL",""))</f>
        <v/>
      </c>
      <c r="AB145">
        <f>IF(W144="BUY",AB144*('Data Checks'!B355/'Data Checks'!B354),IF(W144="SELL",AB144*('Data Checks'!B354/'Data Checks'!B355),AB144))</f>
        <v>202.1740938028791</v>
      </c>
      <c r="AC145">
        <f>IF(X144="BUY",AC144*('Data Checks'!C355/'Data Checks'!C354),IF(X144="SELL",AC144*('Data Checks'!C354/'Data Checks'!C355),AC144))</f>
        <v>189.58724655255281</v>
      </c>
      <c r="AD145">
        <f>IF(Y144="BUY",AD144*('Data Checks'!D355/'Data Checks'!D354),IF(Y144="SELL",AD144*('Data Checks'!D354/'Data Checks'!D355),AD144))</f>
        <v>154.46685985865039</v>
      </c>
      <c r="AE145">
        <f>IF(Z144="BUY",AE144*('Data Checks'!E355/'Data Checks'!E354),IF(Z144="SELL",AE144*('Data Checks'!E354/'Data Checks'!E355),AE144))</f>
        <v>213.34077616686872</v>
      </c>
      <c r="AF145">
        <f>IF(AA144="BUY",AF144*('Data Checks'!F355/'Data Checks'!F354),IF(AA144="SELL",AF144*('Data Checks'!F354/'Data Checks'!F355),AF144))</f>
        <v>198.2894782347218</v>
      </c>
      <c r="AG145" s="16">
        <f t="shared" si="27"/>
        <v>957.85845461567283</v>
      </c>
      <c r="AH145" s="17">
        <f t="shared" si="31"/>
        <v>-2.4371008720822651E-3</v>
      </c>
      <c r="AJ145" t="str">
        <f>IF('Moving Ave'!G355&gt;'Moving Ave'!L355,"SELL","BUY")</f>
        <v>SELL</v>
      </c>
      <c r="AK145" t="str">
        <f>IF('Moving Ave'!H355&gt;'Moving Ave'!M355,"SELL","BUY")</f>
        <v>BUY</v>
      </c>
      <c r="AL145" t="str">
        <f>IF('Moving Ave'!I355&gt;'Moving Ave'!N355,"SELL","BUY")</f>
        <v>SELL</v>
      </c>
      <c r="AM145" t="str">
        <f>IF('Moving Ave'!J355&gt;'Moving Ave'!O355,"SELL","BUY")</f>
        <v>BUY</v>
      </c>
      <c r="AN145" t="str">
        <f>IF('Moving Ave'!K355&gt;'Moving Ave'!P355,"SELL","BUY")</f>
        <v>BUY</v>
      </c>
      <c r="AO145">
        <f>IF(AJ144="BUY",AO144*('Data Checks'!B355/'Data Checks'!B354),AO144*('Data Checks'!B354/'Data Checks'!B355))</f>
        <v>142.8853108479224</v>
      </c>
      <c r="AP145">
        <f>IF(AK144="BUY",AP144*('Data Checks'!C355/'Data Checks'!C354),AP144*('Data Checks'!C354/'Data Checks'!C355))</f>
        <v>119.68503733007475</v>
      </c>
      <c r="AQ145">
        <f>IF(AL144="BUY",AQ144*('Data Checks'!D355/'Data Checks'!D354),AQ144*('Data Checks'!D354/'Data Checks'!D355))</f>
        <v>294.82512422160181</v>
      </c>
      <c r="AR145">
        <f>IF(AM144="BUY",AR144*('Data Checks'!E355/'Data Checks'!E354),AR144*('Data Checks'!E354/'Data Checks'!E355))</f>
        <v>109.64177738058993</v>
      </c>
      <c r="AS145">
        <f>IF(AN144="BUY",AS144*('Data Checks'!F355/'Data Checks'!F354),AS144*('Data Checks'!F354/'Data Checks'!F355))</f>
        <v>207.83023782777582</v>
      </c>
      <c r="AT145" s="16">
        <f t="shared" si="28"/>
        <v>874.86748760796468</v>
      </c>
      <c r="AU145" s="17">
        <f t="shared" si="32"/>
        <v>-2.0283564926254494E-3</v>
      </c>
    </row>
    <row r="146" spans="1:47" x14ac:dyDescent="0.35">
      <c r="A146" s="2">
        <f>Prices!A354</f>
        <v>44400</v>
      </c>
      <c r="B146">
        <f>B145*('Data Checks'!B356/'Data Checks'!B355)</f>
        <v>314.7032980084233</v>
      </c>
      <c r="C146">
        <f>C145*('Data Checks'!C356/'Data Checks'!C355)</f>
        <v>118.61824024938394</v>
      </c>
      <c r="D146">
        <f>D145*('Data Checks'!D356/'Data Checks'!D355)</f>
        <v>202.63817336179946</v>
      </c>
      <c r="E146">
        <f>E145*('Data Checks'!E356/'Data Checks'!E355)</f>
        <v>108.43655144169558</v>
      </c>
      <c r="F146">
        <f>F145*('Data Checks'!F356/'Data Checks'!F355)</f>
        <v>137.05293186055709</v>
      </c>
      <c r="G146" s="16">
        <f t="shared" si="25"/>
        <v>881.44919492185932</v>
      </c>
      <c r="H146" s="17">
        <f t="shared" si="29"/>
        <v>-2.0785550671270858E-2</v>
      </c>
      <c r="J146" t="str">
        <f>IF(AND('Data Checks'!B356&gt;'Data Checks'!B355,'Data Checks'!B355&gt;'Data Checks'!B354,'Data Checks'!B354&gt;'Data Checks'!B353),"SELL",IF(AND('Data Checks'!B356&lt;'Data Checks'!B355,'Data Checks'!B355&lt;'Data Checks'!B354,'Data Checks'!B354&lt;'Data Checks'!B353),"BUY",""))</f>
        <v>BUY</v>
      </c>
      <c r="K146" t="str">
        <f>IF(AND('Data Checks'!C356&gt;'Data Checks'!C355,'Data Checks'!C355&gt;'Data Checks'!C354,'Data Checks'!C354&gt;'Data Checks'!C353),"SELL",IF(AND('Data Checks'!C356&lt;'Data Checks'!C355,'Data Checks'!C355&lt;'Data Checks'!C354,'Data Checks'!C354&lt;'Data Checks'!C353),"BUY",""))</f>
        <v/>
      </c>
      <c r="L146" t="str">
        <f>IF(AND('Data Checks'!D356&gt;'Data Checks'!D355,'Data Checks'!D355&gt;'Data Checks'!D354,'Data Checks'!D354&gt;'Data Checks'!D353),"SELL",IF(AND('Data Checks'!D356&lt;'Data Checks'!D355,'Data Checks'!D355&lt;'Data Checks'!D354,'Data Checks'!D354&lt;'Data Checks'!D353),"BUY",""))</f>
        <v/>
      </c>
      <c r="M146" t="str">
        <f>IF(AND('Data Checks'!E356&gt;'Data Checks'!E355,'Data Checks'!E355&gt;'Data Checks'!E354,'Data Checks'!E354&gt;'Data Checks'!E353),"SELL",IF(AND('Data Checks'!E356&lt;'Data Checks'!E355,'Data Checks'!E355&lt;'Data Checks'!E354,'Data Checks'!E354&lt;'Data Checks'!E353),"BUY",""))</f>
        <v/>
      </c>
      <c r="N146" t="str">
        <f>IF(AND('Data Checks'!F356&gt;'Data Checks'!F355,'Data Checks'!F355&gt;'Data Checks'!F354,'Data Checks'!F354&gt;'Data Checks'!F353),"SELL",IF(AND('Data Checks'!F356&lt;'Data Checks'!F355,'Data Checks'!F355&lt;'Data Checks'!F354,'Data Checks'!F354&lt;'Data Checks'!F353),"BUY",""))</f>
        <v/>
      </c>
      <c r="O146">
        <f>IF(J145="BUY",O145*('Data Checks'!B356/'Data Checks'!B355),IF(J145="SELL",O145*('Data Checks'!B355/'Data Checks'!B356),O145))</f>
        <v>197.84928547274831</v>
      </c>
      <c r="P146">
        <f>IF(K145="BUY",P145*('Data Checks'!C356/'Data Checks'!C355),IF(K145="SELL",P145*('Data Checks'!C355/'Data Checks'!C356),P145))</f>
        <v>210.98465602174448</v>
      </c>
      <c r="Q146">
        <f>IF(L145="BUY",Q145*('Data Checks'!D356/'Data Checks'!D355),IF(L145="SELL",Q145*('Data Checks'!D355/'Data Checks'!D356),Q145))</f>
        <v>258.95522208843511</v>
      </c>
      <c r="R146">
        <f>IF(M145="BUY",R145*('Data Checks'!E356/'Data Checks'!E355),IF(M145="SELL",R145*('Data Checks'!E355/'Data Checks'!E356),R145))</f>
        <v>187.49345867530354</v>
      </c>
      <c r="S146">
        <f>IF(N145="BUY",S145*('Data Checks'!F356/'Data Checks'!F355),IF(N145="SELL",S145*('Data Checks'!F355/'Data Checks'!F356),S145))</f>
        <v>201.72527738789404</v>
      </c>
      <c r="T146" s="16">
        <f t="shared" si="26"/>
        <v>1057.0078996461255</v>
      </c>
      <c r="U146" s="17">
        <f t="shared" si="30"/>
        <v>0</v>
      </c>
      <c r="W146" t="str">
        <f>IF(AND('Data Checks'!B356&gt;'Data Checks'!B355,'Data Checks'!B355&gt;'Data Checks'!B354,'Data Checks'!B354&gt;'Data Checks'!B353),"BUY",IF(AND('Data Checks'!B356&lt;'Data Checks'!B355,'Data Checks'!B355&lt;'Data Checks'!B354,'Data Checks'!B354&lt;'Data Checks'!B353),"SELL",""))</f>
        <v>SELL</v>
      </c>
      <c r="X146" t="str">
        <f>IF(AND('Data Checks'!C356&gt;'Data Checks'!C355,'Data Checks'!C355&gt;'Data Checks'!C354,'Data Checks'!C354&gt;'Data Checks'!C353),"BUY",IF(AND('Data Checks'!C356&lt;'Data Checks'!C355,'Data Checks'!C355&lt;'Data Checks'!C354,'Data Checks'!C354&lt;'Data Checks'!C353),"SELL",""))</f>
        <v/>
      </c>
      <c r="Y146" t="str">
        <f>IF(AND('Data Checks'!D356&gt;'Data Checks'!D355,'Data Checks'!D355&gt;'Data Checks'!D354,'Data Checks'!D354&gt;'Data Checks'!D353),"BUY",IF(AND('Data Checks'!D356&lt;'Data Checks'!D355,'Data Checks'!D355&lt;'Data Checks'!D354,'Data Checks'!D354&lt;'Data Checks'!D353),"SELL",""))</f>
        <v/>
      </c>
      <c r="Z146" t="str">
        <f>IF(AND('Data Checks'!E356&gt;'Data Checks'!E355,'Data Checks'!E355&gt;'Data Checks'!E354,'Data Checks'!E354&gt;'Data Checks'!E353),"BUY",IF(AND('Data Checks'!E356&lt;'Data Checks'!E355,'Data Checks'!E355&lt;'Data Checks'!E354,'Data Checks'!E354&lt;'Data Checks'!E353),"SELL",""))</f>
        <v/>
      </c>
      <c r="AA146" t="str">
        <f>IF(AND('Data Checks'!F356&gt;'Data Checks'!F355,'Data Checks'!F355&gt;'Data Checks'!F354,'Data Checks'!F354&gt;'Data Checks'!F353),"BUY",IF(AND('Data Checks'!F356&lt;'Data Checks'!F355,'Data Checks'!F355&lt;'Data Checks'!F354,'Data Checks'!F354&lt;'Data Checks'!F353),"SELL",""))</f>
        <v/>
      </c>
      <c r="AB146">
        <f>IF(W145="BUY",AB145*('Data Checks'!B356/'Data Checks'!B355),IF(W145="SELL",AB145*('Data Checks'!B355/'Data Checks'!B356),AB145))</f>
        <v>202.1740938028791</v>
      </c>
      <c r="AC146">
        <f>IF(X145="BUY",AC145*('Data Checks'!C356/'Data Checks'!C355),IF(X145="SELL",AC145*('Data Checks'!C355/'Data Checks'!C356),AC145))</f>
        <v>189.58724655255281</v>
      </c>
      <c r="AD146">
        <f>IF(Y145="BUY",AD145*('Data Checks'!D356/'Data Checks'!D355),IF(Y145="SELL",AD145*('Data Checks'!D355/'Data Checks'!D356),AD145))</f>
        <v>154.46685985865039</v>
      </c>
      <c r="AE146">
        <f>IF(Z145="BUY",AE145*('Data Checks'!E356/'Data Checks'!E355),IF(Z145="SELL",AE145*('Data Checks'!E355/'Data Checks'!E356),AE145))</f>
        <v>213.34077616686872</v>
      </c>
      <c r="AF146">
        <f>IF(AA145="BUY",AF145*('Data Checks'!F356/'Data Checks'!F355),IF(AA145="SELL",AF145*('Data Checks'!F355/'Data Checks'!F356),AF145))</f>
        <v>198.2894782347218</v>
      </c>
      <c r="AG146" s="16">
        <f t="shared" si="27"/>
        <v>957.85845461567283</v>
      </c>
      <c r="AH146" s="17">
        <f t="shared" si="31"/>
        <v>0</v>
      </c>
      <c r="AJ146" t="str">
        <f>IF('Moving Ave'!G356&gt;'Moving Ave'!L356,"SELL","BUY")</f>
        <v>SELL</v>
      </c>
      <c r="AK146" t="str">
        <f>IF('Moving Ave'!H356&gt;'Moving Ave'!M356,"SELL","BUY")</f>
        <v>BUY</v>
      </c>
      <c r="AL146" t="str">
        <f>IF('Moving Ave'!I356&gt;'Moving Ave'!N356,"SELL","BUY")</f>
        <v>SELL</v>
      </c>
      <c r="AM146" t="str">
        <f>IF('Moving Ave'!J356&gt;'Moving Ave'!O356,"SELL","BUY")</f>
        <v>BUY</v>
      </c>
      <c r="AN146" t="str">
        <f>IF('Moving Ave'!K356&gt;'Moving Ave'!P356,"SELL","BUY")</f>
        <v>BUY</v>
      </c>
      <c r="AO146">
        <f>IF(AJ145="BUY",AO145*('Data Checks'!B356/'Data Checks'!B355),AO145*('Data Checks'!B355/'Data Checks'!B356))</f>
        <v>148.30877906264607</v>
      </c>
      <c r="AP146">
        <f>IF(AK145="BUY",AP145*('Data Checks'!C356/'Data Checks'!C355),AP145*('Data Checks'!C355/'Data Checks'!C356))</f>
        <v>118.61824024938394</v>
      </c>
      <c r="AQ146">
        <f>IF(AL145="BUY",AQ145*('Data Checks'!D356/'Data Checks'!D355),AQ145*('Data Checks'!D355/'Data Checks'!D356))</f>
        <v>298.51772144611226</v>
      </c>
      <c r="AR146">
        <f>IF(AM145="BUY",AR145*('Data Checks'!E356/'Data Checks'!E355),AR145*('Data Checks'!E355/'Data Checks'!E356))</f>
        <v>108.43655144169558</v>
      </c>
      <c r="AS146">
        <f>IF(AN145="BUY",AS145*('Data Checks'!F356/'Data Checks'!F355),AS145*('Data Checks'!F355/'Data Checks'!F356))</f>
        <v>204.90706382408692</v>
      </c>
      <c r="AT146" s="16">
        <f t="shared" si="28"/>
        <v>878.78835602392462</v>
      </c>
      <c r="AU146" s="17">
        <f t="shared" si="32"/>
        <v>4.4816711919197783E-3</v>
      </c>
    </row>
    <row r="147" spans="1:47" x14ac:dyDescent="0.35">
      <c r="A147" s="2">
        <f>Prices!A355</f>
        <v>44401</v>
      </c>
      <c r="B147">
        <f>B146*('Data Checks'!B357/'Data Checks'!B356)</f>
        <v>317.05943552953153</v>
      </c>
      <c r="C147">
        <f>C146*('Data Checks'!C357/'Data Checks'!C356)</f>
        <v>118.05943911758811</v>
      </c>
      <c r="D147">
        <f>D146*('Data Checks'!D357/'Data Checks'!D356)</f>
        <v>202.93872437700318</v>
      </c>
      <c r="E147">
        <f>E146*('Data Checks'!E357/'Data Checks'!E356)</f>
        <v>108.10177408430611</v>
      </c>
      <c r="F147">
        <f>F146*('Data Checks'!F357/'Data Checks'!F356)</f>
        <v>134.00095566048114</v>
      </c>
      <c r="G147" s="16">
        <f t="shared" si="25"/>
        <v>880.16032876891018</v>
      </c>
      <c r="H147" s="17">
        <f t="shared" si="29"/>
        <v>-1.4622126384304934E-3</v>
      </c>
      <c r="J147" t="str">
        <f>IF(AND('Data Checks'!B357&gt;'Data Checks'!B356,'Data Checks'!B356&gt;'Data Checks'!B355,'Data Checks'!B355&gt;'Data Checks'!B354),"SELL",IF(AND('Data Checks'!B357&lt;'Data Checks'!B356,'Data Checks'!B356&lt;'Data Checks'!B355,'Data Checks'!B355&lt;'Data Checks'!B354),"BUY",""))</f>
        <v/>
      </c>
      <c r="K147" t="str">
        <f>IF(AND('Data Checks'!C357&gt;'Data Checks'!C356,'Data Checks'!C356&gt;'Data Checks'!C355,'Data Checks'!C355&gt;'Data Checks'!C354),"SELL",IF(AND('Data Checks'!C357&lt;'Data Checks'!C356,'Data Checks'!C356&lt;'Data Checks'!C355,'Data Checks'!C355&lt;'Data Checks'!C354),"BUY",""))</f>
        <v>BUY</v>
      </c>
      <c r="L147" t="str">
        <f>IF(AND('Data Checks'!D357&gt;'Data Checks'!D356,'Data Checks'!D356&gt;'Data Checks'!D355,'Data Checks'!D355&gt;'Data Checks'!D354),"SELL",IF(AND('Data Checks'!D357&lt;'Data Checks'!D356,'Data Checks'!D356&lt;'Data Checks'!D355,'Data Checks'!D355&lt;'Data Checks'!D354),"BUY",""))</f>
        <v/>
      </c>
      <c r="M147" t="str">
        <f>IF(AND('Data Checks'!E357&gt;'Data Checks'!E356,'Data Checks'!E356&gt;'Data Checks'!E355,'Data Checks'!E355&gt;'Data Checks'!E354),"SELL",IF(AND('Data Checks'!E357&lt;'Data Checks'!E356,'Data Checks'!E356&lt;'Data Checks'!E355,'Data Checks'!E355&lt;'Data Checks'!E354),"BUY",""))</f>
        <v>BUY</v>
      </c>
      <c r="N147" t="str">
        <f>IF(AND('Data Checks'!F357&gt;'Data Checks'!F356,'Data Checks'!F356&gt;'Data Checks'!F355,'Data Checks'!F355&gt;'Data Checks'!F354),"SELL",IF(AND('Data Checks'!F357&lt;'Data Checks'!F356,'Data Checks'!F356&lt;'Data Checks'!F355,'Data Checks'!F355&lt;'Data Checks'!F354),"BUY",""))</f>
        <v/>
      </c>
      <c r="O147">
        <f>IF(J146="BUY",O146*('Data Checks'!B357/'Data Checks'!B356),IF(J146="SELL",O146*('Data Checks'!B356/'Data Checks'!B357),O146))</f>
        <v>199.33055410887911</v>
      </c>
      <c r="P147">
        <f>IF(K146="BUY",P146*('Data Checks'!C357/'Data Checks'!C356),IF(K146="SELL",P146*('Data Checks'!C356/'Data Checks'!C357),P146))</f>
        <v>210.98465602174448</v>
      </c>
      <c r="Q147">
        <f>IF(L146="BUY",Q146*('Data Checks'!D357/'Data Checks'!D356),IF(L146="SELL",Q146*('Data Checks'!D356/'Data Checks'!D357),Q146))</f>
        <v>258.95522208843511</v>
      </c>
      <c r="R147">
        <f>IF(M146="BUY",R146*('Data Checks'!E357/'Data Checks'!E356),IF(M146="SELL",R146*('Data Checks'!E356/'Data Checks'!E357),R146))</f>
        <v>187.49345867530354</v>
      </c>
      <c r="S147">
        <f>IF(N146="BUY",S146*('Data Checks'!F357/'Data Checks'!F356),IF(N146="SELL",S146*('Data Checks'!F356/'Data Checks'!F357),S146))</f>
        <v>201.72527738789404</v>
      </c>
      <c r="T147" s="16">
        <f t="shared" si="26"/>
        <v>1058.4891682822563</v>
      </c>
      <c r="U147" s="17">
        <f t="shared" si="30"/>
        <v>1.4013789647426833E-3</v>
      </c>
      <c r="W147" t="str">
        <f>IF(AND('Data Checks'!B357&gt;'Data Checks'!B356,'Data Checks'!B356&gt;'Data Checks'!B355,'Data Checks'!B355&gt;'Data Checks'!B354),"BUY",IF(AND('Data Checks'!B357&lt;'Data Checks'!B356,'Data Checks'!B356&lt;'Data Checks'!B355,'Data Checks'!B355&lt;'Data Checks'!B354),"SELL",""))</f>
        <v/>
      </c>
      <c r="X147" t="str">
        <f>IF(AND('Data Checks'!C357&gt;'Data Checks'!C356,'Data Checks'!C356&gt;'Data Checks'!C355,'Data Checks'!C355&gt;'Data Checks'!C354),"BUY",IF(AND('Data Checks'!C357&lt;'Data Checks'!C356,'Data Checks'!C356&lt;'Data Checks'!C355,'Data Checks'!C355&lt;'Data Checks'!C354),"SELL",""))</f>
        <v>SELL</v>
      </c>
      <c r="Y147" t="str">
        <f>IF(AND('Data Checks'!D357&gt;'Data Checks'!D356,'Data Checks'!D356&gt;'Data Checks'!D355,'Data Checks'!D355&gt;'Data Checks'!D354),"BUY",IF(AND('Data Checks'!D357&lt;'Data Checks'!D356,'Data Checks'!D356&lt;'Data Checks'!D355,'Data Checks'!D355&lt;'Data Checks'!D354),"SELL",""))</f>
        <v/>
      </c>
      <c r="Z147" t="str">
        <f>IF(AND('Data Checks'!E357&gt;'Data Checks'!E356,'Data Checks'!E356&gt;'Data Checks'!E355,'Data Checks'!E355&gt;'Data Checks'!E354),"BUY",IF(AND('Data Checks'!E357&lt;'Data Checks'!E356,'Data Checks'!E356&lt;'Data Checks'!E355,'Data Checks'!E355&lt;'Data Checks'!E354),"SELL",""))</f>
        <v>SELL</v>
      </c>
      <c r="AA147" t="str">
        <f>IF(AND('Data Checks'!F357&gt;'Data Checks'!F356,'Data Checks'!F356&gt;'Data Checks'!F355,'Data Checks'!F355&gt;'Data Checks'!F354),"BUY",IF(AND('Data Checks'!F357&lt;'Data Checks'!F356,'Data Checks'!F356&lt;'Data Checks'!F355,'Data Checks'!F355&lt;'Data Checks'!F354),"SELL",""))</f>
        <v/>
      </c>
      <c r="AB147">
        <f>IF(W146="BUY",AB146*('Data Checks'!B357/'Data Checks'!B356),IF(W146="SELL",AB146*('Data Checks'!B356/'Data Checks'!B357),AB146))</f>
        <v>200.67169420575166</v>
      </c>
      <c r="AC147">
        <f>IF(X146="BUY",AC146*('Data Checks'!C357/'Data Checks'!C356),IF(X146="SELL",AC146*('Data Checks'!C356/'Data Checks'!C357),AC146))</f>
        <v>189.58724655255281</v>
      </c>
      <c r="AD147">
        <f>IF(Y146="BUY",AD146*('Data Checks'!D357/'Data Checks'!D356),IF(Y146="SELL",AD146*('Data Checks'!D356/'Data Checks'!D357),AD146))</f>
        <v>154.46685985865039</v>
      </c>
      <c r="AE147">
        <f>IF(Z146="BUY",AE146*('Data Checks'!E357/'Data Checks'!E356),IF(Z146="SELL",AE146*('Data Checks'!E356/'Data Checks'!E357),AE146))</f>
        <v>213.34077616686872</v>
      </c>
      <c r="AF147">
        <f>IF(AA146="BUY",AF146*('Data Checks'!F357/'Data Checks'!F356),IF(AA146="SELL",AF146*('Data Checks'!F356/'Data Checks'!F357),AF146))</f>
        <v>198.2894782347218</v>
      </c>
      <c r="AG147" s="16">
        <f t="shared" si="27"/>
        <v>956.35605501854548</v>
      </c>
      <c r="AH147" s="17">
        <f t="shared" si="31"/>
        <v>-1.5684985499555548E-3</v>
      </c>
      <c r="AJ147" t="str">
        <f>IF('Moving Ave'!G357&gt;'Moving Ave'!L357,"SELL","BUY")</f>
        <v>SELL</v>
      </c>
      <c r="AK147" t="str">
        <f>IF('Moving Ave'!H357&gt;'Moving Ave'!M357,"SELL","BUY")</f>
        <v>BUY</v>
      </c>
      <c r="AL147" t="str">
        <f>IF('Moving Ave'!I357&gt;'Moving Ave'!N357,"SELL","BUY")</f>
        <v>SELL</v>
      </c>
      <c r="AM147" t="str">
        <f>IF('Moving Ave'!J357&gt;'Moving Ave'!O357,"SELL","BUY")</f>
        <v>BUY</v>
      </c>
      <c r="AN147" t="str">
        <f>IF('Moving Ave'!K357&gt;'Moving Ave'!P357,"SELL","BUY")</f>
        <v>BUY</v>
      </c>
      <c r="AO147">
        <f>IF(AJ146="BUY",AO146*('Data Checks'!B357/'Data Checks'!B356),AO146*('Data Checks'!B356/'Data Checks'!B357))</f>
        <v>147.20666431726514</v>
      </c>
      <c r="AP147">
        <f>IF(AK146="BUY",AP146*('Data Checks'!C357/'Data Checks'!C356),AP146*('Data Checks'!C356/'Data Checks'!C357))</f>
        <v>118.05943911758811</v>
      </c>
      <c r="AQ147">
        <f>IF(AL146="BUY",AQ146*('Data Checks'!D357/'Data Checks'!D356),AQ146*('Data Checks'!D356/'Data Checks'!D357))</f>
        <v>298.0756185181848</v>
      </c>
      <c r="AR147">
        <f>IF(AM146="BUY",AR146*('Data Checks'!E357/'Data Checks'!E356),AR146*('Data Checks'!E356/'Data Checks'!E357))</f>
        <v>108.10177408430611</v>
      </c>
      <c r="AS147">
        <f>IF(AN146="BUY",AS146*('Data Checks'!F357/'Data Checks'!F356),AS146*('Data Checks'!F356/'Data Checks'!F357))</f>
        <v>200.34407145662092</v>
      </c>
      <c r="AT147" s="16">
        <f t="shared" si="28"/>
        <v>871.78756749396507</v>
      </c>
      <c r="AU147" s="17">
        <f t="shared" si="32"/>
        <v>-7.9664102078396137E-3</v>
      </c>
    </row>
    <row r="148" spans="1:47" x14ac:dyDescent="0.35">
      <c r="A148" s="2">
        <f>Prices!A356</f>
        <v>44404</v>
      </c>
      <c r="B148">
        <f>B147*('Data Checks'!B358/'Data Checks'!B357)</f>
        <v>321.93823477253449</v>
      </c>
      <c r="C148">
        <f>C147*('Data Checks'!C358/'Data Checks'!C357)</f>
        <v>115.163833252828</v>
      </c>
      <c r="D148">
        <f>D147*('Data Checks'!D358/'Data Checks'!D357)</f>
        <v>208.94974468107765</v>
      </c>
      <c r="E148">
        <f>E147*('Data Checks'!E358/'Data Checks'!E357)</f>
        <v>108.63742856921893</v>
      </c>
      <c r="F148">
        <f>F147*('Data Checks'!F358/'Data Checks'!F357)</f>
        <v>132.09346874716468</v>
      </c>
      <c r="G148" s="16">
        <f t="shared" si="25"/>
        <v>886.78271002282384</v>
      </c>
      <c r="H148" s="17">
        <f t="shared" si="29"/>
        <v>7.5240624207368878E-3</v>
      </c>
      <c r="J148" t="str">
        <f>IF(AND('Data Checks'!B358&gt;'Data Checks'!B357,'Data Checks'!B357&gt;'Data Checks'!B356,'Data Checks'!B356&gt;'Data Checks'!B355),"SELL",IF(AND('Data Checks'!B358&lt;'Data Checks'!B357,'Data Checks'!B357&lt;'Data Checks'!B356,'Data Checks'!B356&lt;'Data Checks'!B355),"BUY",""))</f>
        <v/>
      </c>
      <c r="K148" t="str">
        <f>IF(AND('Data Checks'!C358&gt;'Data Checks'!C357,'Data Checks'!C357&gt;'Data Checks'!C356,'Data Checks'!C356&gt;'Data Checks'!C355),"SELL",IF(AND('Data Checks'!C358&lt;'Data Checks'!C357,'Data Checks'!C357&lt;'Data Checks'!C356,'Data Checks'!C356&lt;'Data Checks'!C355),"BUY",""))</f>
        <v>BUY</v>
      </c>
      <c r="L148" t="str">
        <f>IF(AND('Data Checks'!D358&gt;'Data Checks'!D357,'Data Checks'!D357&gt;'Data Checks'!D356,'Data Checks'!D356&gt;'Data Checks'!D355),"SELL",IF(AND('Data Checks'!D358&lt;'Data Checks'!D357,'Data Checks'!D357&lt;'Data Checks'!D356,'Data Checks'!D356&lt;'Data Checks'!D355),"BUY",""))</f>
        <v/>
      </c>
      <c r="M148" t="str">
        <f>IF(AND('Data Checks'!E358&gt;'Data Checks'!E357,'Data Checks'!E357&gt;'Data Checks'!E356,'Data Checks'!E356&gt;'Data Checks'!E355),"SELL",IF(AND('Data Checks'!E358&lt;'Data Checks'!E357,'Data Checks'!E357&lt;'Data Checks'!E356,'Data Checks'!E356&lt;'Data Checks'!E355),"BUY",""))</f>
        <v/>
      </c>
      <c r="N148" t="str">
        <f>IF(AND('Data Checks'!F358&gt;'Data Checks'!F357,'Data Checks'!F357&gt;'Data Checks'!F356,'Data Checks'!F356&gt;'Data Checks'!F355),"SELL",IF(AND('Data Checks'!F358&lt;'Data Checks'!F357,'Data Checks'!F357&lt;'Data Checks'!F356,'Data Checks'!F356&lt;'Data Checks'!F355),"BUY",""))</f>
        <v>BUY</v>
      </c>
      <c r="O148">
        <f>IF(J147="BUY",O147*('Data Checks'!B358/'Data Checks'!B357),IF(J147="SELL",O147*('Data Checks'!B357/'Data Checks'!B358),O147))</f>
        <v>199.33055410887911</v>
      </c>
      <c r="P148">
        <f>IF(K147="BUY",P147*('Data Checks'!C358/'Data Checks'!C357),IF(K147="SELL",P147*('Data Checks'!C357/'Data Checks'!C358),P147))</f>
        <v>205.80990327078089</v>
      </c>
      <c r="Q148">
        <f>IF(L147="BUY",Q147*('Data Checks'!D358/'Data Checks'!D357),IF(L147="SELL",Q147*('Data Checks'!D357/'Data Checks'!D358),Q147))</f>
        <v>258.95522208843511</v>
      </c>
      <c r="R148">
        <f>IF(M147="BUY",R147*('Data Checks'!E358/'Data Checks'!E357),IF(M147="SELL",R147*('Data Checks'!E357/'Data Checks'!E358),R147))</f>
        <v>188.42250644424132</v>
      </c>
      <c r="S148">
        <f>IF(N147="BUY",S147*('Data Checks'!F358/'Data Checks'!F357),IF(N147="SELL",S147*('Data Checks'!F357/'Data Checks'!F358),S147))</f>
        <v>201.72527738789404</v>
      </c>
      <c r="T148" s="16">
        <f t="shared" si="26"/>
        <v>1054.2434633002304</v>
      </c>
      <c r="U148" s="17">
        <f t="shared" si="30"/>
        <v>-4.01109913001374E-3</v>
      </c>
      <c r="W148" t="str">
        <f>IF(AND('Data Checks'!B358&gt;'Data Checks'!B357,'Data Checks'!B357&gt;'Data Checks'!B356,'Data Checks'!B356&gt;'Data Checks'!B355),"BUY",IF(AND('Data Checks'!B358&lt;'Data Checks'!B357,'Data Checks'!B357&lt;'Data Checks'!B356,'Data Checks'!B356&lt;'Data Checks'!B355),"SELL",""))</f>
        <v/>
      </c>
      <c r="X148" t="str">
        <f>IF(AND('Data Checks'!C358&gt;'Data Checks'!C357,'Data Checks'!C357&gt;'Data Checks'!C356,'Data Checks'!C356&gt;'Data Checks'!C355),"BUY",IF(AND('Data Checks'!C358&lt;'Data Checks'!C357,'Data Checks'!C357&lt;'Data Checks'!C356,'Data Checks'!C356&lt;'Data Checks'!C355),"SELL",""))</f>
        <v>SELL</v>
      </c>
      <c r="Y148" t="str">
        <f>IF(AND('Data Checks'!D358&gt;'Data Checks'!D357,'Data Checks'!D357&gt;'Data Checks'!D356,'Data Checks'!D356&gt;'Data Checks'!D355),"BUY",IF(AND('Data Checks'!D358&lt;'Data Checks'!D357,'Data Checks'!D357&lt;'Data Checks'!D356,'Data Checks'!D356&lt;'Data Checks'!D355),"SELL",""))</f>
        <v/>
      </c>
      <c r="Z148" t="str">
        <f>IF(AND('Data Checks'!E358&gt;'Data Checks'!E357,'Data Checks'!E357&gt;'Data Checks'!E356,'Data Checks'!E356&gt;'Data Checks'!E355),"BUY",IF(AND('Data Checks'!E358&lt;'Data Checks'!E357,'Data Checks'!E357&lt;'Data Checks'!E356,'Data Checks'!E356&lt;'Data Checks'!E355),"SELL",""))</f>
        <v/>
      </c>
      <c r="AA148" t="str">
        <f>IF(AND('Data Checks'!F358&gt;'Data Checks'!F357,'Data Checks'!F357&gt;'Data Checks'!F356,'Data Checks'!F356&gt;'Data Checks'!F355),"BUY",IF(AND('Data Checks'!F358&lt;'Data Checks'!F357,'Data Checks'!F357&lt;'Data Checks'!F356,'Data Checks'!F356&lt;'Data Checks'!F355),"SELL",""))</f>
        <v>SELL</v>
      </c>
      <c r="AB148">
        <f>IF(W147="BUY",AB147*('Data Checks'!B358/'Data Checks'!B357),IF(W147="SELL",AB147*('Data Checks'!B357/'Data Checks'!B358),AB147))</f>
        <v>200.67169420575166</v>
      </c>
      <c r="AC148">
        <f>IF(X147="BUY",AC147*('Data Checks'!C358/'Data Checks'!C357),IF(X147="SELL",AC147*('Data Checks'!C357/'Data Checks'!C358),AC147))</f>
        <v>194.3541071848843</v>
      </c>
      <c r="AD148">
        <f>IF(Y147="BUY",AD147*('Data Checks'!D358/'Data Checks'!D357),IF(Y147="SELL",AD147*('Data Checks'!D357/'Data Checks'!D358),AD147))</f>
        <v>154.46685985865039</v>
      </c>
      <c r="AE148">
        <f>IF(Z147="BUY",AE147*('Data Checks'!E358/'Data Checks'!E357),IF(Z147="SELL",AE147*('Data Checks'!E357/'Data Checks'!E358),AE147))</f>
        <v>212.28886482219113</v>
      </c>
      <c r="AF148">
        <f>IF(AA147="BUY",AF147*('Data Checks'!F358/'Data Checks'!F357),IF(AA147="SELL",AF147*('Data Checks'!F357/'Data Checks'!F358),AF147))</f>
        <v>198.2894782347218</v>
      </c>
      <c r="AG148" s="16">
        <f t="shared" si="27"/>
        <v>960.07100430619926</v>
      </c>
      <c r="AH148" s="17">
        <f t="shared" si="31"/>
        <v>3.884483470522726E-3</v>
      </c>
      <c r="AJ148" t="str">
        <f>IF('Moving Ave'!G358&gt;'Moving Ave'!L358,"SELL","BUY")</f>
        <v>SELL</v>
      </c>
      <c r="AK148" t="str">
        <f>IF('Moving Ave'!H358&gt;'Moving Ave'!M358,"SELL","BUY")</f>
        <v>BUY</v>
      </c>
      <c r="AL148" t="str">
        <f>IF('Moving Ave'!I358&gt;'Moving Ave'!N358,"SELL","BUY")</f>
        <v>SELL</v>
      </c>
      <c r="AM148" t="str">
        <f>IF('Moving Ave'!J358&gt;'Moving Ave'!O358,"SELL","BUY")</f>
        <v>BUY</v>
      </c>
      <c r="AN148" t="str">
        <f>IF('Moving Ave'!K358&gt;'Moving Ave'!P358,"SELL","BUY")</f>
        <v>BUY</v>
      </c>
      <c r="AO148">
        <f>IF(AJ147="BUY",AO147*('Data Checks'!B358/'Data Checks'!B357),AO147*('Data Checks'!B357/'Data Checks'!B358))</f>
        <v>144.97582720360731</v>
      </c>
      <c r="AP148">
        <f>IF(AK147="BUY",AP147*('Data Checks'!C358/'Data Checks'!C357),AP147*('Data Checks'!C357/'Data Checks'!C358))</f>
        <v>115.163833252828</v>
      </c>
      <c r="AQ148">
        <f>IF(AL147="BUY",AQ147*('Data Checks'!D358/'Data Checks'!D357),AQ147*('Data Checks'!D357/'Data Checks'!D358))</f>
        <v>289.50064467556484</v>
      </c>
      <c r="AR148">
        <f>IF(AM147="BUY",AR147*('Data Checks'!E358/'Data Checks'!E357),AR147*('Data Checks'!E357/'Data Checks'!E358))</f>
        <v>108.63742856921893</v>
      </c>
      <c r="AS148">
        <f>IF(AN147="BUY",AS147*('Data Checks'!F358/'Data Checks'!F357),AS147*('Data Checks'!F357/'Data Checks'!F358))</f>
        <v>197.49219855332385</v>
      </c>
      <c r="AT148" s="16">
        <f t="shared" si="28"/>
        <v>855.76993225454294</v>
      </c>
      <c r="AU148" s="17">
        <f t="shared" si="32"/>
        <v>-1.8373323773664629E-2</v>
      </c>
    </row>
    <row r="149" spans="1:47" x14ac:dyDescent="0.35">
      <c r="A149" s="2">
        <f>Prices!A357</f>
        <v>44405</v>
      </c>
      <c r="B149">
        <f>B148*('Data Checks'!B359/'Data Checks'!B358)</f>
        <v>316.15534820071917</v>
      </c>
      <c r="C149">
        <f>C148*('Data Checks'!C359/'Data Checks'!C358)</f>
        <v>115.57023407595223</v>
      </c>
      <c r="D149">
        <f>D148*('Data Checks'!D359/'Data Checks'!D358)</f>
        <v>204.64184345703521</v>
      </c>
      <c r="E149">
        <f>E148*('Data Checks'!E359/'Data Checks'!E358)</f>
        <v>107.46567433995057</v>
      </c>
      <c r="F149">
        <f>F148*('Data Checks'!F359/'Data Checks'!F358)</f>
        <v>133.28564806798744</v>
      </c>
      <c r="G149" s="16">
        <f t="shared" si="25"/>
        <v>877.11874814164457</v>
      </c>
      <c r="H149" s="17">
        <f t="shared" si="29"/>
        <v>-1.0897778871816866E-2</v>
      </c>
      <c r="J149" t="str">
        <f>IF(AND('Data Checks'!B359&gt;'Data Checks'!B358,'Data Checks'!B358&gt;'Data Checks'!B357,'Data Checks'!B357&gt;'Data Checks'!B356),"SELL",IF(AND('Data Checks'!B359&lt;'Data Checks'!B358,'Data Checks'!B358&lt;'Data Checks'!B357,'Data Checks'!B357&lt;'Data Checks'!B356),"BUY",""))</f>
        <v/>
      </c>
      <c r="K149" t="str">
        <f>IF(AND('Data Checks'!C359&gt;'Data Checks'!C358,'Data Checks'!C358&gt;'Data Checks'!C357,'Data Checks'!C357&gt;'Data Checks'!C356),"SELL",IF(AND('Data Checks'!C359&lt;'Data Checks'!C358,'Data Checks'!C358&lt;'Data Checks'!C357,'Data Checks'!C357&lt;'Data Checks'!C356),"BUY",""))</f>
        <v/>
      </c>
      <c r="L149" t="str">
        <f>IF(AND('Data Checks'!D359&gt;'Data Checks'!D358,'Data Checks'!D358&gt;'Data Checks'!D357,'Data Checks'!D357&gt;'Data Checks'!D356),"SELL",IF(AND('Data Checks'!D359&lt;'Data Checks'!D358,'Data Checks'!D358&lt;'Data Checks'!D357,'Data Checks'!D357&lt;'Data Checks'!D356),"BUY",""))</f>
        <v/>
      </c>
      <c r="M149" t="str">
        <f>IF(AND('Data Checks'!E359&gt;'Data Checks'!E358,'Data Checks'!E358&gt;'Data Checks'!E357,'Data Checks'!E357&gt;'Data Checks'!E356),"SELL",IF(AND('Data Checks'!E359&lt;'Data Checks'!E358,'Data Checks'!E358&lt;'Data Checks'!E357,'Data Checks'!E357&lt;'Data Checks'!E356),"BUY",""))</f>
        <v/>
      </c>
      <c r="N149" t="str">
        <f>IF(AND('Data Checks'!F359&gt;'Data Checks'!F358,'Data Checks'!F358&gt;'Data Checks'!F357,'Data Checks'!F357&gt;'Data Checks'!F356),"SELL",IF(AND('Data Checks'!F359&lt;'Data Checks'!F358,'Data Checks'!F358&lt;'Data Checks'!F357,'Data Checks'!F357&lt;'Data Checks'!F356),"BUY",""))</f>
        <v/>
      </c>
      <c r="O149">
        <f>IF(J148="BUY",O148*('Data Checks'!B359/'Data Checks'!B358),IF(J148="SELL",O148*('Data Checks'!B358/'Data Checks'!B359),O148))</f>
        <v>199.33055410887911</v>
      </c>
      <c r="P149">
        <f>IF(K148="BUY",P148*('Data Checks'!C359/'Data Checks'!C358),IF(K148="SELL",P148*('Data Checks'!C358/'Data Checks'!C359),P148))</f>
        <v>206.53618435863544</v>
      </c>
      <c r="Q149">
        <f>IF(L148="BUY",Q148*('Data Checks'!D359/'Data Checks'!D358),IF(L148="SELL",Q148*('Data Checks'!D358/'Data Checks'!D359),Q148))</f>
        <v>258.95522208843511</v>
      </c>
      <c r="R149">
        <f>IF(M148="BUY",R148*('Data Checks'!E359/'Data Checks'!E358),IF(M148="SELL",R148*('Data Checks'!E358/'Data Checks'!E359),R148))</f>
        <v>188.42250644424132</v>
      </c>
      <c r="S149">
        <f>IF(N148="BUY",S148*('Data Checks'!F359/'Data Checks'!F358),IF(N148="SELL",S148*('Data Checks'!F358/'Data Checks'!F359),S148))</f>
        <v>203.54590263507717</v>
      </c>
      <c r="T149" s="16">
        <f t="shared" si="26"/>
        <v>1056.7903696352682</v>
      </c>
      <c r="U149" s="17">
        <f t="shared" si="30"/>
        <v>2.4158616331990679E-3</v>
      </c>
      <c r="W149" t="str">
        <f>IF(AND('Data Checks'!B359&gt;'Data Checks'!B358,'Data Checks'!B358&gt;'Data Checks'!B357,'Data Checks'!B357&gt;'Data Checks'!B356),"BUY",IF(AND('Data Checks'!B359&lt;'Data Checks'!B358,'Data Checks'!B358&lt;'Data Checks'!B357,'Data Checks'!B357&lt;'Data Checks'!B356),"SELL",""))</f>
        <v/>
      </c>
      <c r="X149" t="str">
        <f>IF(AND('Data Checks'!C359&gt;'Data Checks'!C358,'Data Checks'!C358&gt;'Data Checks'!C357,'Data Checks'!C357&gt;'Data Checks'!C356),"BUY",IF(AND('Data Checks'!C359&lt;'Data Checks'!C358,'Data Checks'!C358&lt;'Data Checks'!C357,'Data Checks'!C357&lt;'Data Checks'!C356),"SELL",""))</f>
        <v/>
      </c>
      <c r="Y149" t="str">
        <f>IF(AND('Data Checks'!D359&gt;'Data Checks'!D358,'Data Checks'!D358&gt;'Data Checks'!D357,'Data Checks'!D357&gt;'Data Checks'!D356),"BUY",IF(AND('Data Checks'!D359&lt;'Data Checks'!D358,'Data Checks'!D358&lt;'Data Checks'!D357,'Data Checks'!D357&lt;'Data Checks'!D356),"SELL",""))</f>
        <v/>
      </c>
      <c r="Z149" t="str">
        <f>IF(AND('Data Checks'!E359&gt;'Data Checks'!E358,'Data Checks'!E358&gt;'Data Checks'!E357,'Data Checks'!E357&gt;'Data Checks'!E356),"BUY",IF(AND('Data Checks'!E359&lt;'Data Checks'!E358,'Data Checks'!E358&lt;'Data Checks'!E357,'Data Checks'!E357&lt;'Data Checks'!E356),"SELL",""))</f>
        <v/>
      </c>
      <c r="AA149" t="str">
        <f>IF(AND('Data Checks'!F359&gt;'Data Checks'!F358,'Data Checks'!F358&gt;'Data Checks'!F357,'Data Checks'!F357&gt;'Data Checks'!F356),"BUY",IF(AND('Data Checks'!F359&lt;'Data Checks'!F358,'Data Checks'!F358&lt;'Data Checks'!F357,'Data Checks'!F357&lt;'Data Checks'!F356),"SELL",""))</f>
        <v/>
      </c>
      <c r="AB149">
        <f>IF(W148="BUY",AB148*('Data Checks'!B359/'Data Checks'!B358),IF(W148="SELL",AB148*('Data Checks'!B358/'Data Checks'!B359),AB148))</f>
        <v>200.67169420575166</v>
      </c>
      <c r="AC149">
        <f>IF(X148="BUY",AC148*('Data Checks'!C359/'Data Checks'!C358),IF(X148="SELL",AC148*('Data Checks'!C358/'Data Checks'!C359),AC148))</f>
        <v>193.67066417060778</v>
      </c>
      <c r="AD149">
        <f>IF(Y148="BUY",AD148*('Data Checks'!D359/'Data Checks'!D358),IF(Y148="SELL",AD148*('Data Checks'!D358/'Data Checks'!D359),AD148))</f>
        <v>154.46685985865039</v>
      </c>
      <c r="AE149">
        <f>IF(Z148="BUY",AE148*('Data Checks'!E359/'Data Checks'!E358),IF(Z148="SELL",AE148*('Data Checks'!E358/'Data Checks'!E359),AE148))</f>
        <v>212.28886482219113</v>
      </c>
      <c r="AF149">
        <f>IF(AA148="BUY",AF148*('Data Checks'!F359/'Data Checks'!F358),IF(AA148="SELL",AF148*('Data Checks'!F358/'Data Checks'!F359),AF148))</f>
        <v>196.51586930596758</v>
      </c>
      <c r="AG149" s="16">
        <f t="shared" si="27"/>
        <v>957.61395236316866</v>
      </c>
      <c r="AH149" s="17">
        <f t="shared" si="31"/>
        <v>-2.5592398187321841E-3</v>
      </c>
      <c r="AJ149" t="str">
        <f>IF('Moving Ave'!G359&gt;'Moving Ave'!L359,"SELL","BUY")</f>
        <v>SELL</v>
      </c>
      <c r="AK149" t="str">
        <f>IF('Moving Ave'!H359&gt;'Moving Ave'!M359,"SELL","BUY")</f>
        <v>BUY</v>
      </c>
      <c r="AL149" t="str">
        <f>IF('Moving Ave'!I359&gt;'Moving Ave'!N359,"SELL","BUY")</f>
        <v>SELL</v>
      </c>
      <c r="AM149" t="str">
        <f>IF('Moving Ave'!J359&gt;'Moving Ave'!O359,"SELL","BUY")</f>
        <v>BUY</v>
      </c>
      <c r="AN149" t="str">
        <f>IF('Moving Ave'!K359&gt;'Moving Ave'!P359,"SELL","BUY")</f>
        <v>BUY</v>
      </c>
      <c r="AO149">
        <f>IF(AJ148="BUY",AO148*('Data Checks'!B359/'Data Checks'!B358),AO148*('Data Checks'!B358/'Data Checks'!B359))</f>
        <v>147.62762091560643</v>
      </c>
      <c r="AP149">
        <f>IF(AK148="BUY",AP148*('Data Checks'!C359/'Data Checks'!C358),AP148*('Data Checks'!C358/'Data Checks'!C359))</f>
        <v>115.57023407595223</v>
      </c>
      <c r="AQ149">
        <f>IF(AL148="BUY",AQ148*('Data Checks'!D359/'Data Checks'!D358),AQ148*('Data Checks'!D358/'Data Checks'!D359))</f>
        <v>295.59490262638701</v>
      </c>
      <c r="AR149">
        <f>IF(AM148="BUY",AR148*('Data Checks'!E359/'Data Checks'!E358),AR148*('Data Checks'!E358/'Data Checks'!E359))</f>
        <v>107.46567433995057</v>
      </c>
      <c r="AS149">
        <f>IF(AN148="BUY",AS148*('Data Checks'!F359/'Data Checks'!F358),AS148*('Data Checks'!F358/'Data Checks'!F359))</f>
        <v>199.2746191178845</v>
      </c>
      <c r="AT149" s="16">
        <f t="shared" si="28"/>
        <v>865.53305107578069</v>
      </c>
      <c r="AU149" s="17">
        <f t="shared" si="32"/>
        <v>1.1408578933728819E-2</v>
      </c>
    </row>
    <row r="150" spans="1:47" x14ac:dyDescent="0.35">
      <c r="A150" s="2">
        <f>Prices!A358</f>
        <v>44406</v>
      </c>
      <c r="B150">
        <f>B149*('Data Checks'!B360/'Data Checks'!B359)</f>
        <v>319.65374397577625</v>
      </c>
      <c r="C150">
        <f>C149*('Data Checks'!C360/'Data Checks'!C359)</f>
        <v>119.73584251297557</v>
      </c>
      <c r="D150">
        <f>D149*('Data Checks'!D360/'Data Checks'!D359)</f>
        <v>209.31708481077112</v>
      </c>
      <c r="E150">
        <f>E149*('Data Checks'!E360/'Data Checks'!E359)</f>
        <v>108.50351160015018</v>
      </c>
      <c r="F150">
        <f>F149*('Data Checks'!F360/'Data Checks'!F359)</f>
        <v>132.57034047549377</v>
      </c>
      <c r="G150" s="16">
        <f t="shared" si="25"/>
        <v>889.78052337516692</v>
      </c>
      <c r="H150" s="17">
        <f t="shared" si="29"/>
        <v>1.4435645413290787E-2</v>
      </c>
      <c r="J150" t="str">
        <f>IF(AND('Data Checks'!B360&gt;'Data Checks'!B359,'Data Checks'!B359&gt;'Data Checks'!B358,'Data Checks'!B358&gt;'Data Checks'!B357),"SELL",IF(AND('Data Checks'!B360&lt;'Data Checks'!B359,'Data Checks'!B359&lt;'Data Checks'!B358,'Data Checks'!B358&lt;'Data Checks'!B357),"BUY",""))</f>
        <v/>
      </c>
      <c r="K150" t="str">
        <f>IF(AND('Data Checks'!C360&gt;'Data Checks'!C359,'Data Checks'!C359&gt;'Data Checks'!C358,'Data Checks'!C358&gt;'Data Checks'!C357),"SELL",IF(AND('Data Checks'!C360&lt;'Data Checks'!C359,'Data Checks'!C359&lt;'Data Checks'!C358,'Data Checks'!C358&lt;'Data Checks'!C357),"BUY",""))</f>
        <v/>
      </c>
      <c r="L150" t="str">
        <f>IF(AND('Data Checks'!D360&gt;'Data Checks'!D359,'Data Checks'!D359&gt;'Data Checks'!D358,'Data Checks'!D358&gt;'Data Checks'!D357),"SELL",IF(AND('Data Checks'!D360&lt;'Data Checks'!D359,'Data Checks'!D359&lt;'Data Checks'!D358,'Data Checks'!D358&lt;'Data Checks'!D357),"BUY",""))</f>
        <v/>
      </c>
      <c r="M150" t="str">
        <f>IF(AND('Data Checks'!E360&gt;'Data Checks'!E359,'Data Checks'!E359&gt;'Data Checks'!E358,'Data Checks'!E358&gt;'Data Checks'!E357),"SELL",IF(AND('Data Checks'!E360&lt;'Data Checks'!E359,'Data Checks'!E359&lt;'Data Checks'!E358,'Data Checks'!E358&lt;'Data Checks'!E357),"BUY",""))</f>
        <v/>
      </c>
      <c r="N150" t="str">
        <f>IF(AND('Data Checks'!F360&gt;'Data Checks'!F359,'Data Checks'!F359&gt;'Data Checks'!F358,'Data Checks'!F358&gt;'Data Checks'!F357),"SELL",IF(AND('Data Checks'!F360&lt;'Data Checks'!F359,'Data Checks'!F359&lt;'Data Checks'!F358,'Data Checks'!F358&lt;'Data Checks'!F357),"BUY",""))</f>
        <v/>
      </c>
      <c r="O150">
        <f>IF(J149="BUY",O149*('Data Checks'!B360/'Data Checks'!B359),IF(J149="SELL",O149*('Data Checks'!B359/'Data Checks'!B360),O149))</f>
        <v>199.33055410887911</v>
      </c>
      <c r="P150">
        <f>IF(K149="BUY",P149*('Data Checks'!C360/'Data Checks'!C359),IF(K149="SELL",P149*('Data Checks'!C359/'Data Checks'!C360),P149))</f>
        <v>206.53618435863544</v>
      </c>
      <c r="Q150">
        <f>IF(L149="BUY",Q149*('Data Checks'!D360/'Data Checks'!D359),IF(L149="SELL",Q149*('Data Checks'!D359/'Data Checks'!D360),Q149))</f>
        <v>258.95522208843511</v>
      </c>
      <c r="R150">
        <f>IF(M149="BUY",R149*('Data Checks'!E360/'Data Checks'!E359),IF(M149="SELL",R149*('Data Checks'!E359/'Data Checks'!E360),R149))</f>
        <v>188.42250644424132</v>
      </c>
      <c r="S150">
        <f>IF(N149="BUY",S149*('Data Checks'!F360/'Data Checks'!F359),IF(N149="SELL",S149*('Data Checks'!F359/'Data Checks'!F360),S149))</f>
        <v>203.54590263507717</v>
      </c>
      <c r="T150" s="16">
        <f t="shared" si="26"/>
        <v>1056.7903696352682</v>
      </c>
      <c r="U150" s="17">
        <f t="shared" si="30"/>
        <v>0</v>
      </c>
      <c r="W150" t="str">
        <f>IF(AND('Data Checks'!B360&gt;'Data Checks'!B359,'Data Checks'!B359&gt;'Data Checks'!B358,'Data Checks'!B358&gt;'Data Checks'!B357),"BUY",IF(AND('Data Checks'!B360&lt;'Data Checks'!B359,'Data Checks'!B359&lt;'Data Checks'!B358,'Data Checks'!B358&lt;'Data Checks'!B357),"SELL",""))</f>
        <v/>
      </c>
      <c r="X150" t="str">
        <f>IF(AND('Data Checks'!C360&gt;'Data Checks'!C359,'Data Checks'!C359&gt;'Data Checks'!C358,'Data Checks'!C358&gt;'Data Checks'!C357),"BUY",IF(AND('Data Checks'!C360&lt;'Data Checks'!C359,'Data Checks'!C359&lt;'Data Checks'!C358,'Data Checks'!C358&lt;'Data Checks'!C357),"SELL",""))</f>
        <v/>
      </c>
      <c r="Y150" t="str">
        <f>IF(AND('Data Checks'!D360&gt;'Data Checks'!D359,'Data Checks'!D359&gt;'Data Checks'!D358,'Data Checks'!D358&gt;'Data Checks'!D357),"BUY",IF(AND('Data Checks'!D360&lt;'Data Checks'!D359,'Data Checks'!D359&lt;'Data Checks'!D358,'Data Checks'!D358&lt;'Data Checks'!D357),"SELL",""))</f>
        <v/>
      </c>
      <c r="Z150" t="str">
        <f>IF(AND('Data Checks'!E360&gt;'Data Checks'!E359,'Data Checks'!E359&gt;'Data Checks'!E358,'Data Checks'!E358&gt;'Data Checks'!E357),"BUY",IF(AND('Data Checks'!E360&lt;'Data Checks'!E359,'Data Checks'!E359&lt;'Data Checks'!E358,'Data Checks'!E358&lt;'Data Checks'!E357),"SELL",""))</f>
        <v/>
      </c>
      <c r="AA150" t="str">
        <f>IF(AND('Data Checks'!F360&gt;'Data Checks'!F359,'Data Checks'!F359&gt;'Data Checks'!F358,'Data Checks'!F358&gt;'Data Checks'!F357),"BUY",IF(AND('Data Checks'!F360&lt;'Data Checks'!F359,'Data Checks'!F359&lt;'Data Checks'!F358,'Data Checks'!F358&lt;'Data Checks'!F357),"SELL",""))</f>
        <v/>
      </c>
      <c r="AB150">
        <f>IF(W149="BUY",AB149*('Data Checks'!B360/'Data Checks'!B359),IF(W149="SELL",AB149*('Data Checks'!B359/'Data Checks'!B360),AB149))</f>
        <v>200.67169420575166</v>
      </c>
      <c r="AC150">
        <f>IF(X149="BUY",AC149*('Data Checks'!C360/'Data Checks'!C359),IF(X149="SELL",AC149*('Data Checks'!C359/'Data Checks'!C360),AC149))</f>
        <v>193.67066417060778</v>
      </c>
      <c r="AD150">
        <f>IF(Y149="BUY",AD149*('Data Checks'!D360/'Data Checks'!D359),IF(Y149="SELL",AD149*('Data Checks'!D359/'Data Checks'!D360),AD149))</f>
        <v>154.46685985865039</v>
      </c>
      <c r="AE150">
        <f>IF(Z149="BUY",AE149*('Data Checks'!E360/'Data Checks'!E359),IF(Z149="SELL",AE149*('Data Checks'!E359/'Data Checks'!E360),AE149))</f>
        <v>212.28886482219113</v>
      </c>
      <c r="AF150">
        <f>IF(AA149="BUY",AF149*('Data Checks'!F360/'Data Checks'!F359),IF(AA149="SELL",AF149*('Data Checks'!F359/'Data Checks'!F360),AF149))</f>
        <v>196.51586930596758</v>
      </c>
      <c r="AG150" s="16">
        <f t="shared" si="27"/>
        <v>957.61395236316866</v>
      </c>
      <c r="AH150" s="17">
        <f t="shared" si="31"/>
        <v>0</v>
      </c>
      <c r="AJ150" t="str">
        <f>IF('Moving Ave'!G360&gt;'Moving Ave'!L360,"SELL","BUY")</f>
        <v>SELL</v>
      </c>
      <c r="AK150" t="str">
        <f>IF('Moving Ave'!H360&gt;'Moving Ave'!M360,"SELL","BUY")</f>
        <v>BUY</v>
      </c>
      <c r="AL150" t="str">
        <f>IF('Moving Ave'!I360&gt;'Moving Ave'!N360,"SELL","BUY")</f>
        <v>SELL</v>
      </c>
      <c r="AM150" t="str">
        <f>IF('Moving Ave'!J360&gt;'Moving Ave'!O360,"SELL","BUY")</f>
        <v>BUY</v>
      </c>
      <c r="AN150" t="str">
        <f>IF('Moving Ave'!K360&gt;'Moving Ave'!P360,"SELL","BUY")</f>
        <v>BUY</v>
      </c>
      <c r="AO150">
        <f>IF(AJ149="BUY",AO149*('Data Checks'!B360/'Data Checks'!B359),AO149*('Data Checks'!B359/'Data Checks'!B360))</f>
        <v>146.01193564669865</v>
      </c>
      <c r="AP150">
        <f>IF(AK149="BUY",AP149*('Data Checks'!C360/'Data Checks'!C359),AP149*('Data Checks'!C359/'Data Checks'!C360))</f>
        <v>119.73584251297557</v>
      </c>
      <c r="AQ150">
        <f>IF(AL149="BUY",AQ149*('Data Checks'!D360/'Data Checks'!D359),AQ149*('Data Checks'!D359/'Data Checks'!D360))</f>
        <v>288.99258674776792</v>
      </c>
      <c r="AR150">
        <f>IF(AM149="BUY",AR149*('Data Checks'!E360/'Data Checks'!E359),AR149*('Data Checks'!E359/'Data Checks'!E360))</f>
        <v>108.50351160015018</v>
      </c>
      <c r="AS150">
        <f>IF(AN149="BUY",AS149*('Data Checks'!F360/'Data Checks'!F359),AS149*('Data Checks'!F359/'Data Checks'!F360))</f>
        <v>198.20516677914807</v>
      </c>
      <c r="AT150" s="16">
        <f t="shared" si="28"/>
        <v>861.44904328674045</v>
      </c>
      <c r="AU150" s="17">
        <f t="shared" si="32"/>
        <v>-4.7184885475651805E-3</v>
      </c>
    </row>
    <row r="151" spans="1:47" x14ac:dyDescent="0.35">
      <c r="A151" s="2">
        <f>Prices!A359</f>
        <v>44407</v>
      </c>
      <c r="B151">
        <f>B150*('Data Checks'!B361/'Data Checks'!B360)</f>
        <v>321.58733272434137</v>
      </c>
      <c r="C151">
        <f>C150*('Data Checks'!C361/'Data Checks'!C360)</f>
        <v>115.62103417884276</v>
      </c>
      <c r="D151">
        <f>D150*('Data Checks'!D361/'Data Checks'!D360)</f>
        <v>203.84038076207008</v>
      </c>
      <c r="E151">
        <f>E150*('Data Checks'!E361/'Data Checks'!E360)</f>
        <v>103.24740196694329</v>
      </c>
      <c r="F151">
        <f>F150*('Data Checks'!F361/'Data Checks'!F360)</f>
        <v>127.18169566783551</v>
      </c>
      <c r="G151" s="16">
        <f t="shared" si="25"/>
        <v>871.47784530003298</v>
      </c>
      <c r="H151" s="17">
        <f t="shared" si="29"/>
        <v>-2.0569879418923631E-2</v>
      </c>
      <c r="J151" t="str">
        <f>IF(AND('Data Checks'!B361&gt;'Data Checks'!B360,'Data Checks'!B360&gt;'Data Checks'!B359,'Data Checks'!B359&gt;'Data Checks'!B358),"SELL",IF(AND('Data Checks'!B361&lt;'Data Checks'!B360,'Data Checks'!B360&lt;'Data Checks'!B359,'Data Checks'!B359&lt;'Data Checks'!B358),"BUY",""))</f>
        <v/>
      </c>
      <c r="K151" t="str">
        <f>IF(AND('Data Checks'!C361&gt;'Data Checks'!C360,'Data Checks'!C360&gt;'Data Checks'!C359,'Data Checks'!C359&gt;'Data Checks'!C358),"SELL",IF(AND('Data Checks'!C361&lt;'Data Checks'!C360,'Data Checks'!C360&lt;'Data Checks'!C359,'Data Checks'!C359&lt;'Data Checks'!C358),"BUY",""))</f>
        <v/>
      </c>
      <c r="L151" t="str">
        <f>IF(AND('Data Checks'!D361&gt;'Data Checks'!D360,'Data Checks'!D360&gt;'Data Checks'!D359,'Data Checks'!D359&gt;'Data Checks'!D358),"SELL",IF(AND('Data Checks'!D361&lt;'Data Checks'!D360,'Data Checks'!D360&lt;'Data Checks'!D359,'Data Checks'!D359&lt;'Data Checks'!D358),"BUY",""))</f>
        <v/>
      </c>
      <c r="M151" t="str">
        <f>IF(AND('Data Checks'!E361&gt;'Data Checks'!E360,'Data Checks'!E360&gt;'Data Checks'!E359,'Data Checks'!E359&gt;'Data Checks'!E358),"SELL",IF(AND('Data Checks'!E361&lt;'Data Checks'!E360,'Data Checks'!E360&lt;'Data Checks'!E359,'Data Checks'!E359&lt;'Data Checks'!E358),"BUY",""))</f>
        <v/>
      </c>
      <c r="N151" t="str">
        <f>IF(AND('Data Checks'!F361&gt;'Data Checks'!F360,'Data Checks'!F360&gt;'Data Checks'!F359,'Data Checks'!F359&gt;'Data Checks'!F358),"SELL",IF(AND('Data Checks'!F361&lt;'Data Checks'!F360,'Data Checks'!F360&lt;'Data Checks'!F359,'Data Checks'!F359&lt;'Data Checks'!F358),"BUY",""))</f>
        <v/>
      </c>
      <c r="O151">
        <f>IF(J150="BUY",O150*('Data Checks'!B361/'Data Checks'!B360),IF(J150="SELL",O150*('Data Checks'!B360/'Data Checks'!B361),O150))</f>
        <v>199.33055410887911</v>
      </c>
      <c r="P151">
        <f>IF(K150="BUY",P150*('Data Checks'!C361/'Data Checks'!C360),IF(K150="SELL",P150*('Data Checks'!C360/'Data Checks'!C361),P150))</f>
        <v>206.53618435863544</v>
      </c>
      <c r="Q151">
        <f>IF(L150="BUY",Q150*('Data Checks'!D361/'Data Checks'!D360),IF(L150="SELL",Q150*('Data Checks'!D360/'Data Checks'!D361),Q150))</f>
        <v>258.95522208843511</v>
      </c>
      <c r="R151">
        <f>IF(M150="BUY",R150*('Data Checks'!E361/'Data Checks'!E360),IF(M150="SELL",R150*('Data Checks'!E360/'Data Checks'!E361),R150))</f>
        <v>188.42250644424132</v>
      </c>
      <c r="S151">
        <f>IF(N150="BUY",S150*('Data Checks'!F361/'Data Checks'!F360),IF(N150="SELL",S150*('Data Checks'!F360/'Data Checks'!F361),S150))</f>
        <v>203.54590263507717</v>
      </c>
      <c r="T151" s="16">
        <f t="shared" si="26"/>
        <v>1056.7903696352682</v>
      </c>
      <c r="U151" s="17">
        <f t="shared" si="30"/>
        <v>0</v>
      </c>
      <c r="W151" t="str">
        <f>IF(AND('Data Checks'!B361&gt;'Data Checks'!B360,'Data Checks'!B360&gt;'Data Checks'!B359,'Data Checks'!B359&gt;'Data Checks'!B358),"BUY",IF(AND('Data Checks'!B361&lt;'Data Checks'!B360,'Data Checks'!B360&lt;'Data Checks'!B359,'Data Checks'!B359&lt;'Data Checks'!B358),"SELL",""))</f>
        <v/>
      </c>
      <c r="X151" t="str">
        <f>IF(AND('Data Checks'!C361&gt;'Data Checks'!C360,'Data Checks'!C360&gt;'Data Checks'!C359,'Data Checks'!C359&gt;'Data Checks'!C358),"BUY",IF(AND('Data Checks'!C361&lt;'Data Checks'!C360,'Data Checks'!C360&lt;'Data Checks'!C359,'Data Checks'!C359&lt;'Data Checks'!C358),"SELL",""))</f>
        <v/>
      </c>
      <c r="Y151" t="str">
        <f>IF(AND('Data Checks'!D361&gt;'Data Checks'!D360,'Data Checks'!D360&gt;'Data Checks'!D359,'Data Checks'!D359&gt;'Data Checks'!D358),"BUY",IF(AND('Data Checks'!D361&lt;'Data Checks'!D360,'Data Checks'!D360&lt;'Data Checks'!D359,'Data Checks'!D359&lt;'Data Checks'!D358),"SELL",""))</f>
        <v/>
      </c>
      <c r="Z151" t="str">
        <f>IF(AND('Data Checks'!E361&gt;'Data Checks'!E360,'Data Checks'!E360&gt;'Data Checks'!E359,'Data Checks'!E359&gt;'Data Checks'!E358),"BUY",IF(AND('Data Checks'!E361&lt;'Data Checks'!E360,'Data Checks'!E360&lt;'Data Checks'!E359,'Data Checks'!E359&lt;'Data Checks'!E358),"SELL",""))</f>
        <v/>
      </c>
      <c r="AA151" t="str">
        <f>IF(AND('Data Checks'!F361&gt;'Data Checks'!F360,'Data Checks'!F360&gt;'Data Checks'!F359,'Data Checks'!F359&gt;'Data Checks'!F358),"BUY",IF(AND('Data Checks'!F361&lt;'Data Checks'!F360,'Data Checks'!F360&lt;'Data Checks'!F359,'Data Checks'!F359&lt;'Data Checks'!F358),"SELL",""))</f>
        <v/>
      </c>
      <c r="AB151">
        <f>IF(W150="BUY",AB150*('Data Checks'!B361/'Data Checks'!B360),IF(W150="SELL",AB150*('Data Checks'!B360/'Data Checks'!B361),AB150))</f>
        <v>200.67169420575166</v>
      </c>
      <c r="AC151">
        <f>IF(X150="BUY",AC150*('Data Checks'!C361/'Data Checks'!C360),IF(X150="SELL",AC150*('Data Checks'!C360/'Data Checks'!C361),AC150))</f>
        <v>193.67066417060778</v>
      </c>
      <c r="AD151">
        <f>IF(Y150="BUY",AD150*('Data Checks'!D361/'Data Checks'!D360),IF(Y150="SELL",AD150*('Data Checks'!D360/'Data Checks'!D361),AD150))</f>
        <v>154.46685985865039</v>
      </c>
      <c r="AE151">
        <f>IF(Z150="BUY",AE150*('Data Checks'!E361/'Data Checks'!E360),IF(Z150="SELL",AE150*('Data Checks'!E360/'Data Checks'!E361),AE150))</f>
        <v>212.28886482219113</v>
      </c>
      <c r="AF151">
        <f>IF(AA150="BUY",AF150*('Data Checks'!F361/'Data Checks'!F360),IF(AA150="SELL",AF150*('Data Checks'!F360/'Data Checks'!F361),AF150))</f>
        <v>196.51586930596758</v>
      </c>
      <c r="AG151" s="16">
        <f t="shared" si="27"/>
        <v>957.61395236316866</v>
      </c>
      <c r="AH151" s="17">
        <f t="shared" si="31"/>
        <v>0</v>
      </c>
      <c r="AJ151" t="str">
        <f>IF('Moving Ave'!G361&gt;'Moving Ave'!L361,"SELL","BUY")</f>
        <v>SELL</v>
      </c>
      <c r="AK151" t="str">
        <f>IF('Moving Ave'!H361&gt;'Moving Ave'!M361,"SELL","BUY")</f>
        <v>BUY</v>
      </c>
      <c r="AL151" t="str">
        <f>IF('Moving Ave'!I361&gt;'Moving Ave'!N361,"SELL","BUY")</f>
        <v>SELL</v>
      </c>
      <c r="AM151" t="str">
        <f>IF('Moving Ave'!J361&gt;'Moving Ave'!O361,"SELL","BUY")</f>
        <v>BUY</v>
      </c>
      <c r="AN151" t="str">
        <f>IF('Moving Ave'!K361&gt;'Moving Ave'!P361,"SELL","BUY")</f>
        <v>BUY</v>
      </c>
      <c r="AO151">
        <f>IF(AJ150="BUY",AO150*('Data Checks'!B361/'Data Checks'!B360),AO150*('Data Checks'!B360/'Data Checks'!B361))</f>
        <v>145.13401849265242</v>
      </c>
      <c r="AP151">
        <f>IF(AK150="BUY",AP150*('Data Checks'!C361/'Data Checks'!C360),AP150*('Data Checks'!C360/'Data Checks'!C361))</f>
        <v>115.62103417884276</v>
      </c>
      <c r="AQ151">
        <f>IF(AL150="BUY",AQ150*('Data Checks'!D361/'Data Checks'!D360),AQ150*('Data Checks'!D360/'Data Checks'!D361))</f>
        <v>296.75712713946541</v>
      </c>
      <c r="AR151">
        <f>IF(AM150="BUY",AR150*('Data Checks'!E361/'Data Checks'!E360),AR150*('Data Checks'!E360/'Data Checks'!E361))</f>
        <v>103.24740196694329</v>
      </c>
      <c r="AS151">
        <f>IF(AN150="BUY",AS150*('Data Checks'!F361/'Data Checks'!F360),AS150*('Data Checks'!F360/'Data Checks'!F361))</f>
        <v>190.14863438295248</v>
      </c>
      <c r="AT151" s="16">
        <f t="shared" si="28"/>
        <v>850.90821616085623</v>
      </c>
      <c r="AU151" s="17">
        <f t="shared" si="32"/>
        <v>-1.2236158607440206E-2</v>
      </c>
    </row>
    <row r="152" spans="1:47" x14ac:dyDescent="0.35">
      <c r="A152" s="2">
        <f>Prices!A360</f>
        <v>44408</v>
      </c>
      <c r="B152">
        <f>B151*('Data Checks'!B362/'Data Checks'!B361)</f>
        <v>333.47347119628762</v>
      </c>
      <c r="C152">
        <f>C151*('Data Checks'!C362/'Data Checks'!C361)</f>
        <v>115.06223304704693</v>
      </c>
      <c r="D152">
        <f>D151*('Data Checks'!D362/'Data Checks'!D361)</f>
        <v>203.84038076207008</v>
      </c>
      <c r="E152">
        <f>E151*('Data Checks'!E362/'Data Checks'!E361)</f>
        <v>99.799122872476573</v>
      </c>
      <c r="F152">
        <f>F151*('Data Checks'!F362/'Data Checks'!F361)</f>
        <v>125.75108048284818</v>
      </c>
      <c r="G152" s="16">
        <f t="shared" si="25"/>
        <v>877.92628836072936</v>
      </c>
      <c r="H152" s="17">
        <f t="shared" si="29"/>
        <v>7.399434300565888E-3</v>
      </c>
      <c r="J152" t="str">
        <f>IF(AND('Data Checks'!B362&gt;'Data Checks'!B361,'Data Checks'!B361&gt;'Data Checks'!B360,'Data Checks'!B360&gt;'Data Checks'!B359),"SELL",IF(AND('Data Checks'!B362&lt;'Data Checks'!B361,'Data Checks'!B361&lt;'Data Checks'!B360,'Data Checks'!B360&lt;'Data Checks'!B359),"BUY",""))</f>
        <v>SELL</v>
      </c>
      <c r="K152" t="str">
        <f>IF(AND('Data Checks'!C362&gt;'Data Checks'!C361,'Data Checks'!C361&gt;'Data Checks'!C360,'Data Checks'!C360&gt;'Data Checks'!C359),"SELL",IF(AND('Data Checks'!C362&lt;'Data Checks'!C361,'Data Checks'!C361&lt;'Data Checks'!C360,'Data Checks'!C360&lt;'Data Checks'!C359),"BUY",""))</f>
        <v/>
      </c>
      <c r="L152" t="str">
        <f>IF(AND('Data Checks'!D362&gt;'Data Checks'!D361,'Data Checks'!D361&gt;'Data Checks'!D360,'Data Checks'!D360&gt;'Data Checks'!D359),"SELL",IF(AND('Data Checks'!D362&lt;'Data Checks'!D361,'Data Checks'!D361&lt;'Data Checks'!D360,'Data Checks'!D360&lt;'Data Checks'!D359),"BUY",""))</f>
        <v/>
      </c>
      <c r="M152" t="str">
        <f>IF(AND('Data Checks'!E362&gt;'Data Checks'!E361,'Data Checks'!E361&gt;'Data Checks'!E360,'Data Checks'!E360&gt;'Data Checks'!E359),"SELL",IF(AND('Data Checks'!E362&lt;'Data Checks'!E361,'Data Checks'!E361&lt;'Data Checks'!E360,'Data Checks'!E360&lt;'Data Checks'!E359),"BUY",""))</f>
        <v/>
      </c>
      <c r="N152" t="str">
        <f>IF(AND('Data Checks'!F362&gt;'Data Checks'!F361,'Data Checks'!F361&gt;'Data Checks'!F360,'Data Checks'!F360&gt;'Data Checks'!F359),"SELL",IF(AND('Data Checks'!F362&lt;'Data Checks'!F361,'Data Checks'!F361&lt;'Data Checks'!F360,'Data Checks'!F360&lt;'Data Checks'!F359),"BUY",""))</f>
        <v>BUY</v>
      </c>
      <c r="O152">
        <f>IF(J151="BUY",O151*('Data Checks'!B362/'Data Checks'!B361),IF(J151="SELL",O151*('Data Checks'!B361/'Data Checks'!B362),O151))</f>
        <v>199.33055410887911</v>
      </c>
      <c r="P152">
        <f>IF(K151="BUY",P151*('Data Checks'!C362/'Data Checks'!C361),IF(K151="SELL",P151*('Data Checks'!C361/'Data Checks'!C362),P151))</f>
        <v>206.53618435863544</v>
      </c>
      <c r="Q152">
        <f>IF(L151="BUY",Q151*('Data Checks'!D362/'Data Checks'!D361),IF(L151="SELL",Q151*('Data Checks'!D361/'Data Checks'!D362),Q151))</f>
        <v>258.95522208843511</v>
      </c>
      <c r="R152">
        <f>IF(M151="BUY",R151*('Data Checks'!E362/'Data Checks'!E361),IF(M151="SELL",R151*('Data Checks'!E361/'Data Checks'!E362),R151))</f>
        <v>188.42250644424132</v>
      </c>
      <c r="S152">
        <f>IF(N151="BUY",S151*('Data Checks'!F362/'Data Checks'!F361),IF(N151="SELL",S151*('Data Checks'!F361/'Data Checks'!F362),S151))</f>
        <v>203.54590263507717</v>
      </c>
      <c r="T152" s="16">
        <f t="shared" si="26"/>
        <v>1056.7903696352682</v>
      </c>
      <c r="U152" s="17">
        <f t="shared" si="30"/>
        <v>0</v>
      </c>
      <c r="W152" t="str">
        <f>IF(AND('Data Checks'!B362&gt;'Data Checks'!B361,'Data Checks'!B361&gt;'Data Checks'!B360,'Data Checks'!B360&gt;'Data Checks'!B359),"BUY",IF(AND('Data Checks'!B362&lt;'Data Checks'!B361,'Data Checks'!B361&lt;'Data Checks'!B360,'Data Checks'!B360&lt;'Data Checks'!B359),"SELL",""))</f>
        <v>BUY</v>
      </c>
      <c r="X152" t="str">
        <f>IF(AND('Data Checks'!C362&gt;'Data Checks'!C361,'Data Checks'!C361&gt;'Data Checks'!C360,'Data Checks'!C360&gt;'Data Checks'!C359),"BUY",IF(AND('Data Checks'!C362&lt;'Data Checks'!C361,'Data Checks'!C361&lt;'Data Checks'!C360,'Data Checks'!C360&lt;'Data Checks'!C359),"SELL",""))</f>
        <v/>
      </c>
      <c r="Y152" t="str">
        <f>IF(AND('Data Checks'!D362&gt;'Data Checks'!D361,'Data Checks'!D361&gt;'Data Checks'!D360,'Data Checks'!D360&gt;'Data Checks'!D359),"BUY",IF(AND('Data Checks'!D362&lt;'Data Checks'!D361,'Data Checks'!D361&lt;'Data Checks'!D360,'Data Checks'!D360&lt;'Data Checks'!D359),"SELL",""))</f>
        <v/>
      </c>
      <c r="Z152" t="str">
        <f>IF(AND('Data Checks'!E362&gt;'Data Checks'!E361,'Data Checks'!E361&gt;'Data Checks'!E360,'Data Checks'!E360&gt;'Data Checks'!E359),"BUY",IF(AND('Data Checks'!E362&lt;'Data Checks'!E361,'Data Checks'!E361&lt;'Data Checks'!E360,'Data Checks'!E360&lt;'Data Checks'!E359),"SELL",""))</f>
        <v/>
      </c>
      <c r="AA152" t="str">
        <f>IF(AND('Data Checks'!F362&gt;'Data Checks'!F361,'Data Checks'!F361&gt;'Data Checks'!F360,'Data Checks'!F360&gt;'Data Checks'!F359),"BUY",IF(AND('Data Checks'!F362&lt;'Data Checks'!F361,'Data Checks'!F361&lt;'Data Checks'!F360,'Data Checks'!F360&lt;'Data Checks'!F359),"SELL",""))</f>
        <v>SELL</v>
      </c>
      <c r="AB152">
        <f>IF(W151="BUY",AB151*('Data Checks'!B362/'Data Checks'!B361),IF(W151="SELL",AB151*('Data Checks'!B361/'Data Checks'!B362),AB151))</f>
        <v>200.67169420575166</v>
      </c>
      <c r="AC152">
        <f>IF(X151="BUY",AC151*('Data Checks'!C362/'Data Checks'!C361),IF(X151="SELL",AC151*('Data Checks'!C361/'Data Checks'!C362),AC151))</f>
        <v>193.67066417060778</v>
      </c>
      <c r="AD152">
        <f>IF(Y151="BUY",AD151*('Data Checks'!D362/'Data Checks'!D361),IF(Y151="SELL",AD151*('Data Checks'!D361/'Data Checks'!D362),AD151))</f>
        <v>154.46685985865039</v>
      </c>
      <c r="AE152">
        <f>IF(Z151="BUY",AE151*('Data Checks'!E362/'Data Checks'!E361),IF(Z151="SELL",AE151*('Data Checks'!E361/'Data Checks'!E362),AE151))</f>
        <v>212.28886482219113</v>
      </c>
      <c r="AF152">
        <f>IF(AA151="BUY",AF151*('Data Checks'!F362/'Data Checks'!F361),IF(AA151="SELL",AF151*('Data Checks'!F361/'Data Checks'!F362),AF151))</f>
        <v>196.51586930596758</v>
      </c>
      <c r="AG152" s="16">
        <f t="shared" si="27"/>
        <v>957.61395236316866</v>
      </c>
      <c r="AH152" s="17">
        <f t="shared" si="31"/>
        <v>0</v>
      </c>
      <c r="AJ152" t="str">
        <f>IF('Moving Ave'!G362&gt;'Moving Ave'!L362,"SELL","BUY")</f>
        <v>SELL</v>
      </c>
      <c r="AK152" t="str">
        <f>IF('Moving Ave'!H362&gt;'Moving Ave'!M362,"SELL","BUY")</f>
        <v>BUY</v>
      </c>
      <c r="AL152" t="str">
        <f>IF('Moving Ave'!I362&gt;'Moving Ave'!N362,"SELL","BUY")</f>
        <v>SELL</v>
      </c>
      <c r="AM152" t="str">
        <f>IF('Moving Ave'!J362&gt;'Moving Ave'!O362,"SELL","BUY")</f>
        <v>BUY</v>
      </c>
      <c r="AN152" t="str">
        <f>IF('Moving Ave'!K362&gt;'Moving Ave'!P362,"SELL","BUY")</f>
        <v>BUY</v>
      </c>
      <c r="AO152">
        <f>IF(AJ151="BUY",AO151*('Data Checks'!B362/'Data Checks'!B361),AO151*('Data Checks'!B361/'Data Checks'!B362))</f>
        <v>139.96094420099982</v>
      </c>
      <c r="AP152">
        <f>IF(AK151="BUY",AP151*('Data Checks'!C362/'Data Checks'!C361),AP151*('Data Checks'!C361/'Data Checks'!C362))</f>
        <v>115.06223304704693</v>
      </c>
      <c r="AQ152">
        <f>IF(AL151="BUY",AQ151*('Data Checks'!D362/'Data Checks'!D361),AQ151*('Data Checks'!D361/'Data Checks'!D362))</f>
        <v>296.75712713946541</v>
      </c>
      <c r="AR152">
        <f>IF(AM151="BUY",AR151*('Data Checks'!E362/'Data Checks'!E361),AR151*('Data Checks'!E361/'Data Checks'!E362))</f>
        <v>99.799122872476573</v>
      </c>
      <c r="AS152">
        <f>IF(AN151="BUY",AS151*('Data Checks'!F362/'Data Checks'!F361),AS151*('Data Checks'!F361/'Data Checks'!F362))</f>
        <v>188.00972970547966</v>
      </c>
      <c r="AT152" s="16">
        <f t="shared" si="28"/>
        <v>839.58915696546842</v>
      </c>
      <c r="AU152" s="17">
        <f t="shared" si="32"/>
        <v>-1.330232683197885E-2</v>
      </c>
    </row>
    <row r="153" spans="1:47" x14ac:dyDescent="0.35">
      <c r="A153" s="2">
        <f>Prices!A361</f>
        <v>44411</v>
      </c>
      <c r="B153">
        <f>B152*('Data Checks'!B363/'Data Checks'!B362)</f>
        <v>327.91079884768391</v>
      </c>
      <c r="C153">
        <f>C152*('Data Checks'!C363/'Data Checks'!C362)</f>
        <v>109.62662203776038</v>
      </c>
      <c r="D153">
        <f>D152*('Data Checks'!D363/'Data Checks'!D362)</f>
        <v>206.74570390291703</v>
      </c>
      <c r="E153">
        <f>E152*('Data Checks'!E363/'Data Checks'!E362)</f>
        <v>101.43956473252203</v>
      </c>
      <c r="F153">
        <f>F152*('Data Checks'!F363/'Data Checks'!F362)</f>
        <v>130.61516352811401</v>
      </c>
      <c r="G153" s="16">
        <f t="shared" si="25"/>
        <v>876.33785304899743</v>
      </c>
      <c r="H153" s="17">
        <f t="shared" si="29"/>
        <v>-1.8093037340274343E-3</v>
      </c>
      <c r="J153" t="str">
        <f>IF(AND('Data Checks'!B363&gt;'Data Checks'!B362,'Data Checks'!B362&gt;'Data Checks'!B361,'Data Checks'!B361&gt;'Data Checks'!B360),"SELL",IF(AND('Data Checks'!B363&lt;'Data Checks'!B362,'Data Checks'!B362&lt;'Data Checks'!B361,'Data Checks'!B361&lt;'Data Checks'!B360),"BUY",""))</f>
        <v/>
      </c>
      <c r="K153" t="str">
        <f>IF(AND('Data Checks'!C363&gt;'Data Checks'!C362,'Data Checks'!C362&gt;'Data Checks'!C361,'Data Checks'!C361&gt;'Data Checks'!C360),"SELL",IF(AND('Data Checks'!C363&lt;'Data Checks'!C362,'Data Checks'!C362&lt;'Data Checks'!C361,'Data Checks'!C361&lt;'Data Checks'!C360),"BUY",""))</f>
        <v>BUY</v>
      </c>
      <c r="L153" t="str">
        <f>IF(AND('Data Checks'!D363&gt;'Data Checks'!D362,'Data Checks'!D362&gt;'Data Checks'!D361,'Data Checks'!D361&gt;'Data Checks'!D360),"SELL",IF(AND('Data Checks'!D363&lt;'Data Checks'!D362,'Data Checks'!D362&lt;'Data Checks'!D361,'Data Checks'!D361&lt;'Data Checks'!D360),"BUY",""))</f>
        <v/>
      </c>
      <c r="M153" t="str">
        <f>IF(AND('Data Checks'!E363&gt;'Data Checks'!E362,'Data Checks'!E362&gt;'Data Checks'!E361,'Data Checks'!E361&gt;'Data Checks'!E360),"SELL",IF(AND('Data Checks'!E363&lt;'Data Checks'!E362,'Data Checks'!E362&lt;'Data Checks'!E361,'Data Checks'!E361&lt;'Data Checks'!E360),"BUY",""))</f>
        <v/>
      </c>
      <c r="N153" t="str">
        <f>IF(AND('Data Checks'!F363&gt;'Data Checks'!F362,'Data Checks'!F362&gt;'Data Checks'!F361,'Data Checks'!F361&gt;'Data Checks'!F360),"SELL",IF(AND('Data Checks'!F363&lt;'Data Checks'!F362,'Data Checks'!F362&lt;'Data Checks'!F361,'Data Checks'!F361&lt;'Data Checks'!F360),"BUY",""))</f>
        <v/>
      </c>
      <c r="O153">
        <f>IF(J152="BUY",O152*('Data Checks'!B363/'Data Checks'!B362),IF(J152="SELL",O152*('Data Checks'!B362/'Data Checks'!B363),O152))</f>
        <v>202.71199371217915</v>
      </c>
      <c r="P153">
        <f>IF(K152="BUY",P152*('Data Checks'!C363/'Data Checks'!C362),IF(K152="SELL",P152*('Data Checks'!C362/'Data Checks'!C363),P152))</f>
        <v>206.53618435863544</v>
      </c>
      <c r="Q153">
        <f>IF(L152="BUY",Q152*('Data Checks'!D363/'Data Checks'!D362),IF(L152="SELL",Q152*('Data Checks'!D362/'Data Checks'!D363),Q152))</f>
        <v>258.95522208843511</v>
      </c>
      <c r="R153">
        <f>IF(M152="BUY",R152*('Data Checks'!E363/'Data Checks'!E362),IF(M152="SELL",R152*('Data Checks'!E362/'Data Checks'!E363),R152))</f>
        <v>188.42250644424132</v>
      </c>
      <c r="S153">
        <f>IF(N152="BUY",S152*('Data Checks'!F363/'Data Checks'!F362),IF(N152="SELL",S152*('Data Checks'!F362/'Data Checks'!F363),S152))</f>
        <v>211.41910873508877</v>
      </c>
      <c r="T153" s="16">
        <f t="shared" si="26"/>
        <v>1068.0450153385798</v>
      </c>
      <c r="U153" s="17">
        <f t="shared" si="30"/>
        <v>1.0649837495392722E-2</v>
      </c>
      <c r="W153" t="str">
        <f>IF(AND('Data Checks'!B363&gt;'Data Checks'!B362,'Data Checks'!B362&gt;'Data Checks'!B361,'Data Checks'!B361&gt;'Data Checks'!B360),"BUY",IF(AND('Data Checks'!B363&lt;'Data Checks'!B362,'Data Checks'!B362&lt;'Data Checks'!B361,'Data Checks'!B361&lt;'Data Checks'!B360),"SELL",""))</f>
        <v/>
      </c>
      <c r="X153" t="str">
        <f>IF(AND('Data Checks'!C363&gt;'Data Checks'!C362,'Data Checks'!C362&gt;'Data Checks'!C361,'Data Checks'!C361&gt;'Data Checks'!C360),"BUY",IF(AND('Data Checks'!C363&lt;'Data Checks'!C362,'Data Checks'!C362&lt;'Data Checks'!C361,'Data Checks'!C361&lt;'Data Checks'!C360),"SELL",""))</f>
        <v>SELL</v>
      </c>
      <c r="Y153" t="str">
        <f>IF(AND('Data Checks'!D363&gt;'Data Checks'!D362,'Data Checks'!D362&gt;'Data Checks'!D361,'Data Checks'!D361&gt;'Data Checks'!D360),"BUY",IF(AND('Data Checks'!D363&lt;'Data Checks'!D362,'Data Checks'!D362&lt;'Data Checks'!D361,'Data Checks'!D361&lt;'Data Checks'!D360),"SELL",""))</f>
        <v/>
      </c>
      <c r="Z153" t="str">
        <f>IF(AND('Data Checks'!E363&gt;'Data Checks'!E362,'Data Checks'!E362&gt;'Data Checks'!E361,'Data Checks'!E361&gt;'Data Checks'!E360),"BUY",IF(AND('Data Checks'!E363&lt;'Data Checks'!E362,'Data Checks'!E362&lt;'Data Checks'!E361,'Data Checks'!E361&lt;'Data Checks'!E360),"SELL",""))</f>
        <v/>
      </c>
      <c r="AA153" t="str">
        <f>IF(AND('Data Checks'!F363&gt;'Data Checks'!F362,'Data Checks'!F362&gt;'Data Checks'!F361,'Data Checks'!F361&gt;'Data Checks'!F360),"BUY",IF(AND('Data Checks'!F363&lt;'Data Checks'!F362,'Data Checks'!F362&lt;'Data Checks'!F361,'Data Checks'!F361&lt;'Data Checks'!F360),"SELL",""))</f>
        <v/>
      </c>
      <c r="AB153">
        <f>IF(W152="BUY",AB152*('Data Checks'!B363/'Data Checks'!B362),IF(W152="SELL",AB152*('Data Checks'!B362/'Data Checks'!B363),AB152))</f>
        <v>197.32428884693456</v>
      </c>
      <c r="AC153">
        <f>IF(X152="BUY",AC152*('Data Checks'!C363/'Data Checks'!C362),IF(X152="SELL",AC152*('Data Checks'!C362/'Data Checks'!C363),AC152))</f>
        <v>193.67066417060778</v>
      </c>
      <c r="AD153">
        <f>IF(Y152="BUY",AD152*('Data Checks'!D363/'Data Checks'!D362),IF(Y152="SELL",AD152*('Data Checks'!D362/'Data Checks'!D363),AD152))</f>
        <v>154.46685985865039</v>
      </c>
      <c r="AE153">
        <f>IF(Z152="BUY",AE152*('Data Checks'!E363/'Data Checks'!E362),IF(Z152="SELL",AE152*('Data Checks'!E362/'Data Checks'!E363),AE152))</f>
        <v>212.28886482219113</v>
      </c>
      <c r="AF153">
        <f>IF(AA152="BUY",AF152*('Data Checks'!F363/'Data Checks'!F362),IF(AA152="SELL",AF152*('Data Checks'!F362/'Data Checks'!F363),AF152))</f>
        <v>189.19765691624693</v>
      </c>
      <c r="AG153" s="16">
        <f t="shared" si="27"/>
        <v>946.94833461463088</v>
      </c>
      <c r="AH153" s="17">
        <f t="shared" si="31"/>
        <v>-1.1137700868097733E-2</v>
      </c>
      <c r="AJ153" t="str">
        <f>IF('Moving Ave'!G363&gt;'Moving Ave'!L363,"SELL","BUY")</f>
        <v>SELL</v>
      </c>
      <c r="AK153" t="str">
        <f>IF('Moving Ave'!H363&gt;'Moving Ave'!M363,"SELL","BUY")</f>
        <v>BUY</v>
      </c>
      <c r="AL153" t="str">
        <f>IF('Moving Ave'!I363&gt;'Moving Ave'!N363,"SELL","BUY")</f>
        <v>SELL</v>
      </c>
      <c r="AM153" t="str">
        <f>IF('Moving Ave'!J363&gt;'Moving Ave'!O363,"SELL","BUY")</f>
        <v>BUY</v>
      </c>
      <c r="AN153" t="str">
        <f>IF('Moving Ave'!K363&gt;'Moving Ave'!P363,"SELL","BUY")</f>
        <v>BUY</v>
      </c>
      <c r="AO153">
        <f>IF(AJ152="BUY",AO152*('Data Checks'!B363/'Data Checks'!B362),AO152*('Data Checks'!B362/'Data Checks'!B363))</f>
        <v>142.33523890836324</v>
      </c>
      <c r="AP153">
        <f>IF(AK152="BUY",AP152*('Data Checks'!C363/'Data Checks'!C362),AP152*('Data Checks'!C362/'Data Checks'!C363))</f>
        <v>109.62662203776038</v>
      </c>
      <c r="AQ153">
        <f>IF(AL152="BUY",AQ152*('Data Checks'!D363/'Data Checks'!D362),AQ152*('Data Checks'!D362/'Data Checks'!D363))</f>
        <v>292.58690578824252</v>
      </c>
      <c r="AR153">
        <f>IF(AM152="BUY",AR152*('Data Checks'!E363/'Data Checks'!E362),AR152*('Data Checks'!E362/'Data Checks'!E363))</f>
        <v>101.43956473252203</v>
      </c>
      <c r="AS153">
        <f>IF(AN152="BUY",AS152*('Data Checks'!F363/'Data Checks'!F362),AS152*('Data Checks'!F362/'Data Checks'!F363))</f>
        <v>195.28199277545914</v>
      </c>
      <c r="AT153" s="16">
        <f t="shared" si="28"/>
        <v>841.27032424234733</v>
      </c>
      <c r="AU153" s="17">
        <f t="shared" si="32"/>
        <v>2.0023689716945903E-3</v>
      </c>
    </row>
    <row r="154" spans="1:47" x14ac:dyDescent="0.35">
      <c r="A154" s="2">
        <f>Prices!A362</f>
        <v>44412</v>
      </c>
      <c r="B154">
        <f>B153*('Data Checks'!B364/'Data Checks'!B363)</f>
        <v>330.74958103092433</v>
      </c>
      <c r="C154">
        <f>C153*('Data Checks'!C364/'Data Checks'!C363)</f>
        <v>111.30302543314784</v>
      </c>
      <c r="D154">
        <f>D153*('Data Checks'!D364/'Data Checks'!D363)</f>
        <v>206.57873445614848</v>
      </c>
      <c r="E154">
        <f>E153*('Data Checks'!E364/'Data Checks'!E363)</f>
        <v>104.95480063760284</v>
      </c>
      <c r="F154">
        <f>F153*('Data Checks'!F364/'Data Checks'!F363)</f>
        <v>132.80877633965829</v>
      </c>
      <c r="G154" s="16">
        <f t="shared" si="25"/>
        <v>886.39491789748172</v>
      </c>
      <c r="H154" s="17">
        <f t="shared" si="29"/>
        <v>1.14762415128975E-2</v>
      </c>
      <c r="J154" t="str">
        <f>IF(AND('Data Checks'!B364&gt;'Data Checks'!B363,'Data Checks'!B363&gt;'Data Checks'!B362,'Data Checks'!B362&gt;'Data Checks'!B361),"SELL",IF(AND('Data Checks'!B364&lt;'Data Checks'!B363,'Data Checks'!B363&lt;'Data Checks'!B362,'Data Checks'!B362&lt;'Data Checks'!B361),"BUY",""))</f>
        <v/>
      </c>
      <c r="K154" t="str">
        <f>IF(AND('Data Checks'!C364&gt;'Data Checks'!C363,'Data Checks'!C363&gt;'Data Checks'!C362,'Data Checks'!C362&gt;'Data Checks'!C361),"SELL",IF(AND('Data Checks'!C364&lt;'Data Checks'!C363,'Data Checks'!C363&lt;'Data Checks'!C362,'Data Checks'!C362&lt;'Data Checks'!C361),"BUY",""))</f>
        <v/>
      </c>
      <c r="L154" t="str">
        <f>IF(AND('Data Checks'!D364&gt;'Data Checks'!D363,'Data Checks'!D363&gt;'Data Checks'!D362,'Data Checks'!D362&gt;'Data Checks'!D361),"SELL",IF(AND('Data Checks'!D364&lt;'Data Checks'!D363,'Data Checks'!D363&lt;'Data Checks'!D362,'Data Checks'!D362&lt;'Data Checks'!D361),"BUY",""))</f>
        <v/>
      </c>
      <c r="M154" t="str">
        <f>IF(AND('Data Checks'!E364&gt;'Data Checks'!E363,'Data Checks'!E363&gt;'Data Checks'!E362,'Data Checks'!E362&gt;'Data Checks'!E361),"SELL",IF(AND('Data Checks'!E364&lt;'Data Checks'!E363,'Data Checks'!E363&lt;'Data Checks'!E362,'Data Checks'!E362&lt;'Data Checks'!E361),"BUY",""))</f>
        <v/>
      </c>
      <c r="N154" t="str">
        <f>IF(AND('Data Checks'!F364&gt;'Data Checks'!F363,'Data Checks'!F363&gt;'Data Checks'!F362,'Data Checks'!F362&gt;'Data Checks'!F361),"SELL",IF(AND('Data Checks'!F364&lt;'Data Checks'!F363,'Data Checks'!F363&lt;'Data Checks'!F362,'Data Checks'!F362&lt;'Data Checks'!F361),"BUY",""))</f>
        <v/>
      </c>
      <c r="O154">
        <f>IF(J153="BUY",O153*('Data Checks'!B364/'Data Checks'!B363),IF(J153="SELL",O153*('Data Checks'!B363/'Data Checks'!B364),O153))</f>
        <v>202.71199371217915</v>
      </c>
      <c r="P154">
        <f>IF(K153="BUY",P153*('Data Checks'!C364/'Data Checks'!C363),IF(K153="SELL",P153*('Data Checks'!C363/'Data Checks'!C364),P153))</f>
        <v>209.69452267366557</v>
      </c>
      <c r="Q154">
        <f>IF(L153="BUY",Q153*('Data Checks'!D364/'Data Checks'!D363),IF(L153="SELL",Q153*('Data Checks'!D363/'Data Checks'!D364),Q153))</f>
        <v>258.95522208843511</v>
      </c>
      <c r="R154">
        <f>IF(M153="BUY",R153*('Data Checks'!E364/'Data Checks'!E363),IF(M153="SELL",R153*('Data Checks'!E363/'Data Checks'!E364),R153))</f>
        <v>188.42250644424132</v>
      </c>
      <c r="S154">
        <f>IF(N153="BUY",S153*('Data Checks'!F364/'Data Checks'!F363),IF(N153="SELL",S153*('Data Checks'!F363/'Data Checks'!F364),S153))</f>
        <v>211.41910873508877</v>
      </c>
      <c r="T154" s="16">
        <f t="shared" si="26"/>
        <v>1071.2033536536098</v>
      </c>
      <c r="U154" s="17">
        <f t="shared" si="30"/>
        <v>2.9571209730601122E-3</v>
      </c>
      <c r="W154" t="str">
        <f>IF(AND('Data Checks'!B364&gt;'Data Checks'!B363,'Data Checks'!B363&gt;'Data Checks'!B362,'Data Checks'!B362&gt;'Data Checks'!B361),"BUY",IF(AND('Data Checks'!B364&lt;'Data Checks'!B363,'Data Checks'!B363&lt;'Data Checks'!B362,'Data Checks'!B362&lt;'Data Checks'!B361),"SELL",""))</f>
        <v/>
      </c>
      <c r="X154" t="str">
        <f>IF(AND('Data Checks'!C364&gt;'Data Checks'!C363,'Data Checks'!C363&gt;'Data Checks'!C362,'Data Checks'!C362&gt;'Data Checks'!C361),"BUY",IF(AND('Data Checks'!C364&lt;'Data Checks'!C363,'Data Checks'!C363&lt;'Data Checks'!C362,'Data Checks'!C362&lt;'Data Checks'!C361),"SELL",""))</f>
        <v/>
      </c>
      <c r="Y154" t="str">
        <f>IF(AND('Data Checks'!D364&gt;'Data Checks'!D363,'Data Checks'!D363&gt;'Data Checks'!D362,'Data Checks'!D362&gt;'Data Checks'!D361),"BUY",IF(AND('Data Checks'!D364&lt;'Data Checks'!D363,'Data Checks'!D363&lt;'Data Checks'!D362,'Data Checks'!D362&lt;'Data Checks'!D361),"SELL",""))</f>
        <v/>
      </c>
      <c r="Z154" t="str">
        <f>IF(AND('Data Checks'!E364&gt;'Data Checks'!E363,'Data Checks'!E363&gt;'Data Checks'!E362,'Data Checks'!E362&gt;'Data Checks'!E361),"BUY",IF(AND('Data Checks'!E364&lt;'Data Checks'!E363,'Data Checks'!E363&lt;'Data Checks'!E362,'Data Checks'!E362&lt;'Data Checks'!E361),"SELL",""))</f>
        <v/>
      </c>
      <c r="AA154" t="str">
        <f>IF(AND('Data Checks'!F364&gt;'Data Checks'!F363,'Data Checks'!F363&gt;'Data Checks'!F362,'Data Checks'!F362&gt;'Data Checks'!F361),"BUY",IF(AND('Data Checks'!F364&lt;'Data Checks'!F363,'Data Checks'!F363&lt;'Data Checks'!F362,'Data Checks'!F362&lt;'Data Checks'!F361),"SELL",""))</f>
        <v/>
      </c>
      <c r="AB154">
        <f>IF(W153="BUY",AB153*('Data Checks'!B364/'Data Checks'!B363),IF(W153="SELL",AB153*('Data Checks'!B363/'Data Checks'!B364),AB153))</f>
        <v>197.32428884693456</v>
      </c>
      <c r="AC154">
        <f>IF(X153="BUY",AC153*('Data Checks'!C364/'Data Checks'!C363),IF(X153="SELL",AC153*('Data Checks'!C363/'Data Checks'!C364),AC153))</f>
        <v>190.75367105439139</v>
      </c>
      <c r="AD154">
        <f>IF(Y153="BUY",AD153*('Data Checks'!D364/'Data Checks'!D363),IF(Y153="SELL",AD153*('Data Checks'!D363/'Data Checks'!D364),AD153))</f>
        <v>154.46685985865039</v>
      </c>
      <c r="AE154">
        <f>IF(Z153="BUY",AE153*('Data Checks'!E364/'Data Checks'!E363),IF(Z153="SELL",AE153*('Data Checks'!E363/'Data Checks'!E364),AE153))</f>
        <v>212.28886482219113</v>
      </c>
      <c r="AF154">
        <f>IF(AA153="BUY",AF153*('Data Checks'!F364/'Data Checks'!F363),IF(AA153="SELL",AF153*('Data Checks'!F363/'Data Checks'!F364),AF153))</f>
        <v>189.19765691624693</v>
      </c>
      <c r="AG154" s="16">
        <f t="shared" si="27"/>
        <v>944.03134149841446</v>
      </c>
      <c r="AH154" s="17">
        <f t="shared" si="31"/>
        <v>-3.0804142207013774E-3</v>
      </c>
      <c r="AJ154" t="str">
        <f>IF('Moving Ave'!G364&gt;'Moving Ave'!L364,"SELL","BUY")</f>
        <v>SELL</v>
      </c>
      <c r="AK154" t="str">
        <f>IF('Moving Ave'!H364&gt;'Moving Ave'!M364,"SELL","BUY")</f>
        <v>BUY</v>
      </c>
      <c r="AL154" t="str">
        <f>IF('Moving Ave'!I364&gt;'Moving Ave'!N364,"SELL","BUY")</f>
        <v>SELL</v>
      </c>
      <c r="AM154" t="str">
        <f>IF('Moving Ave'!J364&gt;'Moving Ave'!O364,"SELL","BUY")</f>
        <v>BUY</v>
      </c>
      <c r="AN154" t="str">
        <f>IF('Moving Ave'!K364&gt;'Moving Ave'!P364,"SELL","BUY")</f>
        <v>BUY</v>
      </c>
      <c r="AO154">
        <f>IF(AJ153="BUY",AO153*('Data Checks'!B364/'Data Checks'!B363),AO153*('Data Checks'!B363/'Data Checks'!B364))</f>
        <v>141.11359339939267</v>
      </c>
      <c r="AP154">
        <f>IF(AK153="BUY",AP153*('Data Checks'!C364/'Data Checks'!C363),AP153*('Data Checks'!C363/'Data Checks'!C364))</f>
        <v>111.30302543314784</v>
      </c>
      <c r="AQ154">
        <f>IF(AL153="BUY",AQ153*('Data Checks'!D364/'Data Checks'!D363),AQ153*('Data Checks'!D363/'Data Checks'!D364))</f>
        <v>292.82339224905758</v>
      </c>
      <c r="AR154">
        <f>IF(AM153="BUY",AR153*('Data Checks'!E364/'Data Checks'!E363),AR153*('Data Checks'!E363/'Data Checks'!E364))</f>
        <v>104.95480063760284</v>
      </c>
      <c r="AS154">
        <f>IF(AN153="BUY",AS153*('Data Checks'!F364/'Data Checks'!F363),AS153*('Data Checks'!F363/'Data Checks'!F364))</f>
        <v>198.56165089206016</v>
      </c>
      <c r="AT154" s="16">
        <f t="shared" si="28"/>
        <v>848.7564626112611</v>
      </c>
      <c r="AU154" s="17">
        <f t="shared" si="32"/>
        <v>8.8986121977567834E-3</v>
      </c>
    </row>
    <row r="155" spans="1:47" x14ac:dyDescent="0.35">
      <c r="A155" s="2">
        <f>Prices!A363</f>
        <v>44413</v>
      </c>
      <c r="B155">
        <f>B154*('Data Checks'!B365/'Data Checks'!B364)</f>
        <v>337.72530303989311</v>
      </c>
      <c r="C155">
        <f>C154*('Data Checks'!C365/'Data Checks'!C364)</f>
        <v>110.84582450713309</v>
      </c>
      <c r="D155">
        <f>D154*('Data Checks'!D365/'Data Checks'!D364)</f>
        <v>215.72883312287249</v>
      </c>
      <c r="E155">
        <f>E154*('Data Checks'!E365/'Data Checks'!E364)</f>
        <v>105.52393352782269</v>
      </c>
      <c r="F155">
        <f>F154*('Data Checks'!F365/'Data Checks'!F364)</f>
        <v>135.57462664150643</v>
      </c>
      <c r="G155" s="16">
        <f t="shared" si="25"/>
        <v>905.39852083922779</v>
      </c>
      <c r="H155" s="17">
        <f t="shared" si="29"/>
        <v>2.1439205661086591E-2</v>
      </c>
      <c r="J155" t="str">
        <f>IF(AND('Data Checks'!B365&gt;'Data Checks'!B364,'Data Checks'!B364&gt;'Data Checks'!B363,'Data Checks'!B363&gt;'Data Checks'!B362),"SELL",IF(AND('Data Checks'!B365&lt;'Data Checks'!B364,'Data Checks'!B364&lt;'Data Checks'!B363,'Data Checks'!B363&lt;'Data Checks'!B362),"BUY",""))</f>
        <v/>
      </c>
      <c r="K155" t="str">
        <f>IF(AND('Data Checks'!C365&gt;'Data Checks'!C364,'Data Checks'!C364&gt;'Data Checks'!C363,'Data Checks'!C363&gt;'Data Checks'!C362),"SELL",IF(AND('Data Checks'!C365&lt;'Data Checks'!C364,'Data Checks'!C364&lt;'Data Checks'!C363,'Data Checks'!C363&lt;'Data Checks'!C362),"BUY",""))</f>
        <v/>
      </c>
      <c r="L155" t="str">
        <f>IF(AND('Data Checks'!D365&gt;'Data Checks'!D364,'Data Checks'!D364&gt;'Data Checks'!D363,'Data Checks'!D363&gt;'Data Checks'!D362),"SELL",IF(AND('Data Checks'!D365&lt;'Data Checks'!D364,'Data Checks'!D364&lt;'Data Checks'!D363,'Data Checks'!D363&lt;'Data Checks'!D362),"BUY",""))</f>
        <v/>
      </c>
      <c r="M155" t="str">
        <f>IF(AND('Data Checks'!E365&gt;'Data Checks'!E364,'Data Checks'!E364&gt;'Data Checks'!E363,'Data Checks'!E363&gt;'Data Checks'!E362),"SELL",IF(AND('Data Checks'!E365&lt;'Data Checks'!E364,'Data Checks'!E364&lt;'Data Checks'!E363,'Data Checks'!E363&lt;'Data Checks'!E362),"BUY",""))</f>
        <v>SELL</v>
      </c>
      <c r="N155" t="str">
        <f>IF(AND('Data Checks'!F365&gt;'Data Checks'!F364,'Data Checks'!F364&gt;'Data Checks'!F363,'Data Checks'!F363&gt;'Data Checks'!F362),"SELL",IF(AND('Data Checks'!F365&lt;'Data Checks'!F364,'Data Checks'!F364&lt;'Data Checks'!F363,'Data Checks'!F363&lt;'Data Checks'!F362),"BUY",""))</f>
        <v>SELL</v>
      </c>
      <c r="O155">
        <f>IF(J154="BUY",O154*('Data Checks'!B365/'Data Checks'!B364),IF(J154="SELL",O154*('Data Checks'!B364/'Data Checks'!B365),O154))</f>
        <v>202.71199371217915</v>
      </c>
      <c r="P155">
        <f>IF(K154="BUY",P154*('Data Checks'!C365/'Data Checks'!C364),IF(K154="SELL",P154*('Data Checks'!C364/'Data Checks'!C365),P154))</f>
        <v>209.69452267366557</v>
      </c>
      <c r="Q155">
        <f>IF(L154="BUY",Q154*('Data Checks'!D365/'Data Checks'!D364),IF(L154="SELL",Q154*('Data Checks'!D364/'Data Checks'!D365),Q154))</f>
        <v>258.95522208843511</v>
      </c>
      <c r="R155">
        <f>IF(M154="BUY",R154*('Data Checks'!E365/'Data Checks'!E364),IF(M154="SELL",R154*('Data Checks'!E364/'Data Checks'!E365),R154))</f>
        <v>188.42250644424132</v>
      </c>
      <c r="S155">
        <f>IF(N154="BUY",S154*('Data Checks'!F365/'Data Checks'!F364),IF(N154="SELL",S154*('Data Checks'!F364/'Data Checks'!F365),S154))</f>
        <v>211.41910873508877</v>
      </c>
      <c r="T155" s="16">
        <f t="shared" si="26"/>
        <v>1071.2033536536098</v>
      </c>
      <c r="U155" s="17">
        <f t="shared" si="30"/>
        <v>0</v>
      </c>
      <c r="W155" t="str">
        <f>IF(AND('Data Checks'!B365&gt;'Data Checks'!B364,'Data Checks'!B364&gt;'Data Checks'!B363,'Data Checks'!B363&gt;'Data Checks'!B362),"BUY",IF(AND('Data Checks'!B365&lt;'Data Checks'!B364,'Data Checks'!B364&lt;'Data Checks'!B363,'Data Checks'!B363&lt;'Data Checks'!B362),"SELL",""))</f>
        <v/>
      </c>
      <c r="X155" t="str">
        <f>IF(AND('Data Checks'!C365&gt;'Data Checks'!C364,'Data Checks'!C364&gt;'Data Checks'!C363,'Data Checks'!C363&gt;'Data Checks'!C362),"BUY",IF(AND('Data Checks'!C365&lt;'Data Checks'!C364,'Data Checks'!C364&lt;'Data Checks'!C363,'Data Checks'!C363&lt;'Data Checks'!C362),"SELL",""))</f>
        <v/>
      </c>
      <c r="Y155" t="str">
        <f>IF(AND('Data Checks'!D365&gt;'Data Checks'!D364,'Data Checks'!D364&gt;'Data Checks'!D363,'Data Checks'!D363&gt;'Data Checks'!D362),"BUY",IF(AND('Data Checks'!D365&lt;'Data Checks'!D364,'Data Checks'!D364&lt;'Data Checks'!D363,'Data Checks'!D363&lt;'Data Checks'!D362),"SELL",""))</f>
        <v/>
      </c>
      <c r="Z155" t="str">
        <f>IF(AND('Data Checks'!E365&gt;'Data Checks'!E364,'Data Checks'!E364&gt;'Data Checks'!E363,'Data Checks'!E363&gt;'Data Checks'!E362),"BUY",IF(AND('Data Checks'!E365&lt;'Data Checks'!E364,'Data Checks'!E364&lt;'Data Checks'!E363,'Data Checks'!E363&lt;'Data Checks'!E362),"SELL",""))</f>
        <v>BUY</v>
      </c>
      <c r="AA155" t="str">
        <f>IF(AND('Data Checks'!F365&gt;'Data Checks'!F364,'Data Checks'!F364&gt;'Data Checks'!F363,'Data Checks'!F363&gt;'Data Checks'!F362),"BUY",IF(AND('Data Checks'!F365&lt;'Data Checks'!F364,'Data Checks'!F364&lt;'Data Checks'!F363,'Data Checks'!F363&lt;'Data Checks'!F362),"SELL",""))</f>
        <v>BUY</v>
      </c>
      <c r="AB155">
        <f>IF(W154="BUY",AB154*('Data Checks'!B365/'Data Checks'!B364),IF(W154="SELL",AB154*('Data Checks'!B364/'Data Checks'!B365),AB154))</f>
        <v>197.32428884693456</v>
      </c>
      <c r="AC155">
        <f>IF(X154="BUY",AC154*('Data Checks'!C365/'Data Checks'!C364),IF(X154="SELL",AC154*('Data Checks'!C364/'Data Checks'!C365),AC154))</f>
        <v>190.75367105439139</v>
      </c>
      <c r="AD155">
        <f>IF(Y154="BUY",AD154*('Data Checks'!D365/'Data Checks'!D364),IF(Y154="SELL",AD154*('Data Checks'!D364/'Data Checks'!D365),AD154))</f>
        <v>154.46685985865039</v>
      </c>
      <c r="AE155">
        <f>IF(Z154="BUY",AE154*('Data Checks'!E365/'Data Checks'!E364),IF(Z154="SELL",AE154*('Data Checks'!E364/'Data Checks'!E365),AE154))</f>
        <v>212.28886482219113</v>
      </c>
      <c r="AF155">
        <f>IF(AA154="BUY",AF154*('Data Checks'!F365/'Data Checks'!F364),IF(AA154="SELL",AF154*('Data Checks'!F364/'Data Checks'!F365),AF154))</f>
        <v>189.19765691624693</v>
      </c>
      <c r="AG155" s="16">
        <f t="shared" si="27"/>
        <v>944.03134149841446</v>
      </c>
      <c r="AH155" s="17">
        <f t="shared" si="31"/>
        <v>0</v>
      </c>
      <c r="AJ155" t="str">
        <f>IF('Moving Ave'!G365&gt;'Moving Ave'!L365,"SELL","BUY")</f>
        <v>SELL</v>
      </c>
      <c r="AK155" t="str">
        <f>IF('Moving Ave'!H365&gt;'Moving Ave'!M365,"SELL","BUY")</f>
        <v>BUY</v>
      </c>
      <c r="AL155" t="str">
        <f>IF('Moving Ave'!I365&gt;'Moving Ave'!N365,"SELL","BUY")</f>
        <v>SELL</v>
      </c>
      <c r="AM155" t="str">
        <f>IF('Moving Ave'!J365&gt;'Moving Ave'!O365,"SELL","BUY")</f>
        <v>BUY</v>
      </c>
      <c r="AN155" t="str">
        <f>IF('Moving Ave'!K365&gt;'Moving Ave'!P365,"SELL","BUY")</f>
        <v>BUY</v>
      </c>
      <c r="AO155">
        <f>IF(AJ154="BUY",AO154*('Data Checks'!B365/'Data Checks'!B364),AO154*('Data Checks'!B364/'Data Checks'!B365))</f>
        <v>138.19888967307892</v>
      </c>
      <c r="AP155">
        <f>IF(AK154="BUY",AP154*('Data Checks'!C365/'Data Checks'!C364),AP154*('Data Checks'!C364/'Data Checks'!C365))</f>
        <v>110.84582450713309</v>
      </c>
      <c r="AQ155">
        <f>IF(AL154="BUY",AQ154*('Data Checks'!D365/'Data Checks'!D364),AQ154*('Data Checks'!D364/'Data Checks'!D365))</f>
        <v>280.40334207673027</v>
      </c>
      <c r="AR155">
        <f>IF(AM154="BUY",AR154*('Data Checks'!E365/'Data Checks'!E364),AR154*('Data Checks'!E364/'Data Checks'!E365))</f>
        <v>105.52393352782269</v>
      </c>
      <c r="AS155">
        <f>IF(AN154="BUY",AS154*('Data Checks'!F365/'Data Checks'!F364),AS154*('Data Checks'!F364/'Data Checks'!F365))</f>
        <v>202.69685804622225</v>
      </c>
      <c r="AT155" s="16">
        <f t="shared" si="28"/>
        <v>837.66884783098715</v>
      </c>
      <c r="AU155" s="17">
        <f t="shared" si="32"/>
        <v>-1.3063364190668003E-2</v>
      </c>
    </row>
    <row r="156" spans="1:47" x14ac:dyDescent="0.35">
      <c r="A156" s="2">
        <f>Prices!A364</f>
        <v>44414</v>
      </c>
      <c r="B156">
        <f>B155*('Data Checks'!B366/'Data Checks'!B365)</f>
        <v>339.82960922318875</v>
      </c>
      <c r="C156">
        <f>C155*('Data Checks'!C366/'Data Checks'!C365)</f>
        <v>108.61061489993955</v>
      </c>
      <c r="D156">
        <f>D155*('Data Checks'!D366/'Data Checks'!D365)</f>
        <v>208.58240121192858</v>
      </c>
      <c r="E156">
        <f>E155*('Data Checks'!E366/'Data Checks'!E365)</f>
        <v>104.62001658453234</v>
      </c>
      <c r="F156">
        <f>F155*('Data Checks'!F366/'Data Checks'!F365)</f>
        <v>141.86933917791148</v>
      </c>
      <c r="G156" s="16">
        <f t="shared" si="25"/>
        <v>903.51198109750067</v>
      </c>
      <c r="H156" s="17">
        <f t="shared" si="29"/>
        <v>-2.0836567525850391E-3</v>
      </c>
      <c r="J156" t="str">
        <f>IF(AND('Data Checks'!B366&gt;'Data Checks'!B365,'Data Checks'!B365&gt;'Data Checks'!B364,'Data Checks'!B364&gt;'Data Checks'!B363),"SELL",IF(AND('Data Checks'!B366&lt;'Data Checks'!B365,'Data Checks'!B365&lt;'Data Checks'!B364,'Data Checks'!B364&lt;'Data Checks'!B363),"BUY",""))</f>
        <v>SELL</v>
      </c>
      <c r="K156" t="str">
        <f>IF(AND('Data Checks'!C366&gt;'Data Checks'!C365,'Data Checks'!C365&gt;'Data Checks'!C364,'Data Checks'!C364&gt;'Data Checks'!C363),"SELL",IF(AND('Data Checks'!C366&lt;'Data Checks'!C365,'Data Checks'!C365&lt;'Data Checks'!C364,'Data Checks'!C364&lt;'Data Checks'!C363),"BUY",""))</f>
        <v/>
      </c>
      <c r="L156" t="str">
        <f>IF(AND('Data Checks'!D366&gt;'Data Checks'!D365,'Data Checks'!D365&gt;'Data Checks'!D364,'Data Checks'!D364&gt;'Data Checks'!D363),"SELL",IF(AND('Data Checks'!D366&lt;'Data Checks'!D365,'Data Checks'!D365&lt;'Data Checks'!D364,'Data Checks'!D364&lt;'Data Checks'!D363),"BUY",""))</f>
        <v/>
      </c>
      <c r="M156" t="str">
        <f>IF(AND('Data Checks'!E366&gt;'Data Checks'!E365,'Data Checks'!E365&gt;'Data Checks'!E364,'Data Checks'!E364&gt;'Data Checks'!E363),"SELL",IF(AND('Data Checks'!E366&lt;'Data Checks'!E365,'Data Checks'!E365&lt;'Data Checks'!E364,'Data Checks'!E364&lt;'Data Checks'!E363),"BUY",""))</f>
        <v/>
      </c>
      <c r="N156" t="str">
        <f>IF(AND('Data Checks'!F366&gt;'Data Checks'!F365,'Data Checks'!F365&gt;'Data Checks'!F364,'Data Checks'!F364&gt;'Data Checks'!F363),"SELL",IF(AND('Data Checks'!F366&lt;'Data Checks'!F365,'Data Checks'!F365&lt;'Data Checks'!F364,'Data Checks'!F364&lt;'Data Checks'!F363),"BUY",""))</f>
        <v>SELL</v>
      </c>
      <c r="O156">
        <f>IF(J155="BUY",O155*('Data Checks'!B366/'Data Checks'!B365),IF(J155="SELL",O155*('Data Checks'!B365/'Data Checks'!B366),O155))</f>
        <v>202.71199371217915</v>
      </c>
      <c r="P156">
        <f>IF(K155="BUY",P155*('Data Checks'!C366/'Data Checks'!C365),IF(K155="SELL",P155*('Data Checks'!C365/'Data Checks'!C366),P155))</f>
        <v>209.69452267366557</v>
      </c>
      <c r="Q156">
        <f>IF(L155="BUY",Q155*('Data Checks'!D366/'Data Checks'!D365),IF(L155="SELL",Q155*('Data Checks'!D365/'Data Checks'!D366),Q155))</f>
        <v>258.95522208843511</v>
      </c>
      <c r="R156">
        <f>IF(M155="BUY",R155*('Data Checks'!E366/'Data Checks'!E365),IF(M155="SELL",R155*('Data Checks'!E365/'Data Checks'!E366),R155))</f>
        <v>190.05047689991957</v>
      </c>
      <c r="S156">
        <f>IF(N155="BUY",S155*('Data Checks'!F366/'Data Checks'!F365),IF(N155="SELL",S155*('Data Checks'!F365/'Data Checks'!F366),S155))</f>
        <v>202.03848765161825</v>
      </c>
      <c r="T156" s="16">
        <f t="shared" si="26"/>
        <v>1063.4507030258176</v>
      </c>
      <c r="U156" s="17">
        <f t="shared" si="30"/>
        <v>-7.2373285626392558E-3</v>
      </c>
      <c r="W156" t="str">
        <f>IF(AND('Data Checks'!B366&gt;'Data Checks'!B365,'Data Checks'!B365&gt;'Data Checks'!B364,'Data Checks'!B364&gt;'Data Checks'!B363),"BUY",IF(AND('Data Checks'!B366&lt;'Data Checks'!B365,'Data Checks'!B365&lt;'Data Checks'!B364,'Data Checks'!B364&lt;'Data Checks'!B363),"SELL",""))</f>
        <v>BUY</v>
      </c>
      <c r="X156" t="str">
        <f>IF(AND('Data Checks'!C366&gt;'Data Checks'!C365,'Data Checks'!C365&gt;'Data Checks'!C364,'Data Checks'!C364&gt;'Data Checks'!C363),"BUY",IF(AND('Data Checks'!C366&lt;'Data Checks'!C365,'Data Checks'!C365&lt;'Data Checks'!C364,'Data Checks'!C364&lt;'Data Checks'!C363),"SELL",""))</f>
        <v/>
      </c>
      <c r="Y156" t="str">
        <f>IF(AND('Data Checks'!D366&gt;'Data Checks'!D365,'Data Checks'!D365&gt;'Data Checks'!D364,'Data Checks'!D364&gt;'Data Checks'!D363),"BUY",IF(AND('Data Checks'!D366&lt;'Data Checks'!D365,'Data Checks'!D365&lt;'Data Checks'!D364,'Data Checks'!D364&lt;'Data Checks'!D363),"SELL",""))</f>
        <v/>
      </c>
      <c r="Z156" t="str">
        <f>IF(AND('Data Checks'!E366&gt;'Data Checks'!E365,'Data Checks'!E365&gt;'Data Checks'!E364,'Data Checks'!E364&gt;'Data Checks'!E363),"BUY",IF(AND('Data Checks'!E366&lt;'Data Checks'!E365,'Data Checks'!E365&lt;'Data Checks'!E364,'Data Checks'!E364&lt;'Data Checks'!E363),"SELL",""))</f>
        <v/>
      </c>
      <c r="AA156" t="str">
        <f>IF(AND('Data Checks'!F366&gt;'Data Checks'!F365,'Data Checks'!F365&gt;'Data Checks'!F364,'Data Checks'!F364&gt;'Data Checks'!F363),"BUY",IF(AND('Data Checks'!F366&lt;'Data Checks'!F365,'Data Checks'!F365&lt;'Data Checks'!F364,'Data Checks'!F364&lt;'Data Checks'!F363),"SELL",""))</f>
        <v>BUY</v>
      </c>
      <c r="AB156">
        <f>IF(W155="BUY",AB155*('Data Checks'!B366/'Data Checks'!B365),IF(W155="SELL",AB155*('Data Checks'!B365/'Data Checks'!B366),AB155))</f>
        <v>197.32428884693456</v>
      </c>
      <c r="AC156">
        <f>IF(X155="BUY",AC155*('Data Checks'!C366/'Data Checks'!C365),IF(X155="SELL",AC155*('Data Checks'!C365/'Data Checks'!C366),AC155))</f>
        <v>190.75367105439139</v>
      </c>
      <c r="AD156">
        <f>IF(Y155="BUY",AD155*('Data Checks'!D366/'Data Checks'!D365),IF(Y155="SELL",AD155*('Data Checks'!D365/'Data Checks'!D366),AD155))</f>
        <v>154.46685985865039</v>
      </c>
      <c r="AE156">
        <f>IF(Z155="BUY",AE155*('Data Checks'!E366/'Data Checks'!E365),IF(Z155="SELL",AE155*('Data Checks'!E365/'Data Checks'!E366),AE155))</f>
        <v>210.47040056134114</v>
      </c>
      <c r="AF156">
        <f>IF(AA155="BUY",AF155*('Data Checks'!F366/'Data Checks'!F365),IF(AA155="SELL",AF155*('Data Checks'!F365/'Data Checks'!F366),AF155))</f>
        <v>197.9820798746691</v>
      </c>
      <c r="AG156" s="16">
        <f t="shared" si="27"/>
        <v>950.99730019598655</v>
      </c>
      <c r="AH156" s="17">
        <f t="shared" si="31"/>
        <v>7.3789485490125539E-3</v>
      </c>
      <c r="AJ156" t="str">
        <f>IF('Moving Ave'!G366&gt;'Moving Ave'!L366,"SELL","BUY")</f>
        <v>SELL</v>
      </c>
      <c r="AK156" t="str">
        <f>IF('Moving Ave'!H366&gt;'Moving Ave'!M366,"SELL","BUY")</f>
        <v>BUY</v>
      </c>
      <c r="AL156" t="str">
        <f>IF('Moving Ave'!I366&gt;'Moving Ave'!N366,"SELL","BUY")</f>
        <v>SELL</v>
      </c>
      <c r="AM156" t="str">
        <f>IF('Moving Ave'!J366&gt;'Moving Ave'!O366,"SELL","BUY")</f>
        <v>BUY</v>
      </c>
      <c r="AN156" t="str">
        <f>IF('Moving Ave'!K366&gt;'Moving Ave'!P366,"SELL","BUY")</f>
        <v>BUY</v>
      </c>
      <c r="AO156">
        <f>IF(AJ155="BUY",AO155*('Data Checks'!B366/'Data Checks'!B365),AO155*('Data Checks'!B365/'Data Checks'!B366))</f>
        <v>137.3431291090468</v>
      </c>
      <c r="AP156">
        <f>IF(AK155="BUY",AP155*('Data Checks'!C366/'Data Checks'!C365),AP155*('Data Checks'!C365/'Data Checks'!C366))</f>
        <v>108.61061489993955</v>
      </c>
      <c r="AQ156">
        <f>IF(AL155="BUY",AQ155*('Data Checks'!D366/'Data Checks'!D365),AQ155*('Data Checks'!D365/'Data Checks'!D366))</f>
        <v>290.010496755693</v>
      </c>
      <c r="AR156">
        <f>IF(AM155="BUY",AR155*('Data Checks'!E366/'Data Checks'!E365),AR155*('Data Checks'!E365/'Data Checks'!E366))</f>
        <v>104.62001658453234</v>
      </c>
      <c r="AS156">
        <f>IF(AN155="BUY",AS155*('Data Checks'!F366/'Data Checks'!F365),AS155*('Data Checks'!F365/'Data Checks'!F366))</f>
        <v>212.10804718272138</v>
      </c>
      <c r="AT156" s="16">
        <f t="shared" si="28"/>
        <v>852.69230453193302</v>
      </c>
      <c r="AU156" s="17">
        <f t="shared" si="32"/>
        <v>1.7934839930894952E-2</v>
      </c>
    </row>
    <row r="157" spans="1:47" x14ac:dyDescent="0.35">
      <c r="A157" s="2">
        <f>Prices!A365</f>
        <v>44415</v>
      </c>
      <c r="B157">
        <f>B156*('Data Checks'!B367/'Data Checks'!B366)</f>
        <v>333.76641264394624</v>
      </c>
      <c r="C157">
        <f>C156*('Data Checks'!C367/'Data Checks'!C366)</f>
        <v>108.40741956838771</v>
      </c>
      <c r="D157">
        <f>D156*('Data Checks'!D367/'Data Checks'!D366)</f>
        <v>203.53982974686645</v>
      </c>
      <c r="E157">
        <f>E156*('Data Checks'!E367/'Data Checks'!E366)</f>
        <v>103.24740196694327</v>
      </c>
      <c r="F157">
        <f>F156*('Data Checks'!F367/'Data Checks'!F366)</f>
        <v>140.00954229865832</v>
      </c>
      <c r="G157" s="16">
        <f t="shared" si="25"/>
        <v>888.97060622480194</v>
      </c>
      <c r="H157" s="17">
        <f t="shared" si="29"/>
        <v>-1.6094280072562195E-2</v>
      </c>
      <c r="J157" t="str">
        <f>IF(AND('Data Checks'!B367&gt;'Data Checks'!B366,'Data Checks'!B366&gt;'Data Checks'!B365,'Data Checks'!B365&gt;'Data Checks'!B364),"SELL",IF(AND('Data Checks'!B367&lt;'Data Checks'!B366,'Data Checks'!B366&lt;'Data Checks'!B365,'Data Checks'!B365&lt;'Data Checks'!B364),"BUY",""))</f>
        <v/>
      </c>
      <c r="K157" t="str">
        <f>IF(AND('Data Checks'!C367&gt;'Data Checks'!C366,'Data Checks'!C366&gt;'Data Checks'!C365,'Data Checks'!C365&gt;'Data Checks'!C364),"SELL",IF(AND('Data Checks'!C367&lt;'Data Checks'!C366,'Data Checks'!C366&lt;'Data Checks'!C365,'Data Checks'!C365&lt;'Data Checks'!C364),"BUY",""))</f>
        <v>BUY</v>
      </c>
      <c r="L157" t="str">
        <f>IF(AND('Data Checks'!D367&gt;'Data Checks'!D366,'Data Checks'!D366&gt;'Data Checks'!D365,'Data Checks'!D365&gt;'Data Checks'!D364),"SELL",IF(AND('Data Checks'!D367&lt;'Data Checks'!D366,'Data Checks'!D366&lt;'Data Checks'!D365,'Data Checks'!D365&lt;'Data Checks'!D364),"BUY",""))</f>
        <v/>
      </c>
      <c r="M157" t="str">
        <f>IF(AND('Data Checks'!E367&gt;'Data Checks'!E366,'Data Checks'!E366&gt;'Data Checks'!E365,'Data Checks'!E365&gt;'Data Checks'!E364),"SELL",IF(AND('Data Checks'!E367&lt;'Data Checks'!E366,'Data Checks'!E366&lt;'Data Checks'!E365,'Data Checks'!E365&lt;'Data Checks'!E364),"BUY",""))</f>
        <v/>
      </c>
      <c r="N157" t="str">
        <f>IF(AND('Data Checks'!F367&gt;'Data Checks'!F366,'Data Checks'!F366&gt;'Data Checks'!F365,'Data Checks'!F365&gt;'Data Checks'!F364),"SELL",IF(AND('Data Checks'!F367&lt;'Data Checks'!F366,'Data Checks'!F366&lt;'Data Checks'!F365,'Data Checks'!F365&lt;'Data Checks'!F364),"BUY",""))</f>
        <v/>
      </c>
      <c r="O157">
        <f>IF(J156="BUY",O156*('Data Checks'!B367/'Data Checks'!B366),IF(J156="SELL",O156*('Data Checks'!B366/'Data Checks'!B367),O156))</f>
        <v>206.39445731632338</v>
      </c>
      <c r="P157">
        <f>IF(K156="BUY",P156*('Data Checks'!C367/'Data Checks'!C366),IF(K156="SELL",P156*('Data Checks'!C366/'Data Checks'!C367),P156))</f>
        <v>209.69452267366557</v>
      </c>
      <c r="Q157">
        <f>IF(L156="BUY",Q156*('Data Checks'!D367/'Data Checks'!D366),IF(L156="SELL",Q156*('Data Checks'!D366/'Data Checks'!D367),Q156))</f>
        <v>258.95522208843511</v>
      </c>
      <c r="R157">
        <f>IF(M156="BUY",R156*('Data Checks'!E367/'Data Checks'!E366),IF(M156="SELL",R156*('Data Checks'!E366/'Data Checks'!E367),R156))</f>
        <v>190.05047689991957</v>
      </c>
      <c r="S157">
        <f>IF(N156="BUY",S156*('Data Checks'!F367/'Data Checks'!F366),IF(N156="SELL",S156*('Data Checks'!F366/'Data Checks'!F367),S156))</f>
        <v>204.72223722078681</v>
      </c>
      <c r="T157" s="16">
        <f t="shared" si="26"/>
        <v>1069.8169161991304</v>
      </c>
      <c r="U157" s="17">
        <f t="shared" si="30"/>
        <v>5.9863735622152081E-3</v>
      </c>
      <c r="W157" t="str">
        <f>IF(AND('Data Checks'!B367&gt;'Data Checks'!B366,'Data Checks'!B366&gt;'Data Checks'!B365,'Data Checks'!B365&gt;'Data Checks'!B364),"BUY",IF(AND('Data Checks'!B367&lt;'Data Checks'!B366,'Data Checks'!B366&lt;'Data Checks'!B365,'Data Checks'!B365&lt;'Data Checks'!B364),"SELL",""))</f>
        <v/>
      </c>
      <c r="X157" t="str">
        <f>IF(AND('Data Checks'!C367&gt;'Data Checks'!C366,'Data Checks'!C366&gt;'Data Checks'!C365,'Data Checks'!C365&gt;'Data Checks'!C364),"BUY",IF(AND('Data Checks'!C367&lt;'Data Checks'!C366,'Data Checks'!C366&lt;'Data Checks'!C365,'Data Checks'!C365&lt;'Data Checks'!C364),"SELL",""))</f>
        <v>SELL</v>
      </c>
      <c r="Y157" t="str">
        <f>IF(AND('Data Checks'!D367&gt;'Data Checks'!D366,'Data Checks'!D366&gt;'Data Checks'!D365,'Data Checks'!D365&gt;'Data Checks'!D364),"BUY",IF(AND('Data Checks'!D367&lt;'Data Checks'!D366,'Data Checks'!D366&lt;'Data Checks'!D365,'Data Checks'!D365&lt;'Data Checks'!D364),"SELL",""))</f>
        <v/>
      </c>
      <c r="Z157" t="str">
        <f>IF(AND('Data Checks'!E367&gt;'Data Checks'!E366,'Data Checks'!E366&gt;'Data Checks'!E365,'Data Checks'!E365&gt;'Data Checks'!E364),"BUY",IF(AND('Data Checks'!E367&lt;'Data Checks'!E366,'Data Checks'!E366&lt;'Data Checks'!E365,'Data Checks'!E365&lt;'Data Checks'!E364),"SELL",""))</f>
        <v/>
      </c>
      <c r="AA157" t="str">
        <f>IF(AND('Data Checks'!F367&gt;'Data Checks'!F366,'Data Checks'!F366&gt;'Data Checks'!F365,'Data Checks'!F365&gt;'Data Checks'!F364),"BUY",IF(AND('Data Checks'!F367&lt;'Data Checks'!F366,'Data Checks'!F366&lt;'Data Checks'!F365,'Data Checks'!F365&lt;'Data Checks'!F364),"SELL",""))</f>
        <v/>
      </c>
      <c r="AB157">
        <f>IF(W156="BUY",AB156*('Data Checks'!B367/'Data Checks'!B366),IF(W156="SELL",AB156*('Data Checks'!B366/'Data Checks'!B367),AB156))</f>
        <v>193.80365403270204</v>
      </c>
      <c r="AC157">
        <f>IF(X156="BUY",AC156*('Data Checks'!C367/'Data Checks'!C366),IF(X156="SELL",AC156*('Data Checks'!C366/'Data Checks'!C367),AC156))</f>
        <v>190.75367105439139</v>
      </c>
      <c r="AD157">
        <f>IF(Y156="BUY",AD156*('Data Checks'!D367/'Data Checks'!D366),IF(Y156="SELL",AD156*('Data Checks'!D366/'Data Checks'!D367),AD156))</f>
        <v>154.46685985865039</v>
      </c>
      <c r="AE157">
        <f>IF(Z156="BUY",AE156*('Data Checks'!E367/'Data Checks'!E366),IF(Z156="SELL",AE156*('Data Checks'!E366/'Data Checks'!E367),AE156))</f>
        <v>210.47040056134114</v>
      </c>
      <c r="AF157">
        <f>IF(AA156="BUY",AF156*('Data Checks'!F367/'Data Checks'!F366),IF(AA156="SELL",AF156*('Data Checks'!F366/'Data Checks'!F367),AF156))</f>
        <v>195.38668853477421</v>
      </c>
      <c r="AG157" s="16">
        <f t="shared" si="27"/>
        <v>944.88127404185923</v>
      </c>
      <c r="AH157" s="17">
        <f t="shared" si="31"/>
        <v>-6.431170890671245E-3</v>
      </c>
      <c r="AJ157" t="str">
        <f>IF('Moving Ave'!G367&gt;'Moving Ave'!L367,"SELL","BUY")</f>
        <v>SELL</v>
      </c>
      <c r="AK157" t="str">
        <f>IF('Moving Ave'!H367&gt;'Moving Ave'!M367,"SELL","BUY")</f>
        <v>BUY</v>
      </c>
      <c r="AL157" t="str">
        <f>IF('Moving Ave'!I367&gt;'Moving Ave'!N367,"SELL","BUY")</f>
        <v>SELL</v>
      </c>
      <c r="AM157" t="str">
        <f>IF('Moving Ave'!J367&gt;'Moving Ave'!O367,"SELL","BUY")</f>
        <v>BUY</v>
      </c>
      <c r="AN157" t="str">
        <f>IF('Moving Ave'!K367&gt;'Moving Ave'!P367,"SELL","BUY")</f>
        <v>BUY</v>
      </c>
      <c r="AO157">
        <f>IF(AJ156="BUY",AO156*('Data Checks'!B367/'Data Checks'!B366),AO156*('Data Checks'!B366/'Data Checks'!B367))</f>
        <v>139.83810271648639</v>
      </c>
      <c r="AP157">
        <f>IF(AK156="BUY",AP156*('Data Checks'!C367/'Data Checks'!C366),AP156*('Data Checks'!C366/'Data Checks'!C367))</f>
        <v>108.40741956838771</v>
      </c>
      <c r="AQ157">
        <f>IF(AL156="BUY",AQ156*('Data Checks'!D367/'Data Checks'!D366),AQ156*('Data Checks'!D366/'Data Checks'!D367))</f>
        <v>297.19532469490997</v>
      </c>
      <c r="AR157">
        <f>IF(AM156="BUY",AR156*('Data Checks'!E367/'Data Checks'!E366),AR156*('Data Checks'!E366/'Data Checks'!E367))</f>
        <v>103.24740196694327</v>
      </c>
      <c r="AS157">
        <f>IF(AN156="BUY",AS156*('Data Checks'!F367/'Data Checks'!F366),AS156*('Data Checks'!F366/'Data Checks'!F367))</f>
        <v>209.32747537981609</v>
      </c>
      <c r="AT157" s="16">
        <f t="shared" si="28"/>
        <v>858.01572432654336</v>
      </c>
      <c r="AU157" s="17">
        <f t="shared" si="32"/>
        <v>6.2430724029256535E-3</v>
      </c>
    </row>
    <row r="158" spans="1:47" x14ac:dyDescent="0.35">
      <c r="A158" s="2">
        <f>Prices!A366</f>
        <v>44418</v>
      </c>
      <c r="B158">
        <f>B157*('Data Checks'!B368/'Data Checks'!B367)</f>
        <v>331.73269850141651</v>
      </c>
      <c r="C158">
        <f>C157*('Data Checks'!C368/'Data Checks'!C367)</f>
        <v>110.18542824956648</v>
      </c>
      <c r="D158">
        <f>D157*('Data Checks'!D368/'Data Checks'!D367)</f>
        <v>205.74387052502706</v>
      </c>
      <c r="E158">
        <f>E157*('Data Checks'!E368/'Data Checks'!E367)</f>
        <v>105.28958803851388</v>
      </c>
      <c r="F158">
        <f>F157*('Data Checks'!F368/'Data Checks'!F367)</f>
        <v>139.24654467210138</v>
      </c>
      <c r="G158" s="16">
        <f t="shared" si="25"/>
        <v>892.19812998662542</v>
      </c>
      <c r="H158" s="17">
        <f t="shared" si="29"/>
        <v>3.6306304609212692E-3</v>
      </c>
      <c r="J158" t="str">
        <f>IF(AND('Data Checks'!B368&gt;'Data Checks'!B367,'Data Checks'!B367&gt;'Data Checks'!B366,'Data Checks'!B366&gt;'Data Checks'!B365),"SELL",IF(AND('Data Checks'!B368&lt;'Data Checks'!B367,'Data Checks'!B367&lt;'Data Checks'!B366,'Data Checks'!B366&lt;'Data Checks'!B365),"BUY",""))</f>
        <v/>
      </c>
      <c r="K158" t="str">
        <f>IF(AND('Data Checks'!C368&gt;'Data Checks'!C367,'Data Checks'!C367&gt;'Data Checks'!C366,'Data Checks'!C366&gt;'Data Checks'!C365),"SELL",IF(AND('Data Checks'!C368&lt;'Data Checks'!C367,'Data Checks'!C367&lt;'Data Checks'!C366,'Data Checks'!C366&lt;'Data Checks'!C365),"BUY",""))</f>
        <v/>
      </c>
      <c r="L158" t="str">
        <f>IF(AND('Data Checks'!D368&gt;'Data Checks'!D367,'Data Checks'!D367&gt;'Data Checks'!D366,'Data Checks'!D366&gt;'Data Checks'!D365),"SELL",IF(AND('Data Checks'!D368&lt;'Data Checks'!D367,'Data Checks'!D367&lt;'Data Checks'!D366,'Data Checks'!D366&lt;'Data Checks'!D365),"BUY",""))</f>
        <v/>
      </c>
      <c r="M158" t="str">
        <f>IF(AND('Data Checks'!E368&gt;'Data Checks'!E367,'Data Checks'!E367&gt;'Data Checks'!E366,'Data Checks'!E366&gt;'Data Checks'!E365),"SELL",IF(AND('Data Checks'!E368&lt;'Data Checks'!E367,'Data Checks'!E367&lt;'Data Checks'!E366,'Data Checks'!E366&lt;'Data Checks'!E365),"BUY",""))</f>
        <v/>
      </c>
      <c r="N158" t="str">
        <f>IF(AND('Data Checks'!F368&gt;'Data Checks'!F367,'Data Checks'!F367&gt;'Data Checks'!F366,'Data Checks'!F366&gt;'Data Checks'!F365),"SELL",IF(AND('Data Checks'!F368&lt;'Data Checks'!F367,'Data Checks'!F367&lt;'Data Checks'!F366,'Data Checks'!F366&lt;'Data Checks'!F365),"BUY",""))</f>
        <v/>
      </c>
      <c r="O158">
        <f>IF(J157="BUY",O157*('Data Checks'!B368/'Data Checks'!B367),IF(J157="SELL",O157*('Data Checks'!B367/'Data Checks'!B368),O157))</f>
        <v>206.39445731632338</v>
      </c>
      <c r="P158">
        <f>IF(K157="BUY",P157*('Data Checks'!C368/'Data Checks'!C367),IF(K157="SELL",P157*('Data Checks'!C367/'Data Checks'!C368),P157))</f>
        <v>213.13375850451399</v>
      </c>
      <c r="Q158">
        <f>IF(L157="BUY",Q157*('Data Checks'!D368/'Data Checks'!D367),IF(L157="SELL",Q157*('Data Checks'!D367/'Data Checks'!D368),Q157))</f>
        <v>258.95522208843511</v>
      </c>
      <c r="R158">
        <f>IF(M157="BUY",R157*('Data Checks'!E368/'Data Checks'!E367),IF(M157="SELL",R157*('Data Checks'!E367/'Data Checks'!E368),R157))</f>
        <v>190.05047689991957</v>
      </c>
      <c r="S158">
        <f>IF(N157="BUY",S157*('Data Checks'!F368/'Data Checks'!F367),IF(N157="SELL",S157*('Data Checks'!F367/'Data Checks'!F368),S157))</f>
        <v>204.72223722078681</v>
      </c>
      <c r="T158" s="16">
        <f t="shared" si="26"/>
        <v>1073.2561520299787</v>
      </c>
      <c r="U158" s="17">
        <f t="shared" si="30"/>
        <v>3.2147891651099769E-3</v>
      </c>
      <c r="W158" t="str">
        <f>IF(AND('Data Checks'!B368&gt;'Data Checks'!B367,'Data Checks'!B367&gt;'Data Checks'!B366,'Data Checks'!B366&gt;'Data Checks'!B365),"BUY",IF(AND('Data Checks'!B368&lt;'Data Checks'!B367,'Data Checks'!B367&lt;'Data Checks'!B366,'Data Checks'!B366&lt;'Data Checks'!B365),"SELL",""))</f>
        <v/>
      </c>
      <c r="X158" t="str">
        <f>IF(AND('Data Checks'!C368&gt;'Data Checks'!C367,'Data Checks'!C367&gt;'Data Checks'!C366,'Data Checks'!C366&gt;'Data Checks'!C365),"BUY",IF(AND('Data Checks'!C368&lt;'Data Checks'!C367,'Data Checks'!C367&lt;'Data Checks'!C366,'Data Checks'!C366&lt;'Data Checks'!C365),"SELL",""))</f>
        <v/>
      </c>
      <c r="Y158" t="str">
        <f>IF(AND('Data Checks'!D368&gt;'Data Checks'!D367,'Data Checks'!D367&gt;'Data Checks'!D366,'Data Checks'!D366&gt;'Data Checks'!D365),"BUY",IF(AND('Data Checks'!D368&lt;'Data Checks'!D367,'Data Checks'!D367&lt;'Data Checks'!D366,'Data Checks'!D366&lt;'Data Checks'!D365),"SELL",""))</f>
        <v/>
      </c>
      <c r="Z158" t="str">
        <f>IF(AND('Data Checks'!E368&gt;'Data Checks'!E367,'Data Checks'!E367&gt;'Data Checks'!E366,'Data Checks'!E366&gt;'Data Checks'!E365),"BUY",IF(AND('Data Checks'!E368&lt;'Data Checks'!E367,'Data Checks'!E367&lt;'Data Checks'!E366,'Data Checks'!E366&lt;'Data Checks'!E365),"SELL",""))</f>
        <v/>
      </c>
      <c r="AA158" t="str">
        <f>IF(AND('Data Checks'!F368&gt;'Data Checks'!F367,'Data Checks'!F367&gt;'Data Checks'!F366,'Data Checks'!F366&gt;'Data Checks'!F365),"BUY",IF(AND('Data Checks'!F368&lt;'Data Checks'!F367,'Data Checks'!F367&lt;'Data Checks'!F366,'Data Checks'!F366&lt;'Data Checks'!F365),"SELL",""))</f>
        <v/>
      </c>
      <c r="AB158">
        <f>IF(W157="BUY",AB157*('Data Checks'!B368/'Data Checks'!B367),IF(W157="SELL",AB157*('Data Checks'!B367/'Data Checks'!B368),AB157))</f>
        <v>193.80365403270204</v>
      </c>
      <c r="AC158">
        <f>IF(X157="BUY",AC157*('Data Checks'!C368/'Data Checks'!C367),IF(X157="SELL",AC157*('Data Checks'!C367/'Data Checks'!C368),AC157))</f>
        <v>187.67557181305398</v>
      </c>
      <c r="AD158">
        <f>IF(Y157="BUY",AD157*('Data Checks'!D368/'Data Checks'!D367),IF(Y157="SELL",AD157*('Data Checks'!D367/'Data Checks'!D368),AD157))</f>
        <v>154.46685985865039</v>
      </c>
      <c r="AE158">
        <f>IF(Z157="BUY",AE157*('Data Checks'!E368/'Data Checks'!E367),IF(Z157="SELL",AE157*('Data Checks'!E367/'Data Checks'!E368),AE157))</f>
        <v>210.47040056134114</v>
      </c>
      <c r="AF158">
        <f>IF(AA157="BUY",AF157*('Data Checks'!F368/'Data Checks'!F367),IF(AA157="SELL",AF157*('Data Checks'!F367/'Data Checks'!F368),AF157))</f>
        <v>195.38668853477421</v>
      </c>
      <c r="AG158" s="16">
        <f t="shared" si="27"/>
        <v>941.80317480052179</v>
      </c>
      <c r="AH158" s="17">
        <f t="shared" si="31"/>
        <v>-3.2576571532320076E-3</v>
      </c>
      <c r="AJ158" t="str">
        <f>IF('Moving Ave'!G368&gt;'Moving Ave'!L368,"SELL","BUY")</f>
        <v>SELL</v>
      </c>
      <c r="AK158" t="str">
        <f>IF('Moving Ave'!H368&gt;'Moving Ave'!M368,"SELL","BUY")</f>
        <v>BUY</v>
      </c>
      <c r="AL158" t="str">
        <f>IF('Moving Ave'!I368&gt;'Moving Ave'!N368,"SELL","BUY")</f>
        <v>SELL</v>
      </c>
      <c r="AM158" t="str">
        <f>IF('Moving Ave'!J368&gt;'Moving Ave'!O368,"SELL","BUY")</f>
        <v>BUY</v>
      </c>
      <c r="AN158" t="str">
        <f>IF('Moving Ave'!K368&gt;'Moving Ave'!P368,"SELL","BUY")</f>
        <v>BUY</v>
      </c>
      <c r="AO158">
        <f>IF(AJ157="BUY",AO157*('Data Checks'!B368/'Data Checks'!B367),AO157*('Data Checks'!B367/'Data Checks'!B368))</f>
        <v>140.69539151690842</v>
      </c>
      <c r="AP158">
        <f>IF(AK157="BUY",AP157*('Data Checks'!C368/'Data Checks'!C367),AP157*('Data Checks'!C367/'Data Checks'!C368))</f>
        <v>110.18542824956648</v>
      </c>
      <c r="AQ158">
        <f>IF(AL157="BUY",AQ157*('Data Checks'!D368/'Data Checks'!D367),AQ157*('Data Checks'!D367/'Data Checks'!D368))</f>
        <v>294.01160596231915</v>
      </c>
      <c r="AR158">
        <f>IF(AM157="BUY",AR157*('Data Checks'!E368/'Data Checks'!E367),AR157*('Data Checks'!E367/'Data Checks'!E368))</f>
        <v>105.28958803851388</v>
      </c>
      <c r="AS158">
        <f>IF(AN157="BUY",AS157*('Data Checks'!F368/'Data Checks'!F367),AS157*('Data Checks'!F367/'Data Checks'!F368))</f>
        <v>208.1867219406879</v>
      </c>
      <c r="AT158" s="16">
        <f t="shared" si="28"/>
        <v>858.36873570799582</v>
      </c>
      <c r="AU158" s="17">
        <f t="shared" si="32"/>
        <v>4.114276363984537E-4</v>
      </c>
    </row>
    <row r="159" spans="1:47" x14ac:dyDescent="0.35">
      <c r="A159" s="2">
        <f>Prices!A367</f>
        <v>44419</v>
      </c>
      <c r="B159">
        <f>B158*('Data Checks'!B369/'Data Checks'!B368)</f>
        <v>324.62104053919109</v>
      </c>
      <c r="C159">
        <f>C158*('Data Checks'!C369/'Data Checks'!C368)</f>
        <v>114.24943140079847</v>
      </c>
      <c r="D159">
        <f>D158*('Data Checks'!D369/'Data Checks'!D368)</f>
        <v>204.87560201829359</v>
      </c>
      <c r="E159">
        <f>E158*('Data Checks'!E369/'Data Checks'!E368)</f>
        <v>106.62872090295537</v>
      </c>
      <c r="F159">
        <f>F158*('Data Checks'!F369/'Data Checks'!F368)</f>
        <v>143.20457429477227</v>
      </c>
      <c r="G159" s="16">
        <f t="shared" si="25"/>
        <v>893.5793691560109</v>
      </c>
      <c r="H159" s="17">
        <f t="shared" si="29"/>
        <v>1.5481305362141651E-3</v>
      </c>
      <c r="J159" t="str">
        <f>IF(AND('Data Checks'!B369&gt;'Data Checks'!B368,'Data Checks'!B368&gt;'Data Checks'!B367,'Data Checks'!B367&gt;'Data Checks'!B366),"SELL",IF(AND('Data Checks'!B369&lt;'Data Checks'!B368,'Data Checks'!B368&lt;'Data Checks'!B367,'Data Checks'!B367&lt;'Data Checks'!B366),"BUY",""))</f>
        <v>BUY</v>
      </c>
      <c r="K159" t="str">
        <f>IF(AND('Data Checks'!C369&gt;'Data Checks'!C368,'Data Checks'!C368&gt;'Data Checks'!C367,'Data Checks'!C367&gt;'Data Checks'!C366),"SELL",IF(AND('Data Checks'!C369&lt;'Data Checks'!C368,'Data Checks'!C368&lt;'Data Checks'!C367,'Data Checks'!C367&lt;'Data Checks'!C366),"BUY",""))</f>
        <v/>
      </c>
      <c r="L159" t="str">
        <f>IF(AND('Data Checks'!D369&gt;'Data Checks'!D368,'Data Checks'!D368&gt;'Data Checks'!D367,'Data Checks'!D367&gt;'Data Checks'!D366),"SELL",IF(AND('Data Checks'!D369&lt;'Data Checks'!D368,'Data Checks'!D368&lt;'Data Checks'!D367,'Data Checks'!D367&lt;'Data Checks'!D366),"BUY",""))</f>
        <v/>
      </c>
      <c r="M159" t="str">
        <f>IF(AND('Data Checks'!E369&gt;'Data Checks'!E368,'Data Checks'!E368&gt;'Data Checks'!E367,'Data Checks'!E367&gt;'Data Checks'!E366),"SELL",IF(AND('Data Checks'!E369&lt;'Data Checks'!E368,'Data Checks'!E368&lt;'Data Checks'!E367,'Data Checks'!E367&lt;'Data Checks'!E366),"BUY",""))</f>
        <v/>
      </c>
      <c r="N159" t="str">
        <f>IF(AND('Data Checks'!F369&gt;'Data Checks'!F368,'Data Checks'!F368&gt;'Data Checks'!F367,'Data Checks'!F367&gt;'Data Checks'!F366),"SELL",IF(AND('Data Checks'!F369&lt;'Data Checks'!F368,'Data Checks'!F368&lt;'Data Checks'!F367,'Data Checks'!F367&lt;'Data Checks'!F366),"BUY",""))</f>
        <v/>
      </c>
      <c r="O159">
        <f>IF(J158="BUY",O158*('Data Checks'!B369/'Data Checks'!B368),IF(J158="SELL",O158*('Data Checks'!B368/'Data Checks'!B369),O158))</f>
        <v>206.39445731632338</v>
      </c>
      <c r="P159">
        <f>IF(K158="BUY",P158*('Data Checks'!C369/'Data Checks'!C368),IF(K158="SELL",P158*('Data Checks'!C368/'Data Checks'!C369),P158))</f>
        <v>213.13375850451399</v>
      </c>
      <c r="Q159">
        <f>IF(L158="BUY",Q158*('Data Checks'!D369/'Data Checks'!D368),IF(L158="SELL",Q158*('Data Checks'!D368/'Data Checks'!D369),Q158))</f>
        <v>258.95522208843511</v>
      </c>
      <c r="R159">
        <f>IF(M158="BUY",R158*('Data Checks'!E369/'Data Checks'!E368),IF(M158="SELL",R158*('Data Checks'!E368/'Data Checks'!E369),R158))</f>
        <v>190.05047689991957</v>
      </c>
      <c r="S159">
        <f>IF(N158="BUY",S158*('Data Checks'!F369/'Data Checks'!F368),IF(N158="SELL",S158*('Data Checks'!F368/'Data Checks'!F369),S158))</f>
        <v>204.72223722078681</v>
      </c>
      <c r="T159" s="16">
        <f t="shared" si="26"/>
        <v>1073.2561520299787</v>
      </c>
      <c r="U159" s="17">
        <f t="shared" si="30"/>
        <v>0</v>
      </c>
      <c r="W159" t="str">
        <f>IF(AND('Data Checks'!B369&gt;'Data Checks'!B368,'Data Checks'!B368&gt;'Data Checks'!B367,'Data Checks'!B367&gt;'Data Checks'!B366),"BUY",IF(AND('Data Checks'!B369&lt;'Data Checks'!B368,'Data Checks'!B368&lt;'Data Checks'!B367,'Data Checks'!B367&lt;'Data Checks'!B366),"SELL",""))</f>
        <v>SELL</v>
      </c>
      <c r="X159" t="str">
        <f>IF(AND('Data Checks'!C369&gt;'Data Checks'!C368,'Data Checks'!C368&gt;'Data Checks'!C367,'Data Checks'!C367&gt;'Data Checks'!C366),"BUY",IF(AND('Data Checks'!C369&lt;'Data Checks'!C368,'Data Checks'!C368&lt;'Data Checks'!C367,'Data Checks'!C367&lt;'Data Checks'!C366),"SELL",""))</f>
        <v/>
      </c>
      <c r="Y159" t="str">
        <f>IF(AND('Data Checks'!D369&gt;'Data Checks'!D368,'Data Checks'!D368&gt;'Data Checks'!D367,'Data Checks'!D367&gt;'Data Checks'!D366),"BUY",IF(AND('Data Checks'!D369&lt;'Data Checks'!D368,'Data Checks'!D368&lt;'Data Checks'!D367,'Data Checks'!D367&lt;'Data Checks'!D366),"SELL",""))</f>
        <v/>
      </c>
      <c r="Z159" t="str">
        <f>IF(AND('Data Checks'!E369&gt;'Data Checks'!E368,'Data Checks'!E368&gt;'Data Checks'!E367,'Data Checks'!E367&gt;'Data Checks'!E366),"BUY",IF(AND('Data Checks'!E369&lt;'Data Checks'!E368,'Data Checks'!E368&lt;'Data Checks'!E367,'Data Checks'!E367&lt;'Data Checks'!E366),"SELL",""))</f>
        <v/>
      </c>
      <c r="AA159" t="str">
        <f>IF(AND('Data Checks'!F369&gt;'Data Checks'!F368,'Data Checks'!F368&gt;'Data Checks'!F367,'Data Checks'!F367&gt;'Data Checks'!F366),"BUY",IF(AND('Data Checks'!F369&lt;'Data Checks'!F368,'Data Checks'!F368&lt;'Data Checks'!F367,'Data Checks'!F367&lt;'Data Checks'!F366),"SELL",""))</f>
        <v/>
      </c>
      <c r="AB159">
        <f>IF(W158="BUY",AB158*('Data Checks'!B369/'Data Checks'!B368),IF(W158="SELL",AB158*('Data Checks'!B368/'Data Checks'!B369),AB158))</f>
        <v>193.80365403270204</v>
      </c>
      <c r="AC159">
        <f>IF(X158="BUY",AC158*('Data Checks'!C369/'Data Checks'!C368),IF(X158="SELL",AC158*('Data Checks'!C368/'Data Checks'!C369),AC158))</f>
        <v>187.67557181305398</v>
      </c>
      <c r="AD159">
        <f>IF(Y158="BUY",AD158*('Data Checks'!D369/'Data Checks'!D368),IF(Y158="SELL",AD158*('Data Checks'!D368/'Data Checks'!D369),AD158))</f>
        <v>154.46685985865039</v>
      </c>
      <c r="AE159">
        <f>IF(Z158="BUY",AE158*('Data Checks'!E369/'Data Checks'!E368),IF(Z158="SELL",AE158*('Data Checks'!E368/'Data Checks'!E369),AE158))</f>
        <v>210.47040056134114</v>
      </c>
      <c r="AF159">
        <f>IF(AA158="BUY",AF158*('Data Checks'!F369/'Data Checks'!F368),IF(AA158="SELL",AF158*('Data Checks'!F368/'Data Checks'!F369),AF158))</f>
        <v>195.38668853477421</v>
      </c>
      <c r="AG159" s="16">
        <f t="shared" si="27"/>
        <v>941.80317480052179</v>
      </c>
      <c r="AH159" s="17">
        <f t="shared" si="31"/>
        <v>0</v>
      </c>
      <c r="AJ159" t="str">
        <f>IF('Moving Ave'!G369&gt;'Moving Ave'!L369,"SELL","BUY")</f>
        <v>SELL</v>
      </c>
      <c r="AK159" t="str">
        <f>IF('Moving Ave'!H369&gt;'Moving Ave'!M369,"SELL","BUY")</f>
        <v>BUY</v>
      </c>
      <c r="AL159" t="str">
        <f>IF('Moving Ave'!I369&gt;'Moving Ave'!N369,"SELL","BUY")</f>
        <v>SELL</v>
      </c>
      <c r="AM159" t="str">
        <f>IF('Moving Ave'!J369&gt;'Moving Ave'!O369,"SELL","BUY")</f>
        <v>BUY</v>
      </c>
      <c r="AN159" t="str">
        <f>IF('Moving Ave'!K369&gt;'Moving Ave'!P369,"SELL","BUY")</f>
        <v>BUY</v>
      </c>
      <c r="AO159">
        <f>IF(AJ158="BUY",AO158*('Data Checks'!B369/'Data Checks'!B368),AO158*('Data Checks'!B368/'Data Checks'!B369))</f>
        <v>143.77768556558649</v>
      </c>
      <c r="AP159">
        <f>IF(AK158="BUY",AP158*('Data Checks'!C369/'Data Checks'!C368),AP158*('Data Checks'!C368/'Data Checks'!C369))</f>
        <v>114.24943140079847</v>
      </c>
      <c r="AQ159">
        <f>IF(AL158="BUY",AQ158*('Data Checks'!D369/'Data Checks'!D368),AQ158*('Data Checks'!D368/'Data Checks'!D369))</f>
        <v>295.25763533602867</v>
      </c>
      <c r="AR159">
        <f>IF(AM158="BUY",AR158*('Data Checks'!E369/'Data Checks'!E368),AR158*('Data Checks'!E368/'Data Checks'!E369))</f>
        <v>106.62872090295537</v>
      </c>
      <c r="AS159">
        <f>IF(AN158="BUY",AS158*('Data Checks'!F369/'Data Checks'!F368),AS158*('Data Checks'!F368/'Data Checks'!F369))</f>
        <v>214.10434965941067</v>
      </c>
      <c r="AT159" s="16">
        <f t="shared" si="28"/>
        <v>874.01782286477965</v>
      </c>
      <c r="AU159" s="17">
        <f t="shared" si="32"/>
        <v>1.8231194247628535E-2</v>
      </c>
    </row>
    <row r="160" spans="1:47" x14ac:dyDescent="0.35">
      <c r="A160" s="2">
        <f>Prices!A368</f>
        <v>44420</v>
      </c>
      <c r="B160">
        <f>B159*('Data Checks'!B370/'Data Checks'!B369)</f>
        <v>333.2163659136869</v>
      </c>
      <c r="C160">
        <f>C159*('Data Checks'!C370/'Data Checks'!C369)</f>
        <v>117.44984296291204</v>
      </c>
      <c r="D160">
        <f>D159*('Data Checks'!D370/'Data Checks'!D369)</f>
        <v>208.11488074995628</v>
      </c>
      <c r="E160">
        <f>E159*('Data Checks'!E370/'Data Checks'!E369)</f>
        <v>110.04351489643396</v>
      </c>
      <c r="F160">
        <f>F159*('Data Checks'!F370/'Data Checks'!F369)</f>
        <v>144.82594961601274</v>
      </c>
      <c r="G160" s="16">
        <f t="shared" si="25"/>
        <v>913.650554139002</v>
      </c>
      <c r="H160" s="17">
        <f t="shared" si="29"/>
        <v>2.2461558173560325E-2</v>
      </c>
      <c r="J160" t="str">
        <f>IF(AND('Data Checks'!B370&gt;'Data Checks'!B369,'Data Checks'!B369&gt;'Data Checks'!B368,'Data Checks'!B368&gt;'Data Checks'!B367),"SELL",IF(AND('Data Checks'!B370&lt;'Data Checks'!B369,'Data Checks'!B369&lt;'Data Checks'!B368,'Data Checks'!B368&lt;'Data Checks'!B367),"BUY",""))</f>
        <v/>
      </c>
      <c r="K160" t="str">
        <f>IF(AND('Data Checks'!C370&gt;'Data Checks'!C369,'Data Checks'!C369&gt;'Data Checks'!C368,'Data Checks'!C368&gt;'Data Checks'!C367),"SELL",IF(AND('Data Checks'!C370&lt;'Data Checks'!C369,'Data Checks'!C369&lt;'Data Checks'!C368,'Data Checks'!C368&lt;'Data Checks'!C367),"BUY",""))</f>
        <v>SELL</v>
      </c>
      <c r="L160" t="str">
        <f>IF(AND('Data Checks'!D370&gt;'Data Checks'!D369,'Data Checks'!D369&gt;'Data Checks'!D368,'Data Checks'!D368&gt;'Data Checks'!D367),"SELL",IF(AND('Data Checks'!D370&lt;'Data Checks'!D369,'Data Checks'!D369&lt;'Data Checks'!D368,'Data Checks'!D368&lt;'Data Checks'!D367),"BUY",""))</f>
        <v/>
      </c>
      <c r="M160" t="str">
        <f>IF(AND('Data Checks'!E370&gt;'Data Checks'!E369,'Data Checks'!E369&gt;'Data Checks'!E368,'Data Checks'!E368&gt;'Data Checks'!E367),"SELL",IF(AND('Data Checks'!E370&lt;'Data Checks'!E369,'Data Checks'!E369&lt;'Data Checks'!E368,'Data Checks'!E368&lt;'Data Checks'!E367),"BUY",""))</f>
        <v>SELL</v>
      </c>
      <c r="N160" t="str">
        <f>IF(AND('Data Checks'!F370&gt;'Data Checks'!F369,'Data Checks'!F369&gt;'Data Checks'!F368,'Data Checks'!F368&gt;'Data Checks'!F367),"SELL",IF(AND('Data Checks'!F370&lt;'Data Checks'!F369,'Data Checks'!F369&lt;'Data Checks'!F368,'Data Checks'!F368&lt;'Data Checks'!F367),"BUY",""))</f>
        <v/>
      </c>
      <c r="O160">
        <f>IF(J159="BUY",O159*('Data Checks'!B370/'Data Checks'!B369),IF(J159="SELL",O159*('Data Checks'!B369/'Data Checks'!B370),O159))</f>
        <v>211.85937577379505</v>
      </c>
      <c r="P160">
        <f>IF(K159="BUY",P159*('Data Checks'!C370/'Data Checks'!C369),IF(K159="SELL",P159*('Data Checks'!C369/'Data Checks'!C370),P159))</f>
        <v>213.13375850451399</v>
      </c>
      <c r="Q160">
        <f>IF(L159="BUY",Q159*('Data Checks'!D370/'Data Checks'!D369),IF(L159="SELL",Q159*('Data Checks'!D369/'Data Checks'!D370),Q159))</f>
        <v>258.95522208843511</v>
      </c>
      <c r="R160">
        <f>IF(M159="BUY",R159*('Data Checks'!E370/'Data Checks'!E369),IF(M159="SELL",R159*('Data Checks'!E369/'Data Checks'!E370),R159))</f>
        <v>190.05047689991957</v>
      </c>
      <c r="S160">
        <f>IF(N159="BUY",S159*('Data Checks'!F370/'Data Checks'!F369),IF(N159="SELL",S159*('Data Checks'!F369/'Data Checks'!F370),S159))</f>
        <v>204.72223722078681</v>
      </c>
      <c r="T160" s="16">
        <f t="shared" si="26"/>
        <v>1078.7210704874506</v>
      </c>
      <c r="U160" s="17">
        <f t="shared" si="30"/>
        <v>5.0919050844808744E-3</v>
      </c>
      <c r="W160" t="str">
        <f>IF(AND('Data Checks'!B370&gt;'Data Checks'!B369,'Data Checks'!B369&gt;'Data Checks'!B368,'Data Checks'!B368&gt;'Data Checks'!B367),"BUY",IF(AND('Data Checks'!B370&lt;'Data Checks'!B369,'Data Checks'!B369&lt;'Data Checks'!B368,'Data Checks'!B368&lt;'Data Checks'!B367),"SELL",""))</f>
        <v/>
      </c>
      <c r="X160" t="str">
        <f>IF(AND('Data Checks'!C370&gt;'Data Checks'!C369,'Data Checks'!C369&gt;'Data Checks'!C368,'Data Checks'!C368&gt;'Data Checks'!C367),"BUY",IF(AND('Data Checks'!C370&lt;'Data Checks'!C369,'Data Checks'!C369&lt;'Data Checks'!C368,'Data Checks'!C368&lt;'Data Checks'!C367),"SELL",""))</f>
        <v>BUY</v>
      </c>
      <c r="Y160" t="str">
        <f>IF(AND('Data Checks'!D370&gt;'Data Checks'!D369,'Data Checks'!D369&gt;'Data Checks'!D368,'Data Checks'!D368&gt;'Data Checks'!D367),"BUY",IF(AND('Data Checks'!D370&lt;'Data Checks'!D369,'Data Checks'!D369&lt;'Data Checks'!D368,'Data Checks'!D368&lt;'Data Checks'!D367),"SELL",""))</f>
        <v/>
      </c>
      <c r="Z160" t="str">
        <f>IF(AND('Data Checks'!E370&gt;'Data Checks'!E369,'Data Checks'!E369&gt;'Data Checks'!E368,'Data Checks'!E368&gt;'Data Checks'!E367),"BUY",IF(AND('Data Checks'!E370&lt;'Data Checks'!E369,'Data Checks'!E369&lt;'Data Checks'!E368,'Data Checks'!E368&lt;'Data Checks'!E367),"SELL",""))</f>
        <v>BUY</v>
      </c>
      <c r="AA160" t="str">
        <f>IF(AND('Data Checks'!F370&gt;'Data Checks'!F369,'Data Checks'!F369&gt;'Data Checks'!F368,'Data Checks'!F368&gt;'Data Checks'!F367),"BUY",IF(AND('Data Checks'!F370&lt;'Data Checks'!F369,'Data Checks'!F369&lt;'Data Checks'!F368,'Data Checks'!F368&lt;'Data Checks'!F367),"SELL",""))</f>
        <v/>
      </c>
      <c r="AB160">
        <f>IF(W159="BUY",AB159*('Data Checks'!B370/'Data Checks'!B369),IF(W159="SELL",AB159*('Data Checks'!B369/'Data Checks'!B370),AB159))</f>
        <v>188.80448341690828</v>
      </c>
      <c r="AC160">
        <f>IF(X159="BUY",AC159*('Data Checks'!C370/'Data Checks'!C369),IF(X159="SELL",AC159*('Data Checks'!C369/'Data Checks'!C370),AC159))</f>
        <v>187.67557181305398</v>
      </c>
      <c r="AD160">
        <f>IF(Y159="BUY",AD159*('Data Checks'!D370/'Data Checks'!D369),IF(Y159="SELL",AD159*('Data Checks'!D369/'Data Checks'!D370),AD159))</f>
        <v>154.46685985865039</v>
      </c>
      <c r="AE160">
        <f>IF(Z159="BUY",AE159*('Data Checks'!E370/'Data Checks'!E369),IF(Z159="SELL",AE159*('Data Checks'!E369/'Data Checks'!E370),AE159))</f>
        <v>210.47040056134114</v>
      </c>
      <c r="AF160">
        <f>IF(AA159="BUY",AF159*('Data Checks'!F370/'Data Checks'!F369),IF(AA159="SELL",AF159*('Data Checks'!F369/'Data Checks'!F370),AF159))</f>
        <v>195.38668853477421</v>
      </c>
      <c r="AG160" s="16">
        <f t="shared" si="27"/>
        <v>936.80400418472789</v>
      </c>
      <c r="AH160" s="17">
        <f t="shared" si="31"/>
        <v>-5.3080842680879314E-3</v>
      </c>
      <c r="AJ160" t="str">
        <f>IF('Moving Ave'!G370&gt;'Moving Ave'!L370,"SELL","BUY")</f>
        <v>SELL</v>
      </c>
      <c r="AK160" t="str">
        <f>IF('Moving Ave'!H370&gt;'Moving Ave'!M370,"SELL","BUY")</f>
        <v>BUY</v>
      </c>
      <c r="AL160" t="str">
        <f>IF('Moving Ave'!I370&gt;'Moving Ave'!N370,"SELL","BUY")</f>
        <v>SELL</v>
      </c>
      <c r="AM160" t="str">
        <f>IF('Moving Ave'!J370&gt;'Moving Ave'!O370,"SELL","BUY")</f>
        <v>BUY</v>
      </c>
      <c r="AN160" t="str">
        <f>IF('Moving Ave'!K370&gt;'Moving Ave'!P370,"SELL","BUY")</f>
        <v>BUY</v>
      </c>
      <c r="AO160">
        <f>IF(AJ159="BUY",AO159*('Data Checks'!B370/'Data Checks'!B369),AO159*('Data Checks'!B369/'Data Checks'!B370))</f>
        <v>140.06893618996827</v>
      </c>
      <c r="AP160">
        <f>IF(AK159="BUY",AP159*('Data Checks'!C370/'Data Checks'!C369),AP159*('Data Checks'!C369/'Data Checks'!C370))</f>
        <v>117.44984296291204</v>
      </c>
      <c r="AQ160">
        <f>IF(AL159="BUY",AQ159*('Data Checks'!D370/'Data Checks'!D369),AQ159*('Data Checks'!D369/'Data Checks'!D370))</f>
        <v>290.6619919343724</v>
      </c>
      <c r="AR160">
        <f>IF(AM159="BUY",AR159*('Data Checks'!E370/'Data Checks'!E369),AR159*('Data Checks'!E369/'Data Checks'!E370))</f>
        <v>110.04351489643396</v>
      </c>
      <c r="AS160">
        <f>IF(AN159="BUY",AS159*('Data Checks'!F370/'Data Checks'!F369),AS159*('Data Checks'!F369/'Data Checks'!F370))</f>
        <v>216.52845873845061</v>
      </c>
      <c r="AT160" s="16">
        <f t="shared" si="28"/>
        <v>874.75274472213721</v>
      </c>
      <c r="AU160" s="17">
        <f t="shared" si="32"/>
        <v>8.4085454338755916E-4</v>
      </c>
    </row>
    <row r="161" spans="1:47" x14ac:dyDescent="0.35">
      <c r="A161" s="2">
        <f>Prices!A369</f>
        <v>44421</v>
      </c>
      <c r="B161">
        <f>B160*('Data Checks'!B371/'Data Checks'!B370)</f>
        <v>333.08781337776003</v>
      </c>
      <c r="C161">
        <f>C160*('Data Checks'!C371/'Data Checks'!C370)</f>
        <v>113.48742985744055</v>
      </c>
      <c r="D161">
        <f>D160*('Data Checks'!D371/'Data Checks'!D370)</f>
        <v>206.37836043376794</v>
      </c>
      <c r="E161">
        <f>E160*('Data Checks'!E371/'Data Checks'!E370)</f>
        <v>106.02610960742845</v>
      </c>
      <c r="F161">
        <f>F160*('Data Checks'!F371/'Data Checks'!F370)</f>
        <v>139.72341640043047</v>
      </c>
      <c r="G161" s="16">
        <f t="shared" si="25"/>
        <v>898.70312967682742</v>
      </c>
      <c r="H161" s="17">
        <f t="shared" si="29"/>
        <v>-1.6360110979476872E-2</v>
      </c>
      <c r="J161" t="str">
        <f>IF(AND('Data Checks'!B371&gt;'Data Checks'!B370,'Data Checks'!B370&gt;'Data Checks'!B369,'Data Checks'!B369&gt;'Data Checks'!B368),"SELL",IF(AND('Data Checks'!B371&lt;'Data Checks'!B370,'Data Checks'!B370&lt;'Data Checks'!B369,'Data Checks'!B369&lt;'Data Checks'!B368),"BUY",""))</f>
        <v/>
      </c>
      <c r="K161" t="str">
        <f>IF(AND('Data Checks'!C371&gt;'Data Checks'!C370,'Data Checks'!C370&gt;'Data Checks'!C369,'Data Checks'!C369&gt;'Data Checks'!C368),"SELL",IF(AND('Data Checks'!C371&lt;'Data Checks'!C370,'Data Checks'!C370&lt;'Data Checks'!C369,'Data Checks'!C369&lt;'Data Checks'!C368),"BUY",""))</f>
        <v/>
      </c>
      <c r="L161" t="str">
        <f>IF(AND('Data Checks'!D371&gt;'Data Checks'!D370,'Data Checks'!D370&gt;'Data Checks'!D369,'Data Checks'!D369&gt;'Data Checks'!D368),"SELL",IF(AND('Data Checks'!D371&lt;'Data Checks'!D370,'Data Checks'!D370&lt;'Data Checks'!D369,'Data Checks'!D369&lt;'Data Checks'!D368),"BUY",""))</f>
        <v/>
      </c>
      <c r="M161" t="str">
        <f>IF(AND('Data Checks'!E371&gt;'Data Checks'!E370,'Data Checks'!E370&gt;'Data Checks'!E369,'Data Checks'!E369&gt;'Data Checks'!E368),"SELL",IF(AND('Data Checks'!E371&lt;'Data Checks'!E370,'Data Checks'!E370&lt;'Data Checks'!E369,'Data Checks'!E369&lt;'Data Checks'!E368),"BUY",""))</f>
        <v/>
      </c>
      <c r="N161" t="str">
        <f>IF(AND('Data Checks'!F371&gt;'Data Checks'!F370,'Data Checks'!F370&gt;'Data Checks'!F369,'Data Checks'!F369&gt;'Data Checks'!F368),"SELL",IF(AND('Data Checks'!F371&lt;'Data Checks'!F370,'Data Checks'!F370&lt;'Data Checks'!F369,'Data Checks'!F369&lt;'Data Checks'!F368),"BUY",""))</f>
        <v/>
      </c>
      <c r="O161">
        <f>IF(J160="BUY",O160*('Data Checks'!B371/'Data Checks'!B370),IF(J160="SELL",O160*('Data Checks'!B370/'Data Checks'!B371),O160))</f>
        <v>211.85937577379505</v>
      </c>
      <c r="P161">
        <f>IF(K160="BUY",P160*('Data Checks'!C371/'Data Checks'!C370),IF(K160="SELL",P160*('Data Checks'!C370/'Data Checks'!C371),P160))</f>
        <v>220.57532272865362</v>
      </c>
      <c r="Q161">
        <f>IF(L160="BUY",Q160*('Data Checks'!D371/'Data Checks'!D370),IF(L160="SELL",Q160*('Data Checks'!D370/'Data Checks'!D371),Q160))</f>
        <v>258.95522208843511</v>
      </c>
      <c r="R161">
        <f>IF(M160="BUY",R160*('Data Checks'!E371/'Data Checks'!E370),IF(M160="SELL",R160*('Data Checks'!E370/'Data Checks'!E371),R160))</f>
        <v>197.25162569150231</v>
      </c>
      <c r="S161">
        <f>IF(N160="BUY",S160*('Data Checks'!F371/'Data Checks'!F370),IF(N160="SELL",S160*('Data Checks'!F370/'Data Checks'!F371),S160))</f>
        <v>204.72223722078681</v>
      </c>
      <c r="T161" s="16">
        <f t="shared" si="26"/>
        <v>1093.363783503173</v>
      </c>
      <c r="U161" s="17">
        <f t="shared" si="30"/>
        <v>1.3574142024597391E-2</v>
      </c>
      <c r="W161" t="str">
        <f>IF(AND('Data Checks'!B371&gt;'Data Checks'!B370,'Data Checks'!B370&gt;'Data Checks'!B369,'Data Checks'!B369&gt;'Data Checks'!B368),"BUY",IF(AND('Data Checks'!B371&lt;'Data Checks'!B370,'Data Checks'!B370&lt;'Data Checks'!B369,'Data Checks'!B369&lt;'Data Checks'!B368),"SELL",""))</f>
        <v/>
      </c>
      <c r="X161" t="str">
        <f>IF(AND('Data Checks'!C371&gt;'Data Checks'!C370,'Data Checks'!C370&gt;'Data Checks'!C369,'Data Checks'!C369&gt;'Data Checks'!C368),"BUY",IF(AND('Data Checks'!C371&lt;'Data Checks'!C370,'Data Checks'!C370&lt;'Data Checks'!C369,'Data Checks'!C369&lt;'Data Checks'!C368),"SELL",""))</f>
        <v/>
      </c>
      <c r="Y161" t="str">
        <f>IF(AND('Data Checks'!D371&gt;'Data Checks'!D370,'Data Checks'!D370&gt;'Data Checks'!D369,'Data Checks'!D369&gt;'Data Checks'!D368),"BUY",IF(AND('Data Checks'!D371&lt;'Data Checks'!D370,'Data Checks'!D370&lt;'Data Checks'!D369,'Data Checks'!D369&lt;'Data Checks'!D368),"SELL",""))</f>
        <v/>
      </c>
      <c r="Z161" t="str">
        <f>IF(AND('Data Checks'!E371&gt;'Data Checks'!E370,'Data Checks'!E370&gt;'Data Checks'!E369,'Data Checks'!E369&gt;'Data Checks'!E368),"BUY",IF(AND('Data Checks'!E371&lt;'Data Checks'!E370,'Data Checks'!E370&lt;'Data Checks'!E369,'Data Checks'!E369&lt;'Data Checks'!E368),"SELL",""))</f>
        <v/>
      </c>
      <c r="AA161" t="str">
        <f>IF(AND('Data Checks'!F371&gt;'Data Checks'!F370,'Data Checks'!F370&gt;'Data Checks'!F369,'Data Checks'!F369&gt;'Data Checks'!F368),"BUY",IF(AND('Data Checks'!F371&lt;'Data Checks'!F370,'Data Checks'!F370&lt;'Data Checks'!F369,'Data Checks'!F369&lt;'Data Checks'!F368),"SELL",""))</f>
        <v/>
      </c>
      <c r="AB161">
        <f>IF(W160="BUY",AB160*('Data Checks'!B371/'Data Checks'!B370),IF(W160="SELL",AB160*('Data Checks'!B370/'Data Checks'!B371),AB160))</f>
        <v>188.80448341690828</v>
      </c>
      <c r="AC161">
        <f>IF(X160="BUY",AC160*('Data Checks'!C371/'Data Checks'!C370),IF(X160="SELL",AC160*('Data Checks'!C370/'Data Checks'!C371),AC160))</f>
        <v>181.3439486574255</v>
      </c>
      <c r="AD161">
        <f>IF(Y160="BUY",AD160*('Data Checks'!D371/'Data Checks'!D370),IF(Y160="SELL",AD160*('Data Checks'!D370/'Data Checks'!D371),AD160))</f>
        <v>154.46685985865039</v>
      </c>
      <c r="AE161">
        <f>IF(Z160="BUY",AE160*('Data Checks'!E371/'Data Checks'!E370),IF(Z160="SELL",AE160*('Data Checks'!E370/'Data Checks'!E371),AE160))</f>
        <v>202.78666834695292</v>
      </c>
      <c r="AF161">
        <f>IF(AA160="BUY",AF160*('Data Checks'!F371/'Data Checks'!F370),IF(AA160="SELL",AF160*('Data Checks'!F370/'Data Checks'!F371),AF160))</f>
        <v>195.38668853477421</v>
      </c>
      <c r="AG161" s="16">
        <f t="shared" si="27"/>
        <v>922.78864881471134</v>
      </c>
      <c r="AH161" s="17">
        <f t="shared" si="31"/>
        <v>-1.4960819240107393E-2</v>
      </c>
      <c r="AJ161" t="str">
        <f>IF('Moving Ave'!G371&gt;'Moving Ave'!L371,"SELL","BUY")</f>
        <v>SELL</v>
      </c>
      <c r="AK161" t="str">
        <f>IF('Moving Ave'!H371&gt;'Moving Ave'!M371,"SELL","BUY")</f>
        <v>BUY</v>
      </c>
      <c r="AL161" t="str">
        <f>IF('Moving Ave'!I371&gt;'Moving Ave'!N371,"SELL","BUY")</f>
        <v>SELL</v>
      </c>
      <c r="AM161" t="str">
        <f>IF('Moving Ave'!J371&gt;'Moving Ave'!O371,"SELL","BUY")</f>
        <v>BUY</v>
      </c>
      <c r="AN161" t="str">
        <f>IF('Moving Ave'!K371&gt;'Moving Ave'!P371,"SELL","BUY")</f>
        <v>BUY</v>
      </c>
      <c r="AO161">
        <f>IF(AJ160="BUY",AO160*('Data Checks'!B371/'Data Checks'!B370),AO160*('Data Checks'!B370/'Data Checks'!B371))</f>
        <v>140.12299465812174</v>
      </c>
      <c r="AP161">
        <f>IF(AK160="BUY",AP160*('Data Checks'!C371/'Data Checks'!C370),AP160*('Data Checks'!C370/'Data Checks'!C371))</f>
        <v>113.48742985744055</v>
      </c>
      <c r="AQ161">
        <f>IF(AL160="BUY",AQ160*('Data Checks'!D371/'Data Checks'!D370),AQ160*('Data Checks'!D370/'Data Checks'!D371))</f>
        <v>293.10769628572467</v>
      </c>
      <c r="AR161">
        <f>IF(AM160="BUY",AR160*('Data Checks'!E371/'Data Checks'!E370),AR160*('Data Checks'!E370/'Data Checks'!E371))</f>
        <v>106.02610960742845</v>
      </c>
      <c r="AS161">
        <f>IF(AN160="BUY",AS160*('Data Checks'!F371/'Data Checks'!F370),AS160*('Data Checks'!F370/'Data Checks'!F371))</f>
        <v>208.89969016651216</v>
      </c>
      <c r="AT161" s="16">
        <f t="shared" si="28"/>
        <v>861.64392057522753</v>
      </c>
      <c r="AU161" s="17">
        <f t="shared" si="32"/>
        <v>-1.498574794535068E-2</v>
      </c>
    </row>
    <row r="162" spans="1:47" x14ac:dyDescent="0.35">
      <c r="A162" s="2">
        <f>Prices!A370</f>
        <v>44422</v>
      </c>
      <c r="B162">
        <f>B161*('Data Checks'!B372/'Data Checks'!B371)</f>
        <v>331.71795758864329</v>
      </c>
      <c r="C162">
        <f>C161*('Data Checks'!C372/'Data Checks'!C371)</f>
        <v>113.18263432010765</v>
      </c>
      <c r="D162">
        <f>D161*('Data Checks'!D372/'Data Checks'!D371)</f>
        <v>205.67707807108164</v>
      </c>
      <c r="E162">
        <f>E161*('Data Checks'!E372/'Data Checks'!E371)</f>
        <v>104.15132225807416</v>
      </c>
      <c r="F162">
        <f>F161*('Data Checks'!F372/'Data Checks'!F371)</f>
        <v>137.72054941898745</v>
      </c>
      <c r="G162" s="16">
        <f t="shared" si="25"/>
        <v>892.4495416568941</v>
      </c>
      <c r="H162" s="17">
        <f t="shared" si="29"/>
        <v>-6.9584580418475817E-3</v>
      </c>
      <c r="J162" t="str">
        <f>IF(AND('Data Checks'!B372&gt;'Data Checks'!B371,'Data Checks'!B371&gt;'Data Checks'!B370,'Data Checks'!B370&gt;'Data Checks'!B369),"SELL",IF(AND('Data Checks'!B372&lt;'Data Checks'!B371,'Data Checks'!B371&lt;'Data Checks'!B370,'Data Checks'!B370&lt;'Data Checks'!B369),"BUY",""))</f>
        <v/>
      </c>
      <c r="K162" t="str">
        <f>IF(AND('Data Checks'!C372&gt;'Data Checks'!C371,'Data Checks'!C371&gt;'Data Checks'!C370,'Data Checks'!C370&gt;'Data Checks'!C369),"SELL",IF(AND('Data Checks'!C372&lt;'Data Checks'!C371,'Data Checks'!C371&lt;'Data Checks'!C370,'Data Checks'!C370&lt;'Data Checks'!C369),"BUY",""))</f>
        <v/>
      </c>
      <c r="L162" t="str">
        <f>IF(AND('Data Checks'!D372&gt;'Data Checks'!D371,'Data Checks'!D371&gt;'Data Checks'!D370,'Data Checks'!D370&gt;'Data Checks'!D369),"SELL",IF(AND('Data Checks'!D372&lt;'Data Checks'!D371,'Data Checks'!D371&lt;'Data Checks'!D370,'Data Checks'!D370&lt;'Data Checks'!D369),"BUY",""))</f>
        <v/>
      </c>
      <c r="M162" t="str">
        <f>IF(AND('Data Checks'!E372&gt;'Data Checks'!E371,'Data Checks'!E371&gt;'Data Checks'!E370,'Data Checks'!E370&gt;'Data Checks'!E369),"SELL",IF(AND('Data Checks'!E372&lt;'Data Checks'!E371,'Data Checks'!E371&lt;'Data Checks'!E370,'Data Checks'!E370&lt;'Data Checks'!E369),"BUY",""))</f>
        <v/>
      </c>
      <c r="N162" t="str">
        <f>IF(AND('Data Checks'!F372&gt;'Data Checks'!F371,'Data Checks'!F371&gt;'Data Checks'!F370,'Data Checks'!F370&gt;'Data Checks'!F369),"SELL",IF(AND('Data Checks'!F372&lt;'Data Checks'!F371,'Data Checks'!F371&lt;'Data Checks'!F370,'Data Checks'!F370&lt;'Data Checks'!F369),"BUY",""))</f>
        <v/>
      </c>
      <c r="O162">
        <f>IF(J161="BUY",O161*('Data Checks'!B372/'Data Checks'!B371),IF(J161="SELL",O161*('Data Checks'!B371/'Data Checks'!B372),O161))</f>
        <v>211.85937577379505</v>
      </c>
      <c r="P162">
        <f>IF(K161="BUY",P161*('Data Checks'!C372/'Data Checks'!C371),IF(K161="SELL",P161*('Data Checks'!C371/'Data Checks'!C372),P161))</f>
        <v>220.57532272865362</v>
      </c>
      <c r="Q162">
        <f>IF(L161="BUY",Q161*('Data Checks'!D372/'Data Checks'!D371),IF(L161="SELL",Q161*('Data Checks'!D371/'Data Checks'!D372),Q161))</f>
        <v>258.95522208843511</v>
      </c>
      <c r="R162">
        <f>IF(M161="BUY",R161*('Data Checks'!E372/'Data Checks'!E371),IF(M161="SELL",R161*('Data Checks'!E371/'Data Checks'!E372),R161))</f>
        <v>197.25162569150231</v>
      </c>
      <c r="S162">
        <f>IF(N161="BUY",S161*('Data Checks'!F372/'Data Checks'!F371),IF(N161="SELL",S161*('Data Checks'!F371/'Data Checks'!F372),S161))</f>
        <v>204.72223722078681</v>
      </c>
      <c r="T162" s="16">
        <f t="shared" si="26"/>
        <v>1093.363783503173</v>
      </c>
      <c r="U162" s="17">
        <f t="shared" si="30"/>
        <v>0</v>
      </c>
      <c r="W162" t="str">
        <f>IF(AND('Data Checks'!B372&gt;'Data Checks'!B371,'Data Checks'!B371&gt;'Data Checks'!B370,'Data Checks'!B370&gt;'Data Checks'!B369),"BUY",IF(AND('Data Checks'!B372&lt;'Data Checks'!B371,'Data Checks'!B371&lt;'Data Checks'!B370,'Data Checks'!B370&lt;'Data Checks'!B369),"SELL",""))</f>
        <v/>
      </c>
      <c r="X162" t="str">
        <f>IF(AND('Data Checks'!C372&gt;'Data Checks'!C371,'Data Checks'!C371&gt;'Data Checks'!C370,'Data Checks'!C370&gt;'Data Checks'!C369),"BUY",IF(AND('Data Checks'!C372&lt;'Data Checks'!C371,'Data Checks'!C371&lt;'Data Checks'!C370,'Data Checks'!C370&lt;'Data Checks'!C369),"SELL",""))</f>
        <v/>
      </c>
      <c r="Y162" t="str">
        <f>IF(AND('Data Checks'!D372&gt;'Data Checks'!D371,'Data Checks'!D371&gt;'Data Checks'!D370,'Data Checks'!D370&gt;'Data Checks'!D369),"BUY",IF(AND('Data Checks'!D372&lt;'Data Checks'!D371,'Data Checks'!D371&lt;'Data Checks'!D370,'Data Checks'!D370&lt;'Data Checks'!D369),"SELL",""))</f>
        <v/>
      </c>
      <c r="Z162" t="str">
        <f>IF(AND('Data Checks'!E372&gt;'Data Checks'!E371,'Data Checks'!E371&gt;'Data Checks'!E370,'Data Checks'!E370&gt;'Data Checks'!E369),"BUY",IF(AND('Data Checks'!E372&lt;'Data Checks'!E371,'Data Checks'!E371&lt;'Data Checks'!E370,'Data Checks'!E370&lt;'Data Checks'!E369),"SELL",""))</f>
        <v/>
      </c>
      <c r="AA162" t="str">
        <f>IF(AND('Data Checks'!F372&gt;'Data Checks'!F371,'Data Checks'!F371&gt;'Data Checks'!F370,'Data Checks'!F370&gt;'Data Checks'!F369),"BUY",IF(AND('Data Checks'!F372&lt;'Data Checks'!F371,'Data Checks'!F371&lt;'Data Checks'!F370,'Data Checks'!F370&lt;'Data Checks'!F369),"SELL",""))</f>
        <v/>
      </c>
      <c r="AB162">
        <f>IF(W161="BUY",AB161*('Data Checks'!B372/'Data Checks'!B371),IF(W161="SELL",AB161*('Data Checks'!B371/'Data Checks'!B372),AB161))</f>
        <v>188.80448341690828</v>
      </c>
      <c r="AC162">
        <f>IF(X161="BUY",AC161*('Data Checks'!C372/'Data Checks'!C371),IF(X161="SELL",AC161*('Data Checks'!C371/'Data Checks'!C372),AC161))</f>
        <v>181.3439486574255</v>
      </c>
      <c r="AD162">
        <f>IF(Y161="BUY",AD161*('Data Checks'!D372/'Data Checks'!D371),IF(Y161="SELL",AD161*('Data Checks'!D371/'Data Checks'!D372),AD161))</f>
        <v>154.46685985865039</v>
      </c>
      <c r="AE162">
        <f>IF(Z161="BUY",AE161*('Data Checks'!E372/'Data Checks'!E371),IF(Z161="SELL",AE161*('Data Checks'!E371/'Data Checks'!E372),AE161))</f>
        <v>202.78666834695292</v>
      </c>
      <c r="AF162">
        <f>IF(AA161="BUY",AF161*('Data Checks'!F372/'Data Checks'!F371),IF(AA161="SELL",AF161*('Data Checks'!F371/'Data Checks'!F372),AF161))</f>
        <v>195.38668853477421</v>
      </c>
      <c r="AG162" s="16">
        <f t="shared" si="27"/>
        <v>922.78864881471134</v>
      </c>
      <c r="AH162" s="17">
        <f t="shared" si="31"/>
        <v>0</v>
      </c>
      <c r="AJ162" t="str">
        <f>IF('Moving Ave'!G372&gt;'Moving Ave'!L372,"SELL","BUY")</f>
        <v>SELL</v>
      </c>
      <c r="AK162" t="str">
        <f>IF('Moving Ave'!H372&gt;'Moving Ave'!M372,"SELL","BUY")</f>
        <v>BUY</v>
      </c>
      <c r="AL162" t="str">
        <f>IF('Moving Ave'!I372&gt;'Moving Ave'!N372,"SELL","BUY")</f>
        <v>SELL</v>
      </c>
      <c r="AM162" t="str">
        <f>IF('Moving Ave'!J372&gt;'Moving Ave'!O372,"SELL","BUY")</f>
        <v>BUY</v>
      </c>
      <c r="AN162" t="str">
        <f>IF('Moving Ave'!K372&gt;'Moving Ave'!P372,"SELL","BUY")</f>
        <v>BUY</v>
      </c>
      <c r="AO162">
        <f>IF(AJ161="BUY",AO161*('Data Checks'!B372/'Data Checks'!B371),AO161*('Data Checks'!B371/'Data Checks'!B372))</f>
        <v>140.70164375151461</v>
      </c>
      <c r="AP162">
        <f>IF(AK161="BUY",AP161*('Data Checks'!C372/'Data Checks'!C371),AP161*('Data Checks'!C371/'Data Checks'!C372))</f>
        <v>113.18263432010765</v>
      </c>
      <c r="AQ162">
        <f>IF(AL161="BUY",AQ161*('Data Checks'!D372/'Data Checks'!D371),AQ161*('Data Checks'!D371/'Data Checks'!D372))</f>
        <v>294.10708454862942</v>
      </c>
      <c r="AR162">
        <f>IF(AM161="BUY",AR161*('Data Checks'!E372/'Data Checks'!E371),AR161*('Data Checks'!E371/'Data Checks'!E372))</f>
        <v>104.15132225807416</v>
      </c>
      <c r="AS162">
        <f>IF(AN161="BUY",AS161*('Data Checks'!F372/'Data Checks'!F371),AS161*('Data Checks'!F371/'Data Checks'!F372))</f>
        <v>205.90521506243147</v>
      </c>
      <c r="AT162" s="16">
        <f t="shared" si="28"/>
        <v>858.04789994075736</v>
      </c>
      <c r="AU162" s="17">
        <f t="shared" si="32"/>
        <v>-4.1734416602968727E-3</v>
      </c>
    </row>
    <row r="163" spans="1:47" x14ac:dyDescent="0.35">
      <c r="A163" s="2">
        <f>Prices!A371</f>
        <v>44425</v>
      </c>
      <c r="B163">
        <f>B162*('Data Checks'!B373/'Data Checks'!B372)</f>
        <v>335.34174163812781</v>
      </c>
      <c r="C163">
        <f>C162*('Data Checks'!C373/'Data Checks'!C372)</f>
        <v>112.77623349698342</v>
      </c>
      <c r="D163">
        <f>D162*('Data Checks'!D373/'Data Checks'!D372)</f>
        <v>208.58240121192858</v>
      </c>
      <c r="E163">
        <f>E162*('Data Checks'!E373/'Data Checks'!E372)</f>
        <v>103.5821893678543</v>
      </c>
      <c r="F163">
        <f>F162*('Data Checks'!F373/'Data Checks'!F372)</f>
        <v>137.8636195211773</v>
      </c>
      <c r="G163" s="16">
        <f t="shared" si="25"/>
        <v>898.14618523607135</v>
      </c>
      <c r="H163" s="17">
        <f t="shared" si="29"/>
        <v>6.3831548040251818E-3</v>
      </c>
      <c r="J163" t="str">
        <f>IF(AND('Data Checks'!B373&gt;'Data Checks'!B372,'Data Checks'!B372&gt;'Data Checks'!B371,'Data Checks'!B371&gt;'Data Checks'!B370),"SELL",IF(AND('Data Checks'!B373&lt;'Data Checks'!B372,'Data Checks'!B372&lt;'Data Checks'!B371,'Data Checks'!B371&lt;'Data Checks'!B370),"BUY",""))</f>
        <v/>
      </c>
      <c r="K163" t="str">
        <f>IF(AND('Data Checks'!C373&gt;'Data Checks'!C372,'Data Checks'!C372&gt;'Data Checks'!C371,'Data Checks'!C371&gt;'Data Checks'!C370),"SELL",IF(AND('Data Checks'!C373&lt;'Data Checks'!C372,'Data Checks'!C372&lt;'Data Checks'!C371,'Data Checks'!C371&lt;'Data Checks'!C370),"BUY",""))</f>
        <v>BUY</v>
      </c>
      <c r="L163" t="str">
        <f>IF(AND('Data Checks'!D373&gt;'Data Checks'!D372,'Data Checks'!D372&gt;'Data Checks'!D371,'Data Checks'!D371&gt;'Data Checks'!D370),"SELL",IF(AND('Data Checks'!D373&lt;'Data Checks'!D372,'Data Checks'!D372&lt;'Data Checks'!D371,'Data Checks'!D371&lt;'Data Checks'!D370),"BUY",""))</f>
        <v/>
      </c>
      <c r="M163" t="str">
        <f>IF(AND('Data Checks'!E373&gt;'Data Checks'!E372,'Data Checks'!E372&gt;'Data Checks'!E371,'Data Checks'!E371&gt;'Data Checks'!E370),"SELL",IF(AND('Data Checks'!E373&lt;'Data Checks'!E372,'Data Checks'!E372&lt;'Data Checks'!E371,'Data Checks'!E371&lt;'Data Checks'!E370),"BUY",""))</f>
        <v>BUY</v>
      </c>
      <c r="N163" t="str">
        <f>IF(AND('Data Checks'!F373&gt;'Data Checks'!F372,'Data Checks'!F372&gt;'Data Checks'!F371,'Data Checks'!F371&gt;'Data Checks'!F370),"SELL",IF(AND('Data Checks'!F373&lt;'Data Checks'!F372,'Data Checks'!F372&lt;'Data Checks'!F371,'Data Checks'!F371&lt;'Data Checks'!F370),"BUY",""))</f>
        <v/>
      </c>
      <c r="O163">
        <f>IF(J162="BUY",O162*('Data Checks'!B373/'Data Checks'!B372),IF(J162="SELL",O162*('Data Checks'!B372/'Data Checks'!B373),O162))</f>
        <v>211.85937577379505</v>
      </c>
      <c r="P163">
        <f>IF(K162="BUY",P162*('Data Checks'!C373/'Data Checks'!C372),IF(K162="SELL",P162*('Data Checks'!C372/'Data Checks'!C373),P162))</f>
        <v>220.57532272865362</v>
      </c>
      <c r="Q163">
        <f>IF(L162="BUY",Q162*('Data Checks'!D373/'Data Checks'!D372),IF(L162="SELL",Q162*('Data Checks'!D372/'Data Checks'!D373),Q162))</f>
        <v>258.95522208843511</v>
      </c>
      <c r="R163">
        <f>IF(M162="BUY",R162*('Data Checks'!E373/'Data Checks'!E372),IF(M162="SELL",R162*('Data Checks'!E372/'Data Checks'!E373),R162))</f>
        <v>197.25162569150231</v>
      </c>
      <c r="S163">
        <f>IF(N162="BUY",S162*('Data Checks'!F373/'Data Checks'!F372),IF(N162="SELL",S162*('Data Checks'!F372/'Data Checks'!F373),S162))</f>
        <v>204.72223722078681</v>
      </c>
      <c r="T163" s="16">
        <f t="shared" si="26"/>
        <v>1093.363783503173</v>
      </c>
      <c r="U163" s="17">
        <f t="shared" si="30"/>
        <v>0</v>
      </c>
      <c r="W163" t="str">
        <f>IF(AND('Data Checks'!B373&gt;'Data Checks'!B372,'Data Checks'!B372&gt;'Data Checks'!B371,'Data Checks'!B371&gt;'Data Checks'!B370),"BUY",IF(AND('Data Checks'!B373&lt;'Data Checks'!B372,'Data Checks'!B372&lt;'Data Checks'!B371,'Data Checks'!B371&lt;'Data Checks'!B370),"SELL",""))</f>
        <v/>
      </c>
      <c r="X163" t="str">
        <f>IF(AND('Data Checks'!C373&gt;'Data Checks'!C372,'Data Checks'!C372&gt;'Data Checks'!C371,'Data Checks'!C371&gt;'Data Checks'!C370),"BUY",IF(AND('Data Checks'!C373&lt;'Data Checks'!C372,'Data Checks'!C372&lt;'Data Checks'!C371,'Data Checks'!C371&lt;'Data Checks'!C370),"SELL",""))</f>
        <v>SELL</v>
      </c>
      <c r="Y163" t="str">
        <f>IF(AND('Data Checks'!D373&gt;'Data Checks'!D372,'Data Checks'!D372&gt;'Data Checks'!D371,'Data Checks'!D371&gt;'Data Checks'!D370),"BUY",IF(AND('Data Checks'!D373&lt;'Data Checks'!D372,'Data Checks'!D372&lt;'Data Checks'!D371,'Data Checks'!D371&lt;'Data Checks'!D370),"SELL",""))</f>
        <v/>
      </c>
      <c r="Z163" t="str">
        <f>IF(AND('Data Checks'!E373&gt;'Data Checks'!E372,'Data Checks'!E372&gt;'Data Checks'!E371,'Data Checks'!E371&gt;'Data Checks'!E370),"BUY",IF(AND('Data Checks'!E373&lt;'Data Checks'!E372,'Data Checks'!E372&lt;'Data Checks'!E371,'Data Checks'!E371&lt;'Data Checks'!E370),"SELL",""))</f>
        <v>SELL</v>
      </c>
      <c r="AA163" t="str">
        <f>IF(AND('Data Checks'!F373&gt;'Data Checks'!F372,'Data Checks'!F372&gt;'Data Checks'!F371,'Data Checks'!F371&gt;'Data Checks'!F370),"BUY",IF(AND('Data Checks'!F373&lt;'Data Checks'!F372,'Data Checks'!F372&lt;'Data Checks'!F371,'Data Checks'!F371&lt;'Data Checks'!F370),"SELL",""))</f>
        <v/>
      </c>
      <c r="AB163">
        <f>IF(W162="BUY",AB162*('Data Checks'!B373/'Data Checks'!B372),IF(W162="SELL",AB162*('Data Checks'!B372/'Data Checks'!B373),AB162))</f>
        <v>188.80448341690828</v>
      </c>
      <c r="AC163">
        <f>IF(X162="BUY",AC162*('Data Checks'!C373/'Data Checks'!C372),IF(X162="SELL",AC162*('Data Checks'!C372/'Data Checks'!C373),AC162))</f>
        <v>181.3439486574255</v>
      </c>
      <c r="AD163">
        <f>IF(Y162="BUY",AD162*('Data Checks'!D373/'Data Checks'!D372),IF(Y162="SELL",AD162*('Data Checks'!D372/'Data Checks'!D373),AD162))</f>
        <v>154.46685985865039</v>
      </c>
      <c r="AE163">
        <f>IF(Z162="BUY",AE162*('Data Checks'!E373/'Data Checks'!E372),IF(Z162="SELL",AE162*('Data Checks'!E372/'Data Checks'!E373),AE162))</f>
        <v>202.78666834695292</v>
      </c>
      <c r="AF163">
        <f>IF(AA162="BUY",AF162*('Data Checks'!F373/'Data Checks'!F372),IF(AA162="SELL",AF162*('Data Checks'!F372/'Data Checks'!F373),AF162))</f>
        <v>195.38668853477421</v>
      </c>
      <c r="AG163" s="16">
        <f t="shared" si="27"/>
        <v>922.78864881471134</v>
      </c>
      <c r="AH163" s="17">
        <f t="shared" si="31"/>
        <v>0</v>
      </c>
      <c r="AJ163" t="str">
        <f>IF('Moving Ave'!G373&gt;'Moving Ave'!L373,"SELL","BUY")</f>
        <v>SELL</v>
      </c>
      <c r="AK163" t="str">
        <f>IF('Moving Ave'!H373&gt;'Moving Ave'!M373,"SELL","BUY")</f>
        <v>BUY</v>
      </c>
      <c r="AL163" t="str">
        <f>IF('Moving Ave'!I373&gt;'Moving Ave'!N373,"SELL","BUY")</f>
        <v>SELL</v>
      </c>
      <c r="AM163" t="str">
        <f>IF('Moving Ave'!J373&gt;'Moving Ave'!O373,"SELL","BUY")</f>
        <v>BUY</v>
      </c>
      <c r="AN163" t="str">
        <f>IF('Moving Ave'!K373&gt;'Moving Ave'!P373,"SELL","BUY")</f>
        <v>BUY</v>
      </c>
      <c r="AO163">
        <f>IF(AJ162="BUY",AO162*('Data Checks'!B373/'Data Checks'!B372),AO162*('Data Checks'!B372/'Data Checks'!B373))</f>
        <v>139.18118772396403</v>
      </c>
      <c r="AP163">
        <f>IF(AK162="BUY",AP162*('Data Checks'!C373/'Data Checks'!C372),AP162*('Data Checks'!C372/'Data Checks'!C373))</f>
        <v>112.77623349698342</v>
      </c>
      <c r="AQ163">
        <f>IF(AL162="BUY",AQ162*('Data Checks'!D373/'Data Checks'!D372),AQ162*('Data Checks'!D372/'Data Checks'!D373))</f>
        <v>290.01049675569294</v>
      </c>
      <c r="AR163">
        <f>IF(AM162="BUY",AR162*('Data Checks'!E373/'Data Checks'!E372),AR162*('Data Checks'!E372/'Data Checks'!E373))</f>
        <v>103.5821893678543</v>
      </c>
      <c r="AS163">
        <f>IF(AN162="BUY",AS162*('Data Checks'!F373/'Data Checks'!F372),AS162*('Data Checks'!F372/'Data Checks'!F373))</f>
        <v>206.11911836360684</v>
      </c>
      <c r="AT163" s="16">
        <f t="shared" si="28"/>
        <v>851.66922570810152</v>
      </c>
      <c r="AU163" s="17">
        <f t="shared" si="32"/>
        <v>-7.4339372348516397E-3</v>
      </c>
    </row>
    <row r="164" spans="1:47" x14ac:dyDescent="0.35">
      <c r="A164" s="2">
        <f>Prices!A372</f>
        <v>44426</v>
      </c>
      <c r="B164">
        <f>B163*('Data Checks'!B374/'Data Checks'!B373)</f>
        <v>349.04873763020902</v>
      </c>
      <c r="C164">
        <f>C163*('Data Checks'!C374/'Data Checks'!C373)</f>
        <v>111.20142014735646</v>
      </c>
      <c r="D164">
        <f>D163*('Data Checks'!D374/'Data Checks'!D373)</f>
        <v>212.32260164171987</v>
      </c>
      <c r="E164">
        <f>E163*('Data Checks'!E374/'Data Checks'!E373)</f>
        <v>102.24305315557228</v>
      </c>
      <c r="F164">
        <f>F163*('Data Checks'!F374/'Data Checks'!F373)</f>
        <v>136.86218603045577</v>
      </c>
      <c r="G164" s="16">
        <f t="shared" si="25"/>
        <v>911.67799860531341</v>
      </c>
      <c r="H164" s="17">
        <f t="shared" si="29"/>
        <v>1.5066381833693798E-2</v>
      </c>
      <c r="J164" t="str">
        <f>IF(AND('Data Checks'!B374&gt;'Data Checks'!B373,'Data Checks'!B373&gt;'Data Checks'!B372,'Data Checks'!B372&gt;'Data Checks'!B371),"SELL",IF(AND('Data Checks'!B374&lt;'Data Checks'!B373,'Data Checks'!B373&lt;'Data Checks'!B372,'Data Checks'!B372&lt;'Data Checks'!B371),"BUY",""))</f>
        <v/>
      </c>
      <c r="K164" t="str">
        <f>IF(AND('Data Checks'!C374&gt;'Data Checks'!C373,'Data Checks'!C373&gt;'Data Checks'!C372,'Data Checks'!C372&gt;'Data Checks'!C371),"SELL",IF(AND('Data Checks'!C374&lt;'Data Checks'!C373,'Data Checks'!C373&lt;'Data Checks'!C372,'Data Checks'!C372&lt;'Data Checks'!C371),"BUY",""))</f>
        <v>BUY</v>
      </c>
      <c r="L164" t="str">
        <f>IF(AND('Data Checks'!D374&gt;'Data Checks'!D373,'Data Checks'!D373&gt;'Data Checks'!D372,'Data Checks'!D372&gt;'Data Checks'!D371),"SELL",IF(AND('Data Checks'!D374&lt;'Data Checks'!D373,'Data Checks'!D373&lt;'Data Checks'!D372,'Data Checks'!D372&lt;'Data Checks'!D371),"BUY",""))</f>
        <v/>
      </c>
      <c r="M164" t="str">
        <f>IF(AND('Data Checks'!E374&gt;'Data Checks'!E373,'Data Checks'!E373&gt;'Data Checks'!E372,'Data Checks'!E372&gt;'Data Checks'!E371),"SELL",IF(AND('Data Checks'!E374&lt;'Data Checks'!E373,'Data Checks'!E373&lt;'Data Checks'!E372,'Data Checks'!E372&lt;'Data Checks'!E371),"BUY",""))</f>
        <v>BUY</v>
      </c>
      <c r="N164" t="str">
        <f>IF(AND('Data Checks'!F374&gt;'Data Checks'!F373,'Data Checks'!F373&gt;'Data Checks'!F372,'Data Checks'!F372&gt;'Data Checks'!F371),"SELL",IF(AND('Data Checks'!F374&lt;'Data Checks'!F373,'Data Checks'!F373&lt;'Data Checks'!F372,'Data Checks'!F372&lt;'Data Checks'!F371),"BUY",""))</f>
        <v/>
      </c>
      <c r="O164">
        <f>IF(J163="BUY",O163*('Data Checks'!B374/'Data Checks'!B373),IF(J163="SELL",O163*('Data Checks'!B373/'Data Checks'!B374),O163))</f>
        <v>211.85937577379505</v>
      </c>
      <c r="P164">
        <f>IF(K163="BUY",P163*('Data Checks'!C374/'Data Checks'!C373),IF(K163="SELL",P163*('Data Checks'!C373/'Data Checks'!C374),P163))</f>
        <v>217.49519713782468</v>
      </c>
      <c r="Q164">
        <f>IF(L163="BUY",Q163*('Data Checks'!D374/'Data Checks'!D373),IF(L163="SELL",Q163*('Data Checks'!D373/'Data Checks'!D374),Q163))</f>
        <v>258.95522208843511</v>
      </c>
      <c r="R164">
        <f>IF(M163="BUY",R163*('Data Checks'!E374/'Data Checks'!E373),IF(M163="SELL",R163*('Data Checks'!E373/'Data Checks'!E374),R163))</f>
        <v>194.70150779471876</v>
      </c>
      <c r="S164">
        <f>IF(N163="BUY",S163*('Data Checks'!F374/'Data Checks'!F373),IF(N163="SELL",S163*('Data Checks'!F373/'Data Checks'!F374),S163))</f>
        <v>204.72223722078681</v>
      </c>
      <c r="T164" s="16">
        <f t="shared" si="26"/>
        <v>1087.7335400155603</v>
      </c>
      <c r="U164" s="17">
        <f t="shared" si="30"/>
        <v>-5.149469529320938E-3</v>
      </c>
      <c r="W164" t="str">
        <f>IF(AND('Data Checks'!B374&gt;'Data Checks'!B373,'Data Checks'!B373&gt;'Data Checks'!B372,'Data Checks'!B372&gt;'Data Checks'!B371),"BUY",IF(AND('Data Checks'!B374&lt;'Data Checks'!B373,'Data Checks'!B373&lt;'Data Checks'!B372,'Data Checks'!B372&lt;'Data Checks'!B371),"SELL",""))</f>
        <v/>
      </c>
      <c r="X164" t="str">
        <f>IF(AND('Data Checks'!C374&gt;'Data Checks'!C373,'Data Checks'!C373&gt;'Data Checks'!C372,'Data Checks'!C372&gt;'Data Checks'!C371),"BUY",IF(AND('Data Checks'!C374&lt;'Data Checks'!C373,'Data Checks'!C373&lt;'Data Checks'!C372,'Data Checks'!C372&lt;'Data Checks'!C371),"SELL",""))</f>
        <v>SELL</v>
      </c>
      <c r="Y164" t="str">
        <f>IF(AND('Data Checks'!D374&gt;'Data Checks'!D373,'Data Checks'!D373&gt;'Data Checks'!D372,'Data Checks'!D372&gt;'Data Checks'!D371),"BUY",IF(AND('Data Checks'!D374&lt;'Data Checks'!D373,'Data Checks'!D373&lt;'Data Checks'!D372,'Data Checks'!D372&lt;'Data Checks'!D371),"SELL",""))</f>
        <v/>
      </c>
      <c r="Z164" t="str">
        <f>IF(AND('Data Checks'!E374&gt;'Data Checks'!E373,'Data Checks'!E373&gt;'Data Checks'!E372,'Data Checks'!E372&gt;'Data Checks'!E371),"BUY",IF(AND('Data Checks'!E374&lt;'Data Checks'!E373,'Data Checks'!E373&lt;'Data Checks'!E372,'Data Checks'!E372&lt;'Data Checks'!E371),"SELL",""))</f>
        <v>SELL</v>
      </c>
      <c r="AA164" t="str">
        <f>IF(AND('Data Checks'!F374&gt;'Data Checks'!F373,'Data Checks'!F373&gt;'Data Checks'!F372,'Data Checks'!F372&gt;'Data Checks'!F371),"BUY",IF(AND('Data Checks'!F374&lt;'Data Checks'!F373,'Data Checks'!F373&lt;'Data Checks'!F372,'Data Checks'!F372&lt;'Data Checks'!F371),"SELL",""))</f>
        <v/>
      </c>
      <c r="AB164">
        <f>IF(W163="BUY",AB163*('Data Checks'!B374/'Data Checks'!B373),IF(W163="SELL",AB163*('Data Checks'!B373/'Data Checks'!B374),AB163))</f>
        <v>188.80448341690828</v>
      </c>
      <c r="AC164">
        <f>IF(X163="BUY",AC163*('Data Checks'!C374/'Data Checks'!C373),IF(X163="SELL",AC163*('Data Checks'!C373/'Data Checks'!C374),AC163))</f>
        <v>183.91210714714035</v>
      </c>
      <c r="AD164">
        <f>IF(Y163="BUY",AD163*('Data Checks'!D374/'Data Checks'!D373),IF(Y163="SELL",AD163*('Data Checks'!D373/'Data Checks'!D374),AD163))</f>
        <v>154.46685985865039</v>
      </c>
      <c r="AE164">
        <f>IF(Z163="BUY",AE163*('Data Checks'!E374/'Data Checks'!E373),IF(Z163="SELL",AE163*('Data Checks'!E373/'Data Checks'!E374),AE163))</f>
        <v>205.44268225274095</v>
      </c>
      <c r="AF164">
        <f>IF(AA163="BUY",AF163*('Data Checks'!F374/'Data Checks'!F373),IF(AA163="SELL",AF163*('Data Checks'!F373/'Data Checks'!F374),AF163))</f>
        <v>195.38668853477421</v>
      </c>
      <c r="AG164" s="16">
        <f t="shared" si="27"/>
        <v>928.01282121021416</v>
      </c>
      <c r="AH164" s="17">
        <f t="shared" si="31"/>
        <v>5.6612880990820624E-3</v>
      </c>
      <c r="AJ164" t="str">
        <f>IF('Moving Ave'!G374&gt;'Moving Ave'!L374,"SELL","BUY")</f>
        <v>SELL</v>
      </c>
      <c r="AK164" t="str">
        <f>IF('Moving Ave'!H374&gt;'Moving Ave'!M374,"SELL","BUY")</f>
        <v>BUY</v>
      </c>
      <c r="AL164" t="str">
        <f>IF('Moving Ave'!I374&gt;'Moving Ave'!N374,"SELL","BUY")</f>
        <v>SELL</v>
      </c>
      <c r="AM164" t="str">
        <f>IF('Moving Ave'!J374&gt;'Moving Ave'!O374,"SELL","BUY")</f>
        <v>BUY</v>
      </c>
      <c r="AN164" t="str">
        <f>IF('Moving Ave'!K374&gt;'Moving Ave'!P374,"SELL","BUY")</f>
        <v>BUY</v>
      </c>
      <c r="AO164">
        <f>IF(AJ163="BUY",AO163*('Data Checks'!B374/'Data Checks'!B373),AO163*('Data Checks'!B373/'Data Checks'!B374))</f>
        <v>133.71560147014236</v>
      </c>
      <c r="AP164">
        <f>IF(AK163="BUY",AP163*('Data Checks'!C374/'Data Checks'!C373),AP163*('Data Checks'!C373/'Data Checks'!C374))</f>
        <v>111.20142014735646</v>
      </c>
      <c r="AQ164">
        <f>IF(AL163="BUY",AQ163*('Data Checks'!D374/'Data Checks'!D373),AQ163*('Data Checks'!D373/'Data Checks'!D374))</f>
        <v>284.90177363237711</v>
      </c>
      <c r="AR164">
        <f>IF(AM163="BUY",AR163*('Data Checks'!E374/'Data Checks'!E373),AR163*('Data Checks'!E373/'Data Checks'!E374))</f>
        <v>102.24305315557228</v>
      </c>
      <c r="AS164">
        <f>IF(AN163="BUY",AS163*('Data Checks'!F374/'Data Checks'!F373),AS163*('Data Checks'!F373/'Data Checks'!F374))</f>
        <v>204.62188081156651</v>
      </c>
      <c r="AT164" s="16">
        <f t="shared" si="28"/>
        <v>836.68372921701473</v>
      </c>
      <c r="AU164" s="17">
        <f t="shared" si="32"/>
        <v>-1.7595442031649644E-2</v>
      </c>
    </row>
    <row r="165" spans="1:47" x14ac:dyDescent="0.35">
      <c r="A165" s="2">
        <f>Prices!A373</f>
        <v>44427</v>
      </c>
      <c r="B165">
        <f>B164*('Data Checks'!B375/'Data Checks'!B374)</f>
        <v>343.56825968478449</v>
      </c>
      <c r="C165">
        <f>C164*('Data Checks'!C375/'Data Checks'!C374)</f>
        <v>111.50623092472021</v>
      </c>
      <c r="D165">
        <f>D164*('Data Checks'!D375/'Data Checks'!D374)</f>
        <v>207.81432973475256</v>
      </c>
      <c r="E165">
        <f>E164*('Data Checks'!E375/'Data Checks'!E374)</f>
        <v>101.84130894404716</v>
      </c>
      <c r="F165">
        <f>F164*('Data Checks'!F375/'Data Checks'!F374)</f>
        <v>136.90987606451904</v>
      </c>
      <c r="G165" s="16">
        <f t="shared" si="25"/>
        <v>901.64000535282344</v>
      </c>
      <c r="H165" s="17">
        <f t="shared" si="29"/>
        <v>-1.1010459030322273E-2</v>
      </c>
      <c r="J165" t="str">
        <f>IF(AND('Data Checks'!B375&gt;'Data Checks'!B374,'Data Checks'!B374&gt;'Data Checks'!B373,'Data Checks'!B373&gt;'Data Checks'!B372),"SELL",IF(AND('Data Checks'!B375&lt;'Data Checks'!B374,'Data Checks'!B374&lt;'Data Checks'!B373,'Data Checks'!B373&lt;'Data Checks'!B372),"BUY",""))</f>
        <v/>
      </c>
      <c r="K165" t="str">
        <f>IF(AND('Data Checks'!C375&gt;'Data Checks'!C374,'Data Checks'!C374&gt;'Data Checks'!C373,'Data Checks'!C373&gt;'Data Checks'!C372),"SELL",IF(AND('Data Checks'!C375&lt;'Data Checks'!C374,'Data Checks'!C374&lt;'Data Checks'!C373,'Data Checks'!C373&lt;'Data Checks'!C372),"BUY",""))</f>
        <v/>
      </c>
      <c r="L165" t="str">
        <f>IF(AND('Data Checks'!D375&gt;'Data Checks'!D374,'Data Checks'!D374&gt;'Data Checks'!D373,'Data Checks'!D373&gt;'Data Checks'!D372),"SELL",IF(AND('Data Checks'!D375&lt;'Data Checks'!D374,'Data Checks'!D374&lt;'Data Checks'!D373,'Data Checks'!D373&lt;'Data Checks'!D372),"BUY",""))</f>
        <v/>
      </c>
      <c r="M165" t="str">
        <f>IF(AND('Data Checks'!E375&gt;'Data Checks'!E374,'Data Checks'!E374&gt;'Data Checks'!E373,'Data Checks'!E373&gt;'Data Checks'!E372),"SELL",IF(AND('Data Checks'!E375&lt;'Data Checks'!E374,'Data Checks'!E374&lt;'Data Checks'!E373,'Data Checks'!E373&lt;'Data Checks'!E372),"BUY",""))</f>
        <v>BUY</v>
      </c>
      <c r="N165" t="str">
        <f>IF(AND('Data Checks'!F375&gt;'Data Checks'!F374,'Data Checks'!F374&gt;'Data Checks'!F373,'Data Checks'!F373&gt;'Data Checks'!F372),"SELL",IF(AND('Data Checks'!F375&lt;'Data Checks'!F374,'Data Checks'!F374&lt;'Data Checks'!F373,'Data Checks'!F373&lt;'Data Checks'!F372),"BUY",""))</f>
        <v/>
      </c>
      <c r="O165">
        <f>IF(J164="BUY",O164*('Data Checks'!B375/'Data Checks'!B374),IF(J164="SELL",O164*('Data Checks'!B374/'Data Checks'!B375),O164))</f>
        <v>211.85937577379505</v>
      </c>
      <c r="P165">
        <f>IF(K164="BUY",P164*('Data Checks'!C375/'Data Checks'!C374),IF(K164="SELL",P164*('Data Checks'!C374/'Data Checks'!C375),P164))</f>
        <v>218.09136650350916</v>
      </c>
      <c r="Q165">
        <f>IF(L164="BUY",Q164*('Data Checks'!D375/'Data Checks'!D374),IF(L164="SELL",Q164*('Data Checks'!D374/'Data Checks'!D375),Q164))</f>
        <v>258.95522208843511</v>
      </c>
      <c r="R165">
        <f>IF(M164="BUY",R164*('Data Checks'!E375/'Data Checks'!E374),IF(M164="SELL",R164*('Data Checks'!E374/'Data Checks'!E375),R164))</f>
        <v>193.93646605038899</v>
      </c>
      <c r="S165">
        <f>IF(N164="BUY",S164*('Data Checks'!F375/'Data Checks'!F374),IF(N164="SELL",S164*('Data Checks'!F374/'Data Checks'!F375),S164))</f>
        <v>204.72223722078681</v>
      </c>
      <c r="T165" s="16">
        <f t="shared" si="26"/>
        <v>1087.5646676369151</v>
      </c>
      <c r="U165" s="17">
        <f t="shared" si="30"/>
        <v>-1.5525160568530261E-4</v>
      </c>
      <c r="W165" t="str">
        <f>IF(AND('Data Checks'!B375&gt;'Data Checks'!B374,'Data Checks'!B374&gt;'Data Checks'!B373,'Data Checks'!B373&gt;'Data Checks'!B372),"BUY",IF(AND('Data Checks'!B375&lt;'Data Checks'!B374,'Data Checks'!B374&lt;'Data Checks'!B373,'Data Checks'!B373&lt;'Data Checks'!B372),"SELL",""))</f>
        <v/>
      </c>
      <c r="X165" t="str">
        <f>IF(AND('Data Checks'!C375&gt;'Data Checks'!C374,'Data Checks'!C374&gt;'Data Checks'!C373,'Data Checks'!C373&gt;'Data Checks'!C372),"BUY",IF(AND('Data Checks'!C375&lt;'Data Checks'!C374,'Data Checks'!C374&lt;'Data Checks'!C373,'Data Checks'!C373&lt;'Data Checks'!C372),"SELL",""))</f>
        <v/>
      </c>
      <c r="Y165" t="str">
        <f>IF(AND('Data Checks'!D375&gt;'Data Checks'!D374,'Data Checks'!D374&gt;'Data Checks'!D373,'Data Checks'!D373&gt;'Data Checks'!D372),"BUY",IF(AND('Data Checks'!D375&lt;'Data Checks'!D374,'Data Checks'!D374&lt;'Data Checks'!D373,'Data Checks'!D373&lt;'Data Checks'!D372),"SELL",""))</f>
        <v/>
      </c>
      <c r="Z165" t="str">
        <f>IF(AND('Data Checks'!E375&gt;'Data Checks'!E374,'Data Checks'!E374&gt;'Data Checks'!E373,'Data Checks'!E373&gt;'Data Checks'!E372),"BUY",IF(AND('Data Checks'!E375&lt;'Data Checks'!E374,'Data Checks'!E374&lt;'Data Checks'!E373,'Data Checks'!E373&lt;'Data Checks'!E372),"SELL",""))</f>
        <v>SELL</v>
      </c>
      <c r="AA165" t="str">
        <f>IF(AND('Data Checks'!F375&gt;'Data Checks'!F374,'Data Checks'!F374&gt;'Data Checks'!F373,'Data Checks'!F373&gt;'Data Checks'!F372),"BUY",IF(AND('Data Checks'!F375&lt;'Data Checks'!F374,'Data Checks'!F374&lt;'Data Checks'!F373,'Data Checks'!F373&lt;'Data Checks'!F372),"SELL",""))</f>
        <v/>
      </c>
      <c r="AB165">
        <f>IF(W164="BUY",AB164*('Data Checks'!B375/'Data Checks'!B374),IF(W164="SELL",AB164*('Data Checks'!B374/'Data Checks'!B375),AB164))</f>
        <v>188.80448341690828</v>
      </c>
      <c r="AC165">
        <f>IF(X164="BUY",AC164*('Data Checks'!C375/'Data Checks'!C374),IF(X164="SELL",AC164*('Data Checks'!C374/'Data Checks'!C375),AC164))</f>
        <v>183.40936939086222</v>
      </c>
      <c r="AD165">
        <f>IF(Y164="BUY",AD164*('Data Checks'!D375/'Data Checks'!D374),IF(Y164="SELL",AD164*('Data Checks'!D374/'Data Checks'!D375),AD164))</f>
        <v>154.46685985865039</v>
      </c>
      <c r="AE165">
        <f>IF(Z164="BUY",AE164*('Data Checks'!E375/'Data Checks'!E374),IF(Z164="SELL",AE164*('Data Checks'!E374/'Data Checks'!E375),AE164))</f>
        <v>206.25311378834289</v>
      </c>
      <c r="AF165">
        <f>IF(AA164="BUY",AF164*('Data Checks'!F375/'Data Checks'!F374),IF(AA164="SELL",AF164*('Data Checks'!F374/'Data Checks'!F375),AF164))</f>
        <v>195.38668853477421</v>
      </c>
      <c r="AG165" s="16">
        <f t="shared" si="27"/>
        <v>928.32051498953808</v>
      </c>
      <c r="AH165" s="17">
        <f t="shared" si="31"/>
        <v>3.3156199170036871E-4</v>
      </c>
      <c r="AJ165" t="str">
        <f>IF('Moving Ave'!G375&gt;'Moving Ave'!L375,"SELL","BUY")</f>
        <v>SELL</v>
      </c>
      <c r="AK165" t="str">
        <f>IF('Moving Ave'!H375&gt;'Moving Ave'!M375,"SELL","BUY")</f>
        <v>BUY</v>
      </c>
      <c r="AL165" t="str">
        <f>IF('Moving Ave'!I375&gt;'Moving Ave'!N375,"SELL","BUY")</f>
        <v>SELL</v>
      </c>
      <c r="AM165" t="str">
        <f>IF('Moving Ave'!J375&gt;'Moving Ave'!O375,"SELL","BUY")</f>
        <v>BUY</v>
      </c>
      <c r="AN165" t="str">
        <f>IF('Moving Ave'!K375&gt;'Moving Ave'!P375,"SELL","BUY")</f>
        <v>BUY</v>
      </c>
      <c r="AO165">
        <f>IF(AJ164="BUY",AO164*('Data Checks'!B375/'Data Checks'!B374),AO164*('Data Checks'!B374/'Data Checks'!B375))</f>
        <v>135.84858489966126</v>
      </c>
      <c r="AP165">
        <f>IF(AK164="BUY",AP164*('Data Checks'!C375/'Data Checks'!C374),AP164*('Data Checks'!C374/'Data Checks'!C375))</f>
        <v>111.50623092472021</v>
      </c>
      <c r="AQ165">
        <f>IF(AL164="BUY",AQ164*('Data Checks'!D375/'Data Checks'!D374),AQ164*('Data Checks'!D374/'Data Checks'!D375))</f>
        <v>291.08236119797658</v>
      </c>
      <c r="AR165">
        <f>IF(AM164="BUY",AR164*('Data Checks'!E375/'Data Checks'!E374),AR164*('Data Checks'!E374/'Data Checks'!E375))</f>
        <v>101.84130894404716</v>
      </c>
      <c r="AS165">
        <f>IF(AN164="BUY",AS164*('Data Checks'!F375/'Data Checks'!F374),AS164*('Data Checks'!F374/'Data Checks'!F375))</f>
        <v>204.69318191195828</v>
      </c>
      <c r="AT165" s="16">
        <f t="shared" si="28"/>
        <v>844.97166787836352</v>
      </c>
      <c r="AU165" s="17">
        <f t="shared" si="32"/>
        <v>9.9057007707139544E-3</v>
      </c>
    </row>
    <row r="166" spans="1:47" x14ac:dyDescent="0.35">
      <c r="A166" s="2">
        <f>Prices!A374</f>
        <v>44428</v>
      </c>
      <c r="B166">
        <f>B165*('Data Checks'!B376/'Data Checks'!B375)</f>
        <v>347.45550335638131</v>
      </c>
      <c r="C166">
        <f>C165*('Data Checks'!C376/'Data Checks'!C375)</f>
        <v>110.33781839821749</v>
      </c>
      <c r="D166">
        <f>D165*('Data Checks'!D376/'Data Checks'!D375)</f>
        <v>207.58056783403856</v>
      </c>
      <c r="E166">
        <f>E165*('Data Checks'!E376/'Data Checks'!E375)</f>
        <v>100.83696013267617</v>
      </c>
      <c r="F166">
        <f>F165*('Data Checks'!F376/'Data Checks'!F375)</f>
        <v>133.52408393215197</v>
      </c>
      <c r="G166" s="16">
        <f t="shared" si="25"/>
        <v>899.73493365346553</v>
      </c>
      <c r="H166" s="17">
        <f t="shared" si="29"/>
        <v>-2.1128961537286717E-3</v>
      </c>
      <c r="J166" t="str">
        <f>IF(AND('Data Checks'!B376&gt;'Data Checks'!B375,'Data Checks'!B375&gt;'Data Checks'!B374,'Data Checks'!B374&gt;'Data Checks'!B373),"SELL",IF(AND('Data Checks'!B376&lt;'Data Checks'!B375,'Data Checks'!B375&lt;'Data Checks'!B374,'Data Checks'!B374&lt;'Data Checks'!B373),"BUY",""))</f>
        <v/>
      </c>
      <c r="K166" t="str">
        <f>IF(AND('Data Checks'!C376&gt;'Data Checks'!C375,'Data Checks'!C375&gt;'Data Checks'!C374,'Data Checks'!C374&gt;'Data Checks'!C373),"SELL",IF(AND('Data Checks'!C376&lt;'Data Checks'!C375,'Data Checks'!C375&lt;'Data Checks'!C374,'Data Checks'!C374&lt;'Data Checks'!C373),"BUY",""))</f>
        <v/>
      </c>
      <c r="L166" t="str">
        <f>IF(AND('Data Checks'!D376&gt;'Data Checks'!D375,'Data Checks'!D375&gt;'Data Checks'!D374,'Data Checks'!D374&gt;'Data Checks'!D373),"SELL",IF(AND('Data Checks'!D376&lt;'Data Checks'!D375,'Data Checks'!D375&lt;'Data Checks'!D374,'Data Checks'!D374&lt;'Data Checks'!D373),"BUY",""))</f>
        <v/>
      </c>
      <c r="M166" t="str">
        <f>IF(AND('Data Checks'!E376&gt;'Data Checks'!E375,'Data Checks'!E375&gt;'Data Checks'!E374,'Data Checks'!E374&gt;'Data Checks'!E373),"SELL",IF(AND('Data Checks'!E376&lt;'Data Checks'!E375,'Data Checks'!E375&lt;'Data Checks'!E374,'Data Checks'!E374&lt;'Data Checks'!E373),"BUY",""))</f>
        <v>BUY</v>
      </c>
      <c r="N166" t="str">
        <f>IF(AND('Data Checks'!F376&gt;'Data Checks'!F375,'Data Checks'!F375&gt;'Data Checks'!F374,'Data Checks'!F374&gt;'Data Checks'!F373),"SELL",IF(AND('Data Checks'!F376&lt;'Data Checks'!F375,'Data Checks'!F375&lt;'Data Checks'!F374,'Data Checks'!F374&lt;'Data Checks'!F373),"BUY",""))</f>
        <v/>
      </c>
      <c r="O166">
        <f>IF(J165="BUY",O165*('Data Checks'!B376/'Data Checks'!B375),IF(J165="SELL",O165*('Data Checks'!B375/'Data Checks'!B376),O165))</f>
        <v>211.85937577379505</v>
      </c>
      <c r="P166">
        <f>IF(K165="BUY",P165*('Data Checks'!C376/'Data Checks'!C375),IF(K165="SELL",P165*('Data Checks'!C375/'Data Checks'!C376),P165))</f>
        <v>218.09136650350916</v>
      </c>
      <c r="Q166">
        <f>IF(L165="BUY",Q165*('Data Checks'!D376/'Data Checks'!D375),IF(L165="SELL",Q165*('Data Checks'!D375/'Data Checks'!D376),Q165))</f>
        <v>258.95522208843511</v>
      </c>
      <c r="R166">
        <f>IF(M165="BUY",R165*('Data Checks'!E376/'Data Checks'!E375),IF(M165="SELL",R165*('Data Checks'!E375/'Data Checks'!E376),R165))</f>
        <v>192.02388400309604</v>
      </c>
      <c r="S166">
        <f>IF(N165="BUY",S165*('Data Checks'!F376/'Data Checks'!F375),IF(N165="SELL",S165*('Data Checks'!F375/'Data Checks'!F376),S165))</f>
        <v>204.72223722078681</v>
      </c>
      <c r="T166" s="16">
        <f t="shared" si="26"/>
        <v>1085.6520855896222</v>
      </c>
      <c r="U166" s="17">
        <f t="shared" si="30"/>
        <v>-1.7585915616848968E-3</v>
      </c>
      <c r="W166" t="str">
        <f>IF(AND('Data Checks'!B376&gt;'Data Checks'!B375,'Data Checks'!B375&gt;'Data Checks'!B374,'Data Checks'!B374&gt;'Data Checks'!B373),"BUY",IF(AND('Data Checks'!B376&lt;'Data Checks'!B375,'Data Checks'!B375&lt;'Data Checks'!B374,'Data Checks'!B374&lt;'Data Checks'!B373),"SELL",""))</f>
        <v/>
      </c>
      <c r="X166" t="str">
        <f>IF(AND('Data Checks'!C376&gt;'Data Checks'!C375,'Data Checks'!C375&gt;'Data Checks'!C374,'Data Checks'!C374&gt;'Data Checks'!C373),"BUY",IF(AND('Data Checks'!C376&lt;'Data Checks'!C375,'Data Checks'!C375&lt;'Data Checks'!C374,'Data Checks'!C374&lt;'Data Checks'!C373),"SELL",""))</f>
        <v/>
      </c>
      <c r="Y166" t="str">
        <f>IF(AND('Data Checks'!D376&gt;'Data Checks'!D375,'Data Checks'!D375&gt;'Data Checks'!D374,'Data Checks'!D374&gt;'Data Checks'!D373),"BUY",IF(AND('Data Checks'!D376&lt;'Data Checks'!D375,'Data Checks'!D375&lt;'Data Checks'!D374,'Data Checks'!D374&lt;'Data Checks'!D373),"SELL",""))</f>
        <v/>
      </c>
      <c r="Z166" t="str">
        <f>IF(AND('Data Checks'!E376&gt;'Data Checks'!E375,'Data Checks'!E375&gt;'Data Checks'!E374,'Data Checks'!E374&gt;'Data Checks'!E373),"BUY",IF(AND('Data Checks'!E376&lt;'Data Checks'!E375,'Data Checks'!E375&lt;'Data Checks'!E374,'Data Checks'!E374&lt;'Data Checks'!E373),"SELL",""))</f>
        <v>SELL</v>
      </c>
      <c r="AA166" t="str">
        <f>IF(AND('Data Checks'!F376&gt;'Data Checks'!F375,'Data Checks'!F375&gt;'Data Checks'!F374,'Data Checks'!F374&gt;'Data Checks'!F373),"BUY",IF(AND('Data Checks'!F376&lt;'Data Checks'!F375,'Data Checks'!F375&lt;'Data Checks'!F374,'Data Checks'!F374&lt;'Data Checks'!F373),"SELL",""))</f>
        <v/>
      </c>
      <c r="AB166">
        <f>IF(W165="BUY",AB165*('Data Checks'!B376/'Data Checks'!B375),IF(W165="SELL",AB165*('Data Checks'!B375/'Data Checks'!B376),AB165))</f>
        <v>188.80448341690828</v>
      </c>
      <c r="AC166">
        <f>IF(X165="BUY",AC165*('Data Checks'!C376/'Data Checks'!C375),IF(X165="SELL",AC165*('Data Checks'!C375/'Data Checks'!C376),AC165))</f>
        <v>183.40936939086222</v>
      </c>
      <c r="AD166">
        <f>IF(Y165="BUY",AD165*('Data Checks'!D376/'Data Checks'!D375),IF(Y165="SELL",AD165*('Data Checks'!D375/'Data Checks'!D376),AD165))</f>
        <v>154.46685985865039</v>
      </c>
      <c r="AE166">
        <f>IF(Z165="BUY",AE165*('Data Checks'!E376/'Data Checks'!E375),IF(Z165="SELL",AE165*('Data Checks'!E375/'Data Checks'!E376),AE165))</f>
        <v>208.30742075477991</v>
      </c>
      <c r="AF166">
        <f>IF(AA165="BUY",AF165*('Data Checks'!F376/'Data Checks'!F375),IF(AA165="SELL",AF165*('Data Checks'!F375/'Data Checks'!F376),AF165))</f>
        <v>195.38668853477421</v>
      </c>
      <c r="AG166" s="16">
        <f t="shared" si="27"/>
        <v>930.37482195597511</v>
      </c>
      <c r="AH166" s="17">
        <f t="shared" si="31"/>
        <v>2.2129285449004055E-3</v>
      </c>
      <c r="AJ166" t="str">
        <f>IF('Moving Ave'!G376&gt;'Moving Ave'!L376,"SELL","BUY")</f>
        <v>SELL</v>
      </c>
      <c r="AK166" t="str">
        <f>IF('Moving Ave'!H376&gt;'Moving Ave'!M376,"SELL","BUY")</f>
        <v>BUY</v>
      </c>
      <c r="AL166" t="str">
        <f>IF('Moving Ave'!I376&gt;'Moving Ave'!N376,"SELL","BUY")</f>
        <v>SELL</v>
      </c>
      <c r="AM166" t="str">
        <f>IF('Moving Ave'!J376&gt;'Moving Ave'!O376,"SELL","BUY")</f>
        <v>BUY</v>
      </c>
      <c r="AN166" t="str">
        <f>IF('Moving Ave'!K376&gt;'Moving Ave'!P376,"SELL","BUY")</f>
        <v>BUY</v>
      </c>
      <c r="AO166">
        <f>IF(AJ165="BUY",AO165*('Data Checks'!B376/'Data Checks'!B375),AO165*('Data Checks'!B375/'Data Checks'!B376))</f>
        <v>134.32874553362609</v>
      </c>
      <c r="AP166">
        <f>IF(AK165="BUY",AP165*('Data Checks'!C376/'Data Checks'!C375),AP165*('Data Checks'!C375/'Data Checks'!C376))</f>
        <v>110.33781839821749</v>
      </c>
      <c r="AQ166">
        <f>IF(AL165="BUY",AQ165*('Data Checks'!D376/'Data Checks'!D375),AQ165*('Data Checks'!D375/'Data Checks'!D376))</f>
        <v>291.41015664977613</v>
      </c>
      <c r="AR166">
        <f>IF(AM165="BUY",AR165*('Data Checks'!E376/'Data Checks'!E375),AR165*('Data Checks'!E375/'Data Checks'!E376))</f>
        <v>100.83696013267617</v>
      </c>
      <c r="AS166">
        <f>IF(AN165="BUY",AS165*('Data Checks'!F376/'Data Checks'!F375),AS165*('Data Checks'!F375/'Data Checks'!F376))</f>
        <v>199.63110323079658</v>
      </c>
      <c r="AT166" s="16">
        <f t="shared" si="28"/>
        <v>836.54478394509249</v>
      </c>
      <c r="AU166" s="17">
        <f t="shared" si="32"/>
        <v>-9.9729780933721646E-3</v>
      </c>
    </row>
    <row r="167" spans="1:47" x14ac:dyDescent="0.35">
      <c r="A167" s="2">
        <f>Prices!A375</f>
        <v>44429</v>
      </c>
      <c r="B167">
        <f>B166*('Data Checks'!B377/'Data Checks'!B376)</f>
        <v>346.12251291551428</v>
      </c>
      <c r="C167">
        <f>C166*('Data Checks'!C377/'Data Checks'!C376)</f>
        <v>109.93141757509325</v>
      </c>
      <c r="D167">
        <f>D166*('Data Checks'!D377/'Data Checks'!D376)</f>
        <v>205.47670738815677</v>
      </c>
      <c r="E167">
        <f>E166*('Data Checks'!E377/'Data Checks'!E376)</f>
        <v>99.196511576949646</v>
      </c>
      <c r="F167">
        <f>F166*('Data Checks'!F377/'Data Checks'!F376)</f>
        <v>134.04864569454438</v>
      </c>
      <c r="G167" s="16">
        <f t="shared" si="25"/>
        <v>894.77579515025832</v>
      </c>
      <c r="H167" s="17">
        <f t="shared" si="29"/>
        <v>-5.5117772109505303E-3</v>
      </c>
      <c r="J167" t="str">
        <f>IF(AND('Data Checks'!B377&gt;'Data Checks'!B376,'Data Checks'!B376&gt;'Data Checks'!B375,'Data Checks'!B375&gt;'Data Checks'!B374),"SELL",IF(AND('Data Checks'!B377&lt;'Data Checks'!B376,'Data Checks'!B376&lt;'Data Checks'!B375,'Data Checks'!B375&lt;'Data Checks'!B374),"BUY",""))</f>
        <v/>
      </c>
      <c r="K167" t="str">
        <f>IF(AND('Data Checks'!C377&gt;'Data Checks'!C376,'Data Checks'!C376&gt;'Data Checks'!C375,'Data Checks'!C375&gt;'Data Checks'!C374),"SELL",IF(AND('Data Checks'!C377&lt;'Data Checks'!C376,'Data Checks'!C376&lt;'Data Checks'!C375,'Data Checks'!C375&lt;'Data Checks'!C374),"BUY",""))</f>
        <v/>
      </c>
      <c r="L167" t="str">
        <f>IF(AND('Data Checks'!D377&gt;'Data Checks'!D376,'Data Checks'!D376&gt;'Data Checks'!D375,'Data Checks'!D375&gt;'Data Checks'!D374),"SELL",IF(AND('Data Checks'!D377&lt;'Data Checks'!D376,'Data Checks'!D376&lt;'Data Checks'!D375,'Data Checks'!D375&lt;'Data Checks'!D374),"BUY",""))</f>
        <v>BUY</v>
      </c>
      <c r="M167" t="str">
        <f>IF(AND('Data Checks'!E377&gt;'Data Checks'!E376,'Data Checks'!E376&gt;'Data Checks'!E375,'Data Checks'!E375&gt;'Data Checks'!E374),"SELL",IF(AND('Data Checks'!E377&lt;'Data Checks'!E376,'Data Checks'!E376&lt;'Data Checks'!E375,'Data Checks'!E375&lt;'Data Checks'!E374),"BUY",""))</f>
        <v>BUY</v>
      </c>
      <c r="N167" t="str">
        <f>IF(AND('Data Checks'!F377&gt;'Data Checks'!F376,'Data Checks'!F376&gt;'Data Checks'!F375,'Data Checks'!F375&gt;'Data Checks'!F374),"SELL",IF(AND('Data Checks'!F377&lt;'Data Checks'!F376,'Data Checks'!F376&lt;'Data Checks'!F375,'Data Checks'!F375&lt;'Data Checks'!F374),"BUY",""))</f>
        <v/>
      </c>
      <c r="O167">
        <f>IF(J166="BUY",O166*('Data Checks'!B377/'Data Checks'!B376),IF(J166="SELL",O166*('Data Checks'!B376/'Data Checks'!B377),O166))</f>
        <v>211.85937577379505</v>
      </c>
      <c r="P167">
        <f>IF(K166="BUY",P166*('Data Checks'!C377/'Data Checks'!C376),IF(K166="SELL",P166*('Data Checks'!C376/'Data Checks'!C377),P166))</f>
        <v>218.09136650350916</v>
      </c>
      <c r="Q167">
        <f>IF(L166="BUY",Q166*('Data Checks'!D377/'Data Checks'!D376),IF(L166="SELL",Q166*('Data Checks'!D376/'Data Checks'!D377),Q166))</f>
        <v>258.95522208843511</v>
      </c>
      <c r="R167">
        <f>IF(M166="BUY",R166*('Data Checks'!E377/'Data Checks'!E376),IF(M166="SELL",R166*('Data Checks'!E376/'Data Checks'!E377),R166))</f>
        <v>188.89997682894673</v>
      </c>
      <c r="S167">
        <f>IF(N166="BUY",S166*('Data Checks'!F377/'Data Checks'!F376),IF(N166="SELL",S166*('Data Checks'!F376/'Data Checks'!F377),S166))</f>
        <v>204.72223722078681</v>
      </c>
      <c r="T167" s="16">
        <f t="shared" si="26"/>
        <v>1082.5281784154729</v>
      </c>
      <c r="U167" s="17">
        <f t="shared" si="30"/>
        <v>-2.8774477713573443E-3</v>
      </c>
      <c r="W167" t="str">
        <f>IF(AND('Data Checks'!B377&gt;'Data Checks'!B376,'Data Checks'!B376&gt;'Data Checks'!B375,'Data Checks'!B375&gt;'Data Checks'!B374),"BUY",IF(AND('Data Checks'!B377&lt;'Data Checks'!B376,'Data Checks'!B376&lt;'Data Checks'!B375,'Data Checks'!B375&lt;'Data Checks'!B374),"SELL",""))</f>
        <v/>
      </c>
      <c r="X167" t="str">
        <f>IF(AND('Data Checks'!C377&gt;'Data Checks'!C376,'Data Checks'!C376&gt;'Data Checks'!C375,'Data Checks'!C375&gt;'Data Checks'!C374),"BUY",IF(AND('Data Checks'!C377&lt;'Data Checks'!C376,'Data Checks'!C376&lt;'Data Checks'!C375,'Data Checks'!C375&lt;'Data Checks'!C374),"SELL",""))</f>
        <v/>
      </c>
      <c r="Y167" t="str">
        <f>IF(AND('Data Checks'!D377&gt;'Data Checks'!D376,'Data Checks'!D376&gt;'Data Checks'!D375,'Data Checks'!D375&gt;'Data Checks'!D374),"BUY",IF(AND('Data Checks'!D377&lt;'Data Checks'!D376,'Data Checks'!D376&lt;'Data Checks'!D375,'Data Checks'!D375&lt;'Data Checks'!D374),"SELL",""))</f>
        <v>SELL</v>
      </c>
      <c r="Z167" t="str">
        <f>IF(AND('Data Checks'!E377&gt;'Data Checks'!E376,'Data Checks'!E376&gt;'Data Checks'!E375,'Data Checks'!E375&gt;'Data Checks'!E374),"BUY",IF(AND('Data Checks'!E377&lt;'Data Checks'!E376,'Data Checks'!E376&lt;'Data Checks'!E375,'Data Checks'!E375&lt;'Data Checks'!E374),"SELL",""))</f>
        <v>SELL</v>
      </c>
      <c r="AA167" t="str">
        <f>IF(AND('Data Checks'!F377&gt;'Data Checks'!F376,'Data Checks'!F376&gt;'Data Checks'!F375,'Data Checks'!F375&gt;'Data Checks'!F374),"BUY",IF(AND('Data Checks'!F377&lt;'Data Checks'!F376,'Data Checks'!F376&lt;'Data Checks'!F375,'Data Checks'!F375&lt;'Data Checks'!F374),"SELL",""))</f>
        <v/>
      </c>
      <c r="AB167">
        <f>IF(W166="BUY",AB166*('Data Checks'!B377/'Data Checks'!B376),IF(W166="SELL",AB166*('Data Checks'!B376/'Data Checks'!B377),AB166))</f>
        <v>188.80448341690828</v>
      </c>
      <c r="AC167">
        <f>IF(X166="BUY",AC166*('Data Checks'!C377/'Data Checks'!C376),IF(X166="SELL",AC166*('Data Checks'!C376/'Data Checks'!C377),AC166))</f>
        <v>183.40936939086222</v>
      </c>
      <c r="AD167">
        <f>IF(Y166="BUY",AD166*('Data Checks'!D377/'Data Checks'!D376),IF(Y166="SELL",AD166*('Data Checks'!D376/'Data Checks'!D377),AD166))</f>
        <v>154.46685985865039</v>
      </c>
      <c r="AE167">
        <f>IF(Z166="BUY",AE166*('Data Checks'!E377/'Data Checks'!E376),IF(Z166="SELL",AE166*('Data Checks'!E376/'Data Checks'!E377),AE166))</f>
        <v>211.75227584183824</v>
      </c>
      <c r="AF167">
        <f>IF(AA166="BUY",AF166*('Data Checks'!F377/'Data Checks'!F376),IF(AA166="SELL",AF166*('Data Checks'!F376/'Data Checks'!F377),AF166))</f>
        <v>195.38668853477421</v>
      </c>
      <c r="AG167" s="16">
        <f t="shared" si="27"/>
        <v>933.81967704303338</v>
      </c>
      <c r="AH167" s="17">
        <f t="shared" si="31"/>
        <v>3.7026529585313384E-3</v>
      </c>
      <c r="AJ167" t="str">
        <f>IF('Moving Ave'!G377&gt;'Moving Ave'!L377,"SELL","BUY")</f>
        <v>SELL</v>
      </c>
      <c r="AK167" t="str">
        <f>IF('Moving Ave'!H377&gt;'Moving Ave'!M377,"SELL","BUY")</f>
        <v>BUY</v>
      </c>
      <c r="AL167" t="str">
        <f>IF('Moving Ave'!I377&gt;'Moving Ave'!N377,"SELL","BUY")</f>
        <v>SELL</v>
      </c>
      <c r="AM167" t="str">
        <f>IF('Moving Ave'!J377&gt;'Moving Ave'!O377,"SELL","BUY")</f>
        <v>BUY</v>
      </c>
      <c r="AN167" t="str">
        <f>IF('Moving Ave'!K377&gt;'Moving Ave'!P377,"SELL","BUY")</f>
        <v>BUY</v>
      </c>
      <c r="AO167">
        <f>IF(AJ166="BUY",AO166*('Data Checks'!B377/'Data Checks'!B376),AO166*('Data Checks'!B376/'Data Checks'!B377))</f>
        <v>134.84607372537445</v>
      </c>
      <c r="AP167">
        <f>IF(AK166="BUY",AP166*('Data Checks'!C377/'Data Checks'!C376),AP166*('Data Checks'!C376/'Data Checks'!C377))</f>
        <v>109.93141757509325</v>
      </c>
      <c r="AQ167">
        <f>IF(AL166="BUY",AQ166*('Data Checks'!D377/'Data Checks'!D376),AQ166*('Data Checks'!D376/'Data Checks'!D377))</f>
        <v>294.39388317477602</v>
      </c>
      <c r="AR167">
        <f>IF(AM166="BUY",AR166*('Data Checks'!E377/'Data Checks'!E376),AR166*('Data Checks'!E376/'Data Checks'!E377))</f>
        <v>99.196511576949646</v>
      </c>
      <c r="AS167">
        <f>IF(AN166="BUY",AS166*('Data Checks'!F377/'Data Checks'!F376),AS166*('Data Checks'!F376/'Data Checks'!F377))</f>
        <v>200.41537255701263</v>
      </c>
      <c r="AT167" s="16">
        <f t="shared" si="28"/>
        <v>838.78325860920609</v>
      </c>
      <c r="AU167" s="17">
        <f t="shared" si="32"/>
        <v>2.6758575357521686E-3</v>
      </c>
    </row>
    <row r="168" spans="1:47" x14ac:dyDescent="0.35">
      <c r="A168" s="2">
        <f>Prices!A376</f>
        <v>44432</v>
      </c>
      <c r="B168">
        <f>B167*('Data Checks'!B378/'Data Checks'!B377)</f>
        <v>348.51870575751093</v>
      </c>
      <c r="C168">
        <f>C167*('Data Checks'!C378/'Data Checks'!C377)</f>
        <v>113.03022893142577</v>
      </c>
      <c r="D168">
        <f>D167*('Data Checks'!D378/'Data Checks'!D377)</f>
        <v>206.44515288771342</v>
      </c>
      <c r="E168">
        <f>E167*('Data Checks'!E378/'Data Checks'!E377)</f>
        <v>102.20957475026522</v>
      </c>
      <c r="F168">
        <f>F167*('Data Checks'!F378/'Data Checks'!F377)</f>
        <v>135.95613260786084</v>
      </c>
      <c r="G168" s="16">
        <f t="shared" si="25"/>
        <v>906.15979493477619</v>
      </c>
      <c r="H168" s="17">
        <f t="shared" si="29"/>
        <v>1.2722739982708342E-2</v>
      </c>
      <c r="J168" t="str">
        <f>IF(AND('Data Checks'!B378&gt;'Data Checks'!B377,'Data Checks'!B377&gt;'Data Checks'!B376,'Data Checks'!B376&gt;'Data Checks'!B375),"SELL",IF(AND('Data Checks'!B378&lt;'Data Checks'!B377,'Data Checks'!B377&lt;'Data Checks'!B376,'Data Checks'!B376&lt;'Data Checks'!B375),"BUY",""))</f>
        <v/>
      </c>
      <c r="K168" t="str">
        <f>IF(AND('Data Checks'!C378&gt;'Data Checks'!C377,'Data Checks'!C377&gt;'Data Checks'!C376,'Data Checks'!C376&gt;'Data Checks'!C375),"SELL",IF(AND('Data Checks'!C378&lt;'Data Checks'!C377,'Data Checks'!C377&lt;'Data Checks'!C376,'Data Checks'!C376&lt;'Data Checks'!C375),"BUY",""))</f>
        <v/>
      </c>
      <c r="L168" t="str">
        <f>IF(AND('Data Checks'!D378&gt;'Data Checks'!D377,'Data Checks'!D377&gt;'Data Checks'!D376,'Data Checks'!D376&gt;'Data Checks'!D375),"SELL",IF(AND('Data Checks'!D378&lt;'Data Checks'!D377,'Data Checks'!D377&lt;'Data Checks'!D376,'Data Checks'!D376&lt;'Data Checks'!D375),"BUY",""))</f>
        <v/>
      </c>
      <c r="M168" t="str">
        <f>IF(AND('Data Checks'!E378&gt;'Data Checks'!E377,'Data Checks'!E377&gt;'Data Checks'!E376,'Data Checks'!E376&gt;'Data Checks'!E375),"SELL",IF(AND('Data Checks'!E378&lt;'Data Checks'!E377,'Data Checks'!E377&lt;'Data Checks'!E376,'Data Checks'!E376&lt;'Data Checks'!E375),"BUY",""))</f>
        <v/>
      </c>
      <c r="N168" t="str">
        <f>IF(AND('Data Checks'!F378&gt;'Data Checks'!F377,'Data Checks'!F377&gt;'Data Checks'!F376,'Data Checks'!F376&gt;'Data Checks'!F375),"SELL",IF(AND('Data Checks'!F378&lt;'Data Checks'!F377,'Data Checks'!F377&lt;'Data Checks'!F376,'Data Checks'!F376&lt;'Data Checks'!F375),"BUY",""))</f>
        <v/>
      </c>
      <c r="O168">
        <f>IF(J167="BUY",O167*('Data Checks'!B378/'Data Checks'!B377),IF(J167="SELL",O167*('Data Checks'!B377/'Data Checks'!B378),O167))</f>
        <v>211.85937577379505</v>
      </c>
      <c r="P168">
        <f>IF(K167="BUY",P167*('Data Checks'!C378/'Data Checks'!C377),IF(K167="SELL",P167*('Data Checks'!C377/'Data Checks'!C378),P167))</f>
        <v>218.09136650350916</v>
      </c>
      <c r="Q168">
        <f>IF(L167="BUY",Q167*('Data Checks'!D378/'Data Checks'!D377),IF(L167="SELL",Q167*('Data Checks'!D377/'Data Checks'!D378),Q167))</f>
        <v>260.17572061893031</v>
      </c>
      <c r="R168">
        <f>IF(M167="BUY",R167*('Data Checks'!E378/'Data Checks'!E377),IF(M167="SELL",R167*('Data Checks'!E377/'Data Checks'!E378),R167))</f>
        <v>194.63775484729916</v>
      </c>
      <c r="S168">
        <f>IF(N167="BUY",S167*('Data Checks'!F378/'Data Checks'!F377),IF(N167="SELL",S167*('Data Checks'!F377/'Data Checks'!F378),S167))</f>
        <v>204.72223722078681</v>
      </c>
      <c r="T168" s="16">
        <f t="shared" si="26"/>
        <v>1089.4864549643205</v>
      </c>
      <c r="U168" s="17">
        <f t="shared" si="30"/>
        <v>6.4278017769778817E-3</v>
      </c>
      <c r="W168" t="str">
        <f>IF(AND('Data Checks'!B378&gt;'Data Checks'!B377,'Data Checks'!B377&gt;'Data Checks'!B376,'Data Checks'!B376&gt;'Data Checks'!B375),"BUY",IF(AND('Data Checks'!B378&lt;'Data Checks'!B377,'Data Checks'!B377&lt;'Data Checks'!B376,'Data Checks'!B376&lt;'Data Checks'!B375),"SELL",""))</f>
        <v/>
      </c>
      <c r="X168" t="str">
        <f>IF(AND('Data Checks'!C378&gt;'Data Checks'!C377,'Data Checks'!C377&gt;'Data Checks'!C376,'Data Checks'!C376&gt;'Data Checks'!C375),"BUY",IF(AND('Data Checks'!C378&lt;'Data Checks'!C377,'Data Checks'!C377&lt;'Data Checks'!C376,'Data Checks'!C376&lt;'Data Checks'!C375),"SELL",""))</f>
        <v/>
      </c>
      <c r="Y168" t="str">
        <f>IF(AND('Data Checks'!D378&gt;'Data Checks'!D377,'Data Checks'!D377&gt;'Data Checks'!D376,'Data Checks'!D376&gt;'Data Checks'!D375),"BUY",IF(AND('Data Checks'!D378&lt;'Data Checks'!D377,'Data Checks'!D377&lt;'Data Checks'!D376,'Data Checks'!D376&lt;'Data Checks'!D375),"SELL",""))</f>
        <v/>
      </c>
      <c r="Z168" t="str">
        <f>IF(AND('Data Checks'!E378&gt;'Data Checks'!E377,'Data Checks'!E377&gt;'Data Checks'!E376,'Data Checks'!E376&gt;'Data Checks'!E375),"BUY",IF(AND('Data Checks'!E378&lt;'Data Checks'!E377,'Data Checks'!E377&lt;'Data Checks'!E376,'Data Checks'!E376&lt;'Data Checks'!E375),"SELL",""))</f>
        <v/>
      </c>
      <c r="AA168" t="str">
        <f>IF(AND('Data Checks'!F378&gt;'Data Checks'!F377,'Data Checks'!F377&gt;'Data Checks'!F376,'Data Checks'!F376&gt;'Data Checks'!F375),"BUY",IF(AND('Data Checks'!F378&lt;'Data Checks'!F377,'Data Checks'!F377&lt;'Data Checks'!F376,'Data Checks'!F376&lt;'Data Checks'!F375),"SELL",""))</f>
        <v/>
      </c>
      <c r="AB168">
        <f>IF(W167="BUY",AB167*('Data Checks'!B378/'Data Checks'!B377),IF(W167="SELL",AB167*('Data Checks'!B377/'Data Checks'!B378),AB167))</f>
        <v>188.80448341690828</v>
      </c>
      <c r="AC168">
        <f>IF(X167="BUY",AC167*('Data Checks'!C378/'Data Checks'!C377),IF(X167="SELL",AC167*('Data Checks'!C377/'Data Checks'!C378),AC167))</f>
        <v>183.40936939086222</v>
      </c>
      <c r="AD168">
        <f>IF(Y167="BUY",AD167*('Data Checks'!D378/'Data Checks'!D377),IF(Y167="SELL",AD167*('Data Checks'!D377/'Data Checks'!D378),AD167))</f>
        <v>153.74224737359913</v>
      </c>
      <c r="AE168">
        <f>IF(Z167="BUY",AE167*('Data Checks'!E378/'Data Checks'!E377),IF(Z167="SELL",AE167*('Data Checks'!E377/'Data Checks'!E378),AE167))</f>
        <v>205.50997431809427</v>
      </c>
      <c r="AF168">
        <f>IF(AA167="BUY",AF167*('Data Checks'!F378/'Data Checks'!F377),IF(AA167="SELL",AF167*('Data Checks'!F377/'Data Checks'!F378),AF167))</f>
        <v>195.38668853477421</v>
      </c>
      <c r="AG168" s="16">
        <f t="shared" si="27"/>
        <v>926.85276303423814</v>
      </c>
      <c r="AH168" s="17">
        <f t="shared" si="31"/>
        <v>-7.4606631023841352E-3</v>
      </c>
      <c r="AJ168" t="str">
        <f>IF('Moving Ave'!G378&gt;'Moving Ave'!L378,"SELL","BUY")</f>
        <v>SELL</v>
      </c>
      <c r="AK168" t="str">
        <f>IF('Moving Ave'!H378&gt;'Moving Ave'!M378,"SELL","BUY")</f>
        <v>BUY</v>
      </c>
      <c r="AL168" t="str">
        <f>IF('Moving Ave'!I378&gt;'Moving Ave'!N378,"SELL","BUY")</f>
        <v>SELL</v>
      </c>
      <c r="AM168" t="str">
        <f>IF('Moving Ave'!J378&gt;'Moving Ave'!O378,"SELL","BUY")</f>
        <v>BUY</v>
      </c>
      <c r="AN168" t="str">
        <f>IF('Moving Ave'!K378&gt;'Moving Ave'!P378,"SELL","BUY")</f>
        <v>BUY</v>
      </c>
      <c r="AO168">
        <f>IF(AJ167="BUY",AO167*('Data Checks'!B378/'Data Checks'!B377),AO167*('Data Checks'!B377/'Data Checks'!B378))</f>
        <v>133.91895793131744</v>
      </c>
      <c r="AP168">
        <f>IF(AK167="BUY",AP167*('Data Checks'!C378/'Data Checks'!C377),AP167*('Data Checks'!C377/'Data Checks'!C378))</f>
        <v>113.03022893142577</v>
      </c>
      <c r="AQ168">
        <f>IF(AL167="BUY",AQ167*('Data Checks'!D378/'Data Checks'!D377),AQ167*('Data Checks'!D377/'Data Checks'!D378))</f>
        <v>293.01286537285807</v>
      </c>
      <c r="AR168">
        <f>IF(AM167="BUY",AR167*('Data Checks'!E378/'Data Checks'!E377),AR167*('Data Checks'!E377/'Data Checks'!E378))</f>
        <v>102.20957475026522</v>
      </c>
      <c r="AS168">
        <f>IF(AN167="BUY",AS167*('Data Checks'!F378/'Data Checks'!F377),AS167*('Data Checks'!F377/'Data Checks'!F378))</f>
        <v>203.26724546030971</v>
      </c>
      <c r="AT168" s="16">
        <f t="shared" si="28"/>
        <v>845.43887244617622</v>
      </c>
      <c r="AU168" s="17">
        <f t="shared" si="32"/>
        <v>7.9348434397770173E-3</v>
      </c>
    </row>
    <row r="169" spans="1:47" x14ac:dyDescent="0.35">
      <c r="A169" s="2">
        <f>Prices!A377</f>
        <v>44433</v>
      </c>
      <c r="B169">
        <f>B168*('Data Checks'!B379/'Data Checks'!B378)</f>
        <v>352.63143738636052</v>
      </c>
      <c r="C169">
        <f>C168*('Data Checks'!C379/'Data Checks'!C378)</f>
        <v>112.06502189649545</v>
      </c>
      <c r="D169">
        <f>D168*('Data Checks'!D379/'Data Checks'!D378)</f>
        <v>203.8403807620702</v>
      </c>
      <c r="E169">
        <f>E168*('Data Checks'!E379/'Data Checks'!E378)</f>
        <v>100.6360830051528</v>
      </c>
      <c r="F169">
        <f>F168*('Data Checks'!F379/'Data Checks'!F378)</f>
        <v>134.66857321891149</v>
      </c>
      <c r="G169" s="16">
        <f t="shared" si="25"/>
        <v>903.84149626899057</v>
      </c>
      <c r="H169" s="17">
        <f t="shared" si="29"/>
        <v>-2.5583773179348457E-3</v>
      </c>
      <c r="J169" t="str">
        <f>IF(AND('Data Checks'!B379&gt;'Data Checks'!B378,'Data Checks'!B378&gt;'Data Checks'!B377,'Data Checks'!B377&gt;'Data Checks'!B376),"SELL",IF(AND('Data Checks'!B379&lt;'Data Checks'!B378,'Data Checks'!B378&lt;'Data Checks'!B377,'Data Checks'!B377&lt;'Data Checks'!B376),"BUY",""))</f>
        <v/>
      </c>
      <c r="K169" t="str">
        <f>IF(AND('Data Checks'!C379&gt;'Data Checks'!C378,'Data Checks'!C378&gt;'Data Checks'!C377,'Data Checks'!C377&gt;'Data Checks'!C376),"SELL",IF(AND('Data Checks'!C379&lt;'Data Checks'!C378,'Data Checks'!C378&lt;'Data Checks'!C377,'Data Checks'!C377&lt;'Data Checks'!C376),"BUY",""))</f>
        <v/>
      </c>
      <c r="L169" t="str">
        <f>IF(AND('Data Checks'!D379&gt;'Data Checks'!D378,'Data Checks'!D378&gt;'Data Checks'!D377,'Data Checks'!D377&gt;'Data Checks'!D376),"SELL",IF(AND('Data Checks'!D379&lt;'Data Checks'!D378,'Data Checks'!D378&lt;'Data Checks'!D377,'Data Checks'!D377&lt;'Data Checks'!D376),"BUY",""))</f>
        <v/>
      </c>
      <c r="M169" t="str">
        <f>IF(AND('Data Checks'!E379&gt;'Data Checks'!E378,'Data Checks'!E378&gt;'Data Checks'!E377,'Data Checks'!E377&gt;'Data Checks'!E376),"SELL",IF(AND('Data Checks'!E379&lt;'Data Checks'!E378,'Data Checks'!E378&lt;'Data Checks'!E377,'Data Checks'!E377&lt;'Data Checks'!E376),"BUY",""))</f>
        <v/>
      </c>
      <c r="N169" t="str">
        <f>IF(AND('Data Checks'!F379&gt;'Data Checks'!F378,'Data Checks'!F378&gt;'Data Checks'!F377,'Data Checks'!F377&gt;'Data Checks'!F376),"SELL",IF(AND('Data Checks'!F379&lt;'Data Checks'!F378,'Data Checks'!F378&lt;'Data Checks'!F377,'Data Checks'!F377&lt;'Data Checks'!F376),"BUY",""))</f>
        <v/>
      </c>
      <c r="O169">
        <f>IF(J168="BUY",O168*('Data Checks'!B379/'Data Checks'!B378),IF(J168="SELL",O168*('Data Checks'!B378/'Data Checks'!B379),O168))</f>
        <v>211.85937577379505</v>
      </c>
      <c r="P169">
        <f>IF(K168="BUY",P168*('Data Checks'!C379/'Data Checks'!C378),IF(K168="SELL",P168*('Data Checks'!C378/'Data Checks'!C379),P168))</f>
        <v>218.09136650350916</v>
      </c>
      <c r="Q169">
        <f>IF(L168="BUY",Q168*('Data Checks'!D379/'Data Checks'!D378),IF(L168="SELL",Q168*('Data Checks'!D378/'Data Checks'!D379),Q168))</f>
        <v>260.17572061893031</v>
      </c>
      <c r="R169">
        <f>IF(M168="BUY",R168*('Data Checks'!E379/'Data Checks'!E378),IF(M168="SELL",R168*('Data Checks'!E378/'Data Checks'!E379),R168))</f>
        <v>194.63775484729916</v>
      </c>
      <c r="S169">
        <f>IF(N168="BUY",S168*('Data Checks'!F379/'Data Checks'!F378),IF(N168="SELL",S168*('Data Checks'!F378/'Data Checks'!F379),S168))</f>
        <v>204.72223722078681</v>
      </c>
      <c r="T169" s="16">
        <f t="shared" si="26"/>
        <v>1089.4864549643205</v>
      </c>
      <c r="U169" s="17">
        <f t="shared" si="30"/>
        <v>0</v>
      </c>
      <c r="W169" t="str">
        <f>IF(AND('Data Checks'!B379&gt;'Data Checks'!B378,'Data Checks'!B378&gt;'Data Checks'!B377,'Data Checks'!B377&gt;'Data Checks'!B376),"BUY",IF(AND('Data Checks'!B379&lt;'Data Checks'!B378,'Data Checks'!B378&lt;'Data Checks'!B377,'Data Checks'!B377&lt;'Data Checks'!B376),"SELL",""))</f>
        <v/>
      </c>
      <c r="X169" t="str">
        <f>IF(AND('Data Checks'!C379&gt;'Data Checks'!C378,'Data Checks'!C378&gt;'Data Checks'!C377,'Data Checks'!C377&gt;'Data Checks'!C376),"BUY",IF(AND('Data Checks'!C379&lt;'Data Checks'!C378,'Data Checks'!C378&lt;'Data Checks'!C377,'Data Checks'!C377&lt;'Data Checks'!C376),"SELL",""))</f>
        <v/>
      </c>
      <c r="Y169" t="str">
        <f>IF(AND('Data Checks'!D379&gt;'Data Checks'!D378,'Data Checks'!D378&gt;'Data Checks'!D377,'Data Checks'!D377&gt;'Data Checks'!D376),"BUY",IF(AND('Data Checks'!D379&lt;'Data Checks'!D378,'Data Checks'!D378&lt;'Data Checks'!D377,'Data Checks'!D377&lt;'Data Checks'!D376),"SELL",""))</f>
        <v/>
      </c>
      <c r="Z169" t="str">
        <f>IF(AND('Data Checks'!E379&gt;'Data Checks'!E378,'Data Checks'!E378&gt;'Data Checks'!E377,'Data Checks'!E377&gt;'Data Checks'!E376),"BUY",IF(AND('Data Checks'!E379&lt;'Data Checks'!E378,'Data Checks'!E378&lt;'Data Checks'!E377,'Data Checks'!E377&lt;'Data Checks'!E376),"SELL",""))</f>
        <v/>
      </c>
      <c r="AA169" t="str">
        <f>IF(AND('Data Checks'!F379&gt;'Data Checks'!F378,'Data Checks'!F378&gt;'Data Checks'!F377,'Data Checks'!F377&gt;'Data Checks'!F376),"BUY",IF(AND('Data Checks'!F379&lt;'Data Checks'!F378,'Data Checks'!F378&lt;'Data Checks'!F377,'Data Checks'!F377&lt;'Data Checks'!F376),"SELL",""))</f>
        <v/>
      </c>
      <c r="AB169">
        <f>IF(W168="BUY",AB168*('Data Checks'!B379/'Data Checks'!B378),IF(W168="SELL",AB168*('Data Checks'!B378/'Data Checks'!B379),AB168))</f>
        <v>188.80448341690828</v>
      </c>
      <c r="AC169">
        <f>IF(X168="BUY",AC168*('Data Checks'!C379/'Data Checks'!C378),IF(X168="SELL",AC168*('Data Checks'!C378/'Data Checks'!C379),AC168))</f>
        <v>183.40936939086222</v>
      </c>
      <c r="AD169">
        <f>IF(Y168="BUY",AD168*('Data Checks'!D379/'Data Checks'!D378),IF(Y168="SELL",AD168*('Data Checks'!D378/'Data Checks'!D379),AD168))</f>
        <v>153.74224737359913</v>
      </c>
      <c r="AE169">
        <f>IF(Z168="BUY",AE168*('Data Checks'!E379/'Data Checks'!E378),IF(Z168="SELL",AE168*('Data Checks'!E378/'Data Checks'!E379),AE168))</f>
        <v>205.50997431809427</v>
      </c>
      <c r="AF169">
        <f>IF(AA168="BUY",AF168*('Data Checks'!F379/'Data Checks'!F378),IF(AA168="SELL",AF168*('Data Checks'!F378/'Data Checks'!F379),AF168))</f>
        <v>195.38668853477421</v>
      </c>
      <c r="AG169" s="16">
        <f t="shared" si="27"/>
        <v>926.85276303423814</v>
      </c>
      <c r="AH169" s="17">
        <f t="shared" si="31"/>
        <v>0</v>
      </c>
      <c r="AJ169" t="str">
        <f>IF('Moving Ave'!G379&gt;'Moving Ave'!L379,"SELL","BUY")</f>
        <v>SELL</v>
      </c>
      <c r="AK169" t="str">
        <f>IF('Moving Ave'!H379&gt;'Moving Ave'!M379,"SELL","BUY")</f>
        <v>BUY</v>
      </c>
      <c r="AL169" t="str">
        <f>IF('Moving Ave'!I379&gt;'Moving Ave'!N379,"SELL","BUY")</f>
        <v>SELL</v>
      </c>
      <c r="AM169" t="str">
        <f>IF('Moving Ave'!J379&gt;'Moving Ave'!O379,"SELL","BUY")</f>
        <v>BUY</v>
      </c>
      <c r="AN169" t="str">
        <f>IF('Moving Ave'!K379&gt;'Moving Ave'!P379,"SELL","BUY")</f>
        <v>BUY</v>
      </c>
      <c r="AO169">
        <f>IF(AJ168="BUY",AO168*('Data Checks'!B379/'Data Checks'!B378),AO168*('Data Checks'!B378/'Data Checks'!B379))</f>
        <v>132.35706447658487</v>
      </c>
      <c r="AP169">
        <f>IF(AK168="BUY",AP168*('Data Checks'!C379/'Data Checks'!C378),AP168*('Data Checks'!C378/'Data Checks'!C379))</f>
        <v>112.06502189649545</v>
      </c>
      <c r="AQ169">
        <f>IF(AL168="BUY",AQ168*('Data Checks'!D379/'Data Checks'!D378),AQ168*('Data Checks'!D378/'Data Checks'!D379))</f>
        <v>296.75712713946524</v>
      </c>
      <c r="AR169">
        <f>IF(AM168="BUY",AR168*('Data Checks'!E379/'Data Checks'!E378),AR168*('Data Checks'!E378/'Data Checks'!E379))</f>
        <v>100.6360830051528</v>
      </c>
      <c r="AS169">
        <f>IF(AN168="BUY",AS168*('Data Checks'!F379/'Data Checks'!F378),AS168*('Data Checks'!F378/'Data Checks'!F379))</f>
        <v>201.34222269496544</v>
      </c>
      <c r="AT169" s="16">
        <f t="shared" si="28"/>
        <v>843.15751921266394</v>
      </c>
      <c r="AU169" s="17">
        <f t="shared" si="32"/>
        <v>-2.6984248156362023E-3</v>
      </c>
    </row>
    <row r="170" spans="1:47" x14ac:dyDescent="0.35">
      <c r="A170" s="2">
        <f>Prices!A378</f>
        <v>44434</v>
      </c>
      <c r="B170">
        <f>B169*('Data Checks'!B380/'Data Checks'!B379)</f>
        <v>362.67986784748331</v>
      </c>
      <c r="C170">
        <f>C169*('Data Checks'!C380/'Data Checks'!C379)</f>
        <v>110.84582450713305</v>
      </c>
      <c r="D170">
        <f>D169*('Data Checks'!D380/'Data Checks'!D379)</f>
        <v>206.24477886533285</v>
      </c>
      <c r="E170">
        <f>E169*('Data Checks'!E380/'Data Checks'!E379)</f>
        <v>100.5356544849127</v>
      </c>
      <c r="F170">
        <f>F169*('Data Checks'!F380/'Data Checks'!F379)</f>
        <v>136.09918840389884</v>
      </c>
      <c r="G170" s="16">
        <f t="shared" si="25"/>
        <v>916.40531410876065</v>
      </c>
      <c r="H170" s="17">
        <f t="shared" si="29"/>
        <v>1.3900465835694487E-2</v>
      </c>
      <c r="J170" t="str">
        <f>IF(AND('Data Checks'!B380&gt;'Data Checks'!B379,'Data Checks'!B379&gt;'Data Checks'!B378,'Data Checks'!B378&gt;'Data Checks'!B377),"SELL",IF(AND('Data Checks'!B380&lt;'Data Checks'!B379,'Data Checks'!B379&lt;'Data Checks'!B378,'Data Checks'!B378&lt;'Data Checks'!B377),"BUY",""))</f>
        <v>SELL</v>
      </c>
      <c r="K170" t="str">
        <f>IF(AND('Data Checks'!C380&gt;'Data Checks'!C379,'Data Checks'!C379&gt;'Data Checks'!C378,'Data Checks'!C378&gt;'Data Checks'!C377),"SELL",IF(AND('Data Checks'!C380&lt;'Data Checks'!C379,'Data Checks'!C379&lt;'Data Checks'!C378,'Data Checks'!C378&lt;'Data Checks'!C377),"BUY",""))</f>
        <v/>
      </c>
      <c r="L170" t="str">
        <f>IF(AND('Data Checks'!D380&gt;'Data Checks'!D379,'Data Checks'!D379&gt;'Data Checks'!D378,'Data Checks'!D378&gt;'Data Checks'!D377),"SELL",IF(AND('Data Checks'!D380&lt;'Data Checks'!D379,'Data Checks'!D379&lt;'Data Checks'!D378,'Data Checks'!D378&lt;'Data Checks'!D377),"BUY",""))</f>
        <v/>
      </c>
      <c r="M170" t="str">
        <f>IF(AND('Data Checks'!E380&gt;'Data Checks'!E379,'Data Checks'!E379&gt;'Data Checks'!E378,'Data Checks'!E378&gt;'Data Checks'!E377),"SELL",IF(AND('Data Checks'!E380&lt;'Data Checks'!E379,'Data Checks'!E379&lt;'Data Checks'!E378,'Data Checks'!E378&lt;'Data Checks'!E377),"BUY",""))</f>
        <v/>
      </c>
      <c r="N170" t="str">
        <f>IF(AND('Data Checks'!F380&gt;'Data Checks'!F379,'Data Checks'!F379&gt;'Data Checks'!F378,'Data Checks'!F378&gt;'Data Checks'!F377),"SELL",IF(AND('Data Checks'!F380&lt;'Data Checks'!F379,'Data Checks'!F379&lt;'Data Checks'!F378,'Data Checks'!F378&lt;'Data Checks'!F377),"BUY",""))</f>
        <v/>
      </c>
      <c r="O170">
        <f>IF(J169="BUY",O169*('Data Checks'!B380/'Data Checks'!B379),IF(J169="SELL",O169*('Data Checks'!B379/'Data Checks'!B380),O169))</f>
        <v>211.85937577379505</v>
      </c>
      <c r="P170">
        <f>IF(K169="BUY",P169*('Data Checks'!C380/'Data Checks'!C379),IF(K169="SELL",P169*('Data Checks'!C379/'Data Checks'!C380),P169))</f>
        <v>218.09136650350916</v>
      </c>
      <c r="Q170">
        <f>IF(L169="BUY",Q169*('Data Checks'!D380/'Data Checks'!D379),IF(L169="SELL",Q169*('Data Checks'!D379/'Data Checks'!D380),Q169))</f>
        <v>260.17572061893031</v>
      </c>
      <c r="R170">
        <f>IF(M169="BUY",R169*('Data Checks'!E380/'Data Checks'!E379),IF(M169="SELL",R169*('Data Checks'!E379/'Data Checks'!E380),R169))</f>
        <v>194.63775484729916</v>
      </c>
      <c r="S170">
        <f>IF(N169="BUY",S169*('Data Checks'!F380/'Data Checks'!F379),IF(N169="SELL",S169*('Data Checks'!F379/'Data Checks'!F380),S169))</f>
        <v>204.72223722078681</v>
      </c>
      <c r="T170" s="16">
        <f t="shared" si="26"/>
        <v>1089.4864549643205</v>
      </c>
      <c r="U170" s="17">
        <f t="shared" si="30"/>
        <v>0</v>
      </c>
      <c r="W170" t="str">
        <f>IF(AND('Data Checks'!B380&gt;'Data Checks'!B379,'Data Checks'!B379&gt;'Data Checks'!B378,'Data Checks'!B378&gt;'Data Checks'!B377),"BUY",IF(AND('Data Checks'!B380&lt;'Data Checks'!B379,'Data Checks'!B379&lt;'Data Checks'!B378,'Data Checks'!B378&lt;'Data Checks'!B377),"SELL",""))</f>
        <v>BUY</v>
      </c>
      <c r="X170" t="str">
        <f>IF(AND('Data Checks'!C380&gt;'Data Checks'!C379,'Data Checks'!C379&gt;'Data Checks'!C378,'Data Checks'!C378&gt;'Data Checks'!C377),"BUY",IF(AND('Data Checks'!C380&lt;'Data Checks'!C379,'Data Checks'!C379&lt;'Data Checks'!C378,'Data Checks'!C378&lt;'Data Checks'!C377),"SELL",""))</f>
        <v/>
      </c>
      <c r="Y170" t="str">
        <f>IF(AND('Data Checks'!D380&gt;'Data Checks'!D379,'Data Checks'!D379&gt;'Data Checks'!D378,'Data Checks'!D378&gt;'Data Checks'!D377),"BUY",IF(AND('Data Checks'!D380&lt;'Data Checks'!D379,'Data Checks'!D379&lt;'Data Checks'!D378,'Data Checks'!D378&lt;'Data Checks'!D377),"SELL",""))</f>
        <v/>
      </c>
      <c r="Z170" t="str">
        <f>IF(AND('Data Checks'!E380&gt;'Data Checks'!E379,'Data Checks'!E379&gt;'Data Checks'!E378,'Data Checks'!E378&gt;'Data Checks'!E377),"BUY",IF(AND('Data Checks'!E380&lt;'Data Checks'!E379,'Data Checks'!E379&lt;'Data Checks'!E378,'Data Checks'!E378&lt;'Data Checks'!E377),"SELL",""))</f>
        <v/>
      </c>
      <c r="AA170" t="str">
        <f>IF(AND('Data Checks'!F380&gt;'Data Checks'!F379,'Data Checks'!F379&gt;'Data Checks'!F378,'Data Checks'!F378&gt;'Data Checks'!F377),"BUY",IF(AND('Data Checks'!F380&lt;'Data Checks'!F379,'Data Checks'!F379&lt;'Data Checks'!F378,'Data Checks'!F378&lt;'Data Checks'!F377),"SELL",""))</f>
        <v/>
      </c>
      <c r="AB170">
        <f>IF(W169="BUY",AB169*('Data Checks'!B380/'Data Checks'!B379),IF(W169="SELL",AB169*('Data Checks'!B379/'Data Checks'!B380),AB169))</f>
        <v>188.80448341690828</v>
      </c>
      <c r="AC170">
        <f>IF(X169="BUY",AC169*('Data Checks'!C380/'Data Checks'!C379),IF(X169="SELL",AC169*('Data Checks'!C379/'Data Checks'!C380),AC169))</f>
        <v>183.40936939086222</v>
      </c>
      <c r="AD170">
        <f>IF(Y169="BUY",AD169*('Data Checks'!D380/'Data Checks'!D379),IF(Y169="SELL",AD169*('Data Checks'!D379/'Data Checks'!D380),AD169))</f>
        <v>153.74224737359913</v>
      </c>
      <c r="AE170">
        <f>IF(Z169="BUY",AE169*('Data Checks'!E380/'Data Checks'!E379),IF(Z169="SELL",AE169*('Data Checks'!E379/'Data Checks'!E380),AE169))</f>
        <v>205.50997431809427</v>
      </c>
      <c r="AF170">
        <f>IF(AA169="BUY",AF169*('Data Checks'!F380/'Data Checks'!F379),IF(AA169="SELL",AF169*('Data Checks'!F379/'Data Checks'!F380),AF169))</f>
        <v>195.38668853477421</v>
      </c>
      <c r="AG170" s="16">
        <f t="shared" si="27"/>
        <v>926.85276303423814</v>
      </c>
      <c r="AH170" s="17">
        <f t="shared" si="31"/>
        <v>0</v>
      </c>
      <c r="AJ170" t="str">
        <f>IF('Moving Ave'!G380&gt;'Moving Ave'!L380,"SELL","BUY")</f>
        <v>SELL</v>
      </c>
      <c r="AK170" t="str">
        <f>IF('Moving Ave'!H380&gt;'Moving Ave'!M380,"SELL","BUY")</f>
        <v>BUY</v>
      </c>
      <c r="AL170" t="str">
        <f>IF('Moving Ave'!I380&gt;'Moving Ave'!N380,"SELL","BUY")</f>
        <v>SELL</v>
      </c>
      <c r="AM170" t="str">
        <f>IF('Moving Ave'!J380&gt;'Moving Ave'!O380,"SELL","BUY")</f>
        <v>BUY</v>
      </c>
      <c r="AN170" t="str">
        <f>IF('Moving Ave'!K380&gt;'Moving Ave'!P380,"SELL","BUY")</f>
        <v>BUY</v>
      </c>
      <c r="AO170">
        <f>IF(AJ169="BUY",AO169*('Data Checks'!B380/'Data Checks'!B379),AO169*('Data Checks'!B379/'Data Checks'!B380))</f>
        <v>128.68997160395097</v>
      </c>
      <c r="AP170">
        <f>IF(AK169="BUY",AP169*('Data Checks'!C380/'Data Checks'!C379),AP169*('Data Checks'!C379/'Data Checks'!C380))</f>
        <v>110.84582450713305</v>
      </c>
      <c r="AQ170">
        <f>IF(AL169="BUY",AQ169*('Data Checks'!D380/'Data Checks'!D379),AQ169*('Data Checks'!D379/'Data Checks'!D380))</f>
        <v>293.29753762864573</v>
      </c>
      <c r="AR170">
        <f>IF(AM169="BUY",AR169*('Data Checks'!E380/'Data Checks'!E379),AR169*('Data Checks'!E379/'Data Checks'!E380))</f>
        <v>100.5356544849127</v>
      </c>
      <c r="AS170">
        <f>IF(AN169="BUY",AS169*('Data Checks'!F380/'Data Checks'!F379),AS169*('Data Checks'!F379/'Data Checks'!F380))</f>
        <v>203.48112737243827</v>
      </c>
      <c r="AT170" s="16">
        <f t="shared" si="28"/>
        <v>836.85011559708073</v>
      </c>
      <c r="AU170" s="17">
        <f t="shared" si="32"/>
        <v>-7.4806942615811556E-3</v>
      </c>
    </row>
    <row r="171" spans="1:47" x14ac:dyDescent="0.35">
      <c r="A171" s="2">
        <f>Prices!A379</f>
        <v>44435</v>
      </c>
      <c r="B171">
        <f>B170*('Data Checks'!B381/'Data Checks'!B380)</f>
        <v>358.26997561514469</v>
      </c>
      <c r="C171">
        <f>C170*('Data Checks'!C381/'Data Checks'!C380)</f>
        <v>109.98222275799405</v>
      </c>
      <c r="D171">
        <f>D170*('Data Checks'!D381/'Data Checks'!D380)</f>
        <v>204.40808155632138</v>
      </c>
      <c r="E171">
        <f>E170*('Data Checks'!E381/'Data Checks'!E380)</f>
        <v>99.698694352236444</v>
      </c>
      <c r="F171">
        <f>F170*('Data Checks'!F381/'Data Checks'!F380)</f>
        <v>135.33619077734187</v>
      </c>
      <c r="G171" s="16">
        <f t="shared" si="25"/>
        <v>907.69516505903835</v>
      </c>
      <c r="H171" s="17">
        <f t="shared" si="29"/>
        <v>-9.5046906817571886E-3</v>
      </c>
      <c r="J171" t="str">
        <f>IF(AND('Data Checks'!B381&gt;'Data Checks'!B380,'Data Checks'!B380&gt;'Data Checks'!B379,'Data Checks'!B379&gt;'Data Checks'!B378),"SELL",IF(AND('Data Checks'!B381&lt;'Data Checks'!B380,'Data Checks'!B380&lt;'Data Checks'!B379,'Data Checks'!B379&lt;'Data Checks'!B378),"BUY",""))</f>
        <v/>
      </c>
      <c r="K171" t="str">
        <f>IF(AND('Data Checks'!C381&gt;'Data Checks'!C380,'Data Checks'!C380&gt;'Data Checks'!C379,'Data Checks'!C379&gt;'Data Checks'!C378),"SELL",IF(AND('Data Checks'!C381&lt;'Data Checks'!C380,'Data Checks'!C380&lt;'Data Checks'!C379,'Data Checks'!C379&lt;'Data Checks'!C378),"BUY",""))</f>
        <v>BUY</v>
      </c>
      <c r="L171" t="str">
        <f>IF(AND('Data Checks'!D381&gt;'Data Checks'!D380,'Data Checks'!D380&gt;'Data Checks'!D379,'Data Checks'!D379&gt;'Data Checks'!D378),"SELL",IF(AND('Data Checks'!D381&lt;'Data Checks'!D380,'Data Checks'!D380&lt;'Data Checks'!D379,'Data Checks'!D379&lt;'Data Checks'!D378),"BUY",""))</f>
        <v/>
      </c>
      <c r="M171" t="str">
        <f>IF(AND('Data Checks'!E381&gt;'Data Checks'!E380,'Data Checks'!E380&gt;'Data Checks'!E379,'Data Checks'!E379&gt;'Data Checks'!E378),"SELL",IF(AND('Data Checks'!E381&lt;'Data Checks'!E380,'Data Checks'!E380&lt;'Data Checks'!E379,'Data Checks'!E379&lt;'Data Checks'!E378),"BUY",""))</f>
        <v>BUY</v>
      </c>
      <c r="N171" t="str">
        <f>IF(AND('Data Checks'!F381&gt;'Data Checks'!F380,'Data Checks'!F380&gt;'Data Checks'!F379,'Data Checks'!F379&gt;'Data Checks'!F378),"SELL",IF(AND('Data Checks'!F381&lt;'Data Checks'!F380,'Data Checks'!F380&lt;'Data Checks'!F379,'Data Checks'!F379&lt;'Data Checks'!F378),"BUY",""))</f>
        <v/>
      </c>
      <c r="O171">
        <f>IF(J170="BUY",O170*('Data Checks'!B381/'Data Checks'!B380),IF(J170="SELL",O170*('Data Checks'!B380/'Data Checks'!B381),O170))</f>
        <v>214.46712154978096</v>
      </c>
      <c r="P171">
        <f>IF(K170="BUY",P170*('Data Checks'!C381/'Data Checks'!C380),IF(K170="SELL",P170*('Data Checks'!C380/'Data Checks'!C381),P170))</f>
        <v>218.09136650350916</v>
      </c>
      <c r="Q171">
        <f>IF(L170="BUY",Q170*('Data Checks'!D381/'Data Checks'!D380),IF(L170="SELL",Q170*('Data Checks'!D380/'Data Checks'!D381),Q170))</f>
        <v>260.17572061893031</v>
      </c>
      <c r="R171">
        <f>IF(M170="BUY",R170*('Data Checks'!E381/'Data Checks'!E380),IF(M170="SELL",R170*('Data Checks'!E380/'Data Checks'!E381),R170))</f>
        <v>194.63775484729916</v>
      </c>
      <c r="S171">
        <f>IF(N170="BUY",S170*('Data Checks'!F381/'Data Checks'!F380),IF(N170="SELL",S170*('Data Checks'!F380/'Data Checks'!F381),S170))</f>
        <v>204.72223722078681</v>
      </c>
      <c r="T171" s="16">
        <f t="shared" si="26"/>
        <v>1092.0942007403064</v>
      </c>
      <c r="U171" s="17">
        <f t="shared" si="30"/>
        <v>2.3935550222800028E-3</v>
      </c>
      <c r="W171" t="str">
        <f>IF(AND('Data Checks'!B381&gt;'Data Checks'!B380,'Data Checks'!B380&gt;'Data Checks'!B379,'Data Checks'!B379&gt;'Data Checks'!B378),"BUY",IF(AND('Data Checks'!B381&lt;'Data Checks'!B380,'Data Checks'!B380&lt;'Data Checks'!B379,'Data Checks'!B379&lt;'Data Checks'!B378),"SELL",""))</f>
        <v/>
      </c>
      <c r="X171" t="str">
        <f>IF(AND('Data Checks'!C381&gt;'Data Checks'!C380,'Data Checks'!C380&gt;'Data Checks'!C379,'Data Checks'!C379&gt;'Data Checks'!C378),"BUY",IF(AND('Data Checks'!C381&lt;'Data Checks'!C380,'Data Checks'!C380&lt;'Data Checks'!C379,'Data Checks'!C379&lt;'Data Checks'!C378),"SELL",""))</f>
        <v>SELL</v>
      </c>
      <c r="Y171" t="str">
        <f>IF(AND('Data Checks'!D381&gt;'Data Checks'!D380,'Data Checks'!D380&gt;'Data Checks'!D379,'Data Checks'!D379&gt;'Data Checks'!D378),"BUY",IF(AND('Data Checks'!D381&lt;'Data Checks'!D380,'Data Checks'!D380&lt;'Data Checks'!D379,'Data Checks'!D379&lt;'Data Checks'!D378),"SELL",""))</f>
        <v/>
      </c>
      <c r="Z171" t="str">
        <f>IF(AND('Data Checks'!E381&gt;'Data Checks'!E380,'Data Checks'!E380&gt;'Data Checks'!E379,'Data Checks'!E379&gt;'Data Checks'!E378),"BUY",IF(AND('Data Checks'!E381&lt;'Data Checks'!E380,'Data Checks'!E380&lt;'Data Checks'!E379,'Data Checks'!E379&lt;'Data Checks'!E378),"SELL",""))</f>
        <v>SELL</v>
      </c>
      <c r="AA171" t="str">
        <f>IF(AND('Data Checks'!F381&gt;'Data Checks'!F380,'Data Checks'!F380&gt;'Data Checks'!F379,'Data Checks'!F379&gt;'Data Checks'!F378),"BUY",IF(AND('Data Checks'!F381&lt;'Data Checks'!F380,'Data Checks'!F380&lt;'Data Checks'!F379,'Data Checks'!F379&lt;'Data Checks'!F378),"SELL",""))</f>
        <v/>
      </c>
      <c r="AB171">
        <f>IF(W170="BUY",AB170*('Data Checks'!B381/'Data Checks'!B380),IF(W170="SELL",AB170*('Data Checks'!B380/'Data Checks'!B381),AB170))</f>
        <v>186.50877444967918</v>
      </c>
      <c r="AC171">
        <f>IF(X170="BUY",AC170*('Data Checks'!C381/'Data Checks'!C380),IF(X170="SELL",AC170*('Data Checks'!C380/'Data Checks'!C381),AC170))</f>
        <v>183.40936939086222</v>
      </c>
      <c r="AD171">
        <f>IF(Y170="BUY",AD170*('Data Checks'!D381/'Data Checks'!D380),IF(Y170="SELL",AD170*('Data Checks'!D380/'Data Checks'!D381),AD170))</f>
        <v>153.74224737359913</v>
      </c>
      <c r="AE171">
        <f>IF(Z170="BUY",AE170*('Data Checks'!E381/'Data Checks'!E380),IF(Z170="SELL",AE170*('Data Checks'!E380/'Data Checks'!E381),AE170))</f>
        <v>205.50997431809427</v>
      </c>
      <c r="AF171">
        <f>IF(AA170="BUY",AF170*('Data Checks'!F381/'Data Checks'!F380),IF(AA170="SELL",AF170*('Data Checks'!F380/'Data Checks'!F381),AF170))</f>
        <v>195.38668853477421</v>
      </c>
      <c r="AG171" s="16">
        <f t="shared" si="27"/>
        <v>924.55705406700895</v>
      </c>
      <c r="AH171" s="17">
        <f t="shared" si="31"/>
        <v>-2.4768863607999014E-3</v>
      </c>
      <c r="AJ171" t="str">
        <f>IF('Moving Ave'!G381&gt;'Moving Ave'!L381,"SELL","BUY")</f>
        <v>SELL</v>
      </c>
      <c r="AK171" t="str">
        <f>IF('Moving Ave'!H381&gt;'Moving Ave'!M381,"SELL","BUY")</f>
        <v>BUY</v>
      </c>
      <c r="AL171" t="str">
        <f>IF('Moving Ave'!I381&gt;'Moving Ave'!N381,"SELL","BUY")</f>
        <v>SELL</v>
      </c>
      <c r="AM171" t="str">
        <f>IF('Moving Ave'!J381&gt;'Moving Ave'!O381,"SELL","BUY")</f>
        <v>BUY</v>
      </c>
      <c r="AN171" t="str">
        <f>IF('Moving Ave'!K381&gt;'Moving Ave'!P381,"SELL","BUY")</f>
        <v>BUY</v>
      </c>
      <c r="AO171">
        <f>IF(AJ170="BUY",AO170*('Data Checks'!B381/'Data Checks'!B380),AO170*('Data Checks'!B380/'Data Checks'!B381))</f>
        <v>130.27399746372819</v>
      </c>
      <c r="AP171">
        <f>IF(AK170="BUY",AP170*('Data Checks'!C381/'Data Checks'!C380),AP170*('Data Checks'!C380/'Data Checks'!C381))</f>
        <v>109.98222275799405</v>
      </c>
      <c r="AQ171">
        <f>IF(AL170="BUY",AQ170*('Data Checks'!D381/'Data Checks'!D380),AQ170*('Data Checks'!D380/'Data Checks'!D381))</f>
        <v>295.93294614087614</v>
      </c>
      <c r="AR171">
        <f>IF(AM170="BUY",AR170*('Data Checks'!E381/'Data Checks'!E380),AR170*('Data Checks'!E380/'Data Checks'!E381))</f>
        <v>99.698694352236444</v>
      </c>
      <c r="AS171">
        <f>IF(AN170="BUY",AS170*('Data Checks'!F381/'Data Checks'!F380),AS170*('Data Checks'!F380/'Data Checks'!F381))</f>
        <v>202.34037393331008</v>
      </c>
      <c r="AT171" s="16">
        <f t="shared" si="28"/>
        <v>838.22823464814485</v>
      </c>
      <c r="AU171" s="17">
        <f t="shared" si="32"/>
        <v>1.6467931656802826E-3</v>
      </c>
    </row>
    <row r="172" spans="1:47" x14ac:dyDescent="0.35">
      <c r="A172" s="2">
        <f>Prices!A380</f>
        <v>44436</v>
      </c>
      <c r="B172">
        <f>B171*('Data Checks'!B382/'Data Checks'!B381)</f>
        <v>358.4596531184788</v>
      </c>
      <c r="C172">
        <f>C171*('Data Checks'!C382/'Data Checks'!C381)</f>
        <v>111.96343185073496</v>
      </c>
      <c r="D172">
        <f>D171*('Data Checks'!D382/'Data Checks'!D381)</f>
        <v>206.97946580363117</v>
      </c>
      <c r="E172">
        <f>E171*('Data Checks'!E382/'Data Checks'!E381)</f>
        <v>101.07130896982552</v>
      </c>
      <c r="F172">
        <f>F171*('Data Checks'!F382/'Data Checks'!F381)</f>
        <v>134.81164332110134</v>
      </c>
      <c r="G172" s="16">
        <f t="shared" si="25"/>
        <v>913.28550306377178</v>
      </c>
      <c r="H172" s="17">
        <f t="shared" si="29"/>
        <v>6.1588275667083803E-3</v>
      </c>
      <c r="J172" t="str">
        <f>IF(AND('Data Checks'!B382&gt;'Data Checks'!B381,'Data Checks'!B381&gt;'Data Checks'!B380,'Data Checks'!B380&gt;'Data Checks'!B379),"SELL",IF(AND('Data Checks'!B382&lt;'Data Checks'!B381,'Data Checks'!B381&lt;'Data Checks'!B380,'Data Checks'!B380&lt;'Data Checks'!B379),"BUY",""))</f>
        <v/>
      </c>
      <c r="K172" t="str">
        <f>IF(AND('Data Checks'!C382&gt;'Data Checks'!C381,'Data Checks'!C381&gt;'Data Checks'!C380,'Data Checks'!C380&gt;'Data Checks'!C379),"SELL",IF(AND('Data Checks'!C382&lt;'Data Checks'!C381,'Data Checks'!C381&lt;'Data Checks'!C380,'Data Checks'!C380&lt;'Data Checks'!C379),"BUY",""))</f>
        <v/>
      </c>
      <c r="L172" t="str">
        <f>IF(AND('Data Checks'!D382&gt;'Data Checks'!D381,'Data Checks'!D381&gt;'Data Checks'!D380,'Data Checks'!D380&gt;'Data Checks'!D379),"SELL",IF(AND('Data Checks'!D382&lt;'Data Checks'!D381,'Data Checks'!D381&lt;'Data Checks'!D380,'Data Checks'!D380&lt;'Data Checks'!D379),"BUY",""))</f>
        <v/>
      </c>
      <c r="M172" t="str">
        <f>IF(AND('Data Checks'!E382&gt;'Data Checks'!E381,'Data Checks'!E381&gt;'Data Checks'!E380,'Data Checks'!E380&gt;'Data Checks'!E379),"SELL",IF(AND('Data Checks'!E382&lt;'Data Checks'!E381,'Data Checks'!E381&lt;'Data Checks'!E380,'Data Checks'!E380&lt;'Data Checks'!E379),"BUY",""))</f>
        <v/>
      </c>
      <c r="N172" t="str">
        <f>IF(AND('Data Checks'!F382&gt;'Data Checks'!F381,'Data Checks'!F381&gt;'Data Checks'!F380,'Data Checks'!F380&gt;'Data Checks'!F379),"SELL",IF(AND('Data Checks'!F382&lt;'Data Checks'!F381,'Data Checks'!F381&lt;'Data Checks'!F380,'Data Checks'!F380&lt;'Data Checks'!F379),"BUY",""))</f>
        <v/>
      </c>
      <c r="O172">
        <f>IF(J171="BUY",O171*('Data Checks'!B382/'Data Checks'!B381),IF(J171="SELL",O171*('Data Checks'!B381/'Data Checks'!B382),O171))</f>
        <v>214.46712154978096</v>
      </c>
      <c r="P172">
        <f>IF(K171="BUY",P171*('Data Checks'!C382/'Data Checks'!C381),IF(K171="SELL",P171*('Data Checks'!C381/'Data Checks'!C382),P171))</f>
        <v>222.02004322534455</v>
      </c>
      <c r="Q172">
        <f>IF(L171="BUY",Q171*('Data Checks'!D382/'Data Checks'!D381),IF(L171="SELL",Q171*('Data Checks'!D381/'Data Checks'!D382),Q171))</f>
        <v>260.17572061893031</v>
      </c>
      <c r="R172">
        <f>IF(M171="BUY",R171*('Data Checks'!E382/'Data Checks'!E381),IF(M171="SELL",R171*('Data Checks'!E381/'Data Checks'!E382),R171))</f>
        <v>197.31745521021699</v>
      </c>
      <c r="S172">
        <f>IF(N171="BUY",S171*('Data Checks'!F382/'Data Checks'!F381),IF(N171="SELL",S171*('Data Checks'!F381/'Data Checks'!F382),S171))</f>
        <v>204.72223722078681</v>
      </c>
      <c r="T172" s="16">
        <f t="shared" si="26"/>
        <v>1098.7025778250595</v>
      </c>
      <c r="U172" s="17">
        <f t="shared" si="30"/>
        <v>6.0511053719298769E-3</v>
      </c>
      <c r="W172" t="str">
        <f>IF(AND('Data Checks'!B382&gt;'Data Checks'!B381,'Data Checks'!B381&gt;'Data Checks'!B380,'Data Checks'!B380&gt;'Data Checks'!B379),"BUY",IF(AND('Data Checks'!B382&lt;'Data Checks'!B381,'Data Checks'!B381&lt;'Data Checks'!B380,'Data Checks'!B380&lt;'Data Checks'!B379),"SELL",""))</f>
        <v/>
      </c>
      <c r="X172" t="str">
        <f>IF(AND('Data Checks'!C382&gt;'Data Checks'!C381,'Data Checks'!C381&gt;'Data Checks'!C380,'Data Checks'!C380&gt;'Data Checks'!C379),"BUY",IF(AND('Data Checks'!C382&lt;'Data Checks'!C381,'Data Checks'!C381&lt;'Data Checks'!C380,'Data Checks'!C380&lt;'Data Checks'!C379),"SELL",""))</f>
        <v/>
      </c>
      <c r="Y172" t="str">
        <f>IF(AND('Data Checks'!D382&gt;'Data Checks'!D381,'Data Checks'!D381&gt;'Data Checks'!D380,'Data Checks'!D380&gt;'Data Checks'!D379),"BUY",IF(AND('Data Checks'!D382&lt;'Data Checks'!D381,'Data Checks'!D381&lt;'Data Checks'!D380,'Data Checks'!D380&lt;'Data Checks'!D379),"SELL",""))</f>
        <v/>
      </c>
      <c r="Z172" t="str">
        <f>IF(AND('Data Checks'!E382&gt;'Data Checks'!E381,'Data Checks'!E381&gt;'Data Checks'!E380,'Data Checks'!E380&gt;'Data Checks'!E379),"BUY",IF(AND('Data Checks'!E382&lt;'Data Checks'!E381,'Data Checks'!E381&lt;'Data Checks'!E380,'Data Checks'!E380&lt;'Data Checks'!E379),"SELL",""))</f>
        <v/>
      </c>
      <c r="AA172" t="str">
        <f>IF(AND('Data Checks'!F382&gt;'Data Checks'!F381,'Data Checks'!F381&gt;'Data Checks'!F380,'Data Checks'!F380&gt;'Data Checks'!F379),"BUY",IF(AND('Data Checks'!F382&lt;'Data Checks'!F381,'Data Checks'!F381&lt;'Data Checks'!F380,'Data Checks'!F380&lt;'Data Checks'!F379),"SELL",""))</f>
        <v/>
      </c>
      <c r="AB172">
        <f>IF(W171="BUY",AB171*('Data Checks'!B382/'Data Checks'!B381),IF(W171="SELL",AB171*('Data Checks'!B381/'Data Checks'!B382),AB171))</f>
        <v>186.50877444967918</v>
      </c>
      <c r="AC172">
        <f>IF(X171="BUY",AC171*('Data Checks'!C382/'Data Checks'!C381),IF(X171="SELL",AC171*('Data Checks'!C381/'Data Checks'!C382),AC171))</f>
        <v>180.16391411743433</v>
      </c>
      <c r="AD172">
        <f>IF(Y171="BUY",AD171*('Data Checks'!D382/'Data Checks'!D381),IF(Y171="SELL",AD171*('Data Checks'!D381/'Data Checks'!D382),AD171))</f>
        <v>153.74224737359913</v>
      </c>
      <c r="AE172">
        <f>IF(Z171="BUY",AE171*('Data Checks'!E382/'Data Checks'!E381),IF(Z171="SELL",AE171*('Data Checks'!E381/'Data Checks'!E382),AE171))</f>
        <v>202.71901417634339</v>
      </c>
      <c r="AF172">
        <f>IF(AA171="BUY",AF171*('Data Checks'!F382/'Data Checks'!F381),IF(AA171="SELL",AF171*('Data Checks'!F381/'Data Checks'!F382),AF171))</f>
        <v>195.38668853477421</v>
      </c>
      <c r="AG172" s="16">
        <f t="shared" si="27"/>
        <v>918.52063865183027</v>
      </c>
      <c r="AH172" s="17">
        <f t="shared" si="31"/>
        <v>-6.5289809737811844E-3</v>
      </c>
      <c r="AJ172" t="str">
        <f>IF('Moving Ave'!G382&gt;'Moving Ave'!L382,"SELL","BUY")</f>
        <v>SELL</v>
      </c>
      <c r="AK172" t="str">
        <f>IF('Moving Ave'!H382&gt;'Moving Ave'!M382,"SELL","BUY")</f>
        <v>BUY</v>
      </c>
      <c r="AL172" t="str">
        <f>IF('Moving Ave'!I382&gt;'Moving Ave'!N382,"SELL","BUY")</f>
        <v>SELL</v>
      </c>
      <c r="AM172" t="str">
        <f>IF('Moving Ave'!J382&gt;'Moving Ave'!O382,"SELL","BUY")</f>
        <v>BUY</v>
      </c>
      <c r="AN172" t="str">
        <f>IF('Moving Ave'!K382&gt;'Moving Ave'!P382,"SELL","BUY")</f>
        <v>BUY</v>
      </c>
      <c r="AO172">
        <f>IF(AJ171="BUY",AO171*('Data Checks'!B382/'Data Checks'!B381),AO171*('Data Checks'!B381/'Data Checks'!B382))</f>
        <v>130.20506349480502</v>
      </c>
      <c r="AP172">
        <f>IF(AK171="BUY",AP171*('Data Checks'!C382/'Data Checks'!C381),AP171*('Data Checks'!C381/'Data Checks'!C382))</f>
        <v>111.96343185073496</v>
      </c>
      <c r="AQ172">
        <f>IF(AL171="BUY",AQ171*('Data Checks'!D382/'Data Checks'!D381),AQ171*('Data Checks'!D381/'Data Checks'!D382))</f>
        <v>292.25645913762639</v>
      </c>
      <c r="AR172">
        <f>IF(AM171="BUY",AR171*('Data Checks'!E382/'Data Checks'!E381),AR171*('Data Checks'!E381/'Data Checks'!E382))</f>
        <v>101.07130896982552</v>
      </c>
      <c r="AS172">
        <f>IF(AN171="BUY",AS171*('Data Checks'!F382/'Data Checks'!F381),AS171*('Data Checks'!F381/'Data Checks'!F382))</f>
        <v>201.55612599614082</v>
      </c>
      <c r="AT172" s="16">
        <f t="shared" si="28"/>
        <v>837.05238944913276</v>
      </c>
      <c r="AU172" s="17">
        <f t="shared" si="32"/>
        <v>-1.4027745074772779E-3</v>
      </c>
    </row>
    <row r="173" spans="1:47" x14ac:dyDescent="0.35">
      <c r="A173" s="2">
        <f>Prices!A381</f>
        <v>44439</v>
      </c>
      <c r="B173">
        <f>B172*('Data Checks'!B383/'Data Checks'!B382)</f>
        <v>363.63980619891487</v>
      </c>
      <c r="C173">
        <f>C172*('Data Checks'!C383/'Data Checks'!C382)</f>
        <v>109.88061747220273</v>
      </c>
      <c r="D173">
        <f>D172*('Data Checks'!D383/'Data Checks'!D382)</f>
        <v>204.4748740102668</v>
      </c>
      <c r="E173">
        <f>E172*('Data Checks'!E383/'Data Checks'!E382)</f>
        <v>99.363906951325419</v>
      </c>
      <c r="F173">
        <f>F172*('Data Checks'!F383/'Data Checks'!F382)</f>
        <v>131.47354122279754</v>
      </c>
      <c r="G173" s="16">
        <f t="shared" si="25"/>
        <v>908.83274585550737</v>
      </c>
      <c r="H173" s="17">
        <f t="shared" si="29"/>
        <v>-4.8755369414349436E-3</v>
      </c>
      <c r="J173" t="str">
        <f>IF(AND('Data Checks'!B383&gt;'Data Checks'!B382,'Data Checks'!B382&gt;'Data Checks'!B381,'Data Checks'!B381&gt;'Data Checks'!B380),"SELL",IF(AND('Data Checks'!B383&lt;'Data Checks'!B382,'Data Checks'!B382&lt;'Data Checks'!B381,'Data Checks'!B381&lt;'Data Checks'!B380),"BUY",""))</f>
        <v/>
      </c>
      <c r="K173" t="str">
        <f>IF(AND('Data Checks'!C383&gt;'Data Checks'!C382,'Data Checks'!C382&gt;'Data Checks'!C381,'Data Checks'!C381&gt;'Data Checks'!C380),"SELL",IF(AND('Data Checks'!C383&lt;'Data Checks'!C382,'Data Checks'!C382&lt;'Data Checks'!C381,'Data Checks'!C381&lt;'Data Checks'!C380),"BUY",""))</f>
        <v/>
      </c>
      <c r="L173" t="str">
        <f>IF(AND('Data Checks'!D383&gt;'Data Checks'!D382,'Data Checks'!D382&gt;'Data Checks'!D381,'Data Checks'!D381&gt;'Data Checks'!D380),"SELL",IF(AND('Data Checks'!D383&lt;'Data Checks'!D382,'Data Checks'!D382&lt;'Data Checks'!D381,'Data Checks'!D381&lt;'Data Checks'!D380),"BUY",""))</f>
        <v/>
      </c>
      <c r="M173" t="str">
        <f>IF(AND('Data Checks'!E383&gt;'Data Checks'!E382,'Data Checks'!E382&gt;'Data Checks'!E381,'Data Checks'!E381&gt;'Data Checks'!E380),"SELL",IF(AND('Data Checks'!E383&lt;'Data Checks'!E382,'Data Checks'!E382&lt;'Data Checks'!E381,'Data Checks'!E381&lt;'Data Checks'!E380),"BUY",""))</f>
        <v/>
      </c>
      <c r="N173" t="str">
        <f>IF(AND('Data Checks'!F383&gt;'Data Checks'!F382,'Data Checks'!F382&gt;'Data Checks'!F381,'Data Checks'!F381&gt;'Data Checks'!F380),"SELL",IF(AND('Data Checks'!F383&lt;'Data Checks'!F382,'Data Checks'!F382&lt;'Data Checks'!F381,'Data Checks'!F381&lt;'Data Checks'!F380),"BUY",""))</f>
        <v>BUY</v>
      </c>
      <c r="O173">
        <f>IF(J172="BUY",O172*('Data Checks'!B383/'Data Checks'!B382),IF(J172="SELL",O172*('Data Checks'!B382/'Data Checks'!B383),O172))</f>
        <v>214.46712154978096</v>
      </c>
      <c r="P173">
        <f>IF(K172="BUY",P172*('Data Checks'!C383/'Data Checks'!C382),IF(K172="SELL",P172*('Data Checks'!C382/'Data Checks'!C383),P172))</f>
        <v>222.02004322534455</v>
      </c>
      <c r="Q173">
        <f>IF(L172="BUY",Q172*('Data Checks'!D383/'Data Checks'!D382),IF(L172="SELL",Q172*('Data Checks'!D382/'Data Checks'!D383),Q172))</f>
        <v>260.17572061893031</v>
      </c>
      <c r="R173">
        <f>IF(M172="BUY",R172*('Data Checks'!E383/'Data Checks'!E382),IF(M172="SELL",R172*('Data Checks'!E382/'Data Checks'!E383),R172))</f>
        <v>197.31745521021699</v>
      </c>
      <c r="S173">
        <f>IF(N172="BUY",S172*('Data Checks'!F383/'Data Checks'!F382),IF(N172="SELL",S172*('Data Checks'!F382/'Data Checks'!F383),S172))</f>
        <v>204.72223722078681</v>
      </c>
      <c r="T173" s="16">
        <f t="shared" si="26"/>
        <v>1098.7025778250595</v>
      </c>
      <c r="U173" s="17">
        <f t="shared" si="30"/>
        <v>0</v>
      </c>
      <c r="W173" t="str">
        <f>IF(AND('Data Checks'!B383&gt;'Data Checks'!B382,'Data Checks'!B382&gt;'Data Checks'!B381,'Data Checks'!B381&gt;'Data Checks'!B380),"BUY",IF(AND('Data Checks'!B383&lt;'Data Checks'!B382,'Data Checks'!B382&lt;'Data Checks'!B381,'Data Checks'!B381&lt;'Data Checks'!B380),"SELL",""))</f>
        <v/>
      </c>
      <c r="X173" t="str">
        <f>IF(AND('Data Checks'!C383&gt;'Data Checks'!C382,'Data Checks'!C382&gt;'Data Checks'!C381,'Data Checks'!C381&gt;'Data Checks'!C380),"BUY",IF(AND('Data Checks'!C383&lt;'Data Checks'!C382,'Data Checks'!C382&lt;'Data Checks'!C381,'Data Checks'!C381&lt;'Data Checks'!C380),"SELL",""))</f>
        <v/>
      </c>
      <c r="Y173" t="str">
        <f>IF(AND('Data Checks'!D383&gt;'Data Checks'!D382,'Data Checks'!D382&gt;'Data Checks'!D381,'Data Checks'!D381&gt;'Data Checks'!D380),"BUY",IF(AND('Data Checks'!D383&lt;'Data Checks'!D382,'Data Checks'!D382&lt;'Data Checks'!D381,'Data Checks'!D381&lt;'Data Checks'!D380),"SELL",""))</f>
        <v/>
      </c>
      <c r="Z173" t="str">
        <f>IF(AND('Data Checks'!E383&gt;'Data Checks'!E382,'Data Checks'!E382&gt;'Data Checks'!E381,'Data Checks'!E381&gt;'Data Checks'!E380),"BUY",IF(AND('Data Checks'!E383&lt;'Data Checks'!E382,'Data Checks'!E382&lt;'Data Checks'!E381,'Data Checks'!E381&lt;'Data Checks'!E380),"SELL",""))</f>
        <v/>
      </c>
      <c r="AA173" t="str">
        <f>IF(AND('Data Checks'!F383&gt;'Data Checks'!F382,'Data Checks'!F382&gt;'Data Checks'!F381,'Data Checks'!F381&gt;'Data Checks'!F380),"BUY",IF(AND('Data Checks'!F383&lt;'Data Checks'!F382,'Data Checks'!F382&lt;'Data Checks'!F381,'Data Checks'!F381&lt;'Data Checks'!F380),"SELL",""))</f>
        <v>SELL</v>
      </c>
      <c r="AB173">
        <f>IF(W172="BUY",AB172*('Data Checks'!B383/'Data Checks'!B382),IF(W172="SELL",AB172*('Data Checks'!B382/'Data Checks'!B383),AB172))</f>
        <v>186.50877444967918</v>
      </c>
      <c r="AC173">
        <f>IF(X172="BUY",AC172*('Data Checks'!C383/'Data Checks'!C382),IF(X172="SELL",AC172*('Data Checks'!C382/'Data Checks'!C383),AC172))</f>
        <v>180.16391411743433</v>
      </c>
      <c r="AD173">
        <f>IF(Y172="BUY",AD172*('Data Checks'!D383/'Data Checks'!D382),IF(Y172="SELL",AD172*('Data Checks'!D382/'Data Checks'!D383),AD172))</f>
        <v>153.74224737359913</v>
      </c>
      <c r="AE173">
        <f>IF(Z172="BUY",AE172*('Data Checks'!E383/'Data Checks'!E382),IF(Z172="SELL",AE172*('Data Checks'!E382/'Data Checks'!E383),AE172))</f>
        <v>202.71901417634339</v>
      </c>
      <c r="AF173">
        <f>IF(AA172="BUY",AF172*('Data Checks'!F383/'Data Checks'!F382),IF(AA172="SELL",AF172*('Data Checks'!F382/'Data Checks'!F383),AF172))</f>
        <v>195.38668853477421</v>
      </c>
      <c r="AG173" s="16">
        <f t="shared" si="27"/>
        <v>918.52063865183027</v>
      </c>
      <c r="AH173" s="17">
        <f t="shared" si="31"/>
        <v>0</v>
      </c>
      <c r="AJ173" t="str">
        <f>IF('Moving Ave'!G383&gt;'Moving Ave'!L383,"SELL","BUY")</f>
        <v>SELL</v>
      </c>
      <c r="AK173" t="str">
        <f>IF('Moving Ave'!H383&gt;'Moving Ave'!M383,"SELL","BUY")</f>
        <v>BUY</v>
      </c>
      <c r="AL173" t="str">
        <f>IF('Moving Ave'!I383&gt;'Moving Ave'!N383,"SELL","BUY")</f>
        <v>SELL</v>
      </c>
      <c r="AM173" t="str">
        <f>IF('Moving Ave'!J383&gt;'Moving Ave'!O383,"SELL","BUY")</f>
        <v>BUY</v>
      </c>
      <c r="AN173" t="str">
        <f>IF('Moving Ave'!K383&gt;'Moving Ave'!P383,"SELL","BUY")</f>
        <v>BUY</v>
      </c>
      <c r="AO173">
        <f>IF(AJ172="BUY",AO172*('Data Checks'!B383/'Data Checks'!B382),AO172*('Data Checks'!B382/'Data Checks'!B383))</f>
        <v>128.35025511229796</v>
      </c>
      <c r="AP173">
        <f>IF(AK172="BUY",AP172*('Data Checks'!C383/'Data Checks'!C382),AP172*('Data Checks'!C382/'Data Checks'!C383))</f>
        <v>109.88061747220273</v>
      </c>
      <c r="AQ173">
        <f>IF(AL172="BUY",AQ172*('Data Checks'!D383/'Data Checks'!D382),AQ172*('Data Checks'!D382/'Data Checks'!D383))</f>
        <v>295.83627857831266</v>
      </c>
      <c r="AR173">
        <f>IF(AM172="BUY",AR172*('Data Checks'!E383/'Data Checks'!E382),AR172*('Data Checks'!E382/'Data Checks'!E383))</f>
        <v>99.363906951325419</v>
      </c>
      <c r="AS173">
        <f>IF(AN172="BUY",AS172*('Data Checks'!F383/'Data Checks'!F382),AS172*('Data Checks'!F382/'Data Checks'!F383))</f>
        <v>196.56534841537089</v>
      </c>
      <c r="AT173" s="16">
        <f t="shared" si="28"/>
        <v>829.99640652950961</v>
      </c>
      <c r="AU173" s="17">
        <f t="shared" si="32"/>
        <v>-8.4295594977833455E-3</v>
      </c>
    </row>
    <row r="174" spans="1:47" x14ac:dyDescent="0.35">
      <c r="A174" s="2">
        <f>Prices!A382</f>
        <v>44440</v>
      </c>
      <c r="B174">
        <f>B173*('Data Checks'!B384/'Data Checks'!B383)</f>
        <v>368.71461146825061</v>
      </c>
      <c r="C174">
        <f>C173*('Data Checks'!C384/'Data Checks'!C383)</f>
        <v>107.8994185394824</v>
      </c>
      <c r="D174">
        <f>D173*('Data Checks'!D384/'Data Checks'!D383)</f>
        <v>207.74753728080719</v>
      </c>
      <c r="E174">
        <f>E173*('Data Checks'!E384/'Data Checks'!E383)</f>
        <v>97.756946844427546</v>
      </c>
      <c r="F174">
        <f>F173*('Data Checks'!F384/'Data Checks'!F383)</f>
        <v>131.56890698477224</v>
      </c>
      <c r="G174" s="16">
        <f t="shared" si="25"/>
        <v>913.68742111773986</v>
      </c>
      <c r="H174" s="17">
        <f t="shared" si="29"/>
        <v>5.3416597106243913E-3</v>
      </c>
      <c r="J174" t="str">
        <f>IF(AND('Data Checks'!B384&gt;'Data Checks'!B383,'Data Checks'!B383&gt;'Data Checks'!B382,'Data Checks'!B382&gt;'Data Checks'!B381),"SELL",IF(AND('Data Checks'!B384&lt;'Data Checks'!B383,'Data Checks'!B383&lt;'Data Checks'!B382,'Data Checks'!B382&lt;'Data Checks'!B381),"BUY",""))</f>
        <v>SELL</v>
      </c>
      <c r="K174" t="str">
        <f>IF(AND('Data Checks'!C384&gt;'Data Checks'!C383,'Data Checks'!C383&gt;'Data Checks'!C382,'Data Checks'!C382&gt;'Data Checks'!C381),"SELL",IF(AND('Data Checks'!C384&lt;'Data Checks'!C383,'Data Checks'!C383&lt;'Data Checks'!C382,'Data Checks'!C382&lt;'Data Checks'!C381),"BUY",""))</f>
        <v/>
      </c>
      <c r="L174" t="str">
        <f>IF(AND('Data Checks'!D384&gt;'Data Checks'!D383,'Data Checks'!D383&gt;'Data Checks'!D382,'Data Checks'!D382&gt;'Data Checks'!D381),"SELL",IF(AND('Data Checks'!D384&lt;'Data Checks'!D383,'Data Checks'!D383&lt;'Data Checks'!D382,'Data Checks'!D382&lt;'Data Checks'!D381),"BUY",""))</f>
        <v/>
      </c>
      <c r="M174" t="str">
        <f>IF(AND('Data Checks'!E384&gt;'Data Checks'!E383,'Data Checks'!E383&gt;'Data Checks'!E382,'Data Checks'!E382&gt;'Data Checks'!E381),"SELL",IF(AND('Data Checks'!E384&lt;'Data Checks'!E383,'Data Checks'!E383&lt;'Data Checks'!E382,'Data Checks'!E382&lt;'Data Checks'!E381),"BUY",""))</f>
        <v/>
      </c>
      <c r="N174" t="str">
        <f>IF(AND('Data Checks'!F384&gt;'Data Checks'!F383,'Data Checks'!F383&gt;'Data Checks'!F382,'Data Checks'!F382&gt;'Data Checks'!F381),"SELL",IF(AND('Data Checks'!F384&lt;'Data Checks'!F383,'Data Checks'!F383&lt;'Data Checks'!F382,'Data Checks'!F382&lt;'Data Checks'!F381),"BUY",""))</f>
        <v/>
      </c>
      <c r="O174">
        <f>IF(J173="BUY",O173*('Data Checks'!B384/'Data Checks'!B383),IF(J173="SELL",O173*('Data Checks'!B383/'Data Checks'!B384),O173))</f>
        <v>214.46712154978096</v>
      </c>
      <c r="P174">
        <f>IF(K173="BUY",P173*('Data Checks'!C384/'Data Checks'!C383),IF(K173="SELL",P173*('Data Checks'!C383/'Data Checks'!C384),P173))</f>
        <v>222.02004322534455</v>
      </c>
      <c r="Q174">
        <f>IF(L173="BUY",Q173*('Data Checks'!D384/'Data Checks'!D383),IF(L173="SELL",Q173*('Data Checks'!D383/'Data Checks'!D384),Q173))</f>
        <v>260.17572061893031</v>
      </c>
      <c r="R174">
        <f>IF(M173="BUY",R173*('Data Checks'!E384/'Data Checks'!E383),IF(M173="SELL",R173*('Data Checks'!E383/'Data Checks'!E384),R173))</f>
        <v>197.31745521021699</v>
      </c>
      <c r="S174">
        <f>IF(N173="BUY",S173*('Data Checks'!F384/'Data Checks'!F383),IF(N173="SELL",S173*('Data Checks'!F383/'Data Checks'!F384),S173))</f>
        <v>204.87073472046731</v>
      </c>
      <c r="T174" s="16">
        <f t="shared" si="26"/>
        <v>1098.8510753247401</v>
      </c>
      <c r="U174" s="17">
        <f t="shared" si="30"/>
        <v>1.3515714141187907E-4</v>
      </c>
      <c r="W174" t="str">
        <f>IF(AND('Data Checks'!B384&gt;'Data Checks'!B383,'Data Checks'!B383&gt;'Data Checks'!B382,'Data Checks'!B382&gt;'Data Checks'!B381),"BUY",IF(AND('Data Checks'!B384&lt;'Data Checks'!B383,'Data Checks'!B383&lt;'Data Checks'!B382,'Data Checks'!B382&lt;'Data Checks'!B381),"SELL",""))</f>
        <v>BUY</v>
      </c>
      <c r="X174" t="str">
        <f>IF(AND('Data Checks'!C384&gt;'Data Checks'!C383,'Data Checks'!C383&gt;'Data Checks'!C382,'Data Checks'!C382&gt;'Data Checks'!C381),"BUY",IF(AND('Data Checks'!C384&lt;'Data Checks'!C383,'Data Checks'!C383&lt;'Data Checks'!C382,'Data Checks'!C382&lt;'Data Checks'!C381),"SELL",""))</f>
        <v/>
      </c>
      <c r="Y174" t="str">
        <f>IF(AND('Data Checks'!D384&gt;'Data Checks'!D383,'Data Checks'!D383&gt;'Data Checks'!D382,'Data Checks'!D382&gt;'Data Checks'!D381),"BUY",IF(AND('Data Checks'!D384&lt;'Data Checks'!D383,'Data Checks'!D383&lt;'Data Checks'!D382,'Data Checks'!D382&lt;'Data Checks'!D381),"SELL",""))</f>
        <v/>
      </c>
      <c r="Z174" t="str">
        <f>IF(AND('Data Checks'!E384&gt;'Data Checks'!E383,'Data Checks'!E383&gt;'Data Checks'!E382,'Data Checks'!E382&gt;'Data Checks'!E381),"BUY",IF(AND('Data Checks'!E384&lt;'Data Checks'!E383,'Data Checks'!E383&lt;'Data Checks'!E382,'Data Checks'!E382&lt;'Data Checks'!E381),"SELL",""))</f>
        <v/>
      </c>
      <c r="AA174" t="str">
        <f>IF(AND('Data Checks'!F384&gt;'Data Checks'!F383,'Data Checks'!F383&gt;'Data Checks'!F382,'Data Checks'!F382&gt;'Data Checks'!F381),"BUY",IF(AND('Data Checks'!F384&lt;'Data Checks'!F383,'Data Checks'!F383&lt;'Data Checks'!F382,'Data Checks'!F382&lt;'Data Checks'!F381),"SELL",""))</f>
        <v/>
      </c>
      <c r="AB174">
        <f>IF(W173="BUY",AB173*('Data Checks'!B384/'Data Checks'!B383),IF(W173="SELL",AB173*('Data Checks'!B383/'Data Checks'!B384),AB173))</f>
        <v>186.50877444967918</v>
      </c>
      <c r="AC174">
        <f>IF(X173="BUY",AC173*('Data Checks'!C384/'Data Checks'!C383),IF(X173="SELL",AC173*('Data Checks'!C383/'Data Checks'!C384),AC173))</f>
        <v>180.16391411743433</v>
      </c>
      <c r="AD174">
        <f>IF(Y173="BUY",AD173*('Data Checks'!D384/'Data Checks'!D383),IF(Y173="SELL",AD173*('Data Checks'!D383/'Data Checks'!D384),AD173))</f>
        <v>153.74224737359913</v>
      </c>
      <c r="AE174">
        <f>IF(Z173="BUY",AE173*('Data Checks'!E384/'Data Checks'!E383),IF(Z173="SELL",AE173*('Data Checks'!E383/'Data Checks'!E384),AE173))</f>
        <v>202.71901417634339</v>
      </c>
      <c r="AF174">
        <f>IF(AA173="BUY",AF173*('Data Checks'!F384/'Data Checks'!F383),IF(AA173="SELL",AF173*('Data Checks'!F383/'Data Checks'!F384),AF173))</f>
        <v>195.24506540466803</v>
      </c>
      <c r="AG174" s="16">
        <f t="shared" si="27"/>
        <v>918.37901552172411</v>
      </c>
      <c r="AH174" s="17">
        <f t="shared" si="31"/>
        <v>-1.5418611639905766E-4</v>
      </c>
      <c r="AJ174" t="str">
        <f>IF('Moving Ave'!G384&gt;'Moving Ave'!L384,"SELL","BUY")</f>
        <v>SELL</v>
      </c>
      <c r="AK174" t="str">
        <f>IF('Moving Ave'!H384&gt;'Moving Ave'!M384,"SELL","BUY")</f>
        <v>BUY</v>
      </c>
      <c r="AL174" t="str">
        <f>IF('Moving Ave'!I384&gt;'Moving Ave'!N384,"SELL","BUY")</f>
        <v>SELL</v>
      </c>
      <c r="AM174" t="str">
        <f>IF('Moving Ave'!J384&gt;'Moving Ave'!O384,"SELL","BUY")</f>
        <v>BUY</v>
      </c>
      <c r="AN174" t="str">
        <f>IF('Moving Ave'!K384&gt;'Moving Ave'!P384,"SELL","BUY")</f>
        <v>BUY</v>
      </c>
      <c r="AO174">
        <f>IF(AJ173="BUY",AO173*('Data Checks'!B384/'Data Checks'!B383),AO173*('Data Checks'!B383/'Data Checks'!B384))</f>
        <v>126.58370577927657</v>
      </c>
      <c r="AP174">
        <f>IF(AK173="BUY",AP173*('Data Checks'!C384/'Data Checks'!C383),AP173*('Data Checks'!C383/'Data Checks'!C384))</f>
        <v>107.8994185394824</v>
      </c>
      <c r="AQ174">
        <f>IF(AL173="BUY",AQ173*('Data Checks'!D384/'Data Checks'!D383),AQ173*('Data Checks'!D383/'Data Checks'!D384))</f>
        <v>291.17594644793485</v>
      </c>
      <c r="AR174">
        <f>IF(AM173="BUY",AR173*('Data Checks'!E384/'Data Checks'!E383),AR173*('Data Checks'!E383/'Data Checks'!E384))</f>
        <v>97.756946844427546</v>
      </c>
      <c r="AS174">
        <f>IF(AN173="BUY",AS173*('Data Checks'!F384/'Data Checks'!F383),AS173*('Data Checks'!F383/'Data Checks'!F384))</f>
        <v>196.70792922710768</v>
      </c>
      <c r="AT174" s="16">
        <f t="shared" si="28"/>
        <v>820.12394683822902</v>
      </c>
      <c r="AU174" s="17">
        <f t="shared" si="32"/>
        <v>-1.1894581245912361E-2</v>
      </c>
    </row>
    <row r="175" spans="1:47" x14ac:dyDescent="0.35">
      <c r="A175" s="2">
        <f>Prices!A383</f>
        <v>44441</v>
      </c>
      <c r="B175">
        <f>B174*('Data Checks'!B385/'Data Checks'!B384)</f>
        <v>372.12131995025698</v>
      </c>
      <c r="C175">
        <f>C174*('Data Checks'!C385/'Data Checks'!C384)</f>
        <v>108.86462049440246</v>
      </c>
      <c r="D175">
        <f>D174*('Data Checks'!D385/'Data Checks'!D384)</f>
        <v>208.11488074995637</v>
      </c>
      <c r="E175">
        <f>E174*('Data Checks'!E385/'Data Checks'!E384)</f>
        <v>97.221292359514734</v>
      </c>
      <c r="F175">
        <f>F174*('Data Checks'!F385/'Data Checks'!F384)</f>
        <v>130.80590935821527</v>
      </c>
      <c r="G175" s="16">
        <f t="shared" si="25"/>
        <v>917.12802291234584</v>
      </c>
      <c r="H175" s="17">
        <f t="shared" si="29"/>
        <v>3.7656223726896254E-3</v>
      </c>
      <c r="J175" t="str">
        <f>IF(AND('Data Checks'!B385&gt;'Data Checks'!B384,'Data Checks'!B384&gt;'Data Checks'!B383,'Data Checks'!B383&gt;'Data Checks'!B382),"SELL",IF(AND('Data Checks'!B385&lt;'Data Checks'!B384,'Data Checks'!B384&lt;'Data Checks'!B383,'Data Checks'!B383&lt;'Data Checks'!B382),"BUY",""))</f>
        <v>SELL</v>
      </c>
      <c r="K175" t="str">
        <f>IF(AND('Data Checks'!C385&gt;'Data Checks'!C384,'Data Checks'!C384&gt;'Data Checks'!C383,'Data Checks'!C383&gt;'Data Checks'!C382),"SELL",IF(AND('Data Checks'!C385&lt;'Data Checks'!C384,'Data Checks'!C384&lt;'Data Checks'!C383,'Data Checks'!C383&lt;'Data Checks'!C382),"BUY",""))</f>
        <v/>
      </c>
      <c r="L175" t="str">
        <f>IF(AND('Data Checks'!D385&gt;'Data Checks'!D384,'Data Checks'!D384&gt;'Data Checks'!D383,'Data Checks'!D383&gt;'Data Checks'!D382),"SELL",IF(AND('Data Checks'!D385&lt;'Data Checks'!D384,'Data Checks'!D384&lt;'Data Checks'!D383,'Data Checks'!D383&lt;'Data Checks'!D382),"BUY",""))</f>
        <v/>
      </c>
      <c r="M175" t="str">
        <f>IF(AND('Data Checks'!E385&gt;'Data Checks'!E384,'Data Checks'!E384&gt;'Data Checks'!E383,'Data Checks'!E383&gt;'Data Checks'!E382),"SELL",IF(AND('Data Checks'!E385&lt;'Data Checks'!E384,'Data Checks'!E384&lt;'Data Checks'!E383,'Data Checks'!E383&lt;'Data Checks'!E382),"BUY",""))</f>
        <v>BUY</v>
      </c>
      <c r="N175" t="str">
        <f>IF(AND('Data Checks'!F385&gt;'Data Checks'!F384,'Data Checks'!F384&gt;'Data Checks'!F383,'Data Checks'!F383&gt;'Data Checks'!F382),"SELL",IF(AND('Data Checks'!F385&lt;'Data Checks'!F384,'Data Checks'!F384&lt;'Data Checks'!F383,'Data Checks'!F383&lt;'Data Checks'!F382),"BUY",""))</f>
        <v/>
      </c>
      <c r="O175">
        <f>IF(J174="BUY",O174*('Data Checks'!B385/'Data Checks'!B384),IF(J174="SELL",O174*('Data Checks'!B384/'Data Checks'!B385),O174))</f>
        <v>212.50371090135909</v>
      </c>
      <c r="P175">
        <f>IF(K174="BUY",P174*('Data Checks'!C385/'Data Checks'!C384),IF(K174="SELL",P174*('Data Checks'!C384/'Data Checks'!C385),P174))</f>
        <v>222.02004322534455</v>
      </c>
      <c r="Q175">
        <f>IF(L174="BUY",Q174*('Data Checks'!D385/'Data Checks'!D384),IF(L174="SELL",Q174*('Data Checks'!D384/'Data Checks'!D385),Q174))</f>
        <v>260.17572061893031</v>
      </c>
      <c r="R175">
        <f>IF(M174="BUY",R174*('Data Checks'!E385/'Data Checks'!E384),IF(M174="SELL",R174*('Data Checks'!E384/'Data Checks'!E385),R174))</f>
        <v>197.31745521021699</v>
      </c>
      <c r="S175">
        <f>IF(N174="BUY",S174*('Data Checks'!F385/'Data Checks'!F384),IF(N174="SELL",S174*('Data Checks'!F384/'Data Checks'!F385),S174))</f>
        <v>204.87073472046731</v>
      </c>
      <c r="T175" s="16">
        <f t="shared" si="26"/>
        <v>1096.8876646763183</v>
      </c>
      <c r="U175" s="17">
        <f t="shared" si="30"/>
        <v>-1.7867850271171548E-3</v>
      </c>
      <c r="W175" t="str">
        <f>IF(AND('Data Checks'!B385&gt;'Data Checks'!B384,'Data Checks'!B384&gt;'Data Checks'!B383,'Data Checks'!B383&gt;'Data Checks'!B382),"BUY",IF(AND('Data Checks'!B385&lt;'Data Checks'!B384,'Data Checks'!B384&lt;'Data Checks'!B383,'Data Checks'!B383&lt;'Data Checks'!B382),"SELL",""))</f>
        <v>BUY</v>
      </c>
      <c r="X175" t="str">
        <f>IF(AND('Data Checks'!C385&gt;'Data Checks'!C384,'Data Checks'!C384&gt;'Data Checks'!C383,'Data Checks'!C383&gt;'Data Checks'!C382),"BUY",IF(AND('Data Checks'!C385&lt;'Data Checks'!C384,'Data Checks'!C384&lt;'Data Checks'!C383,'Data Checks'!C383&lt;'Data Checks'!C382),"SELL",""))</f>
        <v/>
      </c>
      <c r="Y175" t="str">
        <f>IF(AND('Data Checks'!D385&gt;'Data Checks'!D384,'Data Checks'!D384&gt;'Data Checks'!D383,'Data Checks'!D383&gt;'Data Checks'!D382),"BUY",IF(AND('Data Checks'!D385&lt;'Data Checks'!D384,'Data Checks'!D384&lt;'Data Checks'!D383,'Data Checks'!D383&lt;'Data Checks'!D382),"SELL",""))</f>
        <v/>
      </c>
      <c r="Z175" t="str">
        <f>IF(AND('Data Checks'!E385&gt;'Data Checks'!E384,'Data Checks'!E384&gt;'Data Checks'!E383,'Data Checks'!E383&gt;'Data Checks'!E382),"BUY",IF(AND('Data Checks'!E385&lt;'Data Checks'!E384,'Data Checks'!E384&lt;'Data Checks'!E383,'Data Checks'!E383&lt;'Data Checks'!E382),"SELL",""))</f>
        <v>SELL</v>
      </c>
      <c r="AA175" t="str">
        <f>IF(AND('Data Checks'!F385&gt;'Data Checks'!F384,'Data Checks'!F384&gt;'Data Checks'!F383,'Data Checks'!F383&gt;'Data Checks'!F382),"BUY",IF(AND('Data Checks'!F385&lt;'Data Checks'!F384,'Data Checks'!F384&lt;'Data Checks'!F383,'Data Checks'!F383&lt;'Data Checks'!F382),"SELL",""))</f>
        <v/>
      </c>
      <c r="AB175">
        <f>IF(W174="BUY",AB174*('Data Checks'!B385/'Data Checks'!B384),IF(W174="SELL",AB174*('Data Checks'!B384/'Data Checks'!B385),AB174))</f>
        <v>188.23200700983239</v>
      </c>
      <c r="AC175">
        <f>IF(X174="BUY",AC174*('Data Checks'!C385/'Data Checks'!C384),IF(X174="SELL",AC174*('Data Checks'!C384/'Data Checks'!C385),AC174))</f>
        <v>180.16391411743433</v>
      </c>
      <c r="AD175">
        <f>IF(Y174="BUY",AD174*('Data Checks'!D385/'Data Checks'!D384),IF(Y174="SELL",AD174*('Data Checks'!D384/'Data Checks'!D385),AD174))</f>
        <v>153.74224737359913</v>
      </c>
      <c r="AE175">
        <f>IF(Z174="BUY",AE174*('Data Checks'!E385/'Data Checks'!E384),IF(Z174="SELL",AE174*('Data Checks'!E384/'Data Checks'!E385),AE174))</f>
        <v>202.71901417634339</v>
      </c>
      <c r="AF175">
        <f>IF(AA174="BUY",AF174*('Data Checks'!F385/'Data Checks'!F384),IF(AA174="SELL",AF174*('Data Checks'!F384/'Data Checks'!F385),AF174))</f>
        <v>195.24506540466803</v>
      </c>
      <c r="AG175" s="16">
        <f t="shared" si="27"/>
        <v>920.10224808187729</v>
      </c>
      <c r="AH175" s="17">
        <f t="shared" si="31"/>
        <v>1.8763849467686722E-3</v>
      </c>
      <c r="AJ175" t="str">
        <f>IF('Moving Ave'!G385&gt;'Moving Ave'!L385,"SELL","BUY")</f>
        <v>SELL</v>
      </c>
      <c r="AK175" t="str">
        <f>IF('Moving Ave'!H385&gt;'Moving Ave'!M385,"SELL","BUY")</f>
        <v>BUY</v>
      </c>
      <c r="AL175" t="str">
        <f>IF('Moving Ave'!I385&gt;'Moving Ave'!N385,"SELL","BUY")</f>
        <v>SELL</v>
      </c>
      <c r="AM175" t="str">
        <f>IF('Moving Ave'!J385&gt;'Moving Ave'!O385,"SELL","BUY")</f>
        <v>BUY</v>
      </c>
      <c r="AN175" t="str">
        <f>IF('Moving Ave'!K385&gt;'Moving Ave'!P385,"SELL","BUY")</f>
        <v>BUY</v>
      </c>
      <c r="AO175">
        <f>IF(AJ174="BUY",AO174*('Data Checks'!B385/'Data Checks'!B384),AO174*('Data Checks'!B384/'Data Checks'!B385))</f>
        <v>125.42485311203433</v>
      </c>
      <c r="AP175">
        <f>IF(AK174="BUY",AP174*('Data Checks'!C385/'Data Checks'!C384),AP174*('Data Checks'!C384/'Data Checks'!C385))</f>
        <v>108.86462049440246</v>
      </c>
      <c r="AQ175">
        <f>IF(AL174="BUY",AQ174*('Data Checks'!D385/'Data Checks'!D384),AQ174*('Data Checks'!D384/'Data Checks'!D385))</f>
        <v>290.66199193437228</v>
      </c>
      <c r="AR175">
        <f>IF(AM174="BUY",AR174*('Data Checks'!E385/'Data Checks'!E384),AR174*('Data Checks'!E384/'Data Checks'!E385))</f>
        <v>97.221292359514734</v>
      </c>
      <c r="AS175">
        <f>IF(AN174="BUY",AS174*('Data Checks'!F385/'Data Checks'!F384),AS174*('Data Checks'!F384/'Data Checks'!F385))</f>
        <v>195.56717578797947</v>
      </c>
      <c r="AT175" s="16">
        <f t="shared" si="28"/>
        <v>817.73993368830338</v>
      </c>
      <c r="AU175" s="17">
        <f t="shared" si="32"/>
        <v>-2.9068937190732669E-3</v>
      </c>
    </row>
    <row r="176" spans="1:47" x14ac:dyDescent="0.35">
      <c r="A176" s="2">
        <f>Prices!A384</f>
        <v>44442</v>
      </c>
      <c r="B176">
        <f>B175*('Data Checks'!B386/'Data Checks'!B385)</f>
        <v>354.89802290347268</v>
      </c>
      <c r="C176">
        <f>C175*('Data Checks'!C386/'Data Checks'!C385)</f>
        <v>106.98501160744263</v>
      </c>
      <c r="D176">
        <f>D175*('Data Checks'!D386/'Data Checks'!D385)</f>
        <v>201.20220740027074</v>
      </c>
      <c r="E176">
        <f>E175*('Data Checks'!E386/'Data Checks'!E385)</f>
        <v>96.886508306444227</v>
      </c>
      <c r="F176">
        <f>F175*('Data Checks'!F386/'Data Checks'!F385)</f>
        <v>130.47210773207601</v>
      </c>
      <c r="G176" s="16">
        <f t="shared" si="25"/>
        <v>890.44385794970617</v>
      </c>
      <c r="H176" s="17">
        <f t="shared" si="29"/>
        <v>-2.9095354515396799E-2</v>
      </c>
      <c r="J176" t="str">
        <f>IF(AND('Data Checks'!B386&gt;'Data Checks'!B385,'Data Checks'!B385&gt;'Data Checks'!B384,'Data Checks'!B384&gt;'Data Checks'!B383),"SELL",IF(AND('Data Checks'!B386&lt;'Data Checks'!B385,'Data Checks'!B385&lt;'Data Checks'!B384,'Data Checks'!B384&lt;'Data Checks'!B383),"BUY",""))</f>
        <v/>
      </c>
      <c r="K176" t="str">
        <f>IF(AND('Data Checks'!C386&gt;'Data Checks'!C385,'Data Checks'!C385&gt;'Data Checks'!C384,'Data Checks'!C384&gt;'Data Checks'!C383),"SELL",IF(AND('Data Checks'!C386&lt;'Data Checks'!C385,'Data Checks'!C385&lt;'Data Checks'!C384,'Data Checks'!C384&lt;'Data Checks'!C383),"BUY",""))</f>
        <v/>
      </c>
      <c r="L176" t="str">
        <f>IF(AND('Data Checks'!D386&gt;'Data Checks'!D385,'Data Checks'!D385&gt;'Data Checks'!D384,'Data Checks'!D384&gt;'Data Checks'!D383),"SELL",IF(AND('Data Checks'!D386&lt;'Data Checks'!D385,'Data Checks'!D385&lt;'Data Checks'!D384,'Data Checks'!D384&lt;'Data Checks'!D383),"BUY",""))</f>
        <v/>
      </c>
      <c r="M176" t="str">
        <f>IF(AND('Data Checks'!E386&gt;'Data Checks'!E385,'Data Checks'!E385&gt;'Data Checks'!E384,'Data Checks'!E384&gt;'Data Checks'!E383),"SELL",IF(AND('Data Checks'!E386&lt;'Data Checks'!E385,'Data Checks'!E385&lt;'Data Checks'!E384,'Data Checks'!E384&lt;'Data Checks'!E383),"BUY",""))</f>
        <v>BUY</v>
      </c>
      <c r="N176" t="str">
        <f>IF(AND('Data Checks'!F386&gt;'Data Checks'!F385,'Data Checks'!F385&gt;'Data Checks'!F384,'Data Checks'!F384&gt;'Data Checks'!F383),"SELL",IF(AND('Data Checks'!F386&lt;'Data Checks'!F385,'Data Checks'!F385&lt;'Data Checks'!F384,'Data Checks'!F384&lt;'Data Checks'!F383),"BUY",""))</f>
        <v/>
      </c>
      <c r="O176">
        <f>IF(J175="BUY",O175*('Data Checks'!B386/'Data Checks'!B385),IF(J175="SELL",O175*('Data Checks'!B385/'Data Checks'!B386),O175))</f>
        <v>222.81657347087969</v>
      </c>
      <c r="P176">
        <f>IF(K175="BUY",P175*('Data Checks'!C386/'Data Checks'!C385),IF(K175="SELL",P175*('Data Checks'!C385/'Data Checks'!C386),P175))</f>
        <v>222.02004322534455</v>
      </c>
      <c r="Q176">
        <f>IF(L175="BUY",Q175*('Data Checks'!D386/'Data Checks'!D385),IF(L175="SELL",Q175*('Data Checks'!D385/'Data Checks'!D386),Q175))</f>
        <v>260.17572061893031</v>
      </c>
      <c r="R176">
        <f>IF(M175="BUY",R175*('Data Checks'!E386/'Data Checks'!E385),IF(M175="SELL",R175*('Data Checks'!E385/'Data Checks'!E386),R175))</f>
        <v>196.63798741264281</v>
      </c>
      <c r="S176">
        <f>IF(N175="BUY",S175*('Data Checks'!F386/'Data Checks'!F385),IF(N175="SELL",S175*('Data Checks'!F385/'Data Checks'!F386),S175))</f>
        <v>204.87073472046731</v>
      </c>
      <c r="T176" s="16">
        <f t="shared" si="26"/>
        <v>1106.5210594482646</v>
      </c>
      <c r="U176" s="17">
        <f t="shared" si="30"/>
        <v>8.7824807244860637E-3</v>
      </c>
      <c r="W176" t="str">
        <f>IF(AND('Data Checks'!B386&gt;'Data Checks'!B385,'Data Checks'!B385&gt;'Data Checks'!B384,'Data Checks'!B384&gt;'Data Checks'!B383),"BUY",IF(AND('Data Checks'!B386&lt;'Data Checks'!B385,'Data Checks'!B385&lt;'Data Checks'!B384,'Data Checks'!B384&lt;'Data Checks'!B383),"SELL",""))</f>
        <v/>
      </c>
      <c r="X176" t="str">
        <f>IF(AND('Data Checks'!C386&gt;'Data Checks'!C385,'Data Checks'!C385&gt;'Data Checks'!C384,'Data Checks'!C384&gt;'Data Checks'!C383),"BUY",IF(AND('Data Checks'!C386&lt;'Data Checks'!C385,'Data Checks'!C385&lt;'Data Checks'!C384,'Data Checks'!C384&lt;'Data Checks'!C383),"SELL",""))</f>
        <v/>
      </c>
      <c r="Y176" t="str">
        <f>IF(AND('Data Checks'!D386&gt;'Data Checks'!D385,'Data Checks'!D385&gt;'Data Checks'!D384,'Data Checks'!D384&gt;'Data Checks'!D383),"BUY",IF(AND('Data Checks'!D386&lt;'Data Checks'!D385,'Data Checks'!D385&lt;'Data Checks'!D384,'Data Checks'!D384&lt;'Data Checks'!D383),"SELL",""))</f>
        <v/>
      </c>
      <c r="Z176" t="str">
        <f>IF(AND('Data Checks'!E386&gt;'Data Checks'!E385,'Data Checks'!E385&gt;'Data Checks'!E384,'Data Checks'!E384&gt;'Data Checks'!E383),"BUY",IF(AND('Data Checks'!E386&lt;'Data Checks'!E385,'Data Checks'!E385&lt;'Data Checks'!E384,'Data Checks'!E384&lt;'Data Checks'!E383),"SELL",""))</f>
        <v>SELL</v>
      </c>
      <c r="AA176" t="str">
        <f>IF(AND('Data Checks'!F386&gt;'Data Checks'!F385,'Data Checks'!F385&gt;'Data Checks'!F384,'Data Checks'!F384&gt;'Data Checks'!F383),"BUY",IF(AND('Data Checks'!F386&lt;'Data Checks'!F385,'Data Checks'!F385&lt;'Data Checks'!F384,'Data Checks'!F384&lt;'Data Checks'!F383),"SELL",""))</f>
        <v/>
      </c>
      <c r="AB176">
        <f>IF(W175="BUY",AB175*('Data Checks'!B386/'Data Checks'!B385),IF(W175="SELL",AB175*('Data Checks'!B385/'Data Checks'!B386),AB175))</f>
        <v>179.51985966262828</v>
      </c>
      <c r="AC176">
        <f>IF(X175="BUY",AC175*('Data Checks'!C386/'Data Checks'!C385),IF(X175="SELL",AC175*('Data Checks'!C385/'Data Checks'!C386),AC175))</f>
        <v>180.16391411743433</v>
      </c>
      <c r="AD176">
        <f>IF(Y175="BUY",AD175*('Data Checks'!D386/'Data Checks'!D385),IF(Y175="SELL",AD175*('Data Checks'!D385/'Data Checks'!D386),AD175))</f>
        <v>153.74224737359913</v>
      </c>
      <c r="AE176">
        <f>IF(Z175="BUY",AE175*('Data Checks'!E386/'Data Checks'!E385),IF(Z175="SELL",AE175*('Data Checks'!E385/'Data Checks'!E386),AE175))</f>
        <v>203.41949450520153</v>
      </c>
      <c r="AF176">
        <f>IF(AA175="BUY",AF175*('Data Checks'!F386/'Data Checks'!F385),IF(AA175="SELL",AF175*('Data Checks'!F385/'Data Checks'!F386),AF175))</f>
        <v>195.24506540466803</v>
      </c>
      <c r="AG176" s="16">
        <f t="shared" si="27"/>
        <v>912.09058106353132</v>
      </c>
      <c r="AH176" s="17">
        <f t="shared" si="31"/>
        <v>-8.7073659857345165E-3</v>
      </c>
      <c r="AJ176" t="str">
        <f>IF('Moving Ave'!G386&gt;'Moving Ave'!L386,"SELL","BUY")</f>
        <v>SELL</v>
      </c>
      <c r="AK176" t="str">
        <f>IF('Moving Ave'!H386&gt;'Moving Ave'!M386,"SELL","BUY")</f>
        <v>BUY</v>
      </c>
      <c r="AL176" t="str">
        <f>IF('Moving Ave'!I386&gt;'Moving Ave'!N386,"SELL","BUY")</f>
        <v>SELL</v>
      </c>
      <c r="AM176" t="str">
        <f>IF('Moving Ave'!J386&gt;'Moving Ave'!O386,"SELL","BUY")</f>
        <v>BUY</v>
      </c>
      <c r="AN176" t="str">
        <f>IF('Moving Ave'!K386&gt;'Moving Ave'!P386,"SELL","BUY")</f>
        <v>BUY</v>
      </c>
      <c r="AO176">
        <f>IF(AJ175="BUY",AO175*('Data Checks'!B386/'Data Checks'!B385),AO175*('Data Checks'!B385/'Data Checks'!B386))</f>
        <v>131.51175515934557</v>
      </c>
      <c r="AP176">
        <f>IF(AK175="BUY",AP175*('Data Checks'!C386/'Data Checks'!C385),AP175*('Data Checks'!C385/'Data Checks'!C386))</f>
        <v>106.98501160744263</v>
      </c>
      <c r="AQ176">
        <f>IF(AL175="BUY",AQ175*('Data Checks'!D386/'Data Checks'!D385),AQ175*('Data Checks'!D385/'Data Checks'!D386))</f>
        <v>300.6482213668063</v>
      </c>
      <c r="AR176">
        <f>IF(AM175="BUY",AR175*('Data Checks'!E386/'Data Checks'!E385),AR175*('Data Checks'!E385/'Data Checks'!E386))</f>
        <v>96.886508306444227</v>
      </c>
      <c r="AS176">
        <f>IF(AN175="BUY",AS175*('Data Checks'!F386/'Data Checks'!F385),AS175*('Data Checks'!F385/'Data Checks'!F386))</f>
        <v>195.06811086333056</v>
      </c>
      <c r="AT176" s="16">
        <f t="shared" si="28"/>
        <v>831.09960730336934</v>
      </c>
      <c r="AU176" s="17">
        <f t="shared" si="32"/>
        <v>1.6337313447331692E-2</v>
      </c>
    </row>
    <row r="177" spans="1:47" x14ac:dyDescent="0.35">
      <c r="A177" s="2">
        <f>Prices!A385</f>
        <v>44443</v>
      </c>
      <c r="B177">
        <f>B176*('Data Checks'!B387/'Data Checks'!B386)</f>
        <v>347.16572617022206</v>
      </c>
      <c r="C177">
        <f>C176*('Data Checks'!C387/'Data Checks'!C386)</f>
        <v>108.55982495706958</v>
      </c>
      <c r="D177">
        <f>D176*('Data Checks'!D387/'Data Checks'!D386)</f>
        <v>205.376527055878</v>
      </c>
      <c r="E177">
        <f>E176*('Data Checks'!E387/'Data Checks'!E386)</f>
        <v>96.786069742682557</v>
      </c>
      <c r="F177">
        <f>F176*('Data Checks'!F387/'Data Checks'!F386)</f>
        <v>132.57034047549374</v>
      </c>
      <c r="G177" s="16">
        <f t="shared" si="25"/>
        <v>890.4584884013459</v>
      </c>
      <c r="H177" s="17">
        <f t="shared" si="29"/>
        <v>1.6430515533460976E-5</v>
      </c>
      <c r="J177" t="str">
        <f>IF(AND('Data Checks'!B387&gt;'Data Checks'!B386,'Data Checks'!B386&gt;'Data Checks'!B385,'Data Checks'!B385&gt;'Data Checks'!B384),"SELL",IF(AND('Data Checks'!B387&lt;'Data Checks'!B386,'Data Checks'!B386&lt;'Data Checks'!B385,'Data Checks'!B385&lt;'Data Checks'!B384),"BUY",""))</f>
        <v/>
      </c>
      <c r="K177" t="str">
        <f>IF(AND('Data Checks'!C387&gt;'Data Checks'!C386,'Data Checks'!C386&gt;'Data Checks'!C385,'Data Checks'!C385&gt;'Data Checks'!C384),"SELL",IF(AND('Data Checks'!C387&lt;'Data Checks'!C386,'Data Checks'!C386&lt;'Data Checks'!C385,'Data Checks'!C385&lt;'Data Checks'!C384),"BUY",""))</f>
        <v/>
      </c>
      <c r="L177" t="str">
        <f>IF(AND('Data Checks'!D387&gt;'Data Checks'!D386,'Data Checks'!D386&gt;'Data Checks'!D385,'Data Checks'!D385&gt;'Data Checks'!D384),"SELL",IF(AND('Data Checks'!D387&lt;'Data Checks'!D386,'Data Checks'!D386&lt;'Data Checks'!D385,'Data Checks'!D385&lt;'Data Checks'!D384),"BUY",""))</f>
        <v/>
      </c>
      <c r="M177" t="str">
        <f>IF(AND('Data Checks'!E387&gt;'Data Checks'!E386,'Data Checks'!E386&gt;'Data Checks'!E385,'Data Checks'!E385&gt;'Data Checks'!E384),"SELL",IF(AND('Data Checks'!E387&lt;'Data Checks'!E386,'Data Checks'!E386&lt;'Data Checks'!E385,'Data Checks'!E385&lt;'Data Checks'!E384),"BUY",""))</f>
        <v>BUY</v>
      </c>
      <c r="N177" t="str">
        <f>IF(AND('Data Checks'!F387&gt;'Data Checks'!F386,'Data Checks'!F386&gt;'Data Checks'!F385,'Data Checks'!F385&gt;'Data Checks'!F384),"SELL",IF(AND('Data Checks'!F387&lt;'Data Checks'!F386,'Data Checks'!F386&lt;'Data Checks'!F385,'Data Checks'!F385&lt;'Data Checks'!F384),"BUY",""))</f>
        <v/>
      </c>
      <c r="O177">
        <f>IF(J176="BUY",O176*('Data Checks'!B387/'Data Checks'!B386),IF(J176="SELL",O176*('Data Checks'!B386/'Data Checks'!B387),O176))</f>
        <v>222.81657347087969</v>
      </c>
      <c r="P177">
        <f>IF(K176="BUY",P176*('Data Checks'!C387/'Data Checks'!C386),IF(K176="SELL",P176*('Data Checks'!C386/'Data Checks'!C387),P176))</f>
        <v>222.02004322534455</v>
      </c>
      <c r="Q177">
        <f>IF(L176="BUY",Q176*('Data Checks'!D387/'Data Checks'!D386),IF(L176="SELL",Q176*('Data Checks'!D386/'Data Checks'!D387),Q176))</f>
        <v>260.17572061893031</v>
      </c>
      <c r="R177">
        <f>IF(M176="BUY",R176*('Data Checks'!E387/'Data Checks'!E386),IF(M176="SELL",R176*('Data Checks'!E386/'Data Checks'!E387),R176))</f>
        <v>196.43414027869261</v>
      </c>
      <c r="S177">
        <f>IF(N176="BUY",S176*('Data Checks'!F387/'Data Checks'!F386),IF(N176="SELL",S176*('Data Checks'!F386/'Data Checks'!F387),S176))</f>
        <v>204.87073472046731</v>
      </c>
      <c r="T177" s="16">
        <f t="shared" si="26"/>
        <v>1106.3172123143145</v>
      </c>
      <c r="U177" s="17">
        <f t="shared" si="30"/>
        <v>-1.8422345621849079E-4</v>
      </c>
      <c r="W177" t="str">
        <f>IF(AND('Data Checks'!B387&gt;'Data Checks'!B386,'Data Checks'!B386&gt;'Data Checks'!B385,'Data Checks'!B385&gt;'Data Checks'!B384),"BUY",IF(AND('Data Checks'!B387&lt;'Data Checks'!B386,'Data Checks'!B386&lt;'Data Checks'!B385,'Data Checks'!B385&lt;'Data Checks'!B384),"SELL",""))</f>
        <v/>
      </c>
      <c r="X177" t="str">
        <f>IF(AND('Data Checks'!C387&gt;'Data Checks'!C386,'Data Checks'!C386&gt;'Data Checks'!C385,'Data Checks'!C385&gt;'Data Checks'!C384),"BUY",IF(AND('Data Checks'!C387&lt;'Data Checks'!C386,'Data Checks'!C386&lt;'Data Checks'!C385,'Data Checks'!C385&lt;'Data Checks'!C384),"SELL",""))</f>
        <v/>
      </c>
      <c r="Y177" t="str">
        <f>IF(AND('Data Checks'!D387&gt;'Data Checks'!D386,'Data Checks'!D386&gt;'Data Checks'!D385,'Data Checks'!D385&gt;'Data Checks'!D384),"BUY",IF(AND('Data Checks'!D387&lt;'Data Checks'!D386,'Data Checks'!D386&lt;'Data Checks'!D385,'Data Checks'!D385&lt;'Data Checks'!D384),"SELL",""))</f>
        <v/>
      </c>
      <c r="Z177" t="str">
        <f>IF(AND('Data Checks'!E387&gt;'Data Checks'!E386,'Data Checks'!E386&gt;'Data Checks'!E385,'Data Checks'!E385&gt;'Data Checks'!E384),"BUY",IF(AND('Data Checks'!E387&lt;'Data Checks'!E386,'Data Checks'!E386&lt;'Data Checks'!E385,'Data Checks'!E385&lt;'Data Checks'!E384),"SELL",""))</f>
        <v>SELL</v>
      </c>
      <c r="AA177" t="str">
        <f>IF(AND('Data Checks'!F387&gt;'Data Checks'!F386,'Data Checks'!F386&gt;'Data Checks'!F385,'Data Checks'!F385&gt;'Data Checks'!F384),"BUY",IF(AND('Data Checks'!F387&lt;'Data Checks'!F386,'Data Checks'!F386&lt;'Data Checks'!F385,'Data Checks'!F385&lt;'Data Checks'!F384),"SELL",""))</f>
        <v/>
      </c>
      <c r="AB177">
        <f>IF(W176="BUY",AB176*('Data Checks'!B387/'Data Checks'!B386),IF(W176="SELL",AB176*('Data Checks'!B386/'Data Checks'!B387),AB176))</f>
        <v>179.51985966262828</v>
      </c>
      <c r="AC177">
        <f>IF(X176="BUY",AC176*('Data Checks'!C387/'Data Checks'!C386),IF(X176="SELL",AC176*('Data Checks'!C386/'Data Checks'!C387),AC176))</f>
        <v>180.16391411743433</v>
      </c>
      <c r="AD177">
        <f>IF(Y176="BUY",AD176*('Data Checks'!D387/'Data Checks'!D386),IF(Y176="SELL",AD176*('Data Checks'!D386/'Data Checks'!D387),AD176))</f>
        <v>153.74224737359913</v>
      </c>
      <c r="AE177">
        <f>IF(Z176="BUY",AE176*('Data Checks'!E387/'Data Checks'!E386),IF(Z176="SELL",AE176*('Data Checks'!E386/'Data Checks'!E387),AE176))</f>
        <v>203.6305906053278</v>
      </c>
      <c r="AF177">
        <f>IF(AA176="BUY",AF176*('Data Checks'!F387/'Data Checks'!F386),IF(AA176="SELL",AF176*('Data Checks'!F386/'Data Checks'!F387),AF176))</f>
        <v>195.24506540466803</v>
      </c>
      <c r="AG177" s="16">
        <f t="shared" si="27"/>
        <v>912.30167716365759</v>
      </c>
      <c r="AH177" s="17">
        <f t="shared" si="31"/>
        <v>2.3144203493496995E-4</v>
      </c>
      <c r="AJ177" t="str">
        <f>IF('Moving Ave'!G387&gt;'Moving Ave'!L387,"SELL","BUY")</f>
        <v>SELL</v>
      </c>
      <c r="AK177" t="str">
        <f>IF('Moving Ave'!H387&gt;'Moving Ave'!M387,"SELL","BUY")</f>
        <v>BUY</v>
      </c>
      <c r="AL177" t="str">
        <f>IF('Moving Ave'!I387&gt;'Moving Ave'!N387,"SELL","BUY")</f>
        <v>SELL</v>
      </c>
      <c r="AM177" t="str">
        <f>IF('Moving Ave'!J387&gt;'Moving Ave'!O387,"SELL","BUY")</f>
        <v>BUY</v>
      </c>
      <c r="AN177" t="str">
        <f>IF('Moving Ave'!K387&gt;'Moving Ave'!P387,"SELL","BUY")</f>
        <v>BUY</v>
      </c>
      <c r="AO177">
        <f>IF(AJ176="BUY",AO176*('Data Checks'!B387/'Data Checks'!B386),AO176*('Data Checks'!B386/'Data Checks'!B387))</f>
        <v>134.44086894606789</v>
      </c>
      <c r="AP177">
        <f>IF(AK176="BUY",AP176*('Data Checks'!C387/'Data Checks'!C386),AP176*('Data Checks'!C386/'Data Checks'!C387))</f>
        <v>108.55982495706958</v>
      </c>
      <c r="AQ177">
        <f>IF(AL176="BUY",AQ176*('Data Checks'!D387/'Data Checks'!D386),AQ176*('Data Checks'!D386/'Data Checks'!D387))</f>
        <v>294.5374851601639</v>
      </c>
      <c r="AR177">
        <f>IF(AM176="BUY",AR176*('Data Checks'!E387/'Data Checks'!E386),AR176*('Data Checks'!E386/'Data Checks'!E387))</f>
        <v>96.786069742682557</v>
      </c>
      <c r="AS177">
        <f>IF(AN176="BUY",AS176*('Data Checks'!F387/'Data Checks'!F386),AS176*('Data Checks'!F386/'Data Checks'!F387))</f>
        <v>198.20516677914799</v>
      </c>
      <c r="AT177" s="16">
        <f t="shared" si="28"/>
        <v>832.52941558513203</v>
      </c>
      <c r="AU177" s="17">
        <f t="shared" si="32"/>
        <v>1.7203813708948079E-3</v>
      </c>
    </row>
    <row r="178" spans="1:47" x14ac:dyDescent="0.35">
      <c r="A178" s="2">
        <f>Prices!A386</f>
        <v>44447</v>
      </c>
      <c r="B178">
        <f>B177*('Data Checks'!B388/'Data Checks'!B387)</f>
        <v>331.90974456451914</v>
      </c>
      <c r="C178">
        <f>C177*('Data Checks'!C388/'Data Checks'!C387)</f>
        <v>106.01981981254316</v>
      </c>
      <c r="D178">
        <f>D177*('Data Checks'!D388/'Data Checks'!D387)</f>
        <v>203.27266660999621</v>
      </c>
      <c r="E178">
        <f>E177*('Data Checks'!E388/'Data Checks'!E387)</f>
        <v>93.839973423502656</v>
      </c>
      <c r="F178">
        <f>F177*('Data Checks'!F388/'Data Checks'!F387)</f>
        <v>135.43157084546843</v>
      </c>
      <c r="G178" s="16">
        <f t="shared" si="25"/>
        <v>870.47377525602963</v>
      </c>
      <c r="H178" s="17">
        <f t="shared" si="29"/>
        <v>-2.2443172147412649E-2</v>
      </c>
      <c r="J178" t="str">
        <f>IF(AND('Data Checks'!B388&gt;'Data Checks'!B387,'Data Checks'!B387&gt;'Data Checks'!B386,'Data Checks'!B386&gt;'Data Checks'!B385),"SELL",IF(AND('Data Checks'!B388&lt;'Data Checks'!B387,'Data Checks'!B387&lt;'Data Checks'!B386,'Data Checks'!B386&lt;'Data Checks'!B385),"BUY",""))</f>
        <v>BUY</v>
      </c>
      <c r="K178" t="str">
        <f>IF(AND('Data Checks'!C388&gt;'Data Checks'!C387,'Data Checks'!C387&gt;'Data Checks'!C386,'Data Checks'!C386&gt;'Data Checks'!C385),"SELL",IF(AND('Data Checks'!C388&lt;'Data Checks'!C387,'Data Checks'!C387&lt;'Data Checks'!C386,'Data Checks'!C386&lt;'Data Checks'!C385),"BUY",""))</f>
        <v/>
      </c>
      <c r="L178" t="str">
        <f>IF(AND('Data Checks'!D388&gt;'Data Checks'!D387,'Data Checks'!D387&gt;'Data Checks'!D386,'Data Checks'!D386&gt;'Data Checks'!D385),"SELL",IF(AND('Data Checks'!D388&lt;'Data Checks'!D387,'Data Checks'!D387&lt;'Data Checks'!D386,'Data Checks'!D386&lt;'Data Checks'!D385),"BUY",""))</f>
        <v/>
      </c>
      <c r="M178" t="str">
        <f>IF(AND('Data Checks'!E388&gt;'Data Checks'!E387,'Data Checks'!E387&gt;'Data Checks'!E386,'Data Checks'!E386&gt;'Data Checks'!E385),"SELL",IF(AND('Data Checks'!E388&lt;'Data Checks'!E387,'Data Checks'!E387&lt;'Data Checks'!E386,'Data Checks'!E386&lt;'Data Checks'!E385),"BUY",""))</f>
        <v>BUY</v>
      </c>
      <c r="N178" t="str">
        <f>IF(AND('Data Checks'!F388&gt;'Data Checks'!F387,'Data Checks'!F387&gt;'Data Checks'!F386,'Data Checks'!F386&gt;'Data Checks'!F385),"SELL",IF(AND('Data Checks'!F388&lt;'Data Checks'!F387,'Data Checks'!F387&lt;'Data Checks'!F386,'Data Checks'!F386&lt;'Data Checks'!F385),"BUY",""))</f>
        <v/>
      </c>
      <c r="O178">
        <f>IF(J177="BUY",O177*('Data Checks'!B388/'Data Checks'!B387),IF(J177="SELL",O177*('Data Checks'!B387/'Data Checks'!B388),O177))</f>
        <v>222.81657347087969</v>
      </c>
      <c r="P178">
        <f>IF(K177="BUY",P177*('Data Checks'!C388/'Data Checks'!C387),IF(K177="SELL",P177*('Data Checks'!C387/'Data Checks'!C388),P177))</f>
        <v>222.02004322534455</v>
      </c>
      <c r="Q178">
        <f>IF(L177="BUY",Q177*('Data Checks'!D388/'Data Checks'!D387),IF(L177="SELL",Q177*('Data Checks'!D387/'Data Checks'!D388),Q177))</f>
        <v>260.17572061893031</v>
      </c>
      <c r="R178">
        <f>IF(M177="BUY",R177*('Data Checks'!E388/'Data Checks'!E387),IF(M177="SELL",R177*('Data Checks'!E387/'Data Checks'!E388),R177))</f>
        <v>190.45483045471786</v>
      </c>
      <c r="S178">
        <f>IF(N177="BUY",S177*('Data Checks'!F388/'Data Checks'!F387),IF(N177="SELL",S177*('Data Checks'!F387/'Data Checks'!F388),S177))</f>
        <v>204.87073472046731</v>
      </c>
      <c r="T178" s="16">
        <f t="shared" si="26"/>
        <v>1100.3379024903397</v>
      </c>
      <c r="U178" s="17">
        <f t="shared" si="30"/>
        <v>-5.4046974569496031E-3</v>
      </c>
      <c r="W178" t="str">
        <f>IF(AND('Data Checks'!B388&gt;'Data Checks'!B387,'Data Checks'!B387&gt;'Data Checks'!B386,'Data Checks'!B386&gt;'Data Checks'!B385),"BUY",IF(AND('Data Checks'!B388&lt;'Data Checks'!B387,'Data Checks'!B387&lt;'Data Checks'!B386,'Data Checks'!B386&lt;'Data Checks'!B385),"SELL",""))</f>
        <v>SELL</v>
      </c>
      <c r="X178" t="str">
        <f>IF(AND('Data Checks'!C388&gt;'Data Checks'!C387,'Data Checks'!C387&gt;'Data Checks'!C386,'Data Checks'!C386&gt;'Data Checks'!C385),"BUY",IF(AND('Data Checks'!C388&lt;'Data Checks'!C387,'Data Checks'!C387&lt;'Data Checks'!C386,'Data Checks'!C386&lt;'Data Checks'!C385),"SELL",""))</f>
        <v/>
      </c>
      <c r="Y178" t="str">
        <f>IF(AND('Data Checks'!D388&gt;'Data Checks'!D387,'Data Checks'!D387&gt;'Data Checks'!D386,'Data Checks'!D386&gt;'Data Checks'!D385),"BUY",IF(AND('Data Checks'!D388&lt;'Data Checks'!D387,'Data Checks'!D387&lt;'Data Checks'!D386,'Data Checks'!D386&lt;'Data Checks'!D385),"SELL",""))</f>
        <v/>
      </c>
      <c r="Z178" t="str">
        <f>IF(AND('Data Checks'!E388&gt;'Data Checks'!E387,'Data Checks'!E387&gt;'Data Checks'!E386,'Data Checks'!E386&gt;'Data Checks'!E385),"BUY",IF(AND('Data Checks'!E388&lt;'Data Checks'!E387,'Data Checks'!E387&lt;'Data Checks'!E386,'Data Checks'!E386&lt;'Data Checks'!E385),"SELL",""))</f>
        <v>SELL</v>
      </c>
      <c r="AA178" t="str">
        <f>IF(AND('Data Checks'!F388&gt;'Data Checks'!F387,'Data Checks'!F387&gt;'Data Checks'!F386,'Data Checks'!F386&gt;'Data Checks'!F385),"BUY",IF(AND('Data Checks'!F388&lt;'Data Checks'!F387,'Data Checks'!F387&lt;'Data Checks'!F386,'Data Checks'!F386&lt;'Data Checks'!F385),"SELL",""))</f>
        <v/>
      </c>
      <c r="AB178">
        <f>IF(W177="BUY",AB177*('Data Checks'!B388/'Data Checks'!B387),IF(W177="SELL",AB177*('Data Checks'!B387/'Data Checks'!B388),AB177))</f>
        <v>179.51985966262828</v>
      </c>
      <c r="AC178">
        <f>IF(X177="BUY",AC177*('Data Checks'!C388/'Data Checks'!C387),IF(X177="SELL",AC177*('Data Checks'!C387/'Data Checks'!C388),AC177))</f>
        <v>180.16391411743433</v>
      </c>
      <c r="AD178">
        <f>IF(Y177="BUY",AD177*('Data Checks'!D388/'Data Checks'!D387),IF(Y177="SELL",AD177*('Data Checks'!D387/'Data Checks'!D388),AD177))</f>
        <v>153.74224737359913</v>
      </c>
      <c r="AE178">
        <f>IF(Z177="BUY",AE177*('Data Checks'!E388/'Data Checks'!E387),IF(Z177="SELL",AE177*('Data Checks'!E387/'Data Checks'!E388),AE177))</f>
        <v>210.02355206480465</v>
      </c>
      <c r="AF178">
        <f>IF(AA177="BUY",AF177*('Data Checks'!F388/'Data Checks'!F387),IF(AA177="SELL",AF177*('Data Checks'!F387/'Data Checks'!F388),AF177))</f>
        <v>195.24506540466803</v>
      </c>
      <c r="AG178" s="16">
        <f t="shared" si="27"/>
        <v>918.69463862313444</v>
      </c>
      <c r="AH178" s="17">
        <f t="shared" si="31"/>
        <v>7.0075081735601064E-3</v>
      </c>
      <c r="AJ178" t="str">
        <f>IF('Moving Ave'!G388&gt;'Moving Ave'!L388,"SELL","BUY")</f>
        <v>SELL</v>
      </c>
      <c r="AK178" t="str">
        <f>IF('Moving Ave'!H388&gt;'Moving Ave'!M388,"SELL","BUY")</f>
        <v>BUY</v>
      </c>
      <c r="AL178" t="str">
        <f>IF('Moving Ave'!I388&gt;'Moving Ave'!N388,"SELL","BUY")</f>
        <v>SELL</v>
      </c>
      <c r="AM178" t="str">
        <f>IF('Moving Ave'!J388&gt;'Moving Ave'!O388,"SELL","BUY")</f>
        <v>BUY</v>
      </c>
      <c r="AN178" t="str">
        <f>IF('Moving Ave'!K388&gt;'Moving Ave'!P388,"SELL","BUY")</f>
        <v>BUY</v>
      </c>
      <c r="AO178">
        <f>IF(AJ177="BUY",AO177*('Data Checks'!B388/'Data Checks'!B387),AO177*('Data Checks'!B387/'Data Checks'!B388))</f>
        <v>140.62034230376329</v>
      </c>
      <c r="AP178">
        <f>IF(AK177="BUY",AP177*('Data Checks'!C388/'Data Checks'!C387),AP177*('Data Checks'!C387/'Data Checks'!C388))</f>
        <v>106.01981981254316</v>
      </c>
      <c r="AQ178">
        <f>IF(AL177="BUY",AQ177*('Data Checks'!D388/'Data Checks'!D387),AQ177*('Data Checks'!D387/'Data Checks'!D388))</f>
        <v>297.58593124586844</v>
      </c>
      <c r="AR178">
        <f>IF(AM177="BUY",AR177*('Data Checks'!E388/'Data Checks'!E387),AR177*('Data Checks'!E387/'Data Checks'!E388))</f>
        <v>93.839973423502656</v>
      </c>
      <c r="AS178">
        <f>IF(AN177="BUY",AS177*('Data Checks'!F388/'Data Checks'!F387),AS177*('Data Checks'!F387/'Data Checks'!F388))</f>
        <v>202.48297613409363</v>
      </c>
      <c r="AT178" s="16">
        <f t="shared" si="28"/>
        <v>840.54904291977118</v>
      </c>
      <c r="AU178" s="17">
        <f t="shared" si="32"/>
        <v>9.6328456202388058E-3</v>
      </c>
    </row>
    <row r="179" spans="1:47" x14ac:dyDescent="0.35">
      <c r="A179" s="2">
        <f>Prices!A387</f>
        <v>44448</v>
      </c>
      <c r="B179">
        <f>B178*('Data Checks'!B389/'Data Checks'!B388)</f>
        <v>344.42495980303096</v>
      </c>
      <c r="C179">
        <f>C178*('Data Checks'!C389/'Data Checks'!C388)</f>
        <v>107.74701315080056</v>
      </c>
      <c r="D179">
        <f>D178*('Data Checks'!D389/'Data Checks'!D388)</f>
        <v>206.81249301740689</v>
      </c>
      <c r="E179">
        <f>E178*('Data Checks'!E389/'Data Checks'!E388)</f>
        <v>95.480411935707593</v>
      </c>
      <c r="F179">
        <f>F178*('Data Checks'!F389/'Data Checks'!F388)</f>
        <v>137.2913677247216</v>
      </c>
      <c r="G179" s="16">
        <f t="shared" si="25"/>
        <v>891.75624563166764</v>
      </c>
      <c r="H179" s="17">
        <f t="shared" si="29"/>
        <v>2.4449295292529927E-2</v>
      </c>
      <c r="J179" t="str">
        <f>IF(AND('Data Checks'!B389&gt;'Data Checks'!B388,'Data Checks'!B388&gt;'Data Checks'!B387,'Data Checks'!B387&gt;'Data Checks'!B386),"SELL",IF(AND('Data Checks'!B389&lt;'Data Checks'!B388,'Data Checks'!B388&lt;'Data Checks'!B387,'Data Checks'!B387&lt;'Data Checks'!B386),"BUY",""))</f>
        <v/>
      </c>
      <c r="K179" t="str">
        <f>IF(AND('Data Checks'!C389&gt;'Data Checks'!C388,'Data Checks'!C388&gt;'Data Checks'!C387,'Data Checks'!C387&gt;'Data Checks'!C386),"SELL",IF(AND('Data Checks'!C389&lt;'Data Checks'!C388,'Data Checks'!C388&lt;'Data Checks'!C387,'Data Checks'!C387&lt;'Data Checks'!C386),"BUY",""))</f>
        <v/>
      </c>
      <c r="L179" t="str">
        <f>IF(AND('Data Checks'!D389&gt;'Data Checks'!D388,'Data Checks'!D388&gt;'Data Checks'!D387,'Data Checks'!D387&gt;'Data Checks'!D386),"SELL",IF(AND('Data Checks'!D389&lt;'Data Checks'!D388,'Data Checks'!D388&lt;'Data Checks'!D387,'Data Checks'!D387&lt;'Data Checks'!D386),"BUY",""))</f>
        <v/>
      </c>
      <c r="M179" t="str">
        <f>IF(AND('Data Checks'!E389&gt;'Data Checks'!E388,'Data Checks'!E388&gt;'Data Checks'!E387,'Data Checks'!E387&gt;'Data Checks'!E386),"SELL",IF(AND('Data Checks'!E389&lt;'Data Checks'!E388,'Data Checks'!E388&lt;'Data Checks'!E387,'Data Checks'!E387&lt;'Data Checks'!E386),"BUY",""))</f>
        <v/>
      </c>
      <c r="N179" t="str">
        <f>IF(AND('Data Checks'!F389&gt;'Data Checks'!F388,'Data Checks'!F388&gt;'Data Checks'!F387,'Data Checks'!F387&gt;'Data Checks'!F386),"SELL",IF(AND('Data Checks'!F389&lt;'Data Checks'!F388,'Data Checks'!F388&lt;'Data Checks'!F387,'Data Checks'!F387&lt;'Data Checks'!F386),"BUY",""))</f>
        <v>SELL</v>
      </c>
      <c r="O179">
        <f>IF(J178="BUY",O178*('Data Checks'!B389/'Data Checks'!B388),IF(J178="SELL",O178*('Data Checks'!B388/'Data Checks'!B389),O178))</f>
        <v>231.21824718297424</v>
      </c>
      <c r="P179">
        <f>IF(K178="BUY",P178*('Data Checks'!C389/'Data Checks'!C388),IF(K178="SELL",P178*('Data Checks'!C388/'Data Checks'!C389),P178))</f>
        <v>222.02004322534455</v>
      </c>
      <c r="Q179">
        <f>IF(L178="BUY",Q178*('Data Checks'!D389/'Data Checks'!D388),IF(L178="SELL",Q178*('Data Checks'!D388/'Data Checks'!D389),Q178))</f>
        <v>260.17572061893031</v>
      </c>
      <c r="R179">
        <f>IF(M178="BUY",R178*('Data Checks'!E389/'Data Checks'!E388),IF(M178="SELL",R178*('Data Checks'!E388/'Data Checks'!E389),R178))</f>
        <v>193.78421586815332</v>
      </c>
      <c r="S179">
        <f>IF(N178="BUY",S178*('Data Checks'!F389/'Data Checks'!F388),IF(N178="SELL",S178*('Data Checks'!F388/'Data Checks'!F389),S178))</f>
        <v>204.87073472046731</v>
      </c>
      <c r="T179" s="16">
        <f t="shared" si="26"/>
        <v>1112.0689616158697</v>
      </c>
      <c r="U179" s="17">
        <f t="shared" si="30"/>
        <v>1.0661324215933687E-2</v>
      </c>
      <c r="W179" t="str">
        <f>IF(AND('Data Checks'!B389&gt;'Data Checks'!B388,'Data Checks'!B388&gt;'Data Checks'!B387,'Data Checks'!B387&gt;'Data Checks'!B386),"BUY",IF(AND('Data Checks'!B389&lt;'Data Checks'!B388,'Data Checks'!B388&lt;'Data Checks'!B387,'Data Checks'!B387&lt;'Data Checks'!B386),"SELL",""))</f>
        <v/>
      </c>
      <c r="X179" t="str">
        <f>IF(AND('Data Checks'!C389&gt;'Data Checks'!C388,'Data Checks'!C388&gt;'Data Checks'!C387,'Data Checks'!C387&gt;'Data Checks'!C386),"BUY",IF(AND('Data Checks'!C389&lt;'Data Checks'!C388,'Data Checks'!C388&lt;'Data Checks'!C387,'Data Checks'!C387&lt;'Data Checks'!C386),"SELL",""))</f>
        <v/>
      </c>
      <c r="Y179" t="str">
        <f>IF(AND('Data Checks'!D389&gt;'Data Checks'!D388,'Data Checks'!D388&gt;'Data Checks'!D387,'Data Checks'!D387&gt;'Data Checks'!D386),"BUY",IF(AND('Data Checks'!D389&lt;'Data Checks'!D388,'Data Checks'!D388&lt;'Data Checks'!D387,'Data Checks'!D387&lt;'Data Checks'!D386),"SELL",""))</f>
        <v/>
      </c>
      <c r="Z179" t="str">
        <f>IF(AND('Data Checks'!E389&gt;'Data Checks'!E388,'Data Checks'!E388&gt;'Data Checks'!E387,'Data Checks'!E387&gt;'Data Checks'!E386),"BUY",IF(AND('Data Checks'!E389&lt;'Data Checks'!E388,'Data Checks'!E388&lt;'Data Checks'!E387,'Data Checks'!E387&lt;'Data Checks'!E386),"SELL",""))</f>
        <v/>
      </c>
      <c r="AA179" t="str">
        <f>IF(AND('Data Checks'!F389&gt;'Data Checks'!F388,'Data Checks'!F388&gt;'Data Checks'!F387,'Data Checks'!F387&gt;'Data Checks'!F386),"BUY",IF(AND('Data Checks'!F389&lt;'Data Checks'!F388,'Data Checks'!F388&lt;'Data Checks'!F387,'Data Checks'!F387&lt;'Data Checks'!F386),"SELL",""))</f>
        <v>BUY</v>
      </c>
      <c r="AB179">
        <f>IF(W178="BUY",AB178*('Data Checks'!B389/'Data Checks'!B388),IF(W178="SELL",AB178*('Data Checks'!B388/'Data Checks'!B389),AB178))</f>
        <v>172.99672706344009</v>
      </c>
      <c r="AC179">
        <f>IF(X178="BUY",AC178*('Data Checks'!C389/'Data Checks'!C388),IF(X178="SELL",AC178*('Data Checks'!C388/'Data Checks'!C389),AC178))</f>
        <v>180.16391411743433</v>
      </c>
      <c r="AD179">
        <f>IF(Y178="BUY",AD178*('Data Checks'!D389/'Data Checks'!D388),IF(Y178="SELL",AD178*('Data Checks'!D388/'Data Checks'!D389),AD178))</f>
        <v>153.74224737359913</v>
      </c>
      <c r="AE179">
        <f>IF(Z178="BUY",AE178*('Data Checks'!E389/'Data Checks'!E388),IF(Z178="SELL",AE178*('Data Checks'!E388/'Data Checks'!E389),AE178))</f>
        <v>206.41516039270778</v>
      </c>
      <c r="AF179">
        <f>IF(AA178="BUY",AF178*('Data Checks'!F389/'Data Checks'!F388),IF(AA178="SELL",AF178*('Data Checks'!F388/'Data Checks'!F389),AF178))</f>
        <v>195.24506540466803</v>
      </c>
      <c r="AG179" s="16">
        <f t="shared" si="27"/>
        <v>908.56311435184932</v>
      </c>
      <c r="AH179" s="17">
        <f t="shared" si="31"/>
        <v>-1.1028173938697927E-2</v>
      </c>
      <c r="AJ179" t="str">
        <f>IF('Moving Ave'!G389&gt;'Moving Ave'!L389,"SELL","BUY")</f>
        <v>SELL</v>
      </c>
      <c r="AK179" t="str">
        <f>IF('Moving Ave'!H389&gt;'Moving Ave'!M389,"SELL","BUY")</f>
        <v>BUY</v>
      </c>
      <c r="AL179" t="str">
        <f>IF('Moving Ave'!I389&gt;'Moving Ave'!N389,"SELL","BUY")</f>
        <v>SELL</v>
      </c>
      <c r="AM179" t="str">
        <f>IF('Moving Ave'!J389&gt;'Moving Ave'!O389,"SELL","BUY")</f>
        <v>BUY</v>
      </c>
      <c r="AN179" t="str">
        <f>IF('Moving Ave'!K389&gt;'Moving Ave'!P389,"SELL","BUY")</f>
        <v>BUY</v>
      </c>
      <c r="AO179">
        <f>IF(AJ178="BUY",AO178*('Data Checks'!B389/'Data Checks'!B388),AO178*('Data Checks'!B388/'Data Checks'!B389))</f>
        <v>135.51068401462172</v>
      </c>
      <c r="AP179">
        <f>IF(AK178="BUY",AP178*('Data Checks'!C389/'Data Checks'!C388),AP178*('Data Checks'!C388/'Data Checks'!C389))</f>
        <v>107.74701315080056</v>
      </c>
      <c r="AQ179">
        <f>IF(AL178="BUY",AQ178*('Data Checks'!D389/'Data Checks'!D388),AQ178*('Data Checks'!D388/'Data Checks'!D389))</f>
        <v>292.49241623365219</v>
      </c>
      <c r="AR179">
        <f>IF(AM178="BUY",AR178*('Data Checks'!E389/'Data Checks'!E388),AR178*('Data Checks'!E388/'Data Checks'!E389))</f>
        <v>95.480411935707593</v>
      </c>
      <c r="AS179">
        <f>IF(AN178="BUY",AS178*('Data Checks'!F389/'Data Checks'!F388),AS178*('Data Checks'!F388/'Data Checks'!F389))</f>
        <v>205.26354793699892</v>
      </c>
      <c r="AT179" s="16">
        <f t="shared" si="28"/>
        <v>836.49407327178096</v>
      </c>
      <c r="AU179" s="17">
        <f t="shared" si="32"/>
        <v>-4.8241916187361511E-3</v>
      </c>
    </row>
    <row r="180" spans="1:47" x14ac:dyDescent="0.35">
      <c r="A180" s="2">
        <f>Prices!A388</f>
        <v>44449</v>
      </c>
      <c r="B180">
        <f>B179*('Data Checks'!B390/'Data Checks'!B389)</f>
        <v>334.57253547361449</v>
      </c>
      <c r="C180">
        <f>C179*('Data Checks'!C390/'Data Checks'!C389)</f>
        <v>105.20700800627414</v>
      </c>
      <c r="D180">
        <f>D179*('Data Checks'!D390/'Data Checks'!D389)</f>
        <v>203.33945572448593</v>
      </c>
      <c r="E180">
        <f>E179*('Data Checks'!E390/'Data Checks'!E389)</f>
        <v>93.304318938589844</v>
      </c>
      <c r="F180">
        <f>F179*('Data Checks'!F390/'Data Checks'!F389)</f>
        <v>137.67287369107601</v>
      </c>
      <c r="G180" s="16">
        <f t="shared" si="25"/>
        <v>874.09619183404038</v>
      </c>
      <c r="H180" s="17">
        <f t="shared" si="29"/>
        <v>-1.9803678285558735E-2</v>
      </c>
      <c r="J180" t="str">
        <f>IF(AND('Data Checks'!B390&gt;'Data Checks'!B389,'Data Checks'!B389&gt;'Data Checks'!B388,'Data Checks'!B388&gt;'Data Checks'!B387),"SELL",IF(AND('Data Checks'!B390&lt;'Data Checks'!B389,'Data Checks'!B389&lt;'Data Checks'!B388,'Data Checks'!B388&lt;'Data Checks'!B387),"BUY",""))</f>
        <v/>
      </c>
      <c r="K180" t="str">
        <f>IF(AND('Data Checks'!C390&gt;'Data Checks'!C389,'Data Checks'!C389&gt;'Data Checks'!C388,'Data Checks'!C388&gt;'Data Checks'!C387),"SELL",IF(AND('Data Checks'!C390&lt;'Data Checks'!C389,'Data Checks'!C389&lt;'Data Checks'!C388,'Data Checks'!C388&lt;'Data Checks'!C387),"BUY",""))</f>
        <v/>
      </c>
      <c r="L180" t="str">
        <f>IF(AND('Data Checks'!D390&gt;'Data Checks'!D389,'Data Checks'!D389&gt;'Data Checks'!D388,'Data Checks'!D388&gt;'Data Checks'!D387),"SELL",IF(AND('Data Checks'!D390&lt;'Data Checks'!D389,'Data Checks'!D389&lt;'Data Checks'!D388,'Data Checks'!D388&lt;'Data Checks'!D387),"BUY",""))</f>
        <v/>
      </c>
      <c r="M180" t="str">
        <f>IF(AND('Data Checks'!E390&gt;'Data Checks'!E389,'Data Checks'!E389&gt;'Data Checks'!E388,'Data Checks'!E388&gt;'Data Checks'!E387),"SELL",IF(AND('Data Checks'!E390&lt;'Data Checks'!E389,'Data Checks'!E389&lt;'Data Checks'!E388,'Data Checks'!E388&lt;'Data Checks'!E387),"BUY",""))</f>
        <v/>
      </c>
      <c r="N180" t="str">
        <f>IF(AND('Data Checks'!F390&gt;'Data Checks'!F389,'Data Checks'!F389&gt;'Data Checks'!F388,'Data Checks'!F388&gt;'Data Checks'!F387),"SELL",IF(AND('Data Checks'!F390&lt;'Data Checks'!F389,'Data Checks'!F389&lt;'Data Checks'!F388,'Data Checks'!F388&lt;'Data Checks'!F387),"BUY",""))</f>
        <v>SELL</v>
      </c>
      <c r="O180">
        <f>IF(J179="BUY",O179*('Data Checks'!B390/'Data Checks'!B389),IF(J179="SELL",O179*('Data Checks'!B389/'Data Checks'!B390),O179))</f>
        <v>231.21824718297424</v>
      </c>
      <c r="P180">
        <f>IF(K179="BUY",P179*('Data Checks'!C390/'Data Checks'!C389),IF(K179="SELL",P179*('Data Checks'!C389/'Data Checks'!C390),P179))</f>
        <v>222.02004322534455</v>
      </c>
      <c r="Q180">
        <f>IF(L179="BUY",Q179*('Data Checks'!D390/'Data Checks'!D389),IF(L179="SELL",Q179*('Data Checks'!D389/'Data Checks'!D390),Q179))</f>
        <v>260.17572061893031</v>
      </c>
      <c r="R180">
        <f>IF(M179="BUY",R179*('Data Checks'!E390/'Data Checks'!E389),IF(M179="SELL",R179*('Data Checks'!E389/'Data Checks'!E390),R179))</f>
        <v>193.78421586815332</v>
      </c>
      <c r="S180">
        <f>IF(N179="BUY",S179*('Data Checks'!F390/'Data Checks'!F389),IF(N179="SELL",S179*('Data Checks'!F389/'Data Checks'!F390),S179))</f>
        <v>204.30301643630733</v>
      </c>
      <c r="T180" s="16">
        <f t="shared" si="26"/>
        <v>1111.5012433317097</v>
      </c>
      <c r="U180" s="17">
        <f t="shared" si="30"/>
        <v>-5.1050636584182296E-4</v>
      </c>
      <c r="W180" t="str">
        <f>IF(AND('Data Checks'!B390&gt;'Data Checks'!B389,'Data Checks'!B389&gt;'Data Checks'!B388,'Data Checks'!B388&gt;'Data Checks'!B387),"BUY",IF(AND('Data Checks'!B390&lt;'Data Checks'!B389,'Data Checks'!B389&lt;'Data Checks'!B388,'Data Checks'!B388&lt;'Data Checks'!B387),"SELL",""))</f>
        <v/>
      </c>
      <c r="X180" t="str">
        <f>IF(AND('Data Checks'!C390&gt;'Data Checks'!C389,'Data Checks'!C389&gt;'Data Checks'!C388,'Data Checks'!C388&gt;'Data Checks'!C387),"BUY",IF(AND('Data Checks'!C390&lt;'Data Checks'!C389,'Data Checks'!C389&lt;'Data Checks'!C388,'Data Checks'!C388&lt;'Data Checks'!C387),"SELL",""))</f>
        <v/>
      </c>
      <c r="Y180" t="str">
        <f>IF(AND('Data Checks'!D390&gt;'Data Checks'!D389,'Data Checks'!D389&gt;'Data Checks'!D388,'Data Checks'!D388&gt;'Data Checks'!D387),"BUY",IF(AND('Data Checks'!D390&lt;'Data Checks'!D389,'Data Checks'!D389&lt;'Data Checks'!D388,'Data Checks'!D388&lt;'Data Checks'!D387),"SELL",""))</f>
        <v/>
      </c>
      <c r="Z180" t="str">
        <f>IF(AND('Data Checks'!E390&gt;'Data Checks'!E389,'Data Checks'!E389&gt;'Data Checks'!E388,'Data Checks'!E388&gt;'Data Checks'!E387),"BUY",IF(AND('Data Checks'!E390&lt;'Data Checks'!E389,'Data Checks'!E389&lt;'Data Checks'!E388,'Data Checks'!E388&lt;'Data Checks'!E387),"SELL",""))</f>
        <v/>
      </c>
      <c r="AA180" t="str">
        <f>IF(AND('Data Checks'!F390&gt;'Data Checks'!F389,'Data Checks'!F389&gt;'Data Checks'!F388,'Data Checks'!F388&gt;'Data Checks'!F387),"BUY",IF(AND('Data Checks'!F390&lt;'Data Checks'!F389,'Data Checks'!F389&lt;'Data Checks'!F388,'Data Checks'!F388&lt;'Data Checks'!F387),"SELL",""))</f>
        <v>BUY</v>
      </c>
      <c r="AB180">
        <f>IF(W179="BUY",AB179*('Data Checks'!B390/'Data Checks'!B389),IF(W179="SELL",AB179*('Data Checks'!B389/'Data Checks'!B390),AB179))</f>
        <v>172.99672706344009</v>
      </c>
      <c r="AC180">
        <f>IF(X179="BUY",AC179*('Data Checks'!C390/'Data Checks'!C389),IF(X179="SELL",AC179*('Data Checks'!C389/'Data Checks'!C390),AC179))</f>
        <v>180.16391411743433</v>
      </c>
      <c r="AD180">
        <f>IF(Y179="BUY",AD179*('Data Checks'!D390/'Data Checks'!D389),IF(Y179="SELL",AD179*('Data Checks'!D389/'Data Checks'!D390),AD179))</f>
        <v>153.74224737359913</v>
      </c>
      <c r="AE180">
        <f>IF(Z179="BUY",AE179*('Data Checks'!E390/'Data Checks'!E389),IF(Z179="SELL",AE179*('Data Checks'!E389/'Data Checks'!E390),AE179))</f>
        <v>206.41516039270778</v>
      </c>
      <c r="AF180">
        <f>IF(AA179="BUY",AF179*('Data Checks'!F390/'Data Checks'!F389),IF(AA179="SELL",AF179*('Data Checks'!F389/'Data Checks'!F390),AF179))</f>
        <v>195.78761340741272</v>
      </c>
      <c r="AG180" s="16">
        <f t="shared" si="27"/>
        <v>909.10566235459396</v>
      </c>
      <c r="AH180" s="17">
        <f t="shared" si="31"/>
        <v>5.9714949261580053E-4</v>
      </c>
      <c r="AJ180" t="str">
        <f>IF('Moving Ave'!G390&gt;'Moving Ave'!L390,"SELL","BUY")</f>
        <v>SELL</v>
      </c>
      <c r="AK180" t="str">
        <f>IF('Moving Ave'!H390&gt;'Moving Ave'!M390,"SELL","BUY")</f>
        <v>BUY</v>
      </c>
      <c r="AL180" t="str">
        <f>IF('Moving Ave'!I390&gt;'Moving Ave'!N390,"SELL","BUY")</f>
        <v>SELL</v>
      </c>
      <c r="AM180" t="str">
        <f>IF('Moving Ave'!J390&gt;'Moving Ave'!O390,"SELL","BUY")</f>
        <v>BUY</v>
      </c>
      <c r="AN180" t="str">
        <f>IF('Moving Ave'!K390&gt;'Moving Ave'!P390,"SELL","BUY")</f>
        <v>BUY</v>
      </c>
      <c r="AO180">
        <f>IF(AJ179="BUY",AO179*('Data Checks'!B390/'Data Checks'!B389),AO179*('Data Checks'!B389/'Data Checks'!B390))</f>
        <v>139.50117521914206</v>
      </c>
      <c r="AP180">
        <f>IF(AK179="BUY",AP179*('Data Checks'!C390/'Data Checks'!C389),AP179*('Data Checks'!C389/'Data Checks'!C390))</f>
        <v>105.20700800627414</v>
      </c>
      <c r="AQ180">
        <f>IF(AL179="BUY",AQ179*('Data Checks'!D390/'Data Checks'!D389),AQ179*('Data Checks'!D389/'Data Checks'!D390))</f>
        <v>297.48818582424479</v>
      </c>
      <c r="AR180">
        <f>IF(AM179="BUY",AR179*('Data Checks'!E390/'Data Checks'!E389),AR179*('Data Checks'!E389/'Data Checks'!E390))</f>
        <v>93.304318938589844</v>
      </c>
      <c r="AS180">
        <f>IF(AN179="BUY",AS179*('Data Checks'!F390/'Data Checks'!F389),AS179*('Data Checks'!F389/'Data Checks'!F390))</f>
        <v>205.83393535108641</v>
      </c>
      <c r="AT180" s="16">
        <f t="shared" si="28"/>
        <v>841.33462333933721</v>
      </c>
      <c r="AU180" s="17">
        <f t="shared" si="32"/>
        <v>5.786711732007177E-3</v>
      </c>
    </row>
    <row r="181" spans="1:47" x14ac:dyDescent="0.35">
      <c r="A181" s="2">
        <f>Prices!A389</f>
        <v>44450</v>
      </c>
      <c r="B181">
        <f>B180*('Data Checks'!B391/'Data Checks'!B390)</f>
        <v>328.36707441811672</v>
      </c>
      <c r="C181">
        <f>C180*('Data Checks'!C391/'Data Checks'!C390)</f>
        <v>105.00381267472233</v>
      </c>
      <c r="D181">
        <f>D180*('Data Checks'!D391/'Data Checks'!D390)</f>
        <v>213.52479568416766</v>
      </c>
      <c r="E181">
        <f>E180*('Data Checks'!E391/'Data Checks'!E390)</f>
        <v>94.007362102197376</v>
      </c>
      <c r="F181">
        <f>F180*('Data Checks'!F391/'Data Checks'!F390)</f>
        <v>144.58751375184815</v>
      </c>
      <c r="G181" s="16">
        <f t="shared" si="25"/>
        <v>885.49055863105218</v>
      </c>
      <c r="H181" s="17">
        <f t="shared" si="29"/>
        <v>1.303559825961953E-2</v>
      </c>
      <c r="J181" t="str">
        <f>IF(AND('Data Checks'!B391&gt;'Data Checks'!B390,'Data Checks'!B390&gt;'Data Checks'!B389,'Data Checks'!B389&gt;'Data Checks'!B388),"SELL",IF(AND('Data Checks'!B391&lt;'Data Checks'!B390,'Data Checks'!B390&lt;'Data Checks'!B389,'Data Checks'!B389&lt;'Data Checks'!B388),"BUY",""))</f>
        <v/>
      </c>
      <c r="K181" t="str">
        <f>IF(AND('Data Checks'!C391&gt;'Data Checks'!C390,'Data Checks'!C390&gt;'Data Checks'!C389,'Data Checks'!C389&gt;'Data Checks'!C388),"SELL",IF(AND('Data Checks'!C391&lt;'Data Checks'!C390,'Data Checks'!C390&lt;'Data Checks'!C389,'Data Checks'!C389&lt;'Data Checks'!C388),"BUY",""))</f>
        <v/>
      </c>
      <c r="L181" t="str">
        <f>IF(AND('Data Checks'!D391&gt;'Data Checks'!D390,'Data Checks'!D390&gt;'Data Checks'!D389,'Data Checks'!D389&gt;'Data Checks'!D388),"SELL",IF(AND('Data Checks'!D391&lt;'Data Checks'!D390,'Data Checks'!D390&lt;'Data Checks'!D389,'Data Checks'!D389&lt;'Data Checks'!D388),"BUY",""))</f>
        <v/>
      </c>
      <c r="M181" t="str">
        <f>IF(AND('Data Checks'!E391&gt;'Data Checks'!E390,'Data Checks'!E390&gt;'Data Checks'!E389,'Data Checks'!E389&gt;'Data Checks'!E388),"SELL",IF(AND('Data Checks'!E391&lt;'Data Checks'!E390,'Data Checks'!E390&lt;'Data Checks'!E389,'Data Checks'!E389&lt;'Data Checks'!E388),"BUY",""))</f>
        <v/>
      </c>
      <c r="N181" t="str">
        <f>IF(AND('Data Checks'!F391&gt;'Data Checks'!F390,'Data Checks'!F390&gt;'Data Checks'!F389,'Data Checks'!F389&gt;'Data Checks'!F388),"SELL",IF(AND('Data Checks'!F391&lt;'Data Checks'!F390,'Data Checks'!F390&lt;'Data Checks'!F389,'Data Checks'!F389&lt;'Data Checks'!F388),"BUY",""))</f>
        <v>SELL</v>
      </c>
      <c r="O181">
        <f>IF(J180="BUY",O180*('Data Checks'!B391/'Data Checks'!B390),IF(J180="SELL",O180*('Data Checks'!B390/'Data Checks'!B391),O180))</f>
        <v>231.21824718297424</v>
      </c>
      <c r="P181">
        <f>IF(K180="BUY",P180*('Data Checks'!C391/'Data Checks'!C390),IF(K180="SELL",P180*('Data Checks'!C390/'Data Checks'!C391),P180))</f>
        <v>222.02004322534455</v>
      </c>
      <c r="Q181">
        <f>IF(L180="BUY",Q180*('Data Checks'!D391/'Data Checks'!D390),IF(L180="SELL",Q180*('Data Checks'!D390/'Data Checks'!D391),Q180))</f>
        <v>260.17572061893031</v>
      </c>
      <c r="R181">
        <f>IF(M180="BUY",R180*('Data Checks'!E391/'Data Checks'!E390),IF(M180="SELL",R180*('Data Checks'!E390/'Data Checks'!E391),R180))</f>
        <v>193.78421586815332</v>
      </c>
      <c r="S181">
        <f>IF(N180="BUY",S180*('Data Checks'!F391/'Data Checks'!F390),IF(N180="SELL",S180*('Data Checks'!F390/'Data Checks'!F391),S180))</f>
        <v>194.53258892614465</v>
      </c>
      <c r="T181" s="16">
        <f t="shared" si="26"/>
        <v>1101.7308158215471</v>
      </c>
      <c r="U181" s="17">
        <f t="shared" si="30"/>
        <v>-8.790298318403944E-3</v>
      </c>
      <c r="W181" t="str">
        <f>IF(AND('Data Checks'!B391&gt;'Data Checks'!B390,'Data Checks'!B390&gt;'Data Checks'!B389,'Data Checks'!B389&gt;'Data Checks'!B388),"BUY",IF(AND('Data Checks'!B391&lt;'Data Checks'!B390,'Data Checks'!B390&lt;'Data Checks'!B389,'Data Checks'!B389&lt;'Data Checks'!B388),"SELL",""))</f>
        <v/>
      </c>
      <c r="X181" t="str">
        <f>IF(AND('Data Checks'!C391&gt;'Data Checks'!C390,'Data Checks'!C390&gt;'Data Checks'!C389,'Data Checks'!C389&gt;'Data Checks'!C388),"BUY",IF(AND('Data Checks'!C391&lt;'Data Checks'!C390,'Data Checks'!C390&lt;'Data Checks'!C389,'Data Checks'!C389&lt;'Data Checks'!C388),"SELL",""))</f>
        <v/>
      </c>
      <c r="Y181" t="str">
        <f>IF(AND('Data Checks'!D391&gt;'Data Checks'!D390,'Data Checks'!D390&gt;'Data Checks'!D389,'Data Checks'!D389&gt;'Data Checks'!D388),"BUY",IF(AND('Data Checks'!D391&lt;'Data Checks'!D390,'Data Checks'!D390&lt;'Data Checks'!D389,'Data Checks'!D389&lt;'Data Checks'!D388),"SELL",""))</f>
        <v/>
      </c>
      <c r="Z181" t="str">
        <f>IF(AND('Data Checks'!E391&gt;'Data Checks'!E390,'Data Checks'!E390&gt;'Data Checks'!E389,'Data Checks'!E389&gt;'Data Checks'!E388),"BUY",IF(AND('Data Checks'!E391&lt;'Data Checks'!E390,'Data Checks'!E390&lt;'Data Checks'!E389,'Data Checks'!E389&lt;'Data Checks'!E388),"SELL",""))</f>
        <v/>
      </c>
      <c r="AA181" t="str">
        <f>IF(AND('Data Checks'!F391&gt;'Data Checks'!F390,'Data Checks'!F390&gt;'Data Checks'!F389,'Data Checks'!F389&gt;'Data Checks'!F388),"BUY",IF(AND('Data Checks'!F391&lt;'Data Checks'!F390,'Data Checks'!F390&lt;'Data Checks'!F389,'Data Checks'!F389&lt;'Data Checks'!F388),"SELL",""))</f>
        <v>BUY</v>
      </c>
      <c r="AB181">
        <f>IF(W180="BUY",AB180*('Data Checks'!B391/'Data Checks'!B390),IF(W180="SELL",AB180*('Data Checks'!B390/'Data Checks'!B391),AB180))</f>
        <v>172.99672706344009</v>
      </c>
      <c r="AC181">
        <f>IF(X180="BUY",AC180*('Data Checks'!C391/'Data Checks'!C390),IF(X180="SELL",AC180*('Data Checks'!C390/'Data Checks'!C391),AC180))</f>
        <v>180.16391411743433</v>
      </c>
      <c r="AD181">
        <f>IF(Y180="BUY",AD180*('Data Checks'!D391/'Data Checks'!D390),IF(Y180="SELL",AD180*('Data Checks'!D390/'Data Checks'!D391),AD180))</f>
        <v>153.74224737359913</v>
      </c>
      <c r="AE181">
        <f>IF(Z180="BUY",AE180*('Data Checks'!E391/'Data Checks'!E390),IF(Z180="SELL",AE180*('Data Checks'!E390/'Data Checks'!E391),AE180))</f>
        <v>206.41516039270778</v>
      </c>
      <c r="AF181">
        <f>IF(AA180="BUY",AF180*('Data Checks'!F391/'Data Checks'!F390),IF(AA180="SELL",AF180*('Data Checks'!F390/'Data Checks'!F391),AF180))</f>
        <v>205.62107470428126</v>
      </c>
      <c r="AG181" s="16">
        <f t="shared" si="27"/>
        <v>918.93912365146252</v>
      </c>
      <c r="AH181" s="17">
        <f t="shared" si="31"/>
        <v>1.0816631887870853E-2</v>
      </c>
      <c r="AJ181" t="str">
        <f>IF('Moving Ave'!G391&gt;'Moving Ave'!L391,"SELL","BUY")</f>
        <v>SELL</v>
      </c>
      <c r="AK181" t="str">
        <f>IF('Moving Ave'!H391&gt;'Moving Ave'!M391,"SELL","BUY")</f>
        <v>BUY</v>
      </c>
      <c r="AL181" t="str">
        <f>IF('Moving Ave'!I391&gt;'Moving Ave'!N391,"SELL","BUY")</f>
        <v>SELL</v>
      </c>
      <c r="AM181" t="str">
        <f>IF('Moving Ave'!J391&gt;'Moving Ave'!O391,"SELL","BUY")</f>
        <v>BUY</v>
      </c>
      <c r="AN181" t="str">
        <f>IF('Moving Ave'!K391&gt;'Moving Ave'!P391,"SELL","BUY")</f>
        <v>BUY</v>
      </c>
      <c r="AO181">
        <f>IF(AJ180="BUY",AO180*('Data Checks'!B391/'Data Checks'!B390),AO180*('Data Checks'!B390/'Data Checks'!B391))</f>
        <v>142.13745996709545</v>
      </c>
      <c r="AP181">
        <f>IF(AK180="BUY",AP180*('Data Checks'!C391/'Data Checks'!C390),AP180*('Data Checks'!C390/'Data Checks'!C391))</f>
        <v>105.00381267472233</v>
      </c>
      <c r="AQ181">
        <f>IF(AL180="BUY",AQ180*('Data Checks'!D391/'Data Checks'!D390),AQ180*('Data Checks'!D390/'Data Checks'!D391))</f>
        <v>283.29771067638086</v>
      </c>
      <c r="AR181">
        <f>IF(AM180="BUY",AR180*('Data Checks'!E391/'Data Checks'!E390),AR180*('Data Checks'!E390/'Data Checks'!E391))</f>
        <v>94.007362102197376</v>
      </c>
      <c r="AS181">
        <f>IF(AN180="BUY",AS180*('Data Checks'!F391/'Data Checks'!F390),AS180*('Data Checks'!F390/'Data Checks'!F391))</f>
        <v>216.17197462553838</v>
      </c>
      <c r="AT181" s="16">
        <f t="shared" si="28"/>
        <v>840.61832004593441</v>
      </c>
      <c r="AU181" s="17">
        <f t="shared" si="32"/>
        <v>-8.5138929687655907E-4</v>
      </c>
    </row>
    <row r="182" spans="1:47" x14ac:dyDescent="0.35">
      <c r="A182" s="2">
        <f>Prices!A390</f>
        <v>44453</v>
      </c>
      <c r="B182">
        <f>B181*('Data Checks'!B392/'Data Checks'!B391)</f>
        <v>326.97087524844005</v>
      </c>
      <c r="C182">
        <f>C181*('Data Checks'!C392/'Data Checks'!C391)</f>
        <v>104.85140728604044</v>
      </c>
      <c r="D182">
        <f>D181*('Data Checks'!D392/'Data Checks'!D391)</f>
        <v>213.25764590512023</v>
      </c>
      <c r="E182">
        <f>E181*('Data Checks'!E392/'Data Checks'!E391)</f>
        <v>92.802136163303047</v>
      </c>
      <c r="F182">
        <f>F181*('Data Checks'!F392/'Data Checks'!F391)</f>
        <v>144.01526195539245</v>
      </c>
      <c r="G182" s="16">
        <f t="shared" si="25"/>
        <v>881.8973265582963</v>
      </c>
      <c r="H182" s="17">
        <f t="shared" si="29"/>
        <v>-4.0578999264666571E-3</v>
      </c>
      <c r="J182" t="str">
        <f>IF(AND('Data Checks'!B392&gt;'Data Checks'!B391,'Data Checks'!B391&gt;'Data Checks'!B390,'Data Checks'!B390&gt;'Data Checks'!B389),"SELL",IF(AND('Data Checks'!B392&lt;'Data Checks'!B391,'Data Checks'!B391&lt;'Data Checks'!B390,'Data Checks'!B390&lt;'Data Checks'!B389),"BUY",""))</f>
        <v>BUY</v>
      </c>
      <c r="K182" t="str">
        <f>IF(AND('Data Checks'!C392&gt;'Data Checks'!C391,'Data Checks'!C391&gt;'Data Checks'!C390,'Data Checks'!C390&gt;'Data Checks'!C389),"SELL",IF(AND('Data Checks'!C392&lt;'Data Checks'!C391,'Data Checks'!C391&lt;'Data Checks'!C390,'Data Checks'!C390&lt;'Data Checks'!C389),"BUY",""))</f>
        <v>BUY</v>
      </c>
      <c r="L182" t="str">
        <f>IF(AND('Data Checks'!D392&gt;'Data Checks'!D391,'Data Checks'!D391&gt;'Data Checks'!D390,'Data Checks'!D390&gt;'Data Checks'!D389),"SELL",IF(AND('Data Checks'!D392&lt;'Data Checks'!D391,'Data Checks'!D391&lt;'Data Checks'!D390,'Data Checks'!D390&lt;'Data Checks'!D389),"BUY",""))</f>
        <v/>
      </c>
      <c r="M182" t="str">
        <f>IF(AND('Data Checks'!E392&gt;'Data Checks'!E391,'Data Checks'!E391&gt;'Data Checks'!E390,'Data Checks'!E390&gt;'Data Checks'!E389),"SELL",IF(AND('Data Checks'!E392&lt;'Data Checks'!E391,'Data Checks'!E391&lt;'Data Checks'!E390,'Data Checks'!E390&lt;'Data Checks'!E389),"BUY",""))</f>
        <v/>
      </c>
      <c r="N182" t="str">
        <f>IF(AND('Data Checks'!F392&gt;'Data Checks'!F391,'Data Checks'!F391&gt;'Data Checks'!F390,'Data Checks'!F390&gt;'Data Checks'!F389),"SELL",IF(AND('Data Checks'!F392&lt;'Data Checks'!F391,'Data Checks'!F391&lt;'Data Checks'!F390,'Data Checks'!F390&lt;'Data Checks'!F389),"BUY",""))</f>
        <v/>
      </c>
      <c r="O182">
        <f>IF(J181="BUY",O181*('Data Checks'!B392/'Data Checks'!B391),IF(J181="SELL",O181*('Data Checks'!B391/'Data Checks'!B392),O181))</f>
        <v>231.21824718297424</v>
      </c>
      <c r="P182">
        <f>IF(K181="BUY",P181*('Data Checks'!C392/'Data Checks'!C391),IF(K181="SELL",P181*('Data Checks'!C391/'Data Checks'!C392),P181))</f>
        <v>222.02004322534455</v>
      </c>
      <c r="Q182">
        <f>IF(L181="BUY",Q181*('Data Checks'!D392/'Data Checks'!D391),IF(L181="SELL",Q181*('Data Checks'!D391/'Data Checks'!D392),Q181))</f>
        <v>260.17572061893031</v>
      </c>
      <c r="R182">
        <f>IF(M181="BUY",R181*('Data Checks'!E392/'Data Checks'!E391),IF(M181="SELL",R181*('Data Checks'!E391/'Data Checks'!E392),R181))</f>
        <v>193.78421586815332</v>
      </c>
      <c r="S182">
        <f>IF(N181="BUY",S181*('Data Checks'!F392/'Data Checks'!F391),IF(N181="SELL",S181*('Data Checks'!F391/'Data Checks'!F392),S181))</f>
        <v>195.30557383045738</v>
      </c>
      <c r="T182" s="16">
        <f t="shared" si="26"/>
        <v>1102.5038007258597</v>
      </c>
      <c r="U182" s="17">
        <f t="shared" si="30"/>
        <v>7.0160958848752841E-4</v>
      </c>
      <c r="W182" t="str">
        <f>IF(AND('Data Checks'!B392&gt;'Data Checks'!B391,'Data Checks'!B391&gt;'Data Checks'!B390,'Data Checks'!B390&gt;'Data Checks'!B389),"BUY",IF(AND('Data Checks'!B392&lt;'Data Checks'!B391,'Data Checks'!B391&lt;'Data Checks'!B390,'Data Checks'!B390&lt;'Data Checks'!B389),"SELL",""))</f>
        <v>SELL</v>
      </c>
      <c r="X182" t="str">
        <f>IF(AND('Data Checks'!C392&gt;'Data Checks'!C391,'Data Checks'!C391&gt;'Data Checks'!C390,'Data Checks'!C390&gt;'Data Checks'!C389),"BUY",IF(AND('Data Checks'!C392&lt;'Data Checks'!C391,'Data Checks'!C391&lt;'Data Checks'!C390,'Data Checks'!C390&lt;'Data Checks'!C389),"SELL",""))</f>
        <v>SELL</v>
      </c>
      <c r="Y182" t="str">
        <f>IF(AND('Data Checks'!D392&gt;'Data Checks'!D391,'Data Checks'!D391&gt;'Data Checks'!D390,'Data Checks'!D390&gt;'Data Checks'!D389),"BUY",IF(AND('Data Checks'!D392&lt;'Data Checks'!D391,'Data Checks'!D391&lt;'Data Checks'!D390,'Data Checks'!D390&lt;'Data Checks'!D389),"SELL",""))</f>
        <v/>
      </c>
      <c r="Z182" t="str">
        <f>IF(AND('Data Checks'!E392&gt;'Data Checks'!E391,'Data Checks'!E391&gt;'Data Checks'!E390,'Data Checks'!E390&gt;'Data Checks'!E389),"BUY",IF(AND('Data Checks'!E392&lt;'Data Checks'!E391,'Data Checks'!E391&lt;'Data Checks'!E390,'Data Checks'!E390&lt;'Data Checks'!E389),"SELL",""))</f>
        <v/>
      </c>
      <c r="AA182" t="str">
        <f>IF(AND('Data Checks'!F392&gt;'Data Checks'!F391,'Data Checks'!F391&gt;'Data Checks'!F390,'Data Checks'!F390&gt;'Data Checks'!F389),"BUY",IF(AND('Data Checks'!F392&lt;'Data Checks'!F391,'Data Checks'!F391&lt;'Data Checks'!F390,'Data Checks'!F390&lt;'Data Checks'!F389),"SELL",""))</f>
        <v/>
      </c>
      <c r="AB182">
        <f>IF(W181="BUY",AB181*('Data Checks'!B392/'Data Checks'!B391),IF(W181="SELL",AB181*('Data Checks'!B391/'Data Checks'!B392),AB181))</f>
        <v>172.99672706344009</v>
      </c>
      <c r="AC182">
        <f>IF(X181="BUY",AC181*('Data Checks'!C392/'Data Checks'!C391),IF(X181="SELL",AC181*('Data Checks'!C391/'Data Checks'!C392),AC181))</f>
        <v>180.16391411743433</v>
      </c>
      <c r="AD182">
        <f>IF(Y181="BUY",AD181*('Data Checks'!D392/'Data Checks'!D391),IF(Y181="SELL",AD181*('Data Checks'!D391/'Data Checks'!D392),AD181))</f>
        <v>153.74224737359913</v>
      </c>
      <c r="AE182">
        <f>IF(Z181="BUY",AE181*('Data Checks'!E392/'Data Checks'!E391),IF(Z181="SELL",AE181*('Data Checks'!E391/'Data Checks'!E392),AE181))</f>
        <v>206.41516039270778</v>
      </c>
      <c r="AF182">
        <f>IF(AA181="BUY",AF181*('Data Checks'!F392/'Data Checks'!F391),IF(AA181="SELL",AF181*('Data Checks'!F391/'Data Checks'!F392),AF181))</f>
        <v>204.80726287271037</v>
      </c>
      <c r="AG182" s="16">
        <f t="shared" si="27"/>
        <v>918.12531181989164</v>
      </c>
      <c r="AH182" s="17">
        <f t="shared" si="31"/>
        <v>-8.8559928576892322E-4</v>
      </c>
      <c r="AJ182" t="str">
        <f>IF('Moving Ave'!G392&gt;'Moving Ave'!L392,"SELL","BUY")</f>
        <v>SELL</v>
      </c>
      <c r="AK182" t="str">
        <f>IF('Moving Ave'!H392&gt;'Moving Ave'!M392,"SELL","BUY")</f>
        <v>BUY</v>
      </c>
      <c r="AL182" t="str">
        <f>IF('Moving Ave'!I392&gt;'Moving Ave'!N392,"SELL","BUY")</f>
        <v>SELL</v>
      </c>
      <c r="AM182" t="str">
        <f>IF('Moving Ave'!J392&gt;'Moving Ave'!O392,"SELL","BUY")</f>
        <v>BUY</v>
      </c>
      <c r="AN182" t="str">
        <f>IF('Moving Ave'!K392&gt;'Moving Ave'!P392,"SELL","BUY")</f>
        <v>BUY</v>
      </c>
      <c r="AO182">
        <f>IF(AJ181="BUY",AO181*('Data Checks'!B392/'Data Checks'!B391),AO181*('Data Checks'!B391/'Data Checks'!B392))</f>
        <v>142.74440149800466</v>
      </c>
      <c r="AP182">
        <f>IF(AK181="BUY",AP181*('Data Checks'!C392/'Data Checks'!C391),AP181*('Data Checks'!C391/'Data Checks'!C392))</f>
        <v>104.85140728604044</v>
      </c>
      <c r="AQ182">
        <f>IF(AL181="BUY",AQ181*('Data Checks'!D392/'Data Checks'!D391),AQ181*('Data Checks'!D391/'Data Checks'!D392))</f>
        <v>283.65260027712935</v>
      </c>
      <c r="AR182">
        <f>IF(AM181="BUY",AR181*('Data Checks'!E392/'Data Checks'!E391),AR181*('Data Checks'!E391/'Data Checks'!E392))</f>
        <v>92.802136163303047</v>
      </c>
      <c r="AS182">
        <f>IF(AN181="BUY",AS181*('Data Checks'!F392/'Data Checks'!F391),AS181*('Data Checks'!F391/'Data Checks'!F392))</f>
        <v>215.31640419893051</v>
      </c>
      <c r="AT182" s="16">
        <f t="shared" si="28"/>
        <v>839.36694942340807</v>
      </c>
      <c r="AU182" s="17">
        <f t="shared" si="32"/>
        <v>-1.4886311571914446E-3</v>
      </c>
    </row>
    <row r="183" spans="1:47" x14ac:dyDescent="0.35">
      <c r="A183" s="2">
        <f>Prices!A391</f>
        <v>44454</v>
      </c>
      <c r="B183">
        <f>B182*('Data Checks'!B393/'Data Checks'!B392)</f>
        <v>332.57252241783516</v>
      </c>
      <c r="C183">
        <f>C182*('Data Checks'!C393/'Data Checks'!C392)</f>
        <v>105.20700800627414</v>
      </c>
      <c r="D183">
        <f>D182*('Data Checks'!D393/'Data Checks'!D392)</f>
        <v>218.50058805310726</v>
      </c>
      <c r="E183">
        <f>E182*('Data Checks'!E393/'Data Checks'!E392)</f>
        <v>93.203880374828174</v>
      </c>
      <c r="F183">
        <f>F182*('Data Checks'!F393/'Data Checks'!F392)</f>
        <v>144.73056954788612</v>
      </c>
      <c r="G183" s="16">
        <f t="shared" si="25"/>
        <v>894.21456839993084</v>
      </c>
      <c r="H183" s="17">
        <f t="shared" si="29"/>
        <v>1.3966752671429328E-2</v>
      </c>
      <c r="J183" t="str">
        <f>IF(AND('Data Checks'!B393&gt;'Data Checks'!B392,'Data Checks'!B392&gt;'Data Checks'!B391,'Data Checks'!B391&gt;'Data Checks'!B390),"SELL",IF(AND('Data Checks'!B393&lt;'Data Checks'!B392,'Data Checks'!B392&lt;'Data Checks'!B391,'Data Checks'!B391&lt;'Data Checks'!B390),"BUY",""))</f>
        <v/>
      </c>
      <c r="K183" t="str">
        <f>IF(AND('Data Checks'!C393&gt;'Data Checks'!C392,'Data Checks'!C392&gt;'Data Checks'!C391,'Data Checks'!C391&gt;'Data Checks'!C390),"SELL",IF(AND('Data Checks'!C393&lt;'Data Checks'!C392,'Data Checks'!C392&lt;'Data Checks'!C391,'Data Checks'!C391&lt;'Data Checks'!C390),"BUY",""))</f>
        <v/>
      </c>
      <c r="L183" t="str">
        <f>IF(AND('Data Checks'!D393&gt;'Data Checks'!D392,'Data Checks'!D392&gt;'Data Checks'!D391,'Data Checks'!D391&gt;'Data Checks'!D390),"SELL",IF(AND('Data Checks'!D393&lt;'Data Checks'!D392,'Data Checks'!D392&lt;'Data Checks'!D391,'Data Checks'!D391&lt;'Data Checks'!D390),"BUY",""))</f>
        <v/>
      </c>
      <c r="M183" t="str">
        <f>IF(AND('Data Checks'!E393&gt;'Data Checks'!E392,'Data Checks'!E392&gt;'Data Checks'!E391,'Data Checks'!E391&gt;'Data Checks'!E390),"SELL",IF(AND('Data Checks'!E393&lt;'Data Checks'!E392,'Data Checks'!E392&lt;'Data Checks'!E391,'Data Checks'!E391&lt;'Data Checks'!E390),"BUY",""))</f>
        <v/>
      </c>
      <c r="N183" t="str">
        <f>IF(AND('Data Checks'!F393&gt;'Data Checks'!F392,'Data Checks'!F392&gt;'Data Checks'!F391,'Data Checks'!F391&gt;'Data Checks'!F390),"SELL",IF(AND('Data Checks'!F393&lt;'Data Checks'!F392,'Data Checks'!F392&lt;'Data Checks'!F391,'Data Checks'!F391&lt;'Data Checks'!F390),"BUY",""))</f>
        <v/>
      </c>
      <c r="O183">
        <f>IF(J182="BUY",O182*('Data Checks'!B393/'Data Checks'!B392),IF(J182="SELL",O182*('Data Checks'!B392/'Data Checks'!B393),O182))</f>
        <v>235.17946556017949</v>
      </c>
      <c r="P183">
        <f>IF(K182="BUY",P182*('Data Checks'!C393/'Data Checks'!C392),IF(K182="SELL",P182*('Data Checks'!C392/'Data Checks'!C393),P182))</f>
        <v>222.77301821462504</v>
      </c>
      <c r="Q183">
        <f>IF(L182="BUY",Q182*('Data Checks'!D393/'Data Checks'!D392),IF(L182="SELL",Q182*('Data Checks'!D392/'Data Checks'!D393),Q182))</f>
        <v>260.17572061893031</v>
      </c>
      <c r="R183">
        <f>IF(M182="BUY",R182*('Data Checks'!E393/'Data Checks'!E392),IF(M182="SELL",R182*('Data Checks'!E392/'Data Checks'!E393),R182))</f>
        <v>193.78421586815332</v>
      </c>
      <c r="S183">
        <f>IF(N182="BUY",S182*('Data Checks'!F393/'Data Checks'!F392),IF(N182="SELL",S182*('Data Checks'!F392/'Data Checks'!F393),S182))</f>
        <v>195.30557383045738</v>
      </c>
      <c r="T183" s="16">
        <f t="shared" si="26"/>
        <v>1107.2179940923456</v>
      </c>
      <c r="U183" s="17">
        <f t="shared" si="30"/>
        <v>4.2758976099512847E-3</v>
      </c>
      <c r="W183" t="str">
        <f>IF(AND('Data Checks'!B393&gt;'Data Checks'!B392,'Data Checks'!B392&gt;'Data Checks'!B391,'Data Checks'!B391&gt;'Data Checks'!B390),"BUY",IF(AND('Data Checks'!B393&lt;'Data Checks'!B392,'Data Checks'!B392&lt;'Data Checks'!B391,'Data Checks'!B391&lt;'Data Checks'!B390),"SELL",""))</f>
        <v/>
      </c>
      <c r="X183" t="str">
        <f>IF(AND('Data Checks'!C393&gt;'Data Checks'!C392,'Data Checks'!C392&gt;'Data Checks'!C391,'Data Checks'!C391&gt;'Data Checks'!C390),"BUY",IF(AND('Data Checks'!C393&lt;'Data Checks'!C392,'Data Checks'!C392&lt;'Data Checks'!C391,'Data Checks'!C391&lt;'Data Checks'!C390),"SELL",""))</f>
        <v/>
      </c>
      <c r="Y183" t="str">
        <f>IF(AND('Data Checks'!D393&gt;'Data Checks'!D392,'Data Checks'!D392&gt;'Data Checks'!D391,'Data Checks'!D391&gt;'Data Checks'!D390),"BUY",IF(AND('Data Checks'!D393&lt;'Data Checks'!D392,'Data Checks'!D392&lt;'Data Checks'!D391,'Data Checks'!D391&lt;'Data Checks'!D390),"SELL",""))</f>
        <v/>
      </c>
      <c r="Z183" t="str">
        <f>IF(AND('Data Checks'!E393&gt;'Data Checks'!E392,'Data Checks'!E392&gt;'Data Checks'!E391,'Data Checks'!E391&gt;'Data Checks'!E390),"BUY",IF(AND('Data Checks'!E393&lt;'Data Checks'!E392,'Data Checks'!E392&lt;'Data Checks'!E391,'Data Checks'!E391&lt;'Data Checks'!E390),"SELL",""))</f>
        <v/>
      </c>
      <c r="AA183" t="str">
        <f>IF(AND('Data Checks'!F393&gt;'Data Checks'!F392,'Data Checks'!F392&gt;'Data Checks'!F391,'Data Checks'!F391&gt;'Data Checks'!F390),"BUY",IF(AND('Data Checks'!F393&lt;'Data Checks'!F392,'Data Checks'!F392&lt;'Data Checks'!F391,'Data Checks'!F391&lt;'Data Checks'!F390),"SELL",""))</f>
        <v/>
      </c>
      <c r="AB183">
        <f>IF(W182="BUY",AB182*('Data Checks'!B393/'Data Checks'!B392),IF(W182="SELL",AB182*('Data Checks'!B392/'Data Checks'!B393),AB182))</f>
        <v>170.08287651612392</v>
      </c>
      <c r="AC183">
        <f>IF(X182="BUY",AC182*('Data Checks'!C393/'Data Checks'!C392),IF(X182="SELL",AC182*('Data Checks'!C392/'Data Checks'!C393),AC182))</f>
        <v>179.55495831843982</v>
      </c>
      <c r="AD183">
        <f>IF(Y182="BUY",AD182*('Data Checks'!D393/'Data Checks'!D392),IF(Y182="SELL",AD182*('Data Checks'!D392/'Data Checks'!D393),AD182))</f>
        <v>153.74224737359913</v>
      </c>
      <c r="AE183">
        <f>IF(Z182="BUY",AE182*('Data Checks'!E393/'Data Checks'!E392),IF(Z182="SELL",AE182*('Data Checks'!E392/'Data Checks'!E393),AE182))</f>
        <v>206.41516039270778</v>
      </c>
      <c r="AF183">
        <f>IF(AA182="BUY",AF182*('Data Checks'!F393/'Data Checks'!F392),IF(AA182="SELL",AF182*('Data Checks'!F392/'Data Checks'!F393),AF182))</f>
        <v>204.80726287271037</v>
      </c>
      <c r="AG183" s="16">
        <f t="shared" si="27"/>
        <v>914.60250547358089</v>
      </c>
      <c r="AH183" s="17">
        <f t="shared" si="31"/>
        <v>-3.8369559154489696E-3</v>
      </c>
      <c r="AJ183" t="str">
        <f>IF('Moving Ave'!G393&gt;'Moving Ave'!L393,"SELL","BUY")</f>
        <v>SELL</v>
      </c>
      <c r="AK183" t="str">
        <f>IF('Moving Ave'!H393&gt;'Moving Ave'!M393,"SELL","BUY")</f>
        <v>BUY</v>
      </c>
      <c r="AL183" t="str">
        <f>IF('Moving Ave'!I393&gt;'Moving Ave'!N393,"SELL","BUY")</f>
        <v>SELL</v>
      </c>
      <c r="AM183" t="str">
        <f>IF('Moving Ave'!J393&gt;'Moving Ave'!O393,"SELL","BUY")</f>
        <v>BUY</v>
      </c>
      <c r="AN183" t="str">
        <f>IF('Moving Ave'!K393&gt;'Moving Ave'!P393,"SELL","BUY")</f>
        <v>BUY</v>
      </c>
      <c r="AO183">
        <f>IF(AJ182="BUY",AO182*('Data Checks'!B393/'Data Checks'!B392),AO182*('Data Checks'!B392/'Data Checks'!B393))</f>
        <v>140.34010252951174</v>
      </c>
      <c r="AP183">
        <f>IF(AK182="BUY",AP182*('Data Checks'!C393/'Data Checks'!C392),AP182*('Data Checks'!C392/'Data Checks'!C393))</f>
        <v>105.20700800627414</v>
      </c>
      <c r="AQ183">
        <f>IF(AL182="BUY",AQ182*('Data Checks'!D393/'Data Checks'!D392),AQ182*('Data Checks'!D392/'Data Checks'!D393))</f>
        <v>276.84632947195593</v>
      </c>
      <c r="AR183">
        <f>IF(AM182="BUY",AR182*('Data Checks'!E393/'Data Checks'!E392),AR182*('Data Checks'!E392/'Data Checks'!E393))</f>
        <v>93.203880374828174</v>
      </c>
      <c r="AS183">
        <f>IF(AN182="BUY",AS182*('Data Checks'!F393/'Data Checks'!F392),AS182*('Data Checks'!F392/'Data Checks'!F393))</f>
        <v>216.38585653766694</v>
      </c>
      <c r="AT183" s="16">
        <f t="shared" si="28"/>
        <v>831.98317692023693</v>
      </c>
      <c r="AU183" s="17">
        <f t="shared" si="32"/>
        <v>-8.7968349340455942E-3</v>
      </c>
    </row>
    <row r="184" spans="1:47" x14ac:dyDescent="0.35">
      <c r="A184" s="2">
        <f>Prices!A392</f>
        <v>44455</v>
      </c>
      <c r="B184">
        <f>B183*('Data Checks'!B394/'Data Checks'!B393)</f>
        <v>324.35024913277488</v>
      </c>
      <c r="C184">
        <f>C183*('Data Checks'!C394/'Data Checks'!C393)</f>
        <v>103.58140471377722</v>
      </c>
      <c r="D184">
        <f>D183*('Data Checks'!D394/'Data Checks'!D393)</f>
        <v>216.5302958178377</v>
      </c>
      <c r="E184">
        <f>E183*('Data Checks'!E394/'Data Checks'!E393)</f>
        <v>93.906923538435692</v>
      </c>
      <c r="F184">
        <f>F183*('Data Checks'!F394/'Data Checks'!F393)</f>
        <v>143.53839022706333</v>
      </c>
      <c r="G184" s="16">
        <f t="shared" si="25"/>
        <v>881.90726342988876</v>
      </c>
      <c r="H184" s="17">
        <f t="shared" si="29"/>
        <v>-1.3763257058162504E-2</v>
      </c>
      <c r="J184" t="str">
        <f>IF(AND('Data Checks'!B394&gt;'Data Checks'!B393,'Data Checks'!B393&gt;'Data Checks'!B392,'Data Checks'!B392&gt;'Data Checks'!B391),"SELL",IF(AND('Data Checks'!B394&lt;'Data Checks'!B393,'Data Checks'!B393&lt;'Data Checks'!B392,'Data Checks'!B392&lt;'Data Checks'!B391),"BUY",""))</f>
        <v/>
      </c>
      <c r="K184" t="str">
        <f>IF(AND('Data Checks'!C394&gt;'Data Checks'!C393,'Data Checks'!C393&gt;'Data Checks'!C392,'Data Checks'!C392&gt;'Data Checks'!C391),"SELL",IF(AND('Data Checks'!C394&lt;'Data Checks'!C393,'Data Checks'!C393&lt;'Data Checks'!C392,'Data Checks'!C392&lt;'Data Checks'!C391),"BUY",""))</f>
        <v/>
      </c>
      <c r="L184" t="str">
        <f>IF(AND('Data Checks'!D394&gt;'Data Checks'!D393,'Data Checks'!D393&gt;'Data Checks'!D392,'Data Checks'!D392&gt;'Data Checks'!D391),"SELL",IF(AND('Data Checks'!D394&lt;'Data Checks'!D393,'Data Checks'!D393&lt;'Data Checks'!D392,'Data Checks'!D392&lt;'Data Checks'!D391),"BUY",""))</f>
        <v/>
      </c>
      <c r="M184" t="str">
        <f>IF(AND('Data Checks'!E394&gt;'Data Checks'!E393,'Data Checks'!E393&gt;'Data Checks'!E392,'Data Checks'!E392&gt;'Data Checks'!E391),"SELL",IF(AND('Data Checks'!E394&lt;'Data Checks'!E393,'Data Checks'!E393&lt;'Data Checks'!E392,'Data Checks'!E392&lt;'Data Checks'!E391),"BUY",""))</f>
        <v/>
      </c>
      <c r="N184" t="str">
        <f>IF(AND('Data Checks'!F394&gt;'Data Checks'!F393,'Data Checks'!F393&gt;'Data Checks'!F392,'Data Checks'!F392&gt;'Data Checks'!F391),"SELL",IF(AND('Data Checks'!F394&lt;'Data Checks'!F393,'Data Checks'!F393&lt;'Data Checks'!F392,'Data Checks'!F392&lt;'Data Checks'!F391),"BUY",""))</f>
        <v/>
      </c>
      <c r="O184">
        <f>IF(J183="BUY",O183*('Data Checks'!B394/'Data Checks'!B393),IF(J183="SELL",O183*('Data Checks'!B393/'Data Checks'!B394),O183))</f>
        <v>235.17946556017949</v>
      </c>
      <c r="P184">
        <f>IF(K183="BUY",P183*('Data Checks'!C394/'Data Checks'!C393),IF(K183="SELL",P183*('Data Checks'!C393/'Data Checks'!C394),P183))</f>
        <v>222.77301821462504</v>
      </c>
      <c r="Q184">
        <f>IF(L183="BUY",Q183*('Data Checks'!D394/'Data Checks'!D393),IF(L183="SELL",Q183*('Data Checks'!D393/'Data Checks'!D394),Q183))</f>
        <v>260.17572061893031</v>
      </c>
      <c r="R184">
        <f>IF(M183="BUY",R183*('Data Checks'!E394/'Data Checks'!E393),IF(M183="SELL",R183*('Data Checks'!E393/'Data Checks'!E394),R183))</f>
        <v>193.78421586815332</v>
      </c>
      <c r="S184">
        <f>IF(N183="BUY",S183*('Data Checks'!F394/'Data Checks'!F393),IF(N183="SELL",S183*('Data Checks'!F393/'Data Checks'!F394),S183))</f>
        <v>195.30557383045738</v>
      </c>
      <c r="T184" s="16">
        <f t="shared" si="26"/>
        <v>1107.2179940923456</v>
      </c>
      <c r="U184" s="17">
        <f t="shared" si="30"/>
        <v>0</v>
      </c>
      <c r="W184" t="str">
        <f>IF(AND('Data Checks'!B394&gt;'Data Checks'!B393,'Data Checks'!B393&gt;'Data Checks'!B392,'Data Checks'!B392&gt;'Data Checks'!B391),"BUY",IF(AND('Data Checks'!B394&lt;'Data Checks'!B393,'Data Checks'!B393&lt;'Data Checks'!B392,'Data Checks'!B392&lt;'Data Checks'!B391),"SELL",""))</f>
        <v/>
      </c>
      <c r="X184" t="str">
        <f>IF(AND('Data Checks'!C394&gt;'Data Checks'!C393,'Data Checks'!C393&gt;'Data Checks'!C392,'Data Checks'!C392&gt;'Data Checks'!C391),"BUY",IF(AND('Data Checks'!C394&lt;'Data Checks'!C393,'Data Checks'!C393&lt;'Data Checks'!C392,'Data Checks'!C392&lt;'Data Checks'!C391),"SELL",""))</f>
        <v/>
      </c>
      <c r="Y184" t="str">
        <f>IF(AND('Data Checks'!D394&gt;'Data Checks'!D393,'Data Checks'!D393&gt;'Data Checks'!D392,'Data Checks'!D392&gt;'Data Checks'!D391),"BUY",IF(AND('Data Checks'!D394&lt;'Data Checks'!D393,'Data Checks'!D393&lt;'Data Checks'!D392,'Data Checks'!D392&lt;'Data Checks'!D391),"SELL",""))</f>
        <v/>
      </c>
      <c r="Z184" t="str">
        <f>IF(AND('Data Checks'!E394&gt;'Data Checks'!E393,'Data Checks'!E393&gt;'Data Checks'!E392,'Data Checks'!E392&gt;'Data Checks'!E391),"BUY",IF(AND('Data Checks'!E394&lt;'Data Checks'!E393,'Data Checks'!E393&lt;'Data Checks'!E392,'Data Checks'!E392&lt;'Data Checks'!E391),"SELL",""))</f>
        <v/>
      </c>
      <c r="AA184" t="str">
        <f>IF(AND('Data Checks'!F394&gt;'Data Checks'!F393,'Data Checks'!F393&gt;'Data Checks'!F392,'Data Checks'!F392&gt;'Data Checks'!F391),"BUY",IF(AND('Data Checks'!F394&lt;'Data Checks'!F393,'Data Checks'!F393&lt;'Data Checks'!F392,'Data Checks'!F392&lt;'Data Checks'!F391),"SELL",""))</f>
        <v/>
      </c>
      <c r="AB184">
        <f>IF(W183="BUY",AB183*('Data Checks'!B394/'Data Checks'!B393),IF(W183="SELL",AB183*('Data Checks'!B393/'Data Checks'!B394),AB183))</f>
        <v>170.08287651612392</v>
      </c>
      <c r="AC184">
        <f>IF(X183="BUY",AC183*('Data Checks'!C394/'Data Checks'!C393),IF(X183="SELL",AC183*('Data Checks'!C393/'Data Checks'!C394),AC183))</f>
        <v>179.55495831843982</v>
      </c>
      <c r="AD184">
        <f>IF(Y183="BUY",AD183*('Data Checks'!D394/'Data Checks'!D393),IF(Y183="SELL",AD183*('Data Checks'!D393/'Data Checks'!D394),AD183))</f>
        <v>153.74224737359913</v>
      </c>
      <c r="AE184">
        <f>IF(Z183="BUY",AE183*('Data Checks'!E394/'Data Checks'!E393),IF(Z183="SELL",AE183*('Data Checks'!E393/'Data Checks'!E394),AE183))</f>
        <v>206.41516039270778</v>
      </c>
      <c r="AF184">
        <f>IF(AA183="BUY",AF183*('Data Checks'!F394/'Data Checks'!F393),IF(AA183="SELL",AF183*('Data Checks'!F393/'Data Checks'!F394),AF183))</f>
        <v>204.80726287271037</v>
      </c>
      <c r="AG184" s="16">
        <f t="shared" si="27"/>
        <v>914.60250547358089</v>
      </c>
      <c r="AH184" s="17">
        <f t="shared" si="31"/>
        <v>0</v>
      </c>
      <c r="AJ184" t="str">
        <f>IF('Moving Ave'!G394&gt;'Moving Ave'!L394,"SELL","BUY")</f>
        <v>SELL</v>
      </c>
      <c r="AK184" t="str">
        <f>IF('Moving Ave'!H394&gt;'Moving Ave'!M394,"SELL","BUY")</f>
        <v>BUY</v>
      </c>
      <c r="AL184" t="str">
        <f>IF('Moving Ave'!I394&gt;'Moving Ave'!N394,"SELL","BUY")</f>
        <v>SELL</v>
      </c>
      <c r="AM184" t="str">
        <f>IF('Moving Ave'!J394&gt;'Moving Ave'!O394,"SELL","BUY")</f>
        <v>BUY</v>
      </c>
      <c r="AN184" t="str">
        <f>IF('Moving Ave'!K394&gt;'Moving Ave'!P394,"SELL","BUY")</f>
        <v>BUY</v>
      </c>
      <c r="AO184">
        <f>IF(AJ183="BUY",AO183*('Data Checks'!B394/'Data Checks'!B393),AO183*('Data Checks'!B393/'Data Checks'!B394))</f>
        <v>143.89772173571333</v>
      </c>
      <c r="AP184">
        <f>IF(AK183="BUY",AP183*('Data Checks'!C394/'Data Checks'!C393),AP183*('Data Checks'!C393/'Data Checks'!C394))</f>
        <v>103.58140471377722</v>
      </c>
      <c r="AQ184">
        <f>IF(AL183="BUY",AQ183*('Data Checks'!D394/'Data Checks'!D393),AQ183*('Data Checks'!D393/'Data Checks'!D394))</f>
        <v>279.3654604381851</v>
      </c>
      <c r="AR184">
        <f>IF(AM183="BUY",AR183*('Data Checks'!E394/'Data Checks'!E393),AR183*('Data Checks'!E393/'Data Checks'!E394))</f>
        <v>93.906923538435692</v>
      </c>
      <c r="AS184">
        <f>IF(AN183="BUY",AS183*('Data Checks'!F394/'Data Checks'!F393),AS183*('Data Checks'!F393/'Data Checks'!F394))</f>
        <v>214.60343597310626</v>
      </c>
      <c r="AT184" s="16">
        <f t="shared" si="28"/>
        <v>835.35494639921751</v>
      </c>
      <c r="AU184" s="17">
        <f t="shared" si="32"/>
        <v>4.0526894924268753E-3</v>
      </c>
    </row>
    <row r="185" spans="1:47" x14ac:dyDescent="0.35">
      <c r="A185" s="2">
        <f>Prices!A393</f>
        <v>44456</v>
      </c>
      <c r="B185">
        <f>B184*('Data Checks'!B395/'Data Checks'!B394)</f>
        <v>317.04047546092795</v>
      </c>
      <c r="C185">
        <f>C184*('Data Checks'!C395/'Data Checks'!C394)</f>
        <v>102.31140214151401</v>
      </c>
      <c r="D185">
        <f>D184*('Data Checks'!D395/'Data Checks'!D394)</f>
        <v>216.12957782817801</v>
      </c>
      <c r="E185">
        <f>E184*('Data Checks'!E395/'Data Checks'!E394)</f>
        <v>92.400398647458971</v>
      </c>
      <c r="F185">
        <f>F184*('Data Checks'!F395/'Data Checks'!F394)</f>
        <v>142.87077266863295</v>
      </c>
      <c r="G185" s="16">
        <f t="shared" si="25"/>
        <v>870.75262674671183</v>
      </c>
      <c r="H185" s="17">
        <f t="shared" si="29"/>
        <v>-1.2648310254067541E-2</v>
      </c>
      <c r="J185" t="str">
        <f>IF(AND('Data Checks'!B395&gt;'Data Checks'!B394,'Data Checks'!B394&gt;'Data Checks'!B393,'Data Checks'!B393&gt;'Data Checks'!B392),"SELL",IF(AND('Data Checks'!B395&lt;'Data Checks'!B394,'Data Checks'!B394&lt;'Data Checks'!B393,'Data Checks'!B393&lt;'Data Checks'!B392),"BUY",""))</f>
        <v/>
      </c>
      <c r="K185" t="str">
        <f>IF(AND('Data Checks'!C395&gt;'Data Checks'!C394,'Data Checks'!C394&gt;'Data Checks'!C393,'Data Checks'!C393&gt;'Data Checks'!C392),"SELL",IF(AND('Data Checks'!C395&lt;'Data Checks'!C394,'Data Checks'!C394&lt;'Data Checks'!C393,'Data Checks'!C393&lt;'Data Checks'!C392),"BUY",""))</f>
        <v/>
      </c>
      <c r="L185" t="str">
        <f>IF(AND('Data Checks'!D395&gt;'Data Checks'!D394,'Data Checks'!D394&gt;'Data Checks'!D393,'Data Checks'!D393&gt;'Data Checks'!D392),"SELL",IF(AND('Data Checks'!D395&lt;'Data Checks'!D394,'Data Checks'!D394&lt;'Data Checks'!D393,'Data Checks'!D393&lt;'Data Checks'!D392),"BUY",""))</f>
        <v/>
      </c>
      <c r="M185" t="str">
        <f>IF(AND('Data Checks'!E395&gt;'Data Checks'!E394,'Data Checks'!E394&gt;'Data Checks'!E393,'Data Checks'!E393&gt;'Data Checks'!E392),"SELL",IF(AND('Data Checks'!E395&lt;'Data Checks'!E394,'Data Checks'!E394&lt;'Data Checks'!E393,'Data Checks'!E393&lt;'Data Checks'!E392),"BUY",""))</f>
        <v/>
      </c>
      <c r="N185" t="str">
        <f>IF(AND('Data Checks'!F395&gt;'Data Checks'!F394,'Data Checks'!F394&gt;'Data Checks'!F393,'Data Checks'!F393&gt;'Data Checks'!F392),"SELL",IF(AND('Data Checks'!F395&lt;'Data Checks'!F394,'Data Checks'!F394&lt;'Data Checks'!F393,'Data Checks'!F393&lt;'Data Checks'!F392),"BUY",""))</f>
        <v/>
      </c>
      <c r="O185">
        <f>IF(J184="BUY",O184*('Data Checks'!B395/'Data Checks'!B394),IF(J184="SELL",O184*('Data Checks'!B394/'Data Checks'!B395),O184))</f>
        <v>235.17946556017949</v>
      </c>
      <c r="P185">
        <f>IF(K184="BUY",P184*('Data Checks'!C395/'Data Checks'!C394),IF(K184="SELL",P184*('Data Checks'!C394/'Data Checks'!C395),P184))</f>
        <v>222.77301821462504</v>
      </c>
      <c r="Q185">
        <f>IF(L184="BUY",Q184*('Data Checks'!D395/'Data Checks'!D394),IF(L184="SELL",Q184*('Data Checks'!D394/'Data Checks'!D395),Q184))</f>
        <v>260.17572061893031</v>
      </c>
      <c r="R185">
        <f>IF(M184="BUY",R184*('Data Checks'!E395/'Data Checks'!E394),IF(M184="SELL",R184*('Data Checks'!E394/'Data Checks'!E395),R184))</f>
        <v>193.78421586815332</v>
      </c>
      <c r="S185">
        <f>IF(N184="BUY",S184*('Data Checks'!F395/'Data Checks'!F394),IF(N184="SELL",S184*('Data Checks'!F394/'Data Checks'!F395),S184))</f>
        <v>195.30557383045738</v>
      </c>
      <c r="T185" s="16">
        <f t="shared" si="26"/>
        <v>1107.2179940923456</v>
      </c>
      <c r="U185" s="17">
        <f t="shared" si="30"/>
        <v>0</v>
      </c>
      <c r="W185" t="str">
        <f>IF(AND('Data Checks'!B395&gt;'Data Checks'!B394,'Data Checks'!B394&gt;'Data Checks'!B393,'Data Checks'!B393&gt;'Data Checks'!B392),"BUY",IF(AND('Data Checks'!B395&lt;'Data Checks'!B394,'Data Checks'!B394&lt;'Data Checks'!B393,'Data Checks'!B393&lt;'Data Checks'!B392),"SELL",""))</f>
        <v/>
      </c>
      <c r="X185" t="str">
        <f>IF(AND('Data Checks'!C395&gt;'Data Checks'!C394,'Data Checks'!C394&gt;'Data Checks'!C393,'Data Checks'!C393&gt;'Data Checks'!C392),"BUY",IF(AND('Data Checks'!C395&lt;'Data Checks'!C394,'Data Checks'!C394&lt;'Data Checks'!C393,'Data Checks'!C393&lt;'Data Checks'!C392),"SELL",""))</f>
        <v/>
      </c>
      <c r="Y185" t="str">
        <f>IF(AND('Data Checks'!D395&gt;'Data Checks'!D394,'Data Checks'!D394&gt;'Data Checks'!D393,'Data Checks'!D393&gt;'Data Checks'!D392),"BUY",IF(AND('Data Checks'!D395&lt;'Data Checks'!D394,'Data Checks'!D394&lt;'Data Checks'!D393,'Data Checks'!D393&lt;'Data Checks'!D392),"SELL",""))</f>
        <v/>
      </c>
      <c r="Z185" t="str">
        <f>IF(AND('Data Checks'!E395&gt;'Data Checks'!E394,'Data Checks'!E394&gt;'Data Checks'!E393,'Data Checks'!E393&gt;'Data Checks'!E392),"BUY",IF(AND('Data Checks'!E395&lt;'Data Checks'!E394,'Data Checks'!E394&lt;'Data Checks'!E393,'Data Checks'!E393&lt;'Data Checks'!E392),"SELL",""))</f>
        <v/>
      </c>
      <c r="AA185" t="str">
        <f>IF(AND('Data Checks'!F395&gt;'Data Checks'!F394,'Data Checks'!F394&gt;'Data Checks'!F393,'Data Checks'!F393&gt;'Data Checks'!F392),"BUY",IF(AND('Data Checks'!F395&lt;'Data Checks'!F394,'Data Checks'!F394&lt;'Data Checks'!F393,'Data Checks'!F393&lt;'Data Checks'!F392),"SELL",""))</f>
        <v/>
      </c>
      <c r="AB185">
        <f>IF(W184="BUY",AB184*('Data Checks'!B395/'Data Checks'!B394),IF(W184="SELL",AB184*('Data Checks'!B394/'Data Checks'!B395),AB184))</f>
        <v>170.08287651612392</v>
      </c>
      <c r="AC185">
        <f>IF(X184="BUY",AC184*('Data Checks'!C395/'Data Checks'!C394),IF(X184="SELL",AC184*('Data Checks'!C394/'Data Checks'!C395),AC184))</f>
        <v>179.55495831843982</v>
      </c>
      <c r="AD185">
        <f>IF(Y184="BUY",AD184*('Data Checks'!D395/'Data Checks'!D394),IF(Y184="SELL",AD184*('Data Checks'!D394/'Data Checks'!D395),AD184))</f>
        <v>153.74224737359913</v>
      </c>
      <c r="AE185">
        <f>IF(Z184="BUY",AE184*('Data Checks'!E395/'Data Checks'!E394),IF(Z184="SELL",AE184*('Data Checks'!E394/'Data Checks'!E395),AE184))</f>
        <v>206.41516039270778</v>
      </c>
      <c r="AF185">
        <f>IF(AA184="BUY",AF184*('Data Checks'!F395/'Data Checks'!F394),IF(AA184="SELL",AF184*('Data Checks'!F394/'Data Checks'!F395),AF184))</f>
        <v>204.80726287271037</v>
      </c>
      <c r="AG185" s="16">
        <f t="shared" si="27"/>
        <v>914.60250547358089</v>
      </c>
      <c r="AH185" s="17">
        <f t="shared" si="31"/>
        <v>0</v>
      </c>
      <c r="AJ185" t="str">
        <f>IF('Moving Ave'!G395&gt;'Moving Ave'!L395,"SELL","BUY")</f>
        <v>SELL</v>
      </c>
      <c r="AK185" t="str">
        <f>IF('Moving Ave'!H395&gt;'Moving Ave'!M395,"SELL","BUY")</f>
        <v>BUY</v>
      </c>
      <c r="AL185" t="str">
        <f>IF('Moving Ave'!I395&gt;'Moving Ave'!N395,"SELL","BUY")</f>
        <v>SELL</v>
      </c>
      <c r="AM185" t="str">
        <f>IF('Moving Ave'!J395&gt;'Moving Ave'!O395,"SELL","BUY")</f>
        <v>BUY</v>
      </c>
      <c r="AN185" t="str">
        <f>IF('Moving Ave'!K395&gt;'Moving Ave'!P395,"SELL","BUY")</f>
        <v>BUY</v>
      </c>
      <c r="AO185">
        <f>IF(AJ184="BUY",AO184*('Data Checks'!B395/'Data Checks'!B394),AO184*('Data Checks'!B394/'Data Checks'!B395))</f>
        <v>147.21546776247294</v>
      </c>
      <c r="AP185">
        <f>IF(AK184="BUY",AP184*('Data Checks'!C395/'Data Checks'!C394),AP184*('Data Checks'!C394/'Data Checks'!C395))</f>
        <v>102.31140214151401</v>
      </c>
      <c r="AQ185">
        <f>IF(AL184="BUY",AQ184*('Data Checks'!D395/'Data Checks'!D394),AQ184*('Data Checks'!D394/'Data Checks'!D395))</f>
        <v>279.88342177791503</v>
      </c>
      <c r="AR185">
        <f>IF(AM184="BUY",AR184*('Data Checks'!E395/'Data Checks'!E394),AR184*('Data Checks'!E394/'Data Checks'!E395))</f>
        <v>92.400398647458971</v>
      </c>
      <c r="AS185">
        <f>IF(AN184="BUY",AS184*('Data Checks'!F395/'Data Checks'!F394),AS184*('Data Checks'!F394/'Data Checks'!F395))</f>
        <v>213.60528473476163</v>
      </c>
      <c r="AT185" s="16">
        <f t="shared" si="28"/>
        <v>835.41597506412256</v>
      </c>
      <c r="AU185" s="17">
        <f t="shared" si="32"/>
        <v>7.3057165900669574E-5</v>
      </c>
    </row>
    <row r="186" spans="1:47" x14ac:dyDescent="0.35">
      <c r="A186" s="2">
        <f>Prices!A394</f>
        <v>44457</v>
      </c>
      <c r="B186">
        <f>B185*('Data Checks'!B396/'Data Checks'!B395)</f>
        <v>311.36926532858519</v>
      </c>
      <c r="C186">
        <f>C185*('Data Checks'!C396/'Data Checks'!C395)</f>
        <v>100.22860300301264</v>
      </c>
      <c r="D186">
        <f>D185*('Data Checks'!D396/'Data Checks'!D395)</f>
        <v>215.12773109246513</v>
      </c>
      <c r="E186">
        <f>E185*('Data Checks'!E396/'Data Checks'!E395)</f>
        <v>90.324737518421841</v>
      </c>
      <c r="F186">
        <f>F185*('Data Checks'!F396/'Data Checks'!F395)</f>
        <v>139.38960046813929</v>
      </c>
      <c r="G186" s="16">
        <f t="shared" si="25"/>
        <v>856.43993741062411</v>
      </c>
      <c r="H186" s="17">
        <f t="shared" si="29"/>
        <v>-1.6437147470415914E-2</v>
      </c>
      <c r="J186" t="str">
        <f>IF(AND('Data Checks'!B396&gt;'Data Checks'!B395,'Data Checks'!B395&gt;'Data Checks'!B394,'Data Checks'!B394&gt;'Data Checks'!B393),"SELL",IF(AND('Data Checks'!B396&lt;'Data Checks'!B395,'Data Checks'!B395&lt;'Data Checks'!B394,'Data Checks'!B394&lt;'Data Checks'!B393),"BUY",""))</f>
        <v>BUY</v>
      </c>
      <c r="K186" t="str">
        <f>IF(AND('Data Checks'!C396&gt;'Data Checks'!C395,'Data Checks'!C395&gt;'Data Checks'!C394,'Data Checks'!C394&gt;'Data Checks'!C393),"SELL",IF(AND('Data Checks'!C396&lt;'Data Checks'!C395,'Data Checks'!C395&lt;'Data Checks'!C394,'Data Checks'!C394&lt;'Data Checks'!C393),"BUY",""))</f>
        <v>BUY</v>
      </c>
      <c r="L186" t="str">
        <f>IF(AND('Data Checks'!D396&gt;'Data Checks'!D395,'Data Checks'!D395&gt;'Data Checks'!D394,'Data Checks'!D394&gt;'Data Checks'!D393),"SELL",IF(AND('Data Checks'!D396&lt;'Data Checks'!D395,'Data Checks'!D395&lt;'Data Checks'!D394,'Data Checks'!D394&lt;'Data Checks'!D393),"BUY",""))</f>
        <v>BUY</v>
      </c>
      <c r="M186" t="str">
        <f>IF(AND('Data Checks'!E396&gt;'Data Checks'!E395,'Data Checks'!E395&gt;'Data Checks'!E394,'Data Checks'!E394&gt;'Data Checks'!E393),"SELL",IF(AND('Data Checks'!E396&lt;'Data Checks'!E395,'Data Checks'!E395&lt;'Data Checks'!E394,'Data Checks'!E394&lt;'Data Checks'!E393),"BUY",""))</f>
        <v/>
      </c>
      <c r="N186" t="str">
        <f>IF(AND('Data Checks'!F396&gt;'Data Checks'!F395,'Data Checks'!F395&gt;'Data Checks'!F394,'Data Checks'!F394&gt;'Data Checks'!F393),"SELL",IF(AND('Data Checks'!F396&lt;'Data Checks'!F395,'Data Checks'!F395&lt;'Data Checks'!F394,'Data Checks'!F394&lt;'Data Checks'!F393),"BUY",""))</f>
        <v>BUY</v>
      </c>
      <c r="O186">
        <f>IF(J185="BUY",O185*('Data Checks'!B396/'Data Checks'!B395),IF(J185="SELL",O185*('Data Checks'!B395/'Data Checks'!B396),O185))</f>
        <v>235.17946556017949</v>
      </c>
      <c r="P186">
        <f>IF(K185="BUY",P185*('Data Checks'!C396/'Data Checks'!C395),IF(K185="SELL",P185*('Data Checks'!C395/'Data Checks'!C396),P185))</f>
        <v>222.77301821462504</v>
      </c>
      <c r="Q186">
        <f>IF(L185="BUY",Q185*('Data Checks'!D396/'Data Checks'!D395),IF(L185="SELL",Q185*('Data Checks'!D395/'Data Checks'!D396),Q185))</f>
        <v>260.17572061893031</v>
      </c>
      <c r="R186">
        <f>IF(M185="BUY",R185*('Data Checks'!E396/'Data Checks'!E395),IF(M185="SELL",R185*('Data Checks'!E395/'Data Checks'!E396),R185))</f>
        <v>193.78421586815332</v>
      </c>
      <c r="S186">
        <f>IF(N185="BUY",S185*('Data Checks'!F396/'Data Checks'!F395),IF(N185="SELL",S185*('Data Checks'!F395/'Data Checks'!F396),S185))</f>
        <v>195.30557383045738</v>
      </c>
      <c r="T186" s="16">
        <f t="shared" si="26"/>
        <v>1107.2179940923456</v>
      </c>
      <c r="U186" s="17">
        <f t="shared" si="30"/>
        <v>0</v>
      </c>
      <c r="W186" t="str">
        <f>IF(AND('Data Checks'!B396&gt;'Data Checks'!B395,'Data Checks'!B395&gt;'Data Checks'!B394,'Data Checks'!B394&gt;'Data Checks'!B393),"BUY",IF(AND('Data Checks'!B396&lt;'Data Checks'!B395,'Data Checks'!B395&lt;'Data Checks'!B394,'Data Checks'!B394&lt;'Data Checks'!B393),"SELL",""))</f>
        <v>SELL</v>
      </c>
      <c r="X186" t="str">
        <f>IF(AND('Data Checks'!C396&gt;'Data Checks'!C395,'Data Checks'!C395&gt;'Data Checks'!C394,'Data Checks'!C394&gt;'Data Checks'!C393),"BUY",IF(AND('Data Checks'!C396&lt;'Data Checks'!C395,'Data Checks'!C395&lt;'Data Checks'!C394,'Data Checks'!C394&lt;'Data Checks'!C393),"SELL",""))</f>
        <v>SELL</v>
      </c>
      <c r="Y186" t="str">
        <f>IF(AND('Data Checks'!D396&gt;'Data Checks'!D395,'Data Checks'!D395&gt;'Data Checks'!D394,'Data Checks'!D394&gt;'Data Checks'!D393),"BUY",IF(AND('Data Checks'!D396&lt;'Data Checks'!D395,'Data Checks'!D395&lt;'Data Checks'!D394,'Data Checks'!D394&lt;'Data Checks'!D393),"SELL",""))</f>
        <v>SELL</v>
      </c>
      <c r="Z186" t="str">
        <f>IF(AND('Data Checks'!E396&gt;'Data Checks'!E395,'Data Checks'!E395&gt;'Data Checks'!E394,'Data Checks'!E394&gt;'Data Checks'!E393),"BUY",IF(AND('Data Checks'!E396&lt;'Data Checks'!E395,'Data Checks'!E395&lt;'Data Checks'!E394,'Data Checks'!E394&lt;'Data Checks'!E393),"SELL",""))</f>
        <v/>
      </c>
      <c r="AA186" t="str">
        <f>IF(AND('Data Checks'!F396&gt;'Data Checks'!F395,'Data Checks'!F395&gt;'Data Checks'!F394,'Data Checks'!F394&gt;'Data Checks'!F393),"BUY",IF(AND('Data Checks'!F396&lt;'Data Checks'!F395,'Data Checks'!F395&lt;'Data Checks'!F394,'Data Checks'!F394&lt;'Data Checks'!F393),"SELL",""))</f>
        <v>SELL</v>
      </c>
      <c r="AB186">
        <f>IF(W185="BUY",AB185*('Data Checks'!B396/'Data Checks'!B395),IF(W185="SELL",AB185*('Data Checks'!B395/'Data Checks'!B396),AB185))</f>
        <v>170.08287651612392</v>
      </c>
      <c r="AC186">
        <f>IF(X185="BUY",AC185*('Data Checks'!C396/'Data Checks'!C395),IF(X185="SELL",AC185*('Data Checks'!C395/'Data Checks'!C396),AC185))</f>
        <v>179.55495831843982</v>
      </c>
      <c r="AD186">
        <f>IF(Y185="BUY",AD185*('Data Checks'!D396/'Data Checks'!D395),IF(Y185="SELL",AD185*('Data Checks'!D395/'Data Checks'!D396),AD185))</f>
        <v>153.74224737359913</v>
      </c>
      <c r="AE186">
        <f>IF(Z185="BUY",AE185*('Data Checks'!E396/'Data Checks'!E395),IF(Z185="SELL",AE185*('Data Checks'!E395/'Data Checks'!E396),AE185))</f>
        <v>206.41516039270778</v>
      </c>
      <c r="AF186">
        <f>IF(AA185="BUY",AF185*('Data Checks'!F396/'Data Checks'!F395),IF(AA185="SELL",AF185*('Data Checks'!F395/'Data Checks'!F396),AF185))</f>
        <v>204.80726287271037</v>
      </c>
      <c r="AG186" s="16">
        <f t="shared" si="27"/>
        <v>914.60250547358089</v>
      </c>
      <c r="AH186" s="17">
        <f t="shared" si="31"/>
        <v>0</v>
      </c>
      <c r="AJ186" t="str">
        <f>IF('Moving Ave'!G396&gt;'Moving Ave'!L396,"SELL","BUY")</f>
        <v>SELL</v>
      </c>
      <c r="AK186" t="str">
        <f>IF('Moving Ave'!H396&gt;'Moving Ave'!M396,"SELL","BUY")</f>
        <v>BUY</v>
      </c>
      <c r="AL186" t="str">
        <f>IF('Moving Ave'!I396&gt;'Moving Ave'!N396,"SELL","BUY")</f>
        <v>SELL</v>
      </c>
      <c r="AM186" t="str">
        <f>IF('Moving Ave'!J396&gt;'Moving Ave'!O396,"SELL","BUY")</f>
        <v>BUY</v>
      </c>
      <c r="AN186" t="str">
        <f>IF('Moving Ave'!K396&gt;'Moving Ave'!P396,"SELL","BUY")</f>
        <v>BUY</v>
      </c>
      <c r="AO186">
        <f>IF(AJ185="BUY",AO185*('Data Checks'!B396/'Data Checks'!B395),AO185*('Data Checks'!B395/'Data Checks'!B396))</f>
        <v>149.89681735402968</v>
      </c>
      <c r="AP186">
        <f>IF(AK185="BUY",AP185*('Data Checks'!C396/'Data Checks'!C395),AP185*('Data Checks'!C395/'Data Checks'!C396))</f>
        <v>100.22860300301264</v>
      </c>
      <c r="AQ186">
        <f>IF(AL185="BUY",AQ185*('Data Checks'!D396/'Data Checks'!D395),AQ185*('Data Checks'!D395/'Data Checks'!D396))</f>
        <v>281.18683482961427</v>
      </c>
      <c r="AR186">
        <f>IF(AM185="BUY",AR185*('Data Checks'!E396/'Data Checks'!E395),AR185*('Data Checks'!E395/'Data Checks'!E396))</f>
        <v>90.324737518421841</v>
      </c>
      <c r="AS186">
        <f>IF(AN185="BUY",AS185*('Data Checks'!F396/'Data Checks'!F395),AS185*('Data Checks'!F395/'Data Checks'!F396))</f>
        <v>208.40060385281635</v>
      </c>
      <c r="AT186" s="16">
        <f t="shared" si="28"/>
        <v>830.03759655789486</v>
      </c>
      <c r="AU186" s="17">
        <f t="shared" si="32"/>
        <v>-6.4379646388912359E-3</v>
      </c>
    </row>
    <row r="187" spans="1:47" x14ac:dyDescent="0.35">
      <c r="A187" s="2">
        <f>Prices!A395</f>
        <v>44460</v>
      </c>
      <c r="B187">
        <f>B186*('Data Checks'!B397/'Data Checks'!B396)</f>
        <v>311.95514832927597</v>
      </c>
      <c r="C187">
        <f>C186*('Data Checks'!C397/'Data Checks'!C396)</f>
        <v>94.691386707934754</v>
      </c>
      <c r="D187">
        <f>D186*('Data Checks'!D397/'Data Checks'!D396)</f>
        <v>205.7104659494151</v>
      </c>
      <c r="E187">
        <f>E186*('Data Checks'!E397/'Data Checks'!E396)</f>
        <v>88.08168101500894</v>
      </c>
      <c r="F187">
        <f>F186*('Data Checks'!F397/'Data Checks'!F396)</f>
        <v>134.62088318484817</v>
      </c>
      <c r="G187" s="16">
        <f t="shared" si="25"/>
        <v>835.05956518648281</v>
      </c>
      <c r="H187" s="17">
        <f t="shared" si="29"/>
        <v>-2.4964240094621393E-2</v>
      </c>
      <c r="J187" t="str">
        <f>IF(AND('Data Checks'!B397&gt;'Data Checks'!B396,'Data Checks'!B396&gt;'Data Checks'!B395,'Data Checks'!B395&gt;'Data Checks'!B394),"SELL",IF(AND('Data Checks'!B397&lt;'Data Checks'!B396,'Data Checks'!B396&lt;'Data Checks'!B395,'Data Checks'!B395&lt;'Data Checks'!B394),"BUY",""))</f>
        <v/>
      </c>
      <c r="K187" t="str">
        <f>IF(AND('Data Checks'!C397&gt;'Data Checks'!C396,'Data Checks'!C396&gt;'Data Checks'!C395,'Data Checks'!C395&gt;'Data Checks'!C394),"SELL",IF(AND('Data Checks'!C397&lt;'Data Checks'!C396,'Data Checks'!C396&lt;'Data Checks'!C395,'Data Checks'!C395&lt;'Data Checks'!C394),"BUY",""))</f>
        <v>BUY</v>
      </c>
      <c r="L187" t="str">
        <f>IF(AND('Data Checks'!D397&gt;'Data Checks'!D396,'Data Checks'!D396&gt;'Data Checks'!D395,'Data Checks'!D395&gt;'Data Checks'!D394),"SELL",IF(AND('Data Checks'!D397&lt;'Data Checks'!D396,'Data Checks'!D396&lt;'Data Checks'!D395,'Data Checks'!D395&lt;'Data Checks'!D394),"BUY",""))</f>
        <v>BUY</v>
      </c>
      <c r="M187" t="str">
        <f>IF(AND('Data Checks'!E397&gt;'Data Checks'!E396,'Data Checks'!E396&gt;'Data Checks'!E395,'Data Checks'!E395&gt;'Data Checks'!E394),"SELL",IF(AND('Data Checks'!E397&lt;'Data Checks'!E396,'Data Checks'!E396&lt;'Data Checks'!E395,'Data Checks'!E395&lt;'Data Checks'!E394),"BUY",""))</f>
        <v>BUY</v>
      </c>
      <c r="N187" t="str">
        <f>IF(AND('Data Checks'!F397&gt;'Data Checks'!F396,'Data Checks'!F396&gt;'Data Checks'!F395,'Data Checks'!F395&gt;'Data Checks'!F394),"SELL",IF(AND('Data Checks'!F397&lt;'Data Checks'!F396,'Data Checks'!F396&lt;'Data Checks'!F395,'Data Checks'!F395&lt;'Data Checks'!F394),"BUY",""))</f>
        <v>BUY</v>
      </c>
      <c r="O187">
        <f>IF(J186="BUY",O186*('Data Checks'!B397/'Data Checks'!B396),IF(J186="SELL",O186*('Data Checks'!B396/'Data Checks'!B397),O186))</f>
        <v>235.62198724207335</v>
      </c>
      <c r="P187">
        <f>IF(K186="BUY",P186*('Data Checks'!C397/'Data Checks'!C396),IF(K186="SELL",P186*('Data Checks'!C396/'Data Checks'!C397),P186))</f>
        <v>210.46572918132756</v>
      </c>
      <c r="Q187">
        <f>IF(L186="BUY",Q186*('Data Checks'!D397/'Data Checks'!D396),IF(L186="SELL",Q186*('Data Checks'!D396/'Data Checks'!D397),Q186))</f>
        <v>248.78646953349275</v>
      </c>
      <c r="R187">
        <f>IF(M186="BUY",R186*('Data Checks'!E397/'Data Checks'!E396),IF(M186="SELL",R186*('Data Checks'!E396/'Data Checks'!E397),R186))</f>
        <v>193.78421586815332</v>
      </c>
      <c r="S187">
        <f>IF(N186="BUY",S186*('Data Checks'!F397/'Data Checks'!F396),IF(N186="SELL",S186*('Data Checks'!F396/'Data Checks'!F397),S186))</f>
        <v>188.62389124925738</v>
      </c>
      <c r="T187" s="16">
        <f t="shared" si="26"/>
        <v>1077.2822930743043</v>
      </c>
      <c r="U187" s="17">
        <f t="shared" si="30"/>
        <v>-2.7036862819937668E-2</v>
      </c>
      <c r="W187" t="str">
        <f>IF(AND('Data Checks'!B397&gt;'Data Checks'!B396,'Data Checks'!B396&gt;'Data Checks'!B395,'Data Checks'!B395&gt;'Data Checks'!B394),"BUY",IF(AND('Data Checks'!B397&lt;'Data Checks'!B396,'Data Checks'!B396&lt;'Data Checks'!B395,'Data Checks'!B395&lt;'Data Checks'!B394),"SELL",""))</f>
        <v/>
      </c>
      <c r="X187" t="str">
        <f>IF(AND('Data Checks'!C397&gt;'Data Checks'!C396,'Data Checks'!C396&gt;'Data Checks'!C395,'Data Checks'!C395&gt;'Data Checks'!C394),"BUY",IF(AND('Data Checks'!C397&lt;'Data Checks'!C396,'Data Checks'!C396&lt;'Data Checks'!C395,'Data Checks'!C395&lt;'Data Checks'!C394),"SELL",""))</f>
        <v>SELL</v>
      </c>
      <c r="Y187" t="str">
        <f>IF(AND('Data Checks'!D397&gt;'Data Checks'!D396,'Data Checks'!D396&gt;'Data Checks'!D395,'Data Checks'!D395&gt;'Data Checks'!D394),"BUY",IF(AND('Data Checks'!D397&lt;'Data Checks'!D396,'Data Checks'!D396&lt;'Data Checks'!D395,'Data Checks'!D395&lt;'Data Checks'!D394),"SELL",""))</f>
        <v>SELL</v>
      </c>
      <c r="Z187" t="str">
        <f>IF(AND('Data Checks'!E397&gt;'Data Checks'!E396,'Data Checks'!E396&gt;'Data Checks'!E395,'Data Checks'!E395&gt;'Data Checks'!E394),"BUY",IF(AND('Data Checks'!E397&lt;'Data Checks'!E396,'Data Checks'!E396&lt;'Data Checks'!E395,'Data Checks'!E395&lt;'Data Checks'!E394),"SELL",""))</f>
        <v>SELL</v>
      </c>
      <c r="AA187" t="str">
        <f>IF(AND('Data Checks'!F397&gt;'Data Checks'!F396,'Data Checks'!F396&gt;'Data Checks'!F395,'Data Checks'!F395&gt;'Data Checks'!F394),"BUY",IF(AND('Data Checks'!F397&lt;'Data Checks'!F396,'Data Checks'!F396&lt;'Data Checks'!F395,'Data Checks'!F395&lt;'Data Checks'!F394),"SELL",""))</f>
        <v>SELL</v>
      </c>
      <c r="AB187">
        <f>IF(W186="BUY",AB186*('Data Checks'!B397/'Data Checks'!B396),IF(W186="SELL",AB186*('Data Checks'!B396/'Data Checks'!B397),AB186))</f>
        <v>169.76344384577669</v>
      </c>
      <c r="AC187">
        <f>IF(X186="BUY",AC186*('Data Checks'!C397/'Data Checks'!C396),IF(X186="SELL",AC186*('Data Checks'!C396/'Data Checks'!C397),AC186))</f>
        <v>190.05469515437304</v>
      </c>
      <c r="AD187">
        <f>IF(Y186="BUY",AD186*('Data Checks'!D397/'Data Checks'!D396),IF(Y186="SELL",AD186*('Data Checks'!D396/'Data Checks'!D397),AD186))</f>
        <v>160.78044788772172</v>
      </c>
      <c r="AE187">
        <f>IF(Z186="BUY",AE186*('Data Checks'!E397/'Data Checks'!E396),IF(Z186="SELL",AE186*('Data Checks'!E396/'Data Checks'!E397),AE186))</f>
        <v>206.41516039270778</v>
      </c>
      <c r="AF187">
        <f>IF(AA186="BUY",AF186*('Data Checks'!F397/'Data Checks'!F396),IF(AA186="SELL",AF186*('Data Checks'!F396/'Data Checks'!F397),AF186))</f>
        <v>212.06221404446563</v>
      </c>
      <c r="AG187" s="16">
        <f t="shared" si="27"/>
        <v>939.07596132504477</v>
      </c>
      <c r="AH187" s="17">
        <f t="shared" si="31"/>
        <v>2.6758570750679889E-2</v>
      </c>
      <c r="AJ187" t="str">
        <f>IF('Moving Ave'!G397&gt;'Moving Ave'!L397,"SELL","BUY")</f>
        <v>SELL</v>
      </c>
      <c r="AK187" t="str">
        <f>IF('Moving Ave'!H397&gt;'Moving Ave'!M397,"SELL","BUY")</f>
        <v>BUY</v>
      </c>
      <c r="AL187" t="str">
        <f>IF('Moving Ave'!I397&gt;'Moving Ave'!N397,"SELL","BUY")</f>
        <v>SELL</v>
      </c>
      <c r="AM187" t="str">
        <f>IF('Moving Ave'!J397&gt;'Moving Ave'!O397,"SELL","BUY")</f>
        <v>BUY</v>
      </c>
      <c r="AN187" t="str">
        <f>IF('Moving Ave'!K397&gt;'Moving Ave'!P397,"SELL","BUY")</f>
        <v>BUY</v>
      </c>
      <c r="AO187">
        <f>IF(AJ186="BUY",AO186*('Data Checks'!B397/'Data Checks'!B396),AO186*('Data Checks'!B396/'Data Checks'!B397))</f>
        <v>149.61529612376398</v>
      </c>
      <c r="AP187">
        <f>IF(AK186="BUY",AP186*('Data Checks'!C397/'Data Checks'!C396),AP186*('Data Checks'!C396/'Data Checks'!C397))</f>
        <v>94.691386707934754</v>
      </c>
      <c r="AQ187">
        <f>IF(AL186="BUY",AQ186*('Data Checks'!D397/'Data Checks'!D396),AQ186*('Data Checks'!D396/'Data Checks'!D397))</f>
        <v>294.05934943942827</v>
      </c>
      <c r="AR187">
        <f>IF(AM186="BUY",AR186*('Data Checks'!E397/'Data Checks'!E396),AR186*('Data Checks'!E396/'Data Checks'!E397))</f>
        <v>88.08168101500894</v>
      </c>
      <c r="AS187">
        <f>IF(AN186="BUY",AS186*('Data Checks'!F397/'Data Checks'!F396),AS186*('Data Checks'!F396/'Data Checks'!F397))</f>
        <v>201.27092159457362</v>
      </c>
      <c r="AT187" s="16">
        <f t="shared" si="28"/>
        <v>827.71863488070949</v>
      </c>
      <c r="AU187" s="17">
        <f t="shared" si="32"/>
        <v>-2.7938031804847219E-3</v>
      </c>
    </row>
    <row r="188" spans="1:47" x14ac:dyDescent="0.35">
      <c r="A188" s="2">
        <f>Prices!A396</f>
        <v>44461</v>
      </c>
      <c r="B188">
        <f>B187*('Data Checks'!B398/'Data Checks'!B397)</f>
        <v>329.71269629921528</v>
      </c>
      <c r="C188">
        <f>C187*('Data Checks'!C398/'Data Checks'!C397)</f>
        <v>93.218188804119734</v>
      </c>
      <c r="D188">
        <f>D187*('Data Checks'!D398/'Data Checks'!D397)</f>
        <v>205.07597604067425</v>
      </c>
      <c r="E188">
        <f>E187*('Data Checks'!E398/'Data Checks'!E397)</f>
        <v>89.186468390141599</v>
      </c>
      <c r="F188">
        <f>F187*('Data Checks'!F398/'Data Checks'!F397)</f>
        <v>133.19026799986082</v>
      </c>
      <c r="G188" s="16">
        <f t="shared" si="25"/>
        <v>850.38359753401164</v>
      </c>
      <c r="H188" s="17">
        <f t="shared" si="29"/>
        <v>1.8350825481660893E-2</v>
      </c>
      <c r="J188" t="str">
        <f>IF(AND('Data Checks'!B398&gt;'Data Checks'!B397,'Data Checks'!B397&gt;'Data Checks'!B396,'Data Checks'!B396&gt;'Data Checks'!B395),"SELL",IF(AND('Data Checks'!B398&lt;'Data Checks'!B397,'Data Checks'!B397&lt;'Data Checks'!B396,'Data Checks'!B396&lt;'Data Checks'!B395),"BUY",""))</f>
        <v/>
      </c>
      <c r="K188" t="str">
        <f>IF(AND('Data Checks'!C398&gt;'Data Checks'!C397,'Data Checks'!C397&gt;'Data Checks'!C396,'Data Checks'!C396&gt;'Data Checks'!C395),"SELL",IF(AND('Data Checks'!C398&lt;'Data Checks'!C397,'Data Checks'!C397&lt;'Data Checks'!C396,'Data Checks'!C396&lt;'Data Checks'!C395),"BUY",""))</f>
        <v>BUY</v>
      </c>
      <c r="L188" t="str">
        <f>IF(AND('Data Checks'!D398&gt;'Data Checks'!D397,'Data Checks'!D397&gt;'Data Checks'!D396,'Data Checks'!D396&gt;'Data Checks'!D395),"SELL",IF(AND('Data Checks'!D398&lt;'Data Checks'!D397,'Data Checks'!D397&lt;'Data Checks'!D396,'Data Checks'!D396&lt;'Data Checks'!D395),"BUY",""))</f>
        <v>BUY</v>
      </c>
      <c r="M188" t="str">
        <f>IF(AND('Data Checks'!E398&gt;'Data Checks'!E397,'Data Checks'!E397&gt;'Data Checks'!E396,'Data Checks'!E396&gt;'Data Checks'!E395),"SELL",IF(AND('Data Checks'!E398&lt;'Data Checks'!E397,'Data Checks'!E397&lt;'Data Checks'!E396,'Data Checks'!E396&lt;'Data Checks'!E395),"BUY",""))</f>
        <v/>
      </c>
      <c r="N188" t="str">
        <f>IF(AND('Data Checks'!F398&gt;'Data Checks'!F397,'Data Checks'!F397&gt;'Data Checks'!F396,'Data Checks'!F396&gt;'Data Checks'!F395),"SELL",IF(AND('Data Checks'!F398&lt;'Data Checks'!F397,'Data Checks'!F397&lt;'Data Checks'!F396,'Data Checks'!F396&lt;'Data Checks'!F395),"BUY",""))</f>
        <v>BUY</v>
      </c>
      <c r="O188">
        <f>IF(J187="BUY",O187*('Data Checks'!B398/'Data Checks'!B397),IF(J187="SELL",O187*('Data Checks'!B397/'Data Checks'!B398),O187))</f>
        <v>235.62198724207335</v>
      </c>
      <c r="P188">
        <f>IF(K187="BUY",P187*('Data Checks'!C398/'Data Checks'!C397),IF(K187="SELL",P187*('Data Checks'!C397/'Data Checks'!C398),P187))</f>
        <v>207.19132712814852</v>
      </c>
      <c r="Q188">
        <f>IF(L187="BUY",Q187*('Data Checks'!D398/'Data Checks'!D397),IF(L187="SELL",Q187*('Data Checks'!D397/'Data Checks'!D398),Q187))</f>
        <v>248.01911672224062</v>
      </c>
      <c r="R188">
        <f>IF(M187="BUY",R187*('Data Checks'!E398/'Data Checks'!E397),IF(M187="SELL",R187*('Data Checks'!E397/'Data Checks'!E398),R187))</f>
        <v>196.21480475705789</v>
      </c>
      <c r="S188">
        <f>IF(N187="BUY",S187*('Data Checks'!F398/'Data Checks'!F397),IF(N187="SELL",S187*('Data Checks'!F397/'Data Checks'!F398),S187))</f>
        <v>186.61938647489737</v>
      </c>
      <c r="T188" s="16">
        <f t="shared" si="26"/>
        <v>1073.6666223244176</v>
      </c>
      <c r="U188" s="17">
        <f t="shared" si="30"/>
        <v>-3.3562890368953324E-3</v>
      </c>
      <c r="W188" t="str">
        <f>IF(AND('Data Checks'!B398&gt;'Data Checks'!B397,'Data Checks'!B397&gt;'Data Checks'!B396,'Data Checks'!B396&gt;'Data Checks'!B395),"BUY",IF(AND('Data Checks'!B398&lt;'Data Checks'!B397,'Data Checks'!B397&lt;'Data Checks'!B396,'Data Checks'!B396&lt;'Data Checks'!B395),"SELL",""))</f>
        <v/>
      </c>
      <c r="X188" t="str">
        <f>IF(AND('Data Checks'!C398&gt;'Data Checks'!C397,'Data Checks'!C397&gt;'Data Checks'!C396,'Data Checks'!C396&gt;'Data Checks'!C395),"BUY",IF(AND('Data Checks'!C398&lt;'Data Checks'!C397,'Data Checks'!C397&lt;'Data Checks'!C396,'Data Checks'!C396&lt;'Data Checks'!C395),"SELL",""))</f>
        <v>SELL</v>
      </c>
      <c r="Y188" t="str">
        <f>IF(AND('Data Checks'!D398&gt;'Data Checks'!D397,'Data Checks'!D397&gt;'Data Checks'!D396,'Data Checks'!D396&gt;'Data Checks'!D395),"BUY",IF(AND('Data Checks'!D398&lt;'Data Checks'!D397,'Data Checks'!D397&lt;'Data Checks'!D396,'Data Checks'!D396&lt;'Data Checks'!D395),"SELL",""))</f>
        <v>SELL</v>
      </c>
      <c r="Z188" t="str">
        <f>IF(AND('Data Checks'!E398&gt;'Data Checks'!E397,'Data Checks'!E397&gt;'Data Checks'!E396,'Data Checks'!E396&gt;'Data Checks'!E395),"BUY",IF(AND('Data Checks'!E398&lt;'Data Checks'!E397,'Data Checks'!E397&lt;'Data Checks'!E396,'Data Checks'!E396&lt;'Data Checks'!E395),"SELL",""))</f>
        <v/>
      </c>
      <c r="AA188" t="str">
        <f>IF(AND('Data Checks'!F398&gt;'Data Checks'!F397,'Data Checks'!F397&gt;'Data Checks'!F396,'Data Checks'!F396&gt;'Data Checks'!F395),"BUY",IF(AND('Data Checks'!F398&lt;'Data Checks'!F397,'Data Checks'!F397&lt;'Data Checks'!F396,'Data Checks'!F396&lt;'Data Checks'!F395),"SELL",""))</f>
        <v>SELL</v>
      </c>
      <c r="AB188">
        <f>IF(W187="BUY",AB187*('Data Checks'!B398/'Data Checks'!B397),IF(W187="SELL",AB187*('Data Checks'!B397/'Data Checks'!B398),AB187))</f>
        <v>169.76344384577669</v>
      </c>
      <c r="AC188">
        <f>IF(X187="BUY",AC187*('Data Checks'!C398/'Data Checks'!C397),IF(X187="SELL",AC187*('Data Checks'!C397/'Data Checks'!C398),AC187))</f>
        <v>193.0582739848947</v>
      </c>
      <c r="AD188">
        <f>IF(Y187="BUY",AD187*('Data Checks'!D398/'Data Checks'!D397),IF(Y187="SELL",AD187*('Data Checks'!D397/'Data Checks'!D398),AD187))</f>
        <v>161.27789070709596</v>
      </c>
      <c r="AE188">
        <f>IF(Z187="BUY",AE187*('Data Checks'!E398/'Data Checks'!E397),IF(Z187="SELL",AE187*('Data Checks'!E397/'Data Checks'!E398),AE187))</f>
        <v>203.85821574231221</v>
      </c>
      <c r="AF188">
        <f>IF(AA187="BUY",AF187*('Data Checks'!F398/'Data Checks'!F397),IF(AA187="SELL",AF187*('Data Checks'!F397/'Data Checks'!F398),AF187))</f>
        <v>214.34000376686762</v>
      </c>
      <c r="AG188" s="16">
        <f t="shared" si="27"/>
        <v>942.2978280469473</v>
      </c>
      <c r="AH188" s="17">
        <f t="shared" si="31"/>
        <v>3.4308904227049464E-3</v>
      </c>
      <c r="AJ188" t="str">
        <f>IF('Moving Ave'!G398&gt;'Moving Ave'!L398,"SELL","BUY")</f>
        <v>SELL</v>
      </c>
      <c r="AK188" t="str">
        <f>IF('Moving Ave'!H398&gt;'Moving Ave'!M398,"SELL","BUY")</f>
        <v>BUY</v>
      </c>
      <c r="AL188" t="str">
        <f>IF('Moving Ave'!I398&gt;'Moving Ave'!N398,"SELL","BUY")</f>
        <v>SELL</v>
      </c>
      <c r="AM188" t="str">
        <f>IF('Moving Ave'!J398&gt;'Moving Ave'!O398,"SELL","BUY")</f>
        <v>BUY</v>
      </c>
      <c r="AN188" t="str">
        <f>IF('Moving Ave'!K398&gt;'Moving Ave'!P398,"SELL","BUY")</f>
        <v>BUY</v>
      </c>
      <c r="AO188">
        <f>IF(AJ187="BUY",AO187*('Data Checks'!B398/'Data Checks'!B397),AO187*('Data Checks'!B397/'Data Checks'!B398))</f>
        <v>141.55736924446856</v>
      </c>
      <c r="AP188">
        <f>IF(AK187="BUY",AP187*('Data Checks'!C398/'Data Checks'!C397),AP187*('Data Checks'!C397/'Data Checks'!C398))</f>
        <v>93.218188804119734</v>
      </c>
      <c r="AQ188">
        <f>IF(AL187="BUY",AQ187*('Data Checks'!D398/'Data Checks'!D397),AQ187*('Data Checks'!D397/'Data Checks'!D398))</f>
        <v>294.96914732698394</v>
      </c>
      <c r="AR188">
        <f>IF(AM187="BUY",AR187*('Data Checks'!E398/'Data Checks'!E397),AR187*('Data Checks'!E397/'Data Checks'!E398))</f>
        <v>89.186468390141599</v>
      </c>
      <c r="AS188">
        <f>IF(AN187="BUY",AS187*('Data Checks'!F398/'Data Checks'!F397),AS187*('Data Checks'!F397/'Data Checks'!F398))</f>
        <v>199.1320169171008</v>
      </c>
      <c r="AT188" s="16">
        <f t="shared" si="28"/>
        <v>818.06319068281471</v>
      </c>
      <c r="AU188" s="17">
        <f t="shared" si="32"/>
        <v>-1.1665128451875839E-2</v>
      </c>
    </row>
    <row r="189" spans="1:47" x14ac:dyDescent="0.35">
      <c r="A189" s="2">
        <f>Prices!A397</f>
        <v>44462</v>
      </c>
      <c r="B189">
        <f>B188*('Data Checks'!B399/'Data Checks'!B398)</f>
        <v>316.10582570109864</v>
      </c>
      <c r="C189">
        <f>C188*('Data Checks'!C399/'Data Checks'!C398)</f>
        <v>93.57378952435343</v>
      </c>
      <c r="D189">
        <f>D188*('Data Checks'!D399/'Data Checks'!D398)</f>
        <v>201.70313243785503</v>
      </c>
      <c r="E189">
        <f>E188*('Data Checks'!E399/'Data Checks'!E398)</f>
        <v>87.445598009856042</v>
      </c>
      <c r="F189">
        <f>F188*('Data Checks'!F399/'Data Checks'!F398)</f>
        <v>134.81164332110129</v>
      </c>
      <c r="G189" s="16">
        <f t="shared" si="25"/>
        <v>833.6399889942644</v>
      </c>
      <c r="H189" s="17">
        <f t="shared" si="29"/>
        <v>-1.9689477299775326E-2</v>
      </c>
      <c r="J189" t="str">
        <f>IF(AND('Data Checks'!B399&gt;'Data Checks'!B398,'Data Checks'!B398&gt;'Data Checks'!B397,'Data Checks'!B397&gt;'Data Checks'!B396),"SELL",IF(AND('Data Checks'!B399&lt;'Data Checks'!B398,'Data Checks'!B398&lt;'Data Checks'!B397,'Data Checks'!B397&lt;'Data Checks'!B396),"BUY",""))</f>
        <v/>
      </c>
      <c r="K189" t="str">
        <f>IF(AND('Data Checks'!C399&gt;'Data Checks'!C398,'Data Checks'!C398&gt;'Data Checks'!C397,'Data Checks'!C397&gt;'Data Checks'!C396),"SELL",IF(AND('Data Checks'!C399&lt;'Data Checks'!C398,'Data Checks'!C398&lt;'Data Checks'!C397,'Data Checks'!C397&lt;'Data Checks'!C396),"BUY",""))</f>
        <v/>
      </c>
      <c r="L189" t="str">
        <f>IF(AND('Data Checks'!D399&gt;'Data Checks'!D398,'Data Checks'!D398&gt;'Data Checks'!D397,'Data Checks'!D397&gt;'Data Checks'!D396),"SELL",IF(AND('Data Checks'!D399&lt;'Data Checks'!D398,'Data Checks'!D398&lt;'Data Checks'!D397,'Data Checks'!D397&lt;'Data Checks'!D396),"BUY",""))</f>
        <v>BUY</v>
      </c>
      <c r="M189" t="str">
        <f>IF(AND('Data Checks'!E399&gt;'Data Checks'!E398,'Data Checks'!E398&gt;'Data Checks'!E397,'Data Checks'!E397&gt;'Data Checks'!E396),"SELL",IF(AND('Data Checks'!E399&lt;'Data Checks'!E398,'Data Checks'!E398&lt;'Data Checks'!E397,'Data Checks'!E397&lt;'Data Checks'!E396),"BUY",""))</f>
        <v/>
      </c>
      <c r="N189" t="str">
        <f>IF(AND('Data Checks'!F399&gt;'Data Checks'!F398,'Data Checks'!F398&gt;'Data Checks'!F397,'Data Checks'!F397&gt;'Data Checks'!F396),"SELL",IF(AND('Data Checks'!F399&lt;'Data Checks'!F398,'Data Checks'!F398&lt;'Data Checks'!F397,'Data Checks'!F397&lt;'Data Checks'!F396),"BUY",""))</f>
        <v/>
      </c>
      <c r="O189">
        <f>IF(J188="BUY",O188*('Data Checks'!B399/'Data Checks'!B398),IF(J188="SELL",O188*('Data Checks'!B398/'Data Checks'!B399),O188))</f>
        <v>235.62198724207335</v>
      </c>
      <c r="P189">
        <f>IF(K188="BUY",P188*('Data Checks'!C399/'Data Checks'!C398),IF(K188="SELL",P188*('Data Checks'!C398/'Data Checks'!C399),P188))</f>
        <v>207.98170276296977</v>
      </c>
      <c r="Q189">
        <f>IF(L188="BUY",Q188*('Data Checks'!D399/'Data Checks'!D398),IF(L188="SELL",Q188*('Data Checks'!D398/'Data Checks'!D399),Q188))</f>
        <v>243.93999586486839</v>
      </c>
      <c r="R189">
        <f>IF(M188="BUY",R188*('Data Checks'!E399/'Data Checks'!E398),IF(M188="SELL",R188*('Data Checks'!E398/'Data Checks'!E399),R188))</f>
        <v>196.21480475705789</v>
      </c>
      <c r="S189">
        <f>IF(N188="BUY",S188*('Data Checks'!F399/'Data Checks'!F398),IF(N188="SELL",S188*('Data Checks'!F398/'Data Checks'!F399),S188))</f>
        <v>188.89117458854358</v>
      </c>
      <c r="T189" s="16">
        <f t="shared" si="26"/>
        <v>1072.6496652155131</v>
      </c>
      <c r="U189" s="17">
        <f t="shared" si="30"/>
        <v>-9.4718145070293858E-4</v>
      </c>
      <c r="W189" t="str">
        <f>IF(AND('Data Checks'!B399&gt;'Data Checks'!B398,'Data Checks'!B398&gt;'Data Checks'!B397,'Data Checks'!B397&gt;'Data Checks'!B396),"BUY",IF(AND('Data Checks'!B399&lt;'Data Checks'!B398,'Data Checks'!B398&lt;'Data Checks'!B397,'Data Checks'!B397&lt;'Data Checks'!B396),"SELL",""))</f>
        <v/>
      </c>
      <c r="X189" t="str">
        <f>IF(AND('Data Checks'!C399&gt;'Data Checks'!C398,'Data Checks'!C398&gt;'Data Checks'!C397,'Data Checks'!C397&gt;'Data Checks'!C396),"BUY",IF(AND('Data Checks'!C399&lt;'Data Checks'!C398,'Data Checks'!C398&lt;'Data Checks'!C397,'Data Checks'!C397&lt;'Data Checks'!C396),"SELL",""))</f>
        <v/>
      </c>
      <c r="Y189" t="str">
        <f>IF(AND('Data Checks'!D399&gt;'Data Checks'!D398,'Data Checks'!D398&gt;'Data Checks'!D397,'Data Checks'!D397&gt;'Data Checks'!D396),"BUY",IF(AND('Data Checks'!D399&lt;'Data Checks'!D398,'Data Checks'!D398&lt;'Data Checks'!D397,'Data Checks'!D397&lt;'Data Checks'!D396),"SELL",""))</f>
        <v>SELL</v>
      </c>
      <c r="Z189" t="str">
        <f>IF(AND('Data Checks'!E399&gt;'Data Checks'!E398,'Data Checks'!E398&gt;'Data Checks'!E397,'Data Checks'!E397&gt;'Data Checks'!E396),"BUY",IF(AND('Data Checks'!E399&lt;'Data Checks'!E398,'Data Checks'!E398&lt;'Data Checks'!E397,'Data Checks'!E397&lt;'Data Checks'!E396),"SELL",""))</f>
        <v/>
      </c>
      <c r="AA189" t="str">
        <f>IF(AND('Data Checks'!F399&gt;'Data Checks'!F398,'Data Checks'!F398&gt;'Data Checks'!F397,'Data Checks'!F397&gt;'Data Checks'!F396),"BUY",IF(AND('Data Checks'!F399&lt;'Data Checks'!F398,'Data Checks'!F398&lt;'Data Checks'!F397,'Data Checks'!F397&lt;'Data Checks'!F396),"SELL",""))</f>
        <v/>
      </c>
      <c r="AB189">
        <f>IF(W188="BUY",AB188*('Data Checks'!B399/'Data Checks'!B398),IF(W188="SELL",AB188*('Data Checks'!B398/'Data Checks'!B399),AB188))</f>
        <v>169.76344384577669</v>
      </c>
      <c r="AC189">
        <f>IF(X188="BUY",AC188*('Data Checks'!C399/'Data Checks'!C398),IF(X188="SELL",AC188*('Data Checks'!C398/'Data Checks'!C399),AC188))</f>
        <v>192.32461062013127</v>
      </c>
      <c r="AD189">
        <f>IF(Y188="BUY",AD188*('Data Checks'!D399/'Data Checks'!D398),IF(Y188="SELL",AD188*('Data Checks'!D398/'Data Checks'!D399),AD188))</f>
        <v>163.97475066843145</v>
      </c>
      <c r="AE189">
        <f>IF(Z188="BUY",AE188*('Data Checks'!E399/'Data Checks'!E398),IF(Z188="SELL",AE188*('Data Checks'!E398/'Data Checks'!E399),AE188))</f>
        <v>203.85821574231221</v>
      </c>
      <c r="AF189">
        <f>IF(AA188="BUY",AF188*('Data Checks'!F399/'Data Checks'!F398),IF(AA188="SELL",AF188*('Data Checks'!F398/'Data Checks'!F399),AF188))</f>
        <v>211.76214339886931</v>
      </c>
      <c r="AG189" s="16">
        <f t="shared" si="27"/>
        <v>941.68316427552099</v>
      </c>
      <c r="AH189" s="17">
        <f t="shared" si="31"/>
        <v>-6.5230307566377377E-4</v>
      </c>
      <c r="AJ189" t="str">
        <f>IF('Moving Ave'!G399&gt;'Moving Ave'!L399,"SELL","BUY")</f>
        <v>SELL</v>
      </c>
      <c r="AK189" t="str">
        <f>IF('Moving Ave'!H399&gt;'Moving Ave'!M399,"SELL","BUY")</f>
        <v>BUY</v>
      </c>
      <c r="AL189" t="str">
        <f>IF('Moving Ave'!I399&gt;'Moving Ave'!N399,"SELL","BUY")</f>
        <v>SELL</v>
      </c>
      <c r="AM189" t="str">
        <f>IF('Moving Ave'!J399&gt;'Moving Ave'!O399,"SELL","BUY")</f>
        <v>BUY</v>
      </c>
      <c r="AN189" t="str">
        <f>IF('Moving Ave'!K399&gt;'Moving Ave'!P399,"SELL","BUY")</f>
        <v>BUY</v>
      </c>
      <c r="AO189">
        <f>IF(AJ188="BUY",AO188*('Data Checks'!B399/'Data Checks'!B398),AO188*('Data Checks'!B398/'Data Checks'!B399))</f>
        <v>147.65074889429701</v>
      </c>
      <c r="AP189">
        <f>IF(AK188="BUY",AP188*('Data Checks'!C399/'Data Checks'!C398),AP188*('Data Checks'!C398/'Data Checks'!C399))</f>
        <v>93.57378952435343</v>
      </c>
      <c r="AQ189">
        <f>IF(AL188="BUY",AQ188*('Data Checks'!D399/'Data Checks'!D398),AQ188*('Data Checks'!D398/'Data Checks'!D399))</f>
        <v>299.90156850243284</v>
      </c>
      <c r="AR189">
        <f>IF(AM188="BUY",AR188*('Data Checks'!E399/'Data Checks'!E398),AR188*('Data Checks'!E398/'Data Checks'!E399))</f>
        <v>87.445598009856042</v>
      </c>
      <c r="AS189">
        <f>IF(AN188="BUY",AS188*('Data Checks'!F399/'Data Checks'!F398),AS188*('Data Checks'!F398/'Data Checks'!F399))</f>
        <v>201.55612599614076</v>
      </c>
      <c r="AT189" s="16">
        <f t="shared" si="28"/>
        <v>830.12783092708014</v>
      </c>
      <c r="AU189" s="17">
        <f t="shared" si="32"/>
        <v>1.4747809682275737E-2</v>
      </c>
    </row>
    <row r="190" spans="1:47" x14ac:dyDescent="0.35">
      <c r="A190" s="2">
        <f>Prices!A398</f>
        <v>44463</v>
      </c>
      <c r="B190">
        <f>B189*('Data Checks'!B400/'Data Checks'!B399)</f>
        <v>318.2059128339373</v>
      </c>
      <c r="C190">
        <f>C189*('Data Checks'!C400/'Data Checks'!C399)</f>
        <v>93.421384135671545</v>
      </c>
      <c r="D190">
        <f>D189*('Data Checks'!D400/'Data Checks'!D399)</f>
        <v>204.27449998788623</v>
      </c>
      <c r="E190">
        <f>E189*('Data Checks'!E400/'Data Checks'!E399)</f>
        <v>88.851691032752171</v>
      </c>
      <c r="F190">
        <f>F189*('Data Checks'!F400/'Data Checks'!F399)</f>
        <v>133.04721220382282</v>
      </c>
      <c r="G190" s="16">
        <f t="shared" si="25"/>
        <v>837.80070019407015</v>
      </c>
      <c r="H190" s="17">
        <f t="shared" si="29"/>
        <v>4.9910168114959408E-3</v>
      </c>
      <c r="J190" t="str">
        <f>IF(AND('Data Checks'!B400&gt;'Data Checks'!B399,'Data Checks'!B399&gt;'Data Checks'!B398,'Data Checks'!B398&gt;'Data Checks'!B397),"SELL",IF(AND('Data Checks'!B400&lt;'Data Checks'!B399,'Data Checks'!B399&lt;'Data Checks'!B398,'Data Checks'!B398&lt;'Data Checks'!B397),"BUY",""))</f>
        <v/>
      </c>
      <c r="K190" t="str">
        <f>IF(AND('Data Checks'!C400&gt;'Data Checks'!C399,'Data Checks'!C399&gt;'Data Checks'!C398,'Data Checks'!C398&gt;'Data Checks'!C397),"SELL",IF(AND('Data Checks'!C400&lt;'Data Checks'!C399,'Data Checks'!C399&lt;'Data Checks'!C398,'Data Checks'!C398&lt;'Data Checks'!C397),"BUY",""))</f>
        <v/>
      </c>
      <c r="L190" t="str">
        <f>IF(AND('Data Checks'!D400&gt;'Data Checks'!D399,'Data Checks'!D399&gt;'Data Checks'!D398,'Data Checks'!D398&gt;'Data Checks'!D397),"SELL",IF(AND('Data Checks'!D400&lt;'Data Checks'!D399,'Data Checks'!D399&lt;'Data Checks'!D398,'Data Checks'!D398&lt;'Data Checks'!D397),"BUY",""))</f>
        <v/>
      </c>
      <c r="M190" t="str">
        <f>IF(AND('Data Checks'!E400&gt;'Data Checks'!E399,'Data Checks'!E399&gt;'Data Checks'!E398,'Data Checks'!E398&gt;'Data Checks'!E397),"SELL",IF(AND('Data Checks'!E400&lt;'Data Checks'!E399,'Data Checks'!E399&lt;'Data Checks'!E398,'Data Checks'!E398&lt;'Data Checks'!E397),"BUY",""))</f>
        <v/>
      </c>
      <c r="N190" t="str">
        <f>IF(AND('Data Checks'!F400&gt;'Data Checks'!F399,'Data Checks'!F399&gt;'Data Checks'!F398,'Data Checks'!F398&gt;'Data Checks'!F397),"SELL",IF(AND('Data Checks'!F400&lt;'Data Checks'!F399,'Data Checks'!F399&lt;'Data Checks'!F398,'Data Checks'!F398&lt;'Data Checks'!F397),"BUY",""))</f>
        <v/>
      </c>
      <c r="O190">
        <f>IF(J189="BUY",O189*('Data Checks'!B400/'Data Checks'!B399),IF(J189="SELL",O189*('Data Checks'!B399/'Data Checks'!B400),O189))</f>
        <v>235.62198724207335</v>
      </c>
      <c r="P190">
        <f>IF(K189="BUY",P189*('Data Checks'!C400/'Data Checks'!C399),IF(K189="SELL",P189*('Data Checks'!C399/'Data Checks'!C400),P189))</f>
        <v>207.98170276296977</v>
      </c>
      <c r="Q190">
        <f>IF(L189="BUY",Q189*('Data Checks'!D400/'Data Checks'!D399),IF(L189="SELL",Q189*('Data Checks'!D399/'Data Checks'!D400),Q189))</f>
        <v>247.04981068003951</v>
      </c>
      <c r="R190">
        <f>IF(M189="BUY",R189*('Data Checks'!E400/'Data Checks'!E399),IF(M189="SELL",R189*('Data Checks'!E399/'Data Checks'!E400),R189))</f>
        <v>196.21480475705789</v>
      </c>
      <c r="S190">
        <f>IF(N189="BUY",S189*('Data Checks'!F400/'Data Checks'!F399),IF(N189="SELL",S189*('Data Checks'!F399/'Data Checks'!F400),S189))</f>
        <v>188.89117458854358</v>
      </c>
      <c r="T190" s="16">
        <f t="shared" si="26"/>
        <v>1075.7594800306842</v>
      </c>
      <c r="U190" s="17">
        <f t="shared" si="30"/>
        <v>2.8991896571806119E-3</v>
      </c>
      <c r="W190" t="str">
        <f>IF(AND('Data Checks'!B400&gt;'Data Checks'!B399,'Data Checks'!B399&gt;'Data Checks'!B398,'Data Checks'!B398&gt;'Data Checks'!B397),"BUY",IF(AND('Data Checks'!B400&lt;'Data Checks'!B399,'Data Checks'!B399&lt;'Data Checks'!B398,'Data Checks'!B398&lt;'Data Checks'!B397),"SELL",""))</f>
        <v/>
      </c>
      <c r="X190" t="str">
        <f>IF(AND('Data Checks'!C400&gt;'Data Checks'!C399,'Data Checks'!C399&gt;'Data Checks'!C398,'Data Checks'!C398&gt;'Data Checks'!C397),"BUY",IF(AND('Data Checks'!C400&lt;'Data Checks'!C399,'Data Checks'!C399&lt;'Data Checks'!C398,'Data Checks'!C398&lt;'Data Checks'!C397),"SELL",""))</f>
        <v/>
      </c>
      <c r="Y190" t="str">
        <f>IF(AND('Data Checks'!D400&gt;'Data Checks'!D399,'Data Checks'!D399&gt;'Data Checks'!D398,'Data Checks'!D398&gt;'Data Checks'!D397),"BUY",IF(AND('Data Checks'!D400&lt;'Data Checks'!D399,'Data Checks'!D399&lt;'Data Checks'!D398,'Data Checks'!D398&lt;'Data Checks'!D397),"SELL",""))</f>
        <v/>
      </c>
      <c r="Z190" t="str">
        <f>IF(AND('Data Checks'!E400&gt;'Data Checks'!E399,'Data Checks'!E399&gt;'Data Checks'!E398,'Data Checks'!E398&gt;'Data Checks'!E397),"BUY",IF(AND('Data Checks'!E400&lt;'Data Checks'!E399,'Data Checks'!E399&lt;'Data Checks'!E398,'Data Checks'!E398&lt;'Data Checks'!E397),"SELL",""))</f>
        <v/>
      </c>
      <c r="AA190" t="str">
        <f>IF(AND('Data Checks'!F400&gt;'Data Checks'!F399,'Data Checks'!F399&gt;'Data Checks'!F398,'Data Checks'!F398&gt;'Data Checks'!F397),"BUY",IF(AND('Data Checks'!F400&lt;'Data Checks'!F399,'Data Checks'!F399&lt;'Data Checks'!F398,'Data Checks'!F398&lt;'Data Checks'!F397),"SELL",""))</f>
        <v/>
      </c>
      <c r="AB190">
        <f>IF(W189="BUY",AB189*('Data Checks'!B400/'Data Checks'!B399),IF(W189="SELL",AB189*('Data Checks'!B399/'Data Checks'!B400),AB189))</f>
        <v>169.76344384577669</v>
      </c>
      <c r="AC190">
        <f>IF(X189="BUY",AC189*('Data Checks'!C400/'Data Checks'!C399),IF(X189="SELL",AC189*('Data Checks'!C399/'Data Checks'!C400),AC189))</f>
        <v>192.32461062013127</v>
      </c>
      <c r="AD190">
        <f>IF(Y189="BUY",AD189*('Data Checks'!D400/'Data Checks'!D399),IF(Y189="SELL",AD189*('Data Checks'!D399/'Data Checks'!D400),AD189))</f>
        <v>161.91066849998526</v>
      </c>
      <c r="AE190">
        <f>IF(Z189="BUY",AE189*('Data Checks'!E400/'Data Checks'!E399),IF(Z189="SELL",AE189*('Data Checks'!E399/'Data Checks'!E400),AE189))</f>
        <v>203.85821574231221</v>
      </c>
      <c r="AF190">
        <f>IF(AA189="BUY",AF189*('Data Checks'!F400/'Data Checks'!F399),IF(AA189="SELL",AF189*('Data Checks'!F399/'Data Checks'!F400),AF189))</f>
        <v>211.76214339886931</v>
      </c>
      <c r="AG190" s="16">
        <f t="shared" si="27"/>
        <v>939.61908210707475</v>
      </c>
      <c r="AH190" s="17">
        <f t="shared" si="31"/>
        <v>-2.1919072643018511E-3</v>
      </c>
      <c r="AJ190" t="str">
        <f>IF('Moving Ave'!G400&gt;'Moving Ave'!L400,"SELL","BUY")</f>
        <v>SELL</v>
      </c>
      <c r="AK190" t="str">
        <f>IF('Moving Ave'!H400&gt;'Moving Ave'!M400,"SELL","BUY")</f>
        <v>BUY</v>
      </c>
      <c r="AL190" t="str">
        <f>IF('Moving Ave'!I400&gt;'Moving Ave'!N400,"SELL","BUY")</f>
        <v>SELL</v>
      </c>
      <c r="AM190" t="str">
        <f>IF('Moving Ave'!J400&gt;'Moving Ave'!O400,"SELL","BUY")</f>
        <v>BUY</v>
      </c>
      <c r="AN190" t="str">
        <f>IF('Moving Ave'!K400&gt;'Moving Ave'!P400,"SELL","BUY")</f>
        <v>BUY</v>
      </c>
      <c r="AO190">
        <f>IF(AJ189="BUY",AO189*('Data Checks'!B400/'Data Checks'!B399),AO189*('Data Checks'!B399/'Data Checks'!B400))</f>
        <v>146.67628731014435</v>
      </c>
      <c r="AP190">
        <f>IF(AK189="BUY",AP189*('Data Checks'!C400/'Data Checks'!C399),AP189*('Data Checks'!C399/'Data Checks'!C400))</f>
        <v>93.421384135671545</v>
      </c>
      <c r="AQ190">
        <f>IF(AL189="BUY",AQ189*('Data Checks'!D400/'Data Checks'!D399),AQ189*('Data Checks'!D399/'Data Checks'!D400))</f>
        <v>296.126466071653</v>
      </c>
      <c r="AR190">
        <f>IF(AM189="BUY",AR189*('Data Checks'!E400/'Data Checks'!E399),AR189*('Data Checks'!E399/'Data Checks'!E400))</f>
        <v>88.851691032752171</v>
      </c>
      <c r="AS190">
        <f>IF(AN189="BUY",AS189*('Data Checks'!F400/'Data Checks'!F399),AS189*('Data Checks'!F399/'Data Checks'!F400))</f>
        <v>198.91813500497224</v>
      </c>
      <c r="AT190" s="16">
        <f t="shared" si="28"/>
        <v>823.99396355519332</v>
      </c>
      <c r="AU190" s="17">
        <f t="shared" si="32"/>
        <v>-7.3890636397969667E-3</v>
      </c>
    </row>
    <row r="191" spans="1:47" x14ac:dyDescent="0.35">
      <c r="A191" s="2">
        <f>Prices!A399</f>
        <v>44464</v>
      </c>
      <c r="B191">
        <f>B190*('Data Checks'!B401/'Data Checks'!B400)</f>
        <v>326.14473756121049</v>
      </c>
      <c r="C191">
        <f>C190*('Data Checks'!C401/'Data Checks'!C400)</f>
        <v>91.998991414757327</v>
      </c>
      <c r="D191">
        <f>D190*('Data Checks'!D401/'Data Checks'!D400)</f>
        <v>201.56955086941988</v>
      </c>
      <c r="E191">
        <f>E190*('Data Checks'!E401/'Data Checks'!E400)</f>
        <v>86.17341526034761</v>
      </c>
      <c r="F191">
        <f>F190*('Data Checks'!F401/'Data Checks'!F400)</f>
        <v>133.47639389808865</v>
      </c>
      <c r="G191" s="16">
        <f t="shared" si="25"/>
        <v>839.36308900382392</v>
      </c>
      <c r="H191" s="17">
        <f t="shared" si="29"/>
        <v>1.864869305303607E-3</v>
      </c>
      <c r="J191" t="str">
        <f>IF(AND('Data Checks'!B401&gt;'Data Checks'!B400,'Data Checks'!B400&gt;'Data Checks'!B399,'Data Checks'!B399&gt;'Data Checks'!B398),"SELL",IF(AND('Data Checks'!B401&lt;'Data Checks'!B400,'Data Checks'!B400&lt;'Data Checks'!B399,'Data Checks'!B399&lt;'Data Checks'!B398),"BUY",""))</f>
        <v/>
      </c>
      <c r="K191" t="str">
        <f>IF(AND('Data Checks'!C401&gt;'Data Checks'!C400,'Data Checks'!C400&gt;'Data Checks'!C399,'Data Checks'!C399&gt;'Data Checks'!C398),"SELL",IF(AND('Data Checks'!C401&lt;'Data Checks'!C400,'Data Checks'!C400&lt;'Data Checks'!C399,'Data Checks'!C399&lt;'Data Checks'!C398),"BUY",""))</f>
        <v/>
      </c>
      <c r="L191" t="str">
        <f>IF(AND('Data Checks'!D401&gt;'Data Checks'!D400,'Data Checks'!D400&gt;'Data Checks'!D399,'Data Checks'!D399&gt;'Data Checks'!D398),"SELL",IF(AND('Data Checks'!D401&lt;'Data Checks'!D400,'Data Checks'!D400&lt;'Data Checks'!D399,'Data Checks'!D399&lt;'Data Checks'!D398),"BUY",""))</f>
        <v/>
      </c>
      <c r="M191" t="str">
        <f>IF(AND('Data Checks'!E401&gt;'Data Checks'!E400,'Data Checks'!E400&gt;'Data Checks'!E399,'Data Checks'!E399&gt;'Data Checks'!E398),"SELL",IF(AND('Data Checks'!E401&lt;'Data Checks'!E400,'Data Checks'!E400&lt;'Data Checks'!E399,'Data Checks'!E399&lt;'Data Checks'!E398),"BUY",""))</f>
        <v/>
      </c>
      <c r="N191" t="str">
        <f>IF(AND('Data Checks'!F401&gt;'Data Checks'!F400,'Data Checks'!F400&gt;'Data Checks'!F399,'Data Checks'!F399&gt;'Data Checks'!F398),"SELL",IF(AND('Data Checks'!F401&lt;'Data Checks'!F400,'Data Checks'!F400&lt;'Data Checks'!F399,'Data Checks'!F399&lt;'Data Checks'!F398),"BUY",""))</f>
        <v/>
      </c>
      <c r="O191">
        <f>IF(J190="BUY",O190*('Data Checks'!B401/'Data Checks'!B400),IF(J190="SELL",O190*('Data Checks'!B400/'Data Checks'!B401),O190))</f>
        <v>235.62198724207335</v>
      </c>
      <c r="P191">
        <f>IF(K190="BUY",P190*('Data Checks'!C401/'Data Checks'!C400),IF(K190="SELL",P190*('Data Checks'!C400/'Data Checks'!C401),P190))</f>
        <v>207.98170276296977</v>
      </c>
      <c r="Q191">
        <f>IF(L190="BUY",Q190*('Data Checks'!D401/'Data Checks'!D400),IF(L190="SELL",Q190*('Data Checks'!D400/'Data Checks'!D401),Q190))</f>
        <v>247.04981068003951</v>
      </c>
      <c r="R191">
        <f>IF(M190="BUY",R190*('Data Checks'!E401/'Data Checks'!E400),IF(M190="SELL",R190*('Data Checks'!E400/'Data Checks'!E401),R190))</f>
        <v>196.21480475705789</v>
      </c>
      <c r="S191">
        <f>IF(N190="BUY",S190*('Data Checks'!F401/'Data Checks'!F400),IF(N190="SELL",S190*('Data Checks'!F400/'Data Checks'!F401),S190))</f>
        <v>188.89117458854358</v>
      </c>
      <c r="T191" s="16">
        <f t="shared" si="26"/>
        <v>1075.7594800306842</v>
      </c>
      <c r="U191" s="17">
        <f t="shared" si="30"/>
        <v>0</v>
      </c>
      <c r="W191" t="str">
        <f>IF(AND('Data Checks'!B401&gt;'Data Checks'!B400,'Data Checks'!B400&gt;'Data Checks'!B399,'Data Checks'!B399&gt;'Data Checks'!B398),"BUY",IF(AND('Data Checks'!B401&lt;'Data Checks'!B400,'Data Checks'!B400&lt;'Data Checks'!B399,'Data Checks'!B399&lt;'Data Checks'!B398),"SELL",""))</f>
        <v/>
      </c>
      <c r="X191" t="str">
        <f>IF(AND('Data Checks'!C401&gt;'Data Checks'!C400,'Data Checks'!C400&gt;'Data Checks'!C399,'Data Checks'!C399&gt;'Data Checks'!C398),"BUY",IF(AND('Data Checks'!C401&lt;'Data Checks'!C400,'Data Checks'!C400&lt;'Data Checks'!C399,'Data Checks'!C399&lt;'Data Checks'!C398),"SELL",""))</f>
        <v/>
      </c>
      <c r="Y191" t="str">
        <f>IF(AND('Data Checks'!D401&gt;'Data Checks'!D400,'Data Checks'!D400&gt;'Data Checks'!D399,'Data Checks'!D399&gt;'Data Checks'!D398),"BUY",IF(AND('Data Checks'!D401&lt;'Data Checks'!D400,'Data Checks'!D400&lt;'Data Checks'!D399,'Data Checks'!D399&lt;'Data Checks'!D398),"SELL",""))</f>
        <v/>
      </c>
      <c r="Z191" t="str">
        <f>IF(AND('Data Checks'!E401&gt;'Data Checks'!E400,'Data Checks'!E400&gt;'Data Checks'!E399,'Data Checks'!E399&gt;'Data Checks'!E398),"BUY",IF(AND('Data Checks'!E401&lt;'Data Checks'!E400,'Data Checks'!E400&lt;'Data Checks'!E399,'Data Checks'!E399&lt;'Data Checks'!E398),"SELL",""))</f>
        <v/>
      </c>
      <c r="AA191" t="str">
        <f>IF(AND('Data Checks'!F401&gt;'Data Checks'!F400,'Data Checks'!F400&gt;'Data Checks'!F399,'Data Checks'!F399&gt;'Data Checks'!F398),"BUY",IF(AND('Data Checks'!F401&lt;'Data Checks'!F400,'Data Checks'!F400&lt;'Data Checks'!F399,'Data Checks'!F399&lt;'Data Checks'!F398),"SELL",""))</f>
        <v/>
      </c>
      <c r="AB191">
        <f>IF(W190="BUY",AB190*('Data Checks'!B401/'Data Checks'!B400),IF(W190="SELL",AB190*('Data Checks'!B400/'Data Checks'!B401),AB190))</f>
        <v>169.76344384577669</v>
      </c>
      <c r="AC191">
        <f>IF(X190="BUY",AC190*('Data Checks'!C401/'Data Checks'!C400),IF(X190="SELL",AC190*('Data Checks'!C400/'Data Checks'!C401),AC190))</f>
        <v>192.32461062013127</v>
      </c>
      <c r="AD191">
        <f>IF(Y190="BUY",AD190*('Data Checks'!D401/'Data Checks'!D400),IF(Y190="SELL",AD190*('Data Checks'!D400/'Data Checks'!D401),AD190))</f>
        <v>161.91066849998526</v>
      </c>
      <c r="AE191">
        <f>IF(Z190="BUY",AE190*('Data Checks'!E401/'Data Checks'!E400),IF(Z190="SELL",AE190*('Data Checks'!E400/'Data Checks'!E401),AE190))</f>
        <v>203.85821574231221</v>
      </c>
      <c r="AF191">
        <f>IF(AA190="BUY",AF190*('Data Checks'!F401/'Data Checks'!F400),IF(AA190="SELL",AF190*('Data Checks'!F400/'Data Checks'!F401),AF190))</f>
        <v>211.76214339886931</v>
      </c>
      <c r="AG191" s="16">
        <f t="shared" si="27"/>
        <v>939.61908210707475</v>
      </c>
      <c r="AH191" s="17">
        <f t="shared" si="31"/>
        <v>0</v>
      </c>
      <c r="AJ191" t="str">
        <f>IF('Moving Ave'!G401&gt;'Moving Ave'!L401,"SELL","BUY")</f>
        <v>SELL</v>
      </c>
      <c r="AK191" t="str">
        <f>IF('Moving Ave'!H401&gt;'Moving Ave'!M401,"SELL","BUY")</f>
        <v>BUY</v>
      </c>
      <c r="AL191" t="str">
        <f>IF('Moving Ave'!I401&gt;'Moving Ave'!N401,"SELL","BUY")</f>
        <v>SELL</v>
      </c>
      <c r="AM191" t="str">
        <f>IF('Moving Ave'!J401&gt;'Moving Ave'!O401,"SELL","BUY")</f>
        <v>BUY</v>
      </c>
      <c r="AN191" t="str">
        <f>IF('Moving Ave'!K401&gt;'Moving Ave'!P401,"SELL","BUY")</f>
        <v>BUY</v>
      </c>
      <c r="AO191">
        <f>IF(AJ190="BUY",AO190*('Data Checks'!B401/'Data Checks'!B400),AO190*('Data Checks'!B400/'Data Checks'!B401))</f>
        <v>143.10597878605276</v>
      </c>
      <c r="AP191">
        <f>IF(AK190="BUY",AP190*('Data Checks'!C401/'Data Checks'!C400),AP190*('Data Checks'!C400/'Data Checks'!C401))</f>
        <v>91.998991414757327</v>
      </c>
      <c r="AQ191">
        <f>IF(AL190="BUY",AQ190*('Data Checks'!D401/'Data Checks'!D400),AQ190*('Data Checks'!D400/'Data Checks'!D401))</f>
        <v>300.10031539512539</v>
      </c>
      <c r="AR191">
        <f>IF(AM190="BUY",AR190*('Data Checks'!E401/'Data Checks'!E400),AR190*('Data Checks'!E400/'Data Checks'!E401))</f>
        <v>86.17341526034761</v>
      </c>
      <c r="AS191">
        <f>IF(AN190="BUY",AS190*('Data Checks'!F401/'Data Checks'!F400),AS190*('Data Checks'!F400/'Data Checks'!F401))</f>
        <v>199.55980213040471</v>
      </c>
      <c r="AT191" s="16">
        <f t="shared" si="28"/>
        <v>820.93850298668781</v>
      </c>
      <c r="AU191" s="17">
        <f t="shared" si="32"/>
        <v>-3.708110379015972E-3</v>
      </c>
    </row>
    <row r="192" spans="1:47" x14ac:dyDescent="0.35">
      <c r="A192" s="2">
        <f>Prices!A400</f>
        <v>44467</v>
      </c>
      <c r="B192">
        <f>B191*('Data Checks'!B402/'Data Checks'!B401)</f>
        <v>334.46083342837613</v>
      </c>
      <c r="C192">
        <f>C191*('Data Checks'!C402/'Data Checks'!C401)</f>
        <v>101.39700028948451</v>
      </c>
      <c r="D192">
        <f>D191*('Data Checks'!D402/'Data Checks'!D401)</f>
        <v>202.00368345305876</v>
      </c>
      <c r="E192">
        <f>E191*('Data Checks'!E402/'Data Checks'!E401)</f>
        <v>87.345159446094385</v>
      </c>
      <c r="F192">
        <f>F191*('Data Checks'!F402/'Data Checks'!F401)</f>
        <v>139.96185226459497</v>
      </c>
      <c r="G192" s="16">
        <f t="shared" si="25"/>
        <v>865.16852888160884</v>
      </c>
      <c r="H192" s="17">
        <f t="shared" si="29"/>
        <v>3.074407275689417E-2</v>
      </c>
      <c r="J192" t="str">
        <f>IF(AND('Data Checks'!B402&gt;'Data Checks'!B401,'Data Checks'!B401&gt;'Data Checks'!B400,'Data Checks'!B400&gt;'Data Checks'!B399),"SELL",IF(AND('Data Checks'!B402&lt;'Data Checks'!B401,'Data Checks'!B401&lt;'Data Checks'!B400,'Data Checks'!B400&lt;'Data Checks'!B399),"BUY",""))</f>
        <v>SELL</v>
      </c>
      <c r="K192" t="str">
        <f>IF(AND('Data Checks'!C402&gt;'Data Checks'!C401,'Data Checks'!C401&gt;'Data Checks'!C400,'Data Checks'!C400&gt;'Data Checks'!C399),"SELL",IF(AND('Data Checks'!C402&lt;'Data Checks'!C401,'Data Checks'!C401&lt;'Data Checks'!C400,'Data Checks'!C400&lt;'Data Checks'!C399),"BUY",""))</f>
        <v/>
      </c>
      <c r="L192" t="str">
        <f>IF(AND('Data Checks'!D402&gt;'Data Checks'!D401,'Data Checks'!D401&gt;'Data Checks'!D400,'Data Checks'!D400&gt;'Data Checks'!D399),"SELL",IF(AND('Data Checks'!D402&lt;'Data Checks'!D401,'Data Checks'!D401&lt;'Data Checks'!D400,'Data Checks'!D400&lt;'Data Checks'!D399),"BUY",""))</f>
        <v/>
      </c>
      <c r="M192" t="str">
        <f>IF(AND('Data Checks'!E402&gt;'Data Checks'!E401,'Data Checks'!E401&gt;'Data Checks'!E400,'Data Checks'!E400&gt;'Data Checks'!E399),"SELL",IF(AND('Data Checks'!E402&lt;'Data Checks'!E401,'Data Checks'!E401&lt;'Data Checks'!E400,'Data Checks'!E400&lt;'Data Checks'!E399),"BUY",""))</f>
        <v/>
      </c>
      <c r="N192" t="str">
        <f>IF(AND('Data Checks'!F402&gt;'Data Checks'!F401,'Data Checks'!F401&gt;'Data Checks'!F400,'Data Checks'!F400&gt;'Data Checks'!F399),"SELL",IF(AND('Data Checks'!F402&lt;'Data Checks'!F401,'Data Checks'!F401&lt;'Data Checks'!F400,'Data Checks'!F400&lt;'Data Checks'!F399),"BUY",""))</f>
        <v/>
      </c>
      <c r="O192">
        <f>IF(J191="BUY",O191*('Data Checks'!B402/'Data Checks'!B401),IF(J191="SELL",O191*('Data Checks'!B401/'Data Checks'!B402),O191))</f>
        <v>235.62198724207335</v>
      </c>
      <c r="P192">
        <f>IF(K191="BUY",P191*('Data Checks'!C402/'Data Checks'!C401),IF(K191="SELL",P191*('Data Checks'!C401/'Data Checks'!C402),P191))</f>
        <v>207.98170276296977</v>
      </c>
      <c r="Q192">
        <f>IF(L191="BUY",Q191*('Data Checks'!D402/'Data Checks'!D401),IF(L191="SELL",Q191*('Data Checks'!D401/'Data Checks'!D402),Q191))</f>
        <v>247.04981068003951</v>
      </c>
      <c r="R192">
        <f>IF(M191="BUY",R191*('Data Checks'!E402/'Data Checks'!E401),IF(M191="SELL",R191*('Data Checks'!E401/'Data Checks'!E402),R191))</f>
        <v>196.21480475705789</v>
      </c>
      <c r="S192">
        <f>IF(N191="BUY",S191*('Data Checks'!F402/'Data Checks'!F401),IF(N191="SELL",S191*('Data Checks'!F401/'Data Checks'!F402),S191))</f>
        <v>188.89117458854358</v>
      </c>
      <c r="T192" s="16">
        <f t="shared" si="26"/>
        <v>1075.7594800306842</v>
      </c>
      <c r="U192" s="17">
        <f t="shared" si="30"/>
        <v>0</v>
      </c>
      <c r="W192" t="str">
        <f>IF(AND('Data Checks'!B402&gt;'Data Checks'!B401,'Data Checks'!B401&gt;'Data Checks'!B400,'Data Checks'!B400&gt;'Data Checks'!B399),"BUY",IF(AND('Data Checks'!B402&lt;'Data Checks'!B401,'Data Checks'!B401&lt;'Data Checks'!B400,'Data Checks'!B400&lt;'Data Checks'!B399),"SELL",""))</f>
        <v>BUY</v>
      </c>
      <c r="X192" t="str">
        <f>IF(AND('Data Checks'!C402&gt;'Data Checks'!C401,'Data Checks'!C401&gt;'Data Checks'!C400,'Data Checks'!C400&gt;'Data Checks'!C399),"BUY",IF(AND('Data Checks'!C402&lt;'Data Checks'!C401,'Data Checks'!C401&lt;'Data Checks'!C400,'Data Checks'!C400&lt;'Data Checks'!C399),"SELL",""))</f>
        <v/>
      </c>
      <c r="Y192" t="str">
        <f>IF(AND('Data Checks'!D402&gt;'Data Checks'!D401,'Data Checks'!D401&gt;'Data Checks'!D400,'Data Checks'!D400&gt;'Data Checks'!D399),"BUY",IF(AND('Data Checks'!D402&lt;'Data Checks'!D401,'Data Checks'!D401&lt;'Data Checks'!D400,'Data Checks'!D400&lt;'Data Checks'!D399),"SELL",""))</f>
        <v/>
      </c>
      <c r="Z192" t="str">
        <f>IF(AND('Data Checks'!E402&gt;'Data Checks'!E401,'Data Checks'!E401&gt;'Data Checks'!E400,'Data Checks'!E400&gt;'Data Checks'!E399),"BUY",IF(AND('Data Checks'!E402&lt;'Data Checks'!E401,'Data Checks'!E401&lt;'Data Checks'!E400,'Data Checks'!E400&lt;'Data Checks'!E399),"SELL",""))</f>
        <v/>
      </c>
      <c r="AA192" t="str">
        <f>IF(AND('Data Checks'!F402&gt;'Data Checks'!F401,'Data Checks'!F401&gt;'Data Checks'!F400,'Data Checks'!F400&gt;'Data Checks'!F399),"BUY",IF(AND('Data Checks'!F402&lt;'Data Checks'!F401,'Data Checks'!F401&lt;'Data Checks'!F400,'Data Checks'!F400&lt;'Data Checks'!F399),"SELL",""))</f>
        <v/>
      </c>
      <c r="AB192">
        <f>IF(W191="BUY",AB191*('Data Checks'!B402/'Data Checks'!B401),IF(W191="SELL",AB191*('Data Checks'!B401/'Data Checks'!B402),AB191))</f>
        <v>169.76344384577669</v>
      </c>
      <c r="AC192">
        <f>IF(X191="BUY",AC191*('Data Checks'!C402/'Data Checks'!C401),IF(X191="SELL",AC191*('Data Checks'!C401/'Data Checks'!C402),AC191))</f>
        <v>192.32461062013127</v>
      </c>
      <c r="AD192">
        <f>IF(Y191="BUY",AD191*('Data Checks'!D402/'Data Checks'!D401),IF(Y191="SELL",AD191*('Data Checks'!D401/'Data Checks'!D402),AD191))</f>
        <v>161.91066849998526</v>
      </c>
      <c r="AE192">
        <f>IF(Z191="BUY",AE191*('Data Checks'!E402/'Data Checks'!E401),IF(Z191="SELL",AE191*('Data Checks'!E401/'Data Checks'!E402),AE191))</f>
        <v>203.85821574231221</v>
      </c>
      <c r="AF192">
        <f>IF(AA191="BUY",AF191*('Data Checks'!F402/'Data Checks'!F401),IF(AA191="SELL",AF191*('Data Checks'!F401/'Data Checks'!F402),AF191))</f>
        <v>211.76214339886931</v>
      </c>
      <c r="AG192" s="16">
        <f t="shared" si="27"/>
        <v>939.61908210707475</v>
      </c>
      <c r="AH192" s="17">
        <f t="shared" si="31"/>
        <v>0</v>
      </c>
      <c r="AJ192" t="str">
        <f>IF('Moving Ave'!G402&gt;'Moving Ave'!L402,"SELL","BUY")</f>
        <v>SELL</v>
      </c>
      <c r="AK192" t="str">
        <f>IF('Moving Ave'!H402&gt;'Moving Ave'!M402,"SELL","BUY")</f>
        <v>BUY</v>
      </c>
      <c r="AL192" t="str">
        <f>IF('Moving Ave'!I402&gt;'Moving Ave'!N402,"SELL","BUY")</f>
        <v>SELL</v>
      </c>
      <c r="AM192" t="str">
        <f>IF('Moving Ave'!J402&gt;'Moving Ave'!O402,"SELL","BUY")</f>
        <v>BUY</v>
      </c>
      <c r="AN192" t="str">
        <f>IF('Moving Ave'!K402&gt;'Moving Ave'!P402,"SELL","BUY")</f>
        <v>BUY</v>
      </c>
      <c r="AO192">
        <f>IF(AJ191="BUY",AO191*('Data Checks'!B402/'Data Checks'!B401),AO191*('Data Checks'!B401/'Data Checks'!B402))</f>
        <v>139.54776532784155</v>
      </c>
      <c r="AP192">
        <f>IF(AK191="BUY",AP191*('Data Checks'!C402/'Data Checks'!C401),AP191*('Data Checks'!C401/'Data Checks'!C402))</f>
        <v>101.39700028948451</v>
      </c>
      <c r="AQ192">
        <f>IF(AL191="BUY",AQ191*('Data Checks'!D402/'Data Checks'!D401),AQ191*('Data Checks'!D401/'Data Checks'!D402))</f>
        <v>299.45536019903062</v>
      </c>
      <c r="AR192">
        <f>IF(AM191="BUY",AR191*('Data Checks'!E402/'Data Checks'!E401),AR191*('Data Checks'!E401/'Data Checks'!E402))</f>
        <v>87.345159446094385</v>
      </c>
      <c r="AS192">
        <f>IF(AN191="BUY",AS191*('Data Checks'!F402/'Data Checks'!F401),AS191*('Data Checks'!F401/'Data Checks'!F402))</f>
        <v>209.25617427942419</v>
      </c>
      <c r="AT192" s="16">
        <f t="shared" si="28"/>
        <v>837.00145954187519</v>
      </c>
      <c r="AU192" s="17">
        <f t="shared" si="32"/>
        <v>1.9566577151331144E-2</v>
      </c>
    </row>
    <row r="193" spans="1:47" x14ac:dyDescent="0.35">
      <c r="A193" s="2">
        <f>Prices!A401</f>
        <v>44468</v>
      </c>
      <c r="B193">
        <f>B192*('Data Checks'!B403/'Data Checks'!B402)</f>
        <v>331.38707029263799</v>
      </c>
      <c r="C193">
        <f>C192*('Data Checks'!C403/'Data Checks'!C402)</f>
        <v>98.552199607625198</v>
      </c>
      <c r="D193">
        <f>D192*('Data Checks'!D403/'Data Checks'!D402)</f>
        <v>201.06862583183559</v>
      </c>
      <c r="E193">
        <f>E192*('Data Checks'!E403/'Data Checks'!E402)</f>
        <v>85.872109612584168</v>
      </c>
      <c r="F193">
        <f>F192*('Data Checks'!F403/'Data Checks'!F402)</f>
        <v>136.67144020035445</v>
      </c>
      <c r="G193" s="16">
        <f t="shared" si="25"/>
        <v>853.55144554503738</v>
      </c>
      <c r="H193" s="17">
        <f t="shared" si="29"/>
        <v>-1.3427538044626597E-2</v>
      </c>
      <c r="J193" t="str">
        <f>IF(AND('Data Checks'!B403&gt;'Data Checks'!B402,'Data Checks'!B402&gt;'Data Checks'!B401,'Data Checks'!B401&gt;'Data Checks'!B400),"SELL",IF(AND('Data Checks'!B403&lt;'Data Checks'!B402,'Data Checks'!B402&lt;'Data Checks'!B401,'Data Checks'!B401&lt;'Data Checks'!B400),"BUY",""))</f>
        <v/>
      </c>
      <c r="K193" t="str">
        <f>IF(AND('Data Checks'!C403&gt;'Data Checks'!C402,'Data Checks'!C402&gt;'Data Checks'!C401,'Data Checks'!C401&gt;'Data Checks'!C400),"SELL",IF(AND('Data Checks'!C403&lt;'Data Checks'!C402,'Data Checks'!C402&lt;'Data Checks'!C401,'Data Checks'!C401&lt;'Data Checks'!C400),"BUY",""))</f>
        <v/>
      </c>
      <c r="L193" t="str">
        <f>IF(AND('Data Checks'!D403&gt;'Data Checks'!D402,'Data Checks'!D402&gt;'Data Checks'!D401,'Data Checks'!D401&gt;'Data Checks'!D400),"SELL",IF(AND('Data Checks'!D403&lt;'Data Checks'!D402,'Data Checks'!D402&lt;'Data Checks'!D401,'Data Checks'!D401&lt;'Data Checks'!D400),"BUY",""))</f>
        <v/>
      </c>
      <c r="M193" t="str">
        <f>IF(AND('Data Checks'!E403&gt;'Data Checks'!E402,'Data Checks'!E402&gt;'Data Checks'!E401,'Data Checks'!E401&gt;'Data Checks'!E400),"SELL",IF(AND('Data Checks'!E403&lt;'Data Checks'!E402,'Data Checks'!E402&lt;'Data Checks'!E401,'Data Checks'!E401&lt;'Data Checks'!E400),"BUY",""))</f>
        <v/>
      </c>
      <c r="N193" t="str">
        <f>IF(AND('Data Checks'!F403&gt;'Data Checks'!F402,'Data Checks'!F402&gt;'Data Checks'!F401,'Data Checks'!F401&gt;'Data Checks'!F400),"SELL",IF(AND('Data Checks'!F403&lt;'Data Checks'!F402,'Data Checks'!F402&lt;'Data Checks'!F401,'Data Checks'!F401&lt;'Data Checks'!F400),"BUY",""))</f>
        <v/>
      </c>
      <c r="O193">
        <f>IF(J192="BUY",O192*('Data Checks'!B403/'Data Checks'!B402),IF(J192="SELL",O192*('Data Checks'!B402/'Data Checks'!B403),O192))</f>
        <v>237.80748644611435</v>
      </c>
      <c r="P193">
        <f>IF(K192="BUY",P192*('Data Checks'!C403/'Data Checks'!C402),IF(K192="SELL",P192*('Data Checks'!C402/'Data Checks'!C403),P192))</f>
        <v>207.98170276296977</v>
      </c>
      <c r="Q193">
        <f>IF(L192="BUY",Q192*('Data Checks'!D403/'Data Checks'!D402),IF(L192="SELL",Q192*('Data Checks'!D402/'Data Checks'!D403),Q192))</f>
        <v>247.04981068003951</v>
      </c>
      <c r="R193">
        <f>IF(M192="BUY",R192*('Data Checks'!E403/'Data Checks'!E402),IF(M192="SELL",R192*('Data Checks'!E402/'Data Checks'!E403),R192))</f>
        <v>196.21480475705789</v>
      </c>
      <c r="S193">
        <f>IF(N192="BUY",S192*('Data Checks'!F403/'Data Checks'!F402),IF(N192="SELL",S192*('Data Checks'!F402/'Data Checks'!F403),S192))</f>
        <v>188.89117458854358</v>
      </c>
      <c r="T193" s="16">
        <f t="shared" si="26"/>
        <v>1077.9449792347252</v>
      </c>
      <c r="U193" s="17">
        <f t="shared" si="30"/>
        <v>2.0315872131366763E-3</v>
      </c>
      <c r="W193" t="str">
        <f>IF(AND('Data Checks'!B403&gt;'Data Checks'!B402,'Data Checks'!B402&gt;'Data Checks'!B401,'Data Checks'!B401&gt;'Data Checks'!B400),"BUY",IF(AND('Data Checks'!B403&lt;'Data Checks'!B402,'Data Checks'!B402&lt;'Data Checks'!B401,'Data Checks'!B401&lt;'Data Checks'!B400),"SELL",""))</f>
        <v/>
      </c>
      <c r="X193" t="str">
        <f>IF(AND('Data Checks'!C403&gt;'Data Checks'!C402,'Data Checks'!C402&gt;'Data Checks'!C401,'Data Checks'!C401&gt;'Data Checks'!C400),"BUY",IF(AND('Data Checks'!C403&lt;'Data Checks'!C402,'Data Checks'!C402&lt;'Data Checks'!C401,'Data Checks'!C401&lt;'Data Checks'!C400),"SELL",""))</f>
        <v/>
      </c>
      <c r="Y193" t="str">
        <f>IF(AND('Data Checks'!D403&gt;'Data Checks'!D402,'Data Checks'!D402&gt;'Data Checks'!D401,'Data Checks'!D401&gt;'Data Checks'!D400),"BUY",IF(AND('Data Checks'!D403&lt;'Data Checks'!D402,'Data Checks'!D402&lt;'Data Checks'!D401,'Data Checks'!D401&lt;'Data Checks'!D400),"SELL",""))</f>
        <v/>
      </c>
      <c r="Z193" t="str">
        <f>IF(AND('Data Checks'!E403&gt;'Data Checks'!E402,'Data Checks'!E402&gt;'Data Checks'!E401,'Data Checks'!E401&gt;'Data Checks'!E400),"BUY",IF(AND('Data Checks'!E403&lt;'Data Checks'!E402,'Data Checks'!E402&lt;'Data Checks'!E401,'Data Checks'!E401&lt;'Data Checks'!E400),"SELL",""))</f>
        <v/>
      </c>
      <c r="AA193" t="str">
        <f>IF(AND('Data Checks'!F403&gt;'Data Checks'!F402,'Data Checks'!F402&gt;'Data Checks'!F401,'Data Checks'!F401&gt;'Data Checks'!F400),"BUY",IF(AND('Data Checks'!F403&lt;'Data Checks'!F402,'Data Checks'!F402&lt;'Data Checks'!F401,'Data Checks'!F401&lt;'Data Checks'!F400),"SELL",""))</f>
        <v/>
      </c>
      <c r="AB193">
        <f>IF(W192="BUY",AB192*('Data Checks'!B403/'Data Checks'!B402),IF(W192="SELL",AB192*('Data Checks'!B402/'Data Checks'!B403),AB192))</f>
        <v>168.20328324299314</v>
      </c>
      <c r="AC193">
        <f>IF(X192="BUY",AC192*('Data Checks'!C403/'Data Checks'!C402),IF(X192="SELL",AC192*('Data Checks'!C402/'Data Checks'!C403),AC192))</f>
        <v>192.32461062013127</v>
      </c>
      <c r="AD193">
        <f>IF(Y192="BUY",AD192*('Data Checks'!D403/'Data Checks'!D402),IF(Y192="SELL",AD192*('Data Checks'!D402/'Data Checks'!D403),AD192))</f>
        <v>161.91066849998526</v>
      </c>
      <c r="AE193">
        <f>IF(Z192="BUY",AE192*('Data Checks'!E403/'Data Checks'!E402),IF(Z192="SELL",AE192*('Data Checks'!E402/'Data Checks'!E403),AE192))</f>
        <v>203.85821574231221</v>
      </c>
      <c r="AF193">
        <f>IF(AA192="BUY",AF192*('Data Checks'!F403/'Data Checks'!F402),IF(AA192="SELL",AF192*('Data Checks'!F402/'Data Checks'!F403),AF192))</f>
        <v>211.76214339886931</v>
      </c>
      <c r="AG193" s="16">
        <f t="shared" si="27"/>
        <v>938.05892150429122</v>
      </c>
      <c r="AH193" s="17">
        <f t="shared" si="31"/>
        <v>-1.6604181763580916E-3</v>
      </c>
      <c r="AJ193" t="str">
        <f>IF('Moving Ave'!G403&gt;'Moving Ave'!L403,"SELL","BUY")</f>
        <v>SELL</v>
      </c>
      <c r="AK193" t="str">
        <f>IF('Moving Ave'!H403&gt;'Moving Ave'!M403,"SELL","BUY")</f>
        <v>BUY</v>
      </c>
      <c r="AL193" t="str">
        <f>IF('Moving Ave'!I403&gt;'Moving Ave'!N403,"SELL","BUY")</f>
        <v>SELL</v>
      </c>
      <c r="AM193" t="str">
        <f>IF('Moving Ave'!J403&gt;'Moving Ave'!O403,"SELL","BUY")</f>
        <v>BUY</v>
      </c>
      <c r="AN193" t="str">
        <f>IF('Moving Ave'!K403&gt;'Moving Ave'!P403,"SELL","BUY")</f>
        <v>BUY</v>
      </c>
      <c r="AO193">
        <f>IF(AJ192="BUY",AO192*('Data Checks'!B403/'Data Checks'!B402),AO192*('Data Checks'!B402/'Data Checks'!B403))</f>
        <v>140.84213319910631</v>
      </c>
      <c r="AP193">
        <f>IF(AK192="BUY",AP192*('Data Checks'!C403/'Data Checks'!C402),AP192*('Data Checks'!C402/'Data Checks'!C403))</f>
        <v>98.552199607625198</v>
      </c>
      <c r="AQ193">
        <f>IF(AL192="BUY",AQ192*('Data Checks'!D403/'Data Checks'!D402),AQ192*('Data Checks'!D402/'Data Checks'!D403))</f>
        <v>300.84795944524228</v>
      </c>
      <c r="AR193">
        <f>IF(AM192="BUY",AR192*('Data Checks'!E403/'Data Checks'!E402),AR192*('Data Checks'!E402/'Data Checks'!E403))</f>
        <v>85.872109612584168</v>
      </c>
      <c r="AS193">
        <f>IF(AN192="BUY",AS192*('Data Checks'!F403/'Data Checks'!F402),AS192*('Data Checks'!F402/'Data Checks'!F403))</f>
        <v>204.33669779904605</v>
      </c>
      <c r="AT193" s="16">
        <f t="shared" si="28"/>
        <v>830.45109966360405</v>
      </c>
      <c r="AU193" s="17">
        <f t="shared" si="32"/>
        <v>-7.8259838183034613E-3</v>
      </c>
    </row>
    <row r="194" spans="1:47" x14ac:dyDescent="0.35">
      <c r="A194" s="2">
        <f>Prices!A402</f>
        <v>44469</v>
      </c>
      <c r="B194">
        <f>B193*('Data Checks'!B404/'Data Checks'!B403)</f>
        <v>331.7927685744927</v>
      </c>
      <c r="C194">
        <f>C193*('Data Checks'!C404/'Data Checks'!C403)</f>
        <v>99.466601459654711</v>
      </c>
      <c r="D194">
        <f>D193*('Data Checks'!D404/'Data Checks'!D403)</f>
        <v>201.66972786224304</v>
      </c>
      <c r="E194">
        <f>E193*('Data Checks'!E404/'Data Checks'!E403)</f>
        <v>84.265146157845763</v>
      </c>
      <c r="F194">
        <f>F193*('Data Checks'!F404/'Data Checks'!F403)</f>
        <v>136.24225850608863</v>
      </c>
      <c r="G194" s="16">
        <f t="shared" si="25"/>
        <v>853.43650256032481</v>
      </c>
      <c r="H194" s="17">
        <f t="shared" si="29"/>
        <v>-1.34664389958572E-4</v>
      </c>
      <c r="J194" t="str">
        <f>IF(AND('Data Checks'!B404&gt;'Data Checks'!B403,'Data Checks'!B403&gt;'Data Checks'!B402,'Data Checks'!B402&gt;'Data Checks'!B401),"SELL",IF(AND('Data Checks'!B404&lt;'Data Checks'!B403,'Data Checks'!B403&lt;'Data Checks'!B402,'Data Checks'!B402&lt;'Data Checks'!B401),"BUY",""))</f>
        <v/>
      </c>
      <c r="K194" t="str">
        <f>IF(AND('Data Checks'!C404&gt;'Data Checks'!C403,'Data Checks'!C403&gt;'Data Checks'!C402,'Data Checks'!C402&gt;'Data Checks'!C401),"SELL",IF(AND('Data Checks'!C404&lt;'Data Checks'!C403,'Data Checks'!C403&lt;'Data Checks'!C402,'Data Checks'!C402&lt;'Data Checks'!C401),"BUY",""))</f>
        <v/>
      </c>
      <c r="L194" t="str">
        <f>IF(AND('Data Checks'!D404&gt;'Data Checks'!D403,'Data Checks'!D403&gt;'Data Checks'!D402,'Data Checks'!D402&gt;'Data Checks'!D401),"SELL",IF(AND('Data Checks'!D404&lt;'Data Checks'!D403,'Data Checks'!D403&lt;'Data Checks'!D402,'Data Checks'!D402&lt;'Data Checks'!D401),"BUY",""))</f>
        <v/>
      </c>
      <c r="M194" t="str">
        <f>IF(AND('Data Checks'!E404&gt;'Data Checks'!E403,'Data Checks'!E403&gt;'Data Checks'!E402,'Data Checks'!E402&gt;'Data Checks'!E401),"SELL",IF(AND('Data Checks'!E404&lt;'Data Checks'!E403,'Data Checks'!E403&lt;'Data Checks'!E402,'Data Checks'!E402&lt;'Data Checks'!E401),"BUY",""))</f>
        <v/>
      </c>
      <c r="N194" t="str">
        <f>IF(AND('Data Checks'!F404&gt;'Data Checks'!F403,'Data Checks'!F403&gt;'Data Checks'!F402,'Data Checks'!F402&gt;'Data Checks'!F401),"SELL",IF(AND('Data Checks'!F404&lt;'Data Checks'!F403,'Data Checks'!F403&lt;'Data Checks'!F402,'Data Checks'!F402&lt;'Data Checks'!F401),"BUY",""))</f>
        <v/>
      </c>
      <c r="O194">
        <f>IF(J193="BUY",O193*('Data Checks'!B404/'Data Checks'!B403),IF(J193="SELL",O193*('Data Checks'!B403/'Data Checks'!B404),O193))</f>
        <v>237.80748644611435</v>
      </c>
      <c r="P194">
        <f>IF(K193="BUY",P193*('Data Checks'!C404/'Data Checks'!C403),IF(K193="SELL",P193*('Data Checks'!C403/'Data Checks'!C404),P193))</f>
        <v>207.98170276296977</v>
      </c>
      <c r="Q194">
        <f>IF(L193="BUY",Q193*('Data Checks'!D404/'Data Checks'!D403),IF(L193="SELL",Q193*('Data Checks'!D403/'Data Checks'!D404),Q193))</f>
        <v>247.04981068003951</v>
      </c>
      <c r="R194">
        <f>IF(M193="BUY",R193*('Data Checks'!E404/'Data Checks'!E403),IF(M193="SELL",R193*('Data Checks'!E403/'Data Checks'!E404),R193))</f>
        <v>196.21480475705789</v>
      </c>
      <c r="S194">
        <f>IF(N193="BUY",S193*('Data Checks'!F404/'Data Checks'!F403),IF(N193="SELL",S193*('Data Checks'!F403/'Data Checks'!F404),S193))</f>
        <v>188.89117458854358</v>
      </c>
      <c r="T194" s="16">
        <f t="shared" si="26"/>
        <v>1077.9449792347252</v>
      </c>
      <c r="U194" s="17">
        <f t="shared" si="30"/>
        <v>0</v>
      </c>
      <c r="W194" t="str">
        <f>IF(AND('Data Checks'!B404&gt;'Data Checks'!B403,'Data Checks'!B403&gt;'Data Checks'!B402,'Data Checks'!B402&gt;'Data Checks'!B401),"BUY",IF(AND('Data Checks'!B404&lt;'Data Checks'!B403,'Data Checks'!B403&lt;'Data Checks'!B402,'Data Checks'!B402&lt;'Data Checks'!B401),"SELL",""))</f>
        <v/>
      </c>
      <c r="X194" t="str">
        <f>IF(AND('Data Checks'!C404&gt;'Data Checks'!C403,'Data Checks'!C403&gt;'Data Checks'!C402,'Data Checks'!C402&gt;'Data Checks'!C401),"BUY",IF(AND('Data Checks'!C404&lt;'Data Checks'!C403,'Data Checks'!C403&lt;'Data Checks'!C402,'Data Checks'!C402&lt;'Data Checks'!C401),"SELL",""))</f>
        <v/>
      </c>
      <c r="Y194" t="str">
        <f>IF(AND('Data Checks'!D404&gt;'Data Checks'!D403,'Data Checks'!D403&gt;'Data Checks'!D402,'Data Checks'!D402&gt;'Data Checks'!D401),"BUY",IF(AND('Data Checks'!D404&lt;'Data Checks'!D403,'Data Checks'!D403&lt;'Data Checks'!D402,'Data Checks'!D402&lt;'Data Checks'!D401),"SELL",""))</f>
        <v/>
      </c>
      <c r="Z194" t="str">
        <f>IF(AND('Data Checks'!E404&gt;'Data Checks'!E403,'Data Checks'!E403&gt;'Data Checks'!E402,'Data Checks'!E402&gt;'Data Checks'!E401),"BUY",IF(AND('Data Checks'!E404&lt;'Data Checks'!E403,'Data Checks'!E403&lt;'Data Checks'!E402,'Data Checks'!E402&lt;'Data Checks'!E401),"SELL",""))</f>
        <v/>
      </c>
      <c r="AA194" t="str">
        <f>IF(AND('Data Checks'!F404&gt;'Data Checks'!F403,'Data Checks'!F403&gt;'Data Checks'!F402,'Data Checks'!F402&gt;'Data Checks'!F401),"BUY",IF(AND('Data Checks'!F404&lt;'Data Checks'!F403,'Data Checks'!F403&lt;'Data Checks'!F402,'Data Checks'!F402&lt;'Data Checks'!F401),"SELL",""))</f>
        <v/>
      </c>
      <c r="AB194">
        <f>IF(W193="BUY",AB193*('Data Checks'!B404/'Data Checks'!B403),IF(W193="SELL",AB193*('Data Checks'!B403/'Data Checks'!B404),AB193))</f>
        <v>168.20328324299314</v>
      </c>
      <c r="AC194">
        <f>IF(X193="BUY",AC193*('Data Checks'!C404/'Data Checks'!C403),IF(X193="SELL",AC193*('Data Checks'!C403/'Data Checks'!C404),AC193))</f>
        <v>192.32461062013127</v>
      </c>
      <c r="AD194">
        <f>IF(Y193="BUY",AD193*('Data Checks'!D404/'Data Checks'!D403),IF(Y193="SELL",AD193*('Data Checks'!D403/'Data Checks'!D404),AD193))</f>
        <v>161.91066849998526</v>
      </c>
      <c r="AE194">
        <f>IF(Z193="BUY",AE193*('Data Checks'!E404/'Data Checks'!E403),IF(Z193="SELL",AE193*('Data Checks'!E403/'Data Checks'!E404),AE193))</f>
        <v>203.85821574231221</v>
      </c>
      <c r="AF194">
        <f>IF(AA193="BUY",AF193*('Data Checks'!F404/'Data Checks'!F403),IF(AA193="SELL",AF193*('Data Checks'!F403/'Data Checks'!F404),AF193))</f>
        <v>211.76214339886931</v>
      </c>
      <c r="AG194" s="16">
        <f t="shared" si="27"/>
        <v>938.05892150429122</v>
      </c>
      <c r="AH194" s="17">
        <f t="shared" si="31"/>
        <v>0</v>
      </c>
      <c r="AJ194" t="str">
        <f>IF('Moving Ave'!G404&gt;'Moving Ave'!L404,"SELL","BUY")</f>
        <v>SELL</v>
      </c>
      <c r="AK194" t="str">
        <f>IF('Moving Ave'!H404&gt;'Moving Ave'!M404,"SELL","BUY")</f>
        <v>BUY</v>
      </c>
      <c r="AL194" t="str">
        <f>IF('Moving Ave'!I404&gt;'Moving Ave'!N404,"SELL","BUY")</f>
        <v>SELL</v>
      </c>
      <c r="AM194" t="str">
        <f>IF('Moving Ave'!J404&gt;'Moving Ave'!O404,"SELL","BUY")</f>
        <v>BUY</v>
      </c>
      <c r="AN194" t="str">
        <f>IF('Moving Ave'!K404&gt;'Moving Ave'!P404,"SELL","BUY")</f>
        <v>BUY</v>
      </c>
      <c r="AO194">
        <f>IF(AJ193="BUY",AO193*('Data Checks'!B404/'Data Checks'!B403),AO193*('Data Checks'!B403/'Data Checks'!B404))</f>
        <v>140.66991904357448</v>
      </c>
      <c r="AP194">
        <f>IF(AK193="BUY",AP193*('Data Checks'!C404/'Data Checks'!C403),AP193*('Data Checks'!C403/'Data Checks'!C404))</f>
        <v>99.466601459654711</v>
      </c>
      <c r="AQ194">
        <f>IF(AL193="BUY",AQ193*('Data Checks'!D404/'Data Checks'!D403),AQ193*('Data Checks'!D403/'Data Checks'!D404))</f>
        <v>299.95124420104855</v>
      </c>
      <c r="AR194">
        <f>IF(AM193="BUY",AR193*('Data Checks'!E404/'Data Checks'!E403),AR193*('Data Checks'!E403/'Data Checks'!E404))</f>
        <v>84.265146157845763</v>
      </c>
      <c r="AS194">
        <f>IF(AN193="BUY",AS193*('Data Checks'!F404/'Data Checks'!F403),AS193*('Data Checks'!F403/'Data Checks'!F404))</f>
        <v>203.69503067361356</v>
      </c>
      <c r="AT194" s="16">
        <f t="shared" si="28"/>
        <v>828.0479415357371</v>
      </c>
      <c r="AU194" s="17">
        <f t="shared" si="32"/>
        <v>-2.8937984775267989E-3</v>
      </c>
    </row>
    <row r="195" spans="1:47" x14ac:dyDescent="0.35">
      <c r="A195" s="2">
        <f>Prices!A403</f>
        <v>44470</v>
      </c>
      <c r="B195">
        <f>B194*('Data Checks'!B405/'Data Checks'!B404)</f>
        <v>339.43551330374731</v>
      </c>
      <c r="C195">
        <f>C194*('Data Checks'!C405/'Data Checks'!C404)</f>
        <v>99.11100073942103</v>
      </c>
      <c r="D195">
        <f>D194*('Data Checks'!D405/'Data Checks'!D404)</f>
        <v>199.76624143874182</v>
      </c>
      <c r="E195">
        <f>E194*('Data Checks'!E405/'Data Checks'!E404)</f>
        <v>81.151654464290075</v>
      </c>
      <c r="F195">
        <f>F194*('Data Checks'!F405/'Data Checks'!F404)</f>
        <v>136.28993423400004</v>
      </c>
      <c r="G195" s="16">
        <f t="shared" si="25"/>
        <v>855.75434418020041</v>
      </c>
      <c r="H195" s="17">
        <f t="shared" si="29"/>
        <v>2.7158922930083929E-3</v>
      </c>
      <c r="J195" t="str">
        <f>IF(AND('Data Checks'!B405&gt;'Data Checks'!B404,'Data Checks'!B404&gt;'Data Checks'!B403,'Data Checks'!B403&gt;'Data Checks'!B402),"SELL",IF(AND('Data Checks'!B405&lt;'Data Checks'!B404,'Data Checks'!B404&lt;'Data Checks'!B403,'Data Checks'!B403&lt;'Data Checks'!B402),"BUY",""))</f>
        <v/>
      </c>
      <c r="K195" t="str">
        <f>IF(AND('Data Checks'!C405&gt;'Data Checks'!C404,'Data Checks'!C404&gt;'Data Checks'!C403,'Data Checks'!C403&gt;'Data Checks'!C402),"SELL",IF(AND('Data Checks'!C405&lt;'Data Checks'!C404,'Data Checks'!C404&lt;'Data Checks'!C403,'Data Checks'!C403&lt;'Data Checks'!C402),"BUY",""))</f>
        <v/>
      </c>
      <c r="L195" t="str">
        <f>IF(AND('Data Checks'!D405&gt;'Data Checks'!D404,'Data Checks'!D404&gt;'Data Checks'!D403,'Data Checks'!D403&gt;'Data Checks'!D402),"SELL",IF(AND('Data Checks'!D405&lt;'Data Checks'!D404,'Data Checks'!D404&lt;'Data Checks'!D403,'Data Checks'!D403&lt;'Data Checks'!D402),"BUY",""))</f>
        <v/>
      </c>
      <c r="M195" t="str">
        <f>IF(AND('Data Checks'!E405&gt;'Data Checks'!E404,'Data Checks'!E404&gt;'Data Checks'!E403,'Data Checks'!E403&gt;'Data Checks'!E402),"SELL",IF(AND('Data Checks'!E405&lt;'Data Checks'!E404,'Data Checks'!E404&lt;'Data Checks'!E403,'Data Checks'!E403&lt;'Data Checks'!E402),"BUY",""))</f>
        <v>BUY</v>
      </c>
      <c r="N195" t="str">
        <f>IF(AND('Data Checks'!F405&gt;'Data Checks'!F404,'Data Checks'!F404&gt;'Data Checks'!F403,'Data Checks'!F403&gt;'Data Checks'!F402),"SELL",IF(AND('Data Checks'!F405&lt;'Data Checks'!F404,'Data Checks'!F404&lt;'Data Checks'!F403,'Data Checks'!F403&lt;'Data Checks'!F402),"BUY",""))</f>
        <v/>
      </c>
      <c r="O195">
        <f>IF(J194="BUY",O194*('Data Checks'!B405/'Data Checks'!B404),IF(J194="SELL",O194*('Data Checks'!B404/'Data Checks'!B405),O194))</f>
        <v>237.80748644611435</v>
      </c>
      <c r="P195">
        <f>IF(K194="BUY",P194*('Data Checks'!C405/'Data Checks'!C404),IF(K194="SELL",P194*('Data Checks'!C404/'Data Checks'!C405),P194))</f>
        <v>207.98170276296977</v>
      </c>
      <c r="Q195">
        <f>IF(L194="BUY",Q194*('Data Checks'!D405/'Data Checks'!D404),IF(L194="SELL",Q194*('Data Checks'!D404/'Data Checks'!D405),Q194))</f>
        <v>247.04981068003951</v>
      </c>
      <c r="R195">
        <f>IF(M194="BUY",R194*('Data Checks'!E405/'Data Checks'!E404),IF(M194="SELL",R194*('Data Checks'!E404/'Data Checks'!E405),R194))</f>
        <v>196.21480475705789</v>
      </c>
      <c r="S195">
        <f>IF(N194="BUY",S194*('Data Checks'!F405/'Data Checks'!F404),IF(N194="SELL",S194*('Data Checks'!F404/'Data Checks'!F405),S194))</f>
        <v>188.89117458854358</v>
      </c>
      <c r="T195" s="16">
        <f t="shared" si="26"/>
        <v>1077.9449792347252</v>
      </c>
      <c r="U195" s="17">
        <f t="shared" si="30"/>
        <v>0</v>
      </c>
      <c r="W195" t="str">
        <f>IF(AND('Data Checks'!B405&gt;'Data Checks'!B404,'Data Checks'!B404&gt;'Data Checks'!B403,'Data Checks'!B403&gt;'Data Checks'!B402),"BUY",IF(AND('Data Checks'!B405&lt;'Data Checks'!B404,'Data Checks'!B404&lt;'Data Checks'!B403,'Data Checks'!B403&lt;'Data Checks'!B402),"SELL",""))</f>
        <v/>
      </c>
      <c r="X195" t="str">
        <f>IF(AND('Data Checks'!C405&gt;'Data Checks'!C404,'Data Checks'!C404&gt;'Data Checks'!C403,'Data Checks'!C403&gt;'Data Checks'!C402),"BUY",IF(AND('Data Checks'!C405&lt;'Data Checks'!C404,'Data Checks'!C404&lt;'Data Checks'!C403,'Data Checks'!C403&lt;'Data Checks'!C402),"SELL",""))</f>
        <v/>
      </c>
      <c r="Y195" t="str">
        <f>IF(AND('Data Checks'!D405&gt;'Data Checks'!D404,'Data Checks'!D404&gt;'Data Checks'!D403,'Data Checks'!D403&gt;'Data Checks'!D402),"BUY",IF(AND('Data Checks'!D405&lt;'Data Checks'!D404,'Data Checks'!D404&lt;'Data Checks'!D403,'Data Checks'!D403&lt;'Data Checks'!D402),"SELL",""))</f>
        <v/>
      </c>
      <c r="Z195" t="str">
        <f>IF(AND('Data Checks'!E405&gt;'Data Checks'!E404,'Data Checks'!E404&gt;'Data Checks'!E403,'Data Checks'!E403&gt;'Data Checks'!E402),"BUY",IF(AND('Data Checks'!E405&lt;'Data Checks'!E404,'Data Checks'!E404&lt;'Data Checks'!E403,'Data Checks'!E403&lt;'Data Checks'!E402),"SELL",""))</f>
        <v>SELL</v>
      </c>
      <c r="AA195" t="str">
        <f>IF(AND('Data Checks'!F405&gt;'Data Checks'!F404,'Data Checks'!F404&gt;'Data Checks'!F403,'Data Checks'!F403&gt;'Data Checks'!F402),"BUY",IF(AND('Data Checks'!F405&lt;'Data Checks'!F404,'Data Checks'!F404&lt;'Data Checks'!F403,'Data Checks'!F403&lt;'Data Checks'!F402),"SELL",""))</f>
        <v/>
      </c>
      <c r="AB195">
        <f>IF(W194="BUY",AB194*('Data Checks'!B405/'Data Checks'!B404),IF(W194="SELL",AB194*('Data Checks'!B404/'Data Checks'!B405),AB194))</f>
        <v>168.20328324299314</v>
      </c>
      <c r="AC195">
        <f>IF(X194="BUY",AC194*('Data Checks'!C405/'Data Checks'!C404),IF(X194="SELL",AC194*('Data Checks'!C404/'Data Checks'!C405),AC194))</f>
        <v>192.32461062013127</v>
      </c>
      <c r="AD195">
        <f>IF(Y194="BUY",AD194*('Data Checks'!D405/'Data Checks'!D404),IF(Y194="SELL",AD194*('Data Checks'!D404/'Data Checks'!D405),AD194))</f>
        <v>161.91066849998526</v>
      </c>
      <c r="AE195">
        <f>IF(Z194="BUY",AE194*('Data Checks'!E405/'Data Checks'!E404),IF(Z194="SELL",AE194*('Data Checks'!E404/'Data Checks'!E405),AE194))</f>
        <v>203.85821574231221</v>
      </c>
      <c r="AF195">
        <f>IF(AA194="BUY",AF194*('Data Checks'!F405/'Data Checks'!F404),IF(AA194="SELL",AF194*('Data Checks'!F404/'Data Checks'!F405),AF194))</f>
        <v>211.76214339886931</v>
      </c>
      <c r="AG195" s="16">
        <f t="shared" si="27"/>
        <v>938.05892150429122</v>
      </c>
      <c r="AH195" s="17">
        <f t="shared" si="31"/>
        <v>0</v>
      </c>
      <c r="AJ195" t="str">
        <f>IF('Moving Ave'!G405&gt;'Moving Ave'!L405,"SELL","BUY")</f>
        <v>SELL</v>
      </c>
      <c r="AK195" t="str">
        <f>IF('Moving Ave'!H405&gt;'Moving Ave'!M405,"SELL","BUY")</f>
        <v>BUY</v>
      </c>
      <c r="AL195" t="str">
        <f>IF('Moving Ave'!I405&gt;'Moving Ave'!N405,"SELL","BUY")</f>
        <v>SELL</v>
      </c>
      <c r="AM195" t="str">
        <f>IF('Moving Ave'!J405&gt;'Moving Ave'!O405,"SELL","BUY")</f>
        <v>BUY</v>
      </c>
      <c r="AN195" t="str">
        <f>IF('Moving Ave'!K405&gt;'Moving Ave'!P405,"SELL","BUY")</f>
        <v>BUY</v>
      </c>
      <c r="AO195">
        <f>IF(AJ194="BUY",AO194*('Data Checks'!B405/'Data Checks'!B404),AO194*('Data Checks'!B404/'Data Checks'!B405))</f>
        <v>137.50258904951789</v>
      </c>
      <c r="AP195">
        <f>IF(AK194="BUY",AP194*('Data Checks'!C405/'Data Checks'!C404),AP194*('Data Checks'!C404/'Data Checks'!C405))</f>
        <v>99.11100073942103</v>
      </c>
      <c r="AQ195">
        <f>IF(AL194="BUY",AQ194*('Data Checks'!D405/'Data Checks'!D404),AQ194*('Data Checks'!D404/'Data Checks'!D405))</f>
        <v>302.80935034018853</v>
      </c>
      <c r="AR195">
        <f>IF(AM194="BUY",AR194*('Data Checks'!E405/'Data Checks'!E404),AR194*('Data Checks'!E404/'Data Checks'!E405))</f>
        <v>81.151654464290075</v>
      </c>
      <c r="AS195">
        <f>IF(AN194="BUY",AS194*('Data Checks'!F405/'Data Checks'!F404),AS194*('Data Checks'!F404/'Data Checks'!F405))</f>
        <v>203.76631038495853</v>
      </c>
      <c r="AT195" s="16">
        <f t="shared" si="28"/>
        <v>824.3409049783761</v>
      </c>
      <c r="AU195" s="17">
        <f t="shared" si="32"/>
        <v>-4.476838080758605E-3</v>
      </c>
    </row>
    <row r="196" spans="1:47" x14ac:dyDescent="0.35">
      <c r="A196" s="2">
        <f>Prices!A404</f>
        <v>44471</v>
      </c>
      <c r="B196">
        <f>B195*('Data Checks'!B406/'Data Checks'!B405)</f>
        <v>329.29225699921392</v>
      </c>
      <c r="C196">
        <f>C195*('Data Checks'!C406/'Data Checks'!C405)</f>
        <v>100.93980952349033</v>
      </c>
      <c r="D196">
        <f>D195*('Data Checks'!D406/'Data Checks'!D405)</f>
        <v>202.00368345305873</v>
      </c>
      <c r="E196">
        <f>E195*('Data Checks'!E406/'Data Checks'!E405)</f>
        <v>82.356877055343887</v>
      </c>
      <c r="F196">
        <f>F195*('Data Checks'!F406/'Data Checks'!F405)</f>
        <v>137.14831192868357</v>
      </c>
      <c r="G196" s="16">
        <f t="shared" si="25"/>
        <v>851.74093895979036</v>
      </c>
      <c r="H196" s="17">
        <f t="shared" si="29"/>
        <v>-4.6899034141097973E-3</v>
      </c>
      <c r="J196" t="str">
        <f>IF(AND('Data Checks'!B406&gt;'Data Checks'!B405,'Data Checks'!B405&gt;'Data Checks'!B404,'Data Checks'!B404&gt;'Data Checks'!B403),"SELL",IF(AND('Data Checks'!B406&lt;'Data Checks'!B405,'Data Checks'!B405&lt;'Data Checks'!B404,'Data Checks'!B404&lt;'Data Checks'!B403),"BUY",""))</f>
        <v/>
      </c>
      <c r="K196" t="str">
        <f>IF(AND('Data Checks'!C406&gt;'Data Checks'!C405,'Data Checks'!C405&gt;'Data Checks'!C404,'Data Checks'!C404&gt;'Data Checks'!C403),"SELL",IF(AND('Data Checks'!C406&lt;'Data Checks'!C405,'Data Checks'!C405&lt;'Data Checks'!C404,'Data Checks'!C404&lt;'Data Checks'!C403),"BUY",""))</f>
        <v/>
      </c>
      <c r="L196" t="str">
        <f>IF(AND('Data Checks'!D406&gt;'Data Checks'!D405,'Data Checks'!D405&gt;'Data Checks'!D404,'Data Checks'!D404&gt;'Data Checks'!D403),"SELL",IF(AND('Data Checks'!D406&lt;'Data Checks'!D405,'Data Checks'!D405&lt;'Data Checks'!D404,'Data Checks'!D404&lt;'Data Checks'!D403),"BUY",""))</f>
        <v/>
      </c>
      <c r="M196" t="str">
        <f>IF(AND('Data Checks'!E406&gt;'Data Checks'!E405,'Data Checks'!E405&gt;'Data Checks'!E404,'Data Checks'!E404&gt;'Data Checks'!E403),"SELL",IF(AND('Data Checks'!E406&lt;'Data Checks'!E405,'Data Checks'!E405&lt;'Data Checks'!E404,'Data Checks'!E404&lt;'Data Checks'!E403),"BUY",""))</f>
        <v/>
      </c>
      <c r="N196" t="str">
        <f>IF(AND('Data Checks'!F406&gt;'Data Checks'!F405,'Data Checks'!F405&gt;'Data Checks'!F404,'Data Checks'!F404&gt;'Data Checks'!F403),"SELL",IF(AND('Data Checks'!F406&lt;'Data Checks'!F405,'Data Checks'!F405&lt;'Data Checks'!F404,'Data Checks'!F404&lt;'Data Checks'!F403),"BUY",""))</f>
        <v/>
      </c>
      <c r="O196">
        <f>IF(J195="BUY",O195*('Data Checks'!B406/'Data Checks'!B405),IF(J195="SELL",O195*('Data Checks'!B405/'Data Checks'!B406),O195))</f>
        <v>237.80748644611435</v>
      </c>
      <c r="P196">
        <f>IF(K195="BUY",P195*('Data Checks'!C406/'Data Checks'!C405),IF(K195="SELL",P195*('Data Checks'!C405/'Data Checks'!C406),P195))</f>
        <v>207.98170276296977</v>
      </c>
      <c r="Q196">
        <f>IF(L195="BUY",Q195*('Data Checks'!D406/'Data Checks'!D405),IF(L195="SELL",Q195*('Data Checks'!D405/'Data Checks'!D406),Q195))</f>
        <v>247.04981068003951</v>
      </c>
      <c r="R196">
        <f>IF(M195="BUY",R195*('Data Checks'!E406/'Data Checks'!E405),IF(M195="SELL",R195*('Data Checks'!E405/'Data Checks'!E406),R195))</f>
        <v>199.12888601582608</v>
      </c>
      <c r="S196">
        <f>IF(N195="BUY",S195*('Data Checks'!F406/'Data Checks'!F405),IF(N195="SELL",S195*('Data Checks'!F405/'Data Checks'!F406),S195))</f>
        <v>188.89117458854358</v>
      </c>
      <c r="T196" s="16">
        <f t="shared" si="26"/>
        <v>1080.8590604934934</v>
      </c>
      <c r="U196" s="17">
        <f t="shared" si="30"/>
        <v>2.7033673470393538E-3</v>
      </c>
      <c r="W196" t="str">
        <f>IF(AND('Data Checks'!B406&gt;'Data Checks'!B405,'Data Checks'!B405&gt;'Data Checks'!B404,'Data Checks'!B404&gt;'Data Checks'!B403),"BUY",IF(AND('Data Checks'!B406&lt;'Data Checks'!B405,'Data Checks'!B405&lt;'Data Checks'!B404,'Data Checks'!B404&lt;'Data Checks'!B403),"SELL",""))</f>
        <v/>
      </c>
      <c r="X196" t="str">
        <f>IF(AND('Data Checks'!C406&gt;'Data Checks'!C405,'Data Checks'!C405&gt;'Data Checks'!C404,'Data Checks'!C404&gt;'Data Checks'!C403),"BUY",IF(AND('Data Checks'!C406&lt;'Data Checks'!C405,'Data Checks'!C405&lt;'Data Checks'!C404,'Data Checks'!C404&lt;'Data Checks'!C403),"SELL",""))</f>
        <v/>
      </c>
      <c r="Y196" t="str">
        <f>IF(AND('Data Checks'!D406&gt;'Data Checks'!D405,'Data Checks'!D405&gt;'Data Checks'!D404,'Data Checks'!D404&gt;'Data Checks'!D403),"BUY",IF(AND('Data Checks'!D406&lt;'Data Checks'!D405,'Data Checks'!D405&lt;'Data Checks'!D404,'Data Checks'!D404&lt;'Data Checks'!D403),"SELL",""))</f>
        <v/>
      </c>
      <c r="Z196" t="str">
        <f>IF(AND('Data Checks'!E406&gt;'Data Checks'!E405,'Data Checks'!E405&gt;'Data Checks'!E404,'Data Checks'!E404&gt;'Data Checks'!E403),"BUY",IF(AND('Data Checks'!E406&lt;'Data Checks'!E405,'Data Checks'!E405&lt;'Data Checks'!E404,'Data Checks'!E404&lt;'Data Checks'!E403),"SELL",""))</f>
        <v/>
      </c>
      <c r="AA196" t="str">
        <f>IF(AND('Data Checks'!F406&gt;'Data Checks'!F405,'Data Checks'!F405&gt;'Data Checks'!F404,'Data Checks'!F404&gt;'Data Checks'!F403),"BUY",IF(AND('Data Checks'!F406&lt;'Data Checks'!F405,'Data Checks'!F405&lt;'Data Checks'!F404,'Data Checks'!F404&lt;'Data Checks'!F403),"SELL",""))</f>
        <v/>
      </c>
      <c r="AB196">
        <f>IF(W195="BUY",AB195*('Data Checks'!B406/'Data Checks'!B405),IF(W195="SELL",AB195*('Data Checks'!B405/'Data Checks'!B406),AB195))</f>
        <v>168.20328324299314</v>
      </c>
      <c r="AC196">
        <f>IF(X195="BUY",AC195*('Data Checks'!C406/'Data Checks'!C405),IF(X195="SELL",AC195*('Data Checks'!C405/'Data Checks'!C406),AC195))</f>
        <v>192.32461062013127</v>
      </c>
      <c r="AD196">
        <f>IF(Y195="BUY",AD195*('Data Checks'!D406/'Data Checks'!D405),IF(Y195="SELL",AD195*('Data Checks'!D405/'Data Checks'!D406),AD195))</f>
        <v>161.91066849998526</v>
      </c>
      <c r="AE196">
        <f>IF(Z195="BUY",AE195*('Data Checks'!E406/'Data Checks'!E405),IF(Z195="SELL",AE195*('Data Checks'!E405/'Data Checks'!E406),AE195))</f>
        <v>200.87492478022958</v>
      </c>
      <c r="AF196">
        <f>IF(AA195="BUY",AF195*('Data Checks'!F406/'Data Checks'!F405),IF(AA195="SELL",AF195*('Data Checks'!F405/'Data Checks'!F406),AF195))</f>
        <v>211.76214339886931</v>
      </c>
      <c r="AG196" s="16">
        <f t="shared" si="27"/>
        <v>935.0756305422085</v>
      </c>
      <c r="AH196" s="17">
        <f t="shared" si="31"/>
        <v>-3.180280996953444E-3</v>
      </c>
      <c r="AJ196" t="str">
        <f>IF('Moving Ave'!G406&gt;'Moving Ave'!L406,"SELL","BUY")</f>
        <v>SELL</v>
      </c>
      <c r="AK196" t="str">
        <f>IF('Moving Ave'!H406&gt;'Moving Ave'!M406,"SELL","BUY")</f>
        <v>BUY</v>
      </c>
      <c r="AL196" t="str">
        <f>IF('Moving Ave'!I406&gt;'Moving Ave'!N406,"SELL","BUY")</f>
        <v>SELL</v>
      </c>
      <c r="AM196" t="str">
        <f>IF('Moving Ave'!J406&gt;'Moving Ave'!O406,"SELL","BUY")</f>
        <v>BUY</v>
      </c>
      <c r="AN196" t="str">
        <f>IF('Moving Ave'!K406&gt;'Moving Ave'!P406,"SELL","BUY")</f>
        <v>BUY</v>
      </c>
      <c r="AO196">
        <f>IF(AJ195="BUY",AO195*('Data Checks'!B406/'Data Checks'!B405),AO195*('Data Checks'!B405/'Data Checks'!B406))</f>
        <v>141.73810924053629</v>
      </c>
      <c r="AP196">
        <f>IF(AK195="BUY",AP195*('Data Checks'!C406/'Data Checks'!C405),AP195*('Data Checks'!C405/'Data Checks'!C406))</f>
        <v>100.93980952349033</v>
      </c>
      <c r="AQ196">
        <f>IF(AL195="BUY",AQ195*('Data Checks'!D406/'Data Checks'!D405),AQ195*('Data Checks'!D405/'Data Checks'!D406))</f>
        <v>299.45536019903057</v>
      </c>
      <c r="AR196">
        <f>IF(AM195="BUY",AR195*('Data Checks'!E406/'Data Checks'!E405),AR195*('Data Checks'!E405/'Data Checks'!E406))</f>
        <v>82.356877055343887</v>
      </c>
      <c r="AS196">
        <f>IF(AN195="BUY",AS195*('Data Checks'!F406/'Data Checks'!F405),AS195*('Data Checks'!F405/'Data Checks'!F406))</f>
        <v>205.04966602487031</v>
      </c>
      <c r="AT196" s="16">
        <f t="shared" si="28"/>
        <v>829.53982204327122</v>
      </c>
      <c r="AU196" s="17">
        <f t="shared" si="32"/>
        <v>6.3067561411762618E-3</v>
      </c>
    </row>
    <row r="197" spans="1:47" x14ac:dyDescent="0.35">
      <c r="A197" s="2">
        <f>Prices!A405</f>
        <v>44474</v>
      </c>
      <c r="B197">
        <f>B196*('Data Checks'!B407/'Data Checks'!B406)</f>
        <v>337.11096718610065</v>
      </c>
      <c r="C197">
        <f>C196*('Data Checks'!C407/'Data Checks'!C406)</f>
        <v>101.39700028948451</v>
      </c>
      <c r="D197">
        <f>D196*('Data Checks'!D407/'Data Checks'!D406)</f>
        <v>204.47487401026677</v>
      </c>
      <c r="E197">
        <f>E196*('Data Checks'!E407/'Data Checks'!E406)</f>
        <v>85.068627885214966</v>
      </c>
      <c r="F197">
        <f>F196*('Data Checks'!F407/'Data Checks'!F406)</f>
        <v>138.91272873981015</v>
      </c>
      <c r="G197" s="16">
        <f t="shared" si="25"/>
        <v>866.96419811087696</v>
      </c>
      <c r="H197" s="17">
        <f t="shared" si="29"/>
        <v>1.7873109597946968E-2</v>
      </c>
      <c r="J197" t="str">
        <f>IF(AND('Data Checks'!B407&gt;'Data Checks'!B406,'Data Checks'!B406&gt;'Data Checks'!B405,'Data Checks'!B405&gt;'Data Checks'!B404),"SELL",IF(AND('Data Checks'!B407&lt;'Data Checks'!B406,'Data Checks'!B406&lt;'Data Checks'!B405,'Data Checks'!B405&lt;'Data Checks'!B404),"BUY",""))</f>
        <v/>
      </c>
      <c r="K197" t="str">
        <f>IF(AND('Data Checks'!C407&gt;'Data Checks'!C406,'Data Checks'!C406&gt;'Data Checks'!C405,'Data Checks'!C405&gt;'Data Checks'!C404),"SELL",IF(AND('Data Checks'!C407&lt;'Data Checks'!C406,'Data Checks'!C406&lt;'Data Checks'!C405,'Data Checks'!C405&lt;'Data Checks'!C404),"BUY",""))</f>
        <v/>
      </c>
      <c r="L197" t="str">
        <f>IF(AND('Data Checks'!D407&gt;'Data Checks'!D406,'Data Checks'!D406&gt;'Data Checks'!D405,'Data Checks'!D405&gt;'Data Checks'!D404),"SELL",IF(AND('Data Checks'!D407&lt;'Data Checks'!D406,'Data Checks'!D406&lt;'Data Checks'!D405,'Data Checks'!D405&lt;'Data Checks'!D404),"BUY",""))</f>
        <v/>
      </c>
      <c r="M197" t="str">
        <f>IF(AND('Data Checks'!E407&gt;'Data Checks'!E406,'Data Checks'!E406&gt;'Data Checks'!E405,'Data Checks'!E405&gt;'Data Checks'!E404),"SELL",IF(AND('Data Checks'!E407&lt;'Data Checks'!E406,'Data Checks'!E406&lt;'Data Checks'!E405,'Data Checks'!E405&lt;'Data Checks'!E404),"BUY",""))</f>
        <v/>
      </c>
      <c r="N197" t="str">
        <f>IF(AND('Data Checks'!F407&gt;'Data Checks'!F406,'Data Checks'!F406&gt;'Data Checks'!F405,'Data Checks'!F405&gt;'Data Checks'!F404),"SELL",IF(AND('Data Checks'!F407&lt;'Data Checks'!F406,'Data Checks'!F406&lt;'Data Checks'!F405,'Data Checks'!F405&lt;'Data Checks'!F404),"BUY",""))</f>
        <v>SELL</v>
      </c>
      <c r="O197">
        <f>IF(J196="BUY",O196*('Data Checks'!B407/'Data Checks'!B406),IF(J196="SELL",O196*('Data Checks'!B406/'Data Checks'!B407),O196))</f>
        <v>237.80748644611435</v>
      </c>
      <c r="P197">
        <f>IF(K196="BUY",P196*('Data Checks'!C407/'Data Checks'!C406),IF(K196="SELL",P196*('Data Checks'!C406/'Data Checks'!C407),P196))</f>
        <v>207.98170276296977</v>
      </c>
      <c r="Q197">
        <f>IF(L196="BUY",Q196*('Data Checks'!D407/'Data Checks'!D406),IF(L196="SELL",Q196*('Data Checks'!D406/'Data Checks'!D407),Q196))</f>
        <v>247.04981068003951</v>
      </c>
      <c r="R197">
        <f>IF(M196="BUY",R196*('Data Checks'!E407/'Data Checks'!E406),IF(M196="SELL",R196*('Data Checks'!E406/'Data Checks'!E407),R196))</f>
        <v>199.12888601582608</v>
      </c>
      <c r="S197">
        <f>IF(N196="BUY",S196*('Data Checks'!F407/'Data Checks'!F406),IF(N196="SELL",S196*('Data Checks'!F406/'Data Checks'!F407),S196))</f>
        <v>188.89117458854358</v>
      </c>
      <c r="T197" s="16">
        <f t="shared" si="26"/>
        <v>1080.8590604934934</v>
      </c>
      <c r="U197" s="17">
        <f t="shared" si="30"/>
        <v>0</v>
      </c>
      <c r="W197" t="str">
        <f>IF(AND('Data Checks'!B407&gt;'Data Checks'!B406,'Data Checks'!B406&gt;'Data Checks'!B405,'Data Checks'!B405&gt;'Data Checks'!B404),"BUY",IF(AND('Data Checks'!B407&lt;'Data Checks'!B406,'Data Checks'!B406&lt;'Data Checks'!B405,'Data Checks'!B405&lt;'Data Checks'!B404),"SELL",""))</f>
        <v/>
      </c>
      <c r="X197" t="str">
        <f>IF(AND('Data Checks'!C407&gt;'Data Checks'!C406,'Data Checks'!C406&gt;'Data Checks'!C405,'Data Checks'!C405&gt;'Data Checks'!C404),"BUY",IF(AND('Data Checks'!C407&lt;'Data Checks'!C406,'Data Checks'!C406&lt;'Data Checks'!C405,'Data Checks'!C405&lt;'Data Checks'!C404),"SELL",""))</f>
        <v/>
      </c>
      <c r="Y197" t="str">
        <f>IF(AND('Data Checks'!D407&gt;'Data Checks'!D406,'Data Checks'!D406&gt;'Data Checks'!D405,'Data Checks'!D405&gt;'Data Checks'!D404),"BUY",IF(AND('Data Checks'!D407&lt;'Data Checks'!D406,'Data Checks'!D406&lt;'Data Checks'!D405,'Data Checks'!D405&lt;'Data Checks'!D404),"SELL",""))</f>
        <v/>
      </c>
      <c r="Z197" t="str">
        <f>IF(AND('Data Checks'!E407&gt;'Data Checks'!E406,'Data Checks'!E406&gt;'Data Checks'!E405,'Data Checks'!E405&gt;'Data Checks'!E404),"BUY",IF(AND('Data Checks'!E407&lt;'Data Checks'!E406,'Data Checks'!E406&lt;'Data Checks'!E405,'Data Checks'!E405&lt;'Data Checks'!E404),"SELL",""))</f>
        <v/>
      </c>
      <c r="AA197" t="str">
        <f>IF(AND('Data Checks'!F407&gt;'Data Checks'!F406,'Data Checks'!F406&gt;'Data Checks'!F405,'Data Checks'!F405&gt;'Data Checks'!F404),"BUY",IF(AND('Data Checks'!F407&lt;'Data Checks'!F406,'Data Checks'!F406&lt;'Data Checks'!F405,'Data Checks'!F405&lt;'Data Checks'!F404),"SELL",""))</f>
        <v>BUY</v>
      </c>
      <c r="AB197">
        <f>IF(W196="BUY",AB196*('Data Checks'!B407/'Data Checks'!B406),IF(W196="SELL",AB196*('Data Checks'!B406/'Data Checks'!B407),AB196))</f>
        <v>168.20328324299314</v>
      </c>
      <c r="AC197">
        <f>IF(X196="BUY",AC196*('Data Checks'!C407/'Data Checks'!C406),IF(X196="SELL",AC196*('Data Checks'!C406/'Data Checks'!C407),AC196))</f>
        <v>192.32461062013127</v>
      </c>
      <c r="AD197">
        <f>IF(Y196="BUY",AD196*('Data Checks'!D407/'Data Checks'!D406),IF(Y196="SELL",AD196*('Data Checks'!D406/'Data Checks'!D407),AD196))</f>
        <v>161.91066849998526</v>
      </c>
      <c r="AE197">
        <f>IF(Z196="BUY",AE196*('Data Checks'!E407/'Data Checks'!E406),IF(Z196="SELL",AE196*('Data Checks'!E406/'Data Checks'!E407),AE196))</f>
        <v>200.87492478022958</v>
      </c>
      <c r="AF197">
        <f>IF(AA196="BUY",AF196*('Data Checks'!F407/'Data Checks'!F406),IF(AA196="SELL",AF196*('Data Checks'!F406/'Data Checks'!F407),AF196))</f>
        <v>211.76214339886931</v>
      </c>
      <c r="AG197" s="16">
        <f t="shared" si="27"/>
        <v>935.0756305422085</v>
      </c>
      <c r="AH197" s="17">
        <f t="shared" si="31"/>
        <v>0</v>
      </c>
      <c r="AJ197" t="str">
        <f>IF('Moving Ave'!G407&gt;'Moving Ave'!L407,"SELL","BUY")</f>
        <v>SELL</v>
      </c>
      <c r="AK197" t="str">
        <f>IF('Moving Ave'!H407&gt;'Moving Ave'!M407,"SELL","BUY")</f>
        <v>BUY</v>
      </c>
      <c r="AL197" t="str">
        <f>IF('Moving Ave'!I407&gt;'Moving Ave'!N407,"SELL","BUY")</f>
        <v>SELL</v>
      </c>
      <c r="AM197" t="str">
        <f>IF('Moving Ave'!J407&gt;'Moving Ave'!O407,"SELL","BUY")</f>
        <v>BUY</v>
      </c>
      <c r="AN197" t="str">
        <f>IF('Moving Ave'!K407&gt;'Moving Ave'!P407,"SELL","BUY")</f>
        <v>BUY</v>
      </c>
      <c r="AO197">
        <f>IF(AJ196="BUY",AO196*('Data Checks'!B407/'Data Checks'!B406),AO196*('Data Checks'!B406/'Data Checks'!B407))</f>
        <v>138.4507371095155</v>
      </c>
      <c r="AP197">
        <f>IF(AK196="BUY",AP196*('Data Checks'!C407/'Data Checks'!C406),AP196*('Data Checks'!C406/'Data Checks'!C407))</f>
        <v>101.39700028948451</v>
      </c>
      <c r="AQ197">
        <f>IF(AL196="BUY",AQ196*('Data Checks'!D407/'Data Checks'!D406),AQ196*('Data Checks'!D406/'Data Checks'!D407))</f>
        <v>295.8362785783126</v>
      </c>
      <c r="AR197">
        <f>IF(AM196="BUY",AR196*('Data Checks'!E407/'Data Checks'!E406),AR196*('Data Checks'!E406/'Data Checks'!E407))</f>
        <v>85.068627885214966</v>
      </c>
      <c r="AS197">
        <f>IF(AN196="BUY",AS196*('Data Checks'!F407/'Data Checks'!F406),AS196*('Data Checks'!F406/'Data Checks'!F407))</f>
        <v>207.68763562699201</v>
      </c>
      <c r="AT197" s="16">
        <f t="shared" si="28"/>
        <v>828.44027948951953</v>
      </c>
      <c r="AU197" s="17">
        <f t="shared" si="32"/>
        <v>-1.3254849550722314E-3</v>
      </c>
    </row>
    <row r="198" spans="1:47" x14ac:dyDescent="0.35">
      <c r="A198" s="2">
        <f>Prices!A406</f>
        <v>44475</v>
      </c>
      <c r="B198">
        <f>B197*('Data Checks'!B408/'Data Checks'!B407)</f>
        <v>326.65369989276326</v>
      </c>
      <c r="C198">
        <f>C197*('Data Checks'!C408/'Data Checks'!C407)</f>
        <v>101.54940567816638</v>
      </c>
      <c r="D198">
        <f>D197*('Data Checks'!D408/'Data Checks'!D407)</f>
        <v>199.06495907605549</v>
      </c>
      <c r="E198">
        <f>E197*('Data Checks'!E408/'Data Checks'!E407)</f>
        <v>84.700362078996889</v>
      </c>
      <c r="F198">
        <f>F197*('Data Checks'!F408/'Data Checks'!F407)</f>
        <v>142.48926670227851</v>
      </c>
      <c r="G198" s="16">
        <f t="shared" si="25"/>
        <v>854.45769342826065</v>
      </c>
      <c r="H198" s="17">
        <f t="shared" si="29"/>
        <v>-1.4425629927819483E-2</v>
      </c>
      <c r="J198" t="str">
        <f>IF(AND('Data Checks'!B408&gt;'Data Checks'!B407,'Data Checks'!B407&gt;'Data Checks'!B406,'Data Checks'!B406&gt;'Data Checks'!B405),"SELL",IF(AND('Data Checks'!B408&lt;'Data Checks'!B407,'Data Checks'!B407&lt;'Data Checks'!B406,'Data Checks'!B406&lt;'Data Checks'!B405),"BUY",""))</f>
        <v/>
      </c>
      <c r="K198" t="str">
        <f>IF(AND('Data Checks'!C408&gt;'Data Checks'!C407,'Data Checks'!C407&gt;'Data Checks'!C406,'Data Checks'!C406&gt;'Data Checks'!C405),"SELL",IF(AND('Data Checks'!C408&lt;'Data Checks'!C407,'Data Checks'!C407&lt;'Data Checks'!C406,'Data Checks'!C406&lt;'Data Checks'!C405),"BUY",""))</f>
        <v>SELL</v>
      </c>
      <c r="L198" t="str">
        <f>IF(AND('Data Checks'!D408&gt;'Data Checks'!D407,'Data Checks'!D407&gt;'Data Checks'!D406,'Data Checks'!D406&gt;'Data Checks'!D405),"SELL",IF(AND('Data Checks'!D408&lt;'Data Checks'!D407,'Data Checks'!D407&lt;'Data Checks'!D406,'Data Checks'!D406&lt;'Data Checks'!D405),"BUY",""))</f>
        <v/>
      </c>
      <c r="M198" t="str">
        <f>IF(AND('Data Checks'!E408&gt;'Data Checks'!E407,'Data Checks'!E407&gt;'Data Checks'!E406,'Data Checks'!E406&gt;'Data Checks'!E405),"SELL",IF(AND('Data Checks'!E408&lt;'Data Checks'!E407,'Data Checks'!E407&lt;'Data Checks'!E406,'Data Checks'!E406&lt;'Data Checks'!E405),"BUY",""))</f>
        <v/>
      </c>
      <c r="N198" t="str">
        <f>IF(AND('Data Checks'!F408&gt;'Data Checks'!F407,'Data Checks'!F407&gt;'Data Checks'!F406,'Data Checks'!F406&gt;'Data Checks'!F405),"SELL",IF(AND('Data Checks'!F408&lt;'Data Checks'!F407,'Data Checks'!F407&lt;'Data Checks'!F406,'Data Checks'!F406&lt;'Data Checks'!F405),"BUY",""))</f>
        <v>SELL</v>
      </c>
      <c r="O198">
        <f>IF(J197="BUY",O197*('Data Checks'!B408/'Data Checks'!B407),IF(J197="SELL",O197*('Data Checks'!B407/'Data Checks'!B408),O197))</f>
        <v>237.80748644611435</v>
      </c>
      <c r="P198">
        <f>IF(K197="BUY",P197*('Data Checks'!C408/'Data Checks'!C407),IF(K197="SELL",P197*('Data Checks'!C407/'Data Checks'!C408),P197))</f>
        <v>207.98170276296977</v>
      </c>
      <c r="Q198">
        <f>IF(L197="BUY",Q197*('Data Checks'!D408/'Data Checks'!D407),IF(L197="SELL",Q197*('Data Checks'!D407/'Data Checks'!D408),Q197))</f>
        <v>247.04981068003951</v>
      </c>
      <c r="R198">
        <f>IF(M197="BUY",R197*('Data Checks'!E408/'Data Checks'!E407),IF(M197="SELL",R197*('Data Checks'!E407/'Data Checks'!E408),R197))</f>
        <v>199.12888601582608</v>
      </c>
      <c r="S198">
        <f>IF(N197="BUY",S197*('Data Checks'!F408/'Data Checks'!F407),IF(N197="SELL",S197*('Data Checks'!F407/'Data Checks'!F408),S197))</f>
        <v>184.14993005605024</v>
      </c>
      <c r="T198" s="16">
        <f t="shared" si="26"/>
        <v>1076.1178159609999</v>
      </c>
      <c r="U198" s="17">
        <f t="shared" si="30"/>
        <v>-4.3865520545562919E-3</v>
      </c>
      <c r="W198" t="str">
        <f>IF(AND('Data Checks'!B408&gt;'Data Checks'!B407,'Data Checks'!B407&gt;'Data Checks'!B406,'Data Checks'!B406&gt;'Data Checks'!B405),"BUY",IF(AND('Data Checks'!B408&lt;'Data Checks'!B407,'Data Checks'!B407&lt;'Data Checks'!B406,'Data Checks'!B406&lt;'Data Checks'!B405),"SELL",""))</f>
        <v/>
      </c>
      <c r="X198" t="str">
        <f>IF(AND('Data Checks'!C408&gt;'Data Checks'!C407,'Data Checks'!C407&gt;'Data Checks'!C406,'Data Checks'!C406&gt;'Data Checks'!C405),"BUY",IF(AND('Data Checks'!C408&lt;'Data Checks'!C407,'Data Checks'!C407&lt;'Data Checks'!C406,'Data Checks'!C406&lt;'Data Checks'!C405),"SELL",""))</f>
        <v>BUY</v>
      </c>
      <c r="Y198" t="str">
        <f>IF(AND('Data Checks'!D408&gt;'Data Checks'!D407,'Data Checks'!D407&gt;'Data Checks'!D406,'Data Checks'!D406&gt;'Data Checks'!D405),"BUY",IF(AND('Data Checks'!D408&lt;'Data Checks'!D407,'Data Checks'!D407&lt;'Data Checks'!D406,'Data Checks'!D406&lt;'Data Checks'!D405),"SELL",""))</f>
        <v/>
      </c>
      <c r="Z198" t="str">
        <f>IF(AND('Data Checks'!E408&gt;'Data Checks'!E407,'Data Checks'!E407&gt;'Data Checks'!E406,'Data Checks'!E406&gt;'Data Checks'!E405),"BUY",IF(AND('Data Checks'!E408&lt;'Data Checks'!E407,'Data Checks'!E407&lt;'Data Checks'!E406,'Data Checks'!E406&lt;'Data Checks'!E405),"SELL",""))</f>
        <v/>
      </c>
      <c r="AA198" t="str">
        <f>IF(AND('Data Checks'!F408&gt;'Data Checks'!F407,'Data Checks'!F407&gt;'Data Checks'!F406,'Data Checks'!F406&gt;'Data Checks'!F405),"BUY",IF(AND('Data Checks'!F408&lt;'Data Checks'!F407,'Data Checks'!F407&lt;'Data Checks'!F406,'Data Checks'!F406&lt;'Data Checks'!F405),"SELL",""))</f>
        <v>BUY</v>
      </c>
      <c r="AB198">
        <f>IF(W197="BUY",AB197*('Data Checks'!B408/'Data Checks'!B407),IF(W197="SELL",AB197*('Data Checks'!B407/'Data Checks'!B408),AB197))</f>
        <v>168.20328324299314</v>
      </c>
      <c r="AC198">
        <f>IF(X197="BUY",AC197*('Data Checks'!C408/'Data Checks'!C407),IF(X197="SELL",AC197*('Data Checks'!C407/'Data Checks'!C408),AC197))</f>
        <v>192.32461062013127</v>
      </c>
      <c r="AD198">
        <f>IF(Y197="BUY",AD197*('Data Checks'!D408/'Data Checks'!D407),IF(Y197="SELL",AD197*('Data Checks'!D407/'Data Checks'!D408),AD197))</f>
        <v>161.91066849998526</v>
      </c>
      <c r="AE198">
        <f>IF(Z197="BUY",AE197*('Data Checks'!E408/'Data Checks'!E407),IF(Z197="SELL",AE197*('Data Checks'!E407/'Data Checks'!E408),AE197))</f>
        <v>200.87492478022958</v>
      </c>
      <c r="AF198">
        <f>IF(AA197="BUY",AF197*('Data Checks'!F408/'Data Checks'!F407),IF(AA197="SELL",AF197*('Data Checks'!F407/'Data Checks'!F408),AF197))</f>
        <v>217.21431003435686</v>
      </c>
      <c r="AG198" s="16">
        <f t="shared" si="27"/>
        <v>940.52779717769613</v>
      </c>
      <c r="AH198" s="17">
        <f t="shared" si="31"/>
        <v>5.8307226254268318E-3</v>
      </c>
      <c r="AJ198" t="str">
        <f>IF('Moving Ave'!G408&gt;'Moving Ave'!L408,"SELL","BUY")</f>
        <v>SELL</v>
      </c>
      <c r="AK198" t="str">
        <f>IF('Moving Ave'!H408&gt;'Moving Ave'!M408,"SELL","BUY")</f>
        <v>BUY</v>
      </c>
      <c r="AL198" t="str">
        <f>IF('Moving Ave'!I408&gt;'Moving Ave'!N408,"SELL","BUY")</f>
        <v>SELL</v>
      </c>
      <c r="AM198" t="str">
        <f>IF('Moving Ave'!J408&gt;'Moving Ave'!O408,"SELL","BUY")</f>
        <v>BUY</v>
      </c>
      <c r="AN198" t="str">
        <f>IF('Moving Ave'!K408&gt;'Moving Ave'!P408,"SELL","BUY")</f>
        <v>BUY</v>
      </c>
      <c r="AO198">
        <f>IF(AJ197="BUY",AO197*('Data Checks'!B408/'Data Checks'!B407),AO197*('Data Checks'!B407/'Data Checks'!B408))</f>
        <v>142.88300395782946</v>
      </c>
      <c r="AP198">
        <f>IF(AK197="BUY",AP197*('Data Checks'!C408/'Data Checks'!C407),AP197*('Data Checks'!C407/'Data Checks'!C408))</f>
        <v>101.54940567816638</v>
      </c>
      <c r="AQ198">
        <f>IF(AL197="BUY",AQ197*('Data Checks'!D408/'Data Checks'!D407),AQ197*('Data Checks'!D407/'Data Checks'!D408))</f>
        <v>303.87611195225577</v>
      </c>
      <c r="AR198">
        <f>IF(AM197="BUY",AR197*('Data Checks'!E408/'Data Checks'!E407),AR197*('Data Checks'!E407/'Data Checks'!E408))</f>
        <v>84.700362078996889</v>
      </c>
      <c r="AS198">
        <f>IF(AN197="BUY",AS197*('Data Checks'!F408/'Data Checks'!F407),AS197*('Data Checks'!F407/'Data Checks'!F408))</f>
        <v>213.03489732067405</v>
      </c>
      <c r="AT198" s="16">
        <f t="shared" si="28"/>
        <v>846.04378098792256</v>
      </c>
      <c r="AU198" s="17">
        <f t="shared" si="32"/>
        <v>2.1248968615154906E-2</v>
      </c>
    </row>
    <row r="199" spans="1:47" x14ac:dyDescent="0.35">
      <c r="A199" s="2">
        <f>Prices!A407</f>
        <v>44476</v>
      </c>
      <c r="B199">
        <f>B198*('Data Checks'!B409/'Data Checks'!B408)</f>
        <v>336.74110506930396</v>
      </c>
      <c r="C199">
        <f>C198*('Data Checks'!C409/'Data Checks'!C408)</f>
        <v>103.47981466801676</v>
      </c>
      <c r="D199">
        <f>D198*('Data Checks'!D409/'Data Checks'!D408)</f>
        <v>204.37469367798795</v>
      </c>
      <c r="E199">
        <f>E198*('Data Checks'!E409/'Data Checks'!E408)</f>
        <v>85.671239180741892</v>
      </c>
      <c r="F199">
        <f>F198*('Data Checks'!F409/'Data Checks'!F408)</f>
        <v>140.8679056871899</v>
      </c>
      <c r="G199" s="16">
        <f t="shared" ref="G199:G257" si="33">SUM(B199:F199)</f>
        <v>871.13475828324044</v>
      </c>
      <c r="H199" s="17">
        <f t="shared" si="29"/>
        <v>1.9517718645692073E-2</v>
      </c>
      <c r="J199" t="str">
        <f>IF(AND('Data Checks'!B409&gt;'Data Checks'!B408,'Data Checks'!B408&gt;'Data Checks'!B407,'Data Checks'!B407&gt;'Data Checks'!B406),"SELL",IF(AND('Data Checks'!B409&lt;'Data Checks'!B408,'Data Checks'!B408&lt;'Data Checks'!B407,'Data Checks'!B407&lt;'Data Checks'!B406),"BUY",""))</f>
        <v/>
      </c>
      <c r="K199" t="str">
        <f>IF(AND('Data Checks'!C409&gt;'Data Checks'!C408,'Data Checks'!C408&gt;'Data Checks'!C407,'Data Checks'!C407&gt;'Data Checks'!C406),"SELL",IF(AND('Data Checks'!C409&lt;'Data Checks'!C408,'Data Checks'!C408&lt;'Data Checks'!C407,'Data Checks'!C407&lt;'Data Checks'!C406),"BUY",""))</f>
        <v>SELL</v>
      </c>
      <c r="L199" t="str">
        <f>IF(AND('Data Checks'!D409&gt;'Data Checks'!D408,'Data Checks'!D408&gt;'Data Checks'!D407,'Data Checks'!D407&gt;'Data Checks'!D406),"SELL",IF(AND('Data Checks'!D409&lt;'Data Checks'!D408,'Data Checks'!D408&lt;'Data Checks'!D407,'Data Checks'!D407&lt;'Data Checks'!D406),"BUY",""))</f>
        <v/>
      </c>
      <c r="M199" t="str">
        <f>IF(AND('Data Checks'!E409&gt;'Data Checks'!E408,'Data Checks'!E408&gt;'Data Checks'!E407,'Data Checks'!E407&gt;'Data Checks'!E406),"SELL",IF(AND('Data Checks'!E409&lt;'Data Checks'!E408,'Data Checks'!E408&lt;'Data Checks'!E407,'Data Checks'!E407&lt;'Data Checks'!E406),"BUY",""))</f>
        <v/>
      </c>
      <c r="N199" t="str">
        <f>IF(AND('Data Checks'!F409&gt;'Data Checks'!F408,'Data Checks'!F408&gt;'Data Checks'!F407,'Data Checks'!F407&gt;'Data Checks'!F406),"SELL",IF(AND('Data Checks'!F409&lt;'Data Checks'!F408,'Data Checks'!F408&lt;'Data Checks'!F407,'Data Checks'!F407&lt;'Data Checks'!F406),"BUY",""))</f>
        <v/>
      </c>
      <c r="O199">
        <f>IF(J198="BUY",O198*('Data Checks'!B409/'Data Checks'!B408),IF(J198="SELL",O198*('Data Checks'!B408/'Data Checks'!B409),O198))</f>
        <v>237.80748644611435</v>
      </c>
      <c r="P199">
        <f>IF(K198="BUY",P198*('Data Checks'!C409/'Data Checks'!C408),IF(K198="SELL",P198*('Data Checks'!C408/'Data Checks'!C409),P198))</f>
        <v>204.10181807216236</v>
      </c>
      <c r="Q199">
        <f>IF(L198="BUY",Q198*('Data Checks'!D409/'Data Checks'!D408),IF(L198="SELL",Q198*('Data Checks'!D408/'Data Checks'!D409),Q198))</f>
        <v>247.04981068003951</v>
      </c>
      <c r="R199">
        <f>IF(M198="BUY",R198*('Data Checks'!E409/'Data Checks'!E408),IF(M198="SELL",R198*('Data Checks'!E408/'Data Checks'!E409),R198))</f>
        <v>199.12888601582608</v>
      </c>
      <c r="S199">
        <f>IF(N198="BUY",S198*('Data Checks'!F409/'Data Checks'!F408),IF(N198="SELL",S198*('Data Checks'!F408/'Data Checks'!F409),S198))</f>
        <v>186.2694583905396</v>
      </c>
      <c r="T199" s="16">
        <f t="shared" ref="T199:T257" si="34">SUM(O199:S199)</f>
        <v>1074.3574596046819</v>
      </c>
      <c r="U199" s="17">
        <f t="shared" si="30"/>
        <v>-1.6358398032337851E-3</v>
      </c>
      <c r="W199" t="str">
        <f>IF(AND('Data Checks'!B409&gt;'Data Checks'!B408,'Data Checks'!B408&gt;'Data Checks'!B407,'Data Checks'!B407&gt;'Data Checks'!B406),"BUY",IF(AND('Data Checks'!B409&lt;'Data Checks'!B408,'Data Checks'!B408&lt;'Data Checks'!B407,'Data Checks'!B407&lt;'Data Checks'!B406),"SELL",""))</f>
        <v/>
      </c>
      <c r="X199" t="str">
        <f>IF(AND('Data Checks'!C409&gt;'Data Checks'!C408,'Data Checks'!C408&gt;'Data Checks'!C407,'Data Checks'!C407&gt;'Data Checks'!C406),"BUY",IF(AND('Data Checks'!C409&lt;'Data Checks'!C408,'Data Checks'!C408&lt;'Data Checks'!C407,'Data Checks'!C407&lt;'Data Checks'!C406),"SELL",""))</f>
        <v>BUY</v>
      </c>
      <c r="Y199" t="str">
        <f>IF(AND('Data Checks'!D409&gt;'Data Checks'!D408,'Data Checks'!D408&gt;'Data Checks'!D407,'Data Checks'!D407&gt;'Data Checks'!D406),"BUY",IF(AND('Data Checks'!D409&lt;'Data Checks'!D408,'Data Checks'!D408&lt;'Data Checks'!D407,'Data Checks'!D407&lt;'Data Checks'!D406),"SELL",""))</f>
        <v/>
      </c>
      <c r="Z199" t="str">
        <f>IF(AND('Data Checks'!E409&gt;'Data Checks'!E408,'Data Checks'!E408&gt;'Data Checks'!E407,'Data Checks'!E407&gt;'Data Checks'!E406),"BUY",IF(AND('Data Checks'!E409&lt;'Data Checks'!E408,'Data Checks'!E408&lt;'Data Checks'!E407,'Data Checks'!E407&lt;'Data Checks'!E406),"SELL",""))</f>
        <v/>
      </c>
      <c r="AA199" t="str">
        <f>IF(AND('Data Checks'!F409&gt;'Data Checks'!F408,'Data Checks'!F408&gt;'Data Checks'!F407,'Data Checks'!F407&gt;'Data Checks'!F406),"BUY",IF(AND('Data Checks'!F409&lt;'Data Checks'!F408,'Data Checks'!F408&lt;'Data Checks'!F407,'Data Checks'!F407&lt;'Data Checks'!F406),"SELL",""))</f>
        <v/>
      </c>
      <c r="AB199">
        <f>IF(W198="BUY",AB198*('Data Checks'!B409/'Data Checks'!B408),IF(W198="SELL",AB198*('Data Checks'!B408/'Data Checks'!B409),AB198))</f>
        <v>168.20328324299314</v>
      </c>
      <c r="AC199">
        <f>IF(X198="BUY",AC198*('Data Checks'!C409/'Data Checks'!C408),IF(X198="SELL",AC198*('Data Checks'!C408/'Data Checks'!C409),AC198))</f>
        <v>195.98061584075461</v>
      </c>
      <c r="AD199">
        <f>IF(Y198="BUY",AD198*('Data Checks'!D409/'Data Checks'!D408),IF(Y198="SELL",AD198*('Data Checks'!D408/'Data Checks'!D409),AD198))</f>
        <v>161.91066849998526</v>
      </c>
      <c r="AE199">
        <f>IF(Z198="BUY",AE198*('Data Checks'!E409/'Data Checks'!E408),IF(Z198="SELL",AE198*('Data Checks'!E408/'Data Checks'!E409),AE198))</f>
        <v>200.87492478022958</v>
      </c>
      <c r="AF199">
        <f>IF(AA198="BUY",AF198*('Data Checks'!F409/'Data Checks'!F408),IF(AA198="SELL",AF198*('Data Checks'!F408/'Data Checks'!F409),AF198))</f>
        <v>214.74266552133582</v>
      </c>
      <c r="AG199" s="16">
        <f t="shared" ref="AG199:AG257" si="35">SUM(AB199:AF199)</f>
        <v>941.71215788529844</v>
      </c>
      <c r="AH199" s="17">
        <f t="shared" si="31"/>
        <v>1.2592511472349077E-3</v>
      </c>
      <c r="AJ199" t="str">
        <f>IF('Moving Ave'!G409&gt;'Moving Ave'!L409,"SELL","BUY")</f>
        <v>SELL</v>
      </c>
      <c r="AK199" t="str">
        <f>IF('Moving Ave'!H409&gt;'Moving Ave'!M409,"SELL","BUY")</f>
        <v>BUY</v>
      </c>
      <c r="AL199" t="str">
        <f>IF('Moving Ave'!I409&gt;'Moving Ave'!N409,"SELL","BUY")</f>
        <v>SELL</v>
      </c>
      <c r="AM199" t="str">
        <f>IF('Moving Ave'!J409&gt;'Moving Ave'!O409,"SELL","BUY")</f>
        <v>BUY</v>
      </c>
      <c r="AN199" t="str">
        <f>IF('Moving Ave'!K409&gt;'Moving Ave'!P409,"SELL","BUY")</f>
        <v>BUY</v>
      </c>
      <c r="AO199">
        <f>IF(AJ198="BUY",AO198*('Data Checks'!B409/'Data Checks'!B408),AO198*('Data Checks'!B408/'Data Checks'!B409))</f>
        <v>138.60280551437762</v>
      </c>
      <c r="AP199">
        <f>IF(AK198="BUY",AP198*('Data Checks'!C409/'Data Checks'!C408),AP198*('Data Checks'!C408/'Data Checks'!C409))</f>
        <v>103.47981466801676</v>
      </c>
      <c r="AQ199">
        <f>IF(AL198="BUY",AQ198*('Data Checks'!D409/'Data Checks'!D408),AQ198*('Data Checks'!D408/'Data Checks'!D409))</f>
        <v>295.98129152563376</v>
      </c>
      <c r="AR199">
        <f>IF(AM198="BUY",AR198*('Data Checks'!E409/'Data Checks'!E408),AR198*('Data Checks'!E408/'Data Checks'!E409))</f>
        <v>85.671239180741892</v>
      </c>
      <c r="AS199">
        <f>IF(AN198="BUY",AS198*('Data Checks'!F409/'Data Checks'!F408),AS198*('Data Checks'!F408/'Data Checks'!F409))</f>
        <v>210.61080963068088</v>
      </c>
      <c r="AT199" s="16">
        <f t="shared" ref="AT199:AT257" si="36">SUM(AO199:AS199)</f>
        <v>834.34596051945095</v>
      </c>
      <c r="AU199" s="17">
        <f t="shared" si="32"/>
        <v>-1.3826495426527585E-2</v>
      </c>
    </row>
    <row r="200" spans="1:47" x14ac:dyDescent="0.35">
      <c r="A200" s="2">
        <f>Prices!A408</f>
        <v>44477</v>
      </c>
      <c r="B200">
        <f>B199*('Data Checks'!B410/'Data Checks'!B409)</f>
        <v>336.19949654533207</v>
      </c>
      <c r="C200">
        <f>C199*('Data Checks'!C410/'Data Checks'!C409)</f>
        <v>103.22580907355383</v>
      </c>
      <c r="D200">
        <f>D199*('Data Checks'!D410/'Data Checks'!D409)</f>
        <v>205.44331617036769</v>
      </c>
      <c r="E200">
        <f>E199*('Data Checks'!E410/'Data Checks'!E409)</f>
        <v>88.516906979681693</v>
      </c>
      <c r="F200">
        <f>F199*('Data Checks'!F410/'Data Checks'!F409)</f>
        <v>140.8679056871899</v>
      </c>
      <c r="G200" s="16">
        <f t="shared" si="33"/>
        <v>874.25343445612521</v>
      </c>
      <c r="H200" s="17">
        <f t="shared" ref="H200:H257" si="37">G200/G199-1</f>
        <v>3.5800157705001556E-3</v>
      </c>
      <c r="J200" t="str">
        <f>IF(AND('Data Checks'!B410&gt;'Data Checks'!B409,'Data Checks'!B409&gt;'Data Checks'!B408,'Data Checks'!B408&gt;'Data Checks'!B407),"SELL",IF(AND('Data Checks'!B410&lt;'Data Checks'!B409,'Data Checks'!B409&lt;'Data Checks'!B408,'Data Checks'!B408&lt;'Data Checks'!B407),"BUY",""))</f>
        <v/>
      </c>
      <c r="K200" t="str">
        <f>IF(AND('Data Checks'!C410&gt;'Data Checks'!C409,'Data Checks'!C409&gt;'Data Checks'!C408,'Data Checks'!C408&gt;'Data Checks'!C407),"SELL",IF(AND('Data Checks'!C410&lt;'Data Checks'!C409,'Data Checks'!C409&lt;'Data Checks'!C408,'Data Checks'!C408&lt;'Data Checks'!C407),"BUY",""))</f>
        <v/>
      </c>
      <c r="L200" t="str">
        <f>IF(AND('Data Checks'!D410&gt;'Data Checks'!D409,'Data Checks'!D409&gt;'Data Checks'!D408,'Data Checks'!D408&gt;'Data Checks'!D407),"SELL",IF(AND('Data Checks'!D410&lt;'Data Checks'!D409,'Data Checks'!D409&lt;'Data Checks'!D408,'Data Checks'!D408&lt;'Data Checks'!D407),"BUY",""))</f>
        <v/>
      </c>
      <c r="M200" t="str">
        <f>IF(AND('Data Checks'!E410&gt;'Data Checks'!E409,'Data Checks'!E409&gt;'Data Checks'!E408,'Data Checks'!E408&gt;'Data Checks'!E407),"SELL",IF(AND('Data Checks'!E410&lt;'Data Checks'!E409,'Data Checks'!E409&lt;'Data Checks'!E408,'Data Checks'!E408&lt;'Data Checks'!E407),"BUY",""))</f>
        <v/>
      </c>
      <c r="N200" t="str">
        <f>IF(AND('Data Checks'!F410&gt;'Data Checks'!F409,'Data Checks'!F409&gt;'Data Checks'!F408,'Data Checks'!F408&gt;'Data Checks'!F407),"SELL",IF(AND('Data Checks'!F410&lt;'Data Checks'!F409,'Data Checks'!F409&lt;'Data Checks'!F408,'Data Checks'!F408&lt;'Data Checks'!F407),"BUY",""))</f>
        <v/>
      </c>
      <c r="O200">
        <f>IF(J199="BUY",O199*('Data Checks'!B410/'Data Checks'!B409),IF(J199="SELL",O199*('Data Checks'!B409/'Data Checks'!B410),O199))</f>
        <v>237.80748644611435</v>
      </c>
      <c r="P200">
        <f>IF(K199="BUY",P199*('Data Checks'!C410/'Data Checks'!C409),IF(K199="SELL",P199*('Data Checks'!C409/'Data Checks'!C410),P199))</f>
        <v>204.60404715707506</v>
      </c>
      <c r="Q200">
        <f>IF(L199="BUY",Q199*('Data Checks'!D410/'Data Checks'!D409),IF(L199="SELL",Q199*('Data Checks'!D409/'Data Checks'!D410),Q199))</f>
        <v>247.04981068003951</v>
      </c>
      <c r="R200">
        <f>IF(M199="BUY",R199*('Data Checks'!E410/'Data Checks'!E409),IF(M199="SELL",R199*('Data Checks'!E409/'Data Checks'!E410),R199))</f>
        <v>199.12888601582608</v>
      </c>
      <c r="S200">
        <f>IF(N199="BUY",S199*('Data Checks'!F410/'Data Checks'!F409),IF(N199="SELL",S199*('Data Checks'!F409/'Data Checks'!F410),S199))</f>
        <v>186.2694583905396</v>
      </c>
      <c r="T200" s="16">
        <f t="shared" si="34"/>
        <v>1074.8596886895946</v>
      </c>
      <c r="U200" s="17">
        <f t="shared" ref="U200:U257" si="38">T200/T199-1</f>
        <v>4.6746925841367748E-4</v>
      </c>
      <c r="W200" t="str">
        <f>IF(AND('Data Checks'!B410&gt;'Data Checks'!B409,'Data Checks'!B409&gt;'Data Checks'!B408,'Data Checks'!B408&gt;'Data Checks'!B407),"BUY",IF(AND('Data Checks'!B410&lt;'Data Checks'!B409,'Data Checks'!B409&lt;'Data Checks'!B408,'Data Checks'!B408&lt;'Data Checks'!B407),"SELL",""))</f>
        <v/>
      </c>
      <c r="X200" t="str">
        <f>IF(AND('Data Checks'!C410&gt;'Data Checks'!C409,'Data Checks'!C409&gt;'Data Checks'!C408,'Data Checks'!C408&gt;'Data Checks'!C407),"BUY",IF(AND('Data Checks'!C410&lt;'Data Checks'!C409,'Data Checks'!C409&lt;'Data Checks'!C408,'Data Checks'!C408&lt;'Data Checks'!C407),"SELL",""))</f>
        <v/>
      </c>
      <c r="Y200" t="str">
        <f>IF(AND('Data Checks'!D410&gt;'Data Checks'!D409,'Data Checks'!D409&gt;'Data Checks'!D408,'Data Checks'!D408&gt;'Data Checks'!D407),"BUY",IF(AND('Data Checks'!D410&lt;'Data Checks'!D409,'Data Checks'!D409&lt;'Data Checks'!D408,'Data Checks'!D408&lt;'Data Checks'!D407),"SELL",""))</f>
        <v/>
      </c>
      <c r="Z200" t="str">
        <f>IF(AND('Data Checks'!E410&gt;'Data Checks'!E409,'Data Checks'!E409&gt;'Data Checks'!E408,'Data Checks'!E408&gt;'Data Checks'!E407),"BUY",IF(AND('Data Checks'!E410&lt;'Data Checks'!E409,'Data Checks'!E409&lt;'Data Checks'!E408,'Data Checks'!E408&lt;'Data Checks'!E407),"SELL",""))</f>
        <v/>
      </c>
      <c r="AA200" t="str">
        <f>IF(AND('Data Checks'!F410&gt;'Data Checks'!F409,'Data Checks'!F409&gt;'Data Checks'!F408,'Data Checks'!F408&gt;'Data Checks'!F407),"BUY",IF(AND('Data Checks'!F410&lt;'Data Checks'!F409,'Data Checks'!F409&lt;'Data Checks'!F408,'Data Checks'!F408&lt;'Data Checks'!F407),"SELL",""))</f>
        <v/>
      </c>
      <c r="AB200">
        <f>IF(W199="BUY",AB199*('Data Checks'!B410/'Data Checks'!B409),IF(W199="SELL",AB199*('Data Checks'!B409/'Data Checks'!B410),AB199))</f>
        <v>168.20328324299314</v>
      </c>
      <c r="AC200">
        <f>IF(X199="BUY",AC199*('Data Checks'!C410/'Data Checks'!C409),IF(X199="SELL",AC199*('Data Checks'!C409/'Data Checks'!C410),AC199))</f>
        <v>195.49955416713698</v>
      </c>
      <c r="AD200">
        <f>IF(Y199="BUY",AD199*('Data Checks'!D410/'Data Checks'!D409),IF(Y199="SELL",AD199*('Data Checks'!D409/'Data Checks'!D410),AD199))</f>
        <v>161.91066849998526</v>
      </c>
      <c r="AE200">
        <f>IF(Z199="BUY",AE199*('Data Checks'!E410/'Data Checks'!E409),IF(Z199="SELL",AE199*('Data Checks'!E409/'Data Checks'!E410),AE199))</f>
        <v>200.87492478022958</v>
      </c>
      <c r="AF200">
        <f>IF(AA199="BUY",AF199*('Data Checks'!F410/'Data Checks'!F409),IF(AA199="SELL",AF199*('Data Checks'!F409/'Data Checks'!F410),AF199))</f>
        <v>214.74266552133582</v>
      </c>
      <c r="AG200" s="16">
        <f t="shared" si="35"/>
        <v>941.23109621168078</v>
      </c>
      <c r="AH200" s="17">
        <f t="shared" ref="AH200:AH257" si="39">AG200/AG199-1</f>
        <v>-5.1083727611411778E-4</v>
      </c>
      <c r="AJ200" t="str">
        <f>IF('Moving Ave'!G410&gt;'Moving Ave'!L410,"SELL","BUY")</f>
        <v>SELL</v>
      </c>
      <c r="AK200" t="str">
        <f>IF('Moving Ave'!H410&gt;'Moving Ave'!M410,"SELL","BUY")</f>
        <v>BUY</v>
      </c>
      <c r="AL200" t="str">
        <f>IF('Moving Ave'!I410&gt;'Moving Ave'!N410,"SELL","BUY")</f>
        <v>SELL</v>
      </c>
      <c r="AM200" t="str">
        <f>IF('Moving Ave'!J410&gt;'Moving Ave'!O410,"SELL","BUY")</f>
        <v>BUY</v>
      </c>
      <c r="AN200" t="str">
        <f>IF('Moving Ave'!K410&gt;'Moving Ave'!P410,"SELL","BUY")</f>
        <v>BUY</v>
      </c>
      <c r="AO200">
        <f>IF(AJ199="BUY",AO199*('Data Checks'!B410/'Data Checks'!B409),AO199*('Data Checks'!B409/'Data Checks'!B410))</f>
        <v>138.82609097936015</v>
      </c>
      <c r="AP200">
        <f>IF(AK199="BUY",AP199*('Data Checks'!C410/'Data Checks'!C409),AP199*('Data Checks'!C409/'Data Checks'!C410))</f>
        <v>103.22580907355383</v>
      </c>
      <c r="AQ200">
        <f>IF(AL199="BUY",AQ199*('Data Checks'!D410/'Data Checks'!D409),AQ199*('Data Checks'!D409/'Data Checks'!D410))</f>
        <v>294.4417317514642</v>
      </c>
      <c r="AR200">
        <f>IF(AM199="BUY",AR199*('Data Checks'!E410/'Data Checks'!E409),AR199*('Data Checks'!E409/'Data Checks'!E410))</f>
        <v>88.516906979681693</v>
      </c>
      <c r="AS200">
        <f>IF(AN199="BUY",AS199*('Data Checks'!F410/'Data Checks'!F409),AS199*('Data Checks'!F409/'Data Checks'!F410))</f>
        <v>210.61080963068088</v>
      </c>
      <c r="AT200" s="16">
        <f t="shared" si="36"/>
        <v>835.62134841474085</v>
      </c>
      <c r="AU200" s="17">
        <f t="shared" ref="AU200:AU257" si="40">AT200/AT199-1</f>
        <v>1.5286079823479959E-3</v>
      </c>
    </row>
    <row r="201" spans="1:47" x14ac:dyDescent="0.35">
      <c r="A201" s="2">
        <f>Prices!A409</f>
        <v>44478</v>
      </c>
      <c r="B201">
        <f>B200*('Data Checks'!B411/'Data Checks'!B410)</f>
        <v>346.32587654266416</v>
      </c>
      <c r="C201">
        <f>C200*('Data Checks'!C411/'Data Checks'!C410)</f>
        <v>102.26060203862352</v>
      </c>
      <c r="D201">
        <f>D200*('Data Checks'!D411/'Data Checks'!D410)</f>
        <v>207.34680593332462</v>
      </c>
      <c r="E201">
        <f>E200*('Data Checks'!E411/'Data Checks'!E410)</f>
        <v>89.253428548596276</v>
      </c>
      <c r="F201">
        <f>F200*('Data Checks'!F411/'Data Checks'!F410)</f>
        <v>141.01097578937976</v>
      </c>
      <c r="G201" s="16">
        <f t="shared" si="33"/>
        <v>886.19768885258827</v>
      </c>
      <c r="H201" s="17">
        <f t="shared" si="37"/>
        <v>1.3662233313265215E-2</v>
      </c>
      <c r="J201" t="str">
        <f>IF(AND('Data Checks'!B411&gt;'Data Checks'!B410,'Data Checks'!B410&gt;'Data Checks'!B409,'Data Checks'!B409&gt;'Data Checks'!B408),"SELL",IF(AND('Data Checks'!B411&lt;'Data Checks'!B410,'Data Checks'!B410&lt;'Data Checks'!B409,'Data Checks'!B409&lt;'Data Checks'!B408),"BUY",""))</f>
        <v/>
      </c>
      <c r="K201" t="str">
        <f>IF(AND('Data Checks'!C411&gt;'Data Checks'!C410,'Data Checks'!C410&gt;'Data Checks'!C409,'Data Checks'!C409&gt;'Data Checks'!C408),"SELL",IF(AND('Data Checks'!C411&lt;'Data Checks'!C410,'Data Checks'!C410&lt;'Data Checks'!C409,'Data Checks'!C409&lt;'Data Checks'!C408),"BUY",""))</f>
        <v/>
      </c>
      <c r="L201" t="str">
        <f>IF(AND('Data Checks'!D411&gt;'Data Checks'!D410,'Data Checks'!D410&gt;'Data Checks'!D409,'Data Checks'!D409&gt;'Data Checks'!D408),"SELL",IF(AND('Data Checks'!D411&lt;'Data Checks'!D410,'Data Checks'!D410&lt;'Data Checks'!D409,'Data Checks'!D409&lt;'Data Checks'!D408),"BUY",""))</f>
        <v>SELL</v>
      </c>
      <c r="M201" t="str">
        <f>IF(AND('Data Checks'!E411&gt;'Data Checks'!E410,'Data Checks'!E410&gt;'Data Checks'!E409,'Data Checks'!E409&gt;'Data Checks'!E408),"SELL",IF(AND('Data Checks'!E411&lt;'Data Checks'!E410,'Data Checks'!E410&lt;'Data Checks'!E409,'Data Checks'!E409&lt;'Data Checks'!E408),"BUY",""))</f>
        <v>SELL</v>
      </c>
      <c r="N201" t="str">
        <f>IF(AND('Data Checks'!F411&gt;'Data Checks'!F410,'Data Checks'!F410&gt;'Data Checks'!F409,'Data Checks'!F409&gt;'Data Checks'!F408),"SELL",IF(AND('Data Checks'!F411&lt;'Data Checks'!F410,'Data Checks'!F410&lt;'Data Checks'!F409,'Data Checks'!F409&lt;'Data Checks'!F408),"BUY",""))</f>
        <v/>
      </c>
      <c r="O201">
        <f>IF(J200="BUY",O200*('Data Checks'!B411/'Data Checks'!B410),IF(J200="SELL",O200*('Data Checks'!B410/'Data Checks'!B411),O200))</f>
        <v>237.80748644611435</v>
      </c>
      <c r="P201">
        <f>IF(K200="BUY",P200*('Data Checks'!C411/'Data Checks'!C410),IF(K200="SELL",P200*('Data Checks'!C410/'Data Checks'!C411),P200))</f>
        <v>204.60404715707506</v>
      </c>
      <c r="Q201">
        <f>IF(L200="BUY",Q200*('Data Checks'!D411/'Data Checks'!D410),IF(L200="SELL",Q200*('Data Checks'!D410/'Data Checks'!D411),Q200))</f>
        <v>247.04981068003951</v>
      </c>
      <c r="R201">
        <f>IF(M200="BUY",R200*('Data Checks'!E411/'Data Checks'!E410),IF(M200="SELL",R200*('Data Checks'!E410/'Data Checks'!E411),R200))</f>
        <v>199.12888601582608</v>
      </c>
      <c r="S201">
        <f>IF(N200="BUY",S200*('Data Checks'!F411/'Data Checks'!F410),IF(N200="SELL",S200*('Data Checks'!F410/'Data Checks'!F411),S200))</f>
        <v>186.2694583905396</v>
      </c>
      <c r="T201" s="16">
        <f t="shared" si="34"/>
        <v>1074.8596886895946</v>
      </c>
      <c r="U201" s="17">
        <f t="shared" si="38"/>
        <v>0</v>
      </c>
      <c r="W201" t="str">
        <f>IF(AND('Data Checks'!B411&gt;'Data Checks'!B410,'Data Checks'!B410&gt;'Data Checks'!B409,'Data Checks'!B409&gt;'Data Checks'!B408),"BUY",IF(AND('Data Checks'!B411&lt;'Data Checks'!B410,'Data Checks'!B410&lt;'Data Checks'!B409,'Data Checks'!B409&lt;'Data Checks'!B408),"SELL",""))</f>
        <v/>
      </c>
      <c r="X201" t="str">
        <f>IF(AND('Data Checks'!C411&gt;'Data Checks'!C410,'Data Checks'!C410&gt;'Data Checks'!C409,'Data Checks'!C409&gt;'Data Checks'!C408),"BUY",IF(AND('Data Checks'!C411&lt;'Data Checks'!C410,'Data Checks'!C410&lt;'Data Checks'!C409,'Data Checks'!C409&lt;'Data Checks'!C408),"SELL",""))</f>
        <v/>
      </c>
      <c r="Y201" t="str">
        <f>IF(AND('Data Checks'!D411&gt;'Data Checks'!D410,'Data Checks'!D410&gt;'Data Checks'!D409,'Data Checks'!D409&gt;'Data Checks'!D408),"BUY",IF(AND('Data Checks'!D411&lt;'Data Checks'!D410,'Data Checks'!D410&lt;'Data Checks'!D409,'Data Checks'!D409&lt;'Data Checks'!D408),"SELL",""))</f>
        <v>BUY</v>
      </c>
      <c r="Z201" t="str">
        <f>IF(AND('Data Checks'!E411&gt;'Data Checks'!E410,'Data Checks'!E410&gt;'Data Checks'!E409,'Data Checks'!E409&gt;'Data Checks'!E408),"BUY",IF(AND('Data Checks'!E411&lt;'Data Checks'!E410,'Data Checks'!E410&lt;'Data Checks'!E409,'Data Checks'!E409&lt;'Data Checks'!E408),"SELL",""))</f>
        <v>BUY</v>
      </c>
      <c r="AA201" t="str">
        <f>IF(AND('Data Checks'!F411&gt;'Data Checks'!F410,'Data Checks'!F410&gt;'Data Checks'!F409,'Data Checks'!F409&gt;'Data Checks'!F408),"BUY",IF(AND('Data Checks'!F411&lt;'Data Checks'!F410,'Data Checks'!F410&lt;'Data Checks'!F409,'Data Checks'!F409&lt;'Data Checks'!F408),"SELL",""))</f>
        <v/>
      </c>
      <c r="AB201">
        <f>IF(W200="BUY",AB200*('Data Checks'!B411/'Data Checks'!B410),IF(W200="SELL",AB200*('Data Checks'!B410/'Data Checks'!B411),AB200))</f>
        <v>168.20328324299314</v>
      </c>
      <c r="AC201">
        <f>IF(X200="BUY",AC200*('Data Checks'!C411/'Data Checks'!C410),IF(X200="SELL",AC200*('Data Checks'!C410/'Data Checks'!C411),AC200))</f>
        <v>195.49955416713698</v>
      </c>
      <c r="AD201">
        <f>IF(Y200="BUY",AD200*('Data Checks'!D411/'Data Checks'!D410),IF(Y200="SELL",AD200*('Data Checks'!D410/'Data Checks'!D411),AD200))</f>
        <v>161.91066849998526</v>
      </c>
      <c r="AE201">
        <f>IF(Z200="BUY",AE200*('Data Checks'!E411/'Data Checks'!E410),IF(Z200="SELL",AE200*('Data Checks'!E410/'Data Checks'!E411),AE200))</f>
        <v>200.87492478022958</v>
      </c>
      <c r="AF201">
        <f>IF(AA200="BUY",AF200*('Data Checks'!F411/'Data Checks'!F410),IF(AA200="SELL",AF200*('Data Checks'!F410/'Data Checks'!F411),AF200))</f>
        <v>214.74266552133582</v>
      </c>
      <c r="AG201" s="16">
        <f t="shared" si="35"/>
        <v>941.23109621168078</v>
      </c>
      <c r="AH201" s="17">
        <f t="shared" si="39"/>
        <v>0</v>
      </c>
      <c r="AJ201" t="str">
        <f>IF('Moving Ave'!G411&gt;'Moving Ave'!L411,"SELL","BUY")</f>
        <v>SELL</v>
      </c>
      <c r="AK201" t="str">
        <f>IF('Moving Ave'!H411&gt;'Moving Ave'!M411,"SELL","BUY")</f>
        <v>BUY</v>
      </c>
      <c r="AL201" t="str">
        <f>IF('Moving Ave'!I411&gt;'Moving Ave'!N411,"SELL","BUY")</f>
        <v>SELL</v>
      </c>
      <c r="AM201" t="str">
        <f>IF('Moving Ave'!J411&gt;'Moving Ave'!O411,"SELL","BUY")</f>
        <v>BUY</v>
      </c>
      <c r="AN201" t="str">
        <f>IF('Moving Ave'!K411&gt;'Moving Ave'!P411,"SELL","BUY")</f>
        <v>BUY</v>
      </c>
      <c r="AO201">
        <f>IF(AJ200="BUY",AO200*('Data Checks'!B411/'Data Checks'!B410),AO200*('Data Checks'!B410/'Data Checks'!B411))</f>
        <v>134.76689169331428</v>
      </c>
      <c r="AP201">
        <f>IF(AK200="BUY",AP200*('Data Checks'!C411/'Data Checks'!C410),AP200*('Data Checks'!C410/'Data Checks'!C411))</f>
        <v>102.26060203862352</v>
      </c>
      <c r="AQ201">
        <f>IF(AL200="BUY",AQ200*('Data Checks'!D411/'Data Checks'!D410),AQ200*('Data Checks'!D410/'Data Checks'!D411))</f>
        <v>291.73869121195168</v>
      </c>
      <c r="AR201">
        <f>IF(AM200="BUY",AR200*('Data Checks'!E411/'Data Checks'!E410),AR200*('Data Checks'!E410/'Data Checks'!E411))</f>
        <v>89.253428548596276</v>
      </c>
      <c r="AS201">
        <f>IF(AN200="BUY",AS200*('Data Checks'!F411/'Data Checks'!F410),AS200*('Data Checks'!F410/'Data Checks'!F411))</f>
        <v>210.82471293185623</v>
      </c>
      <c r="AT201" s="16">
        <f t="shared" si="36"/>
        <v>828.84432642434194</v>
      </c>
      <c r="AU201" s="17">
        <f t="shared" si="40"/>
        <v>-8.1101589891828807E-3</v>
      </c>
    </row>
    <row r="202" spans="1:47" x14ac:dyDescent="0.35">
      <c r="A202" s="2">
        <f>Prices!A410</f>
        <v>44481</v>
      </c>
      <c r="B202">
        <f>B201*('Data Checks'!B412/'Data Checks'!B411)</f>
        <v>362.79365375949772</v>
      </c>
      <c r="C202">
        <f>C201*('Data Checks'!C412/'Data Checks'!C411)</f>
        <v>102.87020835332014</v>
      </c>
      <c r="D202">
        <f>D201*('Data Checks'!D412/'Data Checks'!D411)</f>
        <v>206.01102030407455</v>
      </c>
      <c r="E202">
        <f>E201*('Data Checks'!E412/'Data Checks'!E411)</f>
        <v>88.048202609701931</v>
      </c>
      <c r="F202">
        <f>F201*('Data Checks'!F412/'Data Checks'!F411)</f>
        <v>141.44015748364558</v>
      </c>
      <c r="G202" s="16">
        <f t="shared" si="33"/>
        <v>901.1632425102398</v>
      </c>
      <c r="H202" s="17">
        <f t="shared" si="37"/>
        <v>1.6887376085383821E-2</v>
      </c>
      <c r="J202" t="str">
        <f>IF(AND('Data Checks'!B412&gt;'Data Checks'!B411,'Data Checks'!B411&gt;'Data Checks'!B410,'Data Checks'!B410&gt;'Data Checks'!B409),"SELL",IF(AND('Data Checks'!B412&lt;'Data Checks'!B411,'Data Checks'!B411&lt;'Data Checks'!B410,'Data Checks'!B410&lt;'Data Checks'!B409),"BUY",""))</f>
        <v/>
      </c>
      <c r="K202" t="str">
        <f>IF(AND('Data Checks'!C412&gt;'Data Checks'!C411,'Data Checks'!C411&gt;'Data Checks'!C410,'Data Checks'!C410&gt;'Data Checks'!C409),"SELL",IF(AND('Data Checks'!C412&lt;'Data Checks'!C411,'Data Checks'!C411&lt;'Data Checks'!C410,'Data Checks'!C410&lt;'Data Checks'!C409),"BUY",""))</f>
        <v/>
      </c>
      <c r="L202" t="str">
        <f>IF(AND('Data Checks'!D412&gt;'Data Checks'!D411,'Data Checks'!D411&gt;'Data Checks'!D410,'Data Checks'!D410&gt;'Data Checks'!D409),"SELL",IF(AND('Data Checks'!D412&lt;'Data Checks'!D411,'Data Checks'!D411&lt;'Data Checks'!D410,'Data Checks'!D410&lt;'Data Checks'!D409),"BUY",""))</f>
        <v/>
      </c>
      <c r="M202" t="str">
        <f>IF(AND('Data Checks'!E412&gt;'Data Checks'!E411,'Data Checks'!E411&gt;'Data Checks'!E410,'Data Checks'!E410&gt;'Data Checks'!E409),"SELL",IF(AND('Data Checks'!E412&lt;'Data Checks'!E411,'Data Checks'!E411&lt;'Data Checks'!E410,'Data Checks'!E410&lt;'Data Checks'!E409),"BUY",""))</f>
        <v/>
      </c>
      <c r="N202" t="str">
        <f>IF(AND('Data Checks'!F412&gt;'Data Checks'!F411,'Data Checks'!F411&gt;'Data Checks'!F410,'Data Checks'!F410&gt;'Data Checks'!F409),"SELL",IF(AND('Data Checks'!F412&lt;'Data Checks'!F411,'Data Checks'!F411&lt;'Data Checks'!F410,'Data Checks'!F410&lt;'Data Checks'!F409),"BUY",""))</f>
        <v/>
      </c>
      <c r="O202">
        <f>IF(J201="BUY",O201*('Data Checks'!B412/'Data Checks'!B411),IF(J201="SELL",O201*('Data Checks'!B411/'Data Checks'!B412),O201))</f>
        <v>237.80748644611435</v>
      </c>
      <c r="P202">
        <f>IF(K201="BUY",P201*('Data Checks'!C412/'Data Checks'!C411),IF(K201="SELL",P201*('Data Checks'!C411/'Data Checks'!C412),P201))</f>
        <v>204.60404715707506</v>
      </c>
      <c r="Q202">
        <f>IF(L201="BUY",Q201*('Data Checks'!D412/'Data Checks'!D411),IF(L201="SELL",Q201*('Data Checks'!D411/'Data Checks'!D412),Q201))</f>
        <v>248.65169385273705</v>
      </c>
      <c r="R202">
        <f>IF(M201="BUY",R201*('Data Checks'!E412/'Data Checks'!E411),IF(M201="SELL",R201*('Data Checks'!E411/'Data Checks'!E412),R201))</f>
        <v>201.85461228275801</v>
      </c>
      <c r="S202">
        <f>IF(N201="BUY",S201*('Data Checks'!F412/'Data Checks'!F411),IF(N201="SELL",S201*('Data Checks'!F411/'Data Checks'!F412),S201))</f>
        <v>186.2694583905396</v>
      </c>
      <c r="T202" s="16">
        <f t="shared" si="34"/>
        <v>1079.187298129224</v>
      </c>
      <c r="U202" s="17">
        <f t="shared" si="38"/>
        <v>4.0262087090692233E-3</v>
      </c>
      <c r="W202" t="str">
        <f>IF(AND('Data Checks'!B412&gt;'Data Checks'!B411,'Data Checks'!B411&gt;'Data Checks'!B410,'Data Checks'!B410&gt;'Data Checks'!B409),"BUY",IF(AND('Data Checks'!B412&lt;'Data Checks'!B411,'Data Checks'!B411&lt;'Data Checks'!B410,'Data Checks'!B410&lt;'Data Checks'!B409),"SELL",""))</f>
        <v/>
      </c>
      <c r="X202" t="str">
        <f>IF(AND('Data Checks'!C412&gt;'Data Checks'!C411,'Data Checks'!C411&gt;'Data Checks'!C410,'Data Checks'!C410&gt;'Data Checks'!C409),"BUY",IF(AND('Data Checks'!C412&lt;'Data Checks'!C411,'Data Checks'!C411&lt;'Data Checks'!C410,'Data Checks'!C410&lt;'Data Checks'!C409),"SELL",""))</f>
        <v/>
      </c>
      <c r="Y202" t="str">
        <f>IF(AND('Data Checks'!D412&gt;'Data Checks'!D411,'Data Checks'!D411&gt;'Data Checks'!D410,'Data Checks'!D410&gt;'Data Checks'!D409),"BUY",IF(AND('Data Checks'!D412&lt;'Data Checks'!D411,'Data Checks'!D411&lt;'Data Checks'!D410,'Data Checks'!D410&lt;'Data Checks'!D409),"SELL",""))</f>
        <v/>
      </c>
      <c r="Z202" t="str">
        <f>IF(AND('Data Checks'!E412&gt;'Data Checks'!E411,'Data Checks'!E411&gt;'Data Checks'!E410,'Data Checks'!E410&gt;'Data Checks'!E409),"BUY",IF(AND('Data Checks'!E412&lt;'Data Checks'!E411,'Data Checks'!E411&lt;'Data Checks'!E410,'Data Checks'!E410&lt;'Data Checks'!E409),"SELL",""))</f>
        <v/>
      </c>
      <c r="AA202" t="str">
        <f>IF(AND('Data Checks'!F412&gt;'Data Checks'!F411,'Data Checks'!F411&gt;'Data Checks'!F410,'Data Checks'!F410&gt;'Data Checks'!F409),"BUY",IF(AND('Data Checks'!F412&lt;'Data Checks'!F411,'Data Checks'!F411&lt;'Data Checks'!F410,'Data Checks'!F410&lt;'Data Checks'!F409),"SELL",""))</f>
        <v/>
      </c>
      <c r="AB202">
        <f>IF(W201="BUY",AB201*('Data Checks'!B412/'Data Checks'!B411),IF(W201="SELL",AB201*('Data Checks'!B411/'Data Checks'!B412),AB201))</f>
        <v>168.20328324299314</v>
      </c>
      <c r="AC202">
        <f>IF(X201="BUY",AC201*('Data Checks'!C412/'Data Checks'!C411),IF(X201="SELL",AC201*('Data Checks'!C411/'Data Checks'!C412),AC201))</f>
        <v>195.49955416713698</v>
      </c>
      <c r="AD202">
        <f>IF(Y201="BUY",AD201*('Data Checks'!D412/'Data Checks'!D411),IF(Y201="SELL",AD201*('Data Checks'!D411/'Data Checks'!D412),AD201))</f>
        <v>160.8675950693094</v>
      </c>
      <c r="AE202">
        <f>IF(Z201="BUY",AE201*('Data Checks'!E412/'Data Checks'!E411),IF(Z201="SELL",AE201*('Data Checks'!E411/'Data Checks'!E412),AE201))</f>
        <v>198.16242763860137</v>
      </c>
      <c r="AF202">
        <f>IF(AA201="BUY",AF201*('Data Checks'!F412/'Data Checks'!F411),IF(AA201="SELL",AF201*('Data Checks'!F411/'Data Checks'!F412),AF201))</f>
        <v>214.74266552133582</v>
      </c>
      <c r="AG202" s="16">
        <f t="shared" si="35"/>
        <v>937.47552563937666</v>
      </c>
      <c r="AH202" s="17">
        <f t="shared" si="39"/>
        <v>-3.9900621509635359E-3</v>
      </c>
      <c r="AJ202" t="str">
        <f>IF('Moving Ave'!G412&gt;'Moving Ave'!L412,"SELL","BUY")</f>
        <v>SELL</v>
      </c>
      <c r="AK202" t="str">
        <f>IF('Moving Ave'!H412&gt;'Moving Ave'!M412,"SELL","BUY")</f>
        <v>BUY</v>
      </c>
      <c r="AL202" t="str">
        <f>IF('Moving Ave'!I412&gt;'Moving Ave'!N412,"SELL","BUY")</f>
        <v>SELL</v>
      </c>
      <c r="AM202" t="str">
        <f>IF('Moving Ave'!J412&gt;'Moving Ave'!O412,"SELL","BUY")</f>
        <v>BUY</v>
      </c>
      <c r="AN202" t="str">
        <f>IF('Moving Ave'!K412&gt;'Moving Ave'!P412,"SELL","BUY")</f>
        <v>BUY</v>
      </c>
      <c r="AO202">
        <f>IF(AJ201="BUY",AO201*('Data Checks'!B412/'Data Checks'!B411),AO201*('Data Checks'!B411/'Data Checks'!B412))</f>
        <v>128.64960952585426</v>
      </c>
      <c r="AP202">
        <f>IF(AK201="BUY",AP201*('Data Checks'!C412/'Data Checks'!C411),AP201*('Data Checks'!C411/'Data Checks'!C412))</f>
        <v>102.87020835332014</v>
      </c>
      <c r="AQ202">
        <f>IF(AL201="BUY",AQ201*('Data Checks'!D412/'Data Checks'!D411),AQ201*('Data Checks'!D411/'Data Checks'!D412))</f>
        <v>293.630339292923</v>
      </c>
      <c r="AR202">
        <f>IF(AM201="BUY",AR201*('Data Checks'!E412/'Data Checks'!E411),AR201*('Data Checks'!E411/'Data Checks'!E412))</f>
        <v>88.048202609701931</v>
      </c>
      <c r="AS202">
        <f>IF(AN201="BUY",AS201*('Data Checks'!F412/'Data Checks'!F411),AS201*('Data Checks'!F411/'Data Checks'!F412))</f>
        <v>211.46638005728872</v>
      </c>
      <c r="AT202" s="16">
        <f t="shared" si="36"/>
        <v>824.66473983908793</v>
      </c>
      <c r="AU202" s="17">
        <f t="shared" si="40"/>
        <v>-5.0426677869472858E-3</v>
      </c>
    </row>
    <row r="203" spans="1:47" x14ac:dyDescent="0.35">
      <c r="A203" s="2">
        <f>Prices!A411</f>
        <v>44482</v>
      </c>
      <c r="B203">
        <f>B202*('Data Checks'!B413/'Data Checks'!B412)</f>
        <v>362.86741006176294</v>
      </c>
      <c r="C203">
        <f>C202*('Data Checks'!C413/'Data Checks'!C412)</f>
        <v>100.43180341457477</v>
      </c>
      <c r="D203">
        <f>D202*('Data Checks'!D413/'Data Checks'!D412)</f>
        <v>203.94056109434908</v>
      </c>
      <c r="E203">
        <f>E202*('Data Checks'!E413/'Data Checks'!E412)</f>
        <v>86.441242502804045</v>
      </c>
      <c r="F203">
        <f>F202*('Data Checks'!F413/'Data Checks'!F412)</f>
        <v>136.76680596232913</v>
      </c>
      <c r="G203" s="16">
        <f t="shared" si="33"/>
        <v>890.44782303581997</v>
      </c>
      <c r="H203" s="17">
        <f t="shared" si="37"/>
        <v>-1.1890653068107215E-2</v>
      </c>
      <c r="J203" t="str">
        <f>IF(AND('Data Checks'!B413&gt;'Data Checks'!B412,'Data Checks'!B412&gt;'Data Checks'!B411,'Data Checks'!B411&gt;'Data Checks'!B410),"SELL",IF(AND('Data Checks'!B413&lt;'Data Checks'!B412,'Data Checks'!B412&lt;'Data Checks'!B411,'Data Checks'!B411&lt;'Data Checks'!B410),"BUY",""))</f>
        <v>SELL</v>
      </c>
      <c r="K203" t="str">
        <f>IF(AND('Data Checks'!C413&gt;'Data Checks'!C412,'Data Checks'!C412&gt;'Data Checks'!C411,'Data Checks'!C411&gt;'Data Checks'!C410),"SELL",IF(AND('Data Checks'!C413&lt;'Data Checks'!C412,'Data Checks'!C412&lt;'Data Checks'!C411,'Data Checks'!C411&lt;'Data Checks'!C410),"BUY",""))</f>
        <v/>
      </c>
      <c r="L203" t="str">
        <f>IF(AND('Data Checks'!D413&gt;'Data Checks'!D412,'Data Checks'!D412&gt;'Data Checks'!D411,'Data Checks'!D411&gt;'Data Checks'!D410),"SELL",IF(AND('Data Checks'!D413&lt;'Data Checks'!D412,'Data Checks'!D412&lt;'Data Checks'!D411,'Data Checks'!D411&lt;'Data Checks'!D410),"BUY",""))</f>
        <v/>
      </c>
      <c r="M203" t="str">
        <f>IF(AND('Data Checks'!E413&gt;'Data Checks'!E412,'Data Checks'!E412&gt;'Data Checks'!E411,'Data Checks'!E411&gt;'Data Checks'!E410),"SELL",IF(AND('Data Checks'!E413&lt;'Data Checks'!E412,'Data Checks'!E412&lt;'Data Checks'!E411,'Data Checks'!E411&lt;'Data Checks'!E410),"BUY",""))</f>
        <v/>
      </c>
      <c r="N203" t="str">
        <f>IF(AND('Data Checks'!F413&gt;'Data Checks'!F412,'Data Checks'!F412&gt;'Data Checks'!F411,'Data Checks'!F411&gt;'Data Checks'!F410),"SELL",IF(AND('Data Checks'!F413&lt;'Data Checks'!F412,'Data Checks'!F412&lt;'Data Checks'!F411,'Data Checks'!F411&lt;'Data Checks'!F410),"BUY",""))</f>
        <v/>
      </c>
      <c r="O203">
        <f>IF(J202="BUY",O202*('Data Checks'!B413/'Data Checks'!B412),IF(J202="SELL",O202*('Data Checks'!B412/'Data Checks'!B413),O202))</f>
        <v>237.80748644611435</v>
      </c>
      <c r="P203">
        <f>IF(K202="BUY",P202*('Data Checks'!C413/'Data Checks'!C412),IF(K202="SELL",P202*('Data Checks'!C412/'Data Checks'!C413),P202))</f>
        <v>204.60404715707506</v>
      </c>
      <c r="Q203">
        <f>IF(L202="BUY",Q202*('Data Checks'!D413/'Data Checks'!D412),IF(L202="SELL",Q202*('Data Checks'!D412/'Data Checks'!D413),Q202))</f>
        <v>248.65169385273705</v>
      </c>
      <c r="R203">
        <f>IF(M202="BUY",R202*('Data Checks'!E413/'Data Checks'!E412),IF(M202="SELL",R202*('Data Checks'!E412/'Data Checks'!E413),R202))</f>
        <v>201.85461228275801</v>
      </c>
      <c r="S203">
        <f>IF(N202="BUY",S202*('Data Checks'!F413/'Data Checks'!F412),IF(N202="SELL",S202*('Data Checks'!F412/'Data Checks'!F413),S202))</f>
        <v>186.2694583905396</v>
      </c>
      <c r="T203" s="16">
        <f t="shared" si="34"/>
        <v>1079.187298129224</v>
      </c>
      <c r="U203" s="17">
        <f t="shared" si="38"/>
        <v>0</v>
      </c>
      <c r="W203" t="str">
        <f>IF(AND('Data Checks'!B413&gt;'Data Checks'!B412,'Data Checks'!B412&gt;'Data Checks'!B411,'Data Checks'!B411&gt;'Data Checks'!B410),"BUY",IF(AND('Data Checks'!B413&lt;'Data Checks'!B412,'Data Checks'!B412&lt;'Data Checks'!B411,'Data Checks'!B411&lt;'Data Checks'!B410),"SELL",""))</f>
        <v>BUY</v>
      </c>
      <c r="X203" t="str">
        <f>IF(AND('Data Checks'!C413&gt;'Data Checks'!C412,'Data Checks'!C412&gt;'Data Checks'!C411,'Data Checks'!C411&gt;'Data Checks'!C410),"BUY",IF(AND('Data Checks'!C413&lt;'Data Checks'!C412,'Data Checks'!C412&lt;'Data Checks'!C411,'Data Checks'!C411&lt;'Data Checks'!C410),"SELL",""))</f>
        <v/>
      </c>
      <c r="Y203" t="str">
        <f>IF(AND('Data Checks'!D413&gt;'Data Checks'!D412,'Data Checks'!D412&gt;'Data Checks'!D411,'Data Checks'!D411&gt;'Data Checks'!D410),"BUY",IF(AND('Data Checks'!D413&lt;'Data Checks'!D412,'Data Checks'!D412&lt;'Data Checks'!D411,'Data Checks'!D411&lt;'Data Checks'!D410),"SELL",""))</f>
        <v/>
      </c>
      <c r="Z203" t="str">
        <f>IF(AND('Data Checks'!E413&gt;'Data Checks'!E412,'Data Checks'!E412&gt;'Data Checks'!E411,'Data Checks'!E411&gt;'Data Checks'!E410),"BUY",IF(AND('Data Checks'!E413&lt;'Data Checks'!E412,'Data Checks'!E412&lt;'Data Checks'!E411,'Data Checks'!E411&lt;'Data Checks'!E410),"SELL",""))</f>
        <v/>
      </c>
      <c r="AA203" t="str">
        <f>IF(AND('Data Checks'!F413&gt;'Data Checks'!F412,'Data Checks'!F412&gt;'Data Checks'!F411,'Data Checks'!F411&gt;'Data Checks'!F410),"BUY",IF(AND('Data Checks'!F413&lt;'Data Checks'!F412,'Data Checks'!F412&lt;'Data Checks'!F411,'Data Checks'!F411&lt;'Data Checks'!F410),"SELL",""))</f>
        <v/>
      </c>
      <c r="AB203">
        <f>IF(W202="BUY",AB202*('Data Checks'!B413/'Data Checks'!B412),IF(W202="SELL",AB202*('Data Checks'!B412/'Data Checks'!B413),AB202))</f>
        <v>168.20328324299314</v>
      </c>
      <c r="AC203">
        <f>IF(X202="BUY",AC202*('Data Checks'!C413/'Data Checks'!C412),IF(X202="SELL",AC202*('Data Checks'!C412/'Data Checks'!C413),AC202))</f>
        <v>195.49955416713698</v>
      </c>
      <c r="AD203">
        <f>IF(Y202="BUY",AD202*('Data Checks'!D413/'Data Checks'!D412),IF(Y202="SELL",AD202*('Data Checks'!D412/'Data Checks'!D413),AD202))</f>
        <v>160.8675950693094</v>
      </c>
      <c r="AE203">
        <f>IF(Z202="BUY",AE202*('Data Checks'!E413/'Data Checks'!E412),IF(Z202="SELL",AE202*('Data Checks'!E412/'Data Checks'!E413),AE202))</f>
        <v>198.16242763860137</v>
      </c>
      <c r="AF203">
        <f>IF(AA202="BUY",AF202*('Data Checks'!F413/'Data Checks'!F412),IF(AA202="SELL",AF202*('Data Checks'!F412/'Data Checks'!F413),AF202))</f>
        <v>214.74266552133582</v>
      </c>
      <c r="AG203" s="16">
        <f t="shared" si="35"/>
        <v>937.47552563937666</v>
      </c>
      <c r="AH203" s="17">
        <f t="shared" si="39"/>
        <v>0</v>
      </c>
      <c r="AJ203" t="str">
        <f>IF('Moving Ave'!G413&gt;'Moving Ave'!L413,"SELL","BUY")</f>
        <v>SELL</v>
      </c>
      <c r="AK203" t="str">
        <f>IF('Moving Ave'!H413&gt;'Moving Ave'!M413,"SELL","BUY")</f>
        <v>BUY</v>
      </c>
      <c r="AL203" t="str">
        <f>IF('Moving Ave'!I413&gt;'Moving Ave'!N413,"SELL","BUY")</f>
        <v>SELL</v>
      </c>
      <c r="AM203" t="str">
        <f>IF('Moving Ave'!J413&gt;'Moving Ave'!O413,"SELL","BUY")</f>
        <v>BUY</v>
      </c>
      <c r="AN203" t="str">
        <f>IF('Moving Ave'!K413&gt;'Moving Ave'!P413,"SELL","BUY")</f>
        <v>BUY</v>
      </c>
      <c r="AO203">
        <f>IF(AJ202="BUY",AO202*('Data Checks'!B413/'Data Checks'!B412),AO202*('Data Checks'!B412/'Data Checks'!B413))</f>
        <v>128.62346025142676</v>
      </c>
      <c r="AP203">
        <f>IF(AK202="BUY",AP202*('Data Checks'!C413/'Data Checks'!C412),AP202*('Data Checks'!C412/'Data Checks'!C413))</f>
        <v>100.43180341457477</v>
      </c>
      <c r="AQ203">
        <f>IF(AL202="BUY",AQ202*('Data Checks'!D413/'Data Checks'!D412),AQ202*('Data Checks'!D412/'Data Checks'!D413))</f>
        <v>296.61135315785293</v>
      </c>
      <c r="AR203">
        <f>IF(AM202="BUY",AR202*('Data Checks'!E413/'Data Checks'!E412),AR202*('Data Checks'!E412/'Data Checks'!E413))</f>
        <v>86.441242502804045</v>
      </c>
      <c r="AS203">
        <f>IF(AN202="BUY",AS202*('Data Checks'!F413/'Data Checks'!F412),AS202*('Data Checks'!F412/'Data Checks'!F413))</f>
        <v>204.47927861078276</v>
      </c>
      <c r="AT203" s="16">
        <f t="shared" si="36"/>
        <v>816.5871379374413</v>
      </c>
      <c r="AU203" s="17">
        <f t="shared" si="40"/>
        <v>-9.7950130658220891E-3</v>
      </c>
    </row>
    <row r="204" spans="1:47" x14ac:dyDescent="0.35">
      <c r="A204" s="2">
        <f>Prices!A412</f>
        <v>44483</v>
      </c>
      <c r="B204">
        <f>B203*('Data Checks'!B414/'Data Checks'!B413)</f>
        <v>354.44596638349697</v>
      </c>
      <c r="C204">
        <f>C203*('Data Checks'!C414/'Data Checks'!C413)</f>
        <v>97.688597858486233</v>
      </c>
      <c r="D204">
        <f>D203*('Data Checks'!D414/'Data Checks'!D413)</f>
        <v>203.70679919363508</v>
      </c>
      <c r="E204">
        <f>E203*('Data Checks'!E414/'Data Checks'!E413)</f>
        <v>86.340810634723425</v>
      </c>
      <c r="F204">
        <f>F203*('Data Checks'!F414/'Data Checks'!F413)</f>
        <v>136.90987606451898</v>
      </c>
      <c r="G204" s="16">
        <f t="shared" si="33"/>
        <v>879.09205013486076</v>
      </c>
      <c r="H204" s="17">
        <f t="shared" si="37"/>
        <v>-1.2752878503586862E-2</v>
      </c>
      <c r="J204" t="str">
        <f>IF(AND('Data Checks'!B414&gt;'Data Checks'!B413,'Data Checks'!B413&gt;'Data Checks'!B412,'Data Checks'!B412&gt;'Data Checks'!B411),"SELL",IF(AND('Data Checks'!B414&lt;'Data Checks'!B413,'Data Checks'!B413&lt;'Data Checks'!B412,'Data Checks'!B412&lt;'Data Checks'!B411),"BUY",""))</f>
        <v/>
      </c>
      <c r="K204" t="str">
        <f>IF(AND('Data Checks'!C414&gt;'Data Checks'!C413,'Data Checks'!C413&gt;'Data Checks'!C412,'Data Checks'!C412&gt;'Data Checks'!C411),"SELL",IF(AND('Data Checks'!C414&lt;'Data Checks'!C413,'Data Checks'!C413&lt;'Data Checks'!C412,'Data Checks'!C412&lt;'Data Checks'!C411),"BUY",""))</f>
        <v/>
      </c>
      <c r="L204" t="str">
        <f>IF(AND('Data Checks'!D414&gt;'Data Checks'!D413,'Data Checks'!D413&gt;'Data Checks'!D412,'Data Checks'!D412&gt;'Data Checks'!D411),"SELL",IF(AND('Data Checks'!D414&lt;'Data Checks'!D413,'Data Checks'!D413&lt;'Data Checks'!D412,'Data Checks'!D412&lt;'Data Checks'!D411),"BUY",""))</f>
        <v>BUY</v>
      </c>
      <c r="M204" t="str">
        <f>IF(AND('Data Checks'!E414&gt;'Data Checks'!E413,'Data Checks'!E413&gt;'Data Checks'!E412,'Data Checks'!E412&gt;'Data Checks'!E411),"SELL",IF(AND('Data Checks'!E414&lt;'Data Checks'!E413,'Data Checks'!E413&lt;'Data Checks'!E412,'Data Checks'!E412&lt;'Data Checks'!E411),"BUY",""))</f>
        <v>BUY</v>
      </c>
      <c r="N204" t="str">
        <f>IF(AND('Data Checks'!F414&gt;'Data Checks'!F413,'Data Checks'!F413&gt;'Data Checks'!F412,'Data Checks'!F412&gt;'Data Checks'!F411),"SELL",IF(AND('Data Checks'!F414&lt;'Data Checks'!F413,'Data Checks'!F413&lt;'Data Checks'!F412,'Data Checks'!F412&lt;'Data Checks'!F411),"BUY",""))</f>
        <v/>
      </c>
      <c r="O204">
        <f>IF(J203="BUY",O203*('Data Checks'!B414/'Data Checks'!B413),IF(J203="SELL",O203*('Data Checks'!B413/'Data Checks'!B414),O203))</f>
        <v>243.45766318196445</v>
      </c>
      <c r="P204">
        <f>IF(K203="BUY",P203*('Data Checks'!C414/'Data Checks'!C413),IF(K203="SELL",P203*('Data Checks'!C413/'Data Checks'!C414),P203))</f>
        <v>204.60404715707506</v>
      </c>
      <c r="Q204">
        <f>IF(L203="BUY",Q203*('Data Checks'!D414/'Data Checks'!D413),IF(L203="SELL",Q203*('Data Checks'!D413/'Data Checks'!D414),Q203))</f>
        <v>248.65169385273705</v>
      </c>
      <c r="R204">
        <f>IF(M203="BUY",R203*('Data Checks'!E414/'Data Checks'!E413),IF(M203="SELL",R203*('Data Checks'!E413/'Data Checks'!E414),R203))</f>
        <v>201.85461228275801</v>
      </c>
      <c r="S204">
        <f>IF(N203="BUY",S203*('Data Checks'!F414/'Data Checks'!F413),IF(N203="SELL",S203*('Data Checks'!F413/'Data Checks'!F414),S203))</f>
        <v>186.2694583905396</v>
      </c>
      <c r="T204" s="16">
        <f t="shared" si="34"/>
        <v>1084.8374748650742</v>
      </c>
      <c r="U204" s="17">
        <f t="shared" si="38"/>
        <v>5.2355849125029774E-3</v>
      </c>
      <c r="W204" t="str">
        <f>IF(AND('Data Checks'!B414&gt;'Data Checks'!B413,'Data Checks'!B413&gt;'Data Checks'!B412,'Data Checks'!B412&gt;'Data Checks'!B411),"BUY",IF(AND('Data Checks'!B414&lt;'Data Checks'!B413,'Data Checks'!B413&lt;'Data Checks'!B412,'Data Checks'!B412&lt;'Data Checks'!B411),"SELL",""))</f>
        <v/>
      </c>
      <c r="X204" t="str">
        <f>IF(AND('Data Checks'!C414&gt;'Data Checks'!C413,'Data Checks'!C413&gt;'Data Checks'!C412,'Data Checks'!C412&gt;'Data Checks'!C411),"BUY",IF(AND('Data Checks'!C414&lt;'Data Checks'!C413,'Data Checks'!C413&lt;'Data Checks'!C412,'Data Checks'!C412&lt;'Data Checks'!C411),"SELL",""))</f>
        <v/>
      </c>
      <c r="Y204" t="str">
        <f>IF(AND('Data Checks'!D414&gt;'Data Checks'!D413,'Data Checks'!D413&gt;'Data Checks'!D412,'Data Checks'!D412&gt;'Data Checks'!D411),"BUY",IF(AND('Data Checks'!D414&lt;'Data Checks'!D413,'Data Checks'!D413&lt;'Data Checks'!D412,'Data Checks'!D412&lt;'Data Checks'!D411),"SELL",""))</f>
        <v>SELL</v>
      </c>
      <c r="Z204" t="str">
        <f>IF(AND('Data Checks'!E414&gt;'Data Checks'!E413,'Data Checks'!E413&gt;'Data Checks'!E412,'Data Checks'!E412&gt;'Data Checks'!E411),"BUY",IF(AND('Data Checks'!E414&lt;'Data Checks'!E413,'Data Checks'!E413&lt;'Data Checks'!E412,'Data Checks'!E412&lt;'Data Checks'!E411),"SELL",""))</f>
        <v>SELL</v>
      </c>
      <c r="AA204" t="str">
        <f>IF(AND('Data Checks'!F414&gt;'Data Checks'!F413,'Data Checks'!F413&gt;'Data Checks'!F412,'Data Checks'!F412&gt;'Data Checks'!F411),"BUY",IF(AND('Data Checks'!F414&lt;'Data Checks'!F413,'Data Checks'!F413&lt;'Data Checks'!F412,'Data Checks'!F412&lt;'Data Checks'!F411),"SELL",""))</f>
        <v/>
      </c>
      <c r="AB204">
        <f>IF(W203="BUY",AB203*('Data Checks'!B414/'Data Checks'!B413),IF(W203="SELL",AB203*('Data Checks'!B413/'Data Checks'!B414),AB203))</f>
        <v>164.29961364618592</v>
      </c>
      <c r="AC204">
        <f>IF(X203="BUY",AC203*('Data Checks'!C414/'Data Checks'!C413),IF(X203="SELL",AC203*('Data Checks'!C413/'Data Checks'!C414),AC203))</f>
        <v>195.49955416713698</v>
      </c>
      <c r="AD204">
        <f>IF(Y203="BUY",AD203*('Data Checks'!D414/'Data Checks'!D413),IF(Y203="SELL",AD203*('Data Checks'!D413/'Data Checks'!D414),AD203))</f>
        <v>160.8675950693094</v>
      </c>
      <c r="AE204">
        <f>IF(Z203="BUY",AE203*('Data Checks'!E414/'Data Checks'!E413),IF(Z203="SELL",AE203*('Data Checks'!E413/'Data Checks'!E414),AE203))</f>
        <v>198.16242763860137</v>
      </c>
      <c r="AF204">
        <f>IF(AA203="BUY",AF203*('Data Checks'!F414/'Data Checks'!F413),IF(AA203="SELL",AF203*('Data Checks'!F413/'Data Checks'!F414),AF203))</f>
        <v>214.74266552133582</v>
      </c>
      <c r="AG204" s="16">
        <f t="shared" si="35"/>
        <v>933.57185604256961</v>
      </c>
      <c r="AH204" s="17">
        <f t="shared" si="39"/>
        <v>-4.1640229425132791E-3</v>
      </c>
      <c r="AJ204" t="str">
        <f>IF('Moving Ave'!G414&gt;'Moving Ave'!L414,"SELL","BUY")</f>
        <v>SELL</v>
      </c>
      <c r="AK204" t="str">
        <f>IF('Moving Ave'!H414&gt;'Moving Ave'!M414,"SELL","BUY")</f>
        <v>BUY</v>
      </c>
      <c r="AL204" t="str">
        <f>IF('Moving Ave'!I414&gt;'Moving Ave'!N414,"SELL","BUY")</f>
        <v>SELL</v>
      </c>
      <c r="AM204" t="str">
        <f>IF('Moving Ave'!J414&gt;'Moving Ave'!O414,"SELL","BUY")</f>
        <v>BUY</v>
      </c>
      <c r="AN204" t="str">
        <f>IF('Moving Ave'!K414&gt;'Moving Ave'!P414,"SELL","BUY")</f>
        <v>BUY</v>
      </c>
      <c r="AO204">
        <f>IF(AJ203="BUY",AO203*('Data Checks'!B414/'Data Checks'!B413),AO203*('Data Checks'!B413/'Data Checks'!B414))</f>
        <v>131.67948381762272</v>
      </c>
      <c r="AP204">
        <f>IF(AK203="BUY",AP203*('Data Checks'!C414/'Data Checks'!C413),AP203*('Data Checks'!C413/'Data Checks'!C414))</f>
        <v>97.688597858486233</v>
      </c>
      <c r="AQ204">
        <f>IF(AL203="BUY",AQ203*('Data Checks'!D414/'Data Checks'!D413),AQ203*('Data Checks'!D413/'Data Checks'!D414))</f>
        <v>296.9517268418046</v>
      </c>
      <c r="AR204">
        <f>IF(AM203="BUY",AR203*('Data Checks'!E414/'Data Checks'!E413),AR203*('Data Checks'!E413/'Data Checks'!E414))</f>
        <v>86.340810634723425</v>
      </c>
      <c r="AS204">
        <f>IF(AN203="BUY",AS203*('Data Checks'!F414/'Data Checks'!F413),AS203*('Data Checks'!F413/'Data Checks'!F414))</f>
        <v>204.69318191195811</v>
      </c>
      <c r="AT204" s="16">
        <f t="shared" si="36"/>
        <v>817.35380106459502</v>
      </c>
      <c r="AU204" s="17">
        <f t="shared" si="40"/>
        <v>9.3886260453501791E-4</v>
      </c>
    </row>
    <row r="205" spans="1:47" x14ac:dyDescent="0.35">
      <c r="A205" s="2">
        <f>Prices!A413</f>
        <v>44484</v>
      </c>
      <c r="B205">
        <f>B204*('Data Checks'!B415/'Data Checks'!B414)</f>
        <v>351.80529969913107</v>
      </c>
      <c r="C205">
        <f>C204*('Data Checks'!C415/'Data Checks'!C414)</f>
        <v>98.552199607625198</v>
      </c>
      <c r="D205">
        <f>D204*('Data Checks'!D415/'Data Checks'!D414)</f>
        <v>202.20404077816073</v>
      </c>
      <c r="E205">
        <f>E204*('Data Checks'!E415/'Data Checks'!E414)</f>
        <v>84.93471761182731</v>
      </c>
      <c r="F205">
        <f>F204*('Data Checks'!F415/'Data Checks'!F414)</f>
        <v>132.9995221697595</v>
      </c>
      <c r="G205" s="16">
        <f t="shared" si="33"/>
        <v>870.49577986650377</v>
      </c>
      <c r="H205" s="17">
        <f t="shared" si="37"/>
        <v>-9.778578098889934E-3</v>
      </c>
      <c r="J205" t="str">
        <f>IF(AND('Data Checks'!B415&gt;'Data Checks'!B414,'Data Checks'!B414&gt;'Data Checks'!B413,'Data Checks'!B413&gt;'Data Checks'!B412),"SELL",IF(AND('Data Checks'!B415&lt;'Data Checks'!B414,'Data Checks'!B414&lt;'Data Checks'!B413,'Data Checks'!B413&lt;'Data Checks'!B412),"BUY",""))</f>
        <v/>
      </c>
      <c r="K205" t="str">
        <f>IF(AND('Data Checks'!C415&gt;'Data Checks'!C414,'Data Checks'!C414&gt;'Data Checks'!C413,'Data Checks'!C413&gt;'Data Checks'!C412),"SELL",IF(AND('Data Checks'!C415&lt;'Data Checks'!C414,'Data Checks'!C414&lt;'Data Checks'!C413,'Data Checks'!C413&lt;'Data Checks'!C412),"BUY",""))</f>
        <v/>
      </c>
      <c r="L205" t="str">
        <f>IF(AND('Data Checks'!D415&gt;'Data Checks'!D414,'Data Checks'!D414&gt;'Data Checks'!D413,'Data Checks'!D413&gt;'Data Checks'!D412),"SELL",IF(AND('Data Checks'!D415&lt;'Data Checks'!D414,'Data Checks'!D414&lt;'Data Checks'!D413,'Data Checks'!D413&lt;'Data Checks'!D412),"BUY",""))</f>
        <v>BUY</v>
      </c>
      <c r="M205" t="str">
        <f>IF(AND('Data Checks'!E415&gt;'Data Checks'!E414,'Data Checks'!E414&gt;'Data Checks'!E413,'Data Checks'!E413&gt;'Data Checks'!E412),"SELL",IF(AND('Data Checks'!E415&lt;'Data Checks'!E414,'Data Checks'!E414&lt;'Data Checks'!E413,'Data Checks'!E413&lt;'Data Checks'!E412),"BUY",""))</f>
        <v>BUY</v>
      </c>
      <c r="N205" t="str">
        <f>IF(AND('Data Checks'!F415&gt;'Data Checks'!F414,'Data Checks'!F414&gt;'Data Checks'!F413,'Data Checks'!F413&gt;'Data Checks'!F412),"SELL",IF(AND('Data Checks'!F415&lt;'Data Checks'!F414,'Data Checks'!F414&lt;'Data Checks'!F413,'Data Checks'!F413&lt;'Data Checks'!F412),"BUY",""))</f>
        <v/>
      </c>
      <c r="O205">
        <f>IF(J204="BUY",O204*('Data Checks'!B415/'Data Checks'!B414),IF(J204="SELL",O204*('Data Checks'!B414/'Data Checks'!B415),O204))</f>
        <v>243.45766318196445</v>
      </c>
      <c r="P205">
        <f>IF(K204="BUY",P204*('Data Checks'!C415/'Data Checks'!C414),IF(K204="SELL",P204*('Data Checks'!C414/'Data Checks'!C415),P204))</f>
        <v>204.60404715707506</v>
      </c>
      <c r="Q205">
        <f>IF(L204="BUY",Q204*('Data Checks'!D415/'Data Checks'!D414),IF(L204="SELL",Q204*('Data Checks'!D414/'Data Checks'!D415),Q204))</f>
        <v>246.8173740021563</v>
      </c>
      <c r="R205">
        <f>IF(M204="BUY",R204*('Data Checks'!E415/'Data Checks'!E414),IF(M204="SELL",R204*('Data Checks'!E414/'Data Checks'!E415),R204))</f>
        <v>198.56733295466654</v>
      </c>
      <c r="S205">
        <f>IF(N204="BUY",S204*('Data Checks'!F415/'Data Checks'!F414),IF(N204="SELL",S204*('Data Checks'!F414/'Data Checks'!F415),S204))</f>
        <v>186.2694583905396</v>
      </c>
      <c r="T205" s="16">
        <f t="shared" si="34"/>
        <v>1079.7158756864019</v>
      </c>
      <c r="U205" s="17">
        <f t="shared" si="38"/>
        <v>-4.7210750894361997E-3</v>
      </c>
      <c r="W205" t="str">
        <f>IF(AND('Data Checks'!B415&gt;'Data Checks'!B414,'Data Checks'!B414&gt;'Data Checks'!B413,'Data Checks'!B413&gt;'Data Checks'!B412),"BUY",IF(AND('Data Checks'!B415&lt;'Data Checks'!B414,'Data Checks'!B414&lt;'Data Checks'!B413,'Data Checks'!B413&lt;'Data Checks'!B412),"SELL",""))</f>
        <v/>
      </c>
      <c r="X205" t="str">
        <f>IF(AND('Data Checks'!C415&gt;'Data Checks'!C414,'Data Checks'!C414&gt;'Data Checks'!C413,'Data Checks'!C413&gt;'Data Checks'!C412),"BUY",IF(AND('Data Checks'!C415&lt;'Data Checks'!C414,'Data Checks'!C414&lt;'Data Checks'!C413,'Data Checks'!C413&lt;'Data Checks'!C412),"SELL",""))</f>
        <v/>
      </c>
      <c r="Y205" t="str">
        <f>IF(AND('Data Checks'!D415&gt;'Data Checks'!D414,'Data Checks'!D414&gt;'Data Checks'!D413,'Data Checks'!D413&gt;'Data Checks'!D412),"BUY",IF(AND('Data Checks'!D415&lt;'Data Checks'!D414,'Data Checks'!D414&lt;'Data Checks'!D413,'Data Checks'!D413&lt;'Data Checks'!D412),"SELL",""))</f>
        <v>SELL</v>
      </c>
      <c r="Z205" t="str">
        <f>IF(AND('Data Checks'!E415&gt;'Data Checks'!E414,'Data Checks'!E414&gt;'Data Checks'!E413,'Data Checks'!E413&gt;'Data Checks'!E412),"BUY",IF(AND('Data Checks'!E415&lt;'Data Checks'!E414,'Data Checks'!E414&lt;'Data Checks'!E413,'Data Checks'!E413&lt;'Data Checks'!E412),"SELL",""))</f>
        <v>SELL</v>
      </c>
      <c r="AA205" t="str">
        <f>IF(AND('Data Checks'!F415&gt;'Data Checks'!F414,'Data Checks'!F414&gt;'Data Checks'!F413,'Data Checks'!F413&gt;'Data Checks'!F412),"BUY",IF(AND('Data Checks'!F415&lt;'Data Checks'!F414,'Data Checks'!F414&lt;'Data Checks'!F413,'Data Checks'!F413&lt;'Data Checks'!F412),"SELL",""))</f>
        <v/>
      </c>
      <c r="AB205">
        <f>IF(W204="BUY",AB204*('Data Checks'!B415/'Data Checks'!B414),IF(W204="SELL",AB204*('Data Checks'!B414/'Data Checks'!B415),AB204))</f>
        <v>164.29961364618592</v>
      </c>
      <c r="AC205">
        <f>IF(X204="BUY",AC204*('Data Checks'!C415/'Data Checks'!C414),IF(X204="SELL",AC204*('Data Checks'!C414/'Data Checks'!C415),AC204))</f>
        <v>195.49955416713698</v>
      </c>
      <c r="AD205">
        <f>IF(Y204="BUY",AD204*('Data Checks'!D415/'Data Checks'!D414),IF(Y204="SELL",AD204*('Data Checks'!D414/'Data Checks'!D415),AD204))</f>
        <v>162.06314552090865</v>
      </c>
      <c r="AE205">
        <f>IF(Z204="BUY",AE204*('Data Checks'!E415/'Data Checks'!E414),IF(Z204="SELL",AE204*('Data Checks'!E414/'Data Checks'!E415),AE204))</f>
        <v>201.44300376503563</v>
      </c>
      <c r="AF205">
        <f>IF(AA204="BUY",AF204*('Data Checks'!F415/'Data Checks'!F414),IF(AA204="SELL",AF204*('Data Checks'!F414/'Data Checks'!F415),AF204))</f>
        <v>214.74266552133582</v>
      </c>
      <c r="AG205" s="16">
        <f t="shared" si="35"/>
        <v>938.04798262060308</v>
      </c>
      <c r="AH205" s="17">
        <f t="shared" si="39"/>
        <v>4.7946245905567952E-3</v>
      </c>
      <c r="AJ205" t="str">
        <f>IF('Moving Ave'!G415&gt;'Moving Ave'!L415,"SELL","BUY")</f>
        <v>SELL</v>
      </c>
      <c r="AK205" t="str">
        <f>IF('Moving Ave'!H415&gt;'Moving Ave'!M415,"SELL","BUY")</f>
        <v>BUY</v>
      </c>
      <c r="AL205" t="str">
        <f>IF('Moving Ave'!I415&gt;'Moving Ave'!N415,"SELL","BUY")</f>
        <v>SELL</v>
      </c>
      <c r="AM205" t="str">
        <f>IF('Moving Ave'!J415&gt;'Moving Ave'!O415,"SELL","BUY")</f>
        <v>BUY</v>
      </c>
      <c r="AN205" t="str">
        <f>IF('Moving Ave'!K415&gt;'Moving Ave'!P415,"SELL","BUY")</f>
        <v>BUY</v>
      </c>
      <c r="AO205">
        <f>IF(AJ204="BUY",AO204*('Data Checks'!B415/'Data Checks'!B414),AO204*('Data Checks'!B414/'Data Checks'!B415))</f>
        <v>132.66787605113674</v>
      </c>
      <c r="AP205">
        <f>IF(AK204="BUY",AP204*('Data Checks'!C415/'Data Checks'!C414),AP204*('Data Checks'!C414/'Data Checks'!C415))</f>
        <v>98.552199607625198</v>
      </c>
      <c r="AQ205">
        <f>IF(AL204="BUY",AQ204*('Data Checks'!D415/'Data Checks'!D414),AQ204*('Data Checks'!D414/'Data Checks'!D415))</f>
        <v>299.15863974415726</v>
      </c>
      <c r="AR205">
        <f>IF(AM204="BUY",AR204*('Data Checks'!E415/'Data Checks'!E414),AR204*('Data Checks'!E414/'Data Checks'!E415))</f>
        <v>84.93471761182731</v>
      </c>
      <c r="AS205">
        <f>IF(AN204="BUY",AS204*('Data Checks'!F415/'Data Checks'!F414),AS204*('Data Checks'!F414/'Data Checks'!F415))</f>
        <v>198.84683390458034</v>
      </c>
      <c r="AT205" s="16">
        <f t="shared" si="36"/>
        <v>814.16026691932677</v>
      </c>
      <c r="AU205" s="17">
        <f t="shared" si="40"/>
        <v>-3.9071625299945678E-3</v>
      </c>
    </row>
    <row r="206" spans="1:47" x14ac:dyDescent="0.35">
      <c r="A206" s="2">
        <f>Prices!A414</f>
        <v>44485</v>
      </c>
      <c r="B206">
        <f>B205*('Data Checks'!B416/'Data Checks'!B415)</f>
        <v>344.85697585967984</v>
      </c>
      <c r="C206">
        <f>C205*('Data Checks'!C416/'Data Checks'!C415)</f>
        <v>100.1269977172213</v>
      </c>
      <c r="D206">
        <f>D205*('Data Checks'!D416/'Data Checks'!D415)</f>
        <v>200.53431291591784</v>
      </c>
      <c r="E206">
        <f>E205*('Data Checks'!E416/'Data Checks'!E415)</f>
        <v>84.59993021091627</v>
      </c>
      <c r="F206">
        <f>F205*('Data Checks'!F416/'Data Checks'!F415)</f>
        <v>134.43013735474682</v>
      </c>
      <c r="G206" s="16">
        <f t="shared" si="33"/>
        <v>864.54835405848212</v>
      </c>
      <c r="H206" s="17">
        <f t="shared" si="37"/>
        <v>-6.8322281917710947E-3</v>
      </c>
      <c r="J206" t="str">
        <f>IF(AND('Data Checks'!B416&gt;'Data Checks'!B415,'Data Checks'!B415&gt;'Data Checks'!B414,'Data Checks'!B414&gt;'Data Checks'!B413),"SELL",IF(AND('Data Checks'!B416&lt;'Data Checks'!B415,'Data Checks'!B415&lt;'Data Checks'!B414,'Data Checks'!B414&lt;'Data Checks'!B413),"BUY",""))</f>
        <v>BUY</v>
      </c>
      <c r="K206" t="str">
        <f>IF(AND('Data Checks'!C416&gt;'Data Checks'!C415,'Data Checks'!C415&gt;'Data Checks'!C414,'Data Checks'!C414&gt;'Data Checks'!C413),"SELL",IF(AND('Data Checks'!C416&lt;'Data Checks'!C415,'Data Checks'!C415&lt;'Data Checks'!C414,'Data Checks'!C414&lt;'Data Checks'!C413),"BUY",""))</f>
        <v/>
      </c>
      <c r="L206" t="str">
        <f>IF(AND('Data Checks'!D416&gt;'Data Checks'!D415,'Data Checks'!D415&gt;'Data Checks'!D414,'Data Checks'!D414&gt;'Data Checks'!D413),"SELL",IF(AND('Data Checks'!D416&lt;'Data Checks'!D415,'Data Checks'!D415&lt;'Data Checks'!D414,'Data Checks'!D414&lt;'Data Checks'!D413),"BUY",""))</f>
        <v>BUY</v>
      </c>
      <c r="M206" t="str">
        <f>IF(AND('Data Checks'!E416&gt;'Data Checks'!E415,'Data Checks'!E415&gt;'Data Checks'!E414,'Data Checks'!E414&gt;'Data Checks'!E413),"SELL",IF(AND('Data Checks'!E416&lt;'Data Checks'!E415,'Data Checks'!E415&lt;'Data Checks'!E414,'Data Checks'!E414&lt;'Data Checks'!E413),"BUY",""))</f>
        <v>BUY</v>
      </c>
      <c r="N206" t="str">
        <f>IF(AND('Data Checks'!F416&gt;'Data Checks'!F415,'Data Checks'!F415&gt;'Data Checks'!F414,'Data Checks'!F414&gt;'Data Checks'!F413),"SELL",IF(AND('Data Checks'!F416&lt;'Data Checks'!F415,'Data Checks'!F415&lt;'Data Checks'!F414,'Data Checks'!F414&lt;'Data Checks'!F413),"BUY",""))</f>
        <v/>
      </c>
      <c r="O206">
        <f>IF(J205="BUY",O205*('Data Checks'!B416/'Data Checks'!B415),IF(J205="SELL",O205*('Data Checks'!B415/'Data Checks'!B416),O205))</f>
        <v>243.45766318196445</v>
      </c>
      <c r="P206">
        <f>IF(K205="BUY",P205*('Data Checks'!C416/'Data Checks'!C415),IF(K205="SELL",P205*('Data Checks'!C415/'Data Checks'!C416),P205))</f>
        <v>204.60404715707506</v>
      </c>
      <c r="Q206">
        <f>IF(L205="BUY",Q205*('Data Checks'!D416/'Data Checks'!D415),IF(L205="SELL",Q205*('Data Checks'!D415/'Data Checks'!D416),Q205))</f>
        <v>244.77924536401912</v>
      </c>
      <c r="R206">
        <f>IF(M205="BUY",R205*('Data Checks'!E416/'Data Checks'!E415),IF(M205="SELL",R205*('Data Checks'!E415/'Data Checks'!E416),R205))</f>
        <v>197.78463957350351</v>
      </c>
      <c r="S206">
        <f>IF(N205="BUY",S205*('Data Checks'!F416/'Data Checks'!F415),IF(N205="SELL",S205*('Data Checks'!F415/'Data Checks'!F416),S205))</f>
        <v>186.2694583905396</v>
      </c>
      <c r="T206" s="16">
        <f t="shared" si="34"/>
        <v>1076.8950536671016</v>
      </c>
      <c r="U206" s="17">
        <f t="shared" si="38"/>
        <v>-2.6125595472115126E-3</v>
      </c>
      <c r="W206" t="str">
        <f>IF(AND('Data Checks'!B416&gt;'Data Checks'!B415,'Data Checks'!B415&gt;'Data Checks'!B414,'Data Checks'!B414&gt;'Data Checks'!B413),"BUY",IF(AND('Data Checks'!B416&lt;'Data Checks'!B415,'Data Checks'!B415&lt;'Data Checks'!B414,'Data Checks'!B414&lt;'Data Checks'!B413),"SELL",""))</f>
        <v>SELL</v>
      </c>
      <c r="X206" t="str">
        <f>IF(AND('Data Checks'!C416&gt;'Data Checks'!C415,'Data Checks'!C415&gt;'Data Checks'!C414,'Data Checks'!C414&gt;'Data Checks'!C413),"BUY",IF(AND('Data Checks'!C416&lt;'Data Checks'!C415,'Data Checks'!C415&lt;'Data Checks'!C414,'Data Checks'!C414&lt;'Data Checks'!C413),"SELL",""))</f>
        <v/>
      </c>
      <c r="Y206" t="str">
        <f>IF(AND('Data Checks'!D416&gt;'Data Checks'!D415,'Data Checks'!D415&gt;'Data Checks'!D414,'Data Checks'!D414&gt;'Data Checks'!D413),"BUY",IF(AND('Data Checks'!D416&lt;'Data Checks'!D415,'Data Checks'!D415&lt;'Data Checks'!D414,'Data Checks'!D414&lt;'Data Checks'!D413),"SELL",""))</f>
        <v>SELL</v>
      </c>
      <c r="Z206" t="str">
        <f>IF(AND('Data Checks'!E416&gt;'Data Checks'!E415,'Data Checks'!E415&gt;'Data Checks'!E414,'Data Checks'!E414&gt;'Data Checks'!E413),"BUY",IF(AND('Data Checks'!E416&lt;'Data Checks'!E415,'Data Checks'!E415&lt;'Data Checks'!E414,'Data Checks'!E414&lt;'Data Checks'!E413),"SELL",""))</f>
        <v>SELL</v>
      </c>
      <c r="AA206" t="str">
        <f>IF(AND('Data Checks'!F416&gt;'Data Checks'!F415,'Data Checks'!F415&gt;'Data Checks'!F414,'Data Checks'!F414&gt;'Data Checks'!F413),"BUY",IF(AND('Data Checks'!F416&lt;'Data Checks'!F415,'Data Checks'!F415&lt;'Data Checks'!F414,'Data Checks'!F414&lt;'Data Checks'!F413),"SELL",""))</f>
        <v/>
      </c>
      <c r="AB206">
        <f>IF(W205="BUY",AB205*('Data Checks'!B416/'Data Checks'!B415),IF(W205="SELL",AB205*('Data Checks'!B415/'Data Checks'!B416),AB205))</f>
        <v>164.29961364618592</v>
      </c>
      <c r="AC206">
        <f>IF(X205="BUY",AC205*('Data Checks'!C416/'Data Checks'!C415),IF(X205="SELL",AC205*('Data Checks'!C415/'Data Checks'!C416),AC205))</f>
        <v>195.49955416713698</v>
      </c>
      <c r="AD206">
        <f>IF(Y205="BUY",AD205*('Data Checks'!D416/'Data Checks'!D415),IF(Y205="SELL",AD205*('Data Checks'!D415/'Data Checks'!D416),AD205))</f>
        <v>163.41254725462815</v>
      </c>
      <c r="AE206">
        <f>IF(Z205="BUY",AE205*('Data Checks'!E416/'Data Checks'!E415),IF(Z205="SELL",AE205*('Data Checks'!E415/'Data Checks'!E416),AE205))</f>
        <v>202.24017439501216</v>
      </c>
      <c r="AF206">
        <f>IF(AA205="BUY",AF205*('Data Checks'!F416/'Data Checks'!F415),IF(AA205="SELL",AF205*('Data Checks'!F415/'Data Checks'!F416),AF205))</f>
        <v>214.74266552133582</v>
      </c>
      <c r="AG206" s="16">
        <f t="shared" si="35"/>
        <v>940.19455498429897</v>
      </c>
      <c r="AH206" s="17">
        <f t="shared" si="39"/>
        <v>2.2883396195778616E-3</v>
      </c>
      <c r="AJ206" t="str">
        <f>IF('Moving Ave'!G416&gt;'Moving Ave'!L416,"SELL","BUY")</f>
        <v>SELL</v>
      </c>
      <c r="AK206" t="str">
        <f>IF('Moving Ave'!H416&gt;'Moving Ave'!M416,"SELL","BUY")</f>
        <v>BUY</v>
      </c>
      <c r="AL206" t="str">
        <f>IF('Moving Ave'!I416&gt;'Moving Ave'!N416,"SELL","BUY")</f>
        <v>SELL</v>
      </c>
      <c r="AM206" t="str">
        <f>IF('Moving Ave'!J416&gt;'Moving Ave'!O416,"SELL","BUY")</f>
        <v>BUY</v>
      </c>
      <c r="AN206" t="str">
        <f>IF('Moving Ave'!K416&gt;'Moving Ave'!P416,"SELL","BUY")</f>
        <v>BUY</v>
      </c>
      <c r="AO206">
        <f>IF(AJ205="BUY",AO205*('Data Checks'!B416/'Data Checks'!B415),AO205*('Data Checks'!B415/'Data Checks'!B416))</f>
        <v>135.34092438834236</v>
      </c>
      <c r="AP206">
        <f>IF(AK205="BUY",AP205*('Data Checks'!C416/'Data Checks'!C415),AP205*('Data Checks'!C415/'Data Checks'!C416))</f>
        <v>100.1269977172213</v>
      </c>
      <c r="AQ206">
        <f>IF(AL205="BUY",AQ205*('Data Checks'!D416/'Data Checks'!D415),AQ205*('Data Checks'!D415/'Data Checks'!D416))</f>
        <v>301.64955268941941</v>
      </c>
      <c r="AR206">
        <f>IF(AM205="BUY",AR205*('Data Checks'!E416/'Data Checks'!E415),AR205*('Data Checks'!E415/'Data Checks'!E416))</f>
        <v>84.59993021091627</v>
      </c>
      <c r="AS206">
        <f>IF(AN205="BUY",AS205*('Data Checks'!F416/'Data Checks'!F415),AS205*('Data Checks'!F415/'Data Checks'!F416))</f>
        <v>200.98573858205313</v>
      </c>
      <c r="AT206" s="16">
        <f t="shared" si="36"/>
        <v>822.70314358795247</v>
      </c>
      <c r="AU206" s="17">
        <f t="shared" si="40"/>
        <v>1.0492868561310154E-2</v>
      </c>
    </row>
    <row r="207" spans="1:47" x14ac:dyDescent="0.35">
      <c r="A207" s="2">
        <f>Prices!A415</f>
        <v>44488</v>
      </c>
      <c r="B207">
        <f>B206*('Data Checks'!B417/'Data Checks'!B416)</f>
        <v>337.95501015297629</v>
      </c>
      <c r="C207">
        <f>C206*('Data Checks'!C417/'Data Checks'!C416)</f>
        <v>100.78740413480845</v>
      </c>
      <c r="D207">
        <f>D206*('Data Checks'!D417/'Data Checks'!D416)</f>
        <v>197.79596256129517</v>
      </c>
      <c r="E207">
        <f>E206*('Data Checks'!E417/'Data Checks'!E416)</f>
        <v>83.829930236694636</v>
      </c>
      <c r="F207">
        <f>F206*('Data Checks'!F417/'Data Checks'!F416)</f>
        <v>134.5732074569367</v>
      </c>
      <c r="G207" s="16">
        <f t="shared" si="33"/>
        <v>854.94151454271127</v>
      </c>
      <c r="H207" s="17">
        <f t="shared" si="37"/>
        <v>-1.1111974790852464E-2</v>
      </c>
      <c r="J207" t="str">
        <f>IF(AND('Data Checks'!B417&gt;'Data Checks'!B416,'Data Checks'!B416&gt;'Data Checks'!B415,'Data Checks'!B415&gt;'Data Checks'!B414),"SELL",IF(AND('Data Checks'!B417&lt;'Data Checks'!B416,'Data Checks'!B416&lt;'Data Checks'!B415,'Data Checks'!B415&lt;'Data Checks'!B414),"BUY",""))</f>
        <v>BUY</v>
      </c>
      <c r="K207" t="str">
        <f>IF(AND('Data Checks'!C417&gt;'Data Checks'!C416,'Data Checks'!C416&gt;'Data Checks'!C415,'Data Checks'!C415&gt;'Data Checks'!C414),"SELL",IF(AND('Data Checks'!C417&lt;'Data Checks'!C416,'Data Checks'!C416&lt;'Data Checks'!C415,'Data Checks'!C415&lt;'Data Checks'!C414),"BUY",""))</f>
        <v>SELL</v>
      </c>
      <c r="L207" t="str">
        <f>IF(AND('Data Checks'!D417&gt;'Data Checks'!D416,'Data Checks'!D416&gt;'Data Checks'!D415,'Data Checks'!D415&gt;'Data Checks'!D414),"SELL",IF(AND('Data Checks'!D417&lt;'Data Checks'!D416,'Data Checks'!D416&lt;'Data Checks'!D415,'Data Checks'!D415&lt;'Data Checks'!D414),"BUY",""))</f>
        <v>BUY</v>
      </c>
      <c r="M207" t="str">
        <f>IF(AND('Data Checks'!E417&gt;'Data Checks'!E416,'Data Checks'!E416&gt;'Data Checks'!E415,'Data Checks'!E415&gt;'Data Checks'!E414),"SELL",IF(AND('Data Checks'!E417&lt;'Data Checks'!E416,'Data Checks'!E416&lt;'Data Checks'!E415,'Data Checks'!E415&lt;'Data Checks'!E414),"BUY",""))</f>
        <v>BUY</v>
      </c>
      <c r="N207" t="str">
        <f>IF(AND('Data Checks'!F417&gt;'Data Checks'!F416,'Data Checks'!F416&gt;'Data Checks'!F415,'Data Checks'!F415&gt;'Data Checks'!F414),"SELL",IF(AND('Data Checks'!F417&lt;'Data Checks'!F416,'Data Checks'!F416&lt;'Data Checks'!F415,'Data Checks'!F415&lt;'Data Checks'!F414),"BUY",""))</f>
        <v/>
      </c>
      <c r="O207">
        <f>IF(J206="BUY",O206*('Data Checks'!B417/'Data Checks'!B416),IF(J206="SELL",O206*('Data Checks'!B416/'Data Checks'!B417),O206))</f>
        <v>238.58510278753644</v>
      </c>
      <c r="P207">
        <f>IF(K206="BUY",P206*('Data Checks'!C417/'Data Checks'!C416),IF(K206="SELL",P206*('Data Checks'!C416/'Data Checks'!C417),P206))</f>
        <v>204.60404715707506</v>
      </c>
      <c r="Q207">
        <f>IF(L206="BUY",Q206*('Data Checks'!D417/'Data Checks'!D416),IF(L206="SELL",Q206*('Data Checks'!D416/'Data Checks'!D417),Q206))</f>
        <v>241.43671847373139</v>
      </c>
      <c r="R207">
        <f>IF(M206="BUY",R206*('Data Checks'!E417/'Data Checks'!E416),IF(M206="SELL",R206*('Data Checks'!E416/'Data Checks'!E417),R206))</f>
        <v>195.98447062545182</v>
      </c>
      <c r="S207">
        <f>IF(N206="BUY",S206*('Data Checks'!F417/'Data Checks'!F416),IF(N206="SELL",S206*('Data Checks'!F416/'Data Checks'!F417),S206))</f>
        <v>186.2694583905396</v>
      </c>
      <c r="T207" s="16">
        <f t="shared" si="34"/>
        <v>1066.8797974343343</v>
      </c>
      <c r="U207" s="17">
        <f t="shared" si="38"/>
        <v>-9.3001227915968654E-3</v>
      </c>
      <c r="W207" t="str">
        <f>IF(AND('Data Checks'!B417&gt;'Data Checks'!B416,'Data Checks'!B416&gt;'Data Checks'!B415,'Data Checks'!B415&gt;'Data Checks'!B414),"BUY",IF(AND('Data Checks'!B417&lt;'Data Checks'!B416,'Data Checks'!B416&lt;'Data Checks'!B415,'Data Checks'!B415&lt;'Data Checks'!B414),"SELL",""))</f>
        <v>SELL</v>
      </c>
      <c r="X207" t="str">
        <f>IF(AND('Data Checks'!C417&gt;'Data Checks'!C416,'Data Checks'!C416&gt;'Data Checks'!C415,'Data Checks'!C415&gt;'Data Checks'!C414),"BUY",IF(AND('Data Checks'!C417&lt;'Data Checks'!C416,'Data Checks'!C416&lt;'Data Checks'!C415,'Data Checks'!C415&lt;'Data Checks'!C414),"SELL",""))</f>
        <v>BUY</v>
      </c>
      <c r="Y207" t="str">
        <f>IF(AND('Data Checks'!D417&gt;'Data Checks'!D416,'Data Checks'!D416&gt;'Data Checks'!D415,'Data Checks'!D415&gt;'Data Checks'!D414),"BUY",IF(AND('Data Checks'!D417&lt;'Data Checks'!D416,'Data Checks'!D416&lt;'Data Checks'!D415,'Data Checks'!D415&lt;'Data Checks'!D414),"SELL",""))</f>
        <v>SELL</v>
      </c>
      <c r="Z207" t="str">
        <f>IF(AND('Data Checks'!E417&gt;'Data Checks'!E416,'Data Checks'!E416&gt;'Data Checks'!E415,'Data Checks'!E415&gt;'Data Checks'!E414),"BUY",IF(AND('Data Checks'!E417&lt;'Data Checks'!E416,'Data Checks'!E416&lt;'Data Checks'!E415,'Data Checks'!E415&lt;'Data Checks'!E414),"SELL",""))</f>
        <v>SELL</v>
      </c>
      <c r="AA207" t="str">
        <f>IF(AND('Data Checks'!F417&gt;'Data Checks'!F416,'Data Checks'!F416&gt;'Data Checks'!F415,'Data Checks'!F415&gt;'Data Checks'!F414),"BUY",IF(AND('Data Checks'!F417&lt;'Data Checks'!F416,'Data Checks'!F416&lt;'Data Checks'!F415,'Data Checks'!F415&lt;'Data Checks'!F414),"SELL",""))</f>
        <v/>
      </c>
      <c r="AB207">
        <f>IF(W206="BUY",AB206*('Data Checks'!B417/'Data Checks'!B416),IF(W206="SELL",AB206*('Data Checks'!B416/'Data Checks'!B417),AB206))</f>
        <v>167.65506116121847</v>
      </c>
      <c r="AC207">
        <f>IF(X206="BUY",AC206*('Data Checks'!C417/'Data Checks'!C416),IF(X206="SELL",AC206*('Data Checks'!C416/'Data Checks'!C417),AC206))</f>
        <v>195.49955416713698</v>
      </c>
      <c r="AD207">
        <f>IF(Y206="BUY",AD206*('Data Checks'!D417/'Data Checks'!D416),IF(Y206="SELL",AD206*('Data Checks'!D416/'Data Checks'!D417),AD206))</f>
        <v>165.67488264777771</v>
      </c>
      <c r="AE207">
        <f>IF(Z206="BUY",AE206*('Data Checks'!E417/'Data Checks'!E416),IF(Z206="SELL",AE206*('Data Checks'!E416/'Data Checks'!E417),AE206))</f>
        <v>204.09780362876012</v>
      </c>
      <c r="AF207">
        <f>IF(AA206="BUY",AF206*('Data Checks'!F417/'Data Checks'!F416),IF(AA206="SELL",AF206*('Data Checks'!F416/'Data Checks'!F417),AF206))</f>
        <v>214.74266552133582</v>
      </c>
      <c r="AG207" s="16">
        <f t="shared" si="35"/>
        <v>947.66996712622904</v>
      </c>
      <c r="AH207" s="17">
        <f t="shared" si="39"/>
        <v>7.9509204794905308E-3</v>
      </c>
      <c r="AJ207" t="str">
        <f>IF('Moving Ave'!G417&gt;'Moving Ave'!L417,"SELL","BUY")</f>
        <v>SELL</v>
      </c>
      <c r="AK207" t="str">
        <f>IF('Moving Ave'!H417&gt;'Moving Ave'!M417,"SELL","BUY")</f>
        <v>BUY</v>
      </c>
      <c r="AL207" t="str">
        <f>IF('Moving Ave'!I417&gt;'Moving Ave'!N417,"SELL","BUY")</f>
        <v>SELL</v>
      </c>
      <c r="AM207" t="str">
        <f>IF('Moving Ave'!J417&gt;'Moving Ave'!O417,"SELL","BUY")</f>
        <v>BUY</v>
      </c>
      <c r="AN207" t="str">
        <f>IF('Moving Ave'!K417&gt;'Moving Ave'!P417,"SELL","BUY")</f>
        <v>BUY</v>
      </c>
      <c r="AO207">
        <f>IF(AJ206="BUY",AO206*('Data Checks'!B417/'Data Checks'!B416),AO206*('Data Checks'!B416/'Data Checks'!B417))</f>
        <v>138.10495625879474</v>
      </c>
      <c r="AP207">
        <f>IF(AK206="BUY",AP206*('Data Checks'!C417/'Data Checks'!C416),AP206*('Data Checks'!C416/'Data Checks'!C417))</f>
        <v>100.78740413480845</v>
      </c>
      <c r="AQ207">
        <f>IF(AL206="BUY",AQ206*('Data Checks'!D417/'Data Checks'!D416),AQ206*('Data Checks'!D416/'Data Checks'!D417))</f>
        <v>305.82568524987477</v>
      </c>
      <c r="AR207">
        <f>IF(AM206="BUY",AR206*('Data Checks'!E417/'Data Checks'!E416),AR206*('Data Checks'!E416/'Data Checks'!E417))</f>
        <v>83.829930236694636</v>
      </c>
      <c r="AS207">
        <f>IF(AN206="BUY",AS206*('Data Checks'!F417/'Data Checks'!F416),AS206*('Data Checks'!F416/'Data Checks'!F417))</f>
        <v>201.19964188322851</v>
      </c>
      <c r="AT207" s="16">
        <f t="shared" si="36"/>
        <v>829.74761776340119</v>
      </c>
      <c r="AU207" s="17">
        <f t="shared" si="40"/>
        <v>8.5625954274668459E-3</v>
      </c>
    </row>
    <row r="208" spans="1:47" x14ac:dyDescent="0.35">
      <c r="A208" s="2">
        <f>Prices!A416</f>
        <v>44489</v>
      </c>
      <c r="B208">
        <f>B207*('Data Checks'!B418/'Data Checks'!B417)</f>
        <v>338.98767583422841</v>
      </c>
      <c r="C208">
        <f>C207*('Data Checks'!C418/'Data Checks'!C417)</f>
        <v>101.14300485504216</v>
      </c>
      <c r="D208">
        <f>D207*('Data Checks'!D418/'Data Checks'!D417)</f>
        <v>198.96477874377666</v>
      </c>
      <c r="E208">
        <f>E207*('Data Checks'!E418/'Data Checks'!E417)</f>
        <v>84.767322237451509</v>
      </c>
      <c r="F208">
        <f>F207*('Data Checks'!F418/'Data Checks'!F417)</f>
        <v>134.23939152464558</v>
      </c>
      <c r="G208" s="16">
        <f t="shared" si="33"/>
        <v>858.10217319514425</v>
      </c>
      <c r="H208" s="17">
        <f t="shared" si="37"/>
        <v>3.6969296714097766E-3</v>
      </c>
      <c r="J208" t="str">
        <f>IF(AND('Data Checks'!B418&gt;'Data Checks'!B417,'Data Checks'!B417&gt;'Data Checks'!B416,'Data Checks'!B416&gt;'Data Checks'!B415),"SELL",IF(AND('Data Checks'!B418&lt;'Data Checks'!B417,'Data Checks'!B417&lt;'Data Checks'!B416,'Data Checks'!B416&lt;'Data Checks'!B415),"BUY",""))</f>
        <v/>
      </c>
      <c r="K208" t="str">
        <f>IF(AND('Data Checks'!C418&gt;'Data Checks'!C417,'Data Checks'!C417&gt;'Data Checks'!C416,'Data Checks'!C416&gt;'Data Checks'!C415),"SELL",IF(AND('Data Checks'!C418&lt;'Data Checks'!C417,'Data Checks'!C417&lt;'Data Checks'!C416,'Data Checks'!C416&lt;'Data Checks'!C415),"BUY",""))</f>
        <v>SELL</v>
      </c>
      <c r="L208" t="str">
        <f>IF(AND('Data Checks'!D418&gt;'Data Checks'!D417,'Data Checks'!D417&gt;'Data Checks'!D416,'Data Checks'!D416&gt;'Data Checks'!D415),"SELL",IF(AND('Data Checks'!D418&lt;'Data Checks'!D417,'Data Checks'!D417&lt;'Data Checks'!D416,'Data Checks'!D416&lt;'Data Checks'!D415),"BUY",""))</f>
        <v/>
      </c>
      <c r="M208" t="str">
        <f>IF(AND('Data Checks'!E418&gt;'Data Checks'!E417,'Data Checks'!E417&gt;'Data Checks'!E416,'Data Checks'!E416&gt;'Data Checks'!E415),"SELL",IF(AND('Data Checks'!E418&lt;'Data Checks'!E417,'Data Checks'!E417&lt;'Data Checks'!E416,'Data Checks'!E416&lt;'Data Checks'!E415),"BUY",""))</f>
        <v/>
      </c>
      <c r="N208" t="str">
        <f>IF(AND('Data Checks'!F418&gt;'Data Checks'!F417,'Data Checks'!F417&gt;'Data Checks'!F416,'Data Checks'!F416&gt;'Data Checks'!F415),"SELL",IF(AND('Data Checks'!F418&lt;'Data Checks'!F417,'Data Checks'!F417&lt;'Data Checks'!F416,'Data Checks'!F416&lt;'Data Checks'!F415),"BUY",""))</f>
        <v/>
      </c>
      <c r="O208">
        <f>IF(J207="BUY",O207*('Data Checks'!B418/'Data Checks'!B417),IF(J207="SELL",O207*('Data Checks'!B417/'Data Checks'!B418),O207))</f>
        <v>239.31413073594643</v>
      </c>
      <c r="P208">
        <f>IF(K207="BUY",P207*('Data Checks'!C418/'Data Checks'!C417),IF(K207="SELL",P207*('Data Checks'!C417/'Data Checks'!C418),P207))</f>
        <v>203.88469591141984</v>
      </c>
      <c r="Q208">
        <f>IF(L207="BUY",Q207*('Data Checks'!D418/'Data Checks'!D417),IF(L207="SELL",Q207*('Data Checks'!D417/'Data Checks'!D418),Q207))</f>
        <v>242.86341667294198</v>
      </c>
      <c r="R208">
        <f>IF(M207="BUY",R207*('Data Checks'!E418/'Data Checks'!E417),IF(M207="SELL",R207*('Data Checks'!E417/'Data Checks'!E418),R207))</f>
        <v>198.17598235065725</v>
      </c>
      <c r="S208">
        <f>IF(N207="BUY",S207*('Data Checks'!F418/'Data Checks'!F417),IF(N207="SELL",S207*('Data Checks'!F417/'Data Checks'!F418),S207))</f>
        <v>186.2694583905396</v>
      </c>
      <c r="T208" s="16">
        <f t="shared" si="34"/>
        <v>1070.507684061505</v>
      </c>
      <c r="U208" s="17">
        <f t="shared" si="38"/>
        <v>3.4004642658855833E-3</v>
      </c>
      <c r="W208" t="str">
        <f>IF(AND('Data Checks'!B418&gt;'Data Checks'!B417,'Data Checks'!B417&gt;'Data Checks'!B416,'Data Checks'!B416&gt;'Data Checks'!B415),"BUY",IF(AND('Data Checks'!B418&lt;'Data Checks'!B417,'Data Checks'!B417&lt;'Data Checks'!B416,'Data Checks'!B416&lt;'Data Checks'!B415),"SELL",""))</f>
        <v/>
      </c>
      <c r="X208" t="str">
        <f>IF(AND('Data Checks'!C418&gt;'Data Checks'!C417,'Data Checks'!C417&gt;'Data Checks'!C416,'Data Checks'!C416&gt;'Data Checks'!C415),"BUY",IF(AND('Data Checks'!C418&lt;'Data Checks'!C417,'Data Checks'!C417&lt;'Data Checks'!C416,'Data Checks'!C416&lt;'Data Checks'!C415),"SELL",""))</f>
        <v>BUY</v>
      </c>
      <c r="Y208" t="str">
        <f>IF(AND('Data Checks'!D418&gt;'Data Checks'!D417,'Data Checks'!D417&gt;'Data Checks'!D416,'Data Checks'!D416&gt;'Data Checks'!D415),"BUY",IF(AND('Data Checks'!D418&lt;'Data Checks'!D417,'Data Checks'!D417&lt;'Data Checks'!D416,'Data Checks'!D416&lt;'Data Checks'!D415),"SELL",""))</f>
        <v/>
      </c>
      <c r="Z208" t="str">
        <f>IF(AND('Data Checks'!E418&gt;'Data Checks'!E417,'Data Checks'!E417&gt;'Data Checks'!E416,'Data Checks'!E416&gt;'Data Checks'!E415),"BUY",IF(AND('Data Checks'!E418&lt;'Data Checks'!E417,'Data Checks'!E417&lt;'Data Checks'!E416,'Data Checks'!E416&lt;'Data Checks'!E415),"SELL",""))</f>
        <v/>
      </c>
      <c r="AA208" t="str">
        <f>IF(AND('Data Checks'!F418&gt;'Data Checks'!F417,'Data Checks'!F417&gt;'Data Checks'!F416,'Data Checks'!F416&gt;'Data Checks'!F415),"BUY",IF(AND('Data Checks'!F418&lt;'Data Checks'!F417,'Data Checks'!F417&lt;'Data Checks'!F416,'Data Checks'!F416&lt;'Data Checks'!F415),"SELL",""))</f>
        <v/>
      </c>
      <c r="AB208">
        <f>IF(W207="BUY",AB207*('Data Checks'!B418/'Data Checks'!B417),IF(W207="SELL",AB207*('Data Checks'!B417/'Data Checks'!B418),AB207))</f>
        <v>167.1443298270384</v>
      </c>
      <c r="AC208">
        <f>IF(X207="BUY",AC207*('Data Checks'!C418/'Data Checks'!C417),IF(X207="SELL",AC207*('Data Checks'!C417/'Data Checks'!C418),AC207))</f>
        <v>196.18932073929929</v>
      </c>
      <c r="AD208">
        <f>IF(Y207="BUY",AD207*('Data Checks'!D418/'Data Checks'!D417),IF(Y207="SELL",AD207*('Data Checks'!D417/'Data Checks'!D418),AD207))</f>
        <v>164.70162755664012</v>
      </c>
      <c r="AE208">
        <f>IF(Z207="BUY",AE207*('Data Checks'!E418/'Data Checks'!E417),IF(Z207="SELL",AE207*('Data Checks'!E417/'Data Checks'!E418),AE207))</f>
        <v>201.84080596216259</v>
      </c>
      <c r="AF208">
        <f>IF(AA207="BUY",AF207*('Data Checks'!F418/'Data Checks'!F417),IF(AA207="SELL",AF207*('Data Checks'!F417/'Data Checks'!F418),AF207))</f>
        <v>214.74266552133582</v>
      </c>
      <c r="AG208" s="16">
        <f t="shared" si="35"/>
        <v>944.61874960647629</v>
      </c>
      <c r="AH208" s="17">
        <f t="shared" si="39"/>
        <v>-3.2197047765536446E-3</v>
      </c>
      <c r="AJ208" t="str">
        <f>IF('Moving Ave'!G418&gt;'Moving Ave'!L418,"SELL","BUY")</f>
        <v>SELL</v>
      </c>
      <c r="AK208" t="str">
        <f>IF('Moving Ave'!H418&gt;'Moving Ave'!M418,"SELL","BUY")</f>
        <v>BUY</v>
      </c>
      <c r="AL208" t="str">
        <f>IF('Moving Ave'!I418&gt;'Moving Ave'!N418,"SELL","BUY")</f>
        <v>SELL</v>
      </c>
      <c r="AM208" t="str">
        <f>IF('Moving Ave'!J418&gt;'Moving Ave'!O418,"SELL","BUY")</f>
        <v>BUY</v>
      </c>
      <c r="AN208" t="str">
        <f>IF('Moving Ave'!K418&gt;'Moving Ave'!P418,"SELL","BUY")</f>
        <v>BUY</v>
      </c>
      <c r="AO208">
        <f>IF(AJ207="BUY",AO207*('Data Checks'!B418/'Data Checks'!B417),AO207*('Data Checks'!B417/'Data Checks'!B418))</f>
        <v>137.68424406508942</v>
      </c>
      <c r="AP208">
        <f>IF(AK207="BUY",AP207*('Data Checks'!C418/'Data Checks'!C417),AP207*('Data Checks'!C417/'Data Checks'!C418))</f>
        <v>101.14300485504216</v>
      </c>
      <c r="AQ208">
        <f>IF(AL207="BUY",AQ207*('Data Checks'!D418/'Data Checks'!D417),AQ207*('Data Checks'!D417/'Data Checks'!D418))</f>
        <v>304.02911596663057</v>
      </c>
      <c r="AR208">
        <f>IF(AM207="BUY",AR207*('Data Checks'!E418/'Data Checks'!E417),AR207*('Data Checks'!E417/'Data Checks'!E418))</f>
        <v>84.767322237451509</v>
      </c>
      <c r="AS208">
        <f>IF(AN207="BUY",AS207*('Data Checks'!F418/'Data Checks'!F417),AS207*('Data Checks'!F417/'Data Checks'!F418))</f>
        <v>200.70055556953281</v>
      </c>
      <c r="AT208" s="16">
        <f t="shared" si="36"/>
        <v>828.32424269374633</v>
      </c>
      <c r="AU208" s="17">
        <f t="shared" si="40"/>
        <v>-1.7154313422333978E-3</v>
      </c>
    </row>
    <row r="209" spans="1:47" x14ac:dyDescent="0.35">
      <c r="A209" s="2">
        <f>Prices!A417</f>
        <v>44490</v>
      </c>
      <c r="B209">
        <f>B208*('Data Checks'!B419/'Data Checks'!B418)</f>
        <v>335.60833970522663</v>
      </c>
      <c r="C209">
        <f>C208*('Data Checks'!C419/'Data Checks'!C418)</f>
        <v>100.99059946636029</v>
      </c>
      <c r="D209">
        <f>D208*('Data Checks'!D419/'Data Checks'!D418)</f>
        <v>201.10202706799186</v>
      </c>
      <c r="E209">
        <f>E208*('Data Checks'!E419/'Data Checks'!E418)</f>
        <v>83.126880377406039</v>
      </c>
      <c r="F209">
        <f>F208*('Data Checks'!F419/'Data Checks'!F418)</f>
        <v>130.56747349405066</v>
      </c>
      <c r="G209" s="16">
        <f t="shared" si="33"/>
        <v>851.3953201110354</v>
      </c>
      <c r="H209" s="17">
        <f t="shared" si="37"/>
        <v>-7.8159143440178491E-3</v>
      </c>
      <c r="J209" t="str">
        <f>IF(AND('Data Checks'!B419&gt;'Data Checks'!B418,'Data Checks'!B418&gt;'Data Checks'!B417,'Data Checks'!B417&gt;'Data Checks'!B416),"SELL",IF(AND('Data Checks'!B419&lt;'Data Checks'!B418,'Data Checks'!B418&lt;'Data Checks'!B417,'Data Checks'!B417&lt;'Data Checks'!B416),"BUY",""))</f>
        <v/>
      </c>
      <c r="K209" t="str">
        <f>IF(AND('Data Checks'!C419&gt;'Data Checks'!C418,'Data Checks'!C418&gt;'Data Checks'!C417,'Data Checks'!C417&gt;'Data Checks'!C416),"SELL",IF(AND('Data Checks'!C419&lt;'Data Checks'!C418,'Data Checks'!C418&lt;'Data Checks'!C417,'Data Checks'!C417&lt;'Data Checks'!C416),"BUY",""))</f>
        <v/>
      </c>
      <c r="L209" t="str">
        <f>IF(AND('Data Checks'!D419&gt;'Data Checks'!D418,'Data Checks'!D418&gt;'Data Checks'!D417,'Data Checks'!D417&gt;'Data Checks'!D416),"SELL",IF(AND('Data Checks'!D419&lt;'Data Checks'!D418,'Data Checks'!D418&lt;'Data Checks'!D417,'Data Checks'!D417&lt;'Data Checks'!D416),"BUY",""))</f>
        <v/>
      </c>
      <c r="M209" t="str">
        <f>IF(AND('Data Checks'!E419&gt;'Data Checks'!E418,'Data Checks'!E418&gt;'Data Checks'!E417,'Data Checks'!E417&gt;'Data Checks'!E416),"SELL",IF(AND('Data Checks'!E419&lt;'Data Checks'!E418,'Data Checks'!E418&lt;'Data Checks'!E417,'Data Checks'!E417&lt;'Data Checks'!E416),"BUY",""))</f>
        <v/>
      </c>
      <c r="N209" t="str">
        <f>IF(AND('Data Checks'!F419&gt;'Data Checks'!F418,'Data Checks'!F418&gt;'Data Checks'!F417,'Data Checks'!F417&gt;'Data Checks'!F416),"SELL",IF(AND('Data Checks'!F419&lt;'Data Checks'!F418,'Data Checks'!F418&lt;'Data Checks'!F417,'Data Checks'!F417&lt;'Data Checks'!F416),"BUY",""))</f>
        <v/>
      </c>
      <c r="O209">
        <f>IF(J208="BUY",O208*('Data Checks'!B419/'Data Checks'!B418),IF(J208="SELL",O208*('Data Checks'!B418/'Data Checks'!B419),O208))</f>
        <v>239.31413073594643</v>
      </c>
      <c r="P209">
        <f>IF(K208="BUY",P208*('Data Checks'!C419/'Data Checks'!C418),IF(K208="SELL",P208*('Data Checks'!C418/'Data Checks'!C419),P208))</f>
        <v>204.19237926502757</v>
      </c>
      <c r="Q209">
        <f>IF(L208="BUY",Q208*('Data Checks'!D419/'Data Checks'!D418),IF(L208="SELL",Q208*('Data Checks'!D418/'Data Checks'!D419),Q208))</f>
        <v>242.86341667294198</v>
      </c>
      <c r="R209">
        <f>IF(M208="BUY",R208*('Data Checks'!E419/'Data Checks'!E418),IF(M208="SELL",R208*('Data Checks'!E418/'Data Checks'!E419),R208))</f>
        <v>198.17598235065725</v>
      </c>
      <c r="S209">
        <f>IF(N208="BUY",S208*('Data Checks'!F419/'Data Checks'!F418),IF(N208="SELL",S208*('Data Checks'!F418/'Data Checks'!F419),S208))</f>
        <v>186.2694583905396</v>
      </c>
      <c r="T209" s="16">
        <f t="shared" si="34"/>
        <v>1070.8153674151129</v>
      </c>
      <c r="U209" s="17">
        <f t="shared" si="38"/>
        <v>2.8741816447364066E-4</v>
      </c>
      <c r="W209" t="str">
        <f>IF(AND('Data Checks'!B419&gt;'Data Checks'!B418,'Data Checks'!B418&gt;'Data Checks'!B417,'Data Checks'!B417&gt;'Data Checks'!B416),"BUY",IF(AND('Data Checks'!B419&lt;'Data Checks'!B418,'Data Checks'!B418&lt;'Data Checks'!B417,'Data Checks'!B417&lt;'Data Checks'!B416),"SELL",""))</f>
        <v/>
      </c>
      <c r="X209" t="str">
        <f>IF(AND('Data Checks'!C419&gt;'Data Checks'!C418,'Data Checks'!C418&gt;'Data Checks'!C417,'Data Checks'!C417&gt;'Data Checks'!C416),"BUY",IF(AND('Data Checks'!C419&lt;'Data Checks'!C418,'Data Checks'!C418&lt;'Data Checks'!C417,'Data Checks'!C417&lt;'Data Checks'!C416),"SELL",""))</f>
        <v/>
      </c>
      <c r="Y209" t="str">
        <f>IF(AND('Data Checks'!D419&gt;'Data Checks'!D418,'Data Checks'!D418&gt;'Data Checks'!D417,'Data Checks'!D417&gt;'Data Checks'!D416),"BUY",IF(AND('Data Checks'!D419&lt;'Data Checks'!D418,'Data Checks'!D418&lt;'Data Checks'!D417,'Data Checks'!D417&lt;'Data Checks'!D416),"SELL",""))</f>
        <v/>
      </c>
      <c r="Z209" t="str">
        <f>IF(AND('Data Checks'!E419&gt;'Data Checks'!E418,'Data Checks'!E418&gt;'Data Checks'!E417,'Data Checks'!E417&gt;'Data Checks'!E416),"BUY",IF(AND('Data Checks'!E419&lt;'Data Checks'!E418,'Data Checks'!E418&lt;'Data Checks'!E417,'Data Checks'!E417&lt;'Data Checks'!E416),"SELL",""))</f>
        <v/>
      </c>
      <c r="AA209" t="str">
        <f>IF(AND('Data Checks'!F419&gt;'Data Checks'!F418,'Data Checks'!F418&gt;'Data Checks'!F417,'Data Checks'!F417&gt;'Data Checks'!F416),"BUY",IF(AND('Data Checks'!F419&lt;'Data Checks'!F418,'Data Checks'!F418&lt;'Data Checks'!F417,'Data Checks'!F417&lt;'Data Checks'!F416),"SELL",""))</f>
        <v/>
      </c>
      <c r="AB209">
        <f>IF(W208="BUY",AB208*('Data Checks'!B419/'Data Checks'!B418),IF(W208="SELL",AB208*('Data Checks'!B418/'Data Checks'!B419),AB208))</f>
        <v>167.1443298270384</v>
      </c>
      <c r="AC209">
        <f>IF(X208="BUY",AC208*('Data Checks'!C419/'Data Checks'!C418),IF(X208="SELL",AC208*('Data Checks'!C418/'Data Checks'!C419),AC208))</f>
        <v>195.89369664027873</v>
      </c>
      <c r="AD209">
        <f>IF(Y208="BUY",AD208*('Data Checks'!D419/'Data Checks'!D418),IF(Y208="SELL",AD208*('Data Checks'!D418/'Data Checks'!D419),AD208))</f>
        <v>164.70162755664012</v>
      </c>
      <c r="AE209">
        <f>IF(Z208="BUY",AE208*('Data Checks'!E419/'Data Checks'!E418),IF(Z208="SELL",AE208*('Data Checks'!E418/'Data Checks'!E419),AE208))</f>
        <v>201.84080596216259</v>
      </c>
      <c r="AF209">
        <f>IF(AA208="BUY",AF208*('Data Checks'!F419/'Data Checks'!F418),IF(AA208="SELL",AF208*('Data Checks'!F418/'Data Checks'!F419),AF208))</f>
        <v>214.74266552133582</v>
      </c>
      <c r="AG209" s="16">
        <f t="shared" si="35"/>
        <v>944.32312550745564</v>
      </c>
      <c r="AH209" s="17">
        <f t="shared" si="39"/>
        <v>-3.1295599324465684E-4</v>
      </c>
      <c r="AJ209" t="str">
        <f>IF('Moving Ave'!G419&gt;'Moving Ave'!L419,"SELL","BUY")</f>
        <v>SELL</v>
      </c>
      <c r="AK209" t="str">
        <f>IF('Moving Ave'!H419&gt;'Moving Ave'!M419,"SELL","BUY")</f>
        <v>BUY</v>
      </c>
      <c r="AL209" t="str">
        <f>IF('Moving Ave'!I419&gt;'Moving Ave'!N419,"SELL","BUY")</f>
        <v>SELL</v>
      </c>
      <c r="AM209" t="str">
        <f>IF('Moving Ave'!J419&gt;'Moving Ave'!O419,"SELL","BUY")</f>
        <v>BUY</v>
      </c>
      <c r="AN209" t="str">
        <f>IF('Moving Ave'!K419&gt;'Moving Ave'!P419,"SELL","BUY")</f>
        <v>BUY</v>
      </c>
      <c r="AO209">
        <f>IF(AJ208="BUY",AO208*('Data Checks'!B419/'Data Checks'!B418),AO208*('Data Checks'!B418/'Data Checks'!B419))</f>
        <v>139.07062600295222</v>
      </c>
      <c r="AP209">
        <f>IF(AK208="BUY",AP208*('Data Checks'!C419/'Data Checks'!C418),AP208*('Data Checks'!C418/'Data Checks'!C419))</f>
        <v>100.99059946636029</v>
      </c>
      <c r="AQ209">
        <f>IF(AL208="BUY",AQ208*('Data Checks'!D419/'Data Checks'!D418),AQ208*('Data Checks'!D418/'Data Checks'!D419))</f>
        <v>300.79799130773978</v>
      </c>
      <c r="AR209">
        <f>IF(AM208="BUY",AR208*('Data Checks'!E419/'Data Checks'!E418),AR208*('Data Checks'!E418/'Data Checks'!E419))</f>
        <v>83.126880377406039</v>
      </c>
      <c r="AS209">
        <f>IF(AN208="BUY",AS208*('Data Checks'!F419/'Data Checks'!F418),AS208*('Data Checks'!F418/'Data Checks'!F419))</f>
        <v>195.21069167506718</v>
      </c>
      <c r="AT209" s="16">
        <f t="shared" si="36"/>
        <v>819.19678882952553</v>
      </c>
      <c r="AU209" s="17">
        <f t="shared" si="40"/>
        <v>-1.1019179922270417E-2</v>
      </c>
    </row>
    <row r="210" spans="1:47" x14ac:dyDescent="0.35">
      <c r="A210" s="2">
        <f>Prices!A418</f>
        <v>44491</v>
      </c>
      <c r="B210">
        <f>B209*('Data Checks'!B420/'Data Checks'!B419)</f>
        <v>334.70844571573178</v>
      </c>
      <c r="C210">
        <f>C209*('Data Checks'!C420/'Data Checks'!C419)</f>
        <v>102.46380753019591</v>
      </c>
      <c r="D210">
        <f>D209*('Data Checks'!D420/'Data Checks'!D419)</f>
        <v>200.03340457561211</v>
      </c>
      <c r="E210">
        <f>E209*('Data Checks'!E420/'Data Checks'!E419)</f>
        <v>85.202544854283701</v>
      </c>
      <c r="F210">
        <f>F209*('Data Checks'!F420/'Data Checks'!F419)</f>
        <v>130.3290376298861</v>
      </c>
      <c r="G210" s="16">
        <f t="shared" si="33"/>
        <v>852.73724030570952</v>
      </c>
      <c r="H210" s="17">
        <f t="shared" si="37"/>
        <v>1.576142319526852E-3</v>
      </c>
      <c r="J210" t="str">
        <f>IF(AND('Data Checks'!B420&gt;'Data Checks'!B419,'Data Checks'!B419&gt;'Data Checks'!B418,'Data Checks'!B418&gt;'Data Checks'!B417),"SELL",IF(AND('Data Checks'!B420&lt;'Data Checks'!B419,'Data Checks'!B419&lt;'Data Checks'!B418,'Data Checks'!B418&lt;'Data Checks'!B417),"BUY",""))</f>
        <v/>
      </c>
      <c r="K210" t="str">
        <f>IF(AND('Data Checks'!C420&gt;'Data Checks'!C419,'Data Checks'!C419&gt;'Data Checks'!C418,'Data Checks'!C418&gt;'Data Checks'!C417),"SELL",IF(AND('Data Checks'!C420&lt;'Data Checks'!C419,'Data Checks'!C419&lt;'Data Checks'!C418,'Data Checks'!C418&lt;'Data Checks'!C417),"BUY",""))</f>
        <v/>
      </c>
      <c r="L210" t="str">
        <f>IF(AND('Data Checks'!D420&gt;'Data Checks'!D419,'Data Checks'!D419&gt;'Data Checks'!D418,'Data Checks'!D418&gt;'Data Checks'!D417),"SELL",IF(AND('Data Checks'!D420&lt;'Data Checks'!D419,'Data Checks'!D419&lt;'Data Checks'!D418,'Data Checks'!D418&lt;'Data Checks'!D417),"BUY",""))</f>
        <v/>
      </c>
      <c r="M210" t="str">
        <f>IF(AND('Data Checks'!E420&gt;'Data Checks'!E419,'Data Checks'!E419&gt;'Data Checks'!E418,'Data Checks'!E418&gt;'Data Checks'!E417),"SELL",IF(AND('Data Checks'!E420&lt;'Data Checks'!E419,'Data Checks'!E419&lt;'Data Checks'!E418,'Data Checks'!E418&lt;'Data Checks'!E417),"BUY",""))</f>
        <v/>
      </c>
      <c r="N210" t="str">
        <f>IF(AND('Data Checks'!F420&gt;'Data Checks'!F419,'Data Checks'!F419&gt;'Data Checks'!F418,'Data Checks'!F418&gt;'Data Checks'!F417),"SELL",IF(AND('Data Checks'!F420&lt;'Data Checks'!F419,'Data Checks'!F419&lt;'Data Checks'!F418,'Data Checks'!F418&lt;'Data Checks'!F417),"BUY",""))</f>
        <v>BUY</v>
      </c>
      <c r="O210">
        <f>IF(J209="BUY",O209*('Data Checks'!B420/'Data Checks'!B419),IF(J209="SELL",O209*('Data Checks'!B419/'Data Checks'!B420),O209))</f>
        <v>239.31413073594643</v>
      </c>
      <c r="P210">
        <f>IF(K209="BUY",P209*('Data Checks'!C420/'Data Checks'!C419),IF(K209="SELL",P209*('Data Checks'!C419/'Data Checks'!C420),P209))</f>
        <v>204.19237926502757</v>
      </c>
      <c r="Q210">
        <f>IF(L209="BUY",Q209*('Data Checks'!D420/'Data Checks'!D419),IF(L209="SELL",Q209*('Data Checks'!D419/'Data Checks'!D420),Q209))</f>
        <v>242.86341667294198</v>
      </c>
      <c r="R210">
        <f>IF(M209="BUY",R209*('Data Checks'!E420/'Data Checks'!E419),IF(M209="SELL",R209*('Data Checks'!E419/'Data Checks'!E420),R209))</f>
        <v>198.17598235065725</v>
      </c>
      <c r="S210">
        <f>IF(N209="BUY",S209*('Data Checks'!F420/'Data Checks'!F419),IF(N209="SELL",S209*('Data Checks'!F419/'Data Checks'!F420),S209))</f>
        <v>186.2694583905396</v>
      </c>
      <c r="T210" s="16">
        <f t="shared" si="34"/>
        <v>1070.8153674151129</v>
      </c>
      <c r="U210" s="17">
        <f t="shared" si="38"/>
        <v>0</v>
      </c>
      <c r="W210" t="str">
        <f>IF(AND('Data Checks'!B420&gt;'Data Checks'!B419,'Data Checks'!B419&gt;'Data Checks'!B418,'Data Checks'!B418&gt;'Data Checks'!B417),"BUY",IF(AND('Data Checks'!B420&lt;'Data Checks'!B419,'Data Checks'!B419&lt;'Data Checks'!B418,'Data Checks'!B418&lt;'Data Checks'!B417),"SELL",""))</f>
        <v/>
      </c>
      <c r="X210" t="str">
        <f>IF(AND('Data Checks'!C420&gt;'Data Checks'!C419,'Data Checks'!C419&gt;'Data Checks'!C418,'Data Checks'!C418&gt;'Data Checks'!C417),"BUY",IF(AND('Data Checks'!C420&lt;'Data Checks'!C419,'Data Checks'!C419&lt;'Data Checks'!C418,'Data Checks'!C418&lt;'Data Checks'!C417),"SELL",""))</f>
        <v/>
      </c>
      <c r="Y210" t="str">
        <f>IF(AND('Data Checks'!D420&gt;'Data Checks'!D419,'Data Checks'!D419&gt;'Data Checks'!D418,'Data Checks'!D418&gt;'Data Checks'!D417),"BUY",IF(AND('Data Checks'!D420&lt;'Data Checks'!D419,'Data Checks'!D419&lt;'Data Checks'!D418,'Data Checks'!D418&lt;'Data Checks'!D417),"SELL",""))</f>
        <v/>
      </c>
      <c r="Z210" t="str">
        <f>IF(AND('Data Checks'!E420&gt;'Data Checks'!E419,'Data Checks'!E419&gt;'Data Checks'!E418,'Data Checks'!E418&gt;'Data Checks'!E417),"BUY",IF(AND('Data Checks'!E420&lt;'Data Checks'!E419,'Data Checks'!E419&lt;'Data Checks'!E418,'Data Checks'!E418&lt;'Data Checks'!E417),"SELL",""))</f>
        <v/>
      </c>
      <c r="AA210" t="str">
        <f>IF(AND('Data Checks'!F420&gt;'Data Checks'!F419,'Data Checks'!F419&gt;'Data Checks'!F418,'Data Checks'!F418&gt;'Data Checks'!F417),"BUY",IF(AND('Data Checks'!F420&lt;'Data Checks'!F419,'Data Checks'!F419&lt;'Data Checks'!F418,'Data Checks'!F418&lt;'Data Checks'!F417),"SELL",""))</f>
        <v>SELL</v>
      </c>
      <c r="AB210">
        <f>IF(W209="BUY",AB209*('Data Checks'!B420/'Data Checks'!B419),IF(W209="SELL",AB209*('Data Checks'!B419/'Data Checks'!B420),AB209))</f>
        <v>167.1443298270384</v>
      </c>
      <c r="AC210">
        <f>IF(X209="BUY",AC209*('Data Checks'!C420/'Data Checks'!C419),IF(X209="SELL",AC209*('Data Checks'!C419/'Data Checks'!C420),AC209))</f>
        <v>195.89369664027873</v>
      </c>
      <c r="AD210">
        <f>IF(Y209="BUY",AD209*('Data Checks'!D420/'Data Checks'!D419),IF(Y209="SELL",AD209*('Data Checks'!D419/'Data Checks'!D420),AD209))</f>
        <v>164.70162755664012</v>
      </c>
      <c r="AE210">
        <f>IF(Z209="BUY",AE209*('Data Checks'!E420/'Data Checks'!E419),IF(Z209="SELL",AE209*('Data Checks'!E419/'Data Checks'!E420),AE209))</f>
        <v>201.84080596216259</v>
      </c>
      <c r="AF210">
        <f>IF(AA209="BUY",AF209*('Data Checks'!F420/'Data Checks'!F419),IF(AA209="SELL",AF209*('Data Checks'!F419/'Data Checks'!F420),AF209))</f>
        <v>214.74266552133582</v>
      </c>
      <c r="AG210" s="16">
        <f t="shared" si="35"/>
        <v>944.32312550745564</v>
      </c>
      <c r="AH210" s="17">
        <f t="shared" si="39"/>
        <v>0</v>
      </c>
      <c r="AJ210" t="str">
        <f>IF('Moving Ave'!G420&gt;'Moving Ave'!L420,"SELL","BUY")</f>
        <v>SELL</v>
      </c>
      <c r="AK210" t="str">
        <f>IF('Moving Ave'!H420&gt;'Moving Ave'!M420,"SELL","BUY")</f>
        <v>BUY</v>
      </c>
      <c r="AL210" t="str">
        <f>IF('Moving Ave'!I420&gt;'Moving Ave'!N420,"SELL","BUY")</f>
        <v>SELL</v>
      </c>
      <c r="AM210" t="str">
        <f>IF('Moving Ave'!J420&gt;'Moving Ave'!O420,"SELL","BUY")</f>
        <v>BUY</v>
      </c>
      <c r="AN210" t="str">
        <f>IF('Moving Ave'!K420&gt;'Moving Ave'!P420,"SELL","BUY")</f>
        <v>BUY</v>
      </c>
      <c r="AO210">
        <f>IF(AJ209="BUY",AO209*('Data Checks'!B420/'Data Checks'!B419),AO209*('Data Checks'!B419/'Data Checks'!B420))</f>
        <v>139.44452998433437</v>
      </c>
      <c r="AP210">
        <f>IF(AK209="BUY",AP209*('Data Checks'!C420/'Data Checks'!C419),AP209*('Data Checks'!C419/'Data Checks'!C420))</f>
        <v>102.46380753019591</v>
      </c>
      <c r="AQ210">
        <f>IF(AL209="BUY",AQ209*('Data Checks'!D420/'Data Checks'!D419),AQ209*('Data Checks'!D419/'Data Checks'!D420))</f>
        <v>302.40492040968684</v>
      </c>
      <c r="AR210">
        <f>IF(AM209="BUY",AR209*('Data Checks'!E420/'Data Checks'!E419),AR209*('Data Checks'!E419/'Data Checks'!E420))</f>
        <v>85.202544854283701</v>
      </c>
      <c r="AS210">
        <f>IF(AN209="BUY",AS209*('Data Checks'!F420/'Data Checks'!F419),AS209*('Data Checks'!F419/'Data Checks'!F420))</f>
        <v>194.85420756215504</v>
      </c>
      <c r="AT210" s="16">
        <f t="shared" si="36"/>
        <v>824.37001034065588</v>
      </c>
      <c r="AU210" s="17">
        <f t="shared" si="40"/>
        <v>6.3149924190033513E-3</v>
      </c>
    </row>
    <row r="211" spans="1:47" x14ac:dyDescent="0.35">
      <c r="A211" s="2">
        <f>Prices!A419</f>
        <v>44492</v>
      </c>
      <c r="B211">
        <f>B210*('Data Checks'!B421/'Data Checks'!B420)</f>
        <v>337.65890433844476</v>
      </c>
      <c r="C211">
        <f>C210*('Data Checks'!C421/'Data Checks'!C420)</f>
        <v>106.07060975541313</v>
      </c>
      <c r="D211">
        <f>D210*('Data Checks'!D421/'Data Checks'!D420)</f>
        <v>199.03155450044346</v>
      </c>
      <c r="E211">
        <f>E210*('Data Checks'!E421/'Data Checks'!E420)</f>
        <v>85.738199339196512</v>
      </c>
      <c r="F211">
        <f>F210*('Data Checks'!F421/'Data Checks'!F420)</f>
        <v>132.61803050955697</v>
      </c>
      <c r="G211" s="16">
        <f t="shared" si="33"/>
        <v>861.11729844305489</v>
      </c>
      <c r="H211" s="17">
        <f t="shared" si="37"/>
        <v>9.8272454177574797E-3</v>
      </c>
      <c r="J211" t="str">
        <f>IF(AND('Data Checks'!B421&gt;'Data Checks'!B420,'Data Checks'!B420&gt;'Data Checks'!B419,'Data Checks'!B419&gt;'Data Checks'!B418),"SELL",IF(AND('Data Checks'!B421&lt;'Data Checks'!B420,'Data Checks'!B420&lt;'Data Checks'!B419,'Data Checks'!B419&lt;'Data Checks'!B418),"BUY",""))</f>
        <v/>
      </c>
      <c r="K211" t="str">
        <f>IF(AND('Data Checks'!C421&gt;'Data Checks'!C420,'Data Checks'!C420&gt;'Data Checks'!C419,'Data Checks'!C419&gt;'Data Checks'!C418),"SELL",IF(AND('Data Checks'!C421&lt;'Data Checks'!C420,'Data Checks'!C420&lt;'Data Checks'!C419,'Data Checks'!C419&lt;'Data Checks'!C418),"BUY",""))</f>
        <v/>
      </c>
      <c r="L211" t="str">
        <f>IF(AND('Data Checks'!D421&gt;'Data Checks'!D420,'Data Checks'!D420&gt;'Data Checks'!D419,'Data Checks'!D419&gt;'Data Checks'!D418),"SELL",IF(AND('Data Checks'!D421&lt;'Data Checks'!D420,'Data Checks'!D420&lt;'Data Checks'!D419,'Data Checks'!D419&lt;'Data Checks'!D418),"BUY",""))</f>
        <v/>
      </c>
      <c r="M211" t="str">
        <f>IF(AND('Data Checks'!E421&gt;'Data Checks'!E420,'Data Checks'!E420&gt;'Data Checks'!E419,'Data Checks'!E419&gt;'Data Checks'!E418),"SELL",IF(AND('Data Checks'!E421&lt;'Data Checks'!E420,'Data Checks'!E420&lt;'Data Checks'!E419,'Data Checks'!E419&lt;'Data Checks'!E418),"BUY",""))</f>
        <v/>
      </c>
      <c r="N211" t="str">
        <f>IF(AND('Data Checks'!F421&gt;'Data Checks'!F420,'Data Checks'!F420&gt;'Data Checks'!F419,'Data Checks'!F419&gt;'Data Checks'!F418),"SELL",IF(AND('Data Checks'!F421&lt;'Data Checks'!F420,'Data Checks'!F420&lt;'Data Checks'!F419,'Data Checks'!F419&lt;'Data Checks'!F418),"BUY",""))</f>
        <v/>
      </c>
      <c r="O211">
        <f>IF(J210="BUY",O210*('Data Checks'!B421/'Data Checks'!B420),IF(J210="SELL",O210*('Data Checks'!B420/'Data Checks'!B421),O210))</f>
        <v>239.31413073594643</v>
      </c>
      <c r="P211">
        <f>IF(K210="BUY",P210*('Data Checks'!C421/'Data Checks'!C420),IF(K210="SELL",P210*('Data Checks'!C420/'Data Checks'!C421),P210))</f>
        <v>204.19237926502757</v>
      </c>
      <c r="Q211">
        <f>IF(L210="BUY",Q210*('Data Checks'!D421/'Data Checks'!D420),IF(L210="SELL",Q210*('Data Checks'!D420/'Data Checks'!D421),Q210))</f>
        <v>242.86341667294198</v>
      </c>
      <c r="R211">
        <f>IF(M210="BUY",R210*('Data Checks'!E421/'Data Checks'!E420),IF(M210="SELL",R210*('Data Checks'!E420/'Data Checks'!E421),R210))</f>
        <v>198.17598235065725</v>
      </c>
      <c r="S211">
        <f>IF(N210="BUY",S210*('Data Checks'!F421/'Data Checks'!F420),IF(N210="SELL",S210*('Data Checks'!F420/'Data Checks'!F421),S210))</f>
        <v>189.54094317788926</v>
      </c>
      <c r="T211" s="16">
        <f t="shared" si="34"/>
        <v>1074.0868522024625</v>
      </c>
      <c r="U211" s="17">
        <f t="shared" si="38"/>
        <v>3.0551343274487497E-3</v>
      </c>
      <c r="W211" t="str">
        <f>IF(AND('Data Checks'!B421&gt;'Data Checks'!B420,'Data Checks'!B420&gt;'Data Checks'!B419,'Data Checks'!B419&gt;'Data Checks'!B418),"BUY",IF(AND('Data Checks'!B421&lt;'Data Checks'!B420,'Data Checks'!B420&lt;'Data Checks'!B419,'Data Checks'!B419&lt;'Data Checks'!B418),"SELL",""))</f>
        <v/>
      </c>
      <c r="X211" t="str">
        <f>IF(AND('Data Checks'!C421&gt;'Data Checks'!C420,'Data Checks'!C420&gt;'Data Checks'!C419,'Data Checks'!C419&gt;'Data Checks'!C418),"BUY",IF(AND('Data Checks'!C421&lt;'Data Checks'!C420,'Data Checks'!C420&lt;'Data Checks'!C419,'Data Checks'!C419&lt;'Data Checks'!C418),"SELL",""))</f>
        <v/>
      </c>
      <c r="Y211" t="str">
        <f>IF(AND('Data Checks'!D421&gt;'Data Checks'!D420,'Data Checks'!D420&gt;'Data Checks'!D419,'Data Checks'!D419&gt;'Data Checks'!D418),"BUY",IF(AND('Data Checks'!D421&lt;'Data Checks'!D420,'Data Checks'!D420&lt;'Data Checks'!D419,'Data Checks'!D419&lt;'Data Checks'!D418),"SELL",""))</f>
        <v/>
      </c>
      <c r="Z211" t="str">
        <f>IF(AND('Data Checks'!E421&gt;'Data Checks'!E420,'Data Checks'!E420&gt;'Data Checks'!E419,'Data Checks'!E419&gt;'Data Checks'!E418),"BUY",IF(AND('Data Checks'!E421&lt;'Data Checks'!E420,'Data Checks'!E420&lt;'Data Checks'!E419,'Data Checks'!E419&lt;'Data Checks'!E418),"SELL",""))</f>
        <v/>
      </c>
      <c r="AA211" t="str">
        <f>IF(AND('Data Checks'!F421&gt;'Data Checks'!F420,'Data Checks'!F420&gt;'Data Checks'!F419,'Data Checks'!F419&gt;'Data Checks'!F418),"BUY",IF(AND('Data Checks'!F421&lt;'Data Checks'!F420,'Data Checks'!F420&lt;'Data Checks'!F419,'Data Checks'!F419&lt;'Data Checks'!F418),"SELL",""))</f>
        <v/>
      </c>
      <c r="AB211">
        <f>IF(W210="BUY",AB210*('Data Checks'!B421/'Data Checks'!B420),IF(W210="SELL",AB210*('Data Checks'!B420/'Data Checks'!B421),AB210))</f>
        <v>167.1443298270384</v>
      </c>
      <c r="AC211">
        <f>IF(X210="BUY",AC210*('Data Checks'!C421/'Data Checks'!C420),IF(X210="SELL",AC210*('Data Checks'!C420/'Data Checks'!C421),AC210))</f>
        <v>195.89369664027873</v>
      </c>
      <c r="AD211">
        <f>IF(Y210="BUY",AD210*('Data Checks'!D421/'Data Checks'!D420),IF(Y210="SELL",AD210*('Data Checks'!D420/'Data Checks'!D421),AD210))</f>
        <v>164.70162755664012</v>
      </c>
      <c r="AE211">
        <f>IF(Z210="BUY",AE210*('Data Checks'!E421/'Data Checks'!E420),IF(Z210="SELL",AE210*('Data Checks'!E420/'Data Checks'!E421),AE210))</f>
        <v>201.84080596216259</v>
      </c>
      <c r="AF211">
        <f>IF(AA210="BUY",AF210*('Data Checks'!F421/'Data Checks'!F420),IF(AA210="SELL",AF210*('Data Checks'!F420/'Data Checks'!F421),AF210))</f>
        <v>211.03619792827004</v>
      </c>
      <c r="AG211" s="16">
        <f t="shared" si="35"/>
        <v>940.61665791438986</v>
      </c>
      <c r="AH211" s="17">
        <f t="shared" si="39"/>
        <v>-3.9249992856777993E-3</v>
      </c>
      <c r="AJ211" t="str">
        <f>IF('Moving Ave'!G421&gt;'Moving Ave'!L421,"SELL","BUY")</f>
        <v>SELL</v>
      </c>
      <c r="AK211" t="str">
        <f>IF('Moving Ave'!H421&gt;'Moving Ave'!M421,"SELL","BUY")</f>
        <v>BUY</v>
      </c>
      <c r="AL211" t="str">
        <f>IF('Moving Ave'!I421&gt;'Moving Ave'!N421,"SELL","BUY")</f>
        <v>SELL</v>
      </c>
      <c r="AM211" t="str">
        <f>IF('Moving Ave'!J421&gt;'Moving Ave'!O421,"SELL","BUY")</f>
        <v>BUY</v>
      </c>
      <c r="AN211" t="str">
        <f>IF('Moving Ave'!K421&gt;'Moving Ave'!P421,"SELL","BUY")</f>
        <v>BUY</v>
      </c>
      <c r="AO211">
        <f>IF(AJ210="BUY",AO210*('Data Checks'!B421/'Data Checks'!B420),AO210*('Data Checks'!B420/'Data Checks'!B421))</f>
        <v>138.22606569804961</v>
      </c>
      <c r="AP211">
        <f>IF(AK210="BUY",AP210*('Data Checks'!C421/'Data Checks'!C420),AP210*('Data Checks'!C420/'Data Checks'!C421))</f>
        <v>106.07060975541313</v>
      </c>
      <c r="AQ211">
        <f>IF(AL210="BUY",AQ210*('Data Checks'!D421/'Data Checks'!D420),AQ210*('Data Checks'!D420/'Data Checks'!D421))</f>
        <v>303.92711317456894</v>
      </c>
      <c r="AR211">
        <f>IF(AM210="BUY",AR210*('Data Checks'!E421/'Data Checks'!E420),AR210*('Data Checks'!E420/'Data Checks'!E421))</f>
        <v>85.738199339196512</v>
      </c>
      <c r="AS211">
        <f>IF(AN210="BUY",AS210*('Data Checks'!F421/'Data Checks'!F420),AS210*('Data Checks'!F420/'Data Checks'!F421))</f>
        <v>198.27646787953964</v>
      </c>
      <c r="AT211" s="16">
        <f t="shared" si="36"/>
        <v>832.23845584676781</v>
      </c>
      <c r="AU211" s="17">
        <f t="shared" si="40"/>
        <v>9.5447983398382341E-3</v>
      </c>
    </row>
    <row r="212" spans="1:47" x14ac:dyDescent="0.35">
      <c r="A212" s="2">
        <f>Prices!A420</f>
        <v>44495</v>
      </c>
      <c r="B212">
        <f>B211*('Data Checks'!B422/'Data Checks'!B421)</f>
        <v>337.93710487333021</v>
      </c>
      <c r="C212">
        <f>C211*('Data Checks'!C422/'Data Checks'!C421)</f>
        <v>105.30861329206549</v>
      </c>
      <c r="D212">
        <f>D211*('Data Checks'!D422/'Data Checks'!D421)</f>
        <v>194.6234762835779</v>
      </c>
      <c r="E212">
        <f>E211*('Data Checks'!E422/'Data Checks'!E421)</f>
        <v>83.126880377406053</v>
      </c>
      <c r="F212">
        <f>F211*('Data Checks'!F422/'Data Checks'!F421)</f>
        <v>131.85503288300001</v>
      </c>
      <c r="G212" s="16">
        <f t="shared" si="33"/>
        <v>852.85110770937979</v>
      </c>
      <c r="H212" s="17">
        <f t="shared" si="37"/>
        <v>-9.5993783293180091E-3</v>
      </c>
      <c r="J212" t="str">
        <f>IF(AND('Data Checks'!B422&gt;'Data Checks'!B421,'Data Checks'!B421&gt;'Data Checks'!B420,'Data Checks'!B420&gt;'Data Checks'!B419),"SELL",IF(AND('Data Checks'!B422&lt;'Data Checks'!B421,'Data Checks'!B421&lt;'Data Checks'!B420,'Data Checks'!B420&lt;'Data Checks'!B419),"BUY",""))</f>
        <v/>
      </c>
      <c r="K212" t="str">
        <f>IF(AND('Data Checks'!C422&gt;'Data Checks'!C421,'Data Checks'!C421&gt;'Data Checks'!C420,'Data Checks'!C420&gt;'Data Checks'!C419),"SELL",IF(AND('Data Checks'!C422&lt;'Data Checks'!C421,'Data Checks'!C421&lt;'Data Checks'!C420,'Data Checks'!C420&lt;'Data Checks'!C419),"BUY",""))</f>
        <v/>
      </c>
      <c r="L212" t="str">
        <f>IF(AND('Data Checks'!D422&gt;'Data Checks'!D421,'Data Checks'!D421&gt;'Data Checks'!D420,'Data Checks'!D420&gt;'Data Checks'!D419),"SELL",IF(AND('Data Checks'!D422&lt;'Data Checks'!D421,'Data Checks'!D421&lt;'Data Checks'!D420,'Data Checks'!D420&lt;'Data Checks'!D419),"BUY",""))</f>
        <v>BUY</v>
      </c>
      <c r="M212" t="str">
        <f>IF(AND('Data Checks'!E422&gt;'Data Checks'!E421,'Data Checks'!E421&gt;'Data Checks'!E420,'Data Checks'!E420&gt;'Data Checks'!E419),"SELL",IF(AND('Data Checks'!E422&lt;'Data Checks'!E421,'Data Checks'!E421&lt;'Data Checks'!E420,'Data Checks'!E420&lt;'Data Checks'!E419),"BUY",""))</f>
        <v/>
      </c>
      <c r="N212" t="str">
        <f>IF(AND('Data Checks'!F422&gt;'Data Checks'!F421,'Data Checks'!F421&gt;'Data Checks'!F420,'Data Checks'!F420&gt;'Data Checks'!F419),"SELL",IF(AND('Data Checks'!F422&lt;'Data Checks'!F421,'Data Checks'!F421&lt;'Data Checks'!F420,'Data Checks'!F420&lt;'Data Checks'!F419),"BUY",""))</f>
        <v/>
      </c>
      <c r="O212">
        <f>IF(J211="BUY",O211*('Data Checks'!B422/'Data Checks'!B421),IF(J211="SELL",O211*('Data Checks'!B421/'Data Checks'!B422),O211))</f>
        <v>239.31413073594643</v>
      </c>
      <c r="P212">
        <f>IF(K211="BUY",P211*('Data Checks'!C422/'Data Checks'!C421),IF(K211="SELL",P211*('Data Checks'!C421/'Data Checks'!C422),P211))</f>
        <v>204.19237926502757</v>
      </c>
      <c r="Q212">
        <f>IF(L211="BUY",Q211*('Data Checks'!D422/'Data Checks'!D421),IF(L211="SELL",Q211*('Data Checks'!D421/'Data Checks'!D422),Q211))</f>
        <v>242.86341667294198</v>
      </c>
      <c r="R212">
        <f>IF(M211="BUY",R211*('Data Checks'!E422/'Data Checks'!E421),IF(M211="SELL",R211*('Data Checks'!E421/'Data Checks'!E422),R211))</f>
        <v>198.17598235065725</v>
      </c>
      <c r="S212">
        <f>IF(N211="BUY",S211*('Data Checks'!F422/'Data Checks'!F421),IF(N211="SELL",S211*('Data Checks'!F421/'Data Checks'!F422),S211))</f>
        <v>189.54094317788926</v>
      </c>
      <c r="T212" s="16">
        <f t="shared" si="34"/>
        <v>1074.0868522024625</v>
      </c>
      <c r="U212" s="17">
        <f t="shared" si="38"/>
        <v>0</v>
      </c>
      <c r="W212" t="str">
        <f>IF(AND('Data Checks'!B422&gt;'Data Checks'!B421,'Data Checks'!B421&gt;'Data Checks'!B420,'Data Checks'!B420&gt;'Data Checks'!B419),"BUY",IF(AND('Data Checks'!B422&lt;'Data Checks'!B421,'Data Checks'!B421&lt;'Data Checks'!B420,'Data Checks'!B420&lt;'Data Checks'!B419),"SELL",""))</f>
        <v/>
      </c>
      <c r="X212" t="str">
        <f>IF(AND('Data Checks'!C422&gt;'Data Checks'!C421,'Data Checks'!C421&gt;'Data Checks'!C420,'Data Checks'!C420&gt;'Data Checks'!C419),"BUY",IF(AND('Data Checks'!C422&lt;'Data Checks'!C421,'Data Checks'!C421&lt;'Data Checks'!C420,'Data Checks'!C420&lt;'Data Checks'!C419),"SELL",""))</f>
        <v/>
      </c>
      <c r="Y212" t="str">
        <f>IF(AND('Data Checks'!D422&gt;'Data Checks'!D421,'Data Checks'!D421&gt;'Data Checks'!D420,'Data Checks'!D420&gt;'Data Checks'!D419),"BUY",IF(AND('Data Checks'!D422&lt;'Data Checks'!D421,'Data Checks'!D421&lt;'Data Checks'!D420,'Data Checks'!D420&lt;'Data Checks'!D419),"SELL",""))</f>
        <v>SELL</v>
      </c>
      <c r="Z212" t="str">
        <f>IF(AND('Data Checks'!E422&gt;'Data Checks'!E421,'Data Checks'!E421&gt;'Data Checks'!E420,'Data Checks'!E420&gt;'Data Checks'!E419),"BUY",IF(AND('Data Checks'!E422&lt;'Data Checks'!E421,'Data Checks'!E421&lt;'Data Checks'!E420,'Data Checks'!E420&lt;'Data Checks'!E419),"SELL",""))</f>
        <v/>
      </c>
      <c r="AA212" t="str">
        <f>IF(AND('Data Checks'!F422&gt;'Data Checks'!F421,'Data Checks'!F421&gt;'Data Checks'!F420,'Data Checks'!F420&gt;'Data Checks'!F419),"BUY",IF(AND('Data Checks'!F422&lt;'Data Checks'!F421,'Data Checks'!F421&lt;'Data Checks'!F420,'Data Checks'!F420&lt;'Data Checks'!F419),"SELL",""))</f>
        <v/>
      </c>
      <c r="AB212">
        <f>IF(W211="BUY",AB211*('Data Checks'!B422/'Data Checks'!B421),IF(W211="SELL",AB211*('Data Checks'!B421/'Data Checks'!B422),AB211))</f>
        <v>167.1443298270384</v>
      </c>
      <c r="AC212">
        <f>IF(X211="BUY",AC211*('Data Checks'!C422/'Data Checks'!C421),IF(X211="SELL",AC211*('Data Checks'!C421/'Data Checks'!C422),AC211))</f>
        <v>195.89369664027873</v>
      </c>
      <c r="AD212">
        <f>IF(Y211="BUY",AD211*('Data Checks'!D422/'Data Checks'!D421),IF(Y211="SELL",AD211*('Data Checks'!D421/'Data Checks'!D422),AD211))</f>
        <v>164.70162755664012</v>
      </c>
      <c r="AE212">
        <f>IF(Z211="BUY",AE211*('Data Checks'!E422/'Data Checks'!E421),IF(Z211="SELL",AE211*('Data Checks'!E421/'Data Checks'!E422),AE211))</f>
        <v>201.84080596216259</v>
      </c>
      <c r="AF212">
        <f>IF(AA211="BUY",AF211*('Data Checks'!F422/'Data Checks'!F421),IF(AA211="SELL",AF211*('Data Checks'!F421/'Data Checks'!F422),AF211))</f>
        <v>211.03619792827004</v>
      </c>
      <c r="AG212" s="16">
        <f t="shared" si="35"/>
        <v>940.61665791438986</v>
      </c>
      <c r="AH212" s="17">
        <f t="shared" si="39"/>
        <v>0</v>
      </c>
      <c r="AJ212" t="str">
        <f>IF('Moving Ave'!G422&gt;'Moving Ave'!L422,"SELL","BUY")</f>
        <v>SELL</v>
      </c>
      <c r="AK212" t="str">
        <f>IF('Moving Ave'!H422&gt;'Moving Ave'!M422,"SELL","BUY")</f>
        <v>BUY</v>
      </c>
      <c r="AL212" t="str">
        <f>IF('Moving Ave'!I422&gt;'Moving Ave'!N422,"SELL","BUY")</f>
        <v>SELL</v>
      </c>
      <c r="AM212" t="str">
        <f>IF('Moving Ave'!J422&gt;'Moving Ave'!O422,"SELL","BUY")</f>
        <v>BUY</v>
      </c>
      <c r="AN212" t="str">
        <f>IF('Moving Ave'!K422&gt;'Moving Ave'!P422,"SELL","BUY")</f>
        <v>BUY</v>
      </c>
      <c r="AO212">
        <f>IF(AJ211="BUY",AO211*('Data Checks'!B422/'Data Checks'!B421),AO211*('Data Checks'!B421/'Data Checks'!B422))</f>
        <v>138.11227362000383</v>
      </c>
      <c r="AP212">
        <f>IF(AK211="BUY",AP211*('Data Checks'!C422/'Data Checks'!C421),AP211*('Data Checks'!C421/'Data Checks'!C422))</f>
        <v>105.30861329206549</v>
      </c>
      <c r="AQ212">
        <f>IF(AL211="BUY",AQ211*('Data Checks'!D422/'Data Checks'!D421),AQ211*('Data Checks'!D421/'Data Checks'!D422))</f>
        <v>310.81083816336519</v>
      </c>
      <c r="AR212">
        <f>IF(AM211="BUY",AR211*('Data Checks'!E422/'Data Checks'!E421),AR211*('Data Checks'!E421/'Data Checks'!E422))</f>
        <v>83.126880377406053</v>
      </c>
      <c r="AS212">
        <f>IF(AN211="BUY",AS211*('Data Checks'!F422/'Data Checks'!F421),AS211*('Data Checks'!F421/'Data Checks'!F422))</f>
        <v>197.13571444041142</v>
      </c>
      <c r="AT212" s="16">
        <f t="shared" si="36"/>
        <v>834.49431989325194</v>
      </c>
      <c r="AU212" s="17">
        <f t="shared" si="40"/>
        <v>2.7105981832922232E-3</v>
      </c>
    </row>
    <row r="213" spans="1:47" x14ac:dyDescent="0.35">
      <c r="A213" s="2">
        <f>Prices!A421</f>
        <v>44496</v>
      </c>
      <c r="B213">
        <f>B212*('Data Checks'!B423/'Data Checks'!B422)</f>
        <v>346.29217556128719</v>
      </c>
      <c r="C213">
        <f>C212*('Data Checks'!C423/'Data Checks'!C422)</f>
        <v>109.32182142041724</v>
      </c>
      <c r="D213">
        <f>D212*('Data Checks'!D423/'Data Checks'!D422)</f>
        <v>193.52146257340905</v>
      </c>
      <c r="E213">
        <f>E212*('Data Checks'!E423/'Data Checks'!E422)</f>
        <v>80.984265785595369</v>
      </c>
      <c r="F213">
        <f>F212*('Data Checks'!F423/'Data Checks'!F422)</f>
        <v>127.61087736210126</v>
      </c>
      <c r="G213" s="16">
        <f t="shared" si="33"/>
        <v>857.73060270281007</v>
      </c>
      <c r="H213" s="17">
        <f t="shared" si="37"/>
        <v>5.7213914003533262E-3</v>
      </c>
      <c r="J213" t="str">
        <f>IF(AND('Data Checks'!B423&gt;'Data Checks'!B422,'Data Checks'!B422&gt;'Data Checks'!B421,'Data Checks'!B421&gt;'Data Checks'!B420),"SELL",IF(AND('Data Checks'!B423&lt;'Data Checks'!B422,'Data Checks'!B422&lt;'Data Checks'!B421,'Data Checks'!B421&lt;'Data Checks'!B420),"BUY",""))</f>
        <v>SELL</v>
      </c>
      <c r="K213" t="str">
        <f>IF(AND('Data Checks'!C423&gt;'Data Checks'!C422,'Data Checks'!C422&gt;'Data Checks'!C421,'Data Checks'!C421&gt;'Data Checks'!C420),"SELL",IF(AND('Data Checks'!C423&lt;'Data Checks'!C422,'Data Checks'!C422&lt;'Data Checks'!C421,'Data Checks'!C421&lt;'Data Checks'!C420),"BUY",""))</f>
        <v/>
      </c>
      <c r="L213" t="str">
        <f>IF(AND('Data Checks'!D423&gt;'Data Checks'!D422,'Data Checks'!D422&gt;'Data Checks'!D421,'Data Checks'!D421&gt;'Data Checks'!D420),"SELL",IF(AND('Data Checks'!D423&lt;'Data Checks'!D422,'Data Checks'!D422&lt;'Data Checks'!D421,'Data Checks'!D421&lt;'Data Checks'!D420),"BUY",""))</f>
        <v>BUY</v>
      </c>
      <c r="M213" t="str">
        <f>IF(AND('Data Checks'!E423&gt;'Data Checks'!E422,'Data Checks'!E422&gt;'Data Checks'!E421,'Data Checks'!E421&gt;'Data Checks'!E420),"SELL",IF(AND('Data Checks'!E423&lt;'Data Checks'!E422,'Data Checks'!E422&lt;'Data Checks'!E421,'Data Checks'!E421&lt;'Data Checks'!E420),"BUY",""))</f>
        <v/>
      </c>
      <c r="N213" t="str">
        <f>IF(AND('Data Checks'!F423&gt;'Data Checks'!F422,'Data Checks'!F422&gt;'Data Checks'!F421,'Data Checks'!F421&gt;'Data Checks'!F420),"SELL",IF(AND('Data Checks'!F423&lt;'Data Checks'!F422,'Data Checks'!F422&lt;'Data Checks'!F421,'Data Checks'!F421&lt;'Data Checks'!F420),"BUY",""))</f>
        <v/>
      </c>
      <c r="O213">
        <f>IF(J212="BUY",O212*('Data Checks'!B423/'Data Checks'!B422),IF(J212="SELL",O212*('Data Checks'!B422/'Data Checks'!B423),O212))</f>
        <v>239.31413073594643</v>
      </c>
      <c r="P213">
        <f>IF(K212="BUY",P212*('Data Checks'!C423/'Data Checks'!C422),IF(K212="SELL",P212*('Data Checks'!C422/'Data Checks'!C423),P212))</f>
        <v>204.19237926502757</v>
      </c>
      <c r="Q213">
        <f>IF(L212="BUY",Q212*('Data Checks'!D423/'Data Checks'!D422),IF(L212="SELL",Q212*('Data Checks'!D422/'Data Checks'!D423),Q212))</f>
        <v>241.48825464222136</v>
      </c>
      <c r="R213">
        <f>IF(M212="BUY",R212*('Data Checks'!E423/'Data Checks'!E422),IF(M212="SELL",R212*('Data Checks'!E422/'Data Checks'!E423),R212))</f>
        <v>198.17598235065725</v>
      </c>
      <c r="S213">
        <f>IF(N212="BUY",S212*('Data Checks'!F423/'Data Checks'!F422),IF(N212="SELL",S212*('Data Checks'!F422/'Data Checks'!F423),S212))</f>
        <v>189.54094317788926</v>
      </c>
      <c r="T213" s="16">
        <f t="shared" si="34"/>
        <v>1072.7116901717418</v>
      </c>
      <c r="U213" s="17">
        <f t="shared" si="38"/>
        <v>-1.2803080383125831E-3</v>
      </c>
      <c r="W213" t="str">
        <f>IF(AND('Data Checks'!B423&gt;'Data Checks'!B422,'Data Checks'!B422&gt;'Data Checks'!B421,'Data Checks'!B421&gt;'Data Checks'!B420),"BUY",IF(AND('Data Checks'!B423&lt;'Data Checks'!B422,'Data Checks'!B422&lt;'Data Checks'!B421,'Data Checks'!B421&lt;'Data Checks'!B420),"SELL",""))</f>
        <v>BUY</v>
      </c>
      <c r="X213" t="str">
        <f>IF(AND('Data Checks'!C423&gt;'Data Checks'!C422,'Data Checks'!C422&gt;'Data Checks'!C421,'Data Checks'!C421&gt;'Data Checks'!C420),"BUY",IF(AND('Data Checks'!C423&lt;'Data Checks'!C422,'Data Checks'!C422&lt;'Data Checks'!C421,'Data Checks'!C421&lt;'Data Checks'!C420),"SELL",""))</f>
        <v/>
      </c>
      <c r="Y213" t="str">
        <f>IF(AND('Data Checks'!D423&gt;'Data Checks'!D422,'Data Checks'!D422&gt;'Data Checks'!D421,'Data Checks'!D421&gt;'Data Checks'!D420),"BUY",IF(AND('Data Checks'!D423&lt;'Data Checks'!D422,'Data Checks'!D422&lt;'Data Checks'!D421,'Data Checks'!D421&lt;'Data Checks'!D420),"SELL",""))</f>
        <v>SELL</v>
      </c>
      <c r="Z213" t="str">
        <f>IF(AND('Data Checks'!E423&gt;'Data Checks'!E422,'Data Checks'!E422&gt;'Data Checks'!E421,'Data Checks'!E421&gt;'Data Checks'!E420),"BUY",IF(AND('Data Checks'!E423&lt;'Data Checks'!E422,'Data Checks'!E422&lt;'Data Checks'!E421,'Data Checks'!E421&lt;'Data Checks'!E420),"SELL",""))</f>
        <v/>
      </c>
      <c r="AA213" t="str">
        <f>IF(AND('Data Checks'!F423&gt;'Data Checks'!F422,'Data Checks'!F422&gt;'Data Checks'!F421,'Data Checks'!F421&gt;'Data Checks'!F420),"BUY",IF(AND('Data Checks'!F423&lt;'Data Checks'!F422,'Data Checks'!F422&lt;'Data Checks'!F421,'Data Checks'!F421&lt;'Data Checks'!F420),"SELL",""))</f>
        <v/>
      </c>
      <c r="AB213">
        <f>IF(W212="BUY",AB212*('Data Checks'!B423/'Data Checks'!B422),IF(W212="SELL",AB212*('Data Checks'!B422/'Data Checks'!B423),AB212))</f>
        <v>167.1443298270384</v>
      </c>
      <c r="AC213">
        <f>IF(X212="BUY",AC212*('Data Checks'!C423/'Data Checks'!C422),IF(X212="SELL",AC212*('Data Checks'!C422/'Data Checks'!C423),AC212))</f>
        <v>195.89369664027873</v>
      </c>
      <c r="AD213">
        <f>IF(Y212="BUY",AD212*('Data Checks'!D423/'Data Checks'!D422),IF(Y212="SELL",AD212*('Data Checks'!D422/'Data Checks'!D423),AD212))</f>
        <v>165.63952586125683</v>
      </c>
      <c r="AE213">
        <f>IF(Z212="BUY",AE212*('Data Checks'!E423/'Data Checks'!E422),IF(Z212="SELL",AE212*('Data Checks'!E422/'Data Checks'!E423),AE212))</f>
        <v>201.84080596216259</v>
      </c>
      <c r="AF213">
        <f>IF(AA212="BUY",AF212*('Data Checks'!F423/'Data Checks'!F422),IF(AA212="SELL",AF212*('Data Checks'!F422/'Data Checks'!F423),AF212))</f>
        <v>211.03619792827004</v>
      </c>
      <c r="AG213" s="16">
        <f t="shared" si="35"/>
        <v>941.5545562190066</v>
      </c>
      <c r="AH213" s="17">
        <f t="shared" si="39"/>
        <v>9.9711003066471626E-4</v>
      </c>
      <c r="AJ213" t="str">
        <f>IF('Moving Ave'!G423&gt;'Moving Ave'!L423,"SELL","BUY")</f>
        <v>SELL</v>
      </c>
      <c r="AK213" t="str">
        <f>IF('Moving Ave'!H423&gt;'Moving Ave'!M423,"SELL","BUY")</f>
        <v>BUY</v>
      </c>
      <c r="AL213" t="str">
        <f>IF('Moving Ave'!I423&gt;'Moving Ave'!N423,"SELL","BUY")</f>
        <v>SELL</v>
      </c>
      <c r="AM213" t="str">
        <f>IF('Moving Ave'!J423&gt;'Moving Ave'!O423,"SELL","BUY")</f>
        <v>BUY</v>
      </c>
      <c r="AN213" t="str">
        <f>IF('Moving Ave'!K423&gt;'Moving Ave'!P423,"SELL","BUY")</f>
        <v>BUY</v>
      </c>
      <c r="AO213">
        <f>IF(AJ212="BUY",AO212*('Data Checks'!B423/'Data Checks'!B422),AO212*('Data Checks'!B422/'Data Checks'!B423))</f>
        <v>134.78000713982928</v>
      </c>
      <c r="AP213">
        <f>IF(AK212="BUY",AP212*('Data Checks'!C423/'Data Checks'!C422),AP212*('Data Checks'!C422/'Data Checks'!C423))</f>
        <v>109.32182142041724</v>
      </c>
      <c r="AQ213">
        <f>IF(AL212="BUY",AQ212*('Data Checks'!D423/'Data Checks'!D422),AQ212*('Data Checks'!D422/'Data Checks'!D423))</f>
        <v>312.58075970266304</v>
      </c>
      <c r="AR213">
        <f>IF(AM212="BUY",AR212*('Data Checks'!E423/'Data Checks'!E422),AR212*('Data Checks'!E422/'Data Checks'!E423))</f>
        <v>80.984265785595369</v>
      </c>
      <c r="AS213">
        <f>IF(AN212="BUY",AS212*('Data Checks'!F423/'Data Checks'!F422),AS212*('Data Checks'!F422/'Data Checks'!F423))</f>
        <v>190.79030150838474</v>
      </c>
      <c r="AT213" s="16">
        <f t="shared" si="36"/>
        <v>828.4571555568898</v>
      </c>
      <c r="AU213" s="17">
        <f t="shared" si="40"/>
        <v>-7.2345181895718813E-3</v>
      </c>
    </row>
    <row r="214" spans="1:47" x14ac:dyDescent="0.35">
      <c r="A214" s="2">
        <f>Prices!A422</f>
        <v>44497</v>
      </c>
      <c r="B214">
        <f>B213*('Data Checks'!B424/'Data Checks'!B423)</f>
        <v>333.27327172526373</v>
      </c>
      <c r="C214">
        <f>C213*('Data Checks'!C424/'Data Checks'!C423)</f>
        <v>104.19101102847388</v>
      </c>
      <c r="D214">
        <f>D213*('Data Checks'!D424/'Data Checks'!D423)</f>
        <v>185.07262957209275</v>
      </c>
      <c r="E214">
        <f>E213*('Data Checks'!E424/'Data Checks'!E423)</f>
        <v>77.335116259286366</v>
      </c>
      <c r="F214">
        <f>F213*('Data Checks'!F424/'Data Checks'!F423)</f>
        <v>124.51121112796203</v>
      </c>
      <c r="G214" s="16">
        <f t="shared" si="33"/>
        <v>824.38323971307875</v>
      </c>
      <c r="H214" s="17">
        <f t="shared" si="37"/>
        <v>-3.8878597644353419E-2</v>
      </c>
      <c r="J214" t="str">
        <f>IF(AND('Data Checks'!B424&gt;'Data Checks'!B423,'Data Checks'!B423&gt;'Data Checks'!B422,'Data Checks'!B422&gt;'Data Checks'!B421),"SELL",IF(AND('Data Checks'!B424&lt;'Data Checks'!B423,'Data Checks'!B423&lt;'Data Checks'!B422,'Data Checks'!B422&lt;'Data Checks'!B421),"BUY",""))</f>
        <v/>
      </c>
      <c r="K214" t="str">
        <f>IF(AND('Data Checks'!C424&gt;'Data Checks'!C423,'Data Checks'!C423&gt;'Data Checks'!C422,'Data Checks'!C422&gt;'Data Checks'!C421),"SELL",IF(AND('Data Checks'!C424&lt;'Data Checks'!C423,'Data Checks'!C423&lt;'Data Checks'!C422,'Data Checks'!C422&lt;'Data Checks'!C421),"BUY",""))</f>
        <v/>
      </c>
      <c r="L214" t="str">
        <f>IF(AND('Data Checks'!D424&gt;'Data Checks'!D423,'Data Checks'!D423&gt;'Data Checks'!D422,'Data Checks'!D422&gt;'Data Checks'!D421),"SELL",IF(AND('Data Checks'!D424&lt;'Data Checks'!D423,'Data Checks'!D423&lt;'Data Checks'!D422,'Data Checks'!D422&lt;'Data Checks'!D421),"BUY",""))</f>
        <v>BUY</v>
      </c>
      <c r="M214" t="str">
        <f>IF(AND('Data Checks'!E424&gt;'Data Checks'!E423,'Data Checks'!E423&gt;'Data Checks'!E422,'Data Checks'!E422&gt;'Data Checks'!E421),"SELL",IF(AND('Data Checks'!E424&lt;'Data Checks'!E423,'Data Checks'!E423&lt;'Data Checks'!E422,'Data Checks'!E422&lt;'Data Checks'!E421),"BUY",""))</f>
        <v>BUY</v>
      </c>
      <c r="N214" t="str">
        <f>IF(AND('Data Checks'!F424&gt;'Data Checks'!F423,'Data Checks'!F423&gt;'Data Checks'!F422,'Data Checks'!F422&gt;'Data Checks'!F421),"SELL",IF(AND('Data Checks'!F424&lt;'Data Checks'!F423,'Data Checks'!F423&lt;'Data Checks'!F422,'Data Checks'!F422&lt;'Data Checks'!F421),"BUY",""))</f>
        <v>BUY</v>
      </c>
      <c r="O214">
        <f>IF(J213="BUY",O213*('Data Checks'!B424/'Data Checks'!B423),IF(J213="SELL",O213*('Data Checks'!B423/'Data Checks'!B424),O213))</f>
        <v>248.66263815907161</v>
      </c>
      <c r="P214">
        <f>IF(K213="BUY",P213*('Data Checks'!C424/'Data Checks'!C423),IF(K213="SELL",P213*('Data Checks'!C423/'Data Checks'!C424),P213))</f>
        <v>204.19237926502757</v>
      </c>
      <c r="Q214">
        <f>IF(L213="BUY",Q213*('Data Checks'!D424/'Data Checks'!D423),IF(L213="SELL",Q213*('Data Checks'!D423/'Data Checks'!D424),Q213))</f>
        <v>230.9452693416761</v>
      </c>
      <c r="R214">
        <f>IF(M213="BUY",R213*('Data Checks'!E424/'Data Checks'!E423),IF(M213="SELL",R213*('Data Checks'!E423/'Data Checks'!E424),R213))</f>
        <v>198.17598235065725</v>
      </c>
      <c r="S214">
        <f>IF(N213="BUY",S213*('Data Checks'!F424/'Data Checks'!F423),IF(N213="SELL",S213*('Data Checks'!F423/'Data Checks'!F424),S213))</f>
        <v>189.54094317788926</v>
      </c>
      <c r="T214" s="16">
        <f t="shared" si="34"/>
        <v>1071.5172122943218</v>
      </c>
      <c r="U214" s="17">
        <f t="shared" si="38"/>
        <v>-1.1135125014147818E-3</v>
      </c>
      <c r="W214" t="str">
        <f>IF(AND('Data Checks'!B424&gt;'Data Checks'!B423,'Data Checks'!B423&gt;'Data Checks'!B422,'Data Checks'!B422&gt;'Data Checks'!B421),"BUY",IF(AND('Data Checks'!B424&lt;'Data Checks'!B423,'Data Checks'!B423&lt;'Data Checks'!B422,'Data Checks'!B422&lt;'Data Checks'!B421),"SELL",""))</f>
        <v/>
      </c>
      <c r="X214" t="str">
        <f>IF(AND('Data Checks'!C424&gt;'Data Checks'!C423,'Data Checks'!C423&gt;'Data Checks'!C422,'Data Checks'!C422&gt;'Data Checks'!C421),"BUY",IF(AND('Data Checks'!C424&lt;'Data Checks'!C423,'Data Checks'!C423&lt;'Data Checks'!C422,'Data Checks'!C422&lt;'Data Checks'!C421),"SELL",""))</f>
        <v/>
      </c>
      <c r="Y214" t="str">
        <f>IF(AND('Data Checks'!D424&gt;'Data Checks'!D423,'Data Checks'!D423&gt;'Data Checks'!D422,'Data Checks'!D422&gt;'Data Checks'!D421),"BUY",IF(AND('Data Checks'!D424&lt;'Data Checks'!D423,'Data Checks'!D423&lt;'Data Checks'!D422,'Data Checks'!D422&lt;'Data Checks'!D421),"SELL",""))</f>
        <v>SELL</v>
      </c>
      <c r="Z214" t="str">
        <f>IF(AND('Data Checks'!E424&gt;'Data Checks'!E423,'Data Checks'!E423&gt;'Data Checks'!E422,'Data Checks'!E422&gt;'Data Checks'!E421),"BUY",IF(AND('Data Checks'!E424&lt;'Data Checks'!E423,'Data Checks'!E423&lt;'Data Checks'!E422,'Data Checks'!E422&lt;'Data Checks'!E421),"SELL",""))</f>
        <v>SELL</v>
      </c>
      <c r="AA214" t="str">
        <f>IF(AND('Data Checks'!F424&gt;'Data Checks'!F423,'Data Checks'!F423&gt;'Data Checks'!F422,'Data Checks'!F422&gt;'Data Checks'!F421),"BUY",IF(AND('Data Checks'!F424&lt;'Data Checks'!F423,'Data Checks'!F423&lt;'Data Checks'!F422,'Data Checks'!F422&lt;'Data Checks'!F421),"SELL",""))</f>
        <v>SELL</v>
      </c>
      <c r="AB214">
        <f>IF(W213="BUY",AB213*('Data Checks'!B424/'Data Checks'!B423),IF(W213="SELL",AB213*('Data Checks'!B423/'Data Checks'!B424),AB213))</f>
        <v>160.86051485712815</v>
      </c>
      <c r="AC214">
        <f>IF(X213="BUY",AC213*('Data Checks'!C424/'Data Checks'!C423),IF(X213="SELL",AC213*('Data Checks'!C423/'Data Checks'!C424),AC213))</f>
        <v>195.89369664027873</v>
      </c>
      <c r="AD214">
        <f>IF(Y213="BUY",AD213*('Data Checks'!D424/'Data Checks'!D423),IF(Y213="SELL",AD213*('Data Checks'!D423/'Data Checks'!D424),AD213))</f>
        <v>173.2012095940415</v>
      </c>
      <c r="AE214">
        <f>IF(Z213="BUY",AE213*('Data Checks'!E424/'Data Checks'!E423),IF(Z213="SELL",AE213*('Data Checks'!E423/'Data Checks'!E424),AE213))</f>
        <v>201.84080596216259</v>
      </c>
      <c r="AF214">
        <f>IF(AA213="BUY",AF213*('Data Checks'!F424/'Data Checks'!F423),IF(AA213="SELL",AF213*('Data Checks'!F423/'Data Checks'!F424),AF213))</f>
        <v>211.03619792827004</v>
      </c>
      <c r="AG214" s="16">
        <f t="shared" si="35"/>
        <v>942.8324249818811</v>
      </c>
      <c r="AH214" s="17">
        <f t="shared" si="39"/>
        <v>1.3571903554967513E-3</v>
      </c>
      <c r="AJ214" t="str">
        <f>IF('Moving Ave'!G424&gt;'Moving Ave'!L424,"SELL","BUY")</f>
        <v>SELL</v>
      </c>
      <c r="AK214" t="str">
        <f>IF('Moving Ave'!H424&gt;'Moving Ave'!M424,"SELL","BUY")</f>
        <v>BUY</v>
      </c>
      <c r="AL214" t="str">
        <f>IF('Moving Ave'!I424&gt;'Moving Ave'!N424,"SELL","BUY")</f>
        <v>SELL</v>
      </c>
      <c r="AM214" t="str">
        <f>IF('Moving Ave'!J424&gt;'Moving Ave'!O424,"SELL","BUY")</f>
        <v>BUY</v>
      </c>
      <c r="AN214" t="str">
        <f>IF('Moving Ave'!K424&gt;'Moving Ave'!P424,"SELL","BUY")</f>
        <v>BUY</v>
      </c>
      <c r="AO214">
        <f>IF(AJ213="BUY",AO213*('Data Checks'!B424/'Data Checks'!B423),AO213*('Data Checks'!B423/'Data Checks'!B424))</f>
        <v>140.04501967110266</v>
      </c>
      <c r="AP214">
        <f>IF(AK213="BUY",AP213*('Data Checks'!C424/'Data Checks'!C423),AP213*('Data Checks'!C423/'Data Checks'!C424))</f>
        <v>104.19101102847388</v>
      </c>
      <c r="AQ214">
        <f>IF(AL213="BUY",AQ213*('Data Checks'!D424/'Data Checks'!D423),AQ213*('Data Checks'!D423/'Data Checks'!D424))</f>
        <v>326.85052311532178</v>
      </c>
      <c r="AR214">
        <f>IF(AM213="BUY",AR213*('Data Checks'!E424/'Data Checks'!E423),AR213*('Data Checks'!E423/'Data Checks'!E424))</f>
        <v>77.335116259286366</v>
      </c>
      <c r="AS214">
        <f>IF(AN213="BUY",AS213*('Data Checks'!F424/'Data Checks'!F423),AS213*('Data Checks'!F423/'Data Checks'!F424))</f>
        <v>186.15600804052698</v>
      </c>
      <c r="AT214" s="16">
        <f t="shared" si="36"/>
        <v>834.5776781147116</v>
      </c>
      <c r="AU214" s="17">
        <f t="shared" si="40"/>
        <v>7.3878564712348549E-3</v>
      </c>
    </row>
    <row r="215" spans="1:47" x14ac:dyDescent="0.35">
      <c r="A215" s="2">
        <f>Prices!A423</f>
        <v>44498</v>
      </c>
      <c r="B215">
        <f>B214*('Data Checks'!B425/'Data Checks'!B424)</f>
        <v>338.35543470078983</v>
      </c>
      <c r="C215">
        <f>C214*('Data Checks'!C425/'Data Checks'!C424)</f>
        <v>107.44221761346768</v>
      </c>
      <c r="D215">
        <f>D214*('Data Checks'!D425/'Data Checks'!D424)</f>
        <v>189.18017347103324</v>
      </c>
      <c r="E215">
        <f>E214*('Data Checks'!E425/'Data Checks'!E424)</f>
        <v>82.457308923424534</v>
      </c>
      <c r="F215">
        <f>F214*('Data Checks'!F425/'Data Checks'!F424)</f>
        <v>122.31759831641773</v>
      </c>
      <c r="G215" s="16">
        <f t="shared" si="33"/>
        <v>839.75273302513301</v>
      </c>
      <c r="H215" s="17">
        <f t="shared" si="37"/>
        <v>1.864362661885699E-2</v>
      </c>
      <c r="J215" t="str">
        <f>IF(AND('Data Checks'!B425&gt;'Data Checks'!B424,'Data Checks'!B424&gt;'Data Checks'!B423,'Data Checks'!B423&gt;'Data Checks'!B422),"SELL",IF(AND('Data Checks'!B425&lt;'Data Checks'!B424,'Data Checks'!B424&lt;'Data Checks'!B423,'Data Checks'!B423&lt;'Data Checks'!B422),"BUY",""))</f>
        <v/>
      </c>
      <c r="K215" t="str">
        <f>IF(AND('Data Checks'!C425&gt;'Data Checks'!C424,'Data Checks'!C424&gt;'Data Checks'!C423,'Data Checks'!C423&gt;'Data Checks'!C422),"SELL",IF(AND('Data Checks'!C425&lt;'Data Checks'!C424,'Data Checks'!C424&lt;'Data Checks'!C423,'Data Checks'!C423&lt;'Data Checks'!C422),"BUY",""))</f>
        <v/>
      </c>
      <c r="L215" t="str">
        <f>IF(AND('Data Checks'!D425&gt;'Data Checks'!D424,'Data Checks'!D424&gt;'Data Checks'!D423,'Data Checks'!D423&gt;'Data Checks'!D422),"SELL",IF(AND('Data Checks'!D425&lt;'Data Checks'!D424,'Data Checks'!D424&lt;'Data Checks'!D423,'Data Checks'!D423&lt;'Data Checks'!D422),"BUY",""))</f>
        <v/>
      </c>
      <c r="M215" t="str">
        <f>IF(AND('Data Checks'!E425&gt;'Data Checks'!E424,'Data Checks'!E424&gt;'Data Checks'!E423,'Data Checks'!E423&gt;'Data Checks'!E422),"SELL",IF(AND('Data Checks'!E425&lt;'Data Checks'!E424,'Data Checks'!E424&lt;'Data Checks'!E423,'Data Checks'!E423&lt;'Data Checks'!E422),"BUY",""))</f>
        <v/>
      </c>
      <c r="N215" t="str">
        <f>IF(AND('Data Checks'!F425&gt;'Data Checks'!F424,'Data Checks'!F424&gt;'Data Checks'!F423,'Data Checks'!F423&gt;'Data Checks'!F422),"SELL",IF(AND('Data Checks'!F425&lt;'Data Checks'!F424,'Data Checks'!F424&lt;'Data Checks'!F423,'Data Checks'!F423&lt;'Data Checks'!F422),"BUY",""))</f>
        <v>BUY</v>
      </c>
      <c r="O215">
        <f>IF(J214="BUY",O214*('Data Checks'!B425/'Data Checks'!B424),IF(J214="SELL",O214*('Data Checks'!B424/'Data Checks'!B425),O214))</f>
        <v>248.66263815907161</v>
      </c>
      <c r="P215">
        <f>IF(K214="BUY",P214*('Data Checks'!C425/'Data Checks'!C424),IF(K214="SELL",P214*('Data Checks'!C424/'Data Checks'!C425),P214))</f>
        <v>204.19237926502757</v>
      </c>
      <c r="Q215">
        <f>IF(L214="BUY",Q214*('Data Checks'!D425/'Data Checks'!D424),IF(L214="SELL",Q214*('Data Checks'!D424/'Data Checks'!D425),Q214))</f>
        <v>236.07092100754841</v>
      </c>
      <c r="R215">
        <f>IF(M214="BUY",R214*('Data Checks'!E425/'Data Checks'!E424),IF(M214="SELL",R214*('Data Checks'!E424/'Data Checks'!E425),R214))</f>
        <v>211.30191545977078</v>
      </c>
      <c r="S215">
        <f>IF(N214="BUY",S214*('Data Checks'!F425/'Data Checks'!F424),IF(N214="SELL",S214*('Data Checks'!F424/'Data Checks'!F425),S214))</f>
        <v>186.20164997287895</v>
      </c>
      <c r="T215" s="16">
        <f t="shared" si="34"/>
        <v>1086.4295038642972</v>
      </c>
      <c r="U215" s="17">
        <f t="shared" si="38"/>
        <v>1.3916987425750538E-2</v>
      </c>
      <c r="W215" t="str">
        <f>IF(AND('Data Checks'!B425&gt;'Data Checks'!B424,'Data Checks'!B424&gt;'Data Checks'!B423,'Data Checks'!B423&gt;'Data Checks'!B422),"BUY",IF(AND('Data Checks'!B425&lt;'Data Checks'!B424,'Data Checks'!B424&lt;'Data Checks'!B423,'Data Checks'!B423&lt;'Data Checks'!B422),"SELL",""))</f>
        <v/>
      </c>
      <c r="X215" t="str">
        <f>IF(AND('Data Checks'!C425&gt;'Data Checks'!C424,'Data Checks'!C424&gt;'Data Checks'!C423,'Data Checks'!C423&gt;'Data Checks'!C422),"BUY",IF(AND('Data Checks'!C425&lt;'Data Checks'!C424,'Data Checks'!C424&lt;'Data Checks'!C423,'Data Checks'!C423&lt;'Data Checks'!C422),"SELL",""))</f>
        <v/>
      </c>
      <c r="Y215" t="str">
        <f>IF(AND('Data Checks'!D425&gt;'Data Checks'!D424,'Data Checks'!D424&gt;'Data Checks'!D423,'Data Checks'!D423&gt;'Data Checks'!D422),"BUY",IF(AND('Data Checks'!D425&lt;'Data Checks'!D424,'Data Checks'!D424&lt;'Data Checks'!D423,'Data Checks'!D423&lt;'Data Checks'!D422),"SELL",""))</f>
        <v/>
      </c>
      <c r="Z215" t="str">
        <f>IF(AND('Data Checks'!E425&gt;'Data Checks'!E424,'Data Checks'!E424&gt;'Data Checks'!E423,'Data Checks'!E423&gt;'Data Checks'!E422),"BUY",IF(AND('Data Checks'!E425&lt;'Data Checks'!E424,'Data Checks'!E424&lt;'Data Checks'!E423,'Data Checks'!E423&lt;'Data Checks'!E422),"SELL",""))</f>
        <v/>
      </c>
      <c r="AA215" t="str">
        <f>IF(AND('Data Checks'!F425&gt;'Data Checks'!F424,'Data Checks'!F424&gt;'Data Checks'!F423,'Data Checks'!F423&gt;'Data Checks'!F422),"BUY",IF(AND('Data Checks'!F425&lt;'Data Checks'!F424,'Data Checks'!F424&lt;'Data Checks'!F423,'Data Checks'!F423&lt;'Data Checks'!F422),"SELL",""))</f>
        <v>SELL</v>
      </c>
      <c r="AB215">
        <f>IF(W214="BUY",AB214*('Data Checks'!B425/'Data Checks'!B424),IF(W214="SELL",AB214*('Data Checks'!B424/'Data Checks'!B425),AB214))</f>
        <v>160.86051485712815</v>
      </c>
      <c r="AC215">
        <f>IF(X214="BUY",AC214*('Data Checks'!C425/'Data Checks'!C424),IF(X214="SELL",AC214*('Data Checks'!C424/'Data Checks'!C425),AC214))</f>
        <v>195.89369664027873</v>
      </c>
      <c r="AD215">
        <f>IF(Y214="BUY",AD214*('Data Checks'!D425/'Data Checks'!D424),IF(Y214="SELL",AD214*('Data Checks'!D424/'Data Checks'!D425),AD214))</f>
        <v>169.44060636219149</v>
      </c>
      <c r="AE215">
        <f>IF(Z214="BUY",AE214*('Data Checks'!E425/'Data Checks'!E424),IF(Z214="SELL",AE214*('Data Checks'!E424/'Data Checks'!E425),AE214))</f>
        <v>189.30259062235268</v>
      </c>
      <c r="AF215">
        <f>IF(AA214="BUY",AF214*('Data Checks'!F425/'Data Checks'!F424),IF(AA214="SELL",AF214*('Data Checks'!F424/'Data Checks'!F425),AF214))</f>
        <v>214.82086762295711</v>
      </c>
      <c r="AG215" s="16">
        <f t="shared" si="35"/>
        <v>930.31827610490814</v>
      </c>
      <c r="AH215" s="17">
        <f t="shared" si="39"/>
        <v>-1.3272930104428093E-2</v>
      </c>
      <c r="AJ215" t="str">
        <f>IF('Moving Ave'!G425&gt;'Moving Ave'!L425,"SELL","BUY")</f>
        <v>SELL</v>
      </c>
      <c r="AK215" t="str">
        <f>IF('Moving Ave'!H425&gt;'Moving Ave'!M425,"SELL","BUY")</f>
        <v>BUY</v>
      </c>
      <c r="AL215" t="str">
        <f>IF('Moving Ave'!I425&gt;'Moving Ave'!N425,"SELL","BUY")</f>
        <v>SELL</v>
      </c>
      <c r="AM215" t="str">
        <f>IF('Moving Ave'!J425&gt;'Moving Ave'!O425,"SELL","BUY")</f>
        <v>BUY</v>
      </c>
      <c r="AN215" t="str">
        <f>IF('Moving Ave'!K425&gt;'Moving Ave'!P425,"SELL","BUY")</f>
        <v>BUY</v>
      </c>
      <c r="AO215">
        <f>IF(AJ214="BUY",AO214*('Data Checks'!B425/'Data Checks'!B424),AO214*('Data Checks'!B424/'Data Checks'!B425))</f>
        <v>137.94151684275678</v>
      </c>
      <c r="AP215">
        <f>IF(AK214="BUY",AP214*('Data Checks'!C425/'Data Checks'!C424),AP214*('Data Checks'!C424/'Data Checks'!C425))</f>
        <v>107.44221761346768</v>
      </c>
      <c r="AQ215">
        <f>IF(AL214="BUY",AQ214*('Data Checks'!D425/'Data Checks'!D424),AQ214*('Data Checks'!D424/'Data Checks'!D425))</f>
        <v>319.75383403075756</v>
      </c>
      <c r="AR215">
        <f>IF(AM214="BUY",AR214*('Data Checks'!E425/'Data Checks'!E424),AR214*('Data Checks'!E424/'Data Checks'!E425))</f>
        <v>82.457308923424534</v>
      </c>
      <c r="AS215">
        <f>IF(AN214="BUY",AS214*('Data Checks'!F425/'Data Checks'!F424),AS214*('Data Checks'!F424/'Data Checks'!F425))</f>
        <v>182.87634992392597</v>
      </c>
      <c r="AT215" s="16">
        <f t="shared" si="36"/>
        <v>830.47122733433253</v>
      </c>
      <c r="AU215" s="17">
        <f t="shared" si="40"/>
        <v>-4.9203937369322048E-3</v>
      </c>
    </row>
    <row r="216" spans="1:47" x14ac:dyDescent="0.35">
      <c r="A216" s="2">
        <f>Prices!A424</f>
        <v>44499</v>
      </c>
      <c r="B216">
        <f>B215*('Data Checks'!B426/'Data Checks'!B425)</f>
        <v>319.92980922160706</v>
      </c>
      <c r="C216">
        <f>C215*('Data Checks'!C426/'Data Checks'!C425)</f>
        <v>106.5786158643287</v>
      </c>
      <c r="D216">
        <f>D215*('Data Checks'!D426/'Data Checks'!D425)</f>
        <v>189.58090147906012</v>
      </c>
      <c r="E216">
        <f>E215*('Data Checks'!E426/'Data Checks'!E425)</f>
        <v>85.537322211673157</v>
      </c>
      <c r="F216">
        <f>F215*('Data Checks'!F426/'Data Checks'!F425)</f>
        <v>122.79447004474686</v>
      </c>
      <c r="G216" s="16">
        <f t="shared" si="33"/>
        <v>824.42111882141592</v>
      </c>
      <c r="H216" s="17">
        <f t="shared" si="37"/>
        <v>-1.825729598817305E-2</v>
      </c>
      <c r="J216" t="str">
        <f>IF(AND('Data Checks'!B426&gt;'Data Checks'!B425,'Data Checks'!B425&gt;'Data Checks'!B424,'Data Checks'!B424&gt;'Data Checks'!B423),"SELL",IF(AND('Data Checks'!B426&lt;'Data Checks'!B425,'Data Checks'!B425&lt;'Data Checks'!B424,'Data Checks'!B424&lt;'Data Checks'!B423),"BUY",""))</f>
        <v/>
      </c>
      <c r="K216" t="str">
        <f>IF(AND('Data Checks'!C426&gt;'Data Checks'!C425,'Data Checks'!C425&gt;'Data Checks'!C424,'Data Checks'!C424&gt;'Data Checks'!C423),"SELL",IF(AND('Data Checks'!C426&lt;'Data Checks'!C425,'Data Checks'!C425&lt;'Data Checks'!C424,'Data Checks'!C424&lt;'Data Checks'!C423),"BUY",""))</f>
        <v/>
      </c>
      <c r="L216" t="str">
        <f>IF(AND('Data Checks'!D426&gt;'Data Checks'!D425,'Data Checks'!D425&gt;'Data Checks'!D424,'Data Checks'!D424&gt;'Data Checks'!D423),"SELL",IF(AND('Data Checks'!D426&lt;'Data Checks'!D425,'Data Checks'!D425&lt;'Data Checks'!D424,'Data Checks'!D424&lt;'Data Checks'!D423),"BUY",""))</f>
        <v/>
      </c>
      <c r="M216" t="str">
        <f>IF(AND('Data Checks'!E426&gt;'Data Checks'!E425,'Data Checks'!E425&gt;'Data Checks'!E424,'Data Checks'!E424&gt;'Data Checks'!E423),"SELL",IF(AND('Data Checks'!E426&lt;'Data Checks'!E425,'Data Checks'!E425&lt;'Data Checks'!E424,'Data Checks'!E424&lt;'Data Checks'!E423),"BUY",""))</f>
        <v/>
      </c>
      <c r="N216" t="str">
        <f>IF(AND('Data Checks'!F426&gt;'Data Checks'!F425,'Data Checks'!F425&gt;'Data Checks'!F424,'Data Checks'!F424&gt;'Data Checks'!F423),"SELL",IF(AND('Data Checks'!F426&lt;'Data Checks'!F425,'Data Checks'!F425&lt;'Data Checks'!F424,'Data Checks'!F424&lt;'Data Checks'!F423),"BUY",""))</f>
        <v/>
      </c>
      <c r="O216">
        <f>IF(J215="BUY",O215*('Data Checks'!B426/'Data Checks'!B425),IF(J215="SELL",O215*('Data Checks'!B425/'Data Checks'!B426),O215))</f>
        <v>248.66263815907161</v>
      </c>
      <c r="P216">
        <f>IF(K215="BUY",P215*('Data Checks'!C426/'Data Checks'!C425),IF(K215="SELL",P215*('Data Checks'!C425/'Data Checks'!C426),P215))</f>
        <v>204.19237926502757</v>
      </c>
      <c r="Q216">
        <f>IF(L215="BUY",Q215*('Data Checks'!D426/'Data Checks'!D425),IF(L215="SELL",Q215*('Data Checks'!D425/'Data Checks'!D426),Q215))</f>
        <v>236.07092100754841</v>
      </c>
      <c r="R216">
        <f>IF(M215="BUY",R215*('Data Checks'!E426/'Data Checks'!E425),IF(M215="SELL",R215*('Data Checks'!E425/'Data Checks'!E426),R215))</f>
        <v>211.30191545977078</v>
      </c>
      <c r="S216">
        <f>IF(N215="BUY",S215*('Data Checks'!F426/'Data Checks'!F425),IF(N215="SELL",S215*('Data Checks'!F425/'Data Checks'!F426),S215))</f>
        <v>186.9275823314477</v>
      </c>
      <c r="T216" s="16">
        <f t="shared" si="34"/>
        <v>1087.155436222866</v>
      </c>
      <c r="U216" s="17">
        <f t="shared" si="38"/>
        <v>6.6818174210725445E-4</v>
      </c>
      <c r="W216" t="str">
        <f>IF(AND('Data Checks'!B426&gt;'Data Checks'!B425,'Data Checks'!B425&gt;'Data Checks'!B424,'Data Checks'!B424&gt;'Data Checks'!B423),"BUY",IF(AND('Data Checks'!B426&lt;'Data Checks'!B425,'Data Checks'!B425&lt;'Data Checks'!B424,'Data Checks'!B424&lt;'Data Checks'!B423),"SELL",""))</f>
        <v/>
      </c>
      <c r="X216" t="str">
        <f>IF(AND('Data Checks'!C426&gt;'Data Checks'!C425,'Data Checks'!C425&gt;'Data Checks'!C424,'Data Checks'!C424&gt;'Data Checks'!C423),"BUY",IF(AND('Data Checks'!C426&lt;'Data Checks'!C425,'Data Checks'!C425&lt;'Data Checks'!C424,'Data Checks'!C424&lt;'Data Checks'!C423),"SELL",""))</f>
        <v/>
      </c>
      <c r="Y216" t="str">
        <f>IF(AND('Data Checks'!D426&gt;'Data Checks'!D425,'Data Checks'!D425&gt;'Data Checks'!D424,'Data Checks'!D424&gt;'Data Checks'!D423),"BUY",IF(AND('Data Checks'!D426&lt;'Data Checks'!D425,'Data Checks'!D425&lt;'Data Checks'!D424,'Data Checks'!D424&lt;'Data Checks'!D423),"SELL",""))</f>
        <v/>
      </c>
      <c r="Z216" t="str">
        <f>IF(AND('Data Checks'!E426&gt;'Data Checks'!E425,'Data Checks'!E425&gt;'Data Checks'!E424,'Data Checks'!E424&gt;'Data Checks'!E423),"BUY",IF(AND('Data Checks'!E426&lt;'Data Checks'!E425,'Data Checks'!E425&lt;'Data Checks'!E424,'Data Checks'!E424&lt;'Data Checks'!E423),"SELL",""))</f>
        <v/>
      </c>
      <c r="AA216" t="str">
        <f>IF(AND('Data Checks'!F426&gt;'Data Checks'!F425,'Data Checks'!F425&gt;'Data Checks'!F424,'Data Checks'!F424&gt;'Data Checks'!F423),"BUY",IF(AND('Data Checks'!F426&lt;'Data Checks'!F425,'Data Checks'!F425&lt;'Data Checks'!F424,'Data Checks'!F424&lt;'Data Checks'!F423),"SELL",""))</f>
        <v/>
      </c>
      <c r="AB216">
        <f>IF(W215="BUY",AB215*('Data Checks'!B426/'Data Checks'!B425),IF(W215="SELL",AB215*('Data Checks'!B425/'Data Checks'!B426),AB215))</f>
        <v>160.86051485712815</v>
      </c>
      <c r="AC216">
        <f>IF(X215="BUY",AC215*('Data Checks'!C426/'Data Checks'!C425),IF(X215="SELL",AC215*('Data Checks'!C425/'Data Checks'!C426),AC215))</f>
        <v>195.89369664027873</v>
      </c>
      <c r="AD216">
        <f>IF(Y215="BUY",AD215*('Data Checks'!D426/'Data Checks'!D425),IF(Y215="SELL",AD215*('Data Checks'!D425/'Data Checks'!D426),AD215))</f>
        <v>169.44060636219149</v>
      </c>
      <c r="AE216">
        <f>IF(Z215="BUY",AE215*('Data Checks'!E426/'Data Checks'!E425),IF(Z215="SELL",AE215*('Data Checks'!E425/'Data Checks'!E426),AE215))</f>
        <v>189.30259062235268</v>
      </c>
      <c r="AF216">
        <f>IF(AA215="BUY",AF215*('Data Checks'!F426/'Data Checks'!F425),IF(AA215="SELL",AF215*('Data Checks'!F425/'Data Checks'!F426),AF215))</f>
        <v>213.98661182636312</v>
      </c>
      <c r="AG216" s="16">
        <f t="shared" si="35"/>
        <v>929.48402030831426</v>
      </c>
      <c r="AH216" s="17">
        <f t="shared" si="39"/>
        <v>-8.9674234938907915E-4</v>
      </c>
      <c r="AJ216" t="str">
        <f>IF('Moving Ave'!G426&gt;'Moving Ave'!L426,"SELL","BUY")</f>
        <v>SELL</v>
      </c>
      <c r="AK216" t="str">
        <f>IF('Moving Ave'!H426&gt;'Moving Ave'!M426,"SELL","BUY")</f>
        <v>BUY</v>
      </c>
      <c r="AL216" t="str">
        <f>IF('Moving Ave'!I426&gt;'Moving Ave'!N426,"SELL","BUY")</f>
        <v>SELL</v>
      </c>
      <c r="AM216" t="str">
        <f>IF('Moving Ave'!J426&gt;'Moving Ave'!O426,"SELL","BUY")</f>
        <v>BUY</v>
      </c>
      <c r="AN216" t="str">
        <f>IF('Moving Ave'!K426&gt;'Moving Ave'!P426,"SELL","BUY")</f>
        <v>BUY</v>
      </c>
      <c r="AO216">
        <f>IF(AJ215="BUY",AO215*('Data Checks'!B426/'Data Checks'!B425),AO215*('Data Checks'!B425/'Data Checks'!B426))</f>
        <v>145.8859429453413</v>
      </c>
      <c r="AP216">
        <f>IF(AK215="BUY",AP215*('Data Checks'!C426/'Data Checks'!C425),AP215*('Data Checks'!C425/'Data Checks'!C426))</f>
        <v>106.5786158643287</v>
      </c>
      <c r="AQ216">
        <f>IF(AL215="BUY",AQ215*('Data Checks'!D426/'Data Checks'!D425),AQ215*('Data Checks'!D425/'Data Checks'!D426))</f>
        <v>319.07795204069197</v>
      </c>
      <c r="AR216">
        <f>IF(AM215="BUY",AR215*('Data Checks'!E426/'Data Checks'!E425),AR215*('Data Checks'!E425/'Data Checks'!E426))</f>
        <v>85.537322211673157</v>
      </c>
      <c r="AS216">
        <f>IF(AN215="BUY",AS215*('Data Checks'!F426/'Data Checks'!F425),AS215*('Data Checks'!F425/'Data Checks'!F426))</f>
        <v>183.58931814975026</v>
      </c>
      <c r="AT216" s="16">
        <f t="shared" si="36"/>
        <v>840.66915121178545</v>
      </c>
      <c r="AU216" s="17">
        <f t="shared" si="40"/>
        <v>1.2279683560123322E-2</v>
      </c>
    </row>
    <row r="217" spans="1:47" x14ac:dyDescent="0.35">
      <c r="A217" s="2">
        <f>Prices!A425</f>
        <v>44502</v>
      </c>
      <c r="B217">
        <f>B216*('Data Checks'!B427/'Data Checks'!B426)</f>
        <v>316.59263799140894</v>
      </c>
      <c r="C217">
        <f>C216*('Data Checks'!C427/'Data Checks'!C426)</f>
        <v>108.76302028862142</v>
      </c>
      <c r="D217">
        <f>D216*('Data Checks'!D427/'Data Checks'!D426)</f>
        <v>191.71815314273104</v>
      </c>
      <c r="E217">
        <f>E216*('Data Checks'!E427/'Data Checks'!E426)</f>
        <v>89.28690695390334</v>
      </c>
      <c r="F217">
        <f>F216*('Data Checks'!F427/'Data Checks'!F426)</f>
        <v>125.08344861826585</v>
      </c>
      <c r="G217" s="16">
        <f t="shared" si="33"/>
        <v>831.44416699493058</v>
      </c>
      <c r="H217" s="17">
        <f t="shared" si="37"/>
        <v>8.5187630607459486E-3</v>
      </c>
      <c r="J217" t="str">
        <f>IF(AND('Data Checks'!B427&gt;'Data Checks'!B426,'Data Checks'!B426&gt;'Data Checks'!B425,'Data Checks'!B425&gt;'Data Checks'!B424),"SELL",IF(AND('Data Checks'!B427&lt;'Data Checks'!B426,'Data Checks'!B426&lt;'Data Checks'!B425,'Data Checks'!B425&lt;'Data Checks'!B424),"BUY",""))</f>
        <v/>
      </c>
      <c r="K217" t="str">
        <f>IF(AND('Data Checks'!C427&gt;'Data Checks'!C426,'Data Checks'!C426&gt;'Data Checks'!C425,'Data Checks'!C425&gt;'Data Checks'!C424),"SELL",IF(AND('Data Checks'!C427&lt;'Data Checks'!C426,'Data Checks'!C426&lt;'Data Checks'!C425,'Data Checks'!C425&lt;'Data Checks'!C424),"BUY",""))</f>
        <v/>
      </c>
      <c r="L217" t="str">
        <f>IF(AND('Data Checks'!D427&gt;'Data Checks'!D426,'Data Checks'!D426&gt;'Data Checks'!D425,'Data Checks'!D425&gt;'Data Checks'!D424),"SELL",IF(AND('Data Checks'!D427&lt;'Data Checks'!D426,'Data Checks'!D426&lt;'Data Checks'!D425,'Data Checks'!D425&lt;'Data Checks'!D424),"BUY",""))</f>
        <v>SELL</v>
      </c>
      <c r="M217" t="str">
        <f>IF(AND('Data Checks'!E427&gt;'Data Checks'!E426,'Data Checks'!E426&gt;'Data Checks'!E425,'Data Checks'!E425&gt;'Data Checks'!E424),"SELL",IF(AND('Data Checks'!E427&lt;'Data Checks'!E426,'Data Checks'!E426&lt;'Data Checks'!E425,'Data Checks'!E425&lt;'Data Checks'!E424),"BUY",""))</f>
        <v>SELL</v>
      </c>
      <c r="N217" t="str">
        <f>IF(AND('Data Checks'!F427&gt;'Data Checks'!F426,'Data Checks'!F426&gt;'Data Checks'!F425,'Data Checks'!F425&gt;'Data Checks'!F424),"SELL",IF(AND('Data Checks'!F427&lt;'Data Checks'!F426,'Data Checks'!F426&lt;'Data Checks'!F425,'Data Checks'!F425&lt;'Data Checks'!F424),"BUY",""))</f>
        <v/>
      </c>
      <c r="O217">
        <f>IF(J216="BUY",O216*('Data Checks'!B427/'Data Checks'!B426),IF(J216="SELL",O216*('Data Checks'!B426/'Data Checks'!B427),O216))</f>
        <v>248.66263815907161</v>
      </c>
      <c r="P217">
        <f>IF(K216="BUY",P216*('Data Checks'!C427/'Data Checks'!C426),IF(K216="SELL",P216*('Data Checks'!C426/'Data Checks'!C427),P216))</f>
        <v>204.19237926502757</v>
      </c>
      <c r="Q217">
        <f>IF(L216="BUY",Q216*('Data Checks'!D427/'Data Checks'!D426),IF(L216="SELL",Q216*('Data Checks'!D426/'Data Checks'!D427),Q216))</f>
        <v>236.07092100754841</v>
      </c>
      <c r="R217">
        <f>IF(M216="BUY",R216*('Data Checks'!E427/'Data Checks'!E426),IF(M216="SELL",R216*('Data Checks'!E426/'Data Checks'!E427),R216))</f>
        <v>211.30191545977078</v>
      </c>
      <c r="S217">
        <f>IF(N216="BUY",S216*('Data Checks'!F427/'Data Checks'!F426),IF(N216="SELL",S216*('Data Checks'!F426/'Data Checks'!F427),S216))</f>
        <v>186.9275823314477</v>
      </c>
      <c r="T217" s="16">
        <f t="shared" si="34"/>
        <v>1087.155436222866</v>
      </c>
      <c r="U217" s="17">
        <f t="shared" si="38"/>
        <v>0</v>
      </c>
      <c r="W217" t="str">
        <f>IF(AND('Data Checks'!B427&gt;'Data Checks'!B426,'Data Checks'!B426&gt;'Data Checks'!B425,'Data Checks'!B425&gt;'Data Checks'!B424),"BUY",IF(AND('Data Checks'!B427&lt;'Data Checks'!B426,'Data Checks'!B426&lt;'Data Checks'!B425,'Data Checks'!B425&lt;'Data Checks'!B424),"SELL",""))</f>
        <v/>
      </c>
      <c r="X217" t="str">
        <f>IF(AND('Data Checks'!C427&gt;'Data Checks'!C426,'Data Checks'!C426&gt;'Data Checks'!C425,'Data Checks'!C425&gt;'Data Checks'!C424),"BUY",IF(AND('Data Checks'!C427&lt;'Data Checks'!C426,'Data Checks'!C426&lt;'Data Checks'!C425,'Data Checks'!C425&lt;'Data Checks'!C424),"SELL",""))</f>
        <v/>
      </c>
      <c r="Y217" t="str">
        <f>IF(AND('Data Checks'!D427&gt;'Data Checks'!D426,'Data Checks'!D426&gt;'Data Checks'!D425,'Data Checks'!D425&gt;'Data Checks'!D424),"BUY",IF(AND('Data Checks'!D427&lt;'Data Checks'!D426,'Data Checks'!D426&lt;'Data Checks'!D425,'Data Checks'!D425&lt;'Data Checks'!D424),"SELL",""))</f>
        <v>BUY</v>
      </c>
      <c r="Z217" t="str">
        <f>IF(AND('Data Checks'!E427&gt;'Data Checks'!E426,'Data Checks'!E426&gt;'Data Checks'!E425,'Data Checks'!E425&gt;'Data Checks'!E424),"BUY",IF(AND('Data Checks'!E427&lt;'Data Checks'!E426,'Data Checks'!E426&lt;'Data Checks'!E425,'Data Checks'!E425&lt;'Data Checks'!E424),"SELL",""))</f>
        <v>BUY</v>
      </c>
      <c r="AA217" t="str">
        <f>IF(AND('Data Checks'!F427&gt;'Data Checks'!F426,'Data Checks'!F426&gt;'Data Checks'!F425,'Data Checks'!F425&gt;'Data Checks'!F424),"BUY",IF(AND('Data Checks'!F427&lt;'Data Checks'!F426,'Data Checks'!F426&lt;'Data Checks'!F425,'Data Checks'!F425&lt;'Data Checks'!F424),"SELL",""))</f>
        <v/>
      </c>
      <c r="AB217">
        <f>IF(W216="BUY",AB216*('Data Checks'!B427/'Data Checks'!B426),IF(W216="SELL",AB216*('Data Checks'!B426/'Data Checks'!B427),AB216))</f>
        <v>160.86051485712815</v>
      </c>
      <c r="AC217">
        <f>IF(X216="BUY",AC216*('Data Checks'!C427/'Data Checks'!C426),IF(X216="SELL",AC216*('Data Checks'!C426/'Data Checks'!C427),AC216))</f>
        <v>195.89369664027873</v>
      </c>
      <c r="AD217">
        <f>IF(Y216="BUY",AD216*('Data Checks'!D427/'Data Checks'!D426),IF(Y216="SELL",AD216*('Data Checks'!D426/'Data Checks'!D427),AD216))</f>
        <v>169.44060636219149</v>
      </c>
      <c r="AE217">
        <f>IF(Z216="BUY",AE216*('Data Checks'!E427/'Data Checks'!E426),IF(Z216="SELL",AE216*('Data Checks'!E426/'Data Checks'!E427),AE216))</f>
        <v>189.30259062235268</v>
      </c>
      <c r="AF217">
        <f>IF(AA216="BUY",AF216*('Data Checks'!F427/'Data Checks'!F426),IF(AA216="SELL",AF216*('Data Checks'!F426/'Data Checks'!F427),AF216))</f>
        <v>213.98661182636312</v>
      </c>
      <c r="AG217" s="16">
        <f t="shared" si="35"/>
        <v>929.48402030831426</v>
      </c>
      <c r="AH217" s="17">
        <f t="shared" si="39"/>
        <v>0</v>
      </c>
      <c r="AJ217" t="str">
        <f>IF('Moving Ave'!G427&gt;'Moving Ave'!L427,"SELL","BUY")</f>
        <v>SELL</v>
      </c>
      <c r="AK217" t="str">
        <f>IF('Moving Ave'!H427&gt;'Moving Ave'!M427,"SELL","BUY")</f>
        <v>BUY</v>
      </c>
      <c r="AL217" t="str">
        <f>IF('Moving Ave'!I427&gt;'Moving Ave'!N427,"SELL","BUY")</f>
        <v>SELL</v>
      </c>
      <c r="AM217" t="str">
        <f>IF('Moving Ave'!J427&gt;'Moving Ave'!O427,"SELL","BUY")</f>
        <v>BUY</v>
      </c>
      <c r="AN217" t="str">
        <f>IF('Moving Ave'!K427&gt;'Moving Ave'!P427,"SELL","BUY")</f>
        <v>BUY</v>
      </c>
      <c r="AO217">
        <f>IF(AJ216="BUY",AO216*('Data Checks'!B427/'Data Checks'!B426),AO216*('Data Checks'!B426/'Data Checks'!B427))</f>
        <v>147.42371203174918</v>
      </c>
      <c r="AP217">
        <f>IF(AK216="BUY",AP216*('Data Checks'!C427/'Data Checks'!C426),AP216*('Data Checks'!C426/'Data Checks'!C427))</f>
        <v>108.76302028862142</v>
      </c>
      <c r="AQ217">
        <f>IF(AL216="BUY",AQ216*('Data Checks'!D427/'Data Checks'!D426),AQ216*('Data Checks'!D426/'Data Checks'!D427))</f>
        <v>315.52090815798789</v>
      </c>
      <c r="AR217">
        <f>IF(AM216="BUY",AR216*('Data Checks'!E427/'Data Checks'!E426),AR216*('Data Checks'!E426/'Data Checks'!E427))</f>
        <v>89.28690695390334</v>
      </c>
      <c r="AS217">
        <f>IF(AN216="BUY",AS216*('Data Checks'!F427/'Data Checks'!F426),AS216*('Data Checks'!F426/'Data Checks'!F427))</f>
        <v>187.01155707808803</v>
      </c>
      <c r="AT217" s="16">
        <f t="shared" si="36"/>
        <v>848.00610451034981</v>
      </c>
      <c r="AU217" s="17">
        <f t="shared" si="40"/>
        <v>8.7275157985617913E-3</v>
      </c>
    </row>
    <row r="218" spans="1:47" x14ac:dyDescent="0.35">
      <c r="A218" s="2">
        <f>Prices!A426</f>
        <v>44503</v>
      </c>
      <c r="B218">
        <f>B217*('Data Checks'!B428/'Data Checks'!B427)</f>
        <v>321.22168965800159</v>
      </c>
      <c r="C218">
        <f>C217*('Data Checks'!C428/'Data Checks'!C427)</f>
        <v>114.50343699526141</v>
      </c>
      <c r="D218">
        <f>D217*('Data Checks'!D428/'Data Checks'!D427)</f>
        <v>196.42678571425606</v>
      </c>
      <c r="E218">
        <f>E217*('Data Checks'!E428/'Data Checks'!E427)</f>
        <v>89.956478407884859</v>
      </c>
      <c r="F218">
        <f>F217*('Data Checks'!F428/'Data Checks'!F427)</f>
        <v>127.99236902230381</v>
      </c>
      <c r="G218" s="16">
        <f t="shared" si="33"/>
        <v>850.10075979770784</v>
      </c>
      <c r="H218" s="17">
        <f t="shared" si="37"/>
        <v>2.2438780068909869E-2</v>
      </c>
      <c r="J218" t="str">
        <f>IF(AND('Data Checks'!B428&gt;'Data Checks'!B427,'Data Checks'!B427&gt;'Data Checks'!B426,'Data Checks'!B426&gt;'Data Checks'!B425),"SELL",IF(AND('Data Checks'!B428&lt;'Data Checks'!B427,'Data Checks'!B427&lt;'Data Checks'!B426,'Data Checks'!B426&lt;'Data Checks'!B425),"BUY",""))</f>
        <v/>
      </c>
      <c r="K218" t="str">
        <f>IF(AND('Data Checks'!C428&gt;'Data Checks'!C427,'Data Checks'!C427&gt;'Data Checks'!C426,'Data Checks'!C426&gt;'Data Checks'!C425),"SELL",IF(AND('Data Checks'!C428&lt;'Data Checks'!C427,'Data Checks'!C427&lt;'Data Checks'!C426,'Data Checks'!C426&lt;'Data Checks'!C425),"BUY",""))</f>
        <v/>
      </c>
      <c r="L218" t="str">
        <f>IF(AND('Data Checks'!D428&gt;'Data Checks'!D427,'Data Checks'!D427&gt;'Data Checks'!D426,'Data Checks'!D426&gt;'Data Checks'!D425),"SELL",IF(AND('Data Checks'!D428&lt;'Data Checks'!D427,'Data Checks'!D427&lt;'Data Checks'!D426,'Data Checks'!D426&lt;'Data Checks'!D425),"BUY",""))</f>
        <v>SELL</v>
      </c>
      <c r="M218" t="str">
        <f>IF(AND('Data Checks'!E428&gt;'Data Checks'!E427,'Data Checks'!E427&gt;'Data Checks'!E426,'Data Checks'!E426&gt;'Data Checks'!E425),"SELL",IF(AND('Data Checks'!E428&lt;'Data Checks'!E427,'Data Checks'!E427&lt;'Data Checks'!E426,'Data Checks'!E426&lt;'Data Checks'!E425),"BUY",""))</f>
        <v>SELL</v>
      </c>
      <c r="N218" t="str">
        <f>IF(AND('Data Checks'!F428&gt;'Data Checks'!F427,'Data Checks'!F427&gt;'Data Checks'!F426,'Data Checks'!F426&gt;'Data Checks'!F425),"SELL",IF(AND('Data Checks'!F428&lt;'Data Checks'!F427,'Data Checks'!F427&lt;'Data Checks'!F426,'Data Checks'!F426&lt;'Data Checks'!F425),"BUY",""))</f>
        <v>SELL</v>
      </c>
      <c r="O218">
        <f>IF(J217="BUY",O217*('Data Checks'!B428/'Data Checks'!B427),IF(J217="SELL",O217*('Data Checks'!B427/'Data Checks'!B428),O217))</f>
        <v>248.66263815907161</v>
      </c>
      <c r="P218">
        <f>IF(K217="BUY",P217*('Data Checks'!C428/'Data Checks'!C427),IF(K217="SELL",P217*('Data Checks'!C427/'Data Checks'!C428),P217))</f>
        <v>204.19237926502757</v>
      </c>
      <c r="Q218">
        <f>IF(L217="BUY",Q217*('Data Checks'!D428/'Data Checks'!D427),IF(L217="SELL",Q217*('Data Checks'!D427/'Data Checks'!D428),Q217))</f>
        <v>230.41196149342662</v>
      </c>
      <c r="R218">
        <f>IF(M217="BUY",R217*('Data Checks'!E428/'Data Checks'!E427),IF(M217="SELL",R217*('Data Checks'!E427/'Data Checks'!E428),R217))</f>
        <v>209.72913567484002</v>
      </c>
      <c r="S218">
        <f>IF(N217="BUY",S217*('Data Checks'!F428/'Data Checks'!F427),IF(N217="SELL",S217*('Data Checks'!F427/'Data Checks'!F428),S217))</f>
        <v>186.9275823314477</v>
      </c>
      <c r="T218" s="16">
        <f t="shared" si="34"/>
        <v>1079.9236969238134</v>
      </c>
      <c r="U218" s="17">
        <f t="shared" si="38"/>
        <v>-6.6519828334558051E-3</v>
      </c>
      <c r="W218" t="str">
        <f>IF(AND('Data Checks'!B428&gt;'Data Checks'!B427,'Data Checks'!B427&gt;'Data Checks'!B426,'Data Checks'!B426&gt;'Data Checks'!B425),"BUY",IF(AND('Data Checks'!B428&lt;'Data Checks'!B427,'Data Checks'!B427&lt;'Data Checks'!B426,'Data Checks'!B426&lt;'Data Checks'!B425),"SELL",""))</f>
        <v/>
      </c>
      <c r="X218" t="str">
        <f>IF(AND('Data Checks'!C428&gt;'Data Checks'!C427,'Data Checks'!C427&gt;'Data Checks'!C426,'Data Checks'!C426&gt;'Data Checks'!C425),"BUY",IF(AND('Data Checks'!C428&lt;'Data Checks'!C427,'Data Checks'!C427&lt;'Data Checks'!C426,'Data Checks'!C426&lt;'Data Checks'!C425),"SELL",""))</f>
        <v/>
      </c>
      <c r="Y218" t="str">
        <f>IF(AND('Data Checks'!D428&gt;'Data Checks'!D427,'Data Checks'!D427&gt;'Data Checks'!D426,'Data Checks'!D426&gt;'Data Checks'!D425),"BUY",IF(AND('Data Checks'!D428&lt;'Data Checks'!D427,'Data Checks'!D427&lt;'Data Checks'!D426,'Data Checks'!D426&lt;'Data Checks'!D425),"SELL",""))</f>
        <v>BUY</v>
      </c>
      <c r="Z218" t="str">
        <f>IF(AND('Data Checks'!E428&gt;'Data Checks'!E427,'Data Checks'!E427&gt;'Data Checks'!E426,'Data Checks'!E426&gt;'Data Checks'!E425),"BUY",IF(AND('Data Checks'!E428&lt;'Data Checks'!E427,'Data Checks'!E427&lt;'Data Checks'!E426,'Data Checks'!E426&lt;'Data Checks'!E425),"SELL",""))</f>
        <v>BUY</v>
      </c>
      <c r="AA218" t="str">
        <f>IF(AND('Data Checks'!F428&gt;'Data Checks'!F427,'Data Checks'!F427&gt;'Data Checks'!F426,'Data Checks'!F426&gt;'Data Checks'!F425),"BUY",IF(AND('Data Checks'!F428&lt;'Data Checks'!F427,'Data Checks'!F427&lt;'Data Checks'!F426,'Data Checks'!F426&lt;'Data Checks'!F425),"SELL",""))</f>
        <v>BUY</v>
      </c>
      <c r="AB218">
        <f>IF(W217="BUY",AB217*('Data Checks'!B428/'Data Checks'!B427),IF(W217="SELL",AB217*('Data Checks'!B427/'Data Checks'!B428),AB217))</f>
        <v>160.86051485712815</v>
      </c>
      <c r="AC218">
        <f>IF(X217="BUY",AC217*('Data Checks'!C428/'Data Checks'!C427),IF(X217="SELL",AC217*('Data Checks'!C427/'Data Checks'!C428),AC217))</f>
        <v>195.89369664027873</v>
      </c>
      <c r="AD218">
        <f>IF(Y217="BUY",AD217*('Data Checks'!D428/'Data Checks'!D427),IF(Y217="SELL",AD217*('Data Checks'!D427/'Data Checks'!D428),AD217))</f>
        <v>173.6020983491396</v>
      </c>
      <c r="AE218">
        <f>IF(Z217="BUY",AE217*('Data Checks'!E428/'Data Checks'!E427),IF(Z217="SELL",AE217*('Data Checks'!E427/'Data Checks'!E428),AE217))</f>
        <v>190.72218970098263</v>
      </c>
      <c r="AF218">
        <f>IF(AA217="BUY",AF217*('Data Checks'!F428/'Data Checks'!F427),IF(AA217="SELL",AF217*('Data Checks'!F427/'Data Checks'!F428),AF217))</f>
        <v>213.98661182636312</v>
      </c>
      <c r="AG218" s="16">
        <f t="shared" si="35"/>
        <v>935.06511137389225</v>
      </c>
      <c r="AH218" s="17">
        <f t="shared" si="39"/>
        <v>6.0045045892522797E-3</v>
      </c>
      <c r="AJ218" t="str">
        <f>IF('Moving Ave'!G428&gt;'Moving Ave'!L428,"SELL","BUY")</f>
        <v>SELL</v>
      </c>
      <c r="AK218" t="str">
        <f>IF('Moving Ave'!H428&gt;'Moving Ave'!M428,"SELL","BUY")</f>
        <v>BUY</v>
      </c>
      <c r="AL218" t="str">
        <f>IF('Moving Ave'!I428&gt;'Moving Ave'!N428,"SELL","BUY")</f>
        <v>SELL</v>
      </c>
      <c r="AM218" t="str">
        <f>IF('Moving Ave'!J428&gt;'Moving Ave'!O428,"SELL","BUY")</f>
        <v>BUY</v>
      </c>
      <c r="AN218" t="str">
        <f>IF('Moving Ave'!K428&gt;'Moving Ave'!P428,"SELL","BUY")</f>
        <v>BUY</v>
      </c>
      <c r="AO218">
        <f>IF(AJ217="BUY",AO217*('Data Checks'!B428/'Data Checks'!B427),AO217*('Data Checks'!B427/'Data Checks'!B428))</f>
        <v>145.29922292703642</v>
      </c>
      <c r="AP218">
        <f>IF(AK217="BUY",AP217*('Data Checks'!C428/'Data Checks'!C427),AP217*('Data Checks'!C427/'Data Checks'!C428))</f>
        <v>114.50343699526141</v>
      </c>
      <c r="AQ218">
        <f>IF(AL217="BUY",AQ217*('Data Checks'!D428/'Data Checks'!D427),AQ217*('Data Checks'!D427/'Data Checks'!D428))</f>
        <v>307.95741818004223</v>
      </c>
      <c r="AR218">
        <f>IF(AM217="BUY",AR217*('Data Checks'!E428/'Data Checks'!E427),AR217*('Data Checks'!E427/'Data Checks'!E428))</f>
        <v>89.956478407884859</v>
      </c>
      <c r="AS218">
        <f>IF(AN217="BUY",AS217*('Data Checks'!F428/'Data Checks'!F427),AS217*('Data Checks'!F427/'Data Checks'!F428))</f>
        <v>191.36066753342544</v>
      </c>
      <c r="AT218" s="16">
        <f t="shared" si="36"/>
        <v>849.0772240436504</v>
      </c>
      <c r="AU218" s="17">
        <f t="shared" si="40"/>
        <v>1.2631035644714572E-3</v>
      </c>
    </row>
    <row r="219" spans="1:47" x14ac:dyDescent="0.35">
      <c r="A219" s="2">
        <f>Prices!A427</f>
        <v>44504</v>
      </c>
      <c r="B219">
        <f>B218*('Data Checks'!B429/'Data Checks'!B428)</f>
        <v>341.53243606971307</v>
      </c>
      <c r="C219">
        <f>C218*('Data Checks'!C429/'Data Checks'!C428)</f>
        <v>109.0678158259543</v>
      </c>
      <c r="D219">
        <f>D218*('Data Checks'!D429/'Data Checks'!D428)</f>
        <v>192.35264305147192</v>
      </c>
      <c r="E219">
        <f>E218*('Data Checks'!E429/'Data Checks'!E428)</f>
        <v>90.056910275965478</v>
      </c>
      <c r="F219">
        <f>F218*('Data Checks'!F429/'Data Checks'!F428)</f>
        <v>127.70624312407597</v>
      </c>
      <c r="G219" s="16">
        <f t="shared" si="33"/>
        <v>860.71604834718073</v>
      </c>
      <c r="H219" s="17">
        <f t="shared" si="37"/>
        <v>1.2487094532181109E-2</v>
      </c>
      <c r="J219" t="str">
        <f>IF(AND('Data Checks'!B429&gt;'Data Checks'!B428,'Data Checks'!B428&gt;'Data Checks'!B427,'Data Checks'!B427&gt;'Data Checks'!B426),"SELL",IF(AND('Data Checks'!B429&lt;'Data Checks'!B428,'Data Checks'!B428&lt;'Data Checks'!B427,'Data Checks'!B427&lt;'Data Checks'!B426),"BUY",""))</f>
        <v/>
      </c>
      <c r="K219" t="str">
        <f>IF(AND('Data Checks'!C429&gt;'Data Checks'!C428,'Data Checks'!C428&gt;'Data Checks'!C427,'Data Checks'!C427&gt;'Data Checks'!C426),"SELL",IF(AND('Data Checks'!C429&lt;'Data Checks'!C428,'Data Checks'!C428&lt;'Data Checks'!C427,'Data Checks'!C427&lt;'Data Checks'!C426),"BUY",""))</f>
        <v/>
      </c>
      <c r="L219" t="str">
        <f>IF(AND('Data Checks'!D429&gt;'Data Checks'!D428,'Data Checks'!D428&gt;'Data Checks'!D427,'Data Checks'!D427&gt;'Data Checks'!D426),"SELL",IF(AND('Data Checks'!D429&lt;'Data Checks'!D428,'Data Checks'!D428&lt;'Data Checks'!D427,'Data Checks'!D427&lt;'Data Checks'!D426),"BUY",""))</f>
        <v/>
      </c>
      <c r="M219" t="str">
        <f>IF(AND('Data Checks'!E429&gt;'Data Checks'!E428,'Data Checks'!E428&gt;'Data Checks'!E427,'Data Checks'!E427&gt;'Data Checks'!E426),"SELL",IF(AND('Data Checks'!E429&lt;'Data Checks'!E428,'Data Checks'!E428&lt;'Data Checks'!E427,'Data Checks'!E427&lt;'Data Checks'!E426),"BUY",""))</f>
        <v>SELL</v>
      </c>
      <c r="N219" t="str">
        <f>IF(AND('Data Checks'!F429&gt;'Data Checks'!F428,'Data Checks'!F428&gt;'Data Checks'!F427,'Data Checks'!F427&gt;'Data Checks'!F426),"SELL",IF(AND('Data Checks'!F429&lt;'Data Checks'!F428,'Data Checks'!F428&lt;'Data Checks'!F427,'Data Checks'!F427&lt;'Data Checks'!F426),"BUY",""))</f>
        <v/>
      </c>
      <c r="O219">
        <f>IF(J218="BUY",O218*('Data Checks'!B429/'Data Checks'!B428),IF(J218="SELL",O218*('Data Checks'!B428/'Data Checks'!B429),O218))</f>
        <v>248.66263815907161</v>
      </c>
      <c r="P219">
        <f>IF(K218="BUY",P218*('Data Checks'!C429/'Data Checks'!C428),IF(K218="SELL",P218*('Data Checks'!C428/'Data Checks'!C429),P218))</f>
        <v>204.19237926502757</v>
      </c>
      <c r="Q219">
        <f>IF(L218="BUY",Q218*('Data Checks'!D429/'Data Checks'!D428),IF(L218="SELL",Q218*('Data Checks'!D428/'Data Checks'!D429),Q218))</f>
        <v>235.29222301437153</v>
      </c>
      <c r="R219">
        <f>IF(M218="BUY",R218*('Data Checks'!E429/'Data Checks'!E428),IF(M218="SELL",R218*('Data Checks'!E428/'Data Checks'!E429),R218))</f>
        <v>209.49524480714078</v>
      </c>
      <c r="S219">
        <f>IF(N218="BUY",S218*('Data Checks'!F429/'Data Checks'!F428),IF(N218="SELL",S218*('Data Checks'!F428/'Data Checks'!F429),S218))</f>
        <v>187.34639366822924</v>
      </c>
      <c r="T219" s="16">
        <f t="shared" si="34"/>
        <v>1084.9888789138408</v>
      </c>
      <c r="U219" s="17">
        <f t="shared" si="38"/>
        <v>4.6903146995067591E-3</v>
      </c>
      <c r="W219" t="str">
        <f>IF(AND('Data Checks'!B429&gt;'Data Checks'!B428,'Data Checks'!B428&gt;'Data Checks'!B427,'Data Checks'!B427&gt;'Data Checks'!B426),"BUY",IF(AND('Data Checks'!B429&lt;'Data Checks'!B428,'Data Checks'!B428&lt;'Data Checks'!B427,'Data Checks'!B427&lt;'Data Checks'!B426),"SELL",""))</f>
        <v/>
      </c>
      <c r="X219" t="str">
        <f>IF(AND('Data Checks'!C429&gt;'Data Checks'!C428,'Data Checks'!C428&gt;'Data Checks'!C427,'Data Checks'!C427&gt;'Data Checks'!C426),"BUY",IF(AND('Data Checks'!C429&lt;'Data Checks'!C428,'Data Checks'!C428&lt;'Data Checks'!C427,'Data Checks'!C427&lt;'Data Checks'!C426),"SELL",""))</f>
        <v/>
      </c>
      <c r="Y219" t="str">
        <f>IF(AND('Data Checks'!D429&gt;'Data Checks'!D428,'Data Checks'!D428&gt;'Data Checks'!D427,'Data Checks'!D427&gt;'Data Checks'!D426),"BUY",IF(AND('Data Checks'!D429&lt;'Data Checks'!D428,'Data Checks'!D428&lt;'Data Checks'!D427,'Data Checks'!D427&lt;'Data Checks'!D426),"SELL",""))</f>
        <v/>
      </c>
      <c r="Z219" t="str">
        <f>IF(AND('Data Checks'!E429&gt;'Data Checks'!E428,'Data Checks'!E428&gt;'Data Checks'!E427,'Data Checks'!E427&gt;'Data Checks'!E426),"BUY",IF(AND('Data Checks'!E429&lt;'Data Checks'!E428,'Data Checks'!E428&lt;'Data Checks'!E427,'Data Checks'!E427&lt;'Data Checks'!E426),"SELL",""))</f>
        <v>BUY</v>
      </c>
      <c r="AA219" t="str">
        <f>IF(AND('Data Checks'!F429&gt;'Data Checks'!F428,'Data Checks'!F428&gt;'Data Checks'!F427,'Data Checks'!F427&gt;'Data Checks'!F426),"BUY",IF(AND('Data Checks'!F429&lt;'Data Checks'!F428,'Data Checks'!F428&lt;'Data Checks'!F427,'Data Checks'!F427&lt;'Data Checks'!F426),"SELL",""))</f>
        <v/>
      </c>
      <c r="AB219">
        <f>IF(W218="BUY",AB218*('Data Checks'!B429/'Data Checks'!B428),IF(W218="SELL",AB218*('Data Checks'!B428/'Data Checks'!B429),AB218))</f>
        <v>160.86051485712815</v>
      </c>
      <c r="AC219">
        <f>IF(X218="BUY",AC218*('Data Checks'!C429/'Data Checks'!C428),IF(X218="SELL",AC218*('Data Checks'!C428/'Data Checks'!C429),AC218))</f>
        <v>195.89369664027873</v>
      </c>
      <c r="AD219">
        <f>IF(Y218="BUY",AD218*('Data Checks'!D429/'Data Checks'!D428),IF(Y218="SELL",AD218*('Data Checks'!D428/'Data Checks'!D429),AD218))</f>
        <v>170.00136888313915</v>
      </c>
      <c r="AE219">
        <f>IF(Z218="BUY",AE218*('Data Checks'!E429/'Data Checks'!E428),IF(Z218="SELL",AE218*('Data Checks'!E428/'Data Checks'!E429),AE218))</f>
        <v>190.93512140012325</v>
      </c>
      <c r="AF219">
        <f>IF(AA218="BUY",AF218*('Data Checks'!F429/'Data Checks'!F428),IF(AA218="SELL",AF218*('Data Checks'!F428/'Data Checks'!F429),AF218))</f>
        <v>213.50824649892019</v>
      </c>
      <c r="AG219" s="16">
        <f t="shared" si="35"/>
        <v>931.19894827958956</v>
      </c>
      <c r="AH219" s="17">
        <f t="shared" si="39"/>
        <v>-4.1346458629197835E-3</v>
      </c>
      <c r="AJ219" t="str">
        <f>IF('Moving Ave'!G429&gt;'Moving Ave'!L429,"SELL","BUY")</f>
        <v>SELL</v>
      </c>
      <c r="AK219" t="str">
        <f>IF('Moving Ave'!H429&gt;'Moving Ave'!M429,"SELL","BUY")</f>
        <v>BUY</v>
      </c>
      <c r="AL219" t="str">
        <f>IF('Moving Ave'!I429&gt;'Moving Ave'!N429,"SELL","BUY")</f>
        <v>SELL</v>
      </c>
      <c r="AM219" t="str">
        <f>IF('Moving Ave'!J429&gt;'Moving Ave'!O429,"SELL","BUY")</f>
        <v>BUY</v>
      </c>
      <c r="AN219" t="str">
        <f>IF('Moving Ave'!K429&gt;'Moving Ave'!P429,"SELL","BUY")</f>
        <v>BUY</v>
      </c>
      <c r="AO219">
        <f>IF(AJ218="BUY",AO218*('Data Checks'!B429/'Data Checks'!B428),AO218*('Data Checks'!B428/'Data Checks'!B429))</f>
        <v>136.6583579343849</v>
      </c>
      <c r="AP219">
        <f>IF(AK218="BUY",AP218*('Data Checks'!C429/'Data Checks'!C428),AP218*('Data Checks'!C428/'Data Checks'!C429))</f>
        <v>109.0678158259543</v>
      </c>
      <c r="AQ219">
        <f>IF(AL218="BUY",AQ218*('Data Checks'!D429/'Data Checks'!D428),AQ218*('Data Checks'!D428/'Data Checks'!D429))</f>
        <v>314.4801383039993</v>
      </c>
      <c r="AR219">
        <f>IF(AM218="BUY",AR218*('Data Checks'!E429/'Data Checks'!E428),AR218*('Data Checks'!E428/'Data Checks'!E429))</f>
        <v>90.056910275965478</v>
      </c>
      <c r="AS219">
        <f>IF(AN218="BUY",AS218*('Data Checks'!F429/'Data Checks'!F428),AS218*('Data Checks'!F428/'Data Checks'!F429))</f>
        <v>190.93288232012151</v>
      </c>
      <c r="AT219" s="16">
        <f t="shared" si="36"/>
        <v>841.19610466042548</v>
      </c>
      <c r="AU219" s="17">
        <f t="shared" si="40"/>
        <v>-9.2819818504751295E-3</v>
      </c>
    </row>
    <row r="220" spans="1:47" x14ac:dyDescent="0.35">
      <c r="A220" s="2">
        <f>Prices!A428</f>
        <v>44505</v>
      </c>
      <c r="B220">
        <f>B219*('Data Checks'!B430/'Data Checks'!B429)</f>
        <v>350.0508408804443</v>
      </c>
      <c r="C220">
        <f>C219*('Data Checks'!C430/'Data Checks'!C429)</f>
        <v>111.86182656494363</v>
      </c>
      <c r="D220">
        <f>D219*('Data Checks'!D430/'Data Checks'!D429)</f>
        <v>196.29320414582091</v>
      </c>
      <c r="E220">
        <f>E219*('Data Checks'!E430/'Data Checks'!E429)</f>
        <v>89.856039844123174</v>
      </c>
      <c r="F220">
        <f>F219*('Data Checks'!F430/'Data Checks'!F429)</f>
        <v>129.66142007145572</v>
      </c>
      <c r="G220" s="16">
        <f t="shared" si="33"/>
        <v>877.72333150678776</v>
      </c>
      <c r="H220" s="17">
        <f t="shared" si="37"/>
        <v>1.9759458641750438E-2</v>
      </c>
      <c r="J220" t="str">
        <f>IF(AND('Data Checks'!B430&gt;'Data Checks'!B429,'Data Checks'!B429&gt;'Data Checks'!B428,'Data Checks'!B428&gt;'Data Checks'!B427),"SELL",IF(AND('Data Checks'!B430&lt;'Data Checks'!B429,'Data Checks'!B429&lt;'Data Checks'!B428,'Data Checks'!B428&lt;'Data Checks'!B427),"BUY",""))</f>
        <v>SELL</v>
      </c>
      <c r="K220" t="str">
        <f>IF(AND('Data Checks'!C430&gt;'Data Checks'!C429,'Data Checks'!C429&gt;'Data Checks'!C428,'Data Checks'!C428&gt;'Data Checks'!C427),"SELL",IF(AND('Data Checks'!C430&lt;'Data Checks'!C429,'Data Checks'!C429&lt;'Data Checks'!C428,'Data Checks'!C428&lt;'Data Checks'!C427),"BUY",""))</f>
        <v/>
      </c>
      <c r="L220" t="str">
        <f>IF(AND('Data Checks'!D430&gt;'Data Checks'!D429,'Data Checks'!D429&gt;'Data Checks'!D428,'Data Checks'!D428&gt;'Data Checks'!D427),"SELL",IF(AND('Data Checks'!D430&lt;'Data Checks'!D429,'Data Checks'!D429&lt;'Data Checks'!D428,'Data Checks'!D428&lt;'Data Checks'!D427),"BUY",""))</f>
        <v/>
      </c>
      <c r="M220" t="str">
        <f>IF(AND('Data Checks'!E430&gt;'Data Checks'!E429,'Data Checks'!E429&gt;'Data Checks'!E428,'Data Checks'!E428&gt;'Data Checks'!E427),"SELL",IF(AND('Data Checks'!E430&lt;'Data Checks'!E429,'Data Checks'!E429&lt;'Data Checks'!E428,'Data Checks'!E428&lt;'Data Checks'!E427),"BUY",""))</f>
        <v/>
      </c>
      <c r="N220" t="str">
        <f>IF(AND('Data Checks'!F430&gt;'Data Checks'!F429,'Data Checks'!F429&gt;'Data Checks'!F428,'Data Checks'!F428&gt;'Data Checks'!F427),"SELL",IF(AND('Data Checks'!F430&lt;'Data Checks'!F429,'Data Checks'!F429&lt;'Data Checks'!F428,'Data Checks'!F428&lt;'Data Checks'!F427),"BUY",""))</f>
        <v/>
      </c>
      <c r="O220">
        <f>IF(J219="BUY",O219*('Data Checks'!B430/'Data Checks'!B429),IF(J219="SELL",O219*('Data Checks'!B429/'Data Checks'!B430),O219))</f>
        <v>248.66263815907161</v>
      </c>
      <c r="P220">
        <f>IF(K219="BUY",P219*('Data Checks'!C430/'Data Checks'!C429),IF(K219="SELL",P219*('Data Checks'!C429/'Data Checks'!C430),P219))</f>
        <v>204.19237926502757</v>
      </c>
      <c r="Q220">
        <f>IF(L219="BUY",Q219*('Data Checks'!D430/'Data Checks'!D429),IF(L219="SELL",Q219*('Data Checks'!D429/'Data Checks'!D430),Q219))</f>
        <v>235.29222301437153</v>
      </c>
      <c r="R220">
        <f>IF(M219="BUY",R219*('Data Checks'!E430/'Data Checks'!E429),IF(M219="SELL",R219*('Data Checks'!E429/'Data Checks'!E430),R219))</f>
        <v>209.9635650265308</v>
      </c>
      <c r="S220">
        <f>IF(N219="BUY",S219*('Data Checks'!F430/'Data Checks'!F429),IF(N219="SELL",S219*('Data Checks'!F429/'Data Checks'!F430),S219))</f>
        <v>187.34639366822924</v>
      </c>
      <c r="T220" s="16">
        <f t="shared" si="34"/>
        <v>1085.4571991332307</v>
      </c>
      <c r="U220" s="17">
        <f t="shared" si="38"/>
        <v>4.31635962811594E-4</v>
      </c>
      <c r="W220" t="str">
        <f>IF(AND('Data Checks'!B430&gt;'Data Checks'!B429,'Data Checks'!B429&gt;'Data Checks'!B428,'Data Checks'!B428&gt;'Data Checks'!B427),"BUY",IF(AND('Data Checks'!B430&lt;'Data Checks'!B429,'Data Checks'!B429&lt;'Data Checks'!B428,'Data Checks'!B428&lt;'Data Checks'!B427),"SELL",""))</f>
        <v>BUY</v>
      </c>
      <c r="X220" t="str">
        <f>IF(AND('Data Checks'!C430&gt;'Data Checks'!C429,'Data Checks'!C429&gt;'Data Checks'!C428,'Data Checks'!C428&gt;'Data Checks'!C427),"BUY",IF(AND('Data Checks'!C430&lt;'Data Checks'!C429,'Data Checks'!C429&lt;'Data Checks'!C428,'Data Checks'!C428&lt;'Data Checks'!C427),"SELL",""))</f>
        <v/>
      </c>
      <c r="Y220" t="str">
        <f>IF(AND('Data Checks'!D430&gt;'Data Checks'!D429,'Data Checks'!D429&gt;'Data Checks'!D428,'Data Checks'!D428&gt;'Data Checks'!D427),"BUY",IF(AND('Data Checks'!D430&lt;'Data Checks'!D429,'Data Checks'!D429&lt;'Data Checks'!D428,'Data Checks'!D428&lt;'Data Checks'!D427),"SELL",""))</f>
        <v/>
      </c>
      <c r="Z220" t="str">
        <f>IF(AND('Data Checks'!E430&gt;'Data Checks'!E429,'Data Checks'!E429&gt;'Data Checks'!E428,'Data Checks'!E428&gt;'Data Checks'!E427),"BUY",IF(AND('Data Checks'!E430&lt;'Data Checks'!E429,'Data Checks'!E429&lt;'Data Checks'!E428,'Data Checks'!E428&lt;'Data Checks'!E427),"SELL",""))</f>
        <v/>
      </c>
      <c r="AA220" t="str">
        <f>IF(AND('Data Checks'!F430&gt;'Data Checks'!F429,'Data Checks'!F429&gt;'Data Checks'!F428,'Data Checks'!F428&gt;'Data Checks'!F427),"BUY",IF(AND('Data Checks'!F430&lt;'Data Checks'!F429,'Data Checks'!F429&lt;'Data Checks'!F428,'Data Checks'!F428&lt;'Data Checks'!F427),"SELL",""))</f>
        <v/>
      </c>
      <c r="AB220">
        <f>IF(W219="BUY",AB219*('Data Checks'!B430/'Data Checks'!B429),IF(W219="SELL",AB219*('Data Checks'!B429/'Data Checks'!B430),AB219))</f>
        <v>160.86051485712815</v>
      </c>
      <c r="AC220">
        <f>IF(X219="BUY",AC219*('Data Checks'!C430/'Data Checks'!C429),IF(X219="SELL",AC219*('Data Checks'!C429/'Data Checks'!C430),AC219))</f>
        <v>195.89369664027873</v>
      </c>
      <c r="AD220">
        <f>IF(Y219="BUY",AD219*('Data Checks'!D430/'Data Checks'!D429),IF(Y219="SELL",AD219*('Data Checks'!D429/'Data Checks'!D430),AD219))</f>
        <v>170.00136888313915</v>
      </c>
      <c r="AE220">
        <f>IF(Z219="BUY",AE219*('Data Checks'!E430/'Data Checks'!E429),IF(Z219="SELL",AE219*('Data Checks'!E429/'Data Checks'!E430),AE219))</f>
        <v>190.50924380592224</v>
      </c>
      <c r="AF220">
        <f>IF(AA219="BUY",AF219*('Data Checks'!F430/'Data Checks'!F429),IF(AA219="SELL",AF219*('Data Checks'!F429/'Data Checks'!F430),AF219))</f>
        <v>213.50824649892019</v>
      </c>
      <c r="AG220" s="16">
        <f t="shared" si="35"/>
        <v>930.77307068538835</v>
      </c>
      <c r="AH220" s="17">
        <f t="shared" si="39"/>
        <v>-4.5734329381286187E-4</v>
      </c>
      <c r="AJ220" t="str">
        <f>IF('Moving Ave'!G430&gt;'Moving Ave'!L430,"SELL","BUY")</f>
        <v>SELL</v>
      </c>
      <c r="AK220" t="str">
        <f>IF('Moving Ave'!H430&gt;'Moving Ave'!M430,"SELL","BUY")</f>
        <v>BUY</v>
      </c>
      <c r="AL220" t="str">
        <f>IF('Moving Ave'!I430&gt;'Moving Ave'!N430,"SELL","BUY")</f>
        <v>SELL</v>
      </c>
      <c r="AM220" t="str">
        <f>IF('Moving Ave'!J430&gt;'Moving Ave'!O430,"SELL","BUY")</f>
        <v>BUY</v>
      </c>
      <c r="AN220" t="str">
        <f>IF('Moving Ave'!K430&gt;'Moving Ave'!P430,"SELL","BUY")</f>
        <v>BUY</v>
      </c>
      <c r="AO220">
        <f>IF(AJ219="BUY",AO219*('Data Checks'!B430/'Data Checks'!B429),AO219*('Data Checks'!B429/'Data Checks'!B430))</f>
        <v>133.33280896347847</v>
      </c>
      <c r="AP220">
        <f>IF(AK219="BUY",AP219*('Data Checks'!C430/'Data Checks'!C429),AP219*('Data Checks'!C429/'Data Checks'!C430))</f>
        <v>111.86182656494363</v>
      </c>
      <c r="AQ220">
        <f>IF(AL219="BUY",AQ219*('Data Checks'!D430/'Data Checks'!D429),AQ219*('Data Checks'!D429/'Data Checks'!D430))</f>
        <v>308.16698954605431</v>
      </c>
      <c r="AR220">
        <f>IF(AM219="BUY",AR219*('Data Checks'!E430/'Data Checks'!E429),AR219*('Data Checks'!E429/'Data Checks'!E430))</f>
        <v>89.856039844123174</v>
      </c>
      <c r="AS220">
        <f>IF(AN219="BUY",AS219*('Data Checks'!F430/'Data Checks'!F429),AS219*('Data Checks'!F429/'Data Checks'!F430))</f>
        <v>193.85605632381041</v>
      </c>
      <c r="AT220" s="16">
        <f t="shared" si="36"/>
        <v>837.0737212424101</v>
      </c>
      <c r="AU220" s="17">
        <f t="shared" si="40"/>
        <v>-4.9006211455050463E-3</v>
      </c>
    </row>
    <row r="221" spans="1:47" x14ac:dyDescent="0.35">
      <c r="A221" s="2">
        <f>Prices!A429</f>
        <v>44506</v>
      </c>
      <c r="B221">
        <f>B220*('Data Checks'!B431/'Data Checks'!B430)</f>
        <v>348.93073266773786</v>
      </c>
      <c r="C221">
        <f>C220*('Data Checks'!C431/'Data Checks'!C430)</f>
        <v>113.18263432010764</v>
      </c>
      <c r="D221">
        <f>D220*('Data Checks'!D431/'Data Checks'!D430)</f>
        <v>203.13909839938404</v>
      </c>
      <c r="E221">
        <f>E220*('Data Checks'!E431/'Data Checks'!E430)</f>
        <v>89.286906953903326</v>
      </c>
      <c r="F221">
        <f>F220*('Data Checks'!F431/'Data Checks'!F430)</f>
        <v>132.37959464539242</v>
      </c>
      <c r="G221" s="16">
        <f t="shared" si="33"/>
        <v>886.91896698652533</v>
      </c>
      <c r="H221" s="17">
        <f t="shared" si="37"/>
        <v>1.0476690261783883E-2</v>
      </c>
      <c r="J221" t="str">
        <f>IF(AND('Data Checks'!B431&gt;'Data Checks'!B430,'Data Checks'!B430&gt;'Data Checks'!B429,'Data Checks'!B429&gt;'Data Checks'!B428),"SELL",IF(AND('Data Checks'!B431&lt;'Data Checks'!B430,'Data Checks'!B430&lt;'Data Checks'!B429,'Data Checks'!B429&lt;'Data Checks'!B428),"BUY",""))</f>
        <v/>
      </c>
      <c r="K221" t="str">
        <f>IF(AND('Data Checks'!C431&gt;'Data Checks'!C430,'Data Checks'!C430&gt;'Data Checks'!C429,'Data Checks'!C429&gt;'Data Checks'!C428),"SELL",IF(AND('Data Checks'!C431&lt;'Data Checks'!C430,'Data Checks'!C430&lt;'Data Checks'!C429,'Data Checks'!C429&lt;'Data Checks'!C428),"BUY",""))</f>
        <v/>
      </c>
      <c r="L221" t="str">
        <f>IF(AND('Data Checks'!D431&gt;'Data Checks'!D430,'Data Checks'!D430&gt;'Data Checks'!D429,'Data Checks'!D429&gt;'Data Checks'!D428),"SELL",IF(AND('Data Checks'!D431&lt;'Data Checks'!D430,'Data Checks'!D430&lt;'Data Checks'!D429,'Data Checks'!D429&lt;'Data Checks'!D428),"BUY",""))</f>
        <v/>
      </c>
      <c r="M221" t="str">
        <f>IF(AND('Data Checks'!E431&gt;'Data Checks'!E430,'Data Checks'!E430&gt;'Data Checks'!E429,'Data Checks'!E429&gt;'Data Checks'!E428),"SELL",IF(AND('Data Checks'!E431&lt;'Data Checks'!E430,'Data Checks'!E430&lt;'Data Checks'!E429,'Data Checks'!E429&lt;'Data Checks'!E428),"BUY",""))</f>
        <v/>
      </c>
      <c r="N221" t="str">
        <f>IF(AND('Data Checks'!F431&gt;'Data Checks'!F430,'Data Checks'!F430&gt;'Data Checks'!F429,'Data Checks'!F429&gt;'Data Checks'!F428),"SELL",IF(AND('Data Checks'!F431&lt;'Data Checks'!F430,'Data Checks'!F430&lt;'Data Checks'!F429,'Data Checks'!F429&lt;'Data Checks'!F428),"BUY",""))</f>
        <v/>
      </c>
      <c r="O221">
        <f>IF(J220="BUY",O220*('Data Checks'!B431/'Data Checks'!B430),IF(J220="SELL",O220*('Data Checks'!B430/'Data Checks'!B431),O220))</f>
        <v>249.46087413291585</v>
      </c>
      <c r="P221">
        <f>IF(K220="BUY",P220*('Data Checks'!C431/'Data Checks'!C430),IF(K220="SELL",P220*('Data Checks'!C430/'Data Checks'!C431),P220))</f>
        <v>204.19237926502757</v>
      </c>
      <c r="Q221">
        <f>IF(L220="BUY",Q220*('Data Checks'!D431/'Data Checks'!D430),IF(L220="SELL",Q220*('Data Checks'!D430/'Data Checks'!D431),Q220))</f>
        <v>235.29222301437153</v>
      </c>
      <c r="R221">
        <f>IF(M220="BUY",R220*('Data Checks'!E431/'Data Checks'!E430),IF(M220="SELL",R220*('Data Checks'!E430/'Data Checks'!E431),R220))</f>
        <v>209.9635650265308</v>
      </c>
      <c r="S221">
        <f>IF(N220="BUY",S220*('Data Checks'!F431/'Data Checks'!F430),IF(N220="SELL",S220*('Data Checks'!F430/'Data Checks'!F431),S220))</f>
        <v>187.34639366822924</v>
      </c>
      <c r="T221" s="16">
        <f t="shared" si="34"/>
        <v>1086.2554351070751</v>
      </c>
      <c r="U221" s="17">
        <f t="shared" si="38"/>
        <v>7.3539147787848869E-4</v>
      </c>
      <c r="W221" t="str">
        <f>IF(AND('Data Checks'!B431&gt;'Data Checks'!B430,'Data Checks'!B430&gt;'Data Checks'!B429,'Data Checks'!B429&gt;'Data Checks'!B428),"BUY",IF(AND('Data Checks'!B431&lt;'Data Checks'!B430,'Data Checks'!B430&lt;'Data Checks'!B429,'Data Checks'!B429&lt;'Data Checks'!B428),"SELL",""))</f>
        <v/>
      </c>
      <c r="X221" t="str">
        <f>IF(AND('Data Checks'!C431&gt;'Data Checks'!C430,'Data Checks'!C430&gt;'Data Checks'!C429,'Data Checks'!C429&gt;'Data Checks'!C428),"BUY",IF(AND('Data Checks'!C431&lt;'Data Checks'!C430,'Data Checks'!C430&lt;'Data Checks'!C429,'Data Checks'!C429&lt;'Data Checks'!C428),"SELL",""))</f>
        <v/>
      </c>
      <c r="Y221" t="str">
        <f>IF(AND('Data Checks'!D431&gt;'Data Checks'!D430,'Data Checks'!D430&gt;'Data Checks'!D429,'Data Checks'!D429&gt;'Data Checks'!D428),"BUY",IF(AND('Data Checks'!D431&lt;'Data Checks'!D430,'Data Checks'!D430&lt;'Data Checks'!D429,'Data Checks'!D429&lt;'Data Checks'!D428),"SELL",""))</f>
        <v/>
      </c>
      <c r="Z221" t="str">
        <f>IF(AND('Data Checks'!E431&gt;'Data Checks'!E430,'Data Checks'!E430&gt;'Data Checks'!E429,'Data Checks'!E429&gt;'Data Checks'!E428),"BUY",IF(AND('Data Checks'!E431&lt;'Data Checks'!E430,'Data Checks'!E430&lt;'Data Checks'!E429,'Data Checks'!E429&lt;'Data Checks'!E428),"SELL",""))</f>
        <v/>
      </c>
      <c r="AA221" t="str">
        <f>IF(AND('Data Checks'!F431&gt;'Data Checks'!F430,'Data Checks'!F430&gt;'Data Checks'!F429,'Data Checks'!F429&gt;'Data Checks'!F428),"BUY",IF(AND('Data Checks'!F431&lt;'Data Checks'!F430,'Data Checks'!F430&lt;'Data Checks'!F429,'Data Checks'!F429&lt;'Data Checks'!F428),"SELL",""))</f>
        <v/>
      </c>
      <c r="AB221">
        <f>IF(W220="BUY",AB220*('Data Checks'!B431/'Data Checks'!B430),IF(W220="SELL",AB220*('Data Checks'!B430/'Data Checks'!B431),AB220))</f>
        <v>160.34578624416878</v>
      </c>
      <c r="AC221">
        <f>IF(X220="BUY",AC220*('Data Checks'!C431/'Data Checks'!C430),IF(X220="SELL",AC220*('Data Checks'!C430/'Data Checks'!C431),AC220))</f>
        <v>195.89369664027873</v>
      </c>
      <c r="AD221">
        <f>IF(Y220="BUY",AD220*('Data Checks'!D431/'Data Checks'!D430),IF(Y220="SELL",AD220*('Data Checks'!D430/'Data Checks'!D431),AD220))</f>
        <v>170.00136888313915</v>
      </c>
      <c r="AE221">
        <f>IF(Z220="BUY",AE220*('Data Checks'!E431/'Data Checks'!E430),IF(Z220="SELL",AE220*('Data Checks'!E430/'Data Checks'!E431),AE220))</f>
        <v>190.50924380592224</v>
      </c>
      <c r="AF221">
        <f>IF(AA220="BUY",AF220*('Data Checks'!F431/'Data Checks'!F430),IF(AA220="SELL",AF220*('Data Checks'!F430/'Data Checks'!F431),AF220))</f>
        <v>213.50824649892019</v>
      </c>
      <c r="AG221" s="16">
        <f t="shared" si="35"/>
        <v>930.25834207242906</v>
      </c>
      <c r="AH221" s="17">
        <f t="shared" si="39"/>
        <v>-5.5301193080314892E-4</v>
      </c>
      <c r="AJ221" t="str">
        <f>IF('Moving Ave'!G431&gt;'Moving Ave'!L431,"SELL","BUY")</f>
        <v>SELL</v>
      </c>
      <c r="AK221" t="str">
        <f>IF('Moving Ave'!H431&gt;'Moving Ave'!M431,"SELL","BUY")</f>
        <v>BUY</v>
      </c>
      <c r="AL221" t="str">
        <f>IF('Moving Ave'!I431&gt;'Moving Ave'!N431,"SELL","BUY")</f>
        <v>SELL</v>
      </c>
      <c r="AM221" t="str">
        <f>IF('Moving Ave'!J431&gt;'Moving Ave'!O431,"SELL","BUY")</f>
        <v>BUY</v>
      </c>
      <c r="AN221" t="str">
        <f>IF('Moving Ave'!K431&gt;'Moving Ave'!P431,"SELL","BUY")</f>
        <v>BUY</v>
      </c>
      <c r="AO221">
        <f>IF(AJ220="BUY",AO220*('Data Checks'!B431/'Data Checks'!B430),AO220*('Data Checks'!B430/'Data Checks'!B431))</f>
        <v>133.76082277929049</v>
      </c>
      <c r="AP221">
        <f>IF(AK220="BUY",AP220*('Data Checks'!C431/'Data Checks'!C430),AP220*('Data Checks'!C430/'Data Checks'!C431))</f>
        <v>113.18263432010764</v>
      </c>
      <c r="AQ221">
        <f>IF(AL220="BUY",AQ220*('Data Checks'!D431/'Data Checks'!D430),AQ220*('Data Checks'!D430/'Data Checks'!D431))</f>
        <v>297.78160022664605</v>
      </c>
      <c r="AR221">
        <f>IF(AM220="BUY",AR220*('Data Checks'!E431/'Data Checks'!E430),AR220*('Data Checks'!E430/'Data Checks'!E431))</f>
        <v>89.286906953903326</v>
      </c>
      <c r="AS221">
        <f>IF(AN220="BUY",AS220*('Data Checks'!F431/'Data Checks'!F430),AS220*('Data Checks'!F430/'Data Checks'!F431))</f>
        <v>197.91998376662747</v>
      </c>
      <c r="AT221" s="16">
        <f t="shared" si="36"/>
        <v>831.93194804657492</v>
      </c>
      <c r="AU221" s="17">
        <f t="shared" si="40"/>
        <v>-6.1425571790780786E-3</v>
      </c>
    </row>
    <row r="222" spans="1:47" x14ac:dyDescent="0.35">
      <c r="A222" s="2">
        <f>Prices!A430</f>
        <v>44509</v>
      </c>
      <c r="B222">
        <f>B221*('Data Checks'!B432/'Data Checks'!B431)</f>
        <v>331.26695575225153</v>
      </c>
      <c r="C222">
        <f>C221*('Data Checks'!C432/'Data Checks'!C431)</f>
        <v>124.91745300780944</v>
      </c>
      <c r="D222">
        <f>D221*('Data Checks'!D432/'Data Checks'!D431)</f>
        <v>205.57689773880298</v>
      </c>
      <c r="E222">
        <f>E221*('Data Checks'!E432/'Data Checks'!E431)</f>
        <v>101.20521924321324</v>
      </c>
      <c r="F222">
        <f>F221*('Data Checks'!F432/'Data Checks'!F431)</f>
        <v>145.2551313102785</v>
      </c>
      <c r="G222" s="16">
        <f t="shared" si="33"/>
        <v>908.22165705235579</v>
      </c>
      <c r="H222" s="17">
        <f t="shared" si="37"/>
        <v>2.4018755781275436E-2</v>
      </c>
      <c r="J222" t="str">
        <f>IF(AND('Data Checks'!B432&gt;'Data Checks'!B431,'Data Checks'!B431&gt;'Data Checks'!B430,'Data Checks'!B430&gt;'Data Checks'!B429),"SELL",IF(AND('Data Checks'!B432&lt;'Data Checks'!B431,'Data Checks'!B431&lt;'Data Checks'!B430,'Data Checks'!B430&lt;'Data Checks'!B429),"BUY",""))</f>
        <v/>
      </c>
      <c r="K222" t="str">
        <f>IF(AND('Data Checks'!C432&gt;'Data Checks'!C431,'Data Checks'!C431&gt;'Data Checks'!C430,'Data Checks'!C430&gt;'Data Checks'!C429),"SELL",IF(AND('Data Checks'!C432&lt;'Data Checks'!C431,'Data Checks'!C431&lt;'Data Checks'!C430,'Data Checks'!C430&lt;'Data Checks'!C429),"BUY",""))</f>
        <v>SELL</v>
      </c>
      <c r="L222" t="str">
        <f>IF(AND('Data Checks'!D432&gt;'Data Checks'!D431,'Data Checks'!D431&gt;'Data Checks'!D430,'Data Checks'!D430&gt;'Data Checks'!D429),"SELL",IF(AND('Data Checks'!D432&lt;'Data Checks'!D431,'Data Checks'!D431&lt;'Data Checks'!D430,'Data Checks'!D430&lt;'Data Checks'!D429),"BUY",""))</f>
        <v>SELL</v>
      </c>
      <c r="M222" t="str">
        <f>IF(AND('Data Checks'!E432&gt;'Data Checks'!E431,'Data Checks'!E431&gt;'Data Checks'!E430,'Data Checks'!E430&gt;'Data Checks'!E429),"SELL",IF(AND('Data Checks'!E432&lt;'Data Checks'!E431,'Data Checks'!E431&lt;'Data Checks'!E430,'Data Checks'!E430&lt;'Data Checks'!E429),"BUY",""))</f>
        <v/>
      </c>
      <c r="N222" t="str">
        <f>IF(AND('Data Checks'!F432&gt;'Data Checks'!F431,'Data Checks'!F431&gt;'Data Checks'!F430,'Data Checks'!F430&gt;'Data Checks'!F429),"SELL",IF(AND('Data Checks'!F432&lt;'Data Checks'!F431,'Data Checks'!F431&lt;'Data Checks'!F430,'Data Checks'!F430&lt;'Data Checks'!F429),"BUY",""))</f>
        <v>SELL</v>
      </c>
      <c r="O222">
        <f>IF(J221="BUY",O221*('Data Checks'!B432/'Data Checks'!B431),IF(J221="SELL",O221*('Data Checks'!B431/'Data Checks'!B432),O221))</f>
        <v>249.46087413291585</v>
      </c>
      <c r="P222">
        <f>IF(K221="BUY",P221*('Data Checks'!C432/'Data Checks'!C431),IF(K221="SELL",P221*('Data Checks'!C431/'Data Checks'!C432),P221))</f>
        <v>204.19237926502757</v>
      </c>
      <c r="Q222">
        <f>IF(L221="BUY",Q221*('Data Checks'!D432/'Data Checks'!D431),IF(L221="SELL",Q221*('Data Checks'!D431/'Data Checks'!D432),Q221))</f>
        <v>235.29222301437153</v>
      </c>
      <c r="R222">
        <f>IF(M221="BUY",R221*('Data Checks'!E432/'Data Checks'!E431),IF(M221="SELL",R221*('Data Checks'!E431/'Data Checks'!E432),R221))</f>
        <v>209.9635650265308</v>
      </c>
      <c r="S222">
        <f>IF(N221="BUY",S221*('Data Checks'!F432/'Data Checks'!F431),IF(N221="SELL",S221*('Data Checks'!F431/'Data Checks'!F432),S221))</f>
        <v>187.34639366822924</v>
      </c>
      <c r="T222" s="16">
        <f t="shared" si="34"/>
        <v>1086.2554351070751</v>
      </c>
      <c r="U222" s="17">
        <f t="shared" si="38"/>
        <v>0</v>
      </c>
      <c r="W222" t="str">
        <f>IF(AND('Data Checks'!B432&gt;'Data Checks'!B431,'Data Checks'!B431&gt;'Data Checks'!B430,'Data Checks'!B430&gt;'Data Checks'!B429),"BUY",IF(AND('Data Checks'!B432&lt;'Data Checks'!B431,'Data Checks'!B431&lt;'Data Checks'!B430,'Data Checks'!B430&lt;'Data Checks'!B429),"SELL",""))</f>
        <v/>
      </c>
      <c r="X222" t="str">
        <f>IF(AND('Data Checks'!C432&gt;'Data Checks'!C431,'Data Checks'!C431&gt;'Data Checks'!C430,'Data Checks'!C430&gt;'Data Checks'!C429),"BUY",IF(AND('Data Checks'!C432&lt;'Data Checks'!C431,'Data Checks'!C431&lt;'Data Checks'!C430,'Data Checks'!C430&lt;'Data Checks'!C429),"SELL",""))</f>
        <v>BUY</v>
      </c>
      <c r="Y222" t="str">
        <f>IF(AND('Data Checks'!D432&gt;'Data Checks'!D431,'Data Checks'!D431&gt;'Data Checks'!D430,'Data Checks'!D430&gt;'Data Checks'!D429),"BUY",IF(AND('Data Checks'!D432&lt;'Data Checks'!D431,'Data Checks'!D431&lt;'Data Checks'!D430,'Data Checks'!D430&lt;'Data Checks'!D429),"SELL",""))</f>
        <v>BUY</v>
      </c>
      <c r="Z222" t="str">
        <f>IF(AND('Data Checks'!E432&gt;'Data Checks'!E431,'Data Checks'!E431&gt;'Data Checks'!E430,'Data Checks'!E430&gt;'Data Checks'!E429),"BUY",IF(AND('Data Checks'!E432&lt;'Data Checks'!E431,'Data Checks'!E431&lt;'Data Checks'!E430,'Data Checks'!E430&lt;'Data Checks'!E429),"SELL",""))</f>
        <v/>
      </c>
      <c r="AA222" t="str">
        <f>IF(AND('Data Checks'!F432&gt;'Data Checks'!F431,'Data Checks'!F431&gt;'Data Checks'!F430,'Data Checks'!F430&gt;'Data Checks'!F429),"BUY",IF(AND('Data Checks'!F432&lt;'Data Checks'!F431,'Data Checks'!F431&lt;'Data Checks'!F430,'Data Checks'!F430&lt;'Data Checks'!F429),"SELL",""))</f>
        <v>BUY</v>
      </c>
      <c r="AB222">
        <f>IF(W221="BUY",AB221*('Data Checks'!B432/'Data Checks'!B431),IF(W221="SELL",AB221*('Data Checks'!B431/'Data Checks'!B432),AB221))</f>
        <v>160.34578624416878</v>
      </c>
      <c r="AC222">
        <f>IF(X221="BUY",AC221*('Data Checks'!C432/'Data Checks'!C431),IF(X221="SELL",AC221*('Data Checks'!C431/'Data Checks'!C432),AC221))</f>
        <v>195.89369664027873</v>
      </c>
      <c r="AD222">
        <f>IF(Y221="BUY",AD221*('Data Checks'!D432/'Data Checks'!D431),IF(Y221="SELL",AD221*('Data Checks'!D431/'Data Checks'!D432),AD221))</f>
        <v>170.00136888313915</v>
      </c>
      <c r="AE222">
        <f>IF(Z221="BUY",AE221*('Data Checks'!E432/'Data Checks'!E431),IF(Z221="SELL",AE221*('Data Checks'!E431/'Data Checks'!E432),AE221))</f>
        <v>190.50924380592224</v>
      </c>
      <c r="AF222">
        <f>IF(AA221="BUY",AF221*('Data Checks'!F432/'Data Checks'!F431),IF(AA221="SELL",AF221*('Data Checks'!F431/'Data Checks'!F432),AF221))</f>
        <v>213.50824649892019</v>
      </c>
      <c r="AG222" s="16">
        <f t="shared" si="35"/>
        <v>930.25834207242906</v>
      </c>
      <c r="AH222" s="17">
        <f t="shared" si="39"/>
        <v>0</v>
      </c>
      <c r="AJ222" t="str">
        <f>IF('Moving Ave'!G432&gt;'Moving Ave'!L432,"SELL","BUY")</f>
        <v>SELL</v>
      </c>
      <c r="AK222" t="str">
        <f>IF('Moving Ave'!H432&gt;'Moving Ave'!M432,"SELL","BUY")</f>
        <v>BUY</v>
      </c>
      <c r="AL222" t="str">
        <f>IF('Moving Ave'!I432&gt;'Moving Ave'!N432,"SELL","BUY")</f>
        <v>SELL</v>
      </c>
      <c r="AM222" t="str">
        <f>IF('Moving Ave'!J432&gt;'Moving Ave'!O432,"SELL","BUY")</f>
        <v>BUY</v>
      </c>
      <c r="AN222" t="str">
        <f>IF('Moving Ave'!K432&gt;'Moving Ave'!P432,"SELL","BUY")</f>
        <v>BUY</v>
      </c>
      <c r="AO222">
        <f>IF(AJ221="BUY",AO221*('Data Checks'!B432/'Data Checks'!B431),AO221*('Data Checks'!B431/'Data Checks'!B432))</f>
        <v>140.89320134158913</v>
      </c>
      <c r="AP222">
        <f>IF(AK221="BUY",AP221*('Data Checks'!C432/'Data Checks'!C431),AP221*('Data Checks'!C431/'Data Checks'!C432))</f>
        <v>124.91745300780944</v>
      </c>
      <c r="AQ222">
        <f>IF(AL221="BUY",AQ221*('Data Checks'!D432/'Data Checks'!D431),AQ221*('Data Checks'!D431/'Data Checks'!D432))</f>
        <v>294.25040680798691</v>
      </c>
      <c r="AR222">
        <f>IF(AM221="BUY",AR221*('Data Checks'!E432/'Data Checks'!E431),AR221*('Data Checks'!E431/'Data Checks'!E432))</f>
        <v>101.20521924321324</v>
      </c>
      <c r="AS222">
        <f>IF(AN221="BUY",AS221*('Data Checks'!F432/'Data Checks'!F431),AS221*('Data Checks'!F431/'Data Checks'!F432))</f>
        <v>217.17012586388282</v>
      </c>
      <c r="AT222" s="16">
        <f t="shared" si="36"/>
        <v>878.43640626448155</v>
      </c>
      <c r="AU222" s="17">
        <f t="shared" si="40"/>
        <v>5.5899353699664811E-2</v>
      </c>
    </row>
    <row r="223" spans="1:47" x14ac:dyDescent="0.35">
      <c r="A223" s="2">
        <f>Prices!A431</f>
        <v>44510</v>
      </c>
      <c r="B223">
        <f>B222*('Data Checks'!B433/'Data Checks'!B432)</f>
        <v>319.81074957555171</v>
      </c>
      <c r="C223">
        <f>C222*('Data Checks'!C433/'Data Checks'!C432)</f>
        <v>124.25704659022227</v>
      </c>
      <c r="D223">
        <f>D222*('Data Checks'!D433/'Data Checks'!D432)</f>
        <v>209.41726514305026</v>
      </c>
      <c r="E223">
        <f>E222*('Data Checks'!E433/'Data Checks'!E432)</f>
        <v>106.32741525519194</v>
      </c>
      <c r="F223">
        <f>F222*('Data Checks'!F433/'Data Checks'!F432)</f>
        <v>150.45303028783547</v>
      </c>
      <c r="G223" s="16">
        <f t="shared" si="33"/>
        <v>910.26550685185157</v>
      </c>
      <c r="H223" s="17">
        <f t="shared" si="37"/>
        <v>2.250386547848926E-3</v>
      </c>
      <c r="J223" t="str">
        <f>IF(AND('Data Checks'!B433&gt;'Data Checks'!B432,'Data Checks'!B432&gt;'Data Checks'!B431,'Data Checks'!B431&gt;'Data Checks'!B430),"SELL",IF(AND('Data Checks'!B433&lt;'Data Checks'!B432,'Data Checks'!B432&lt;'Data Checks'!B431,'Data Checks'!B431&lt;'Data Checks'!B430),"BUY",""))</f>
        <v>BUY</v>
      </c>
      <c r="K223" t="str">
        <f>IF(AND('Data Checks'!C433&gt;'Data Checks'!C432,'Data Checks'!C432&gt;'Data Checks'!C431,'Data Checks'!C431&gt;'Data Checks'!C430),"SELL",IF(AND('Data Checks'!C433&lt;'Data Checks'!C432,'Data Checks'!C432&lt;'Data Checks'!C431,'Data Checks'!C431&lt;'Data Checks'!C430),"BUY",""))</f>
        <v/>
      </c>
      <c r="L223" t="str">
        <f>IF(AND('Data Checks'!D433&gt;'Data Checks'!D432,'Data Checks'!D432&gt;'Data Checks'!D431,'Data Checks'!D431&gt;'Data Checks'!D430),"SELL",IF(AND('Data Checks'!D433&lt;'Data Checks'!D432,'Data Checks'!D432&lt;'Data Checks'!D431,'Data Checks'!D431&lt;'Data Checks'!D430),"BUY",""))</f>
        <v>SELL</v>
      </c>
      <c r="M223" t="str">
        <f>IF(AND('Data Checks'!E433&gt;'Data Checks'!E432,'Data Checks'!E432&gt;'Data Checks'!E431,'Data Checks'!E431&gt;'Data Checks'!E430),"SELL",IF(AND('Data Checks'!E433&lt;'Data Checks'!E432,'Data Checks'!E432&lt;'Data Checks'!E431,'Data Checks'!E431&lt;'Data Checks'!E430),"BUY",""))</f>
        <v/>
      </c>
      <c r="N223" t="str">
        <f>IF(AND('Data Checks'!F433&gt;'Data Checks'!F432,'Data Checks'!F432&gt;'Data Checks'!F431,'Data Checks'!F431&gt;'Data Checks'!F430),"SELL",IF(AND('Data Checks'!F433&lt;'Data Checks'!F432,'Data Checks'!F432&lt;'Data Checks'!F431,'Data Checks'!F431&lt;'Data Checks'!F430),"BUY",""))</f>
        <v>SELL</v>
      </c>
      <c r="O223">
        <f>IF(J222="BUY",O222*('Data Checks'!B433/'Data Checks'!B432),IF(J222="SELL",O222*('Data Checks'!B432/'Data Checks'!B433),O222))</f>
        <v>249.46087413291585</v>
      </c>
      <c r="P223">
        <f>IF(K222="BUY",P222*('Data Checks'!C433/'Data Checks'!C432),IF(K222="SELL",P222*('Data Checks'!C432/'Data Checks'!C433),P222))</f>
        <v>205.27762924794183</v>
      </c>
      <c r="Q223">
        <f>IF(L222="BUY",Q222*('Data Checks'!D433/'Data Checks'!D432),IF(L222="SELL",Q222*('Data Checks'!D432/'Data Checks'!D433),Q222))</f>
        <v>230.97735153937626</v>
      </c>
      <c r="R223">
        <f>IF(M222="BUY",R222*('Data Checks'!E433/'Data Checks'!E432),IF(M222="SELL",R222*('Data Checks'!E432/'Data Checks'!E433),R222))</f>
        <v>209.9635650265308</v>
      </c>
      <c r="S223">
        <f>IF(N222="BUY",S222*('Data Checks'!F433/'Data Checks'!F432),IF(N222="SELL",S222*('Data Checks'!F432/'Data Checks'!F433),S222))</f>
        <v>180.87389107898889</v>
      </c>
      <c r="T223" s="16">
        <f t="shared" si="34"/>
        <v>1076.5533110257536</v>
      </c>
      <c r="U223" s="17">
        <f t="shared" si="38"/>
        <v>-8.9317151083945223E-3</v>
      </c>
      <c r="W223" t="str">
        <f>IF(AND('Data Checks'!B433&gt;'Data Checks'!B432,'Data Checks'!B432&gt;'Data Checks'!B431,'Data Checks'!B431&gt;'Data Checks'!B430),"BUY",IF(AND('Data Checks'!B433&lt;'Data Checks'!B432,'Data Checks'!B432&lt;'Data Checks'!B431,'Data Checks'!B431&lt;'Data Checks'!B430),"SELL",""))</f>
        <v>SELL</v>
      </c>
      <c r="X223" t="str">
        <f>IF(AND('Data Checks'!C433&gt;'Data Checks'!C432,'Data Checks'!C432&gt;'Data Checks'!C431,'Data Checks'!C431&gt;'Data Checks'!C430),"BUY",IF(AND('Data Checks'!C433&lt;'Data Checks'!C432,'Data Checks'!C432&lt;'Data Checks'!C431,'Data Checks'!C431&lt;'Data Checks'!C430),"SELL",""))</f>
        <v/>
      </c>
      <c r="Y223" t="str">
        <f>IF(AND('Data Checks'!D433&gt;'Data Checks'!D432,'Data Checks'!D432&gt;'Data Checks'!D431,'Data Checks'!D431&gt;'Data Checks'!D430),"BUY",IF(AND('Data Checks'!D433&lt;'Data Checks'!D432,'Data Checks'!D432&lt;'Data Checks'!D431,'Data Checks'!D431&lt;'Data Checks'!D430),"SELL",""))</f>
        <v>BUY</v>
      </c>
      <c r="Z223" t="str">
        <f>IF(AND('Data Checks'!E433&gt;'Data Checks'!E432,'Data Checks'!E432&gt;'Data Checks'!E431,'Data Checks'!E431&gt;'Data Checks'!E430),"BUY",IF(AND('Data Checks'!E433&lt;'Data Checks'!E432,'Data Checks'!E432&lt;'Data Checks'!E431,'Data Checks'!E431&lt;'Data Checks'!E430),"SELL",""))</f>
        <v/>
      </c>
      <c r="AA223" t="str">
        <f>IF(AND('Data Checks'!F433&gt;'Data Checks'!F432,'Data Checks'!F432&gt;'Data Checks'!F431,'Data Checks'!F431&gt;'Data Checks'!F430),"BUY",IF(AND('Data Checks'!F433&lt;'Data Checks'!F432,'Data Checks'!F432&lt;'Data Checks'!F431,'Data Checks'!F431&lt;'Data Checks'!F430),"SELL",""))</f>
        <v>BUY</v>
      </c>
      <c r="AB223">
        <f>IF(W222="BUY",AB222*('Data Checks'!B433/'Data Checks'!B432),IF(W222="SELL",AB222*('Data Checks'!B432/'Data Checks'!B433),AB222))</f>
        <v>160.34578624416878</v>
      </c>
      <c r="AC223">
        <f>IF(X222="BUY",AC222*('Data Checks'!C433/'Data Checks'!C432),IF(X222="SELL",AC222*('Data Checks'!C432/'Data Checks'!C433),AC222))</f>
        <v>194.85805709343316</v>
      </c>
      <c r="AD223">
        <f>IF(Y222="BUY",AD222*('Data Checks'!D433/'Data Checks'!D432),IF(Y222="SELL",AD222*('Data Checks'!D432/'Data Checks'!D433),AD222))</f>
        <v>173.17715236327382</v>
      </c>
      <c r="AE223">
        <f>IF(Z222="BUY",AE222*('Data Checks'!E433/'Data Checks'!E432),IF(Z222="SELL",AE222*('Data Checks'!E432/'Data Checks'!E433),AE222))</f>
        <v>190.50924380592224</v>
      </c>
      <c r="AF223">
        <f>IF(AA222="BUY",AF222*('Data Checks'!F433/'Data Checks'!F432),IF(AA222="SELL",AF222*('Data Checks'!F432/'Data Checks'!F433),AF222))</f>
        <v>221.14855693866704</v>
      </c>
      <c r="AG223" s="16">
        <f t="shared" si="35"/>
        <v>940.03879644546498</v>
      </c>
      <c r="AH223" s="17">
        <f t="shared" si="39"/>
        <v>1.0513697035220426E-2</v>
      </c>
      <c r="AJ223" t="str">
        <f>IF('Moving Ave'!G433&gt;'Moving Ave'!L433,"SELL","BUY")</f>
        <v>SELL</v>
      </c>
      <c r="AK223" t="str">
        <f>IF('Moving Ave'!H433&gt;'Moving Ave'!M433,"SELL","BUY")</f>
        <v>BUY</v>
      </c>
      <c r="AL223" t="str">
        <f>IF('Moving Ave'!I433&gt;'Moving Ave'!N433,"SELL","BUY")</f>
        <v>SELL</v>
      </c>
      <c r="AM223" t="str">
        <f>IF('Moving Ave'!J433&gt;'Moving Ave'!O433,"SELL","BUY")</f>
        <v>BUY</v>
      </c>
      <c r="AN223" t="str">
        <f>IF('Moving Ave'!K433&gt;'Moving Ave'!P433,"SELL","BUY")</f>
        <v>BUY</v>
      </c>
      <c r="AO223">
        <f>IF(AJ222="BUY",AO222*('Data Checks'!B433/'Data Checks'!B432),AO222*('Data Checks'!B432/'Data Checks'!B433))</f>
        <v>145.94025359235536</v>
      </c>
      <c r="AP223">
        <f>IF(AK222="BUY",AP222*('Data Checks'!C433/'Data Checks'!C432),AP222*('Data Checks'!C432/'Data Checks'!C433))</f>
        <v>124.25704659022227</v>
      </c>
      <c r="AQ223">
        <f>IF(AL222="BUY",AQ222*('Data Checks'!D433/'Data Checks'!D432),AQ222*('Data Checks'!D432/'Data Checks'!D433))</f>
        <v>288.85433943875648</v>
      </c>
      <c r="AR223">
        <f>IF(AM222="BUY",AR222*('Data Checks'!E433/'Data Checks'!E432),AR222*('Data Checks'!E432/'Data Checks'!E433))</f>
        <v>106.32741525519194</v>
      </c>
      <c r="AS223">
        <f>IF(AN222="BUY",AS222*('Data Checks'!F433/'Data Checks'!F432),AS222*('Data Checks'!F432/'Data Checks'!F433))</f>
        <v>224.94147524755803</v>
      </c>
      <c r="AT223" s="16">
        <f t="shared" si="36"/>
        <v>890.32053012408403</v>
      </c>
      <c r="AU223" s="17">
        <f t="shared" si="40"/>
        <v>1.3528724190905672E-2</v>
      </c>
    </row>
    <row r="224" spans="1:47" x14ac:dyDescent="0.35">
      <c r="A224" s="2">
        <f>Prices!A432</f>
        <v>44511</v>
      </c>
      <c r="B224">
        <f>B223*('Data Checks'!B434/'Data Checks'!B433)</f>
        <v>330.59782366479743</v>
      </c>
      <c r="C224">
        <f>C223*('Data Checks'!C434/'Data Checks'!C433)</f>
        <v>128.5750553359172</v>
      </c>
      <c r="D224">
        <f>D223*('Data Checks'!D434/'Data Checks'!D433)</f>
        <v>210.28553031032806</v>
      </c>
      <c r="E224">
        <f>E223*('Data Checks'!E434/'Data Checks'!E433)</f>
        <v>105.08871091099054</v>
      </c>
      <c r="F224">
        <f>F223*('Data Checks'!F434/'Data Checks'!F433)</f>
        <v>148.11636168025319</v>
      </c>
      <c r="G224" s="16">
        <f t="shared" si="33"/>
        <v>922.66348190228655</v>
      </c>
      <c r="H224" s="17">
        <f t="shared" si="37"/>
        <v>1.3620174506351779E-2</v>
      </c>
      <c r="J224" t="str">
        <f>IF(AND('Data Checks'!B434&gt;'Data Checks'!B433,'Data Checks'!B433&gt;'Data Checks'!B432,'Data Checks'!B432&gt;'Data Checks'!B431),"SELL",IF(AND('Data Checks'!B434&lt;'Data Checks'!B433,'Data Checks'!B433&lt;'Data Checks'!B432,'Data Checks'!B432&lt;'Data Checks'!B431),"BUY",""))</f>
        <v/>
      </c>
      <c r="K224" t="str">
        <f>IF(AND('Data Checks'!C434&gt;'Data Checks'!C433,'Data Checks'!C433&gt;'Data Checks'!C432,'Data Checks'!C432&gt;'Data Checks'!C431),"SELL",IF(AND('Data Checks'!C434&lt;'Data Checks'!C433,'Data Checks'!C433&lt;'Data Checks'!C432,'Data Checks'!C432&lt;'Data Checks'!C431),"BUY",""))</f>
        <v/>
      </c>
      <c r="L224" t="str">
        <f>IF(AND('Data Checks'!D434&gt;'Data Checks'!D433,'Data Checks'!D433&gt;'Data Checks'!D432,'Data Checks'!D432&gt;'Data Checks'!D431),"SELL",IF(AND('Data Checks'!D434&lt;'Data Checks'!D433,'Data Checks'!D433&lt;'Data Checks'!D432,'Data Checks'!D432&lt;'Data Checks'!D431),"BUY",""))</f>
        <v>SELL</v>
      </c>
      <c r="M224" t="str">
        <f>IF(AND('Data Checks'!E434&gt;'Data Checks'!E433,'Data Checks'!E433&gt;'Data Checks'!E432,'Data Checks'!E432&gt;'Data Checks'!E431),"SELL",IF(AND('Data Checks'!E434&lt;'Data Checks'!E433,'Data Checks'!E433&lt;'Data Checks'!E432,'Data Checks'!E432&lt;'Data Checks'!E431),"BUY",""))</f>
        <v/>
      </c>
      <c r="N224" t="str">
        <f>IF(AND('Data Checks'!F434&gt;'Data Checks'!F433,'Data Checks'!F433&gt;'Data Checks'!F432,'Data Checks'!F432&gt;'Data Checks'!F431),"SELL",IF(AND('Data Checks'!F434&lt;'Data Checks'!F433,'Data Checks'!F433&lt;'Data Checks'!F432,'Data Checks'!F432&lt;'Data Checks'!F431),"BUY",""))</f>
        <v/>
      </c>
      <c r="O224">
        <f>IF(J223="BUY",O223*('Data Checks'!B434/'Data Checks'!B433),IF(J223="SELL",O223*('Data Checks'!B433/'Data Checks'!B434),O223))</f>
        <v>257.8750782683652</v>
      </c>
      <c r="P224">
        <f>IF(K223="BUY",P223*('Data Checks'!C434/'Data Checks'!C433),IF(K223="SELL",P223*('Data Checks'!C433/'Data Checks'!C434),P223))</f>
        <v>205.27762924794183</v>
      </c>
      <c r="Q224">
        <f>IF(L223="BUY",Q223*('Data Checks'!D434/'Data Checks'!D433),IF(L223="SELL",Q223*('Data Checks'!D433/'Data Checks'!D434),Q223))</f>
        <v>230.02365021491636</v>
      </c>
      <c r="R224">
        <f>IF(M223="BUY",R223*('Data Checks'!E434/'Data Checks'!E433),IF(M223="SELL",R223*('Data Checks'!E433/'Data Checks'!E434),R223))</f>
        <v>209.9635650265308</v>
      </c>
      <c r="S224">
        <f>IF(N223="BUY",S223*('Data Checks'!F434/'Data Checks'!F433),IF(N223="SELL",S223*('Data Checks'!F433/'Data Checks'!F434),S223))</f>
        <v>183.72733912767856</v>
      </c>
      <c r="T224" s="16">
        <f t="shared" si="34"/>
        <v>1086.8672618854328</v>
      </c>
      <c r="U224" s="17">
        <f t="shared" si="38"/>
        <v>9.5805295976023608E-3</v>
      </c>
      <c r="W224" t="str">
        <f>IF(AND('Data Checks'!B434&gt;'Data Checks'!B433,'Data Checks'!B433&gt;'Data Checks'!B432,'Data Checks'!B432&gt;'Data Checks'!B431),"BUY",IF(AND('Data Checks'!B434&lt;'Data Checks'!B433,'Data Checks'!B433&lt;'Data Checks'!B432,'Data Checks'!B432&lt;'Data Checks'!B431),"SELL",""))</f>
        <v/>
      </c>
      <c r="X224" t="str">
        <f>IF(AND('Data Checks'!C434&gt;'Data Checks'!C433,'Data Checks'!C433&gt;'Data Checks'!C432,'Data Checks'!C432&gt;'Data Checks'!C431),"BUY",IF(AND('Data Checks'!C434&lt;'Data Checks'!C433,'Data Checks'!C433&lt;'Data Checks'!C432,'Data Checks'!C432&lt;'Data Checks'!C431),"SELL",""))</f>
        <v/>
      </c>
      <c r="Y224" t="str">
        <f>IF(AND('Data Checks'!D434&gt;'Data Checks'!D433,'Data Checks'!D433&gt;'Data Checks'!D432,'Data Checks'!D432&gt;'Data Checks'!D431),"BUY",IF(AND('Data Checks'!D434&lt;'Data Checks'!D433,'Data Checks'!D433&lt;'Data Checks'!D432,'Data Checks'!D432&lt;'Data Checks'!D431),"SELL",""))</f>
        <v>BUY</v>
      </c>
      <c r="Z224" t="str">
        <f>IF(AND('Data Checks'!E434&gt;'Data Checks'!E433,'Data Checks'!E433&gt;'Data Checks'!E432,'Data Checks'!E432&gt;'Data Checks'!E431),"BUY",IF(AND('Data Checks'!E434&lt;'Data Checks'!E433,'Data Checks'!E433&lt;'Data Checks'!E432,'Data Checks'!E432&lt;'Data Checks'!E431),"SELL",""))</f>
        <v/>
      </c>
      <c r="AA224" t="str">
        <f>IF(AND('Data Checks'!F434&gt;'Data Checks'!F433,'Data Checks'!F433&gt;'Data Checks'!F432,'Data Checks'!F432&gt;'Data Checks'!F431),"BUY",IF(AND('Data Checks'!F434&lt;'Data Checks'!F433,'Data Checks'!F433&lt;'Data Checks'!F432,'Data Checks'!F432&lt;'Data Checks'!F431),"SELL",""))</f>
        <v/>
      </c>
      <c r="AB224">
        <f>IF(W223="BUY",AB223*('Data Checks'!B434/'Data Checks'!B433),IF(W223="SELL",AB223*('Data Checks'!B433/'Data Checks'!B434),AB223))</f>
        <v>155.1138646999182</v>
      </c>
      <c r="AC224">
        <f>IF(X223="BUY",AC223*('Data Checks'!C434/'Data Checks'!C433),IF(X223="SELL",AC223*('Data Checks'!C433/'Data Checks'!C434),AC223))</f>
        <v>194.85805709343316</v>
      </c>
      <c r="AD224">
        <f>IF(Y223="BUY",AD223*('Data Checks'!D434/'Data Checks'!D433),IF(Y223="SELL",AD223*('Data Checks'!D433/'Data Checks'!D434),AD223))</f>
        <v>173.89516235668424</v>
      </c>
      <c r="AE224">
        <f>IF(Z223="BUY",AE223*('Data Checks'!E434/'Data Checks'!E433),IF(Z223="SELL",AE223*('Data Checks'!E433/'Data Checks'!E434),AE223))</f>
        <v>190.50924380592224</v>
      </c>
      <c r="AF224">
        <f>IF(AA223="BUY",AF223*('Data Checks'!F434/'Data Checks'!F433),IF(AA223="SELL",AF223*('Data Checks'!F433/'Data Checks'!F434),AF223))</f>
        <v>217.71392428539249</v>
      </c>
      <c r="AG224" s="16">
        <f t="shared" si="35"/>
        <v>932.09025224135041</v>
      </c>
      <c r="AH224" s="17">
        <f t="shared" si="39"/>
        <v>-8.4555491051753195E-3</v>
      </c>
      <c r="AJ224" t="str">
        <f>IF('Moving Ave'!G434&gt;'Moving Ave'!L434,"SELL","BUY")</f>
        <v>SELL</v>
      </c>
      <c r="AK224" t="str">
        <f>IF('Moving Ave'!H434&gt;'Moving Ave'!M434,"SELL","BUY")</f>
        <v>BUY</v>
      </c>
      <c r="AL224" t="str">
        <f>IF('Moving Ave'!I434&gt;'Moving Ave'!N434,"SELL","BUY")</f>
        <v>SELL</v>
      </c>
      <c r="AM224" t="str">
        <f>IF('Moving Ave'!J434&gt;'Moving Ave'!O434,"SELL","BUY")</f>
        <v>BUY</v>
      </c>
      <c r="AN224" t="str">
        <f>IF('Moving Ave'!K434&gt;'Moving Ave'!P434,"SELL","BUY")</f>
        <v>BUY</v>
      </c>
      <c r="AO224">
        <f>IF(AJ223="BUY",AO223*('Data Checks'!B434/'Data Checks'!B433),AO223*('Data Checks'!B433/'Data Checks'!B434))</f>
        <v>141.17837007281881</v>
      </c>
      <c r="AP224">
        <f>IF(AK223="BUY",AP223*('Data Checks'!C434/'Data Checks'!C433),AP223*('Data Checks'!C433/'Data Checks'!C434))</f>
        <v>128.5750553359172</v>
      </c>
      <c r="AQ224">
        <f>IF(AL223="BUY",AQ223*('Data Checks'!D434/'Data Checks'!D433),AQ223*('Data Checks'!D433/'Data Checks'!D434))</f>
        <v>287.66166507366069</v>
      </c>
      <c r="AR224">
        <f>IF(AM223="BUY",AR223*('Data Checks'!E434/'Data Checks'!E433),AR223*('Data Checks'!E433/'Data Checks'!E434))</f>
        <v>105.08871091099054</v>
      </c>
      <c r="AS224">
        <f>IF(AN223="BUY",AS223*('Data Checks'!F434/'Data Checks'!F433),AS223*('Data Checks'!F433/'Data Checks'!F434))</f>
        <v>221.44793521882846</v>
      </c>
      <c r="AT224" s="16">
        <f t="shared" si="36"/>
        <v>883.95173661221565</v>
      </c>
      <c r="AU224" s="17">
        <f t="shared" si="40"/>
        <v>-7.1533715065300596E-3</v>
      </c>
    </row>
    <row r="225" spans="1:47" x14ac:dyDescent="0.35">
      <c r="A225" s="2">
        <f>Prices!A433</f>
        <v>44512</v>
      </c>
      <c r="B225">
        <f>B224*('Data Checks'!B435/'Data Checks'!B434)</f>
        <v>327.74116180767686</v>
      </c>
      <c r="C225">
        <f>C224*('Data Checks'!C435/'Data Checks'!C434)</f>
        <v>123.241049612422</v>
      </c>
      <c r="D225">
        <f>D224*('Data Checks'!D435/'Data Checks'!D434)</f>
        <v>207.24662560104593</v>
      </c>
      <c r="E225">
        <f>E224*('Data Checks'!E435/'Data Checks'!E434)</f>
        <v>102.54435210765472</v>
      </c>
      <c r="F225">
        <f>F224*('Data Checks'!F435/'Data Checks'!F434)</f>
        <v>145.68431300454435</v>
      </c>
      <c r="G225" s="16">
        <f t="shared" si="33"/>
        <v>906.45750213334384</v>
      </c>
      <c r="H225" s="17">
        <f t="shared" si="37"/>
        <v>-1.7564345058428299E-2</v>
      </c>
      <c r="J225" t="str">
        <f>IF(AND('Data Checks'!B435&gt;'Data Checks'!B434,'Data Checks'!B434&gt;'Data Checks'!B433,'Data Checks'!B433&gt;'Data Checks'!B432),"SELL",IF(AND('Data Checks'!B435&lt;'Data Checks'!B434,'Data Checks'!B434&lt;'Data Checks'!B433,'Data Checks'!B433&lt;'Data Checks'!B432),"BUY",""))</f>
        <v/>
      </c>
      <c r="K225" t="str">
        <f>IF(AND('Data Checks'!C435&gt;'Data Checks'!C434,'Data Checks'!C434&gt;'Data Checks'!C433,'Data Checks'!C433&gt;'Data Checks'!C432),"SELL",IF(AND('Data Checks'!C435&lt;'Data Checks'!C434,'Data Checks'!C434&lt;'Data Checks'!C433,'Data Checks'!C433&lt;'Data Checks'!C432),"BUY",""))</f>
        <v/>
      </c>
      <c r="L225" t="str">
        <f>IF(AND('Data Checks'!D435&gt;'Data Checks'!D434,'Data Checks'!D434&gt;'Data Checks'!D433,'Data Checks'!D433&gt;'Data Checks'!D432),"SELL",IF(AND('Data Checks'!D435&lt;'Data Checks'!D434,'Data Checks'!D434&lt;'Data Checks'!D433,'Data Checks'!D433&lt;'Data Checks'!D432),"BUY",""))</f>
        <v/>
      </c>
      <c r="M225" t="str">
        <f>IF(AND('Data Checks'!E435&gt;'Data Checks'!E434,'Data Checks'!E434&gt;'Data Checks'!E433,'Data Checks'!E433&gt;'Data Checks'!E432),"SELL",IF(AND('Data Checks'!E435&lt;'Data Checks'!E434,'Data Checks'!E434&lt;'Data Checks'!E433,'Data Checks'!E433&lt;'Data Checks'!E432),"BUY",""))</f>
        <v/>
      </c>
      <c r="N225" t="str">
        <f>IF(AND('Data Checks'!F435&gt;'Data Checks'!F434,'Data Checks'!F434&gt;'Data Checks'!F433,'Data Checks'!F433&gt;'Data Checks'!F432),"SELL",IF(AND('Data Checks'!F435&lt;'Data Checks'!F434,'Data Checks'!F434&lt;'Data Checks'!F433,'Data Checks'!F433&lt;'Data Checks'!F432),"BUY",""))</f>
        <v/>
      </c>
      <c r="O225">
        <f>IF(J224="BUY",O224*('Data Checks'!B435/'Data Checks'!B434),IF(J224="SELL",O224*('Data Checks'!B434/'Data Checks'!B435),O224))</f>
        <v>257.8750782683652</v>
      </c>
      <c r="P225">
        <f>IF(K224="BUY",P224*('Data Checks'!C435/'Data Checks'!C434),IF(K224="SELL",P224*('Data Checks'!C434/'Data Checks'!C435),P224))</f>
        <v>205.27762924794183</v>
      </c>
      <c r="Q225">
        <f>IF(L224="BUY",Q224*('Data Checks'!D435/'Data Checks'!D434),IF(L224="SELL",Q224*('Data Checks'!D434/'Data Checks'!D435),Q224))</f>
        <v>233.3965396497002</v>
      </c>
      <c r="R225">
        <f>IF(M224="BUY",R224*('Data Checks'!E435/'Data Checks'!E434),IF(M224="SELL",R224*('Data Checks'!E434/'Data Checks'!E435),R224))</f>
        <v>209.9635650265308</v>
      </c>
      <c r="S225">
        <f>IF(N224="BUY",S224*('Data Checks'!F435/'Data Checks'!F434),IF(N224="SELL",S224*('Data Checks'!F434/'Data Checks'!F435),S224))</f>
        <v>183.72733912767856</v>
      </c>
      <c r="T225" s="16">
        <f t="shared" si="34"/>
        <v>1090.2401513202167</v>
      </c>
      <c r="U225" s="17">
        <f t="shared" si="38"/>
        <v>3.1033131211744003E-3</v>
      </c>
      <c r="W225" t="str">
        <f>IF(AND('Data Checks'!B435&gt;'Data Checks'!B434,'Data Checks'!B434&gt;'Data Checks'!B433,'Data Checks'!B433&gt;'Data Checks'!B432),"BUY",IF(AND('Data Checks'!B435&lt;'Data Checks'!B434,'Data Checks'!B434&lt;'Data Checks'!B433,'Data Checks'!B433&lt;'Data Checks'!B432),"SELL",""))</f>
        <v/>
      </c>
      <c r="X225" t="str">
        <f>IF(AND('Data Checks'!C435&gt;'Data Checks'!C434,'Data Checks'!C434&gt;'Data Checks'!C433,'Data Checks'!C433&gt;'Data Checks'!C432),"BUY",IF(AND('Data Checks'!C435&lt;'Data Checks'!C434,'Data Checks'!C434&lt;'Data Checks'!C433,'Data Checks'!C433&lt;'Data Checks'!C432),"SELL",""))</f>
        <v/>
      </c>
      <c r="Y225" t="str">
        <f>IF(AND('Data Checks'!D435&gt;'Data Checks'!D434,'Data Checks'!D434&gt;'Data Checks'!D433,'Data Checks'!D433&gt;'Data Checks'!D432),"BUY",IF(AND('Data Checks'!D435&lt;'Data Checks'!D434,'Data Checks'!D434&lt;'Data Checks'!D433,'Data Checks'!D433&lt;'Data Checks'!D432),"SELL",""))</f>
        <v/>
      </c>
      <c r="Z225" t="str">
        <f>IF(AND('Data Checks'!E435&gt;'Data Checks'!E434,'Data Checks'!E434&gt;'Data Checks'!E433,'Data Checks'!E433&gt;'Data Checks'!E432),"BUY",IF(AND('Data Checks'!E435&lt;'Data Checks'!E434,'Data Checks'!E434&lt;'Data Checks'!E433,'Data Checks'!E433&lt;'Data Checks'!E432),"SELL",""))</f>
        <v/>
      </c>
      <c r="AA225" t="str">
        <f>IF(AND('Data Checks'!F435&gt;'Data Checks'!F434,'Data Checks'!F434&gt;'Data Checks'!F433,'Data Checks'!F433&gt;'Data Checks'!F432),"BUY",IF(AND('Data Checks'!F435&lt;'Data Checks'!F434,'Data Checks'!F434&lt;'Data Checks'!F433,'Data Checks'!F433&lt;'Data Checks'!F432),"SELL",""))</f>
        <v/>
      </c>
      <c r="AB225">
        <f>IF(W224="BUY",AB224*('Data Checks'!B435/'Data Checks'!B434),IF(W224="SELL",AB224*('Data Checks'!B434/'Data Checks'!B435),AB224))</f>
        <v>155.1138646999182</v>
      </c>
      <c r="AC225">
        <f>IF(X224="BUY",AC224*('Data Checks'!C435/'Data Checks'!C434),IF(X224="SELL",AC224*('Data Checks'!C434/'Data Checks'!C435),AC224))</f>
        <v>194.85805709343316</v>
      </c>
      <c r="AD225">
        <f>IF(Y224="BUY",AD224*('Data Checks'!D435/'Data Checks'!D434),IF(Y224="SELL",AD224*('Data Checks'!D434/'Data Checks'!D435),AD224))</f>
        <v>171.38214671063744</v>
      </c>
      <c r="AE225">
        <f>IF(Z224="BUY",AE224*('Data Checks'!E435/'Data Checks'!E434),IF(Z224="SELL",AE224*('Data Checks'!E434/'Data Checks'!E435),AE224))</f>
        <v>190.50924380592224</v>
      </c>
      <c r="AF225">
        <f>IF(AA224="BUY",AF224*('Data Checks'!F435/'Data Checks'!F434),IF(AA224="SELL",AF224*('Data Checks'!F434/'Data Checks'!F435),AF224))</f>
        <v>217.71392428539249</v>
      </c>
      <c r="AG225" s="16">
        <f t="shared" si="35"/>
        <v>929.57723659530359</v>
      </c>
      <c r="AH225" s="17">
        <f t="shared" si="39"/>
        <v>-2.6961076355040969E-3</v>
      </c>
      <c r="AJ225" t="str">
        <f>IF('Moving Ave'!G435&gt;'Moving Ave'!L435,"SELL","BUY")</f>
        <v>SELL</v>
      </c>
      <c r="AK225" t="str">
        <f>IF('Moving Ave'!H435&gt;'Moving Ave'!M435,"SELL","BUY")</f>
        <v>BUY</v>
      </c>
      <c r="AL225" t="str">
        <f>IF('Moving Ave'!I435&gt;'Moving Ave'!N435,"SELL","BUY")</f>
        <v>SELL</v>
      </c>
      <c r="AM225" t="str">
        <f>IF('Moving Ave'!J435&gt;'Moving Ave'!O435,"SELL","BUY")</f>
        <v>BUY</v>
      </c>
      <c r="AN225" t="str">
        <f>IF('Moving Ave'!K435&gt;'Moving Ave'!P435,"SELL","BUY")</f>
        <v>BUY</v>
      </c>
      <c r="AO225">
        <f>IF(AJ224="BUY",AO224*('Data Checks'!B435/'Data Checks'!B434),AO224*('Data Checks'!B434/'Data Checks'!B435))</f>
        <v>142.40891085266179</v>
      </c>
      <c r="AP225">
        <f>IF(AK224="BUY",AP224*('Data Checks'!C435/'Data Checks'!C434),AP224*('Data Checks'!C434/'Data Checks'!C435))</f>
        <v>123.241049612422</v>
      </c>
      <c r="AQ225">
        <f>IF(AL224="BUY",AQ224*('Data Checks'!D435/'Data Checks'!D434),AQ224*('Data Checks'!D434/'Data Checks'!D435))</f>
        <v>291.87971391347673</v>
      </c>
      <c r="AR225">
        <f>IF(AM224="BUY",AR224*('Data Checks'!E435/'Data Checks'!E434),AR224*('Data Checks'!E434/'Data Checks'!E435))</f>
        <v>102.54435210765472</v>
      </c>
      <c r="AS225">
        <f>IF(AN224="BUY",AS224*('Data Checks'!F435/'Data Checks'!F434),AS224*('Data Checks'!F434/'Data Checks'!F435))</f>
        <v>217.81179298931531</v>
      </c>
      <c r="AT225" s="16">
        <f t="shared" si="36"/>
        <v>877.88581947553052</v>
      </c>
      <c r="AU225" s="17">
        <f t="shared" si="40"/>
        <v>-6.8622718701057961E-3</v>
      </c>
    </row>
    <row r="226" spans="1:47" x14ac:dyDescent="0.35">
      <c r="A226" s="2">
        <f>Prices!A434</f>
        <v>44513</v>
      </c>
      <c r="B226">
        <f>B225*('Data Checks'!B436/'Data Checks'!B435)</f>
        <v>329.69373633598508</v>
      </c>
      <c r="C226">
        <f>C225*('Data Checks'!C436/'Data Checks'!C435)</f>
        <v>124.61265747047655</v>
      </c>
      <c r="D226">
        <f>D225*('Data Checks'!D436/'Data Checks'!D435)</f>
        <v>208.74937065869739</v>
      </c>
      <c r="E226">
        <f>E225*('Data Checks'!E436/'Data Checks'!E435)</f>
        <v>104.48609961546363</v>
      </c>
      <c r="F226">
        <f>F225*('Data Checks'!F436/'Data Checks'!F435)</f>
        <v>147.40105408775952</v>
      </c>
      <c r="G226" s="16">
        <f t="shared" si="33"/>
        <v>914.94291816838222</v>
      </c>
      <c r="H226" s="17">
        <f t="shared" si="37"/>
        <v>9.3610743085781323E-3</v>
      </c>
      <c r="J226" t="str">
        <f>IF(AND('Data Checks'!B436&gt;'Data Checks'!B435,'Data Checks'!B435&gt;'Data Checks'!B434,'Data Checks'!B434&gt;'Data Checks'!B433),"SELL",IF(AND('Data Checks'!B436&lt;'Data Checks'!B435,'Data Checks'!B435&lt;'Data Checks'!B434,'Data Checks'!B434&lt;'Data Checks'!B433),"BUY",""))</f>
        <v/>
      </c>
      <c r="K226" t="str">
        <f>IF(AND('Data Checks'!C436&gt;'Data Checks'!C435,'Data Checks'!C435&gt;'Data Checks'!C434,'Data Checks'!C434&gt;'Data Checks'!C433),"SELL",IF(AND('Data Checks'!C436&lt;'Data Checks'!C435,'Data Checks'!C435&lt;'Data Checks'!C434,'Data Checks'!C434&lt;'Data Checks'!C433),"BUY",""))</f>
        <v/>
      </c>
      <c r="L226" t="str">
        <f>IF(AND('Data Checks'!D436&gt;'Data Checks'!D435,'Data Checks'!D435&gt;'Data Checks'!D434,'Data Checks'!D434&gt;'Data Checks'!D433),"SELL",IF(AND('Data Checks'!D436&lt;'Data Checks'!D435,'Data Checks'!D435&lt;'Data Checks'!D434,'Data Checks'!D434&lt;'Data Checks'!D433),"BUY",""))</f>
        <v/>
      </c>
      <c r="M226" t="str">
        <f>IF(AND('Data Checks'!E436&gt;'Data Checks'!E435,'Data Checks'!E435&gt;'Data Checks'!E434,'Data Checks'!E434&gt;'Data Checks'!E433),"SELL",IF(AND('Data Checks'!E436&lt;'Data Checks'!E435,'Data Checks'!E435&lt;'Data Checks'!E434,'Data Checks'!E434&lt;'Data Checks'!E433),"BUY",""))</f>
        <v/>
      </c>
      <c r="N226" t="str">
        <f>IF(AND('Data Checks'!F436&gt;'Data Checks'!F435,'Data Checks'!F435&gt;'Data Checks'!F434,'Data Checks'!F434&gt;'Data Checks'!F433),"SELL",IF(AND('Data Checks'!F436&lt;'Data Checks'!F435,'Data Checks'!F435&lt;'Data Checks'!F434,'Data Checks'!F434&lt;'Data Checks'!F433),"BUY",""))</f>
        <v/>
      </c>
      <c r="O226">
        <f>IF(J225="BUY",O225*('Data Checks'!B436/'Data Checks'!B435),IF(J225="SELL",O225*('Data Checks'!B435/'Data Checks'!B436),O225))</f>
        <v>257.8750782683652</v>
      </c>
      <c r="P226">
        <f>IF(K225="BUY",P225*('Data Checks'!C436/'Data Checks'!C435),IF(K225="SELL",P225*('Data Checks'!C435/'Data Checks'!C436),P225))</f>
        <v>205.27762924794183</v>
      </c>
      <c r="Q226">
        <f>IF(L225="BUY",Q225*('Data Checks'!D436/'Data Checks'!D435),IF(L225="SELL",Q225*('Data Checks'!D435/'Data Checks'!D436),Q225))</f>
        <v>233.3965396497002</v>
      </c>
      <c r="R226">
        <f>IF(M225="BUY",R225*('Data Checks'!E436/'Data Checks'!E435),IF(M225="SELL",R225*('Data Checks'!E435/'Data Checks'!E436),R225))</f>
        <v>209.9635650265308</v>
      </c>
      <c r="S226">
        <f>IF(N225="BUY",S225*('Data Checks'!F436/'Data Checks'!F435),IF(N225="SELL",S225*('Data Checks'!F435/'Data Checks'!F436),S225))</f>
        <v>183.72733912767856</v>
      </c>
      <c r="T226" s="16">
        <f t="shared" si="34"/>
        <v>1090.2401513202167</v>
      </c>
      <c r="U226" s="17">
        <f t="shared" si="38"/>
        <v>0</v>
      </c>
      <c r="W226" t="str">
        <f>IF(AND('Data Checks'!B436&gt;'Data Checks'!B435,'Data Checks'!B435&gt;'Data Checks'!B434,'Data Checks'!B434&gt;'Data Checks'!B433),"BUY",IF(AND('Data Checks'!B436&lt;'Data Checks'!B435,'Data Checks'!B435&lt;'Data Checks'!B434,'Data Checks'!B434&lt;'Data Checks'!B433),"SELL",""))</f>
        <v/>
      </c>
      <c r="X226" t="str">
        <f>IF(AND('Data Checks'!C436&gt;'Data Checks'!C435,'Data Checks'!C435&gt;'Data Checks'!C434,'Data Checks'!C434&gt;'Data Checks'!C433),"BUY",IF(AND('Data Checks'!C436&lt;'Data Checks'!C435,'Data Checks'!C435&lt;'Data Checks'!C434,'Data Checks'!C434&lt;'Data Checks'!C433),"SELL",""))</f>
        <v/>
      </c>
      <c r="Y226" t="str">
        <f>IF(AND('Data Checks'!D436&gt;'Data Checks'!D435,'Data Checks'!D435&gt;'Data Checks'!D434,'Data Checks'!D434&gt;'Data Checks'!D433),"BUY",IF(AND('Data Checks'!D436&lt;'Data Checks'!D435,'Data Checks'!D435&lt;'Data Checks'!D434,'Data Checks'!D434&lt;'Data Checks'!D433),"SELL",""))</f>
        <v/>
      </c>
      <c r="Z226" t="str">
        <f>IF(AND('Data Checks'!E436&gt;'Data Checks'!E435,'Data Checks'!E435&gt;'Data Checks'!E434,'Data Checks'!E434&gt;'Data Checks'!E433),"BUY",IF(AND('Data Checks'!E436&lt;'Data Checks'!E435,'Data Checks'!E435&lt;'Data Checks'!E434,'Data Checks'!E434&lt;'Data Checks'!E433),"SELL",""))</f>
        <v/>
      </c>
      <c r="AA226" t="str">
        <f>IF(AND('Data Checks'!F436&gt;'Data Checks'!F435,'Data Checks'!F435&gt;'Data Checks'!F434,'Data Checks'!F434&gt;'Data Checks'!F433),"BUY",IF(AND('Data Checks'!F436&lt;'Data Checks'!F435,'Data Checks'!F435&lt;'Data Checks'!F434,'Data Checks'!F434&lt;'Data Checks'!F433),"SELL",""))</f>
        <v/>
      </c>
      <c r="AB226">
        <f>IF(W225="BUY",AB225*('Data Checks'!B436/'Data Checks'!B435),IF(W225="SELL",AB225*('Data Checks'!B435/'Data Checks'!B436),AB225))</f>
        <v>155.1138646999182</v>
      </c>
      <c r="AC226">
        <f>IF(X225="BUY",AC225*('Data Checks'!C436/'Data Checks'!C435),IF(X225="SELL",AC225*('Data Checks'!C435/'Data Checks'!C436),AC225))</f>
        <v>194.85805709343316</v>
      </c>
      <c r="AD226">
        <f>IF(Y225="BUY",AD225*('Data Checks'!D436/'Data Checks'!D435),IF(Y225="SELL",AD225*('Data Checks'!D435/'Data Checks'!D436),AD225))</f>
        <v>171.38214671063744</v>
      </c>
      <c r="AE226">
        <f>IF(Z225="BUY",AE225*('Data Checks'!E436/'Data Checks'!E435),IF(Z225="SELL",AE225*('Data Checks'!E435/'Data Checks'!E436),AE225))</f>
        <v>190.50924380592224</v>
      </c>
      <c r="AF226">
        <f>IF(AA225="BUY",AF225*('Data Checks'!F436/'Data Checks'!F435),IF(AA225="SELL",AF225*('Data Checks'!F435/'Data Checks'!F436),AF225))</f>
        <v>217.71392428539249</v>
      </c>
      <c r="AG226" s="16">
        <f t="shared" si="35"/>
        <v>929.57723659530359</v>
      </c>
      <c r="AH226" s="17">
        <f t="shared" si="39"/>
        <v>0</v>
      </c>
      <c r="AJ226" t="str">
        <f>IF('Moving Ave'!G436&gt;'Moving Ave'!L436,"SELL","BUY")</f>
        <v>SELL</v>
      </c>
      <c r="AK226" t="str">
        <f>IF('Moving Ave'!H436&gt;'Moving Ave'!M436,"SELL","BUY")</f>
        <v>BUY</v>
      </c>
      <c r="AL226" t="str">
        <f>IF('Moving Ave'!I436&gt;'Moving Ave'!N436,"SELL","BUY")</f>
        <v>SELL</v>
      </c>
      <c r="AM226" t="str">
        <f>IF('Moving Ave'!J436&gt;'Moving Ave'!O436,"SELL","BUY")</f>
        <v>BUY</v>
      </c>
      <c r="AN226" t="str">
        <f>IF('Moving Ave'!K436&gt;'Moving Ave'!P436,"SELL","BUY")</f>
        <v>BUY</v>
      </c>
      <c r="AO226">
        <f>IF(AJ225="BUY",AO225*('Data Checks'!B436/'Data Checks'!B435),AO225*('Data Checks'!B435/'Data Checks'!B436))</f>
        <v>141.56550989811151</v>
      </c>
      <c r="AP226">
        <f>IF(AK225="BUY",AP225*('Data Checks'!C436/'Data Checks'!C435),AP225*('Data Checks'!C435/'Data Checks'!C436))</f>
        <v>124.61265747047655</v>
      </c>
      <c r="AQ226">
        <f>IF(AL225="BUY",AQ225*('Data Checks'!D436/'Data Checks'!D435),AQ225*('Data Checks'!D435/'Data Checks'!D436))</f>
        <v>289.77853010569731</v>
      </c>
      <c r="AR226">
        <f>IF(AM225="BUY",AR225*('Data Checks'!E436/'Data Checks'!E435),AR225*('Data Checks'!E435/'Data Checks'!E436))</f>
        <v>104.48609961546363</v>
      </c>
      <c r="AS226">
        <f>IF(AN225="BUY",AS225*('Data Checks'!F436/'Data Checks'!F435),AS225*('Data Checks'!F435/'Data Checks'!F436))</f>
        <v>220.37848288009204</v>
      </c>
      <c r="AT226" s="16">
        <f t="shared" si="36"/>
        <v>880.82127996984116</v>
      </c>
      <c r="AU226" s="17">
        <f t="shared" si="40"/>
        <v>3.3437839286027948E-3</v>
      </c>
    </row>
    <row r="227" spans="1:47" x14ac:dyDescent="0.35">
      <c r="A227" s="2">
        <f>Prices!A435</f>
        <v>44516</v>
      </c>
      <c r="B227">
        <f>B226*('Data Checks'!B437/'Data Checks'!B436)</f>
        <v>329.93082676102449</v>
      </c>
      <c r="C227">
        <f>C226*('Data Checks'!C437/'Data Checks'!C436)</f>
        <v>129.43866216506646</v>
      </c>
      <c r="D227">
        <f>D226*('Data Checks'!D437/'Data Checks'!D436)</f>
        <v>210.95341143685803</v>
      </c>
      <c r="E227">
        <f>E226*('Data Checks'!E437/'Data Checks'!E436)</f>
        <v>111.14830896724771</v>
      </c>
      <c r="F227">
        <f>F226*('Data Checks'!F437/'Data Checks'!F436)</f>
        <v>150.69146615200003</v>
      </c>
      <c r="G227" s="16">
        <f t="shared" si="33"/>
        <v>932.16267548219662</v>
      </c>
      <c r="H227" s="17">
        <f t="shared" si="37"/>
        <v>1.8820581013170301E-2</v>
      </c>
      <c r="J227" t="str">
        <f>IF(AND('Data Checks'!B437&gt;'Data Checks'!B436,'Data Checks'!B436&gt;'Data Checks'!B435,'Data Checks'!B435&gt;'Data Checks'!B434),"SELL",IF(AND('Data Checks'!B437&lt;'Data Checks'!B436,'Data Checks'!B436&lt;'Data Checks'!B435,'Data Checks'!B435&lt;'Data Checks'!B434),"BUY",""))</f>
        <v/>
      </c>
      <c r="K227" t="str">
        <f>IF(AND('Data Checks'!C437&gt;'Data Checks'!C436,'Data Checks'!C436&gt;'Data Checks'!C435,'Data Checks'!C435&gt;'Data Checks'!C434),"SELL",IF(AND('Data Checks'!C437&lt;'Data Checks'!C436,'Data Checks'!C436&lt;'Data Checks'!C435,'Data Checks'!C435&lt;'Data Checks'!C434),"BUY",""))</f>
        <v/>
      </c>
      <c r="L227" t="str">
        <f>IF(AND('Data Checks'!D437&gt;'Data Checks'!D436,'Data Checks'!D436&gt;'Data Checks'!D435,'Data Checks'!D435&gt;'Data Checks'!D434),"SELL",IF(AND('Data Checks'!D437&lt;'Data Checks'!D436,'Data Checks'!D436&lt;'Data Checks'!D435,'Data Checks'!D435&lt;'Data Checks'!D434),"BUY",""))</f>
        <v/>
      </c>
      <c r="M227" t="str">
        <f>IF(AND('Data Checks'!E437&gt;'Data Checks'!E436,'Data Checks'!E436&gt;'Data Checks'!E435,'Data Checks'!E435&gt;'Data Checks'!E434),"SELL",IF(AND('Data Checks'!E437&lt;'Data Checks'!E436,'Data Checks'!E436&lt;'Data Checks'!E435,'Data Checks'!E435&lt;'Data Checks'!E434),"BUY",""))</f>
        <v/>
      </c>
      <c r="N227" t="str">
        <f>IF(AND('Data Checks'!F437&gt;'Data Checks'!F436,'Data Checks'!F436&gt;'Data Checks'!F435,'Data Checks'!F435&gt;'Data Checks'!F434),"SELL",IF(AND('Data Checks'!F437&lt;'Data Checks'!F436,'Data Checks'!F436&lt;'Data Checks'!F435,'Data Checks'!F435&lt;'Data Checks'!F434),"BUY",""))</f>
        <v/>
      </c>
      <c r="O227">
        <f>IF(J226="BUY",O226*('Data Checks'!B437/'Data Checks'!B436),IF(J226="SELL",O226*('Data Checks'!B436/'Data Checks'!B437),O226))</f>
        <v>257.8750782683652</v>
      </c>
      <c r="P227">
        <f>IF(K226="BUY",P226*('Data Checks'!C437/'Data Checks'!C436),IF(K226="SELL",P226*('Data Checks'!C436/'Data Checks'!C437),P226))</f>
        <v>205.27762924794183</v>
      </c>
      <c r="Q227">
        <f>IF(L226="BUY",Q226*('Data Checks'!D437/'Data Checks'!D436),IF(L226="SELL",Q226*('Data Checks'!D436/'Data Checks'!D437),Q226))</f>
        <v>233.3965396497002</v>
      </c>
      <c r="R227">
        <f>IF(M226="BUY",R226*('Data Checks'!E437/'Data Checks'!E436),IF(M226="SELL",R226*('Data Checks'!E436/'Data Checks'!E437),R226))</f>
        <v>209.9635650265308</v>
      </c>
      <c r="S227">
        <f>IF(N226="BUY",S226*('Data Checks'!F437/'Data Checks'!F436),IF(N226="SELL",S226*('Data Checks'!F436/'Data Checks'!F437),S226))</f>
        <v>183.72733912767856</v>
      </c>
      <c r="T227" s="16">
        <f t="shared" si="34"/>
        <v>1090.2401513202167</v>
      </c>
      <c r="U227" s="17">
        <f t="shared" si="38"/>
        <v>0</v>
      </c>
      <c r="W227" t="str">
        <f>IF(AND('Data Checks'!B437&gt;'Data Checks'!B436,'Data Checks'!B436&gt;'Data Checks'!B435,'Data Checks'!B435&gt;'Data Checks'!B434),"BUY",IF(AND('Data Checks'!B437&lt;'Data Checks'!B436,'Data Checks'!B436&lt;'Data Checks'!B435,'Data Checks'!B435&lt;'Data Checks'!B434),"SELL",""))</f>
        <v/>
      </c>
      <c r="X227" t="str">
        <f>IF(AND('Data Checks'!C437&gt;'Data Checks'!C436,'Data Checks'!C436&gt;'Data Checks'!C435,'Data Checks'!C435&gt;'Data Checks'!C434),"BUY",IF(AND('Data Checks'!C437&lt;'Data Checks'!C436,'Data Checks'!C436&lt;'Data Checks'!C435,'Data Checks'!C435&lt;'Data Checks'!C434),"SELL",""))</f>
        <v/>
      </c>
      <c r="Y227" t="str">
        <f>IF(AND('Data Checks'!D437&gt;'Data Checks'!D436,'Data Checks'!D436&gt;'Data Checks'!D435,'Data Checks'!D435&gt;'Data Checks'!D434),"BUY",IF(AND('Data Checks'!D437&lt;'Data Checks'!D436,'Data Checks'!D436&lt;'Data Checks'!D435,'Data Checks'!D435&lt;'Data Checks'!D434),"SELL",""))</f>
        <v/>
      </c>
      <c r="Z227" t="str">
        <f>IF(AND('Data Checks'!E437&gt;'Data Checks'!E436,'Data Checks'!E436&gt;'Data Checks'!E435,'Data Checks'!E435&gt;'Data Checks'!E434),"BUY",IF(AND('Data Checks'!E437&lt;'Data Checks'!E436,'Data Checks'!E436&lt;'Data Checks'!E435,'Data Checks'!E435&lt;'Data Checks'!E434),"SELL",""))</f>
        <v/>
      </c>
      <c r="AA227" t="str">
        <f>IF(AND('Data Checks'!F437&gt;'Data Checks'!F436,'Data Checks'!F436&gt;'Data Checks'!F435,'Data Checks'!F435&gt;'Data Checks'!F434),"BUY",IF(AND('Data Checks'!F437&lt;'Data Checks'!F436,'Data Checks'!F436&lt;'Data Checks'!F435,'Data Checks'!F435&lt;'Data Checks'!F434),"SELL",""))</f>
        <v/>
      </c>
      <c r="AB227">
        <f>IF(W226="BUY",AB226*('Data Checks'!B437/'Data Checks'!B436),IF(W226="SELL",AB226*('Data Checks'!B436/'Data Checks'!B437),AB226))</f>
        <v>155.1138646999182</v>
      </c>
      <c r="AC227">
        <f>IF(X226="BUY",AC226*('Data Checks'!C437/'Data Checks'!C436),IF(X226="SELL",AC226*('Data Checks'!C436/'Data Checks'!C437),AC226))</f>
        <v>194.85805709343316</v>
      </c>
      <c r="AD227">
        <f>IF(Y226="BUY",AD226*('Data Checks'!D437/'Data Checks'!D436),IF(Y226="SELL",AD226*('Data Checks'!D436/'Data Checks'!D437),AD226))</f>
        <v>171.38214671063744</v>
      </c>
      <c r="AE227">
        <f>IF(Z226="BUY",AE226*('Data Checks'!E437/'Data Checks'!E436),IF(Z226="SELL",AE226*('Data Checks'!E436/'Data Checks'!E437),AE226))</f>
        <v>190.50924380592224</v>
      </c>
      <c r="AF227">
        <f>IF(AA226="BUY",AF226*('Data Checks'!F437/'Data Checks'!F436),IF(AA226="SELL",AF226*('Data Checks'!F436/'Data Checks'!F437),AF226))</f>
        <v>217.71392428539249</v>
      </c>
      <c r="AG227" s="16">
        <f t="shared" si="35"/>
        <v>929.57723659530359</v>
      </c>
      <c r="AH227" s="17">
        <f t="shared" si="39"/>
        <v>0</v>
      </c>
      <c r="AJ227" t="str">
        <f>IF('Moving Ave'!G437&gt;'Moving Ave'!L437,"SELL","BUY")</f>
        <v>SELL</v>
      </c>
      <c r="AK227" t="str">
        <f>IF('Moving Ave'!H437&gt;'Moving Ave'!M437,"SELL","BUY")</f>
        <v>BUY</v>
      </c>
      <c r="AL227" t="str">
        <f>IF('Moving Ave'!I437&gt;'Moving Ave'!N437,"SELL","BUY")</f>
        <v>SELL</v>
      </c>
      <c r="AM227" t="str">
        <f>IF('Moving Ave'!J437&gt;'Moving Ave'!O437,"SELL","BUY")</f>
        <v>BUY</v>
      </c>
      <c r="AN227" t="str">
        <f>IF('Moving Ave'!K437&gt;'Moving Ave'!P437,"SELL","BUY")</f>
        <v>BUY</v>
      </c>
      <c r="AO227">
        <f>IF(AJ226="BUY",AO226*('Data Checks'!B437/'Data Checks'!B436),AO226*('Data Checks'!B436/'Data Checks'!B437))</f>
        <v>141.4637800075094</v>
      </c>
      <c r="AP227">
        <f>IF(AK226="BUY",AP226*('Data Checks'!C437/'Data Checks'!C436),AP226*('Data Checks'!C436/'Data Checks'!C437))</f>
        <v>129.43866216506646</v>
      </c>
      <c r="AQ227">
        <f>IF(AL226="BUY",AQ226*('Data Checks'!D437/'Data Checks'!D436),AQ226*('Data Checks'!D436/'Data Checks'!D437))</f>
        <v>286.75092466126216</v>
      </c>
      <c r="AR227">
        <f>IF(AM226="BUY",AR226*('Data Checks'!E437/'Data Checks'!E436),AR226*('Data Checks'!E436/'Data Checks'!E437))</f>
        <v>111.14830896724771</v>
      </c>
      <c r="AS227">
        <f>IF(AN226="BUY",AS226*('Data Checks'!F437/'Data Checks'!F436),AS226*('Data Checks'!F436/'Data Checks'!F437))</f>
        <v>225.29795936047017</v>
      </c>
      <c r="AT227" s="16">
        <f t="shared" si="36"/>
        <v>894.09963516155597</v>
      </c>
      <c r="AU227" s="17">
        <f t="shared" si="40"/>
        <v>1.5074970931866494E-2</v>
      </c>
    </row>
    <row r="228" spans="1:47" x14ac:dyDescent="0.35">
      <c r="A228" s="2">
        <f>Prices!A436</f>
        <v>44517</v>
      </c>
      <c r="B228">
        <f>B227*('Data Checks'!B438/'Data Checks'!B437)</f>
        <v>330.41552947341961</v>
      </c>
      <c r="C228">
        <f>C227*('Data Checks'!C438/'Data Checks'!C437)</f>
        <v>126.54305630030633</v>
      </c>
      <c r="D228">
        <f>D227*('Data Checks'!D438/'Data Checks'!D437)</f>
        <v>211.25396245206178</v>
      </c>
      <c r="E228">
        <f>E227*('Data Checks'!E438/'Data Checks'!E437)</f>
        <v>112.98961791129494</v>
      </c>
      <c r="F228">
        <f>F227*('Data Checks'!F438/'Data Checks'!F437)</f>
        <v>151.07295781220256</v>
      </c>
      <c r="G228" s="16">
        <f t="shared" si="33"/>
        <v>932.27512394928522</v>
      </c>
      <c r="H228" s="17">
        <f t="shared" si="37"/>
        <v>1.2063180606380897E-4</v>
      </c>
      <c r="J228" t="str">
        <f>IF(AND('Data Checks'!B438&gt;'Data Checks'!B437,'Data Checks'!B437&gt;'Data Checks'!B436,'Data Checks'!B436&gt;'Data Checks'!B435),"SELL",IF(AND('Data Checks'!B438&lt;'Data Checks'!B437,'Data Checks'!B437&lt;'Data Checks'!B436,'Data Checks'!B436&lt;'Data Checks'!B435),"BUY",""))</f>
        <v>SELL</v>
      </c>
      <c r="K228" t="str">
        <f>IF(AND('Data Checks'!C438&gt;'Data Checks'!C437,'Data Checks'!C437&gt;'Data Checks'!C436,'Data Checks'!C436&gt;'Data Checks'!C435),"SELL",IF(AND('Data Checks'!C438&lt;'Data Checks'!C437,'Data Checks'!C437&lt;'Data Checks'!C436,'Data Checks'!C436&lt;'Data Checks'!C435),"BUY",""))</f>
        <v/>
      </c>
      <c r="L228" t="str">
        <f>IF(AND('Data Checks'!D438&gt;'Data Checks'!D437,'Data Checks'!D437&gt;'Data Checks'!D436,'Data Checks'!D436&gt;'Data Checks'!D435),"SELL",IF(AND('Data Checks'!D438&lt;'Data Checks'!D437,'Data Checks'!D437&lt;'Data Checks'!D436,'Data Checks'!D436&lt;'Data Checks'!D435),"BUY",""))</f>
        <v>SELL</v>
      </c>
      <c r="M228" t="str">
        <f>IF(AND('Data Checks'!E438&gt;'Data Checks'!E437,'Data Checks'!E437&gt;'Data Checks'!E436,'Data Checks'!E436&gt;'Data Checks'!E435),"SELL",IF(AND('Data Checks'!E438&lt;'Data Checks'!E437,'Data Checks'!E437&lt;'Data Checks'!E436,'Data Checks'!E436&lt;'Data Checks'!E435),"BUY",""))</f>
        <v>SELL</v>
      </c>
      <c r="N228" t="str">
        <f>IF(AND('Data Checks'!F438&gt;'Data Checks'!F437,'Data Checks'!F437&gt;'Data Checks'!F436,'Data Checks'!F436&gt;'Data Checks'!F435),"SELL",IF(AND('Data Checks'!F438&lt;'Data Checks'!F437,'Data Checks'!F437&lt;'Data Checks'!F436,'Data Checks'!F436&lt;'Data Checks'!F435),"BUY",""))</f>
        <v>SELL</v>
      </c>
      <c r="O228">
        <f>IF(J227="BUY",O227*('Data Checks'!B438/'Data Checks'!B437),IF(J227="SELL",O227*('Data Checks'!B437/'Data Checks'!B438),O227))</f>
        <v>257.8750782683652</v>
      </c>
      <c r="P228">
        <f>IF(K227="BUY",P227*('Data Checks'!C438/'Data Checks'!C437),IF(K227="SELL",P227*('Data Checks'!C437/'Data Checks'!C438),P227))</f>
        <v>205.27762924794183</v>
      </c>
      <c r="Q228">
        <f>IF(L227="BUY",Q227*('Data Checks'!D438/'Data Checks'!D437),IF(L227="SELL",Q227*('Data Checks'!D437/'Data Checks'!D438),Q227))</f>
        <v>233.3965396497002</v>
      </c>
      <c r="R228">
        <f>IF(M227="BUY",R227*('Data Checks'!E438/'Data Checks'!E437),IF(M227="SELL",R227*('Data Checks'!E437/'Data Checks'!E438),R227))</f>
        <v>209.9635650265308</v>
      </c>
      <c r="S228">
        <f>IF(N227="BUY",S227*('Data Checks'!F438/'Data Checks'!F437),IF(N227="SELL",S227*('Data Checks'!F437/'Data Checks'!F438),S227))</f>
        <v>183.72733912767856</v>
      </c>
      <c r="T228" s="16">
        <f t="shared" si="34"/>
        <v>1090.2401513202167</v>
      </c>
      <c r="U228" s="17">
        <f t="shared" si="38"/>
        <v>0</v>
      </c>
      <c r="W228" t="str">
        <f>IF(AND('Data Checks'!B438&gt;'Data Checks'!B437,'Data Checks'!B437&gt;'Data Checks'!B436,'Data Checks'!B436&gt;'Data Checks'!B435),"BUY",IF(AND('Data Checks'!B438&lt;'Data Checks'!B437,'Data Checks'!B437&lt;'Data Checks'!B436,'Data Checks'!B436&lt;'Data Checks'!B435),"SELL",""))</f>
        <v>BUY</v>
      </c>
      <c r="X228" t="str">
        <f>IF(AND('Data Checks'!C438&gt;'Data Checks'!C437,'Data Checks'!C437&gt;'Data Checks'!C436,'Data Checks'!C436&gt;'Data Checks'!C435),"BUY",IF(AND('Data Checks'!C438&lt;'Data Checks'!C437,'Data Checks'!C437&lt;'Data Checks'!C436,'Data Checks'!C436&lt;'Data Checks'!C435),"SELL",""))</f>
        <v/>
      </c>
      <c r="Y228" t="str">
        <f>IF(AND('Data Checks'!D438&gt;'Data Checks'!D437,'Data Checks'!D437&gt;'Data Checks'!D436,'Data Checks'!D436&gt;'Data Checks'!D435),"BUY",IF(AND('Data Checks'!D438&lt;'Data Checks'!D437,'Data Checks'!D437&lt;'Data Checks'!D436,'Data Checks'!D436&lt;'Data Checks'!D435),"SELL",""))</f>
        <v>BUY</v>
      </c>
      <c r="Z228" t="str">
        <f>IF(AND('Data Checks'!E438&gt;'Data Checks'!E437,'Data Checks'!E437&gt;'Data Checks'!E436,'Data Checks'!E436&gt;'Data Checks'!E435),"BUY",IF(AND('Data Checks'!E438&lt;'Data Checks'!E437,'Data Checks'!E437&lt;'Data Checks'!E436,'Data Checks'!E436&lt;'Data Checks'!E435),"SELL",""))</f>
        <v>BUY</v>
      </c>
      <c r="AA228" t="str">
        <f>IF(AND('Data Checks'!F438&gt;'Data Checks'!F437,'Data Checks'!F437&gt;'Data Checks'!F436,'Data Checks'!F436&gt;'Data Checks'!F435),"BUY",IF(AND('Data Checks'!F438&lt;'Data Checks'!F437,'Data Checks'!F437&lt;'Data Checks'!F436,'Data Checks'!F436&lt;'Data Checks'!F435),"SELL",""))</f>
        <v>BUY</v>
      </c>
      <c r="AB228">
        <f>IF(W227="BUY",AB227*('Data Checks'!B438/'Data Checks'!B437),IF(W227="SELL",AB227*('Data Checks'!B437/'Data Checks'!B438),AB227))</f>
        <v>155.1138646999182</v>
      </c>
      <c r="AC228">
        <f>IF(X227="BUY",AC227*('Data Checks'!C438/'Data Checks'!C437),IF(X227="SELL",AC227*('Data Checks'!C437/'Data Checks'!C438),AC227))</f>
        <v>194.85805709343316</v>
      </c>
      <c r="AD228">
        <f>IF(Y227="BUY",AD227*('Data Checks'!D438/'Data Checks'!D437),IF(Y227="SELL",AD227*('Data Checks'!D437/'Data Checks'!D438),AD227))</f>
        <v>171.38214671063744</v>
      </c>
      <c r="AE228">
        <f>IF(Z227="BUY",AE227*('Data Checks'!E438/'Data Checks'!E437),IF(Z227="SELL",AE227*('Data Checks'!E437/'Data Checks'!E438),AE227))</f>
        <v>190.50924380592224</v>
      </c>
      <c r="AF228">
        <f>IF(AA227="BUY",AF227*('Data Checks'!F438/'Data Checks'!F437),IF(AA227="SELL",AF227*('Data Checks'!F437/'Data Checks'!F438),AF227))</f>
        <v>217.71392428539249</v>
      </c>
      <c r="AG228" s="16">
        <f t="shared" si="35"/>
        <v>929.57723659530359</v>
      </c>
      <c r="AH228" s="17">
        <f t="shared" si="39"/>
        <v>0</v>
      </c>
      <c r="AJ228" t="str">
        <f>IF('Moving Ave'!G438&gt;'Moving Ave'!L438,"SELL","BUY")</f>
        <v>SELL</v>
      </c>
      <c r="AK228" t="str">
        <f>IF('Moving Ave'!H438&gt;'Moving Ave'!M438,"SELL","BUY")</f>
        <v>BUY</v>
      </c>
      <c r="AL228" t="str">
        <f>IF('Moving Ave'!I438&gt;'Moving Ave'!N438,"SELL","BUY")</f>
        <v>SELL</v>
      </c>
      <c r="AM228" t="str">
        <f>IF('Moving Ave'!J438&gt;'Moving Ave'!O438,"SELL","BUY")</f>
        <v>BUY</v>
      </c>
      <c r="AN228" t="str">
        <f>IF('Moving Ave'!K438&gt;'Moving Ave'!P438,"SELL","BUY")</f>
        <v>BUY</v>
      </c>
      <c r="AO228">
        <f>IF(AJ227="BUY",AO227*('Data Checks'!B438/'Data Checks'!B437),AO227*('Data Checks'!B437/'Data Checks'!B438))</f>
        <v>141.25625986466207</v>
      </c>
      <c r="AP228">
        <f>IF(AK227="BUY",AP227*('Data Checks'!C438/'Data Checks'!C437),AP227*('Data Checks'!C437/'Data Checks'!C438))</f>
        <v>126.54305630030633</v>
      </c>
      <c r="AQ228">
        <f>IF(AL227="BUY",AQ227*('Data Checks'!D438/'Data Checks'!D437),AQ227*('Data Checks'!D437/'Data Checks'!D438))</f>
        <v>286.34296411691446</v>
      </c>
      <c r="AR228">
        <f>IF(AM227="BUY",AR227*('Data Checks'!E438/'Data Checks'!E437),AR227*('Data Checks'!E437/'Data Checks'!E438))</f>
        <v>112.98961791129494</v>
      </c>
      <c r="AS228">
        <f>IF(AN227="BUY",AS227*('Data Checks'!F438/'Data Checks'!F437),AS227*('Data Checks'!F437/'Data Checks'!F438))</f>
        <v>225.86832538551087</v>
      </c>
      <c r="AT228" s="16">
        <f t="shared" si="36"/>
        <v>893.00022357868875</v>
      </c>
      <c r="AU228" s="17">
        <f t="shared" si="40"/>
        <v>-1.2296298305373154E-3</v>
      </c>
    </row>
    <row r="229" spans="1:47" x14ac:dyDescent="0.35">
      <c r="A229" s="2">
        <f>Prices!A437</f>
        <v>44518</v>
      </c>
      <c r="B229">
        <f>B228*('Data Checks'!B439/'Data Checks'!B438)</f>
        <v>327.23325426508183</v>
      </c>
      <c r="C229">
        <f>C228*('Data Checks'!C439/'Data Checks'!C438)</f>
        <v>128.21945969569379</v>
      </c>
      <c r="D229">
        <f>D228*('Data Checks'!D439/'Data Checks'!D438)</f>
        <v>210.68626165781063</v>
      </c>
      <c r="E229">
        <f>E228*('Data Checks'!E439/'Data Checks'!E438)</f>
        <v>110.44526580364017</v>
      </c>
      <c r="F229">
        <f>F228*('Data Checks'!F439/'Data Checks'!F438)</f>
        <v>152.26513713302532</v>
      </c>
      <c r="G229" s="16">
        <f t="shared" si="33"/>
        <v>928.84937855525175</v>
      </c>
      <c r="H229" s="17">
        <f t="shared" si="37"/>
        <v>-3.6746077483237327E-3</v>
      </c>
      <c r="J229" t="str">
        <f>IF(AND('Data Checks'!B439&gt;'Data Checks'!B438,'Data Checks'!B438&gt;'Data Checks'!B437,'Data Checks'!B437&gt;'Data Checks'!B436),"SELL",IF(AND('Data Checks'!B439&lt;'Data Checks'!B438,'Data Checks'!B438&lt;'Data Checks'!B437,'Data Checks'!B437&lt;'Data Checks'!B436),"BUY",""))</f>
        <v/>
      </c>
      <c r="K229" t="str">
        <f>IF(AND('Data Checks'!C439&gt;'Data Checks'!C438,'Data Checks'!C438&gt;'Data Checks'!C437,'Data Checks'!C437&gt;'Data Checks'!C436),"SELL",IF(AND('Data Checks'!C439&lt;'Data Checks'!C438,'Data Checks'!C438&lt;'Data Checks'!C437,'Data Checks'!C437&lt;'Data Checks'!C436),"BUY",""))</f>
        <v/>
      </c>
      <c r="L229" t="str">
        <f>IF(AND('Data Checks'!D439&gt;'Data Checks'!D438,'Data Checks'!D438&gt;'Data Checks'!D437,'Data Checks'!D437&gt;'Data Checks'!D436),"SELL",IF(AND('Data Checks'!D439&lt;'Data Checks'!D438,'Data Checks'!D438&lt;'Data Checks'!D437,'Data Checks'!D437&lt;'Data Checks'!D436),"BUY",""))</f>
        <v/>
      </c>
      <c r="M229" t="str">
        <f>IF(AND('Data Checks'!E439&gt;'Data Checks'!E438,'Data Checks'!E438&gt;'Data Checks'!E437,'Data Checks'!E437&gt;'Data Checks'!E436),"SELL",IF(AND('Data Checks'!E439&lt;'Data Checks'!E438,'Data Checks'!E438&lt;'Data Checks'!E437,'Data Checks'!E437&lt;'Data Checks'!E436),"BUY",""))</f>
        <v/>
      </c>
      <c r="N229" t="str">
        <f>IF(AND('Data Checks'!F439&gt;'Data Checks'!F438,'Data Checks'!F438&gt;'Data Checks'!F437,'Data Checks'!F437&gt;'Data Checks'!F436),"SELL",IF(AND('Data Checks'!F439&lt;'Data Checks'!F438,'Data Checks'!F438&lt;'Data Checks'!F437,'Data Checks'!F437&lt;'Data Checks'!F436),"BUY",""))</f>
        <v>SELL</v>
      </c>
      <c r="O229">
        <f>IF(J228="BUY",O228*('Data Checks'!B439/'Data Checks'!B438),IF(J228="SELL",O228*('Data Checks'!B438/'Data Checks'!B439),O228))</f>
        <v>260.38285966810287</v>
      </c>
      <c r="P229">
        <f>IF(K228="BUY",P228*('Data Checks'!C439/'Data Checks'!C438),IF(K228="SELL",P228*('Data Checks'!C438/'Data Checks'!C439),P228))</f>
        <v>205.27762924794183</v>
      </c>
      <c r="Q229">
        <f>IF(L228="BUY",Q228*('Data Checks'!D439/'Data Checks'!D438),IF(L228="SELL",Q228*('Data Checks'!D438/'Data Checks'!D439),Q228))</f>
        <v>234.02543400613337</v>
      </c>
      <c r="R229">
        <f>IF(M228="BUY",R228*('Data Checks'!E439/'Data Checks'!E438),IF(M228="SELL",R228*('Data Checks'!E438/'Data Checks'!E439),R228))</f>
        <v>214.80054228688482</v>
      </c>
      <c r="S229">
        <f>IF(N228="BUY",S228*('Data Checks'!F439/'Data Checks'!F438),IF(N228="SELL",S228*('Data Checks'!F438/'Data Checks'!F439),S228))</f>
        <v>182.28882248163598</v>
      </c>
      <c r="T229" s="16">
        <f t="shared" si="34"/>
        <v>1096.7752876906989</v>
      </c>
      <c r="U229" s="17">
        <f t="shared" si="38"/>
        <v>5.9942172947571315E-3</v>
      </c>
      <c r="W229" t="str">
        <f>IF(AND('Data Checks'!B439&gt;'Data Checks'!B438,'Data Checks'!B438&gt;'Data Checks'!B437,'Data Checks'!B437&gt;'Data Checks'!B436),"BUY",IF(AND('Data Checks'!B439&lt;'Data Checks'!B438,'Data Checks'!B438&lt;'Data Checks'!B437,'Data Checks'!B437&lt;'Data Checks'!B436),"SELL",""))</f>
        <v/>
      </c>
      <c r="X229" t="str">
        <f>IF(AND('Data Checks'!C439&gt;'Data Checks'!C438,'Data Checks'!C438&gt;'Data Checks'!C437,'Data Checks'!C437&gt;'Data Checks'!C436),"BUY",IF(AND('Data Checks'!C439&lt;'Data Checks'!C438,'Data Checks'!C438&lt;'Data Checks'!C437,'Data Checks'!C437&lt;'Data Checks'!C436),"SELL",""))</f>
        <v/>
      </c>
      <c r="Y229" t="str">
        <f>IF(AND('Data Checks'!D439&gt;'Data Checks'!D438,'Data Checks'!D438&gt;'Data Checks'!D437,'Data Checks'!D437&gt;'Data Checks'!D436),"BUY",IF(AND('Data Checks'!D439&lt;'Data Checks'!D438,'Data Checks'!D438&lt;'Data Checks'!D437,'Data Checks'!D437&lt;'Data Checks'!D436),"SELL",""))</f>
        <v/>
      </c>
      <c r="Z229" t="str">
        <f>IF(AND('Data Checks'!E439&gt;'Data Checks'!E438,'Data Checks'!E438&gt;'Data Checks'!E437,'Data Checks'!E437&gt;'Data Checks'!E436),"BUY",IF(AND('Data Checks'!E439&lt;'Data Checks'!E438,'Data Checks'!E438&lt;'Data Checks'!E437,'Data Checks'!E437&lt;'Data Checks'!E436),"SELL",""))</f>
        <v/>
      </c>
      <c r="AA229" t="str">
        <f>IF(AND('Data Checks'!F439&gt;'Data Checks'!F438,'Data Checks'!F438&gt;'Data Checks'!F437,'Data Checks'!F437&gt;'Data Checks'!F436),"BUY",IF(AND('Data Checks'!F439&lt;'Data Checks'!F438,'Data Checks'!F438&lt;'Data Checks'!F437,'Data Checks'!F437&lt;'Data Checks'!F436),"SELL",""))</f>
        <v>BUY</v>
      </c>
      <c r="AB229">
        <f>IF(W228="BUY",AB228*('Data Checks'!B439/'Data Checks'!B438),IF(W228="SELL",AB228*('Data Checks'!B438/'Data Checks'!B439),AB228))</f>
        <v>153.61994276806868</v>
      </c>
      <c r="AC229">
        <f>IF(X228="BUY",AC228*('Data Checks'!C439/'Data Checks'!C438),IF(X228="SELL",AC228*('Data Checks'!C438/'Data Checks'!C439),AC228))</f>
        <v>194.85805709343316</v>
      </c>
      <c r="AD229">
        <f>IF(Y228="BUY",AD228*('Data Checks'!D439/'Data Checks'!D438),IF(Y228="SELL",AD228*('Data Checks'!D438/'Data Checks'!D439),AD228))</f>
        <v>170.92159307330544</v>
      </c>
      <c r="AE229">
        <f>IF(Z228="BUY",AE228*('Data Checks'!E439/'Data Checks'!E438),IF(Z228="SELL",AE228*('Data Checks'!E438/'Data Checks'!E439),AE228))</f>
        <v>186.21926916076629</v>
      </c>
      <c r="AF229">
        <f>IF(AA228="BUY",AF228*('Data Checks'!F439/'Data Checks'!F438),IF(AA228="SELL",AF228*('Data Checks'!F438/'Data Checks'!F439),AF228))</f>
        <v>219.43199509135943</v>
      </c>
      <c r="AG229" s="16">
        <f t="shared" si="35"/>
        <v>925.05085718693306</v>
      </c>
      <c r="AH229" s="17">
        <f t="shared" si="39"/>
        <v>-4.8692881346245054E-3</v>
      </c>
      <c r="AJ229" t="str">
        <f>IF('Moving Ave'!G439&gt;'Moving Ave'!L439,"SELL","BUY")</f>
        <v>SELL</v>
      </c>
      <c r="AK229" t="str">
        <f>IF('Moving Ave'!H439&gt;'Moving Ave'!M439,"SELL","BUY")</f>
        <v>BUY</v>
      </c>
      <c r="AL229" t="str">
        <f>IF('Moving Ave'!I439&gt;'Moving Ave'!N439,"SELL","BUY")</f>
        <v>SELL</v>
      </c>
      <c r="AM229" t="str">
        <f>IF('Moving Ave'!J439&gt;'Moving Ave'!O439,"SELL","BUY")</f>
        <v>BUY</v>
      </c>
      <c r="AN229" t="str">
        <f>IF('Moving Ave'!K439&gt;'Moving Ave'!P439,"SELL","BUY")</f>
        <v>SELL</v>
      </c>
      <c r="AO229">
        <f>IF(AJ228="BUY",AO228*('Data Checks'!B439/'Data Checks'!B438),AO228*('Data Checks'!B438/'Data Checks'!B439))</f>
        <v>142.62994755664002</v>
      </c>
      <c r="AP229">
        <f>IF(AK228="BUY",AP228*('Data Checks'!C439/'Data Checks'!C438),AP228*('Data Checks'!C438/'Data Checks'!C439))</f>
        <v>128.21945969569379</v>
      </c>
      <c r="AQ229">
        <f>IF(AL228="BUY",AQ228*('Data Checks'!D439/'Data Checks'!D438),AQ228*('Data Checks'!D438/'Data Checks'!D439))</f>
        <v>287.1145242883195</v>
      </c>
      <c r="AR229">
        <f>IF(AM228="BUY",AR228*('Data Checks'!E439/'Data Checks'!E438),AR228*('Data Checks'!E438/'Data Checks'!E439))</f>
        <v>110.44526580364017</v>
      </c>
      <c r="AS229">
        <f>IF(AN228="BUY",AS228*('Data Checks'!F439/'Data Checks'!F438),AS228*('Data Checks'!F438/'Data Checks'!F439))</f>
        <v>227.65074595007152</v>
      </c>
      <c r="AT229" s="16">
        <f t="shared" si="36"/>
        <v>896.05994329436487</v>
      </c>
      <c r="AU229" s="17">
        <f t="shared" si="40"/>
        <v>3.4263370096530021E-3</v>
      </c>
    </row>
    <row r="230" spans="1:47" x14ac:dyDescent="0.35">
      <c r="A230" s="2">
        <f>Prices!A438</f>
        <v>44519</v>
      </c>
      <c r="B230">
        <f>B229*('Data Checks'!B440/'Data Checks'!B439)</f>
        <v>328.45137839921108</v>
      </c>
      <c r="C230">
        <f>C229*('Data Checks'!C440/'Data Checks'!C439)</f>
        <v>128.93065605615089</v>
      </c>
      <c r="D230">
        <f>D229*('Data Checks'!D440/'Data Checks'!D439)</f>
        <v>210.75305411175603</v>
      </c>
      <c r="E230">
        <f>E229*('Data Checks'!E440/'Data Checks'!E439)</f>
        <v>111.08134880879307</v>
      </c>
      <c r="F230">
        <f>F229*('Data Checks'!F440/'Data Checks'!F439)</f>
        <v>150.21459442367089</v>
      </c>
      <c r="G230" s="16">
        <f t="shared" si="33"/>
        <v>929.431031799582</v>
      </c>
      <c r="H230" s="17">
        <f t="shared" si="37"/>
        <v>6.262083581678457E-4</v>
      </c>
      <c r="J230" t="str">
        <f>IF(AND('Data Checks'!B440&gt;'Data Checks'!B439,'Data Checks'!B439&gt;'Data Checks'!B438,'Data Checks'!B438&gt;'Data Checks'!B437),"SELL",IF(AND('Data Checks'!B440&lt;'Data Checks'!B439,'Data Checks'!B439&lt;'Data Checks'!B438,'Data Checks'!B438&lt;'Data Checks'!B437),"BUY",""))</f>
        <v/>
      </c>
      <c r="K230" t="str">
        <f>IF(AND('Data Checks'!C440&gt;'Data Checks'!C439,'Data Checks'!C439&gt;'Data Checks'!C438,'Data Checks'!C438&gt;'Data Checks'!C437),"SELL",IF(AND('Data Checks'!C440&lt;'Data Checks'!C439,'Data Checks'!C439&lt;'Data Checks'!C438,'Data Checks'!C438&lt;'Data Checks'!C437),"BUY",""))</f>
        <v/>
      </c>
      <c r="L230" t="str">
        <f>IF(AND('Data Checks'!D440&gt;'Data Checks'!D439,'Data Checks'!D439&gt;'Data Checks'!D438,'Data Checks'!D438&gt;'Data Checks'!D437),"SELL",IF(AND('Data Checks'!D440&lt;'Data Checks'!D439,'Data Checks'!D439&lt;'Data Checks'!D438,'Data Checks'!D438&lt;'Data Checks'!D437),"BUY",""))</f>
        <v/>
      </c>
      <c r="M230" t="str">
        <f>IF(AND('Data Checks'!E440&gt;'Data Checks'!E439,'Data Checks'!E439&gt;'Data Checks'!E438,'Data Checks'!E438&gt;'Data Checks'!E437),"SELL",IF(AND('Data Checks'!E440&lt;'Data Checks'!E439,'Data Checks'!E439&lt;'Data Checks'!E438,'Data Checks'!E438&lt;'Data Checks'!E437),"BUY",""))</f>
        <v/>
      </c>
      <c r="N230" t="str">
        <f>IF(AND('Data Checks'!F440&gt;'Data Checks'!F439,'Data Checks'!F439&gt;'Data Checks'!F438,'Data Checks'!F438&gt;'Data Checks'!F437),"SELL",IF(AND('Data Checks'!F440&lt;'Data Checks'!F439,'Data Checks'!F439&lt;'Data Checks'!F438,'Data Checks'!F438&lt;'Data Checks'!F437),"BUY",""))</f>
        <v/>
      </c>
      <c r="O230">
        <f>IF(J229="BUY",O229*('Data Checks'!B440/'Data Checks'!B439),IF(J229="SELL",O229*('Data Checks'!B439/'Data Checks'!B440),O229))</f>
        <v>260.38285966810287</v>
      </c>
      <c r="P230">
        <f>IF(K229="BUY",P229*('Data Checks'!C440/'Data Checks'!C439),IF(K229="SELL",P229*('Data Checks'!C439/'Data Checks'!C440),P229))</f>
        <v>205.27762924794183</v>
      </c>
      <c r="Q230">
        <f>IF(L229="BUY",Q229*('Data Checks'!D440/'Data Checks'!D439),IF(L229="SELL",Q229*('Data Checks'!D439/'Data Checks'!D440),Q229))</f>
        <v>234.02543400613337</v>
      </c>
      <c r="R230">
        <f>IF(M229="BUY",R229*('Data Checks'!E440/'Data Checks'!E439),IF(M229="SELL",R229*('Data Checks'!E439/'Data Checks'!E440),R229))</f>
        <v>214.80054228688482</v>
      </c>
      <c r="S230">
        <f>IF(N229="BUY",S229*('Data Checks'!F440/'Data Checks'!F439),IF(N229="SELL",S229*('Data Checks'!F439/'Data Checks'!F440),S229))</f>
        <v>184.77720263784286</v>
      </c>
      <c r="T230" s="16">
        <f t="shared" si="34"/>
        <v>1099.2636678469057</v>
      </c>
      <c r="U230" s="17">
        <f t="shared" si="38"/>
        <v>2.2688149378768951E-3</v>
      </c>
      <c r="W230" t="str">
        <f>IF(AND('Data Checks'!B440&gt;'Data Checks'!B439,'Data Checks'!B439&gt;'Data Checks'!B438,'Data Checks'!B438&gt;'Data Checks'!B437),"BUY",IF(AND('Data Checks'!B440&lt;'Data Checks'!B439,'Data Checks'!B439&lt;'Data Checks'!B438,'Data Checks'!B438&lt;'Data Checks'!B437),"SELL",""))</f>
        <v/>
      </c>
      <c r="X230" t="str">
        <f>IF(AND('Data Checks'!C440&gt;'Data Checks'!C439,'Data Checks'!C439&gt;'Data Checks'!C438,'Data Checks'!C438&gt;'Data Checks'!C437),"BUY",IF(AND('Data Checks'!C440&lt;'Data Checks'!C439,'Data Checks'!C439&lt;'Data Checks'!C438,'Data Checks'!C438&lt;'Data Checks'!C437),"SELL",""))</f>
        <v/>
      </c>
      <c r="Y230" t="str">
        <f>IF(AND('Data Checks'!D440&gt;'Data Checks'!D439,'Data Checks'!D439&gt;'Data Checks'!D438,'Data Checks'!D438&gt;'Data Checks'!D437),"BUY",IF(AND('Data Checks'!D440&lt;'Data Checks'!D439,'Data Checks'!D439&lt;'Data Checks'!D438,'Data Checks'!D438&lt;'Data Checks'!D437),"SELL",""))</f>
        <v/>
      </c>
      <c r="Z230" t="str">
        <f>IF(AND('Data Checks'!E440&gt;'Data Checks'!E439,'Data Checks'!E439&gt;'Data Checks'!E438,'Data Checks'!E438&gt;'Data Checks'!E437),"BUY",IF(AND('Data Checks'!E440&lt;'Data Checks'!E439,'Data Checks'!E439&lt;'Data Checks'!E438,'Data Checks'!E438&lt;'Data Checks'!E437),"SELL",""))</f>
        <v/>
      </c>
      <c r="AA230" t="str">
        <f>IF(AND('Data Checks'!F440&gt;'Data Checks'!F439,'Data Checks'!F439&gt;'Data Checks'!F438,'Data Checks'!F438&gt;'Data Checks'!F437),"BUY",IF(AND('Data Checks'!F440&lt;'Data Checks'!F439,'Data Checks'!F439&lt;'Data Checks'!F438,'Data Checks'!F438&lt;'Data Checks'!F437),"SELL",""))</f>
        <v/>
      </c>
      <c r="AB230">
        <f>IF(W229="BUY",AB229*('Data Checks'!B440/'Data Checks'!B439),IF(W229="SELL",AB229*('Data Checks'!B439/'Data Checks'!B440),AB229))</f>
        <v>153.61994276806868</v>
      </c>
      <c r="AC230">
        <f>IF(X229="BUY",AC229*('Data Checks'!C440/'Data Checks'!C439),IF(X229="SELL",AC229*('Data Checks'!C439/'Data Checks'!C440),AC229))</f>
        <v>194.85805709343316</v>
      </c>
      <c r="AD230">
        <f>IF(Y229="BUY",AD229*('Data Checks'!D440/'Data Checks'!D439),IF(Y229="SELL",AD229*('Data Checks'!D439/'Data Checks'!D440),AD229))</f>
        <v>170.92159307330544</v>
      </c>
      <c r="AE230">
        <f>IF(Z229="BUY",AE229*('Data Checks'!E440/'Data Checks'!E439),IF(Z229="SELL",AE229*('Data Checks'!E439/'Data Checks'!E440),AE229))</f>
        <v>186.21926916076629</v>
      </c>
      <c r="AF230">
        <f>IF(AA229="BUY",AF229*('Data Checks'!F440/'Data Checks'!F439),IF(AA229="SELL",AF229*('Data Checks'!F439/'Data Checks'!F440),AF229))</f>
        <v>216.47692155183614</v>
      </c>
      <c r="AG230" s="16">
        <f t="shared" si="35"/>
        <v>922.09578364740969</v>
      </c>
      <c r="AH230" s="17">
        <f t="shared" si="39"/>
        <v>-3.1944984608842653E-3</v>
      </c>
      <c r="AJ230" t="str">
        <f>IF('Moving Ave'!G440&gt;'Moving Ave'!L440,"SELL","BUY")</f>
        <v>SELL</v>
      </c>
      <c r="AK230" t="str">
        <f>IF('Moving Ave'!H440&gt;'Moving Ave'!M440,"SELL","BUY")</f>
        <v>BUY</v>
      </c>
      <c r="AL230" t="str">
        <f>IF('Moving Ave'!I440&gt;'Moving Ave'!N440,"SELL","BUY")</f>
        <v>SELL</v>
      </c>
      <c r="AM230" t="str">
        <f>IF('Moving Ave'!J440&gt;'Moving Ave'!O440,"SELL","BUY")</f>
        <v>BUY</v>
      </c>
      <c r="AN230" t="str">
        <f>IF('Moving Ave'!K440&gt;'Moving Ave'!P440,"SELL","BUY")</f>
        <v>SELL</v>
      </c>
      <c r="AO230">
        <f>IF(AJ229="BUY",AO229*('Data Checks'!B440/'Data Checks'!B439),AO229*('Data Checks'!B439/'Data Checks'!B440))</f>
        <v>142.10097738694517</v>
      </c>
      <c r="AP230">
        <f>IF(AK229="BUY",AP229*('Data Checks'!C440/'Data Checks'!C439),AP229*('Data Checks'!C439/'Data Checks'!C440))</f>
        <v>128.93065605615089</v>
      </c>
      <c r="AQ230">
        <f>IF(AL229="BUY",AQ229*('Data Checks'!D440/'Data Checks'!D439),AQ229*('Data Checks'!D439/'Data Checks'!D440))</f>
        <v>287.02353114128584</v>
      </c>
      <c r="AR230">
        <f>IF(AM229="BUY",AR229*('Data Checks'!E440/'Data Checks'!E439),AR229*('Data Checks'!E439/'Data Checks'!E440))</f>
        <v>111.08134880879307</v>
      </c>
      <c r="AS230">
        <f>IF(AN229="BUY",AS229*('Data Checks'!F440/'Data Checks'!F439),AS229*('Data Checks'!F439/'Data Checks'!F440))</f>
        <v>230.75835063507586</v>
      </c>
      <c r="AT230" s="16">
        <f t="shared" si="36"/>
        <v>899.89486402825094</v>
      </c>
      <c r="AU230" s="17">
        <f t="shared" si="40"/>
        <v>4.2797591417678138E-3</v>
      </c>
    </row>
    <row r="231" spans="1:47" x14ac:dyDescent="0.35">
      <c r="A231" s="2">
        <f>Prices!A439</f>
        <v>44520</v>
      </c>
      <c r="B231">
        <f>B230*('Data Checks'!B441/'Data Checks'!B440)</f>
        <v>326.59468450327114</v>
      </c>
      <c r="C231">
        <f>C230*('Data Checks'!C441/'Data Checks'!C440)</f>
        <v>128.37186000436537</v>
      </c>
      <c r="D231">
        <f>D230*('Data Checks'!D441/'Data Checks'!D440)</f>
        <v>212.15561883712866</v>
      </c>
      <c r="E231">
        <f>E230*('Data Checks'!E441/'Data Checks'!E440)</f>
        <v>112.68831226353147</v>
      </c>
      <c r="F231">
        <f>F230*('Data Checks'!F441/'Data Checks'!F440)</f>
        <v>151.64520960865823</v>
      </c>
      <c r="G231" s="16">
        <f t="shared" si="33"/>
        <v>931.45568521695475</v>
      </c>
      <c r="H231" s="17">
        <f t="shared" si="37"/>
        <v>2.1783794042820048E-3</v>
      </c>
      <c r="J231" t="str">
        <f>IF(AND('Data Checks'!B441&gt;'Data Checks'!B440,'Data Checks'!B440&gt;'Data Checks'!B439,'Data Checks'!B439&gt;'Data Checks'!B438),"SELL",IF(AND('Data Checks'!B441&lt;'Data Checks'!B440,'Data Checks'!B440&lt;'Data Checks'!B439,'Data Checks'!B439&lt;'Data Checks'!B438),"BUY",""))</f>
        <v/>
      </c>
      <c r="K231" t="str">
        <f>IF(AND('Data Checks'!C441&gt;'Data Checks'!C440,'Data Checks'!C440&gt;'Data Checks'!C439,'Data Checks'!C439&gt;'Data Checks'!C438),"SELL",IF(AND('Data Checks'!C441&lt;'Data Checks'!C440,'Data Checks'!C440&lt;'Data Checks'!C439,'Data Checks'!C439&lt;'Data Checks'!C438),"BUY",""))</f>
        <v/>
      </c>
      <c r="L231" t="str">
        <f>IF(AND('Data Checks'!D441&gt;'Data Checks'!D440,'Data Checks'!D440&gt;'Data Checks'!D439,'Data Checks'!D439&gt;'Data Checks'!D438),"SELL",IF(AND('Data Checks'!D441&lt;'Data Checks'!D440,'Data Checks'!D440&lt;'Data Checks'!D439,'Data Checks'!D439&lt;'Data Checks'!D438),"BUY",""))</f>
        <v/>
      </c>
      <c r="M231" t="str">
        <f>IF(AND('Data Checks'!E441&gt;'Data Checks'!E440,'Data Checks'!E440&gt;'Data Checks'!E439,'Data Checks'!E439&gt;'Data Checks'!E438),"SELL",IF(AND('Data Checks'!E441&lt;'Data Checks'!E440,'Data Checks'!E440&lt;'Data Checks'!E439,'Data Checks'!E439&lt;'Data Checks'!E438),"BUY",""))</f>
        <v/>
      </c>
      <c r="N231" t="str">
        <f>IF(AND('Data Checks'!F441&gt;'Data Checks'!F440,'Data Checks'!F440&gt;'Data Checks'!F439,'Data Checks'!F439&gt;'Data Checks'!F438),"SELL",IF(AND('Data Checks'!F441&lt;'Data Checks'!F440,'Data Checks'!F440&lt;'Data Checks'!F439,'Data Checks'!F439&lt;'Data Checks'!F438),"BUY",""))</f>
        <v/>
      </c>
      <c r="O231">
        <f>IF(J230="BUY",O230*('Data Checks'!B441/'Data Checks'!B440),IF(J230="SELL",O230*('Data Checks'!B440/'Data Checks'!B441),O230))</f>
        <v>260.38285966810287</v>
      </c>
      <c r="P231">
        <f>IF(K230="BUY",P230*('Data Checks'!C441/'Data Checks'!C440),IF(K230="SELL",P230*('Data Checks'!C440/'Data Checks'!C441),P230))</f>
        <v>205.27762924794183</v>
      </c>
      <c r="Q231">
        <f>IF(L230="BUY",Q230*('Data Checks'!D441/'Data Checks'!D440),IF(L230="SELL",Q230*('Data Checks'!D440/'Data Checks'!D441),Q230))</f>
        <v>234.02543400613337</v>
      </c>
      <c r="R231">
        <f>IF(M230="BUY",R230*('Data Checks'!E441/'Data Checks'!E440),IF(M230="SELL",R230*('Data Checks'!E440/'Data Checks'!E441),R230))</f>
        <v>214.80054228688482</v>
      </c>
      <c r="S231">
        <f>IF(N230="BUY",S230*('Data Checks'!F441/'Data Checks'!F440),IF(N230="SELL",S230*('Data Checks'!F440/'Data Checks'!F441),S230))</f>
        <v>184.77720263784286</v>
      </c>
      <c r="T231" s="16">
        <f t="shared" si="34"/>
        <v>1099.2636678469057</v>
      </c>
      <c r="U231" s="17">
        <f t="shared" si="38"/>
        <v>0</v>
      </c>
      <c r="W231" t="str">
        <f>IF(AND('Data Checks'!B441&gt;'Data Checks'!B440,'Data Checks'!B440&gt;'Data Checks'!B439,'Data Checks'!B439&gt;'Data Checks'!B438),"BUY",IF(AND('Data Checks'!B441&lt;'Data Checks'!B440,'Data Checks'!B440&lt;'Data Checks'!B439,'Data Checks'!B439&lt;'Data Checks'!B438),"SELL",""))</f>
        <v/>
      </c>
      <c r="X231" t="str">
        <f>IF(AND('Data Checks'!C441&gt;'Data Checks'!C440,'Data Checks'!C440&gt;'Data Checks'!C439,'Data Checks'!C439&gt;'Data Checks'!C438),"BUY",IF(AND('Data Checks'!C441&lt;'Data Checks'!C440,'Data Checks'!C440&lt;'Data Checks'!C439,'Data Checks'!C439&lt;'Data Checks'!C438),"SELL",""))</f>
        <v/>
      </c>
      <c r="Y231" t="str">
        <f>IF(AND('Data Checks'!D441&gt;'Data Checks'!D440,'Data Checks'!D440&gt;'Data Checks'!D439,'Data Checks'!D439&gt;'Data Checks'!D438),"BUY",IF(AND('Data Checks'!D441&lt;'Data Checks'!D440,'Data Checks'!D440&lt;'Data Checks'!D439,'Data Checks'!D439&lt;'Data Checks'!D438),"SELL",""))</f>
        <v/>
      </c>
      <c r="Z231" t="str">
        <f>IF(AND('Data Checks'!E441&gt;'Data Checks'!E440,'Data Checks'!E440&gt;'Data Checks'!E439,'Data Checks'!E439&gt;'Data Checks'!E438),"BUY",IF(AND('Data Checks'!E441&lt;'Data Checks'!E440,'Data Checks'!E440&lt;'Data Checks'!E439,'Data Checks'!E439&lt;'Data Checks'!E438),"SELL",""))</f>
        <v/>
      </c>
      <c r="AA231" t="str">
        <f>IF(AND('Data Checks'!F441&gt;'Data Checks'!F440,'Data Checks'!F440&gt;'Data Checks'!F439,'Data Checks'!F439&gt;'Data Checks'!F438),"BUY",IF(AND('Data Checks'!F441&lt;'Data Checks'!F440,'Data Checks'!F440&lt;'Data Checks'!F439,'Data Checks'!F439&lt;'Data Checks'!F438),"SELL",""))</f>
        <v/>
      </c>
      <c r="AB231">
        <f>IF(W230="BUY",AB230*('Data Checks'!B441/'Data Checks'!B440),IF(W230="SELL",AB230*('Data Checks'!B440/'Data Checks'!B441),AB230))</f>
        <v>153.61994276806868</v>
      </c>
      <c r="AC231">
        <f>IF(X230="BUY",AC230*('Data Checks'!C441/'Data Checks'!C440),IF(X230="SELL",AC230*('Data Checks'!C440/'Data Checks'!C441),AC230))</f>
        <v>194.85805709343316</v>
      </c>
      <c r="AD231">
        <f>IF(Y230="BUY",AD230*('Data Checks'!D441/'Data Checks'!D440),IF(Y230="SELL",AD230*('Data Checks'!D440/'Data Checks'!D441),AD230))</f>
        <v>170.92159307330544</v>
      </c>
      <c r="AE231">
        <f>IF(Z230="BUY",AE230*('Data Checks'!E441/'Data Checks'!E440),IF(Z230="SELL",AE230*('Data Checks'!E440/'Data Checks'!E441),AE230))</f>
        <v>186.21926916076629</v>
      </c>
      <c r="AF231">
        <f>IF(AA230="BUY",AF230*('Data Checks'!F441/'Data Checks'!F440),IF(AA230="SELL",AF230*('Data Checks'!F440/'Data Checks'!F441),AF230))</f>
        <v>216.47692155183614</v>
      </c>
      <c r="AG231" s="16">
        <f t="shared" si="35"/>
        <v>922.09578364740969</v>
      </c>
      <c r="AH231" s="17">
        <f t="shared" si="39"/>
        <v>0</v>
      </c>
      <c r="AJ231" t="str">
        <f>IF('Moving Ave'!G441&gt;'Moving Ave'!L441,"SELL","BUY")</f>
        <v>SELL</v>
      </c>
      <c r="AK231" t="str">
        <f>IF('Moving Ave'!H441&gt;'Moving Ave'!M441,"SELL","BUY")</f>
        <v>BUY</v>
      </c>
      <c r="AL231" t="str">
        <f>IF('Moving Ave'!I441&gt;'Moving Ave'!N441,"SELL","BUY")</f>
        <v>SELL</v>
      </c>
      <c r="AM231" t="str">
        <f>IF('Moving Ave'!J441&gt;'Moving Ave'!O441,"SELL","BUY")</f>
        <v>BUY</v>
      </c>
      <c r="AN231" t="str">
        <f>IF('Moving Ave'!K441&gt;'Moving Ave'!P441,"SELL","BUY")</f>
        <v>SELL</v>
      </c>
      <c r="AO231">
        <f>IF(AJ230="BUY",AO230*('Data Checks'!B441/'Data Checks'!B440),AO230*('Data Checks'!B440/'Data Checks'!B441))</f>
        <v>142.90882279852229</v>
      </c>
      <c r="AP231">
        <f>IF(AK230="BUY",AP230*('Data Checks'!C441/'Data Checks'!C440),AP230*('Data Checks'!C440/'Data Checks'!C441))</f>
        <v>128.37186000436537</v>
      </c>
      <c r="AQ231">
        <f>IF(AL230="BUY",AQ230*('Data Checks'!D441/'Data Checks'!D440),AQ230*('Data Checks'!D440/'Data Checks'!D441))</f>
        <v>285.126013261075</v>
      </c>
      <c r="AR231">
        <f>IF(AM230="BUY",AR230*('Data Checks'!E441/'Data Checks'!E440),AR230*('Data Checks'!E440/'Data Checks'!E441))</f>
        <v>112.68831226353147</v>
      </c>
      <c r="AS231">
        <f>IF(AN230="BUY",AS230*('Data Checks'!F441/'Data Checks'!F440),AS230*('Data Checks'!F440/'Data Checks'!F441))</f>
        <v>228.58138506304684</v>
      </c>
      <c r="AT231" s="16">
        <f t="shared" si="36"/>
        <v>897.67639339054097</v>
      </c>
      <c r="AU231" s="17">
        <f t="shared" si="40"/>
        <v>-2.4652553608087713E-3</v>
      </c>
    </row>
    <row r="232" spans="1:47" x14ac:dyDescent="0.35">
      <c r="A232" s="2">
        <f>Prices!A440</f>
        <v>44523</v>
      </c>
      <c r="B232">
        <f>B231*('Data Checks'!B442/'Data Checks'!B441)</f>
        <v>326.48825629744726</v>
      </c>
      <c r="C232">
        <f>C231*('Data Checks'!C442/'Data Checks'!C441)</f>
        <v>130.09906858265364</v>
      </c>
      <c r="D232">
        <f>D231*('Data Checks'!D442/'Data Checks'!D441)</f>
        <v>218.33360524851602</v>
      </c>
      <c r="E232">
        <f>E231*('Data Checks'!E442/'Data Checks'!E441)</f>
        <v>117.87746173828377</v>
      </c>
      <c r="F232">
        <f>F231*('Data Checks'!F442/'Data Checks'!F441)</f>
        <v>154.79256587686078</v>
      </c>
      <c r="G232" s="16">
        <f t="shared" si="33"/>
        <v>947.59095774376146</v>
      </c>
      <c r="H232" s="17">
        <f t="shared" si="37"/>
        <v>1.7322641090594004E-2</v>
      </c>
      <c r="J232" t="str">
        <f>IF(AND('Data Checks'!B442&gt;'Data Checks'!B441,'Data Checks'!B441&gt;'Data Checks'!B440,'Data Checks'!B440&gt;'Data Checks'!B439),"SELL",IF(AND('Data Checks'!B442&lt;'Data Checks'!B441,'Data Checks'!B441&lt;'Data Checks'!B440,'Data Checks'!B440&lt;'Data Checks'!B439),"BUY",""))</f>
        <v/>
      </c>
      <c r="K232" t="str">
        <f>IF(AND('Data Checks'!C442&gt;'Data Checks'!C441,'Data Checks'!C441&gt;'Data Checks'!C440,'Data Checks'!C440&gt;'Data Checks'!C439),"SELL",IF(AND('Data Checks'!C442&lt;'Data Checks'!C441,'Data Checks'!C441&lt;'Data Checks'!C440,'Data Checks'!C440&lt;'Data Checks'!C439),"BUY",""))</f>
        <v/>
      </c>
      <c r="L232" t="str">
        <f>IF(AND('Data Checks'!D442&gt;'Data Checks'!D441,'Data Checks'!D441&gt;'Data Checks'!D440,'Data Checks'!D440&gt;'Data Checks'!D439),"SELL",IF(AND('Data Checks'!D442&lt;'Data Checks'!D441,'Data Checks'!D441&lt;'Data Checks'!D440,'Data Checks'!D440&lt;'Data Checks'!D439),"BUY",""))</f>
        <v>SELL</v>
      </c>
      <c r="M232" t="str">
        <f>IF(AND('Data Checks'!E442&gt;'Data Checks'!E441,'Data Checks'!E441&gt;'Data Checks'!E440,'Data Checks'!E440&gt;'Data Checks'!E439),"SELL",IF(AND('Data Checks'!E442&lt;'Data Checks'!E441,'Data Checks'!E441&lt;'Data Checks'!E440,'Data Checks'!E440&lt;'Data Checks'!E439),"BUY",""))</f>
        <v>SELL</v>
      </c>
      <c r="N232" t="str">
        <f>IF(AND('Data Checks'!F442&gt;'Data Checks'!F441,'Data Checks'!F441&gt;'Data Checks'!F440,'Data Checks'!F440&gt;'Data Checks'!F439),"SELL",IF(AND('Data Checks'!F442&lt;'Data Checks'!F441,'Data Checks'!F441&lt;'Data Checks'!F440,'Data Checks'!F440&lt;'Data Checks'!F439),"BUY",""))</f>
        <v/>
      </c>
      <c r="O232">
        <f>IF(J231="BUY",O231*('Data Checks'!B442/'Data Checks'!B441),IF(J231="SELL",O231*('Data Checks'!B441/'Data Checks'!B442),O231))</f>
        <v>260.38285966810287</v>
      </c>
      <c r="P232">
        <f>IF(K231="BUY",P231*('Data Checks'!C442/'Data Checks'!C441),IF(K231="SELL",P231*('Data Checks'!C441/'Data Checks'!C442),P231))</f>
        <v>205.27762924794183</v>
      </c>
      <c r="Q232">
        <f>IF(L231="BUY",Q231*('Data Checks'!D442/'Data Checks'!D441),IF(L231="SELL",Q231*('Data Checks'!D441/'Data Checks'!D442),Q231))</f>
        <v>234.02543400613337</v>
      </c>
      <c r="R232">
        <f>IF(M231="BUY",R231*('Data Checks'!E442/'Data Checks'!E441),IF(M231="SELL",R231*('Data Checks'!E441/'Data Checks'!E442),R231))</f>
        <v>214.80054228688482</v>
      </c>
      <c r="S232">
        <f>IF(N231="BUY",S231*('Data Checks'!F442/'Data Checks'!F441),IF(N231="SELL",S231*('Data Checks'!F441/'Data Checks'!F442),S231))</f>
        <v>184.77720263784286</v>
      </c>
      <c r="T232" s="16">
        <f t="shared" si="34"/>
        <v>1099.2636678469057</v>
      </c>
      <c r="U232" s="17">
        <f t="shared" si="38"/>
        <v>0</v>
      </c>
      <c r="W232" t="str">
        <f>IF(AND('Data Checks'!B442&gt;'Data Checks'!B441,'Data Checks'!B441&gt;'Data Checks'!B440,'Data Checks'!B440&gt;'Data Checks'!B439),"BUY",IF(AND('Data Checks'!B442&lt;'Data Checks'!B441,'Data Checks'!B441&lt;'Data Checks'!B440,'Data Checks'!B440&lt;'Data Checks'!B439),"SELL",""))</f>
        <v/>
      </c>
      <c r="X232" t="str">
        <f>IF(AND('Data Checks'!C442&gt;'Data Checks'!C441,'Data Checks'!C441&gt;'Data Checks'!C440,'Data Checks'!C440&gt;'Data Checks'!C439),"BUY",IF(AND('Data Checks'!C442&lt;'Data Checks'!C441,'Data Checks'!C441&lt;'Data Checks'!C440,'Data Checks'!C440&lt;'Data Checks'!C439),"SELL",""))</f>
        <v/>
      </c>
      <c r="Y232" t="str">
        <f>IF(AND('Data Checks'!D442&gt;'Data Checks'!D441,'Data Checks'!D441&gt;'Data Checks'!D440,'Data Checks'!D440&gt;'Data Checks'!D439),"BUY",IF(AND('Data Checks'!D442&lt;'Data Checks'!D441,'Data Checks'!D441&lt;'Data Checks'!D440,'Data Checks'!D440&lt;'Data Checks'!D439),"SELL",""))</f>
        <v>BUY</v>
      </c>
      <c r="Z232" t="str">
        <f>IF(AND('Data Checks'!E442&gt;'Data Checks'!E441,'Data Checks'!E441&gt;'Data Checks'!E440,'Data Checks'!E440&gt;'Data Checks'!E439),"BUY",IF(AND('Data Checks'!E442&lt;'Data Checks'!E441,'Data Checks'!E441&lt;'Data Checks'!E440,'Data Checks'!E440&lt;'Data Checks'!E439),"SELL",""))</f>
        <v>BUY</v>
      </c>
      <c r="AA232" t="str">
        <f>IF(AND('Data Checks'!F442&gt;'Data Checks'!F441,'Data Checks'!F441&gt;'Data Checks'!F440,'Data Checks'!F440&gt;'Data Checks'!F439),"BUY",IF(AND('Data Checks'!F442&lt;'Data Checks'!F441,'Data Checks'!F441&lt;'Data Checks'!F440,'Data Checks'!F440&lt;'Data Checks'!F439),"SELL",""))</f>
        <v/>
      </c>
      <c r="AB232">
        <f>IF(W231="BUY",AB231*('Data Checks'!B442/'Data Checks'!B441),IF(W231="SELL",AB231*('Data Checks'!B441/'Data Checks'!B442),AB231))</f>
        <v>153.61994276806868</v>
      </c>
      <c r="AC232">
        <f>IF(X231="BUY",AC231*('Data Checks'!C442/'Data Checks'!C441),IF(X231="SELL",AC231*('Data Checks'!C441/'Data Checks'!C442),AC231))</f>
        <v>194.85805709343316</v>
      </c>
      <c r="AD232">
        <f>IF(Y231="BUY",AD231*('Data Checks'!D442/'Data Checks'!D441),IF(Y231="SELL",AD231*('Data Checks'!D441/'Data Checks'!D442),AD231))</f>
        <v>170.92159307330544</v>
      </c>
      <c r="AE232">
        <f>IF(Z231="BUY",AE231*('Data Checks'!E442/'Data Checks'!E441),IF(Z231="SELL",AE231*('Data Checks'!E441/'Data Checks'!E442),AE231))</f>
        <v>186.21926916076629</v>
      </c>
      <c r="AF232">
        <f>IF(AA231="BUY",AF231*('Data Checks'!F442/'Data Checks'!F441),IF(AA231="SELL",AF231*('Data Checks'!F441/'Data Checks'!F442),AF231))</f>
        <v>216.47692155183614</v>
      </c>
      <c r="AG232" s="16">
        <f t="shared" si="35"/>
        <v>922.09578364740969</v>
      </c>
      <c r="AH232" s="17">
        <f t="shared" si="39"/>
        <v>0</v>
      </c>
      <c r="AJ232" t="str">
        <f>IF('Moving Ave'!G442&gt;'Moving Ave'!L442,"SELL","BUY")</f>
        <v>SELL</v>
      </c>
      <c r="AK232" t="str">
        <f>IF('Moving Ave'!H442&gt;'Moving Ave'!M442,"SELL","BUY")</f>
        <v>BUY</v>
      </c>
      <c r="AL232" t="str">
        <f>IF('Moving Ave'!I442&gt;'Moving Ave'!N442,"SELL","BUY")</f>
        <v>SELL</v>
      </c>
      <c r="AM232" t="str">
        <f>IF('Moving Ave'!J442&gt;'Moving Ave'!O442,"SELL","BUY")</f>
        <v>BUY</v>
      </c>
      <c r="AN232" t="str">
        <f>IF('Moving Ave'!K442&gt;'Moving Ave'!P442,"SELL","BUY")</f>
        <v>SELL</v>
      </c>
      <c r="AO232">
        <f>IF(AJ231="BUY",AO231*('Data Checks'!B442/'Data Checks'!B441),AO231*('Data Checks'!B441/'Data Checks'!B442))</f>
        <v>142.95540802575013</v>
      </c>
      <c r="AP232">
        <f>IF(AK231="BUY",AP231*('Data Checks'!C442/'Data Checks'!C441),AP231*('Data Checks'!C441/'Data Checks'!C442))</f>
        <v>130.09906858265364</v>
      </c>
      <c r="AQ232">
        <f>IF(AL231="BUY",AQ231*('Data Checks'!D442/'Data Checks'!D441),AQ231*('Data Checks'!D441/'Data Checks'!D442))</f>
        <v>277.05806314659327</v>
      </c>
      <c r="AR232">
        <f>IF(AM231="BUY",AR231*('Data Checks'!E442/'Data Checks'!E441),AR231*('Data Checks'!E441/'Data Checks'!E442))</f>
        <v>117.87746173828377</v>
      </c>
      <c r="AS232">
        <f>IF(AN231="BUY",AS231*('Data Checks'!F442/'Data Checks'!F441),AS231*('Data Checks'!F441/'Data Checks'!F442))</f>
        <v>223.9337002663176</v>
      </c>
      <c r="AT232" s="16">
        <f t="shared" si="36"/>
        <v>891.92370175959832</v>
      </c>
      <c r="AU232" s="17">
        <f t="shared" si="40"/>
        <v>-6.4084247656492899E-3</v>
      </c>
    </row>
    <row r="233" spans="1:47" x14ac:dyDescent="0.35">
      <c r="A233" s="2">
        <f>Prices!A441</f>
        <v>44524</v>
      </c>
      <c r="B233">
        <f>B232*('Data Checks'!B443/'Data Checks'!B442)</f>
        <v>328.56097097190781</v>
      </c>
      <c r="C233">
        <f>C232*('Data Checks'!C443/'Data Checks'!C442)</f>
        <v>135.43307430614882</v>
      </c>
      <c r="D233">
        <f>D232*('Data Checks'!D443/'Data Checks'!D442)</f>
        <v>225.91418644037745</v>
      </c>
      <c r="E233">
        <f>E232*('Data Checks'!E443/'Data Checks'!E442)</f>
        <v>124.23836544230439</v>
      </c>
      <c r="F233">
        <f>F232*('Data Checks'!F443/'Data Checks'!F442)</f>
        <v>161.08726410711398</v>
      </c>
      <c r="G233" s="16">
        <f t="shared" si="33"/>
        <v>975.23386126785249</v>
      </c>
      <c r="H233" s="17">
        <f t="shared" si="37"/>
        <v>2.9171767942899551E-2</v>
      </c>
      <c r="J233" t="str">
        <f>IF(AND('Data Checks'!B443&gt;'Data Checks'!B442,'Data Checks'!B442&gt;'Data Checks'!B441,'Data Checks'!B441&gt;'Data Checks'!B440),"SELL",IF(AND('Data Checks'!B443&lt;'Data Checks'!B442,'Data Checks'!B442&lt;'Data Checks'!B441,'Data Checks'!B441&lt;'Data Checks'!B440),"BUY",""))</f>
        <v/>
      </c>
      <c r="K233" t="str">
        <f>IF(AND('Data Checks'!C443&gt;'Data Checks'!C442,'Data Checks'!C442&gt;'Data Checks'!C441,'Data Checks'!C441&gt;'Data Checks'!C440),"SELL",IF(AND('Data Checks'!C443&lt;'Data Checks'!C442,'Data Checks'!C442&lt;'Data Checks'!C441,'Data Checks'!C441&lt;'Data Checks'!C440),"BUY",""))</f>
        <v/>
      </c>
      <c r="L233" t="str">
        <f>IF(AND('Data Checks'!D443&gt;'Data Checks'!D442,'Data Checks'!D442&gt;'Data Checks'!D441,'Data Checks'!D441&gt;'Data Checks'!D440),"SELL",IF(AND('Data Checks'!D443&lt;'Data Checks'!D442,'Data Checks'!D442&lt;'Data Checks'!D441,'Data Checks'!D441&lt;'Data Checks'!D440),"BUY",""))</f>
        <v>SELL</v>
      </c>
      <c r="M233" t="str">
        <f>IF(AND('Data Checks'!E443&gt;'Data Checks'!E442,'Data Checks'!E442&gt;'Data Checks'!E441,'Data Checks'!E441&gt;'Data Checks'!E440),"SELL",IF(AND('Data Checks'!E443&lt;'Data Checks'!E442,'Data Checks'!E442&lt;'Data Checks'!E441,'Data Checks'!E441&lt;'Data Checks'!E440),"BUY",""))</f>
        <v>SELL</v>
      </c>
      <c r="N233" t="str">
        <f>IF(AND('Data Checks'!F443&gt;'Data Checks'!F442,'Data Checks'!F442&gt;'Data Checks'!F441,'Data Checks'!F441&gt;'Data Checks'!F440),"SELL",IF(AND('Data Checks'!F443&lt;'Data Checks'!F442,'Data Checks'!F442&lt;'Data Checks'!F441,'Data Checks'!F441&lt;'Data Checks'!F440),"BUY",""))</f>
        <v>SELL</v>
      </c>
      <c r="O233">
        <f>IF(J232="BUY",O232*('Data Checks'!B443/'Data Checks'!B442),IF(J232="SELL",O232*('Data Checks'!B442/'Data Checks'!B443),O232))</f>
        <v>260.38285966810287</v>
      </c>
      <c r="P233">
        <f>IF(K232="BUY",P232*('Data Checks'!C443/'Data Checks'!C442),IF(K232="SELL",P232*('Data Checks'!C442/'Data Checks'!C443),P232))</f>
        <v>205.27762924794183</v>
      </c>
      <c r="Q233">
        <f>IF(L232="BUY",Q232*('Data Checks'!D443/'Data Checks'!D442),IF(L232="SELL",Q232*('Data Checks'!D442/'Data Checks'!D443),Q232))</f>
        <v>226.17267880117279</v>
      </c>
      <c r="R233">
        <f>IF(M232="BUY",R232*('Data Checks'!E443/'Data Checks'!E442),IF(M232="SELL",R232*('Data Checks'!E442/'Data Checks'!E443),R232))</f>
        <v>203.80292846450405</v>
      </c>
      <c r="S233">
        <f>IF(N232="BUY",S232*('Data Checks'!F443/'Data Checks'!F442),IF(N232="SELL",S232*('Data Checks'!F442/'Data Checks'!F443),S232))</f>
        <v>184.77720263784286</v>
      </c>
      <c r="T233" s="16">
        <f t="shared" si="34"/>
        <v>1080.4132988195645</v>
      </c>
      <c r="U233" s="17">
        <f t="shared" si="38"/>
        <v>-1.7148177983779656E-2</v>
      </c>
      <c r="W233" t="str">
        <f>IF(AND('Data Checks'!B443&gt;'Data Checks'!B442,'Data Checks'!B442&gt;'Data Checks'!B441,'Data Checks'!B441&gt;'Data Checks'!B440),"BUY",IF(AND('Data Checks'!B443&lt;'Data Checks'!B442,'Data Checks'!B442&lt;'Data Checks'!B441,'Data Checks'!B441&lt;'Data Checks'!B440),"SELL",""))</f>
        <v/>
      </c>
      <c r="X233" t="str">
        <f>IF(AND('Data Checks'!C443&gt;'Data Checks'!C442,'Data Checks'!C442&gt;'Data Checks'!C441,'Data Checks'!C441&gt;'Data Checks'!C440),"BUY",IF(AND('Data Checks'!C443&lt;'Data Checks'!C442,'Data Checks'!C442&lt;'Data Checks'!C441,'Data Checks'!C441&lt;'Data Checks'!C440),"SELL",""))</f>
        <v/>
      </c>
      <c r="Y233" t="str">
        <f>IF(AND('Data Checks'!D443&gt;'Data Checks'!D442,'Data Checks'!D442&gt;'Data Checks'!D441,'Data Checks'!D441&gt;'Data Checks'!D440),"BUY",IF(AND('Data Checks'!D443&lt;'Data Checks'!D442,'Data Checks'!D442&lt;'Data Checks'!D441,'Data Checks'!D441&lt;'Data Checks'!D440),"SELL",""))</f>
        <v>BUY</v>
      </c>
      <c r="Z233" t="str">
        <f>IF(AND('Data Checks'!E443&gt;'Data Checks'!E442,'Data Checks'!E442&gt;'Data Checks'!E441,'Data Checks'!E441&gt;'Data Checks'!E440),"BUY",IF(AND('Data Checks'!E443&lt;'Data Checks'!E442,'Data Checks'!E442&lt;'Data Checks'!E441,'Data Checks'!E441&lt;'Data Checks'!E440),"SELL",""))</f>
        <v>BUY</v>
      </c>
      <c r="AA233" t="str">
        <f>IF(AND('Data Checks'!F443&gt;'Data Checks'!F442,'Data Checks'!F442&gt;'Data Checks'!F441,'Data Checks'!F441&gt;'Data Checks'!F440),"BUY",IF(AND('Data Checks'!F443&lt;'Data Checks'!F442,'Data Checks'!F442&lt;'Data Checks'!F441,'Data Checks'!F441&lt;'Data Checks'!F440),"SELL",""))</f>
        <v>BUY</v>
      </c>
      <c r="AB233">
        <f>IF(W232="BUY",AB232*('Data Checks'!B443/'Data Checks'!B442),IF(W232="SELL",AB232*('Data Checks'!B442/'Data Checks'!B443),AB232))</f>
        <v>153.61994276806868</v>
      </c>
      <c r="AC233">
        <f>IF(X232="BUY",AC232*('Data Checks'!C443/'Data Checks'!C442),IF(X232="SELL",AC232*('Data Checks'!C442/'Data Checks'!C443),AC232))</f>
        <v>194.85805709343316</v>
      </c>
      <c r="AD233">
        <f>IF(Y232="BUY",AD232*('Data Checks'!D443/'Data Checks'!D442),IF(Y232="SELL",AD232*('Data Checks'!D442/'Data Checks'!D443),AD232))</f>
        <v>176.85602085990152</v>
      </c>
      <c r="AE233">
        <f>IF(Z232="BUY",AE232*('Data Checks'!E443/'Data Checks'!E442),IF(Z232="SELL",AE232*('Data Checks'!E442/'Data Checks'!E443),AE232))</f>
        <v>196.26803354283837</v>
      </c>
      <c r="AF233">
        <f>IF(AA232="BUY",AF232*('Data Checks'!F443/'Data Checks'!F442),IF(AA232="SELL",AF232*('Data Checks'!F442/'Data Checks'!F443),AF232))</f>
        <v>216.47692155183614</v>
      </c>
      <c r="AG233" s="16">
        <f t="shared" si="35"/>
        <v>938.0789758160779</v>
      </c>
      <c r="AH233" s="17">
        <f t="shared" si="39"/>
        <v>1.7333548696476742E-2</v>
      </c>
      <c r="AJ233" t="str">
        <f>IF('Moving Ave'!G443&gt;'Moving Ave'!L443,"SELL","BUY")</f>
        <v>SELL</v>
      </c>
      <c r="AK233" t="str">
        <f>IF('Moving Ave'!H443&gt;'Moving Ave'!M443,"SELL","BUY")</f>
        <v>BUY</v>
      </c>
      <c r="AL233" t="str">
        <f>IF('Moving Ave'!I443&gt;'Moving Ave'!N443,"SELL","BUY")</f>
        <v>SELL</v>
      </c>
      <c r="AM233" t="str">
        <f>IF('Moving Ave'!J443&gt;'Moving Ave'!O443,"SELL","BUY")</f>
        <v>BUY</v>
      </c>
      <c r="AN233" t="str">
        <f>IF('Moving Ave'!K443&gt;'Moving Ave'!P443,"SELL","BUY")</f>
        <v>SELL</v>
      </c>
      <c r="AO233">
        <f>IF(AJ232="BUY",AO232*('Data Checks'!B443/'Data Checks'!B442),AO232*('Data Checks'!B442/'Data Checks'!B443))</f>
        <v>142.05357914713449</v>
      </c>
      <c r="AP233">
        <f>IF(AK232="BUY",AP232*('Data Checks'!C443/'Data Checks'!C442),AP232*('Data Checks'!C442/'Data Checks'!C443))</f>
        <v>135.43307430614882</v>
      </c>
      <c r="AQ233">
        <f>IF(AL232="BUY",AQ232*('Data Checks'!D443/'Data Checks'!D442),AQ232*('Data Checks'!D442/'Data Checks'!D443))</f>
        <v>267.76134222952544</v>
      </c>
      <c r="AR233">
        <f>IF(AM232="BUY",AR232*('Data Checks'!E443/'Data Checks'!E442),AR232*('Data Checks'!E442/'Data Checks'!E443))</f>
        <v>124.23836544230439</v>
      </c>
      <c r="AS233">
        <f>IF(AN232="BUY",AS232*('Data Checks'!F443/'Data Checks'!F442),AS232*('Data Checks'!F442/'Data Checks'!F443))</f>
        <v>215.18319429321267</v>
      </c>
      <c r="AT233" s="16">
        <f t="shared" si="36"/>
        <v>884.66955541832579</v>
      </c>
      <c r="AU233" s="17">
        <f t="shared" si="40"/>
        <v>-8.1331467332479424E-3</v>
      </c>
    </row>
    <row r="234" spans="1:47" x14ac:dyDescent="0.35">
      <c r="A234" s="2">
        <f>Prices!A442</f>
        <v>44525</v>
      </c>
      <c r="B234">
        <f>B233*('Data Checks'!B444/'Data Checks'!B443)</f>
        <v>335.62205164555508</v>
      </c>
      <c r="C234">
        <f>C233*('Data Checks'!C444/'Data Checks'!C443)</f>
        <v>135.89027523216359</v>
      </c>
      <c r="D234">
        <f>D233*('Data Checks'!D444/'Data Checks'!D443)</f>
        <v>221.33912207946472</v>
      </c>
      <c r="E234">
        <f>E233*('Data Checks'!E444/'Data Checks'!E443)</f>
        <v>121.66052488582099</v>
      </c>
      <c r="F234">
        <f>F233*('Data Checks'!F444/'Data Checks'!F443)</f>
        <v>156.22318106184812</v>
      </c>
      <c r="G234" s="16">
        <f t="shared" si="33"/>
        <v>970.73515490485249</v>
      </c>
      <c r="H234" s="17">
        <f t="shared" si="37"/>
        <v>-4.612951356253614E-3</v>
      </c>
      <c r="J234" t="str">
        <f>IF(AND('Data Checks'!B444&gt;'Data Checks'!B443,'Data Checks'!B443&gt;'Data Checks'!B442,'Data Checks'!B442&gt;'Data Checks'!B441),"SELL",IF(AND('Data Checks'!B444&lt;'Data Checks'!B443,'Data Checks'!B443&lt;'Data Checks'!B442,'Data Checks'!B442&lt;'Data Checks'!B441),"BUY",""))</f>
        <v/>
      </c>
      <c r="K234" t="str">
        <f>IF(AND('Data Checks'!C444&gt;'Data Checks'!C443,'Data Checks'!C443&gt;'Data Checks'!C442,'Data Checks'!C442&gt;'Data Checks'!C441),"SELL",IF(AND('Data Checks'!C444&lt;'Data Checks'!C443,'Data Checks'!C443&lt;'Data Checks'!C442,'Data Checks'!C442&lt;'Data Checks'!C441),"BUY",""))</f>
        <v>SELL</v>
      </c>
      <c r="L234" t="str">
        <f>IF(AND('Data Checks'!D444&gt;'Data Checks'!D443,'Data Checks'!D443&gt;'Data Checks'!D442,'Data Checks'!D442&gt;'Data Checks'!D441),"SELL",IF(AND('Data Checks'!D444&lt;'Data Checks'!D443,'Data Checks'!D443&lt;'Data Checks'!D442,'Data Checks'!D442&lt;'Data Checks'!D441),"BUY",""))</f>
        <v/>
      </c>
      <c r="M234" t="str">
        <f>IF(AND('Data Checks'!E444&gt;'Data Checks'!E443,'Data Checks'!E443&gt;'Data Checks'!E442,'Data Checks'!E442&gt;'Data Checks'!E441),"SELL",IF(AND('Data Checks'!E444&lt;'Data Checks'!E443,'Data Checks'!E443&lt;'Data Checks'!E442,'Data Checks'!E442&lt;'Data Checks'!E441),"BUY",""))</f>
        <v/>
      </c>
      <c r="N234" t="str">
        <f>IF(AND('Data Checks'!F444&gt;'Data Checks'!F443,'Data Checks'!F443&gt;'Data Checks'!F442,'Data Checks'!F442&gt;'Data Checks'!F441),"SELL",IF(AND('Data Checks'!F444&lt;'Data Checks'!F443,'Data Checks'!F443&lt;'Data Checks'!F442,'Data Checks'!F442&lt;'Data Checks'!F441),"BUY",""))</f>
        <v/>
      </c>
      <c r="O234">
        <f>IF(J233="BUY",O233*('Data Checks'!B444/'Data Checks'!B443),IF(J233="SELL",O233*('Data Checks'!B443/'Data Checks'!B444),O233))</f>
        <v>260.38285966810287</v>
      </c>
      <c r="P234">
        <f>IF(K233="BUY",P233*('Data Checks'!C444/'Data Checks'!C443),IF(K233="SELL",P233*('Data Checks'!C443/'Data Checks'!C444),P233))</f>
        <v>205.27762924794183</v>
      </c>
      <c r="Q234">
        <f>IF(L233="BUY",Q233*('Data Checks'!D444/'Data Checks'!D443),IF(L233="SELL",Q233*('Data Checks'!D443/'Data Checks'!D444),Q233))</f>
        <v>230.84765244556954</v>
      </c>
      <c r="R234">
        <f>IF(M233="BUY",R233*('Data Checks'!E444/'Data Checks'!E443),IF(M233="SELL",R233*('Data Checks'!E443/'Data Checks'!E444),R233))</f>
        <v>208.12126800001852</v>
      </c>
      <c r="S234">
        <f>IF(N233="BUY",S233*('Data Checks'!F444/'Data Checks'!F443),IF(N233="SELL",S233*('Data Checks'!F443/'Data Checks'!F444),S233))</f>
        <v>190.53032872574758</v>
      </c>
      <c r="T234" s="16">
        <f t="shared" si="34"/>
        <v>1095.1597380873802</v>
      </c>
      <c r="U234" s="17">
        <f t="shared" si="38"/>
        <v>1.3648887221147099E-2</v>
      </c>
      <c r="W234" t="str">
        <f>IF(AND('Data Checks'!B444&gt;'Data Checks'!B443,'Data Checks'!B443&gt;'Data Checks'!B442,'Data Checks'!B442&gt;'Data Checks'!B441),"BUY",IF(AND('Data Checks'!B444&lt;'Data Checks'!B443,'Data Checks'!B443&lt;'Data Checks'!B442,'Data Checks'!B442&lt;'Data Checks'!B441),"SELL",""))</f>
        <v/>
      </c>
      <c r="X234" t="str">
        <f>IF(AND('Data Checks'!C444&gt;'Data Checks'!C443,'Data Checks'!C443&gt;'Data Checks'!C442,'Data Checks'!C442&gt;'Data Checks'!C441),"BUY",IF(AND('Data Checks'!C444&lt;'Data Checks'!C443,'Data Checks'!C443&lt;'Data Checks'!C442,'Data Checks'!C442&lt;'Data Checks'!C441),"SELL",""))</f>
        <v>BUY</v>
      </c>
      <c r="Y234" t="str">
        <f>IF(AND('Data Checks'!D444&gt;'Data Checks'!D443,'Data Checks'!D443&gt;'Data Checks'!D442,'Data Checks'!D442&gt;'Data Checks'!D441),"BUY",IF(AND('Data Checks'!D444&lt;'Data Checks'!D443,'Data Checks'!D443&lt;'Data Checks'!D442,'Data Checks'!D442&lt;'Data Checks'!D441),"SELL",""))</f>
        <v/>
      </c>
      <c r="Z234" t="str">
        <f>IF(AND('Data Checks'!E444&gt;'Data Checks'!E443,'Data Checks'!E443&gt;'Data Checks'!E442,'Data Checks'!E442&gt;'Data Checks'!E441),"BUY",IF(AND('Data Checks'!E444&lt;'Data Checks'!E443,'Data Checks'!E443&lt;'Data Checks'!E442,'Data Checks'!E442&lt;'Data Checks'!E441),"SELL",""))</f>
        <v/>
      </c>
      <c r="AA234" t="str">
        <f>IF(AND('Data Checks'!F444&gt;'Data Checks'!F443,'Data Checks'!F443&gt;'Data Checks'!F442,'Data Checks'!F442&gt;'Data Checks'!F441),"BUY",IF(AND('Data Checks'!F444&lt;'Data Checks'!F443,'Data Checks'!F443&lt;'Data Checks'!F442,'Data Checks'!F442&lt;'Data Checks'!F441),"SELL",""))</f>
        <v/>
      </c>
      <c r="AB234">
        <f>IF(W233="BUY",AB233*('Data Checks'!B444/'Data Checks'!B443),IF(W233="SELL",AB233*('Data Checks'!B443/'Data Checks'!B444),AB233))</f>
        <v>153.61994276806868</v>
      </c>
      <c r="AC234">
        <f>IF(X233="BUY",AC233*('Data Checks'!C444/'Data Checks'!C443),IF(X233="SELL",AC233*('Data Checks'!C443/'Data Checks'!C444),AC233))</f>
        <v>194.85805709343316</v>
      </c>
      <c r="AD234">
        <f>IF(Y233="BUY",AD233*('Data Checks'!D444/'Data Checks'!D443),IF(Y233="SELL",AD233*('Data Checks'!D443/'Data Checks'!D444),AD233))</f>
        <v>173.27444995106214</v>
      </c>
      <c r="AE234">
        <f>IF(Z233="BUY",AE233*('Data Checks'!E444/'Data Checks'!E443),IF(Z233="SELL",AE233*('Data Checks'!E443/'Data Checks'!E444),AE233))</f>
        <v>192.1956385543279</v>
      </c>
      <c r="AF234">
        <f>IF(AA233="BUY",AF233*('Data Checks'!F444/'Data Checks'!F443),IF(AA233="SELL",AF233*('Data Checks'!F443/'Data Checks'!F444),AF233))</f>
        <v>209.9403295397484</v>
      </c>
      <c r="AG234" s="16">
        <f t="shared" si="35"/>
        <v>923.88841790664026</v>
      </c>
      <c r="AH234" s="17">
        <f t="shared" si="39"/>
        <v>-1.5127252902233157E-2</v>
      </c>
      <c r="AJ234" t="str">
        <f>IF('Moving Ave'!G444&gt;'Moving Ave'!L444,"SELL","BUY")</f>
        <v>SELL</v>
      </c>
      <c r="AK234" t="str">
        <f>IF('Moving Ave'!H444&gt;'Moving Ave'!M444,"SELL","BUY")</f>
        <v>BUY</v>
      </c>
      <c r="AL234" t="str">
        <f>IF('Moving Ave'!I444&gt;'Moving Ave'!N444,"SELL","BUY")</f>
        <v>SELL</v>
      </c>
      <c r="AM234" t="str">
        <f>IF('Moving Ave'!J444&gt;'Moving Ave'!O444,"SELL","BUY")</f>
        <v>BUY</v>
      </c>
      <c r="AN234" t="str">
        <f>IF('Moving Ave'!K444&gt;'Moving Ave'!P444,"SELL","BUY")</f>
        <v>SELL</v>
      </c>
      <c r="AO234">
        <f>IF(AJ233="BUY",AO233*('Data Checks'!B444/'Data Checks'!B443),AO233*('Data Checks'!B443/'Data Checks'!B444))</f>
        <v>139.06494423050643</v>
      </c>
      <c r="AP234">
        <f>IF(AK233="BUY",AP233*('Data Checks'!C444/'Data Checks'!C443),AP233*('Data Checks'!C443/'Data Checks'!C444))</f>
        <v>135.89027523216359</v>
      </c>
      <c r="AQ234">
        <f>IF(AL233="BUY",AQ233*('Data Checks'!D444/'Data Checks'!D443),AQ233*('Data Checks'!D443/'Data Checks'!D444))</f>
        <v>273.2959506735973</v>
      </c>
      <c r="AR234">
        <f>IF(AM233="BUY",AR233*('Data Checks'!E444/'Data Checks'!E443),AR233*('Data Checks'!E443/'Data Checks'!E444))</f>
        <v>121.66052488582099</v>
      </c>
      <c r="AS234">
        <f>IF(AN233="BUY",AS233*('Data Checks'!F444/'Data Checks'!F443),AS233*('Data Checks'!F443/'Data Checks'!F444))</f>
        <v>221.88302539301205</v>
      </c>
      <c r="AT234" s="16">
        <f t="shared" si="36"/>
        <v>891.79472041510041</v>
      </c>
      <c r="AU234" s="17">
        <f t="shared" si="40"/>
        <v>8.0540411424074865E-3</v>
      </c>
    </row>
    <row r="235" spans="1:47" x14ac:dyDescent="0.35">
      <c r="A235" s="2">
        <f>Prices!A443</f>
        <v>44527</v>
      </c>
      <c r="B235">
        <f>B234*('Data Checks'!B445/'Data Checks'!B444)</f>
        <v>336.70423982642774</v>
      </c>
      <c r="C235">
        <f>C234*('Data Checks'!C445/'Data Checks'!C444)</f>
        <v>136.6014715926207</v>
      </c>
      <c r="D235">
        <f>D234*('Data Checks'!D445/'Data Checks'!D444)</f>
        <v>220.57106062065586</v>
      </c>
      <c r="E235">
        <f>E234*('Data Checks'!E445/'Data Checks'!E444)</f>
        <v>121.42617604867165</v>
      </c>
      <c r="F235">
        <f>F234*('Data Checks'!F445/'Data Checks'!F444)</f>
        <v>155.84167509549371</v>
      </c>
      <c r="G235" s="16">
        <f t="shared" si="33"/>
        <v>971.14462318386973</v>
      </c>
      <c r="H235" s="17">
        <f t="shared" si="37"/>
        <v>4.2181255819184749E-4</v>
      </c>
      <c r="J235" t="str">
        <f>IF(AND('Data Checks'!B445&gt;'Data Checks'!B444,'Data Checks'!B444&gt;'Data Checks'!B443,'Data Checks'!B443&gt;'Data Checks'!B442),"SELL",IF(AND('Data Checks'!B445&lt;'Data Checks'!B444,'Data Checks'!B444&lt;'Data Checks'!B443,'Data Checks'!B443&lt;'Data Checks'!B442),"BUY",""))</f>
        <v>SELL</v>
      </c>
      <c r="K235" t="str">
        <f>IF(AND('Data Checks'!C445&gt;'Data Checks'!C444,'Data Checks'!C444&gt;'Data Checks'!C443,'Data Checks'!C443&gt;'Data Checks'!C442),"SELL",IF(AND('Data Checks'!C445&lt;'Data Checks'!C444,'Data Checks'!C444&lt;'Data Checks'!C443,'Data Checks'!C443&lt;'Data Checks'!C442),"BUY",""))</f>
        <v>SELL</v>
      </c>
      <c r="L235" t="str">
        <f>IF(AND('Data Checks'!D445&gt;'Data Checks'!D444,'Data Checks'!D444&gt;'Data Checks'!D443,'Data Checks'!D443&gt;'Data Checks'!D442),"SELL",IF(AND('Data Checks'!D445&lt;'Data Checks'!D444,'Data Checks'!D444&lt;'Data Checks'!D443,'Data Checks'!D443&lt;'Data Checks'!D442),"BUY",""))</f>
        <v/>
      </c>
      <c r="M235" t="str">
        <f>IF(AND('Data Checks'!E445&gt;'Data Checks'!E444,'Data Checks'!E444&gt;'Data Checks'!E443,'Data Checks'!E443&gt;'Data Checks'!E442),"SELL",IF(AND('Data Checks'!E445&lt;'Data Checks'!E444,'Data Checks'!E444&lt;'Data Checks'!E443,'Data Checks'!E443&lt;'Data Checks'!E442),"BUY",""))</f>
        <v/>
      </c>
      <c r="N235" t="str">
        <f>IF(AND('Data Checks'!F445&gt;'Data Checks'!F444,'Data Checks'!F444&gt;'Data Checks'!F443,'Data Checks'!F443&gt;'Data Checks'!F442),"SELL",IF(AND('Data Checks'!F445&lt;'Data Checks'!F444,'Data Checks'!F444&lt;'Data Checks'!F443,'Data Checks'!F443&lt;'Data Checks'!F442),"BUY",""))</f>
        <v/>
      </c>
      <c r="O235">
        <f>IF(J234="BUY",O234*('Data Checks'!B445/'Data Checks'!B444),IF(J234="SELL",O234*('Data Checks'!B444/'Data Checks'!B445),O234))</f>
        <v>260.38285966810287</v>
      </c>
      <c r="P235">
        <f>IF(K234="BUY",P234*('Data Checks'!C445/'Data Checks'!C444),IF(K234="SELL",P234*('Data Checks'!C444/'Data Checks'!C445),P234))</f>
        <v>204.2088801261184</v>
      </c>
      <c r="Q235">
        <f>IF(L234="BUY",Q234*('Data Checks'!D445/'Data Checks'!D444),IF(L234="SELL",Q234*('Data Checks'!D444/'Data Checks'!D445),Q234))</f>
        <v>230.84765244556954</v>
      </c>
      <c r="R235">
        <f>IF(M234="BUY",R234*('Data Checks'!E445/'Data Checks'!E444),IF(M234="SELL",R234*('Data Checks'!E444/'Data Checks'!E445),R234))</f>
        <v>208.12126800001852</v>
      </c>
      <c r="S235">
        <f>IF(N234="BUY",S234*('Data Checks'!F445/'Data Checks'!F444),IF(N234="SELL",S234*('Data Checks'!F444/'Data Checks'!F445),S234))</f>
        <v>190.53032872574758</v>
      </c>
      <c r="T235" s="16">
        <f t="shared" si="34"/>
        <v>1094.0909889655568</v>
      </c>
      <c r="U235" s="17">
        <f t="shared" si="38"/>
        <v>-9.7588423373740074E-4</v>
      </c>
      <c r="W235" t="str">
        <f>IF(AND('Data Checks'!B445&gt;'Data Checks'!B444,'Data Checks'!B444&gt;'Data Checks'!B443,'Data Checks'!B443&gt;'Data Checks'!B442),"BUY",IF(AND('Data Checks'!B445&lt;'Data Checks'!B444,'Data Checks'!B444&lt;'Data Checks'!B443,'Data Checks'!B443&lt;'Data Checks'!B442),"SELL",""))</f>
        <v>BUY</v>
      </c>
      <c r="X235" t="str">
        <f>IF(AND('Data Checks'!C445&gt;'Data Checks'!C444,'Data Checks'!C444&gt;'Data Checks'!C443,'Data Checks'!C443&gt;'Data Checks'!C442),"BUY",IF(AND('Data Checks'!C445&lt;'Data Checks'!C444,'Data Checks'!C444&lt;'Data Checks'!C443,'Data Checks'!C443&lt;'Data Checks'!C442),"SELL",""))</f>
        <v>BUY</v>
      </c>
      <c r="Y235" t="str">
        <f>IF(AND('Data Checks'!D445&gt;'Data Checks'!D444,'Data Checks'!D444&gt;'Data Checks'!D443,'Data Checks'!D443&gt;'Data Checks'!D442),"BUY",IF(AND('Data Checks'!D445&lt;'Data Checks'!D444,'Data Checks'!D444&lt;'Data Checks'!D443,'Data Checks'!D443&lt;'Data Checks'!D442),"SELL",""))</f>
        <v/>
      </c>
      <c r="Z235" t="str">
        <f>IF(AND('Data Checks'!E445&gt;'Data Checks'!E444,'Data Checks'!E444&gt;'Data Checks'!E443,'Data Checks'!E443&gt;'Data Checks'!E442),"BUY",IF(AND('Data Checks'!E445&lt;'Data Checks'!E444,'Data Checks'!E444&lt;'Data Checks'!E443,'Data Checks'!E443&lt;'Data Checks'!E442),"SELL",""))</f>
        <v/>
      </c>
      <c r="AA235" t="str">
        <f>IF(AND('Data Checks'!F445&gt;'Data Checks'!F444,'Data Checks'!F444&gt;'Data Checks'!F443,'Data Checks'!F443&gt;'Data Checks'!F442),"BUY",IF(AND('Data Checks'!F445&lt;'Data Checks'!F444,'Data Checks'!F444&lt;'Data Checks'!F443,'Data Checks'!F443&lt;'Data Checks'!F442),"SELL",""))</f>
        <v/>
      </c>
      <c r="AB235">
        <f>IF(W234="BUY",AB234*('Data Checks'!B445/'Data Checks'!B444),IF(W234="SELL",AB234*('Data Checks'!B444/'Data Checks'!B445),AB234))</f>
        <v>153.61994276806868</v>
      </c>
      <c r="AC235">
        <f>IF(X234="BUY",AC234*('Data Checks'!C445/'Data Checks'!C444),IF(X234="SELL",AC234*('Data Checks'!C444/'Data Checks'!C445),AC234))</f>
        <v>195.87786767792002</v>
      </c>
      <c r="AD235">
        <f>IF(Y234="BUY",AD234*('Data Checks'!D445/'Data Checks'!D444),IF(Y234="SELL",AD234*('Data Checks'!D444/'Data Checks'!D445),AD234))</f>
        <v>173.27444995106214</v>
      </c>
      <c r="AE235">
        <f>IF(Z234="BUY",AE234*('Data Checks'!E445/'Data Checks'!E444),IF(Z234="SELL",AE234*('Data Checks'!E444/'Data Checks'!E445),AE234))</f>
        <v>192.1956385543279</v>
      </c>
      <c r="AF235">
        <f>IF(AA234="BUY",AF234*('Data Checks'!F445/'Data Checks'!F444),IF(AA234="SELL",AF234*('Data Checks'!F444/'Data Checks'!F445),AF234))</f>
        <v>209.9403295397484</v>
      </c>
      <c r="AG235" s="16">
        <f t="shared" si="35"/>
        <v>924.90822849112703</v>
      </c>
      <c r="AH235" s="17">
        <f t="shared" si="39"/>
        <v>1.1038244064121017E-3</v>
      </c>
      <c r="AJ235" t="str">
        <f>IF('Moving Ave'!G445&gt;'Moving Ave'!L445,"SELL","BUY")</f>
        <v>SELL</v>
      </c>
      <c r="AK235" t="str">
        <f>IF('Moving Ave'!H445&gt;'Moving Ave'!M445,"SELL","BUY")</f>
        <v>BUY</v>
      </c>
      <c r="AL235" t="str">
        <f>IF('Moving Ave'!I445&gt;'Moving Ave'!N445,"SELL","BUY")</f>
        <v>SELL</v>
      </c>
      <c r="AM235" t="str">
        <f>IF('Moving Ave'!J445&gt;'Moving Ave'!O445,"SELL","BUY")</f>
        <v>BUY</v>
      </c>
      <c r="AN235" t="str">
        <f>IF('Moving Ave'!K445&gt;'Moving Ave'!P445,"SELL","BUY")</f>
        <v>SELL</v>
      </c>
      <c r="AO235">
        <f>IF(AJ234="BUY",AO234*('Data Checks'!B445/'Data Checks'!B444),AO234*('Data Checks'!B444/'Data Checks'!B445))</f>
        <v>138.61798092794288</v>
      </c>
      <c r="AP235">
        <f>IF(AK234="BUY",AP234*('Data Checks'!C445/'Data Checks'!C444),AP234*('Data Checks'!C444/'Data Checks'!C445))</f>
        <v>136.6014715926207</v>
      </c>
      <c r="AQ235">
        <f>IF(AL234="BUY",AQ234*('Data Checks'!D445/'Data Checks'!D444),AQ234*('Data Checks'!D444/'Data Checks'!D445))</f>
        <v>274.2476080939781</v>
      </c>
      <c r="AR235">
        <f>IF(AM234="BUY",AR234*('Data Checks'!E445/'Data Checks'!E444),AR234*('Data Checks'!E444/'Data Checks'!E445))</f>
        <v>121.42617604867165</v>
      </c>
      <c r="AS235">
        <f>IF(AN234="BUY",AS234*('Data Checks'!F445/'Data Checks'!F444),AS234*('Data Checks'!F444/'Data Checks'!F445))</f>
        <v>222.42620293501636</v>
      </c>
      <c r="AT235" s="16">
        <f t="shared" si="36"/>
        <v>893.31943959822968</v>
      </c>
      <c r="AU235" s="17">
        <f t="shared" si="40"/>
        <v>1.7097199032749533E-3</v>
      </c>
    </row>
    <row r="236" spans="1:47" x14ac:dyDescent="0.35">
      <c r="A236" s="2">
        <f>Prices!A444</f>
        <v>44530</v>
      </c>
      <c r="B236">
        <f>B235*('Data Checks'!B446/'Data Checks'!B445)</f>
        <v>333.82753750597999</v>
      </c>
      <c r="C236">
        <f>C235*('Data Checks'!C446/'Data Checks'!C445)</f>
        <v>131.52146130356786</v>
      </c>
      <c r="D236">
        <f>D235*('Data Checks'!D446/'Data Checks'!D445)</f>
        <v>216.96444175929969</v>
      </c>
      <c r="E236">
        <f>E235*('Data Checks'!E446/'Data Checks'!E445)</f>
        <v>113.29092355905841</v>
      </c>
      <c r="F236">
        <f>F235*('Data Checks'!F446/'Data Checks'!F445)</f>
        <v>154.55413001269622</v>
      </c>
      <c r="G236" s="16">
        <f t="shared" si="33"/>
        <v>950.15849414060222</v>
      </c>
      <c r="H236" s="17">
        <f t="shared" si="37"/>
        <v>-2.1609684636326398E-2</v>
      </c>
      <c r="J236" t="str">
        <f>IF(AND('Data Checks'!B446&gt;'Data Checks'!B445,'Data Checks'!B445&gt;'Data Checks'!B444,'Data Checks'!B444&gt;'Data Checks'!B443),"SELL",IF(AND('Data Checks'!B446&lt;'Data Checks'!B445,'Data Checks'!B445&lt;'Data Checks'!B444,'Data Checks'!B444&lt;'Data Checks'!B443),"BUY",""))</f>
        <v/>
      </c>
      <c r="K236" t="str">
        <f>IF(AND('Data Checks'!C446&gt;'Data Checks'!C445,'Data Checks'!C445&gt;'Data Checks'!C444,'Data Checks'!C444&gt;'Data Checks'!C443),"SELL",IF(AND('Data Checks'!C446&lt;'Data Checks'!C445,'Data Checks'!C445&lt;'Data Checks'!C444,'Data Checks'!C444&lt;'Data Checks'!C443),"BUY",""))</f>
        <v/>
      </c>
      <c r="L236" t="str">
        <f>IF(AND('Data Checks'!D446&gt;'Data Checks'!D445,'Data Checks'!D445&gt;'Data Checks'!D444,'Data Checks'!D444&gt;'Data Checks'!D443),"SELL",IF(AND('Data Checks'!D446&lt;'Data Checks'!D445,'Data Checks'!D445&lt;'Data Checks'!D444,'Data Checks'!D444&lt;'Data Checks'!D443),"BUY",""))</f>
        <v>BUY</v>
      </c>
      <c r="M236" t="str">
        <f>IF(AND('Data Checks'!E446&gt;'Data Checks'!E445,'Data Checks'!E445&gt;'Data Checks'!E444,'Data Checks'!E444&gt;'Data Checks'!E443),"SELL",IF(AND('Data Checks'!E446&lt;'Data Checks'!E445,'Data Checks'!E445&lt;'Data Checks'!E444,'Data Checks'!E444&lt;'Data Checks'!E443),"BUY",""))</f>
        <v>BUY</v>
      </c>
      <c r="N236" t="str">
        <f>IF(AND('Data Checks'!F446&gt;'Data Checks'!F445,'Data Checks'!F445&gt;'Data Checks'!F444,'Data Checks'!F444&gt;'Data Checks'!F443),"SELL",IF(AND('Data Checks'!F446&lt;'Data Checks'!F445,'Data Checks'!F445&lt;'Data Checks'!F444,'Data Checks'!F444&lt;'Data Checks'!F443),"BUY",""))</f>
        <v>BUY</v>
      </c>
      <c r="O236">
        <f>IF(J235="BUY",O235*('Data Checks'!B446/'Data Checks'!B445),IF(J235="SELL",O235*('Data Checks'!B445/'Data Checks'!B446),O235))</f>
        <v>262.6266649042081</v>
      </c>
      <c r="P236">
        <f>IF(K235="BUY",P235*('Data Checks'!C446/'Data Checks'!C445),IF(K235="SELL",P235*('Data Checks'!C445/'Data Checks'!C446),P235))</f>
        <v>212.0964385661986</v>
      </c>
      <c r="Q236">
        <f>IF(L235="BUY",Q235*('Data Checks'!D446/'Data Checks'!D445),IF(L235="SELL",Q235*('Data Checks'!D445/'Data Checks'!D446),Q235))</f>
        <v>230.84765244556954</v>
      </c>
      <c r="R236">
        <f>IF(M235="BUY",R235*('Data Checks'!E446/'Data Checks'!E445),IF(M235="SELL",R235*('Data Checks'!E445/'Data Checks'!E446),R235))</f>
        <v>208.12126800001852</v>
      </c>
      <c r="S236">
        <f>IF(N235="BUY",S235*('Data Checks'!F446/'Data Checks'!F445),IF(N235="SELL",S235*('Data Checks'!F445/'Data Checks'!F446),S235))</f>
        <v>190.53032872574758</v>
      </c>
      <c r="T236" s="16">
        <f t="shared" si="34"/>
        <v>1104.2223526417424</v>
      </c>
      <c r="U236" s="17">
        <f t="shared" si="38"/>
        <v>9.2600741422472765E-3</v>
      </c>
      <c r="W236" t="str">
        <f>IF(AND('Data Checks'!B446&gt;'Data Checks'!B445,'Data Checks'!B445&gt;'Data Checks'!B444,'Data Checks'!B444&gt;'Data Checks'!B443),"BUY",IF(AND('Data Checks'!B446&lt;'Data Checks'!B445,'Data Checks'!B445&lt;'Data Checks'!B444,'Data Checks'!B444&lt;'Data Checks'!B443),"SELL",""))</f>
        <v/>
      </c>
      <c r="X236" t="str">
        <f>IF(AND('Data Checks'!C446&gt;'Data Checks'!C445,'Data Checks'!C445&gt;'Data Checks'!C444,'Data Checks'!C444&gt;'Data Checks'!C443),"BUY",IF(AND('Data Checks'!C446&lt;'Data Checks'!C445,'Data Checks'!C445&lt;'Data Checks'!C444,'Data Checks'!C444&lt;'Data Checks'!C443),"SELL",""))</f>
        <v/>
      </c>
      <c r="Y236" t="str">
        <f>IF(AND('Data Checks'!D446&gt;'Data Checks'!D445,'Data Checks'!D445&gt;'Data Checks'!D444,'Data Checks'!D444&gt;'Data Checks'!D443),"BUY",IF(AND('Data Checks'!D446&lt;'Data Checks'!D445,'Data Checks'!D445&lt;'Data Checks'!D444,'Data Checks'!D444&lt;'Data Checks'!D443),"SELL",""))</f>
        <v>SELL</v>
      </c>
      <c r="Z236" t="str">
        <f>IF(AND('Data Checks'!E446&gt;'Data Checks'!E445,'Data Checks'!E445&gt;'Data Checks'!E444,'Data Checks'!E444&gt;'Data Checks'!E443),"BUY",IF(AND('Data Checks'!E446&lt;'Data Checks'!E445,'Data Checks'!E445&lt;'Data Checks'!E444,'Data Checks'!E444&lt;'Data Checks'!E443),"SELL",""))</f>
        <v>SELL</v>
      </c>
      <c r="AA236" t="str">
        <f>IF(AND('Data Checks'!F446&gt;'Data Checks'!F445,'Data Checks'!F445&gt;'Data Checks'!F444,'Data Checks'!F444&gt;'Data Checks'!F443),"BUY",IF(AND('Data Checks'!F446&lt;'Data Checks'!F445,'Data Checks'!F445&lt;'Data Checks'!F444,'Data Checks'!F444&lt;'Data Checks'!F443),"SELL",""))</f>
        <v>SELL</v>
      </c>
      <c r="AB236">
        <f>IF(W235="BUY",AB235*('Data Checks'!B446/'Data Checks'!B445),IF(W235="SELL",AB235*('Data Checks'!B445/'Data Checks'!B446),AB235))</f>
        <v>152.30745901064478</v>
      </c>
      <c r="AC236">
        <f>IF(X235="BUY",AC235*('Data Checks'!C446/'Data Checks'!C445),IF(X235="SELL",AC235*('Data Checks'!C445/'Data Checks'!C446),AC235))</f>
        <v>188.59345432863282</v>
      </c>
      <c r="AD236">
        <f>IF(Y235="BUY",AD235*('Data Checks'!D446/'Data Checks'!D445),IF(Y235="SELL",AD235*('Data Checks'!D445/'Data Checks'!D446),AD235))</f>
        <v>173.27444995106214</v>
      </c>
      <c r="AE236">
        <f>IF(Z235="BUY",AE235*('Data Checks'!E446/'Data Checks'!E445),IF(Z235="SELL",AE235*('Data Checks'!E445/'Data Checks'!E446),AE235))</f>
        <v>192.1956385543279</v>
      </c>
      <c r="AF236">
        <f>IF(AA235="BUY",AF235*('Data Checks'!F446/'Data Checks'!F445),IF(AA235="SELL",AF235*('Data Checks'!F445/'Data Checks'!F446),AF235))</f>
        <v>209.9403295397484</v>
      </c>
      <c r="AG236" s="16">
        <f t="shared" si="35"/>
        <v>916.31133138441612</v>
      </c>
      <c r="AH236" s="17">
        <f t="shared" si="39"/>
        <v>-9.2948649843191955E-3</v>
      </c>
      <c r="AJ236" t="str">
        <f>IF('Moving Ave'!G446&gt;'Moving Ave'!L446,"SELL","BUY")</f>
        <v>SELL</v>
      </c>
      <c r="AK236" t="str">
        <f>IF('Moving Ave'!H446&gt;'Moving Ave'!M446,"SELL","BUY")</f>
        <v>BUY</v>
      </c>
      <c r="AL236" t="str">
        <f>IF('Moving Ave'!I446&gt;'Moving Ave'!N446,"SELL","BUY")</f>
        <v>SELL</v>
      </c>
      <c r="AM236" t="str">
        <f>IF('Moving Ave'!J446&gt;'Moving Ave'!O446,"SELL","BUY")</f>
        <v>BUY</v>
      </c>
      <c r="AN236" t="str">
        <f>IF('Moving Ave'!K446&gt;'Moving Ave'!P446,"SELL","BUY")</f>
        <v>SELL</v>
      </c>
      <c r="AO236">
        <f>IF(AJ235="BUY",AO235*('Data Checks'!B446/'Data Checks'!B445),AO235*('Data Checks'!B445/'Data Checks'!B446))</f>
        <v>139.81249792426482</v>
      </c>
      <c r="AP236">
        <f>IF(AK235="BUY",AP235*('Data Checks'!C446/'Data Checks'!C445),AP235*('Data Checks'!C445/'Data Checks'!C446))</f>
        <v>131.52146130356786</v>
      </c>
      <c r="AQ236">
        <f>IF(AL235="BUY",AQ235*('Data Checks'!D446/'Data Checks'!D445),AQ235*('Data Checks'!D445/'Data Checks'!D446))</f>
        <v>278.80645003145497</v>
      </c>
      <c r="AR236">
        <f>IF(AM235="BUY",AR235*('Data Checks'!E446/'Data Checks'!E445),AR235*('Data Checks'!E445/'Data Checks'!E446))</f>
        <v>113.29092355905841</v>
      </c>
      <c r="AS236">
        <f>IF(AN235="BUY",AS235*('Data Checks'!F446/'Data Checks'!F445),AS235*('Data Checks'!F445/'Data Checks'!F446))</f>
        <v>224.27917033129862</v>
      </c>
      <c r="AT236" s="16">
        <f t="shared" si="36"/>
        <v>887.71050314964475</v>
      </c>
      <c r="AU236" s="17">
        <f t="shared" si="40"/>
        <v>-6.2787578552052636E-3</v>
      </c>
    </row>
    <row r="237" spans="1:47" x14ac:dyDescent="0.35">
      <c r="A237" s="2">
        <f>Prices!A445</f>
        <v>44531</v>
      </c>
      <c r="B237">
        <f>B236*('Data Checks'!B447/'Data Checks'!B446)</f>
        <v>339.31117971290388</v>
      </c>
      <c r="C237">
        <f>C236*('Data Checks'!C447/'Data Checks'!C446)</f>
        <v>138.63348586826243</v>
      </c>
      <c r="D237">
        <f>D236*('Data Checks'!D447/'Data Checks'!D446)</f>
        <v>225.44666263894942</v>
      </c>
      <c r="E237">
        <f>E236*('Data Checks'!E447/'Data Checks'!E446)</f>
        <v>117.37529235435909</v>
      </c>
      <c r="F237">
        <f>F236*('Data Checks'!F447/'Data Checks'!F446)</f>
        <v>153.17120486177217</v>
      </c>
      <c r="G237" s="16">
        <f t="shared" si="33"/>
        <v>973.93782543624695</v>
      </c>
      <c r="H237" s="17">
        <f t="shared" si="37"/>
        <v>2.5026699695141597E-2</v>
      </c>
      <c r="J237" t="str">
        <f>IF(AND('Data Checks'!B447&gt;'Data Checks'!B446,'Data Checks'!B446&gt;'Data Checks'!B445,'Data Checks'!B445&gt;'Data Checks'!B444),"SELL",IF(AND('Data Checks'!B447&lt;'Data Checks'!B446,'Data Checks'!B446&lt;'Data Checks'!B445,'Data Checks'!B445&lt;'Data Checks'!B444),"BUY",""))</f>
        <v/>
      </c>
      <c r="K237" t="str">
        <f>IF(AND('Data Checks'!C447&gt;'Data Checks'!C446,'Data Checks'!C446&gt;'Data Checks'!C445,'Data Checks'!C445&gt;'Data Checks'!C444),"SELL",IF(AND('Data Checks'!C447&lt;'Data Checks'!C446,'Data Checks'!C446&lt;'Data Checks'!C445,'Data Checks'!C445&lt;'Data Checks'!C444),"BUY",""))</f>
        <v/>
      </c>
      <c r="L237" t="str">
        <f>IF(AND('Data Checks'!D447&gt;'Data Checks'!D446,'Data Checks'!D446&gt;'Data Checks'!D445,'Data Checks'!D445&gt;'Data Checks'!D444),"SELL",IF(AND('Data Checks'!D447&lt;'Data Checks'!D446,'Data Checks'!D446&lt;'Data Checks'!D445,'Data Checks'!D445&lt;'Data Checks'!D444),"BUY",""))</f>
        <v/>
      </c>
      <c r="M237" t="str">
        <f>IF(AND('Data Checks'!E447&gt;'Data Checks'!E446,'Data Checks'!E446&gt;'Data Checks'!E445,'Data Checks'!E445&gt;'Data Checks'!E444),"SELL",IF(AND('Data Checks'!E447&lt;'Data Checks'!E446,'Data Checks'!E446&lt;'Data Checks'!E445,'Data Checks'!E445&lt;'Data Checks'!E444),"BUY",""))</f>
        <v/>
      </c>
      <c r="N237" t="str">
        <f>IF(AND('Data Checks'!F447&gt;'Data Checks'!F446,'Data Checks'!F446&gt;'Data Checks'!F445,'Data Checks'!F445&gt;'Data Checks'!F444),"SELL",IF(AND('Data Checks'!F447&lt;'Data Checks'!F446,'Data Checks'!F446&lt;'Data Checks'!F445,'Data Checks'!F445&lt;'Data Checks'!F444),"BUY",""))</f>
        <v>BUY</v>
      </c>
      <c r="O237">
        <f>IF(J236="BUY",O236*('Data Checks'!B447/'Data Checks'!B446),IF(J236="SELL",O236*('Data Checks'!B446/'Data Checks'!B447),O236))</f>
        <v>262.6266649042081</v>
      </c>
      <c r="P237">
        <f>IF(K236="BUY",P236*('Data Checks'!C447/'Data Checks'!C446),IF(K236="SELL",P236*('Data Checks'!C446/'Data Checks'!C447),P236))</f>
        <v>212.0964385661986</v>
      </c>
      <c r="Q237">
        <f>IF(L236="BUY",Q236*('Data Checks'!D447/'Data Checks'!D446),IF(L236="SELL",Q236*('Data Checks'!D446/'Data Checks'!D447),Q236))</f>
        <v>239.87263719290547</v>
      </c>
      <c r="R237">
        <f>IF(M236="BUY",R236*('Data Checks'!E447/'Data Checks'!E446),IF(M236="SELL",R236*('Data Checks'!E446/'Data Checks'!E447),R236))</f>
        <v>215.62446407216066</v>
      </c>
      <c r="S237">
        <f>IF(N236="BUY",S236*('Data Checks'!F447/'Data Checks'!F446),IF(N236="SELL",S236*('Data Checks'!F446/'Data Checks'!F447),S236))</f>
        <v>188.82549441567758</v>
      </c>
      <c r="T237" s="16">
        <f t="shared" si="34"/>
        <v>1119.0456991511505</v>
      </c>
      <c r="U237" s="17">
        <f t="shared" si="38"/>
        <v>1.3424240574323454E-2</v>
      </c>
      <c r="W237" t="str">
        <f>IF(AND('Data Checks'!B447&gt;'Data Checks'!B446,'Data Checks'!B446&gt;'Data Checks'!B445,'Data Checks'!B445&gt;'Data Checks'!B444),"BUY",IF(AND('Data Checks'!B447&lt;'Data Checks'!B446,'Data Checks'!B446&lt;'Data Checks'!B445,'Data Checks'!B445&lt;'Data Checks'!B444),"SELL",""))</f>
        <v/>
      </c>
      <c r="X237" t="str">
        <f>IF(AND('Data Checks'!C447&gt;'Data Checks'!C446,'Data Checks'!C446&gt;'Data Checks'!C445,'Data Checks'!C445&gt;'Data Checks'!C444),"BUY",IF(AND('Data Checks'!C447&lt;'Data Checks'!C446,'Data Checks'!C446&lt;'Data Checks'!C445,'Data Checks'!C445&lt;'Data Checks'!C444),"SELL",""))</f>
        <v/>
      </c>
      <c r="Y237" t="str">
        <f>IF(AND('Data Checks'!D447&gt;'Data Checks'!D446,'Data Checks'!D446&gt;'Data Checks'!D445,'Data Checks'!D445&gt;'Data Checks'!D444),"BUY",IF(AND('Data Checks'!D447&lt;'Data Checks'!D446,'Data Checks'!D446&lt;'Data Checks'!D445,'Data Checks'!D445&lt;'Data Checks'!D444),"SELL",""))</f>
        <v/>
      </c>
      <c r="Z237" t="str">
        <f>IF(AND('Data Checks'!E447&gt;'Data Checks'!E446,'Data Checks'!E446&gt;'Data Checks'!E445,'Data Checks'!E445&gt;'Data Checks'!E444),"BUY",IF(AND('Data Checks'!E447&lt;'Data Checks'!E446,'Data Checks'!E446&lt;'Data Checks'!E445,'Data Checks'!E445&lt;'Data Checks'!E444),"SELL",""))</f>
        <v/>
      </c>
      <c r="AA237" t="str">
        <f>IF(AND('Data Checks'!F447&gt;'Data Checks'!F446,'Data Checks'!F446&gt;'Data Checks'!F445,'Data Checks'!F445&gt;'Data Checks'!F444),"BUY",IF(AND('Data Checks'!F447&lt;'Data Checks'!F446,'Data Checks'!F446&lt;'Data Checks'!F445,'Data Checks'!F445&lt;'Data Checks'!F444),"SELL",""))</f>
        <v>SELL</v>
      </c>
      <c r="AB237">
        <f>IF(W236="BUY",AB236*('Data Checks'!B447/'Data Checks'!B446),IF(W236="SELL",AB236*('Data Checks'!B446/'Data Checks'!B447),AB236))</f>
        <v>152.30745901064478</v>
      </c>
      <c r="AC237">
        <f>IF(X236="BUY",AC236*('Data Checks'!C447/'Data Checks'!C446),IF(X236="SELL",AC236*('Data Checks'!C446/'Data Checks'!C447),AC236))</f>
        <v>188.59345432863282</v>
      </c>
      <c r="AD237">
        <f>IF(Y236="BUY",AD236*('Data Checks'!D447/'Data Checks'!D446),IF(Y236="SELL",AD236*('Data Checks'!D446/'Data Checks'!D447),AD236))</f>
        <v>166.75516002199134</v>
      </c>
      <c r="AE237">
        <f>IF(Z236="BUY",AE236*('Data Checks'!E447/'Data Checks'!E446),IF(Z236="SELL",AE236*('Data Checks'!E446/'Data Checks'!E447),AE236))</f>
        <v>185.50770744925126</v>
      </c>
      <c r="AF237">
        <f>IF(AA236="BUY",AF236*('Data Checks'!F447/'Data Checks'!F446),IF(AA236="SELL",AF236*('Data Checks'!F446/'Data Checks'!F447),AF236))</f>
        <v>211.83580174796018</v>
      </c>
      <c r="AG237" s="16">
        <f t="shared" si="35"/>
        <v>904.99958255848037</v>
      </c>
      <c r="AH237" s="17">
        <f t="shared" si="39"/>
        <v>-1.2344874976985554E-2</v>
      </c>
      <c r="AJ237" t="str">
        <f>IF('Moving Ave'!G447&gt;'Moving Ave'!L447,"SELL","BUY")</f>
        <v>SELL</v>
      </c>
      <c r="AK237" t="str">
        <f>IF('Moving Ave'!H447&gt;'Moving Ave'!M447,"SELL","BUY")</f>
        <v>BUY</v>
      </c>
      <c r="AL237" t="str">
        <f>IF('Moving Ave'!I447&gt;'Moving Ave'!N447,"SELL","BUY")</f>
        <v>SELL</v>
      </c>
      <c r="AM237" t="str">
        <f>IF('Moving Ave'!J447&gt;'Moving Ave'!O447,"SELL","BUY")</f>
        <v>BUY</v>
      </c>
      <c r="AN237" t="str">
        <f>IF('Moving Ave'!K447&gt;'Moving Ave'!P447,"SELL","BUY")</f>
        <v>SELL</v>
      </c>
      <c r="AO237">
        <f>IF(AJ236="BUY",AO236*('Data Checks'!B447/'Data Checks'!B446),AO236*('Data Checks'!B446/'Data Checks'!B447))</f>
        <v>137.5529740402547</v>
      </c>
      <c r="AP237">
        <f>IF(AK236="BUY",AP236*('Data Checks'!C447/'Data Checks'!C446),AP236*('Data Checks'!C446/'Data Checks'!C447))</f>
        <v>138.63348586826243</v>
      </c>
      <c r="AQ237">
        <f>IF(AL236="BUY",AQ236*('Data Checks'!D447/'Data Checks'!D446),AQ236*('Data Checks'!D446/'Data Checks'!D447))</f>
        <v>268.31661680812982</v>
      </c>
      <c r="AR237">
        <f>IF(AM236="BUY",AR236*('Data Checks'!E447/'Data Checks'!E446),AR236*('Data Checks'!E446/'Data Checks'!E447))</f>
        <v>117.37529235435909</v>
      </c>
      <c r="AS237">
        <f>IF(AN236="BUY",AS236*('Data Checks'!F447/'Data Checks'!F446),AS236*('Data Checks'!F446/'Data Checks'!F447))</f>
        <v>226.30410253549087</v>
      </c>
      <c r="AT237" s="16">
        <f t="shared" si="36"/>
        <v>888.18247160649696</v>
      </c>
      <c r="AU237" s="17">
        <f t="shared" si="40"/>
        <v>5.3166933947235151E-4</v>
      </c>
    </row>
    <row r="238" spans="1:47" x14ac:dyDescent="0.35">
      <c r="A238" s="2">
        <f>Prices!A446</f>
        <v>44532</v>
      </c>
      <c r="B238">
        <f>B237*('Data Checks'!B448/'Data Checks'!B447)</f>
        <v>337.56724275653346</v>
      </c>
      <c r="C238">
        <f>C237*('Data Checks'!C448/'Data Checks'!C447)</f>
        <v>141.1226909098983</v>
      </c>
      <c r="D238">
        <f>D237*('Data Checks'!D448/'Data Checks'!D447)</f>
        <v>234.39640398057142</v>
      </c>
      <c r="E238">
        <f>E237*('Data Checks'!E448/'Data Checks'!E447)</f>
        <v>121.82791356451575</v>
      </c>
      <c r="F238">
        <f>F237*('Data Checks'!F448/'Data Checks'!F447)</f>
        <v>158.51215963536711</v>
      </c>
      <c r="G238" s="16">
        <f t="shared" si="33"/>
        <v>993.42641084688603</v>
      </c>
      <c r="H238" s="17">
        <f t="shared" si="37"/>
        <v>2.0010091919276052E-2</v>
      </c>
      <c r="J238" t="str">
        <f>IF(AND('Data Checks'!B448&gt;'Data Checks'!B447,'Data Checks'!B447&gt;'Data Checks'!B446,'Data Checks'!B446&gt;'Data Checks'!B445),"SELL",IF(AND('Data Checks'!B448&lt;'Data Checks'!B447,'Data Checks'!B447&lt;'Data Checks'!B446,'Data Checks'!B446&lt;'Data Checks'!B445),"BUY",""))</f>
        <v/>
      </c>
      <c r="K238" t="str">
        <f>IF(AND('Data Checks'!C448&gt;'Data Checks'!C447,'Data Checks'!C447&gt;'Data Checks'!C446,'Data Checks'!C446&gt;'Data Checks'!C445),"SELL",IF(AND('Data Checks'!C448&lt;'Data Checks'!C447,'Data Checks'!C447&lt;'Data Checks'!C446,'Data Checks'!C446&lt;'Data Checks'!C445),"BUY",""))</f>
        <v/>
      </c>
      <c r="L238" t="str">
        <f>IF(AND('Data Checks'!D448&gt;'Data Checks'!D447,'Data Checks'!D447&gt;'Data Checks'!D446,'Data Checks'!D446&gt;'Data Checks'!D445),"SELL",IF(AND('Data Checks'!D448&lt;'Data Checks'!D447,'Data Checks'!D447&lt;'Data Checks'!D446,'Data Checks'!D446&lt;'Data Checks'!D445),"BUY",""))</f>
        <v/>
      </c>
      <c r="M238" t="str">
        <f>IF(AND('Data Checks'!E448&gt;'Data Checks'!E447,'Data Checks'!E447&gt;'Data Checks'!E446,'Data Checks'!E446&gt;'Data Checks'!E445),"SELL",IF(AND('Data Checks'!E448&lt;'Data Checks'!E447,'Data Checks'!E447&lt;'Data Checks'!E446,'Data Checks'!E446&lt;'Data Checks'!E445),"BUY",""))</f>
        <v/>
      </c>
      <c r="N238" t="str">
        <f>IF(AND('Data Checks'!F448&gt;'Data Checks'!F447,'Data Checks'!F447&gt;'Data Checks'!F446,'Data Checks'!F446&gt;'Data Checks'!F445),"SELL",IF(AND('Data Checks'!F448&lt;'Data Checks'!F447,'Data Checks'!F447&lt;'Data Checks'!F446,'Data Checks'!F446&lt;'Data Checks'!F445),"BUY",""))</f>
        <v/>
      </c>
      <c r="O238">
        <f>IF(J237="BUY",O237*('Data Checks'!B448/'Data Checks'!B447),IF(J237="SELL",O237*('Data Checks'!B447/'Data Checks'!B448),O237))</f>
        <v>262.6266649042081</v>
      </c>
      <c r="P238">
        <f>IF(K237="BUY",P237*('Data Checks'!C448/'Data Checks'!C447),IF(K237="SELL",P237*('Data Checks'!C447/'Data Checks'!C448),P237))</f>
        <v>212.0964385661986</v>
      </c>
      <c r="Q238">
        <f>IF(L237="BUY",Q237*('Data Checks'!D448/'Data Checks'!D447),IF(L237="SELL",Q237*('Data Checks'!D447/'Data Checks'!D448),Q237))</f>
        <v>239.87263719290547</v>
      </c>
      <c r="R238">
        <f>IF(M237="BUY",R237*('Data Checks'!E448/'Data Checks'!E447),IF(M237="SELL",R237*('Data Checks'!E447/'Data Checks'!E448),R237))</f>
        <v>215.62446407216066</v>
      </c>
      <c r="S238">
        <f>IF(N237="BUY",S237*('Data Checks'!F448/'Data Checks'!F447),IF(N237="SELL",S237*('Data Checks'!F447/'Data Checks'!F448),S237))</f>
        <v>195.4096851366813</v>
      </c>
      <c r="T238" s="16">
        <f t="shared" si="34"/>
        <v>1125.6298898721541</v>
      </c>
      <c r="U238" s="17">
        <f t="shared" si="38"/>
        <v>5.8837549940971012E-3</v>
      </c>
      <c r="W238" t="str">
        <f>IF(AND('Data Checks'!B448&gt;'Data Checks'!B447,'Data Checks'!B447&gt;'Data Checks'!B446,'Data Checks'!B446&gt;'Data Checks'!B445),"BUY",IF(AND('Data Checks'!B448&lt;'Data Checks'!B447,'Data Checks'!B447&lt;'Data Checks'!B446,'Data Checks'!B446&lt;'Data Checks'!B445),"SELL",""))</f>
        <v/>
      </c>
      <c r="X238" t="str">
        <f>IF(AND('Data Checks'!C448&gt;'Data Checks'!C447,'Data Checks'!C447&gt;'Data Checks'!C446,'Data Checks'!C446&gt;'Data Checks'!C445),"BUY",IF(AND('Data Checks'!C448&lt;'Data Checks'!C447,'Data Checks'!C447&lt;'Data Checks'!C446,'Data Checks'!C446&lt;'Data Checks'!C445),"SELL",""))</f>
        <v/>
      </c>
      <c r="Y238" t="str">
        <f>IF(AND('Data Checks'!D448&gt;'Data Checks'!D447,'Data Checks'!D447&gt;'Data Checks'!D446,'Data Checks'!D446&gt;'Data Checks'!D445),"BUY",IF(AND('Data Checks'!D448&lt;'Data Checks'!D447,'Data Checks'!D447&lt;'Data Checks'!D446,'Data Checks'!D446&lt;'Data Checks'!D445),"SELL",""))</f>
        <v/>
      </c>
      <c r="Z238" t="str">
        <f>IF(AND('Data Checks'!E448&gt;'Data Checks'!E447,'Data Checks'!E447&gt;'Data Checks'!E446,'Data Checks'!E446&gt;'Data Checks'!E445),"BUY",IF(AND('Data Checks'!E448&lt;'Data Checks'!E447,'Data Checks'!E447&lt;'Data Checks'!E446,'Data Checks'!E446&lt;'Data Checks'!E445),"SELL",""))</f>
        <v/>
      </c>
      <c r="AA238" t="str">
        <f>IF(AND('Data Checks'!F448&gt;'Data Checks'!F447,'Data Checks'!F447&gt;'Data Checks'!F446,'Data Checks'!F446&gt;'Data Checks'!F445),"BUY",IF(AND('Data Checks'!F448&lt;'Data Checks'!F447,'Data Checks'!F447&lt;'Data Checks'!F446,'Data Checks'!F446&lt;'Data Checks'!F445),"SELL",""))</f>
        <v/>
      </c>
      <c r="AB238">
        <f>IF(W237="BUY",AB237*('Data Checks'!B448/'Data Checks'!B447),IF(W237="SELL",AB237*('Data Checks'!B447/'Data Checks'!B448),AB237))</f>
        <v>152.30745901064478</v>
      </c>
      <c r="AC238">
        <f>IF(X237="BUY",AC237*('Data Checks'!C448/'Data Checks'!C447),IF(X237="SELL",AC237*('Data Checks'!C447/'Data Checks'!C448),AC237))</f>
        <v>188.59345432863282</v>
      </c>
      <c r="AD238">
        <f>IF(Y237="BUY",AD237*('Data Checks'!D448/'Data Checks'!D447),IF(Y237="SELL",AD237*('Data Checks'!D447/'Data Checks'!D448),AD237))</f>
        <v>166.75516002199134</v>
      </c>
      <c r="AE238">
        <f>IF(Z237="BUY",AE237*('Data Checks'!E448/'Data Checks'!E447),IF(Z237="SELL",AE237*('Data Checks'!E447/'Data Checks'!E448),AE237))</f>
        <v>185.50770744925126</v>
      </c>
      <c r="AF238">
        <f>IF(AA237="BUY",AF237*('Data Checks'!F448/'Data Checks'!F447),IF(AA237="SELL",AF237*('Data Checks'!F447/'Data Checks'!F448),AF237))</f>
        <v>204.69814468009417</v>
      </c>
      <c r="AG238" s="16">
        <f t="shared" si="35"/>
        <v>897.86192549061434</v>
      </c>
      <c r="AH238" s="17">
        <f t="shared" si="39"/>
        <v>-7.8869175250749768E-3</v>
      </c>
      <c r="AJ238" t="str">
        <f>IF('Moving Ave'!G448&gt;'Moving Ave'!L448,"SELL","BUY")</f>
        <v>SELL</v>
      </c>
      <c r="AK238" t="str">
        <f>IF('Moving Ave'!H448&gt;'Moving Ave'!M448,"SELL","BUY")</f>
        <v>BUY</v>
      </c>
      <c r="AL238" t="str">
        <f>IF('Moving Ave'!I448&gt;'Moving Ave'!N448,"SELL","BUY")</f>
        <v>SELL</v>
      </c>
      <c r="AM238" t="str">
        <f>IF('Moving Ave'!J448&gt;'Moving Ave'!O448,"SELL","BUY")</f>
        <v>BUY</v>
      </c>
      <c r="AN238" t="str">
        <f>IF('Moving Ave'!K448&gt;'Moving Ave'!P448,"SELL","BUY")</f>
        <v>SELL</v>
      </c>
      <c r="AO238">
        <f>IF(AJ237="BUY",AO237*('Data Checks'!B448/'Data Checks'!B447),AO237*('Data Checks'!B447/'Data Checks'!B448))</f>
        <v>138.26359901952875</v>
      </c>
      <c r="AP238">
        <f>IF(AK237="BUY",AP237*('Data Checks'!C448/'Data Checks'!C447),AP237*('Data Checks'!C447/'Data Checks'!C448))</f>
        <v>141.1226909098983</v>
      </c>
      <c r="AQ238">
        <f>IF(AL237="BUY",AQ237*('Data Checks'!D448/'Data Checks'!D447),AQ237*('Data Checks'!D447/'Data Checks'!D448))</f>
        <v>258.07173131794576</v>
      </c>
      <c r="AR238">
        <f>IF(AM237="BUY",AR237*('Data Checks'!E448/'Data Checks'!E447),AR237*('Data Checks'!E447/'Data Checks'!E448))</f>
        <v>121.82791356451575</v>
      </c>
      <c r="AS238">
        <f>IF(AN237="BUY",AS237*('Data Checks'!F448/'Data Checks'!F447),AS237*('Data Checks'!F447/'Data Checks'!F448))</f>
        <v>218.67894633610885</v>
      </c>
      <c r="AT238" s="16">
        <f t="shared" si="36"/>
        <v>877.9648811479974</v>
      </c>
      <c r="AU238" s="17">
        <f t="shared" si="40"/>
        <v>-1.1503931663972788E-2</v>
      </c>
    </row>
    <row r="239" spans="1:47" x14ac:dyDescent="0.35">
      <c r="A239" s="2">
        <f>Prices!A447</f>
        <v>44533</v>
      </c>
      <c r="B239">
        <f>B238*('Data Checks'!B449/'Data Checks'!B448)</f>
        <v>335.79696241960312</v>
      </c>
      <c r="C239">
        <f>C238*('Data Checks'!C449/'Data Checks'!C448)</f>
        <v>143.05308973972811</v>
      </c>
      <c r="D239">
        <f>D238*('Data Checks'!D449/'Data Checks'!D448)</f>
        <v>242.34430192593618</v>
      </c>
      <c r="E239">
        <f>E238*('Data Checks'!E449/'Data Checks'!E448)</f>
        <v>122.89922253434138</v>
      </c>
      <c r="F239">
        <f>F238*('Data Checks'!F449/'Data Checks'!F448)</f>
        <v>160.2765907526456</v>
      </c>
      <c r="G239" s="16">
        <f t="shared" si="33"/>
        <v>1004.3701673722543</v>
      </c>
      <c r="H239" s="17">
        <f t="shared" si="37"/>
        <v>1.1016172316214989E-2</v>
      </c>
      <c r="J239" t="str">
        <f>IF(AND('Data Checks'!B449&gt;'Data Checks'!B448,'Data Checks'!B448&gt;'Data Checks'!B447,'Data Checks'!B447&gt;'Data Checks'!B446),"SELL",IF(AND('Data Checks'!B449&lt;'Data Checks'!B448,'Data Checks'!B448&lt;'Data Checks'!B447,'Data Checks'!B447&lt;'Data Checks'!B446),"BUY",""))</f>
        <v/>
      </c>
      <c r="K239" t="str">
        <f>IF(AND('Data Checks'!C449&gt;'Data Checks'!C448,'Data Checks'!C448&gt;'Data Checks'!C447,'Data Checks'!C447&gt;'Data Checks'!C446),"SELL",IF(AND('Data Checks'!C449&lt;'Data Checks'!C448,'Data Checks'!C448&lt;'Data Checks'!C447,'Data Checks'!C447&lt;'Data Checks'!C446),"BUY",""))</f>
        <v>SELL</v>
      </c>
      <c r="L239" t="str">
        <f>IF(AND('Data Checks'!D449&gt;'Data Checks'!D448,'Data Checks'!D448&gt;'Data Checks'!D447,'Data Checks'!D447&gt;'Data Checks'!D446),"SELL",IF(AND('Data Checks'!D449&lt;'Data Checks'!D448,'Data Checks'!D448&lt;'Data Checks'!D447,'Data Checks'!D447&lt;'Data Checks'!D446),"BUY",""))</f>
        <v>SELL</v>
      </c>
      <c r="M239" t="str">
        <f>IF(AND('Data Checks'!E449&gt;'Data Checks'!E448,'Data Checks'!E448&gt;'Data Checks'!E447,'Data Checks'!E447&gt;'Data Checks'!E446),"SELL",IF(AND('Data Checks'!E449&lt;'Data Checks'!E448,'Data Checks'!E448&lt;'Data Checks'!E447,'Data Checks'!E447&lt;'Data Checks'!E446),"BUY",""))</f>
        <v>SELL</v>
      </c>
      <c r="N239" t="str">
        <f>IF(AND('Data Checks'!F449&gt;'Data Checks'!F448,'Data Checks'!F448&gt;'Data Checks'!F447,'Data Checks'!F447&gt;'Data Checks'!F446),"SELL",IF(AND('Data Checks'!F449&lt;'Data Checks'!F448,'Data Checks'!F448&lt;'Data Checks'!F447,'Data Checks'!F447&lt;'Data Checks'!F446),"BUY",""))</f>
        <v/>
      </c>
      <c r="O239">
        <f>IF(J238="BUY",O238*('Data Checks'!B449/'Data Checks'!B448),IF(J238="SELL",O238*('Data Checks'!B448/'Data Checks'!B449),O238))</f>
        <v>262.6266649042081</v>
      </c>
      <c r="P239">
        <f>IF(K238="BUY",P238*('Data Checks'!C449/'Data Checks'!C448),IF(K238="SELL",P238*('Data Checks'!C448/'Data Checks'!C449),P238))</f>
        <v>212.0964385661986</v>
      </c>
      <c r="Q239">
        <f>IF(L238="BUY",Q238*('Data Checks'!D449/'Data Checks'!D448),IF(L238="SELL",Q238*('Data Checks'!D448/'Data Checks'!D449),Q238))</f>
        <v>239.87263719290547</v>
      </c>
      <c r="R239">
        <f>IF(M238="BUY",R238*('Data Checks'!E449/'Data Checks'!E448),IF(M238="SELL",R238*('Data Checks'!E448/'Data Checks'!E449),R238))</f>
        <v>215.62446407216066</v>
      </c>
      <c r="S239">
        <f>IF(N238="BUY",S238*('Data Checks'!F449/'Data Checks'!F448),IF(N238="SELL",S238*('Data Checks'!F448/'Data Checks'!F449),S238))</f>
        <v>195.4096851366813</v>
      </c>
      <c r="T239" s="16">
        <f t="shared" si="34"/>
        <v>1125.6298898721541</v>
      </c>
      <c r="U239" s="17">
        <f t="shared" si="38"/>
        <v>0</v>
      </c>
      <c r="W239" t="str">
        <f>IF(AND('Data Checks'!B449&gt;'Data Checks'!B448,'Data Checks'!B448&gt;'Data Checks'!B447,'Data Checks'!B447&gt;'Data Checks'!B446),"BUY",IF(AND('Data Checks'!B449&lt;'Data Checks'!B448,'Data Checks'!B448&lt;'Data Checks'!B447,'Data Checks'!B447&lt;'Data Checks'!B446),"SELL",""))</f>
        <v/>
      </c>
      <c r="X239" t="str">
        <f>IF(AND('Data Checks'!C449&gt;'Data Checks'!C448,'Data Checks'!C448&gt;'Data Checks'!C447,'Data Checks'!C447&gt;'Data Checks'!C446),"BUY",IF(AND('Data Checks'!C449&lt;'Data Checks'!C448,'Data Checks'!C448&lt;'Data Checks'!C447,'Data Checks'!C447&lt;'Data Checks'!C446),"SELL",""))</f>
        <v>BUY</v>
      </c>
      <c r="Y239" t="str">
        <f>IF(AND('Data Checks'!D449&gt;'Data Checks'!D448,'Data Checks'!D448&gt;'Data Checks'!D447,'Data Checks'!D447&gt;'Data Checks'!D446),"BUY",IF(AND('Data Checks'!D449&lt;'Data Checks'!D448,'Data Checks'!D448&lt;'Data Checks'!D447,'Data Checks'!D447&lt;'Data Checks'!D446),"SELL",""))</f>
        <v>BUY</v>
      </c>
      <c r="Z239" t="str">
        <f>IF(AND('Data Checks'!E449&gt;'Data Checks'!E448,'Data Checks'!E448&gt;'Data Checks'!E447,'Data Checks'!E447&gt;'Data Checks'!E446),"BUY",IF(AND('Data Checks'!E449&lt;'Data Checks'!E448,'Data Checks'!E448&lt;'Data Checks'!E447,'Data Checks'!E447&lt;'Data Checks'!E446),"SELL",""))</f>
        <v>BUY</v>
      </c>
      <c r="AA239" t="str">
        <f>IF(AND('Data Checks'!F449&gt;'Data Checks'!F448,'Data Checks'!F448&gt;'Data Checks'!F447,'Data Checks'!F447&gt;'Data Checks'!F446),"BUY",IF(AND('Data Checks'!F449&lt;'Data Checks'!F448,'Data Checks'!F448&lt;'Data Checks'!F447,'Data Checks'!F447&lt;'Data Checks'!F446),"SELL",""))</f>
        <v/>
      </c>
      <c r="AB239">
        <f>IF(W238="BUY",AB238*('Data Checks'!B449/'Data Checks'!B448),IF(W238="SELL",AB238*('Data Checks'!B448/'Data Checks'!B449),AB238))</f>
        <v>152.30745901064478</v>
      </c>
      <c r="AC239">
        <f>IF(X238="BUY",AC238*('Data Checks'!C449/'Data Checks'!C448),IF(X238="SELL",AC238*('Data Checks'!C448/'Data Checks'!C449),AC238))</f>
        <v>188.59345432863282</v>
      </c>
      <c r="AD239">
        <f>IF(Y238="BUY",AD238*('Data Checks'!D449/'Data Checks'!D448),IF(Y238="SELL",AD238*('Data Checks'!D448/'Data Checks'!D449),AD238))</f>
        <v>166.75516002199134</v>
      </c>
      <c r="AE239">
        <f>IF(Z238="BUY",AE238*('Data Checks'!E449/'Data Checks'!E448),IF(Z238="SELL",AE238*('Data Checks'!E448/'Data Checks'!E449),AE238))</f>
        <v>185.50770744925126</v>
      </c>
      <c r="AF239">
        <f>IF(AA238="BUY",AF238*('Data Checks'!F449/'Data Checks'!F448),IF(AA238="SELL",AF238*('Data Checks'!F448/'Data Checks'!F449),AF238))</f>
        <v>204.69814468009417</v>
      </c>
      <c r="AG239" s="16">
        <f t="shared" si="35"/>
        <v>897.86192549061434</v>
      </c>
      <c r="AH239" s="17">
        <f t="shared" si="39"/>
        <v>0</v>
      </c>
      <c r="AJ239" t="str">
        <f>IF('Moving Ave'!G449&gt;'Moving Ave'!L449,"SELL","BUY")</f>
        <v>SELL</v>
      </c>
      <c r="AK239" t="str">
        <f>IF('Moving Ave'!H449&gt;'Moving Ave'!M449,"SELL","BUY")</f>
        <v>BUY</v>
      </c>
      <c r="AL239" t="str">
        <f>IF('Moving Ave'!I449&gt;'Moving Ave'!N449,"SELL","BUY")</f>
        <v>SELL</v>
      </c>
      <c r="AM239" t="str">
        <f>IF('Moving Ave'!J449&gt;'Moving Ave'!O449,"SELL","BUY")</f>
        <v>BUY</v>
      </c>
      <c r="AN239" t="str">
        <f>IF('Moving Ave'!K449&gt;'Moving Ave'!P449,"SELL","BUY")</f>
        <v>SELL</v>
      </c>
      <c r="AO239">
        <f>IF(AJ238="BUY",AO238*('Data Checks'!B449/'Data Checks'!B448),AO238*('Data Checks'!B448/'Data Checks'!B449))</f>
        <v>138.99250772940456</v>
      </c>
      <c r="AP239">
        <f>IF(AK238="BUY",AP238*('Data Checks'!C449/'Data Checks'!C448),AP238*('Data Checks'!C448/'Data Checks'!C449))</f>
        <v>143.05308973972811</v>
      </c>
      <c r="AQ239">
        <f>IF(AL238="BUY",AQ238*('Data Checks'!D449/'Data Checks'!D448),AQ238*('Data Checks'!D448/'Data Checks'!D449))</f>
        <v>249.60803827132534</v>
      </c>
      <c r="AR239">
        <f>IF(AM238="BUY",AR238*('Data Checks'!E449/'Data Checks'!E448),AR238*('Data Checks'!E448/'Data Checks'!E449))</f>
        <v>122.89922253434138</v>
      </c>
      <c r="AS239">
        <f>IF(AN238="BUY",AS238*('Data Checks'!F449/'Data Checks'!F448),AS238*('Data Checks'!F448/'Data Checks'!F449))</f>
        <v>216.27158331573759</v>
      </c>
      <c r="AT239" s="16">
        <f t="shared" si="36"/>
        <v>870.82444159053694</v>
      </c>
      <c r="AU239" s="17">
        <f t="shared" si="40"/>
        <v>-8.1329443930876488E-3</v>
      </c>
    </row>
    <row r="240" spans="1:47" x14ac:dyDescent="0.35">
      <c r="A240" s="2">
        <f>Prices!A448</f>
        <v>44534</v>
      </c>
      <c r="B240">
        <f>B239*('Data Checks'!B450/'Data Checks'!B449)</f>
        <v>333.2522021841184</v>
      </c>
      <c r="C240">
        <f>C239*('Data Checks'!C450/'Data Checks'!C449)</f>
        <v>144.11989698043948</v>
      </c>
      <c r="D240">
        <f>D239*('Data Checks'!D450/'Data Checks'!D449)</f>
        <v>246.85256047508062</v>
      </c>
      <c r="E240">
        <f>E239*('Data Checks'!E450/'Data Checks'!E449)</f>
        <v>127.98794348885355</v>
      </c>
      <c r="F240">
        <f>F239*('Data Checks'!F450/'Data Checks'!F449)</f>
        <v>159.70433895618993</v>
      </c>
      <c r="G240" s="16">
        <f t="shared" si="33"/>
        <v>1011.916942084682</v>
      </c>
      <c r="H240" s="17">
        <f t="shared" si="37"/>
        <v>7.5139375477195625E-3</v>
      </c>
      <c r="J240" t="str">
        <f>IF(AND('Data Checks'!B450&gt;'Data Checks'!B449,'Data Checks'!B449&gt;'Data Checks'!B448,'Data Checks'!B448&gt;'Data Checks'!B447),"SELL",IF(AND('Data Checks'!B450&lt;'Data Checks'!B449,'Data Checks'!B449&lt;'Data Checks'!B448,'Data Checks'!B448&lt;'Data Checks'!B447),"BUY",""))</f>
        <v>BUY</v>
      </c>
      <c r="K240" t="str">
        <f>IF(AND('Data Checks'!C450&gt;'Data Checks'!C449,'Data Checks'!C449&gt;'Data Checks'!C448,'Data Checks'!C448&gt;'Data Checks'!C447),"SELL",IF(AND('Data Checks'!C450&lt;'Data Checks'!C449,'Data Checks'!C449&lt;'Data Checks'!C448,'Data Checks'!C448&lt;'Data Checks'!C447),"BUY",""))</f>
        <v>SELL</v>
      </c>
      <c r="L240" t="str">
        <f>IF(AND('Data Checks'!D450&gt;'Data Checks'!D449,'Data Checks'!D449&gt;'Data Checks'!D448,'Data Checks'!D448&gt;'Data Checks'!D447),"SELL",IF(AND('Data Checks'!D450&lt;'Data Checks'!D449,'Data Checks'!D449&lt;'Data Checks'!D448,'Data Checks'!D448&lt;'Data Checks'!D447),"BUY",""))</f>
        <v>SELL</v>
      </c>
      <c r="M240" t="str">
        <f>IF(AND('Data Checks'!E450&gt;'Data Checks'!E449,'Data Checks'!E449&gt;'Data Checks'!E448,'Data Checks'!E448&gt;'Data Checks'!E447),"SELL",IF(AND('Data Checks'!E450&lt;'Data Checks'!E449,'Data Checks'!E449&lt;'Data Checks'!E448,'Data Checks'!E448&lt;'Data Checks'!E447),"BUY",""))</f>
        <v>SELL</v>
      </c>
      <c r="N240" t="str">
        <f>IF(AND('Data Checks'!F450&gt;'Data Checks'!F449,'Data Checks'!F449&gt;'Data Checks'!F448,'Data Checks'!F448&gt;'Data Checks'!F447),"SELL",IF(AND('Data Checks'!F450&lt;'Data Checks'!F449,'Data Checks'!F449&lt;'Data Checks'!F448,'Data Checks'!F448&lt;'Data Checks'!F447),"BUY",""))</f>
        <v/>
      </c>
      <c r="O240">
        <f>IF(J239="BUY",O239*('Data Checks'!B450/'Data Checks'!B449),IF(J239="SELL",O239*('Data Checks'!B449/'Data Checks'!B450),O239))</f>
        <v>262.6266649042081</v>
      </c>
      <c r="P240">
        <f>IF(K239="BUY",P239*('Data Checks'!C450/'Data Checks'!C449),IF(K239="SELL",P239*('Data Checks'!C449/'Data Checks'!C450),P239))</f>
        <v>210.52645398299961</v>
      </c>
      <c r="Q240">
        <f>IF(L239="BUY",Q239*('Data Checks'!D450/'Data Checks'!D449),IF(L239="SELL",Q239*('Data Checks'!D449/'Data Checks'!D450),Q239))</f>
        <v>235.49185270661326</v>
      </c>
      <c r="R240">
        <f>IF(M239="BUY",R239*('Data Checks'!E450/'Data Checks'!E449),IF(M239="SELL",R239*('Data Checks'!E449/'Data Checks'!E450),R239))</f>
        <v>207.05136961717383</v>
      </c>
      <c r="S240">
        <f>IF(N239="BUY",S239*('Data Checks'!F450/'Data Checks'!F449),IF(N239="SELL",S239*('Data Checks'!F449/'Data Checks'!F450),S239))</f>
        <v>195.4096851366813</v>
      </c>
      <c r="T240" s="16">
        <f t="shared" si="34"/>
        <v>1111.1060263476761</v>
      </c>
      <c r="U240" s="17">
        <f t="shared" si="38"/>
        <v>-1.2902876562852827E-2</v>
      </c>
      <c r="W240" t="str">
        <f>IF(AND('Data Checks'!B450&gt;'Data Checks'!B449,'Data Checks'!B449&gt;'Data Checks'!B448,'Data Checks'!B448&gt;'Data Checks'!B447),"BUY",IF(AND('Data Checks'!B450&lt;'Data Checks'!B449,'Data Checks'!B449&lt;'Data Checks'!B448,'Data Checks'!B448&lt;'Data Checks'!B447),"SELL",""))</f>
        <v>SELL</v>
      </c>
      <c r="X240" t="str">
        <f>IF(AND('Data Checks'!C450&gt;'Data Checks'!C449,'Data Checks'!C449&gt;'Data Checks'!C448,'Data Checks'!C448&gt;'Data Checks'!C447),"BUY",IF(AND('Data Checks'!C450&lt;'Data Checks'!C449,'Data Checks'!C449&lt;'Data Checks'!C448,'Data Checks'!C448&lt;'Data Checks'!C447),"SELL",""))</f>
        <v>BUY</v>
      </c>
      <c r="Y240" t="str">
        <f>IF(AND('Data Checks'!D450&gt;'Data Checks'!D449,'Data Checks'!D449&gt;'Data Checks'!D448,'Data Checks'!D448&gt;'Data Checks'!D447),"BUY",IF(AND('Data Checks'!D450&lt;'Data Checks'!D449,'Data Checks'!D449&lt;'Data Checks'!D448,'Data Checks'!D448&lt;'Data Checks'!D447),"SELL",""))</f>
        <v>BUY</v>
      </c>
      <c r="Z240" t="str">
        <f>IF(AND('Data Checks'!E450&gt;'Data Checks'!E449,'Data Checks'!E449&gt;'Data Checks'!E448,'Data Checks'!E448&gt;'Data Checks'!E447),"BUY",IF(AND('Data Checks'!E450&lt;'Data Checks'!E449,'Data Checks'!E449&lt;'Data Checks'!E448,'Data Checks'!E448&lt;'Data Checks'!E447),"SELL",""))</f>
        <v>BUY</v>
      </c>
      <c r="AA240" t="str">
        <f>IF(AND('Data Checks'!F450&gt;'Data Checks'!F449,'Data Checks'!F449&gt;'Data Checks'!F448,'Data Checks'!F448&gt;'Data Checks'!F447),"BUY",IF(AND('Data Checks'!F450&lt;'Data Checks'!F449,'Data Checks'!F449&lt;'Data Checks'!F448,'Data Checks'!F448&lt;'Data Checks'!F447),"SELL",""))</f>
        <v/>
      </c>
      <c r="AB240">
        <f>IF(W239="BUY",AB239*('Data Checks'!B450/'Data Checks'!B449),IF(W239="SELL",AB239*('Data Checks'!B449/'Data Checks'!B450),AB239))</f>
        <v>152.30745901064478</v>
      </c>
      <c r="AC240">
        <f>IF(X239="BUY",AC239*('Data Checks'!C450/'Data Checks'!C449),IF(X239="SELL",AC239*('Data Checks'!C449/'Data Checks'!C450),AC239))</f>
        <v>189.99987528042496</v>
      </c>
      <c r="AD240">
        <f>IF(Y239="BUY",AD239*('Data Checks'!D450/'Data Checks'!D449),IF(Y239="SELL",AD239*('Data Checks'!D449/'Data Checks'!D450),AD239))</f>
        <v>169.85725637750147</v>
      </c>
      <c r="AE240">
        <f>IF(Z239="BUY",AE239*('Data Checks'!E450/'Data Checks'!E449),IF(Z239="SELL",AE239*('Data Checks'!E449/'Data Checks'!E450),AE239))</f>
        <v>193.18877278598876</v>
      </c>
      <c r="AF240">
        <f>IF(AA239="BUY",AF239*('Data Checks'!F450/'Data Checks'!F449),IF(AA239="SELL",AF239*('Data Checks'!F449/'Data Checks'!F450),AF239))</f>
        <v>204.69814468009417</v>
      </c>
      <c r="AG240" s="16">
        <f t="shared" si="35"/>
        <v>910.05150813465411</v>
      </c>
      <c r="AH240" s="17">
        <f t="shared" si="39"/>
        <v>1.3576232935124333E-2</v>
      </c>
      <c r="AJ240" t="str">
        <f>IF('Moving Ave'!G450&gt;'Moving Ave'!L450,"SELL","BUY")</f>
        <v>SELL</v>
      </c>
      <c r="AK240" t="str">
        <f>IF('Moving Ave'!H450&gt;'Moving Ave'!M450,"SELL","BUY")</f>
        <v>BUY</v>
      </c>
      <c r="AL240" t="str">
        <f>IF('Moving Ave'!I450&gt;'Moving Ave'!N450,"SELL","BUY")</f>
        <v>SELL</v>
      </c>
      <c r="AM240" t="str">
        <f>IF('Moving Ave'!J450&gt;'Moving Ave'!O450,"SELL","BUY")</f>
        <v>BUY</v>
      </c>
      <c r="AN240" t="str">
        <f>IF('Moving Ave'!K450&gt;'Moving Ave'!P450,"SELL","BUY")</f>
        <v>SELL</v>
      </c>
      <c r="AO240">
        <f>IF(AJ239="BUY",AO239*('Data Checks'!B450/'Data Checks'!B449),AO239*('Data Checks'!B449/'Data Checks'!B450))</f>
        <v>140.05387387907123</v>
      </c>
      <c r="AP240">
        <f>IF(AK239="BUY",AP239*('Data Checks'!C450/'Data Checks'!C449),AP239*('Data Checks'!C449/'Data Checks'!C450))</f>
        <v>144.11989698043948</v>
      </c>
      <c r="AQ240">
        <f>IF(AL239="BUY",AQ239*('Data Checks'!D450/'Data Checks'!D449),AQ239*('Data Checks'!D449/'Data Checks'!D450))</f>
        <v>245.0494565401649</v>
      </c>
      <c r="AR240">
        <f>IF(AM239="BUY",AR239*('Data Checks'!E450/'Data Checks'!E449),AR239*('Data Checks'!E449/'Data Checks'!E450))</f>
        <v>127.98794348885355</v>
      </c>
      <c r="AS240">
        <f>IF(AN239="BUY",AS239*('Data Checks'!F450/'Data Checks'!F449),AS239*('Data Checks'!F449/'Data Checks'!F450))</f>
        <v>217.04652658204856</v>
      </c>
      <c r="AT240" s="16">
        <f t="shared" si="36"/>
        <v>874.25769747057757</v>
      </c>
      <c r="AU240" s="17">
        <f t="shared" si="40"/>
        <v>3.942535046179696E-3</v>
      </c>
    </row>
    <row r="241" spans="1:47" x14ac:dyDescent="0.35">
      <c r="A241" s="2">
        <f>Prices!A449</f>
        <v>44537</v>
      </c>
      <c r="B241">
        <f>B240*('Data Checks'!B451/'Data Checks'!B450)</f>
        <v>332.76958323312562</v>
      </c>
      <c r="C241">
        <f>C240*('Data Checks'!C451/'Data Checks'!C450)</f>
        <v>138.7858810969237</v>
      </c>
      <c r="D241">
        <f>D240*('Data Checks'!D451/'Data Checks'!D450)</f>
        <v>243.68008755518625</v>
      </c>
      <c r="E241">
        <f>E240*('Data Checks'!E451/'Data Checks'!E450)</f>
        <v>125.27618596330142</v>
      </c>
      <c r="F241">
        <f>F240*('Data Checks'!F451/'Data Checks'!F450)</f>
        <v>161.27802424336713</v>
      </c>
      <c r="G241" s="16">
        <f t="shared" si="33"/>
        <v>1001.789762091904</v>
      </c>
      <c r="H241" s="17">
        <f t="shared" si="37"/>
        <v>-1.0007916234621717E-2</v>
      </c>
      <c r="J241" t="str">
        <f>IF(AND('Data Checks'!B451&gt;'Data Checks'!B450,'Data Checks'!B450&gt;'Data Checks'!B449,'Data Checks'!B449&gt;'Data Checks'!B448),"SELL",IF(AND('Data Checks'!B451&lt;'Data Checks'!B450,'Data Checks'!B450&lt;'Data Checks'!B449,'Data Checks'!B449&lt;'Data Checks'!B448),"BUY",""))</f>
        <v>BUY</v>
      </c>
      <c r="K241" t="str">
        <f>IF(AND('Data Checks'!C451&gt;'Data Checks'!C450,'Data Checks'!C450&gt;'Data Checks'!C449,'Data Checks'!C449&gt;'Data Checks'!C448),"SELL",IF(AND('Data Checks'!C451&lt;'Data Checks'!C450,'Data Checks'!C450&lt;'Data Checks'!C449,'Data Checks'!C449&lt;'Data Checks'!C448),"BUY",""))</f>
        <v/>
      </c>
      <c r="L241" t="str">
        <f>IF(AND('Data Checks'!D451&gt;'Data Checks'!D450,'Data Checks'!D450&gt;'Data Checks'!D449,'Data Checks'!D449&gt;'Data Checks'!D448),"SELL",IF(AND('Data Checks'!D451&lt;'Data Checks'!D450,'Data Checks'!D450&lt;'Data Checks'!D449,'Data Checks'!D449&lt;'Data Checks'!D448),"BUY",""))</f>
        <v/>
      </c>
      <c r="M241" t="str">
        <f>IF(AND('Data Checks'!E451&gt;'Data Checks'!E450,'Data Checks'!E450&gt;'Data Checks'!E449,'Data Checks'!E449&gt;'Data Checks'!E448),"SELL",IF(AND('Data Checks'!E451&lt;'Data Checks'!E450,'Data Checks'!E450&lt;'Data Checks'!E449,'Data Checks'!E449&lt;'Data Checks'!E448),"BUY",""))</f>
        <v/>
      </c>
      <c r="N241" t="str">
        <f>IF(AND('Data Checks'!F451&gt;'Data Checks'!F450,'Data Checks'!F450&gt;'Data Checks'!F449,'Data Checks'!F449&gt;'Data Checks'!F448),"SELL",IF(AND('Data Checks'!F451&lt;'Data Checks'!F450,'Data Checks'!F450&lt;'Data Checks'!F449,'Data Checks'!F449&lt;'Data Checks'!F448),"BUY",""))</f>
        <v/>
      </c>
      <c r="O241">
        <f>IF(J240="BUY",O240*('Data Checks'!B451/'Data Checks'!B450),IF(J240="SELL",O240*('Data Checks'!B450/'Data Checks'!B451),O240))</f>
        <v>262.24632651578008</v>
      </c>
      <c r="P241">
        <f>IF(K240="BUY",P240*('Data Checks'!C451/'Data Checks'!C450),IF(K240="SELL",P240*('Data Checks'!C450/'Data Checks'!C451),P240))</f>
        <v>218.61770534495432</v>
      </c>
      <c r="Q241">
        <f>IF(L240="BUY",Q240*('Data Checks'!D451/'Data Checks'!D450),IF(L240="SELL",Q240*('Data Checks'!D450/'Data Checks'!D451),Q240))</f>
        <v>238.55772293451318</v>
      </c>
      <c r="R241">
        <f>IF(M240="BUY",R240*('Data Checks'!E451/'Data Checks'!E450),IF(M240="SELL",R240*('Data Checks'!E450/'Data Checks'!E451),R240))</f>
        <v>211.53325183140188</v>
      </c>
      <c r="S241">
        <f>IF(N240="BUY",S240*('Data Checks'!F451/'Data Checks'!F450),IF(N240="SELL",S240*('Data Checks'!F450/'Data Checks'!F451),S240))</f>
        <v>195.4096851366813</v>
      </c>
      <c r="T241" s="16">
        <f t="shared" si="34"/>
        <v>1126.3646917633307</v>
      </c>
      <c r="U241" s="17">
        <f t="shared" si="38"/>
        <v>1.3732861719606859E-2</v>
      </c>
      <c r="W241" t="str">
        <f>IF(AND('Data Checks'!B451&gt;'Data Checks'!B450,'Data Checks'!B450&gt;'Data Checks'!B449,'Data Checks'!B449&gt;'Data Checks'!B448),"BUY",IF(AND('Data Checks'!B451&lt;'Data Checks'!B450,'Data Checks'!B450&lt;'Data Checks'!B449,'Data Checks'!B449&lt;'Data Checks'!B448),"SELL",""))</f>
        <v>SELL</v>
      </c>
      <c r="X241" t="str">
        <f>IF(AND('Data Checks'!C451&gt;'Data Checks'!C450,'Data Checks'!C450&gt;'Data Checks'!C449,'Data Checks'!C449&gt;'Data Checks'!C448),"BUY",IF(AND('Data Checks'!C451&lt;'Data Checks'!C450,'Data Checks'!C450&lt;'Data Checks'!C449,'Data Checks'!C449&lt;'Data Checks'!C448),"SELL",""))</f>
        <v/>
      </c>
      <c r="Y241" t="str">
        <f>IF(AND('Data Checks'!D451&gt;'Data Checks'!D450,'Data Checks'!D450&gt;'Data Checks'!D449,'Data Checks'!D449&gt;'Data Checks'!D448),"BUY",IF(AND('Data Checks'!D451&lt;'Data Checks'!D450,'Data Checks'!D450&lt;'Data Checks'!D449,'Data Checks'!D449&lt;'Data Checks'!D448),"SELL",""))</f>
        <v/>
      </c>
      <c r="Z241" t="str">
        <f>IF(AND('Data Checks'!E451&gt;'Data Checks'!E450,'Data Checks'!E450&gt;'Data Checks'!E449,'Data Checks'!E449&gt;'Data Checks'!E448),"BUY",IF(AND('Data Checks'!E451&lt;'Data Checks'!E450,'Data Checks'!E450&lt;'Data Checks'!E449,'Data Checks'!E449&lt;'Data Checks'!E448),"SELL",""))</f>
        <v/>
      </c>
      <c r="AA241" t="str">
        <f>IF(AND('Data Checks'!F451&gt;'Data Checks'!F450,'Data Checks'!F450&gt;'Data Checks'!F449,'Data Checks'!F449&gt;'Data Checks'!F448),"BUY",IF(AND('Data Checks'!F451&lt;'Data Checks'!F450,'Data Checks'!F450&lt;'Data Checks'!F449,'Data Checks'!F449&lt;'Data Checks'!F448),"SELL",""))</f>
        <v/>
      </c>
      <c r="AB241">
        <f>IF(W240="BUY",AB240*('Data Checks'!B451/'Data Checks'!B450),IF(W240="SELL",AB240*('Data Checks'!B450/'Data Checks'!B451),AB240))</f>
        <v>152.528351994258</v>
      </c>
      <c r="AC241">
        <f>IF(X240="BUY",AC240*('Data Checks'!C451/'Data Checks'!C450),IF(X240="SELL",AC240*('Data Checks'!C450/'Data Checks'!C451),AC240))</f>
        <v>182.96779731030711</v>
      </c>
      <c r="AD241">
        <f>IF(Y240="BUY",AD240*('Data Checks'!D451/'Data Checks'!D450),IF(Y240="SELL",AD240*('Data Checks'!D450/'Data Checks'!D451),AD240))</f>
        <v>167.67430334242619</v>
      </c>
      <c r="AE241">
        <f>IF(Z240="BUY",AE240*('Data Checks'!E451/'Data Checks'!E450),IF(Z240="SELL",AE240*('Data Checks'!E450/'Data Checks'!E451),AE240))</f>
        <v>189.09556608093524</v>
      </c>
      <c r="AF241">
        <f>IF(AA240="BUY",AF240*('Data Checks'!F451/'Data Checks'!F450),IF(AA240="SELL",AF240*('Data Checks'!F450/'Data Checks'!F451),AF240))</f>
        <v>204.69814468009417</v>
      </c>
      <c r="AG241" s="16">
        <f t="shared" si="35"/>
        <v>896.96416340802068</v>
      </c>
      <c r="AH241" s="17">
        <f t="shared" si="39"/>
        <v>-1.4380883510054066E-2</v>
      </c>
      <c r="AJ241" t="str">
        <f>IF('Moving Ave'!G451&gt;'Moving Ave'!L451,"SELL","BUY")</f>
        <v>SELL</v>
      </c>
      <c r="AK241" t="str">
        <f>IF('Moving Ave'!H451&gt;'Moving Ave'!M451,"SELL","BUY")</f>
        <v>BUY</v>
      </c>
      <c r="AL241" t="str">
        <f>IF('Moving Ave'!I451&gt;'Moving Ave'!N451,"SELL","BUY")</f>
        <v>SELL</v>
      </c>
      <c r="AM241" t="str">
        <f>IF('Moving Ave'!J451&gt;'Moving Ave'!O451,"SELL","BUY")</f>
        <v>BUY</v>
      </c>
      <c r="AN241" t="str">
        <f>IF('Moving Ave'!K451&gt;'Moving Ave'!P451,"SELL","BUY")</f>
        <v>SELL</v>
      </c>
      <c r="AO241">
        <f>IF(AJ240="BUY",AO240*('Data Checks'!B451/'Data Checks'!B450),AO240*('Data Checks'!B450/'Data Checks'!B451))</f>
        <v>140.25699536943483</v>
      </c>
      <c r="AP241">
        <f>IF(AK240="BUY",AP240*('Data Checks'!C451/'Data Checks'!C450),AP240*('Data Checks'!C450/'Data Checks'!C451))</f>
        <v>138.7858810969237</v>
      </c>
      <c r="AQ241">
        <f>IF(AL240="BUY",AQ240*('Data Checks'!D451/'Data Checks'!D450),AQ240*('Data Checks'!D450/'Data Checks'!D451))</f>
        <v>248.23975728532716</v>
      </c>
      <c r="AR241">
        <f>IF(AM240="BUY",AR240*('Data Checks'!E451/'Data Checks'!E450),AR240*('Data Checks'!E450/'Data Checks'!E451))</f>
        <v>125.27618596330142</v>
      </c>
      <c r="AS241">
        <f>IF(AN240="BUY",AS240*('Data Checks'!F451/'Data Checks'!F450),AS240*('Data Checks'!F450/'Data Checks'!F451))</f>
        <v>214.92867495832289</v>
      </c>
      <c r="AT241" s="16">
        <f t="shared" si="36"/>
        <v>867.48749467330993</v>
      </c>
      <c r="AU241" s="17">
        <f t="shared" si="40"/>
        <v>-7.7439441675553056E-3</v>
      </c>
    </row>
    <row r="242" spans="1:47" x14ac:dyDescent="0.35">
      <c r="A242" s="2">
        <f>Prices!A450</f>
        <v>44538</v>
      </c>
      <c r="B242">
        <f>B241*('Data Checks'!B452/'Data Checks'!B451)</f>
        <v>334.80224258669773</v>
      </c>
      <c r="C242">
        <f>C241*('Data Checks'!C452/'Data Checks'!C451)</f>
        <v>135.229878974597</v>
      </c>
      <c r="D242">
        <f>D241*('Data Checks'!D452/'Data Checks'!D451)</f>
        <v>243.41292441831595</v>
      </c>
      <c r="E242">
        <f>E241*('Data Checks'!E452/'Data Checks'!E451)</f>
        <v>125.17575409522081</v>
      </c>
      <c r="F242">
        <f>F241*('Data Checks'!F452/'Data Checks'!F451)</f>
        <v>158.84597556765826</v>
      </c>
      <c r="G242" s="16">
        <f t="shared" si="33"/>
        <v>997.46677564248967</v>
      </c>
      <c r="H242" s="17">
        <f t="shared" si="37"/>
        <v>-4.3152631550028575E-3</v>
      </c>
      <c r="J242" t="str">
        <f>IF(AND('Data Checks'!B452&gt;'Data Checks'!B451,'Data Checks'!B451&gt;'Data Checks'!B450,'Data Checks'!B450&gt;'Data Checks'!B449),"SELL",IF(AND('Data Checks'!B452&lt;'Data Checks'!B451,'Data Checks'!B451&lt;'Data Checks'!B450,'Data Checks'!B450&lt;'Data Checks'!B449),"BUY",""))</f>
        <v/>
      </c>
      <c r="K242" t="str">
        <f>IF(AND('Data Checks'!C452&gt;'Data Checks'!C451,'Data Checks'!C451&gt;'Data Checks'!C450,'Data Checks'!C450&gt;'Data Checks'!C449),"SELL",IF(AND('Data Checks'!C452&lt;'Data Checks'!C451,'Data Checks'!C451&lt;'Data Checks'!C450,'Data Checks'!C450&lt;'Data Checks'!C449),"BUY",""))</f>
        <v/>
      </c>
      <c r="L242" t="str">
        <f>IF(AND('Data Checks'!D452&gt;'Data Checks'!D451,'Data Checks'!D451&gt;'Data Checks'!D450,'Data Checks'!D450&gt;'Data Checks'!D449),"SELL",IF(AND('Data Checks'!D452&lt;'Data Checks'!D451,'Data Checks'!D451&lt;'Data Checks'!D450,'Data Checks'!D450&lt;'Data Checks'!D449),"BUY",""))</f>
        <v/>
      </c>
      <c r="M242" t="str">
        <f>IF(AND('Data Checks'!E452&gt;'Data Checks'!E451,'Data Checks'!E451&gt;'Data Checks'!E450,'Data Checks'!E450&gt;'Data Checks'!E449),"SELL",IF(AND('Data Checks'!E452&lt;'Data Checks'!E451,'Data Checks'!E451&lt;'Data Checks'!E450,'Data Checks'!E450&lt;'Data Checks'!E449),"BUY",""))</f>
        <v/>
      </c>
      <c r="N242" t="str">
        <f>IF(AND('Data Checks'!F452&gt;'Data Checks'!F451,'Data Checks'!F451&gt;'Data Checks'!F450,'Data Checks'!F450&gt;'Data Checks'!F449),"SELL",IF(AND('Data Checks'!F452&lt;'Data Checks'!F451,'Data Checks'!F451&lt;'Data Checks'!F450,'Data Checks'!F450&lt;'Data Checks'!F449),"BUY",""))</f>
        <v/>
      </c>
      <c r="O242">
        <f>IF(J241="BUY",O241*('Data Checks'!B452/'Data Checks'!B451),IF(J241="SELL",O241*('Data Checks'!B451/'Data Checks'!B452),O241))</f>
        <v>263.84820804399294</v>
      </c>
      <c r="P242">
        <f>IF(K241="BUY",P241*('Data Checks'!C452/'Data Checks'!C451),IF(K241="SELL",P241*('Data Checks'!C451/'Data Checks'!C452),P241))</f>
        <v>218.61770534495432</v>
      </c>
      <c r="Q242">
        <f>IF(L241="BUY",Q241*('Data Checks'!D452/'Data Checks'!D451),IF(L241="SELL",Q241*('Data Checks'!D451/'Data Checks'!D452),Q241))</f>
        <v>238.55772293451318</v>
      </c>
      <c r="R242">
        <f>IF(M241="BUY",R241*('Data Checks'!E452/'Data Checks'!E451),IF(M241="SELL",R241*('Data Checks'!E451/'Data Checks'!E452),R241))</f>
        <v>211.53325183140188</v>
      </c>
      <c r="S242">
        <f>IF(N241="BUY",S241*('Data Checks'!F452/'Data Checks'!F451),IF(N241="SELL",S241*('Data Checks'!F451/'Data Checks'!F452),S241))</f>
        <v>195.4096851366813</v>
      </c>
      <c r="T242" s="16">
        <f t="shared" si="34"/>
        <v>1127.9665732915437</v>
      </c>
      <c r="U242" s="17">
        <f t="shared" si="38"/>
        <v>1.4221695157232705E-3</v>
      </c>
      <c r="W242" t="str">
        <f>IF(AND('Data Checks'!B452&gt;'Data Checks'!B451,'Data Checks'!B451&gt;'Data Checks'!B450,'Data Checks'!B450&gt;'Data Checks'!B449),"BUY",IF(AND('Data Checks'!B452&lt;'Data Checks'!B451,'Data Checks'!B451&lt;'Data Checks'!B450,'Data Checks'!B450&lt;'Data Checks'!B449),"SELL",""))</f>
        <v/>
      </c>
      <c r="X242" t="str">
        <f>IF(AND('Data Checks'!C452&gt;'Data Checks'!C451,'Data Checks'!C451&gt;'Data Checks'!C450,'Data Checks'!C450&gt;'Data Checks'!C449),"BUY",IF(AND('Data Checks'!C452&lt;'Data Checks'!C451,'Data Checks'!C451&lt;'Data Checks'!C450,'Data Checks'!C450&lt;'Data Checks'!C449),"SELL",""))</f>
        <v/>
      </c>
      <c r="Y242" t="str">
        <f>IF(AND('Data Checks'!D452&gt;'Data Checks'!D451,'Data Checks'!D451&gt;'Data Checks'!D450,'Data Checks'!D450&gt;'Data Checks'!D449),"BUY",IF(AND('Data Checks'!D452&lt;'Data Checks'!D451,'Data Checks'!D451&lt;'Data Checks'!D450,'Data Checks'!D450&lt;'Data Checks'!D449),"SELL",""))</f>
        <v/>
      </c>
      <c r="Z242" t="str">
        <f>IF(AND('Data Checks'!E452&gt;'Data Checks'!E451,'Data Checks'!E451&gt;'Data Checks'!E450,'Data Checks'!E450&gt;'Data Checks'!E449),"BUY",IF(AND('Data Checks'!E452&lt;'Data Checks'!E451,'Data Checks'!E451&lt;'Data Checks'!E450,'Data Checks'!E450&lt;'Data Checks'!E449),"SELL",""))</f>
        <v/>
      </c>
      <c r="AA242" t="str">
        <f>IF(AND('Data Checks'!F452&gt;'Data Checks'!F451,'Data Checks'!F451&gt;'Data Checks'!F450,'Data Checks'!F450&gt;'Data Checks'!F449),"BUY",IF(AND('Data Checks'!F452&lt;'Data Checks'!F451,'Data Checks'!F451&lt;'Data Checks'!F450,'Data Checks'!F450&lt;'Data Checks'!F449),"SELL",""))</f>
        <v/>
      </c>
      <c r="AB242">
        <f>IF(W241="BUY",AB241*('Data Checks'!B452/'Data Checks'!B451),IF(W241="SELL",AB241*('Data Checks'!B451/'Data Checks'!B452),AB241))</f>
        <v>151.60231822886055</v>
      </c>
      <c r="AC242">
        <f>IF(X241="BUY",AC241*('Data Checks'!C452/'Data Checks'!C451),IF(X241="SELL",AC241*('Data Checks'!C451/'Data Checks'!C452),AC241))</f>
        <v>182.96779731030711</v>
      </c>
      <c r="AD242">
        <f>IF(Y241="BUY",AD241*('Data Checks'!D452/'Data Checks'!D451),IF(Y241="SELL",AD241*('Data Checks'!D451/'Data Checks'!D452),AD241))</f>
        <v>167.67430334242619</v>
      </c>
      <c r="AE242">
        <f>IF(Z241="BUY",AE241*('Data Checks'!E452/'Data Checks'!E451),IF(Z241="SELL",AE241*('Data Checks'!E451/'Data Checks'!E452),AE241))</f>
        <v>189.09556608093524</v>
      </c>
      <c r="AF242">
        <f>IF(AA241="BUY",AF241*('Data Checks'!F452/'Data Checks'!F451),IF(AA241="SELL",AF241*('Data Checks'!F451/'Data Checks'!F452),AF241))</f>
        <v>204.69814468009417</v>
      </c>
      <c r="AG242" s="16">
        <f t="shared" si="35"/>
        <v>896.03812964262329</v>
      </c>
      <c r="AH242" s="17">
        <f t="shared" si="39"/>
        <v>-1.032408877829516E-3</v>
      </c>
      <c r="AJ242" t="str">
        <f>IF('Moving Ave'!G452&gt;'Moving Ave'!L452,"SELL","BUY")</f>
        <v>SELL</v>
      </c>
      <c r="AK242" t="str">
        <f>IF('Moving Ave'!H452&gt;'Moving Ave'!M452,"SELL","BUY")</f>
        <v>BUY</v>
      </c>
      <c r="AL242" t="str">
        <f>IF('Moving Ave'!I452&gt;'Moving Ave'!N452,"SELL","BUY")</f>
        <v>SELL</v>
      </c>
      <c r="AM242" t="str">
        <f>IF('Moving Ave'!J452&gt;'Moving Ave'!O452,"SELL","BUY")</f>
        <v>BUY</v>
      </c>
      <c r="AN242" t="str">
        <f>IF('Moving Ave'!K452&gt;'Moving Ave'!P452,"SELL","BUY")</f>
        <v>SELL</v>
      </c>
      <c r="AO242">
        <f>IF(AJ241="BUY",AO241*('Data Checks'!B452/'Data Checks'!B451),AO241*('Data Checks'!B451/'Data Checks'!B452))</f>
        <v>139.405463756806</v>
      </c>
      <c r="AP242">
        <f>IF(AK241="BUY",AP241*('Data Checks'!C452/'Data Checks'!C451),AP241*('Data Checks'!C451/'Data Checks'!C452))</f>
        <v>135.229878974597</v>
      </c>
      <c r="AQ242">
        <f>IF(AL241="BUY",AQ241*('Data Checks'!D452/'Data Checks'!D451),AQ241*('Data Checks'!D451/'Data Checks'!D452))</f>
        <v>248.51221821734526</v>
      </c>
      <c r="AR242">
        <f>IF(AM241="BUY",AR241*('Data Checks'!E452/'Data Checks'!E451),AR241*('Data Checks'!E451/'Data Checks'!E452))</f>
        <v>125.17575409522081</v>
      </c>
      <c r="AS242">
        <f>IF(AN241="BUY",AS241*('Data Checks'!F452/'Data Checks'!F451),AS241*('Data Checks'!F451/'Data Checks'!F452))</f>
        <v>218.2193909958948</v>
      </c>
      <c r="AT242" s="16">
        <f t="shared" si="36"/>
        <v>866.54270603986379</v>
      </c>
      <c r="AU242" s="17">
        <f t="shared" si="40"/>
        <v>-1.0891092254902146E-3</v>
      </c>
    </row>
    <row r="243" spans="1:47" x14ac:dyDescent="0.35">
      <c r="A243" s="2">
        <f>Prices!A451</f>
        <v>44539</v>
      </c>
      <c r="B243">
        <f>B242*('Data Checks'!B453/'Data Checks'!B452)</f>
        <v>327.1004825733246</v>
      </c>
      <c r="C243">
        <f>C242*('Data Checks'!C453/'Data Checks'!C452)</f>
        <v>136.70307687841205</v>
      </c>
      <c r="D243">
        <f>D242*('Data Checks'!D453/'Data Checks'!D452)</f>
        <v>241.74319655607303</v>
      </c>
      <c r="E243">
        <f>E242*('Data Checks'!E453/'Data Checks'!E452)</f>
        <v>125.81185383957636</v>
      </c>
      <c r="F243">
        <f>F242*('Data Checks'!F453/'Data Checks'!F452)</f>
        <v>157.36767034860762</v>
      </c>
      <c r="G243" s="16">
        <f t="shared" si="33"/>
        <v>988.72628019599358</v>
      </c>
      <c r="H243" s="17">
        <f t="shared" si="37"/>
        <v>-8.7626933146380814E-3</v>
      </c>
      <c r="J243" t="str">
        <f>IF(AND('Data Checks'!B453&gt;'Data Checks'!B452,'Data Checks'!B452&gt;'Data Checks'!B451,'Data Checks'!B451&gt;'Data Checks'!B450),"SELL",IF(AND('Data Checks'!B453&lt;'Data Checks'!B452,'Data Checks'!B452&lt;'Data Checks'!B451,'Data Checks'!B451&lt;'Data Checks'!B450),"BUY",""))</f>
        <v/>
      </c>
      <c r="K243" t="str">
        <f>IF(AND('Data Checks'!C453&gt;'Data Checks'!C452,'Data Checks'!C452&gt;'Data Checks'!C451,'Data Checks'!C451&gt;'Data Checks'!C450),"SELL",IF(AND('Data Checks'!C453&lt;'Data Checks'!C452,'Data Checks'!C452&lt;'Data Checks'!C451,'Data Checks'!C451&lt;'Data Checks'!C450),"BUY",""))</f>
        <v/>
      </c>
      <c r="L243" t="str">
        <f>IF(AND('Data Checks'!D453&gt;'Data Checks'!D452,'Data Checks'!D452&gt;'Data Checks'!D451,'Data Checks'!D451&gt;'Data Checks'!D450),"SELL",IF(AND('Data Checks'!D453&lt;'Data Checks'!D452,'Data Checks'!D452&lt;'Data Checks'!D451,'Data Checks'!D451&lt;'Data Checks'!D450),"BUY",""))</f>
        <v>BUY</v>
      </c>
      <c r="M243" t="str">
        <f>IF(AND('Data Checks'!E453&gt;'Data Checks'!E452,'Data Checks'!E452&gt;'Data Checks'!E451,'Data Checks'!E451&gt;'Data Checks'!E450),"SELL",IF(AND('Data Checks'!E453&lt;'Data Checks'!E452,'Data Checks'!E452&lt;'Data Checks'!E451,'Data Checks'!E451&lt;'Data Checks'!E450),"BUY",""))</f>
        <v/>
      </c>
      <c r="N243" t="str">
        <f>IF(AND('Data Checks'!F453&gt;'Data Checks'!F452,'Data Checks'!F452&gt;'Data Checks'!F451,'Data Checks'!F451&gt;'Data Checks'!F450),"SELL",IF(AND('Data Checks'!F453&lt;'Data Checks'!F452,'Data Checks'!F452&lt;'Data Checks'!F451,'Data Checks'!F451&lt;'Data Checks'!F450),"BUY",""))</f>
        <v/>
      </c>
      <c r="O243">
        <f>IF(J242="BUY",O242*('Data Checks'!B453/'Data Checks'!B452),IF(J242="SELL",O242*('Data Checks'!B452/'Data Checks'!B453),O242))</f>
        <v>263.84820804399294</v>
      </c>
      <c r="P243">
        <f>IF(K242="BUY",P242*('Data Checks'!C453/'Data Checks'!C452),IF(K242="SELL",P242*('Data Checks'!C452/'Data Checks'!C453),P242))</f>
        <v>218.61770534495432</v>
      </c>
      <c r="Q243">
        <f>IF(L242="BUY",Q242*('Data Checks'!D453/'Data Checks'!D452),IF(L242="SELL",Q242*('Data Checks'!D452/'Data Checks'!D453),Q242))</f>
        <v>238.55772293451318</v>
      </c>
      <c r="R243">
        <f>IF(M242="BUY",R242*('Data Checks'!E453/'Data Checks'!E452),IF(M242="SELL",R242*('Data Checks'!E452/'Data Checks'!E453),R242))</f>
        <v>211.53325183140188</v>
      </c>
      <c r="S243">
        <f>IF(N242="BUY",S242*('Data Checks'!F453/'Data Checks'!F452),IF(N242="SELL",S242*('Data Checks'!F452/'Data Checks'!F453),S242))</f>
        <v>195.4096851366813</v>
      </c>
      <c r="T243" s="16">
        <f t="shared" si="34"/>
        <v>1127.9665732915437</v>
      </c>
      <c r="U243" s="17">
        <f t="shared" si="38"/>
        <v>0</v>
      </c>
      <c r="W243" t="str">
        <f>IF(AND('Data Checks'!B453&gt;'Data Checks'!B452,'Data Checks'!B452&gt;'Data Checks'!B451,'Data Checks'!B451&gt;'Data Checks'!B450),"BUY",IF(AND('Data Checks'!B453&lt;'Data Checks'!B452,'Data Checks'!B452&lt;'Data Checks'!B451,'Data Checks'!B451&lt;'Data Checks'!B450),"SELL",""))</f>
        <v/>
      </c>
      <c r="X243" t="str">
        <f>IF(AND('Data Checks'!C453&gt;'Data Checks'!C452,'Data Checks'!C452&gt;'Data Checks'!C451,'Data Checks'!C451&gt;'Data Checks'!C450),"BUY",IF(AND('Data Checks'!C453&lt;'Data Checks'!C452,'Data Checks'!C452&lt;'Data Checks'!C451,'Data Checks'!C451&lt;'Data Checks'!C450),"SELL",""))</f>
        <v/>
      </c>
      <c r="Y243" t="str">
        <f>IF(AND('Data Checks'!D453&gt;'Data Checks'!D452,'Data Checks'!D452&gt;'Data Checks'!D451,'Data Checks'!D451&gt;'Data Checks'!D450),"BUY",IF(AND('Data Checks'!D453&lt;'Data Checks'!D452,'Data Checks'!D452&lt;'Data Checks'!D451,'Data Checks'!D451&lt;'Data Checks'!D450),"SELL",""))</f>
        <v>SELL</v>
      </c>
      <c r="Z243" t="str">
        <f>IF(AND('Data Checks'!E453&gt;'Data Checks'!E452,'Data Checks'!E452&gt;'Data Checks'!E451,'Data Checks'!E451&gt;'Data Checks'!E450),"BUY",IF(AND('Data Checks'!E453&lt;'Data Checks'!E452,'Data Checks'!E452&lt;'Data Checks'!E451,'Data Checks'!E451&lt;'Data Checks'!E450),"SELL",""))</f>
        <v/>
      </c>
      <c r="AA243" t="str">
        <f>IF(AND('Data Checks'!F453&gt;'Data Checks'!F452,'Data Checks'!F452&gt;'Data Checks'!F451,'Data Checks'!F451&gt;'Data Checks'!F450),"BUY",IF(AND('Data Checks'!F453&lt;'Data Checks'!F452,'Data Checks'!F452&lt;'Data Checks'!F451,'Data Checks'!F451&lt;'Data Checks'!F450),"SELL",""))</f>
        <v/>
      </c>
      <c r="AB243">
        <f>IF(W242="BUY",AB242*('Data Checks'!B453/'Data Checks'!B452),IF(W242="SELL",AB242*('Data Checks'!B452/'Data Checks'!B453),AB242))</f>
        <v>151.60231822886055</v>
      </c>
      <c r="AC243">
        <f>IF(X242="BUY",AC242*('Data Checks'!C453/'Data Checks'!C452),IF(X242="SELL",AC242*('Data Checks'!C452/'Data Checks'!C453),AC242))</f>
        <v>182.96779731030711</v>
      </c>
      <c r="AD243">
        <f>IF(Y242="BUY",AD242*('Data Checks'!D453/'Data Checks'!D452),IF(Y242="SELL",AD242*('Data Checks'!D452/'Data Checks'!D453),AD242))</f>
        <v>167.67430334242619</v>
      </c>
      <c r="AE243">
        <f>IF(Z242="BUY",AE242*('Data Checks'!E453/'Data Checks'!E452),IF(Z242="SELL",AE242*('Data Checks'!E452/'Data Checks'!E453),AE242))</f>
        <v>189.09556608093524</v>
      </c>
      <c r="AF243">
        <f>IF(AA242="BUY",AF242*('Data Checks'!F453/'Data Checks'!F452),IF(AA242="SELL",AF242*('Data Checks'!F452/'Data Checks'!F453),AF242))</f>
        <v>204.69814468009417</v>
      </c>
      <c r="AG243" s="16">
        <f t="shared" si="35"/>
        <v>896.03812964262329</v>
      </c>
      <c r="AH243" s="17">
        <f t="shared" si="39"/>
        <v>0</v>
      </c>
      <c r="AJ243" t="str">
        <f>IF('Moving Ave'!G453&gt;'Moving Ave'!L453,"SELL","BUY")</f>
        <v>SELL</v>
      </c>
      <c r="AK243" t="str">
        <f>IF('Moving Ave'!H453&gt;'Moving Ave'!M453,"SELL","BUY")</f>
        <v>BUY</v>
      </c>
      <c r="AL243" t="str">
        <f>IF('Moving Ave'!I453&gt;'Moving Ave'!N453,"SELL","BUY")</f>
        <v>SELL</v>
      </c>
      <c r="AM243" t="str">
        <f>IF('Moving Ave'!J453&gt;'Moving Ave'!O453,"SELL","BUY")</f>
        <v>BUY</v>
      </c>
      <c r="AN243" t="str">
        <f>IF('Moving Ave'!K453&gt;'Moving Ave'!P453,"SELL","BUY")</f>
        <v>SELL</v>
      </c>
      <c r="AO243">
        <f>IF(AJ242="BUY",AO242*('Data Checks'!B453/'Data Checks'!B452),AO242*('Data Checks'!B452/'Data Checks'!B453))</f>
        <v>142.68784175258665</v>
      </c>
      <c r="AP243">
        <f>IF(AK242="BUY",AP242*('Data Checks'!C453/'Data Checks'!C452),AP242*('Data Checks'!C452/'Data Checks'!C453))</f>
        <v>136.70307687841205</v>
      </c>
      <c r="AQ243">
        <f>IF(AL242="BUY",AQ242*('Data Checks'!D453/'Data Checks'!D452),AQ242*('Data Checks'!D452/'Data Checks'!D453))</f>
        <v>250.2286999251109</v>
      </c>
      <c r="AR243">
        <f>IF(AM242="BUY",AR242*('Data Checks'!E453/'Data Checks'!E452),AR242*('Data Checks'!E452/'Data Checks'!E453))</f>
        <v>125.81185383957636</v>
      </c>
      <c r="AS243">
        <f>IF(AN242="BUY",AS242*('Data Checks'!F453/'Data Checks'!F452),AS242*('Data Checks'!F452/'Data Checks'!F453))</f>
        <v>220.2693346971179</v>
      </c>
      <c r="AT243" s="16">
        <f t="shared" si="36"/>
        <v>875.70080709280376</v>
      </c>
      <c r="AU243" s="17">
        <f t="shared" si="40"/>
        <v>1.056855131213652E-2</v>
      </c>
    </row>
    <row r="244" spans="1:47" x14ac:dyDescent="0.35">
      <c r="A244" s="2">
        <f>Prices!A452</f>
        <v>44540</v>
      </c>
      <c r="B244">
        <f>B243*('Data Checks'!B454/'Data Checks'!B453)</f>
        <v>326.81492443762227</v>
      </c>
      <c r="C244">
        <f>C243*('Data Checks'!C454/'Data Checks'!C453)</f>
        <v>136.04268062084546</v>
      </c>
      <c r="D244">
        <f>D243*('Data Checks'!D454/'Data Checks'!D453)</f>
        <v>247.05294451582839</v>
      </c>
      <c r="E244">
        <f>E243*('Data Checks'!E454/'Data Checks'!E453)</f>
        <v>128.62402649400647</v>
      </c>
      <c r="F244">
        <f>F243*('Data Checks'!F454/'Data Checks'!F453)</f>
        <v>158.89366560172152</v>
      </c>
      <c r="G244" s="16">
        <f t="shared" si="33"/>
        <v>997.42824167002402</v>
      </c>
      <c r="H244" s="17">
        <f t="shared" si="37"/>
        <v>8.8011835513317482E-3</v>
      </c>
      <c r="J244" t="str">
        <f>IF(AND('Data Checks'!B454&gt;'Data Checks'!B453,'Data Checks'!B453&gt;'Data Checks'!B452,'Data Checks'!B452&gt;'Data Checks'!B451),"SELL",IF(AND('Data Checks'!B454&lt;'Data Checks'!B453,'Data Checks'!B453&lt;'Data Checks'!B452,'Data Checks'!B452&lt;'Data Checks'!B451),"BUY",""))</f>
        <v/>
      </c>
      <c r="K244" t="str">
        <f>IF(AND('Data Checks'!C454&gt;'Data Checks'!C453,'Data Checks'!C453&gt;'Data Checks'!C452,'Data Checks'!C452&gt;'Data Checks'!C451),"SELL",IF(AND('Data Checks'!C454&lt;'Data Checks'!C453,'Data Checks'!C453&lt;'Data Checks'!C452,'Data Checks'!C452&lt;'Data Checks'!C451),"BUY",""))</f>
        <v/>
      </c>
      <c r="L244" t="str">
        <f>IF(AND('Data Checks'!D454&gt;'Data Checks'!D453,'Data Checks'!D453&gt;'Data Checks'!D452,'Data Checks'!D452&gt;'Data Checks'!D451),"SELL",IF(AND('Data Checks'!D454&lt;'Data Checks'!D453,'Data Checks'!D453&lt;'Data Checks'!D452,'Data Checks'!D452&lt;'Data Checks'!D451),"BUY",""))</f>
        <v/>
      </c>
      <c r="M244" t="str">
        <f>IF(AND('Data Checks'!E454&gt;'Data Checks'!E453,'Data Checks'!E453&gt;'Data Checks'!E452,'Data Checks'!E452&gt;'Data Checks'!E451),"SELL",IF(AND('Data Checks'!E454&lt;'Data Checks'!E453,'Data Checks'!E453&lt;'Data Checks'!E452,'Data Checks'!E452&lt;'Data Checks'!E451),"BUY",""))</f>
        <v/>
      </c>
      <c r="N244" t="str">
        <f>IF(AND('Data Checks'!F454&gt;'Data Checks'!F453,'Data Checks'!F453&gt;'Data Checks'!F452,'Data Checks'!F452&gt;'Data Checks'!F451),"SELL",IF(AND('Data Checks'!F454&lt;'Data Checks'!F453,'Data Checks'!F453&lt;'Data Checks'!F452,'Data Checks'!F452&lt;'Data Checks'!F451),"BUY",""))</f>
        <v/>
      </c>
      <c r="O244">
        <f>IF(J243="BUY",O243*('Data Checks'!B454/'Data Checks'!B453),IF(J243="SELL",O243*('Data Checks'!B453/'Data Checks'!B454),O243))</f>
        <v>263.84820804399294</v>
      </c>
      <c r="P244">
        <f>IF(K243="BUY",P243*('Data Checks'!C454/'Data Checks'!C453),IF(K243="SELL",P243*('Data Checks'!C453/'Data Checks'!C454),P243))</f>
        <v>218.61770534495432</v>
      </c>
      <c r="Q244">
        <f>IF(L243="BUY",Q243*('Data Checks'!D454/'Data Checks'!D453),IF(L243="SELL",Q243*('Data Checks'!D453/'Data Checks'!D454),Q243))</f>
        <v>243.79750382878791</v>
      </c>
      <c r="R244">
        <f>IF(M243="BUY",R243*('Data Checks'!E454/'Data Checks'!E453),IF(M243="SELL",R243*('Data Checks'!E453/'Data Checks'!E454),R243))</f>
        <v>211.53325183140188</v>
      </c>
      <c r="S244">
        <f>IF(N243="BUY",S243*('Data Checks'!F454/'Data Checks'!F453),IF(N243="SELL",S243*('Data Checks'!F453/'Data Checks'!F454),S243))</f>
        <v>195.4096851366813</v>
      </c>
      <c r="T244" s="16">
        <f t="shared" si="34"/>
        <v>1133.2063541858183</v>
      </c>
      <c r="U244" s="17">
        <f t="shared" si="38"/>
        <v>4.6453334862435192E-3</v>
      </c>
      <c r="W244" t="str">
        <f>IF(AND('Data Checks'!B454&gt;'Data Checks'!B453,'Data Checks'!B453&gt;'Data Checks'!B452,'Data Checks'!B452&gt;'Data Checks'!B451),"BUY",IF(AND('Data Checks'!B454&lt;'Data Checks'!B453,'Data Checks'!B453&lt;'Data Checks'!B452,'Data Checks'!B452&lt;'Data Checks'!B451),"SELL",""))</f>
        <v/>
      </c>
      <c r="X244" t="str">
        <f>IF(AND('Data Checks'!C454&gt;'Data Checks'!C453,'Data Checks'!C453&gt;'Data Checks'!C452,'Data Checks'!C452&gt;'Data Checks'!C451),"BUY",IF(AND('Data Checks'!C454&lt;'Data Checks'!C453,'Data Checks'!C453&lt;'Data Checks'!C452,'Data Checks'!C452&lt;'Data Checks'!C451),"SELL",""))</f>
        <v/>
      </c>
      <c r="Y244" t="str">
        <f>IF(AND('Data Checks'!D454&gt;'Data Checks'!D453,'Data Checks'!D453&gt;'Data Checks'!D452,'Data Checks'!D452&gt;'Data Checks'!D451),"BUY",IF(AND('Data Checks'!D454&lt;'Data Checks'!D453,'Data Checks'!D453&lt;'Data Checks'!D452,'Data Checks'!D452&lt;'Data Checks'!D451),"SELL",""))</f>
        <v/>
      </c>
      <c r="Z244" t="str">
        <f>IF(AND('Data Checks'!E454&gt;'Data Checks'!E453,'Data Checks'!E453&gt;'Data Checks'!E452,'Data Checks'!E452&gt;'Data Checks'!E451),"BUY",IF(AND('Data Checks'!E454&lt;'Data Checks'!E453,'Data Checks'!E453&lt;'Data Checks'!E452,'Data Checks'!E452&lt;'Data Checks'!E451),"SELL",""))</f>
        <v/>
      </c>
      <c r="AA244" t="str">
        <f>IF(AND('Data Checks'!F454&gt;'Data Checks'!F453,'Data Checks'!F453&gt;'Data Checks'!F452,'Data Checks'!F452&gt;'Data Checks'!F451),"BUY",IF(AND('Data Checks'!F454&lt;'Data Checks'!F453,'Data Checks'!F453&lt;'Data Checks'!F452,'Data Checks'!F452&lt;'Data Checks'!F451),"SELL",""))</f>
        <v/>
      </c>
      <c r="AB244">
        <f>IF(W243="BUY",AB243*('Data Checks'!B454/'Data Checks'!B453),IF(W243="SELL",AB243*('Data Checks'!B453/'Data Checks'!B454),AB243))</f>
        <v>151.60231822886055</v>
      </c>
      <c r="AC244">
        <f>IF(X243="BUY",AC243*('Data Checks'!C454/'Data Checks'!C453),IF(X243="SELL",AC243*('Data Checks'!C453/'Data Checks'!C454),AC243))</f>
        <v>182.96779731030711</v>
      </c>
      <c r="AD244">
        <f>IF(Y243="BUY",AD243*('Data Checks'!D454/'Data Checks'!D453),IF(Y243="SELL",AD243*('Data Checks'!D453/'Data Checks'!D454),AD243))</f>
        <v>164.07058879524416</v>
      </c>
      <c r="AE244">
        <f>IF(Z243="BUY",AE243*('Data Checks'!E454/'Data Checks'!E453),IF(Z243="SELL",AE243*('Data Checks'!E453/'Data Checks'!E454),AE243))</f>
        <v>189.09556608093524</v>
      </c>
      <c r="AF244">
        <f>IF(AA243="BUY",AF243*('Data Checks'!F454/'Data Checks'!F453),IF(AA243="SELL",AF243*('Data Checks'!F453/'Data Checks'!F454),AF243))</f>
        <v>204.69814468009417</v>
      </c>
      <c r="AG244" s="16">
        <f t="shared" si="35"/>
        <v>892.43441509544118</v>
      </c>
      <c r="AH244" s="17">
        <f t="shared" si="39"/>
        <v>-4.0218316921618591E-3</v>
      </c>
      <c r="AJ244" t="str">
        <f>IF('Moving Ave'!G454&gt;'Moving Ave'!L454,"SELL","BUY")</f>
        <v>SELL</v>
      </c>
      <c r="AK244" t="str">
        <f>IF('Moving Ave'!H454&gt;'Moving Ave'!M454,"SELL","BUY")</f>
        <v>BUY</v>
      </c>
      <c r="AL244" t="str">
        <f>IF('Moving Ave'!I454&gt;'Moving Ave'!N454,"SELL","BUY")</f>
        <v>SELL</v>
      </c>
      <c r="AM244" t="str">
        <f>IF('Moving Ave'!J454&gt;'Moving Ave'!O454,"SELL","BUY")</f>
        <v>BUY</v>
      </c>
      <c r="AN244" t="str">
        <f>IF('Moving Ave'!K454&gt;'Moving Ave'!P454,"SELL","BUY")</f>
        <v>SELL</v>
      </c>
      <c r="AO244">
        <f>IF(AJ243="BUY",AO243*('Data Checks'!B454/'Data Checks'!B453),AO243*('Data Checks'!B453/'Data Checks'!B454))</f>
        <v>142.81251682410726</v>
      </c>
      <c r="AP244">
        <f>IF(AK243="BUY",AP243*('Data Checks'!C454/'Data Checks'!C453),AP243*('Data Checks'!C453/'Data Checks'!C454))</f>
        <v>136.04268062084546</v>
      </c>
      <c r="AQ244">
        <f>IF(AL243="BUY",AQ243*('Data Checks'!D454/'Data Checks'!D453),AQ243*('Data Checks'!D453/'Data Checks'!D454))</f>
        <v>244.85069752362784</v>
      </c>
      <c r="AR244">
        <f>IF(AM243="BUY",AR243*('Data Checks'!E454/'Data Checks'!E453),AR243*('Data Checks'!E453/'Data Checks'!E454))</f>
        <v>128.62402649400647</v>
      </c>
      <c r="AS244">
        <f>IF(AN243="BUY",AS243*('Data Checks'!F454/'Data Checks'!F453),AS243*('Data Checks'!F453/'Data Checks'!F454))</f>
        <v>218.15389505462832</v>
      </c>
      <c r="AT244" s="16">
        <f t="shared" si="36"/>
        <v>870.48381651721547</v>
      </c>
      <c r="AU244" s="17">
        <f t="shared" si="40"/>
        <v>-5.9575034456207376E-3</v>
      </c>
    </row>
    <row r="245" spans="1:47" x14ac:dyDescent="0.35">
      <c r="A245" s="2">
        <f>Prices!A453</f>
        <v>44541</v>
      </c>
      <c r="B245">
        <f>B244*('Data Checks'!B455/'Data Checks'!B454)</f>
        <v>328.38814395926215</v>
      </c>
      <c r="C245">
        <f>C244*('Data Checks'!C455/'Data Checks'!C454)</f>
        <v>134.87426809434274</v>
      </c>
      <c r="D245">
        <f>D244*('Data Checks'!D455/'Data Checks'!D454)</f>
        <v>247.52046831725642</v>
      </c>
      <c r="E245">
        <f>E244*('Data Checks'!E455/'Data Checks'!E454)</f>
        <v>126.58185381379799</v>
      </c>
      <c r="F245">
        <f>F244*('Data Checks'!F455/'Data Checks'!F454)</f>
        <v>154.41105991050637</v>
      </c>
      <c r="G245" s="16">
        <f t="shared" si="33"/>
        <v>991.77579409516557</v>
      </c>
      <c r="H245" s="17">
        <f t="shared" si="37"/>
        <v>-5.6670217853410643E-3</v>
      </c>
      <c r="J245" t="str">
        <f>IF(AND('Data Checks'!B455&gt;'Data Checks'!B454,'Data Checks'!B454&gt;'Data Checks'!B453,'Data Checks'!B453&gt;'Data Checks'!B452),"SELL",IF(AND('Data Checks'!B455&lt;'Data Checks'!B454,'Data Checks'!B454&lt;'Data Checks'!B453,'Data Checks'!B453&lt;'Data Checks'!B452),"BUY",""))</f>
        <v/>
      </c>
      <c r="K245" t="str">
        <f>IF(AND('Data Checks'!C455&gt;'Data Checks'!C454,'Data Checks'!C454&gt;'Data Checks'!C453,'Data Checks'!C453&gt;'Data Checks'!C452),"SELL",IF(AND('Data Checks'!C455&lt;'Data Checks'!C454,'Data Checks'!C454&lt;'Data Checks'!C453,'Data Checks'!C453&lt;'Data Checks'!C452),"BUY",""))</f>
        <v/>
      </c>
      <c r="L245" t="str">
        <f>IF(AND('Data Checks'!D455&gt;'Data Checks'!D454,'Data Checks'!D454&gt;'Data Checks'!D453,'Data Checks'!D453&gt;'Data Checks'!D452),"SELL",IF(AND('Data Checks'!D455&lt;'Data Checks'!D454,'Data Checks'!D454&lt;'Data Checks'!D453,'Data Checks'!D453&lt;'Data Checks'!D452),"BUY",""))</f>
        <v/>
      </c>
      <c r="M245" t="str">
        <f>IF(AND('Data Checks'!E455&gt;'Data Checks'!E454,'Data Checks'!E454&gt;'Data Checks'!E453,'Data Checks'!E453&gt;'Data Checks'!E452),"SELL",IF(AND('Data Checks'!E455&lt;'Data Checks'!E454,'Data Checks'!E454&lt;'Data Checks'!E453,'Data Checks'!E453&lt;'Data Checks'!E452),"BUY",""))</f>
        <v/>
      </c>
      <c r="N245" t="str">
        <f>IF(AND('Data Checks'!F455&gt;'Data Checks'!F454,'Data Checks'!F454&gt;'Data Checks'!F453,'Data Checks'!F453&gt;'Data Checks'!F452),"SELL",IF(AND('Data Checks'!F455&lt;'Data Checks'!F454,'Data Checks'!F454&lt;'Data Checks'!F453,'Data Checks'!F453&lt;'Data Checks'!F452),"BUY",""))</f>
        <v/>
      </c>
      <c r="O245">
        <f>IF(J244="BUY",O244*('Data Checks'!B455/'Data Checks'!B454),IF(J244="SELL",O244*('Data Checks'!B454/'Data Checks'!B455),O244))</f>
        <v>263.84820804399294</v>
      </c>
      <c r="P245">
        <f>IF(K244="BUY",P244*('Data Checks'!C455/'Data Checks'!C454),IF(K244="SELL",P244*('Data Checks'!C454/'Data Checks'!C455),P244))</f>
        <v>218.61770534495432</v>
      </c>
      <c r="Q245">
        <f>IF(L244="BUY",Q244*('Data Checks'!D455/'Data Checks'!D454),IF(L244="SELL",Q244*('Data Checks'!D454/'Data Checks'!D455),Q244))</f>
        <v>243.79750382878791</v>
      </c>
      <c r="R245">
        <f>IF(M244="BUY",R244*('Data Checks'!E455/'Data Checks'!E454),IF(M244="SELL",R244*('Data Checks'!E454/'Data Checks'!E455),R244))</f>
        <v>211.53325183140188</v>
      </c>
      <c r="S245">
        <f>IF(N244="BUY",S244*('Data Checks'!F455/'Data Checks'!F454),IF(N244="SELL",S244*('Data Checks'!F454/'Data Checks'!F455),S244))</f>
        <v>195.4096851366813</v>
      </c>
      <c r="T245" s="16">
        <f t="shared" si="34"/>
        <v>1133.2063541858183</v>
      </c>
      <c r="U245" s="17">
        <f t="shared" si="38"/>
        <v>0</v>
      </c>
      <c r="W245" t="str">
        <f>IF(AND('Data Checks'!B455&gt;'Data Checks'!B454,'Data Checks'!B454&gt;'Data Checks'!B453,'Data Checks'!B453&gt;'Data Checks'!B452),"BUY",IF(AND('Data Checks'!B455&lt;'Data Checks'!B454,'Data Checks'!B454&lt;'Data Checks'!B453,'Data Checks'!B453&lt;'Data Checks'!B452),"SELL",""))</f>
        <v/>
      </c>
      <c r="X245" t="str">
        <f>IF(AND('Data Checks'!C455&gt;'Data Checks'!C454,'Data Checks'!C454&gt;'Data Checks'!C453,'Data Checks'!C453&gt;'Data Checks'!C452),"BUY",IF(AND('Data Checks'!C455&lt;'Data Checks'!C454,'Data Checks'!C454&lt;'Data Checks'!C453,'Data Checks'!C453&lt;'Data Checks'!C452),"SELL",""))</f>
        <v/>
      </c>
      <c r="Y245" t="str">
        <f>IF(AND('Data Checks'!D455&gt;'Data Checks'!D454,'Data Checks'!D454&gt;'Data Checks'!D453,'Data Checks'!D453&gt;'Data Checks'!D452),"BUY",IF(AND('Data Checks'!D455&lt;'Data Checks'!D454,'Data Checks'!D454&lt;'Data Checks'!D453,'Data Checks'!D453&lt;'Data Checks'!D452),"SELL",""))</f>
        <v/>
      </c>
      <c r="Z245" t="str">
        <f>IF(AND('Data Checks'!E455&gt;'Data Checks'!E454,'Data Checks'!E454&gt;'Data Checks'!E453,'Data Checks'!E453&gt;'Data Checks'!E452),"BUY",IF(AND('Data Checks'!E455&lt;'Data Checks'!E454,'Data Checks'!E454&lt;'Data Checks'!E453,'Data Checks'!E453&lt;'Data Checks'!E452),"SELL",""))</f>
        <v/>
      </c>
      <c r="AA245" t="str">
        <f>IF(AND('Data Checks'!F455&gt;'Data Checks'!F454,'Data Checks'!F454&gt;'Data Checks'!F453,'Data Checks'!F453&gt;'Data Checks'!F452),"BUY",IF(AND('Data Checks'!F455&lt;'Data Checks'!F454,'Data Checks'!F454&lt;'Data Checks'!F453,'Data Checks'!F453&lt;'Data Checks'!F452),"SELL",""))</f>
        <v/>
      </c>
      <c r="AB245">
        <f>IF(W244="BUY",AB244*('Data Checks'!B455/'Data Checks'!B454),IF(W244="SELL",AB244*('Data Checks'!B454/'Data Checks'!B455),AB244))</f>
        <v>151.60231822886055</v>
      </c>
      <c r="AC245">
        <f>IF(X244="BUY",AC244*('Data Checks'!C455/'Data Checks'!C454),IF(X244="SELL",AC244*('Data Checks'!C454/'Data Checks'!C455),AC244))</f>
        <v>182.96779731030711</v>
      </c>
      <c r="AD245">
        <f>IF(Y244="BUY",AD244*('Data Checks'!D455/'Data Checks'!D454),IF(Y244="SELL",AD244*('Data Checks'!D454/'Data Checks'!D455),AD244))</f>
        <v>164.07058879524416</v>
      </c>
      <c r="AE245">
        <f>IF(Z244="BUY",AE244*('Data Checks'!E455/'Data Checks'!E454),IF(Z244="SELL",AE244*('Data Checks'!E454/'Data Checks'!E455),AE244))</f>
        <v>189.09556608093524</v>
      </c>
      <c r="AF245">
        <f>IF(AA244="BUY",AF244*('Data Checks'!F455/'Data Checks'!F454),IF(AA244="SELL",AF244*('Data Checks'!F454/'Data Checks'!F455),AF244))</f>
        <v>204.69814468009417</v>
      </c>
      <c r="AG245" s="16">
        <f t="shared" si="35"/>
        <v>892.43441509544118</v>
      </c>
      <c r="AH245" s="17">
        <f t="shared" si="39"/>
        <v>0</v>
      </c>
      <c r="AJ245" t="str">
        <f>IF('Moving Ave'!G455&gt;'Moving Ave'!L455,"SELL","BUY")</f>
        <v>SELL</v>
      </c>
      <c r="AK245" t="str">
        <f>IF('Moving Ave'!H455&gt;'Moving Ave'!M455,"SELL","BUY")</f>
        <v>BUY</v>
      </c>
      <c r="AL245" t="str">
        <f>IF('Moving Ave'!I455&gt;'Moving Ave'!N455,"SELL","BUY")</f>
        <v>SELL</v>
      </c>
      <c r="AM245" t="str">
        <f>IF('Moving Ave'!J455&gt;'Moving Ave'!O455,"SELL","BUY")</f>
        <v>BUY</v>
      </c>
      <c r="AN245" t="str">
        <f>IF('Moving Ave'!K455&gt;'Moving Ave'!P455,"SELL","BUY")</f>
        <v>SELL</v>
      </c>
      <c r="AO245">
        <f>IF(AJ244="BUY",AO244*('Data Checks'!B455/'Data Checks'!B454),AO244*('Data Checks'!B454/'Data Checks'!B455))</f>
        <v>142.12834035935009</v>
      </c>
      <c r="AP245">
        <f>IF(AK244="BUY",AP244*('Data Checks'!C455/'Data Checks'!C454),AP244*('Data Checks'!C454/'Data Checks'!C455))</f>
        <v>134.87426809434274</v>
      </c>
      <c r="AQ245">
        <f>IF(AL244="BUY",AQ244*('Data Checks'!D455/'Data Checks'!D454),AQ244*('Data Checks'!D454/'Data Checks'!D455))</f>
        <v>244.3882164622967</v>
      </c>
      <c r="AR245">
        <f>IF(AM244="BUY",AR244*('Data Checks'!E455/'Data Checks'!E454),AR244*('Data Checks'!E454/'Data Checks'!E455))</f>
        <v>126.58185381379799</v>
      </c>
      <c r="AS245">
        <f>IF(AN244="BUY",AS244*('Data Checks'!F455/'Data Checks'!F454),AS244*('Data Checks'!F454/'Data Checks'!F455))</f>
        <v>224.4869769731088</v>
      </c>
      <c r="AT245" s="16">
        <f t="shared" si="36"/>
        <v>872.45965570289627</v>
      </c>
      <c r="AU245" s="17">
        <f t="shared" si="40"/>
        <v>2.2698172535660088E-3</v>
      </c>
    </row>
    <row r="246" spans="1:47" x14ac:dyDescent="0.35">
      <c r="A246" s="2">
        <f>Prices!A454</f>
        <v>44544</v>
      </c>
      <c r="B246">
        <f>B245*('Data Checks'!B456/'Data Checks'!B455)</f>
        <v>332.66104544938651</v>
      </c>
      <c r="C246">
        <f>C245*('Data Checks'!C456/'Data Checks'!C455)</f>
        <v>135.53467451192989</v>
      </c>
      <c r="D246">
        <f>D245*('Data Checks'!D456/'Data Checks'!D455)</f>
        <v>248.42210800504472</v>
      </c>
      <c r="E246">
        <f>E245*('Data Checks'!E456/'Data Checks'!E455)</f>
        <v>121.9283454325964</v>
      </c>
      <c r="F246">
        <f>F245*('Data Checks'!F456/'Data Checks'!F455)</f>
        <v>150.69146615200003</v>
      </c>
      <c r="G246" s="16">
        <f t="shared" si="33"/>
        <v>989.23763955095751</v>
      </c>
      <c r="H246" s="17">
        <f t="shared" si="37"/>
        <v>-2.5592019479803163E-3</v>
      </c>
      <c r="J246" t="str">
        <f>IF(AND('Data Checks'!B456&gt;'Data Checks'!B455,'Data Checks'!B455&gt;'Data Checks'!B454,'Data Checks'!B454&gt;'Data Checks'!B453),"SELL",IF(AND('Data Checks'!B456&lt;'Data Checks'!B455,'Data Checks'!B455&lt;'Data Checks'!B454,'Data Checks'!B454&lt;'Data Checks'!B453),"BUY",""))</f>
        <v/>
      </c>
      <c r="K246" t="str">
        <f>IF(AND('Data Checks'!C456&gt;'Data Checks'!C455,'Data Checks'!C455&gt;'Data Checks'!C454,'Data Checks'!C454&gt;'Data Checks'!C453),"SELL",IF(AND('Data Checks'!C456&lt;'Data Checks'!C455,'Data Checks'!C455&lt;'Data Checks'!C454,'Data Checks'!C454&lt;'Data Checks'!C453),"BUY",""))</f>
        <v/>
      </c>
      <c r="L246" t="str">
        <f>IF(AND('Data Checks'!D456&gt;'Data Checks'!D455,'Data Checks'!D455&gt;'Data Checks'!D454,'Data Checks'!D454&gt;'Data Checks'!D453),"SELL",IF(AND('Data Checks'!D456&lt;'Data Checks'!D455,'Data Checks'!D455&lt;'Data Checks'!D454,'Data Checks'!D454&lt;'Data Checks'!D453),"BUY",""))</f>
        <v>SELL</v>
      </c>
      <c r="M246" t="str">
        <f>IF(AND('Data Checks'!E456&gt;'Data Checks'!E455,'Data Checks'!E455&gt;'Data Checks'!E454,'Data Checks'!E454&gt;'Data Checks'!E453),"SELL",IF(AND('Data Checks'!E456&lt;'Data Checks'!E455,'Data Checks'!E455&lt;'Data Checks'!E454,'Data Checks'!E454&lt;'Data Checks'!E453),"BUY",""))</f>
        <v/>
      </c>
      <c r="N246" t="str">
        <f>IF(AND('Data Checks'!F456&gt;'Data Checks'!F455,'Data Checks'!F455&gt;'Data Checks'!F454,'Data Checks'!F454&gt;'Data Checks'!F453),"SELL",IF(AND('Data Checks'!F456&lt;'Data Checks'!F455,'Data Checks'!F455&lt;'Data Checks'!F454,'Data Checks'!F454&lt;'Data Checks'!F453),"BUY",""))</f>
        <v/>
      </c>
      <c r="O246">
        <f>IF(J245="BUY",O245*('Data Checks'!B456/'Data Checks'!B455),IF(J245="SELL",O245*('Data Checks'!B455/'Data Checks'!B456),O245))</f>
        <v>263.84820804399294</v>
      </c>
      <c r="P246">
        <f>IF(K245="BUY",P245*('Data Checks'!C456/'Data Checks'!C455),IF(K245="SELL",P245*('Data Checks'!C455/'Data Checks'!C456),P245))</f>
        <v>218.61770534495432</v>
      </c>
      <c r="Q246">
        <f>IF(L245="BUY",Q245*('Data Checks'!D456/'Data Checks'!D455),IF(L245="SELL",Q245*('Data Checks'!D455/'Data Checks'!D456),Q245))</f>
        <v>243.79750382878791</v>
      </c>
      <c r="R246">
        <f>IF(M245="BUY",R245*('Data Checks'!E456/'Data Checks'!E455),IF(M245="SELL",R245*('Data Checks'!E455/'Data Checks'!E456),R245))</f>
        <v>211.53325183140188</v>
      </c>
      <c r="S246">
        <f>IF(N245="BUY",S245*('Data Checks'!F456/'Data Checks'!F455),IF(N245="SELL",S245*('Data Checks'!F455/'Data Checks'!F456),S245))</f>
        <v>195.4096851366813</v>
      </c>
      <c r="T246" s="16">
        <f t="shared" si="34"/>
        <v>1133.2063541858183</v>
      </c>
      <c r="U246" s="17">
        <f t="shared" si="38"/>
        <v>0</v>
      </c>
      <c r="W246" t="str">
        <f>IF(AND('Data Checks'!B456&gt;'Data Checks'!B455,'Data Checks'!B455&gt;'Data Checks'!B454,'Data Checks'!B454&gt;'Data Checks'!B453),"BUY",IF(AND('Data Checks'!B456&lt;'Data Checks'!B455,'Data Checks'!B455&lt;'Data Checks'!B454,'Data Checks'!B454&lt;'Data Checks'!B453),"SELL",""))</f>
        <v/>
      </c>
      <c r="X246" t="str">
        <f>IF(AND('Data Checks'!C456&gt;'Data Checks'!C455,'Data Checks'!C455&gt;'Data Checks'!C454,'Data Checks'!C454&gt;'Data Checks'!C453),"BUY",IF(AND('Data Checks'!C456&lt;'Data Checks'!C455,'Data Checks'!C455&lt;'Data Checks'!C454,'Data Checks'!C454&lt;'Data Checks'!C453),"SELL",""))</f>
        <v/>
      </c>
      <c r="Y246" t="str">
        <f>IF(AND('Data Checks'!D456&gt;'Data Checks'!D455,'Data Checks'!D455&gt;'Data Checks'!D454,'Data Checks'!D454&gt;'Data Checks'!D453),"BUY",IF(AND('Data Checks'!D456&lt;'Data Checks'!D455,'Data Checks'!D455&lt;'Data Checks'!D454,'Data Checks'!D454&lt;'Data Checks'!D453),"SELL",""))</f>
        <v>BUY</v>
      </c>
      <c r="Z246" t="str">
        <f>IF(AND('Data Checks'!E456&gt;'Data Checks'!E455,'Data Checks'!E455&gt;'Data Checks'!E454,'Data Checks'!E454&gt;'Data Checks'!E453),"BUY",IF(AND('Data Checks'!E456&lt;'Data Checks'!E455,'Data Checks'!E455&lt;'Data Checks'!E454,'Data Checks'!E454&lt;'Data Checks'!E453),"SELL",""))</f>
        <v/>
      </c>
      <c r="AA246" t="str">
        <f>IF(AND('Data Checks'!F456&gt;'Data Checks'!F455,'Data Checks'!F455&gt;'Data Checks'!F454,'Data Checks'!F454&gt;'Data Checks'!F453),"BUY",IF(AND('Data Checks'!F456&lt;'Data Checks'!F455,'Data Checks'!F455&lt;'Data Checks'!F454,'Data Checks'!F454&lt;'Data Checks'!F453),"SELL",""))</f>
        <v/>
      </c>
      <c r="AB246">
        <f>IF(W245="BUY",AB245*('Data Checks'!B456/'Data Checks'!B455),IF(W245="SELL",AB245*('Data Checks'!B455/'Data Checks'!B456),AB245))</f>
        <v>151.60231822886055</v>
      </c>
      <c r="AC246">
        <f>IF(X245="BUY",AC245*('Data Checks'!C456/'Data Checks'!C455),IF(X245="SELL",AC245*('Data Checks'!C455/'Data Checks'!C456),AC245))</f>
        <v>182.96779731030711</v>
      </c>
      <c r="AD246">
        <f>IF(Y245="BUY",AD245*('Data Checks'!D456/'Data Checks'!D455),IF(Y245="SELL",AD245*('Data Checks'!D455/'Data Checks'!D456),AD245))</f>
        <v>164.07058879524416</v>
      </c>
      <c r="AE246">
        <f>IF(Z245="BUY",AE245*('Data Checks'!E456/'Data Checks'!E455),IF(Z245="SELL",AE245*('Data Checks'!E455/'Data Checks'!E456),AE245))</f>
        <v>189.09556608093524</v>
      </c>
      <c r="AF246">
        <f>IF(AA245="BUY",AF245*('Data Checks'!F456/'Data Checks'!F455),IF(AA245="SELL",AF245*('Data Checks'!F455/'Data Checks'!F456),AF245))</f>
        <v>204.69814468009417</v>
      </c>
      <c r="AG246" s="16">
        <f t="shared" si="35"/>
        <v>892.43441509544118</v>
      </c>
      <c r="AH246" s="17">
        <f t="shared" si="39"/>
        <v>0</v>
      </c>
      <c r="AJ246" t="str">
        <f>IF('Moving Ave'!G456&gt;'Moving Ave'!L456,"SELL","BUY")</f>
        <v>SELL</v>
      </c>
      <c r="AK246" t="str">
        <f>IF('Moving Ave'!H456&gt;'Moving Ave'!M456,"SELL","BUY")</f>
        <v>BUY</v>
      </c>
      <c r="AL246" t="str">
        <f>IF('Moving Ave'!I456&gt;'Moving Ave'!N456,"SELL","BUY")</f>
        <v>SELL</v>
      </c>
      <c r="AM246" t="str">
        <f>IF('Moving Ave'!J456&gt;'Moving Ave'!O456,"SELL","BUY")</f>
        <v>BUY</v>
      </c>
      <c r="AN246" t="str">
        <f>IF('Moving Ave'!K456&gt;'Moving Ave'!P456,"SELL","BUY")</f>
        <v>SELL</v>
      </c>
      <c r="AO246">
        <f>IF(AJ245="BUY",AO245*('Data Checks'!B456/'Data Checks'!B455),AO245*('Data Checks'!B455/'Data Checks'!B456))</f>
        <v>140.302757215132</v>
      </c>
      <c r="AP246">
        <f>IF(AK245="BUY",AP245*('Data Checks'!C456/'Data Checks'!C455),AP245*('Data Checks'!C455/'Data Checks'!C456))</f>
        <v>135.53467451192989</v>
      </c>
      <c r="AQ246">
        <f>IF(AL245="BUY",AQ245*('Data Checks'!D456/'Data Checks'!D455),AQ245*('Data Checks'!D455/'Data Checks'!D456))</f>
        <v>243.50121764822282</v>
      </c>
      <c r="AR246">
        <f>IF(AM245="BUY",AR245*('Data Checks'!E456/'Data Checks'!E455),AR245*('Data Checks'!E455/'Data Checks'!E456))</f>
        <v>121.9283454325964</v>
      </c>
      <c r="AS246">
        <f>IF(AN245="BUY",AS245*('Data Checks'!F456/'Data Checks'!F455),AS245*('Data Checks'!F455/'Data Checks'!F456))</f>
        <v>230.02810269002819</v>
      </c>
      <c r="AT246" s="16">
        <f t="shared" si="36"/>
        <v>871.2950974979093</v>
      </c>
      <c r="AU246" s="17">
        <f t="shared" si="40"/>
        <v>-1.3347989186374143E-3</v>
      </c>
    </row>
    <row r="247" spans="1:47" x14ac:dyDescent="0.35">
      <c r="A247" s="2">
        <f>Prices!A455</f>
        <v>44545</v>
      </c>
      <c r="B247">
        <f>B246*('Data Checks'!B457/'Data Checks'!B456)</f>
        <v>333.51985504017472</v>
      </c>
      <c r="C247">
        <f>C246*('Data Checks'!C457/'Data Checks'!C456)</f>
        <v>136.85548226709392</v>
      </c>
      <c r="D247">
        <f>D246*('Data Checks'!D457/'Data Checks'!D456)</f>
        <v>254.43313832748638</v>
      </c>
      <c r="E247">
        <f>E246*('Data Checks'!E457/'Data Checks'!E456)</f>
        <v>125.81185383957637</v>
      </c>
      <c r="F247">
        <f>F246*('Data Checks'!F457/'Data Checks'!F456)</f>
        <v>152.74200886135449</v>
      </c>
      <c r="G247" s="16">
        <f t="shared" si="33"/>
        <v>1003.3623383356859</v>
      </c>
      <c r="H247" s="17">
        <f t="shared" si="37"/>
        <v>1.4278367724806618E-2</v>
      </c>
      <c r="J247" t="str">
        <f>IF(AND('Data Checks'!B457&gt;'Data Checks'!B456,'Data Checks'!B456&gt;'Data Checks'!B455,'Data Checks'!B455&gt;'Data Checks'!B454),"SELL",IF(AND('Data Checks'!B457&lt;'Data Checks'!B456,'Data Checks'!B456&lt;'Data Checks'!B455,'Data Checks'!B455&lt;'Data Checks'!B454),"BUY",""))</f>
        <v>SELL</v>
      </c>
      <c r="K247" t="str">
        <f>IF(AND('Data Checks'!C457&gt;'Data Checks'!C456,'Data Checks'!C456&gt;'Data Checks'!C455,'Data Checks'!C455&gt;'Data Checks'!C454),"SELL",IF(AND('Data Checks'!C457&lt;'Data Checks'!C456,'Data Checks'!C456&lt;'Data Checks'!C455,'Data Checks'!C455&lt;'Data Checks'!C454),"BUY",""))</f>
        <v/>
      </c>
      <c r="L247" t="str">
        <f>IF(AND('Data Checks'!D457&gt;'Data Checks'!D456,'Data Checks'!D456&gt;'Data Checks'!D455,'Data Checks'!D455&gt;'Data Checks'!D454),"SELL",IF(AND('Data Checks'!D457&lt;'Data Checks'!D456,'Data Checks'!D456&lt;'Data Checks'!D455,'Data Checks'!D455&lt;'Data Checks'!D454),"BUY",""))</f>
        <v>SELL</v>
      </c>
      <c r="M247" t="str">
        <f>IF(AND('Data Checks'!E457&gt;'Data Checks'!E456,'Data Checks'!E456&gt;'Data Checks'!E455,'Data Checks'!E455&gt;'Data Checks'!E454),"SELL",IF(AND('Data Checks'!E457&lt;'Data Checks'!E456,'Data Checks'!E456&lt;'Data Checks'!E455,'Data Checks'!E455&lt;'Data Checks'!E454),"BUY",""))</f>
        <v/>
      </c>
      <c r="N247" t="str">
        <f>IF(AND('Data Checks'!F457&gt;'Data Checks'!F456,'Data Checks'!F456&gt;'Data Checks'!F455,'Data Checks'!F455&gt;'Data Checks'!F454),"SELL",IF(AND('Data Checks'!F457&lt;'Data Checks'!F456,'Data Checks'!F456&lt;'Data Checks'!F455,'Data Checks'!F455&lt;'Data Checks'!F454),"BUY",""))</f>
        <v/>
      </c>
      <c r="O247">
        <f>IF(J246="BUY",O246*('Data Checks'!B457/'Data Checks'!B456),IF(J246="SELL",O246*('Data Checks'!B456/'Data Checks'!B457),O246))</f>
        <v>263.84820804399294</v>
      </c>
      <c r="P247">
        <f>IF(K246="BUY",P246*('Data Checks'!C457/'Data Checks'!C456),IF(K246="SELL",P246*('Data Checks'!C456/'Data Checks'!C457),P246))</f>
        <v>218.61770534495432</v>
      </c>
      <c r="Q247">
        <f>IF(L246="BUY",Q246*('Data Checks'!D457/'Data Checks'!D456),IF(L246="SELL",Q246*('Data Checks'!D456/'Data Checks'!D457),Q246))</f>
        <v>238.03774235399058</v>
      </c>
      <c r="R247">
        <f>IF(M246="BUY",R246*('Data Checks'!E457/'Data Checks'!E456),IF(M246="SELL",R246*('Data Checks'!E456/'Data Checks'!E457),R246))</f>
        <v>211.53325183140188</v>
      </c>
      <c r="S247">
        <f>IF(N246="BUY",S246*('Data Checks'!F457/'Data Checks'!F456),IF(N246="SELL",S246*('Data Checks'!F456/'Data Checks'!F457),S246))</f>
        <v>195.4096851366813</v>
      </c>
      <c r="T247" s="16">
        <f t="shared" si="34"/>
        <v>1127.4465927110209</v>
      </c>
      <c r="U247" s="17">
        <f t="shared" si="38"/>
        <v>-5.0827119469654125E-3</v>
      </c>
      <c r="W247" t="str">
        <f>IF(AND('Data Checks'!B457&gt;'Data Checks'!B456,'Data Checks'!B456&gt;'Data Checks'!B455,'Data Checks'!B455&gt;'Data Checks'!B454),"BUY",IF(AND('Data Checks'!B457&lt;'Data Checks'!B456,'Data Checks'!B456&lt;'Data Checks'!B455,'Data Checks'!B455&lt;'Data Checks'!B454),"SELL",""))</f>
        <v>BUY</v>
      </c>
      <c r="X247" t="str">
        <f>IF(AND('Data Checks'!C457&gt;'Data Checks'!C456,'Data Checks'!C456&gt;'Data Checks'!C455,'Data Checks'!C455&gt;'Data Checks'!C454),"BUY",IF(AND('Data Checks'!C457&lt;'Data Checks'!C456,'Data Checks'!C456&lt;'Data Checks'!C455,'Data Checks'!C455&lt;'Data Checks'!C454),"SELL",""))</f>
        <v/>
      </c>
      <c r="Y247" t="str">
        <f>IF(AND('Data Checks'!D457&gt;'Data Checks'!D456,'Data Checks'!D456&gt;'Data Checks'!D455,'Data Checks'!D455&gt;'Data Checks'!D454),"BUY",IF(AND('Data Checks'!D457&lt;'Data Checks'!D456,'Data Checks'!D456&lt;'Data Checks'!D455,'Data Checks'!D455&lt;'Data Checks'!D454),"SELL",""))</f>
        <v>BUY</v>
      </c>
      <c r="Z247" t="str">
        <f>IF(AND('Data Checks'!E457&gt;'Data Checks'!E456,'Data Checks'!E456&gt;'Data Checks'!E455,'Data Checks'!E455&gt;'Data Checks'!E454),"BUY",IF(AND('Data Checks'!E457&lt;'Data Checks'!E456,'Data Checks'!E456&lt;'Data Checks'!E455,'Data Checks'!E455&lt;'Data Checks'!E454),"SELL",""))</f>
        <v/>
      </c>
      <c r="AA247" t="str">
        <f>IF(AND('Data Checks'!F457&gt;'Data Checks'!F456,'Data Checks'!F456&gt;'Data Checks'!F455,'Data Checks'!F455&gt;'Data Checks'!F454),"BUY",IF(AND('Data Checks'!F457&lt;'Data Checks'!F456,'Data Checks'!F456&lt;'Data Checks'!F455,'Data Checks'!F455&lt;'Data Checks'!F454),"SELL",""))</f>
        <v/>
      </c>
      <c r="AB247">
        <f>IF(W246="BUY",AB246*('Data Checks'!B457/'Data Checks'!B456),IF(W246="SELL",AB246*('Data Checks'!B456/'Data Checks'!B457),AB246))</f>
        <v>151.60231822886055</v>
      </c>
      <c r="AC247">
        <f>IF(X246="BUY",AC246*('Data Checks'!C457/'Data Checks'!C456),IF(X246="SELL",AC246*('Data Checks'!C456/'Data Checks'!C457),AC246))</f>
        <v>182.96779731030711</v>
      </c>
      <c r="AD247">
        <f>IF(Y246="BUY",AD246*('Data Checks'!D457/'Data Checks'!D456),IF(Y246="SELL",AD246*('Data Checks'!D456/'Data Checks'!D457),AD246))</f>
        <v>168.04057879407728</v>
      </c>
      <c r="AE247">
        <f>IF(Z246="BUY",AE246*('Data Checks'!E457/'Data Checks'!E456),IF(Z246="SELL",AE246*('Data Checks'!E456/'Data Checks'!E457),AE246))</f>
        <v>189.09556608093524</v>
      </c>
      <c r="AF247">
        <f>IF(AA246="BUY",AF246*('Data Checks'!F457/'Data Checks'!F456),IF(AA246="SELL",AF246*('Data Checks'!F456/'Data Checks'!F457),AF246))</f>
        <v>204.69814468009417</v>
      </c>
      <c r="AG247" s="16">
        <f t="shared" si="35"/>
        <v>896.40440509427435</v>
      </c>
      <c r="AH247" s="17">
        <f t="shared" si="39"/>
        <v>4.4484949612892954E-3</v>
      </c>
      <c r="AJ247" t="str">
        <f>IF('Moving Ave'!G457&gt;'Moving Ave'!L457,"SELL","BUY")</f>
        <v>SELL</v>
      </c>
      <c r="AK247" t="str">
        <f>IF('Moving Ave'!H457&gt;'Moving Ave'!M457,"SELL","BUY")</f>
        <v>BUY</v>
      </c>
      <c r="AL247" t="str">
        <f>IF('Moving Ave'!I457&gt;'Moving Ave'!N457,"SELL","BUY")</f>
        <v>SELL</v>
      </c>
      <c r="AM247" t="str">
        <f>IF('Moving Ave'!J457&gt;'Moving Ave'!O457,"SELL","BUY")</f>
        <v>BUY</v>
      </c>
      <c r="AN247" t="str">
        <f>IF('Moving Ave'!K457&gt;'Moving Ave'!P457,"SELL","BUY")</f>
        <v>SELL</v>
      </c>
      <c r="AO247">
        <f>IF(AJ246="BUY",AO246*('Data Checks'!B457/'Data Checks'!B456),AO246*('Data Checks'!B456/'Data Checks'!B457))</f>
        <v>139.94147931311366</v>
      </c>
      <c r="AP247">
        <f>IF(AK246="BUY",AP246*('Data Checks'!C457/'Data Checks'!C456),AP246*('Data Checks'!C456/'Data Checks'!C457))</f>
        <v>136.85548226709392</v>
      </c>
      <c r="AQ247">
        <f>IF(AL246="BUY",AQ246*('Data Checks'!D457/'Data Checks'!D456),AQ246*('Data Checks'!D456/'Data Checks'!D457))</f>
        <v>237.74845598967272</v>
      </c>
      <c r="AR247">
        <f>IF(AM246="BUY",AR246*('Data Checks'!E457/'Data Checks'!E456),AR246*('Data Checks'!E456/'Data Checks'!E457))</f>
        <v>125.81185383957637</v>
      </c>
      <c r="AS247">
        <f>IF(AN246="BUY",AS246*('Data Checks'!F457/'Data Checks'!F456),AS246*('Data Checks'!F456/'Data Checks'!F457))</f>
        <v>226.94000366321873</v>
      </c>
      <c r="AT247" s="16">
        <f t="shared" si="36"/>
        <v>867.29727507267535</v>
      </c>
      <c r="AU247" s="17">
        <f t="shared" si="40"/>
        <v>-4.5883678637862468E-3</v>
      </c>
    </row>
    <row r="248" spans="1:47" x14ac:dyDescent="0.35">
      <c r="A248" s="2">
        <f>Prices!A456</f>
        <v>44546</v>
      </c>
      <c r="B248">
        <f>B247*('Data Checks'!B458/'Data Checks'!B457)</f>
        <v>341.51136652856775</v>
      </c>
      <c r="C248">
        <f>C247*('Data Checks'!C458/'Data Checks'!C457)</f>
        <v>135.43307430614882</v>
      </c>
      <c r="D248">
        <f>D247*('Data Checks'!D458/'Data Checks'!D457)</f>
        <v>253.46469616738545</v>
      </c>
      <c r="E248">
        <f>E247*('Data Checks'!E458/'Data Checks'!E457)</f>
        <v>126.64881397225264</v>
      </c>
      <c r="F248">
        <f>F247*('Data Checks'!F458/'Data Checks'!F457)</f>
        <v>154.79256587686081</v>
      </c>
      <c r="G248" s="16">
        <f t="shared" si="33"/>
        <v>1011.8505168512156</v>
      </c>
      <c r="H248" s="17">
        <f t="shared" si="37"/>
        <v>8.4597340274994437E-3</v>
      </c>
      <c r="J248" t="str">
        <f>IF(AND('Data Checks'!B458&gt;'Data Checks'!B457,'Data Checks'!B457&gt;'Data Checks'!B456,'Data Checks'!B456&gt;'Data Checks'!B455),"SELL",IF(AND('Data Checks'!B458&lt;'Data Checks'!B457,'Data Checks'!B457&lt;'Data Checks'!B456,'Data Checks'!B456&lt;'Data Checks'!B455),"BUY",""))</f>
        <v>SELL</v>
      </c>
      <c r="K248" t="str">
        <f>IF(AND('Data Checks'!C458&gt;'Data Checks'!C457,'Data Checks'!C457&gt;'Data Checks'!C456,'Data Checks'!C456&gt;'Data Checks'!C455),"SELL",IF(AND('Data Checks'!C458&lt;'Data Checks'!C457,'Data Checks'!C457&lt;'Data Checks'!C456,'Data Checks'!C456&lt;'Data Checks'!C455),"BUY",""))</f>
        <v/>
      </c>
      <c r="L248" t="str">
        <f>IF(AND('Data Checks'!D458&gt;'Data Checks'!D457,'Data Checks'!D457&gt;'Data Checks'!D456,'Data Checks'!D456&gt;'Data Checks'!D455),"SELL",IF(AND('Data Checks'!D458&lt;'Data Checks'!D457,'Data Checks'!D457&lt;'Data Checks'!D456,'Data Checks'!D456&lt;'Data Checks'!D455),"BUY",""))</f>
        <v/>
      </c>
      <c r="M248" t="str">
        <f>IF(AND('Data Checks'!E458&gt;'Data Checks'!E457,'Data Checks'!E457&gt;'Data Checks'!E456,'Data Checks'!E456&gt;'Data Checks'!E455),"SELL",IF(AND('Data Checks'!E458&lt;'Data Checks'!E457,'Data Checks'!E457&lt;'Data Checks'!E456,'Data Checks'!E456&lt;'Data Checks'!E455),"BUY",""))</f>
        <v/>
      </c>
      <c r="N248" t="str">
        <f>IF(AND('Data Checks'!F458&gt;'Data Checks'!F457,'Data Checks'!F457&gt;'Data Checks'!F456,'Data Checks'!F456&gt;'Data Checks'!F455),"SELL",IF(AND('Data Checks'!F458&lt;'Data Checks'!F457,'Data Checks'!F457&lt;'Data Checks'!F456,'Data Checks'!F456&lt;'Data Checks'!F455),"BUY",""))</f>
        <v/>
      </c>
      <c r="O248">
        <f>IF(J247="BUY",O247*('Data Checks'!B458/'Data Checks'!B457),IF(J247="SELL",O247*('Data Checks'!B457/'Data Checks'!B458),O247))</f>
        <v>257.67404755496244</v>
      </c>
      <c r="P248">
        <f>IF(K247="BUY",P247*('Data Checks'!C458/'Data Checks'!C457),IF(K247="SELL",P247*('Data Checks'!C457/'Data Checks'!C458),P247))</f>
        <v>218.61770534495432</v>
      </c>
      <c r="Q248">
        <f>IF(L247="BUY",Q247*('Data Checks'!D458/'Data Checks'!D457),IF(L247="SELL",Q247*('Data Checks'!D457/'Data Checks'!D458),Q247))</f>
        <v>238.94724095034977</v>
      </c>
      <c r="R248">
        <f>IF(M247="BUY",R247*('Data Checks'!E458/'Data Checks'!E457),IF(M247="SELL",R247*('Data Checks'!E457/'Data Checks'!E458),R247))</f>
        <v>211.53325183140188</v>
      </c>
      <c r="S248">
        <f>IF(N247="BUY",S247*('Data Checks'!F458/'Data Checks'!F457),IF(N247="SELL",S247*('Data Checks'!F457/'Data Checks'!F458),S247))</f>
        <v>195.4096851366813</v>
      </c>
      <c r="T248" s="16">
        <f t="shared" si="34"/>
        <v>1122.1819308183497</v>
      </c>
      <c r="U248" s="17">
        <f t="shared" si="38"/>
        <v>-4.66954437283984E-3</v>
      </c>
      <c r="W248" t="str">
        <f>IF(AND('Data Checks'!B458&gt;'Data Checks'!B457,'Data Checks'!B457&gt;'Data Checks'!B456,'Data Checks'!B456&gt;'Data Checks'!B455),"BUY",IF(AND('Data Checks'!B458&lt;'Data Checks'!B457,'Data Checks'!B457&lt;'Data Checks'!B456,'Data Checks'!B456&lt;'Data Checks'!B455),"SELL",""))</f>
        <v>BUY</v>
      </c>
      <c r="X248" t="str">
        <f>IF(AND('Data Checks'!C458&gt;'Data Checks'!C457,'Data Checks'!C457&gt;'Data Checks'!C456,'Data Checks'!C456&gt;'Data Checks'!C455),"BUY",IF(AND('Data Checks'!C458&lt;'Data Checks'!C457,'Data Checks'!C457&lt;'Data Checks'!C456,'Data Checks'!C456&lt;'Data Checks'!C455),"SELL",""))</f>
        <v/>
      </c>
      <c r="Y248" t="str">
        <f>IF(AND('Data Checks'!D458&gt;'Data Checks'!D457,'Data Checks'!D457&gt;'Data Checks'!D456,'Data Checks'!D456&gt;'Data Checks'!D455),"BUY",IF(AND('Data Checks'!D458&lt;'Data Checks'!D457,'Data Checks'!D457&lt;'Data Checks'!D456,'Data Checks'!D456&lt;'Data Checks'!D455),"SELL",""))</f>
        <v/>
      </c>
      <c r="Z248" t="str">
        <f>IF(AND('Data Checks'!E458&gt;'Data Checks'!E457,'Data Checks'!E457&gt;'Data Checks'!E456,'Data Checks'!E456&gt;'Data Checks'!E455),"BUY",IF(AND('Data Checks'!E458&lt;'Data Checks'!E457,'Data Checks'!E457&lt;'Data Checks'!E456,'Data Checks'!E456&lt;'Data Checks'!E455),"SELL",""))</f>
        <v/>
      </c>
      <c r="AA248" t="str">
        <f>IF(AND('Data Checks'!F458&gt;'Data Checks'!F457,'Data Checks'!F457&gt;'Data Checks'!F456,'Data Checks'!F456&gt;'Data Checks'!F455),"BUY",IF(AND('Data Checks'!F458&lt;'Data Checks'!F457,'Data Checks'!F457&lt;'Data Checks'!F456,'Data Checks'!F456&lt;'Data Checks'!F455),"SELL",""))</f>
        <v/>
      </c>
      <c r="AB248">
        <f>IF(W247="BUY",AB247*('Data Checks'!B458/'Data Checks'!B457),IF(W247="SELL",AB247*('Data Checks'!B457/'Data Checks'!B458),AB247))</f>
        <v>155.23488057705126</v>
      </c>
      <c r="AC248">
        <f>IF(X247="BUY",AC247*('Data Checks'!C458/'Data Checks'!C457),IF(X247="SELL",AC247*('Data Checks'!C457/'Data Checks'!C458),AC247))</f>
        <v>182.96779731030711</v>
      </c>
      <c r="AD248">
        <f>IF(Y247="BUY",AD247*('Data Checks'!D458/'Data Checks'!D457),IF(Y247="SELL",AD247*('Data Checks'!D457/'Data Checks'!D458),AD247))</f>
        <v>167.4009703602793</v>
      </c>
      <c r="AE248">
        <f>IF(Z247="BUY",AE247*('Data Checks'!E458/'Data Checks'!E457),IF(Z247="SELL",AE247*('Data Checks'!E457/'Data Checks'!E458),AE247))</f>
        <v>189.09556608093524</v>
      </c>
      <c r="AF248">
        <f>IF(AA247="BUY",AF247*('Data Checks'!F458/'Data Checks'!F457),IF(AA247="SELL",AF247*('Data Checks'!F457/'Data Checks'!F458),AF247))</f>
        <v>204.69814468009417</v>
      </c>
      <c r="AG248" s="16">
        <f t="shared" si="35"/>
        <v>899.39735900866708</v>
      </c>
      <c r="AH248" s="17">
        <f t="shared" si="39"/>
        <v>3.3388433807148843E-3</v>
      </c>
      <c r="AJ248" t="str">
        <f>IF('Moving Ave'!G458&gt;'Moving Ave'!L458,"SELL","BUY")</f>
        <v>SELL</v>
      </c>
      <c r="AK248" t="str">
        <f>IF('Moving Ave'!H458&gt;'Moving Ave'!M458,"SELL","BUY")</f>
        <v>BUY</v>
      </c>
      <c r="AL248" t="str">
        <f>IF('Moving Ave'!I458&gt;'Moving Ave'!N458,"SELL","BUY")</f>
        <v>SELL</v>
      </c>
      <c r="AM248" t="str">
        <f>IF('Moving Ave'!J458&gt;'Moving Ave'!O458,"SELL","BUY")</f>
        <v>BUY</v>
      </c>
      <c r="AN248" t="str">
        <f>IF('Moving Ave'!K458&gt;'Moving Ave'!P458,"SELL","BUY")</f>
        <v>SELL</v>
      </c>
      <c r="AO248">
        <f>IF(AJ247="BUY",AO247*('Data Checks'!B458/'Data Checks'!B457),AO247*('Data Checks'!B457/'Data Checks'!B458))</f>
        <v>136.66678907073216</v>
      </c>
      <c r="AP248">
        <f>IF(AK247="BUY",AP247*('Data Checks'!C458/'Data Checks'!C457),AP247*('Data Checks'!C457/'Data Checks'!C458))</f>
        <v>135.43307430614882</v>
      </c>
      <c r="AQ248">
        <f>IF(AL247="BUY",AQ247*('Data Checks'!D458/'Data Checks'!D457),AQ247*('Data Checks'!D457/'Data Checks'!D458))</f>
        <v>238.65684927584161</v>
      </c>
      <c r="AR248">
        <f>IF(AM247="BUY",AR247*('Data Checks'!E458/'Data Checks'!E457),AR247*('Data Checks'!E457/'Data Checks'!E458))</f>
        <v>126.64881397225264</v>
      </c>
      <c r="AS248">
        <f>IF(AN247="BUY",AS247*('Data Checks'!F458/'Data Checks'!F457),AS247*('Data Checks'!F457/'Data Checks'!F458))</f>
        <v>223.93370026631766</v>
      </c>
      <c r="AT248" s="16">
        <f t="shared" si="36"/>
        <v>861.33922689129281</v>
      </c>
      <c r="AU248" s="17">
        <f t="shared" si="40"/>
        <v>-6.8696724325385539E-3</v>
      </c>
    </row>
    <row r="249" spans="1:47" x14ac:dyDescent="0.35">
      <c r="A249" s="2">
        <f>Prices!A457</f>
        <v>44547</v>
      </c>
      <c r="B249">
        <f>B248*('Data Checks'!B459/'Data Checks'!B458)</f>
        <v>340.99715606873986</v>
      </c>
      <c r="C249">
        <f>C248*('Data Checks'!C459/'Data Checks'!C458)</f>
        <v>135.5854796948307</v>
      </c>
      <c r="D249">
        <f>D248*('Data Checks'!D459/'Data Checks'!D458)</f>
        <v>255.80230181670262</v>
      </c>
      <c r="E249">
        <f>E248*('Data Checks'!E459/'Data Checks'!E458)</f>
        <v>127.55271752418086</v>
      </c>
      <c r="F249">
        <f>F248*('Data Checks'!F459/'Data Checks'!F458)</f>
        <v>156.74774282424056</v>
      </c>
      <c r="G249" s="16">
        <f t="shared" si="33"/>
        <v>1016.6853979286946</v>
      </c>
      <c r="H249" s="17">
        <f t="shared" si="37"/>
        <v>4.7782562710196874E-3</v>
      </c>
      <c r="J249" t="str">
        <f>IF(AND('Data Checks'!B459&gt;'Data Checks'!B458,'Data Checks'!B458&gt;'Data Checks'!B457,'Data Checks'!B457&gt;'Data Checks'!B456),"SELL",IF(AND('Data Checks'!B459&lt;'Data Checks'!B458,'Data Checks'!B458&lt;'Data Checks'!B457,'Data Checks'!B457&lt;'Data Checks'!B456),"BUY",""))</f>
        <v/>
      </c>
      <c r="K249" t="str">
        <f>IF(AND('Data Checks'!C459&gt;'Data Checks'!C458,'Data Checks'!C458&gt;'Data Checks'!C457,'Data Checks'!C457&gt;'Data Checks'!C456),"SELL",IF(AND('Data Checks'!C459&lt;'Data Checks'!C458,'Data Checks'!C458&lt;'Data Checks'!C457,'Data Checks'!C457&lt;'Data Checks'!C456),"BUY",""))</f>
        <v/>
      </c>
      <c r="L249" t="str">
        <f>IF(AND('Data Checks'!D459&gt;'Data Checks'!D458,'Data Checks'!D458&gt;'Data Checks'!D457,'Data Checks'!D457&gt;'Data Checks'!D456),"SELL",IF(AND('Data Checks'!D459&lt;'Data Checks'!D458,'Data Checks'!D458&lt;'Data Checks'!D457,'Data Checks'!D457&lt;'Data Checks'!D456),"BUY",""))</f>
        <v/>
      </c>
      <c r="M249" t="str">
        <f>IF(AND('Data Checks'!E459&gt;'Data Checks'!E458,'Data Checks'!E458&gt;'Data Checks'!E457,'Data Checks'!E457&gt;'Data Checks'!E456),"SELL",IF(AND('Data Checks'!E459&lt;'Data Checks'!E458,'Data Checks'!E458&lt;'Data Checks'!E457,'Data Checks'!E457&lt;'Data Checks'!E456),"BUY",""))</f>
        <v>SELL</v>
      </c>
      <c r="N249" t="str">
        <f>IF(AND('Data Checks'!F459&gt;'Data Checks'!F458,'Data Checks'!F458&gt;'Data Checks'!F457,'Data Checks'!F457&gt;'Data Checks'!F456),"SELL",IF(AND('Data Checks'!F459&lt;'Data Checks'!F458,'Data Checks'!F458&lt;'Data Checks'!F457,'Data Checks'!F457&lt;'Data Checks'!F456),"BUY",""))</f>
        <v>SELL</v>
      </c>
      <c r="O249">
        <f>IF(J248="BUY",O248*('Data Checks'!B459/'Data Checks'!B458),IF(J248="SELL",O248*('Data Checks'!B458/'Data Checks'!B459),O248))</f>
        <v>258.06261000517901</v>
      </c>
      <c r="P249">
        <f>IF(K248="BUY",P248*('Data Checks'!C459/'Data Checks'!C458),IF(K248="SELL",P248*('Data Checks'!C458/'Data Checks'!C459),P248))</f>
        <v>218.61770534495432</v>
      </c>
      <c r="Q249">
        <f>IF(L248="BUY",Q248*('Data Checks'!D459/'Data Checks'!D458),IF(L248="SELL",Q248*('Data Checks'!D458/'Data Checks'!D459),Q248))</f>
        <v>238.94724095034977</v>
      </c>
      <c r="R249">
        <f>IF(M248="BUY",R248*('Data Checks'!E459/'Data Checks'!E458),IF(M248="SELL",R248*('Data Checks'!E458/'Data Checks'!E459),R248))</f>
        <v>211.53325183140188</v>
      </c>
      <c r="S249">
        <f>IF(N248="BUY",S248*('Data Checks'!F459/'Data Checks'!F458),IF(N248="SELL",S248*('Data Checks'!F458/'Data Checks'!F459),S248))</f>
        <v>195.4096851366813</v>
      </c>
      <c r="T249" s="16">
        <f t="shared" si="34"/>
        <v>1122.5704932685662</v>
      </c>
      <c r="U249" s="17">
        <f t="shared" si="38"/>
        <v>3.4625619923600581E-4</v>
      </c>
      <c r="W249" t="str">
        <f>IF(AND('Data Checks'!B459&gt;'Data Checks'!B458,'Data Checks'!B458&gt;'Data Checks'!B457,'Data Checks'!B457&gt;'Data Checks'!B456),"BUY",IF(AND('Data Checks'!B459&lt;'Data Checks'!B458,'Data Checks'!B458&lt;'Data Checks'!B457,'Data Checks'!B457&lt;'Data Checks'!B456),"SELL",""))</f>
        <v/>
      </c>
      <c r="X249" t="str">
        <f>IF(AND('Data Checks'!C459&gt;'Data Checks'!C458,'Data Checks'!C458&gt;'Data Checks'!C457,'Data Checks'!C457&gt;'Data Checks'!C456),"BUY",IF(AND('Data Checks'!C459&lt;'Data Checks'!C458,'Data Checks'!C458&lt;'Data Checks'!C457,'Data Checks'!C457&lt;'Data Checks'!C456),"SELL",""))</f>
        <v/>
      </c>
      <c r="Y249" t="str">
        <f>IF(AND('Data Checks'!D459&gt;'Data Checks'!D458,'Data Checks'!D458&gt;'Data Checks'!D457,'Data Checks'!D457&gt;'Data Checks'!D456),"BUY",IF(AND('Data Checks'!D459&lt;'Data Checks'!D458,'Data Checks'!D458&lt;'Data Checks'!D457,'Data Checks'!D457&lt;'Data Checks'!D456),"SELL",""))</f>
        <v/>
      </c>
      <c r="Z249" t="str">
        <f>IF(AND('Data Checks'!E459&gt;'Data Checks'!E458,'Data Checks'!E458&gt;'Data Checks'!E457,'Data Checks'!E457&gt;'Data Checks'!E456),"BUY",IF(AND('Data Checks'!E459&lt;'Data Checks'!E458,'Data Checks'!E458&lt;'Data Checks'!E457,'Data Checks'!E457&lt;'Data Checks'!E456),"SELL",""))</f>
        <v>BUY</v>
      </c>
      <c r="AA249" t="str">
        <f>IF(AND('Data Checks'!F459&gt;'Data Checks'!F458,'Data Checks'!F458&gt;'Data Checks'!F457,'Data Checks'!F457&gt;'Data Checks'!F456),"BUY",IF(AND('Data Checks'!F459&lt;'Data Checks'!F458,'Data Checks'!F458&lt;'Data Checks'!F457,'Data Checks'!F457&lt;'Data Checks'!F456),"SELL",""))</f>
        <v>BUY</v>
      </c>
      <c r="AB249">
        <f>IF(W248="BUY",AB248*('Data Checks'!B459/'Data Checks'!B458),IF(W248="SELL",AB248*('Data Checks'!B458/'Data Checks'!B459),AB248))</f>
        <v>155.00114487409576</v>
      </c>
      <c r="AC249">
        <f>IF(X248="BUY",AC248*('Data Checks'!C459/'Data Checks'!C458),IF(X248="SELL",AC248*('Data Checks'!C458/'Data Checks'!C459),AC248))</f>
        <v>182.96779731030711</v>
      </c>
      <c r="AD249">
        <f>IF(Y248="BUY",AD248*('Data Checks'!D459/'Data Checks'!D458),IF(Y248="SELL",AD248*('Data Checks'!D458/'Data Checks'!D459),AD248))</f>
        <v>167.4009703602793</v>
      </c>
      <c r="AE249">
        <f>IF(Z248="BUY",AE248*('Data Checks'!E459/'Data Checks'!E458),IF(Z248="SELL",AE248*('Data Checks'!E458/'Data Checks'!E459),AE248))</f>
        <v>189.09556608093524</v>
      </c>
      <c r="AF249">
        <f>IF(AA248="BUY",AF248*('Data Checks'!F459/'Data Checks'!F458),IF(AA248="SELL",AF248*('Data Checks'!F458/'Data Checks'!F459),AF248))</f>
        <v>204.69814468009417</v>
      </c>
      <c r="AG249" s="16">
        <f t="shared" si="35"/>
        <v>899.16362330571155</v>
      </c>
      <c r="AH249" s="17">
        <f t="shared" si="39"/>
        <v>-2.5988035278767807E-4</v>
      </c>
      <c r="AJ249" t="str">
        <f>IF('Moving Ave'!G459&gt;'Moving Ave'!L459,"SELL","BUY")</f>
        <v>SELL</v>
      </c>
      <c r="AK249" t="str">
        <f>IF('Moving Ave'!H459&gt;'Moving Ave'!M459,"SELL","BUY")</f>
        <v>BUY</v>
      </c>
      <c r="AL249" t="str">
        <f>IF('Moving Ave'!I459&gt;'Moving Ave'!N459,"SELL","BUY")</f>
        <v>SELL</v>
      </c>
      <c r="AM249" t="str">
        <f>IF('Moving Ave'!J459&gt;'Moving Ave'!O459,"SELL","BUY")</f>
        <v>BUY</v>
      </c>
      <c r="AN249" t="str">
        <f>IF('Moving Ave'!K459&gt;'Moving Ave'!P459,"SELL","BUY")</f>
        <v>SELL</v>
      </c>
      <c r="AO249">
        <f>IF(AJ248="BUY",AO248*('Data Checks'!B459/'Data Checks'!B458),AO248*('Data Checks'!B458/'Data Checks'!B459))</f>
        <v>136.87287727762939</v>
      </c>
      <c r="AP249">
        <f>IF(AK248="BUY",AP248*('Data Checks'!C459/'Data Checks'!C458),AP248*('Data Checks'!C458/'Data Checks'!C459))</f>
        <v>135.5854796948307</v>
      </c>
      <c r="AQ249">
        <f>IF(AL248="BUY",AQ248*('Data Checks'!D459/'Data Checks'!D458),AQ248*('Data Checks'!D458/'Data Checks'!D459))</f>
        <v>236.47592441647424</v>
      </c>
      <c r="AR249">
        <f>IF(AM248="BUY",AR248*('Data Checks'!E459/'Data Checks'!E458),AR248*('Data Checks'!E458/'Data Checks'!E459))</f>
        <v>127.55271752418086</v>
      </c>
      <c r="AS249">
        <f>IF(AN248="BUY",AS248*('Data Checks'!F459/'Data Checks'!F458),AS248*('Data Checks'!F458/'Data Checks'!F459))</f>
        <v>221.14048614652594</v>
      </c>
      <c r="AT249" s="16">
        <f t="shared" si="36"/>
        <v>857.62748505964112</v>
      </c>
      <c r="AU249" s="17">
        <f t="shared" si="40"/>
        <v>-4.3092683065740767E-3</v>
      </c>
    </row>
    <row r="250" spans="1:47" x14ac:dyDescent="0.35">
      <c r="A250" s="2">
        <f>Prices!A458</f>
        <v>44548</v>
      </c>
      <c r="B250">
        <f>B249*('Data Checks'!B460/'Data Checks'!B459)</f>
        <v>337.36912715228544</v>
      </c>
      <c r="C250">
        <f>C249*('Data Checks'!C460/'Data Checks'!C459)</f>
        <v>133.0962746531948</v>
      </c>
      <c r="D250">
        <f>D249*('Data Checks'!D460/'Data Checks'!D459)</f>
        <v>255.83570639231465</v>
      </c>
      <c r="E250">
        <f>E249*('Data Checks'!E460/'Data Checks'!E459)</f>
        <v>124.87444844745737</v>
      </c>
      <c r="F250">
        <f>F249*('Data Checks'!F460/'Data Checks'!F459)</f>
        <v>158.27372377120261</v>
      </c>
      <c r="G250" s="16">
        <f t="shared" si="33"/>
        <v>1009.4492804164549</v>
      </c>
      <c r="H250" s="17">
        <f t="shared" si="37"/>
        <v>-7.1173615033537363E-3</v>
      </c>
      <c r="J250" t="str">
        <f>IF(AND('Data Checks'!B460&gt;'Data Checks'!B459,'Data Checks'!B459&gt;'Data Checks'!B458,'Data Checks'!B458&gt;'Data Checks'!B457),"SELL",IF(AND('Data Checks'!B460&lt;'Data Checks'!B459,'Data Checks'!B459&lt;'Data Checks'!B458,'Data Checks'!B458&lt;'Data Checks'!B457),"BUY",""))</f>
        <v/>
      </c>
      <c r="K250" t="str">
        <f>IF(AND('Data Checks'!C460&gt;'Data Checks'!C459,'Data Checks'!C459&gt;'Data Checks'!C458,'Data Checks'!C458&gt;'Data Checks'!C457),"SELL",IF(AND('Data Checks'!C460&lt;'Data Checks'!C459,'Data Checks'!C459&lt;'Data Checks'!C458,'Data Checks'!C458&lt;'Data Checks'!C457),"BUY",""))</f>
        <v/>
      </c>
      <c r="L250" t="str">
        <f>IF(AND('Data Checks'!D460&gt;'Data Checks'!D459,'Data Checks'!D459&gt;'Data Checks'!D458,'Data Checks'!D458&gt;'Data Checks'!D457),"SELL",IF(AND('Data Checks'!D460&lt;'Data Checks'!D459,'Data Checks'!D459&lt;'Data Checks'!D458,'Data Checks'!D458&lt;'Data Checks'!D457),"BUY",""))</f>
        <v/>
      </c>
      <c r="M250" t="str">
        <f>IF(AND('Data Checks'!E460&gt;'Data Checks'!E459,'Data Checks'!E459&gt;'Data Checks'!E458,'Data Checks'!E458&gt;'Data Checks'!E457),"SELL",IF(AND('Data Checks'!E460&lt;'Data Checks'!E459,'Data Checks'!E459&lt;'Data Checks'!E458,'Data Checks'!E458&lt;'Data Checks'!E457),"BUY",""))</f>
        <v/>
      </c>
      <c r="N250" t="str">
        <f>IF(AND('Data Checks'!F460&gt;'Data Checks'!F459,'Data Checks'!F459&gt;'Data Checks'!F458,'Data Checks'!F458&gt;'Data Checks'!F457),"SELL",IF(AND('Data Checks'!F460&lt;'Data Checks'!F459,'Data Checks'!F459&lt;'Data Checks'!F458,'Data Checks'!F458&lt;'Data Checks'!F457),"BUY",""))</f>
        <v>SELL</v>
      </c>
      <c r="O250">
        <f>IF(J249="BUY",O249*('Data Checks'!B460/'Data Checks'!B459),IF(J249="SELL",O249*('Data Checks'!B459/'Data Checks'!B460),O249))</f>
        <v>258.06261000517901</v>
      </c>
      <c r="P250">
        <f>IF(K249="BUY",P249*('Data Checks'!C460/'Data Checks'!C459),IF(K249="SELL",P249*('Data Checks'!C459/'Data Checks'!C460),P249))</f>
        <v>218.61770534495432</v>
      </c>
      <c r="Q250">
        <f>IF(L249="BUY",Q249*('Data Checks'!D460/'Data Checks'!D459),IF(L249="SELL",Q249*('Data Checks'!D459/'Data Checks'!D460),Q249))</f>
        <v>238.94724095034977</v>
      </c>
      <c r="R250">
        <f>IF(M249="BUY",R249*('Data Checks'!E460/'Data Checks'!E459),IF(M249="SELL",R249*('Data Checks'!E459/'Data Checks'!E460),R249))</f>
        <v>216.07015248740109</v>
      </c>
      <c r="S250">
        <f>IF(N249="BUY",S249*('Data Checks'!F460/'Data Checks'!F459),IF(N249="SELL",S249*('Data Checks'!F459/'Data Checks'!F460),S249))</f>
        <v>193.52566137540626</v>
      </c>
      <c r="T250" s="16">
        <f t="shared" si="34"/>
        <v>1125.2233701632904</v>
      </c>
      <c r="U250" s="17">
        <f t="shared" si="38"/>
        <v>2.3632163063540546E-3</v>
      </c>
      <c r="W250" t="str">
        <f>IF(AND('Data Checks'!B460&gt;'Data Checks'!B459,'Data Checks'!B459&gt;'Data Checks'!B458,'Data Checks'!B458&gt;'Data Checks'!B457),"BUY",IF(AND('Data Checks'!B460&lt;'Data Checks'!B459,'Data Checks'!B459&lt;'Data Checks'!B458,'Data Checks'!B458&lt;'Data Checks'!B457),"SELL",""))</f>
        <v/>
      </c>
      <c r="X250" t="str">
        <f>IF(AND('Data Checks'!C460&gt;'Data Checks'!C459,'Data Checks'!C459&gt;'Data Checks'!C458,'Data Checks'!C458&gt;'Data Checks'!C457),"BUY",IF(AND('Data Checks'!C460&lt;'Data Checks'!C459,'Data Checks'!C459&lt;'Data Checks'!C458,'Data Checks'!C458&lt;'Data Checks'!C457),"SELL",""))</f>
        <v/>
      </c>
      <c r="Y250" t="str">
        <f>IF(AND('Data Checks'!D460&gt;'Data Checks'!D459,'Data Checks'!D459&gt;'Data Checks'!D458,'Data Checks'!D458&gt;'Data Checks'!D457),"BUY",IF(AND('Data Checks'!D460&lt;'Data Checks'!D459,'Data Checks'!D459&lt;'Data Checks'!D458,'Data Checks'!D458&lt;'Data Checks'!D457),"SELL",""))</f>
        <v/>
      </c>
      <c r="Z250" t="str">
        <f>IF(AND('Data Checks'!E460&gt;'Data Checks'!E459,'Data Checks'!E459&gt;'Data Checks'!E458,'Data Checks'!E458&gt;'Data Checks'!E457),"BUY",IF(AND('Data Checks'!E460&lt;'Data Checks'!E459,'Data Checks'!E459&lt;'Data Checks'!E458,'Data Checks'!E458&lt;'Data Checks'!E457),"SELL",""))</f>
        <v/>
      </c>
      <c r="AA250" t="str">
        <f>IF(AND('Data Checks'!F460&gt;'Data Checks'!F459,'Data Checks'!F459&gt;'Data Checks'!F458,'Data Checks'!F458&gt;'Data Checks'!F457),"BUY",IF(AND('Data Checks'!F460&lt;'Data Checks'!F459,'Data Checks'!F459&lt;'Data Checks'!F458,'Data Checks'!F458&lt;'Data Checks'!F457),"SELL",""))</f>
        <v>BUY</v>
      </c>
      <c r="AB250">
        <f>IF(W249="BUY",AB249*('Data Checks'!B460/'Data Checks'!B459),IF(W249="SELL",AB249*('Data Checks'!B459/'Data Checks'!B460),AB249))</f>
        <v>155.00114487409576</v>
      </c>
      <c r="AC250">
        <f>IF(X249="BUY",AC249*('Data Checks'!C460/'Data Checks'!C459),IF(X249="SELL",AC249*('Data Checks'!C459/'Data Checks'!C460),AC249))</f>
        <v>182.96779731030711</v>
      </c>
      <c r="AD250">
        <f>IF(Y249="BUY",AD249*('Data Checks'!D460/'Data Checks'!D459),IF(Y249="SELL",AD249*('Data Checks'!D459/'Data Checks'!D460),AD249))</f>
        <v>167.4009703602793</v>
      </c>
      <c r="AE250">
        <f>IF(Z249="BUY",AE249*('Data Checks'!E460/'Data Checks'!E459),IF(Z249="SELL",AE249*('Data Checks'!E459/'Data Checks'!E460),AE249))</f>
        <v>185.12506026177005</v>
      </c>
      <c r="AF250">
        <f>IF(AA249="BUY",AF249*('Data Checks'!F460/'Data Checks'!F459),IF(AA249="SELL",AF249*('Data Checks'!F459/'Data Checks'!F460),AF249))</f>
        <v>206.69093553648662</v>
      </c>
      <c r="AG250" s="16">
        <f t="shared" si="35"/>
        <v>897.18590834293877</v>
      </c>
      <c r="AH250" s="17">
        <f t="shared" si="39"/>
        <v>-2.1995050861842724E-3</v>
      </c>
      <c r="AJ250" t="str">
        <f>IF('Moving Ave'!G460&gt;'Moving Ave'!L460,"SELL","BUY")</f>
        <v>SELL</v>
      </c>
      <c r="AK250" t="str">
        <f>IF('Moving Ave'!H460&gt;'Moving Ave'!M460,"SELL","BUY")</f>
        <v>BUY</v>
      </c>
      <c r="AL250" t="str">
        <f>IF('Moving Ave'!I460&gt;'Moving Ave'!N460,"SELL","BUY")</f>
        <v>SELL</v>
      </c>
      <c r="AM250" t="str">
        <f>IF('Moving Ave'!J460&gt;'Moving Ave'!O460,"SELL","BUY")</f>
        <v>BUY</v>
      </c>
      <c r="AN250" t="str">
        <f>IF('Moving Ave'!K460&gt;'Moving Ave'!P460,"SELL","BUY")</f>
        <v>SELL</v>
      </c>
      <c r="AO250">
        <f>IF(AJ249="BUY",AO249*('Data Checks'!B460/'Data Checks'!B459),AO249*('Data Checks'!B459/'Data Checks'!B460))</f>
        <v>138.34479250838316</v>
      </c>
      <c r="AP250">
        <f>IF(AK249="BUY",AP249*('Data Checks'!C460/'Data Checks'!C459),AP249*('Data Checks'!C459/'Data Checks'!C460))</f>
        <v>133.0962746531948</v>
      </c>
      <c r="AQ250">
        <f>IF(AL249="BUY",AQ249*('Data Checks'!D460/'Data Checks'!D459),AQ249*('Data Checks'!D459/'Data Checks'!D460))</f>
        <v>236.44504765572421</v>
      </c>
      <c r="AR250">
        <f>IF(AM249="BUY",AR249*('Data Checks'!E460/'Data Checks'!E459),AR249*('Data Checks'!E459/'Data Checks'!E460))</f>
        <v>124.87444844745737</v>
      </c>
      <c r="AS250">
        <f>IF(AN249="BUY",AS249*('Data Checks'!F460/'Data Checks'!F459),AS249*('Data Checks'!F459/'Data Checks'!F460))</f>
        <v>219.00838133202532</v>
      </c>
      <c r="AT250" s="16">
        <f t="shared" si="36"/>
        <v>851.76894459678488</v>
      </c>
      <c r="AU250" s="17">
        <f t="shared" si="40"/>
        <v>-6.8311015737198E-3</v>
      </c>
    </row>
    <row r="251" spans="1:47" x14ac:dyDescent="0.35">
      <c r="A251" s="2">
        <f>Prices!A459</f>
        <v>44551</v>
      </c>
      <c r="B251">
        <f>B250*('Data Checks'!B461/'Data Checks'!B460)</f>
        <v>337.84647236923718</v>
      </c>
      <c r="C251">
        <f>C250*('Data Checks'!C461/'Data Checks'!C460)</f>
        <v>129.94666319397174</v>
      </c>
      <c r="D251">
        <f>D250*('Data Checks'!D461/'Data Checks'!D460)</f>
        <v>254.73367932432291</v>
      </c>
      <c r="E251">
        <f>E250*('Data Checks'!E461/'Data Checks'!E460)</f>
        <v>118.98225580909755</v>
      </c>
      <c r="F251">
        <f>F250*('Data Checks'!F461/'Data Checks'!F460)</f>
        <v>155.50787346935451</v>
      </c>
      <c r="G251" s="16">
        <f t="shared" si="33"/>
        <v>997.01694416598389</v>
      </c>
      <c r="H251" s="17">
        <f t="shared" si="37"/>
        <v>-1.2315959297471646E-2</v>
      </c>
      <c r="J251" t="str">
        <f>IF(AND('Data Checks'!B461&gt;'Data Checks'!B460,'Data Checks'!B460&gt;'Data Checks'!B459,'Data Checks'!B459&gt;'Data Checks'!B458),"SELL",IF(AND('Data Checks'!B461&lt;'Data Checks'!B460,'Data Checks'!B460&lt;'Data Checks'!B459,'Data Checks'!B459&lt;'Data Checks'!B458),"BUY",""))</f>
        <v/>
      </c>
      <c r="K251" t="str">
        <f>IF(AND('Data Checks'!C461&gt;'Data Checks'!C460,'Data Checks'!C460&gt;'Data Checks'!C459,'Data Checks'!C459&gt;'Data Checks'!C458),"SELL",IF(AND('Data Checks'!C461&lt;'Data Checks'!C460,'Data Checks'!C460&lt;'Data Checks'!C459,'Data Checks'!C459&lt;'Data Checks'!C458),"BUY",""))</f>
        <v/>
      </c>
      <c r="L251" t="str">
        <f>IF(AND('Data Checks'!D461&gt;'Data Checks'!D460,'Data Checks'!D460&gt;'Data Checks'!D459,'Data Checks'!D459&gt;'Data Checks'!D458),"SELL",IF(AND('Data Checks'!D461&lt;'Data Checks'!D460,'Data Checks'!D460&lt;'Data Checks'!D459,'Data Checks'!D459&lt;'Data Checks'!D458),"BUY",""))</f>
        <v/>
      </c>
      <c r="M251" t="str">
        <f>IF(AND('Data Checks'!E461&gt;'Data Checks'!E460,'Data Checks'!E460&gt;'Data Checks'!E459,'Data Checks'!E459&gt;'Data Checks'!E458),"SELL",IF(AND('Data Checks'!E461&lt;'Data Checks'!E460,'Data Checks'!E460&lt;'Data Checks'!E459,'Data Checks'!E459&lt;'Data Checks'!E458),"BUY",""))</f>
        <v/>
      </c>
      <c r="N251" t="str">
        <f>IF(AND('Data Checks'!F461&gt;'Data Checks'!F460,'Data Checks'!F460&gt;'Data Checks'!F459,'Data Checks'!F459&gt;'Data Checks'!F458),"SELL",IF(AND('Data Checks'!F461&lt;'Data Checks'!F460,'Data Checks'!F460&lt;'Data Checks'!F459,'Data Checks'!F459&lt;'Data Checks'!F458),"BUY",""))</f>
        <v/>
      </c>
      <c r="O251">
        <f>IF(J250="BUY",O250*('Data Checks'!B461/'Data Checks'!B460),IF(J250="SELL",O250*('Data Checks'!B460/'Data Checks'!B461),O250))</f>
        <v>258.06261000517901</v>
      </c>
      <c r="P251">
        <f>IF(K250="BUY",P250*('Data Checks'!C461/'Data Checks'!C460),IF(K250="SELL",P250*('Data Checks'!C460/'Data Checks'!C461),P250))</f>
        <v>218.61770534495432</v>
      </c>
      <c r="Q251">
        <f>IF(L250="BUY",Q250*('Data Checks'!D461/'Data Checks'!D460),IF(L250="SELL",Q250*('Data Checks'!D460/'Data Checks'!D461),Q250))</f>
        <v>238.94724095034977</v>
      </c>
      <c r="R251">
        <f>IF(M250="BUY",R250*('Data Checks'!E461/'Data Checks'!E460),IF(M250="SELL",R250*('Data Checks'!E460/'Data Checks'!E461),R250))</f>
        <v>216.07015248740109</v>
      </c>
      <c r="S251">
        <f>IF(N250="BUY",S250*('Data Checks'!F461/'Data Checks'!F460),IF(N250="SELL",S250*('Data Checks'!F460/'Data Checks'!F461),S250))</f>
        <v>196.96769293939653</v>
      </c>
      <c r="T251" s="16">
        <f t="shared" si="34"/>
        <v>1128.6654017272806</v>
      </c>
      <c r="U251" s="17">
        <f t="shared" si="38"/>
        <v>3.0589762488586469E-3</v>
      </c>
      <c r="W251" t="str">
        <f>IF(AND('Data Checks'!B461&gt;'Data Checks'!B460,'Data Checks'!B460&gt;'Data Checks'!B459,'Data Checks'!B459&gt;'Data Checks'!B458),"BUY",IF(AND('Data Checks'!B461&lt;'Data Checks'!B460,'Data Checks'!B460&lt;'Data Checks'!B459,'Data Checks'!B459&lt;'Data Checks'!B458),"SELL",""))</f>
        <v/>
      </c>
      <c r="X251" t="str">
        <f>IF(AND('Data Checks'!C461&gt;'Data Checks'!C460,'Data Checks'!C460&gt;'Data Checks'!C459,'Data Checks'!C459&gt;'Data Checks'!C458),"BUY",IF(AND('Data Checks'!C461&lt;'Data Checks'!C460,'Data Checks'!C460&lt;'Data Checks'!C459,'Data Checks'!C459&lt;'Data Checks'!C458),"SELL",""))</f>
        <v/>
      </c>
      <c r="Y251" t="str">
        <f>IF(AND('Data Checks'!D461&gt;'Data Checks'!D460,'Data Checks'!D460&gt;'Data Checks'!D459,'Data Checks'!D459&gt;'Data Checks'!D458),"BUY",IF(AND('Data Checks'!D461&lt;'Data Checks'!D460,'Data Checks'!D460&lt;'Data Checks'!D459,'Data Checks'!D459&lt;'Data Checks'!D458),"SELL",""))</f>
        <v/>
      </c>
      <c r="Z251" t="str">
        <f>IF(AND('Data Checks'!E461&gt;'Data Checks'!E460,'Data Checks'!E460&gt;'Data Checks'!E459,'Data Checks'!E459&gt;'Data Checks'!E458),"BUY",IF(AND('Data Checks'!E461&lt;'Data Checks'!E460,'Data Checks'!E460&lt;'Data Checks'!E459,'Data Checks'!E459&lt;'Data Checks'!E458),"SELL",""))</f>
        <v/>
      </c>
      <c r="AA251" t="str">
        <f>IF(AND('Data Checks'!F461&gt;'Data Checks'!F460,'Data Checks'!F460&gt;'Data Checks'!F459,'Data Checks'!F459&gt;'Data Checks'!F458),"BUY",IF(AND('Data Checks'!F461&lt;'Data Checks'!F460,'Data Checks'!F460&lt;'Data Checks'!F459,'Data Checks'!F459&lt;'Data Checks'!F458),"SELL",""))</f>
        <v/>
      </c>
      <c r="AB251">
        <f>IF(W250="BUY",AB250*('Data Checks'!B461/'Data Checks'!B460),IF(W250="SELL",AB250*('Data Checks'!B460/'Data Checks'!B461),AB250))</f>
        <v>155.00114487409576</v>
      </c>
      <c r="AC251">
        <f>IF(X250="BUY",AC250*('Data Checks'!C461/'Data Checks'!C460),IF(X250="SELL",AC250*('Data Checks'!C460/'Data Checks'!C461),AC250))</f>
        <v>182.96779731030711</v>
      </c>
      <c r="AD251">
        <f>IF(Y250="BUY",AD250*('Data Checks'!D461/'Data Checks'!D460),IF(Y250="SELL",AD250*('Data Checks'!D460/'Data Checks'!D461),AD250))</f>
        <v>167.4009703602793</v>
      </c>
      <c r="AE251">
        <f>IF(Z250="BUY",AE250*('Data Checks'!E461/'Data Checks'!E460),IF(Z250="SELL",AE250*('Data Checks'!E460/'Data Checks'!E461),AE250))</f>
        <v>185.12506026177005</v>
      </c>
      <c r="AF251">
        <f>IF(AA250="BUY",AF250*('Data Checks'!F461/'Data Checks'!F460),IF(AA250="SELL",AF250*('Data Checks'!F460/'Data Checks'!F461),AF250))</f>
        <v>203.07898926504319</v>
      </c>
      <c r="AG251" s="16">
        <f t="shared" si="35"/>
        <v>893.57396207149543</v>
      </c>
      <c r="AH251" s="17">
        <f t="shared" si="39"/>
        <v>-4.025861572117706E-3</v>
      </c>
      <c r="AJ251" t="str">
        <f>IF('Moving Ave'!G461&gt;'Moving Ave'!L461,"SELL","BUY")</f>
        <v>SELL</v>
      </c>
      <c r="AK251" t="str">
        <f>IF('Moving Ave'!H461&gt;'Moving Ave'!M461,"SELL","BUY")</f>
        <v>BUY</v>
      </c>
      <c r="AL251" t="str">
        <f>IF('Moving Ave'!I461&gt;'Moving Ave'!N461,"SELL","BUY")</f>
        <v>SELL</v>
      </c>
      <c r="AM251" t="str">
        <f>IF('Moving Ave'!J461&gt;'Moving Ave'!O461,"SELL","BUY")</f>
        <v>BUY</v>
      </c>
      <c r="AN251" t="str">
        <f>IF('Moving Ave'!K461&gt;'Moving Ave'!P461,"SELL","BUY")</f>
        <v>SELL</v>
      </c>
      <c r="AO251">
        <f>IF(AJ250="BUY",AO250*('Data Checks'!B461/'Data Checks'!B460),AO250*('Data Checks'!B460/'Data Checks'!B461))</f>
        <v>138.14932435821737</v>
      </c>
      <c r="AP251">
        <f>IF(AK250="BUY",AP250*('Data Checks'!C461/'Data Checks'!C460),AP250*('Data Checks'!C460/'Data Checks'!C461))</f>
        <v>129.94666319397174</v>
      </c>
      <c r="AQ251">
        <f>IF(AL250="BUY",AQ250*('Data Checks'!D461/'Data Checks'!D460),AQ250*('Data Checks'!D460/'Data Checks'!D461))</f>
        <v>237.46795457286356</v>
      </c>
      <c r="AR251">
        <f>IF(AM250="BUY",AR250*('Data Checks'!E461/'Data Checks'!E460),AR250*('Data Checks'!E460/'Data Checks'!E461))</f>
        <v>118.98225580909755</v>
      </c>
      <c r="AS251">
        <f>IF(AN250="BUY",AS250*('Data Checks'!F461/'Data Checks'!F460),AS250*('Data Checks'!F460/'Data Checks'!F461))</f>
        <v>222.90364646619759</v>
      </c>
      <c r="AT251" s="16">
        <f t="shared" si="36"/>
        <v>847.44984440034773</v>
      </c>
      <c r="AU251" s="17">
        <f t="shared" si="40"/>
        <v>-5.0707415712153425E-3</v>
      </c>
    </row>
    <row r="252" spans="1:47" x14ac:dyDescent="0.35">
      <c r="A252" s="2">
        <f>Prices!A460</f>
        <v>44552</v>
      </c>
      <c r="B252">
        <f>B251*('Data Checks'!B462/'Data Checks'!B461)</f>
        <v>337.88230863966862</v>
      </c>
      <c r="C252">
        <f>C251*('Data Checks'!C462/'Data Checks'!C461)</f>
        <v>129.6926677595294</v>
      </c>
      <c r="D252">
        <f>D251*('Data Checks'!D462/'Data Checks'!D461)</f>
        <v>251.42762483599338</v>
      </c>
      <c r="E252">
        <f>E251*('Data Checks'!E462/'Data Checks'!E461)</f>
        <v>116.97354479499349</v>
      </c>
      <c r="F252">
        <f>F251*('Data Checks'!F462/'Data Checks'!F461)</f>
        <v>149.83310276346842</v>
      </c>
      <c r="G252" s="16">
        <f t="shared" si="33"/>
        <v>985.8092487936533</v>
      </c>
      <c r="H252" s="17">
        <f t="shared" si="37"/>
        <v>-1.1241228584842111E-2</v>
      </c>
      <c r="J252" t="str">
        <f>IF(AND('Data Checks'!B462&gt;'Data Checks'!B461,'Data Checks'!B461&gt;'Data Checks'!B460,'Data Checks'!B460&gt;'Data Checks'!B459),"SELL",IF(AND('Data Checks'!B462&lt;'Data Checks'!B461,'Data Checks'!B461&lt;'Data Checks'!B460,'Data Checks'!B460&lt;'Data Checks'!B459),"BUY",""))</f>
        <v/>
      </c>
      <c r="K252" t="str">
        <f>IF(AND('Data Checks'!C462&gt;'Data Checks'!C461,'Data Checks'!C461&gt;'Data Checks'!C460,'Data Checks'!C460&gt;'Data Checks'!C459),"SELL",IF(AND('Data Checks'!C462&lt;'Data Checks'!C461,'Data Checks'!C461&lt;'Data Checks'!C460,'Data Checks'!C460&lt;'Data Checks'!C459),"BUY",""))</f>
        <v>BUY</v>
      </c>
      <c r="L252" t="str">
        <f>IF(AND('Data Checks'!D462&gt;'Data Checks'!D461,'Data Checks'!D461&gt;'Data Checks'!D460,'Data Checks'!D460&gt;'Data Checks'!D459),"SELL",IF(AND('Data Checks'!D462&lt;'Data Checks'!D461,'Data Checks'!D461&lt;'Data Checks'!D460,'Data Checks'!D460&lt;'Data Checks'!D459),"BUY",""))</f>
        <v/>
      </c>
      <c r="M252" t="str">
        <f>IF(AND('Data Checks'!E462&gt;'Data Checks'!E461,'Data Checks'!E461&gt;'Data Checks'!E460,'Data Checks'!E460&gt;'Data Checks'!E459),"SELL",IF(AND('Data Checks'!E462&lt;'Data Checks'!E461,'Data Checks'!E461&lt;'Data Checks'!E460,'Data Checks'!E460&lt;'Data Checks'!E459),"BUY",""))</f>
        <v>BUY</v>
      </c>
      <c r="N252" t="str">
        <f>IF(AND('Data Checks'!F462&gt;'Data Checks'!F461,'Data Checks'!F461&gt;'Data Checks'!F460,'Data Checks'!F460&gt;'Data Checks'!F459),"SELL",IF(AND('Data Checks'!F462&lt;'Data Checks'!F461,'Data Checks'!F461&lt;'Data Checks'!F460,'Data Checks'!F460&lt;'Data Checks'!F459),"BUY",""))</f>
        <v/>
      </c>
      <c r="O252">
        <f>IF(J251="BUY",O251*('Data Checks'!B462/'Data Checks'!B461),IF(J251="SELL",O251*('Data Checks'!B461/'Data Checks'!B462),O251))</f>
        <v>258.06261000517901</v>
      </c>
      <c r="P252">
        <f>IF(K251="BUY",P251*('Data Checks'!C462/'Data Checks'!C461),IF(K251="SELL",P251*('Data Checks'!C461/'Data Checks'!C462),P251))</f>
        <v>218.61770534495432</v>
      </c>
      <c r="Q252">
        <f>IF(L251="BUY",Q251*('Data Checks'!D462/'Data Checks'!D461),IF(L251="SELL",Q251*('Data Checks'!D461/'Data Checks'!D462),Q251))</f>
        <v>238.94724095034977</v>
      </c>
      <c r="R252">
        <f>IF(M251="BUY",R251*('Data Checks'!E462/'Data Checks'!E461),IF(M251="SELL",R251*('Data Checks'!E461/'Data Checks'!E462),R251))</f>
        <v>216.07015248740109</v>
      </c>
      <c r="S252">
        <f>IF(N251="BUY",S251*('Data Checks'!F462/'Data Checks'!F461),IF(N251="SELL",S251*('Data Checks'!F461/'Data Checks'!F462),S251))</f>
        <v>196.96769293939653</v>
      </c>
      <c r="T252" s="16">
        <f t="shared" si="34"/>
        <v>1128.6654017272806</v>
      </c>
      <c r="U252" s="17">
        <f t="shared" si="38"/>
        <v>0</v>
      </c>
      <c r="W252" t="str">
        <f>IF(AND('Data Checks'!B462&gt;'Data Checks'!B461,'Data Checks'!B461&gt;'Data Checks'!B460,'Data Checks'!B460&gt;'Data Checks'!B459),"BUY",IF(AND('Data Checks'!B462&lt;'Data Checks'!B461,'Data Checks'!B461&lt;'Data Checks'!B460,'Data Checks'!B460&lt;'Data Checks'!B459),"SELL",""))</f>
        <v/>
      </c>
      <c r="X252" t="str">
        <f>IF(AND('Data Checks'!C462&gt;'Data Checks'!C461,'Data Checks'!C461&gt;'Data Checks'!C460,'Data Checks'!C460&gt;'Data Checks'!C459),"BUY",IF(AND('Data Checks'!C462&lt;'Data Checks'!C461,'Data Checks'!C461&lt;'Data Checks'!C460,'Data Checks'!C460&lt;'Data Checks'!C459),"SELL",""))</f>
        <v>SELL</v>
      </c>
      <c r="Y252" t="str">
        <f>IF(AND('Data Checks'!D462&gt;'Data Checks'!D461,'Data Checks'!D461&gt;'Data Checks'!D460,'Data Checks'!D460&gt;'Data Checks'!D459),"BUY",IF(AND('Data Checks'!D462&lt;'Data Checks'!D461,'Data Checks'!D461&lt;'Data Checks'!D460,'Data Checks'!D460&lt;'Data Checks'!D459),"SELL",""))</f>
        <v/>
      </c>
      <c r="Z252" t="str">
        <f>IF(AND('Data Checks'!E462&gt;'Data Checks'!E461,'Data Checks'!E461&gt;'Data Checks'!E460,'Data Checks'!E460&gt;'Data Checks'!E459),"BUY",IF(AND('Data Checks'!E462&lt;'Data Checks'!E461,'Data Checks'!E461&lt;'Data Checks'!E460,'Data Checks'!E460&lt;'Data Checks'!E459),"SELL",""))</f>
        <v>SELL</v>
      </c>
      <c r="AA252" t="str">
        <f>IF(AND('Data Checks'!F462&gt;'Data Checks'!F461,'Data Checks'!F461&gt;'Data Checks'!F460,'Data Checks'!F460&gt;'Data Checks'!F459),"BUY",IF(AND('Data Checks'!F462&lt;'Data Checks'!F461,'Data Checks'!F461&lt;'Data Checks'!F460,'Data Checks'!F460&lt;'Data Checks'!F459),"SELL",""))</f>
        <v/>
      </c>
      <c r="AB252">
        <f>IF(W251="BUY",AB251*('Data Checks'!B462/'Data Checks'!B461),IF(W251="SELL",AB251*('Data Checks'!B461/'Data Checks'!B462),AB251))</f>
        <v>155.00114487409576</v>
      </c>
      <c r="AC252">
        <f>IF(X251="BUY",AC251*('Data Checks'!C462/'Data Checks'!C461),IF(X251="SELL",AC251*('Data Checks'!C461/'Data Checks'!C462),AC251))</f>
        <v>182.96779731030711</v>
      </c>
      <c r="AD252">
        <f>IF(Y251="BUY",AD251*('Data Checks'!D462/'Data Checks'!D461),IF(Y251="SELL",AD251*('Data Checks'!D461/'Data Checks'!D462),AD251))</f>
        <v>167.4009703602793</v>
      </c>
      <c r="AE252">
        <f>IF(Z251="BUY",AE251*('Data Checks'!E462/'Data Checks'!E461),IF(Z251="SELL",AE251*('Data Checks'!E461/'Data Checks'!E462),AE251))</f>
        <v>185.12506026177005</v>
      </c>
      <c r="AF252">
        <f>IF(AA251="BUY",AF251*('Data Checks'!F462/'Data Checks'!F461),IF(AA251="SELL",AF251*('Data Checks'!F461/'Data Checks'!F462),AF251))</f>
        <v>203.07898926504319</v>
      </c>
      <c r="AG252" s="16">
        <f t="shared" si="35"/>
        <v>893.57396207149543</v>
      </c>
      <c r="AH252" s="17">
        <f t="shared" si="39"/>
        <v>0</v>
      </c>
      <c r="AJ252" t="str">
        <f>IF('Moving Ave'!G462&gt;'Moving Ave'!L462,"SELL","BUY")</f>
        <v>SELL</v>
      </c>
      <c r="AK252" t="str">
        <f>IF('Moving Ave'!H462&gt;'Moving Ave'!M462,"SELL","BUY")</f>
        <v>SELL</v>
      </c>
      <c r="AL252" t="str">
        <f>IF('Moving Ave'!I462&gt;'Moving Ave'!N462,"SELL","BUY")</f>
        <v>SELL</v>
      </c>
      <c r="AM252" t="str">
        <f>IF('Moving Ave'!J462&gt;'Moving Ave'!O462,"SELL","BUY")</f>
        <v>BUY</v>
      </c>
      <c r="AN252" t="str">
        <f>IF('Moving Ave'!K462&gt;'Moving Ave'!P462,"SELL","BUY")</f>
        <v>SELL</v>
      </c>
      <c r="AO252">
        <f>IF(AJ251="BUY",AO251*('Data Checks'!B462/'Data Checks'!B461),AO251*('Data Checks'!B461/'Data Checks'!B462))</f>
        <v>138.13467204757239</v>
      </c>
      <c r="AP252">
        <f>IF(AK251="BUY",AP251*('Data Checks'!C462/'Data Checks'!C461),AP251*('Data Checks'!C461/'Data Checks'!C462))</f>
        <v>129.6926677595294</v>
      </c>
      <c r="AQ252">
        <f>IF(AL251="BUY",AQ251*('Data Checks'!D462/'Data Checks'!D461),AQ251*('Data Checks'!D461/'Data Checks'!D462))</f>
        <v>240.59045154415762</v>
      </c>
      <c r="AR252">
        <f>IF(AM251="BUY",AR251*('Data Checks'!E462/'Data Checks'!E461),AR251*('Data Checks'!E461/'Data Checks'!E462))</f>
        <v>116.97354479499349</v>
      </c>
      <c r="AS252">
        <f>IF(AN251="BUY",AS251*('Data Checks'!F462/'Data Checks'!F461),AS251*('Data Checks'!F461/'Data Checks'!F462))</f>
        <v>231.34588693156672</v>
      </c>
      <c r="AT252" s="16">
        <f t="shared" si="36"/>
        <v>856.73722307781964</v>
      </c>
      <c r="AU252" s="17">
        <f t="shared" si="40"/>
        <v>1.0959207484477984E-2</v>
      </c>
    </row>
    <row r="253" spans="1:47" x14ac:dyDescent="0.35">
      <c r="A253" s="2">
        <f>Prices!A461</f>
        <v>44553</v>
      </c>
      <c r="B253">
        <f>B252*('Data Checks'!B463/'Data Checks'!B462)</f>
        <v>335.64312129207394</v>
      </c>
      <c r="C253">
        <f>C252*('Data Checks'!C463/'Data Checks'!C462)</f>
        <v>132.23267290405582</v>
      </c>
      <c r="D253">
        <f>D252*('Data Checks'!D463/'Data Checks'!D462)</f>
        <v>254.23275428673855</v>
      </c>
      <c r="E253">
        <f>E252*('Data Checks'!E463/'Data Checks'!E462)</f>
        <v>120.32138532569851</v>
      </c>
      <c r="F253">
        <f>F252*('Data Checks'!F463/'Data Checks'!F462)</f>
        <v>151.50215381262032</v>
      </c>
      <c r="G253" s="16">
        <f t="shared" si="33"/>
        <v>993.93208762118718</v>
      </c>
      <c r="H253" s="17">
        <f t="shared" si="37"/>
        <v>8.2397673155063522E-3</v>
      </c>
      <c r="J253" t="str">
        <f>IF(AND('Data Checks'!B463&gt;'Data Checks'!B462,'Data Checks'!B462&gt;'Data Checks'!B461,'Data Checks'!B461&gt;'Data Checks'!B460),"SELL",IF(AND('Data Checks'!B463&lt;'Data Checks'!B462,'Data Checks'!B462&lt;'Data Checks'!B461,'Data Checks'!B461&lt;'Data Checks'!B460),"BUY",""))</f>
        <v/>
      </c>
      <c r="K253" t="str">
        <f>IF(AND('Data Checks'!C463&gt;'Data Checks'!C462,'Data Checks'!C462&gt;'Data Checks'!C461,'Data Checks'!C461&gt;'Data Checks'!C460),"SELL",IF(AND('Data Checks'!C463&lt;'Data Checks'!C462,'Data Checks'!C462&lt;'Data Checks'!C461,'Data Checks'!C461&lt;'Data Checks'!C460),"BUY",""))</f>
        <v/>
      </c>
      <c r="L253" t="str">
        <f>IF(AND('Data Checks'!D463&gt;'Data Checks'!D462,'Data Checks'!D462&gt;'Data Checks'!D461,'Data Checks'!D461&gt;'Data Checks'!D460),"SELL",IF(AND('Data Checks'!D463&lt;'Data Checks'!D462,'Data Checks'!D462&lt;'Data Checks'!D461,'Data Checks'!D461&lt;'Data Checks'!D460),"BUY",""))</f>
        <v/>
      </c>
      <c r="M253" t="str">
        <f>IF(AND('Data Checks'!E463&gt;'Data Checks'!E462,'Data Checks'!E462&gt;'Data Checks'!E461,'Data Checks'!E461&gt;'Data Checks'!E460),"SELL",IF(AND('Data Checks'!E463&lt;'Data Checks'!E462,'Data Checks'!E462&lt;'Data Checks'!E461,'Data Checks'!E461&lt;'Data Checks'!E460),"BUY",""))</f>
        <v/>
      </c>
      <c r="N253" t="str">
        <f>IF(AND('Data Checks'!F463&gt;'Data Checks'!F462,'Data Checks'!F462&gt;'Data Checks'!F461,'Data Checks'!F461&gt;'Data Checks'!F460),"SELL",IF(AND('Data Checks'!F463&lt;'Data Checks'!F462,'Data Checks'!F462&lt;'Data Checks'!F461,'Data Checks'!F461&lt;'Data Checks'!F460),"BUY",""))</f>
        <v/>
      </c>
      <c r="O253">
        <f>IF(J252="BUY",O252*('Data Checks'!B463/'Data Checks'!B462),IF(J252="SELL",O252*('Data Checks'!B462/'Data Checks'!B463),O252))</f>
        <v>258.06261000517901</v>
      </c>
      <c r="P253">
        <f>IF(K252="BUY",P252*('Data Checks'!C463/'Data Checks'!C462),IF(K252="SELL",P252*('Data Checks'!C462/'Data Checks'!C463),P252))</f>
        <v>222.89928969242368</v>
      </c>
      <c r="Q253">
        <f>IF(L252="BUY",Q252*('Data Checks'!D463/'Data Checks'!D462),IF(L252="SELL",Q252*('Data Checks'!D462/'Data Checks'!D463),Q252))</f>
        <v>238.94724095034977</v>
      </c>
      <c r="R253">
        <f>IF(M252="BUY",R252*('Data Checks'!E463/'Data Checks'!E462),IF(M252="SELL",R252*('Data Checks'!E462/'Data Checks'!E463),R252))</f>
        <v>222.25418679396762</v>
      </c>
      <c r="S253">
        <f>IF(N252="BUY",S252*('Data Checks'!F463/'Data Checks'!F462),IF(N252="SELL",S252*('Data Checks'!F462/'Data Checks'!F463),S252))</f>
        <v>196.96769293939653</v>
      </c>
      <c r="T253" s="16">
        <f t="shared" si="34"/>
        <v>1139.1310203813166</v>
      </c>
      <c r="U253" s="17">
        <f t="shared" si="38"/>
        <v>9.2725608829860029E-3</v>
      </c>
      <c r="W253" t="str">
        <f>IF(AND('Data Checks'!B463&gt;'Data Checks'!B462,'Data Checks'!B462&gt;'Data Checks'!B461,'Data Checks'!B461&gt;'Data Checks'!B460),"BUY",IF(AND('Data Checks'!B463&lt;'Data Checks'!B462,'Data Checks'!B462&lt;'Data Checks'!B461,'Data Checks'!B461&lt;'Data Checks'!B460),"SELL",""))</f>
        <v/>
      </c>
      <c r="X253" t="str">
        <f>IF(AND('Data Checks'!C463&gt;'Data Checks'!C462,'Data Checks'!C462&gt;'Data Checks'!C461,'Data Checks'!C461&gt;'Data Checks'!C460),"BUY",IF(AND('Data Checks'!C463&lt;'Data Checks'!C462,'Data Checks'!C462&lt;'Data Checks'!C461,'Data Checks'!C461&lt;'Data Checks'!C460),"SELL",""))</f>
        <v/>
      </c>
      <c r="Y253" t="str">
        <f>IF(AND('Data Checks'!D463&gt;'Data Checks'!D462,'Data Checks'!D462&gt;'Data Checks'!D461,'Data Checks'!D461&gt;'Data Checks'!D460),"BUY",IF(AND('Data Checks'!D463&lt;'Data Checks'!D462,'Data Checks'!D462&lt;'Data Checks'!D461,'Data Checks'!D461&lt;'Data Checks'!D460),"SELL",""))</f>
        <v/>
      </c>
      <c r="Z253" t="str">
        <f>IF(AND('Data Checks'!E463&gt;'Data Checks'!E462,'Data Checks'!E462&gt;'Data Checks'!E461,'Data Checks'!E461&gt;'Data Checks'!E460),"BUY",IF(AND('Data Checks'!E463&lt;'Data Checks'!E462,'Data Checks'!E462&lt;'Data Checks'!E461,'Data Checks'!E461&lt;'Data Checks'!E460),"SELL",""))</f>
        <v/>
      </c>
      <c r="AA253" t="str">
        <f>IF(AND('Data Checks'!F463&gt;'Data Checks'!F462,'Data Checks'!F462&gt;'Data Checks'!F461,'Data Checks'!F461&gt;'Data Checks'!F460),"BUY",IF(AND('Data Checks'!F463&lt;'Data Checks'!F462,'Data Checks'!F462&lt;'Data Checks'!F461,'Data Checks'!F461&lt;'Data Checks'!F460),"SELL",""))</f>
        <v/>
      </c>
      <c r="AB253">
        <f>IF(W252="BUY",AB252*('Data Checks'!B463/'Data Checks'!B462),IF(W252="SELL",AB252*('Data Checks'!B462/'Data Checks'!B463),AB252))</f>
        <v>155.00114487409576</v>
      </c>
      <c r="AC253">
        <f>IF(X252="BUY",AC252*('Data Checks'!C463/'Data Checks'!C462),IF(X252="SELL",AC252*('Data Checks'!C462/'Data Checks'!C463),AC252))</f>
        <v>179.45324121577781</v>
      </c>
      <c r="AD253">
        <f>IF(Y252="BUY",AD252*('Data Checks'!D463/'Data Checks'!D462),IF(Y252="SELL",AD252*('Data Checks'!D462/'Data Checks'!D463),AD252))</f>
        <v>167.4009703602793</v>
      </c>
      <c r="AE253">
        <f>IF(Z252="BUY",AE252*('Data Checks'!E463/'Data Checks'!E462),IF(Z252="SELL",AE252*('Data Checks'!E462/'Data Checks'!E463),AE252))</f>
        <v>179.97411242057032</v>
      </c>
      <c r="AF253">
        <f>IF(AA252="BUY",AF252*('Data Checks'!F463/'Data Checks'!F462),IF(AA252="SELL",AF252*('Data Checks'!F462/'Data Checks'!F463),AF252))</f>
        <v>203.07898926504319</v>
      </c>
      <c r="AG253" s="16">
        <f t="shared" si="35"/>
        <v>884.90845813576641</v>
      </c>
      <c r="AH253" s="17">
        <f t="shared" si="39"/>
        <v>-9.6975788278795827E-3</v>
      </c>
      <c r="AJ253" t="str">
        <f>IF('Moving Ave'!G463&gt;'Moving Ave'!L463,"SELL","BUY")</f>
        <v>SELL</v>
      </c>
      <c r="AK253" t="str">
        <f>IF('Moving Ave'!H463&gt;'Moving Ave'!M463,"SELL","BUY")</f>
        <v>SELL</v>
      </c>
      <c r="AL253" t="str">
        <f>IF('Moving Ave'!I463&gt;'Moving Ave'!N463,"SELL","BUY")</f>
        <v>SELL</v>
      </c>
      <c r="AM253" t="str">
        <f>IF('Moving Ave'!J463&gt;'Moving Ave'!O463,"SELL","BUY")</f>
        <v>BUY</v>
      </c>
      <c r="AN253" t="str">
        <f>IF('Moving Ave'!K463&gt;'Moving Ave'!P463,"SELL","BUY")</f>
        <v>SELL</v>
      </c>
      <c r="AO253">
        <f>IF(AJ252="BUY",AO252*('Data Checks'!B463/'Data Checks'!B462),AO252*('Data Checks'!B462/'Data Checks'!B463))</f>
        <v>139.0562145738198</v>
      </c>
      <c r="AP253">
        <f>IF(AK252="BUY",AP252*('Data Checks'!C463/'Data Checks'!C462),AP252*('Data Checks'!C462/'Data Checks'!C463))</f>
        <v>127.2014525698041</v>
      </c>
      <c r="AQ253">
        <f>IF(AL252="BUY",AQ252*('Data Checks'!D463/'Data Checks'!D462),AQ252*('Data Checks'!D462/'Data Checks'!D463))</f>
        <v>237.93584725019861</v>
      </c>
      <c r="AR253">
        <f>IF(AM252="BUY",AR252*('Data Checks'!E463/'Data Checks'!E462),AR252*('Data Checks'!E462/'Data Checks'!E463))</f>
        <v>120.32138532569851</v>
      </c>
      <c r="AS253">
        <f>IF(AN252="BUY",AS252*('Data Checks'!F463/'Data Checks'!F462),AS252*('Data Checks'!F462/'Data Checks'!F463))</f>
        <v>228.7972228658553</v>
      </c>
      <c r="AT253" s="16">
        <f t="shared" si="36"/>
        <v>853.3121225853763</v>
      </c>
      <c r="AU253" s="17">
        <f t="shared" si="40"/>
        <v>-3.9978425124785888E-3</v>
      </c>
    </row>
    <row r="254" spans="1:47" x14ac:dyDescent="0.35">
      <c r="A254" s="2">
        <f>Prices!A462</f>
        <v>44554</v>
      </c>
      <c r="B254">
        <f>B253*('Data Checks'!B464/'Data Checks'!B463)</f>
        <v>334.31751405778965</v>
      </c>
      <c r="C254">
        <f>C253*('Data Checks'!C464/'Data Checks'!C463)</f>
        <v>132.33426294981629</v>
      </c>
      <c r="D254">
        <f>D253*('Data Checks'!D464/'Data Checks'!D463)</f>
        <v>253.5982743963649</v>
      </c>
      <c r="E254">
        <f>E253*('Data Checks'!E464/'Data Checks'!E463)</f>
        <v>119.95313291084256</v>
      </c>
      <c r="F254">
        <f>F253*('Data Checks'!F464/'Data Checks'!F463)</f>
        <v>155.46018343529121</v>
      </c>
      <c r="G254" s="16">
        <f t="shared" si="33"/>
        <v>995.66336775010461</v>
      </c>
      <c r="H254" s="17">
        <f t="shared" si="37"/>
        <v>1.7418495191767747E-3</v>
      </c>
      <c r="J254" t="str">
        <f>IF(AND('Data Checks'!B464&gt;'Data Checks'!B463,'Data Checks'!B463&gt;'Data Checks'!B462,'Data Checks'!B462&gt;'Data Checks'!B461),"SELL",IF(AND('Data Checks'!B464&lt;'Data Checks'!B463,'Data Checks'!B463&lt;'Data Checks'!B462,'Data Checks'!B462&lt;'Data Checks'!B461),"BUY",""))</f>
        <v/>
      </c>
      <c r="K254" t="str">
        <f>IF(AND('Data Checks'!C464&gt;'Data Checks'!C463,'Data Checks'!C463&gt;'Data Checks'!C462,'Data Checks'!C462&gt;'Data Checks'!C461),"SELL",IF(AND('Data Checks'!C464&lt;'Data Checks'!C463,'Data Checks'!C463&lt;'Data Checks'!C462,'Data Checks'!C462&lt;'Data Checks'!C461),"BUY",""))</f>
        <v/>
      </c>
      <c r="L254" t="str">
        <f>IF(AND('Data Checks'!D464&gt;'Data Checks'!D463,'Data Checks'!D463&gt;'Data Checks'!D462,'Data Checks'!D462&gt;'Data Checks'!D461),"SELL",IF(AND('Data Checks'!D464&lt;'Data Checks'!D463,'Data Checks'!D463&lt;'Data Checks'!D462,'Data Checks'!D462&lt;'Data Checks'!D461),"BUY",""))</f>
        <v/>
      </c>
      <c r="M254" t="str">
        <f>IF(AND('Data Checks'!E464&gt;'Data Checks'!E463,'Data Checks'!E463&gt;'Data Checks'!E462,'Data Checks'!E462&gt;'Data Checks'!E461),"SELL",IF(AND('Data Checks'!E464&lt;'Data Checks'!E463,'Data Checks'!E463&lt;'Data Checks'!E462,'Data Checks'!E462&lt;'Data Checks'!E461),"BUY",""))</f>
        <v/>
      </c>
      <c r="N254" t="str">
        <f>IF(AND('Data Checks'!F464&gt;'Data Checks'!F463,'Data Checks'!F463&gt;'Data Checks'!F462,'Data Checks'!F462&gt;'Data Checks'!F461),"SELL",IF(AND('Data Checks'!F464&lt;'Data Checks'!F463,'Data Checks'!F463&lt;'Data Checks'!F462,'Data Checks'!F462&lt;'Data Checks'!F461),"BUY",""))</f>
        <v/>
      </c>
      <c r="O254">
        <f>IF(J253="BUY",O253*('Data Checks'!B464/'Data Checks'!B463),IF(J253="SELL",O253*('Data Checks'!B463/'Data Checks'!B464),O253))</f>
        <v>258.06261000517901</v>
      </c>
      <c r="P254">
        <f>IF(K253="BUY",P253*('Data Checks'!C464/'Data Checks'!C463),IF(K253="SELL",P253*('Data Checks'!C463/'Data Checks'!C464),P253))</f>
        <v>222.89928969242368</v>
      </c>
      <c r="Q254">
        <f>IF(L253="BUY",Q253*('Data Checks'!D464/'Data Checks'!D463),IF(L253="SELL",Q253*('Data Checks'!D463/'Data Checks'!D464),Q253))</f>
        <v>238.94724095034977</v>
      </c>
      <c r="R254">
        <f>IF(M253="BUY",R253*('Data Checks'!E464/'Data Checks'!E463),IF(M253="SELL",R253*('Data Checks'!E463/'Data Checks'!E464),R253))</f>
        <v>222.25418679396762</v>
      </c>
      <c r="S254">
        <f>IF(N253="BUY",S253*('Data Checks'!F464/'Data Checks'!F463),IF(N253="SELL",S253*('Data Checks'!F463/'Data Checks'!F464),S253))</f>
        <v>196.96769293939653</v>
      </c>
      <c r="T254" s="16">
        <f t="shared" si="34"/>
        <v>1139.1310203813166</v>
      </c>
      <c r="U254" s="17">
        <f t="shared" si="38"/>
        <v>0</v>
      </c>
      <c r="W254" t="str">
        <f>IF(AND('Data Checks'!B464&gt;'Data Checks'!B463,'Data Checks'!B463&gt;'Data Checks'!B462,'Data Checks'!B462&gt;'Data Checks'!B461),"BUY",IF(AND('Data Checks'!B464&lt;'Data Checks'!B463,'Data Checks'!B463&lt;'Data Checks'!B462,'Data Checks'!B462&lt;'Data Checks'!B461),"SELL",""))</f>
        <v/>
      </c>
      <c r="X254" t="str">
        <f>IF(AND('Data Checks'!C464&gt;'Data Checks'!C463,'Data Checks'!C463&gt;'Data Checks'!C462,'Data Checks'!C462&gt;'Data Checks'!C461),"BUY",IF(AND('Data Checks'!C464&lt;'Data Checks'!C463,'Data Checks'!C463&lt;'Data Checks'!C462,'Data Checks'!C462&lt;'Data Checks'!C461),"SELL",""))</f>
        <v/>
      </c>
      <c r="Y254" t="str">
        <f>IF(AND('Data Checks'!D464&gt;'Data Checks'!D463,'Data Checks'!D463&gt;'Data Checks'!D462,'Data Checks'!D462&gt;'Data Checks'!D461),"BUY",IF(AND('Data Checks'!D464&lt;'Data Checks'!D463,'Data Checks'!D463&lt;'Data Checks'!D462,'Data Checks'!D462&lt;'Data Checks'!D461),"SELL",""))</f>
        <v/>
      </c>
      <c r="Z254" t="str">
        <f>IF(AND('Data Checks'!E464&gt;'Data Checks'!E463,'Data Checks'!E463&gt;'Data Checks'!E462,'Data Checks'!E462&gt;'Data Checks'!E461),"BUY",IF(AND('Data Checks'!E464&lt;'Data Checks'!E463,'Data Checks'!E463&lt;'Data Checks'!E462,'Data Checks'!E462&lt;'Data Checks'!E461),"SELL",""))</f>
        <v/>
      </c>
      <c r="AA254" t="str">
        <f>IF(AND('Data Checks'!F464&gt;'Data Checks'!F463,'Data Checks'!F463&gt;'Data Checks'!F462,'Data Checks'!F462&gt;'Data Checks'!F461),"BUY",IF(AND('Data Checks'!F464&lt;'Data Checks'!F463,'Data Checks'!F463&lt;'Data Checks'!F462,'Data Checks'!F462&lt;'Data Checks'!F461),"SELL",""))</f>
        <v/>
      </c>
      <c r="AB254">
        <f>IF(W253="BUY",AB253*('Data Checks'!B464/'Data Checks'!B463),IF(W253="SELL",AB253*('Data Checks'!B463/'Data Checks'!B464),AB253))</f>
        <v>155.00114487409576</v>
      </c>
      <c r="AC254">
        <f>IF(X253="BUY",AC253*('Data Checks'!C464/'Data Checks'!C463),IF(X253="SELL",AC253*('Data Checks'!C463/'Data Checks'!C464),AC253))</f>
        <v>179.45324121577781</v>
      </c>
      <c r="AD254">
        <f>IF(Y253="BUY",AD253*('Data Checks'!D464/'Data Checks'!D463),IF(Y253="SELL",AD253*('Data Checks'!D463/'Data Checks'!D464),AD253))</f>
        <v>167.4009703602793</v>
      </c>
      <c r="AE254">
        <f>IF(Z253="BUY",AE253*('Data Checks'!E464/'Data Checks'!E463),IF(Z253="SELL",AE253*('Data Checks'!E463/'Data Checks'!E464),AE253))</f>
        <v>179.97411242057032</v>
      </c>
      <c r="AF254">
        <f>IF(AA253="BUY",AF253*('Data Checks'!F464/'Data Checks'!F463),IF(AA253="SELL",AF253*('Data Checks'!F463/'Data Checks'!F464),AF253))</f>
        <v>203.07898926504319</v>
      </c>
      <c r="AG254" s="16">
        <f t="shared" si="35"/>
        <v>884.90845813576641</v>
      </c>
      <c r="AH254" s="17">
        <f t="shared" si="39"/>
        <v>0</v>
      </c>
      <c r="AJ254" t="str">
        <f>IF('Moving Ave'!G464&gt;'Moving Ave'!L464,"SELL","BUY")</f>
        <v>SELL</v>
      </c>
      <c r="AK254" t="str">
        <f>IF('Moving Ave'!H464&gt;'Moving Ave'!M464,"SELL","BUY")</f>
        <v>SELL</v>
      </c>
      <c r="AL254" t="str">
        <f>IF('Moving Ave'!I464&gt;'Moving Ave'!N464,"SELL","BUY")</f>
        <v>SELL</v>
      </c>
      <c r="AM254" t="str">
        <f>IF('Moving Ave'!J464&gt;'Moving Ave'!O464,"SELL","BUY")</f>
        <v>SELL</v>
      </c>
      <c r="AN254" t="str">
        <f>IF('Moving Ave'!K464&gt;'Moving Ave'!P464,"SELL","BUY")</f>
        <v>SELL</v>
      </c>
      <c r="AO254">
        <f>IF(AJ253="BUY",AO253*('Data Checks'!B464/'Data Checks'!B463),AO253*('Data Checks'!B463/'Data Checks'!B464))</f>
        <v>139.60758839140382</v>
      </c>
      <c r="AP254">
        <f>IF(AK253="BUY",AP253*('Data Checks'!C464/'Data Checks'!C463),AP253*('Data Checks'!C463/'Data Checks'!C464))</f>
        <v>127.10380286745705</v>
      </c>
      <c r="AQ254">
        <f>IF(AL253="BUY",AQ253*('Data Checks'!D464/'Data Checks'!D463),AQ253*('Data Checks'!D463/'Data Checks'!D464))</f>
        <v>238.53114116786665</v>
      </c>
      <c r="AR254">
        <f>IF(AM253="BUY",AR253*('Data Checks'!E464/'Data Checks'!E463),AR253*('Data Checks'!E463/'Data Checks'!E464))</f>
        <v>119.95313291084256</v>
      </c>
      <c r="AS254">
        <f>IF(AN253="BUY",AS253*('Data Checks'!F464/'Data Checks'!F463),AS253*('Data Checks'!F463/'Data Checks'!F464))</f>
        <v>222.97202592039542</v>
      </c>
      <c r="AT254" s="16">
        <f t="shared" si="36"/>
        <v>848.16769125796554</v>
      </c>
      <c r="AU254" s="17">
        <f t="shared" si="40"/>
        <v>-6.028780315254556E-3</v>
      </c>
    </row>
    <row r="255" spans="1:47" x14ac:dyDescent="0.35">
      <c r="A255" s="2">
        <f>Prices!A463</f>
        <v>44558</v>
      </c>
      <c r="B255">
        <f>B254*('Data Checks'!B465/'Data Checks'!B464)</f>
        <v>346.04242798487689</v>
      </c>
      <c r="C255">
        <f>C254*('Data Checks'!C465/'Data Checks'!C464)</f>
        <v>131.31826597201601</v>
      </c>
      <c r="D255">
        <f>D254*('Data Checks'!D465/'Data Checks'!D464)</f>
        <v>252.42944485606048</v>
      </c>
      <c r="E255">
        <f>E254*('Data Checks'!E465/'Data Checks'!E464)</f>
        <v>120.1874817479919</v>
      </c>
      <c r="F255">
        <f>F254*('Data Checks'!F465/'Data Checks'!F464)</f>
        <v>156.41392689194944</v>
      </c>
      <c r="G255" s="16">
        <f t="shared" si="33"/>
        <v>1006.3915474528948</v>
      </c>
      <c r="H255" s="17">
        <f t="shared" si="37"/>
        <v>1.0774906509850357E-2</v>
      </c>
      <c r="J255" t="str">
        <f>IF(AND('Data Checks'!B465&gt;'Data Checks'!B464,'Data Checks'!B464&gt;'Data Checks'!B463,'Data Checks'!B463&gt;'Data Checks'!B462),"SELL",IF(AND('Data Checks'!B465&lt;'Data Checks'!B464,'Data Checks'!B464&lt;'Data Checks'!B463,'Data Checks'!B463&lt;'Data Checks'!B462),"BUY",""))</f>
        <v/>
      </c>
      <c r="K255" t="str">
        <f>IF(AND('Data Checks'!C465&gt;'Data Checks'!C464,'Data Checks'!C464&gt;'Data Checks'!C463,'Data Checks'!C463&gt;'Data Checks'!C462),"SELL",IF(AND('Data Checks'!C465&lt;'Data Checks'!C464,'Data Checks'!C464&lt;'Data Checks'!C463,'Data Checks'!C463&lt;'Data Checks'!C462),"BUY",""))</f>
        <v/>
      </c>
      <c r="L255" t="str">
        <f>IF(AND('Data Checks'!D465&gt;'Data Checks'!D464,'Data Checks'!D464&gt;'Data Checks'!D463,'Data Checks'!D463&gt;'Data Checks'!D462),"SELL",IF(AND('Data Checks'!D465&lt;'Data Checks'!D464,'Data Checks'!D464&lt;'Data Checks'!D463,'Data Checks'!D463&lt;'Data Checks'!D462),"BUY",""))</f>
        <v/>
      </c>
      <c r="M255" t="str">
        <f>IF(AND('Data Checks'!E465&gt;'Data Checks'!E464,'Data Checks'!E464&gt;'Data Checks'!E463,'Data Checks'!E463&gt;'Data Checks'!E462),"SELL",IF(AND('Data Checks'!E465&lt;'Data Checks'!E464,'Data Checks'!E464&lt;'Data Checks'!E463,'Data Checks'!E463&lt;'Data Checks'!E462),"BUY",""))</f>
        <v/>
      </c>
      <c r="N255" t="str">
        <f>IF(AND('Data Checks'!F465&gt;'Data Checks'!F464,'Data Checks'!F464&gt;'Data Checks'!F463,'Data Checks'!F463&gt;'Data Checks'!F462),"SELL",IF(AND('Data Checks'!F465&lt;'Data Checks'!F464,'Data Checks'!F464&lt;'Data Checks'!F463,'Data Checks'!F463&lt;'Data Checks'!F462),"BUY",""))</f>
        <v>SELL</v>
      </c>
      <c r="O255">
        <f>IF(J254="BUY",O254*('Data Checks'!B465/'Data Checks'!B464),IF(J254="SELL",O254*('Data Checks'!B464/'Data Checks'!B465),O254))</f>
        <v>258.06261000517901</v>
      </c>
      <c r="P255">
        <f>IF(K254="BUY",P254*('Data Checks'!C465/'Data Checks'!C464),IF(K254="SELL",P254*('Data Checks'!C464/'Data Checks'!C465),P254))</f>
        <v>222.89928969242368</v>
      </c>
      <c r="Q255">
        <f>IF(L254="BUY",Q254*('Data Checks'!D465/'Data Checks'!D464),IF(L254="SELL",Q254*('Data Checks'!D464/'Data Checks'!D465),Q254))</f>
        <v>238.94724095034977</v>
      </c>
      <c r="R255">
        <f>IF(M254="BUY",R254*('Data Checks'!E465/'Data Checks'!E464),IF(M254="SELL",R254*('Data Checks'!E464/'Data Checks'!E465),R254))</f>
        <v>222.25418679396762</v>
      </c>
      <c r="S255">
        <f>IF(N254="BUY",S254*('Data Checks'!F465/'Data Checks'!F464),IF(N254="SELL",S254*('Data Checks'!F464/'Data Checks'!F465),S254))</f>
        <v>196.96769293939653</v>
      </c>
      <c r="T255" s="16">
        <f t="shared" si="34"/>
        <v>1139.1310203813166</v>
      </c>
      <c r="U255" s="17">
        <f t="shared" si="38"/>
        <v>0</v>
      </c>
      <c r="W255" t="str">
        <f>IF(AND('Data Checks'!B465&gt;'Data Checks'!B464,'Data Checks'!B464&gt;'Data Checks'!B463,'Data Checks'!B463&gt;'Data Checks'!B462),"BUY",IF(AND('Data Checks'!B465&lt;'Data Checks'!B464,'Data Checks'!B464&lt;'Data Checks'!B463,'Data Checks'!B463&lt;'Data Checks'!B462),"SELL",""))</f>
        <v/>
      </c>
      <c r="X255" t="str">
        <f>IF(AND('Data Checks'!C465&gt;'Data Checks'!C464,'Data Checks'!C464&gt;'Data Checks'!C463,'Data Checks'!C463&gt;'Data Checks'!C462),"BUY",IF(AND('Data Checks'!C465&lt;'Data Checks'!C464,'Data Checks'!C464&lt;'Data Checks'!C463,'Data Checks'!C463&lt;'Data Checks'!C462),"SELL",""))</f>
        <v/>
      </c>
      <c r="Y255" t="str">
        <f>IF(AND('Data Checks'!D465&gt;'Data Checks'!D464,'Data Checks'!D464&gt;'Data Checks'!D463,'Data Checks'!D463&gt;'Data Checks'!D462),"BUY",IF(AND('Data Checks'!D465&lt;'Data Checks'!D464,'Data Checks'!D464&lt;'Data Checks'!D463,'Data Checks'!D463&lt;'Data Checks'!D462),"SELL",""))</f>
        <v/>
      </c>
      <c r="Z255" t="str">
        <f>IF(AND('Data Checks'!E465&gt;'Data Checks'!E464,'Data Checks'!E464&gt;'Data Checks'!E463,'Data Checks'!E463&gt;'Data Checks'!E462),"BUY",IF(AND('Data Checks'!E465&lt;'Data Checks'!E464,'Data Checks'!E464&lt;'Data Checks'!E463,'Data Checks'!E463&lt;'Data Checks'!E462),"SELL",""))</f>
        <v/>
      </c>
      <c r="AA255" t="str">
        <f>IF(AND('Data Checks'!F465&gt;'Data Checks'!F464,'Data Checks'!F464&gt;'Data Checks'!F463,'Data Checks'!F463&gt;'Data Checks'!F462),"BUY",IF(AND('Data Checks'!F465&lt;'Data Checks'!F464,'Data Checks'!F464&lt;'Data Checks'!F463,'Data Checks'!F463&lt;'Data Checks'!F462),"SELL",""))</f>
        <v>BUY</v>
      </c>
      <c r="AB255">
        <f>IF(W254="BUY",AB254*('Data Checks'!B465/'Data Checks'!B464),IF(W254="SELL",AB254*('Data Checks'!B464/'Data Checks'!B465),AB254))</f>
        <v>155.00114487409576</v>
      </c>
      <c r="AC255">
        <f>IF(X254="BUY",AC254*('Data Checks'!C465/'Data Checks'!C464),IF(X254="SELL",AC254*('Data Checks'!C464/'Data Checks'!C465),AC254))</f>
        <v>179.45324121577781</v>
      </c>
      <c r="AD255">
        <f>IF(Y254="BUY",AD254*('Data Checks'!D465/'Data Checks'!D464),IF(Y254="SELL",AD254*('Data Checks'!D464/'Data Checks'!D465),AD254))</f>
        <v>167.4009703602793</v>
      </c>
      <c r="AE255">
        <f>IF(Z254="BUY",AE254*('Data Checks'!E465/'Data Checks'!E464),IF(Z254="SELL",AE254*('Data Checks'!E464/'Data Checks'!E465),AE254))</f>
        <v>179.97411242057032</v>
      </c>
      <c r="AF255">
        <f>IF(AA254="BUY",AF254*('Data Checks'!F465/'Data Checks'!F464),IF(AA254="SELL",AF254*('Data Checks'!F464/'Data Checks'!F465),AF254))</f>
        <v>203.07898926504319</v>
      </c>
      <c r="AG255" s="16">
        <f t="shared" si="35"/>
        <v>884.90845813576641</v>
      </c>
      <c r="AH255" s="17">
        <f t="shared" si="39"/>
        <v>0</v>
      </c>
      <c r="AJ255" t="str">
        <f>IF('Moving Ave'!G465&gt;'Moving Ave'!L465,"SELL","BUY")</f>
        <v>SELL</v>
      </c>
      <c r="AK255" t="str">
        <f>IF('Moving Ave'!H465&gt;'Moving Ave'!M465,"SELL","BUY")</f>
        <v>SELL</v>
      </c>
      <c r="AL255" t="str">
        <f>IF('Moving Ave'!I465&gt;'Moving Ave'!N465,"SELL","BUY")</f>
        <v>SELL</v>
      </c>
      <c r="AM255" t="str">
        <f>IF('Moving Ave'!J465&gt;'Moving Ave'!O465,"SELL","BUY")</f>
        <v>SELL</v>
      </c>
      <c r="AN255" t="str">
        <f>IF('Moving Ave'!K465&gt;'Moving Ave'!P465,"SELL","BUY")</f>
        <v>SELL</v>
      </c>
      <c r="AO255">
        <f>IF(AJ254="BUY",AO254*('Data Checks'!B465/'Data Checks'!B464),AO254*('Data Checks'!B464/'Data Checks'!B465))</f>
        <v>134.87728128140699</v>
      </c>
      <c r="AP255">
        <f>IF(AK254="BUY",AP254*('Data Checks'!C465/'Data Checks'!C464),AP254*('Data Checks'!C464/'Data Checks'!C465))</f>
        <v>128.08719294365389</v>
      </c>
      <c r="AQ255">
        <f>IF(AL254="BUY",AQ254*('Data Checks'!D465/'Data Checks'!D464),AQ254*('Data Checks'!D464/'Data Checks'!D465))</f>
        <v>239.63561709078644</v>
      </c>
      <c r="AR255">
        <f>IF(AM254="BUY",AR254*('Data Checks'!E465/'Data Checks'!E464),AR254*('Data Checks'!E464/'Data Checks'!E465))</f>
        <v>119.71924102126107</v>
      </c>
      <c r="AS255">
        <f>IF(AN254="BUY",AS254*('Data Checks'!F465/'Data Checks'!F464),AS254*('Data Checks'!F464/'Data Checks'!F465))</f>
        <v>221.61244039649057</v>
      </c>
      <c r="AT255" s="16">
        <f t="shared" si="36"/>
        <v>843.9317727335989</v>
      </c>
      <c r="AU255" s="17">
        <f t="shared" si="40"/>
        <v>-4.994199340562111E-3</v>
      </c>
    </row>
    <row r="256" spans="1:47" x14ac:dyDescent="0.35">
      <c r="A256" s="2">
        <f>Prices!A464</f>
        <v>44559</v>
      </c>
      <c r="B256">
        <f>B255*('Data Checks'!B466/'Data Checks'!B465)</f>
        <v>350.0508408804443</v>
      </c>
      <c r="C256">
        <f>C255*('Data Checks'!C466/'Data Checks'!C465)</f>
        <v>131.16586566334442</v>
      </c>
      <c r="D256">
        <f>D255*('Data Checks'!D466/'Data Checks'!D465)</f>
        <v>254.23275428673853</v>
      </c>
      <c r="E256">
        <f>E255*('Data Checks'!E466/'Data Checks'!E465)</f>
        <v>120.99095343183953</v>
      </c>
      <c r="F256">
        <f>F255*('Data Checks'!F466/'Data Checks'!F465)</f>
        <v>156.74774282424056</v>
      </c>
      <c r="G256" s="16">
        <f t="shared" si="33"/>
        <v>1013.1881570866074</v>
      </c>
      <c r="H256" s="17">
        <f t="shared" si="37"/>
        <v>6.7534446716233099E-3</v>
      </c>
      <c r="J256" t="str">
        <f>IF(AND('Data Checks'!B466&gt;'Data Checks'!B465,'Data Checks'!B465&gt;'Data Checks'!B464,'Data Checks'!B464&gt;'Data Checks'!B463),"SELL",IF(AND('Data Checks'!B466&lt;'Data Checks'!B465,'Data Checks'!B465&lt;'Data Checks'!B464,'Data Checks'!B464&lt;'Data Checks'!B463),"BUY",""))</f>
        <v/>
      </c>
      <c r="K256" t="str">
        <f>IF(AND('Data Checks'!C466&gt;'Data Checks'!C465,'Data Checks'!C465&gt;'Data Checks'!C464,'Data Checks'!C464&gt;'Data Checks'!C463),"SELL",IF(AND('Data Checks'!C466&lt;'Data Checks'!C465,'Data Checks'!C465&lt;'Data Checks'!C464,'Data Checks'!C464&lt;'Data Checks'!C463),"BUY",""))</f>
        <v/>
      </c>
      <c r="L256" t="str">
        <f>IF(AND('Data Checks'!D466&gt;'Data Checks'!D465,'Data Checks'!D465&gt;'Data Checks'!D464,'Data Checks'!D464&gt;'Data Checks'!D463),"SELL",IF(AND('Data Checks'!D466&lt;'Data Checks'!D465,'Data Checks'!D465&lt;'Data Checks'!D464,'Data Checks'!D464&lt;'Data Checks'!D463),"BUY",""))</f>
        <v/>
      </c>
      <c r="M256" t="str">
        <f>IF(AND('Data Checks'!E466&gt;'Data Checks'!E465,'Data Checks'!E465&gt;'Data Checks'!E464,'Data Checks'!E464&gt;'Data Checks'!E463),"SELL",IF(AND('Data Checks'!E466&lt;'Data Checks'!E465,'Data Checks'!E465&lt;'Data Checks'!E464,'Data Checks'!E464&lt;'Data Checks'!E463),"BUY",""))</f>
        <v/>
      </c>
      <c r="N256" t="str">
        <f>IF(AND('Data Checks'!F466&gt;'Data Checks'!F465,'Data Checks'!F465&gt;'Data Checks'!F464,'Data Checks'!F464&gt;'Data Checks'!F463),"SELL",IF(AND('Data Checks'!F466&lt;'Data Checks'!F465,'Data Checks'!F465&lt;'Data Checks'!F464,'Data Checks'!F464&lt;'Data Checks'!F463),"BUY",""))</f>
        <v>SELL</v>
      </c>
      <c r="O256">
        <f>IF(J255="BUY",O255*('Data Checks'!B466/'Data Checks'!B465),IF(J255="SELL",O255*('Data Checks'!B465/'Data Checks'!B466),O255))</f>
        <v>258.06261000517901</v>
      </c>
      <c r="P256">
        <f>IF(K255="BUY",P255*('Data Checks'!C466/'Data Checks'!C465),IF(K255="SELL",P255*('Data Checks'!C465/'Data Checks'!C466),P255))</f>
        <v>222.89928969242368</v>
      </c>
      <c r="Q256">
        <f>IF(L255="BUY",Q255*('Data Checks'!D466/'Data Checks'!D465),IF(L255="SELL",Q255*('Data Checks'!D465/'Data Checks'!D466),Q255))</f>
        <v>238.94724095034977</v>
      </c>
      <c r="R256">
        <f>IF(M255="BUY",R255*('Data Checks'!E466/'Data Checks'!E465),IF(M255="SELL",R255*('Data Checks'!E465/'Data Checks'!E466),R255))</f>
        <v>222.25418679396762</v>
      </c>
      <c r="S256">
        <f>IF(N255="BUY",S255*('Data Checks'!F466/'Data Checks'!F465),IF(N255="SELL",S255*('Data Checks'!F465/'Data Checks'!F466),S255))</f>
        <v>196.54822307740611</v>
      </c>
      <c r="T256" s="16">
        <f t="shared" si="34"/>
        <v>1138.7115505193262</v>
      </c>
      <c r="U256" s="17">
        <f t="shared" si="38"/>
        <v>-3.6823671244590184E-4</v>
      </c>
      <c r="W256" t="str">
        <f>IF(AND('Data Checks'!B466&gt;'Data Checks'!B465,'Data Checks'!B465&gt;'Data Checks'!B464,'Data Checks'!B464&gt;'Data Checks'!B463),"BUY",IF(AND('Data Checks'!B466&lt;'Data Checks'!B465,'Data Checks'!B465&lt;'Data Checks'!B464,'Data Checks'!B464&lt;'Data Checks'!B463),"SELL",""))</f>
        <v/>
      </c>
      <c r="X256" t="str">
        <f>IF(AND('Data Checks'!C466&gt;'Data Checks'!C465,'Data Checks'!C465&gt;'Data Checks'!C464,'Data Checks'!C464&gt;'Data Checks'!C463),"BUY",IF(AND('Data Checks'!C466&lt;'Data Checks'!C465,'Data Checks'!C465&lt;'Data Checks'!C464,'Data Checks'!C464&lt;'Data Checks'!C463),"SELL",""))</f>
        <v/>
      </c>
      <c r="Y256" t="str">
        <f>IF(AND('Data Checks'!D466&gt;'Data Checks'!D465,'Data Checks'!D465&gt;'Data Checks'!D464,'Data Checks'!D464&gt;'Data Checks'!D463),"BUY",IF(AND('Data Checks'!D466&lt;'Data Checks'!D465,'Data Checks'!D465&lt;'Data Checks'!D464,'Data Checks'!D464&lt;'Data Checks'!D463),"SELL",""))</f>
        <v/>
      </c>
      <c r="Z256" t="str">
        <f>IF(AND('Data Checks'!E466&gt;'Data Checks'!E465,'Data Checks'!E465&gt;'Data Checks'!E464,'Data Checks'!E464&gt;'Data Checks'!E463),"BUY",IF(AND('Data Checks'!E466&lt;'Data Checks'!E465,'Data Checks'!E465&lt;'Data Checks'!E464,'Data Checks'!E464&lt;'Data Checks'!E463),"SELL",""))</f>
        <v/>
      </c>
      <c r="AA256" t="str">
        <f>IF(AND('Data Checks'!F466&gt;'Data Checks'!F465,'Data Checks'!F465&gt;'Data Checks'!F464,'Data Checks'!F464&gt;'Data Checks'!F463),"BUY",IF(AND('Data Checks'!F466&lt;'Data Checks'!F465,'Data Checks'!F465&lt;'Data Checks'!F464,'Data Checks'!F464&lt;'Data Checks'!F463),"SELL",""))</f>
        <v>BUY</v>
      </c>
      <c r="AB256">
        <f>IF(W255="BUY",AB255*('Data Checks'!B466/'Data Checks'!B465),IF(W255="SELL",AB255*('Data Checks'!B465/'Data Checks'!B466),AB255))</f>
        <v>155.00114487409576</v>
      </c>
      <c r="AC256">
        <f>IF(X255="BUY",AC255*('Data Checks'!C466/'Data Checks'!C465),IF(X255="SELL",AC255*('Data Checks'!C465/'Data Checks'!C466),AC255))</f>
        <v>179.45324121577781</v>
      </c>
      <c r="AD256">
        <f>IF(Y255="BUY",AD255*('Data Checks'!D466/'Data Checks'!D465),IF(Y255="SELL",AD255*('Data Checks'!D465/'Data Checks'!D466),AD255))</f>
        <v>167.4009703602793</v>
      </c>
      <c r="AE256">
        <f>IF(Z255="BUY",AE255*('Data Checks'!E466/'Data Checks'!E465),IF(Z255="SELL",AE255*('Data Checks'!E465/'Data Checks'!E466),AE255))</f>
        <v>179.97411242057032</v>
      </c>
      <c r="AF256">
        <f>IF(AA255="BUY",AF255*('Data Checks'!F466/'Data Checks'!F465),IF(AA255="SELL",AF255*('Data Checks'!F465/'Data Checks'!F466),AF255))</f>
        <v>203.5123969767304</v>
      </c>
      <c r="AG256" s="16">
        <f t="shared" si="35"/>
        <v>885.34186584745362</v>
      </c>
      <c r="AH256" s="17">
        <f t="shared" si="39"/>
        <v>4.8977688901330474E-4</v>
      </c>
      <c r="AJ256" t="str">
        <f>IF('Moving Ave'!G466&gt;'Moving Ave'!L466,"SELL","BUY")</f>
        <v>SELL</v>
      </c>
      <c r="AK256" t="str">
        <f>IF('Moving Ave'!H466&gt;'Moving Ave'!M466,"SELL","BUY")</f>
        <v>SELL</v>
      </c>
      <c r="AL256" t="str">
        <f>IF('Moving Ave'!I466&gt;'Moving Ave'!N466,"SELL","BUY")</f>
        <v>SELL</v>
      </c>
      <c r="AM256" t="str">
        <f>IF('Moving Ave'!J466&gt;'Moving Ave'!O466,"SELL","BUY")</f>
        <v>SELL</v>
      </c>
      <c r="AN256" t="str">
        <f>IF('Moving Ave'!K466&gt;'Moving Ave'!P466,"SELL","BUY")</f>
        <v>SELL</v>
      </c>
      <c r="AO256">
        <f>IF(AJ255="BUY",AO255*('Data Checks'!B466/'Data Checks'!B465),AO255*('Data Checks'!B465/'Data Checks'!B466))</f>
        <v>133.33280896347844</v>
      </c>
      <c r="AP256">
        <f>IF(AK255="BUY",AP255*('Data Checks'!C466/'Data Checks'!C465),AP255*('Data Checks'!C465/'Data Checks'!C466))</f>
        <v>128.23601617325534</v>
      </c>
      <c r="AQ256">
        <f>IF(AL255="BUY",AQ255*('Data Checks'!D466/'Data Checks'!D465),AQ255*('Data Checks'!D465/'Data Checks'!D466))</f>
        <v>237.93584725019861</v>
      </c>
      <c r="AR256">
        <f>IF(AM255="BUY",AR255*('Data Checks'!E466/'Data Checks'!E465),AR255*('Data Checks'!E465/'Data Checks'!E466))</f>
        <v>118.92421447221828</v>
      </c>
      <c r="AS256">
        <f>IF(AN255="BUY",AS255*('Data Checks'!F466/'Data Checks'!F465),AS255*('Data Checks'!F465/'Data Checks'!F466))</f>
        <v>221.14048614652594</v>
      </c>
      <c r="AT256" s="16">
        <f t="shared" si="36"/>
        <v>839.56937300567665</v>
      </c>
      <c r="AU256" s="17">
        <f t="shared" si="40"/>
        <v>-5.1691379195167864E-3</v>
      </c>
    </row>
    <row r="257" spans="1:47" ht="14.25" customHeight="1" x14ac:dyDescent="0.35">
      <c r="A257" s="2">
        <f>Prices!A465</f>
        <v>44560</v>
      </c>
      <c r="B257">
        <f>B256*('Data Checks'!B467/'Data Checks'!B466)</f>
        <v>346.24159837808253</v>
      </c>
      <c r="C257">
        <f>C256*('Data Checks'!C467/'Data Checks'!C466)</f>
        <v>131.77547197804105</v>
      </c>
      <c r="D257">
        <f>D256*('Data Checks'!D467/'Data Checks'!D466)</f>
        <v>253.76523382476623</v>
      </c>
      <c r="E257">
        <f>E256*('Data Checks'!E467/'Data Checks'!E466)</f>
        <v>120.62269097346194</v>
      </c>
      <c r="F257">
        <f>F256*('Data Checks'!F467/'Data Checks'!F466)</f>
        <v>156.41392689194944</v>
      </c>
      <c r="G257" s="16">
        <f t="shared" si="33"/>
        <v>1008.8189220463013</v>
      </c>
      <c r="H257" s="17">
        <f t="shared" si="37"/>
        <v>-4.3123629206934799E-3</v>
      </c>
      <c r="J257" t="str">
        <f>IF(AND('Data Checks'!B467&gt;'Data Checks'!B466,'Data Checks'!B466&gt;'Data Checks'!B465,'Data Checks'!B465&gt;'Data Checks'!B464),"SELL",IF(AND('Data Checks'!B467&lt;'Data Checks'!B466,'Data Checks'!B466&lt;'Data Checks'!B465,'Data Checks'!B465&lt;'Data Checks'!B464),"BUY",""))</f>
        <v/>
      </c>
      <c r="K257" t="str">
        <f>IF(AND('Data Checks'!C467&gt;'Data Checks'!C466,'Data Checks'!C466&gt;'Data Checks'!C465,'Data Checks'!C465&gt;'Data Checks'!C464),"SELL",IF(AND('Data Checks'!C467&lt;'Data Checks'!C466,'Data Checks'!C466&lt;'Data Checks'!C465,'Data Checks'!C465&lt;'Data Checks'!C464),"BUY",""))</f>
        <v/>
      </c>
      <c r="L257" t="str">
        <f>IF(AND('Data Checks'!D467&gt;'Data Checks'!D466,'Data Checks'!D466&gt;'Data Checks'!D465,'Data Checks'!D465&gt;'Data Checks'!D464),"SELL",IF(AND('Data Checks'!D467&lt;'Data Checks'!D466,'Data Checks'!D466&lt;'Data Checks'!D465,'Data Checks'!D465&lt;'Data Checks'!D464),"BUY",""))</f>
        <v/>
      </c>
      <c r="M257" t="str">
        <f>IF(AND('Data Checks'!E467&gt;'Data Checks'!E466,'Data Checks'!E466&gt;'Data Checks'!E465,'Data Checks'!E465&gt;'Data Checks'!E464),"SELL",IF(AND('Data Checks'!E467&lt;'Data Checks'!E466,'Data Checks'!E466&lt;'Data Checks'!E465,'Data Checks'!E465&lt;'Data Checks'!E464),"BUY",""))</f>
        <v/>
      </c>
      <c r="N257" t="str">
        <f>IF(AND('Data Checks'!F467&gt;'Data Checks'!F466,'Data Checks'!F466&gt;'Data Checks'!F465,'Data Checks'!F465&gt;'Data Checks'!F464),"SELL",IF(AND('Data Checks'!F467&lt;'Data Checks'!F466,'Data Checks'!F466&lt;'Data Checks'!F465,'Data Checks'!F465&lt;'Data Checks'!F464),"BUY",""))</f>
        <v/>
      </c>
      <c r="O257">
        <f>IF(J256="BUY",O256*('Data Checks'!B467/'Data Checks'!B466),IF(J256="SELL",O256*('Data Checks'!B466/'Data Checks'!B467),O256))</f>
        <v>258.06261000517901</v>
      </c>
      <c r="P257">
        <f>IF(K256="BUY",P256*('Data Checks'!C467/'Data Checks'!C466),IF(K256="SELL",P256*('Data Checks'!C466/'Data Checks'!C467),P256))</f>
        <v>222.89928969242368</v>
      </c>
      <c r="Q257">
        <f>IF(L256="BUY",Q256*('Data Checks'!D467/'Data Checks'!D466),IF(L256="SELL",Q256*('Data Checks'!D466/'Data Checks'!D467),Q256))</f>
        <v>238.94724095034977</v>
      </c>
      <c r="R257">
        <f>IF(M256="BUY",R256*('Data Checks'!E467/'Data Checks'!E466),IF(M256="SELL",R256*('Data Checks'!E466/'Data Checks'!E467),R256))</f>
        <v>222.25418679396762</v>
      </c>
      <c r="S257">
        <f>IF(N256="BUY",S256*('Data Checks'!F467/'Data Checks'!F466),IF(N256="SELL",S256*('Data Checks'!F466/'Data Checks'!F467),S256))</f>
        <v>196.96769293939656</v>
      </c>
      <c r="T257" s="16">
        <f t="shared" si="34"/>
        <v>1139.1310203813166</v>
      </c>
      <c r="U257" s="17">
        <f t="shared" si="38"/>
        <v>3.6837236067288615E-4</v>
      </c>
      <c r="W257" t="str">
        <f>IF(AND('Data Checks'!B467&gt;'Data Checks'!B466,'Data Checks'!B466&gt;'Data Checks'!B465,'Data Checks'!B465&gt;'Data Checks'!B464),"BUY",IF(AND('Data Checks'!B467&lt;'Data Checks'!B466,'Data Checks'!B466&lt;'Data Checks'!B465,'Data Checks'!B465&lt;'Data Checks'!B464),"SELL",""))</f>
        <v/>
      </c>
      <c r="X257" t="str">
        <f>IF(AND('Data Checks'!C467&gt;'Data Checks'!C466,'Data Checks'!C466&gt;'Data Checks'!C465,'Data Checks'!C465&gt;'Data Checks'!C464),"BUY",IF(AND('Data Checks'!C467&lt;'Data Checks'!C466,'Data Checks'!C466&lt;'Data Checks'!C465,'Data Checks'!C465&lt;'Data Checks'!C464),"SELL",""))</f>
        <v/>
      </c>
      <c r="Y257" t="str">
        <f>IF(AND('Data Checks'!D467&gt;'Data Checks'!D466,'Data Checks'!D466&gt;'Data Checks'!D465,'Data Checks'!D465&gt;'Data Checks'!D464),"BUY",IF(AND('Data Checks'!D467&lt;'Data Checks'!D466,'Data Checks'!D466&lt;'Data Checks'!D465,'Data Checks'!D465&lt;'Data Checks'!D464),"SELL",""))</f>
        <v/>
      </c>
      <c r="Z257" t="str">
        <f>IF(AND('Data Checks'!E467&gt;'Data Checks'!E466,'Data Checks'!E466&gt;'Data Checks'!E465,'Data Checks'!E465&gt;'Data Checks'!E464),"BUY",IF(AND('Data Checks'!E467&lt;'Data Checks'!E466,'Data Checks'!E466&lt;'Data Checks'!E465,'Data Checks'!E465&lt;'Data Checks'!E464),"SELL",""))</f>
        <v/>
      </c>
      <c r="AA257" t="str">
        <f>IF(AND('Data Checks'!F467&gt;'Data Checks'!F466,'Data Checks'!F466&gt;'Data Checks'!F465,'Data Checks'!F465&gt;'Data Checks'!F464),"BUY",IF(AND('Data Checks'!F467&lt;'Data Checks'!F466,'Data Checks'!F466&lt;'Data Checks'!F465,'Data Checks'!F465&lt;'Data Checks'!F464),"SELL",""))</f>
        <v/>
      </c>
      <c r="AB257">
        <f>IF(W256="BUY",AB256*('Data Checks'!B467/'Data Checks'!B466),IF(W256="SELL",AB256*('Data Checks'!B466/'Data Checks'!B467),AB256))</f>
        <v>155.00114487409576</v>
      </c>
      <c r="AC257">
        <f>IF(X256="BUY",AC256*('Data Checks'!C467/'Data Checks'!C466),IF(X256="SELL",AC256*('Data Checks'!C466/'Data Checks'!C467),AC256))</f>
        <v>179.45324121577781</v>
      </c>
      <c r="AD257">
        <f>IF(Y256="BUY",AD256*('Data Checks'!D467/'Data Checks'!D466),IF(Y256="SELL",AD256*('Data Checks'!D466/'Data Checks'!D467),AD256))</f>
        <v>167.4009703602793</v>
      </c>
      <c r="AE257">
        <f>IF(Z256="BUY",AE256*('Data Checks'!E467/'Data Checks'!E466),IF(Z256="SELL",AE256*('Data Checks'!E466/'Data Checks'!E467),AE256))</f>
        <v>179.97411242057032</v>
      </c>
      <c r="AF257">
        <f>IF(AA256="BUY",AF256*('Data Checks'!F467/'Data Checks'!F466),IF(AA256="SELL",AF256*('Data Checks'!F466/'Data Checks'!F467),AF256))</f>
        <v>203.07898926504319</v>
      </c>
      <c r="AG257" s="16">
        <f t="shared" si="35"/>
        <v>884.90845813576641</v>
      </c>
      <c r="AH257" s="17">
        <f t="shared" si="39"/>
        <v>-4.8953712504307134E-4</v>
      </c>
      <c r="AJ257" t="str">
        <f>IF('Moving Ave'!G467&gt;'Moving Ave'!L467,"SELL","BUY")</f>
        <v>SELL</v>
      </c>
      <c r="AK257" t="str">
        <f>IF('Moving Ave'!H467&gt;'Moving Ave'!M467,"SELL","BUY")</f>
        <v>SELL</v>
      </c>
      <c r="AL257" t="str">
        <f>IF('Moving Ave'!I467&gt;'Moving Ave'!N467,"SELL","BUY")</f>
        <v>SELL</v>
      </c>
      <c r="AM257" t="str">
        <f>IF('Moving Ave'!J467&gt;'Moving Ave'!O467,"SELL","BUY")</f>
        <v>SELL</v>
      </c>
      <c r="AN257" t="str">
        <f>IF('Moving Ave'!K467&gt;'Moving Ave'!P467,"SELL","BUY")</f>
        <v>SELL</v>
      </c>
      <c r="AO257">
        <f>IF(AJ256="BUY",AO256*('Data Checks'!B467/'Data Checks'!B466),AO256*('Data Checks'!B466/'Data Checks'!B467))</f>
        <v>134.79969510668633</v>
      </c>
      <c r="AP257">
        <f>IF(AK256="BUY",AP256*('Data Checks'!C467/'Data Checks'!C466),AP256*('Data Checks'!C466/'Data Checks'!C467))</f>
        <v>127.64278372978679</v>
      </c>
      <c r="AQ257">
        <f>IF(AL256="BUY",AQ256*('Data Checks'!D467/'Data Checks'!D466),AQ256*('Data Checks'!D466/'Data Checks'!D467))</f>
        <v>238.37420468612302</v>
      </c>
      <c r="AR257">
        <f>IF(AM256="BUY",AR256*('Data Checks'!E467/'Data Checks'!E466),AR256*('Data Checks'!E466/'Data Checks'!E467))</f>
        <v>119.28729146236597</v>
      </c>
      <c r="AS257">
        <f>IF(AN256="BUY",AS256*('Data Checks'!F467/'Data Checks'!F466),AS256*('Data Checks'!F466/'Data Checks'!F467))</f>
        <v>221.6124403964906</v>
      </c>
      <c r="AT257" s="16">
        <f t="shared" si="36"/>
        <v>841.71641538145263</v>
      </c>
      <c r="AU257" s="17">
        <f t="shared" si="40"/>
        <v>2.5573138382710692E-3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B1F9-EFBC-4647-8067-24581067EDBF}">
  <sheetPr codeName="Sheet6"/>
  <dimension ref="A1:I20"/>
  <sheetViews>
    <sheetView workbookViewId="0">
      <selection activeCell="E23" sqref="E23"/>
    </sheetView>
  </sheetViews>
  <sheetFormatPr defaultColWidth="8.81640625" defaultRowHeight="14.5" x14ac:dyDescent="0.35"/>
  <sheetData>
    <row r="1" spans="1:9" ht="15.5" x14ac:dyDescent="0.35">
      <c r="A1" s="3" t="s">
        <v>19</v>
      </c>
    </row>
    <row r="2" spans="1:9" ht="15.5" x14ac:dyDescent="0.35">
      <c r="A2" s="3"/>
    </row>
    <row r="3" spans="1:9" ht="15.5" x14ac:dyDescent="0.35">
      <c r="A3" s="3"/>
    </row>
    <row r="4" spans="1:9" x14ac:dyDescent="0.35">
      <c r="A4" s="11" t="s">
        <v>65</v>
      </c>
    </row>
    <row r="5" spans="1:9" x14ac:dyDescent="0.35">
      <c r="B5" t="s">
        <v>20</v>
      </c>
    </row>
    <row r="6" spans="1:9" x14ac:dyDescent="0.35">
      <c r="A6" t="s">
        <v>21</v>
      </c>
      <c r="B6" s="4" t="s">
        <v>4</v>
      </c>
      <c r="C6" s="4" t="s">
        <v>7</v>
      </c>
      <c r="D6" s="4" t="s">
        <v>8</v>
      </c>
      <c r="E6" s="4" t="s">
        <v>6</v>
      </c>
      <c r="F6" s="4" t="s">
        <v>5</v>
      </c>
      <c r="G6" s="4" t="s">
        <v>30</v>
      </c>
      <c r="H6" s="4" t="s">
        <v>33</v>
      </c>
      <c r="I6" s="4" t="s">
        <v>10</v>
      </c>
    </row>
    <row r="7" spans="1:9" ht="15.5" x14ac:dyDescent="0.35">
      <c r="A7" t="s">
        <v>22</v>
      </c>
      <c r="B7">
        <f>Modelling!B257</f>
        <v>346.24159837808253</v>
      </c>
      <c r="C7">
        <f>Modelling!C257</f>
        <v>131.77547197804105</v>
      </c>
      <c r="D7">
        <f>Modelling!D257</f>
        <v>253.76523382476623</v>
      </c>
      <c r="E7">
        <f>Modelling!E257</f>
        <v>120.62269097346194</v>
      </c>
      <c r="F7" s="18">
        <f>Modelling!F257</f>
        <v>156.41392689194944</v>
      </c>
      <c r="G7" s="18">
        <f>Modelling!G257</f>
        <v>1008.8189220463013</v>
      </c>
      <c r="H7">
        <f>Parameters!$B$3</f>
        <v>1000</v>
      </c>
      <c r="I7" s="15">
        <f>G7/H7-1</f>
        <v>8.8189220463013029E-3</v>
      </c>
    </row>
    <row r="8" spans="1:9" ht="15.5" x14ac:dyDescent="0.35">
      <c r="A8" t="s">
        <v>23</v>
      </c>
      <c r="B8">
        <f>Modelling!O257</f>
        <v>258.06261000517901</v>
      </c>
      <c r="C8">
        <f>Modelling!P257</f>
        <v>222.89928969242368</v>
      </c>
      <c r="D8">
        <f>Modelling!Q257</f>
        <v>238.94724095034977</v>
      </c>
      <c r="E8">
        <f>Modelling!R257</f>
        <v>222.25418679396762</v>
      </c>
      <c r="F8" s="18">
        <f>Modelling!S257</f>
        <v>196.96769293939656</v>
      </c>
      <c r="G8" s="18">
        <f>Modelling!T257</f>
        <v>1139.1310203813166</v>
      </c>
      <c r="H8">
        <f>Parameters!$B$3</f>
        <v>1000</v>
      </c>
      <c r="I8" s="15">
        <f t="shared" ref="I8:I10" si="0">G8/H8-1</f>
        <v>0.13913102038131653</v>
      </c>
    </row>
    <row r="9" spans="1:9" ht="15.5" x14ac:dyDescent="0.35">
      <c r="A9" t="s">
        <v>24</v>
      </c>
      <c r="B9">
        <f>Modelling!AB257</f>
        <v>155.00114487409576</v>
      </c>
      <c r="C9">
        <f>Modelling!AC257</f>
        <v>179.45324121577781</v>
      </c>
      <c r="D9">
        <f>Modelling!AD257</f>
        <v>167.4009703602793</v>
      </c>
      <c r="E9">
        <f>Modelling!AE257</f>
        <v>179.97411242057032</v>
      </c>
      <c r="F9" s="18">
        <f>Modelling!AF257</f>
        <v>203.07898926504319</v>
      </c>
      <c r="G9" s="18">
        <f>Modelling!AG257</f>
        <v>884.90845813576641</v>
      </c>
      <c r="H9">
        <f>Parameters!$B$3</f>
        <v>1000</v>
      </c>
      <c r="I9" s="15">
        <f t="shared" si="0"/>
        <v>-0.11509154186423354</v>
      </c>
    </row>
    <row r="10" spans="1:9" ht="15.5" x14ac:dyDescent="0.35">
      <c r="A10" t="s">
        <v>25</v>
      </c>
      <c r="B10">
        <f>Modelling!AO257</f>
        <v>134.79969510668633</v>
      </c>
      <c r="C10">
        <f>Modelling!AP257</f>
        <v>127.64278372978679</v>
      </c>
      <c r="D10">
        <f>Modelling!AQ257</f>
        <v>238.37420468612302</v>
      </c>
      <c r="E10">
        <f>Modelling!AR257</f>
        <v>119.28729146236597</v>
      </c>
      <c r="F10" s="18">
        <f>Modelling!AS257</f>
        <v>221.6124403964906</v>
      </c>
      <c r="G10" s="18">
        <f>Modelling!AT257</f>
        <v>841.71641538145263</v>
      </c>
      <c r="H10">
        <f>Parameters!$B$3</f>
        <v>1000</v>
      </c>
      <c r="I10" s="15">
        <f t="shared" si="0"/>
        <v>-0.15828358461854741</v>
      </c>
    </row>
    <row r="14" spans="1:9" x14ac:dyDescent="0.35">
      <c r="A14" s="11" t="s">
        <v>36</v>
      </c>
    </row>
    <row r="16" spans="1:9" x14ac:dyDescent="0.35">
      <c r="A16" s="11" t="s">
        <v>21</v>
      </c>
      <c r="B16" s="11" t="s">
        <v>3</v>
      </c>
      <c r="C16" s="11" t="s">
        <v>37</v>
      </c>
    </row>
    <row r="17" spans="1:3" x14ac:dyDescent="0.35">
      <c r="A17" t="s">
        <v>22</v>
      </c>
      <c r="B17" s="24">
        <f>AVERAGE(Modelling!$H$7:$H$257)</f>
        <v>1.9958823924826505E-4</v>
      </c>
      <c r="C17" s="15">
        <f>_xlfn.STDEV.S(Modelling!$H$7:$H$257)</f>
        <v>1.8083991657990621E-2</v>
      </c>
    </row>
    <row r="18" spans="1:3" x14ac:dyDescent="0.35">
      <c r="A18" t="s">
        <v>23</v>
      </c>
      <c r="B18" s="24">
        <f>AVERAGE(Modelling!$U$7:$U$257)</f>
        <v>5.4990924012477955E-4</v>
      </c>
      <c r="C18" s="15">
        <f>_xlfn.STDEV.S(Modelling!$U$7:$U$257)</f>
        <v>7.9125617456856125E-3</v>
      </c>
    </row>
    <row r="19" spans="1:3" x14ac:dyDescent="0.35">
      <c r="A19" t="s">
        <v>24</v>
      </c>
      <c r="B19" s="24">
        <f>AVERAGE(Modelling!$AH$7:$AH$257)</f>
        <v>-4.472082210127072E-4</v>
      </c>
      <c r="C19" s="15">
        <f>_xlfn.STDEV.S(Modelling!$AH$7:$AH$257)</f>
        <v>8.8874541620407588E-3</v>
      </c>
    </row>
    <row r="20" spans="1:3" x14ac:dyDescent="0.35">
      <c r="A20" t="s">
        <v>25</v>
      </c>
      <c r="B20" s="24">
        <f>AVERAGE(Modelling!$AU$7:$AU$257)</f>
        <v>-5.9455443018095896E-4</v>
      </c>
      <c r="C20" s="15">
        <f>_xlfn.STDEV.S(Modelling!$AU$7:$AU$257)</f>
        <v>1.3563084265040905E-2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Data Checks</vt:lpstr>
      <vt:lpstr>Parameters</vt:lpstr>
      <vt:lpstr>Moving Ave</vt:lpstr>
      <vt:lpstr>Modelling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Tickner</dc:creator>
  <cp:lastModifiedBy>Vickersmith, AJ (Birmingham)</cp:lastModifiedBy>
  <dcterms:created xsi:type="dcterms:W3CDTF">2020-11-17T15:26:06Z</dcterms:created>
  <dcterms:modified xsi:type="dcterms:W3CDTF">2022-09-22T18:44:53Z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2021-07-04T13:12:07Z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edb6aec3-de69-4308-a87c-98bb15e5c049</vt:lpwstr>
  </property>
  <property fmtid="{D5CDD505-2E9C-101B-9397-08002B2CF9AE}" pid="8" name="MSIP_Label_d347b247-e90e-43a3-9d7b-004f14ae6873_ContentBits">
    <vt:lpwstr>0</vt:lpwstr>
  </property>
</Properties>
</file>